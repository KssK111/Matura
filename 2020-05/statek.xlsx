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0-05\"/>
    </mc:Choice>
  </mc:AlternateContent>
  <bookViews>
    <workbookView xWindow="0" yWindow="0" windowWidth="20490" windowHeight="7530" activeTab="4"/>
  </bookViews>
  <sheets>
    <sheet name="z1" sheetId="2" r:id="rId1"/>
    <sheet name="z2" sheetId="1" r:id="rId2"/>
    <sheet name="z3" sheetId="3" r:id="rId3"/>
    <sheet name="z4" sheetId="7" r:id="rId4"/>
    <sheet name="z5" sheetId="9" r:id="rId5"/>
    <sheet name="dane" sheetId="4" r:id="rId6"/>
  </sheets>
  <definedNames>
    <definedName name="statek" localSheetId="5">dane!$A$1:$F$203</definedName>
    <definedName name="statek" localSheetId="1">'z2'!$A$1:$F$203</definedName>
    <definedName name="statek" localSheetId="2">'z3'!$A$1:$F$203</definedName>
    <definedName name="statek" localSheetId="3">'z4'!$A$1:$F$203</definedName>
    <definedName name="statek" localSheetId="4">'z5'!$A$1:$F$203</definedName>
  </definedNames>
  <calcPr calcId="162913"/>
  <pivotCaches>
    <pivotCache cacheId="0" r:id="rId7"/>
    <pivotCache cacheId="1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9" l="1"/>
  <c r="G3" i="9" s="1"/>
  <c r="G4" i="9" s="1"/>
  <c r="G5" i="9" s="1"/>
  <c r="G6" i="9" s="1"/>
  <c r="G7" i="9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" i="7"/>
  <c r="N7" i="3"/>
  <c r="N5" i="3"/>
  <c r="M7" i="3"/>
  <c r="M5" i="3"/>
  <c r="G4" i="3"/>
  <c r="H4" i="3"/>
  <c r="H5" i="3" s="1"/>
  <c r="I4" i="3"/>
  <c r="J4" i="3"/>
  <c r="K4" i="3"/>
  <c r="G5" i="3"/>
  <c r="G6" i="3" s="1"/>
  <c r="G7" i="3" s="1"/>
  <c r="G8" i="3" s="1"/>
  <c r="G9" i="3" s="1"/>
  <c r="G10" i="3" s="1"/>
  <c r="I5" i="3"/>
  <c r="J5" i="3"/>
  <c r="K5" i="3"/>
  <c r="K6" i="3" s="1"/>
  <c r="H6" i="3"/>
  <c r="I6" i="3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H7" i="3"/>
  <c r="I7" i="3"/>
  <c r="I8" i="3" s="1"/>
  <c r="K7" i="3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K8" i="3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I9" i="3"/>
  <c r="I10" i="3"/>
  <c r="G11" i="3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I11" i="3"/>
  <c r="I12" i="3" s="1"/>
  <c r="I13" i="3" s="1"/>
  <c r="I14" i="3" s="1"/>
  <c r="I15" i="3" s="1"/>
  <c r="I16" i="3" s="1"/>
  <c r="I17" i="3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K72" i="3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I74" i="3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H79" i="3"/>
  <c r="H80" i="3" s="1"/>
  <c r="H81" i="3" s="1"/>
  <c r="H82" i="3" s="1"/>
  <c r="H83" i="3" s="1"/>
  <c r="H84" i="3" s="1"/>
  <c r="H85" i="3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K3" i="3"/>
  <c r="J3" i="3"/>
  <c r="I3" i="3"/>
  <c r="H3" i="3"/>
  <c r="G3" i="3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3" i="1"/>
  <c r="G8" i="9" l="1"/>
  <c r="G9" i="9" s="1"/>
  <c r="G10" i="9" l="1"/>
  <c r="G11" i="9" s="1"/>
  <c r="G12" i="9" l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I3" i="9" l="1"/>
  <c r="I2" i="9"/>
</calcChain>
</file>

<file path=xl/connections.xml><?xml version="1.0" encoding="utf-8"?>
<connections xmlns="http://schemas.openxmlformats.org/spreadsheetml/2006/main">
  <connection id="1" name="statek" type="6" refreshedVersion="6" background="1" saveData="1">
    <textPr codePage="852" sourceFile="C:\Users\2022aR\Desktop\Matura\2020-05\statek.txt" decimal="," thousands=" ">
      <textFields count="6">
        <textField type="YMD"/>
        <textField/>
        <textField/>
        <textField/>
        <textField/>
        <textField/>
      </textFields>
    </textPr>
  </connection>
  <connection id="2" name="statek1" type="6" refreshedVersion="6" background="1" saveData="1">
    <textPr codePage="852" sourceFile="C:\Users\2022aR\Desktop\Matura\2020-05\statek.txt" decimal="," thousands=" ">
      <textFields count="6">
        <textField type="YMD"/>
        <textField/>
        <textField/>
        <textField/>
        <textField/>
        <textField/>
      </textFields>
    </textPr>
  </connection>
  <connection id="3" name="statek11" type="6" refreshedVersion="6" background="1" saveData="1">
    <textPr codePage="852" sourceFile="C:\Users\2022aR\Desktop\Matura\2020-05\statek.txt" decimal="," thousands=" ">
      <textFields count="6">
        <textField type="YMD"/>
        <textField/>
        <textField/>
        <textField/>
        <textField/>
        <textField/>
      </textFields>
    </textPr>
  </connection>
  <connection id="4" name="statek111" type="6" refreshedVersion="6" background="1" saveData="1">
    <textPr codePage="852" sourceFile="C:\Users\2022aR\Desktop\Matura\2020-05\statek.txt" decimal="," thousands=" ">
      <textFields count="6">
        <textField type="YMD"/>
        <textField/>
        <textField/>
        <textField/>
        <textField/>
        <textField/>
      </textFields>
    </textPr>
  </connection>
  <connection id="5" name="statek112" type="6" refreshedVersion="6" background="1" saveData="1">
    <textPr codePage="852" sourceFile="C:\Users\2022aR\Desktop\Matura\2020-05\statek.txt" decimal="," thousands=" ">
      <textFields count="6">
        <textField type="YMD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<sst xmlns="http://schemas.openxmlformats.org/spreadsheetml/2006/main" count="3133" uniqueCount="66">
  <si>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</si>
  <si>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</si>
  <si>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</si>
  <si>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</si>
  <si>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</si>
  <si>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</si>
  <si>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</si>
  <si>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</si>
  <si>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</si>
  <si>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</si>
  <si>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</si>
  <si>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</si>
  <si>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</si>
  <si>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</si>
  <si>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</si>
  <si>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</si>
  <si>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</si>
  <si>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</si>
  <si>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</si>
  <si>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</si>
  <si>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</si>
  <si>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</si>
  <si>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</si>
  <si>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Suma końcowa</t>
  </si>
  <si>
    <t>Liczba załadunków</t>
  </si>
  <si>
    <t>Suma załadunków</t>
  </si>
  <si>
    <t>Towar</t>
  </si>
  <si>
    <t>Dni na morzu</t>
  </si>
  <si>
    <t>ile kursów &gt; 20</t>
  </si>
  <si>
    <t>Max</t>
  </si>
  <si>
    <t>Min</t>
  </si>
  <si>
    <t>Etykiety kolumn</t>
  </si>
  <si>
    <t>Suma z ile ton</t>
  </si>
  <si>
    <t>data_miesiac</t>
  </si>
  <si>
    <t>2016-1</t>
  </si>
  <si>
    <t>2016-11</t>
  </si>
  <si>
    <t>2016-2</t>
  </si>
  <si>
    <t>2016-3</t>
  </si>
  <si>
    <t>2016-4</t>
  </si>
  <si>
    <t>2016-6</t>
  </si>
  <si>
    <t>2016-7</t>
  </si>
  <si>
    <t>2016-8</t>
  </si>
  <si>
    <t>2016-9</t>
  </si>
  <si>
    <t>2017-1</t>
  </si>
  <si>
    <t>2017-10</t>
  </si>
  <si>
    <t>2017-11</t>
  </si>
  <si>
    <t>2017-2</t>
  </si>
  <si>
    <t>2017-3</t>
  </si>
  <si>
    <t>2017-4</t>
  </si>
  <si>
    <t>2017-5</t>
  </si>
  <si>
    <t>2017-6</t>
  </si>
  <si>
    <t>2017-7</t>
  </si>
  <si>
    <t>2017-8</t>
  </si>
  <si>
    <t>2018-1</t>
  </si>
  <si>
    <t>2018-10</t>
  </si>
  <si>
    <t>2018-11</t>
  </si>
  <si>
    <t>2018-12</t>
  </si>
  <si>
    <t>2018-2</t>
  </si>
  <si>
    <t>2018-3</t>
  </si>
  <si>
    <t>2018-4</t>
  </si>
  <si>
    <t>2018-6</t>
  </si>
  <si>
    <t>2018-7</t>
  </si>
  <si>
    <t>2018-8</t>
  </si>
  <si>
    <t>2018-9</t>
  </si>
  <si>
    <t>Miesiąc</t>
  </si>
  <si>
    <t>stan talarów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</si>
</sst>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3"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[statek.xlsx]z4!Tabela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i="0"/>
              <a:t>Ilość</a:t>
            </a:r>
            <a:r>
              <a:rPr lang="pl-PL" i="0" baseline="0"/>
              <a:t> towaru T5 dla miesiąca z podziałem na wyładunek i załadunek</a:t>
            </a:r>
            <a:endParaRPr lang="pl-PL" i="1"/>
          </a:p>
        </c:rich>
      </c:tx>
      <c:layout>
        <c:manualLayout>
          <c:xMode val="edge"/>
          <c:yMode val="edge"/>
          <c:x val="0.14782633420822397"/>
          <c:y val="4.42548848060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815048118985127"/>
          <c:y val="0.23953266258384365"/>
          <c:w val="0.69460148731408577"/>
          <c:h val="0.37963436862058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'z4'!$K$3:$K$4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'z4'!$J$5:$J$35</c:f>
              <c:strCache>
                <c:ptCount val="30"/>
                <c:pt idx="0">
                  <c:v>2016-1</c:v>
                </c:pt>
                <c:pt idx="1">
                  <c:v>2016-11</c:v>
                </c:pt>
                <c:pt idx="2">
                  <c:v>2016-2</c:v>
                </c:pt>
                <c:pt idx="3">
                  <c:v>2016-3</c:v>
                </c:pt>
                <c:pt idx="4">
                  <c:v>2016-4</c:v>
                </c:pt>
                <c:pt idx="5">
                  <c:v>2016-6</c:v>
                </c:pt>
                <c:pt idx="6">
                  <c:v>2016-7</c:v>
                </c:pt>
                <c:pt idx="7">
                  <c:v>2016-8</c:v>
                </c:pt>
                <c:pt idx="8">
                  <c:v>2016-9</c:v>
                </c:pt>
                <c:pt idx="9">
                  <c:v>2017-1</c:v>
                </c:pt>
                <c:pt idx="10">
                  <c:v>2017-10</c:v>
                </c:pt>
                <c:pt idx="11">
                  <c:v>2017-11</c:v>
                </c:pt>
                <c:pt idx="12">
                  <c:v>2017-2</c:v>
                </c:pt>
                <c:pt idx="13">
                  <c:v>2017-3</c:v>
                </c:pt>
                <c:pt idx="14">
                  <c:v>2017-4</c:v>
                </c:pt>
                <c:pt idx="15">
                  <c:v>2017-5</c:v>
                </c:pt>
                <c:pt idx="16">
                  <c:v>2017-6</c:v>
                </c:pt>
                <c:pt idx="17">
                  <c:v>2017-7</c:v>
                </c:pt>
                <c:pt idx="18">
                  <c:v>2017-8</c:v>
                </c:pt>
                <c:pt idx="19">
                  <c:v>2018-1</c:v>
                </c:pt>
                <c:pt idx="20">
                  <c:v>2018-10</c:v>
                </c:pt>
                <c:pt idx="21">
                  <c:v>2018-11</c:v>
                </c:pt>
                <c:pt idx="22">
                  <c:v>2018-12</c:v>
                </c:pt>
                <c:pt idx="23">
                  <c:v>2018-2</c:v>
                </c:pt>
                <c:pt idx="24">
                  <c:v>2018-3</c:v>
                </c:pt>
                <c:pt idx="25">
                  <c:v>2018-4</c:v>
                </c:pt>
                <c:pt idx="26">
                  <c:v>2018-6</c:v>
                </c:pt>
                <c:pt idx="27">
                  <c:v>2018-7</c:v>
                </c:pt>
                <c:pt idx="28">
                  <c:v>2018-8</c:v>
                </c:pt>
                <c:pt idx="29">
                  <c:v>2018-9</c:v>
                </c:pt>
              </c:strCache>
            </c:strRef>
          </c:cat>
          <c:val>
            <c:numRef>
              <c:f>'z4'!$K$5:$K$35</c:f>
              <c:numCache>
                <c:formatCode>General</c:formatCode>
                <c:ptCount val="30"/>
                <c:pt idx="0">
                  <c:v>32</c:v>
                </c:pt>
                <c:pt idx="3">
                  <c:v>50</c:v>
                </c:pt>
                <c:pt idx="7">
                  <c:v>191</c:v>
                </c:pt>
                <c:pt idx="8">
                  <c:v>4</c:v>
                </c:pt>
                <c:pt idx="9">
                  <c:v>112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5">
                  <c:v>68</c:v>
                </c:pt>
                <c:pt idx="18">
                  <c:v>48</c:v>
                </c:pt>
                <c:pt idx="19">
                  <c:v>22</c:v>
                </c:pt>
                <c:pt idx="21">
                  <c:v>64</c:v>
                </c:pt>
                <c:pt idx="22">
                  <c:v>4</c:v>
                </c:pt>
                <c:pt idx="24">
                  <c:v>34</c:v>
                </c:pt>
                <c:pt idx="28">
                  <c:v>121</c:v>
                </c:pt>
                <c:pt idx="2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D-4BC2-8220-D760C6A858B7}"/>
            </c:ext>
          </c:extLst>
        </c:ser>
        <c:ser>
          <c:idx val="1"/>
          <c:order val="1"/>
          <c:tx>
            <c:strRef>
              <c:f>'z4'!$L$3:$L$4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'z4'!$J$5:$J$35</c:f>
              <c:strCache>
                <c:ptCount val="30"/>
                <c:pt idx="0">
                  <c:v>2016-1</c:v>
                </c:pt>
                <c:pt idx="1">
                  <c:v>2016-11</c:v>
                </c:pt>
                <c:pt idx="2">
                  <c:v>2016-2</c:v>
                </c:pt>
                <c:pt idx="3">
                  <c:v>2016-3</c:v>
                </c:pt>
                <c:pt idx="4">
                  <c:v>2016-4</c:v>
                </c:pt>
                <c:pt idx="5">
                  <c:v>2016-6</c:v>
                </c:pt>
                <c:pt idx="6">
                  <c:v>2016-7</c:v>
                </c:pt>
                <c:pt idx="7">
                  <c:v>2016-8</c:v>
                </c:pt>
                <c:pt idx="8">
                  <c:v>2016-9</c:v>
                </c:pt>
                <c:pt idx="9">
                  <c:v>2017-1</c:v>
                </c:pt>
                <c:pt idx="10">
                  <c:v>2017-10</c:v>
                </c:pt>
                <c:pt idx="11">
                  <c:v>2017-11</c:v>
                </c:pt>
                <c:pt idx="12">
                  <c:v>2017-2</c:v>
                </c:pt>
                <c:pt idx="13">
                  <c:v>2017-3</c:v>
                </c:pt>
                <c:pt idx="14">
                  <c:v>2017-4</c:v>
                </c:pt>
                <c:pt idx="15">
                  <c:v>2017-5</c:v>
                </c:pt>
                <c:pt idx="16">
                  <c:v>2017-6</c:v>
                </c:pt>
                <c:pt idx="17">
                  <c:v>2017-7</c:v>
                </c:pt>
                <c:pt idx="18">
                  <c:v>2017-8</c:v>
                </c:pt>
                <c:pt idx="19">
                  <c:v>2018-1</c:v>
                </c:pt>
                <c:pt idx="20">
                  <c:v>2018-10</c:v>
                </c:pt>
                <c:pt idx="21">
                  <c:v>2018-11</c:v>
                </c:pt>
                <c:pt idx="22">
                  <c:v>2018-12</c:v>
                </c:pt>
                <c:pt idx="23">
                  <c:v>2018-2</c:v>
                </c:pt>
                <c:pt idx="24">
                  <c:v>2018-3</c:v>
                </c:pt>
                <c:pt idx="25">
                  <c:v>2018-4</c:v>
                </c:pt>
                <c:pt idx="26">
                  <c:v>2018-6</c:v>
                </c:pt>
                <c:pt idx="27">
                  <c:v>2018-7</c:v>
                </c:pt>
                <c:pt idx="28">
                  <c:v>2018-8</c:v>
                </c:pt>
                <c:pt idx="29">
                  <c:v>2018-9</c:v>
                </c:pt>
              </c:strCache>
            </c:strRef>
          </c:cat>
          <c:val>
            <c:numRef>
              <c:f>'z4'!$L$5:$L$35</c:f>
              <c:numCache>
                <c:formatCode>General</c:formatCode>
                <c:ptCount val="30"/>
                <c:pt idx="0">
                  <c:v>76</c:v>
                </c:pt>
                <c:pt idx="1">
                  <c:v>30</c:v>
                </c:pt>
                <c:pt idx="2">
                  <c:v>8</c:v>
                </c:pt>
                <c:pt idx="4">
                  <c:v>68</c:v>
                </c:pt>
                <c:pt idx="5">
                  <c:v>42</c:v>
                </c:pt>
                <c:pt idx="6">
                  <c:v>83</c:v>
                </c:pt>
                <c:pt idx="8">
                  <c:v>44</c:v>
                </c:pt>
                <c:pt idx="9">
                  <c:v>39</c:v>
                </c:pt>
                <c:pt idx="11">
                  <c:v>12</c:v>
                </c:pt>
                <c:pt idx="13">
                  <c:v>35</c:v>
                </c:pt>
                <c:pt idx="14">
                  <c:v>1</c:v>
                </c:pt>
                <c:pt idx="15">
                  <c:v>33</c:v>
                </c:pt>
                <c:pt idx="16">
                  <c:v>8</c:v>
                </c:pt>
                <c:pt idx="17">
                  <c:v>42</c:v>
                </c:pt>
                <c:pt idx="18">
                  <c:v>4</c:v>
                </c:pt>
                <c:pt idx="19">
                  <c:v>10</c:v>
                </c:pt>
                <c:pt idx="20">
                  <c:v>20</c:v>
                </c:pt>
                <c:pt idx="21">
                  <c:v>48</c:v>
                </c:pt>
                <c:pt idx="23">
                  <c:v>34</c:v>
                </c:pt>
                <c:pt idx="25">
                  <c:v>5</c:v>
                </c:pt>
                <c:pt idx="26">
                  <c:v>95</c:v>
                </c:pt>
                <c:pt idx="27">
                  <c:v>25</c:v>
                </c:pt>
                <c:pt idx="2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D-4BC2-8220-D760C6A85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46287"/>
        <c:axId val="1555248783"/>
      </c:barChart>
      <c:catAx>
        <c:axId val="1555246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5248783"/>
        <c:crosses val="autoZero"/>
        <c:auto val="1"/>
        <c:lblAlgn val="ctr"/>
        <c:lblOffset val="100"/>
        <c:noMultiLvlLbl val="0"/>
      </c:catAx>
      <c:valAx>
        <c:axId val="15552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ton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52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423862</xdr:colOff>
      <xdr:row>1</xdr:row>
      <xdr:rowOff>66675</xdr:rowOff>
    </xdr:from>
    <xdr:to>
      <xdr:col>8</xdr:col>
      <xdr:colOff>490537</xdr:colOff>
      <xdr:row>15</xdr:row>
      <xdr:rowOff>142875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104.558215046294" createdVersion="6" refreshedVersion="6" minRefreshableVersion="3" recordCount="202">
  <cacheSource type="worksheet">
    <worksheetSource ref="A1:F203" sheet="z2"/>
  </cacheSource>
  <cacheFields count="6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6108.528054745373" createdVersion="6" refreshedVersion="6" minRefreshableVersion="3" recordCount="203">
  <cacheSource type="worksheet">
    <worksheetSource ref="A1:G1048576" sheet="z4"/>
  </cacheSource>
  <cacheFields count="7">
    <cacheField name="data" numFmtId="0">
      <sharedItems containsNonDate="0" containsDate="1" containsString="0" containsBlank="1" minDate="2016-01-01T00:00:00" maxDate="2018-12-19T00:00:00"/>
    </cacheField>
    <cacheField name="port" numFmtId="0">
      <sharedItems containsBlank="1"/>
    </cacheField>
    <cacheField name="towar" numFmtId="0">
      <sharedItems containsBlank="1" count="6">
        <s v="T4"/>
        <s v="T5"/>
        <s v="T1"/>
        <s v="T2"/>
        <s v="T3"/>
        <m/>
      </sharedItems>
    </cacheField>
    <cacheField name="Z/W" numFmtId="0">
      <sharedItems containsBlank="1" count="3">
        <s v="Z"/>
        <s v="W"/>
        <m/>
      </sharedItems>
    </cacheField>
    <cacheField name="ile ton" numFmtId="0">
      <sharedItems containsString="0" containsBlank="1" containsNumber="1" containsInteger="1" minValue="1" maxValue="192"/>
    </cacheField>
    <cacheField name="cena za tone w talarach" numFmtId="0">
      <sharedItems containsString="0" containsBlank="1" containsNumber="1" containsInteger="1" minValue="7" maxValue="100"/>
    </cacheField>
    <cacheField name="data_miesiac" numFmtId="0">
      <sharedItems containsBlank="1" count="37">
        <s v="2016-1"/>
        <s v="2016-2"/>
        <s v="2016-3"/>
        <s v="2016-4"/>
        <s v="2016-5"/>
        <s v="2016-6"/>
        <s v="2016-7"/>
        <s v="2016-8"/>
        <s v="2016-9"/>
        <s v="2016-10"/>
        <s v="2016-11"/>
        <s v="2016-12"/>
        <s v="2017-1"/>
        <s v="2017-2"/>
        <s v="2017-3"/>
        <s v="2017-4"/>
        <s v="2017-5"/>
        <s v="2017-6"/>
        <s v="2017-7"/>
        <s v="2017-8"/>
        <s v="2017-9"/>
        <s v="2017-10"/>
        <s v="2017-11"/>
        <s v="2017-12"/>
        <s v="2018-1"/>
        <s v="2018-2"/>
        <s v="2018-3"/>
        <s v="2018-4"/>
        <s v="2018-5"/>
        <s v="2018-6"/>
        <s v="2018-7"/>
        <s v="2018-8"/>
        <s v="2018-9"/>
        <s v="2018-10"/>
        <s v="2018-11"/>
        <s v="2018-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  <r>
    <d v="2016-02-19T00:00:00"/>
    <s v="Aleksandria"/>
    <x v="4"/>
    <x v="1"/>
    <n v="43"/>
    <n v="32"/>
  </r>
  <r>
    <d v="2016-02-19T00:00:00"/>
    <s v="Aleksandria"/>
    <x v="2"/>
    <x v="1"/>
    <n v="38"/>
    <n v="13"/>
  </r>
  <r>
    <d v="2016-02-19T00:00:00"/>
    <s v="Aleksandria"/>
    <x v="0"/>
    <x v="0"/>
    <n v="9"/>
    <n v="59"/>
  </r>
  <r>
    <d v="2016-02-19T00:00:00"/>
    <s v="Aleksandria"/>
    <x v="1"/>
    <x v="0"/>
    <n v="8"/>
    <n v="37"/>
  </r>
  <r>
    <d v="2016-03-11T00:00:00"/>
    <s v="Bejrut"/>
    <x v="1"/>
    <x v="1"/>
    <n v="50"/>
    <n v="61"/>
  </r>
  <r>
    <d v="2016-03-11T00:00:00"/>
    <s v="Bejrut"/>
    <x v="4"/>
    <x v="0"/>
    <n v="32"/>
    <n v="20"/>
  </r>
  <r>
    <d v="2016-03-11T00:00:00"/>
    <s v="Bejrut"/>
    <x v="2"/>
    <x v="0"/>
    <n v="7"/>
    <n v="8"/>
  </r>
  <r>
    <d v="2016-03-11T00:00:00"/>
    <s v="Bejrut"/>
    <x v="3"/>
    <x v="0"/>
    <n v="10"/>
    <n v="24"/>
  </r>
  <r>
    <d v="2016-04-04T00:00:00"/>
    <s v="Palermo"/>
    <x v="2"/>
    <x v="1"/>
    <n v="7"/>
    <n v="12"/>
  </r>
  <r>
    <d v="2016-04-04T00:00:00"/>
    <s v="Palermo"/>
    <x v="4"/>
    <x v="0"/>
    <n v="25"/>
    <n v="19"/>
  </r>
  <r>
    <d v="2016-04-04T00:00:00"/>
    <s v="Palermo"/>
    <x v="1"/>
    <x v="0"/>
    <n v="33"/>
    <n v="38"/>
  </r>
  <r>
    <d v="2016-04-22T00:00:00"/>
    <s v="Neapol"/>
    <x v="3"/>
    <x v="1"/>
    <n v="36"/>
    <n v="35"/>
  </r>
  <r>
    <d v="2016-04-22T00:00:00"/>
    <s v="Neapol"/>
    <x v="0"/>
    <x v="0"/>
    <n v="5"/>
    <n v="66"/>
  </r>
  <r>
    <d v="2016-04-22T00:00:00"/>
    <s v="Neapol"/>
    <x v="1"/>
    <x v="0"/>
    <n v="35"/>
    <n v="41"/>
  </r>
  <r>
    <d v="2016-05-14T00:00:00"/>
    <s v="Monako"/>
    <x v="0"/>
    <x v="1"/>
    <n v="38"/>
    <n v="98"/>
  </r>
  <r>
    <d v="2016-05-14T00:00:00"/>
    <s v="Monako"/>
    <x v="3"/>
    <x v="0"/>
    <n v="10"/>
    <n v="23"/>
  </r>
  <r>
    <d v="2016-06-08T00:00:00"/>
    <s v="Barcelona"/>
    <x v="3"/>
    <x v="1"/>
    <n v="4"/>
    <n v="38"/>
  </r>
  <r>
    <d v="2016-06-08T00:00:00"/>
    <s v="Barcelona"/>
    <x v="0"/>
    <x v="0"/>
    <n v="42"/>
    <n v="60"/>
  </r>
  <r>
    <d v="2016-06-08T00:00:00"/>
    <s v="Barcelona"/>
    <x v="2"/>
    <x v="0"/>
    <n v="28"/>
    <n v="8"/>
  </r>
  <r>
    <d v="2016-06-08T00:00:00"/>
    <s v="Barcelona"/>
    <x v="4"/>
    <x v="0"/>
    <n v="19"/>
    <n v="19"/>
  </r>
  <r>
    <d v="2016-06-21T00:00:00"/>
    <s v="Walencja"/>
    <x v="4"/>
    <x v="1"/>
    <n v="72"/>
    <n v="28"/>
  </r>
  <r>
    <d v="2016-06-21T00:00:00"/>
    <s v="Walencja"/>
    <x v="0"/>
    <x v="1"/>
    <n v="42"/>
    <n v="90"/>
  </r>
  <r>
    <d v="2016-06-21T00:00:00"/>
    <s v="Walencja"/>
    <x v="1"/>
    <x v="0"/>
    <n v="42"/>
    <n v="44"/>
  </r>
  <r>
    <d v="2016-06-21T00:00:00"/>
    <s v="Walencja"/>
    <x v="3"/>
    <x v="0"/>
    <n v="33"/>
    <n v="26"/>
  </r>
  <r>
    <d v="2016-06-21T00:00:00"/>
    <s v="Walencja"/>
    <x v="2"/>
    <x v="0"/>
    <n v="9"/>
    <n v="9"/>
  </r>
  <r>
    <d v="2016-07-08T00:00:00"/>
    <s v="Algier"/>
    <x v="4"/>
    <x v="1"/>
    <n v="4"/>
    <n v="29"/>
  </r>
  <r>
    <d v="2016-07-08T00:00:00"/>
    <s v="Algier"/>
    <x v="2"/>
    <x v="1"/>
    <n v="37"/>
    <n v="12"/>
  </r>
  <r>
    <d v="2016-07-08T00:00:00"/>
    <s v="Algier"/>
    <x v="1"/>
    <x v="0"/>
    <n v="35"/>
    <n v="42"/>
  </r>
  <r>
    <d v="2016-07-08T00:00:00"/>
    <s v="Algier"/>
    <x v="0"/>
    <x v="0"/>
    <n v="32"/>
    <n v="66"/>
  </r>
  <r>
    <d v="2016-07-23T00:00:00"/>
    <s v="Tunis"/>
    <x v="0"/>
    <x v="1"/>
    <n v="32"/>
    <n v="92"/>
  </r>
  <r>
    <d v="2016-07-23T00:00:00"/>
    <s v="Tunis"/>
    <x v="1"/>
    <x v="0"/>
    <n v="48"/>
    <n v="43"/>
  </r>
  <r>
    <d v="2016-08-11T00:00:00"/>
    <s v="Benghazi"/>
    <x v="1"/>
    <x v="1"/>
    <n v="191"/>
    <n v="60"/>
  </r>
  <r>
    <d v="2016-08-11T00:00:00"/>
    <s v="Benghazi"/>
    <x v="3"/>
    <x v="0"/>
    <n v="9"/>
    <n v="24"/>
  </r>
  <r>
    <d v="2016-08-11T00:00:00"/>
    <s v="Benghazi"/>
    <x v="0"/>
    <x v="0"/>
    <n v="36"/>
    <n v="65"/>
  </r>
  <r>
    <d v="2016-09-06T00:00:00"/>
    <s v="Aleksandria"/>
    <x v="2"/>
    <x v="0"/>
    <n v="47"/>
    <n v="7"/>
  </r>
  <r>
    <d v="2016-09-06T00:00:00"/>
    <s v="Aleksandria"/>
    <x v="1"/>
    <x v="1"/>
    <n v="4"/>
    <n v="63"/>
  </r>
  <r>
    <d v="2016-09-06T00:00:00"/>
    <s v="Aleksandria"/>
    <x v="4"/>
    <x v="0"/>
    <n v="8"/>
    <n v="19"/>
  </r>
  <r>
    <d v="2016-09-06T00:00:00"/>
    <s v="Aleksandria"/>
    <x v="3"/>
    <x v="0"/>
    <n v="3"/>
    <n v="22"/>
  </r>
  <r>
    <d v="2016-09-06T00:00:00"/>
    <s v="Aleksandria"/>
    <x v="0"/>
    <x v="0"/>
    <n v="41"/>
    <n v="59"/>
  </r>
  <r>
    <d v="2016-09-27T00:00:00"/>
    <s v="Bejrut"/>
    <x v="1"/>
    <x v="0"/>
    <n v="44"/>
    <n v="40"/>
  </r>
  <r>
    <d v="2016-09-27T00:00:00"/>
    <s v="Bejrut"/>
    <x v="2"/>
    <x v="1"/>
    <n v="45"/>
    <n v="12"/>
  </r>
  <r>
    <d v="2016-09-27T00:00:00"/>
    <s v="Bejrut"/>
    <x v="4"/>
    <x v="0"/>
    <n v="40"/>
    <n v="20"/>
  </r>
  <r>
    <d v="2016-09-27T00:00:00"/>
    <s v="Bejrut"/>
    <x v="0"/>
    <x v="0"/>
    <n v="3"/>
    <n v="63"/>
  </r>
  <r>
    <d v="2016-09-27T00:00:00"/>
    <s v="Bejrut"/>
    <x v="3"/>
    <x v="0"/>
    <n v="17"/>
    <n v="24"/>
  </r>
  <r>
    <d v="2016-10-21T00:00:00"/>
    <s v="Palermo"/>
    <x v="2"/>
    <x v="1"/>
    <n v="2"/>
    <n v="12"/>
  </r>
  <r>
    <d v="2016-10-21T00:00:00"/>
    <s v="Palermo"/>
    <x v="4"/>
    <x v="0"/>
    <n v="14"/>
    <n v="19"/>
  </r>
  <r>
    <d v="2016-10-21T00:00:00"/>
    <s v="Palermo"/>
    <x v="3"/>
    <x v="0"/>
    <n v="23"/>
    <n v="23"/>
  </r>
  <r>
    <d v="2016-11-08T00:00:00"/>
    <s v="Neapol"/>
    <x v="2"/>
    <x v="0"/>
    <n v="11"/>
    <n v="8"/>
  </r>
  <r>
    <d v="2016-11-08T00:00:00"/>
    <s v="Neapol"/>
    <x v="0"/>
    <x v="0"/>
    <n v="17"/>
    <n v="66"/>
  </r>
  <r>
    <d v="2016-11-08T00:00:00"/>
    <s v="Neapol"/>
    <x v="1"/>
    <x v="0"/>
    <n v="30"/>
    <n v="41"/>
  </r>
  <r>
    <d v="2016-11-30T00:00:00"/>
    <s v="Monako"/>
    <x v="0"/>
    <x v="1"/>
    <n v="97"/>
    <n v="98"/>
  </r>
  <r>
    <d v="2016-11-30T00:00:00"/>
    <s v="Monako"/>
    <x v="2"/>
    <x v="1"/>
    <n v="11"/>
    <n v="12"/>
  </r>
  <r>
    <d v="2016-11-30T00:00:00"/>
    <s v="Monako"/>
    <x v="4"/>
    <x v="0"/>
    <n v="17"/>
    <n v="20"/>
  </r>
  <r>
    <d v="2016-11-30T00:00:00"/>
    <s v="Monako"/>
    <x v="3"/>
    <x v="0"/>
    <n v="4"/>
    <n v="23"/>
  </r>
  <r>
    <d v="2016-12-25T00:00:00"/>
    <s v="Barcelona"/>
    <x v="4"/>
    <x v="1"/>
    <n v="79"/>
    <n v="31"/>
  </r>
  <r>
    <d v="2016-12-25T00:00:00"/>
    <s v="Barcelona"/>
    <x v="0"/>
    <x v="0"/>
    <n v="33"/>
    <n v="60"/>
  </r>
  <r>
    <d v="2016-12-25T00:00:00"/>
    <s v="Barcelona"/>
    <x v="3"/>
    <x v="0"/>
    <n v="26"/>
    <n v="23"/>
  </r>
  <r>
    <d v="2017-01-07T00:00:00"/>
    <s v="Walencja"/>
    <x v="4"/>
    <x v="0"/>
    <n v="40"/>
    <n v="22"/>
  </r>
  <r>
    <d v="2017-01-07T00:00:00"/>
    <s v="Walencja"/>
    <x v="2"/>
    <x v="0"/>
    <n v="42"/>
    <n v="9"/>
  </r>
  <r>
    <d v="2017-01-07T00:00:00"/>
    <s v="Walencja"/>
    <x v="3"/>
    <x v="0"/>
    <n v="42"/>
    <n v="26"/>
  </r>
  <r>
    <d v="2017-01-07T00:00:00"/>
    <s v="Walencja"/>
    <x v="0"/>
    <x v="0"/>
    <n v="9"/>
    <n v="70"/>
  </r>
  <r>
    <d v="2017-01-07T00:00:00"/>
    <s v="Walencja"/>
    <x v="1"/>
    <x v="0"/>
    <n v="39"/>
    <n v="44"/>
  </r>
  <r>
    <d v="2017-01-24T00:00:00"/>
    <s v="Algier"/>
    <x v="1"/>
    <x v="1"/>
    <n v="112"/>
    <n v="59"/>
  </r>
  <r>
    <d v="2017-01-24T00:00:00"/>
    <s v="Algier"/>
    <x v="0"/>
    <x v="0"/>
    <n v="34"/>
    <n v="66"/>
  </r>
  <r>
    <d v="2017-01-24T00:00:00"/>
    <s v="Algier"/>
    <x v="4"/>
    <x v="0"/>
    <n v="5"/>
    <n v="21"/>
  </r>
  <r>
    <d v="2017-02-08T00:00:00"/>
    <s v="Tunis"/>
    <x v="0"/>
    <x v="1"/>
    <n v="74"/>
    <n v="92"/>
  </r>
  <r>
    <d v="2017-02-08T00:00:00"/>
    <s v="Tunis"/>
    <x v="3"/>
    <x v="0"/>
    <n v="14"/>
    <n v="26"/>
  </r>
  <r>
    <d v="2017-02-27T00:00:00"/>
    <s v="Benghazi"/>
    <x v="1"/>
    <x v="1"/>
    <n v="1"/>
    <n v="60"/>
  </r>
  <r>
    <d v="2017-02-27T00:00:00"/>
    <s v="Benghazi"/>
    <x v="3"/>
    <x v="1"/>
    <n v="43"/>
    <n v="36"/>
  </r>
  <r>
    <d v="2017-02-27T00:00:00"/>
    <s v="Benghazi"/>
    <x v="2"/>
    <x v="0"/>
    <n v="30"/>
    <n v="8"/>
  </r>
  <r>
    <d v="2017-02-27T00:00:00"/>
    <s v="Benghazi"/>
    <x v="4"/>
    <x v="0"/>
    <n v="14"/>
    <n v="20"/>
  </r>
  <r>
    <d v="2017-03-25T00:00:00"/>
    <s v="Aleksandria"/>
    <x v="3"/>
    <x v="1"/>
    <n v="33"/>
    <n v="38"/>
  </r>
  <r>
    <d v="2017-03-25T00:00:00"/>
    <s v="Aleksandria"/>
    <x v="1"/>
    <x v="0"/>
    <n v="35"/>
    <n v="37"/>
  </r>
  <r>
    <d v="2017-03-25T00:00:00"/>
    <s v="Aleksandria"/>
    <x v="4"/>
    <x v="0"/>
    <n v="40"/>
    <n v="19"/>
  </r>
  <r>
    <d v="2017-04-15T00:00:00"/>
    <s v="Bejrut"/>
    <x v="3"/>
    <x v="1"/>
    <n v="21"/>
    <n v="36"/>
  </r>
  <r>
    <d v="2017-04-15T00:00:00"/>
    <s v="Bejrut"/>
    <x v="0"/>
    <x v="1"/>
    <n v="2"/>
    <n v="97"/>
  </r>
  <r>
    <d v="2017-04-15T00:00:00"/>
    <s v="Bejrut"/>
    <x v="4"/>
    <x v="0"/>
    <n v="12"/>
    <n v="20"/>
  </r>
  <r>
    <d v="2017-04-15T00:00:00"/>
    <s v="Bejrut"/>
    <x v="2"/>
    <x v="0"/>
    <n v="15"/>
    <n v="8"/>
  </r>
  <r>
    <d v="2017-04-15T00:00:00"/>
    <s v="Bejrut"/>
    <x v="1"/>
    <x v="0"/>
    <n v="1"/>
    <n v="40"/>
  </r>
  <r>
    <d v="2017-05-09T00:00:00"/>
    <s v="Palermo"/>
    <x v="2"/>
    <x v="1"/>
    <n v="86"/>
    <n v="12"/>
  </r>
  <r>
    <d v="2017-05-09T00:00:00"/>
    <s v="Palermo"/>
    <x v="4"/>
    <x v="1"/>
    <n v="110"/>
    <n v="31"/>
  </r>
  <r>
    <d v="2017-05-09T00:00:00"/>
    <s v="Palermo"/>
    <x v="1"/>
    <x v="0"/>
    <n v="33"/>
    <n v="38"/>
  </r>
  <r>
    <d v="2017-05-09T00:00:00"/>
    <s v="Palermo"/>
    <x v="3"/>
    <x v="0"/>
    <n v="13"/>
    <n v="23"/>
  </r>
  <r>
    <d v="2017-05-09T00:00:00"/>
    <s v="Palermo"/>
    <x v="0"/>
    <x v="0"/>
    <n v="37"/>
    <n v="61"/>
  </r>
  <r>
    <d v="2017-05-27T00:00:00"/>
    <s v="Neapol"/>
    <x v="2"/>
    <x v="1"/>
    <n v="1"/>
    <n v="12"/>
  </r>
  <r>
    <d v="2017-05-27T00:00:00"/>
    <s v="Neapol"/>
    <x v="1"/>
    <x v="1"/>
    <n v="68"/>
    <n v="59"/>
  </r>
  <r>
    <d v="2017-05-27T00:00:00"/>
    <s v="Neapol"/>
    <x v="0"/>
    <x v="0"/>
    <n v="35"/>
    <n v="66"/>
  </r>
  <r>
    <d v="2017-05-27T00:00:00"/>
    <s v="Neapol"/>
    <x v="4"/>
    <x v="0"/>
    <n v="25"/>
    <n v="21"/>
  </r>
  <r>
    <d v="2017-05-27T00:00:00"/>
    <s v="Neapol"/>
    <x v="3"/>
    <x v="0"/>
    <n v="10"/>
    <n v="25"/>
  </r>
  <r>
    <d v="2017-06-18T00:00:00"/>
    <s v="Monako"/>
    <x v="3"/>
    <x v="1"/>
    <n v="38"/>
    <n v="37"/>
  </r>
  <r>
    <d v="2017-06-18T00:00:00"/>
    <s v="Monako"/>
    <x v="2"/>
    <x v="0"/>
    <n v="22"/>
    <n v="8"/>
  </r>
  <r>
    <d v="2017-06-18T00:00:00"/>
    <s v="Monako"/>
    <x v="4"/>
    <x v="0"/>
    <n v="25"/>
    <n v="20"/>
  </r>
  <r>
    <d v="2017-06-18T00:00:00"/>
    <s v="Monako"/>
    <x v="1"/>
    <x v="0"/>
    <n v="8"/>
    <n v="39"/>
  </r>
  <r>
    <d v="2017-06-18T00:00:00"/>
    <s v="Monako"/>
    <x v="0"/>
    <x v="0"/>
    <n v="45"/>
    <n v="62"/>
  </r>
  <r>
    <d v="2017-07-13T00:00:00"/>
    <s v="Barcelona"/>
    <x v="0"/>
    <x v="1"/>
    <n v="116"/>
    <n v="100"/>
  </r>
  <r>
    <d v="2017-07-13T00:00:00"/>
    <s v="Barcelona"/>
    <x v="4"/>
    <x v="0"/>
    <n v="29"/>
    <n v="19"/>
  </r>
  <r>
    <d v="2017-07-26T00:00:00"/>
    <s v="Walencja"/>
    <x v="3"/>
    <x v="1"/>
    <n v="5"/>
    <n v="34"/>
  </r>
  <r>
    <d v="2017-07-26T00:00:00"/>
    <s v="Walencja"/>
    <x v="2"/>
    <x v="1"/>
    <n v="22"/>
    <n v="11"/>
  </r>
  <r>
    <d v="2017-07-26T00:00:00"/>
    <s v="Walencja"/>
    <x v="4"/>
    <x v="0"/>
    <n v="37"/>
    <n v="22"/>
  </r>
  <r>
    <d v="2017-07-26T00:00:00"/>
    <s v="Walencja"/>
    <x v="0"/>
    <x v="0"/>
    <n v="10"/>
    <n v="70"/>
  </r>
  <r>
    <d v="2017-07-26T00:00:00"/>
    <s v="Walencja"/>
    <x v="1"/>
    <x v="0"/>
    <n v="42"/>
    <n v="44"/>
  </r>
  <r>
    <d v="2017-08-12T00:00:00"/>
    <s v="Algier"/>
    <x v="0"/>
    <x v="1"/>
    <n v="11"/>
    <n v="94"/>
  </r>
  <r>
    <d v="2017-08-12T00:00:00"/>
    <s v="Algier"/>
    <x v="1"/>
    <x v="1"/>
    <n v="48"/>
    <n v="59"/>
  </r>
  <r>
    <d v="2017-08-12T00:00:00"/>
    <s v="Algier"/>
    <x v="4"/>
    <x v="0"/>
    <n v="20"/>
    <n v="21"/>
  </r>
  <r>
    <d v="2017-08-12T00:00:00"/>
    <s v="Algier"/>
    <x v="3"/>
    <x v="0"/>
    <n v="26"/>
    <n v="25"/>
  </r>
  <r>
    <d v="2017-08-27T00:00:00"/>
    <s v="Tunis"/>
    <x v="2"/>
    <x v="0"/>
    <n v="24"/>
    <n v="9"/>
  </r>
  <r>
    <d v="2017-08-27T00:00:00"/>
    <s v="Tunis"/>
    <x v="0"/>
    <x v="0"/>
    <n v="38"/>
    <n v="68"/>
  </r>
  <r>
    <d v="2017-08-27T00:00:00"/>
    <s v="Tunis"/>
    <x v="4"/>
    <x v="0"/>
    <n v="14"/>
    <n v="21"/>
  </r>
  <r>
    <d v="2017-08-27T00:00:00"/>
    <s v="Tunis"/>
    <x v="1"/>
    <x v="0"/>
    <n v="4"/>
    <n v="43"/>
  </r>
  <r>
    <d v="2017-09-15T00:00:00"/>
    <s v="Benghazi"/>
    <x v="3"/>
    <x v="1"/>
    <n v="19"/>
    <n v="36"/>
  </r>
  <r>
    <d v="2017-09-15T00:00:00"/>
    <s v="Benghazi"/>
    <x v="0"/>
    <x v="0"/>
    <n v="30"/>
    <n v="65"/>
  </r>
  <r>
    <d v="2017-10-11T00:00:00"/>
    <s v="Aleksandria"/>
    <x v="1"/>
    <x v="1"/>
    <n v="6"/>
    <n v="63"/>
  </r>
  <r>
    <d v="2017-10-11T00:00:00"/>
    <s v="Aleksandria"/>
    <x v="0"/>
    <x v="0"/>
    <n v="43"/>
    <n v="59"/>
  </r>
  <r>
    <d v="2017-11-01T00:00:00"/>
    <s v="Bejrut"/>
    <x v="1"/>
    <x v="1"/>
    <n v="1"/>
    <n v="61"/>
  </r>
  <r>
    <d v="2017-11-01T00:00:00"/>
    <s v="Bejrut"/>
    <x v="4"/>
    <x v="1"/>
    <n v="147"/>
    <n v="30"/>
  </r>
  <r>
    <d v="2017-11-01T00:00:00"/>
    <s v="Bejrut"/>
    <x v="2"/>
    <x v="0"/>
    <n v="15"/>
    <n v="8"/>
  </r>
  <r>
    <d v="2017-11-01T00:00:00"/>
    <s v="Bejrut"/>
    <x v="0"/>
    <x v="0"/>
    <n v="24"/>
    <n v="63"/>
  </r>
  <r>
    <d v="2017-11-01T00:00:00"/>
    <s v="Bejrut"/>
    <x v="3"/>
    <x v="0"/>
    <n v="19"/>
    <n v="24"/>
  </r>
  <r>
    <d v="2017-11-25T00:00:00"/>
    <s v="Palermo"/>
    <x v="0"/>
    <x v="1"/>
    <n v="134"/>
    <n v="99"/>
  </r>
  <r>
    <d v="2017-11-25T00:00:00"/>
    <s v="Palermo"/>
    <x v="1"/>
    <x v="0"/>
    <n v="12"/>
    <n v="38"/>
  </r>
  <r>
    <d v="2017-12-13T00:00:00"/>
    <s v="Neapol"/>
    <x v="4"/>
    <x v="1"/>
    <n v="4"/>
    <n v="30"/>
  </r>
  <r>
    <d v="2017-12-13T00:00:00"/>
    <s v="Neapol"/>
    <x v="2"/>
    <x v="0"/>
    <n v="26"/>
    <n v="8"/>
  </r>
  <r>
    <d v="2017-12-13T00:00:00"/>
    <s v="Neapol"/>
    <x v="0"/>
    <x v="0"/>
    <n v="38"/>
    <n v="66"/>
  </r>
  <r>
    <d v="2018-01-04T00:00:00"/>
    <s v="Monako"/>
    <x v="0"/>
    <x v="1"/>
    <n v="38"/>
    <n v="98"/>
  </r>
  <r>
    <d v="2018-01-04T00:00:00"/>
    <s v="Monako"/>
    <x v="3"/>
    <x v="1"/>
    <n v="44"/>
    <n v="37"/>
  </r>
  <r>
    <d v="2018-01-04T00:00:00"/>
    <s v="Monako"/>
    <x v="2"/>
    <x v="0"/>
    <n v="21"/>
    <n v="8"/>
  </r>
  <r>
    <d v="2018-01-04T00:00:00"/>
    <s v="Monako"/>
    <x v="1"/>
    <x v="0"/>
    <n v="10"/>
    <n v="39"/>
  </r>
  <r>
    <d v="2018-01-29T00:00:00"/>
    <s v="Barcelona"/>
    <x v="3"/>
    <x v="1"/>
    <n v="15"/>
    <n v="38"/>
  </r>
  <r>
    <d v="2018-01-29T00:00:00"/>
    <s v="Barcelona"/>
    <x v="1"/>
    <x v="1"/>
    <n v="22"/>
    <n v="63"/>
  </r>
  <r>
    <d v="2018-01-29T00:00:00"/>
    <s v="Barcelona"/>
    <x v="0"/>
    <x v="0"/>
    <n v="9"/>
    <n v="60"/>
  </r>
  <r>
    <d v="2018-01-29T00:00:00"/>
    <s v="Barcelona"/>
    <x v="4"/>
    <x v="0"/>
    <n v="6"/>
    <n v="19"/>
  </r>
  <r>
    <d v="2018-01-29T00:00:00"/>
    <s v="Barcelona"/>
    <x v="2"/>
    <x v="0"/>
    <n v="4"/>
    <n v="8"/>
  </r>
  <r>
    <d v="2018-01-30T00:00:00"/>
    <s v="Walencja"/>
    <x v="4"/>
    <x v="1"/>
    <n v="6"/>
    <n v="25"/>
  </r>
  <r>
    <d v="2018-01-30T00:00:00"/>
    <s v="Walencja"/>
    <x v="0"/>
    <x v="0"/>
    <n v="48"/>
    <n v="79"/>
  </r>
  <r>
    <d v="2018-02-16T00:00:00"/>
    <s v="Algier"/>
    <x v="1"/>
    <x v="0"/>
    <n v="34"/>
    <n v="42"/>
  </r>
  <r>
    <d v="2018-02-16T00:00:00"/>
    <s v="Algier"/>
    <x v="3"/>
    <x v="1"/>
    <n v="49"/>
    <n v="35"/>
  </r>
  <r>
    <d v="2018-02-16T00:00:00"/>
    <s v="Algier"/>
    <x v="2"/>
    <x v="0"/>
    <n v="10"/>
    <n v="8"/>
  </r>
  <r>
    <d v="2018-02-16T00:00:00"/>
    <s v="Algier"/>
    <x v="4"/>
    <x v="0"/>
    <n v="47"/>
    <n v="21"/>
  </r>
  <r>
    <d v="2018-02-16T00:00:00"/>
    <s v="Algier"/>
    <x v="0"/>
    <x v="0"/>
    <n v="48"/>
    <n v="66"/>
  </r>
  <r>
    <d v="2018-03-03T00:00:00"/>
    <s v="Tunis"/>
    <x v="1"/>
    <x v="1"/>
    <n v="34"/>
    <n v="58"/>
  </r>
  <r>
    <d v="2018-03-03T00:00:00"/>
    <s v="Tunis"/>
    <x v="2"/>
    <x v="0"/>
    <n v="5"/>
    <n v="9"/>
  </r>
  <r>
    <d v="2018-03-22T00:00:00"/>
    <s v="Benghazi"/>
    <x v="4"/>
    <x v="1"/>
    <n v="46"/>
    <n v="30"/>
  </r>
  <r>
    <d v="2018-03-22T00:00:00"/>
    <s v="Benghazi"/>
    <x v="0"/>
    <x v="0"/>
    <n v="49"/>
    <n v="65"/>
  </r>
  <r>
    <d v="2018-03-22T00:00:00"/>
    <s v="Benghazi"/>
    <x v="2"/>
    <x v="0"/>
    <n v="16"/>
    <n v="8"/>
  </r>
  <r>
    <d v="2018-04-17T00:00:00"/>
    <s v="Aleksandria"/>
    <x v="1"/>
    <x v="0"/>
    <n v="5"/>
    <n v="37"/>
  </r>
  <r>
    <d v="2018-04-17T00:00:00"/>
    <s v="Aleksandria"/>
    <x v="4"/>
    <x v="1"/>
    <n v="1"/>
    <n v="32"/>
  </r>
  <r>
    <d v="2018-04-17T00:00:00"/>
    <s v="Aleksandria"/>
    <x v="2"/>
    <x v="0"/>
    <n v="34"/>
    <n v="7"/>
  </r>
  <r>
    <d v="2018-04-17T00:00:00"/>
    <s v="Aleksandria"/>
    <x v="0"/>
    <x v="0"/>
    <n v="29"/>
    <n v="59"/>
  </r>
  <r>
    <d v="2018-05-08T00:00:00"/>
    <s v="Bejrut"/>
    <x v="3"/>
    <x v="0"/>
    <n v="34"/>
    <n v="24"/>
  </r>
  <r>
    <d v="2018-05-08T00:00:00"/>
    <s v="Bejrut"/>
    <x v="4"/>
    <x v="0"/>
    <n v="27"/>
    <n v="20"/>
  </r>
  <r>
    <d v="2018-05-08T00:00:00"/>
    <s v="Bejrut"/>
    <x v="2"/>
    <x v="0"/>
    <n v="40"/>
    <n v="8"/>
  </r>
  <r>
    <d v="2018-06-01T00:00:00"/>
    <s v="Palermo"/>
    <x v="0"/>
    <x v="1"/>
    <n v="184"/>
    <n v="99"/>
  </r>
  <r>
    <d v="2018-06-01T00:00:00"/>
    <s v="Palermo"/>
    <x v="1"/>
    <x v="0"/>
    <n v="48"/>
    <n v="38"/>
  </r>
  <r>
    <d v="2018-06-01T00:00:00"/>
    <s v="Palermo"/>
    <x v="3"/>
    <x v="0"/>
    <n v="21"/>
    <n v="23"/>
  </r>
  <r>
    <d v="2018-06-19T00:00:00"/>
    <s v="Neapol"/>
    <x v="0"/>
    <x v="0"/>
    <n v="47"/>
    <n v="66"/>
  </r>
  <r>
    <d v="2018-06-19T00:00:00"/>
    <s v="Neapol"/>
    <x v="3"/>
    <x v="0"/>
    <n v="6"/>
    <n v="25"/>
  </r>
  <r>
    <d v="2018-06-19T00:00:00"/>
    <s v="Neapol"/>
    <x v="1"/>
    <x v="0"/>
    <n v="47"/>
    <n v="41"/>
  </r>
  <r>
    <d v="2018-07-11T00:00:00"/>
    <s v="Monako"/>
    <x v="2"/>
    <x v="1"/>
    <n v="192"/>
    <n v="12"/>
  </r>
  <r>
    <d v="2018-07-11T00:00:00"/>
    <s v="Monako"/>
    <x v="3"/>
    <x v="1"/>
    <n v="48"/>
    <n v="37"/>
  </r>
  <r>
    <d v="2018-07-11T00:00:00"/>
    <s v="Monako"/>
    <x v="0"/>
    <x v="0"/>
    <n v="18"/>
    <n v="62"/>
  </r>
  <r>
    <d v="2018-07-11T00:00:00"/>
    <s v="Monako"/>
    <x v="1"/>
    <x v="0"/>
    <n v="25"/>
    <n v="39"/>
  </r>
  <r>
    <d v="2018-07-11T00:00:00"/>
    <s v="Monako"/>
    <x v="4"/>
    <x v="0"/>
    <n v="2"/>
    <n v="20"/>
  </r>
  <r>
    <d v="2018-08-05T00:00:00"/>
    <s v="Barcelona"/>
    <x v="3"/>
    <x v="1"/>
    <n v="13"/>
    <n v="38"/>
  </r>
  <r>
    <d v="2018-08-05T00:00:00"/>
    <s v="Barcelona"/>
    <x v="1"/>
    <x v="1"/>
    <n v="121"/>
    <n v="63"/>
  </r>
  <r>
    <d v="2018-08-05T00:00:00"/>
    <s v="Barcelona"/>
    <x v="4"/>
    <x v="0"/>
    <n v="30"/>
    <n v="19"/>
  </r>
  <r>
    <d v="2018-08-05T00:00:00"/>
    <s v="Barcelona"/>
    <x v="2"/>
    <x v="0"/>
    <n v="46"/>
    <n v="8"/>
  </r>
  <r>
    <d v="2018-08-18T00:00:00"/>
    <s v="Walencja"/>
    <x v="2"/>
    <x v="1"/>
    <n v="49"/>
    <n v="11"/>
  </r>
  <r>
    <d v="2018-08-18T00:00:00"/>
    <s v="Walencja"/>
    <x v="0"/>
    <x v="1"/>
    <n v="61"/>
    <n v="90"/>
  </r>
  <r>
    <d v="2018-08-18T00:00:00"/>
    <s v="Walencja"/>
    <x v="4"/>
    <x v="0"/>
    <n v="19"/>
    <n v="22"/>
  </r>
  <r>
    <d v="2018-08-18T00:00:00"/>
    <s v="Walencja"/>
    <x v="1"/>
    <x v="0"/>
    <n v="22"/>
    <n v="44"/>
  </r>
  <r>
    <d v="2018-09-04T00:00:00"/>
    <s v="Algier"/>
    <x v="3"/>
    <x v="0"/>
    <n v="9"/>
    <n v="25"/>
  </r>
  <r>
    <d v="2018-09-04T00:00:00"/>
    <s v="Algier"/>
    <x v="0"/>
    <x v="1"/>
    <n v="4"/>
    <n v="94"/>
  </r>
  <r>
    <d v="2018-09-04T00:00:00"/>
    <s v="Algier"/>
    <x v="4"/>
    <x v="0"/>
    <n v="8"/>
    <n v="21"/>
  </r>
  <r>
    <d v="2018-09-04T00:00:00"/>
    <s v="Algier"/>
    <x v="2"/>
    <x v="0"/>
    <n v="47"/>
    <n v="8"/>
  </r>
  <r>
    <d v="2018-09-19T00:00:00"/>
    <s v="Tunis"/>
    <x v="4"/>
    <x v="1"/>
    <n v="82"/>
    <n v="29"/>
  </r>
  <r>
    <d v="2018-09-19T00:00:00"/>
    <s v="Tunis"/>
    <x v="1"/>
    <x v="1"/>
    <n v="26"/>
    <n v="58"/>
  </r>
  <r>
    <d v="2018-09-19T00:00:00"/>
    <s v="Tunis"/>
    <x v="2"/>
    <x v="0"/>
    <n v="24"/>
    <n v="9"/>
  </r>
  <r>
    <d v="2018-09-19T00:00:00"/>
    <s v="Tunis"/>
    <x v="3"/>
    <x v="0"/>
    <n v="36"/>
    <n v="26"/>
  </r>
  <r>
    <d v="2018-09-19T00:00:00"/>
    <s v="Tunis"/>
    <x v="0"/>
    <x v="0"/>
    <n v="6"/>
    <n v="68"/>
  </r>
  <r>
    <d v="2018-10-08T00:00:00"/>
    <s v="Benghazi"/>
    <x v="3"/>
    <x v="1"/>
    <n v="45"/>
    <n v="36"/>
  </r>
  <r>
    <d v="2018-10-08T00:00:00"/>
    <s v="Benghazi"/>
    <x v="2"/>
    <x v="0"/>
    <n v="18"/>
    <n v="8"/>
  </r>
  <r>
    <d v="2018-10-08T00:00:00"/>
    <s v="Benghazi"/>
    <x v="1"/>
    <x v="0"/>
    <n v="20"/>
    <n v="41"/>
  </r>
  <r>
    <d v="2018-11-03T00:00:00"/>
    <s v="Aleksandria"/>
    <x v="4"/>
    <x v="1"/>
    <n v="4"/>
    <n v="32"/>
  </r>
  <r>
    <d v="2018-11-03T00:00:00"/>
    <s v="Aleksandria"/>
    <x v="1"/>
    <x v="0"/>
    <n v="48"/>
    <n v="37"/>
  </r>
  <r>
    <d v="2018-11-24T00:00:00"/>
    <s v="Bejrut"/>
    <x v="1"/>
    <x v="1"/>
    <n v="64"/>
    <n v="61"/>
  </r>
  <r>
    <d v="2018-11-24T00:00:00"/>
    <s v="Bejrut"/>
    <x v="0"/>
    <x v="0"/>
    <n v="43"/>
    <n v="63"/>
  </r>
  <r>
    <d v="2018-11-24T00:00:00"/>
    <s v="Bejrut"/>
    <x v="3"/>
    <x v="0"/>
    <n v="24"/>
    <n v="24"/>
  </r>
  <r>
    <d v="2018-12-18T00:00:00"/>
    <s v="Palermo"/>
    <x v="1"/>
    <x v="1"/>
    <n v="4"/>
    <n v="62"/>
  </r>
  <r>
    <d v="2018-12-18T00:00:00"/>
    <s v="Palermo"/>
    <x v="4"/>
    <x v="0"/>
    <n v="35"/>
    <n v="19"/>
  </r>
  <r>
    <d v="2018-12-18T00:00:00"/>
    <s v="Palermo"/>
    <x v="2"/>
    <x v="0"/>
    <n v="41"/>
    <n v="8"/>
  </r>
  <r>
    <d v="2018-12-18T00:00:00"/>
    <s v="Palermo"/>
    <x v="0"/>
    <x v="0"/>
    <n v="23"/>
    <n v="61"/>
  </r>
  <r>
    <d v="2018-12-18T00:00:00"/>
    <s v="Palermo"/>
    <x v="3"/>
    <x v="0"/>
    <n v="46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3">
  <r>
    <d v="2016-01-01T00:00:00"/>
    <s v="Algier"/>
    <x v="0"/>
    <x v="0"/>
    <n v="3"/>
    <n v="80"/>
    <x v="0"/>
  </r>
  <r>
    <d v="2016-01-01T00:00:00"/>
    <s v="Algier"/>
    <x v="1"/>
    <x v="0"/>
    <n v="32"/>
    <n v="50"/>
    <x v="0"/>
  </r>
  <r>
    <d v="2016-01-01T00:00:00"/>
    <s v="Algier"/>
    <x v="2"/>
    <x v="0"/>
    <n v="38"/>
    <n v="10"/>
    <x v="0"/>
  </r>
  <r>
    <d v="2016-01-01T00:00:00"/>
    <s v="Algier"/>
    <x v="3"/>
    <x v="0"/>
    <n v="33"/>
    <n v="30"/>
    <x v="0"/>
  </r>
  <r>
    <d v="2016-01-01T00:00:00"/>
    <s v="Algier"/>
    <x v="4"/>
    <x v="0"/>
    <n v="43"/>
    <n v="25"/>
    <x v="0"/>
  </r>
  <r>
    <d v="2016-01-16T00:00:00"/>
    <s v="Tunis"/>
    <x v="1"/>
    <x v="1"/>
    <n v="32"/>
    <n v="58"/>
    <x v="0"/>
  </r>
  <r>
    <d v="2016-01-16T00:00:00"/>
    <s v="Tunis"/>
    <x v="3"/>
    <x v="0"/>
    <n v="14"/>
    <n v="26"/>
    <x v="0"/>
  </r>
  <r>
    <d v="2016-01-24T00:00:00"/>
    <s v="Benghazi"/>
    <x v="1"/>
    <x v="0"/>
    <n v="44"/>
    <n v="46"/>
    <x v="0"/>
  </r>
  <r>
    <d v="2016-01-24T00:00:00"/>
    <s v="Benghazi"/>
    <x v="3"/>
    <x v="0"/>
    <n v="1"/>
    <n v="28"/>
    <x v="0"/>
  </r>
  <r>
    <d v="2016-01-24T00:00:00"/>
    <s v="Benghazi"/>
    <x v="0"/>
    <x v="0"/>
    <n v="21"/>
    <n v="74"/>
    <x v="0"/>
  </r>
  <r>
    <d v="2016-02-19T00:00:00"/>
    <s v="Aleksandria"/>
    <x v="4"/>
    <x v="1"/>
    <n v="43"/>
    <n v="32"/>
    <x v="1"/>
  </r>
  <r>
    <d v="2016-02-19T00:00:00"/>
    <s v="Aleksandria"/>
    <x v="2"/>
    <x v="1"/>
    <n v="38"/>
    <n v="13"/>
    <x v="1"/>
  </r>
  <r>
    <d v="2016-02-19T00:00:00"/>
    <s v="Aleksandria"/>
    <x v="0"/>
    <x v="0"/>
    <n v="9"/>
    <n v="59"/>
    <x v="1"/>
  </r>
  <r>
    <d v="2016-02-19T00:00:00"/>
    <s v="Aleksandria"/>
    <x v="1"/>
    <x v="0"/>
    <n v="8"/>
    <n v="37"/>
    <x v="1"/>
  </r>
  <r>
    <d v="2016-03-11T00:00:00"/>
    <s v="Bejrut"/>
    <x v="1"/>
    <x v="1"/>
    <n v="50"/>
    <n v="61"/>
    <x v="2"/>
  </r>
  <r>
    <d v="2016-03-11T00:00:00"/>
    <s v="Bejrut"/>
    <x v="4"/>
    <x v="0"/>
    <n v="32"/>
    <n v="20"/>
    <x v="2"/>
  </r>
  <r>
    <d v="2016-03-11T00:00:00"/>
    <s v="Bejrut"/>
    <x v="2"/>
    <x v="0"/>
    <n v="7"/>
    <n v="8"/>
    <x v="2"/>
  </r>
  <r>
    <d v="2016-03-11T00:00:00"/>
    <s v="Bejrut"/>
    <x v="3"/>
    <x v="0"/>
    <n v="10"/>
    <n v="24"/>
    <x v="2"/>
  </r>
  <r>
    <d v="2016-04-04T00:00:00"/>
    <s v="Palermo"/>
    <x v="2"/>
    <x v="1"/>
    <n v="7"/>
    <n v="12"/>
    <x v="3"/>
  </r>
  <r>
    <d v="2016-04-04T00:00:00"/>
    <s v="Palermo"/>
    <x v="4"/>
    <x v="0"/>
    <n v="25"/>
    <n v="19"/>
    <x v="3"/>
  </r>
  <r>
    <d v="2016-04-04T00:00:00"/>
    <s v="Palermo"/>
    <x v="1"/>
    <x v="0"/>
    <n v="33"/>
    <n v="38"/>
    <x v="3"/>
  </r>
  <r>
    <d v="2016-04-22T00:00:00"/>
    <s v="Neapol"/>
    <x v="3"/>
    <x v="1"/>
    <n v="36"/>
    <n v="35"/>
    <x v="3"/>
  </r>
  <r>
    <d v="2016-04-22T00:00:00"/>
    <s v="Neapol"/>
    <x v="0"/>
    <x v="0"/>
    <n v="5"/>
    <n v="66"/>
    <x v="3"/>
  </r>
  <r>
    <d v="2016-04-22T00:00:00"/>
    <s v="Neapol"/>
    <x v="1"/>
    <x v="0"/>
    <n v="35"/>
    <n v="41"/>
    <x v="3"/>
  </r>
  <r>
    <d v="2016-05-14T00:00:00"/>
    <s v="Monako"/>
    <x v="0"/>
    <x v="1"/>
    <n v="38"/>
    <n v="98"/>
    <x v="4"/>
  </r>
  <r>
    <d v="2016-05-14T00:00:00"/>
    <s v="Monako"/>
    <x v="3"/>
    <x v="0"/>
    <n v="10"/>
    <n v="23"/>
    <x v="4"/>
  </r>
  <r>
    <d v="2016-06-08T00:00:00"/>
    <s v="Barcelona"/>
    <x v="3"/>
    <x v="1"/>
    <n v="4"/>
    <n v="38"/>
    <x v="5"/>
  </r>
  <r>
    <d v="2016-06-08T00:00:00"/>
    <s v="Barcelona"/>
    <x v="0"/>
    <x v="0"/>
    <n v="42"/>
    <n v="60"/>
    <x v="5"/>
  </r>
  <r>
    <d v="2016-06-08T00:00:00"/>
    <s v="Barcelona"/>
    <x v="2"/>
    <x v="0"/>
    <n v="28"/>
    <n v="8"/>
    <x v="5"/>
  </r>
  <r>
    <d v="2016-06-08T00:00:00"/>
    <s v="Barcelona"/>
    <x v="4"/>
    <x v="0"/>
    <n v="19"/>
    <n v="19"/>
    <x v="5"/>
  </r>
  <r>
    <d v="2016-06-21T00:00:00"/>
    <s v="Walencja"/>
    <x v="4"/>
    <x v="1"/>
    <n v="72"/>
    <n v="28"/>
    <x v="5"/>
  </r>
  <r>
    <d v="2016-06-21T00:00:00"/>
    <s v="Walencja"/>
    <x v="0"/>
    <x v="1"/>
    <n v="42"/>
    <n v="90"/>
    <x v="5"/>
  </r>
  <r>
    <d v="2016-06-21T00:00:00"/>
    <s v="Walencja"/>
    <x v="1"/>
    <x v="0"/>
    <n v="42"/>
    <n v="44"/>
    <x v="5"/>
  </r>
  <r>
    <d v="2016-06-21T00:00:00"/>
    <s v="Walencja"/>
    <x v="3"/>
    <x v="0"/>
    <n v="33"/>
    <n v="26"/>
    <x v="5"/>
  </r>
  <r>
    <d v="2016-06-21T00:00:00"/>
    <s v="Walencja"/>
    <x v="2"/>
    <x v="0"/>
    <n v="9"/>
    <n v="9"/>
    <x v="5"/>
  </r>
  <r>
    <d v="2016-07-08T00:00:00"/>
    <s v="Algier"/>
    <x v="4"/>
    <x v="1"/>
    <n v="4"/>
    <n v="29"/>
    <x v="6"/>
  </r>
  <r>
    <d v="2016-07-08T00:00:00"/>
    <s v="Algier"/>
    <x v="2"/>
    <x v="1"/>
    <n v="37"/>
    <n v="12"/>
    <x v="6"/>
  </r>
  <r>
    <d v="2016-07-08T00:00:00"/>
    <s v="Algier"/>
    <x v="1"/>
    <x v="0"/>
    <n v="35"/>
    <n v="42"/>
    <x v="6"/>
  </r>
  <r>
    <d v="2016-07-08T00:00:00"/>
    <s v="Algier"/>
    <x v="0"/>
    <x v="0"/>
    <n v="32"/>
    <n v="66"/>
    <x v="6"/>
  </r>
  <r>
    <d v="2016-07-23T00:00:00"/>
    <s v="Tunis"/>
    <x v="0"/>
    <x v="1"/>
    <n v="32"/>
    <n v="92"/>
    <x v="6"/>
  </r>
  <r>
    <d v="2016-07-23T00:00:00"/>
    <s v="Tunis"/>
    <x v="1"/>
    <x v="0"/>
    <n v="48"/>
    <n v="43"/>
    <x v="6"/>
  </r>
  <r>
    <d v="2016-08-11T00:00:00"/>
    <s v="Benghazi"/>
    <x v="1"/>
    <x v="1"/>
    <n v="191"/>
    <n v="60"/>
    <x v="7"/>
  </r>
  <r>
    <d v="2016-08-11T00:00:00"/>
    <s v="Benghazi"/>
    <x v="3"/>
    <x v="0"/>
    <n v="9"/>
    <n v="24"/>
    <x v="7"/>
  </r>
  <r>
    <d v="2016-08-11T00:00:00"/>
    <s v="Benghazi"/>
    <x v="0"/>
    <x v="0"/>
    <n v="36"/>
    <n v="65"/>
    <x v="7"/>
  </r>
  <r>
    <d v="2016-09-06T00:00:00"/>
    <s v="Aleksandria"/>
    <x v="2"/>
    <x v="0"/>
    <n v="47"/>
    <n v="7"/>
    <x v="8"/>
  </r>
  <r>
    <d v="2016-09-06T00:00:00"/>
    <s v="Aleksandria"/>
    <x v="1"/>
    <x v="1"/>
    <n v="4"/>
    <n v="63"/>
    <x v="8"/>
  </r>
  <r>
    <d v="2016-09-06T00:00:00"/>
    <s v="Aleksandria"/>
    <x v="4"/>
    <x v="0"/>
    <n v="8"/>
    <n v="19"/>
    <x v="8"/>
  </r>
  <r>
    <d v="2016-09-06T00:00:00"/>
    <s v="Aleksandria"/>
    <x v="3"/>
    <x v="0"/>
    <n v="3"/>
    <n v="22"/>
    <x v="8"/>
  </r>
  <r>
    <d v="2016-09-06T00:00:00"/>
    <s v="Aleksandria"/>
    <x v="0"/>
    <x v="0"/>
    <n v="41"/>
    <n v="59"/>
    <x v="8"/>
  </r>
  <r>
    <d v="2016-09-27T00:00:00"/>
    <s v="Bejrut"/>
    <x v="1"/>
    <x v="0"/>
    <n v="44"/>
    <n v="40"/>
    <x v="8"/>
  </r>
  <r>
    <d v="2016-09-27T00:00:00"/>
    <s v="Bejrut"/>
    <x v="2"/>
    <x v="1"/>
    <n v="45"/>
    <n v="12"/>
    <x v="8"/>
  </r>
  <r>
    <d v="2016-09-27T00:00:00"/>
    <s v="Bejrut"/>
    <x v="4"/>
    <x v="0"/>
    <n v="40"/>
    <n v="20"/>
    <x v="8"/>
  </r>
  <r>
    <d v="2016-09-27T00:00:00"/>
    <s v="Bejrut"/>
    <x v="0"/>
    <x v="0"/>
    <n v="3"/>
    <n v="63"/>
    <x v="8"/>
  </r>
  <r>
    <d v="2016-09-27T00:00:00"/>
    <s v="Bejrut"/>
    <x v="3"/>
    <x v="0"/>
    <n v="17"/>
    <n v="24"/>
    <x v="8"/>
  </r>
  <r>
    <d v="2016-10-21T00:00:00"/>
    <s v="Palermo"/>
    <x v="2"/>
    <x v="1"/>
    <n v="2"/>
    <n v="12"/>
    <x v="9"/>
  </r>
  <r>
    <d v="2016-10-21T00:00:00"/>
    <s v="Palermo"/>
    <x v="4"/>
    <x v="0"/>
    <n v="14"/>
    <n v="19"/>
    <x v="9"/>
  </r>
  <r>
    <d v="2016-10-21T00:00:00"/>
    <s v="Palermo"/>
    <x v="3"/>
    <x v="0"/>
    <n v="23"/>
    <n v="23"/>
    <x v="9"/>
  </r>
  <r>
    <d v="2016-11-08T00:00:00"/>
    <s v="Neapol"/>
    <x v="2"/>
    <x v="0"/>
    <n v="11"/>
    <n v="8"/>
    <x v="10"/>
  </r>
  <r>
    <d v="2016-11-08T00:00:00"/>
    <s v="Neapol"/>
    <x v="0"/>
    <x v="0"/>
    <n v="17"/>
    <n v="66"/>
    <x v="10"/>
  </r>
  <r>
    <d v="2016-11-08T00:00:00"/>
    <s v="Neapol"/>
    <x v="1"/>
    <x v="0"/>
    <n v="30"/>
    <n v="41"/>
    <x v="10"/>
  </r>
  <r>
    <d v="2016-11-30T00:00:00"/>
    <s v="Monako"/>
    <x v="0"/>
    <x v="1"/>
    <n v="97"/>
    <n v="98"/>
    <x v="10"/>
  </r>
  <r>
    <d v="2016-11-30T00:00:00"/>
    <s v="Monako"/>
    <x v="2"/>
    <x v="1"/>
    <n v="11"/>
    <n v="12"/>
    <x v="10"/>
  </r>
  <r>
    <d v="2016-11-30T00:00:00"/>
    <s v="Monako"/>
    <x v="4"/>
    <x v="0"/>
    <n v="17"/>
    <n v="20"/>
    <x v="10"/>
  </r>
  <r>
    <d v="2016-11-30T00:00:00"/>
    <s v="Monako"/>
    <x v="3"/>
    <x v="0"/>
    <n v="4"/>
    <n v="23"/>
    <x v="10"/>
  </r>
  <r>
    <d v="2016-12-25T00:00:00"/>
    <s v="Barcelona"/>
    <x v="4"/>
    <x v="1"/>
    <n v="79"/>
    <n v="31"/>
    <x v="11"/>
  </r>
  <r>
    <d v="2016-12-25T00:00:00"/>
    <s v="Barcelona"/>
    <x v="0"/>
    <x v="0"/>
    <n v="33"/>
    <n v="60"/>
    <x v="11"/>
  </r>
  <r>
    <d v="2016-12-25T00:00:00"/>
    <s v="Barcelona"/>
    <x v="3"/>
    <x v="0"/>
    <n v="26"/>
    <n v="23"/>
    <x v="11"/>
  </r>
  <r>
    <d v="2017-01-07T00:00:00"/>
    <s v="Walencja"/>
    <x v="4"/>
    <x v="0"/>
    <n v="40"/>
    <n v="22"/>
    <x v="12"/>
  </r>
  <r>
    <d v="2017-01-07T00:00:00"/>
    <s v="Walencja"/>
    <x v="2"/>
    <x v="0"/>
    <n v="42"/>
    <n v="9"/>
    <x v="12"/>
  </r>
  <r>
    <d v="2017-01-07T00:00:00"/>
    <s v="Walencja"/>
    <x v="3"/>
    <x v="0"/>
    <n v="42"/>
    <n v="26"/>
    <x v="12"/>
  </r>
  <r>
    <d v="2017-01-07T00:00:00"/>
    <s v="Walencja"/>
    <x v="0"/>
    <x v="0"/>
    <n v="9"/>
    <n v="70"/>
    <x v="12"/>
  </r>
  <r>
    <d v="2017-01-07T00:00:00"/>
    <s v="Walencja"/>
    <x v="1"/>
    <x v="0"/>
    <n v="39"/>
    <n v="44"/>
    <x v="12"/>
  </r>
  <r>
    <d v="2017-01-24T00:00:00"/>
    <s v="Algier"/>
    <x v="1"/>
    <x v="1"/>
    <n v="112"/>
    <n v="59"/>
    <x v="12"/>
  </r>
  <r>
    <d v="2017-01-24T00:00:00"/>
    <s v="Algier"/>
    <x v="0"/>
    <x v="0"/>
    <n v="34"/>
    <n v="66"/>
    <x v="12"/>
  </r>
  <r>
    <d v="2017-01-24T00:00:00"/>
    <s v="Algier"/>
    <x v="4"/>
    <x v="0"/>
    <n v="5"/>
    <n v="21"/>
    <x v="12"/>
  </r>
  <r>
    <d v="2017-02-08T00:00:00"/>
    <s v="Tunis"/>
    <x v="0"/>
    <x v="1"/>
    <n v="74"/>
    <n v="92"/>
    <x v="13"/>
  </r>
  <r>
    <d v="2017-02-08T00:00:00"/>
    <s v="Tunis"/>
    <x v="3"/>
    <x v="0"/>
    <n v="14"/>
    <n v="26"/>
    <x v="13"/>
  </r>
  <r>
    <d v="2017-02-27T00:00:00"/>
    <s v="Benghazi"/>
    <x v="1"/>
    <x v="1"/>
    <n v="1"/>
    <n v="60"/>
    <x v="13"/>
  </r>
  <r>
    <d v="2017-02-27T00:00:00"/>
    <s v="Benghazi"/>
    <x v="3"/>
    <x v="1"/>
    <n v="43"/>
    <n v="36"/>
    <x v="13"/>
  </r>
  <r>
    <d v="2017-02-27T00:00:00"/>
    <s v="Benghazi"/>
    <x v="2"/>
    <x v="0"/>
    <n v="30"/>
    <n v="8"/>
    <x v="13"/>
  </r>
  <r>
    <d v="2017-02-27T00:00:00"/>
    <s v="Benghazi"/>
    <x v="4"/>
    <x v="0"/>
    <n v="14"/>
    <n v="20"/>
    <x v="13"/>
  </r>
  <r>
    <d v="2017-03-25T00:00:00"/>
    <s v="Aleksandria"/>
    <x v="3"/>
    <x v="1"/>
    <n v="33"/>
    <n v="38"/>
    <x v="14"/>
  </r>
  <r>
    <d v="2017-03-25T00:00:00"/>
    <s v="Aleksandria"/>
    <x v="1"/>
    <x v="0"/>
    <n v="35"/>
    <n v="37"/>
    <x v="14"/>
  </r>
  <r>
    <d v="2017-03-25T00:00:00"/>
    <s v="Aleksandria"/>
    <x v="4"/>
    <x v="0"/>
    <n v="40"/>
    <n v="19"/>
    <x v="14"/>
  </r>
  <r>
    <d v="2017-04-15T00:00:00"/>
    <s v="Bejrut"/>
    <x v="3"/>
    <x v="1"/>
    <n v="21"/>
    <n v="36"/>
    <x v="15"/>
  </r>
  <r>
    <d v="2017-04-15T00:00:00"/>
    <s v="Bejrut"/>
    <x v="0"/>
    <x v="1"/>
    <n v="2"/>
    <n v="97"/>
    <x v="15"/>
  </r>
  <r>
    <d v="2017-04-15T00:00:00"/>
    <s v="Bejrut"/>
    <x v="4"/>
    <x v="0"/>
    <n v="12"/>
    <n v="20"/>
    <x v="15"/>
  </r>
  <r>
    <d v="2017-04-15T00:00:00"/>
    <s v="Bejrut"/>
    <x v="2"/>
    <x v="0"/>
    <n v="15"/>
    <n v="8"/>
    <x v="15"/>
  </r>
  <r>
    <d v="2017-04-15T00:00:00"/>
    <s v="Bejrut"/>
    <x v="1"/>
    <x v="0"/>
    <n v="1"/>
    <n v="40"/>
    <x v="15"/>
  </r>
  <r>
    <d v="2017-05-09T00:00:00"/>
    <s v="Palermo"/>
    <x v="2"/>
    <x v="1"/>
    <n v="86"/>
    <n v="12"/>
    <x v="16"/>
  </r>
  <r>
    <d v="2017-05-09T00:00:00"/>
    <s v="Palermo"/>
    <x v="4"/>
    <x v="1"/>
    <n v="110"/>
    <n v="31"/>
    <x v="16"/>
  </r>
  <r>
    <d v="2017-05-09T00:00:00"/>
    <s v="Palermo"/>
    <x v="1"/>
    <x v="0"/>
    <n v="33"/>
    <n v="38"/>
    <x v="16"/>
  </r>
  <r>
    <d v="2017-05-09T00:00:00"/>
    <s v="Palermo"/>
    <x v="3"/>
    <x v="0"/>
    <n v="13"/>
    <n v="23"/>
    <x v="16"/>
  </r>
  <r>
    <d v="2017-05-09T00:00:00"/>
    <s v="Palermo"/>
    <x v="0"/>
    <x v="0"/>
    <n v="37"/>
    <n v="61"/>
    <x v="16"/>
  </r>
  <r>
    <d v="2017-05-27T00:00:00"/>
    <s v="Neapol"/>
    <x v="2"/>
    <x v="1"/>
    <n v="1"/>
    <n v="12"/>
    <x v="16"/>
  </r>
  <r>
    <d v="2017-05-27T00:00:00"/>
    <s v="Neapol"/>
    <x v="1"/>
    <x v="1"/>
    <n v="68"/>
    <n v="59"/>
    <x v="16"/>
  </r>
  <r>
    <d v="2017-05-27T00:00:00"/>
    <s v="Neapol"/>
    <x v="0"/>
    <x v="0"/>
    <n v="35"/>
    <n v="66"/>
    <x v="16"/>
  </r>
  <r>
    <d v="2017-05-27T00:00:00"/>
    <s v="Neapol"/>
    <x v="4"/>
    <x v="0"/>
    <n v="25"/>
    <n v="21"/>
    <x v="16"/>
  </r>
  <r>
    <d v="2017-05-27T00:00:00"/>
    <s v="Neapol"/>
    <x v="3"/>
    <x v="0"/>
    <n v="10"/>
    <n v="25"/>
    <x v="16"/>
  </r>
  <r>
    <d v="2017-06-18T00:00:00"/>
    <s v="Monako"/>
    <x v="3"/>
    <x v="1"/>
    <n v="38"/>
    <n v="37"/>
    <x v="17"/>
  </r>
  <r>
    <d v="2017-06-18T00:00:00"/>
    <s v="Monako"/>
    <x v="2"/>
    <x v="0"/>
    <n v="22"/>
    <n v="8"/>
    <x v="17"/>
  </r>
  <r>
    <d v="2017-06-18T00:00:00"/>
    <s v="Monako"/>
    <x v="4"/>
    <x v="0"/>
    <n v="25"/>
    <n v="20"/>
    <x v="17"/>
  </r>
  <r>
    <d v="2017-06-18T00:00:00"/>
    <s v="Monako"/>
    <x v="1"/>
    <x v="0"/>
    <n v="8"/>
    <n v="39"/>
    <x v="17"/>
  </r>
  <r>
    <d v="2017-06-18T00:00:00"/>
    <s v="Monako"/>
    <x v="0"/>
    <x v="0"/>
    <n v="45"/>
    <n v="62"/>
    <x v="17"/>
  </r>
  <r>
    <d v="2017-07-13T00:00:00"/>
    <s v="Barcelona"/>
    <x v="0"/>
    <x v="1"/>
    <n v="116"/>
    <n v="100"/>
    <x v="18"/>
  </r>
  <r>
    <d v="2017-07-13T00:00:00"/>
    <s v="Barcelona"/>
    <x v="4"/>
    <x v="0"/>
    <n v="29"/>
    <n v="19"/>
    <x v="18"/>
  </r>
  <r>
    <d v="2017-07-26T00:00:00"/>
    <s v="Walencja"/>
    <x v="3"/>
    <x v="1"/>
    <n v="5"/>
    <n v="34"/>
    <x v="18"/>
  </r>
  <r>
    <d v="2017-07-26T00:00:00"/>
    <s v="Walencja"/>
    <x v="2"/>
    <x v="1"/>
    <n v="22"/>
    <n v="11"/>
    <x v="18"/>
  </r>
  <r>
    <d v="2017-07-26T00:00:00"/>
    <s v="Walencja"/>
    <x v="4"/>
    <x v="0"/>
    <n v="37"/>
    <n v="22"/>
    <x v="18"/>
  </r>
  <r>
    <d v="2017-07-26T00:00:00"/>
    <s v="Walencja"/>
    <x v="0"/>
    <x v="0"/>
    <n v="10"/>
    <n v="70"/>
    <x v="18"/>
  </r>
  <r>
    <d v="2017-07-26T00:00:00"/>
    <s v="Walencja"/>
    <x v="1"/>
    <x v="0"/>
    <n v="42"/>
    <n v="44"/>
    <x v="18"/>
  </r>
  <r>
    <d v="2017-08-12T00:00:00"/>
    <s v="Algier"/>
    <x v="0"/>
    <x v="1"/>
    <n v="11"/>
    <n v="94"/>
    <x v="19"/>
  </r>
  <r>
    <d v="2017-08-12T00:00:00"/>
    <s v="Algier"/>
    <x v="1"/>
    <x v="1"/>
    <n v="48"/>
    <n v="59"/>
    <x v="19"/>
  </r>
  <r>
    <d v="2017-08-12T00:00:00"/>
    <s v="Algier"/>
    <x v="4"/>
    <x v="0"/>
    <n v="20"/>
    <n v="21"/>
    <x v="19"/>
  </r>
  <r>
    <d v="2017-08-12T00:00:00"/>
    <s v="Algier"/>
    <x v="3"/>
    <x v="0"/>
    <n v="26"/>
    <n v="25"/>
    <x v="19"/>
  </r>
  <r>
    <d v="2017-08-27T00:00:00"/>
    <s v="Tunis"/>
    <x v="2"/>
    <x v="0"/>
    <n v="24"/>
    <n v="9"/>
    <x v="19"/>
  </r>
  <r>
    <d v="2017-08-27T00:00:00"/>
    <s v="Tunis"/>
    <x v="0"/>
    <x v="0"/>
    <n v="38"/>
    <n v="68"/>
    <x v="19"/>
  </r>
  <r>
    <d v="2017-08-27T00:00:00"/>
    <s v="Tunis"/>
    <x v="4"/>
    <x v="0"/>
    <n v="14"/>
    <n v="21"/>
    <x v="19"/>
  </r>
  <r>
    <d v="2017-08-27T00:00:00"/>
    <s v="Tunis"/>
    <x v="1"/>
    <x v="0"/>
    <n v="4"/>
    <n v="43"/>
    <x v="19"/>
  </r>
  <r>
    <d v="2017-09-15T00:00:00"/>
    <s v="Benghazi"/>
    <x v="3"/>
    <x v="1"/>
    <n v="19"/>
    <n v="36"/>
    <x v="20"/>
  </r>
  <r>
    <d v="2017-09-15T00:00:00"/>
    <s v="Benghazi"/>
    <x v="0"/>
    <x v="0"/>
    <n v="30"/>
    <n v="65"/>
    <x v="20"/>
  </r>
  <r>
    <d v="2017-10-11T00:00:00"/>
    <s v="Aleksandria"/>
    <x v="1"/>
    <x v="1"/>
    <n v="6"/>
    <n v="63"/>
    <x v="21"/>
  </r>
  <r>
    <d v="2017-10-11T00:00:00"/>
    <s v="Aleksandria"/>
    <x v="0"/>
    <x v="0"/>
    <n v="43"/>
    <n v="59"/>
    <x v="21"/>
  </r>
  <r>
    <d v="2017-11-01T00:00:00"/>
    <s v="Bejrut"/>
    <x v="1"/>
    <x v="1"/>
    <n v="1"/>
    <n v="61"/>
    <x v="22"/>
  </r>
  <r>
    <d v="2017-11-01T00:00:00"/>
    <s v="Bejrut"/>
    <x v="4"/>
    <x v="1"/>
    <n v="147"/>
    <n v="30"/>
    <x v="22"/>
  </r>
  <r>
    <d v="2017-11-01T00:00:00"/>
    <s v="Bejrut"/>
    <x v="2"/>
    <x v="0"/>
    <n v="15"/>
    <n v="8"/>
    <x v="22"/>
  </r>
  <r>
    <d v="2017-11-01T00:00:00"/>
    <s v="Bejrut"/>
    <x v="0"/>
    <x v="0"/>
    <n v="24"/>
    <n v="63"/>
    <x v="22"/>
  </r>
  <r>
    <d v="2017-11-01T00:00:00"/>
    <s v="Bejrut"/>
    <x v="3"/>
    <x v="0"/>
    <n v="19"/>
    <n v="24"/>
    <x v="22"/>
  </r>
  <r>
    <d v="2017-11-25T00:00:00"/>
    <s v="Palermo"/>
    <x v="0"/>
    <x v="1"/>
    <n v="134"/>
    <n v="99"/>
    <x v="22"/>
  </r>
  <r>
    <d v="2017-11-25T00:00:00"/>
    <s v="Palermo"/>
    <x v="1"/>
    <x v="0"/>
    <n v="12"/>
    <n v="38"/>
    <x v="22"/>
  </r>
  <r>
    <d v="2017-12-13T00:00:00"/>
    <s v="Neapol"/>
    <x v="4"/>
    <x v="1"/>
    <n v="4"/>
    <n v="30"/>
    <x v="23"/>
  </r>
  <r>
    <d v="2017-12-13T00:00:00"/>
    <s v="Neapol"/>
    <x v="2"/>
    <x v="0"/>
    <n v="26"/>
    <n v="8"/>
    <x v="23"/>
  </r>
  <r>
    <d v="2017-12-13T00:00:00"/>
    <s v="Neapol"/>
    <x v="0"/>
    <x v="0"/>
    <n v="38"/>
    <n v="66"/>
    <x v="23"/>
  </r>
  <r>
    <d v="2018-01-04T00:00:00"/>
    <s v="Monako"/>
    <x v="0"/>
    <x v="1"/>
    <n v="38"/>
    <n v="98"/>
    <x v="24"/>
  </r>
  <r>
    <d v="2018-01-04T00:00:00"/>
    <s v="Monako"/>
    <x v="3"/>
    <x v="1"/>
    <n v="44"/>
    <n v="37"/>
    <x v="24"/>
  </r>
  <r>
    <d v="2018-01-04T00:00:00"/>
    <s v="Monako"/>
    <x v="2"/>
    <x v="0"/>
    <n v="21"/>
    <n v="8"/>
    <x v="24"/>
  </r>
  <r>
    <d v="2018-01-04T00:00:00"/>
    <s v="Monako"/>
    <x v="1"/>
    <x v="0"/>
    <n v="10"/>
    <n v="39"/>
    <x v="24"/>
  </r>
  <r>
    <d v="2018-01-29T00:00:00"/>
    <s v="Barcelona"/>
    <x v="3"/>
    <x v="1"/>
    <n v="15"/>
    <n v="38"/>
    <x v="24"/>
  </r>
  <r>
    <d v="2018-01-29T00:00:00"/>
    <s v="Barcelona"/>
    <x v="1"/>
    <x v="1"/>
    <n v="22"/>
    <n v="63"/>
    <x v="24"/>
  </r>
  <r>
    <d v="2018-01-29T00:00:00"/>
    <s v="Barcelona"/>
    <x v="0"/>
    <x v="0"/>
    <n v="9"/>
    <n v="60"/>
    <x v="24"/>
  </r>
  <r>
    <d v="2018-01-29T00:00:00"/>
    <s v="Barcelona"/>
    <x v="4"/>
    <x v="0"/>
    <n v="6"/>
    <n v="19"/>
    <x v="24"/>
  </r>
  <r>
    <d v="2018-01-29T00:00:00"/>
    <s v="Barcelona"/>
    <x v="2"/>
    <x v="0"/>
    <n v="4"/>
    <n v="8"/>
    <x v="24"/>
  </r>
  <r>
    <d v="2018-01-30T00:00:00"/>
    <s v="Walencja"/>
    <x v="4"/>
    <x v="1"/>
    <n v="6"/>
    <n v="25"/>
    <x v="24"/>
  </r>
  <r>
    <d v="2018-01-30T00:00:00"/>
    <s v="Walencja"/>
    <x v="0"/>
    <x v="0"/>
    <n v="48"/>
    <n v="79"/>
    <x v="24"/>
  </r>
  <r>
    <d v="2018-02-16T00:00:00"/>
    <s v="Algier"/>
    <x v="1"/>
    <x v="0"/>
    <n v="34"/>
    <n v="42"/>
    <x v="25"/>
  </r>
  <r>
    <d v="2018-02-16T00:00:00"/>
    <s v="Algier"/>
    <x v="3"/>
    <x v="1"/>
    <n v="49"/>
    <n v="35"/>
    <x v="25"/>
  </r>
  <r>
    <d v="2018-02-16T00:00:00"/>
    <s v="Algier"/>
    <x v="2"/>
    <x v="0"/>
    <n v="10"/>
    <n v="8"/>
    <x v="25"/>
  </r>
  <r>
    <d v="2018-02-16T00:00:00"/>
    <s v="Algier"/>
    <x v="4"/>
    <x v="0"/>
    <n v="47"/>
    <n v="21"/>
    <x v="25"/>
  </r>
  <r>
    <d v="2018-02-16T00:00:00"/>
    <s v="Algier"/>
    <x v="0"/>
    <x v="0"/>
    <n v="48"/>
    <n v="66"/>
    <x v="25"/>
  </r>
  <r>
    <d v="2018-03-03T00:00:00"/>
    <s v="Tunis"/>
    <x v="1"/>
    <x v="1"/>
    <n v="34"/>
    <n v="58"/>
    <x v="26"/>
  </r>
  <r>
    <d v="2018-03-03T00:00:00"/>
    <s v="Tunis"/>
    <x v="2"/>
    <x v="0"/>
    <n v="5"/>
    <n v="9"/>
    <x v="26"/>
  </r>
  <r>
    <d v="2018-03-22T00:00:00"/>
    <s v="Benghazi"/>
    <x v="4"/>
    <x v="1"/>
    <n v="46"/>
    <n v="30"/>
    <x v="26"/>
  </r>
  <r>
    <d v="2018-03-22T00:00:00"/>
    <s v="Benghazi"/>
    <x v="0"/>
    <x v="0"/>
    <n v="49"/>
    <n v="65"/>
    <x v="26"/>
  </r>
  <r>
    <d v="2018-03-22T00:00:00"/>
    <s v="Benghazi"/>
    <x v="2"/>
    <x v="0"/>
    <n v="16"/>
    <n v="8"/>
    <x v="26"/>
  </r>
  <r>
    <d v="2018-04-17T00:00:00"/>
    <s v="Aleksandria"/>
    <x v="1"/>
    <x v="0"/>
    <n v="5"/>
    <n v="37"/>
    <x v="27"/>
  </r>
  <r>
    <d v="2018-04-17T00:00:00"/>
    <s v="Aleksandria"/>
    <x v="4"/>
    <x v="1"/>
    <n v="1"/>
    <n v="32"/>
    <x v="27"/>
  </r>
  <r>
    <d v="2018-04-17T00:00:00"/>
    <s v="Aleksandria"/>
    <x v="2"/>
    <x v="0"/>
    <n v="34"/>
    <n v="7"/>
    <x v="27"/>
  </r>
  <r>
    <d v="2018-04-17T00:00:00"/>
    <s v="Aleksandria"/>
    <x v="0"/>
    <x v="0"/>
    <n v="29"/>
    <n v="59"/>
    <x v="27"/>
  </r>
  <r>
    <d v="2018-05-08T00:00:00"/>
    <s v="Bejrut"/>
    <x v="3"/>
    <x v="0"/>
    <n v="34"/>
    <n v="24"/>
    <x v="28"/>
  </r>
  <r>
    <d v="2018-05-08T00:00:00"/>
    <s v="Bejrut"/>
    <x v="4"/>
    <x v="0"/>
    <n v="27"/>
    <n v="20"/>
    <x v="28"/>
  </r>
  <r>
    <d v="2018-05-08T00:00:00"/>
    <s v="Bejrut"/>
    <x v="2"/>
    <x v="0"/>
    <n v="40"/>
    <n v="8"/>
    <x v="28"/>
  </r>
  <r>
    <d v="2018-06-01T00:00:00"/>
    <s v="Palermo"/>
    <x v="0"/>
    <x v="1"/>
    <n v="184"/>
    <n v="99"/>
    <x v="29"/>
  </r>
  <r>
    <d v="2018-06-01T00:00:00"/>
    <s v="Palermo"/>
    <x v="1"/>
    <x v="0"/>
    <n v="48"/>
    <n v="38"/>
    <x v="29"/>
  </r>
  <r>
    <d v="2018-06-01T00:00:00"/>
    <s v="Palermo"/>
    <x v="3"/>
    <x v="0"/>
    <n v="21"/>
    <n v="23"/>
    <x v="29"/>
  </r>
  <r>
    <d v="2018-06-19T00:00:00"/>
    <s v="Neapol"/>
    <x v="0"/>
    <x v="0"/>
    <n v="47"/>
    <n v="66"/>
    <x v="29"/>
  </r>
  <r>
    <d v="2018-06-19T00:00:00"/>
    <s v="Neapol"/>
    <x v="3"/>
    <x v="0"/>
    <n v="6"/>
    <n v="25"/>
    <x v="29"/>
  </r>
  <r>
    <d v="2018-06-19T00:00:00"/>
    <s v="Neapol"/>
    <x v="1"/>
    <x v="0"/>
    <n v="47"/>
    <n v="41"/>
    <x v="29"/>
  </r>
  <r>
    <d v="2018-07-11T00:00:00"/>
    <s v="Monako"/>
    <x v="2"/>
    <x v="1"/>
    <n v="192"/>
    <n v="12"/>
    <x v="30"/>
  </r>
  <r>
    <d v="2018-07-11T00:00:00"/>
    <s v="Monako"/>
    <x v="3"/>
    <x v="1"/>
    <n v="48"/>
    <n v="37"/>
    <x v="30"/>
  </r>
  <r>
    <d v="2018-07-11T00:00:00"/>
    <s v="Monako"/>
    <x v="0"/>
    <x v="0"/>
    <n v="18"/>
    <n v="62"/>
    <x v="30"/>
  </r>
  <r>
    <d v="2018-07-11T00:00:00"/>
    <s v="Monako"/>
    <x v="1"/>
    <x v="0"/>
    <n v="25"/>
    <n v="39"/>
    <x v="30"/>
  </r>
  <r>
    <d v="2018-07-11T00:00:00"/>
    <s v="Monako"/>
    <x v="4"/>
    <x v="0"/>
    <n v="2"/>
    <n v="20"/>
    <x v="30"/>
  </r>
  <r>
    <d v="2018-08-05T00:00:00"/>
    <s v="Barcelona"/>
    <x v="3"/>
    <x v="1"/>
    <n v="13"/>
    <n v="38"/>
    <x v="31"/>
  </r>
  <r>
    <d v="2018-08-05T00:00:00"/>
    <s v="Barcelona"/>
    <x v="1"/>
    <x v="1"/>
    <n v="121"/>
    <n v="63"/>
    <x v="31"/>
  </r>
  <r>
    <d v="2018-08-05T00:00:00"/>
    <s v="Barcelona"/>
    <x v="4"/>
    <x v="0"/>
    <n v="30"/>
    <n v="19"/>
    <x v="31"/>
  </r>
  <r>
    <d v="2018-08-05T00:00:00"/>
    <s v="Barcelona"/>
    <x v="2"/>
    <x v="0"/>
    <n v="46"/>
    <n v="8"/>
    <x v="31"/>
  </r>
  <r>
    <d v="2018-08-18T00:00:00"/>
    <s v="Walencja"/>
    <x v="2"/>
    <x v="1"/>
    <n v="49"/>
    <n v="11"/>
    <x v="31"/>
  </r>
  <r>
    <d v="2018-08-18T00:00:00"/>
    <s v="Walencja"/>
    <x v="0"/>
    <x v="1"/>
    <n v="61"/>
    <n v="90"/>
    <x v="31"/>
  </r>
  <r>
    <d v="2018-08-18T00:00:00"/>
    <s v="Walencja"/>
    <x v="4"/>
    <x v="0"/>
    <n v="19"/>
    <n v="22"/>
    <x v="31"/>
  </r>
  <r>
    <d v="2018-08-18T00:00:00"/>
    <s v="Walencja"/>
    <x v="1"/>
    <x v="0"/>
    <n v="22"/>
    <n v="44"/>
    <x v="31"/>
  </r>
  <r>
    <d v="2018-09-04T00:00:00"/>
    <s v="Algier"/>
    <x v="3"/>
    <x v="0"/>
    <n v="9"/>
    <n v="25"/>
    <x v="32"/>
  </r>
  <r>
    <d v="2018-09-04T00:00:00"/>
    <s v="Algier"/>
    <x v="0"/>
    <x v="1"/>
    <n v="4"/>
    <n v="94"/>
    <x v="32"/>
  </r>
  <r>
    <d v="2018-09-04T00:00:00"/>
    <s v="Algier"/>
    <x v="4"/>
    <x v="0"/>
    <n v="8"/>
    <n v="21"/>
    <x v="32"/>
  </r>
  <r>
    <d v="2018-09-04T00:00:00"/>
    <s v="Algier"/>
    <x v="2"/>
    <x v="0"/>
    <n v="47"/>
    <n v="8"/>
    <x v="32"/>
  </r>
  <r>
    <d v="2018-09-19T00:00:00"/>
    <s v="Tunis"/>
    <x v="4"/>
    <x v="1"/>
    <n v="82"/>
    <n v="29"/>
    <x v="32"/>
  </r>
  <r>
    <d v="2018-09-19T00:00:00"/>
    <s v="Tunis"/>
    <x v="1"/>
    <x v="1"/>
    <n v="26"/>
    <n v="58"/>
    <x v="32"/>
  </r>
  <r>
    <d v="2018-09-19T00:00:00"/>
    <s v="Tunis"/>
    <x v="2"/>
    <x v="0"/>
    <n v="24"/>
    <n v="9"/>
    <x v="32"/>
  </r>
  <r>
    <d v="2018-09-19T00:00:00"/>
    <s v="Tunis"/>
    <x v="3"/>
    <x v="0"/>
    <n v="36"/>
    <n v="26"/>
    <x v="32"/>
  </r>
  <r>
    <d v="2018-09-19T00:00:00"/>
    <s v="Tunis"/>
    <x v="0"/>
    <x v="0"/>
    <n v="6"/>
    <n v="68"/>
    <x v="32"/>
  </r>
  <r>
    <d v="2018-10-08T00:00:00"/>
    <s v="Benghazi"/>
    <x v="3"/>
    <x v="1"/>
    <n v="45"/>
    <n v="36"/>
    <x v="33"/>
  </r>
  <r>
    <d v="2018-10-08T00:00:00"/>
    <s v="Benghazi"/>
    <x v="2"/>
    <x v="0"/>
    <n v="18"/>
    <n v="8"/>
    <x v="33"/>
  </r>
  <r>
    <d v="2018-10-08T00:00:00"/>
    <s v="Benghazi"/>
    <x v="1"/>
    <x v="0"/>
    <n v="20"/>
    <n v="41"/>
    <x v="33"/>
  </r>
  <r>
    <d v="2018-11-03T00:00:00"/>
    <s v="Aleksandria"/>
    <x v="4"/>
    <x v="1"/>
    <n v="4"/>
    <n v="32"/>
    <x v="34"/>
  </r>
  <r>
    <d v="2018-11-03T00:00:00"/>
    <s v="Aleksandria"/>
    <x v="1"/>
    <x v="0"/>
    <n v="48"/>
    <n v="37"/>
    <x v="34"/>
  </r>
  <r>
    <d v="2018-11-24T00:00:00"/>
    <s v="Bejrut"/>
    <x v="1"/>
    <x v="1"/>
    <n v="64"/>
    <n v="61"/>
    <x v="34"/>
  </r>
  <r>
    <d v="2018-11-24T00:00:00"/>
    <s v="Bejrut"/>
    <x v="0"/>
    <x v="0"/>
    <n v="43"/>
    <n v="63"/>
    <x v="34"/>
  </r>
  <r>
    <d v="2018-11-24T00:00:00"/>
    <s v="Bejrut"/>
    <x v="3"/>
    <x v="0"/>
    <n v="24"/>
    <n v="24"/>
    <x v="34"/>
  </r>
  <r>
    <d v="2018-12-18T00:00:00"/>
    <s v="Palermo"/>
    <x v="1"/>
    <x v="1"/>
    <n v="4"/>
    <n v="62"/>
    <x v="35"/>
  </r>
  <r>
    <d v="2018-12-18T00:00:00"/>
    <s v="Palermo"/>
    <x v="4"/>
    <x v="0"/>
    <n v="35"/>
    <n v="19"/>
    <x v="35"/>
  </r>
  <r>
    <d v="2018-12-18T00:00:00"/>
    <s v="Palermo"/>
    <x v="2"/>
    <x v="0"/>
    <n v="41"/>
    <n v="8"/>
    <x v="35"/>
  </r>
  <r>
    <d v="2018-12-18T00:00:00"/>
    <s v="Palermo"/>
    <x v="0"/>
    <x v="0"/>
    <n v="23"/>
    <n v="61"/>
    <x v="35"/>
  </r>
  <r>
    <d v="2018-12-18T00:00:00"/>
    <s v="Palermo"/>
    <x v="3"/>
    <x v="0"/>
    <n v="46"/>
    <n v="23"/>
    <x v="35"/>
  </r>
  <r>
    <m/>
    <m/>
    <x v="5"/>
    <x v="2"/>
    <m/>
    <m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Towar">
  <location ref="A3:C9" firstHeaderRow="0" firstDataRow="1" firstDataCol="1" rowPageCount="1" colPageCount="1"/>
  <pivotFields count="6">
    <pivotField numFmtId="14" showAll="0"/>
    <pivotField showAll="0"/>
    <pivotField axis="axisRow" dataField="1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 v="3"/>
    </i>
    <i>
      <x v="4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Liczba załadunków" fld="2" subtotal="count" baseField="0" baseItem="0"/>
    <dataField name="Suma załadunków" fld="4" baseField="0" baseItem="0"/>
  </dataFields>
  <formats count="3">
    <format dxfId="2">
      <pivotArea collapsedLevelsAreSubtotals="1" fieldPosition="0">
        <references count="1">
          <reference field="2" count="1">
            <x v="3"/>
          </reference>
        </references>
      </pivotArea>
    </format>
    <format dxfId="1">
      <pivotArea dataOnly="0" labelOnly="1" fieldPosition="0">
        <references count="1">
          <reference field="2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4" cacheId="17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 rowHeaderCaption="Miesiąc">
  <location ref="J3:M35" firstHeaderRow="1" firstDataRow="2" firstDataCol="1" rowPageCount="1" colPageCount="1"/>
  <pivotFields count="7">
    <pivotField showAll="0"/>
    <pivotField showAll="0"/>
    <pivotField axis="axisPage" multipleItemSelectionAllowed="1" showAll="0">
      <items count="7">
        <item h="1" x="2"/>
        <item h="1" x="3"/>
        <item h="1" x="4"/>
        <item h="1" x="0"/>
        <item x="1"/>
        <item h="1" x="5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dataField="1" showAll="0"/>
    <pivotField showAll="0"/>
    <pivotField axis="axisRow" showAll="0">
      <items count="38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x="12"/>
        <item x="21"/>
        <item x="22"/>
        <item x="23"/>
        <item x="13"/>
        <item x="14"/>
        <item x="15"/>
        <item x="16"/>
        <item x="17"/>
        <item x="18"/>
        <item x="19"/>
        <item x="20"/>
        <item x="24"/>
        <item x="33"/>
        <item x="34"/>
        <item x="35"/>
        <item x="25"/>
        <item x="26"/>
        <item x="27"/>
        <item x="28"/>
        <item x="29"/>
        <item x="30"/>
        <item x="31"/>
        <item x="32"/>
        <item x="36"/>
        <item t="default"/>
      </items>
    </pivotField>
  </pivotFields>
  <rowFields count="1">
    <field x="6"/>
  </rowFields>
  <rowItems count="31">
    <i>
      <x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a z ile ton" fld="4" baseField="6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tatek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tatek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statek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tatek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statek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8" sqref="E8"/>
    </sheetView>
  </sheetViews>
  <sheetFormatPr defaultRowHeight="15" x14ac:dyDescent="0.25"/>
  <cols>
    <col min="1" max="1" width="17.7109375" bestFit="1" customWidth="1"/>
    <col min="2" max="2" width="13.28515625" bestFit="1" customWidth="1"/>
    <col min="3" max="3" width="13.42578125" bestFit="1" customWidth="1"/>
  </cols>
  <sheetData>
    <row r="1" spans="1:3" x14ac:dyDescent="0.25">
      <c r="A1" s="2" t="s">
        <v>3</v>
      </c>
      <c r="B1" t="s">
        <v>8</v>
      </c>
    </row>
    <row r="3" spans="1:3" x14ac:dyDescent="0.25">
      <c r="A3" s="2" t="s">
        <v>26</v>
      </c>
      <c r="B3" t="s">
        <v>24</v>
      </c>
      <c r="C3" t="s">
        <v>25</v>
      </c>
    </row>
    <row r="4" spans="1:3" x14ac:dyDescent="0.25">
      <c r="A4" s="5" t="s">
        <v>7</v>
      </c>
      <c r="B4" s="7">
        <v>32</v>
      </c>
      <c r="C4" s="6">
        <v>905</v>
      </c>
    </row>
    <row r="5" spans="1:3" x14ac:dyDescent="0.25">
      <c r="A5" s="3" t="s">
        <v>9</v>
      </c>
      <c r="B5" s="4">
        <v>27</v>
      </c>
      <c r="C5" s="4">
        <v>784</v>
      </c>
    </row>
    <row r="6" spans="1:3" x14ac:dyDescent="0.25">
      <c r="A6" s="3" t="s">
        <v>12</v>
      </c>
      <c r="B6" s="4">
        <v>27</v>
      </c>
      <c r="C6" s="4">
        <v>633</v>
      </c>
    </row>
    <row r="7" spans="1:3" x14ac:dyDescent="0.25">
      <c r="A7" s="3" t="s">
        <v>10</v>
      </c>
      <c r="B7" s="4">
        <v>25</v>
      </c>
      <c r="C7" s="4">
        <v>620</v>
      </c>
    </row>
    <row r="8" spans="1:3" x14ac:dyDescent="0.25">
      <c r="A8" s="3" t="s">
        <v>11</v>
      </c>
      <c r="B8" s="4">
        <v>25</v>
      </c>
      <c r="C8" s="4">
        <v>483</v>
      </c>
    </row>
    <row r="9" spans="1:3" x14ac:dyDescent="0.25">
      <c r="A9" s="3" t="s">
        <v>23</v>
      </c>
      <c r="B9" s="4">
        <v>136</v>
      </c>
      <c r="C9" s="4">
        <v>3425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workbookViewId="0">
      <selection activeCell="F1" sqref="A1:F1048576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  <col min="7" max="7" width="12.570312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s="8" t="s">
        <v>28</v>
      </c>
    </row>
    <row r="2" spans="1:8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H2" s="8">
        <f>COUNTIF(G2:G203,"&gt;20")</f>
        <v>22</v>
      </c>
    </row>
    <row r="3" spans="1:8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A3-A2-1</f>
        <v>-1</v>
      </c>
    </row>
    <row r="4" spans="1:8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A4-A3-1</f>
        <v>-1</v>
      </c>
    </row>
    <row r="5" spans="1:8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-1</v>
      </c>
    </row>
    <row r="6" spans="1:8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-1</v>
      </c>
    </row>
    <row r="7" spans="1:8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14</v>
      </c>
    </row>
    <row r="8" spans="1:8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-1</v>
      </c>
    </row>
    <row r="9" spans="1:8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7</v>
      </c>
    </row>
    <row r="10" spans="1:8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-1</v>
      </c>
    </row>
    <row r="11" spans="1:8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-1</v>
      </c>
    </row>
    <row r="12" spans="1:8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25</v>
      </c>
    </row>
    <row r="13" spans="1:8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-1</v>
      </c>
    </row>
    <row r="14" spans="1:8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-1</v>
      </c>
    </row>
    <row r="15" spans="1:8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-1</v>
      </c>
    </row>
    <row r="16" spans="1:8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20</v>
      </c>
    </row>
    <row r="17" spans="1:7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-1</v>
      </c>
    </row>
    <row r="18" spans="1:7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-1</v>
      </c>
    </row>
    <row r="19" spans="1:7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-1</v>
      </c>
    </row>
    <row r="20" spans="1:7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23</v>
      </c>
    </row>
    <row r="21" spans="1:7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-1</v>
      </c>
    </row>
    <row r="22" spans="1:7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-1</v>
      </c>
    </row>
    <row r="23" spans="1:7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17</v>
      </c>
    </row>
    <row r="24" spans="1:7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-1</v>
      </c>
    </row>
    <row r="25" spans="1:7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-1</v>
      </c>
    </row>
    <row r="26" spans="1:7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21</v>
      </c>
    </row>
    <row r="27" spans="1:7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-1</v>
      </c>
    </row>
    <row r="28" spans="1:7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24</v>
      </c>
    </row>
    <row r="29" spans="1:7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-1</v>
      </c>
    </row>
    <row r="30" spans="1:7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-1</v>
      </c>
    </row>
    <row r="31" spans="1:7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-1</v>
      </c>
    </row>
    <row r="32" spans="1:7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12</v>
      </c>
    </row>
    <row r="33" spans="1:7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-1</v>
      </c>
    </row>
    <row r="34" spans="1:7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-1</v>
      </c>
    </row>
    <row r="35" spans="1:7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-1</v>
      </c>
    </row>
    <row r="36" spans="1:7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-1</v>
      </c>
    </row>
    <row r="37" spans="1:7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16</v>
      </c>
    </row>
    <row r="38" spans="1:7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-1</v>
      </c>
    </row>
    <row r="39" spans="1:7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-1</v>
      </c>
    </row>
    <row r="40" spans="1:7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-1</v>
      </c>
    </row>
    <row r="41" spans="1:7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14</v>
      </c>
    </row>
    <row r="42" spans="1:7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-1</v>
      </c>
    </row>
    <row r="43" spans="1:7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18</v>
      </c>
    </row>
    <row r="44" spans="1:7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-1</v>
      </c>
    </row>
    <row r="45" spans="1:7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-1</v>
      </c>
    </row>
    <row r="46" spans="1:7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25</v>
      </c>
    </row>
    <row r="47" spans="1:7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-1</v>
      </c>
    </row>
    <row r="48" spans="1:7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-1</v>
      </c>
    </row>
    <row r="49" spans="1:7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-1</v>
      </c>
    </row>
    <row r="50" spans="1:7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-1</v>
      </c>
    </row>
    <row r="51" spans="1:7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20</v>
      </c>
    </row>
    <row r="52" spans="1:7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-1</v>
      </c>
    </row>
    <row r="53" spans="1:7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-1</v>
      </c>
    </row>
    <row r="54" spans="1:7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-1</v>
      </c>
    </row>
    <row r="55" spans="1:7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-1</v>
      </c>
    </row>
    <row r="56" spans="1:7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23</v>
      </c>
    </row>
    <row r="57" spans="1:7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-1</v>
      </c>
    </row>
    <row r="58" spans="1:7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-1</v>
      </c>
    </row>
    <row r="59" spans="1:7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17</v>
      </c>
    </row>
    <row r="60" spans="1:7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-1</v>
      </c>
    </row>
    <row r="61" spans="1:7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-1</v>
      </c>
    </row>
    <row r="62" spans="1:7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21</v>
      </c>
    </row>
    <row r="63" spans="1:7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-1</v>
      </c>
    </row>
    <row r="64" spans="1:7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-1</v>
      </c>
    </row>
    <row r="65" spans="1:7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-1</v>
      </c>
    </row>
    <row r="66" spans="1:7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24</v>
      </c>
    </row>
    <row r="67" spans="1:7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-1</v>
      </c>
    </row>
    <row r="68" spans="1:7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1">A68-A67-1</f>
        <v>-1</v>
      </c>
    </row>
    <row r="69" spans="1:7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1"/>
        <v>12</v>
      </c>
    </row>
    <row r="70" spans="1:7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1"/>
        <v>-1</v>
      </c>
    </row>
    <row r="71" spans="1:7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1"/>
        <v>-1</v>
      </c>
    </row>
    <row r="72" spans="1:7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1"/>
        <v>-1</v>
      </c>
    </row>
    <row r="73" spans="1:7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1"/>
        <v>-1</v>
      </c>
    </row>
    <row r="74" spans="1:7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1"/>
        <v>16</v>
      </c>
    </row>
    <row r="75" spans="1:7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1"/>
        <v>-1</v>
      </c>
    </row>
    <row r="76" spans="1:7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1"/>
        <v>-1</v>
      </c>
    </row>
    <row r="77" spans="1:7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1"/>
        <v>14</v>
      </c>
    </row>
    <row r="78" spans="1:7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1"/>
        <v>-1</v>
      </c>
    </row>
    <row r="79" spans="1:7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1"/>
        <v>18</v>
      </c>
    </row>
    <row r="80" spans="1:7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1"/>
        <v>-1</v>
      </c>
    </row>
    <row r="81" spans="1:7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1"/>
        <v>-1</v>
      </c>
    </row>
    <row r="82" spans="1:7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1"/>
        <v>-1</v>
      </c>
    </row>
    <row r="83" spans="1:7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1"/>
        <v>25</v>
      </c>
    </row>
    <row r="84" spans="1:7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1"/>
        <v>-1</v>
      </c>
    </row>
    <row r="85" spans="1:7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1"/>
        <v>-1</v>
      </c>
    </row>
    <row r="86" spans="1:7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1"/>
        <v>20</v>
      </c>
    </row>
    <row r="87" spans="1:7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1"/>
        <v>-1</v>
      </c>
    </row>
    <row r="88" spans="1:7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1"/>
        <v>-1</v>
      </c>
    </row>
    <row r="89" spans="1:7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1"/>
        <v>-1</v>
      </c>
    </row>
    <row r="90" spans="1:7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1"/>
        <v>-1</v>
      </c>
    </row>
    <row r="91" spans="1:7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1"/>
        <v>23</v>
      </c>
    </row>
    <row r="92" spans="1:7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1"/>
        <v>-1</v>
      </c>
    </row>
    <row r="93" spans="1:7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1"/>
        <v>-1</v>
      </c>
    </row>
    <row r="94" spans="1:7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1"/>
        <v>-1</v>
      </c>
    </row>
    <row r="95" spans="1:7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1"/>
        <v>-1</v>
      </c>
    </row>
    <row r="96" spans="1:7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1"/>
        <v>17</v>
      </c>
    </row>
    <row r="97" spans="1:7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1"/>
        <v>-1</v>
      </c>
    </row>
    <row r="98" spans="1:7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1"/>
        <v>-1</v>
      </c>
    </row>
    <row r="99" spans="1:7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1"/>
        <v>-1</v>
      </c>
    </row>
    <row r="100" spans="1:7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1"/>
        <v>-1</v>
      </c>
    </row>
    <row r="101" spans="1:7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1"/>
        <v>21</v>
      </c>
    </row>
    <row r="102" spans="1:7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1"/>
        <v>-1</v>
      </c>
    </row>
    <row r="103" spans="1:7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1"/>
        <v>-1</v>
      </c>
    </row>
    <row r="104" spans="1:7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1"/>
        <v>-1</v>
      </c>
    </row>
    <row r="105" spans="1:7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1"/>
        <v>-1</v>
      </c>
    </row>
    <row r="106" spans="1:7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1"/>
        <v>24</v>
      </c>
    </row>
    <row r="107" spans="1:7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1"/>
        <v>-1</v>
      </c>
    </row>
    <row r="108" spans="1:7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1"/>
        <v>12</v>
      </c>
    </row>
    <row r="109" spans="1:7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1"/>
        <v>-1</v>
      </c>
    </row>
    <row r="110" spans="1:7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1"/>
        <v>-1</v>
      </c>
    </row>
    <row r="111" spans="1:7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1"/>
        <v>-1</v>
      </c>
    </row>
    <row r="112" spans="1:7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1"/>
        <v>-1</v>
      </c>
    </row>
    <row r="113" spans="1:7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1"/>
        <v>16</v>
      </c>
    </row>
    <row r="114" spans="1:7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1"/>
        <v>-1</v>
      </c>
    </row>
    <row r="115" spans="1:7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1"/>
        <v>-1</v>
      </c>
    </row>
    <row r="116" spans="1:7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1"/>
        <v>-1</v>
      </c>
    </row>
    <row r="117" spans="1:7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1"/>
        <v>14</v>
      </c>
    </row>
    <row r="118" spans="1:7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1"/>
        <v>-1</v>
      </c>
    </row>
    <row r="119" spans="1:7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1"/>
        <v>-1</v>
      </c>
    </row>
    <row r="120" spans="1:7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1"/>
        <v>-1</v>
      </c>
    </row>
    <row r="121" spans="1:7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1"/>
        <v>18</v>
      </c>
    </row>
    <row r="122" spans="1:7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1"/>
        <v>-1</v>
      </c>
    </row>
    <row r="123" spans="1:7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1"/>
        <v>25</v>
      </c>
    </row>
    <row r="124" spans="1:7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1"/>
        <v>-1</v>
      </c>
    </row>
    <row r="125" spans="1:7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1"/>
        <v>20</v>
      </c>
    </row>
    <row r="126" spans="1:7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1"/>
        <v>-1</v>
      </c>
    </row>
    <row r="127" spans="1:7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1"/>
        <v>-1</v>
      </c>
    </row>
    <row r="128" spans="1:7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1"/>
        <v>-1</v>
      </c>
    </row>
    <row r="129" spans="1:7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1"/>
        <v>-1</v>
      </c>
    </row>
    <row r="130" spans="1:7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1"/>
        <v>23</v>
      </c>
    </row>
    <row r="131" spans="1:7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1"/>
        <v>-1</v>
      </c>
    </row>
    <row r="132" spans="1:7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2">A132-A131-1</f>
        <v>17</v>
      </c>
    </row>
    <row r="133" spans="1:7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2"/>
        <v>-1</v>
      </c>
    </row>
    <row r="134" spans="1:7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2"/>
        <v>-1</v>
      </c>
    </row>
    <row r="135" spans="1:7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2"/>
        <v>21</v>
      </c>
    </row>
    <row r="136" spans="1:7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2"/>
        <v>-1</v>
      </c>
    </row>
    <row r="137" spans="1:7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2"/>
        <v>-1</v>
      </c>
    </row>
    <row r="138" spans="1:7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2"/>
        <v>-1</v>
      </c>
    </row>
    <row r="139" spans="1:7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2"/>
        <v>24</v>
      </c>
    </row>
    <row r="140" spans="1:7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2"/>
        <v>-1</v>
      </c>
    </row>
    <row r="141" spans="1:7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2"/>
        <v>-1</v>
      </c>
    </row>
    <row r="142" spans="1:7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2"/>
        <v>-1</v>
      </c>
    </row>
    <row r="143" spans="1:7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2"/>
        <v>-1</v>
      </c>
    </row>
    <row r="144" spans="1:7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2"/>
        <v>0</v>
      </c>
    </row>
    <row r="145" spans="1:7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2"/>
        <v>-1</v>
      </c>
    </row>
    <row r="146" spans="1:7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2"/>
        <v>16</v>
      </c>
    </row>
    <row r="147" spans="1:7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2"/>
        <v>-1</v>
      </c>
    </row>
    <row r="148" spans="1:7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2"/>
        <v>-1</v>
      </c>
    </row>
    <row r="149" spans="1:7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2"/>
        <v>-1</v>
      </c>
    </row>
    <row r="150" spans="1:7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2"/>
        <v>-1</v>
      </c>
    </row>
    <row r="151" spans="1:7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2"/>
        <v>14</v>
      </c>
    </row>
    <row r="152" spans="1:7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2"/>
        <v>-1</v>
      </c>
    </row>
    <row r="153" spans="1:7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2"/>
        <v>18</v>
      </c>
    </row>
    <row r="154" spans="1:7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2"/>
        <v>-1</v>
      </c>
    </row>
    <row r="155" spans="1:7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2"/>
        <v>-1</v>
      </c>
    </row>
    <row r="156" spans="1:7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2"/>
        <v>25</v>
      </c>
    </row>
    <row r="157" spans="1:7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2"/>
        <v>-1</v>
      </c>
    </row>
    <row r="158" spans="1:7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2"/>
        <v>-1</v>
      </c>
    </row>
    <row r="159" spans="1:7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2"/>
        <v>-1</v>
      </c>
    </row>
    <row r="160" spans="1:7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2"/>
        <v>20</v>
      </c>
    </row>
    <row r="161" spans="1:7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2"/>
        <v>-1</v>
      </c>
    </row>
    <row r="162" spans="1:7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2"/>
        <v>-1</v>
      </c>
    </row>
    <row r="163" spans="1:7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2"/>
        <v>23</v>
      </c>
    </row>
    <row r="164" spans="1:7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2"/>
        <v>-1</v>
      </c>
    </row>
    <row r="165" spans="1:7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2"/>
        <v>-1</v>
      </c>
    </row>
    <row r="166" spans="1:7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2"/>
        <v>17</v>
      </c>
    </row>
    <row r="167" spans="1:7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2"/>
        <v>-1</v>
      </c>
    </row>
    <row r="168" spans="1:7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2"/>
        <v>-1</v>
      </c>
    </row>
    <row r="169" spans="1:7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2"/>
        <v>21</v>
      </c>
    </row>
    <row r="170" spans="1:7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2"/>
        <v>-1</v>
      </c>
    </row>
    <row r="171" spans="1:7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2"/>
        <v>-1</v>
      </c>
    </row>
    <row r="172" spans="1:7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2"/>
        <v>-1</v>
      </c>
    </row>
    <row r="173" spans="1:7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2"/>
        <v>-1</v>
      </c>
    </row>
    <row r="174" spans="1:7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2"/>
        <v>24</v>
      </c>
    </row>
    <row r="175" spans="1:7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2"/>
        <v>-1</v>
      </c>
    </row>
    <row r="176" spans="1:7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2"/>
        <v>-1</v>
      </c>
    </row>
    <row r="177" spans="1:7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2"/>
        <v>-1</v>
      </c>
    </row>
    <row r="178" spans="1:7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2"/>
        <v>12</v>
      </c>
    </row>
    <row r="179" spans="1:7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2"/>
        <v>-1</v>
      </c>
    </row>
    <row r="180" spans="1:7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2"/>
        <v>-1</v>
      </c>
    </row>
    <row r="181" spans="1:7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2"/>
        <v>-1</v>
      </c>
    </row>
    <row r="182" spans="1:7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2"/>
        <v>16</v>
      </c>
    </row>
    <row r="183" spans="1:7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2"/>
        <v>-1</v>
      </c>
    </row>
    <row r="184" spans="1:7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2"/>
        <v>-1</v>
      </c>
    </row>
    <row r="185" spans="1:7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2"/>
        <v>-1</v>
      </c>
    </row>
    <row r="186" spans="1:7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2"/>
        <v>14</v>
      </c>
    </row>
    <row r="187" spans="1:7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2"/>
        <v>-1</v>
      </c>
    </row>
    <row r="188" spans="1:7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2"/>
        <v>-1</v>
      </c>
    </row>
    <row r="189" spans="1:7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2"/>
        <v>-1</v>
      </c>
    </row>
    <row r="190" spans="1:7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2"/>
        <v>-1</v>
      </c>
    </row>
    <row r="191" spans="1:7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2"/>
        <v>18</v>
      </c>
    </row>
    <row r="192" spans="1:7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2"/>
        <v>-1</v>
      </c>
    </row>
    <row r="193" spans="1:7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2"/>
        <v>-1</v>
      </c>
    </row>
    <row r="194" spans="1:7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2"/>
        <v>25</v>
      </c>
    </row>
    <row r="195" spans="1:7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2"/>
        <v>-1</v>
      </c>
    </row>
    <row r="196" spans="1:7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3">A196-A195-1</f>
        <v>20</v>
      </c>
    </row>
    <row r="197" spans="1:7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3"/>
        <v>-1</v>
      </c>
    </row>
    <row r="198" spans="1:7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3"/>
        <v>-1</v>
      </c>
    </row>
    <row r="199" spans="1:7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3"/>
        <v>23</v>
      </c>
    </row>
    <row r="200" spans="1:7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3"/>
        <v>-1</v>
      </c>
    </row>
    <row r="201" spans="1:7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3"/>
        <v>-1</v>
      </c>
    </row>
    <row r="202" spans="1:7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3"/>
        <v>-1</v>
      </c>
    </row>
    <row r="203" spans="1:7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3"/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3"/>
  <sheetViews>
    <sheetView topLeftCell="C2" zoomScaleNormal="100" workbookViewId="0">
      <selection activeCell="O2" sqref="O2"/>
    </sheetView>
  </sheetViews>
  <sheetFormatPr defaultRowHeight="15" x14ac:dyDescent="0.25"/>
  <cols>
    <col min="1" max="1" width="13.140625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  <col min="13" max="14" width="10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7</v>
      </c>
      <c r="K1" t="s">
        <v>9</v>
      </c>
    </row>
    <row r="2" spans="1:23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H2">
        <v>0</v>
      </c>
      <c r="I2">
        <v>0</v>
      </c>
      <c r="J2">
        <v>3</v>
      </c>
      <c r="K2">
        <v>0</v>
      </c>
    </row>
    <row r="3" spans="1:23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IF($C3="T1",G2+$E3*IF($D3="Z",1,-1),G2)</f>
        <v>0</v>
      </c>
      <c r="H3">
        <f>IF($C3="T2",H2+$E3*IF($D3="Z",1,-1),H2)</f>
        <v>0</v>
      </c>
      <c r="I3">
        <f>IF($C3="T3",I2+$E3*IF($D3="Z",1,-1),I2)</f>
        <v>0</v>
      </c>
      <c r="J3">
        <f>IF($C3="T4",J2+$E3*IF($D3="Z",1,-1),J2)</f>
        <v>3</v>
      </c>
      <c r="K3">
        <f>IF($C3="T5",K2+$E3*IF($D3="Z",1,-1),K2)</f>
        <v>32</v>
      </c>
      <c r="L3" s="8"/>
      <c r="M3" s="9">
        <v>42401</v>
      </c>
      <c r="N3" s="9">
        <v>43313</v>
      </c>
    </row>
    <row r="4" spans="1:23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IF($C4="T1",G3+$E4*IF($D4="Z",1,-1),G3)</f>
        <v>38</v>
      </c>
      <c r="H4">
        <f t="shared" ref="H4:H67" si="1">IF($C4="T2",H3+$E4*IF($D4="Z",1,-1),H3)</f>
        <v>0</v>
      </c>
      <c r="I4">
        <f t="shared" ref="I4:I67" si="2">IF($C4="T3",I3+$E4*IF($D4="Z",1,-1),I3)</f>
        <v>0</v>
      </c>
      <c r="J4">
        <f t="shared" ref="J4:J67" si="3">IF($C4="T4",J3+$E4*IF($D4="Z",1,-1),J3)</f>
        <v>3</v>
      </c>
      <c r="K4">
        <f t="shared" ref="K4:K67" si="4">IF($C4="T5",K3+$E4*IF($D4="Z",1,-1),K3)</f>
        <v>32</v>
      </c>
      <c r="L4" s="8" t="s">
        <v>29</v>
      </c>
      <c r="M4" s="8" t="s">
        <v>11</v>
      </c>
      <c r="N4" s="8" t="s">
        <v>9</v>
      </c>
    </row>
    <row r="5" spans="1:23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38</v>
      </c>
      <c r="H5">
        <f t="shared" si="1"/>
        <v>33</v>
      </c>
      <c r="I5">
        <f t="shared" si="2"/>
        <v>0</v>
      </c>
      <c r="J5">
        <f t="shared" si="3"/>
        <v>3</v>
      </c>
      <c r="K5">
        <f t="shared" si="4"/>
        <v>32</v>
      </c>
      <c r="L5" s="8"/>
      <c r="M5" s="8">
        <f>MAX(G11:K11)</f>
        <v>48</v>
      </c>
      <c r="N5" s="8">
        <f>MAX(S9:W9)</f>
        <v>125</v>
      </c>
    </row>
    <row r="6" spans="1:23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38</v>
      </c>
      <c r="H6">
        <f t="shared" si="1"/>
        <v>33</v>
      </c>
      <c r="I6">
        <f t="shared" si="2"/>
        <v>43</v>
      </c>
      <c r="J6">
        <f t="shared" si="3"/>
        <v>3</v>
      </c>
      <c r="K6">
        <f t="shared" si="4"/>
        <v>32</v>
      </c>
      <c r="L6" s="8" t="s">
        <v>30</v>
      </c>
      <c r="M6" s="8" t="s">
        <v>7</v>
      </c>
      <c r="N6" s="8" t="s">
        <v>10</v>
      </c>
    </row>
    <row r="7" spans="1:23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38</v>
      </c>
      <c r="H7">
        <f t="shared" si="1"/>
        <v>33</v>
      </c>
      <c r="I7">
        <f t="shared" si="2"/>
        <v>43</v>
      </c>
      <c r="J7">
        <f t="shared" si="3"/>
        <v>3</v>
      </c>
      <c r="K7">
        <f t="shared" si="4"/>
        <v>0</v>
      </c>
      <c r="L7" s="8"/>
      <c r="M7" s="8">
        <f>MIN(G11:K11)</f>
        <v>24</v>
      </c>
      <c r="N7" s="8">
        <f>MIN(S9:W9)</f>
        <v>3</v>
      </c>
    </row>
    <row r="8" spans="1:23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38</v>
      </c>
      <c r="H8">
        <f t="shared" si="1"/>
        <v>47</v>
      </c>
      <c r="I8">
        <f t="shared" si="2"/>
        <v>43</v>
      </c>
      <c r="J8">
        <f t="shared" si="3"/>
        <v>3</v>
      </c>
      <c r="K8">
        <f t="shared" si="4"/>
        <v>0</v>
      </c>
      <c r="S8" t="s">
        <v>10</v>
      </c>
      <c r="T8" t="s">
        <v>11</v>
      </c>
      <c r="U8" t="s">
        <v>12</v>
      </c>
      <c r="V8" t="s">
        <v>7</v>
      </c>
      <c r="W8" t="s">
        <v>9</v>
      </c>
    </row>
    <row r="9" spans="1:23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38</v>
      </c>
      <c r="H9">
        <f t="shared" si="1"/>
        <v>47</v>
      </c>
      <c r="I9">
        <f t="shared" si="2"/>
        <v>43</v>
      </c>
      <c r="J9">
        <f t="shared" si="3"/>
        <v>3</v>
      </c>
      <c r="K9">
        <f t="shared" si="4"/>
        <v>44</v>
      </c>
      <c r="M9">
        <v>43292</v>
      </c>
      <c r="N9" t="s">
        <v>20</v>
      </c>
      <c r="O9" t="s">
        <v>12</v>
      </c>
      <c r="P9" t="s">
        <v>8</v>
      </c>
      <c r="Q9">
        <v>2</v>
      </c>
      <c r="R9">
        <v>20</v>
      </c>
      <c r="S9">
        <v>3</v>
      </c>
      <c r="T9">
        <v>13</v>
      </c>
      <c r="U9">
        <v>29</v>
      </c>
      <c r="V9">
        <v>65</v>
      </c>
      <c r="W9">
        <v>125</v>
      </c>
    </row>
    <row r="10" spans="1:23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38</v>
      </c>
      <c r="H10">
        <f t="shared" si="1"/>
        <v>48</v>
      </c>
      <c r="I10">
        <f t="shared" si="2"/>
        <v>43</v>
      </c>
      <c r="J10">
        <f t="shared" si="3"/>
        <v>3</v>
      </c>
      <c r="K10">
        <f t="shared" si="4"/>
        <v>44</v>
      </c>
    </row>
    <row r="11" spans="1:23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38</v>
      </c>
      <c r="H11">
        <f t="shared" si="1"/>
        <v>48</v>
      </c>
      <c r="I11">
        <f t="shared" si="2"/>
        <v>43</v>
      </c>
      <c r="J11">
        <f t="shared" si="3"/>
        <v>24</v>
      </c>
      <c r="K11">
        <f t="shared" si="4"/>
        <v>44</v>
      </c>
    </row>
    <row r="12" spans="1:23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38</v>
      </c>
      <c r="H12">
        <f t="shared" si="1"/>
        <v>48</v>
      </c>
      <c r="I12">
        <f t="shared" si="2"/>
        <v>0</v>
      </c>
      <c r="J12">
        <f t="shared" si="3"/>
        <v>24</v>
      </c>
      <c r="K12">
        <f t="shared" si="4"/>
        <v>44</v>
      </c>
    </row>
    <row r="13" spans="1:2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0</v>
      </c>
      <c r="H13">
        <f t="shared" si="1"/>
        <v>48</v>
      </c>
      <c r="I13">
        <f t="shared" si="2"/>
        <v>0</v>
      </c>
      <c r="J13">
        <f t="shared" si="3"/>
        <v>24</v>
      </c>
      <c r="K13">
        <f t="shared" si="4"/>
        <v>44</v>
      </c>
    </row>
    <row r="14" spans="1:2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0</v>
      </c>
      <c r="H14">
        <f t="shared" si="1"/>
        <v>48</v>
      </c>
      <c r="I14">
        <f t="shared" si="2"/>
        <v>0</v>
      </c>
      <c r="J14">
        <f t="shared" si="3"/>
        <v>33</v>
      </c>
      <c r="K14">
        <f t="shared" si="4"/>
        <v>44</v>
      </c>
    </row>
    <row r="15" spans="1:2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0</v>
      </c>
      <c r="H15">
        <f t="shared" si="1"/>
        <v>48</v>
      </c>
      <c r="I15">
        <f t="shared" si="2"/>
        <v>0</v>
      </c>
      <c r="J15">
        <f t="shared" si="3"/>
        <v>33</v>
      </c>
      <c r="K15">
        <f t="shared" si="4"/>
        <v>52</v>
      </c>
    </row>
    <row r="16" spans="1:2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0</v>
      </c>
      <c r="H16">
        <f t="shared" si="1"/>
        <v>48</v>
      </c>
      <c r="I16">
        <f t="shared" si="2"/>
        <v>0</v>
      </c>
      <c r="J16">
        <f t="shared" si="3"/>
        <v>33</v>
      </c>
      <c r="K16">
        <f t="shared" si="4"/>
        <v>2</v>
      </c>
    </row>
    <row r="17" spans="1:11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0</v>
      </c>
      <c r="H17">
        <f t="shared" si="1"/>
        <v>48</v>
      </c>
      <c r="I17">
        <f t="shared" si="2"/>
        <v>32</v>
      </c>
      <c r="J17">
        <f t="shared" si="3"/>
        <v>33</v>
      </c>
      <c r="K17">
        <f t="shared" si="4"/>
        <v>2</v>
      </c>
    </row>
    <row r="18" spans="1:11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7</v>
      </c>
      <c r="H18">
        <f t="shared" si="1"/>
        <v>48</v>
      </c>
      <c r="I18">
        <f t="shared" si="2"/>
        <v>32</v>
      </c>
      <c r="J18">
        <f t="shared" si="3"/>
        <v>33</v>
      </c>
      <c r="K18">
        <f t="shared" si="4"/>
        <v>2</v>
      </c>
    </row>
    <row r="19" spans="1:11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7</v>
      </c>
      <c r="H19">
        <f t="shared" si="1"/>
        <v>58</v>
      </c>
      <c r="I19">
        <f t="shared" si="2"/>
        <v>32</v>
      </c>
      <c r="J19">
        <f t="shared" si="3"/>
        <v>33</v>
      </c>
      <c r="K19">
        <f t="shared" si="4"/>
        <v>2</v>
      </c>
    </row>
    <row r="20" spans="1:11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0</v>
      </c>
      <c r="H20">
        <f t="shared" si="1"/>
        <v>58</v>
      </c>
      <c r="I20">
        <f t="shared" si="2"/>
        <v>32</v>
      </c>
      <c r="J20">
        <f t="shared" si="3"/>
        <v>33</v>
      </c>
      <c r="K20">
        <f t="shared" si="4"/>
        <v>2</v>
      </c>
    </row>
    <row r="21" spans="1:11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0</v>
      </c>
      <c r="H21">
        <f t="shared" si="1"/>
        <v>58</v>
      </c>
      <c r="I21">
        <f t="shared" si="2"/>
        <v>57</v>
      </c>
      <c r="J21">
        <f t="shared" si="3"/>
        <v>33</v>
      </c>
      <c r="K21">
        <f t="shared" si="4"/>
        <v>2</v>
      </c>
    </row>
    <row r="22" spans="1:11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0</v>
      </c>
      <c r="H22">
        <f t="shared" si="1"/>
        <v>58</v>
      </c>
      <c r="I22">
        <f t="shared" si="2"/>
        <v>57</v>
      </c>
      <c r="J22">
        <f t="shared" si="3"/>
        <v>33</v>
      </c>
      <c r="K22">
        <f t="shared" si="4"/>
        <v>35</v>
      </c>
    </row>
    <row r="23" spans="1:11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0</v>
      </c>
      <c r="H23">
        <f t="shared" si="1"/>
        <v>22</v>
      </c>
      <c r="I23">
        <f t="shared" si="2"/>
        <v>57</v>
      </c>
      <c r="J23">
        <f t="shared" si="3"/>
        <v>33</v>
      </c>
      <c r="K23">
        <f t="shared" si="4"/>
        <v>35</v>
      </c>
    </row>
    <row r="24" spans="1:11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0</v>
      </c>
      <c r="H24">
        <f t="shared" si="1"/>
        <v>22</v>
      </c>
      <c r="I24">
        <f t="shared" si="2"/>
        <v>57</v>
      </c>
      <c r="J24">
        <f t="shared" si="3"/>
        <v>38</v>
      </c>
      <c r="K24">
        <f t="shared" si="4"/>
        <v>35</v>
      </c>
    </row>
    <row r="25" spans="1:11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0</v>
      </c>
      <c r="H25">
        <f t="shared" si="1"/>
        <v>22</v>
      </c>
      <c r="I25">
        <f t="shared" si="2"/>
        <v>57</v>
      </c>
      <c r="J25">
        <f t="shared" si="3"/>
        <v>38</v>
      </c>
      <c r="K25">
        <f t="shared" si="4"/>
        <v>70</v>
      </c>
    </row>
    <row r="26" spans="1:11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0</v>
      </c>
      <c r="H26">
        <f t="shared" si="1"/>
        <v>22</v>
      </c>
      <c r="I26">
        <f t="shared" si="2"/>
        <v>57</v>
      </c>
      <c r="J26">
        <f t="shared" si="3"/>
        <v>0</v>
      </c>
      <c r="K26">
        <f t="shared" si="4"/>
        <v>70</v>
      </c>
    </row>
    <row r="27" spans="1:11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0</v>
      </c>
      <c r="H27">
        <f t="shared" si="1"/>
        <v>32</v>
      </c>
      <c r="I27">
        <f t="shared" si="2"/>
        <v>57</v>
      </c>
      <c r="J27">
        <f t="shared" si="3"/>
        <v>0</v>
      </c>
      <c r="K27">
        <f t="shared" si="4"/>
        <v>70</v>
      </c>
    </row>
    <row r="28" spans="1:11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0</v>
      </c>
      <c r="H28">
        <f t="shared" si="1"/>
        <v>28</v>
      </c>
      <c r="I28">
        <f t="shared" si="2"/>
        <v>57</v>
      </c>
      <c r="J28">
        <f t="shared" si="3"/>
        <v>0</v>
      </c>
      <c r="K28">
        <f t="shared" si="4"/>
        <v>70</v>
      </c>
    </row>
    <row r="29" spans="1:11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0</v>
      </c>
      <c r="H29">
        <f t="shared" si="1"/>
        <v>28</v>
      </c>
      <c r="I29">
        <f t="shared" si="2"/>
        <v>57</v>
      </c>
      <c r="J29">
        <f t="shared" si="3"/>
        <v>42</v>
      </c>
      <c r="K29">
        <f t="shared" si="4"/>
        <v>70</v>
      </c>
    </row>
    <row r="30" spans="1:11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28</v>
      </c>
      <c r="H30">
        <f t="shared" si="1"/>
        <v>28</v>
      </c>
      <c r="I30">
        <f t="shared" si="2"/>
        <v>57</v>
      </c>
      <c r="J30">
        <f t="shared" si="3"/>
        <v>42</v>
      </c>
      <c r="K30">
        <f t="shared" si="4"/>
        <v>70</v>
      </c>
    </row>
    <row r="31" spans="1:11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28</v>
      </c>
      <c r="H31">
        <f t="shared" si="1"/>
        <v>28</v>
      </c>
      <c r="I31">
        <f t="shared" si="2"/>
        <v>76</v>
      </c>
      <c r="J31">
        <f t="shared" si="3"/>
        <v>42</v>
      </c>
      <c r="K31">
        <f t="shared" si="4"/>
        <v>70</v>
      </c>
    </row>
    <row r="32" spans="1:11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28</v>
      </c>
      <c r="H32">
        <f t="shared" si="1"/>
        <v>28</v>
      </c>
      <c r="I32">
        <f t="shared" si="2"/>
        <v>4</v>
      </c>
      <c r="J32">
        <f t="shared" si="3"/>
        <v>42</v>
      </c>
      <c r="K32">
        <f t="shared" si="4"/>
        <v>70</v>
      </c>
    </row>
    <row r="33" spans="1:11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28</v>
      </c>
      <c r="H33">
        <f t="shared" si="1"/>
        <v>28</v>
      </c>
      <c r="I33">
        <f t="shared" si="2"/>
        <v>4</v>
      </c>
      <c r="J33">
        <f t="shared" si="3"/>
        <v>0</v>
      </c>
      <c r="K33">
        <f t="shared" si="4"/>
        <v>70</v>
      </c>
    </row>
    <row r="34" spans="1:11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28</v>
      </c>
      <c r="H34">
        <f t="shared" si="1"/>
        <v>28</v>
      </c>
      <c r="I34">
        <f t="shared" si="2"/>
        <v>4</v>
      </c>
      <c r="J34">
        <f t="shared" si="3"/>
        <v>0</v>
      </c>
      <c r="K34">
        <f t="shared" si="4"/>
        <v>112</v>
      </c>
    </row>
    <row r="35" spans="1:11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28</v>
      </c>
      <c r="H35">
        <f t="shared" si="1"/>
        <v>61</v>
      </c>
      <c r="I35">
        <f t="shared" si="2"/>
        <v>4</v>
      </c>
      <c r="J35">
        <f t="shared" si="3"/>
        <v>0</v>
      </c>
      <c r="K35">
        <f t="shared" si="4"/>
        <v>112</v>
      </c>
    </row>
    <row r="36" spans="1:11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37</v>
      </c>
      <c r="H36">
        <f t="shared" si="1"/>
        <v>61</v>
      </c>
      <c r="I36">
        <f t="shared" si="2"/>
        <v>4</v>
      </c>
      <c r="J36">
        <f t="shared" si="3"/>
        <v>0</v>
      </c>
      <c r="K36">
        <f t="shared" si="4"/>
        <v>112</v>
      </c>
    </row>
    <row r="37" spans="1:11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37</v>
      </c>
      <c r="H37">
        <f t="shared" si="1"/>
        <v>61</v>
      </c>
      <c r="I37">
        <f t="shared" si="2"/>
        <v>0</v>
      </c>
      <c r="J37">
        <f t="shared" si="3"/>
        <v>0</v>
      </c>
      <c r="K37">
        <f t="shared" si="4"/>
        <v>112</v>
      </c>
    </row>
    <row r="38" spans="1:11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0</v>
      </c>
      <c r="H38">
        <f t="shared" si="1"/>
        <v>61</v>
      </c>
      <c r="I38">
        <f t="shared" si="2"/>
        <v>0</v>
      </c>
      <c r="J38">
        <f t="shared" si="3"/>
        <v>0</v>
      </c>
      <c r="K38">
        <f t="shared" si="4"/>
        <v>112</v>
      </c>
    </row>
    <row r="39" spans="1:11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0</v>
      </c>
      <c r="H39">
        <f t="shared" si="1"/>
        <v>61</v>
      </c>
      <c r="I39">
        <f t="shared" si="2"/>
        <v>0</v>
      </c>
      <c r="J39">
        <f t="shared" si="3"/>
        <v>0</v>
      </c>
      <c r="K39">
        <f t="shared" si="4"/>
        <v>147</v>
      </c>
    </row>
    <row r="40" spans="1:11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0</v>
      </c>
      <c r="H40">
        <f t="shared" si="1"/>
        <v>61</v>
      </c>
      <c r="I40">
        <f t="shared" si="2"/>
        <v>0</v>
      </c>
      <c r="J40">
        <f t="shared" si="3"/>
        <v>32</v>
      </c>
      <c r="K40">
        <f t="shared" si="4"/>
        <v>147</v>
      </c>
    </row>
    <row r="41" spans="1:11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0</v>
      </c>
      <c r="H41">
        <f t="shared" si="1"/>
        <v>61</v>
      </c>
      <c r="I41">
        <f t="shared" si="2"/>
        <v>0</v>
      </c>
      <c r="J41">
        <f t="shared" si="3"/>
        <v>0</v>
      </c>
      <c r="K41">
        <f t="shared" si="4"/>
        <v>147</v>
      </c>
    </row>
    <row r="42" spans="1:11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0</v>
      </c>
      <c r="H42">
        <f t="shared" si="1"/>
        <v>61</v>
      </c>
      <c r="I42">
        <f t="shared" si="2"/>
        <v>0</v>
      </c>
      <c r="J42">
        <f t="shared" si="3"/>
        <v>0</v>
      </c>
      <c r="K42">
        <f t="shared" si="4"/>
        <v>195</v>
      </c>
    </row>
    <row r="43" spans="1:11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0</v>
      </c>
      <c r="H43">
        <f t="shared" si="1"/>
        <v>61</v>
      </c>
      <c r="I43">
        <f t="shared" si="2"/>
        <v>0</v>
      </c>
      <c r="J43">
        <f t="shared" si="3"/>
        <v>0</v>
      </c>
      <c r="K43">
        <f t="shared" si="4"/>
        <v>4</v>
      </c>
    </row>
    <row r="44" spans="1:11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0</v>
      </c>
      <c r="H44">
        <f t="shared" si="1"/>
        <v>70</v>
      </c>
      <c r="I44">
        <f t="shared" si="2"/>
        <v>0</v>
      </c>
      <c r="J44">
        <f t="shared" si="3"/>
        <v>0</v>
      </c>
      <c r="K44">
        <f t="shared" si="4"/>
        <v>4</v>
      </c>
    </row>
    <row r="45" spans="1:11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0</v>
      </c>
      <c r="H45">
        <f t="shared" si="1"/>
        <v>70</v>
      </c>
      <c r="I45">
        <f t="shared" si="2"/>
        <v>0</v>
      </c>
      <c r="J45">
        <f t="shared" si="3"/>
        <v>36</v>
      </c>
      <c r="K45">
        <f t="shared" si="4"/>
        <v>4</v>
      </c>
    </row>
    <row r="46" spans="1:11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47</v>
      </c>
      <c r="H46">
        <f t="shared" si="1"/>
        <v>70</v>
      </c>
      <c r="I46">
        <f t="shared" si="2"/>
        <v>0</v>
      </c>
      <c r="J46">
        <f t="shared" si="3"/>
        <v>36</v>
      </c>
      <c r="K46">
        <f t="shared" si="4"/>
        <v>4</v>
      </c>
    </row>
    <row r="47" spans="1:11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47</v>
      </c>
      <c r="H47">
        <f t="shared" si="1"/>
        <v>70</v>
      </c>
      <c r="I47">
        <f t="shared" si="2"/>
        <v>0</v>
      </c>
      <c r="J47">
        <f t="shared" si="3"/>
        <v>36</v>
      </c>
      <c r="K47">
        <f t="shared" si="4"/>
        <v>0</v>
      </c>
    </row>
    <row r="48" spans="1:11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47</v>
      </c>
      <c r="H48">
        <f t="shared" si="1"/>
        <v>70</v>
      </c>
      <c r="I48">
        <f t="shared" si="2"/>
        <v>8</v>
      </c>
      <c r="J48">
        <f t="shared" si="3"/>
        <v>36</v>
      </c>
      <c r="K48">
        <f t="shared" si="4"/>
        <v>0</v>
      </c>
    </row>
    <row r="49" spans="1:11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47</v>
      </c>
      <c r="H49">
        <f t="shared" si="1"/>
        <v>73</v>
      </c>
      <c r="I49">
        <f t="shared" si="2"/>
        <v>8</v>
      </c>
      <c r="J49">
        <f t="shared" si="3"/>
        <v>36</v>
      </c>
      <c r="K49">
        <f t="shared" si="4"/>
        <v>0</v>
      </c>
    </row>
    <row r="50" spans="1:11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47</v>
      </c>
      <c r="H50">
        <f t="shared" si="1"/>
        <v>73</v>
      </c>
      <c r="I50">
        <f t="shared" si="2"/>
        <v>8</v>
      </c>
      <c r="J50">
        <f t="shared" si="3"/>
        <v>77</v>
      </c>
      <c r="K50">
        <f t="shared" si="4"/>
        <v>0</v>
      </c>
    </row>
    <row r="51" spans="1:11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47</v>
      </c>
      <c r="H51">
        <f t="shared" si="1"/>
        <v>73</v>
      </c>
      <c r="I51">
        <f t="shared" si="2"/>
        <v>8</v>
      </c>
      <c r="J51">
        <f t="shared" si="3"/>
        <v>77</v>
      </c>
      <c r="K51">
        <f t="shared" si="4"/>
        <v>44</v>
      </c>
    </row>
    <row r="52" spans="1:11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2</v>
      </c>
      <c r="H52">
        <f t="shared" si="1"/>
        <v>73</v>
      </c>
      <c r="I52">
        <f t="shared" si="2"/>
        <v>8</v>
      </c>
      <c r="J52">
        <f t="shared" si="3"/>
        <v>77</v>
      </c>
      <c r="K52">
        <f t="shared" si="4"/>
        <v>44</v>
      </c>
    </row>
    <row r="53" spans="1:11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2</v>
      </c>
      <c r="H53">
        <f t="shared" si="1"/>
        <v>73</v>
      </c>
      <c r="I53">
        <f t="shared" si="2"/>
        <v>48</v>
      </c>
      <c r="J53">
        <f t="shared" si="3"/>
        <v>77</v>
      </c>
      <c r="K53">
        <f t="shared" si="4"/>
        <v>44</v>
      </c>
    </row>
    <row r="54" spans="1:11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2</v>
      </c>
      <c r="H54">
        <f t="shared" si="1"/>
        <v>73</v>
      </c>
      <c r="I54">
        <f t="shared" si="2"/>
        <v>48</v>
      </c>
      <c r="J54">
        <f t="shared" si="3"/>
        <v>80</v>
      </c>
      <c r="K54">
        <f t="shared" si="4"/>
        <v>44</v>
      </c>
    </row>
    <row r="55" spans="1:11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2</v>
      </c>
      <c r="H55">
        <f t="shared" si="1"/>
        <v>90</v>
      </c>
      <c r="I55">
        <f t="shared" si="2"/>
        <v>48</v>
      </c>
      <c r="J55">
        <f t="shared" si="3"/>
        <v>80</v>
      </c>
      <c r="K55">
        <f t="shared" si="4"/>
        <v>44</v>
      </c>
    </row>
    <row r="56" spans="1:11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0</v>
      </c>
      <c r="H56">
        <f t="shared" si="1"/>
        <v>90</v>
      </c>
      <c r="I56">
        <f t="shared" si="2"/>
        <v>48</v>
      </c>
      <c r="J56">
        <f t="shared" si="3"/>
        <v>80</v>
      </c>
      <c r="K56">
        <f t="shared" si="4"/>
        <v>44</v>
      </c>
    </row>
    <row r="57" spans="1:11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0</v>
      </c>
      <c r="H57">
        <f t="shared" si="1"/>
        <v>90</v>
      </c>
      <c r="I57">
        <f t="shared" si="2"/>
        <v>62</v>
      </c>
      <c r="J57">
        <f t="shared" si="3"/>
        <v>80</v>
      </c>
      <c r="K57">
        <f t="shared" si="4"/>
        <v>44</v>
      </c>
    </row>
    <row r="58" spans="1:11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0</v>
      </c>
      <c r="H58">
        <f t="shared" si="1"/>
        <v>113</v>
      </c>
      <c r="I58">
        <f t="shared" si="2"/>
        <v>62</v>
      </c>
      <c r="J58">
        <f t="shared" si="3"/>
        <v>80</v>
      </c>
      <c r="K58">
        <f t="shared" si="4"/>
        <v>44</v>
      </c>
    </row>
    <row r="59" spans="1:11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11</v>
      </c>
      <c r="H59">
        <f t="shared" si="1"/>
        <v>113</v>
      </c>
      <c r="I59">
        <f t="shared" si="2"/>
        <v>62</v>
      </c>
      <c r="J59">
        <f t="shared" si="3"/>
        <v>80</v>
      </c>
      <c r="K59">
        <f t="shared" si="4"/>
        <v>44</v>
      </c>
    </row>
    <row r="60" spans="1:11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11</v>
      </c>
      <c r="H60">
        <f t="shared" si="1"/>
        <v>113</v>
      </c>
      <c r="I60">
        <f t="shared" si="2"/>
        <v>62</v>
      </c>
      <c r="J60">
        <f t="shared" si="3"/>
        <v>97</v>
      </c>
      <c r="K60">
        <f t="shared" si="4"/>
        <v>44</v>
      </c>
    </row>
    <row r="61" spans="1:11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11</v>
      </c>
      <c r="H61">
        <f t="shared" si="1"/>
        <v>113</v>
      </c>
      <c r="I61">
        <f t="shared" si="2"/>
        <v>62</v>
      </c>
      <c r="J61">
        <f t="shared" si="3"/>
        <v>97</v>
      </c>
      <c r="K61">
        <f t="shared" si="4"/>
        <v>74</v>
      </c>
    </row>
    <row r="62" spans="1:11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11</v>
      </c>
      <c r="H62">
        <f t="shared" si="1"/>
        <v>113</v>
      </c>
      <c r="I62">
        <f t="shared" si="2"/>
        <v>62</v>
      </c>
      <c r="J62">
        <f t="shared" si="3"/>
        <v>0</v>
      </c>
      <c r="K62">
        <f t="shared" si="4"/>
        <v>74</v>
      </c>
    </row>
    <row r="63" spans="1:11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0</v>
      </c>
      <c r="H63">
        <f t="shared" si="1"/>
        <v>113</v>
      </c>
      <c r="I63">
        <f t="shared" si="2"/>
        <v>62</v>
      </c>
      <c r="J63">
        <f t="shared" si="3"/>
        <v>0</v>
      </c>
      <c r="K63">
        <f t="shared" si="4"/>
        <v>74</v>
      </c>
    </row>
    <row r="64" spans="1:11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0</v>
      </c>
      <c r="H64">
        <f t="shared" si="1"/>
        <v>113</v>
      </c>
      <c r="I64">
        <f t="shared" si="2"/>
        <v>79</v>
      </c>
      <c r="J64">
        <f t="shared" si="3"/>
        <v>0</v>
      </c>
      <c r="K64">
        <f t="shared" si="4"/>
        <v>74</v>
      </c>
    </row>
    <row r="65" spans="1:11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0</v>
      </c>
      <c r="H65">
        <f t="shared" si="1"/>
        <v>117</v>
      </c>
      <c r="I65">
        <f t="shared" si="2"/>
        <v>79</v>
      </c>
      <c r="J65">
        <f t="shared" si="3"/>
        <v>0</v>
      </c>
      <c r="K65">
        <f t="shared" si="4"/>
        <v>74</v>
      </c>
    </row>
    <row r="66" spans="1:11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0</v>
      </c>
      <c r="H66">
        <f t="shared" si="1"/>
        <v>117</v>
      </c>
      <c r="I66">
        <f t="shared" si="2"/>
        <v>0</v>
      </c>
      <c r="J66">
        <f t="shared" si="3"/>
        <v>0</v>
      </c>
      <c r="K66">
        <f t="shared" si="4"/>
        <v>74</v>
      </c>
    </row>
    <row r="67" spans="1:11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0</v>
      </c>
      <c r="H67">
        <f t="shared" si="1"/>
        <v>117</v>
      </c>
      <c r="I67">
        <f t="shared" si="2"/>
        <v>0</v>
      </c>
      <c r="J67">
        <f t="shared" si="3"/>
        <v>33</v>
      </c>
      <c r="K67">
        <f t="shared" si="4"/>
        <v>74</v>
      </c>
    </row>
    <row r="68" spans="1:11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5">IF($C68="T1",G67+$E68*IF($D68="Z",1,-1),G67)</f>
        <v>0</v>
      </c>
      <c r="H68">
        <f t="shared" ref="H68:H131" si="6">IF($C68="T2",H67+$E68*IF($D68="Z",1,-1),H67)</f>
        <v>143</v>
      </c>
      <c r="I68">
        <f t="shared" ref="I68:I131" si="7">IF($C68="T3",I67+$E68*IF($D68="Z",1,-1),I67)</f>
        <v>0</v>
      </c>
      <c r="J68">
        <f t="shared" ref="J68:J131" si="8">IF($C68="T4",J67+$E68*IF($D68="Z",1,-1),J67)</f>
        <v>33</v>
      </c>
      <c r="K68">
        <f t="shared" ref="K68:K131" si="9">IF($C68="T5",K67+$E68*IF($D68="Z",1,-1),K67)</f>
        <v>74</v>
      </c>
    </row>
    <row r="69" spans="1:11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5"/>
        <v>0</v>
      </c>
      <c r="H69">
        <f t="shared" si="6"/>
        <v>143</v>
      </c>
      <c r="I69">
        <f t="shared" si="7"/>
        <v>40</v>
      </c>
      <c r="J69">
        <f t="shared" si="8"/>
        <v>33</v>
      </c>
      <c r="K69">
        <f t="shared" si="9"/>
        <v>74</v>
      </c>
    </row>
    <row r="70" spans="1:11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5"/>
        <v>42</v>
      </c>
      <c r="H70">
        <f t="shared" si="6"/>
        <v>143</v>
      </c>
      <c r="I70">
        <f t="shared" si="7"/>
        <v>40</v>
      </c>
      <c r="J70">
        <f t="shared" si="8"/>
        <v>33</v>
      </c>
      <c r="K70">
        <f t="shared" si="9"/>
        <v>74</v>
      </c>
    </row>
    <row r="71" spans="1:11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5"/>
        <v>42</v>
      </c>
      <c r="H71">
        <f t="shared" si="6"/>
        <v>185</v>
      </c>
      <c r="I71">
        <f t="shared" si="7"/>
        <v>40</v>
      </c>
      <c r="J71">
        <f t="shared" si="8"/>
        <v>33</v>
      </c>
      <c r="K71">
        <f t="shared" si="9"/>
        <v>74</v>
      </c>
    </row>
    <row r="72" spans="1:11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5"/>
        <v>42</v>
      </c>
      <c r="H72">
        <f t="shared" si="6"/>
        <v>185</v>
      </c>
      <c r="I72">
        <f t="shared" si="7"/>
        <v>40</v>
      </c>
      <c r="J72">
        <f t="shared" si="8"/>
        <v>42</v>
      </c>
      <c r="K72">
        <f t="shared" si="9"/>
        <v>74</v>
      </c>
    </row>
    <row r="73" spans="1:11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5"/>
        <v>42</v>
      </c>
      <c r="H73">
        <f t="shared" si="6"/>
        <v>185</v>
      </c>
      <c r="I73">
        <f t="shared" si="7"/>
        <v>40</v>
      </c>
      <c r="J73">
        <f t="shared" si="8"/>
        <v>42</v>
      </c>
      <c r="K73">
        <f t="shared" si="9"/>
        <v>113</v>
      </c>
    </row>
    <row r="74" spans="1:11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5"/>
        <v>42</v>
      </c>
      <c r="H74">
        <f t="shared" si="6"/>
        <v>185</v>
      </c>
      <c r="I74">
        <f t="shared" si="7"/>
        <v>40</v>
      </c>
      <c r="J74">
        <f t="shared" si="8"/>
        <v>42</v>
      </c>
      <c r="K74">
        <f t="shared" si="9"/>
        <v>1</v>
      </c>
    </row>
    <row r="75" spans="1:11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5"/>
        <v>42</v>
      </c>
      <c r="H75">
        <f t="shared" si="6"/>
        <v>185</v>
      </c>
      <c r="I75">
        <f t="shared" si="7"/>
        <v>40</v>
      </c>
      <c r="J75">
        <f t="shared" si="8"/>
        <v>76</v>
      </c>
      <c r="K75">
        <f t="shared" si="9"/>
        <v>1</v>
      </c>
    </row>
    <row r="76" spans="1:11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5"/>
        <v>42</v>
      </c>
      <c r="H76">
        <f t="shared" si="6"/>
        <v>185</v>
      </c>
      <c r="I76">
        <f t="shared" si="7"/>
        <v>45</v>
      </c>
      <c r="J76">
        <f t="shared" si="8"/>
        <v>76</v>
      </c>
      <c r="K76">
        <f t="shared" si="9"/>
        <v>1</v>
      </c>
    </row>
    <row r="77" spans="1:11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5"/>
        <v>42</v>
      </c>
      <c r="H77">
        <f t="shared" si="6"/>
        <v>185</v>
      </c>
      <c r="I77">
        <f t="shared" si="7"/>
        <v>45</v>
      </c>
      <c r="J77">
        <f t="shared" si="8"/>
        <v>2</v>
      </c>
      <c r="K77">
        <f t="shared" si="9"/>
        <v>1</v>
      </c>
    </row>
    <row r="78" spans="1:11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5"/>
        <v>42</v>
      </c>
      <c r="H78">
        <f t="shared" si="6"/>
        <v>199</v>
      </c>
      <c r="I78">
        <f t="shared" si="7"/>
        <v>45</v>
      </c>
      <c r="J78">
        <f t="shared" si="8"/>
        <v>2</v>
      </c>
      <c r="K78">
        <f t="shared" si="9"/>
        <v>1</v>
      </c>
    </row>
    <row r="79" spans="1:11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5"/>
        <v>42</v>
      </c>
      <c r="H79">
        <f t="shared" si="6"/>
        <v>199</v>
      </c>
      <c r="I79">
        <f t="shared" si="7"/>
        <v>45</v>
      </c>
      <c r="J79">
        <f t="shared" si="8"/>
        <v>2</v>
      </c>
      <c r="K79">
        <f t="shared" si="9"/>
        <v>0</v>
      </c>
    </row>
    <row r="80" spans="1:11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5"/>
        <v>42</v>
      </c>
      <c r="H80">
        <f t="shared" si="6"/>
        <v>156</v>
      </c>
      <c r="I80">
        <f t="shared" si="7"/>
        <v>45</v>
      </c>
      <c r="J80">
        <f t="shared" si="8"/>
        <v>2</v>
      </c>
      <c r="K80">
        <f t="shared" si="9"/>
        <v>0</v>
      </c>
    </row>
    <row r="81" spans="1:11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5"/>
        <v>72</v>
      </c>
      <c r="H81">
        <f t="shared" si="6"/>
        <v>156</v>
      </c>
      <c r="I81">
        <f t="shared" si="7"/>
        <v>45</v>
      </c>
      <c r="J81">
        <f t="shared" si="8"/>
        <v>2</v>
      </c>
      <c r="K81">
        <f t="shared" si="9"/>
        <v>0</v>
      </c>
    </row>
    <row r="82" spans="1:11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5"/>
        <v>72</v>
      </c>
      <c r="H82">
        <f t="shared" si="6"/>
        <v>156</v>
      </c>
      <c r="I82">
        <f t="shared" si="7"/>
        <v>59</v>
      </c>
      <c r="J82">
        <f t="shared" si="8"/>
        <v>2</v>
      </c>
      <c r="K82">
        <f t="shared" si="9"/>
        <v>0</v>
      </c>
    </row>
    <row r="83" spans="1:11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5"/>
        <v>72</v>
      </c>
      <c r="H83">
        <f t="shared" si="6"/>
        <v>123</v>
      </c>
      <c r="I83">
        <f t="shared" si="7"/>
        <v>59</v>
      </c>
      <c r="J83">
        <f t="shared" si="8"/>
        <v>2</v>
      </c>
      <c r="K83">
        <f t="shared" si="9"/>
        <v>0</v>
      </c>
    </row>
    <row r="84" spans="1:11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5"/>
        <v>72</v>
      </c>
      <c r="H84">
        <f t="shared" si="6"/>
        <v>123</v>
      </c>
      <c r="I84">
        <f t="shared" si="7"/>
        <v>59</v>
      </c>
      <c r="J84">
        <f t="shared" si="8"/>
        <v>2</v>
      </c>
      <c r="K84">
        <f t="shared" si="9"/>
        <v>35</v>
      </c>
    </row>
    <row r="85" spans="1:11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5"/>
        <v>72</v>
      </c>
      <c r="H85">
        <f t="shared" si="6"/>
        <v>123</v>
      </c>
      <c r="I85">
        <f t="shared" si="7"/>
        <v>99</v>
      </c>
      <c r="J85">
        <f t="shared" si="8"/>
        <v>2</v>
      </c>
      <c r="K85">
        <f t="shared" si="9"/>
        <v>35</v>
      </c>
    </row>
    <row r="86" spans="1:11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5"/>
        <v>72</v>
      </c>
      <c r="H86">
        <f t="shared" si="6"/>
        <v>102</v>
      </c>
      <c r="I86">
        <f t="shared" si="7"/>
        <v>99</v>
      </c>
      <c r="J86">
        <f t="shared" si="8"/>
        <v>2</v>
      </c>
      <c r="K86">
        <f t="shared" si="9"/>
        <v>35</v>
      </c>
    </row>
    <row r="87" spans="1:11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5"/>
        <v>72</v>
      </c>
      <c r="H87">
        <f t="shared" si="6"/>
        <v>102</v>
      </c>
      <c r="I87">
        <f t="shared" si="7"/>
        <v>99</v>
      </c>
      <c r="J87">
        <f t="shared" si="8"/>
        <v>0</v>
      </c>
      <c r="K87">
        <f t="shared" si="9"/>
        <v>35</v>
      </c>
    </row>
    <row r="88" spans="1:11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5"/>
        <v>72</v>
      </c>
      <c r="H88">
        <f t="shared" si="6"/>
        <v>102</v>
      </c>
      <c r="I88">
        <f t="shared" si="7"/>
        <v>111</v>
      </c>
      <c r="J88">
        <f t="shared" si="8"/>
        <v>0</v>
      </c>
      <c r="K88">
        <f t="shared" si="9"/>
        <v>35</v>
      </c>
    </row>
    <row r="89" spans="1:11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5"/>
        <v>87</v>
      </c>
      <c r="H89">
        <f t="shared" si="6"/>
        <v>102</v>
      </c>
      <c r="I89">
        <f t="shared" si="7"/>
        <v>111</v>
      </c>
      <c r="J89">
        <f t="shared" si="8"/>
        <v>0</v>
      </c>
      <c r="K89">
        <f t="shared" si="9"/>
        <v>35</v>
      </c>
    </row>
    <row r="90" spans="1:11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5"/>
        <v>87</v>
      </c>
      <c r="H90">
        <f t="shared" si="6"/>
        <v>102</v>
      </c>
      <c r="I90">
        <f t="shared" si="7"/>
        <v>111</v>
      </c>
      <c r="J90">
        <f t="shared" si="8"/>
        <v>0</v>
      </c>
      <c r="K90">
        <f t="shared" si="9"/>
        <v>36</v>
      </c>
    </row>
    <row r="91" spans="1:11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5"/>
        <v>1</v>
      </c>
      <c r="H91">
        <f t="shared" si="6"/>
        <v>102</v>
      </c>
      <c r="I91">
        <f t="shared" si="7"/>
        <v>111</v>
      </c>
      <c r="J91">
        <f t="shared" si="8"/>
        <v>0</v>
      </c>
      <c r="K91">
        <f t="shared" si="9"/>
        <v>36</v>
      </c>
    </row>
    <row r="92" spans="1:11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5"/>
        <v>1</v>
      </c>
      <c r="H92">
        <f t="shared" si="6"/>
        <v>102</v>
      </c>
      <c r="I92">
        <f t="shared" si="7"/>
        <v>1</v>
      </c>
      <c r="J92">
        <f t="shared" si="8"/>
        <v>0</v>
      </c>
      <c r="K92">
        <f t="shared" si="9"/>
        <v>36</v>
      </c>
    </row>
    <row r="93" spans="1:11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5"/>
        <v>1</v>
      </c>
      <c r="H93">
        <f t="shared" si="6"/>
        <v>102</v>
      </c>
      <c r="I93">
        <f t="shared" si="7"/>
        <v>1</v>
      </c>
      <c r="J93">
        <f t="shared" si="8"/>
        <v>0</v>
      </c>
      <c r="K93">
        <f t="shared" si="9"/>
        <v>69</v>
      </c>
    </row>
    <row r="94" spans="1:11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5"/>
        <v>1</v>
      </c>
      <c r="H94">
        <f t="shared" si="6"/>
        <v>115</v>
      </c>
      <c r="I94">
        <f t="shared" si="7"/>
        <v>1</v>
      </c>
      <c r="J94">
        <f t="shared" si="8"/>
        <v>0</v>
      </c>
      <c r="K94">
        <f t="shared" si="9"/>
        <v>69</v>
      </c>
    </row>
    <row r="95" spans="1:11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5"/>
        <v>1</v>
      </c>
      <c r="H95">
        <f t="shared" si="6"/>
        <v>115</v>
      </c>
      <c r="I95">
        <f t="shared" si="7"/>
        <v>1</v>
      </c>
      <c r="J95">
        <f t="shared" si="8"/>
        <v>37</v>
      </c>
      <c r="K95">
        <f t="shared" si="9"/>
        <v>69</v>
      </c>
    </row>
    <row r="96" spans="1:11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5"/>
        <v>0</v>
      </c>
      <c r="H96">
        <f t="shared" si="6"/>
        <v>115</v>
      </c>
      <c r="I96">
        <f t="shared" si="7"/>
        <v>1</v>
      </c>
      <c r="J96">
        <f t="shared" si="8"/>
        <v>37</v>
      </c>
      <c r="K96">
        <f t="shared" si="9"/>
        <v>69</v>
      </c>
    </row>
    <row r="97" spans="1:11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5"/>
        <v>0</v>
      </c>
      <c r="H97">
        <f t="shared" si="6"/>
        <v>115</v>
      </c>
      <c r="I97">
        <f t="shared" si="7"/>
        <v>1</v>
      </c>
      <c r="J97">
        <f t="shared" si="8"/>
        <v>37</v>
      </c>
      <c r="K97">
        <f t="shared" si="9"/>
        <v>1</v>
      </c>
    </row>
    <row r="98" spans="1:11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5"/>
        <v>0</v>
      </c>
      <c r="H98">
        <f t="shared" si="6"/>
        <v>115</v>
      </c>
      <c r="I98">
        <f t="shared" si="7"/>
        <v>1</v>
      </c>
      <c r="J98">
        <f t="shared" si="8"/>
        <v>72</v>
      </c>
      <c r="K98">
        <f t="shared" si="9"/>
        <v>1</v>
      </c>
    </row>
    <row r="99" spans="1:11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5"/>
        <v>0</v>
      </c>
      <c r="H99">
        <f t="shared" si="6"/>
        <v>115</v>
      </c>
      <c r="I99">
        <f t="shared" si="7"/>
        <v>26</v>
      </c>
      <c r="J99">
        <f t="shared" si="8"/>
        <v>72</v>
      </c>
      <c r="K99">
        <f t="shared" si="9"/>
        <v>1</v>
      </c>
    </row>
    <row r="100" spans="1:11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5"/>
        <v>0</v>
      </c>
      <c r="H100">
        <f t="shared" si="6"/>
        <v>125</v>
      </c>
      <c r="I100">
        <f t="shared" si="7"/>
        <v>26</v>
      </c>
      <c r="J100">
        <f t="shared" si="8"/>
        <v>72</v>
      </c>
      <c r="K100">
        <f t="shared" si="9"/>
        <v>1</v>
      </c>
    </row>
    <row r="101" spans="1:11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5"/>
        <v>0</v>
      </c>
      <c r="H101">
        <f t="shared" si="6"/>
        <v>87</v>
      </c>
      <c r="I101">
        <f t="shared" si="7"/>
        <v>26</v>
      </c>
      <c r="J101">
        <f t="shared" si="8"/>
        <v>72</v>
      </c>
      <c r="K101">
        <f t="shared" si="9"/>
        <v>1</v>
      </c>
    </row>
    <row r="102" spans="1:11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5"/>
        <v>22</v>
      </c>
      <c r="H102">
        <f t="shared" si="6"/>
        <v>87</v>
      </c>
      <c r="I102">
        <f t="shared" si="7"/>
        <v>26</v>
      </c>
      <c r="J102">
        <f t="shared" si="8"/>
        <v>72</v>
      </c>
      <c r="K102">
        <f t="shared" si="9"/>
        <v>1</v>
      </c>
    </row>
    <row r="103" spans="1:11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5"/>
        <v>22</v>
      </c>
      <c r="H103">
        <f t="shared" si="6"/>
        <v>87</v>
      </c>
      <c r="I103">
        <f t="shared" si="7"/>
        <v>51</v>
      </c>
      <c r="J103">
        <f t="shared" si="8"/>
        <v>72</v>
      </c>
      <c r="K103">
        <f t="shared" si="9"/>
        <v>1</v>
      </c>
    </row>
    <row r="104" spans="1:11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5"/>
        <v>22</v>
      </c>
      <c r="H104">
        <f t="shared" si="6"/>
        <v>87</v>
      </c>
      <c r="I104">
        <f t="shared" si="7"/>
        <v>51</v>
      </c>
      <c r="J104">
        <f t="shared" si="8"/>
        <v>72</v>
      </c>
      <c r="K104">
        <f t="shared" si="9"/>
        <v>9</v>
      </c>
    </row>
    <row r="105" spans="1:11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5"/>
        <v>22</v>
      </c>
      <c r="H105">
        <f t="shared" si="6"/>
        <v>87</v>
      </c>
      <c r="I105">
        <f t="shared" si="7"/>
        <v>51</v>
      </c>
      <c r="J105">
        <f t="shared" si="8"/>
        <v>117</v>
      </c>
      <c r="K105">
        <f t="shared" si="9"/>
        <v>9</v>
      </c>
    </row>
    <row r="106" spans="1:11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5"/>
        <v>22</v>
      </c>
      <c r="H106">
        <f t="shared" si="6"/>
        <v>87</v>
      </c>
      <c r="I106">
        <f t="shared" si="7"/>
        <v>51</v>
      </c>
      <c r="J106">
        <f t="shared" si="8"/>
        <v>1</v>
      </c>
      <c r="K106">
        <f t="shared" si="9"/>
        <v>9</v>
      </c>
    </row>
    <row r="107" spans="1:11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5"/>
        <v>22</v>
      </c>
      <c r="H107">
        <f t="shared" si="6"/>
        <v>87</v>
      </c>
      <c r="I107">
        <f t="shared" si="7"/>
        <v>80</v>
      </c>
      <c r="J107">
        <f t="shared" si="8"/>
        <v>1</v>
      </c>
      <c r="K107">
        <f t="shared" si="9"/>
        <v>9</v>
      </c>
    </row>
    <row r="108" spans="1:11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5"/>
        <v>22</v>
      </c>
      <c r="H108">
        <f t="shared" si="6"/>
        <v>82</v>
      </c>
      <c r="I108">
        <f t="shared" si="7"/>
        <v>80</v>
      </c>
      <c r="J108">
        <f t="shared" si="8"/>
        <v>1</v>
      </c>
      <c r="K108">
        <f t="shared" si="9"/>
        <v>9</v>
      </c>
    </row>
    <row r="109" spans="1:11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5"/>
        <v>0</v>
      </c>
      <c r="H109">
        <f t="shared" si="6"/>
        <v>82</v>
      </c>
      <c r="I109">
        <f t="shared" si="7"/>
        <v>80</v>
      </c>
      <c r="J109">
        <f t="shared" si="8"/>
        <v>1</v>
      </c>
      <c r="K109">
        <f t="shared" si="9"/>
        <v>9</v>
      </c>
    </row>
    <row r="110" spans="1:11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5"/>
        <v>0</v>
      </c>
      <c r="H110">
        <f t="shared" si="6"/>
        <v>82</v>
      </c>
      <c r="I110">
        <f t="shared" si="7"/>
        <v>117</v>
      </c>
      <c r="J110">
        <f t="shared" si="8"/>
        <v>1</v>
      </c>
      <c r="K110">
        <f t="shared" si="9"/>
        <v>9</v>
      </c>
    </row>
    <row r="111" spans="1:11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5"/>
        <v>0</v>
      </c>
      <c r="H111">
        <f t="shared" si="6"/>
        <v>82</v>
      </c>
      <c r="I111">
        <f t="shared" si="7"/>
        <v>117</v>
      </c>
      <c r="J111">
        <f t="shared" si="8"/>
        <v>11</v>
      </c>
      <c r="K111">
        <f t="shared" si="9"/>
        <v>9</v>
      </c>
    </row>
    <row r="112" spans="1:11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5"/>
        <v>0</v>
      </c>
      <c r="H112">
        <f t="shared" si="6"/>
        <v>82</v>
      </c>
      <c r="I112">
        <f t="shared" si="7"/>
        <v>117</v>
      </c>
      <c r="J112">
        <f t="shared" si="8"/>
        <v>11</v>
      </c>
      <c r="K112">
        <f t="shared" si="9"/>
        <v>51</v>
      </c>
    </row>
    <row r="113" spans="1:11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5"/>
        <v>0</v>
      </c>
      <c r="H113">
        <f t="shared" si="6"/>
        <v>82</v>
      </c>
      <c r="I113">
        <f t="shared" si="7"/>
        <v>117</v>
      </c>
      <c r="J113">
        <f t="shared" si="8"/>
        <v>0</v>
      </c>
      <c r="K113">
        <f t="shared" si="9"/>
        <v>51</v>
      </c>
    </row>
    <row r="114" spans="1:11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5"/>
        <v>0</v>
      </c>
      <c r="H114">
        <f t="shared" si="6"/>
        <v>82</v>
      </c>
      <c r="I114">
        <f t="shared" si="7"/>
        <v>117</v>
      </c>
      <c r="J114">
        <f t="shared" si="8"/>
        <v>0</v>
      </c>
      <c r="K114">
        <f t="shared" si="9"/>
        <v>3</v>
      </c>
    </row>
    <row r="115" spans="1:11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5"/>
        <v>0</v>
      </c>
      <c r="H115">
        <f t="shared" si="6"/>
        <v>82</v>
      </c>
      <c r="I115">
        <f t="shared" si="7"/>
        <v>137</v>
      </c>
      <c r="J115">
        <f t="shared" si="8"/>
        <v>0</v>
      </c>
      <c r="K115">
        <f t="shared" si="9"/>
        <v>3</v>
      </c>
    </row>
    <row r="116" spans="1:11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5"/>
        <v>0</v>
      </c>
      <c r="H116">
        <f t="shared" si="6"/>
        <v>108</v>
      </c>
      <c r="I116">
        <f t="shared" si="7"/>
        <v>137</v>
      </c>
      <c r="J116">
        <f t="shared" si="8"/>
        <v>0</v>
      </c>
      <c r="K116">
        <f t="shared" si="9"/>
        <v>3</v>
      </c>
    </row>
    <row r="117" spans="1:11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5"/>
        <v>24</v>
      </c>
      <c r="H117">
        <f t="shared" si="6"/>
        <v>108</v>
      </c>
      <c r="I117">
        <f t="shared" si="7"/>
        <v>137</v>
      </c>
      <c r="J117">
        <f t="shared" si="8"/>
        <v>0</v>
      </c>
      <c r="K117">
        <f t="shared" si="9"/>
        <v>3</v>
      </c>
    </row>
    <row r="118" spans="1:11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5"/>
        <v>24</v>
      </c>
      <c r="H118">
        <f t="shared" si="6"/>
        <v>108</v>
      </c>
      <c r="I118">
        <f t="shared" si="7"/>
        <v>137</v>
      </c>
      <c r="J118">
        <f t="shared" si="8"/>
        <v>38</v>
      </c>
      <c r="K118">
        <f t="shared" si="9"/>
        <v>3</v>
      </c>
    </row>
    <row r="119" spans="1:11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5"/>
        <v>24</v>
      </c>
      <c r="H119">
        <f t="shared" si="6"/>
        <v>108</v>
      </c>
      <c r="I119">
        <f t="shared" si="7"/>
        <v>151</v>
      </c>
      <c r="J119">
        <f t="shared" si="8"/>
        <v>38</v>
      </c>
      <c r="K119">
        <f t="shared" si="9"/>
        <v>3</v>
      </c>
    </row>
    <row r="120" spans="1:11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5"/>
        <v>24</v>
      </c>
      <c r="H120">
        <f t="shared" si="6"/>
        <v>108</v>
      </c>
      <c r="I120">
        <f t="shared" si="7"/>
        <v>151</v>
      </c>
      <c r="J120">
        <f t="shared" si="8"/>
        <v>38</v>
      </c>
      <c r="K120">
        <f t="shared" si="9"/>
        <v>7</v>
      </c>
    </row>
    <row r="121" spans="1:11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5"/>
        <v>24</v>
      </c>
      <c r="H121">
        <f t="shared" si="6"/>
        <v>89</v>
      </c>
      <c r="I121">
        <f t="shared" si="7"/>
        <v>151</v>
      </c>
      <c r="J121">
        <f t="shared" si="8"/>
        <v>38</v>
      </c>
      <c r="K121">
        <f t="shared" si="9"/>
        <v>7</v>
      </c>
    </row>
    <row r="122" spans="1:11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5"/>
        <v>24</v>
      </c>
      <c r="H122">
        <f t="shared" si="6"/>
        <v>89</v>
      </c>
      <c r="I122">
        <f t="shared" si="7"/>
        <v>151</v>
      </c>
      <c r="J122">
        <f t="shared" si="8"/>
        <v>68</v>
      </c>
      <c r="K122">
        <f t="shared" si="9"/>
        <v>7</v>
      </c>
    </row>
    <row r="123" spans="1:11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5"/>
        <v>24</v>
      </c>
      <c r="H123">
        <f t="shared" si="6"/>
        <v>89</v>
      </c>
      <c r="I123">
        <f t="shared" si="7"/>
        <v>151</v>
      </c>
      <c r="J123">
        <f t="shared" si="8"/>
        <v>68</v>
      </c>
      <c r="K123">
        <f t="shared" si="9"/>
        <v>1</v>
      </c>
    </row>
    <row r="124" spans="1:11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5"/>
        <v>24</v>
      </c>
      <c r="H124">
        <f t="shared" si="6"/>
        <v>89</v>
      </c>
      <c r="I124">
        <f t="shared" si="7"/>
        <v>151</v>
      </c>
      <c r="J124">
        <f t="shared" si="8"/>
        <v>111</v>
      </c>
      <c r="K124">
        <f t="shared" si="9"/>
        <v>1</v>
      </c>
    </row>
    <row r="125" spans="1:11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5"/>
        <v>24</v>
      </c>
      <c r="H125">
        <f t="shared" si="6"/>
        <v>89</v>
      </c>
      <c r="I125">
        <f t="shared" si="7"/>
        <v>151</v>
      </c>
      <c r="J125">
        <f t="shared" si="8"/>
        <v>111</v>
      </c>
      <c r="K125">
        <f t="shared" si="9"/>
        <v>0</v>
      </c>
    </row>
    <row r="126" spans="1:11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5"/>
        <v>24</v>
      </c>
      <c r="H126">
        <f t="shared" si="6"/>
        <v>89</v>
      </c>
      <c r="I126">
        <f t="shared" si="7"/>
        <v>4</v>
      </c>
      <c r="J126">
        <f t="shared" si="8"/>
        <v>111</v>
      </c>
      <c r="K126">
        <f t="shared" si="9"/>
        <v>0</v>
      </c>
    </row>
    <row r="127" spans="1:11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5"/>
        <v>39</v>
      </c>
      <c r="H127">
        <f t="shared" si="6"/>
        <v>89</v>
      </c>
      <c r="I127">
        <f t="shared" si="7"/>
        <v>4</v>
      </c>
      <c r="J127">
        <f t="shared" si="8"/>
        <v>111</v>
      </c>
      <c r="K127">
        <f t="shared" si="9"/>
        <v>0</v>
      </c>
    </row>
    <row r="128" spans="1:11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5"/>
        <v>39</v>
      </c>
      <c r="H128">
        <f t="shared" si="6"/>
        <v>89</v>
      </c>
      <c r="I128">
        <f t="shared" si="7"/>
        <v>4</v>
      </c>
      <c r="J128">
        <f t="shared" si="8"/>
        <v>135</v>
      </c>
      <c r="K128">
        <f t="shared" si="9"/>
        <v>0</v>
      </c>
    </row>
    <row r="129" spans="1:11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5"/>
        <v>39</v>
      </c>
      <c r="H129">
        <f t="shared" si="6"/>
        <v>108</v>
      </c>
      <c r="I129">
        <f t="shared" si="7"/>
        <v>4</v>
      </c>
      <c r="J129">
        <f t="shared" si="8"/>
        <v>135</v>
      </c>
      <c r="K129">
        <f t="shared" si="9"/>
        <v>0</v>
      </c>
    </row>
    <row r="130" spans="1:11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5"/>
        <v>39</v>
      </c>
      <c r="H130">
        <f t="shared" si="6"/>
        <v>108</v>
      </c>
      <c r="I130">
        <f t="shared" si="7"/>
        <v>4</v>
      </c>
      <c r="J130">
        <f t="shared" si="8"/>
        <v>1</v>
      </c>
      <c r="K130">
        <f t="shared" si="9"/>
        <v>0</v>
      </c>
    </row>
    <row r="131" spans="1:11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5"/>
        <v>39</v>
      </c>
      <c r="H131">
        <f t="shared" si="6"/>
        <v>108</v>
      </c>
      <c r="I131">
        <f t="shared" si="7"/>
        <v>4</v>
      </c>
      <c r="J131">
        <f t="shared" si="8"/>
        <v>1</v>
      </c>
      <c r="K131">
        <f t="shared" si="9"/>
        <v>12</v>
      </c>
    </row>
    <row r="132" spans="1:11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10">IF($C132="T1",G131+$E132*IF($D132="Z",1,-1),G131)</f>
        <v>39</v>
      </c>
      <c r="H132">
        <f t="shared" ref="H132:H195" si="11">IF($C132="T2",H131+$E132*IF($D132="Z",1,-1),H131)</f>
        <v>108</v>
      </c>
      <c r="I132">
        <f t="shared" ref="I132:I195" si="12">IF($C132="T3",I131+$E132*IF($D132="Z",1,-1),I131)</f>
        <v>0</v>
      </c>
      <c r="J132">
        <f t="shared" ref="J132:J195" si="13">IF($C132="T4",J131+$E132*IF($D132="Z",1,-1),J131)</f>
        <v>1</v>
      </c>
      <c r="K132">
        <f t="shared" ref="K132:K195" si="14">IF($C132="T5",K131+$E132*IF($D132="Z",1,-1),K131)</f>
        <v>12</v>
      </c>
    </row>
    <row r="133" spans="1:11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10"/>
        <v>65</v>
      </c>
      <c r="H133">
        <f t="shared" si="11"/>
        <v>108</v>
      </c>
      <c r="I133">
        <f t="shared" si="12"/>
        <v>0</v>
      </c>
      <c r="J133">
        <f t="shared" si="13"/>
        <v>1</v>
      </c>
      <c r="K133">
        <f t="shared" si="14"/>
        <v>12</v>
      </c>
    </row>
    <row r="134" spans="1:11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10"/>
        <v>65</v>
      </c>
      <c r="H134">
        <f t="shared" si="11"/>
        <v>108</v>
      </c>
      <c r="I134">
        <f t="shared" si="12"/>
        <v>0</v>
      </c>
      <c r="J134">
        <f t="shared" si="13"/>
        <v>39</v>
      </c>
      <c r="K134">
        <f t="shared" si="14"/>
        <v>12</v>
      </c>
    </row>
    <row r="135" spans="1:11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10"/>
        <v>65</v>
      </c>
      <c r="H135">
        <f t="shared" si="11"/>
        <v>108</v>
      </c>
      <c r="I135">
        <f t="shared" si="12"/>
        <v>0</v>
      </c>
      <c r="J135">
        <f t="shared" si="13"/>
        <v>1</v>
      </c>
      <c r="K135">
        <f t="shared" si="14"/>
        <v>12</v>
      </c>
    </row>
    <row r="136" spans="1:11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10"/>
        <v>65</v>
      </c>
      <c r="H136">
        <f t="shared" si="11"/>
        <v>64</v>
      </c>
      <c r="I136">
        <f t="shared" si="12"/>
        <v>0</v>
      </c>
      <c r="J136">
        <f t="shared" si="13"/>
        <v>1</v>
      </c>
      <c r="K136">
        <f t="shared" si="14"/>
        <v>12</v>
      </c>
    </row>
    <row r="137" spans="1:11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10"/>
        <v>86</v>
      </c>
      <c r="H137">
        <f t="shared" si="11"/>
        <v>64</v>
      </c>
      <c r="I137">
        <f t="shared" si="12"/>
        <v>0</v>
      </c>
      <c r="J137">
        <f t="shared" si="13"/>
        <v>1</v>
      </c>
      <c r="K137">
        <f t="shared" si="14"/>
        <v>12</v>
      </c>
    </row>
    <row r="138" spans="1:11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10"/>
        <v>86</v>
      </c>
      <c r="H138">
        <f t="shared" si="11"/>
        <v>64</v>
      </c>
      <c r="I138">
        <f t="shared" si="12"/>
        <v>0</v>
      </c>
      <c r="J138">
        <f t="shared" si="13"/>
        <v>1</v>
      </c>
      <c r="K138">
        <f t="shared" si="14"/>
        <v>22</v>
      </c>
    </row>
    <row r="139" spans="1:11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10"/>
        <v>86</v>
      </c>
      <c r="H139">
        <f t="shared" si="11"/>
        <v>49</v>
      </c>
      <c r="I139">
        <f t="shared" si="12"/>
        <v>0</v>
      </c>
      <c r="J139">
        <f t="shared" si="13"/>
        <v>1</v>
      </c>
      <c r="K139">
        <f t="shared" si="14"/>
        <v>22</v>
      </c>
    </row>
    <row r="140" spans="1:11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10"/>
        <v>86</v>
      </c>
      <c r="H140">
        <f t="shared" si="11"/>
        <v>49</v>
      </c>
      <c r="I140">
        <f t="shared" si="12"/>
        <v>0</v>
      </c>
      <c r="J140">
        <f t="shared" si="13"/>
        <v>1</v>
      </c>
      <c r="K140">
        <f t="shared" si="14"/>
        <v>0</v>
      </c>
    </row>
    <row r="141" spans="1:11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10"/>
        <v>86</v>
      </c>
      <c r="H141">
        <f t="shared" si="11"/>
        <v>49</v>
      </c>
      <c r="I141">
        <f t="shared" si="12"/>
        <v>0</v>
      </c>
      <c r="J141">
        <f t="shared" si="13"/>
        <v>10</v>
      </c>
      <c r="K141">
        <f t="shared" si="14"/>
        <v>0</v>
      </c>
    </row>
    <row r="142" spans="1:11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10"/>
        <v>86</v>
      </c>
      <c r="H142">
        <f t="shared" si="11"/>
        <v>49</v>
      </c>
      <c r="I142">
        <f t="shared" si="12"/>
        <v>6</v>
      </c>
      <c r="J142">
        <f t="shared" si="13"/>
        <v>10</v>
      </c>
      <c r="K142">
        <f t="shared" si="14"/>
        <v>0</v>
      </c>
    </row>
    <row r="143" spans="1:11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10"/>
        <v>90</v>
      </c>
      <c r="H143">
        <f t="shared" si="11"/>
        <v>49</v>
      </c>
      <c r="I143">
        <f t="shared" si="12"/>
        <v>6</v>
      </c>
      <c r="J143">
        <f t="shared" si="13"/>
        <v>10</v>
      </c>
      <c r="K143">
        <f t="shared" si="14"/>
        <v>0</v>
      </c>
    </row>
    <row r="144" spans="1:11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10"/>
        <v>90</v>
      </c>
      <c r="H144">
        <f t="shared" si="11"/>
        <v>49</v>
      </c>
      <c r="I144">
        <f t="shared" si="12"/>
        <v>0</v>
      </c>
      <c r="J144">
        <f t="shared" si="13"/>
        <v>10</v>
      </c>
      <c r="K144">
        <f t="shared" si="14"/>
        <v>0</v>
      </c>
    </row>
    <row r="145" spans="1:11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10"/>
        <v>90</v>
      </c>
      <c r="H145">
        <f t="shared" si="11"/>
        <v>49</v>
      </c>
      <c r="I145">
        <f t="shared" si="12"/>
        <v>0</v>
      </c>
      <c r="J145">
        <f t="shared" si="13"/>
        <v>58</v>
      </c>
      <c r="K145">
        <f t="shared" si="14"/>
        <v>0</v>
      </c>
    </row>
    <row r="146" spans="1:11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10"/>
        <v>90</v>
      </c>
      <c r="H146">
        <f t="shared" si="11"/>
        <v>49</v>
      </c>
      <c r="I146">
        <f t="shared" si="12"/>
        <v>0</v>
      </c>
      <c r="J146">
        <f t="shared" si="13"/>
        <v>58</v>
      </c>
      <c r="K146">
        <f t="shared" si="14"/>
        <v>34</v>
      </c>
    </row>
    <row r="147" spans="1:11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10"/>
        <v>90</v>
      </c>
      <c r="H147">
        <f t="shared" si="11"/>
        <v>0</v>
      </c>
      <c r="I147">
        <f t="shared" si="12"/>
        <v>0</v>
      </c>
      <c r="J147">
        <f t="shared" si="13"/>
        <v>58</v>
      </c>
      <c r="K147">
        <f t="shared" si="14"/>
        <v>34</v>
      </c>
    </row>
    <row r="148" spans="1:11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10"/>
        <v>100</v>
      </c>
      <c r="H148">
        <f t="shared" si="11"/>
        <v>0</v>
      </c>
      <c r="I148">
        <f t="shared" si="12"/>
        <v>0</v>
      </c>
      <c r="J148">
        <f t="shared" si="13"/>
        <v>58</v>
      </c>
      <c r="K148">
        <f t="shared" si="14"/>
        <v>34</v>
      </c>
    </row>
    <row r="149" spans="1:11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10"/>
        <v>100</v>
      </c>
      <c r="H149">
        <f t="shared" si="11"/>
        <v>0</v>
      </c>
      <c r="I149">
        <f t="shared" si="12"/>
        <v>47</v>
      </c>
      <c r="J149">
        <f t="shared" si="13"/>
        <v>58</v>
      </c>
      <c r="K149">
        <f t="shared" si="14"/>
        <v>34</v>
      </c>
    </row>
    <row r="150" spans="1:11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10"/>
        <v>100</v>
      </c>
      <c r="H150">
        <f t="shared" si="11"/>
        <v>0</v>
      </c>
      <c r="I150">
        <f t="shared" si="12"/>
        <v>47</v>
      </c>
      <c r="J150">
        <f t="shared" si="13"/>
        <v>106</v>
      </c>
      <c r="K150">
        <f t="shared" si="14"/>
        <v>34</v>
      </c>
    </row>
    <row r="151" spans="1:11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10"/>
        <v>100</v>
      </c>
      <c r="H151">
        <f t="shared" si="11"/>
        <v>0</v>
      </c>
      <c r="I151">
        <f t="shared" si="12"/>
        <v>47</v>
      </c>
      <c r="J151">
        <f t="shared" si="13"/>
        <v>106</v>
      </c>
      <c r="K151">
        <f t="shared" si="14"/>
        <v>0</v>
      </c>
    </row>
    <row r="152" spans="1:11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10"/>
        <v>105</v>
      </c>
      <c r="H152">
        <f t="shared" si="11"/>
        <v>0</v>
      </c>
      <c r="I152">
        <f t="shared" si="12"/>
        <v>47</v>
      </c>
      <c r="J152">
        <f t="shared" si="13"/>
        <v>106</v>
      </c>
      <c r="K152">
        <f t="shared" si="14"/>
        <v>0</v>
      </c>
    </row>
    <row r="153" spans="1:11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10"/>
        <v>105</v>
      </c>
      <c r="H153">
        <f t="shared" si="11"/>
        <v>0</v>
      </c>
      <c r="I153">
        <f t="shared" si="12"/>
        <v>1</v>
      </c>
      <c r="J153">
        <f t="shared" si="13"/>
        <v>106</v>
      </c>
      <c r="K153">
        <f t="shared" si="14"/>
        <v>0</v>
      </c>
    </row>
    <row r="154" spans="1:11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10"/>
        <v>105</v>
      </c>
      <c r="H154">
        <f t="shared" si="11"/>
        <v>0</v>
      </c>
      <c r="I154">
        <f t="shared" si="12"/>
        <v>1</v>
      </c>
      <c r="J154">
        <f t="shared" si="13"/>
        <v>155</v>
      </c>
      <c r="K154">
        <f t="shared" si="14"/>
        <v>0</v>
      </c>
    </row>
    <row r="155" spans="1:11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10"/>
        <v>121</v>
      </c>
      <c r="H155">
        <f t="shared" si="11"/>
        <v>0</v>
      </c>
      <c r="I155">
        <f t="shared" si="12"/>
        <v>1</v>
      </c>
      <c r="J155">
        <f t="shared" si="13"/>
        <v>155</v>
      </c>
      <c r="K155">
        <f t="shared" si="14"/>
        <v>0</v>
      </c>
    </row>
    <row r="156" spans="1:11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10"/>
        <v>121</v>
      </c>
      <c r="H156">
        <f t="shared" si="11"/>
        <v>0</v>
      </c>
      <c r="I156">
        <f t="shared" si="12"/>
        <v>1</v>
      </c>
      <c r="J156">
        <f t="shared" si="13"/>
        <v>155</v>
      </c>
      <c r="K156">
        <f t="shared" si="14"/>
        <v>5</v>
      </c>
    </row>
    <row r="157" spans="1:11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10"/>
        <v>121</v>
      </c>
      <c r="H157">
        <f t="shared" si="11"/>
        <v>0</v>
      </c>
      <c r="I157">
        <f t="shared" si="12"/>
        <v>0</v>
      </c>
      <c r="J157">
        <f t="shared" si="13"/>
        <v>155</v>
      </c>
      <c r="K157">
        <f t="shared" si="14"/>
        <v>5</v>
      </c>
    </row>
    <row r="158" spans="1:11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10"/>
        <v>155</v>
      </c>
      <c r="H158">
        <f t="shared" si="11"/>
        <v>0</v>
      </c>
      <c r="I158">
        <f t="shared" si="12"/>
        <v>0</v>
      </c>
      <c r="J158">
        <f t="shared" si="13"/>
        <v>155</v>
      </c>
      <c r="K158">
        <f t="shared" si="14"/>
        <v>5</v>
      </c>
    </row>
    <row r="159" spans="1:11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10"/>
        <v>155</v>
      </c>
      <c r="H159">
        <f t="shared" si="11"/>
        <v>0</v>
      </c>
      <c r="I159">
        <f t="shared" si="12"/>
        <v>0</v>
      </c>
      <c r="J159">
        <f t="shared" si="13"/>
        <v>184</v>
      </c>
      <c r="K159">
        <f t="shared" si="14"/>
        <v>5</v>
      </c>
    </row>
    <row r="160" spans="1:11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10"/>
        <v>155</v>
      </c>
      <c r="H160">
        <f t="shared" si="11"/>
        <v>34</v>
      </c>
      <c r="I160">
        <f t="shared" si="12"/>
        <v>0</v>
      </c>
      <c r="J160">
        <f t="shared" si="13"/>
        <v>184</v>
      </c>
      <c r="K160">
        <f t="shared" si="14"/>
        <v>5</v>
      </c>
    </row>
    <row r="161" spans="1:11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10"/>
        <v>155</v>
      </c>
      <c r="H161">
        <f t="shared" si="11"/>
        <v>34</v>
      </c>
      <c r="I161">
        <f t="shared" si="12"/>
        <v>27</v>
      </c>
      <c r="J161">
        <f t="shared" si="13"/>
        <v>184</v>
      </c>
      <c r="K161">
        <f t="shared" si="14"/>
        <v>5</v>
      </c>
    </row>
    <row r="162" spans="1:11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10"/>
        <v>195</v>
      </c>
      <c r="H162">
        <f t="shared" si="11"/>
        <v>34</v>
      </c>
      <c r="I162">
        <f t="shared" si="12"/>
        <v>27</v>
      </c>
      <c r="J162">
        <f t="shared" si="13"/>
        <v>184</v>
      </c>
      <c r="K162">
        <f t="shared" si="14"/>
        <v>5</v>
      </c>
    </row>
    <row r="163" spans="1:11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10"/>
        <v>195</v>
      </c>
      <c r="H163">
        <f t="shared" si="11"/>
        <v>34</v>
      </c>
      <c r="I163">
        <f t="shared" si="12"/>
        <v>27</v>
      </c>
      <c r="J163">
        <f t="shared" si="13"/>
        <v>0</v>
      </c>
      <c r="K163">
        <f t="shared" si="14"/>
        <v>5</v>
      </c>
    </row>
    <row r="164" spans="1:11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10"/>
        <v>195</v>
      </c>
      <c r="H164">
        <f t="shared" si="11"/>
        <v>34</v>
      </c>
      <c r="I164">
        <f t="shared" si="12"/>
        <v>27</v>
      </c>
      <c r="J164">
        <f t="shared" si="13"/>
        <v>0</v>
      </c>
      <c r="K164">
        <f t="shared" si="14"/>
        <v>53</v>
      </c>
    </row>
    <row r="165" spans="1:11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10"/>
        <v>195</v>
      </c>
      <c r="H165">
        <f t="shared" si="11"/>
        <v>55</v>
      </c>
      <c r="I165">
        <f t="shared" si="12"/>
        <v>27</v>
      </c>
      <c r="J165">
        <f t="shared" si="13"/>
        <v>0</v>
      </c>
      <c r="K165">
        <f t="shared" si="14"/>
        <v>53</v>
      </c>
    </row>
    <row r="166" spans="1:11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10"/>
        <v>195</v>
      </c>
      <c r="H166">
        <f t="shared" si="11"/>
        <v>55</v>
      </c>
      <c r="I166">
        <f t="shared" si="12"/>
        <v>27</v>
      </c>
      <c r="J166">
        <f t="shared" si="13"/>
        <v>47</v>
      </c>
      <c r="K166">
        <f t="shared" si="14"/>
        <v>53</v>
      </c>
    </row>
    <row r="167" spans="1:11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10"/>
        <v>195</v>
      </c>
      <c r="H167">
        <f t="shared" si="11"/>
        <v>61</v>
      </c>
      <c r="I167">
        <f t="shared" si="12"/>
        <v>27</v>
      </c>
      <c r="J167">
        <f t="shared" si="13"/>
        <v>47</v>
      </c>
      <c r="K167">
        <f t="shared" si="14"/>
        <v>53</v>
      </c>
    </row>
    <row r="168" spans="1:11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10"/>
        <v>195</v>
      </c>
      <c r="H168">
        <f t="shared" si="11"/>
        <v>61</v>
      </c>
      <c r="I168">
        <f t="shared" si="12"/>
        <v>27</v>
      </c>
      <c r="J168">
        <f t="shared" si="13"/>
        <v>47</v>
      </c>
      <c r="K168">
        <f t="shared" si="14"/>
        <v>100</v>
      </c>
    </row>
    <row r="169" spans="1:11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10"/>
        <v>3</v>
      </c>
      <c r="H169">
        <f t="shared" si="11"/>
        <v>61</v>
      </c>
      <c r="I169">
        <f t="shared" si="12"/>
        <v>27</v>
      </c>
      <c r="J169">
        <f t="shared" si="13"/>
        <v>47</v>
      </c>
      <c r="K169">
        <f t="shared" si="14"/>
        <v>100</v>
      </c>
    </row>
    <row r="170" spans="1:11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10"/>
        <v>3</v>
      </c>
      <c r="H170">
        <f t="shared" si="11"/>
        <v>13</v>
      </c>
      <c r="I170">
        <f t="shared" si="12"/>
        <v>27</v>
      </c>
      <c r="J170">
        <f t="shared" si="13"/>
        <v>47</v>
      </c>
      <c r="K170">
        <f t="shared" si="14"/>
        <v>100</v>
      </c>
    </row>
    <row r="171" spans="1:11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10"/>
        <v>3</v>
      </c>
      <c r="H171">
        <f t="shared" si="11"/>
        <v>13</v>
      </c>
      <c r="I171">
        <f t="shared" si="12"/>
        <v>27</v>
      </c>
      <c r="J171">
        <f t="shared" si="13"/>
        <v>65</v>
      </c>
      <c r="K171">
        <f t="shared" si="14"/>
        <v>100</v>
      </c>
    </row>
    <row r="172" spans="1:11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10"/>
        <v>3</v>
      </c>
      <c r="H172">
        <f t="shared" si="11"/>
        <v>13</v>
      </c>
      <c r="I172">
        <f t="shared" si="12"/>
        <v>27</v>
      </c>
      <c r="J172">
        <f t="shared" si="13"/>
        <v>65</v>
      </c>
      <c r="K172">
        <f t="shared" si="14"/>
        <v>125</v>
      </c>
    </row>
    <row r="173" spans="1:11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10"/>
        <v>3</v>
      </c>
      <c r="H173">
        <f t="shared" si="11"/>
        <v>13</v>
      </c>
      <c r="I173">
        <f t="shared" si="12"/>
        <v>29</v>
      </c>
      <c r="J173">
        <f t="shared" si="13"/>
        <v>65</v>
      </c>
      <c r="K173">
        <f t="shared" si="14"/>
        <v>125</v>
      </c>
    </row>
    <row r="174" spans="1:11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10"/>
        <v>3</v>
      </c>
      <c r="H174">
        <f t="shared" si="11"/>
        <v>0</v>
      </c>
      <c r="I174">
        <f t="shared" si="12"/>
        <v>29</v>
      </c>
      <c r="J174">
        <f t="shared" si="13"/>
        <v>65</v>
      </c>
      <c r="K174">
        <f t="shared" si="14"/>
        <v>125</v>
      </c>
    </row>
    <row r="175" spans="1:11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10"/>
        <v>3</v>
      </c>
      <c r="H175">
        <f t="shared" si="11"/>
        <v>0</v>
      </c>
      <c r="I175">
        <f t="shared" si="12"/>
        <v>29</v>
      </c>
      <c r="J175">
        <f t="shared" si="13"/>
        <v>65</v>
      </c>
      <c r="K175">
        <f t="shared" si="14"/>
        <v>4</v>
      </c>
    </row>
    <row r="176" spans="1:11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10"/>
        <v>3</v>
      </c>
      <c r="H176">
        <f t="shared" si="11"/>
        <v>0</v>
      </c>
      <c r="I176">
        <f t="shared" si="12"/>
        <v>59</v>
      </c>
      <c r="J176">
        <f t="shared" si="13"/>
        <v>65</v>
      </c>
      <c r="K176">
        <f t="shared" si="14"/>
        <v>4</v>
      </c>
    </row>
    <row r="177" spans="1:11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10"/>
        <v>49</v>
      </c>
      <c r="H177">
        <f t="shared" si="11"/>
        <v>0</v>
      </c>
      <c r="I177">
        <f t="shared" si="12"/>
        <v>59</v>
      </c>
      <c r="J177">
        <f t="shared" si="13"/>
        <v>65</v>
      </c>
      <c r="K177">
        <f t="shared" si="14"/>
        <v>4</v>
      </c>
    </row>
    <row r="178" spans="1:11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10"/>
        <v>0</v>
      </c>
      <c r="H178">
        <f t="shared" si="11"/>
        <v>0</v>
      </c>
      <c r="I178">
        <f t="shared" si="12"/>
        <v>59</v>
      </c>
      <c r="J178">
        <f t="shared" si="13"/>
        <v>65</v>
      </c>
      <c r="K178">
        <f t="shared" si="14"/>
        <v>4</v>
      </c>
    </row>
    <row r="179" spans="1:11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10"/>
        <v>0</v>
      </c>
      <c r="H179">
        <f t="shared" si="11"/>
        <v>0</v>
      </c>
      <c r="I179">
        <f t="shared" si="12"/>
        <v>59</v>
      </c>
      <c r="J179">
        <f t="shared" si="13"/>
        <v>4</v>
      </c>
      <c r="K179">
        <f t="shared" si="14"/>
        <v>4</v>
      </c>
    </row>
    <row r="180" spans="1:11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10"/>
        <v>0</v>
      </c>
      <c r="H180">
        <f t="shared" si="11"/>
        <v>0</v>
      </c>
      <c r="I180">
        <f t="shared" si="12"/>
        <v>78</v>
      </c>
      <c r="J180">
        <f t="shared" si="13"/>
        <v>4</v>
      </c>
      <c r="K180">
        <f t="shared" si="14"/>
        <v>4</v>
      </c>
    </row>
    <row r="181" spans="1:11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10"/>
        <v>0</v>
      </c>
      <c r="H181">
        <f t="shared" si="11"/>
        <v>0</v>
      </c>
      <c r="I181">
        <f t="shared" si="12"/>
        <v>78</v>
      </c>
      <c r="J181">
        <f t="shared" si="13"/>
        <v>4</v>
      </c>
      <c r="K181">
        <f t="shared" si="14"/>
        <v>26</v>
      </c>
    </row>
    <row r="182" spans="1:11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10"/>
        <v>0</v>
      </c>
      <c r="H182">
        <f t="shared" si="11"/>
        <v>9</v>
      </c>
      <c r="I182">
        <f t="shared" si="12"/>
        <v>78</v>
      </c>
      <c r="J182">
        <f t="shared" si="13"/>
        <v>4</v>
      </c>
      <c r="K182">
        <f t="shared" si="14"/>
        <v>26</v>
      </c>
    </row>
    <row r="183" spans="1:11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10"/>
        <v>0</v>
      </c>
      <c r="H183">
        <f t="shared" si="11"/>
        <v>9</v>
      </c>
      <c r="I183">
        <f t="shared" si="12"/>
        <v>78</v>
      </c>
      <c r="J183">
        <f t="shared" si="13"/>
        <v>0</v>
      </c>
      <c r="K183">
        <f t="shared" si="14"/>
        <v>26</v>
      </c>
    </row>
    <row r="184" spans="1:11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10"/>
        <v>0</v>
      </c>
      <c r="H184">
        <f t="shared" si="11"/>
        <v>9</v>
      </c>
      <c r="I184">
        <f t="shared" si="12"/>
        <v>86</v>
      </c>
      <c r="J184">
        <f t="shared" si="13"/>
        <v>0</v>
      </c>
      <c r="K184">
        <f t="shared" si="14"/>
        <v>26</v>
      </c>
    </row>
    <row r="185" spans="1:11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10"/>
        <v>47</v>
      </c>
      <c r="H185">
        <f t="shared" si="11"/>
        <v>9</v>
      </c>
      <c r="I185">
        <f t="shared" si="12"/>
        <v>86</v>
      </c>
      <c r="J185">
        <f t="shared" si="13"/>
        <v>0</v>
      </c>
      <c r="K185">
        <f t="shared" si="14"/>
        <v>26</v>
      </c>
    </row>
    <row r="186" spans="1:11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10"/>
        <v>47</v>
      </c>
      <c r="H186">
        <f t="shared" si="11"/>
        <v>9</v>
      </c>
      <c r="I186">
        <f t="shared" si="12"/>
        <v>4</v>
      </c>
      <c r="J186">
        <f t="shared" si="13"/>
        <v>0</v>
      </c>
      <c r="K186">
        <f t="shared" si="14"/>
        <v>26</v>
      </c>
    </row>
    <row r="187" spans="1:11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10"/>
        <v>47</v>
      </c>
      <c r="H187">
        <f t="shared" si="11"/>
        <v>9</v>
      </c>
      <c r="I187">
        <f t="shared" si="12"/>
        <v>4</v>
      </c>
      <c r="J187">
        <f t="shared" si="13"/>
        <v>0</v>
      </c>
      <c r="K187">
        <f t="shared" si="14"/>
        <v>0</v>
      </c>
    </row>
    <row r="188" spans="1:11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10"/>
        <v>71</v>
      </c>
      <c r="H188">
        <f t="shared" si="11"/>
        <v>9</v>
      </c>
      <c r="I188">
        <f t="shared" si="12"/>
        <v>4</v>
      </c>
      <c r="J188">
        <f t="shared" si="13"/>
        <v>0</v>
      </c>
      <c r="K188">
        <f t="shared" si="14"/>
        <v>0</v>
      </c>
    </row>
    <row r="189" spans="1:11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10"/>
        <v>71</v>
      </c>
      <c r="H189">
        <f t="shared" si="11"/>
        <v>45</v>
      </c>
      <c r="I189">
        <f t="shared" si="12"/>
        <v>4</v>
      </c>
      <c r="J189">
        <f t="shared" si="13"/>
        <v>0</v>
      </c>
      <c r="K189">
        <f t="shared" si="14"/>
        <v>0</v>
      </c>
    </row>
    <row r="190" spans="1:11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10"/>
        <v>71</v>
      </c>
      <c r="H190">
        <f t="shared" si="11"/>
        <v>45</v>
      </c>
      <c r="I190">
        <f t="shared" si="12"/>
        <v>4</v>
      </c>
      <c r="J190">
        <f t="shared" si="13"/>
        <v>6</v>
      </c>
      <c r="K190">
        <f t="shared" si="14"/>
        <v>0</v>
      </c>
    </row>
    <row r="191" spans="1:11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10"/>
        <v>71</v>
      </c>
      <c r="H191">
        <f t="shared" si="11"/>
        <v>0</v>
      </c>
      <c r="I191">
        <f t="shared" si="12"/>
        <v>4</v>
      </c>
      <c r="J191">
        <f t="shared" si="13"/>
        <v>6</v>
      </c>
      <c r="K191">
        <f t="shared" si="14"/>
        <v>0</v>
      </c>
    </row>
    <row r="192" spans="1:11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10"/>
        <v>89</v>
      </c>
      <c r="H192">
        <f t="shared" si="11"/>
        <v>0</v>
      </c>
      <c r="I192">
        <f t="shared" si="12"/>
        <v>4</v>
      </c>
      <c r="J192">
        <f t="shared" si="13"/>
        <v>6</v>
      </c>
      <c r="K192">
        <f t="shared" si="14"/>
        <v>0</v>
      </c>
    </row>
    <row r="193" spans="1:11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10"/>
        <v>89</v>
      </c>
      <c r="H193">
        <f t="shared" si="11"/>
        <v>0</v>
      </c>
      <c r="I193">
        <f t="shared" si="12"/>
        <v>4</v>
      </c>
      <c r="J193">
        <f t="shared" si="13"/>
        <v>6</v>
      </c>
      <c r="K193">
        <f t="shared" si="14"/>
        <v>20</v>
      </c>
    </row>
    <row r="194" spans="1:11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10"/>
        <v>89</v>
      </c>
      <c r="H194">
        <f t="shared" si="11"/>
        <v>0</v>
      </c>
      <c r="I194">
        <f t="shared" si="12"/>
        <v>0</v>
      </c>
      <c r="J194">
        <f t="shared" si="13"/>
        <v>6</v>
      </c>
      <c r="K194">
        <f t="shared" si="14"/>
        <v>20</v>
      </c>
    </row>
    <row r="195" spans="1:11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10"/>
        <v>89</v>
      </c>
      <c r="H195">
        <f t="shared" si="11"/>
        <v>0</v>
      </c>
      <c r="I195">
        <f t="shared" si="12"/>
        <v>0</v>
      </c>
      <c r="J195">
        <f t="shared" si="13"/>
        <v>6</v>
      </c>
      <c r="K195">
        <f t="shared" si="14"/>
        <v>68</v>
      </c>
    </row>
    <row r="196" spans="1:11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15">IF($C196="T1",G195+$E196*IF($D196="Z",1,-1),G195)</f>
        <v>89</v>
      </c>
      <c r="H196">
        <f t="shared" ref="H196:H203" si="16">IF($C196="T2",H195+$E196*IF($D196="Z",1,-1),H195)</f>
        <v>0</v>
      </c>
      <c r="I196">
        <f t="shared" ref="I196:I203" si="17">IF($C196="T3",I195+$E196*IF($D196="Z",1,-1),I195)</f>
        <v>0</v>
      </c>
      <c r="J196">
        <f t="shared" ref="J196:J203" si="18">IF($C196="T4",J195+$E196*IF($D196="Z",1,-1),J195)</f>
        <v>6</v>
      </c>
      <c r="K196">
        <f t="shared" ref="K196:K203" si="19">IF($C196="T5",K195+$E196*IF($D196="Z",1,-1),K195)</f>
        <v>4</v>
      </c>
    </row>
    <row r="197" spans="1:11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15"/>
        <v>89</v>
      </c>
      <c r="H197">
        <f t="shared" si="16"/>
        <v>0</v>
      </c>
      <c r="I197">
        <f t="shared" si="17"/>
        <v>0</v>
      </c>
      <c r="J197">
        <f t="shared" si="18"/>
        <v>49</v>
      </c>
      <c r="K197">
        <f t="shared" si="19"/>
        <v>4</v>
      </c>
    </row>
    <row r="198" spans="1:11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15"/>
        <v>89</v>
      </c>
      <c r="H198">
        <f t="shared" si="16"/>
        <v>24</v>
      </c>
      <c r="I198">
        <f t="shared" si="17"/>
        <v>0</v>
      </c>
      <c r="J198">
        <f t="shared" si="18"/>
        <v>49</v>
      </c>
      <c r="K198">
        <f t="shared" si="19"/>
        <v>4</v>
      </c>
    </row>
    <row r="199" spans="1:11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15"/>
        <v>89</v>
      </c>
      <c r="H199">
        <f t="shared" si="16"/>
        <v>24</v>
      </c>
      <c r="I199">
        <f t="shared" si="17"/>
        <v>0</v>
      </c>
      <c r="J199">
        <f t="shared" si="18"/>
        <v>49</v>
      </c>
      <c r="K199">
        <f t="shared" si="19"/>
        <v>0</v>
      </c>
    </row>
    <row r="200" spans="1:11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15"/>
        <v>89</v>
      </c>
      <c r="H200">
        <f t="shared" si="16"/>
        <v>24</v>
      </c>
      <c r="I200">
        <f t="shared" si="17"/>
        <v>35</v>
      </c>
      <c r="J200">
        <f t="shared" si="18"/>
        <v>49</v>
      </c>
      <c r="K200">
        <f t="shared" si="19"/>
        <v>0</v>
      </c>
    </row>
    <row r="201" spans="1:11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15"/>
        <v>130</v>
      </c>
      <c r="H201">
        <f t="shared" si="16"/>
        <v>24</v>
      </c>
      <c r="I201">
        <f t="shared" si="17"/>
        <v>35</v>
      </c>
      <c r="J201">
        <f t="shared" si="18"/>
        <v>49</v>
      </c>
      <c r="K201">
        <f t="shared" si="19"/>
        <v>0</v>
      </c>
    </row>
    <row r="202" spans="1:11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15"/>
        <v>130</v>
      </c>
      <c r="H202">
        <f t="shared" si="16"/>
        <v>24</v>
      </c>
      <c r="I202">
        <f t="shared" si="17"/>
        <v>35</v>
      </c>
      <c r="J202">
        <f t="shared" si="18"/>
        <v>72</v>
      </c>
      <c r="K202">
        <f t="shared" si="19"/>
        <v>0</v>
      </c>
    </row>
    <row r="203" spans="1:11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15"/>
        <v>130</v>
      </c>
      <c r="H203">
        <f t="shared" si="16"/>
        <v>70</v>
      </c>
      <c r="I203">
        <f t="shared" si="17"/>
        <v>35</v>
      </c>
      <c r="J203">
        <f t="shared" si="18"/>
        <v>72</v>
      </c>
      <c r="K203">
        <f t="shared" si="19"/>
        <v>0</v>
      </c>
    </row>
  </sheetData>
  <pageMargins left="0.7" right="0.7" top="0.75" bottom="0.75" header="0.3" footer="0.3"/>
  <ignoredErrors>
    <ignoredError sqref="N5 N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topLeftCell="C1" workbookViewId="0">
      <selection activeCell="J4" sqref="J4:L34"/>
    </sheetView>
  </sheetViews>
  <sheetFormatPr defaultRowHeight="15" x14ac:dyDescent="0.25"/>
  <cols>
    <col min="1" max="1" width="10.140625" bestFit="1" customWidth="1"/>
    <col min="6" max="6" width="21.85546875" bestFit="1" customWidth="1"/>
    <col min="10" max="11" width="17.7109375" bestFit="1" customWidth="1"/>
    <col min="12" max="12" width="15.140625" customWidth="1"/>
    <col min="13" max="13" width="14.28515625" customWidth="1"/>
    <col min="14" max="14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J1" s="2" t="s">
        <v>2</v>
      </c>
      <c r="K1" t="s">
        <v>9</v>
      </c>
    </row>
    <row r="2" spans="1:13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 t="str">
        <f>CONCATENATE(YEAR(A2),"-",MONTH(A2))</f>
        <v>2016-1</v>
      </c>
    </row>
    <row r="3" spans="1:13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 t="str">
        <f t="shared" ref="G3:G66" si="0">CONCATENATE(YEAR(A3),"-",MONTH(A3))</f>
        <v>2016-1</v>
      </c>
      <c r="J3" s="2" t="s">
        <v>32</v>
      </c>
      <c r="K3" s="2" t="s">
        <v>31</v>
      </c>
    </row>
    <row r="4" spans="1:13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 t="str">
        <f t="shared" si="0"/>
        <v>2016-1</v>
      </c>
      <c r="J4" s="2" t="s">
        <v>64</v>
      </c>
      <c r="K4" t="s">
        <v>14</v>
      </c>
      <c r="L4" t="s">
        <v>8</v>
      </c>
      <c r="M4" t="s">
        <v>23</v>
      </c>
    </row>
    <row r="5" spans="1:13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 t="str">
        <f t="shared" si="0"/>
        <v>2016-1</v>
      </c>
      <c r="J5" s="3" t="s">
        <v>34</v>
      </c>
      <c r="K5" s="4">
        <v>32</v>
      </c>
      <c r="L5" s="4">
        <v>76</v>
      </c>
      <c r="M5" s="4">
        <v>108</v>
      </c>
    </row>
    <row r="6" spans="1:13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 t="str">
        <f t="shared" si="0"/>
        <v>2016-1</v>
      </c>
      <c r="J6" s="3" t="s">
        <v>35</v>
      </c>
      <c r="K6" s="4"/>
      <c r="L6" s="4">
        <v>30</v>
      </c>
      <c r="M6" s="4">
        <v>30</v>
      </c>
    </row>
    <row r="7" spans="1:13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 t="str">
        <f t="shared" si="0"/>
        <v>2016-1</v>
      </c>
      <c r="J7" s="3" t="s">
        <v>36</v>
      </c>
      <c r="K7" s="4"/>
      <c r="L7" s="4">
        <v>8</v>
      </c>
      <c r="M7" s="4">
        <v>8</v>
      </c>
    </row>
    <row r="8" spans="1:13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 t="str">
        <f t="shared" si="0"/>
        <v>2016-1</v>
      </c>
      <c r="J8" s="3" t="s">
        <v>37</v>
      </c>
      <c r="K8" s="4">
        <v>50</v>
      </c>
      <c r="L8" s="4"/>
      <c r="M8" s="4">
        <v>50</v>
      </c>
    </row>
    <row r="9" spans="1:13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 t="str">
        <f t="shared" si="0"/>
        <v>2016-1</v>
      </c>
      <c r="J9" s="3" t="s">
        <v>38</v>
      </c>
      <c r="K9" s="4"/>
      <c r="L9" s="4">
        <v>68</v>
      </c>
      <c r="M9" s="4">
        <v>68</v>
      </c>
    </row>
    <row r="10" spans="1:13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 t="str">
        <f t="shared" si="0"/>
        <v>2016-1</v>
      </c>
      <c r="J10" s="3" t="s">
        <v>39</v>
      </c>
      <c r="K10" s="4"/>
      <c r="L10" s="4">
        <v>42</v>
      </c>
      <c r="M10" s="4">
        <v>42</v>
      </c>
    </row>
    <row r="11" spans="1:13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 t="str">
        <f t="shared" si="0"/>
        <v>2016-1</v>
      </c>
      <c r="J11" s="3" t="s">
        <v>40</v>
      </c>
      <c r="K11" s="4"/>
      <c r="L11" s="4">
        <v>83</v>
      </c>
      <c r="M11" s="4">
        <v>83</v>
      </c>
    </row>
    <row r="12" spans="1:13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 t="str">
        <f t="shared" si="0"/>
        <v>2016-2</v>
      </c>
      <c r="J12" s="3" t="s">
        <v>41</v>
      </c>
      <c r="K12" s="4">
        <v>191</v>
      </c>
      <c r="L12" s="4"/>
      <c r="M12" s="4">
        <v>191</v>
      </c>
    </row>
    <row r="13" spans="1:1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 t="str">
        <f t="shared" si="0"/>
        <v>2016-2</v>
      </c>
      <c r="J13" s="3" t="s">
        <v>42</v>
      </c>
      <c r="K13" s="4">
        <v>4</v>
      </c>
      <c r="L13" s="4">
        <v>44</v>
      </c>
      <c r="M13" s="4">
        <v>48</v>
      </c>
    </row>
    <row r="14" spans="1:1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 t="str">
        <f t="shared" si="0"/>
        <v>2016-2</v>
      </c>
      <c r="J14" s="3" t="s">
        <v>43</v>
      </c>
      <c r="K14" s="4">
        <v>112</v>
      </c>
      <c r="L14" s="4">
        <v>39</v>
      </c>
      <c r="M14" s="4">
        <v>151</v>
      </c>
    </row>
    <row r="15" spans="1:1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 t="str">
        <f t="shared" si="0"/>
        <v>2016-2</v>
      </c>
      <c r="J15" s="3" t="s">
        <v>44</v>
      </c>
      <c r="K15" s="4">
        <v>6</v>
      </c>
      <c r="L15" s="4"/>
      <c r="M15" s="4">
        <v>6</v>
      </c>
    </row>
    <row r="16" spans="1:1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 t="str">
        <f t="shared" si="0"/>
        <v>2016-3</v>
      </c>
      <c r="J16" s="3" t="s">
        <v>45</v>
      </c>
      <c r="K16" s="4">
        <v>1</v>
      </c>
      <c r="L16" s="4">
        <v>12</v>
      </c>
      <c r="M16" s="4">
        <v>13</v>
      </c>
    </row>
    <row r="17" spans="1:13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 t="str">
        <f t="shared" si="0"/>
        <v>2016-3</v>
      </c>
      <c r="J17" s="3" t="s">
        <v>46</v>
      </c>
      <c r="K17" s="4">
        <v>1</v>
      </c>
      <c r="L17" s="4"/>
      <c r="M17" s="4">
        <v>1</v>
      </c>
    </row>
    <row r="18" spans="1:13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 t="str">
        <f t="shared" si="0"/>
        <v>2016-3</v>
      </c>
      <c r="J18" s="3" t="s">
        <v>47</v>
      </c>
      <c r="K18" s="4"/>
      <c r="L18" s="4">
        <v>35</v>
      </c>
      <c r="M18" s="4">
        <v>35</v>
      </c>
    </row>
    <row r="19" spans="1:13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 t="str">
        <f t="shared" si="0"/>
        <v>2016-3</v>
      </c>
      <c r="J19" s="3" t="s">
        <v>48</v>
      </c>
      <c r="K19" s="4"/>
      <c r="L19" s="4">
        <v>1</v>
      </c>
      <c r="M19" s="4">
        <v>1</v>
      </c>
    </row>
    <row r="20" spans="1:13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 t="str">
        <f t="shared" si="0"/>
        <v>2016-4</v>
      </c>
      <c r="J20" s="3" t="s">
        <v>49</v>
      </c>
      <c r="K20" s="4">
        <v>68</v>
      </c>
      <c r="L20" s="4">
        <v>33</v>
      </c>
      <c r="M20" s="4">
        <v>101</v>
      </c>
    </row>
    <row r="21" spans="1:13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 t="str">
        <f t="shared" si="0"/>
        <v>2016-4</v>
      </c>
      <c r="J21" s="3" t="s">
        <v>50</v>
      </c>
      <c r="K21" s="4"/>
      <c r="L21" s="4">
        <v>8</v>
      </c>
      <c r="M21" s="4">
        <v>8</v>
      </c>
    </row>
    <row r="22" spans="1:13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 t="str">
        <f t="shared" si="0"/>
        <v>2016-4</v>
      </c>
      <c r="J22" s="3" t="s">
        <v>51</v>
      </c>
      <c r="K22" s="4"/>
      <c r="L22" s="4">
        <v>42</v>
      </c>
      <c r="M22" s="4">
        <v>42</v>
      </c>
    </row>
    <row r="23" spans="1:13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 t="str">
        <f t="shared" si="0"/>
        <v>2016-4</v>
      </c>
      <c r="J23" s="3" t="s">
        <v>52</v>
      </c>
      <c r="K23" s="4">
        <v>48</v>
      </c>
      <c r="L23" s="4">
        <v>4</v>
      </c>
      <c r="M23" s="4">
        <v>52</v>
      </c>
    </row>
    <row r="24" spans="1:13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 t="str">
        <f t="shared" si="0"/>
        <v>2016-4</v>
      </c>
      <c r="J24" s="3" t="s">
        <v>53</v>
      </c>
      <c r="K24" s="4">
        <v>22</v>
      </c>
      <c r="L24" s="4">
        <v>10</v>
      </c>
      <c r="M24" s="4">
        <v>32</v>
      </c>
    </row>
    <row r="25" spans="1:13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 t="str">
        <f t="shared" si="0"/>
        <v>2016-4</v>
      </c>
      <c r="J25" s="3" t="s">
        <v>54</v>
      </c>
      <c r="K25" s="4"/>
      <c r="L25" s="4">
        <v>20</v>
      </c>
      <c r="M25" s="4">
        <v>20</v>
      </c>
    </row>
    <row r="26" spans="1:13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 t="str">
        <f t="shared" si="0"/>
        <v>2016-5</v>
      </c>
      <c r="J26" s="3" t="s">
        <v>55</v>
      </c>
      <c r="K26" s="4">
        <v>64</v>
      </c>
      <c r="L26" s="4">
        <v>48</v>
      </c>
      <c r="M26" s="4">
        <v>112</v>
      </c>
    </row>
    <row r="27" spans="1:13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 t="str">
        <f t="shared" si="0"/>
        <v>2016-5</v>
      </c>
      <c r="J27" s="3" t="s">
        <v>56</v>
      </c>
      <c r="K27" s="4">
        <v>4</v>
      </c>
      <c r="L27" s="4"/>
      <c r="M27" s="4">
        <v>4</v>
      </c>
    </row>
    <row r="28" spans="1:13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 t="str">
        <f t="shared" si="0"/>
        <v>2016-6</v>
      </c>
      <c r="J28" s="3" t="s">
        <v>57</v>
      </c>
      <c r="K28" s="4"/>
      <c r="L28" s="4">
        <v>34</v>
      </c>
      <c r="M28" s="4">
        <v>34</v>
      </c>
    </row>
    <row r="29" spans="1:13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 t="str">
        <f t="shared" si="0"/>
        <v>2016-6</v>
      </c>
      <c r="J29" s="3" t="s">
        <v>58</v>
      </c>
      <c r="K29" s="4">
        <v>34</v>
      </c>
      <c r="L29" s="4"/>
      <c r="M29" s="4">
        <v>34</v>
      </c>
    </row>
    <row r="30" spans="1:13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 t="str">
        <f t="shared" si="0"/>
        <v>2016-6</v>
      </c>
      <c r="J30" s="3" t="s">
        <v>59</v>
      </c>
      <c r="K30" s="4"/>
      <c r="L30" s="4">
        <v>5</v>
      </c>
      <c r="M30" s="4">
        <v>5</v>
      </c>
    </row>
    <row r="31" spans="1:13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 t="str">
        <f t="shared" si="0"/>
        <v>2016-6</v>
      </c>
      <c r="J31" s="3" t="s">
        <v>60</v>
      </c>
      <c r="K31" s="4"/>
      <c r="L31" s="4">
        <v>95</v>
      </c>
      <c r="M31" s="4">
        <v>95</v>
      </c>
    </row>
    <row r="32" spans="1:13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 t="str">
        <f t="shared" si="0"/>
        <v>2016-6</v>
      </c>
      <c r="J32" s="3" t="s">
        <v>61</v>
      </c>
      <c r="K32" s="4"/>
      <c r="L32" s="4">
        <v>25</v>
      </c>
      <c r="M32" s="4">
        <v>25</v>
      </c>
    </row>
    <row r="33" spans="1:13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 t="str">
        <f t="shared" si="0"/>
        <v>2016-6</v>
      </c>
      <c r="J33" s="3" t="s">
        <v>62</v>
      </c>
      <c r="K33" s="4">
        <v>121</v>
      </c>
      <c r="L33" s="4">
        <v>22</v>
      </c>
      <c r="M33" s="4">
        <v>143</v>
      </c>
    </row>
    <row r="34" spans="1:13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 t="str">
        <f t="shared" si="0"/>
        <v>2016-6</v>
      </c>
      <c r="J34" s="3" t="s">
        <v>63</v>
      </c>
      <c r="K34" s="4">
        <v>26</v>
      </c>
      <c r="L34" s="4"/>
      <c r="M34" s="4">
        <v>26</v>
      </c>
    </row>
    <row r="35" spans="1:13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 t="str">
        <f t="shared" si="0"/>
        <v>2016-6</v>
      </c>
      <c r="J35" s="3" t="s">
        <v>23</v>
      </c>
      <c r="K35" s="4">
        <v>784</v>
      </c>
      <c r="L35" s="4">
        <v>784</v>
      </c>
      <c r="M35" s="4">
        <v>1568</v>
      </c>
    </row>
    <row r="36" spans="1:13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 t="str">
        <f t="shared" si="0"/>
        <v>2016-6</v>
      </c>
    </row>
    <row r="37" spans="1:13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 t="str">
        <f t="shared" si="0"/>
        <v>2016-7</v>
      </c>
    </row>
    <row r="38" spans="1:13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 t="str">
        <f t="shared" si="0"/>
        <v>2016-7</v>
      </c>
    </row>
    <row r="39" spans="1:13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 t="str">
        <f t="shared" si="0"/>
        <v>2016-7</v>
      </c>
    </row>
    <row r="40" spans="1:13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 t="str">
        <f t="shared" si="0"/>
        <v>2016-7</v>
      </c>
    </row>
    <row r="41" spans="1:13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 t="str">
        <f t="shared" si="0"/>
        <v>2016-7</v>
      </c>
    </row>
    <row r="42" spans="1:13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 t="str">
        <f t="shared" si="0"/>
        <v>2016-7</v>
      </c>
    </row>
    <row r="43" spans="1:13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 t="str">
        <f t="shared" si="0"/>
        <v>2016-8</v>
      </c>
    </row>
    <row r="44" spans="1:13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 t="str">
        <f t="shared" si="0"/>
        <v>2016-8</v>
      </c>
    </row>
    <row r="45" spans="1:13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 t="str">
        <f t="shared" si="0"/>
        <v>2016-8</v>
      </c>
    </row>
    <row r="46" spans="1:13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 t="str">
        <f t="shared" si="0"/>
        <v>2016-9</v>
      </c>
    </row>
    <row r="47" spans="1:13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 t="str">
        <f t="shared" si="0"/>
        <v>2016-9</v>
      </c>
    </row>
    <row r="48" spans="1:13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 t="str">
        <f t="shared" si="0"/>
        <v>2016-9</v>
      </c>
    </row>
    <row r="49" spans="1:7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 t="str">
        <f t="shared" si="0"/>
        <v>2016-9</v>
      </c>
    </row>
    <row r="50" spans="1:7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 t="str">
        <f t="shared" si="0"/>
        <v>2016-9</v>
      </c>
    </row>
    <row r="51" spans="1:7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 t="str">
        <f t="shared" si="0"/>
        <v>2016-9</v>
      </c>
    </row>
    <row r="52" spans="1:7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 t="str">
        <f t="shared" si="0"/>
        <v>2016-9</v>
      </c>
    </row>
    <row r="53" spans="1:7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 t="str">
        <f t="shared" si="0"/>
        <v>2016-9</v>
      </c>
    </row>
    <row r="54" spans="1:7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 t="str">
        <f t="shared" si="0"/>
        <v>2016-9</v>
      </c>
    </row>
    <row r="55" spans="1:7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 t="str">
        <f t="shared" si="0"/>
        <v>2016-9</v>
      </c>
    </row>
    <row r="56" spans="1:7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 t="str">
        <f t="shared" si="0"/>
        <v>2016-10</v>
      </c>
    </row>
    <row r="57" spans="1:7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 t="str">
        <f t="shared" si="0"/>
        <v>2016-10</v>
      </c>
    </row>
    <row r="58" spans="1:7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 t="str">
        <f t="shared" si="0"/>
        <v>2016-10</v>
      </c>
    </row>
    <row r="59" spans="1:7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 t="str">
        <f t="shared" si="0"/>
        <v>2016-11</v>
      </c>
    </row>
    <row r="60" spans="1:7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 t="str">
        <f t="shared" si="0"/>
        <v>2016-11</v>
      </c>
    </row>
    <row r="61" spans="1:7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 t="str">
        <f t="shared" si="0"/>
        <v>2016-11</v>
      </c>
    </row>
    <row r="62" spans="1:7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 t="str">
        <f t="shared" si="0"/>
        <v>2016-11</v>
      </c>
    </row>
    <row r="63" spans="1:7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 t="str">
        <f t="shared" si="0"/>
        <v>2016-11</v>
      </c>
    </row>
    <row r="64" spans="1:7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 t="str">
        <f t="shared" si="0"/>
        <v>2016-11</v>
      </c>
    </row>
    <row r="65" spans="1:7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 t="str">
        <f t="shared" si="0"/>
        <v>2016-11</v>
      </c>
    </row>
    <row r="66" spans="1:7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 t="str">
        <f t="shared" si="0"/>
        <v>2016-12</v>
      </c>
    </row>
    <row r="67" spans="1:7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 t="str">
        <f t="shared" ref="G67:G130" si="1">CONCATENATE(YEAR(A67),"-",MONTH(A67))</f>
        <v>2016-12</v>
      </c>
    </row>
    <row r="68" spans="1:7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 t="str">
        <f t="shared" si="1"/>
        <v>2016-12</v>
      </c>
    </row>
    <row r="69" spans="1:7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 t="str">
        <f t="shared" si="1"/>
        <v>2017-1</v>
      </c>
    </row>
    <row r="70" spans="1:7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 t="str">
        <f t="shared" si="1"/>
        <v>2017-1</v>
      </c>
    </row>
    <row r="71" spans="1:7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 t="str">
        <f t="shared" si="1"/>
        <v>2017-1</v>
      </c>
    </row>
    <row r="72" spans="1:7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 t="str">
        <f t="shared" si="1"/>
        <v>2017-1</v>
      </c>
    </row>
    <row r="73" spans="1:7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 t="str">
        <f t="shared" si="1"/>
        <v>2017-1</v>
      </c>
    </row>
    <row r="74" spans="1:7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 t="str">
        <f t="shared" si="1"/>
        <v>2017-1</v>
      </c>
    </row>
    <row r="75" spans="1:7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 t="str">
        <f t="shared" si="1"/>
        <v>2017-1</v>
      </c>
    </row>
    <row r="76" spans="1:7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 t="str">
        <f t="shared" si="1"/>
        <v>2017-1</v>
      </c>
    </row>
    <row r="77" spans="1:7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 t="str">
        <f t="shared" si="1"/>
        <v>2017-2</v>
      </c>
    </row>
    <row r="78" spans="1:7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 t="str">
        <f t="shared" si="1"/>
        <v>2017-2</v>
      </c>
    </row>
    <row r="79" spans="1:7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 t="str">
        <f t="shared" si="1"/>
        <v>2017-2</v>
      </c>
    </row>
    <row r="80" spans="1:7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 t="str">
        <f t="shared" si="1"/>
        <v>2017-2</v>
      </c>
    </row>
    <row r="81" spans="1:7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 t="str">
        <f t="shared" si="1"/>
        <v>2017-2</v>
      </c>
    </row>
    <row r="82" spans="1:7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 t="str">
        <f t="shared" si="1"/>
        <v>2017-2</v>
      </c>
    </row>
    <row r="83" spans="1:7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 t="str">
        <f t="shared" si="1"/>
        <v>2017-3</v>
      </c>
    </row>
    <row r="84" spans="1:7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 t="str">
        <f t="shared" si="1"/>
        <v>2017-3</v>
      </c>
    </row>
    <row r="85" spans="1:7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 t="str">
        <f t="shared" si="1"/>
        <v>2017-3</v>
      </c>
    </row>
    <row r="86" spans="1:7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 t="str">
        <f t="shared" si="1"/>
        <v>2017-4</v>
      </c>
    </row>
    <row r="87" spans="1:7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 t="str">
        <f t="shared" si="1"/>
        <v>2017-4</v>
      </c>
    </row>
    <row r="88" spans="1:7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 t="str">
        <f t="shared" si="1"/>
        <v>2017-4</v>
      </c>
    </row>
    <row r="89" spans="1:7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 t="str">
        <f t="shared" si="1"/>
        <v>2017-4</v>
      </c>
    </row>
    <row r="90" spans="1:7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 t="str">
        <f t="shared" si="1"/>
        <v>2017-4</v>
      </c>
    </row>
    <row r="91" spans="1:7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 t="str">
        <f t="shared" si="1"/>
        <v>2017-5</v>
      </c>
    </row>
    <row r="92" spans="1:7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 t="str">
        <f t="shared" si="1"/>
        <v>2017-5</v>
      </c>
    </row>
    <row r="93" spans="1:7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 t="str">
        <f t="shared" si="1"/>
        <v>2017-5</v>
      </c>
    </row>
    <row r="94" spans="1:7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 t="str">
        <f t="shared" si="1"/>
        <v>2017-5</v>
      </c>
    </row>
    <row r="95" spans="1:7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 t="str">
        <f t="shared" si="1"/>
        <v>2017-5</v>
      </c>
    </row>
    <row r="96" spans="1:7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 t="str">
        <f t="shared" si="1"/>
        <v>2017-5</v>
      </c>
    </row>
    <row r="97" spans="1:7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 t="str">
        <f t="shared" si="1"/>
        <v>2017-5</v>
      </c>
    </row>
    <row r="98" spans="1:7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 t="str">
        <f t="shared" si="1"/>
        <v>2017-5</v>
      </c>
    </row>
    <row r="99" spans="1:7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 t="str">
        <f t="shared" si="1"/>
        <v>2017-5</v>
      </c>
    </row>
    <row r="100" spans="1:7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 t="str">
        <f t="shared" si="1"/>
        <v>2017-5</v>
      </c>
    </row>
    <row r="101" spans="1:7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 t="str">
        <f t="shared" si="1"/>
        <v>2017-6</v>
      </c>
    </row>
    <row r="102" spans="1:7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 t="str">
        <f t="shared" si="1"/>
        <v>2017-6</v>
      </c>
    </row>
    <row r="103" spans="1:7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 t="str">
        <f t="shared" si="1"/>
        <v>2017-6</v>
      </c>
    </row>
    <row r="104" spans="1:7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 t="str">
        <f t="shared" si="1"/>
        <v>2017-6</v>
      </c>
    </row>
    <row r="105" spans="1:7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 t="str">
        <f t="shared" si="1"/>
        <v>2017-6</v>
      </c>
    </row>
    <row r="106" spans="1:7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 t="str">
        <f t="shared" si="1"/>
        <v>2017-7</v>
      </c>
    </row>
    <row r="107" spans="1:7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 t="str">
        <f t="shared" si="1"/>
        <v>2017-7</v>
      </c>
    </row>
    <row r="108" spans="1:7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 t="str">
        <f t="shared" si="1"/>
        <v>2017-7</v>
      </c>
    </row>
    <row r="109" spans="1:7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 t="str">
        <f t="shared" si="1"/>
        <v>2017-7</v>
      </c>
    </row>
    <row r="110" spans="1:7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 t="str">
        <f t="shared" si="1"/>
        <v>2017-7</v>
      </c>
    </row>
    <row r="111" spans="1:7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 t="str">
        <f t="shared" si="1"/>
        <v>2017-7</v>
      </c>
    </row>
    <row r="112" spans="1:7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 t="str">
        <f t="shared" si="1"/>
        <v>2017-7</v>
      </c>
    </row>
    <row r="113" spans="1:7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 t="str">
        <f t="shared" si="1"/>
        <v>2017-8</v>
      </c>
    </row>
    <row r="114" spans="1:7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 t="str">
        <f t="shared" si="1"/>
        <v>2017-8</v>
      </c>
    </row>
    <row r="115" spans="1:7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 t="str">
        <f t="shared" si="1"/>
        <v>2017-8</v>
      </c>
    </row>
    <row r="116" spans="1:7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 t="str">
        <f t="shared" si="1"/>
        <v>2017-8</v>
      </c>
    </row>
    <row r="117" spans="1:7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 t="str">
        <f t="shared" si="1"/>
        <v>2017-8</v>
      </c>
    </row>
    <row r="118" spans="1:7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 t="str">
        <f t="shared" si="1"/>
        <v>2017-8</v>
      </c>
    </row>
    <row r="119" spans="1:7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 t="str">
        <f t="shared" si="1"/>
        <v>2017-8</v>
      </c>
    </row>
    <row r="120" spans="1:7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 t="str">
        <f t="shared" si="1"/>
        <v>2017-8</v>
      </c>
    </row>
    <row r="121" spans="1:7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 t="str">
        <f t="shared" si="1"/>
        <v>2017-9</v>
      </c>
    </row>
    <row r="122" spans="1:7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 t="str">
        <f t="shared" si="1"/>
        <v>2017-9</v>
      </c>
    </row>
    <row r="123" spans="1:7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 t="str">
        <f t="shared" si="1"/>
        <v>2017-10</v>
      </c>
    </row>
    <row r="124" spans="1:7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 t="str">
        <f t="shared" si="1"/>
        <v>2017-10</v>
      </c>
    </row>
    <row r="125" spans="1:7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 t="str">
        <f t="shared" si="1"/>
        <v>2017-11</v>
      </c>
    </row>
    <row r="126" spans="1:7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 t="str">
        <f t="shared" si="1"/>
        <v>2017-11</v>
      </c>
    </row>
    <row r="127" spans="1:7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 t="str">
        <f t="shared" si="1"/>
        <v>2017-11</v>
      </c>
    </row>
    <row r="128" spans="1:7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 t="str">
        <f t="shared" si="1"/>
        <v>2017-11</v>
      </c>
    </row>
    <row r="129" spans="1:7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 t="str">
        <f t="shared" si="1"/>
        <v>2017-11</v>
      </c>
    </row>
    <row r="130" spans="1:7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 t="str">
        <f t="shared" si="1"/>
        <v>2017-11</v>
      </c>
    </row>
    <row r="131" spans="1:7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 t="str">
        <f t="shared" ref="G131:G194" si="2">CONCATENATE(YEAR(A131),"-",MONTH(A131))</f>
        <v>2017-11</v>
      </c>
    </row>
    <row r="132" spans="1:7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 t="str">
        <f t="shared" si="2"/>
        <v>2017-12</v>
      </c>
    </row>
    <row r="133" spans="1:7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 t="str">
        <f t="shared" si="2"/>
        <v>2017-12</v>
      </c>
    </row>
    <row r="134" spans="1:7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 t="str">
        <f t="shared" si="2"/>
        <v>2017-12</v>
      </c>
    </row>
    <row r="135" spans="1:7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 t="str">
        <f t="shared" si="2"/>
        <v>2018-1</v>
      </c>
    </row>
    <row r="136" spans="1:7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 t="str">
        <f t="shared" si="2"/>
        <v>2018-1</v>
      </c>
    </row>
    <row r="137" spans="1:7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 t="str">
        <f t="shared" si="2"/>
        <v>2018-1</v>
      </c>
    </row>
    <row r="138" spans="1:7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 t="str">
        <f t="shared" si="2"/>
        <v>2018-1</v>
      </c>
    </row>
    <row r="139" spans="1:7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 t="str">
        <f t="shared" si="2"/>
        <v>2018-1</v>
      </c>
    </row>
    <row r="140" spans="1:7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 t="str">
        <f t="shared" si="2"/>
        <v>2018-1</v>
      </c>
    </row>
    <row r="141" spans="1:7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 t="str">
        <f t="shared" si="2"/>
        <v>2018-1</v>
      </c>
    </row>
    <row r="142" spans="1:7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 t="str">
        <f t="shared" si="2"/>
        <v>2018-1</v>
      </c>
    </row>
    <row r="143" spans="1:7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 t="str">
        <f t="shared" si="2"/>
        <v>2018-1</v>
      </c>
    </row>
    <row r="144" spans="1:7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 t="str">
        <f t="shared" si="2"/>
        <v>2018-1</v>
      </c>
    </row>
    <row r="145" spans="1:7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 t="str">
        <f t="shared" si="2"/>
        <v>2018-1</v>
      </c>
    </row>
    <row r="146" spans="1:7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 t="str">
        <f t="shared" si="2"/>
        <v>2018-2</v>
      </c>
    </row>
    <row r="147" spans="1:7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 t="str">
        <f t="shared" si="2"/>
        <v>2018-2</v>
      </c>
    </row>
    <row r="148" spans="1:7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 t="str">
        <f t="shared" si="2"/>
        <v>2018-2</v>
      </c>
    </row>
    <row r="149" spans="1:7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 t="str">
        <f t="shared" si="2"/>
        <v>2018-2</v>
      </c>
    </row>
    <row r="150" spans="1:7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 t="str">
        <f t="shared" si="2"/>
        <v>2018-2</v>
      </c>
    </row>
    <row r="151" spans="1:7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 t="str">
        <f t="shared" si="2"/>
        <v>2018-3</v>
      </c>
    </row>
    <row r="152" spans="1:7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 t="str">
        <f t="shared" si="2"/>
        <v>2018-3</v>
      </c>
    </row>
    <row r="153" spans="1:7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 t="str">
        <f t="shared" si="2"/>
        <v>2018-3</v>
      </c>
    </row>
    <row r="154" spans="1:7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 t="str">
        <f t="shared" si="2"/>
        <v>2018-3</v>
      </c>
    </row>
    <row r="155" spans="1:7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 t="str">
        <f t="shared" si="2"/>
        <v>2018-3</v>
      </c>
    </row>
    <row r="156" spans="1:7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 t="str">
        <f t="shared" si="2"/>
        <v>2018-4</v>
      </c>
    </row>
    <row r="157" spans="1:7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 t="str">
        <f t="shared" si="2"/>
        <v>2018-4</v>
      </c>
    </row>
    <row r="158" spans="1:7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 t="str">
        <f t="shared" si="2"/>
        <v>2018-4</v>
      </c>
    </row>
    <row r="159" spans="1:7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 t="str">
        <f t="shared" si="2"/>
        <v>2018-4</v>
      </c>
    </row>
    <row r="160" spans="1:7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 t="str">
        <f t="shared" si="2"/>
        <v>2018-5</v>
      </c>
    </row>
    <row r="161" spans="1:7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 t="str">
        <f t="shared" si="2"/>
        <v>2018-5</v>
      </c>
    </row>
    <row r="162" spans="1:7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 t="str">
        <f t="shared" si="2"/>
        <v>2018-5</v>
      </c>
    </row>
    <row r="163" spans="1:7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 t="str">
        <f t="shared" si="2"/>
        <v>2018-6</v>
      </c>
    </row>
    <row r="164" spans="1:7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 t="str">
        <f t="shared" si="2"/>
        <v>2018-6</v>
      </c>
    </row>
    <row r="165" spans="1:7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 t="str">
        <f t="shared" si="2"/>
        <v>2018-6</v>
      </c>
    </row>
    <row r="166" spans="1:7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 t="str">
        <f t="shared" si="2"/>
        <v>2018-6</v>
      </c>
    </row>
    <row r="167" spans="1:7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 t="str">
        <f t="shared" si="2"/>
        <v>2018-6</v>
      </c>
    </row>
    <row r="168" spans="1:7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 t="str">
        <f t="shared" si="2"/>
        <v>2018-6</v>
      </c>
    </row>
    <row r="169" spans="1:7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 t="str">
        <f t="shared" si="2"/>
        <v>2018-7</v>
      </c>
    </row>
    <row r="170" spans="1:7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 t="str">
        <f t="shared" si="2"/>
        <v>2018-7</v>
      </c>
    </row>
    <row r="171" spans="1:7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 t="str">
        <f t="shared" si="2"/>
        <v>2018-7</v>
      </c>
    </row>
    <row r="172" spans="1:7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 t="str">
        <f t="shared" si="2"/>
        <v>2018-7</v>
      </c>
    </row>
    <row r="173" spans="1:7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 t="str">
        <f t="shared" si="2"/>
        <v>2018-7</v>
      </c>
    </row>
    <row r="174" spans="1:7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 t="str">
        <f t="shared" si="2"/>
        <v>2018-8</v>
      </c>
    </row>
    <row r="175" spans="1:7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 t="str">
        <f t="shared" si="2"/>
        <v>2018-8</v>
      </c>
    </row>
    <row r="176" spans="1:7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 t="str">
        <f t="shared" si="2"/>
        <v>2018-8</v>
      </c>
    </row>
    <row r="177" spans="1:7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 t="str">
        <f t="shared" si="2"/>
        <v>2018-8</v>
      </c>
    </row>
    <row r="178" spans="1:7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 t="str">
        <f t="shared" si="2"/>
        <v>2018-8</v>
      </c>
    </row>
    <row r="179" spans="1:7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 t="str">
        <f t="shared" si="2"/>
        <v>2018-8</v>
      </c>
    </row>
    <row r="180" spans="1:7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 t="str">
        <f t="shared" si="2"/>
        <v>2018-8</v>
      </c>
    </row>
    <row r="181" spans="1:7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 t="str">
        <f t="shared" si="2"/>
        <v>2018-8</v>
      </c>
    </row>
    <row r="182" spans="1:7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 t="str">
        <f t="shared" si="2"/>
        <v>2018-9</v>
      </c>
    </row>
    <row r="183" spans="1:7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 t="str">
        <f t="shared" si="2"/>
        <v>2018-9</v>
      </c>
    </row>
    <row r="184" spans="1:7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 t="str">
        <f t="shared" si="2"/>
        <v>2018-9</v>
      </c>
    </row>
    <row r="185" spans="1:7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 t="str">
        <f t="shared" si="2"/>
        <v>2018-9</v>
      </c>
    </row>
    <row r="186" spans="1:7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 t="str">
        <f t="shared" si="2"/>
        <v>2018-9</v>
      </c>
    </row>
    <row r="187" spans="1:7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 t="str">
        <f t="shared" si="2"/>
        <v>2018-9</v>
      </c>
    </row>
    <row r="188" spans="1:7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 t="str">
        <f t="shared" si="2"/>
        <v>2018-9</v>
      </c>
    </row>
    <row r="189" spans="1:7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 t="str">
        <f t="shared" si="2"/>
        <v>2018-9</v>
      </c>
    </row>
    <row r="190" spans="1:7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 t="str">
        <f t="shared" si="2"/>
        <v>2018-9</v>
      </c>
    </row>
    <row r="191" spans="1:7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 t="str">
        <f t="shared" si="2"/>
        <v>2018-10</v>
      </c>
    </row>
    <row r="192" spans="1:7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 t="str">
        <f t="shared" si="2"/>
        <v>2018-10</v>
      </c>
    </row>
    <row r="193" spans="1:7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 t="str">
        <f t="shared" si="2"/>
        <v>2018-10</v>
      </c>
    </row>
    <row r="194" spans="1:7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 t="str">
        <f t="shared" si="2"/>
        <v>2018-11</v>
      </c>
    </row>
    <row r="195" spans="1:7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 t="str">
        <f t="shared" ref="G195:G203" si="3">CONCATENATE(YEAR(A195),"-",MONTH(A195))</f>
        <v>2018-11</v>
      </c>
    </row>
    <row r="196" spans="1:7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 t="str">
        <f t="shared" si="3"/>
        <v>2018-11</v>
      </c>
    </row>
    <row r="197" spans="1:7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 t="str">
        <f t="shared" si="3"/>
        <v>2018-11</v>
      </c>
    </row>
    <row r="198" spans="1:7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 t="str">
        <f t="shared" si="3"/>
        <v>2018-11</v>
      </c>
    </row>
    <row r="199" spans="1:7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 t="str">
        <f t="shared" si="3"/>
        <v>2018-12</v>
      </c>
    </row>
    <row r="200" spans="1:7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 t="str">
        <f t="shared" si="3"/>
        <v>2018-12</v>
      </c>
    </row>
    <row r="201" spans="1:7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 t="str">
        <f t="shared" si="3"/>
        <v>2018-12</v>
      </c>
    </row>
    <row r="202" spans="1:7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 t="str">
        <f t="shared" si="3"/>
        <v>2018-12</v>
      </c>
    </row>
    <row r="203" spans="1:7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 t="str">
        <f t="shared" si="3"/>
        <v>2018-12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H1" sqref="H1"/>
    </sheetView>
  </sheetViews>
  <sheetFormatPr defaultRowHeight="15" x14ac:dyDescent="0.25"/>
  <cols>
    <col min="1" max="1" width="13.140625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  <col min="7" max="7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  <c r="H1">
        <v>6399</v>
      </c>
    </row>
    <row r="2" spans="1:9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f>H1-(F2*E2)*IF(D2="Z",1,-1)</f>
        <v>6159</v>
      </c>
      <c r="I2">
        <f>MAX(G2:G203)</f>
        <v>58734</v>
      </c>
    </row>
    <row r="3" spans="1:9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G2-(F3*E3)*IF(D3="Z",1,-1)</f>
        <v>4559</v>
      </c>
      <c r="I3">
        <f>MIN(G2:G203)</f>
        <v>0</v>
      </c>
    </row>
    <row r="4" spans="1:9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G3-(F4*E4)*IF(D4="Z",1,-1)</f>
        <v>4179</v>
      </c>
    </row>
    <row r="5" spans="1:9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3189</v>
      </c>
    </row>
    <row r="6" spans="1:9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>G5-(F6*E6)*IF(D6="Z",1,-1)</f>
        <v>2114</v>
      </c>
    </row>
    <row r="7" spans="1:9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>G6-(F7*E7)*IF(D7="Z",1,-1)</f>
        <v>3970</v>
      </c>
    </row>
    <row r="8" spans="1:9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3606</v>
      </c>
    </row>
    <row r="9" spans="1:9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1582</v>
      </c>
    </row>
    <row r="10" spans="1:9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>G9-(F10*E10)*IF(D10="Z",1,-1)</f>
        <v>1554</v>
      </c>
    </row>
    <row r="11" spans="1:9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0</v>
      </c>
    </row>
    <row r="12" spans="1:9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1376</v>
      </c>
    </row>
    <row r="13" spans="1:9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1870</v>
      </c>
    </row>
    <row r="14" spans="1:9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1339</v>
      </c>
    </row>
    <row r="15" spans="1:9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1043</v>
      </c>
    </row>
    <row r="16" spans="1:9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4093</v>
      </c>
    </row>
    <row r="17" spans="1:7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3453</v>
      </c>
    </row>
    <row r="18" spans="1:7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3397</v>
      </c>
    </row>
    <row r="19" spans="1:7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3157</v>
      </c>
    </row>
    <row r="20" spans="1:7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3241</v>
      </c>
    </row>
    <row r="21" spans="1:7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2766</v>
      </c>
    </row>
    <row r="22" spans="1:7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1512</v>
      </c>
    </row>
    <row r="23" spans="1:7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2772</v>
      </c>
    </row>
    <row r="24" spans="1:7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2442</v>
      </c>
    </row>
    <row r="25" spans="1:7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1007</v>
      </c>
    </row>
    <row r="26" spans="1:7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4731</v>
      </c>
    </row>
    <row r="27" spans="1:7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4501</v>
      </c>
    </row>
    <row r="28" spans="1:7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4653</v>
      </c>
    </row>
    <row r="29" spans="1:7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2133</v>
      </c>
    </row>
    <row r="30" spans="1:7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1909</v>
      </c>
    </row>
    <row r="31" spans="1:7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1548</v>
      </c>
    </row>
    <row r="32" spans="1:7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3564</v>
      </c>
    </row>
    <row r="33" spans="1:7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7344</v>
      </c>
    </row>
    <row r="34" spans="1:7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5496</v>
      </c>
    </row>
    <row r="35" spans="1:7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4638</v>
      </c>
    </row>
    <row r="36" spans="1:7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4557</v>
      </c>
    </row>
    <row r="37" spans="1:7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4673</v>
      </c>
    </row>
    <row r="38" spans="1:7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5117</v>
      </c>
    </row>
    <row r="39" spans="1:7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3647</v>
      </c>
    </row>
    <row r="40" spans="1:7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1535</v>
      </c>
    </row>
    <row r="41" spans="1:7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4479</v>
      </c>
    </row>
    <row r="42" spans="1:7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2415</v>
      </c>
    </row>
    <row r="43" spans="1:7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13875</v>
      </c>
    </row>
    <row r="44" spans="1:7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13659</v>
      </c>
    </row>
    <row r="45" spans="1:7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11319</v>
      </c>
    </row>
    <row r="46" spans="1:7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10990</v>
      </c>
    </row>
    <row r="47" spans="1:7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11242</v>
      </c>
    </row>
    <row r="48" spans="1:7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11090</v>
      </c>
    </row>
    <row r="49" spans="1:7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11024</v>
      </c>
    </row>
    <row r="50" spans="1:7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8605</v>
      </c>
    </row>
    <row r="51" spans="1:7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6845</v>
      </c>
    </row>
    <row r="52" spans="1:7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7385</v>
      </c>
    </row>
    <row r="53" spans="1:7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6585</v>
      </c>
    </row>
    <row r="54" spans="1:7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6396</v>
      </c>
    </row>
    <row r="55" spans="1:7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5988</v>
      </c>
    </row>
    <row r="56" spans="1:7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6012</v>
      </c>
    </row>
    <row r="57" spans="1:7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5746</v>
      </c>
    </row>
    <row r="58" spans="1:7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5217</v>
      </c>
    </row>
    <row r="59" spans="1:7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5129</v>
      </c>
    </row>
    <row r="60" spans="1:7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4007</v>
      </c>
    </row>
    <row r="61" spans="1:7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2777</v>
      </c>
    </row>
    <row r="62" spans="1:7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12283</v>
      </c>
    </row>
    <row r="63" spans="1:7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12415</v>
      </c>
    </row>
    <row r="64" spans="1:7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12075</v>
      </c>
    </row>
    <row r="65" spans="1:7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11983</v>
      </c>
    </row>
    <row r="66" spans="1:7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14432</v>
      </c>
    </row>
    <row r="67" spans="1:7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12452</v>
      </c>
    </row>
    <row r="68" spans="1:7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1">G67-(F68*E68)*IF(D68="Z",1,-1)</f>
        <v>11854</v>
      </c>
    </row>
    <row r="69" spans="1:7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1"/>
        <v>10974</v>
      </c>
    </row>
    <row r="70" spans="1:7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1"/>
        <v>10596</v>
      </c>
    </row>
    <row r="71" spans="1:7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1"/>
        <v>9504</v>
      </c>
    </row>
    <row r="72" spans="1:7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1"/>
        <v>8874</v>
      </c>
    </row>
    <row r="73" spans="1:7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1"/>
        <v>7158</v>
      </c>
    </row>
    <row r="74" spans="1:7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1"/>
        <v>13766</v>
      </c>
    </row>
    <row r="75" spans="1:7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1"/>
        <v>11522</v>
      </c>
    </row>
    <row r="76" spans="1:7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1"/>
        <v>11417</v>
      </c>
    </row>
    <row r="77" spans="1:7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1"/>
        <v>18225</v>
      </c>
    </row>
    <row r="78" spans="1:7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1"/>
        <v>17861</v>
      </c>
    </row>
    <row r="79" spans="1:7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1"/>
        <v>17921</v>
      </c>
    </row>
    <row r="80" spans="1:7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1"/>
        <v>19469</v>
      </c>
    </row>
    <row r="81" spans="1:7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1"/>
        <v>19229</v>
      </c>
    </row>
    <row r="82" spans="1:7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1"/>
        <v>18949</v>
      </c>
    </row>
    <row r="83" spans="1:7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1"/>
        <v>20203</v>
      </c>
    </row>
    <row r="84" spans="1:7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1"/>
        <v>18908</v>
      </c>
    </row>
    <row r="85" spans="1:7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1"/>
        <v>18148</v>
      </c>
    </row>
    <row r="86" spans="1:7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1"/>
        <v>18904</v>
      </c>
    </row>
    <row r="87" spans="1:7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1"/>
        <v>19098</v>
      </c>
    </row>
    <row r="88" spans="1:7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1"/>
        <v>18858</v>
      </c>
    </row>
    <row r="89" spans="1:7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1"/>
        <v>18738</v>
      </c>
    </row>
    <row r="90" spans="1:7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1"/>
        <v>18698</v>
      </c>
    </row>
    <row r="91" spans="1:7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1"/>
        <v>19730</v>
      </c>
    </row>
    <row r="92" spans="1:7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1"/>
        <v>23140</v>
      </c>
    </row>
    <row r="93" spans="1:7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1"/>
        <v>21886</v>
      </c>
    </row>
    <row r="94" spans="1:7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1"/>
        <v>21587</v>
      </c>
    </row>
    <row r="95" spans="1:7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1"/>
        <v>19330</v>
      </c>
    </row>
    <row r="96" spans="1:7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1"/>
        <v>19342</v>
      </c>
    </row>
    <row r="97" spans="1:7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1"/>
        <v>23354</v>
      </c>
    </row>
    <row r="98" spans="1:7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1"/>
        <v>21044</v>
      </c>
    </row>
    <row r="99" spans="1:7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1"/>
        <v>20519</v>
      </c>
    </row>
    <row r="100" spans="1:7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1"/>
        <v>20269</v>
      </c>
    </row>
    <row r="101" spans="1:7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1"/>
        <v>21675</v>
      </c>
    </row>
    <row r="102" spans="1:7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1"/>
        <v>21499</v>
      </c>
    </row>
    <row r="103" spans="1:7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1"/>
        <v>20999</v>
      </c>
    </row>
    <row r="104" spans="1:7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1"/>
        <v>20687</v>
      </c>
    </row>
    <row r="105" spans="1:7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1"/>
        <v>17897</v>
      </c>
    </row>
    <row r="106" spans="1:7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1"/>
        <v>29497</v>
      </c>
    </row>
    <row r="107" spans="1:7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1"/>
        <v>28946</v>
      </c>
    </row>
    <row r="108" spans="1:7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1"/>
        <v>29116</v>
      </c>
    </row>
    <row r="109" spans="1:7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1"/>
        <v>29358</v>
      </c>
    </row>
    <row r="110" spans="1:7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1"/>
        <v>28544</v>
      </c>
    </row>
    <row r="111" spans="1:7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1"/>
        <v>27844</v>
      </c>
    </row>
    <row r="112" spans="1:7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1"/>
        <v>25996</v>
      </c>
    </row>
    <row r="113" spans="1:7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1"/>
        <v>27030</v>
      </c>
    </row>
    <row r="114" spans="1:7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1"/>
        <v>29862</v>
      </c>
    </row>
    <row r="115" spans="1:7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1"/>
        <v>29442</v>
      </c>
    </row>
    <row r="116" spans="1:7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1"/>
        <v>28792</v>
      </c>
    </row>
    <row r="117" spans="1:7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1"/>
        <v>28576</v>
      </c>
    </row>
    <row r="118" spans="1:7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1"/>
        <v>25992</v>
      </c>
    </row>
    <row r="119" spans="1:7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1"/>
        <v>25698</v>
      </c>
    </row>
    <row r="120" spans="1:7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1"/>
        <v>25526</v>
      </c>
    </row>
    <row r="121" spans="1:7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1"/>
        <v>26210</v>
      </c>
    </row>
    <row r="122" spans="1:7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1"/>
        <v>24260</v>
      </c>
    </row>
    <row r="123" spans="1:7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1"/>
        <v>24638</v>
      </c>
    </row>
    <row r="124" spans="1:7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1"/>
        <v>22101</v>
      </c>
    </row>
    <row r="125" spans="1:7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1"/>
        <v>22162</v>
      </c>
    </row>
    <row r="126" spans="1:7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1"/>
        <v>26572</v>
      </c>
    </row>
    <row r="127" spans="1:7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1"/>
        <v>26452</v>
      </c>
    </row>
    <row r="128" spans="1:7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1"/>
        <v>24940</v>
      </c>
    </row>
    <row r="129" spans="1:7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1"/>
        <v>24484</v>
      </c>
    </row>
    <row r="130" spans="1:7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1"/>
        <v>37750</v>
      </c>
    </row>
    <row r="131" spans="1:7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1"/>
        <v>37294</v>
      </c>
    </row>
    <row r="132" spans="1:7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2">G131-(F132*E132)*IF(D132="Z",1,-1)</f>
        <v>37414</v>
      </c>
    </row>
    <row r="133" spans="1:7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2"/>
        <v>37206</v>
      </c>
    </row>
    <row r="134" spans="1:7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2"/>
        <v>34698</v>
      </c>
    </row>
    <row r="135" spans="1:7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2"/>
        <v>38422</v>
      </c>
    </row>
    <row r="136" spans="1:7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2"/>
        <v>40050</v>
      </c>
    </row>
    <row r="137" spans="1:7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2"/>
        <v>39882</v>
      </c>
    </row>
    <row r="138" spans="1:7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2"/>
        <v>39492</v>
      </c>
    </row>
    <row r="139" spans="1:7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2"/>
        <v>40062</v>
      </c>
    </row>
    <row r="140" spans="1:7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2"/>
        <v>41448</v>
      </c>
    </row>
    <row r="141" spans="1:7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2"/>
        <v>40908</v>
      </c>
    </row>
    <row r="142" spans="1:7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2"/>
        <v>40794</v>
      </c>
    </row>
    <row r="143" spans="1:7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2"/>
        <v>40762</v>
      </c>
    </row>
    <row r="144" spans="1:7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2"/>
        <v>40912</v>
      </c>
    </row>
    <row r="145" spans="1:7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2"/>
        <v>37120</v>
      </c>
    </row>
    <row r="146" spans="1:7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2"/>
        <v>35692</v>
      </c>
    </row>
    <row r="147" spans="1:7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2"/>
        <v>37407</v>
      </c>
    </row>
    <row r="148" spans="1:7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2"/>
        <v>37327</v>
      </c>
    </row>
    <row r="149" spans="1:7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2"/>
        <v>36340</v>
      </c>
    </row>
    <row r="150" spans="1:7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2"/>
        <v>33172</v>
      </c>
    </row>
    <row r="151" spans="1:7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2"/>
        <v>35144</v>
      </c>
    </row>
    <row r="152" spans="1:7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2"/>
        <v>35099</v>
      </c>
    </row>
    <row r="153" spans="1:7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2"/>
        <v>36479</v>
      </c>
    </row>
    <row r="154" spans="1:7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2"/>
        <v>33294</v>
      </c>
    </row>
    <row r="155" spans="1:7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2"/>
        <v>33166</v>
      </c>
    </row>
    <row r="156" spans="1:7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2"/>
        <v>32981</v>
      </c>
    </row>
    <row r="157" spans="1:7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2"/>
        <v>33013</v>
      </c>
    </row>
    <row r="158" spans="1:7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2"/>
        <v>32775</v>
      </c>
    </row>
    <row r="159" spans="1:7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2"/>
        <v>31064</v>
      </c>
    </row>
    <row r="160" spans="1:7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2"/>
        <v>30248</v>
      </c>
    </row>
    <row r="161" spans="1:7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2"/>
        <v>29708</v>
      </c>
    </row>
    <row r="162" spans="1:7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2"/>
        <v>29388</v>
      </c>
    </row>
    <row r="163" spans="1:7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2"/>
        <v>47604</v>
      </c>
    </row>
    <row r="164" spans="1:7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2"/>
        <v>45780</v>
      </c>
    </row>
    <row r="165" spans="1:7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2"/>
        <v>45297</v>
      </c>
    </row>
    <row r="166" spans="1:7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2"/>
        <v>42195</v>
      </c>
    </row>
    <row r="167" spans="1:7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2"/>
        <v>42045</v>
      </c>
    </row>
    <row r="168" spans="1:7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2"/>
        <v>40118</v>
      </c>
    </row>
    <row r="169" spans="1:7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2"/>
        <v>42422</v>
      </c>
    </row>
    <row r="170" spans="1:7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2"/>
        <v>44198</v>
      </c>
    </row>
    <row r="171" spans="1:7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2"/>
        <v>43082</v>
      </c>
    </row>
    <row r="172" spans="1:7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2"/>
        <v>42107</v>
      </c>
    </row>
    <row r="173" spans="1:7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2"/>
        <v>42067</v>
      </c>
    </row>
    <row r="174" spans="1:7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2"/>
        <v>42561</v>
      </c>
    </row>
    <row r="175" spans="1:7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2"/>
        <v>50184</v>
      </c>
    </row>
    <row r="176" spans="1:7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2"/>
        <v>49614</v>
      </c>
    </row>
    <row r="177" spans="1:7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2"/>
        <v>49246</v>
      </c>
    </row>
    <row r="178" spans="1:7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2"/>
        <v>49785</v>
      </c>
    </row>
    <row r="179" spans="1:7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2"/>
        <v>55275</v>
      </c>
    </row>
    <row r="180" spans="1:7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2"/>
        <v>54857</v>
      </c>
    </row>
    <row r="181" spans="1:7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2"/>
        <v>53889</v>
      </c>
    </row>
    <row r="182" spans="1:7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2"/>
        <v>53664</v>
      </c>
    </row>
    <row r="183" spans="1:7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2"/>
        <v>54040</v>
      </c>
    </row>
    <row r="184" spans="1:7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2"/>
        <v>53872</v>
      </c>
    </row>
    <row r="185" spans="1:7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2"/>
        <v>53496</v>
      </c>
    </row>
    <row r="186" spans="1:7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2"/>
        <v>55874</v>
      </c>
    </row>
    <row r="187" spans="1:7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2"/>
        <v>57382</v>
      </c>
    </row>
    <row r="188" spans="1:7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2"/>
        <v>57166</v>
      </c>
    </row>
    <row r="189" spans="1:7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2"/>
        <v>56230</v>
      </c>
    </row>
    <row r="190" spans="1:7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2"/>
        <v>55822</v>
      </c>
    </row>
    <row r="191" spans="1:7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2"/>
        <v>57442</v>
      </c>
    </row>
    <row r="192" spans="1:7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2"/>
        <v>57298</v>
      </c>
    </row>
    <row r="193" spans="1:7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2"/>
        <v>56478</v>
      </c>
    </row>
    <row r="194" spans="1:7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2"/>
        <v>56606</v>
      </c>
    </row>
    <row r="195" spans="1:7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2"/>
        <v>54830</v>
      </c>
    </row>
    <row r="196" spans="1:7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3">G195-(F196*E196)*IF(D196="Z",1,-1)</f>
        <v>58734</v>
      </c>
    </row>
    <row r="197" spans="1:7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3"/>
        <v>56025</v>
      </c>
    </row>
    <row r="198" spans="1:7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3"/>
        <v>55449</v>
      </c>
    </row>
    <row r="199" spans="1:7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3"/>
        <v>55697</v>
      </c>
    </row>
    <row r="200" spans="1:7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3"/>
        <v>55032</v>
      </c>
    </row>
    <row r="201" spans="1:7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3"/>
        <v>54704</v>
      </c>
    </row>
    <row r="202" spans="1:7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3"/>
        <v>53301</v>
      </c>
    </row>
    <row r="203" spans="1:7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3"/>
        <v>52243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>
      <selection sqref="A1:F203"/>
    </sheetView>
  </sheetViews>
  <sheetFormatPr defaultRowHeight="15" x14ac:dyDescent="0.25"/>
  <cols>
    <col min="1" max="1" width="13.140625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</row>
    <row r="3" spans="1:6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6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</row>
    <row r="5" spans="1:6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</row>
    <row r="6" spans="1:6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</row>
    <row r="7" spans="1:6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</row>
    <row r="8" spans="1:6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</row>
    <row r="9" spans="1:6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6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6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</row>
    <row r="12" spans="1:6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</row>
    <row r="13" spans="1:6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6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6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6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6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</row>
    <row r="18" spans="1:6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6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6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6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6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6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6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6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6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6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6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6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</row>
    <row r="30" spans="1:6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</row>
    <row r="31" spans="1:6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</row>
    <row r="32" spans="1:6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</row>
    <row r="33" spans="1:6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</row>
    <row r="34" spans="1:6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6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6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6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6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6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6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6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</row>
    <row r="42" spans="1:6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</row>
    <row r="43" spans="1:6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</row>
    <row r="44" spans="1:6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</row>
    <row r="45" spans="1:6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</row>
    <row r="46" spans="1:6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6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6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5</vt:i4>
      </vt:variant>
    </vt:vector>
  </HeadingPairs>
  <TitlesOfParts>
    <vt:vector size="11" baseType="lpstr">
      <vt:lpstr>z1</vt:lpstr>
      <vt:lpstr>z2</vt:lpstr>
      <vt:lpstr>z3</vt:lpstr>
      <vt:lpstr>z4</vt:lpstr>
      <vt:lpstr>z5</vt:lpstr>
      <vt:lpstr>dane</vt:lpstr>
      <vt:lpstr>dane!statek</vt:lpstr>
      <vt:lpstr>'z2'!statek</vt:lpstr>
      <vt:lpstr>'z3'!statek</vt:lpstr>
      <vt:lpstr>'z4'!statek</vt:lpstr>
      <vt:lpstr>'z5'!statek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2026-03-23T12:21:30Z</dcterms:created>
  <dcterms:modified xsi:type="dcterms:W3CDTF">2026-03-27T12:16:01Z</dcterms:modified>
</cp:coreProperties>
</file>