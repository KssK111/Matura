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pivotTables/pivotTable4.xml" ContentType="application/vnd.openxmlformats-officedocument.spreadsheetml.pivot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3-01S\"/>
    </mc:Choice>
  </mc:AlternateContent>
  <bookViews>
    <workbookView xWindow="0" yWindow="0" windowWidth="20490" windowHeight="7530" firstSheet="1" activeTab="4"/>
  </bookViews>
  <sheets>
    <sheet name="dane zle" sheetId="1" r:id="rId1"/>
    <sheet name="z-1" sheetId="2" r:id="rId2"/>
    <sheet name="odp-1" sheetId="3" r:id="rId3"/>
    <sheet name="dane dobre" sheetId="5" r:id="rId4"/>
    <sheet name="odp-5" sheetId="14" r:id="rId5"/>
    <sheet name="z-5" sheetId="13" r:id="rId6"/>
    <sheet name="odp-6" sheetId="12" r:id="rId7"/>
    <sheet name="z-6" sheetId="11" r:id="rId8"/>
    <sheet name="z-7" sheetId="10" r:id="rId9"/>
    <sheet name="z-4" sheetId="9" r:id="rId10"/>
    <sheet name="z-3" sheetId="8" r:id="rId11"/>
    <sheet name="z-2" sheetId="7" r:id="rId12"/>
  </sheets>
  <definedNames>
    <definedName name="_xlnm._FilterDatabase" localSheetId="11" hidden="1">'z-2'!$B$1:$J$1001</definedName>
    <definedName name="ips" localSheetId="3">'dane dobre'!$A$1:$C$1001</definedName>
    <definedName name="ips" localSheetId="0">'dane zle'!$A$1:$C$1001</definedName>
    <definedName name="ips" localSheetId="1">'z-1'!$A$1:$C$1001</definedName>
    <definedName name="ips" localSheetId="11">'z-2'!$A$1:$C$1001</definedName>
    <definedName name="ips" localSheetId="9">'z-4'!$A$1:$C$1001</definedName>
    <definedName name="ips" localSheetId="5">'z-5'!$A$1:$C$1001</definedName>
    <definedName name="ips" localSheetId="7">'z-6'!$A$1:$C$1001</definedName>
    <definedName name="ips" localSheetId="8">'z-7'!$A$1:$C$1001</definedName>
  </definedNames>
  <calcPr calcId="162913"/>
  <pivotCaches>
    <pivotCache cacheId="0" r:id="rId13"/>
    <pivotCache cacheId="5" r:id="rId14"/>
    <pivotCache cacheId="9" r:id="rId15"/>
    <pivotCache cacheId="12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M829" i="13"/>
  <c r="M830" i="13"/>
  <c r="M831" i="13"/>
  <c r="M832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M858" i="13"/>
  <c r="M859" i="13"/>
  <c r="M860" i="13"/>
  <c r="M861" i="13"/>
  <c r="M862" i="13"/>
  <c r="M863" i="13"/>
  <c r="M864" i="13"/>
  <c r="M865" i="13"/>
  <c r="M866" i="13"/>
  <c r="M867" i="13"/>
  <c r="M868" i="13"/>
  <c r="M869" i="13"/>
  <c r="M870" i="13"/>
  <c r="M871" i="13"/>
  <c r="M872" i="13"/>
  <c r="M873" i="13"/>
  <c r="M874" i="13"/>
  <c r="M875" i="13"/>
  <c r="M876" i="13"/>
  <c r="M877" i="13"/>
  <c r="M878" i="13"/>
  <c r="M879" i="13"/>
  <c r="M880" i="13"/>
  <c r="M881" i="13"/>
  <c r="M882" i="13"/>
  <c r="M883" i="13"/>
  <c r="M884" i="13"/>
  <c r="M885" i="13"/>
  <c r="M886" i="13"/>
  <c r="M887" i="13"/>
  <c r="M888" i="13"/>
  <c r="M889" i="13"/>
  <c r="M890" i="13"/>
  <c r="M891" i="13"/>
  <c r="M892" i="13"/>
  <c r="M893" i="13"/>
  <c r="M894" i="13"/>
  <c r="M895" i="13"/>
  <c r="M896" i="13"/>
  <c r="M897" i="13"/>
  <c r="M898" i="13"/>
  <c r="M899" i="13"/>
  <c r="M900" i="13"/>
  <c r="M901" i="13"/>
  <c r="M902" i="13"/>
  <c r="M903" i="13"/>
  <c r="M904" i="13"/>
  <c r="M905" i="13"/>
  <c r="M906" i="13"/>
  <c r="M907" i="13"/>
  <c r="M908" i="13"/>
  <c r="M909" i="13"/>
  <c r="M910" i="13"/>
  <c r="M911" i="13"/>
  <c r="M912" i="13"/>
  <c r="M913" i="13"/>
  <c r="M914" i="13"/>
  <c r="M915" i="13"/>
  <c r="M916" i="13"/>
  <c r="M917" i="13"/>
  <c r="M918" i="13"/>
  <c r="M919" i="13"/>
  <c r="M920" i="13"/>
  <c r="M921" i="13"/>
  <c r="M922" i="13"/>
  <c r="M923" i="13"/>
  <c r="M924" i="13"/>
  <c r="M925" i="13"/>
  <c r="M926" i="13"/>
  <c r="M927" i="13"/>
  <c r="M928" i="13"/>
  <c r="M929" i="13"/>
  <c r="M930" i="13"/>
  <c r="M931" i="13"/>
  <c r="M932" i="13"/>
  <c r="M933" i="13"/>
  <c r="M934" i="13"/>
  <c r="M935" i="13"/>
  <c r="M936" i="13"/>
  <c r="M937" i="13"/>
  <c r="M938" i="13"/>
  <c r="M939" i="13"/>
  <c r="M940" i="13"/>
  <c r="M941" i="13"/>
  <c r="M942" i="13"/>
  <c r="M943" i="13"/>
  <c r="M944" i="13"/>
  <c r="M945" i="13"/>
  <c r="M946" i="13"/>
  <c r="M947" i="13"/>
  <c r="M948" i="13"/>
  <c r="M949" i="13"/>
  <c r="M950" i="13"/>
  <c r="M951" i="13"/>
  <c r="M952" i="13"/>
  <c r="M953" i="13"/>
  <c r="M954" i="13"/>
  <c r="M955" i="13"/>
  <c r="M956" i="13"/>
  <c r="M957" i="13"/>
  <c r="M958" i="13"/>
  <c r="M959" i="13"/>
  <c r="M960" i="13"/>
  <c r="M961" i="13"/>
  <c r="M962" i="13"/>
  <c r="M963" i="13"/>
  <c r="M964" i="13"/>
  <c r="M965" i="13"/>
  <c r="M966" i="13"/>
  <c r="M967" i="13"/>
  <c r="M968" i="13"/>
  <c r="M969" i="13"/>
  <c r="M970" i="13"/>
  <c r="M971" i="13"/>
  <c r="M972" i="13"/>
  <c r="M973" i="13"/>
  <c r="M974" i="13"/>
  <c r="M975" i="13"/>
  <c r="M976" i="13"/>
  <c r="M977" i="13"/>
  <c r="M978" i="13"/>
  <c r="M979" i="13"/>
  <c r="M980" i="13"/>
  <c r="M981" i="13"/>
  <c r="M982" i="13"/>
  <c r="M983" i="13"/>
  <c r="M984" i="13"/>
  <c r="M985" i="13"/>
  <c r="M986" i="13"/>
  <c r="M987" i="13"/>
  <c r="M988" i="13"/>
  <c r="M989" i="13"/>
  <c r="M990" i="13"/>
  <c r="M991" i="13"/>
  <c r="M992" i="13"/>
  <c r="M993" i="13"/>
  <c r="M994" i="13"/>
  <c r="M995" i="13"/>
  <c r="M996" i="13"/>
  <c r="M997" i="13"/>
  <c r="M998" i="13"/>
  <c r="M999" i="13"/>
  <c r="M1000" i="13"/>
  <c r="M1001" i="13"/>
  <c r="M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19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02" i="13"/>
  <c r="J703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731" i="13"/>
  <c r="J732" i="13"/>
  <c r="J733" i="13"/>
  <c r="J734" i="13"/>
  <c r="J735" i="13"/>
  <c r="J736" i="13"/>
  <c r="J737" i="13"/>
  <c r="J738" i="13"/>
  <c r="J739" i="13"/>
  <c r="J740" i="13"/>
  <c r="J741" i="13"/>
  <c r="J742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J756" i="13"/>
  <c r="J757" i="13"/>
  <c r="J758" i="13"/>
  <c r="J759" i="13"/>
  <c r="J760" i="13"/>
  <c r="J761" i="13"/>
  <c r="J762" i="13"/>
  <c r="J763" i="13"/>
  <c r="J764" i="13"/>
  <c r="J765" i="13"/>
  <c r="J766" i="13"/>
  <c r="J767" i="13"/>
  <c r="J768" i="13"/>
  <c r="J769" i="13"/>
  <c r="J770" i="13"/>
  <c r="J771" i="13"/>
  <c r="J772" i="13"/>
  <c r="J773" i="13"/>
  <c r="J774" i="13"/>
  <c r="J775" i="13"/>
  <c r="J776" i="13"/>
  <c r="J777" i="13"/>
  <c r="J778" i="13"/>
  <c r="J779" i="13"/>
  <c r="J780" i="13"/>
  <c r="J781" i="13"/>
  <c r="J782" i="13"/>
  <c r="J783" i="13"/>
  <c r="J784" i="13"/>
  <c r="J785" i="13"/>
  <c r="J786" i="13"/>
  <c r="J787" i="13"/>
  <c r="J788" i="13"/>
  <c r="J789" i="13"/>
  <c r="J790" i="13"/>
  <c r="J791" i="13"/>
  <c r="J792" i="13"/>
  <c r="J793" i="13"/>
  <c r="J794" i="13"/>
  <c r="J795" i="13"/>
  <c r="J796" i="13"/>
  <c r="J797" i="13"/>
  <c r="J798" i="13"/>
  <c r="J799" i="13"/>
  <c r="J800" i="13"/>
  <c r="J801" i="13"/>
  <c r="J802" i="13"/>
  <c r="J803" i="13"/>
  <c r="J804" i="13"/>
  <c r="J805" i="13"/>
  <c r="J806" i="13"/>
  <c r="J807" i="13"/>
  <c r="J808" i="13"/>
  <c r="J809" i="13"/>
  <c r="J810" i="13"/>
  <c r="J811" i="13"/>
  <c r="J812" i="13"/>
  <c r="J813" i="13"/>
  <c r="J814" i="13"/>
  <c r="J815" i="13"/>
  <c r="J816" i="13"/>
  <c r="J817" i="13"/>
  <c r="J818" i="13"/>
  <c r="J819" i="13"/>
  <c r="J820" i="13"/>
  <c r="J821" i="13"/>
  <c r="J822" i="13"/>
  <c r="J823" i="13"/>
  <c r="J824" i="13"/>
  <c r="J825" i="13"/>
  <c r="J826" i="13"/>
  <c r="J827" i="13"/>
  <c r="J828" i="13"/>
  <c r="J829" i="13"/>
  <c r="J830" i="13"/>
  <c r="J831" i="13"/>
  <c r="J832" i="13"/>
  <c r="J833" i="13"/>
  <c r="J834" i="13"/>
  <c r="J835" i="13"/>
  <c r="J836" i="13"/>
  <c r="J837" i="13"/>
  <c r="J838" i="13"/>
  <c r="J839" i="13"/>
  <c r="J840" i="13"/>
  <c r="J841" i="13"/>
  <c r="J842" i="13"/>
  <c r="J843" i="13"/>
  <c r="J844" i="13"/>
  <c r="J845" i="13"/>
  <c r="J846" i="13"/>
  <c r="J847" i="13"/>
  <c r="J848" i="13"/>
  <c r="J849" i="13"/>
  <c r="J850" i="13"/>
  <c r="J851" i="13"/>
  <c r="J852" i="13"/>
  <c r="J853" i="13"/>
  <c r="J854" i="13"/>
  <c r="J855" i="13"/>
  <c r="J856" i="13"/>
  <c r="J857" i="13"/>
  <c r="J858" i="13"/>
  <c r="J859" i="13"/>
  <c r="J860" i="13"/>
  <c r="J861" i="13"/>
  <c r="J862" i="13"/>
  <c r="J863" i="13"/>
  <c r="J864" i="13"/>
  <c r="J865" i="13"/>
  <c r="J866" i="13"/>
  <c r="J867" i="13"/>
  <c r="J868" i="13"/>
  <c r="J869" i="13"/>
  <c r="J870" i="13"/>
  <c r="J871" i="13"/>
  <c r="J872" i="13"/>
  <c r="J873" i="13"/>
  <c r="J874" i="13"/>
  <c r="J875" i="13"/>
  <c r="J876" i="13"/>
  <c r="J877" i="13"/>
  <c r="J878" i="13"/>
  <c r="J879" i="13"/>
  <c r="J880" i="13"/>
  <c r="J881" i="13"/>
  <c r="J882" i="13"/>
  <c r="J883" i="13"/>
  <c r="J884" i="13"/>
  <c r="J885" i="13"/>
  <c r="J886" i="13"/>
  <c r="J887" i="13"/>
  <c r="J888" i="13"/>
  <c r="J889" i="13"/>
  <c r="J890" i="13"/>
  <c r="J891" i="13"/>
  <c r="J892" i="13"/>
  <c r="J893" i="13"/>
  <c r="J894" i="13"/>
  <c r="J895" i="13"/>
  <c r="J896" i="13"/>
  <c r="J897" i="13"/>
  <c r="J898" i="13"/>
  <c r="J899" i="13"/>
  <c r="J900" i="13"/>
  <c r="J901" i="13"/>
  <c r="J902" i="13"/>
  <c r="J903" i="13"/>
  <c r="J904" i="13"/>
  <c r="J905" i="13"/>
  <c r="J906" i="13"/>
  <c r="J907" i="13"/>
  <c r="J908" i="13"/>
  <c r="J909" i="13"/>
  <c r="J910" i="13"/>
  <c r="J911" i="13"/>
  <c r="J912" i="13"/>
  <c r="J913" i="13"/>
  <c r="J914" i="13"/>
  <c r="J915" i="13"/>
  <c r="J916" i="13"/>
  <c r="J917" i="13"/>
  <c r="J918" i="13"/>
  <c r="J919" i="13"/>
  <c r="J920" i="13"/>
  <c r="J921" i="13"/>
  <c r="J922" i="13"/>
  <c r="J923" i="13"/>
  <c r="J924" i="13"/>
  <c r="J925" i="13"/>
  <c r="J926" i="13"/>
  <c r="J927" i="13"/>
  <c r="J928" i="13"/>
  <c r="J929" i="13"/>
  <c r="J930" i="13"/>
  <c r="J931" i="13"/>
  <c r="J932" i="13"/>
  <c r="J933" i="13"/>
  <c r="J934" i="13"/>
  <c r="J935" i="13"/>
  <c r="J936" i="13"/>
  <c r="J937" i="13"/>
  <c r="J938" i="13"/>
  <c r="J939" i="13"/>
  <c r="K939" i="13" s="1"/>
  <c r="L939" i="13" s="1"/>
  <c r="J940" i="13"/>
  <c r="J941" i="13"/>
  <c r="J942" i="13"/>
  <c r="J943" i="13"/>
  <c r="J944" i="13"/>
  <c r="J945" i="13"/>
  <c r="J946" i="13"/>
  <c r="J947" i="13"/>
  <c r="J948" i="13"/>
  <c r="J949" i="13"/>
  <c r="J950" i="13"/>
  <c r="J951" i="13"/>
  <c r="K951" i="13" s="1"/>
  <c r="L951" i="13" s="1"/>
  <c r="J952" i="13"/>
  <c r="J953" i="13"/>
  <c r="J954" i="13"/>
  <c r="J955" i="13"/>
  <c r="K955" i="13" s="1"/>
  <c r="L955" i="13" s="1"/>
  <c r="J956" i="13"/>
  <c r="J957" i="13"/>
  <c r="J958" i="13"/>
  <c r="J959" i="13"/>
  <c r="J960" i="13"/>
  <c r="J961" i="13"/>
  <c r="J962" i="13"/>
  <c r="J963" i="13"/>
  <c r="K963" i="13" s="1"/>
  <c r="L963" i="13" s="1"/>
  <c r="J964" i="13"/>
  <c r="J965" i="13"/>
  <c r="J966" i="13"/>
  <c r="J967" i="13"/>
  <c r="K967" i="13" s="1"/>
  <c r="L967" i="13" s="1"/>
  <c r="J968" i="13"/>
  <c r="J969" i="13"/>
  <c r="J970" i="13"/>
  <c r="J971" i="13"/>
  <c r="K971" i="13" s="1"/>
  <c r="L971" i="13" s="1"/>
  <c r="J972" i="13"/>
  <c r="J973" i="13"/>
  <c r="J974" i="13"/>
  <c r="J975" i="13"/>
  <c r="K975" i="13" s="1"/>
  <c r="L975" i="13" s="1"/>
  <c r="J976" i="13"/>
  <c r="J977" i="13"/>
  <c r="J978" i="13"/>
  <c r="J979" i="13"/>
  <c r="K979" i="13" s="1"/>
  <c r="L979" i="13" s="1"/>
  <c r="J980" i="13"/>
  <c r="J981" i="13"/>
  <c r="J982" i="13"/>
  <c r="J983" i="13"/>
  <c r="K983" i="13" s="1"/>
  <c r="L983" i="13" s="1"/>
  <c r="J984" i="13"/>
  <c r="J985" i="13"/>
  <c r="J986" i="13"/>
  <c r="J987" i="13"/>
  <c r="K987" i="13" s="1"/>
  <c r="L987" i="13" s="1"/>
  <c r="J988" i="13"/>
  <c r="J989" i="13"/>
  <c r="J990" i="13"/>
  <c r="J991" i="13"/>
  <c r="K991" i="13" s="1"/>
  <c r="L991" i="13" s="1"/>
  <c r="J992" i="13"/>
  <c r="J993" i="13"/>
  <c r="J994" i="13"/>
  <c r="J995" i="13"/>
  <c r="K995" i="13" s="1"/>
  <c r="L995" i="13" s="1"/>
  <c r="J996" i="13"/>
  <c r="J997" i="13"/>
  <c r="J998" i="13"/>
  <c r="J999" i="13"/>
  <c r="J1000" i="13"/>
  <c r="J1001" i="13"/>
  <c r="J2" i="13"/>
  <c r="L640" i="13"/>
  <c r="L662" i="13"/>
  <c r="L672" i="13"/>
  <c r="L694" i="13"/>
  <c r="L704" i="13"/>
  <c r="L726" i="13"/>
  <c r="L736" i="13"/>
  <c r="L758" i="13"/>
  <c r="L768" i="13"/>
  <c r="L834" i="13"/>
  <c r="L842" i="13"/>
  <c r="L848" i="13"/>
  <c r="L870" i="13"/>
  <c r="L898" i="13"/>
  <c r="L906" i="13"/>
  <c r="L918" i="13"/>
  <c r="L930" i="13"/>
  <c r="L933" i="13"/>
  <c r="L941" i="13"/>
  <c r="L946" i="13"/>
  <c r="L949" i="13"/>
  <c r="L954" i="13"/>
  <c r="L956" i="13"/>
  <c r="L958" i="13"/>
  <c r="L961" i="13"/>
  <c r="L970" i="13"/>
  <c r="L972" i="13"/>
  <c r="L974" i="13"/>
  <c r="L976" i="13"/>
  <c r="L977" i="13"/>
  <c r="L980" i="13"/>
  <c r="L981" i="13"/>
  <c r="L982" i="13"/>
  <c r="L985" i="13"/>
  <c r="L986" i="13"/>
  <c r="L988" i="13"/>
  <c r="L990" i="13"/>
  <c r="L992" i="13"/>
  <c r="L993" i="13"/>
  <c r="L997" i="13"/>
  <c r="L1000" i="13"/>
  <c r="L1001" i="13"/>
  <c r="I1001" i="13"/>
  <c r="G1001" i="13"/>
  <c r="K1001" i="13" s="1"/>
  <c r="F1001" i="13"/>
  <c r="E1001" i="13"/>
  <c r="H1001" i="13" s="1"/>
  <c r="D1001" i="13"/>
  <c r="K1000" i="13"/>
  <c r="I1000" i="13"/>
  <c r="G1000" i="13"/>
  <c r="F1000" i="13"/>
  <c r="E1000" i="13"/>
  <c r="H1000" i="13" s="1"/>
  <c r="D1000" i="13"/>
  <c r="I999" i="13"/>
  <c r="G999" i="13"/>
  <c r="K999" i="13" s="1"/>
  <c r="L999" i="13" s="1"/>
  <c r="F999" i="13"/>
  <c r="E999" i="13"/>
  <c r="H999" i="13" s="1"/>
  <c r="D999" i="13"/>
  <c r="K998" i="13"/>
  <c r="L998" i="13" s="1"/>
  <c r="I998" i="13"/>
  <c r="G998" i="13"/>
  <c r="F998" i="13"/>
  <c r="E998" i="13"/>
  <c r="H998" i="13" s="1"/>
  <c r="D998" i="13"/>
  <c r="K997" i="13"/>
  <c r="I997" i="13"/>
  <c r="H997" i="13"/>
  <c r="G997" i="13"/>
  <c r="F997" i="13"/>
  <c r="E997" i="13"/>
  <c r="D997" i="13"/>
  <c r="I996" i="13"/>
  <c r="H996" i="13"/>
  <c r="G996" i="13"/>
  <c r="K996" i="13" s="1"/>
  <c r="L996" i="13" s="1"/>
  <c r="F996" i="13"/>
  <c r="E996" i="13"/>
  <c r="D996" i="13"/>
  <c r="I995" i="13"/>
  <c r="H995" i="13"/>
  <c r="G995" i="13"/>
  <c r="F995" i="13"/>
  <c r="E995" i="13"/>
  <c r="D995" i="13"/>
  <c r="K994" i="13"/>
  <c r="L994" i="13" s="1"/>
  <c r="I994" i="13"/>
  <c r="H994" i="13"/>
  <c r="G994" i="13"/>
  <c r="F994" i="13"/>
  <c r="E994" i="13"/>
  <c r="D994" i="13"/>
  <c r="K993" i="13"/>
  <c r="I993" i="13"/>
  <c r="H993" i="13"/>
  <c r="G993" i="13"/>
  <c r="F993" i="13"/>
  <c r="E993" i="13"/>
  <c r="D993" i="13"/>
  <c r="I992" i="13"/>
  <c r="H992" i="13"/>
  <c r="G992" i="13"/>
  <c r="K992" i="13" s="1"/>
  <c r="F992" i="13"/>
  <c r="E992" i="13"/>
  <c r="D992" i="13"/>
  <c r="I991" i="13"/>
  <c r="H991" i="13"/>
  <c r="G991" i="13"/>
  <c r="F991" i="13"/>
  <c r="E991" i="13"/>
  <c r="D991" i="13"/>
  <c r="K990" i="13"/>
  <c r="I990" i="13"/>
  <c r="H990" i="13"/>
  <c r="G990" i="13"/>
  <c r="F990" i="13"/>
  <c r="E990" i="13"/>
  <c r="D990" i="13"/>
  <c r="K989" i="13"/>
  <c r="L989" i="13" s="1"/>
  <c r="I989" i="13"/>
  <c r="H989" i="13"/>
  <c r="G989" i="13"/>
  <c r="F989" i="13"/>
  <c r="E989" i="13"/>
  <c r="D989" i="13"/>
  <c r="I988" i="13"/>
  <c r="H988" i="13"/>
  <c r="G988" i="13"/>
  <c r="K988" i="13" s="1"/>
  <c r="F988" i="13"/>
  <c r="E988" i="13"/>
  <c r="D988" i="13"/>
  <c r="I987" i="13"/>
  <c r="H987" i="13"/>
  <c r="G987" i="13"/>
  <c r="F987" i="13"/>
  <c r="E987" i="13"/>
  <c r="D987" i="13"/>
  <c r="K986" i="13"/>
  <c r="I986" i="13"/>
  <c r="H986" i="13"/>
  <c r="G986" i="13"/>
  <c r="F986" i="13"/>
  <c r="E986" i="13"/>
  <c r="D986" i="13"/>
  <c r="K985" i="13"/>
  <c r="I985" i="13"/>
  <c r="H985" i="13"/>
  <c r="G985" i="13"/>
  <c r="F985" i="13"/>
  <c r="E985" i="13"/>
  <c r="D985" i="13"/>
  <c r="I984" i="13"/>
  <c r="H984" i="13"/>
  <c r="G984" i="13"/>
  <c r="K984" i="13" s="1"/>
  <c r="L984" i="13" s="1"/>
  <c r="F984" i="13"/>
  <c r="E984" i="13"/>
  <c r="D984" i="13"/>
  <c r="I983" i="13"/>
  <c r="H983" i="13"/>
  <c r="G983" i="13"/>
  <c r="F983" i="13"/>
  <c r="E983" i="13"/>
  <c r="D983" i="13"/>
  <c r="K982" i="13"/>
  <c r="I982" i="13"/>
  <c r="H982" i="13"/>
  <c r="G982" i="13"/>
  <c r="F982" i="13"/>
  <c r="E982" i="13"/>
  <c r="D982" i="13"/>
  <c r="K981" i="13"/>
  <c r="I981" i="13"/>
  <c r="H981" i="13"/>
  <c r="G981" i="13"/>
  <c r="F981" i="13"/>
  <c r="E981" i="13"/>
  <c r="D981" i="13"/>
  <c r="I980" i="13"/>
  <c r="H980" i="13"/>
  <c r="G980" i="13"/>
  <c r="K980" i="13" s="1"/>
  <c r="F980" i="13"/>
  <c r="E980" i="13"/>
  <c r="D980" i="13"/>
  <c r="I979" i="13"/>
  <c r="H979" i="13"/>
  <c r="G979" i="13"/>
  <c r="F979" i="13"/>
  <c r="E979" i="13"/>
  <c r="D979" i="13"/>
  <c r="K978" i="13"/>
  <c r="L978" i="13" s="1"/>
  <c r="I978" i="13"/>
  <c r="H978" i="13"/>
  <c r="G978" i="13"/>
  <c r="F978" i="13"/>
  <c r="E978" i="13"/>
  <c r="D978" i="13"/>
  <c r="K977" i="13"/>
  <c r="I977" i="13"/>
  <c r="H977" i="13"/>
  <c r="G977" i="13"/>
  <c r="F977" i="13"/>
  <c r="E977" i="13"/>
  <c r="D977" i="13"/>
  <c r="I976" i="13"/>
  <c r="H976" i="13"/>
  <c r="G976" i="13"/>
  <c r="K976" i="13" s="1"/>
  <c r="F976" i="13"/>
  <c r="E976" i="13"/>
  <c r="D976" i="13"/>
  <c r="I975" i="13"/>
  <c r="H975" i="13"/>
  <c r="G975" i="13"/>
  <c r="F975" i="13"/>
  <c r="E975" i="13"/>
  <c r="D975" i="13"/>
  <c r="K974" i="13"/>
  <c r="I974" i="13"/>
  <c r="H974" i="13"/>
  <c r="G974" i="13"/>
  <c r="F974" i="13"/>
  <c r="E974" i="13"/>
  <c r="D974" i="13"/>
  <c r="K973" i="13"/>
  <c r="L973" i="13" s="1"/>
  <c r="I973" i="13"/>
  <c r="H973" i="13"/>
  <c r="G973" i="13"/>
  <c r="F973" i="13"/>
  <c r="E973" i="13"/>
  <c r="D973" i="13"/>
  <c r="I972" i="13"/>
  <c r="H972" i="13"/>
  <c r="G972" i="13"/>
  <c r="K972" i="13" s="1"/>
  <c r="F972" i="13"/>
  <c r="E972" i="13"/>
  <c r="D972" i="13"/>
  <c r="I971" i="13"/>
  <c r="H971" i="13"/>
  <c r="G971" i="13"/>
  <c r="F971" i="13"/>
  <c r="E971" i="13"/>
  <c r="D971" i="13"/>
  <c r="K970" i="13"/>
  <c r="I970" i="13"/>
  <c r="H970" i="13"/>
  <c r="G970" i="13"/>
  <c r="F970" i="13"/>
  <c r="E970" i="13"/>
  <c r="D970" i="13"/>
  <c r="K969" i="13"/>
  <c r="L969" i="13" s="1"/>
  <c r="I969" i="13"/>
  <c r="H969" i="13"/>
  <c r="G969" i="13"/>
  <c r="F969" i="13"/>
  <c r="E969" i="13"/>
  <c r="D969" i="13"/>
  <c r="I968" i="13"/>
  <c r="H968" i="13"/>
  <c r="G968" i="13"/>
  <c r="K968" i="13" s="1"/>
  <c r="L968" i="13" s="1"/>
  <c r="F968" i="13"/>
  <c r="E968" i="13"/>
  <c r="D968" i="13"/>
  <c r="I967" i="13"/>
  <c r="H967" i="13"/>
  <c r="G967" i="13"/>
  <c r="F967" i="13"/>
  <c r="E967" i="13"/>
  <c r="D967" i="13"/>
  <c r="K966" i="13"/>
  <c r="L966" i="13" s="1"/>
  <c r="I966" i="13"/>
  <c r="H966" i="13"/>
  <c r="G966" i="13"/>
  <c r="F966" i="13"/>
  <c r="E966" i="13"/>
  <c r="D966" i="13"/>
  <c r="K965" i="13"/>
  <c r="L965" i="13" s="1"/>
  <c r="I965" i="13"/>
  <c r="H965" i="13"/>
  <c r="G965" i="13"/>
  <c r="F965" i="13"/>
  <c r="E965" i="13"/>
  <c r="D965" i="13"/>
  <c r="I964" i="13"/>
  <c r="H964" i="13"/>
  <c r="G964" i="13"/>
  <c r="K964" i="13" s="1"/>
  <c r="L964" i="13" s="1"/>
  <c r="F964" i="13"/>
  <c r="E964" i="13"/>
  <c r="D964" i="13"/>
  <c r="I963" i="13"/>
  <c r="H963" i="13"/>
  <c r="G963" i="13"/>
  <c r="F963" i="13"/>
  <c r="E963" i="13"/>
  <c r="D963" i="13"/>
  <c r="K962" i="13"/>
  <c r="L962" i="13" s="1"/>
  <c r="I962" i="13"/>
  <c r="H962" i="13"/>
  <c r="G962" i="13"/>
  <c r="F962" i="13"/>
  <c r="E962" i="13"/>
  <c r="D962" i="13"/>
  <c r="K961" i="13"/>
  <c r="I961" i="13"/>
  <c r="H961" i="13"/>
  <c r="G961" i="13"/>
  <c r="F961" i="13"/>
  <c r="E961" i="13"/>
  <c r="D961" i="13"/>
  <c r="I960" i="13"/>
  <c r="H960" i="13"/>
  <c r="G960" i="13"/>
  <c r="K960" i="13" s="1"/>
  <c r="L960" i="13" s="1"/>
  <c r="F960" i="13"/>
  <c r="E960" i="13"/>
  <c r="D960" i="13"/>
  <c r="K959" i="13"/>
  <c r="L959" i="13" s="1"/>
  <c r="I959" i="13"/>
  <c r="H959" i="13"/>
  <c r="G959" i="13"/>
  <c r="F959" i="13"/>
  <c r="E959" i="13"/>
  <c r="D959" i="13"/>
  <c r="K958" i="13"/>
  <c r="I958" i="13"/>
  <c r="H958" i="13"/>
  <c r="G958" i="13"/>
  <c r="F958" i="13"/>
  <c r="E958" i="13"/>
  <c r="D958" i="13"/>
  <c r="K957" i="13"/>
  <c r="L957" i="13" s="1"/>
  <c r="I957" i="13"/>
  <c r="H957" i="13"/>
  <c r="G957" i="13"/>
  <c r="F957" i="13"/>
  <c r="E957" i="13"/>
  <c r="D957" i="13"/>
  <c r="I956" i="13"/>
  <c r="H956" i="13"/>
  <c r="G956" i="13"/>
  <c r="K956" i="13" s="1"/>
  <c r="F956" i="13"/>
  <c r="E956" i="13"/>
  <c r="D956" i="13"/>
  <c r="I955" i="13"/>
  <c r="H955" i="13"/>
  <c r="G955" i="13"/>
  <c r="F955" i="13"/>
  <c r="E955" i="13"/>
  <c r="D955" i="13"/>
  <c r="K954" i="13"/>
  <c r="I954" i="13"/>
  <c r="H954" i="13"/>
  <c r="G954" i="13"/>
  <c r="F954" i="13"/>
  <c r="E954" i="13"/>
  <c r="D954" i="13"/>
  <c r="K953" i="13"/>
  <c r="L953" i="13" s="1"/>
  <c r="I953" i="13"/>
  <c r="H953" i="13"/>
  <c r="G953" i="13"/>
  <c r="F953" i="13"/>
  <c r="E953" i="13"/>
  <c r="D953" i="13"/>
  <c r="I952" i="13"/>
  <c r="H952" i="13"/>
  <c r="G952" i="13"/>
  <c r="K952" i="13" s="1"/>
  <c r="L952" i="13" s="1"/>
  <c r="F952" i="13"/>
  <c r="E952" i="13"/>
  <c r="D952" i="13"/>
  <c r="I951" i="13"/>
  <c r="H951" i="13"/>
  <c r="G951" i="13"/>
  <c r="F951" i="13"/>
  <c r="E951" i="13"/>
  <c r="D951" i="13"/>
  <c r="K950" i="13"/>
  <c r="L950" i="13" s="1"/>
  <c r="I950" i="13"/>
  <c r="H950" i="13"/>
  <c r="G950" i="13"/>
  <c r="F950" i="13"/>
  <c r="E950" i="13"/>
  <c r="D950" i="13"/>
  <c r="K949" i="13"/>
  <c r="I949" i="13"/>
  <c r="H949" i="13"/>
  <c r="G949" i="13"/>
  <c r="F949" i="13"/>
  <c r="E949" i="13"/>
  <c r="D949" i="13"/>
  <c r="I948" i="13"/>
  <c r="H948" i="13"/>
  <c r="G948" i="13"/>
  <c r="K948" i="13" s="1"/>
  <c r="L948" i="13" s="1"/>
  <c r="F948" i="13"/>
  <c r="E948" i="13"/>
  <c r="D948" i="13"/>
  <c r="I947" i="13"/>
  <c r="H947" i="13"/>
  <c r="G947" i="13"/>
  <c r="F947" i="13"/>
  <c r="E947" i="13"/>
  <c r="D947" i="13"/>
  <c r="K946" i="13"/>
  <c r="I946" i="13"/>
  <c r="H946" i="13"/>
  <c r="G946" i="13"/>
  <c r="F946" i="13"/>
  <c r="E946" i="13"/>
  <c r="D946" i="13"/>
  <c r="I945" i="13"/>
  <c r="H945" i="13"/>
  <c r="F945" i="13"/>
  <c r="E945" i="13"/>
  <c r="D945" i="13"/>
  <c r="G945" i="13" s="1"/>
  <c r="K945" i="13" s="1"/>
  <c r="L945" i="13" s="1"/>
  <c r="I944" i="13"/>
  <c r="H944" i="13"/>
  <c r="G944" i="13"/>
  <c r="K944" i="13" s="1"/>
  <c r="L944" i="13" s="1"/>
  <c r="F944" i="13"/>
  <c r="E944" i="13"/>
  <c r="D944" i="13"/>
  <c r="K943" i="13"/>
  <c r="L943" i="13" s="1"/>
  <c r="I943" i="13"/>
  <c r="H943" i="13"/>
  <c r="G943" i="13"/>
  <c r="F943" i="13"/>
  <c r="E943" i="13"/>
  <c r="D943" i="13"/>
  <c r="K942" i="13"/>
  <c r="L942" i="13" s="1"/>
  <c r="I942" i="13"/>
  <c r="H942" i="13"/>
  <c r="G942" i="13"/>
  <c r="F942" i="13"/>
  <c r="E942" i="13"/>
  <c r="D942" i="13"/>
  <c r="I941" i="13"/>
  <c r="H941" i="13"/>
  <c r="F941" i="13"/>
  <c r="E941" i="13"/>
  <c r="D941" i="13"/>
  <c r="G941" i="13" s="1"/>
  <c r="K941" i="13" s="1"/>
  <c r="I940" i="13"/>
  <c r="H940" i="13"/>
  <c r="G940" i="13"/>
  <c r="K940" i="13" s="1"/>
  <c r="L940" i="13" s="1"/>
  <c r="F940" i="13"/>
  <c r="E940" i="13"/>
  <c r="D940" i="13"/>
  <c r="I939" i="13"/>
  <c r="H939" i="13"/>
  <c r="G939" i="13"/>
  <c r="F939" i="13"/>
  <c r="E939" i="13"/>
  <c r="D939" i="13"/>
  <c r="K938" i="13"/>
  <c r="L938" i="13" s="1"/>
  <c r="I938" i="13"/>
  <c r="H938" i="13"/>
  <c r="G938" i="13"/>
  <c r="F938" i="13"/>
  <c r="E938" i="13"/>
  <c r="D938" i="13"/>
  <c r="I937" i="13"/>
  <c r="H937" i="13"/>
  <c r="F937" i="13"/>
  <c r="E937" i="13"/>
  <c r="D937" i="13"/>
  <c r="G937" i="13" s="1"/>
  <c r="K937" i="13" s="1"/>
  <c r="L937" i="13" s="1"/>
  <c r="I936" i="13"/>
  <c r="H936" i="13"/>
  <c r="F936" i="13"/>
  <c r="E936" i="13"/>
  <c r="D936" i="13"/>
  <c r="G936" i="13" s="1"/>
  <c r="K936" i="13" s="1"/>
  <c r="L936" i="13" s="1"/>
  <c r="I935" i="13"/>
  <c r="H935" i="13"/>
  <c r="G935" i="13"/>
  <c r="F935" i="13"/>
  <c r="E935" i="13"/>
  <c r="D935" i="13"/>
  <c r="K934" i="13"/>
  <c r="L934" i="13" s="1"/>
  <c r="I934" i="13"/>
  <c r="H934" i="13"/>
  <c r="G934" i="13"/>
  <c r="F934" i="13"/>
  <c r="E934" i="13"/>
  <c r="D934" i="13"/>
  <c r="I933" i="13"/>
  <c r="H933" i="13"/>
  <c r="F933" i="13"/>
  <c r="E933" i="13"/>
  <c r="D933" i="13"/>
  <c r="G933" i="13" s="1"/>
  <c r="K933" i="13" s="1"/>
  <c r="I932" i="13"/>
  <c r="H932" i="13"/>
  <c r="F932" i="13"/>
  <c r="E932" i="13"/>
  <c r="D932" i="13"/>
  <c r="G932" i="13" s="1"/>
  <c r="K932" i="13" s="1"/>
  <c r="L932" i="13" s="1"/>
  <c r="I931" i="13"/>
  <c r="H931" i="13"/>
  <c r="G931" i="13"/>
  <c r="F931" i="13"/>
  <c r="E931" i="13"/>
  <c r="D931" i="13"/>
  <c r="K930" i="13"/>
  <c r="I930" i="13"/>
  <c r="H930" i="13"/>
  <c r="G930" i="13"/>
  <c r="F930" i="13"/>
  <c r="E930" i="13"/>
  <c r="D930" i="13"/>
  <c r="I929" i="13"/>
  <c r="H929" i="13"/>
  <c r="F929" i="13"/>
  <c r="E929" i="13"/>
  <c r="D929" i="13"/>
  <c r="G929" i="13" s="1"/>
  <c r="K929" i="13" s="1"/>
  <c r="L929" i="13" s="1"/>
  <c r="H928" i="13"/>
  <c r="G928" i="13"/>
  <c r="K928" i="13" s="1"/>
  <c r="L928" i="13" s="1"/>
  <c r="F928" i="13"/>
  <c r="I928" i="13" s="1"/>
  <c r="E928" i="13"/>
  <c r="D928" i="13"/>
  <c r="H927" i="13"/>
  <c r="F927" i="13"/>
  <c r="I927" i="13" s="1"/>
  <c r="E927" i="13"/>
  <c r="D927" i="13"/>
  <c r="G927" i="13" s="1"/>
  <c r="H926" i="13"/>
  <c r="G926" i="13"/>
  <c r="K926" i="13" s="1"/>
  <c r="L926" i="13" s="1"/>
  <c r="F926" i="13"/>
  <c r="I926" i="13" s="1"/>
  <c r="E926" i="13"/>
  <c r="D926" i="13"/>
  <c r="H925" i="13"/>
  <c r="F925" i="13"/>
  <c r="I925" i="13" s="1"/>
  <c r="E925" i="13"/>
  <c r="D925" i="13"/>
  <c r="G925" i="13" s="1"/>
  <c r="K925" i="13" s="1"/>
  <c r="L925" i="13" s="1"/>
  <c r="H924" i="13"/>
  <c r="F924" i="13"/>
  <c r="I924" i="13" s="1"/>
  <c r="E924" i="13"/>
  <c r="D924" i="13"/>
  <c r="G924" i="13" s="1"/>
  <c r="K924" i="13" s="1"/>
  <c r="L924" i="13" s="1"/>
  <c r="H923" i="13"/>
  <c r="F923" i="13"/>
  <c r="I923" i="13" s="1"/>
  <c r="E923" i="13"/>
  <c r="D923" i="13"/>
  <c r="G923" i="13" s="1"/>
  <c r="H922" i="13"/>
  <c r="G922" i="13"/>
  <c r="K922" i="13" s="1"/>
  <c r="L922" i="13" s="1"/>
  <c r="F922" i="13"/>
  <c r="I922" i="13" s="1"/>
  <c r="E922" i="13"/>
  <c r="D922" i="13"/>
  <c r="H921" i="13"/>
  <c r="F921" i="13"/>
  <c r="I921" i="13" s="1"/>
  <c r="E921" i="13"/>
  <c r="D921" i="13"/>
  <c r="G921" i="13" s="1"/>
  <c r="K921" i="13" s="1"/>
  <c r="L921" i="13" s="1"/>
  <c r="H920" i="13"/>
  <c r="F920" i="13"/>
  <c r="I920" i="13" s="1"/>
  <c r="E920" i="13"/>
  <c r="D920" i="13"/>
  <c r="G920" i="13" s="1"/>
  <c r="K920" i="13" s="1"/>
  <c r="L920" i="13" s="1"/>
  <c r="H919" i="13"/>
  <c r="F919" i="13"/>
  <c r="I919" i="13" s="1"/>
  <c r="E919" i="13"/>
  <c r="D919" i="13"/>
  <c r="G919" i="13" s="1"/>
  <c r="K919" i="13" s="1"/>
  <c r="L919" i="13" s="1"/>
  <c r="H918" i="13"/>
  <c r="G918" i="13"/>
  <c r="K918" i="13" s="1"/>
  <c r="F918" i="13"/>
  <c r="I918" i="13" s="1"/>
  <c r="E918" i="13"/>
  <c r="D918" i="13"/>
  <c r="H917" i="13"/>
  <c r="F917" i="13"/>
  <c r="I917" i="13" s="1"/>
  <c r="E917" i="13"/>
  <c r="D917" i="13"/>
  <c r="G917" i="13" s="1"/>
  <c r="K917" i="13" s="1"/>
  <c r="L917" i="13" s="1"/>
  <c r="H916" i="13"/>
  <c r="G916" i="13"/>
  <c r="K916" i="13" s="1"/>
  <c r="L916" i="13" s="1"/>
  <c r="F916" i="13"/>
  <c r="I916" i="13" s="1"/>
  <c r="E916" i="13"/>
  <c r="D916" i="13"/>
  <c r="H915" i="13"/>
  <c r="F915" i="13"/>
  <c r="I915" i="13" s="1"/>
  <c r="E915" i="13"/>
  <c r="D915" i="13"/>
  <c r="G915" i="13" s="1"/>
  <c r="H914" i="13"/>
  <c r="G914" i="13"/>
  <c r="K914" i="13" s="1"/>
  <c r="L914" i="13" s="1"/>
  <c r="F914" i="13"/>
  <c r="I914" i="13" s="1"/>
  <c r="E914" i="13"/>
  <c r="D914" i="13"/>
  <c r="K913" i="13"/>
  <c r="L913" i="13" s="1"/>
  <c r="G913" i="13"/>
  <c r="F913" i="13"/>
  <c r="I913" i="13" s="1"/>
  <c r="E913" i="13"/>
  <c r="H913" i="13" s="1"/>
  <c r="D913" i="13"/>
  <c r="F912" i="13"/>
  <c r="I912" i="13" s="1"/>
  <c r="E912" i="13"/>
  <c r="D912" i="13"/>
  <c r="I911" i="13"/>
  <c r="F911" i="13"/>
  <c r="E911" i="13"/>
  <c r="H911" i="13" s="1"/>
  <c r="D911" i="13"/>
  <c r="I910" i="13"/>
  <c r="G910" i="13"/>
  <c r="K910" i="13" s="1"/>
  <c r="L910" i="13" s="1"/>
  <c r="F910" i="13"/>
  <c r="E910" i="13"/>
  <c r="H910" i="13" s="1"/>
  <c r="D910" i="13"/>
  <c r="G909" i="13"/>
  <c r="F909" i="13"/>
  <c r="I909" i="13" s="1"/>
  <c r="E909" i="13"/>
  <c r="H909" i="13" s="1"/>
  <c r="D909" i="13"/>
  <c r="F908" i="13"/>
  <c r="I908" i="13" s="1"/>
  <c r="E908" i="13"/>
  <c r="D908" i="13"/>
  <c r="I907" i="13"/>
  <c r="F907" i="13"/>
  <c r="E907" i="13"/>
  <c r="H907" i="13" s="1"/>
  <c r="D907" i="13"/>
  <c r="I906" i="13"/>
  <c r="G906" i="13"/>
  <c r="K906" i="13" s="1"/>
  <c r="F906" i="13"/>
  <c r="E906" i="13"/>
  <c r="H906" i="13" s="1"/>
  <c r="D906" i="13"/>
  <c r="K905" i="13"/>
  <c r="L905" i="13" s="1"/>
  <c r="G905" i="13"/>
  <c r="F905" i="13"/>
  <c r="I905" i="13" s="1"/>
  <c r="E905" i="13"/>
  <c r="H905" i="13" s="1"/>
  <c r="D905" i="13"/>
  <c r="F904" i="13"/>
  <c r="I904" i="13" s="1"/>
  <c r="E904" i="13"/>
  <c r="D904" i="13"/>
  <c r="I903" i="13"/>
  <c r="F903" i="13"/>
  <c r="E903" i="13"/>
  <c r="H903" i="13" s="1"/>
  <c r="D903" i="13"/>
  <c r="I902" i="13"/>
  <c r="G902" i="13"/>
  <c r="K902" i="13" s="1"/>
  <c r="L902" i="13" s="1"/>
  <c r="F902" i="13"/>
  <c r="E902" i="13"/>
  <c r="H902" i="13" s="1"/>
  <c r="D902" i="13"/>
  <c r="G901" i="13"/>
  <c r="F901" i="13"/>
  <c r="I901" i="13" s="1"/>
  <c r="E901" i="13"/>
  <c r="H901" i="13" s="1"/>
  <c r="D901" i="13"/>
  <c r="F900" i="13"/>
  <c r="I900" i="13" s="1"/>
  <c r="E900" i="13"/>
  <c r="D900" i="13"/>
  <c r="I899" i="13"/>
  <c r="F899" i="13"/>
  <c r="E899" i="13"/>
  <c r="H899" i="13" s="1"/>
  <c r="D899" i="13"/>
  <c r="I898" i="13"/>
  <c r="G898" i="13"/>
  <c r="K898" i="13" s="1"/>
  <c r="F898" i="13"/>
  <c r="E898" i="13"/>
  <c r="H898" i="13" s="1"/>
  <c r="D898" i="13"/>
  <c r="K897" i="13"/>
  <c r="L897" i="13" s="1"/>
  <c r="G897" i="13"/>
  <c r="F897" i="13"/>
  <c r="I897" i="13" s="1"/>
  <c r="E897" i="13"/>
  <c r="H897" i="13" s="1"/>
  <c r="D897" i="13"/>
  <c r="F896" i="13"/>
  <c r="I896" i="13" s="1"/>
  <c r="E896" i="13"/>
  <c r="D896" i="13"/>
  <c r="I895" i="13"/>
  <c r="F895" i="13"/>
  <c r="E895" i="13"/>
  <c r="H895" i="13" s="1"/>
  <c r="D895" i="13"/>
  <c r="I894" i="13"/>
  <c r="G894" i="13"/>
  <c r="K894" i="13" s="1"/>
  <c r="L894" i="13" s="1"/>
  <c r="F894" i="13"/>
  <c r="E894" i="13"/>
  <c r="H894" i="13" s="1"/>
  <c r="D894" i="13"/>
  <c r="G893" i="13"/>
  <c r="F893" i="13"/>
  <c r="I893" i="13" s="1"/>
  <c r="E893" i="13"/>
  <c r="H893" i="13" s="1"/>
  <c r="D893" i="13"/>
  <c r="F892" i="13"/>
  <c r="I892" i="13" s="1"/>
  <c r="E892" i="13"/>
  <c r="D892" i="13"/>
  <c r="I891" i="13"/>
  <c r="F891" i="13"/>
  <c r="E891" i="13"/>
  <c r="H891" i="13" s="1"/>
  <c r="D891" i="13"/>
  <c r="I890" i="13"/>
  <c r="G890" i="13"/>
  <c r="K890" i="13" s="1"/>
  <c r="L890" i="13" s="1"/>
  <c r="F890" i="13"/>
  <c r="E890" i="13"/>
  <c r="H890" i="13" s="1"/>
  <c r="D890" i="13"/>
  <c r="K889" i="13"/>
  <c r="L889" i="13" s="1"/>
  <c r="G889" i="13"/>
  <c r="F889" i="13"/>
  <c r="I889" i="13" s="1"/>
  <c r="E889" i="13"/>
  <c r="H889" i="13" s="1"/>
  <c r="D889" i="13"/>
  <c r="F888" i="13"/>
  <c r="I888" i="13" s="1"/>
  <c r="E888" i="13"/>
  <c r="D888" i="13"/>
  <c r="I887" i="13"/>
  <c r="F887" i="13"/>
  <c r="E887" i="13"/>
  <c r="H887" i="13" s="1"/>
  <c r="D887" i="13"/>
  <c r="I886" i="13"/>
  <c r="G886" i="13"/>
  <c r="K886" i="13" s="1"/>
  <c r="L886" i="13" s="1"/>
  <c r="F886" i="13"/>
  <c r="E886" i="13"/>
  <c r="H886" i="13" s="1"/>
  <c r="D886" i="13"/>
  <c r="G885" i="13"/>
  <c r="F885" i="13"/>
  <c r="I885" i="13" s="1"/>
  <c r="E885" i="13"/>
  <c r="H885" i="13" s="1"/>
  <c r="D885" i="13"/>
  <c r="F884" i="13"/>
  <c r="I884" i="13" s="1"/>
  <c r="E884" i="13"/>
  <c r="D884" i="13"/>
  <c r="I883" i="13"/>
  <c r="F883" i="13"/>
  <c r="E883" i="13"/>
  <c r="H883" i="13" s="1"/>
  <c r="D883" i="13"/>
  <c r="I882" i="13"/>
  <c r="G882" i="13"/>
  <c r="K882" i="13" s="1"/>
  <c r="L882" i="13" s="1"/>
  <c r="F882" i="13"/>
  <c r="E882" i="13"/>
  <c r="H882" i="13" s="1"/>
  <c r="D882" i="13"/>
  <c r="K881" i="13"/>
  <c r="L881" i="13" s="1"/>
  <c r="G881" i="13"/>
  <c r="F881" i="13"/>
  <c r="I881" i="13" s="1"/>
  <c r="E881" i="13"/>
  <c r="H881" i="13" s="1"/>
  <c r="D881" i="13"/>
  <c r="F880" i="13"/>
  <c r="I880" i="13" s="1"/>
  <c r="E880" i="13"/>
  <c r="D880" i="13"/>
  <c r="I879" i="13"/>
  <c r="F879" i="13"/>
  <c r="E879" i="13"/>
  <c r="H879" i="13" s="1"/>
  <c r="D879" i="13"/>
  <c r="I878" i="13"/>
  <c r="G878" i="13"/>
  <c r="K878" i="13" s="1"/>
  <c r="L878" i="13" s="1"/>
  <c r="F878" i="13"/>
  <c r="E878" i="13"/>
  <c r="H878" i="13" s="1"/>
  <c r="D878" i="13"/>
  <c r="G877" i="13"/>
  <c r="F877" i="13"/>
  <c r="I877" i="13" s="1"/>
  <c r="E877" i="13"/>
  <c r="H877" i="13" s="1"/>
  <c r="D877" i="13"/>
  <c r="F876" i="13"/>
  <c r="I876" i="13" s="1"/>
  <c r="E876" i="13"/>
  <c r="D876" i="13"/>
  <c r="I875" i="13"/>
  <c r="F875" i="13"/>
  <c r="E875" i="13"/>
  <c r="H875" i="13" s="1"/>
  <c r="D875" i="13"/>
  <c r="I874" i="13"/>
  <c r="G874" i="13"/>
  <c r="K874" i="13" s="1"/>
  <c r="L874" i="13" s="1"/>
  <c r="F874" i="13"/>
  <c r="E874" i="13"/>
  <c r="H874" i="13" s="1"/>
  <c r="D874" i="13"/>
  <c r="K873" i="13"/>
  <c r="L873" i="13" s="1"/>
  <c r="G873" i="13"/>
  <c r="F873" i="13"/>
  <c r="I873" i="13" s="1"/>
  <c r="E873" i="13"/>
  <c r="H873" i="13" s="1"/>
  <c r="D873" i="13"/>
  <c r="F872" i="13"/>
  <c r="I872" i="13" s="1"/>
  <c r="E872" i="13"/>
  <c r="D872" i="13"/>
  <c r="I871" i="13"/>
  <c r="F871" i="13"/>
  <c r="E871" i="13"/>
  <c r="H871" i="13" s="1"/>
  <c r="D871" i="13"/>
  <c r="I870" i="13"/>
  <c r="G870" i="13"/>
  <c r="K870" i="13" s="1"/>
  <c r="F870" i="13"/>
  <c r="E870" i="13"/>
  <c r="H870" i="13" s="1"/>
  <c r="D870" i="13"/>
  <c r="G869" i="13"/>
  <c r="F869" i="13"/>
  <c r="I869" i="13" s="1"/>
  <c r="E869" i="13"/>
  <c r="H869" i="13" s="1"/>
  <c r="D869" i="13"/>
  <c r="F868" i="13"/>
  <c r="I868" i="13" s="1"/>
  <c r="E868" i="13"/>
  <c r="D868" i="13"/>
  <c r="I867" i="13"/>
  <c r="F867" i="13"/>
  <c r="E867" i="13"/>
  <c r="H867" i="13" s="1"/>
  <c r="D867" i="13"/>
  <c r="I866" i="13"/>
  <c r="G866" i="13"/>
  <c r="K866" i="13" s="1"/>
  <c r="L866" i="13" s="1"/>
  <c r="F866" i="13"/>
  <c r="E866" i="13"/>
  <c r="H866" i="13" s="1"/>
  <c r="D866" i="13"/>
  <c r="G865" i="13"/>
  <c r="F865" i="13"/>
  <c r="I865" i="13" s="1"/>
  <c r="E865" i="13"/>
  <c r="H865" i="13" s="1"/>
  <c r="D865" i="13"/>
  <c r="K864" i="13"/>
  <c r="L864" i="13" s="1"/>
  <c r="G864" i="13"/>
  <c r="F864" i="13"/>
  <c r="I864" i="13" s="1"/>
  <c r="E864" i="13"/>
  <c r="H864" i="13" s="1"/>
  <c r="D864" i="13"/>
  <c r="G863" i="13"/>
  <c r="F863" i="13"/>
  <c r="E863" i="13"/>
  <c r="H863" i="13" s="1"/>
  <c r="D863" i="13"/>
  <c r="G862" i="13"/>
  <c r="F862" i="13"/>
  <c r="I862" i="13" s="1"/>
  <c r="E862" i="13"/>
  <c r="H862" i="13" s="1"/>
  <c r="D862" i="13"/>
  <c r="K861" i="13"/>
  <c r="L861" i="13" s="1"/>
  <c r="G861" i="13"/>
  <c r="F861" i="13"/>
  <c r="I861" i="13" s="1"/>
  <c r="E861" i="13"/>
  <c r="H861" i="13" s="1"/>
  <c r="D861" i="13"/>
  <c r="K860" i="13"/>
  <c r="L860" i="13" s="1"/>
  <c r="G860" i="13"/>
  <c r="F860" i="13"/>
  <c r="I860" i="13" s="1"/>
  <c r="E860" i="13"/>
  <c r="H860" i="13" s="1"/>
  <c r="D860" i="13"/>
  <c r="G859" i="13"/>
  <c r="F859" i="13"/>
  <c r="E859" i="13"/>
  <c r="H859" i="13" s="1"/>
  <c r="D859" i="13"/>
  <c r="G858" i="13"/>
  <c r="F858" i="13"/>
  <c r="I858" i="13" s="1"/>
  <c r="E858" i="13"/>
  <c r="H858" i="13" s="1"/>
  <c r="D858" i="13"/>
  <c r="K857" i="13"/>
  <c r="L857" i="13" s="1"/>
  <c r="G857" i="13"/>
  <c r="F857" i="13"/>
  <c r="I857" i="13" s="1"/>
  <c r="E857" i="13"/>
  <c r="H857" i="13" s="1"/>
  <c r="D857" i="13"/>
  <c r="K856" i="13"/>
  <c r="L856" i="13" s="1"/>
  <c r="G856" i="13"/>
  <c r="F856" i="13"/>
  <c r="I856" i="13" s="1"/>
  <c r="E856" i="13"/>
  <c r="H856" i="13" s="1"/>
  <c r="D856" i="13"/>
  <c r="G855" i="13"/>
  <c r="F855" i="13"/>
  <c r="E855" i="13"/>
  <c r="H855" i="13" s="1"/>
  <c r="D855" i="13"/>
  <c r="G854" i="13"/>
  <c r="F854" i="13"/>
  <c r="I854" i="13" s="1"/>
  <c r="E854" i="13"/>
  <c r="H854" i="13" s="1"/>
  <c r="D854" i="13"/>
  <c r="K853" i="13"/>
  <c r="L853" i="13" s="1"/>
  <c r="G853" i="13"/>
  <c r="F853" i="13"/>
  <c r="I853" i="13" s="1"/>
  <c r="E853" i="13"/>
  <c r="H853" i="13" s="1"/>
  <c r="D853" i="13"/>
  <c r="K852" i="13"/>
  <c r="L852" i="13" s="1"/>
  <c r="G852" i="13"/>
  <c r="F852" i="13"/>
  <c r="I852" i="13" s="1"/>
  <c r="E852" i="13"/>
  <c r="H852" i="13" s="1"/>
  <c r="D852" i="13"/>
  <c r="G851" i="13"/>
  <c r="F851" i="13"/>
  <c r="E851" i="13"/>
  <c r="H851" i="13" s="1"/>
  <c r="D851" i="13"/>
  <c r="G850" i="13"/>
  <c r="F850" i="13"/>
  <c r="I850" i="13" s="1"/>
  <c r="E850" i="13"/>
  <c r="H850" i="13" s="1"/>
  <c r="D850" i="13"/>
  <c r="K849" i="13"/>
  <c r="L849" i="13" s="1"/>
  <c r="G849" i="13"/>
  <c r="F849" i="13"/>
  <c r="I849" i="13" s="1"/>
  <c r="E849" i="13"/>
  <c r="H849" i="13" s="1"/>
  <c r="D849" i="13"/>
  <c r="K848" i="13"/>
  <c r="G848" i="13"/>
  <c r="F848" i="13"/>
  <c r="I848" i="13" s="1"/>
  <c r="E848" i="13"/>
  <c r="H848" i="13" s="1"/>
  <c r="D848" i="13"/>
  <c r="G847" i="13"/>
  <c r="F847" i="13"/>
  <c r="E847" i="13"/>
  <c r="H847" i="13" s="1"/>
  <c r="D847" i="13"/>
  <c r="K846" i="13"/>
  <c r="L846" i="13" s="1"/>
  <c r="G846" i="13"/>
  <c r="F846" i="13"/>
  <c r="I846" i="13" s="1"/>
  <c r="E846" i="13"/>
  <c r="H846" i="13" s="1"/>
  <c r="D846" i="13"/>
  <c r="G845" i="13"/>
  <c r="F845" i="13"/>
  <c r="E845" i="13"/>
  <c r="H845" i="13" s="1"/>
  <c r="D845" i="13"/>
  <c r="K844" i="13"/>
  <c r="L844" i="13" s="1"/>
  <c r="G844" i="13"/>
  <c r="F844" i="13"/>
  <c r="I844" i="13" s="1"/>
  <c r="E844" i="13"/>
  <c r="H844" i="13" s="1"/>
  <c r="D844" i="13"/>
  <c r="G843" i="13"/>
  <c r="F843" i="13"/>
  <c r="E843" i="13"/>
  <c r="H843" i="13" s="1"/>
  <c r="D843" i="13"/>
  <c r="K842" i="13"/>
  <c r="G842" i="13"/>
  <c r="F842" i="13"/>
  <c r="I842" i="13" s="1"/>
  <c r="E842" i="13"/>
  <c r="H842" i="13" s="1"/>
  <c r="D842" i="13"/>
  <c r="G841" i="13"/>
  <c r="F841" i="13"/>
  <c r="E841" i="13"/>
  <c r="H841" i="13" s="1"/>
  <c r="D841" i="13"/>
  <c r="K840" i="13"/>
  <c r="L840" i="13" s="1"/>
  <c r="G840" i="13"/>
  <c r="F840" i="13"/>
  <c r="I840" i="13" s="1"/>
  <c r="E840" i="13"/>
  <c r="H840" i="13" s="1"/>
  <c r="D840" i="13"/>
  <c r="G839" i="13"/>
  <c r="F839" i="13"/>
  <c r="E839" i="13"/>
  <c r="H839" i="13" s="1"/>
  <c r="D839" i="13"/>
  <c r="K838" i="13"/>
  <c r="L838" i="13" s="1"/>
  <c r="G838" i="13"/>
  <c r="F838" i="13"/>
  <c r="I838" i="13" s="1"/>
  <c r="E838" i="13"/>
  <c r="H838" i="13" s="1"/>
  <c r="D838" i="13"/>
  <c r="G837" i="13"/>
  <c r="F837" i="13"/>
  <c r="E837" i="13"/>
  <c r="H837" i="13" s="1"/>
  <c r="D837" i="13"/>
  <c r="K836" i="13"/>
  <c r="L836" i="13" s="1"/>
  <c r="G836" i="13"/>
  <c r="F836" i="13"/>
  <c r="I836" i="13" s="1"/>
  <c r="E836" i="13"/>
  <c r="H836" i="13" s="1"/>
  <c r="D836" i="13"/>
  <c r="G835" i="13"/>
  <c r="F835" i="13"/>
  <c r="E835" i="13"/>
  <c r="H835" i="13" s="1"/>
  <c r="D835" i="13"/>
  <c r="K834" i="13"/>
  <c r="G834" i="13"/>
  <c r="F834" i="13"/>
  <c r="I834" i="13" s="1"/>
  <c r="E834" i="13"/>
  <c r="H834" i="13" s="1"/>
  <c r="D834" i="13"/>
  <c r="G833" i="13"/>
  <c r="K833" i="13" s="1"/>
  <c r="L833" i="13" s="1"/>
  <c r="F833" i="13"/>
  <c r="I833" i="13" s="1"/>
  <c r="E833" i="13"/>
  <c r="H833" i="13" s="1"/>
  <c r="D833" i="13"/>
  <c r="F832" i="13"/>
  <c r="I832" i="13" s="1"/>
  <c r="E832" i="13"/>
  <c r="H832" i="13" s="1"/>
  <c r="D832" i="13"/>
  <c r="I831" i="13"/>
  <c r="F831" i="13"/>
  <c r="E831" i="13"/>
  <c r="D831" i="13"/>
  <c r="I830" i="13"/>
  <c r="G830" i="13"/>
  <c r="K830" i="13" s="1"/>
  <c r="L830" i="13" s="1"/>
  <c r="F830" i="13"/>
  <c r="E830" i="13"/>
  <c r="H830" i="13" s="1"/>
  <c r="D830" i="13"/>
  <c r="G829" i="13"/>
  <c r="K829" i="13" s="1"/>
  <c r="L829" i="13" s="1"/>
  <c r="F829" i="13"/>
  <c r="I829" i="13" s="1"/>
  <c r="E829" i="13"/>
  <c r="H829" i="13" s="1"/>
  <c r="D829" i="13"/>
  <c r="F828" i="13"/>
  <c r="I828" i="13" s="1"/>
  <c r="E828" i="13"/>
  <c r="H828" i="13" s="1"/>
  <c r="D828" i="13"/>
  <c r="I827" i="13"/>
  <c r="F827" i="13"/>
  <c r="E827" i="13"/>
  <c r="D827" i="13"/>
  <c r="I826" i="13"/>
  <c r="F826" i="13"/>
  <c r="E826" i="13"/>
  <c r="H826" i="13" s="1"/>
  <c r="D826" i="13"/>
  <c r="G826" i="13" s="1"/>
  <c r="K826" i="13" s="1"/>
  <c r="L826" i="13" s="1"/>
  <c r="H825" i="13"/>
  <c r="F825" i="13"/>
  <c r="I825" i="13" s="1"/>
  <c r="E825" i="13"/>
  <c r="D825" i="13"/>
  <c r="G825" i="13" s="1"/>
  <c r="K825" i="13" s="1"/>
  <c r="L825" i="13" s="1"/>
  <c r="H824" i="13"/>
  <c r="F824" i="13"/>
  <c r="I824" i="13" s="1"/>
  <c r="E824" i="13"/>
  <c r="D824" i="13"/>
  <c r="G824" i="13" s="1"/>
  <c r="K824" i="13" s="1"/>
  <c r="L824" i="13" s="1"/>
  <c r="H823" i="13"/>
  <c r="F823" i="13"/>
  <c r="I823" i="13" s="1"/>
  <c r="E823" i="13"/>
  <c r="D823" i="13"/>
  <c r="G823" i="13" s="1"/>
  <c r="K823" i="13" s="1"/>
  <c r="L823" i="13" s="1"/>
  <c r="H822" i="13"/>
  <c r="F822" i="13"/>
  <c r="I822" i="13" s="1"/>
  <c r="E822" i="13"/>
  <c r="D822" i="13"/>
  <c r="G822" i="13" s="1"/>
  <c r="K822" i="13" s="1"/>
  <c r="L822" i="13" s="1"/>
  <c r="H821" i="13"/>
  <c r="F821" i="13"/>
  <c r="I821" i="13" s="1"/>
  <c r="E821" i="13"/>
  <c r="D821" i="13"/>
  <c r="G821" i="13" s="1"/>
  <c r="K821" i="13" s="1"/>
  <c r="L821" i="13" s="1"/>
  <c r="H820" i="13"/>
  <c r="F820" i="13"/>
  <c r="I820" i="13" s="1"/>
  <c r="E820" i="13"/>
  <c r="D820" i="13"/>
  <c r="G820" i="13" s="1"/>
  <c r="K820" i="13" s="1"/>
  <c r="L820" i="13" s="1"/>
  <c r="H819" i="13"/>
  <c r="F819" i="13"/>
  <c r="I819" i="13" s="1"/>
  <c r="E819" i="13"/>
  <c r="D819" i="13"/>
  <c r="G819" i="13" s="1"/>
  <c r="K819" i="13" s="1"/>
  <c r="L819" i="13" s="1"/>
  <c r="H818" i="13"/>
  <c r="F818" i="13"/>
  <c r="I818" i="13" s="1"/>
  <c r="E818" i="13"/>
  <c r="D818" i="13"/>
  <c r="G818" i="13" s="1"/>
  <c r="K818" i="13" s="1"/>
  <c r="L818" i="13" s="1"/>
  <c r="H817" i="13"/>
  <c r="F817" i="13"/>
  <c r="I817" i="13" s="1"/>
  <c r="E817" i="13"/>
  <c r="D817" i="13"/>
  <c r="G817" i="13" s="1"/>
  <c r="K817" i="13" s="1"/>
  <c r="L817" i="13" s="1"/>
  <c r="H816" i="13"/>
  <c r="G816" i="13"/>
  <c r="K816" i="13" s="1"/>
  <c r="L816" i="13" s="1"/>
  <c r="F816" i="13"/>
  <c r="I816" i="13" s="1"/>
  <c r="E816" i="13"/>
  <c r="D816" i="13"/>
  <c r="H815" i="13"/>
  <c r="F815" i="13"/>
  <c r="I815" i="13" s="1"/>
  <c r="E815" i="13"/>
  <c r="D815" i="13"/>
  <c r="G815" i="13" s="1"/>
  <c r="H814" i="13"/>
  <c r="G814" i="13"/>
  <c r="K814" i="13" s="1"/>
  <c r="L814" i="13" s="1"/>
  <c r="F814" i="13"/>
  <c r="I814" i="13" s="1"/>
  <c r="E814" i="13"/>
  <c r="D814" i="13"/>
  <c r="H813" i="13"/>
  <c r="F813" i="13"/>
  <c r="I813" i="13" s="1"/>
  <c r="E813" i="13"/>
  <c r="D813" i="13"/>
  <c r="G813" i="13" s="1"/>
  <c r="K813" i="13" s="1"/>
  <c r="L813" i="13" s="1"/>
  <c r="H812" i="13"/>
  <c r="G812" i="13"/>
  <c r="K812" i="13" s="1"/>
  <c r="L812" i="13" s="1"/>
  <c r="F812" i="13"/>
  <c r="I812" i="13" s="1"/>
  <c r="E812" i="13"/>
  <c r="D812" i="13"/>
  <c r="H811" i="13"/>
  <c r="F811" i="13"/>
  <c r="I811" i="13" s="1"/>
  <c r="E811" i="13"/>
  <c r="D811" i="13"/>
  <c r="G811" i="13" s="1"/>
  <c r="H810" i="13"/>
  <c r="G810" i="13"/>
  <c r="K810" i="13" s="1"/>
  <c r="L810" i="13" s="1"/>
  <c r="F810" i="13"/>
  <c r="I810" i="13" s="1"/>
  <c r="E810" i="13"/>
  <c r="D810" i="13"/>
  <c r="H809" i="13"/>
  <c r="F809" i="13"/>
  <c r="I809" i="13" s="1"/>
  <c r="E809" i="13"/>
  <c r="D809" i="13"/>
  <c r="G809" i="13" s="1"/>
  <c r="K809" i="13" s="1"/>
  <c r="L809" i="13" s="1"/>
  <c r="H808" i="13"/>
  <c r="G808" i="13"/>
  <c r="K808" i="13" s="1"/>
  <c r="L808" i="13" s="1"/>
  <c r="F808" i="13"/>
  <c r="I808" i="13" s="1"/>
  <c r="E808" i="13"/>
  <c r="D808" i="13"/>
  <c r="H807" i="13"/>
  <c r="F807" i="13"/>
  <c r="I807" i="13" s="1"/>
  <c r="E807" i="13"/>
  <c r="D807" i="13"/>
  <c r="G807" i="13" s="1"/>
  <c r="H806" i="13"/>
  <c r="G806" i="13"/>
  <c r="K806" i="13" s="1"/>
  <c r="L806" i="13" s="1"/>
  <c r="F806" i="13"/>
  <c r="I806" i="13" s="1"/>
  <c r="E806" i="13"/>
  <c r="D806" i="13"/>
  <c r="H805" i="13"/>
  <c r="F805" i="13"/>
  <c r="I805" i="13" s="1"/>
  <c r="E805" i="13"/>
  <c r="D805" i="13"/>
  <c r="G805" i="13" s="1"/>
  <c r="K805" i="13" s="1"/>
  <c r="L805" i="13" s="1"/>
  <c r="H804" i="13"/>
  <c r="G804" i="13"/>
  <c r="K804" i="13" s="1"/>
  <c r="L804" i="13" s="1"/>
  <c r="F804" i="13"/>
  <c r="I804" i="13" s="1"/>
  <c r="E804" i="13"/>
  <c r="D804" i="13"/>
  <c r="H803" i="13"/>
  <c r="F803" i="13"/>
  <c r="I803" i="13" s="1"/>
  <c r="E803" i="13"/>
  <c r="D803" i="13"/>
  <c r="G803" i="13" s="1"/>
  <c r="H802" i="13"/>
  <c r="G802" i="13"/>
  <c r="K802" i="13" s="1"/>
  <c r="L802" i="13" s="1"/>
  <c r="F802" i="13"/>
  <c r="I802" i="13" s="1"/>
  <c r="E802" i="13"/>
  <c r="D802" i="13"/>
  <c r="H801" i="13"/>
  <c r="F801" i="13"/>
  <c r="I801" i="13" s="1"/>
  <c r="E801" i="13"/>
  <c r="D801" i="13"/>
  <c r="G801" i="13" s="1"/>
  <c r="K801" i="13" s="1"/>
  <c r="L801" i="13" s="1"/>
  <c r="H800" i="13"/>
  <c r="F800" i="13"/>
  <c r="I800" i="13" s="1"/>
  <c r="E800" i="13"/>
  <c r="D800" i="13"/>
  <c r="G800" i="13" s="1"/>
  <c r="K800" i="13" s="1"/>
  <c r="L800" i="13" s="1"/>
  <c r="H799" i="13"/>
  <c r="G799" i="13"/>
  <c r="F799" i="13"/>
  <c r="I799" i="13" s="1"/>
  <c r="E799" i="13"/>
  <c r="D799" i="13"/>
  <c r="H798" i="13"/>
  <c r="G798" i="13"/>
  <c r="F798" i="13"/>
  <c r="E798" i="13"/>
  <c r="D798" i="13"/>
  <c r="H797" i="13"/>
  <c r="F797" i="13"/>
  <c r="I797" i="13" s="1"/>
  <c r="E797" i="13"/>
  <c r="D797" i="13"/>
  <c r="G797" i="13" s="1"/>
  <c r="K797" i="13" s="1"/>
  <c r="L797" i="13" s="1"/>
  <c r="H796" i="13"/>
  <c r="F796" i="13"/>
  <c r="I796" i="13" s="1"/>
  <c r="E796" i="13"/>
  <c r="D796" i="13"/>
  <c r="G796" i="13" s="1"/>
  <c r="K796" i="13" s="1"/>
  <c r="L796" i="13" s="1"/>
  <c r="H795" i="13"/>
  <c r="G795" i="13"/>
  <c r="K795" i="13" s="1"/>
  <c r="L795" i="13" s="1"/>
  <c r="F795" i="13"/>
  <c r="I795" i="13" s="1"/>
  <c r="E795" i="13"/>
  <c r="D795" i="13"/>
  <c r="H794" i="13"/>
  <c r="G794" i="13"/>
  <c r="F794" i="13"/>
  <c r="E794" i="13"/>
  <c r="D794" i="13"/>
  <c r="H793" i="13"/>
  <c r="F793" i="13"/>
  <c r="I793" i="13" s="1"/>
  <c r="E793" i="13"/>
  <c r="D793" i="13"/>
  <c r="G793" i="13" s="1"/>
  <c r="K793" i="13" s="1"/>
  <c r="L793" i="13" s="1"/>
  <c r="H792" i="13"/>
  <c r="F792" i="13"/>
  <c r="I792" i="13" s="1"/>
  <c r="E792" i="13"/>
  <c r="D792" i="13"/>
  <c r="G792" i="13" s="1"/>
  <c r="K792" i="13" s="1"/>
  <c r="L792" i="13" s="1"/>
  <c r="H791" i="13"/>
  <c r="G791" i="13"/>
  <c r="F791" i="13"/>
  <c r="I791" i="13" s="1"/>
  <c r="E791" i="13"/>
  <c r="D791" i="13"/>
  <c r="H790" i="13"/>
  <c r="G790" i="13"/>
  <c r="F790" i="13"/>
  <c r="E790" i="13"/>
  <c r="D790" i="13"/>
  <c r="H789" i="13"/>
  <c r="F789" i="13"/>
  <c r="I789" i="13" s="1"/>
  <c r="E789" i="13"/>
  <c r="D789" i="13"/>
  <c r="G789" i="13" s="1"/>
  <c r="K789" i="13" s="1"/>
  <c r="L789" i="13" s="1"/>
  <c r="H788" i="13"/>
  <c r="F788" i="13"/>
  <c r="I788" i="13" s="1"/>
  <c r="E788" i="13"/>
  <c r="D788" i="13"/>
  <c r="G788" i="13" s="1"/>
  <c r="K788" i="13" s="1"/>
  <c r="L788" i="13" s="1"/>
  <c r="H787" i="13"/>
  <c r="G787" i="13"/>
  <c r="K787" i="13" s="1"/>
  <c r="L787" i="13" s="1"/>
  <c r="F787" i="13"/>
  <c r="I787" i="13" s="1"/>
  <c r="E787" i="13"/>
  <c r="D787" i="13"/>
  <c r="H786" i="13"/>
  <c r="F786" i="13"/>
  <c r="I786" i="13" s="1"/>
  <c r="E786" i="13"/>
  <c r="D786" i="13"/>
  <c r="G786" i="13" s="1"/>
  <c r="K786" i="13" s="1"/>
  <c r="L786" i="13" s="1"/>
  <c r="H785" i="13"/>
  <c r="F785" i="13"/>
  <c r="I785" i="13" s="1"/>
  <c r="E785" i="13"/>
  <c r="D785" i="13"/>
  <c r="G785" i="13" s="1"/>
  <c r="K785" i="13" s="1"/>
  <c r="L785" i="13" s="1"/>
  <c r="H784" i="13"/>
  <c r="F784" i="13"/>
  <c r="I784" i="13" s="1"/>
  <c r="E784" i="13"/>
  <c r="D784" i="13"/>
  <c r="G784" i="13" s="1"/>
  <c r="K784" i="13" s="1"/>
  <c r="L784" i="13" s="1"/>
  <c r="H783" i="13"/>
  <c r="G783" i="13"/>
  <c r="F783" i="13"/>
  <c r="I783" i="13" s="1"/>
  <c r="E783" i="13"/>
  <c r="D783" i="13"/>
  <c r="H782" i="13"/>
  <c r="F782" i="13"/>
  <c r="I782" i="13" s="1"/>
  <c r="E782" i="13"/>
  <c r="D782" i="13"/>
  <c r="G782" i="13" s="1"/>
  <c r="K782" i="13" s="1"/>
  <c r="L782" i="13" s="1"/>
  <c r="H781" i="13"/>
  <c r="F781" i="13"/>
  <c r="I781" i="13" s="1"/>
  <c r="E781" i="13"/>
  <c r="D781" i="13"/>
  <c r="G781" i="13" s="1"/>
  <c r="K781" i="13" s="1"/>
  <c r="L781" i="13" s="1"/>
  <c r="H780" i="13"/>
  <c r="F780" i="13"/>
  <c r="I780" i="13" s="1"/>
  <c r="E780" i="13"/>
  <c r="D780" i="13"/>
  <c r="G780" i="13" s="1"/>
  <c r="K780" i="13" s="1"/>
  <c r="L780" i="13" s="1"/>
  <c r="H779" i="13"/>
  <c r="G779" i="13"/>
  <c r="F779" i="13"/>
  <c r="I779" i="13" s="1"/>
  <c r="E779" i="13"/>
  <c r="D779" i="13"/>
  <c r="H778" i="13"/>
  <c r="F778" i="13"/>
  <c r="I778" i="13" s="1"/>
  <c r="E778" i="13"/>
  <c r="D778" i="13"/>
  <c r="G778" i="13" s="1"/>
  <c r="H777" i="13"/>
  <c r="F777" i="13"/>
  <c r="I777" i="13" s="1"/>
  <c r="E777" i="13"/>
  <c r="D777" i="13"/>
  <c r="G777" i="13" s="1"/>
  <c r="K777" i="13" s="1"/>
  <c r="L777" i="13" s="1"/>
  <c r="H776" i="13"/>
  <c r="F776" i="13"/>
  <c r="I776" i="13" s="1"/>
  <c r="E776" i="13"/>
  <c r="D776" i="13"/>
  <c r="G776" i="13" s="1"/>
  <c r="K776" i="13" s="1"/>
  <c r="L776" i="13" s="1"/>
  <c r="G775" i="13"/>
  <c r="F775" i="13"/>
  <c r="I775" i="13" s="1"/>
  <c r="E775" i="13"/>
  <c r="H775" i="13" s="1"/>
  <c r="D775" i="13"/>
  <c r="K774" i="13"/>
  <c r="L774" i="13" s="1"/>
  <c r="G774" i="13"/>
  <c r="F774" i="13"/>
  <c r="I774" i="13" s="1"/>
  <c r="E774" i="13"/>
  <c r="H774" i="13" s="1"/>
  <c r="D774" i="13"/>
  <c r="G773" i="13"/>
  <c r="K773" i="13" s="1"/>
  <c r="L773" i="13" s="1"/>
  <c r="F773" i="13"/>
  <c r="I773" i="13" s="1"/>
  <c r="E773" i="13"/>
  <c r="H773" i="13" s="1"/>
  <c r="D773" i="13"/>
  <c r="K772" i="13"/>
  <c r="L772" i="13" s="1"/>
  <c r="G772" i="13"/>
  <c r="F772" i="13"/>
  <c r="I772" i="13" s="1"/>
  <c r="E772" i="13"/>
  <c r="H772" i="13" s="1"/>
  <c r="D772" i="13"/>
  <c r="G771" i="13"/>
  <c r="K771" i="13" s="1"/>
  <c r="L771" i="13" s="1"/>
  <c r="F771" i="13"/>
  <c r="I771" i="13" s="1"/>
  <c r="E771" i="13"/>
  <c r="H771" i="13" s="1"/>
  <c r="D771" i="13"/>
  <c r="K770" i="13"/>
  <c r="L770" i="13" s="1"/>
  <c r="G770" i="13"/>
  <c r="F770" i="13"/>
  <c r="I770" i="13" s="1"/>
  <c r="E770" i="13"/>
  <c r="H770" i="13" s="1"/>
  <c r="D770" i="13"/>
  <c r="G769" i="13"/>
  <c r="K769" i="13" s="1"/>
  <c r="L769" i="13" s="1"/>
  <c r="F769" i="13"/>
  <c r="I769" i="13" s="1"/>
  <c r="E769" i="13"/>
  <c r="H769" i="13" s="1"/>
  <c r="D769" i="13"/>
  <c r="K768" i="13"/>
  <c r="G768" i="13"/>
  <c r="F768" i="13"/>
  <c r="I768" i="13" s="1"/>
  <c r="E768" i="13"/>
  <c r="H768" i="13" s="1"/>
  <c r="D768" i="13"/>
  <c r="G767" i="13"/>
  <c r="F767" i="13"/>
  <c r="I767" i="13" s="1"/>
  <c r="E767" i="13"/>
  <c r="H767" i="13" s="1"/>
  <c r="D767" i="13"/>
  <c r="K766" i="13"/>
  <c r="L766" i="13" s="1"/>
  <c r="G766" i="13"/>
  <c r="F766" i="13"/>
  <c r="I766" i="13" s="1"/>
  <c r="E766" i="13"/>
  <c r="H766" i="13" s="1"/>
  <c r="D766" i="13"/>
  <c r="G765" i="13"/>
  <c r="K765" i="13" s="1"/>
  <c r="L765" i="13" s="1"/>
  <c r="F765" i="13"/>
  <c r="I765" i="13" s="1"/>
  <c r="E765" i="13"/>
  <c r="H765" i="13" s="1"/>
  <c r="D765" i="13"/>
  <c r="K764" i="13"/>
  <c r="L764" i="13" s="1"/>
  <c r="G764" i="13"/>
  <c r="F764" i="13"/>
  <c r="I764" i="13" s="1"/>
  <c r="E764" i="13"/>
  <c r="H764" i="13" s="1"/>
  <c r="D764" i="13"/>
  <c r="G763" i="13"/>
  <c r="K763" i="13" s="1"/>
  <c r="L763" i="13" s="1"/>
  <c r="F763" i="13"/>
  <c r="I763" i="13" s="1"/>
  <c r="E763" i="13"/>
  <c r="H763" i="13" s="1"/>
  <c r="D763" i="13"/>
  <c r="K762" i="13"/>
  <c r="L762" i="13" s="1"/>
  <c r="G762" i="13"/>
  <c r="F762" i="13"/>
  <c r="I762" i="13" s="1"/>
  <c r="E762" i="13"/>
  <c r="H762" i="13" s="1"/>
  <c r="D762" i="13"/>
  <c r="G761" i="13"/>
  <c r="K761" i="13" s="1"/>
  <c r="L761" i="13" s="1"/>
  <c r="F761" i="13"/>
  <c r="I761" i="13" s="1"/>
  <c r="E761" i="13"/>
  <c r="H761" i="13" s="1"/>
  <c r="D761" i="13"/>
  <c r="K760" i="13"/>
  <c r="L760" i="13" s="1"/>
  <c r="G760" i="13"/>
  <c r="F760" i="13"/>
  <c r="I760" i="13" s="1"/>
  <c r="E760" i="13"/>
  <c r="H760" i="13" s="1"/>
  <c r="D760" i="13"/>
  <c r="G759" i="13"/>
  <c r="F759" i="13"/>
  <c r="I759" i="13" s="1"/>
  <c r="E759" i="13"/>
  <c r="H759" i="13" s="1"/>
  <c r="D759" i="13"/>
  <c r="K758" i="13"/>
  <c r="G758" i="13"/>
  <c r="F758" i="13"/>
  <c r="I758" i="13" s="1"/>
  <c r="E758" i="13"/>
  <c r="H758" i="13" s="1"/>
  <c r="D758" i="13"/>
  <c r="G757" i="13"/>
  <c r="K757" i="13" s="1"/>
  <c r="L757" i="13" s="1"/>
  <c r="F757" i="13"/>
  <c r="I757" i="13" s="1"/>
  <c r="E757" i="13"/>
  <c r="H757" i="13" s="1"/>
  <c r="D757" i="13"/>
  <c r="K756" i="13"/>
  <c r="L756" i="13" s="1"/>
  <c r="G756" i="13"/>
  <c r="F756" i="13"/>
  <c r="I756" i="13" s="1"/>
  <c r="E756" i="13"/>
  <c r="H756" i="13" s="1"/>
  <c r="D756" i="13"/>
  <c r="G755" i="13"/>
  <c r="K755" i="13" s="1"/>
  <c r="L755" i="13" s="1"/>
  <c r="F755" i="13"/>
  <c r="I755" i="13" s="1"/>
  <c r="E755" i="13"/>
  <c r="H755" i="13" s="1"/>
  <c r="D755" i="13"/>
  <c r="K754" i="13"/>
  <c r="L754" i="13" s="1"/>
  <c r="G754" i="13"/>
  <c r="F754" i="13"/>
  <c r="I754" i="13" s="1"/>
  <c r="E754" i="13"/>
  <c r="H754" i="13" s="1"/>
  <c r="D754" i="13"/>
  <c r="G753" i="13"/>
  <c r="K753" i="13" s="1"/>
  <c r="L753" i="13" s="1"/>
  <c r="F753" i="13"/>
  <c r="I753" i="13" s="1"/>
  <c r="E753" i="13"/>
  <c r="H753" i="13" s="1"/>
  <c r="D753" i="13"/>
  <c r="K752" i="13"/>
  <c r="L752" i="13" s="1"/>
  <c r="G752" i="13"/>
  <c r="F752" i="13"/>
  <c r="I752" i="13" s="1"/>
  <c r="E752" i="13"/>
  <c r="H752" i="13" s="1"/>
  <c r="D752" i="13"/>
  <c r="G751" i="13"/>
  <c r="F751" i="13"/>
  <c r="I751" i="13" s="1"/>
  <c r="E751" i="13"/>
  <c r="H751" i="13" s="1"/>
  <c r="D751" i="13"/>
  <c r="K750" i="13"/>
  <c r="L750" i="13" s="1"/>
  <c r="G750" i="13"/>
  <c r="F750" i="13"/>
  <c r="I750" i="13" s="1"/>
  <c r="E750" i="13"/>
  <c r="H750" i="13" s="1"/>
  <c r="D750" i="13"/>
  <c r="G749" i="13"/>
  <c r="K749" i="13" s="1"/>
  <c r="L749" i="13" s="1"/>
  <c r="F749" i="13"/>
  <c r="I749" i="13" s="1"/>
  <c r="E749" i="13"/>
  <c r="H749" i="13" s="1"/>
  <c r="D749" i="13"/>
  <c r="K748" i="13"/>
  <c r="L748" i="13" s="1"/>
  <c r="G748" i="13"/>
  <c r="F748" i="13"/>
  <c r="I748" i="13" s="1"/>
  <c r="E748" i="13"/>
  <c r="H748" i="13" s="1"/>
  <c r="D748" i="13"/>
  <c r="G747" i="13"/>
  <c r="K747" i="13" s="1"/>
  <c r="L747" i="13" s="1"/>
  <c r="F747" i="13"/>
  <c r="I747" i="13" s="1"/>
  <c r="E747" i="13"/>
  <c r="H747" i="13" s="1"/>
  <c r="D747" i="13"/>
  <c r="K746" i="13"/>
  <c r="L746" i="13" s="1"/>
  <c r="G746" i="13"/>
  <c r="F746" i="13"/>
  <c r="I746" i="13" s="1"/>
  <c r="E746" i="13"/>
  <c r="H746" i="13" s="1"/>
  <c r="D746" i="13"/>
  <c r="G745" i="13"/>
  <c r="K745" i="13" s="1"/>
  <c r="L745" i="13" s="1"/>
  <c r="F745" i="13"/>
  <c r="I745" i="13" s="1"/>
  <c r="E745" i="13"/>
  <c r="H745" i="13" s="1"/>
  <c r="D745" i="13"/>
  <c r="K744" i="13"/>
  <c r="L744" i="13" s="1"/>
  <c r="G744" i="13"/>
  <c r="F744" i="13"/>
  <c r="I744" i="13" s="1"/>
  <c r="E744" i="13"/>
  <c r="H744" i="13" s="1"/>
  <c r="D744" i="13"/>
  <c r="G743" i="13"/>
  <c r="F743" i="13"/>
  <c r="I743" i="13" s="1"/>
  <c r="E743" i="13"/>
  <c r="H743" i="13" s="1"/>
  <c r="D743" i="13"/>
  <c r="K742" i="13"/>
  <c r="L742" i="13" s="1"/>
  <c r="G742" i="13"/>
  <c r="F742" i="13"/>
  <c r="I742" i="13" s="1"/>
  <c r="E742" i="13"/>
  <c r="H742" i="13" s="1"/>
  <c r="D742" i="13"/>
  <c r="G741" i="13"/>
  <c r="K741" i="13" s="1"/>
  <c r="L741" i="13" s="1"/>
  <c r="F741" i="13"/>
  <c r="I741" i="13" s="1"/>
  <c r="E741" i="13"/>
  <c r="H741" i="13" s="1"/>
  <c r="D741" i="13"/>
  <c r="K740" i="13"/>
  <c r="L740" i="13" s="1"/>
  <c r="G740" i="13"/>
  <c r="F740" i="13"/>
  <c r="I740" i="13" s="1"/>
  <c r="E740" i="13"/>
  <c r="H740" i="13" s="1"/>
  <c r="D740" i="13"/>
  <c r="G739" i="13"/>
  <c r="K739" i="13" s="1"/>
  <c r="L739" i="13" s="1"/>
  <c r="F739" i="13"/>
  <c r="I739" i="13" s="1"/>
  <c r="E739" i="13"/>
  <c r="H739" i="13" s="1"/>
  <c r="D739" i="13"/>
  <c r="K738" i="13"/>
  <c r="L738" i="13" s="1"/>
  <c r="G738" i="13"/>
  <c r="F738" i="13"/>
  <c r="I738" i="13" s="1"/>
  <c r="E738" i="13"/>
  <c r="H738" i="13" s="1"/>
  <c r="D738" i="13"/>
  <c r="G737" i="13"/>
  <c r="K737" i="13" s="1"/>
  <c r="L737" i="13" s="1"/>
  <c r="F737" i="13"/>
  <c r="I737" i="13" s="1"/>
  <c r="E737" i="13"/>
  <c r="H737" i="13" s="1"/>
  <c r="D737" i="13"/>
  <c r="K736" i="13"/>
  <c r="G736" i="13"/>
  <c r="F736" i="13"/>
  <c r="I736" i="13" s="1"/>
  <c r="E736" i="13"/>
  <c r="H736" i="13" s="1"/>
  <c r="D736" i="13"/>
  <c r="G735" i="13"/>
  <c r="F735" i="13"/>
  <c r="I735" i="13" s="1"/>
  <c r="E735" i="13"/>
  <c r="H735" i="13" s="1"/>
  <c r="D735" i="13"/>
  <c r="K734" i="13"/>
  <c r="L734" i="13" s="1"/>
  <c r="G734" i="13"/>
  <c r="F734" i="13"/>
  <c r="I734" i="13" s="1"/>
  <c r="E734" i="13"/>
  <c r="H734" i="13" s="1"/>
  <c r="D734" i="13"/>
  <c r="G733" i="13"/>
  <c r="K733" i="13" s="1"/>
  <c r="L733" i="13" s="1"/>
  <c r="F733" i="13"/>
  <c r="I733" i="13" s="1"/>
  <c r="E733" i="13"/>
  <c r="H733" i="13" s="1"/>
  <c r="D733" i="13"/>
  <c r="K732" i="13"/>
  <c r="L732" i="13" s="1"/>
  <c r="G732" i="13"/>
  <c r="F732" i="13"/>
  <c r="I732" i="13" s="1"/>
  <c r="E732" i="13"/>
  <c r="H732" i="13" s="1"/>
  <c r="D732" i="13"/>
  <c r="G731" i="13"/>
  <c r="K731" i="13" s="1"/>
  <c r="L731" i="13" s="1"/>
  <c r="F731" i="13"/>
  <c r="I731" i="13" s="1"/>
  <c r="E731" i="13"/>
  <c r="H731" i="13" s="1"/>
  <c r="D731" i="13"/>
  <c r="K730" i="13"/>
  <c r="L730" i="13" s="1"/>
  <c r="G730" i="13"/>
  <c r="F730" i="13"/>
  <c r="I730" i="13" s="1"/>
  <c r="E730" i="13"/>
  <c r="H730" i="13" s="1"/>
  <c r="D730" i="13"/>
  <c r="G729" i="13"/>
  <c r="K729" i="13" s="1"/>
  <c r="L729" i="13" s="1"/>
  <c r="F729" i="13"/>
  <c r="I729" i="13" s="1"/>
  <c r="E729" i="13"/>
  <c r="H729" i="13" s="1"/>
  <c r="D729" i="13"/>
  <c r="K728" i="13"/>
  <c r="L728" i="13" s="1"/>
  <c r="G728" i="13"/>
  <c r="F728" i="13"/>
  <c r="I728" i="13" s="1"/>
  <c r="E728" i="13"/>
  <c r="H728" i="13" s="1"/>
  <c r="D728" i="13"/>
  <c r="G727" i="13"/>
  <c r="F727" i="13"/>
  <c r="I727" i="13" s="1"/>
  <c r="E727" i="13"/>
  <c r="H727" i="13" s="1"/>
  <c r="D727" i="13"/>
  <c r="K726" i="13"/>
  <c r="G726" i="13"/>
  <c r="F726" i="13"/>
  <c r="I726" i="13" s="1"/>
  <c r="E726" i="13"/>
  <c r="H726" i="13" s="1"/>
  <c r="D726" i="13"/>
  <c r="G725" i="13"/>
  <c r="K725" i="13" s="1"/>
  <c r="L725" i="13" s="1"/>
  <c r="F725" i="13"/>
  <c r="I725" i="13" s="1"/>
  <c r="E725" i="13"/>
  <c r="H725" i="13" s="1"/>
  <c r="D725" i="13"/>
  <c r="K724" i="13"/>
  <c r="L724" i="13" s="1"/>
  <c r="G724" i="13"/>
  <c r="F724" i="13"/>
  <c r="I724" i="13" s="1"/>
  <c r="E724" i="13"/>
  <c r="H724" i="13" s="1"/>
  <c r="D724" i="13"/>
  <c r="G723" i="13"/>
  <c r="K723" i="13" s="1"/>
  <c r="L723" i="13" s="1"/>
  <c r="F723" i="13"/>
  <c r="I723" i="13" s="1"/>
  <c r="E723" i="13"/>
  <c r="H723" i="13" s="1"/>
  <c r="D723" i="13"/>
  <c r="K722" i="13"/>
  <c r="L722" i="13" s="1"/>
  <c r="G722" i="13"/>
  <c r="F722" i="13"/>
  <c r="I722" i="13" s="1"/>
  <c r="E722" i="13"/>
  <c r="H722" i="13" s="1"/>
  <c r="D722" i="13"/>
  <c r="G721" i="13"/>
  <c r="K721" i="13" s="1"/>
  <c r="L721" i="13" s="1"/>
  <c r="F721" i="13"/>
  <c r="I721" i="13" s="1"/>
  <c r="E721" i="13"/>
  <c r="H721" i="13" s="1"/>
  <c r="D721" i="13"/>
  <c r="K720" i="13"/>
  <c r="L720" i="13" s="1"/>
  <c r="G720" i="13"/>
  <c r="F720" i="13"/>
  <c r="I720" i="13" s="1"/>
  <c r="E720" i="13"/>
  <c r="H720" i="13" s="1"/>
  <c r="D720" i="13"/>
  <c r="G719" i="13"/>
  <c r="F719" i="13"/>
  <c r="I719" i="13" s="1"/>
  <c r="E719" i="13"/>
  <c r="H719" i="13" s="1"/>
  <c r="D719" i="13"/>
  <c r="K718" i="13"/>
  <c r="L718" i="13" s="1"/>
  <c r="G718" i="13"/>
  <c r="F718" i="13"/>
  <c r="I718" i="13" s="1"/>
  <c r="E718" i="13"/>
  <c r="H718" i="13" s="1"/>
  <c r="D718" i="13"/>
  <c r="G717" i="13"/>
  <c r="K717" i="13" s="1"/>
  <c r="L717" i="13" s="1"/>
  <c r="F717" i="13"/>
  <c r="I717" i="13" s="1"/>
  <c r="E717" i="13"/>
  <c r="H717" i="13" s="1"/>
  <c r="D717" i="13"/>
  <c r="K716" i="13"/>
  <c r="L716" i="13" s="1"/>
  <c r="G716" i="13"/>
  <c r="F716" i="13"/>
  <c r="I716" i="13" s="1"/>
  <c r="E716" i="13"/>
  <c r="H716" i="13" s="1"/>
  <c r="D716" i="13"/>
  <c r="G715" i="13"/>
  <c r="K715" i="13" s="1"/>
  <c r="L715" i="13" s="1"/>
  <c r="F715" i="13"/>
  <c r="I715" i="13" s="1"/>
  <c r="E715" i="13"/>
  <c r="H715" i="13" s="1"/>
  <c r="D715" i="13"/>
  <c r="K714" i="13"/>
  <c r="L714" i="13" s="1"/>
  <c r="G714" i="13"/>
  <c r="F714" i="13"/>
  <c r="I714" i="13" s="1"/>
  <c r="E714" i="13"/>
  <c r="H714" i="13" s="1"/>
  <c r="D714" i="13"/>
  <c r="G713" i="13"/>
  <c r="K713" i="13" s="1"/>
  <c r="L713" i="13" s="1"/>
  <c r="F713" i="13"/>
  <c r="I713" i="13" s="1"/>
  <c r="E713" i="13"/>
  <c r="H713" i="13" s="1"/>
  <c r="D713" i="13"/>
  <c r="K712" i="13"/>
  <c r="L712" i="13" s="1"/>
  <c r="G712" i="13"/>
  <c r="F712" i="13"/>
  <c r="I712" i="13" s="1"/>
  <c r="E712" i="13"/>
  <c r="H712" i="13" s="1"/>
  <c r="D712" i="13"/>
  <c r="G711" i="13"/>
  <c r="F711" i="13"/>
  <c r="I711" i="13" s="1"/>
  <c r="E711" i="13"/>
  <c r="H711" i="13" s="1"/>
  <c r="D711" i="13"/>
  <c r="K710" i="13"/>
  <c r="L710" i="13" s="1"/>
  <c r="G710" i="13"/>
  <c r="F710" i="13"/>
  <c r="I710" i="13" s="1"/>
  <c r="E710" i="13"/>
  <c r="H710" i="13" s="1"/>
  <c r="D710" i="13"/>
  <c r="G709" i="13"/>
  <c r="K709" i="13" s="1"/>
  <c r="L709" i="13" s="1"/>
  <c r="F709" i="13"/>
  <c r="I709" i="13" s="1"/>
  <c r="E709" i="13"/>
  <c r="H709" i="13" s="1"/>
  <c r="D709" i="13"/>
  <c r="K708" i="13"/>
  <c r="L708" i="13" s="1"/>
  <c r="G708" i="13"/>
  <c r="F708" i="13"/>
  <c r="I708" i="13" s="1"/>
  <c r="E708" i="13"/>
  <c r="H708" i="13" s="1"/>
  <c r="D708" i="13"/>
  <c r="G707" i="13"/>
  <c r="K707" i="13" s="1"/>
  <c r="L707" i="13" s="1"/>
  <c r="F707" i="13"/>
  <c r="I707" i="13" s="1"/>
  <c r="E707" i="13"/>
  <c r="H707" i="13" s="1"/>
  <c r="D707" i="13"/>
  <c r="K706" i="13"/>
  <c r="L706" i="13" s="1"/>
  <c r="G706" i="13"/>
  <c r="F706" i="13"/>
  <c r="I706" i="13" s="1"/>
  <c r="E706" i="13"/>
  <c r="H706" i="13" s="1"/>
  <c r="D706" i="13"/>
  <c r="G705" i="13"/>
  <c r="K705" i="13" s="1"/>
  <c r="L705" i="13" s="1"/>
  <c r="F705" i="13"/>
  <c r="I705" i="13" s="1"/>
  <c r="E705" i="13"/>
  <c r="H705" i="13" s="1"/>
  <c r="D705" i="13"/>
  <c r="K704" i="13"/>
  <c r="G704" i="13"/>
  <c r="F704" i="13"/>
  <c r="I704" i="13" s="1"/>
  <c r="E704" i="13"/>
  <c r="H704" i="13" s="1"/>
  <c r="D704" i="13"/>
  <c r="G703" i="13"/>
  <c r="F703" i="13"/>
  <c r="I703" i="13" s="1"/>
  <c r="E703" i="13"/>
  <c r="H703" i="13" s="1"/>
  <c r="D703" i="13"/>
  <c r="K702" i="13"/>
  <c r="L702" i="13" s="1"/>
  <c r="G702" i="13"/>
  <c r="F702" i="13"/>
  <c r="I702" i="13" s="1"/>
  <c r="E702" i="13"/>
  <c r="H702" i="13" s="1"/>
  <c r="D702" i="13"/>
  <c r="G701" i="13"/>
  <c r="K701" i="13" s="1"/>
  <c r="L701" i="13" s="1"/>
  <c r="F701" i="13"/>
  <c r="I701" i="13" s="1"/>
  <c r="E701" i="13"/>
  <c r="H701" i="13" s="1"/>
  <c r="D701" i="13"/>
  <c r="K700" i="13"/>
  <c r="L700" i="13" s="1"/>
  <c r="G700" i="13"/>
  <c r="F700" i="13"/>
  <c r="I700" i="13" s="1"/>
  <c r="E700" i="13"/>
  <c r="H700" i="13" s="1"/>
  <c r="D700" i="13"/>
  <c r="G699" i="13"/>
  <c r="K699" i="13" s="1"/>
  <c r="L699" i="13" s="1"/>
  <c r="F699" i="13"/>
  <c r="I699" i="13" s="1"/>
  <c r="E699" i="13"/>
  <c r="H699" i="13" s="1"/>
  <c r="D699" i="13"/>
  <c r="K698" i="13"/>
  <c r="L698" i="13" s="1"/>
  <c r="G698" i="13"/>
  <c r="F698" i="13"/>
  <c r="I698" i="13" s="1"/>
  <c r="E698" i="13"/>
  <c r="H698" i="13" s="1"/>
  <c r="D698" i="13"/>
  <c r="G697" i="13"/>
  <c r="K697" i="13" s="1"/>
  <c r="L697" i="13" s="1"/>
  <c r="F697" i="13"/>
  <c r="I697" i="13" s="1"/>
  <c r="E697" i="13"/>
  <c r="H697" i="13" s="1"/>
  <c r="D697" i="13"/>
  <c r="K696" i="13"/>
  <c r="L696" i="13" s="1"/>
  <c r="G696" i="13"/>
  <c r="F696" i="13"/>
  <c r="I696" i="13" s="1"/>
  <c r="E696" i="13"/>
  <c r="H696" i="13" s="1"/>
  <c r="D696" i="13"/>
  <c r="G695" i="13"/>
  <c r="F695" i="13"/>
  <c r="I695" i="13" s="1"/>
  <c r="E695" i="13"/>
  <c r="H695" i="13" s="1"/>
  <c r="D695" i="13"/>
  <c r="K694" i="13"/>
  <c r="G694" i="13"/>
  <c r="F694" i="13"/>
  <c r="I694" i="13" s="1"/>
  <c r="E694" i="13"/>
  <c r="H694" i="13" s="1"/>
  <c r="D694" i="13"/>
  <c r="G693" i="13"/>
  <c r="K693" i="13" s="1"/>
  <c r="L693" i="13" s="1"/>
  <c r="F693" i="13"/>
  <c r="I693" i="13" s="1"/>
  <c r="E693" i="13"/>
  <c r="H693" i="13" s="1"/>
  <c r="D693" i="13"/>
  <c r="K692" i="13"/>
  <c r="L692" i="13" s="1"/>
  <c r="G692" i="13"/>
  <c r="F692" i="13"/>
  <c r="I692" i="13" s="1"/>
  <c r="E692" i="13"/>
  <c r="H692" i="13" s="1"/>
  <c r="D692" i="13"/>
  <c r="G691" i="13"/>
  <c r="K691" i="13" s="1"/>
  <c r="L691" i="13" s="1"/>
  <c r="F691" i="13"/>
  <c r="I691" i="13" s="1"/>
  <c r="E691" i="13"/>
  <c r="H691" i="13" s="1"/>
  <c r="D691" i="13"/>
  <c r="K690" i="13"/>
  <c r="L690" i="13" s="1"/>
  <c r="G690" i="13"/>
  <c r="F690" i="13"/>
  <c r="I690" i="13" s="1"/>
  <c r="E690" i="13"/>
  <c r="H690" i="13" s="1"/>
  <c r="D690" i="13"/>
  <c r="G689" i="13"/>
  <c r="K689" i="13" s="1"/>
  <c r="L689" i="13" s="1"/>
  <c r="F689" i="13"/>
  <c r="I689" i="13" s="1"/>
  <c r="E689" i="13"/>
  <c r="H689" i="13" s="1"/>
  <c r="D689" i="13"/>
  <c r="K688" i="13"/>
  <c r="L688" i="13" s="1"/>
  <c r="G688" i="13"/>
  <c r="F688" i="13"/>
  <c r="I688" i="13" s="1"/>
  <c r="E688" i="13"/>
  <c r="H688" i="13" s="1"/>
  <c r="D688" i="13"/>
  <c r="G687" i="13"/>
  <c r="F687" i="13"/>
  <c r="I687" i="13" s="1"/>
  <c r="E687" i="13"/>
  <c r="H687" i="13" s="1"/>
  <c r="D687" i="13"/>
  <c r="K686" i="13"/>
  <c r="L686" i="13" s="1"/>
  <c r="G686" i="13"/>
  <c r="F686" i="13"/>
  <c r="I686" i="13" s="1"/>
  <c r="E686" i="13"/>
  <c r="H686" i="13" s="1"/>
  <c r="D686" i="13"/>
  <c r="G685" i="13"/>
  <c r="K685" i="13" s="1"/>
  <c r="L685" i="13" s="1"/>
  <c r="F685" i="13"/>
  <c r="I685" i="13" s="1"/>
  <c r="E685" i="13"/>
  <c r="H685" i="13" s="1"/>
  <c r="D685" i="13"/>
  <c r="K684" i="13"/>
  <c r="L684" i="13" s="1"/>
  <c r="G684" i="13"/>
  <c r="F684" i="13"/>
  <c r="I684" i="13" s="1"/>
  <c r="E684" i="13"/>
  <c r="H684" i="13" s="1"/>
  <c r="D684" i="13"/>
  <c r="G683" i="13"/>
  <c r="K683" i="13" s="1"/>
  <c r="L683" i="13" s="1"/>
  <c r="F683" i="13"/>
  <c r="I683" i="13" s="1"/>
  <c r="E683" i="13"/>
  <c r="H683" i="13" s="1"/>
  <c r="D683" i="13"/>
  <c r="K682" i="13"/>
  <c r="L682" i="13" s="1"/>
  <c r="G682" i="13"/>
  <c r="F682" i="13"/>
  <c r="I682" i="13" s="1"/>
  <c r="E682" i="13"/>
  <c r="H682" i="13" s="1"/>
  <c r="D682" i="13"/>
  <c r="G681" i="13"/>
  <c r="K681" i="13" s="1"/>
  <c r="L681" i="13" s="1"/>
  <c r="F681" i="13"/>
  <c r="I681" i="13" s="1"/>
  <c r="E681" i="13"/>
  <c r="H681" i="13" s="1"/>
  <c r="D681" i="13"/>
  <c r="K680" i="13"/>
  <c r="L680" i="13" s="1"/>
  <c r="G680" i="13"/>
  <c r="F680" i="13"/>
  <c r="I680" i="13" s="1"/>
  <c r="E680" i="13"/>
  <c r="H680" i="13" s="1"/>
  <c r="D680" i="13"/>
  <c r="G679" i="13"/>
  <c r="K679" i="13" s="1"/>
  <c r="L679" i="13" s="1"/>
  <c r="F679" i="13"/>
  <c r="I679" i="13" s="1"/>
  <c r="E679" i="13"/>
  <c r="H679" i="13" s="1"/>
  <c r="D679" i="13"/>
  <c r="K678" i="13"/>
  <c r="L678" i="13" s="1"/>
  <c r="G678" i="13"/>
  <c r="F678" i="13"/>
  <c r="I678" i="13" s="1"/>
  <c r="E678" i="13"/>
  <c r="H678" i="13" s="1"/>
  <c r="D678" i="13"/>
  <c r="G677" i="13"/>
  <c r="K677" i="13" s="1"/>
  <c r="L677" i="13" s="1"/>
  <c r="F677" i="13"/>
  <c r="I677" i="13" s="1"/>
  <c r="E677" i="13"/>
  <c r="H677" i="13" s="1"/>
  <c r="D677" i="13"/>
  <c r="K676" i="13"/>
  <c r="L676" i="13" s="1"/>
  <c r="G676" i="13"/>
  <c r="F676" i="13"/>
  <c r="I676" i="13" s="1"/>
  <c r="E676" i="13"/>
  <c r="H676" i="13" s="1"/>
  <c r="D676" i="13"/>
  <c r="G675" i="13"/>
  <c r="K675" i="13" s="1"/>
  <c r="L675" i="13" s="1"/>
  <c r="F675" i="13"/>
  <c r="I675" i="13" s="1"/>
  <c r="E675" i="13"/>
  <c r="H675" i="13" s="1"/>
  <c r="D675" i="13"/>
  <c r="K674" i="13"/>
  <c r="L674" i="13" s="1"/>
  <c r="G674" i="13"/>
  <c r="F674" i="13"/>
  <c r="I674" i="13" s="1"/>
  <c r="E674" i="13"/>
  <c r="H674" i="13" s="1"/>
  <c r="D674" i="13"/>
  <c r="G673" i="13"/>
  <c r="K673" i="13" s="1"/>
  <c r="L673" i="13" s="1"/>
  <c r="F673" i="13"/>
  <c r="I673" i="13" s="1"/>
  <c r="E673" i="13"/>
  <c r="H673" i="13" s="1"/>
  <c r="D673" i="13"/>
  <c r="G672" i="13"/>
  <c r="K672" i="13" s="1"/>
  <c r="F672" i="13"/>
  <c r="I672" i="13" s="1"/>
  <c r="E672" i="13"/>
  <c r="H672" i="13" s="1"/>
  <c r="D672" i="13"/>
  <c r="K671" i="13"/>
  <c r="L671" i="13" s="1"/>
  <c r="G671" i="13"/>
  <c r="F671" i="13"/>
  <c r="I671" i="13" s="1"/>
  <c r="E671" i="13"/>
  <c r="H671" i="13" s="1"/>
  <c r="D671" i="13"/>
  <c r="G670" i="13"/>
  <c r="K670" i="13" s="1"/>
  <c r="L670" i="13" s="1"/>
  <c r="F670" i="13"/>
  <c r="I670" i="13" s="1"/>
  <c r="E670" i="13"/>
  <c r="H670" i="13" s="1"/>
  <c r="D670" i="13"/>
  <c r="K669" i="13"/>
  <c r="L669" i="13" s="1"/>
  <c r="G669" i="13"/>
  <c r="F669" i="13"/>
  <c r="I669" i="13" s="1"/>
  <c r="E669" i="13"/>
  <c r="H669" i="13" s="1"/>
  <c r="D669" i="13"/>
  <c r="G668" i="13"/>
  <c r="K668" i="13" s="1"/>
  <c r="L668" i="13" s="1"/>
  <c r="F668" i="13"/>
  <c r="I668" i="13" s="1"/>
  <c r="E668" i="13"/>
  <c r="H668" i="13" s="1"/>
  <c r="D668" i="13"/>
  <c r="K667" i="13"/>
  <c r="L667" i="13" s="1"/>
  <c r="G667" i="13"/>
  <c r="F667" i="13"/>
  <c r="I667" i="13" s="1"/>
  <c r="E667" i="13"/>
  <c r="H667" i="13" s="1"/>
  <c r="D667" i="13"/>
  <c r="G666" i="13"/>
  <c r="K666" i="13" s="1"/>
  <c r="L666" i="13" s="1"/>
  <c r="F666" i="13"/>
  <c r="I666" i="13" s="1"/>
  <c r="E666" i="13"/>
  <c r="H666" i="13" s="1"/>
  <c r="D666" i="13"/>
  <c r="K665" i="13"/>
  <c r="L665" i="13" s="1"/>
  <c r="G665" i="13"/>
  <c r="F665" i="13"/>
  <c r="I665" i="13" s="1"/>
  <c r="E665" i="13"/>
  <c r="H665" i="13" s="1"/>
  <c r="D665" i="13"/>
  <c r="G664" i="13"/>
  <c r="K664" i="13" s="1"/>
  <c r="L664" i="13" s="1"/>
  <c r="F664" i="13"/>
  <c r="I664" i="13" s="1"/>
  <c r="E664" i="13"/>
  <c r="H664" i="13" s="1"/>
  <c r="D664" i="13"/>
  <c r="K663" i="13"/>
  <c r="L663" i="13" s="1"/>
  <c r="G663" i="13"/>
  <c r="F663" i="13"/>
  <c r="I663" i="13" s="1"/>
  <c r="E663" i="13"/>
  <c r="H663" i="13" s="1"/>
  <c r="D663" i="13"/>
  <c r="G662" i="13"/>
  <c r="K662" i="13" s="1"/>
  <c r="F662" i="13"/>
  <c r="I662" i="13" s="1"/>
  <c r="E662" i="13"/>
  <c r="H662" i="13" s="1"/>
  <c r="D662" i="13"/>
  <c r="K661" i="13"/>
  <c r="L661" i="13" s="1"/>
  <c r="G661" i="13"/>
  <c r="F661" i="13"/>
  <c r="I661" i="13" s="1"/>
  <c r="E661" i="13"/>
  <c r="H661" i="13" s="1"/>
  <c r="D661" i="13"/>
  <c r="G660" i="13"/>
  <c r="K660" i="13" s="1"/>
  <c r="L660" i="13" s="1"/>
  <c r="F660" i="13"/>
  <c r="I660" i="13" s="1"/>
  <c r="E660" i="13"/>
  <c r="H660" i="13" s="1"/>
  <c r="D660" i="13"/>
  <c r="K659" i="13"/>
  <c r="L659" i="13" s="1"/>
  <c r="G659" i="13"/>
  <c r="F659" i="13"/>
  <c r="I659" i="13" s="1"/>
  <c r="E659" i="13"/>
  <c r="H659" i="13" s="1"/>
  <c r="D659" i="13"/>
  <c r="G658" i="13"/>
  <c r="K658" i="13" s="1"/>
  <c r="L658" i="13" s="1"/>
  <c r="F658" i="13"/>
  <c r="I658" i="13" s="1"/>
  <c r="E658" i="13"/>
  <c r="H658" i="13" s="1"/>
  <c r="D658" i="13"/>
  <c r="K657" i="13"/>
  <c r="L657" i="13" s="1"/>
  <c r="G657" i="13"/>
  <c r="F657" i="13"/>
  <c r="I657" i="13" s="1"/>
  <c r="E657" i="13"/>
  <c r="H657" i="13" s="1"/>
  <c r="D657" i="13"/>
  <c r="G656" i="13"/>
  <c r="K656" i="13" s="1"/>
  <c r="L656" i="13" s="1"/>
  <c r="F656" i="13"/>
  <c r="I656" i="13" s="1"/>
  <c r="E656" i="13"/>
  <c r="H656" i="13" s="1"/>
  <c r="D656" i="13"/>
  <c r="K655" i="13"/>
  <c r="L655" i="13" s="1"/>
  <c r="G655" i="13"/>
  <c r="F655" i="13"/>
  <c r="I655" i="13" s="1"/>
  <c r="E655" i="13"/>
  <c r="H655" i="13" s="1"/>
  <c r="D655" i="13"/>
  <c r="G654" i="13"/>
  <c r="K654" i="13" s="1"/>
  <c r="L654" i="13" s="1"/>
  <c r="F654" i="13"/>
  <c r="I654" i="13" s="1"/>
  <c r="E654" i="13"/>
  <c r="H654" i="13" s="1"/>
  <c r="D654" i="13"/>
  <c r="I653" i="13"/>
  <c r="G653" i="13"/>
  <c r="K653" i="13" s="1"/>
  <c r="L653" i="13" s="1"/>
  <c r="F653" i="13"/>
  <c r="E653" i="13"/>
  <c r="H653" i="13" s="1"/>
  <c r="D653" i="13"/>
  <c r="F652" i="13"/>
  <c r="I652" i="13" s="1"/>
  <c r="E652" i="13"/>
  <c r="H652" i="13" s="1"/>
  <c r="D652" i="13"/>
  <c r="I651" i="13"/>
  <c r="F651" i="13"/>
  <c r="E651" i="13"/>
  <c r="H651" i="13" s="1"/>
  <c r="D651" i="13"/>
  <c r="I650" i="13"/>
  <c r="G650" i="13"/>
  <c r="K650" i="13" s="1"/>
  <c r="L650" i="13" s="1"/>
  <c r="F650" i="13"/>
  <c r="E650" i="13"/>
  <c r="H650" i="13" s="1"/>
  <c r="D650" i="13"/>
  <c r="K649" i="13"/>
  <c r="L649" i="13" s="1"/>
  <c r="G649" i="13"/>
  <c r="F649" i="13"/>
  <c r="I649" i="13" s="1"/>
  <c r="E649" i="13"/>
  <c r="H649" i="13" s="1"/>
  <c r="D649" i="13"/>
  <c r="K648" i="13"/>
  <c r="L648" i="13" s="1"/>
  <c r="G648" i="13"/>
  <c r="F648" i="13"/>
  <c r="I648" i="13" s="1"/>
  <c r="E648" i="13"/>
  <c r="H648" i="13" s="1"/>
  <c r="D648" i="13"/>
  <c r="I647" i="13"/>
  <c r="F647" i="13"/>
  <c r="E647" i="13"/>
  <c r="H647" i="13" s="1"/>
  <c r="D647" i="13"/>
  <c r="I646" i="13"/>
  <c r="F646" i="13"/>
  <c r="E646" i="13"/>
  <c r="H646" i="13" s="1"/>
  <c r="D646" i="13"/>
  <c r="I645" i="13"/>
  <c r="G645" i="13"/>
  <c r="K645" i="13" s="1"/>
  <c r="L645" i="13" s="1"/>
  <c r="F645" i="13"/>
  <c r="E645" i="13"/>
  <c r="H645" i="13" s="1"/>
  <c r="D645" i="13"/>
  <c r="F644" i="13"/>
  <c r="I644" i="13" s="1"/>
  <c r="E644" i="13"/>
  <c r="H644" i="13" s="1"/>
  <c r="D644" i="13"/>
  <c r="I643" i="13"/>
  <c r="F643" i="13"/>
  <c r="E643" i="13"/>
  <c r="H643" i="13" s="1"/>
  <c r="D643" i="13"/>
  <c r="I642" i="13"/>
  <c r="G642" i="13"/>
  <c r="K642" i="13" s="1"/>
  <c r="L642" i="13" s="1"/>
  <c r="F642" i="13"/>
  <c r="E642" i="13"/>
  <c r="H642" i="13" s="1"/>
  <c r="D642" i="13"/>
  <c r="K641" i="13"/>
  <c r="L641" i="13" s="1"/>
  <c r="G641" i="13"/>
  <c r="F641" i="13"/>
  <c r="I641" i="13" s="1"/>
  <c r="E641" i="13"/>
  <c r="H641" i="13" s="1"/>
  <c r="D641" i="13"/>
  <c r="K640" i="13"/>
  <c r="G640" i="13"/>
  <c r="F640" i="13"/>
  <c r="I640" i="13" s="1"/>
  <c r="E640" i="13"/>
  <c r="H640" i="13" s="1"/>
  <c r="D640" i="13"/>
  <c r="I639" i="13"/>
  <c r="F639" i="13"/>
  <c r="E639" i="13"/>
  <c r="H639" i="13" s="1"/>
  <c r="D639" i="13"/>
  <c r="I638" i="13"/>
  <c r="F638" i="13"/>
  <c r="E638" i="13"/>
  <c r="H638" i="13" s="1"/>
  <c r="D638" i="13"/>
  <c r="I637" i="13"/>
  <c r="G637" i="13"/>
  <c r="K637" i="13" s="1"/>
  <c r="L637" i="13" s="1"/>
  <c r="F637" i="13"/>
  <c r="E637" i="13"/>
  <c r="H637" i="13" s="1"/>
  <c r="D637" i="13"/>
  <c r="F636" i="13"/>
  <c r="I636" i="13" s="1"/>
  <c r="E636" i="13"/>
  <c r="H636" i="13" s="1"/>
  <c r="D636" i="13"/>
  <c r="I635" i="13"/>
  <c r="F635" i="13"/>
  <c r="E635" i="13"/>
  <c r="H635" i="13" s="1"/>
  <c r="D635" i="13"/>
  <c r="I634" i="13"/>
  <c r="G634" i="13"/>
  <c r="K634" i="13" s="1"/>
  <c r="L634" i="13" s="1"/>
  <c r="F634" i="13"/>
  <c r="E634" i="13"/>
  <c r="H634" i="13" s="1"/>
  <c r="D634" i="13"/>
  <c r="K633" i="13"/>
  <c r="L633" i="13" s="1"/>
  <c r="G633" i="13"/>
  <c r="F633" i="13"/>
  <c r="I633" i="13" s="1"/>
  <c r="E633" i="13"/>
  <c r="H633" i="13" s="1"/>
  <c r="D633" i="13"/>
  <c r="K632" i="13"/>
  <c r="L632" i="13" s="1"/>
  <c r="G632" i="13"/>
  <c r="F632" i="13"/>
  <c r="I632" i="13" s="1"/>
  <c r="E632" i="13"/>
  <c r="H632" i="13" s="1"/>
  <c r="D632" i="13"/>
  <c r="I631" i="13"/>
  <c r="F631" i="13"/>
  <c r="E631" i="13"/>
  <c r="H631" i="13" s="1"/>
  <c r="D631" i="13"/>
  <c r="I630" i="13"/>
  <c r="F630" i="13"/>
  <c r="E630" i="13"/>
  <c r="H630" i="13" s="1"/>
  <c r="D630" i="13"/>
  <c r="I629" i="13"/>
  <c r="G629" i="13"/>
  <c r="K629" i="13" s="1"/>
  <c r="L629" i="13" s="1"/>
  <c r="F629" i="13"/>
  <c r="E629" i="13"/>
  <c r="H629" i="13" s="1"/>
  <c r="D629" i="13"/>
  <c r="F628" i="13"/>
  <c r="I628" i="13" s="1"/>
  <c r="E628" i="13"/>
  <c r="H628" i="13" s="1"/>
  <c r="D628" i="13"/>
  <c r="I627" i="13"/>
  <c r="F627" i="13"/>
  <c r="E627" i="13"/>
  <c r="H627" i="13" s="1"/>
  <c r="D627" i="13"/>
  <c r="I626" i="13"/>
  <c r="G626" i="13"/>
  <c r="K626" i="13" s="1"/>
  <c r="L626" i="13" s="1"/>
  <c r="F626" i="13"/>
  <c r="E626" i="13"/>
  <c r="H626" i="13" s="1"/>
  <c r="D626" i="13"/>
  <c r="K625" i="13"/>
  <c r="L625" i="13" s="1"/>
  <c r="G625" i="13"/>
  <c r="F625" i="13"/>
  <c r="I625" i="13" s="1"/>
  <c r="E625" i="13"/>
  <c r="H625" i="13" s="1"/>
  <c r="D625" i="13"/>
  <c r="K624" i="13"/>
  <c r="L624" i="13" s="1"/>
  <c r="G624" i="13"/>
  <c r="F624" i="13"/>
  <c r="I624" i="13" s="1"/>
  <c r="E624" i="13"/>
  <c r="H624" i="13" s="1"/>
  <c r="D624" i="13"/>
  <c r="I623" i="13"/>
  <c r="F623" i="13"/>
  <c r="E623" i="13"/>
  <c r="H623" i="13" s="1"/>
  <c r="D623" i="13"/>
  <c r="I622" i="13"/>
  <c r="F622" i="13"/>
  <c r="E622" i="13"/>
  <c r="H622" i="13" s="1"/>
  <c r="D622" i="13"/>
  <c r="I621" i="13"/>
  <c r="G621" i="13"/>
  <c r="K621" i="13" s="1"/>
  <c r="L621" i="13" s="1"/>
  <c r="F621" i="13"/>
  <c r="E621" i="13"/>
  <c r="H621" i="13" s="1"/>
  <c r="D621" i="13"/>
  <c r="I620" i="13"/>
  <c r="F620" i="13"/>
  <c r="E620" i="13"/>
  <c r="H620" i="13" s="1"/>
  <c r="D620" i="13"/>
  <c r="I619" i="13"/>
  <c r="G619" i="13"/>
  <c r="K619" i="13" s="1"/>
  <c r="L619" i="13" s="1"/>
  <c r="F619" i="13"/>
  <c r="E619" i="13"/>
  <c r="H619" i="13" s="1"/>
  <c r="D619" i="13"/>
  <c r="I618" i="13"/>
  <c r="F618" i="13"/>
  <c r="E618" i="13"/>
  <c r="H618" i="13" s="1"/>
  <c r="D618" i="13"/>
  <c r="I617" i="13"/>
  <c r="G617" i="13"/>
  <c r="K617" i="13" s="1"/>
  <c r="L617" i="13" s="1"/>
  <c r="F617" i="13"/>
  <c r="E617" i="13"/>
  <c r="H617" i="13" s="1"/>
  <c r="D617" i="13"/>
  <c r="I616" i="13"/>
  <c r="F616" i="13"/>
  <c r="E616" i="13"/>
  <c r="H616" i="13" s="1"/>
  <c r="D616" i="13"/>
  <c r="I615" i="13"/>
  <c r="G615" i="13"/>
  <c r="K615" i="13" s="1"/>
  <c r="L615" i="13" s="1"/>
  <c r="F615" i="13"/>
  <c r="E615" i="13"/>
  <c r="H615" i="13" s="1"/>
  <c r="D615" i="13"/>
  <c r="I614" i="13"/>
  <c r="F614" i="13"/>
  <c r="E614" i="13"/>
  <c r="H614" i="13" s="1"/>
  <c r="D614" i="13"/>
  <c r="I613" i="13"/>
  <c r="G613" i="13"/>
  <c r="K613" i="13" s="1"/>
  <c r="L613" i="13" s="1"/>
  <c r="F613" i="13"/>
  <c r="E613" i="13"/>
  <c r="H613" i="13" s="1"/>
  <c r="D613" i="13"/>
  <c r="I612" i="13"/>
  <c r="F612" i="13"/>
  <c r="E612" i="13"/>
  <c r="H612" i="13" s="1"/>
  <c r="D612" i="13"/>
  <c r="I611" i="13"/>
  <c r="G611" i="13"/>
  <c r="K611" i="13" s="1"/>
  <c r="L611" i="13" s="1"/>
  <c r="F611" i="13"/>
  <c r="E611" i="13"/>
  <c r="H611" i="13" s="1"/>
  <c r="D611" i="13"/>
  <c r="I610" i="13"/>
  <c r="F610" i="13"/>
  <c r="E610" i="13"/>
  <c r="H610" i="13" s="1"/>
  <c r="D610" i="13"/>
  <c r="I609" i="13"/>
  <c r="G609" i="13"/>
  <c r="K609" i="13" s="1"/>
  <c r="L609" i="13" s="1"/>
  <c r="F609" i="13"/>
  <c r="E609" i="13"/>
  <c r="H609" i="13" s="1"/>
  <c r="D609" i="13"/>
  <c r="I608" i="13"/>
  <c r="F608" i="13"/>
  <c r="E608" i="13"/>
  <c r="H608" i="13" s="1"/>
  <c r="D608" i="13"/>
  <c r="I607" i="13"/>
  <c r="G607" i="13"/>
  <c r="K607" i="13" s="1"/>
  <c r="L607" i="13" s="1"/>
  <c r="F607" i="13"/>
  <c r="E607" i="13"/>
  <c r="H607" i="13" s="1"/>
  <c r="D607" i="13"/>
  <c r="I606" i="13"/>
  <c r="F606" i="13"/>
  <c r="E606" i="13"/>
  <c r="H606" i="13" s="1"/>
  <c r="D606" i="13"/>
  <c r="I605" i="13"/>
  <c r="G605" i="13"/>
  <c r="K605" i="13" s="1"/>
  <c r="L605" i="13" s="1"/>
  <c r="F605" i="13"/>
  <c r="E605" i="13"/>
  <c r="H605" i="13" s="1"/>
  <c r="D605" i="13"/>
  <c r="I604" i="13"/>
  <c r="F604" i="13"/>
  <c r="E604" i="13"/>
  <c r="H604" i="13" s="1"/>
  <c r="D604" i="13"/>
  <c r="I603" i="13"/>
  <c r="G603" i="13"/>
  <c r="K603" i="13" s="1"/>
  <c r="L603" i="13" s="1"/>
  <c r="F603" i="13"/>
  <c r="E603" i="13"/>
  <c r="H603" i="13" s="1"/>
  <c r="D603" i="13"/>
  <c r="I602" i="13"/>
  <c r="F602" i="13"/>
  <c r="E602" i="13"/>
  <c r="H602" i="13" s="1"/>
  <c r="D602" i="13"/>
  <c r="I601" i="13"/>
  <c r="G601" i="13"/>
  <c r="K601" i="13" s="1"/>
  <c r="L601" i="13" s="1"/>
  <c r="F601" i="13"/>
  <c r="E601" i="13"/>
  <c r="H601" i="13" s="1"/>
  <c r="D601" i="13"/>
  <c r="I600" i="13"/>
  <c r="F600" i="13"/>
  <c r="E600" i="13"/>
  <c r="H600" i="13" s="1"/>
  <c r="D600" i="13"/>
  <c r="I599" i="13"/>
  <c r="G599" i="13"/>
  <c r="K599" i="13" s="1"/>
  <c r="L599" i="13" s="1"/>
  <c r="F599" i="13"/>
  <c r="E599" i="13"/>
  <c r="H599" i="13" s="1"/>
  <c r="D599" i="13"/>
  <c r="I598" i="13"/>
  <c r="F598" i="13"/>
  <c r="E598" i="13"/>
  <c r="H598" i="13" s="1"/>
  <c r="D598" i="13"/>
  <c r="I597" i="13"/>
  <c r="G597" i="13"/>
  <c r="K597" i="13" s="1"/>
  <c r="L597" i="13" s="1"/>
  <c r="F597" i="13"/>
  <c r="E597" i="13"/>
  <c r="H597" i="13" s="1"/>
  <c r="D597" i="13"/>
  <c r="I596" i="13"/>
  <c r="F596" i="13"/>
  <c r="E596" i="13"/>
  <c r="H596" i="13" s="1"/>
  <c r="D596" i="13"/>
  <c r="I595" i="13"/>
  <c r="G595" i="13"/>
  <c r="K595" i="13" s="1"/>
  <c r="L595" i="13" s="1"/>
  <c r="F595" i="13"/>
  <c r="E595" i="13"/>
  <c r="H595" i="13" s="1"/>
  <c r="D595" i="13"/>
  <c r="I594" i="13"/>
  <c r="F594" i="13"/>
  <c r="E594" i="13"/>
  <c r="H594" i="13" s="1"/>
  <c r="D594" i="13"/>
  <c r="I593" i="13"/>
  <c r="G593" i="13"/>
  <c r="K593" i="13" s="1"/>
  <c r="L593" i="13" s="1"/>
  <c r="F593" i="13"/>
  <c r="E593" i="13"/>
  <c r="H593" i="13" s="1"/>
  <c r="D593" i="13"/>
  <c r="I592" i="13"/>
  <c r="F592" i="13"/>
  <c r="E592" i="13"/>
  <c r="H592" i="13" s="1"/>
  <c r="D592" i="13"/>
  <c r="I591" i="13"/>
  <c r="G591" i="13"/>
  <c r="K591" i="13" s="1"/>
  <c r="L591" i="13" s="1"/>
  <c r="F591" i="13"/>
  <c r="E591" i="13"/>
  <c r="H591" i="13" s="1"/>
  <c r="D591" i="13"/>
  <c r="I590" i="13"/>
  <c r="F590" i="13"/>
  <c r="E590" i="13"/>
  <c r="H590" i="13" s="1"/>
  <c r="D590" i="13"/>
  <c r="I589" i="13"/>
  <c r="G589" i="13"/>
  <c r="K589" i="13" s="1"/>
  <c r="L589" i="13" s="1"/>
  <c r="F589" i="13"/>
  <c r="E589" i="13"/>
  <c r="H589" i="13" s="1"/>
  <c r="D589" i="13"/>
  <c r="I588" i="13"/>
  <c r="F588" i="13"/>
  <c r="E588" i="13"/>
  <c r="H588" i="13" s="1"/>
  <c r="D588" i="13"/>
  <c r="I587" i="13"/>
  <c r="G587" i="13"/>
  <c r="K587" i="13" s="1"/>
  <c r="L587" i="13" s="1"/>
  <c r="F587" i="13"/>
  <c r="E587" i="13"/>
  <c r="H587" i="13" s="1"/>
  <c r="D587" i="13"/>
  <c r="I586" i="13"/>
  <c r="F586" i="13"/>
  <c r="E586" i="13"/>
  <c r="H586" i="13" s="1"/>
  <c r="D586" i="13"/>
  <c r="I585" i="13"/>
  <c r="G585" i="13"/>
  <c r="K585" i="13" s="1"/>
  <c r="L585" i="13" s="1"/>
  <c r="F585" i="13"/>
  <c r="E585" i="13"/>
  <c r="H585" i="13" s="1"/>
  <c r="D585" i="13"/>
  <c r="I584" i="13"/>
  <c r="F584" i="13"/>
  <c r="E584" i="13"/>
  <c r="H584" i="13" s="1"/>
  <c r="D584" i="13"/>
  <c r="I583" i="13"/>
  <c r="G583" i="13"/>
  <c r="K583" i="13" s="1"/>
  <c r="L583" i="13" s="1"/>
  <c r="F583" i="13"/>
  <c r="E583" i="13"/>
  <c r="H583" i="13" s="1"/>
  <c r="D583" i="13"/>
  <c r="I582" i="13"/>
  <c r="F582" i="13"/>
  <c r="E582" i="13"/>
  <c r="H582" i="13" s="1"/>
  <c r="D582" i="13"/>
  <c r="I581" i="13"/>
  <c r="G581" i="13"/>
  <c r="K581" i="13" s="1"/>
  <c r="L581" i="13" s="1"/>
  <c r="F581" i="13"/>
  <c r="E581" i="13"/>
  <c r="H581" i="13" s="1"/>
  <c r="D581" i="13"/>
  <c r="I580" i="13"/>
  <c r="F580" i="13"/>
  <c r="E580" i="13"/>
  <c r="H580" i="13" s="1"/>
  <c r="D580" i="13"/>
  <c r="I579" i="13"/>
  <c r="G579" i="13"/>
  <c r="K579" i="13" s="1"/>
  <c r="L579" i="13" s="1"/>
  <c r="F579" i="13"/>
  <c r="E579" i="13"/>
  <c r="H579" i="13" s="1"/>
  <c r="D579" i="13"/>
  <c r="I578" i="13"/>
  <c r="F578" i="13"/>
  <c r="E578" i="13"/>
  <c r="H578" i="13" s="1"/>
  <c r="D578" i="13"/>
  <c r="I577" i="13"/>
  <c r="G577" i="13"/>
  <c r="K577" i="13" s="1"/>
  <c r="L577" i="13" s="1"/>
  <c r="F577" i="13"/>
  <c r="E577" i="13"/>
  <c r="H577" i="13" s="1"/>
  <c r="D577" i="13"/>
  <c r="I576" i="13"/>
  <c r="F576" i="13"/>
  <c r="E576" i="13"/>
  <c r="H576" i="13" s="1"/>
  <c r="D576" i="13"/>
  <c r="I575" i="13"/>
  <c r="G575" i="13"/>
  <c r="K575" i="13" s="1"/>
  <c r="L575" i="13" s="1"/>
  <c r="F575" i="13"/>
  <c r="E575" i="13"/>
  <c r="H575" i="13" s="1"/>
  <c r="D575" i="13"/>
  <c r="I574" i="13"/>
  <c r="F574" i="13"/>
  <c r="E574" i="13"/>
  <c r="H574" i="13" s="1"/>
  <c r="D574" i="13"/>
  <c r="I573" i="13"/>
  <c r="G573" i="13"/>
  <c r="K573" i="13" s="1"/>
  <c r="L573" i="13" s="1"/>
  <c r="F573" i="13"/>
  <c r="E573" i="13"/>
  <c r="H573" i="13" s="1"/>
  <c r="D573" i="13"/>
  <c r="I572" i="13"/>
  <c r="F572" i="13"/>
  <c r="E572" i="13"/>
  <c r="H572" i="13" s="1"/>
  <c r="D572" i="13"/>
  <c r="I571" i="13"/>
  <c r="G571" i="13"/>
  <c r="K571" i="13" s="1"/>
  <c r="L571" i="13" s="1"/>
  <c r="F571" i="13"/>
  <c r="E571" i="13"/>
  <c r="H571" i="13" s="1"/>
  <c r="D571" i="13"/>
  <c r="I570" i="13"/>
  <c r="F570" i="13"/>
  <c r="E570" i="13"/>
  <c r="H570" i="13" s="1"/>
  <c r="D570" i="13"/>
  <c r="I569" i="13"/>
  <c r="G569" i="13"/>
  <c r="K569" i="13" s="1"/>
  <c r="L569" i="13" s="1"/>
  <c r="F569" i="13"/>
  <c r="E569" i="13"/>
  <c r="H569" i="13" s="1"/>
  <c r="D569" i="13"/>
  <c r="I568" i="13"/>
  <c r="F568" i="13"/>
  <c r="E568" i="13"/>
  <c r="H568" i="13" s="1"/>
  <c r="D568" i="13"/>
  <c r="I567" i="13"/>
  <c r="G567" i="13"/>
  <c r="K567" i="13" s="1"/>
  <c r="L567" i="13" s="1"/>
  <c r="F567" i="13"/>
  <c r="E567" i="13"/>
  <c r="H567" i="13" s="1"/>
  <c r="D567" i="13"/>
  <c r="I566" i="13"/>
  <c r="F566" i="13"/>
  <c r="E566" i="13"/>
  <c r="H566" i="13" s="1"/>
  <c r="D566" i="13"/>
  <c r="I565" i="13"/>
  <c r="G565" i="13"/>
  <c r="K565" i="13" s="1"/>
  <c r="L565" i="13" s="1"/>
  <c r="F565" i="13"/>
  <c r="E565" i="13"/>
  <c r="H565" i="13" s="1"/>
  <c r="D565" i="13"/>
  <c r="I564" i="13"/>
  <c r="F564" i="13"/>
  <c r="E564" i="13"/>
  <c r="H564" i="13" s="1"/>
  <c r="D564" i="13"/>
  <c r="I563" i="13"/>
  <c r="G563" i="13"/>
  <c r="K563" i="13" s="1"/>
  <c r="L563" i="13" s="1"/>
  <c r="F563" i="13"/>
  <c r="E563" i="13"/>
  <c r="H563" i="13" s="1"/>
  <c r="D563" i="13"/>
  <c r="I562" i="13"/>
  <c r="F562" i="13"/>
  <c r="E562" i="13"/>
  <c r="H562" i="13" s="1"/>
  <c r="D562" i="13"/>
  <c r="I561" i="13"/>
  <c r="G561" i="13"/>
  <c r="K561" i="13" s="1"/>
  <c r="L561" i="13" s="1"/>
  <c r="F561" i="13"/>
  <c r="E561" i="13"/>
  <c r="H561" i="13" s="1"/>
  <c r="D561" i="13"/>
  <c r="I560" i="13"/>
  <c r="F560" i="13"/>
  <c r="E560" i="13"/>
  <c r="H560" i="13" s="1"/>
  <c r="D560" i="13"/>
  <c r="I559" i="13"/>
  <c r="G559" i="13"/>
  <c r="K559" i="13" s="1"/>
  <c r="L559" i="13" s="1"/>
  <c r="F559" i="13"/>
  <c r="E559" i="13"/>
  <c r="H559" i="13" s="1"/>
  <c r="D559" i="13"/>
  <c r="I558" i="13"/>
  <c r="F558" i="13"/>
  <c r="E558" i="13"/>
  <c r="H558" i="13" s="1"/>
  <c r="D558" i="13"/>
  <c r="I557" i="13"/>
  <c r="G557" i="13"/>
  <c r="K557" i="13" s="1"/>
  <c r="L557" i="13" s="1"/>
  <c r="F557" i="13"/>
  <c r="E557" i="13"/>
  <c r="H557" i="13" s="1"/>
  <c r="D557" i="13"/>
  <c r="I556" i="13"/>
  <c r="F556" i="13"/>
  <c r="E556" i="13"/>
  <c r="H556" i="13" s="1"/>
  <c r="D556" i="13"/>
  <c r="I555" i="13"/>
  <c r="G555" i="13"/>
  <c r="K555" i="13" s="1"/>
  <c r="L555" i="13" s="1"/>
  <c r="F555" i="13"/>
  <c r="E555" i="13"/>
  <c r="H555" i="13" s="1"/>
  <c r="D555" i="13"/>
  <c r="I554" i="13"/>
  <c r="F554" i="13"/>
  <c r="E554" i="13"/>
  <c r="H554" i="13" s="1"/>
  <c r="D554" i="13"/>
  <c r="I553" i="13"/>
  <c r="G553" i="13"/>
  <c r="K553" i="13" s="1"/>
  <c r="L553" i="13" s="1"/>
  <c r="F553" i="13"/>
  <c r="E553" i="13"/>
  <c r="H553" i="13" s="1"/>
  <c r="D553" i="13"/>
  <c r="I552" i="13"/>
  <c r="F552" i="13"/>
  <c r="E552" i="13"/>
  <c r="H552" i="13" s="1"/>
  <c r="D552" i="13"/>
  <c r="I551" i="13"/>
  <c r="G551" i="13"/>
  <c r="K551" i="13" s="1"/>
  <c r="L551" i="13" s="1"/>
  <c r="F551" i="13"/>
  <c r="E551" i="13"/>
  <c r="H551" i="13" s="1"/>
  <c r="D551" i="13"/>
  <c r="I550" i="13"/>
  <c r="F550" i="13"/>
  <c r="E550" i="13"/>
  <c r="H550" i="13" s="1"/>
  <c r="D550" i="13"/>
  <c r="I549" i="13"/>
  <c r="G549" i="13"/>
  <c r="K549" i="13" s="1"/>
  <c r="L549" i="13" s="1"/>
  <c r="F549" i="13"/>
  <c r="E549" i="13"/>
  <c r="H549" i="13" s="1"/>
  <c r="D549" i="13"/>
  <c r="I548" i="13"/>
  <c r="F548" i="13"/>
  <c r="E548" i="13"/>
  <c r="H548" i="13" s="1"/>
  <c r="D548" i="13"/>
  <c r="I547" i="13"/>
  <c r="G547" i="13"/>
  <c r="K547" i="13" s="1"/>
  <c r="L547" i="13" s="1"/>
  <c r="F547" i="13"/>
  <c r="E547" i="13"/>
  <c r="H547" i="13" s="1"/>
  <c r="D547" i="13"/>
  <c r="I546" i="13"/>
  <c r="F546" i="13"/>
  <c r="E546" i="13"/>
  <c r="H546" i="13" s="1"/>
  <c r="D546" i="13"/>
  <c r="I545" i="13"/>
  <c r="G545" i="13"/>
  <c r="K545" i="13" s="1"/>
  <c r="L545" i="13" s="1"/>
  <c r="F545" i="13"/>
  <c r="E545" i="13"/>
  <c r="H545" i="13" s="1"/>
  <c r="D545" i="13"/>
  <c r="I544" i="13"/>
  <c r="F544" i="13"/>
  <c r="E544" i="13"/>
  <c r="H544" i="13" s="1"/>
  <c r="D544" i="13"/>
  <c r="I543" i="13"/>
  <c r="G543" i="13"/>
  <c r="K543" i="13" s="1"/>
  <c r="L543" i="13" s="1"/>
  <c r="F543" i="13"/>
  <c r="E543" i="13"/>
  <c r="H543" i="13" s="1"/>
  <c r="D543" i="13"/>
  <c r="I542" i="13"/>
  <c r="F542" i="13"/>
  <c r="E542" i="13"/>
  <c r="H542" i="13" s="1"/>
  <c r="D542" i="13"/>
  <c r="I541" i="13"/>
  <c r="G541" i="13"/>
  <c r="K541" i="13" s="1"/>
  <c r="L541" i="13" s="1"/>
  <c r="F541" i="13"/>
  <c r="E541" i="13"/>
  <c r="H541" i="13" s="1"/>
  <c r="D541" i="13"/>
  <c r="I540" i="13"/>
  <c r="F540" i="13"/>
  <c r="E540" i="13"/>
  <c r="H540" i="13" s="1"/>
  <c r="D540" i="13"/>
  <c r="I539" i="13"/>
  <c r="G539" i="13"/>
  <c r="K539" i="13" s="1"/>
  <c r="L539" i="13" s="1"/>
  <c r="F539" i="13"/>
  <c r="E539" i="13"/>
  <c r="H539" i="13" s="1"/>
  <c r="D539" i="13"/>
  <c r="I538" i="13"/>
  <c r="F538" i="13"/>
  <c r="E538" i="13"/>
  <c r="H538" i="13" s="1"/>
  <c r="D538" i="13"/>
  <c r="I537" i="13"/>
  <c r="G537" i="13"/>
  <c r="K537" i="13" s="1"/>
  <c r="L537" i="13" s="1"/>
  <c r="F537" i="13"/>
  <c r="E537" i="13"/>
  <c r="H537" i="13" s="1"/>
  <c r="D537" i="13"/>
  <c r="I536" i="13"/>
  <c r="F536" i="13"/>
  <c r="E536" i="13"/>
  <c r="H536" i="13" s="1"/>
  <c r="D536" i="13"/>
  <c r="I535" i="13"/>
  <c r="G535" i="13"/>
  <c r="K535" i="13" s="1"/>
  <c r="L535" i="13" s="1"/>
  <c r="F535" i="13"/>
  <c r="E535" i="13"/>
  <c r="H535" i="13" s="1"/>
  <c r="D535" i="13"/>
  <c r="I534" i="13"/>
  <c r="F534" i="13"/>
  <c r="E534" i="13"/>
  <c r="H534" i="13" s="1"/>
  <c r="D534" i="13"/>
  <c r="I533" i="13"/>
  <c r="H533" i="13"/>
  <c r="F533" i="13"/>
  <c r="E533" i="13"/>
  <c r="G533" i="13" s="1"/>
  <c r="K533" i="13" s="1"/>
  <c r="L533" i="13" s="1"/>
  <c r="D533" i="13"/>
  <c r="I532" i="13"/>
  <c r="G532" i="13"/>
  <c r="K532" i="13" s="1"/>
  <c r="L532" i="13" s="1"/>
  <c r="F532" i="13"/>
  <c r="E532" i="13"/>
  <c r="H532" i="13" s="1"/>
  <c r="D532" i="13"/>
  <c r="I531" i="13"/>
  <c r="H531" i="13"/>
  <c r="F531" i="13"/>
  <c r="E531" i="13"/>
  <c r="D531" i="13"/>
  <c r="G531" i="13" s="1"/>
  <c r="K531" i="13" s="1"/>
  <c r="L531" i="13" s="1"/>
  <c r="I530" i="13"/>
  <c r="F530" i="13"/>
  <c r="E530" i="13"/>
  <c r="H530" i="13" s="1"/>
  <c r="D530" i="13"/>
  <c r="I529" i="13"/>
  <c r="H529" i="13"/>
  <c r="F529" i="13"/>
  <c r="E529" i="13"/>
  <c r="G529" i="13" s="1"/>
  <c r="K529" i="13" s="1"/>
  <c r="L529" i="13" s="1"/>
  <c r="D529" i="13"/>
  <c r="I528" i="13"/>
  <c r="G528" i="13"/>
  <c r="K528" i="13" s="1"/>
  <c r="L528" i="13" s="1"/>
  <c r="F528" i="13"/>
  <c r="E528" i="13"/>
  <c r="H528" i="13" s="1"/>
  <c r="D528" i="13"/>
  <c r="I527" i="13"/>
  <c r="H527" i="13"/>
  <c r="F527" i="13"/>
  <c r="E527" i="13"/>
  <c r="D527" i="13"/>
  <c r="G527" i="13" s="1"/>
  <c r="K527" i="13" s="1"/>
  <c r="L527" i="13" s="1"/>
  <c r="I526" i="13"/>
  <c r="F526" i="13"/>
  <c r="E526" i="13"/>
  <c r="H526" i="13" s="1"/>
  <c r="D526" i="13"/>
  <c r="I525" i="13"/>
  <c r="H525" i="13"/>
  <c r="F525" i="13"/>
  <c r="E525" i="13"/>
  <c r="G525" i="13" s="1"/>
  <c r="K525" i="13" s="1"/>
  <c r="L525" i="13" s="1"/>
  <c r="D525" i="13"/>
  <c r="I524" i="13"/>
  <c r="G524" i="13"/>
  <c r="K524" i="13" s="1"/>
  <c r="L524" i="13" s="1"/>
  <c r="F524" i="13"/>
  <c r="E524" i="13"/>
  <c r="H524" i="13" s="1"/>
  <c r="D524" i="13"/>
  <c r="I523" i="13"/>
  <c r="H523" i="13"/>
  <c r="F523" i="13"/>
  <c r="E523" i="13"/>
  <c r="D523" i="13"/>
  <c r="G523" i="13" s="1"/>
  <c r="K523" i="13" s="1"/>
  <c r="L523" i="13" s="1"/>
  <c r="I522" i="13"/>
  <c r="F522" i="13"/>
  <c r="E522" i="13"/>
  <c r="H522" i="13" s="1"/>
  <c r="D522" i="13"/>
  <c r="I521" i="13"/>
  <c r="H521" i="13"/>
  <c r="F521" i="13"/>
  <c r="E521" i="13"/>
  <c r="G521" i="13" s="1"/>
  <c r="K521" i="13" s="1"/>
  <c r="L521" i="13" s="1"/>
  <c r="D521" i="13"/>
  <c r="I520" i="13"/>
  <c r="G520" i="13"/>
  <c r="K520" i="13" s="1"/>
  <c r="L520" i="13" s="1"/>
  <c r="F520" i="13"/>
  <c r="E520" i="13"/>
  <c r="H520" i="13" s="1"/>
  <c r="D520" i="13"/>
  <c r="I519" i="13"/>
  <c r="G519" i="13"/>
  <c r="K519" i="13" s="1"/>
  <c r="L519" i="13" s="1"/>
  <c r="F519" i="13"/>
  <c r="E519" i="13"/>
  <c r="H519" i="13" s="1"/>
  <c r="D519" i="13"/>
  <c r="I518" i="13"/>
  <c r="G518" i="13"/>
  <c r="K518" i="13" s="1"/>
  <c r="L518" i="13" s="1"/>
  <c r="F518" i="13"/>
  <c r="E518" i="13"/>
  <c r="H518" i="13" s="1"/>
  <c r="D518" i="13"/>
  <c r="I517" i="13"/>
  <c r="G517" i="13"/>
  <c r="K517" i="13" s="1"/>
  <c r="L517" i="13" s="1"/>
  <c r="F517" i="13"/>
  <c r="E517" i="13"/>
  <c r="H517" i="13" s="1"/>
  <c r="D517" i="13"/>
  <c r="I516" i="13"/>
  <c r="G516" i="13"/>
  <c r="K516" i="13" s="1"/>
  <c r="L516" i="13" s="1"/>
  <c r="F516" i="13"/>
  <c r="E516" i="13"/>
  <c r="H516" i="13" s="1"/>
  <c r="D516" i="13"/>
  <c r="I515" i="13"/>
  <c r="G515" i="13"/>
  <c r="K515" i="13" s="1"/>
  <c r="L515" i="13" s="1"/>
  <c r="F515" i="13"/>
  <c r="E515" i="13"/>
  <c r="H515" i="13" s="1"/>
  <c r="D515" i="13"/>
  <c r="I514" i="13"/>
  <c r="G514" i="13"/>
  <c r="K514" i="13" s="1"/>
  <c r="L514" i="13" s="1"/>
  <c r="F514" i="13"/>
  <c r="E514" i="13"/>
  <c r="H514" i="13" s="1"/>
  <c r="D514" i="13"/>
  <c r="I513" i="13"/>
  <c r="G513" i="13"/>
  <c r="K513" i="13" s="1"/>
  <c r="L513" i="13" s="1"/>
  <c r="F513" i="13"/>
  <c r="E513" i="13"/>
  <c r="H513" i="13" s="1"/>
  <c r="D513" i="13"/>
  <c r="I512" i="13"/>
  <c r="G512" i="13"/>
  <c r="K512" i="13" s="1"/>
  <c r="L512" i="13" s="1"/>
  <c r="F512" i="13"/>
  <c r="E512" i="13"/>
  <c r="H512" i="13" s="1"/>
  <c r="D512" i="13"/>
  <c r="I511" i="13"/>
  <c r="G511" i="13"/>
  <c r="K511" i="13" s="1"/>
  <c r="L511" i="13" s="1"/>
  <c r="F511" i="13"/>
  <c r="E511" i="13"/>
  <c r="H511" i="13" s="1"/>
  <c r="D511" i="13"/>
  <c r="I510" i="13"/>
  <c r="G510" i="13"/>
  <c r="K510" i="13" s="1"/>
  <c r="L510" i="13" s="1"/>
  <c r="F510" i="13"/>
  <c r="E510" i="13"/>
  <c r="H510" i="13" s="1"/>
  <c r="D510" i="13"/>
  <c r="I509" i="13"/>
  <c r="F509" i="13"/>
  <c r="E509" i="13"/>
  <c r="H509" i="13" s="1"/>
  <c r="D509" i="13"/>
  <c r="G509" i="13" s="1"/>
  <c r="K509" i="13" s="1"/>
  <c r="L509" i="13" s="1"/>
  <c r="I508" i="13"/>
  <c r="H508" i="13"/>
  <c r="F508" i="13"/>
  <c r="E508" i="13"/>
  <c r="D508" i="13"/>
  <c r="G508" i="13" s="1"/>
  <c r="K508" i="13" s="1"/>
  <c r="L508" i="13" s="1"/>
  <c r="I507" i="13"/>
  <c r="H507" i="13"/>
  <c r="F507" i="13"/>
  <c r="E507" i="13"/>
  <c r="D507" i="13"/>
  <c r="G507" i="13" s="1"/>
  <c r="K507" i="13" s="1"/>
  <c r="L507" i="13" s="1"/>
  <c r="I506" i="13"/>
  <c r="H506" i="13"/>
  <c r="F506" i="13"/>
  <c r="E506" i="13"/>
  <c r="D506" i="13"/>
  <c r="G506" i="13" s="1"/>
  <c r="K506" i="13" s="1"/>
  <c r="L506" i="13" s="1"/>
  <c r="I505" i="13"/>
  <c r="H505" i="13"/>
  <c r="F505" i="13"/>
  <c r="E505" i="13"/>
  <c r="D505" i="13"/>
  <c r="G505" i="13" s="1"/>
  <c r="K505" i="13" s="1"/>
  <c r="L505" i="13" s="1"/>
  <c r="I504" i="13"/>
  <c r="H504" i="13"/>
  <c r="F504" i="13"/>
  <c r="E504" i="13"/>
  <c r="D504" i="13"/>
  <c r="G504" i="13" s="1"/>
  <c r="K504" i="13" s="1"/>
  <c r="L504" i="13" s="1"/>
  <c r="I503" i="13"/>
  <c r="H503" i="13"/>
  <c r="F503" i="13"/>
  <c r="E503" i="13"/>
  <c r="D503" i="13"/>
  <c r="G503" i="13" s="1"/>
  <c r="K503" i="13" s="1"/>
  <c r="L503" i="13" s="1"/>
  <c r="I502" i="13"/>
  <c r="H502" i="13"/>
  <c r="F502" i="13"/>
  <c r="E502" i="13"/>
  <c r="D502" i="13"/>
  <c r="G502" i="13" s="1"/>
  <c r="K502" i="13" s="1"/>
  <c r="L502" i="13" s="1"/>
  <c r="I501" i="13"/>
  <c r="H501" i="13"/>
  <c r="F501" i="13"/>
  <c r="E501" i="13"/>
  <c r="D501" i="13"/>
  <c r="G501" i="13" s="1"/>
  <c r="K501" i="13" s="1"/>
  <c r="L501" i="13" s="1"/>
  <c r="I500" i="13"/>
  <c r="H500" i="13"/>
  <c r="F500" i="13"/>
  <c r="E500" i="13"/>
  <c r="D500" i="13"/>
  <c r="G500" i="13" s="1"/>
  <c r="K500" i="13" s="1"/>
  <c r="L500" i="13" s="1"/>
  <c r="I499" i="13"/>
  <c r="H499" i="13"/>
  <c r="F499" i="13"/>
  <c r="E499" i="13"/>
  <c r="D499" i="13"/>
  <c r="G499" i="13" s="1"/>
  <c r="K499" i="13" s="1"/>
  <c r="L499" i="13" s="1"/>
  <c r="I498" i="13"/>
  <c r="H498" i="13"/>
  <c r="F498" i="13"/>
  <c r="E498" i="13"/>
  <c r="D498" i="13"/>
  <c r="G498" i="13" s="1"/>
  <c r="K498" i="13" s="1"/>
  <c r="L498" i="13" s="1"/>
  <c r="I497" i="13"/>
  <c r="H497" i="13"/>
  <c r="F497" i="13"/>
  <c r="E497" i="13"/>
  <c r="D497" i="13"/>
  <c r="G497" i="13" s="1"/>
  <c r="K497" i="13" s="1"/>
  <c r="L497" i="13" s="1"/>
  <c r="I496" i="13"/>
  <c r="H496" i="13"/>
  <c r="F496" i="13"/>
  <c r="E496" i="13"/>
  <c r="D496" i="13"/>
  <c r="G496" i="13" s="1"/>
  <c r="K496" i="13" s="1"/>
  <c r="L496" i="13" s="1"/>
  <c r="I495" i="13"/>
  <c r="H495" i="13"/>
  <c r="F495" i="13"/>
  <c r="E495" i="13"/>
  <c r="D495" i="13"/>
  <c r="G495" i="13" s="1"/>
  <c r="K495" i="13" s="1"/>
  <c r="L495" i="13" s="1"/>
  <c r="I494" i="13"/>
  <c r="H494" i="13"/>
  <c r="F494" i="13"/>
  <c r="E494" i="13"/>
  <c r="D494" i="13"/>
  <c r="G494" i="13" s="1"/>
  <c r="K494" i="13" s="1"/>
  <c r="L494" i="13" s="1"/>
  <c r="I493" i="13"/>
  <c r="H493" i="13"/>
  <c r="F493" i="13"/>
  <c r="E493" i="13"/>
  <c r="D493" i="13"/>
  <c r="G493" i="13" s="1"/>
  <c r="K493" i="13" s="1"/>
  <c r="L493" i="13" s="1"/>
  <c r="I492" i="13"/>
  <c r="H492" i="13"/>
  <c r="F492" i="13"/>
  <c r="E492" i="13"/>
  <c r="D492" i="13"/>
  <c r="G492" i="13" s="1"/>
  <c r="K492" i="13" s="1"/>
  <c r="L492" i="13" s="1"/>
  <c r="I491" i="13"/>
  <c r="H491" i="13"/>
  <c r="F491" i="13"/>
  <c r="E491" i="13"/>
  <c r="D491" i="13"/>
  <c r="G491" i="13" s="1"/>
  <c r="K491" i="13" s="1"/>
  <c r="L491" i="13" s="1"/>
  <c r="I490" i="13"/>
  <c r="H490" i="13"/>
  <c r="F490" i="13"/>
  <c r="E490" i="13"/>
  <c r="D490" i="13"/>
  <c r="G490" i="13" s="1"/>
  <c r="K490" i="13" s="1"/>
  <c r="L490" i="13" s="1"/>
  <c r="I489" i="13"/>
  <c r="H489" i="13"/>
  <c r="F489" i="13"/>
  <c r="E489" i="13"/>
  <c r="D489" i="13"/>
  <c r="G489" i="13" s="1"/>
  <c r="K489" i="13" s="1"/>
  <c r="L489" i="13" s="1"/>
  <c r="I488" i="13"/>
  <c r="H488" i="13"/>
  <c r="F488" i="13"/>
  <c r="E488" i="13"/>
  <c r="D488" i="13"/>
  <c r="G488" i="13" s="1"/>
  <c r="K488" i="13" s="1"/>
  <c r="L488" i="13" s="1"/>
  <c r="I487" i="13"/>
  <c r="H487" i="13"/>
  <c r="F487" i="13"/>
  <c r="E487" i="13"/>
  <c r="D487" i="13"/>
  <c r="G487" i="13" s="1"/>
  <c r="K487" i="13" s="1"/>
  <c r="L487" i="13" s="1"/>
  <c r="I486" i="13"/>
  <c r="H486" i="13"/>
  <c r="F486" i="13"/>
  <c r="E486" i="13"/>
  <c r="D486" i="13"/>
  <c r="G486" i="13" s="1"/>
  <c r="K486" i="13" s="1"/>
  <c r="L486" i="13" s="1"/>
  <c r="I485" i="13"/>
  <c r="H485" i="13"/>
  <c r="F485" i="13"/>
  <c r="E485" i="13"/>
  <c r="D485" i="13"/>
  <c r="G485" i="13" s="1"/>
  <c r="K485" i="13" s="1"/>
  <c r="L485" i="13" s="1"/>
  <c r="I484" i="13"/>
  <c r="H484" i="13"/>
  <c r="F484" i="13"/>
  <c r="E484" i="13"/>
  <c r="D484" i="13"/>
  <c r="G484" i="13" s="1"/>
  <c r="K484" i="13" s="1"/>
  <c r="L484" i="13" s="1"/>
  <c r="I483" i="13"/>
  <c r="H483" i="13"/>
  <c r="F483" i="13"/>
  <c r="E483" i="13"/>
  <c r="D483" i="13"/>
  <c r="G483" i="13" s="1"/>
  <c r="K483" i="13" s="1"/>
  <c r="L483" i="13" s="1"/>
  <c r="I482" i="13"/>
  <c r="H482" i="13"/>
  <c r="F482" i="13"/>
  <c r="E482" i="13"/>
  <c r="D482" i="13"/>
  <c r="G482" i="13" s="1"/>
  <c r="K482" i="13" s="1"/>
  <c r="L482" i="13" s="1"/>
  <c r="I481" i="13"/>
  <c r="H481" i="13"/>
  <c r="F481" i="13"/>
  <c r="E481" i="13"/>
  <c r="D481" i="13"/>
  <c r="G481" i="13" s="1"/>
  <c r="K481" i="13" s="1"/>
  <c r="L481" i="13" s="1"/>
  <c r="I480" i="13"/>
  <c r="H480" i="13"/>
  <c r="F480" i="13"/>
  <c r="E480" i="13"/>
  <c r="D480" i="13"/>
  <c r="G480" i="13" s="1"/>
  <c r="K480" i="13" s="1"/>
  <c r="L480" i="13" s="1"/>
  <c r="I479" i="13"/>
  <c r="H479" i="13"/>
  <c r="F479" i="13"/>
  <c r="E479" i="13"/>
  <c r="D479" i="13"/>
  <c r="G479" i="13" s="1"/>
  <c r="K479" i="13" s="1"/>
  <c r="L479" i="13" s="1"/>
  <c r="I478" i="13"/>
  <c r="H478" i="13"/>
  <c r="F478" i="13"/>
  <c r="E478" i="13"/>
  <c r="D478" i="13"/>
  <c r="G478" i="13" s="1"/>
  <c r="K478" i="13" s="1"/>
  <c r="L478" i="13" s="1"/>
  <c r="I477" i="13"/>
  <c r="H477" i="13"/>
  <c r="F477" i="13"/>
  <c r="E477" i="13"/>
  <c r="D477" i="13"/>
  <c r="G477" i="13" s="1"/>
  <c r="K477" i="13" s="1"/>
  <c r="L477" i="13" s="1"/>
  <c r="I476" i="13"/>
  <c r="H476" i="13"/>
  <c r="F476" i="13"/>
  <c r="E476" i="13"/>
  <c r="D476" i="13"/>
  <c r="G476" i="13" s="1"/>
  <c r="K476" i="13" s="1"/>
  <c r="L476" i="13" s="1"/>
  <c r="I475" i="13"/>
  <c r="H475" i="13"/>
  <c r="F475" i="13"/>
  <c r="E475" i="13"/>
  <c r="D475" i="13"/>
  <c r="G475" i="13" s="1"/>
  <c r="K475" i="13" s="1"/>
  <c r="L475" i="13" s="1"/>
  <c r="I474" i="13"/>
  <c r="H474" i="13"/>
  <c r="F474" i="13"/>
  <c r="E474" i="13"/>
  <c r="D474" i="13"/>
  <c r="G474" i="13" s="1"/>
  <c r="K474" i="13" s="1"/>
  <c r="L474" i="13" s="1"/>
  <c r="I473" i="13"/>
  <c r="H473" i="13"/>
  <c r="F473" i="13"/>
  <c r="E473" i="13"/>
  <c r="D473" i="13"/>
  <c r="G473" i="13" s="1"/>
  <c r="K473" i="13" s="1"/>
  <c r="L473" i="13" s="1"/>
  <c r="I472" i="13"/>
  <c r="H472" i="13"/>
  <c r="F472" i="13"/>
  <c r="E472" i="13"/>
  <c r="D472" i="13"/>
  <c r="G472" i="13" s="1"/>
  <c r="K472" i="13" s="1"/>
  <c r="L472" i="13" s="1"/>
  <c r="I471" i="13"/>
  <c r="H471" i="13"/>
  <c r="F471" i="13"/>
  <c r="E471" i="13"/>
  <c r="D471" i="13"/>
  <c r="G471" i="13" s="1"/>
  <c r="K471" i="13" s="1"/>
  <c r="L471" i="13" s="1"/>
  <c r="I470" i="13"/>
  <c r="H470" i="13"/>
  <c r="F470" i="13"/>
  <c r="E470" i="13"/>
  <c r="D470" i="13"/>
  <c r="G470" i="13" s="1"/>
  <c r="K470" i="13" s="1"/>
  <c r="L470" i="13" s="1"/>
  <c r="I469" i="13"/>
  <c r="H469" i="13"/>
  <c r="F469" i="13"/>
  <c r="E469" i="13"/>
  <c r="D469" i="13"/>
  <c r="G469" i="13" s="1"/>
  <c r="K469" i="13" s="1"/>
  <c r="L469" i="13" s="1"/>
  <c r="I468" i="13"/>
  <c r="H468" i="13"/>
  <c r="F468" i="13"/>
  <c r="E468" i="13"/>
  <c r="D468" i="13"/>
  <c r="G468" i="13" s="1"/>
  <c r="K468" i="13" s="1"/>
  <c r="L468" i="13" s="1"/>
  <c r="I467" i="13"/>
  <c r="H467" i="13"/>
  <c r="F467" i="13"/>
  <c r="E467" i="13"/>
  <c r="D467" i="13"/>
  <c r="G467" i="13" s="1"/>
  <c r="K467" i="13" s="1"/>
  <c r="L467" i="13" s="1"/>
  <c r="I466" i="13"/>
  <c r="H466" i="13"/>
  <c r="F466" i="13"/>
  <c r="E466" i="13"/>
  <c r="D466" i="13"/>
  <c r="G466" i="13" s="1"/>
  <c r="K466" i="13" s="1"/>
  <c r="L466" i="13" s="1"/>
  <c r="I465" i="13"/>
  <c r="H465" i="13"/>
  <c r="F465" i="13"/>
  <c r="E465" i="13"/>
  <c r="D465" i="13"/>
  <c r="G465" i="13" s="1"/>
  <c r="K465" i="13" s="1"/>
  <c r="L465" i="13" s="1"/>
  <c r="I464" i="13"/>
  <c r="H464" i="13"/>
  <c r="F464" i="13"/>
  <c r="E464" i="13"/>
  <c r="D464" i="13"/>
  <c r="G464" i="13" s="1"/>
  <c r="K464" i="13" s="1"/>
  <c r="L464" i="13" s="1"/>
  <c r="I463" i="13"/>
  <c r="H463" i="13"/>
  <c r="F463" i="13"/>
  <c r="E463" i="13"/>
  <c r="D463" i="13"/>
  <c r="G463" i="13" s="1"/>
  <c r="K463" i="13" s="1"/>
  <c r="L463" i="13" s="1"/>
  <c r="I462" i="13"/>
  <c r="H462" i="13"/>
  <c r="F462" i="13"/>
  <c r="E462" i="13"/>
  <c r="D462" i="13"/>
  <c r="G462" i="13" s="1"/>
  <c r="K462" i="13" s="1"/>
  <c r="L462" i="13" s="1"/>
  <c r="I461" i="13"/>
  <c r="H461" i="13"/>
  <c r="F461" i="13"/>
  <c r="E461" i="13"/>
  <c r="D461" i="13"/>
  <c r="G461" i="13" s="1"/>
  <c r="K461" i="13" s="1"/>
  <c r="L461" i="13" s="1"/>
  <c r="I460" i="13"/>
  <c r="H460" i="13"/>
  <c r="F460" i="13"/>
  <c r="E460" i="13"/>
  <c r="D460" i="13"/>
  <c r="G460" i="13" s="1"/>
  <c r="K460" i="13" s="1"/>
  <c r="L460" i="13" s="1"/>
  <c r="I459" i="13"/>
  <c r="H459" i="13"/>
  <c r="F459" i="13"/>
  <c r="E459" i="13"/>
  <c r="D459" i="13"/>
  <c r="G459" i="13" s="1"/>
  <c r="K459" i="13" s="1"/>
  <c r="L459" i="13" s="1"/>
  <c r="I458" i="13"/>
  <c r="H458" i="13"/>
  <c r="F458" i="13"/>
  <c r="E458" i="13"/>
  <c r="D458" i="13"/>
  <c r="G458" i="13" s="1"/>
  <c r="K458" i="13" s="1"/>
  <c r="L458" i="13" s="1"/>
  <c r="I457" i="13"/>
  <c r="H457" i="13"/>
  <c r="F457" i="13"/>
  <c r="E457" i="13"/>
  <c r="D457" i="13"/>
  <c r="G457" i="13" s="1"/>
  <c r="K457" i="13" s="1"/>
  <c r="L457" i="13" s="1"/>
  <c r="I456" i="13"/>
  <c r="H456" i="13"/>
  <c r="F456" i="13"/>
  <c r="E456" i="13"/>
  <c r="D456" i="13"/>
  <c r="G456" i="13" s="1"/>
  <c r="K456" i="13" s="1"/>
  <c r="L456" i="13" s="1"/>
  <c r="I455" i="13"/>
  <c r="H455" i="13"/>
  <c r="F455" i="13"/>
  <c r="E455" i="13"/>
  <c r="D455" i="13"/>
  <c r="G455" i="13" s="1"/>
  <c r="K455" i="13" s="1"/>
  <c r="L455" i="13" s="1"/>
  <c r="I454" i="13"/>
  <c r="H454" i="13"/>
  <c r="G454" i="13"/>
  <c r="K454" i="13" s="1"/>
  <c r="L454" i="13" s="1"/>
  <c r="F454" i="13"/>
  <c r="E454" i="13"/>
  <c r="D454" i="13"/>
  <c r="I453" i="13"/>
  <c r="H453" i="13"/>
  <c r="F453" i="13"/>
  <c r="E453" i="13"/>
  <c r="D453" i="13"/>
  <c r="G453" i="13" s="1"/>
  <c r="K453" i="13" s="1"/>
  <c r="L453" i="13" s="1"/>
  <c r="I452" i="13"/>
  <c r="H452" i="13"/>
  <c r="F452" i="13"/>
  <c r="E452" i="13"/>
  <c r="D452" i="13"/>
  <c r="G452" i="13" s="1"/>
  <c r="K452" i="13" s="1"/>
  <c r="L452" i="13" s="1"/>
  <c r="I451" i="13"/>
  <c r="H451" i="13"/>
  <c r="F451" i="13"/>
  <c r="E451" i="13"/>
  <c r="D451" i="13"/>
  <c r="G451" i="13" s="1"/>
  <c r="K451" i="13" s="1"/>
  <c r="L451" i="13" s="1"/>
  <c r="I450" i="13"/>
  <c r="H450" i="13"/>
  <c r="G450" i="13"/>
  <c r="K450" i="13" s="1"/>
  <c r="L450" i="13" s="1"/>
  <c r="F450" i="13"/>
  <c r="E450" i="13"/>
  <c r="D450" i="13"/>
  <c r="K449" i="13"/>
  <c r="L449" i="13" s="1"/>
  <c r="I449" i="13"/>
  <c r="H449" i="13"/>
  <c r="F449" i="13"/>
  <c r="E449" i="13"/>
  <c r="D449" i="13"/>
  <c r="G449" i="13" s="1"/>
  <c r="I448" i="13"/>
  <c r="H448" i="13"/>
  <c r="F448" i="13"/>
  <c r="E448" i="13"/>
  <c r="D448" i="13"/>
  <c r="G448" i="13" s="1"/>
  <c r="K448" i="13" s="1"/>
  <c r="L448" i="13" s="1"/>
  <c r="I447" i="13"/>
  <c r="H447" i="13"/>
  <c r="F447" i="13"/>
  <c r="E447" i="13"/>
  <c r="D447" i="13"/>
  <c r="G447" i="13" s="1"/>
  <c r="K447" i="13" s="1"/>
  <c r="L447" i="13" s="1"/>
  <c r="I446" i="13"/>
  <c r="H446" i="13"/>
  <c r="G446" i="13"/>
  <c r="K446" i="13" s="1"/>
  <c r="L446" i="13" s="1"/>
  <c r="F446" i="13"/>
  <c r="E446" i="13"/>
  <c r="D446" i="13"/>
  <c r="I445" i="13"/>
  <c r="H445" i="13"/>
  <c r="F445" i="13"/>
  <c r="E445" i="13"/>
  <c r="D445" i="13"/>
  <c r="G445" i="13" s="1"/>
  <c r="K445" i="13" s="1"/>
  <c r="L445" i="13" s="1"/>
  <c r="I444" i="13"/>
  <c r="H444" i="13"/>
  <c r="F444" i="13"/>
  <c r="E444" i="13"/>
  <c r="D444" i="13"/>
  <c r="G444" i="13" s="1"/>
  <c r="K444" i="13" s="1"/>
  <c r="L444" i="13" s="1"/>
  <c r="I443" i="13"/>
  <c r="H443" i="13"/>
  <c r="F443" i="13"/>
  <c r="E443" i="13"/>
  <c r="D443" i="13"/>
  <c r="G443" i="13" s="1"/>
  <c r="K443" i="13" s="1"/>
  <c r="L443" i="13" s="1"/>
  <c r="I442" i="13"/>
  <c r="H442" i="13"/>
  <c r="G442" i="13"/>
  <c r="K442" i="13" s="1"/>
  <c r="L442" i="13" s="1"/>
  <c r="F442" i="13"/>
  <c r="E442" i="13"/>
  <c r="D442" i="13"/>
  <c r="K441" i="13"/>
  <c r="L441" i="13" s="1"/>
  <c r="I441" i="13"/>
  <c r="H441" i="13"/>
  <c r="F441" i="13"/>
  <c r="E441" i="13"/>
  <c r="D441" i="13"/>
  <c r="G441" i="13" s="1"/>
  <c r="I440" i="13"/>
  <c r="H440" i="13"/>
  <c r="F440" i="13"/>
  <c r="E440" i="13"/>
  <c r="D440" i="13"/>
  <c r="G440" i="13" s="1"/>
  <c r="K440" i="13" s="1"/>
  <c r="L440" i="13" s="1"/>
  <c r="I439" i="13"/>
  <c r="H439" i="13"/>
  <c r="F439" i="13"/>
  <c r="E439" i="13"/>
  <c r="D439" i="13"/>
  <c r="G439" i="13" s="1"/>
  <c r="K439" i="13" s="1"/>
  <c r="L439" i="13" s="1"/>
  <c r="I438" i="13"/>
  <c r="H438" i="13"/>
  <c r="G438" i="13"/>
  <c r="K438" i="13" s="1"/>
  <c r="L438" i="13" s="1"/>
  <c r="F438" i="13"/>
  <c r="E438" i="13"/>
  <c r="D438" i="13"/>
  <c r="I437" i="13"/>
  <c r="H437" i="13"/>
  <c r="F437" i="13"/>
  <c r="E437" i="13"/>
  <c r="D437" i="13"/>
  <c r="G437" i="13" s="1"/>
  <c r="K437" i="13" s="1"/>
  <c r="L437" i="13" s="1"/>
  <c r="I436" i="13"/>
  <c r="H436" i="13"/>
  <c r="F436" i="13"/>
  <c r="E436" i="13"/>
  <c r="D436" i="13"/>
  <c r="G436" i="13" s="1"/>
  <c r="K436" i="13" s="1"/>
  <c r="L436" i="13" s="1"/>
  <c r="I435" i="13"/>
  <c r="H435" i="13"/>
  <c r="F435" i="13"/>
  <c r="E435" i="13"/>
  <c r="D435" i="13"/>
  <c r="G435" i="13" s="1"/>
  <c r="K435" i="13" s="1"/>
  <c r="L435" i="13" s="1"/>
  <c r="I434" i="13"/>
  <c r="H434" i="13"/>
  <c r="G434" i="13"/>
  <c r="K434" i="13" s="1"/>
  <c r="L434" i="13" s="1"/>
  <c r="F434" i="13"/>
  <c r="E434" i="13"/>
  <c r="D434" i="13"/>
  <c r="K433" i="13"/>
  <c r="L433" i="13" s="1"/>
  <c r="I433" i="13"/>
  <c r="H433" i="13"/>
  <c r="F433" i="13"/>
  <c r="E433" i="13"/>
  <c r="D433" i="13"/>
  <c r="G433" i="13" s="1"/>
  <c r="I432" i="13"/>
  <c r="H432" i="13"/>
  <c r="F432" i="13"/>
  <c r="E432" i="13"/>
  <c r="D432" i="13"/>
  <c r="G432" i="13" s="1"/>
  <c r="K432" i="13" s="1"/>
  <c r="L432" i="13" s="1"/>
  <c r="I431" i="13"/>
  <c r="H431" i="13"/>
  <c r="F431" i="13"/>
  <c r="E431" i="13"/>
  <c r="D431" i="13"/>
  <c r="G431" i="13" s="1"/>
  <c r="K431" i="13" s="1"/>
  <c r="L431" i="13" s="1"/>
  <c r="I430" i="13"/>
  <c r="H430" i="13"/>
  <c r="G430" i="13"/>
  <c r="K430" i="13" s="1"/>
  <c r="L430" i="13" s="1"/>
  <c r="F430" i="13"/>
  <c r="E430" i="13"/>
  <c r="D430" i="13"/>
  <c r="I429" i="13"/>
  <c r="H429" i="13"/>
  <c r="F429" i="13"/>
  <c r="E429" i="13"/>
  <c r="D429" i="13"/>
  <c r="G429" i="13" s="1"/>
  <c r="K429" i="13" s="1"/>
  <c r="L429" i="13" s="1"/>
  <c r="I428" i="13"/>
  <c r="H428" i="13"/>
  <c r="F428" i="13"/>
  <c r="E428" i="13"/>
  <c r="D428" i="13"/>
  <c r="G428" i="13" s="1"/>
  <c r="K428" i="13" s="1"/>
  <c r="L428" i="13" s="1"/>
  <c r="I427" i="13"/>
  <c r="H427" i="13"/>
  <c r="F427" i="13"/>
  <c r="E427" i="13"/>
  <c r="D427" i="13"/>
  <c r="G427" i="13" s="1"/>
  <c r="K427" i="13" s="1"/>
  <c r="L427" i="13" s="1"/>
  <c r="I426" i="13"/>
  <c r="H426" i="13"/>
  <c r="G426" i="13"/>
  <c r="K426" i="13" s="1"/>
  <c r="L426" i="13" s="1"/>
  <c r="F426" i="13"/>
  <c r="E426" i="13"/>
  <c r="D426" i="13"/>
  <c r="K425" i="13"/>
  <c r="L425" i="13" s="1"/>
  <c r="I425" i="13"/>
  <c r="H425" i="13"/>
  <c r="F425" i="13"/>
  <c r="E425" i="13"/>
  <c r="D425" i="13"/>
  <c r="G425" i="13" s="1"/>
  <c r="I424" i="13"/>
  <c r="H424" i="13"/>
  <c r="F424" i="13"/>
  <c r="E424" i="13"/>
  <c r="D424" i="13"/>
  <c r="G424" i="13" s="1"/>
  <c r="K424" i="13" s="1"/>
  <c r="L424" i="13" s="1"/>
  <c r="I423" i="13"/>
  <c r="H423" i="13"/>
  <c r="F423" i="13"/>
  <c r="E423" i="13"/>
  <c r="D423" i="13"/>
  <c r="G423" i="13" s="1"/>
  <c r="K423" i="13" s="1"/>
  <c r="L423" i="13" s="1"/>
  <c r="I422" i="13"/>
  <c r="H422" i="13"/>
  <c r="G422" i="13"/>
  <c r="K422" i="13" s="1"/>
  <c r="L422" i="13" s="1"/>
  <c r="F422" i="13"/>
  <c r="E422" i="13"/>
  <c r="D422" i="13"/>
  <c r="I421" i="13"/>
  <c r="H421" i="13"/>
  <c r="F421" i="13"/>
  <c r="E421" i="13"/>
  <c r="D421" i="13"/>
  <c r="G421" i="13" s="1"/>
  <c r="K421" i="13" s="1"/>
  <c r="L421" i="13" s="1"/>
  <c r="I420" i="13"/>
  <c r="H420" i="13"/>
  <c r="F420" i="13"/>
  <c r="E420" i="13"/>
  <c r="D420" i="13"/>
  <c r="G420" i="13" s="1"/>
  <c r="K420" i="13" s="1"/>
  <c r="L420" i="13" s="1"/>
  <c r="I419" i="13"/>
  <c r="H419" i="13"/>
  <c r="F419" i="13"/>
  <c r="E419" i="13"/>
  <c r="D419" i="13"/>
  <c r="G419" i="13" s="1"/>
  <c r="K419" i="13" s="1"/>
  <c r="L419" i="13" s="1"/>
  <c r="I418" i="13"/>
  <c r="H418" i="13"/>
  <c r="G418" i="13"/>
  <c r="K418" i="13" s="1"/>
  <c r="L418" i="13" s="1"/>
  <c r="F418" i="13"/>
  <c r="E418" i="13"/>
  <c r="D418" i="13"/>
  <c r="K417" i="13"/>
  <c r="L417" i="13" s="1"/>
  <c r="I417" i="13"/>
  <c r="H417" i="13"/>
  <c r="F417" i="13"/>
  <c r="E417" i="13"/>
  <c r="D417" i="13"/>
  <c r="G417" i="13" s="1"/>
  <c r="I416" i="13"/>
  <c r="H416" i="13"/>
  <c r="F416" i="13"/>
  <c r="E416" i="13"/>
  <c r="D416" i="13"/>
  <c r="G416" i="13" s="1"/>
  <c r="K416" i="13" s="1"/>
  <c r="L416" i="13" s="1"/>
  <c r="I415" i="13"/>
  <c r="H415" i="13"/>
  <c r="F415" i="13"/>
  <c r="E415" i="13"/>
  <c r="D415" i="13"/>
  <c r="G415" i="13" s="1"/>
  <c r="K415" i="13" s="1"/>
  <c r="L415" i="13" s="1"/>
  <c r="I414" i="13"/>
  <c r="H414" i="13"/>
  <c r="G414" i="13"/>
  <c r="K414" i="13" s="1"/>
  <c r="L414" i="13" s="1"/>
  <c r="F414" i="13"/>
  <c r="E414" i="13"/>
  <c r="D414" i="13"/>
  <c r="I413" i="13"/>
  <c r="H413" i="13"/>
  <c r="F413" i="13"/>
  <c r="E413" i="13"/>
  <c r="D413" i="13"/>
  <c r="G413" i="13" s="1"/>
  <c r="K413" i="13" s="1"/>
  <c r="L413" i="13" s="1"/>
  <c r="I412" i="13"/>
  <c r="H412" i="13"/>
  <c r="F412" i="13"/>
  <c r="E412" i="13"/>
  <c r="D412" i="13"/>
  <c r="G412" i="13" s="1"/>
  <c r="K412" i="13" s="1"/>
  <c r="L412" i="13" s="1"/>
  <c r="I411" i="13"/>
  <c r="H411" i="13"/>
  <c r="F411" i="13"/>
  <c r="E411" i="13"/>
  <c r="D411" i="13"/>
  <c r="G411" i="13" s="1"/>
  <c r="K411" i="13" s="1"/>
  <c r="L411" i="13" s="1"/>
  <c r="I410" i="13"/>
  <c r="H410" i="13"/>
  <c r="G410" i="13"/>
  <c r="K410" i="13" s="1"/>
  <c r="L410" i="13" s="1"/>
  <c r="F410" i="13"/>
  <c r="E410" i="13"/>
  <c r="D410" i="13"/>
  <c r="K409" i="13"/>
  <c r="L409" i="13" s="1"/>
  <c r="I409" i="13"/>
  <c r="H409" i="13"/>
  <c r="F409" i="13"/>
  <c r="E409" i="13"/>
  <c r="D409" i="13"/>
  <c r="G409" i="13" s="1"/>
  <c r="I408" i="13"/>
  <c r="H408" i="13"/>
  <c r="F408" i="13"/>
  <c r="E408" i="13"/>
  <c r="D408" i="13"/>
  <c r="G408" i="13" s="1"/>
  <c r="K408" i="13" s="1"/>
  <c r="L408" i="13" s="1"/>
  <c r="I407" i="13"/>
  <c r="H407" i="13"/>
  <c r="F407" i="13"/>
  <c r="E407" i="13"/>
  <c r="D407" i="13"/>
  <c r="G407" i="13" s="1"/>
  <c r="K407" i="13" s="1"/>
  <c r="L407" i="13" s="1"/>
  <c r="I406" i="13"/>
  <c r="H406" i="13"/>
  <c r="G406" i="13"/>
  <c r="K406" i="13" s="1"/>
  <c r="L406" i="13" s="1"/>
  <c r="F406" i="13"/>
  <c r="E406" i="13"/>
  <c r="D406" i="13"/>
  <c r="I405" i="13"/>
  <c r="H405" i="13"/>
  <c r="F405" i="13"/>
  <c r="E405" i="13"/>
  <c r="D405" i="13"/>
  <c r="G405" i="13" s="1"/>
  <c r="K405" i="13" s="1"/>
  <c r="L405" i="13" s="1"/>
  <c r="I404" i="13"/>
  <c r="H404" i="13"/>
  <c r="F404" i="13"/>
  <c r="E404" i="13"/>
  <c r="D404" i="13"/>
  <c r="G404" i="13" s="1"/>
  <c r="K404" i="13" s="1"/>
  <c r="L404" i="13" s="1"/>
  <c r="I403" i="13"/>
  <c r="H403" i="13"/>
  <c r="F403" i="13"/>
  <c r="E403" i="13"/>
  <c r="D403" i="13"/>
  <c r="G403" i="13" s="1"/>
  <c r="K403" i="13" s="1"/>
  <c r="L403" i="13" s="1"/>
  <c r="I402" i="13"/>
  <c r="H402" i="13"/>
  <c r="G402" i="13"/>
  <c r="K402" i="13" s="1"/>
  <c r="L402" i="13" s="1"/>
  <c r="F402" i="13"/>
  <c r="E402" i="13"/>
  <c r="D402" i="13"/>
  <c r="K401" i="13"/>
  <c r="L401" i="13" s="1"/>
  <c r="I401" i="13"/>
  <c r="H401" i="13"/>
  <c r="G401" i="13"/>
  <c r="F401" i="13"/>
  <c r="E401" i="13"/>
  <c r="D401" i="13"/>
  <c r="I400" i="13"/>
  <c r="H400" i="13"/>
  <c r="F400" i="13"/>
  <c r="E400" i="13"/>
  <c r="D400" i="13"/>
  <c r="G400" i="13" s="1"/>
  <c r="K400" i="13" s="1"/>
  <c r="L400" i="13" s="1"/>
  <c r="I399" i="13"/>
  <c r="H399" i="13"/>
  <c r="F399" i="13"/>
  <c r="E399" i="13"/>
  <c r="D399" i="13"/>
  <c r="G399" i="13" s="1"/>
  <c r="K399" i="13" s="1"/>
  <c r="L399" i="13" s="1"/>
  <c r="I398" i="13"/>
  <c r="H398" i="13"/>
  <c r="G398" i="13"/>
  <c r="K398" i="13" s="1"/>
  <c r="L398" i="13" s="1"/>
  <c r="F398" i="13"/>
  <c r="E398" i="13"/>
  <c r="D398" i="13"/>
  <c r="K397" i="13"/>
  <c r="L397" i="13" s="1"/>
  <c r="I397" i="13"/>
  <c r="H397" i="13"/>
  <c r="G397" i="13"/>
  <c r="F397" i="13"/>
  <c r="E397" i="13"/>
  <c r="D397" i="13"/>
  <c r="I396" i="13"/>
  <c r="H396" i="13"/>
  <c r="F396" i="13"/>
  <c r="E396" i="13"/>
  <c r="D396" i="13"/>
  <c r="G396" i="13" s="1"/>
  <c r="K396" i="13" s="1"/>
  <c r="L396" i="13" s="1"/>
  <c r="I395" i="13"/>
  <c r="H395" i="13"/>
  <c r="F395" i="13"/>
  <c r="E395" i="13"/>
  <c r="D395" i="13"/>
  <c r="G395" i="13" s="1"/>
  <c r="K395" i="13" s="1"/>
  <c r="L395" i="13" s="1"/>
  <c r="I394" i="13"/>
  <c r="H394" i="13"/>
  <c r="G394" i="13"/>
  <c r="K394" i="13" s="1"/>
  <c r="L394" i="13" s="1"/>
  <c r="F394" i="13"/>
  <c r="E394" i="13"/>
  <c r="D394" i="13"/>
  <c r="K393" i="13"/>
  <c r="L393" i="13" s="1"/>
  <c r="I393" i="13"/>
  <c r="H393" i="13"/>
  <c r="G393" i="13"/>
  <c r="F393" i="13"/>
  <c r="E393" i="13"/>
  <c r="D393" i="13"/>
  <c r="I392" i="13"/>
  <c r="H392" i="13"/>
  <c r="F392" i="13"/>
  <c r="E392" i="13"/>
  <c r="D392" i="13"/>
  <c r="G392" i="13" s="1"/>
  <c r="K392" i="13" s="1"/>
  <c r="L392" i="13" s="1"/>
  <c r="I391" i="13"/>
  <c r="H391" i="13"/>
  <c r="F391" i="13"/>
  <c r="E391" i="13"/>
  <c r="D391" i="13"/>
  <c r="G391" i="13" s="1"/>
  <c r="K391" i="13" s="1"/>
  <c r="L391" i="13" s="1"/>
  <c r="I390" i="13"/>
  <c r="H390" i="13"/>
  <c r="G390" i="13"/>
  <c r="K390" i="13" s="1"/>
  <c r="L390" i="13" s="1"/>
  <c r="F390" i="13"/>
  <c r="E390" i="13"/>
  <c r="D390" i="13"/>
  <c r="K389" i="13"/>
  <c r="L389" i="13" s="1"/>
  <c r="I389" i="13"/>
  <c r="H389" i="13"/>
  <c r="G389" i="13"/>
  <c r="F389" i="13"/>
  <c r="E389" i="13"/>
  <c r="D389" i="13"/>
  <c r="I388" i="13"/>
  <c r="H388" i="13"/>
  <c r="F388" i="13"/>
  <c r="E388" i="13"/>
  <c r="D388" i="13"/>
  <c r="G388" i="13" s="1"/>
  <c r="K388" i="13" s="1"/>
  <c r="L388" i="13" s="1"/>
  <c r="I387" i="13"/>
  <c r="H387" i="13"/>
  <c r="F387" i="13"/>
  <c r="E387" i="13"/>
  <c r="D387" i="13"/>
  <c r="G387" i="13" s="1"/>
  <c r="K387" i="13" s="1"/>
  <c r="L387" i="13" s="1"/>
  <c r="I386" i="13"/>
  <c r="H386" i="13"/>
  <c r="G386" i="13"/>
  <c r="K386" i="13" s="1"/>
  <c r="L386" i="13" s="1"/>
  <c r="F386" i="13"/>
  <c r="E386" i="13"/>
  <c r="D386" i="13"/>
  <c r="K385" i="13"/>
  <c r="L385" i="13" s="1"/>
  <c r="I385" i="13"/>
  <c r="H385" i="13"/>
  <c r="G385" i="13"/>
  <c r="F385" i="13"/>
  <c r="E385" i="13"/>
  <c r="D385" i="13"/>
  <c r="I384" i="13"/>
  <c r="H384" i="13"/>
  <c r="F384" i="13"/>
  <c r="E384" i="13"/>
  <c r="D384" i="13"/>
  <c r="G384" i="13" s="1"/>
  <c r="K384" i="13" s="1"/>
  <c r="L384" i="13" s="1"/>
  <c r="I383" i="13"/>
  <c r="H383" i="13"/>
  <c r="F383" i="13"/>
  <c r="E383" i="13"/>
  <c r="D383" i="13"/>
  <c r="G383" i="13" s="1"/>
  <c r="K383" i="13" s="1"/>
  <c r="L383" i="13" s="1"/>
  <c r="I382" i="13"/>
  <c r="H382" i="13"/>
  <c r="G382" i="13"/>
  <c r="K382" i="13" s="1"/>
  <c r="L382" i="13" s="1"/>
  <c r="F382" i="13"/>
  <c r="E382" i="13"/>
  <c r="D382" i="13"/>
  <c r="K381" i="13"/>
  <c r="L381" i="13" s="1"/>
  <c r="I381" i="13"/>
  <c r="H381" i="13"/>
  <c r="G381" i="13"/>
  <c r="F381" i="13"/>
  <c r="E381" i="13"/>
  <c r="D381" i="13"/>
  <c r="I380" i="13"/>
  <c r="H380" i="13"/>
  <c r="F380" i="13"/>
  <c r="E380" i="13"/>
  <c r="D380" i="13"/>
  <c r="G380" i="13" s="1"/>
  <c r="K380" i="13" s="1"/>
  <c r="L380" i="13" s="1"/>
  <c r="I379" i="13"/>
  <c r="H379" i="13"/>
  <c r="F379" i="13"/>
  <c r="E379" i="13"/>
  <c r="D379" i="13"/>
  <c r="G379" i="13" s="1"/>
  <c r="K379" i="13" s="1"/>
  <c r="L379" i="13" s="1"/>
  <c r="I378" i="13"/>
  <c r="H378" i="13"/>
  <c r="G378" i="13"/>
  <c r="K378" i="13" s="1"/>
  <c r="L378" i="13" s="1"/>
  <c r="F378" i="13"/>
  <c r="E378" i="13"/>
  <c r="D378" i="13"/>
  <c r="K377" i="13"/>
  <c r="L377" i="13" s="1"/>
  <c r="I377" i="13"/>
  <c r="H377" i="13"/>
  <c r="G377" i="13"/>
  <c r="F377" i="13"/>
  <c r="E377" i="13"/>
  <c r="D377" i="13"/>
  <c r="I376" i="13"/>
  <c r="H376" i="13"/>
  <c r="F376" i="13"/>
  <c r="E376" i="13"/>
  <c r="D376" i="13"/>
  <c r="G376" i="13" s="1"/>
  <c r="K376" i="13" s="1"/>
  <c r="L376" i="13" s="1"/>
  <c r="I375" i="13"/>
  <c r="H375" i="13"/>
  <c r="F375" i="13"/>
  <c r="E375" i="13"/>
  <c r="D375" i="13"/>
  <c r="G375" i="13" s="1"/>
  <c r="K375" i="13" s="1"/>
  <c r="L375" i="13" s="1"/>
  <c r="I374" i="13"/>
  <c r="H374" i="13"/>
  <c r="G374" i="13"/>
  <c r="K374" i="13" s="1"/>
  <c r="L374" i="13" s="1"/>
  <c r="F374" i="13"/>
  <c r="E374" i="13"/>
  <c r="D374" i="13"/>
  <c r="K373" i="13"/>
  <c r="L373" i="13" s="1"/>
  <c r="I373" i="13"/>
  <c r="H373" i="13"/>
  <c r="G373" i="13"/>
  <c r="F373" i="13"/>
  <c r="E373" i="13"/>
  <c r="D373" i="13"/>
  <c r="I372" i="13"/>
  <c r="H372" i="13"/>
  <c r="F372" i="13"/>
  <c r="E372" i="13"/>
  <c r="D372" i="13"/>
  <c r="G372" i="13" s="1"/>
  <c r="K372" i="13" s="1"/>
  <c r="L372" i="13" s="1"/>
  <c r="I371" i="13"/>
  <c r="H371" i="13"/>
  <c r="F371" i="13"/>
  <c r="E371" i="13"/>
  <c r="D371" i="13"/>
  <c r="G371" i="13" s="1"/>
  <c r="K371" i="13" s="1"/>
  <c r="L371" i="13" s="1"/>
  <c r="I370" i="13"/>
  <c r="H370" i="13"/>
  <c r="G370" i="13"/>
  <c r="K370" i="13" s="1"/>
  <c r="L370" i="13" s="1"/>
  <c r="F370" i="13"/>
  <c r="E370" i="13"/>
  <c r="D370" i="13"/>
  <c r="K369" i="13"/>
  <c r="L369" i="13" s="1"/>
  <c r="I369" i="13"/>
  <c r="H369" i="13"/>
  <c r="G369" i="13"/>
  <c r="F369" i="13"/>
  <c r="E369" i="13"/>
  <c r="D369" i="13"/>
  <c r="I368" i="13"/>
  <c r="H368" i="13"/>
  <c r="F368" i="13"/>
  <c r="E368" i="13"/>
  <c r="D368" i="13"/>
  <c r="G368" i="13" s="1"/>
  <c r="K368" i="13" s="1"/>
  <c r="L368" i="13" s="1"/>
  <c r="I367" i="13"/>
  <c r="H367" i="13"/>
  <c r="F367" i="13"/>
  <c r="E367" i="13"/>
  <c r="D367" i="13"/>
  <c r="G367" i="13" s="1"/>
  <c r="K367" i="13" s="1"/>
  <c r="L367" i="13" s="1"/>
  <c r="I366" i="13"/>
  <c r="H366" i="13"/>
  <c r="G366" i="13"/>
  <c r="K366" i="13" s="1"/>
  <c r="L366" i="13" s="1"/>
  <c r="F366" i="13"/>
  <c r="E366" i="13"/>
  <c r="D366" i="13"/>
  <c r="K365" i="13"/>
  <c r="L365" i="13" s="1"/>
  <c r="I365" i="13"/>
  <c r="H365" i="13"/>
  <c r="G365" i="13"/>
  <c r="F365" i="13"/>
  <c r="E365" i="13"/>
  <c r="D365" i="13"/>
  <c r="I364" i="13"/>
  <c r="H364" i="13"/>
  <c r="F364" i="13"/>
  <c r="E364" i="13"/>
  <c r="D364" i="13"/>
  <c r="G364" i="13" s="1"/>
  <c r="K364" i="13" s="1"/>
  <c r="L364" i="13" s="1"/>
  <c r="I363" i="13"/>
  <c r="H363" i="13"/>
  <c r="F363" i="13"/>
  <c r="E363" i="13"/>
  <c r="D363" i="13"/>
  <c r="G363" i="13" s="1"/>
  <c r="K363" i="13" s="1"/>
  <c r="L363" i="13" s="1"/>
  <c r="I362" i="13"/>
  <c r="H362" i="13"/>
  <c r="G362" i="13"/>
  <c r="K362" i="13" s="1"/>
  <c r="L362" i="13" s="1"/>
  <c r="F362" i="13"/>
  <c r="E362" i="13"/>
  <c r="D362" i="13"/>
  <c r="K361" i="13"/>
  <c r="L361" i="13" s="1"/>
  <c r="I361" i="13"/>
  <c r="H361" i="13"/>
  <c r="G361" i="13"/>
  <c r="F361" i="13"/>
  <c r="E361" i="13"/>
  <c r="D361" i="13"/>
  <c r="I360" i="13"/>
  <c r="H360" i="13"/>
  <c r="F360" i="13"/>
  <c r="E360" i="13"/>
  <c r="D360" i="13"/>
  <c r="G360" i="13" s="1"/>
  <c r="K360" i="13" s="1"/>
  <c r="L360" i="13" s="1"/>
  <c r="I359" i="13"/>
  <c r="H359" i="13"/>
  <c r="F359" i="13"/>
  <c r="E359" i="13"/>
  <c r="D359" i="13"/>
  <c r="G359" i="13" s="1"/>
  <c r="K359" i="13" s="1"/>
  <c r="L359" i="13" s="1"/>
  <c r="I358" i="13"/>
  <c r="H358" i="13"/>
  <c r="G358" i="13"/>
  <c r="K358" i="13" s="1"/>
  <c r="L358" i="13" s="1"/>
  <c r="F358" i="13"/>
  <c r="E358" i="13"/>
  <c r="D358" i="13"/>
  <c r="K357" i="13"/>
  <c r="L357" i="13" s="1"/>
  <c r="I357" i="13"/>
  <c r="H357" i="13"/>
  <c r="G357" i="13"/>
  <c r="F357" i="13"/>
  <c r="E357" i="13"/>
  <c r="D357" i="13"/>
  <c r="I356" i="13"/>
  <c r="H356" i="13"/>
  <c r="F356" i="13"/>
  <c r="E356" i="13"/>
  <c r="D356" i="13"/>
  <c r="G356" i="13" s="1"/>
  <c r="K356" i="13" s="1"/>
  <c r="L356" i="13" s="1"/>
  <c r="I355" i="13"/>
  <c r="H355" i="13"/>
  <c r="F355" i="13"/>
  <c r="E355" i="13"/>
  <c r="D355" i="13"/>
  <c r="G355" i="13" s="1"/>
  <c r="K355" i="13" s="1"/>
  <c r="L355" i="13" s="1"/>
  <c r="I354" i="13"/>
  <c r="H354" i="13"/>
  <c r="G354" i="13"/>
  <c r="K354" i="13" s="1"/>
  <c r="L354" i="13" s="1"/>
  <c r="F354" i="13"/>
  <c r="E354" i="13"/>
  <c r="D354" i="13"/>
  <c r="K353" i="13"/>
  <c r="L353" i="13" s="1"/>
  <c r="I353" i="13"/>
  <c r="H353" i="13"/>
  <c r="G353" i="13"/>
  <c r="F353" i="13"/>
  <c r="E353" i="13"/>
  <c r="D353" i="13"/>
  <c r="I352" i="13"/>
  <c r="H352" i="13"/>
  <c r="F352" i="13"/>
  <c r="E352" i="13"/>
  <c r="D352" i="13"/>
  <c r="G352" i="13" s="1"/>
  <c r="K352" i="13" s="1"/>
  <c r="L352" i="13" s="1"/>
  <c r="I351" i="13"/>
  <c r="H351" i="13"/>
  <c r="F351" i="13"/>
  <c r="E351" i="13"/>
  <c r="D351" i="13"/>
  <c r="G351" i="13" s="1"/>
  <c r="K351" i="13" s="1"/>
  <c r="L351" i="13" s="1"/>
  <c r="I350" i="13"/>
  <c r="H350" i="13"/>
  <c r="G350" i="13"/>
  <c r="K350" i="13" s="1"/>
  <c r="L350" i="13" s="1"/>
  <c r="F350" i="13"/>
  <c r="E350" i="13"/>
  <c r="D350" i="13"/>
  <c r="K349" i="13"/>
  <c r="L349" i="13" s="1"/>
  <c r="I349" i="13"/>
  <c r="H349" i="13"/>
  <c r="G349" i="13"/>
  <c r="F349" i="13"/>
  <c r="E349" i="13"/>
  <c r="D349" i="13"/>
  <c r="I348" i="13"/>
  <c r="H348" i="13"/>
  <c r="F348" i="13"/>
  <c r="E348" i="13"/>
  <c r="D348" i="13"/>
  <c r="G348" i="13" s="1"/>
  <c r="K348" i="13" s="1"/>
  <c r="L348" i="13" s="1"/>
  <c r="I347" i="13"/>
  <c r="H347" i="13"/>
  <c r="F347" i="13"/>
  <c r="E347" i="13"/>
  <c r="D347" i="13"/>
  <c r="G347" i="13" s="1"/>
  <c r="K347" i="13" s="1"/>
  <c r="L347" i="13" s="1"/>
  <c r="I346" i="13"/>
  <c r="H346" i="13"/>
  <c r="G346" i="13"/>
  <c r="K346" i="13" s="1"/>
  <c r="L346" i="13" s="1"/>
  <c r="F346" i="13"/>
  <c r="E346" i="13"/>
  <c r="D346" i="13"/>
  <c r="K345" i="13"/>
  <c r="L345" i="13" s="1"/>
  <c r="I345" i="13"/>
  <c r="G345" i="13"/>
  <c r="F345" i="13"/>
  <c r="E345" i="13"/>
  <c r="H345" i="13" s="1"/>
  <c r="D345" i="13"/>
  <c r="I344" i="13"/>
  <c r="F344" i="13"/>
  <c r="E344" i="13"/>
  <c r="D344" i="13"/>
  <c r="I343" i="13"/>
  <c r="H343" i="13"/>
  <c r="F343" i="13"/>
  <c r="E343" i="13"/>
  <c r="D343" i="13"/>
  <c r="I342" i="13"/>
  <c r="H342" i="13"/>
  <c r="G342" i="13"/>
  <c r="K342" i="13" s="1"/>
  <c r="L342" i="13" s="1"/>
  <c r="F342" i="13"/>
  <c r="E342" i="13"/>
  <c r="D342" i="13"/>
  <c r="K341" i="13"/>
  <c r="L341" i="13" s="1"/>
  <c r="I341" i="13"/>
  <c r="G341" i="13"/>
  <c r="F341" i="13"/>
  <c r="E341" i="13"/>
  <c r="H341" i="13" s="1"/>
  <c r="D341" i="13"/>
  <c r="I340" i="13"/>
  <c r="F340" i="13"/>
  <c r="E340" i="13"/>
  <c r="D340" i="13"/>
  <c r="I339" i="13"/>
  <c r="H339" i="13"/>
  <c r="F339" i="13"/>
  <c r="E339" i="13"/>
  <c r="G339" i="13" s="1"/>
  <c r="K339" i="13" s="1"/>
  <c r="L339" i="13" s="1"/>
  <c r="D339" i="13"/>
  <c r="I338" i="13"/>
  <c r="H338" i="13"/>
  <c r="G338" i="13"/>
  <c r="K338" i="13" s="1"/>
  <c r="L338" i="13" s="1"/>
  <c r="F338" i="13"/>
  <c r="E338" i="13"/>
  <c r="D338" i="13"/>
  <c r="K337" i="13"/>
  <c r="L337" i="13" s="1"/>
  <c r="I337" i="13"/>
  <c r="G337" i="13"/>
  <c r="F337" i="13"/>
  <c r="E337" i="13"/>
  <c r="H337" i="13" s="1"/>
  <c r="D337" i="13"/>
  <c r="I336" i="13"/>
  <c r="F336" i="13"/>
  <c r="E336" i="13"/>
  <c r="D336" i="13"/>
  <c r="I335" i="13"/>
  <c r="H335" i="13"/>
  <c r="F335" i="13"/>
  <c r="E335" i="13"/>
  <c r="D335" i="13"/>
  <c r="I334" i="13"/>
  <c r="H334" i="13"/>
  <c r="G334" i="13"/>
  <c r="K334" i="13" s="1"/>
  <c r="L334" i="13" s="1"/>
  <c r="F334" i="13"/>
  <c r="E334" i="13"/>
  <c r="D334" i="13"/>
  <c r="K333" i="13"/>
  <c r="L333" i="13" s="1"/>
  <c r="I333" i="13"/>
  <c r="G333" i="13"/>
  <c r="F333" i="13"/>
  <c r="E333" i="13"/>
  <c r="H333" i="13" s="1"/>
  <c r="D333" i="13"/>
  <c r="I332" i="13"/>
  <c r="F332" i="13"/>
  <c r="E332" i="13"/>
  <c r="D332" i="13"/>
  <c r="I331" i="13"/>
  <c r="H331" i="13"/>
  <c r="F331" i="13"/>
  <c r="E331" i="13"/>
  <c r="D331" i="13"/>
  <c r="I330" i="13"/>
  <c r="H330" i="13"/>
  <c r="G330" i="13"/>
  <c r="K330" i="13" s="1"/>
  <c r="L330" i="13" s="1"/>
  <c r="F330" i="13"/>
  <c r="E330" i="13"/>
  <c r="D330" i="13"/>
  <c r="K329" i="13"/>
  <c r="L329" i="13" s="1"/>
  <c r="I329" i="13"/>
  <c r="G329" i="13"/>
  <c r="F329" i="13"/>
  <c r="E329" i="13"/>
  <c r="H329" i="13" s="1"/>
  <c r="D329" i="13"/>
  <c r="I328" i="13"/>
  <c r="F328" i="13"/>
  <c r="E328" i="13"/>
  <c r="D328" i="13"/>
  <c r="I327" i="13"/>
  <c r="H327" i="13"/>
  <c r="F327" i="13"/>
  <c r="E327" i="13"/>
  <c r="D327" i="13"/>
  <c r="I326" i="13"/>
  <c r="H326" i="13"/>
  <c r="G326" i="13"/>
  <c r="K326" i="13" s="1"/>
  <c r="L326" i="13" s="1"/>
  <c r="F326" i="13"/>
  <c r="E326" i="13"/>
  <c r="D326" i="13"/>
  <c r="K325" i="13"/>
  <c r="L325" i="13" s="1"/>
  <c r="I325" i="13"/>
  <c r="G325" i="13"/>
  <c r="F325" i="13"/>
  <c r="E325" i="13"/>
  <c r="H325" i="13" s="1"/>
  <c r="D325" i="13"/>
  <c r="I324" i="13"/>
  <c r="F324" i="13"/>
  <c r="E324" i="13"/>
  <c r="D324" i="13"/>
  <c r="I323" i="13"/>
  <c r="H323" i="13"/>
  <c r="F323" i="13"/>
  <c r="E323" i="13"/>
  <c r="G323" i="13" s="1"/>
  <c r="K323" i="13" s="1"/>
  <c r="L323" i="13" s="1"/>
  <c r="D323" i="13"/>
  <c r="I322" i="13"/>
  <c r="H322" i="13"/>
  <c r="G322" i="13"/>
  <c r="K322" i="13" s="1"/>
  <c r="L322" i="13" s="1"/>
  <c r="F322" i="13"/>
  <c r="E322" i="13"/>
  <c r="D322" i="13"/>
  <c r="K321" i="13"/>
  <c r="L321" i="13" s="1"/>
  <c r="I321" i="13"/>
  <c r="G321" i="13"/>
  <c r="F321" i="13"/>
  <c r="E321" i="13"/>
  <c r="H321" i="13" s="1"/>
  <c r="D321" i="13"/>
  <c r="I320" i="13"/>
  <c r="F320" i="13"/>
  <c r="E320" i="13"/>
  <c r="D320" i="13"/>
  <c r="I319" i="13"/>
  <c r="H319" i="13"/>
  <c r="F319" i="13"/>
  <c r="E319" i="13"/>
  <c r="D319" i="13"/>
  <c r="I318" i="13"/>
  <c r="H318" i="13"/>
  <c r="G318" i="13"/>
  <c r="K318" i="13" s="1"/>
  <c r="L318" i="13" s="1"/>
  <c r="F318" i="13"/>
  <c r="E318" i="13"/>
  <c r="D318" i="13"/>
  <c r="K317" i="13"/>
  <c r="L317" i="13" s="1"/>
  <c r="I317" i="13"/>
  <c r="G317" i="13"/>
  <c r="F317" i="13"/>
  <c r="E317" i="13"/>
  <c r="H317" i="13" s="1"/>
  <c r="D317" i="13"/>
  <c r="I316" i="13"/>
  <c r="F316" i="13"/>
  <c r="E316" i="13"/>
  <c r="D316" i="13"/>
  <c r="I315" i="13"/>
  <c r="H315" i="13"/>
  <c r="F315" i="13"/>
  <c r="E315" i="13"/>
  <c r="D315" i="13"/>
  <c r="I314" i="13"/>
  <c r="H314" i="13"/>
  <c r="G314" i="13"/>
  <c r="K314" i="13" s="1"/>
  <c r="L314" i="13" s="1"/>
  <c r="F314" i="13"/>
  <c r="E314" i="13"/>
  <c r="D314" i="13"/>
  <c r="K313" i="13"/>
  <c r="L313" i="13" s="1"/>
  <c r="I313" i="13"/>
  <c r="G313" i="13"/>
  <c r="F313" i="13"/>
  <c r="E313" i="13"/>
  <c r="H313" i="13" s="1"/>
  <c r="D313" i="13"/>
  <c r="I312" i="13"/>
  <c r="F312" i="13"/>
  <c r="E312" i="13"/>
  <c r="D312" i="13"/>
  <c r="I311" i="13"/>
  <c r="H311" i="13"/>
  <c r="F311" i="13"/>
  <c r="E311" i="13"/>
  <c r="D311" i="13"/>
  <c r="I310" i="13"/>
  <c r="H310" i="13"/>
  <c r="G310" i="13"/>
  <c r="K310" i="13" s="1"/>
  <c r="L310" i="13" s="1"/>
  <c r="F310" i="13"/>
  <c r="E310" i="13"/>
  <c r="D310" i="13"/>
  <c r="K309" i="13"/>
  <c r="L309" i="13" s="1"/>
  <c r="I309" i="13"/>
  <c r="G309" i="13"/>
  <c r="F309" i="13"/>
  <c r="E309" i="13"/>
  <c r="H309" i="13" s="1"/>
  <c r="D309" i="13"/>
  <c r="I308" i="13"/>
  <c r="F308" i="13"/>
  <c r="E308" i="13"/>
  <c r="D308" i="13"/>
  <c r="I307" i="13"/>
  <c r="H307" i="13"/>
  <c r="F307" i="13"/>
  <c r="E307" i="13"/>
  <c r="G307" i="13" s="1"/>
  <c r="K307" i="13" s="1"/>
  <c r="L307" i="13" s="1"/>
  <c r="D307" i="13"/>
  <c r="I306" i="13"/>
  <c r="H306" i="13"/>
  <c r="G306" i="13"/>
  <c r="K306" i="13" s="1"/>
  <c r="L306" i="13" s="1"/>
  <c r="F306" i="13"/>
  <c r="E306" i="13"/>
  <c r="D306" i="13"/>
  <c r="K305" i="13"/>
  <c r="L305" i="13" s="1"/>
  <c r="I305" i="13"/>
  <c r="G305" i="13"/>
  <c r="F305" i="13"/>
  <c r="E305" i="13"/>
  <c r="H305" i="13" s="1"/>
  <c r="D305" i="13"/>
  <c r="I304" i="13"/>
  <c r="F304" i="13"/>
  <c r="E304" i="13"/>
  <c r="D304" i="13"/>
  <c r="I303" i="13"/>
  <c r="H303" i="13"/>
  <c r="F303" i="13"/>
  <c r="E303" i="13"/>
  <c r="G303" i="13" s="1"/>
  <c r="K303" i="13" s="1"/>
  <c r="L303" i="13" s="1"/>
  <c r="D303" i="13"/>
  <c r="I302" i="13"/>
  <c r="H302" i="13"/>
  <c r="G302" i="13"/>
  <c r="K302" i="13" s="1"/>
  <c r="L302" i="13" s="1"/>
  <c r="F302" i="13"/>
  <c r="E302" i="13"/>
  <c r="D302" i="13"/>
  <c r="K301" i="13"/>
  <c r="L301" i="13" s="1"/>
  <c r="I301" i="13"/>
  <c r="G301" i="13"/>
  <c r="F301" i="13"/>
  <c r="E301" i="13"/>
  <c r="H301" i="13" s="1"/>
  <c r="D301" i="13"/>
  <c r="I300" i="13"/>
  <c r="F300" i="13"/>
  <c r="E300" i="13"/>
  <c r="D300" i="13"/>
  <c r="I299" i="13"/>
  <c r="H299" i="13"/>
  <c r="F299" i="13"/>
  <c r="E299" i="13"/>
  <c r="D299" i="13"/>
  <c r="I298" i="13"/>
  <c r="H298" i="13"/>
  <c r="G298" i="13"/>
  <c r="K298" i="13" s="1"/>
  <c r="L298" i="13" s="1"/>
  <c r="F298" i="13"/>
  <c r="E298" i="13"/>
  <c r="D298" i="13"/>
  <c r="K297" i="13"/>
  <c r="L297" i="13" s="1"/>
  <c r="I297" i="13"/>
  <c r="G297" i="13"/>
  <c r="F297" i="13"/>
  <c r="E297" i="13"/>
  <c r="H297" i="13" s="1"/>
  <c r="D297" i="13"/>
  <c r="I296" i="13"/>
  <c r="F296" i="13"/>
  <c r="E296" i="13"/>
  <c r="D296" i="13"/>
  <c r="I295" i="13"/>
  <c r="H295" i="13"/>
  <c r="F295" i="13"/>
  <c r="E295" i="13"/>
  <c r="D295" i="13"/>
  <c r="I294" i="13"/>
  <c r="H294" i="13"/>
  <c r="G294" i="13"/>
  <c r="K294" i="13" s="1"/>
  <c r="L294" i="13" s="1"/>
  <c r="F294" i="13"/>
  <c r="E294" i="13"/>
  <c r="D294" i="13"/>
  <c r="K293" i="13"/>
  <c r="L293" i="13" s="1"/>
  <c r="I293" i="13"/>
  <c r="G293" i="13"/>
  <c r="F293" i="13"/>
  <c r="E293" i="13"/>
  <c r="H293" i="13" s="1"/>
  <c r="D293" i="13"/>
  <c r="I292" i="13"/>
  <c r="F292" i="13"/>
  <c r="E292" i="13"/>
  <c r="D292" i="13"/>
  <c r="I291" i="13"/>
  <c r="H291" i="13"/>
  <c r="F291" i="13"/>
  <c r="E291" i="13"/>
  <c r="G291" i="13" s="1"/>
  <c r="K291" i="13" s="1"/>
  <c r="L291" i="13" s="1"/>
  <c r="D291" i="13"/>
  <c r="I290" i="13"/>
  <c r="H290" i="13"/>
  <c r="G290" i="13"/>
  <c r="K290" i="13" s="1"/>
  <c r="L290" i="13" s="1"/>
  <c r="F290" i="13"/>
  <c r="E290" i="13"/>
  <c r="D290" i="13"/>
  <c r="K289" i="13"/>
  <c r="L289" i="13" s="1"/>
  <c r="I289" i="13"/>
  <c r="G289" i="13"/>
  <c r="F289" i="13"/>
  <c r="E289" i="13"/>
  <c r="H289" i="13" s="1"/>
  <c r="D289" i="13"/>
  <c r="I288" i="13"/>
  <c r="F288" i="13"/>
  <c r="E288" i="13"/>
  <c r="D288" i="13"/>
  <c r="I287" i="13"/>
  <c r="H287" i="13"/>
  <c r="F287" i="13"/>
  <c r="E287" i="13"/>
  <c r="G287" i="13" s="1"/>
  <c r="K287" i="13" s="1"/>
  <c r="L287" i="13" s="1"/>
  <c r="D287" i="13"/>
  <c r="I286" i="13"/>
  <c r="H286" i="13"/>
  <c r="G286" i="13"/>
  <c r="K286" i="13" s="1"/>
  <c r="L286" i="13" s="1"/>
  <c r="F286" i="13"/>
  <c r="E286" i="13"/>
  <c r="D286" i="13"/>
  <c r="K285" i="13"/>
  <c r="L285" i="13" s="1"/>
  <c r="I285" i="13"/>
  <c r="G285" i="13"/>
  <c r="F285" i="13"/>
  <c r="E285" i="13"/>
  <c r="H285" i="13" s="1"/>
  <c r="D285" i="13"/>
  <c r="I284" i="13"/>
  <c r="F284" i="13"/>
  <c r="E284" i="13"/>
  <c r="D284" i="13"/>
  <c r="I283" i="13"/>
  <c r="H283" i="13"/>
  <c r="F283" i="13"/>
  <c r="E283" i="13"/>
  <c r="D283" i="13"/>
  <c r="I282" i="13"/>
  <c r="H282" i="13"/>
  <c r="G282" i="13"/>
  <c r="K282" i="13" s="1"/>
  <c r="L282" i="13" s="1"/>
  <c r="F282" i="13"/>
  <c r="E282" i="13"/>
  <c r="D282" i="13"/>
  <c r="K281" i="13"/>
  <c r="L281" i="13" s="1"/>
  <c r="I281" i="13"/>
  <c r="G281" i="13"/>
  <c r="F281" i="13"/>
  <c r="E281" i="13"/>
  <c r="H281" i="13" s="1"/>
  <c r="D281" i="13"/>
  <c r="I280" i="13"/>
  <c r="F280" i="13"/>
  <c r="E280" i="13"/>
  <c r="D280" i="13"/>
  <c r="I279" i="13"/>
  <c r="H279" i="13"/>
  <c r="F279" i="13"/>
  <c r="E279" i="13"/>
  <c r="D279" i="13"/>
  <c r="I278" i="13"/>
  <c r="H278" i="13"/>
  <c r="G278" i="13"/>
  <c r="K278" i="13" s="1"/>
  <c r="L278" i="13" s="1"/>
  <c r="F278" i="13"/>
  <c r="E278" i="13"/>
  <c r="D278" i="13"/>
  <c r="K277" i="13"/>
  <c r="L277" i="13" s="1"/>
  <c r="I277" i="13"/>
  <c r="G277" i="13"/>
  <c r="F277" i="13"/>
  <c r="E277" i="13"/>
  <c r="H277" i="13" s="1"/>
  <c r="D277" i="13"/>
  <c r="I276" i="13"/>
  <c r="F276" i="13"/>
  <c r="E276" i="13"/>
  <c r="D276" i="13"/>
  <c r="I275" i="13"/>
  <c r="H275" i="13"/>
  <c r="F275" i="13"/>
  <c r="E275" i="13"/>
  <c r="G275" i="13" s="1"/>
  <c r="K275" i="13" s="1"/>
  <c r="L275" i="13" s="1"/>
  <c r="D275" i="13"/>
  <c r="I274" i="13"/>
  <c r="H274" i="13"/>
  <c r="G274" i="13"/>
  <c r="K274" i="13" s="1"/>
  <c r="L274" i="13" s="1"/>
  <c r="F274" i="13"/>
  <c r="E274" i="13"/>
  <c r="D274" i="13"/>
  <c r="K273" i="13"/>
  <c r="L273" i="13" s="1"/>
  <c r="I273" i="13"/>
  <c r="G273" i="13"/>
  <c r="F273" i="13"/>
  <c r="E273" i="13"/>
  <c r="H273" i="13" s="1"/>
  <c r="D273" i="13"/>
  <c r="I272" i="13"/>
  <c r="F272" i="13"/>
  <c r="E272" i="13"/>
  <c r="D272" i="13"/>
  <c r="I271" i="13"/>
  <c r="H271" i="13"/>
  <c r="F271" i="13"/>
  <c r="E271" i="13"/>
  <c r="G271" i="13" s="1"/>
  <c r="K271" i="13" s="1"/>
  <c r="L271" i="13" s="1"/>
  <c r="D271" i="13"/>
  <c r="I270" i="13"/>
  <c r="H270" i="13"/>
  <c r="G270" i="13"/>
  <c r="K270" i="13" s="1"/>
  <c r="L270" i="13" s="1"/>
  <c r="F270" i="13"/>
  <c r="E270" i="13"/>
  <c r="D270" i="13"/>
  <c r="K269" i="13"/>
  <c r="L269" i="13" s="1"/>
  <c r="I269" i="13"/>
  <c r="G269" i="13"/>
  <c r="F269" i="13"/>
  <c r="E269" i="13"/>
  <c r="H269" i="13" s="1"/>
  <c r="D269" i="13"/>
  <c r="I268" i="13"/>
  <c r="F268" i="13"/>
  <c r="E268" i="13"/>
  <c r="D268" i="13"/>
  <c r="I267" i="13"/>
  <c r="H267" i="13"/>
  <c r="F267" i="13"/>
  <c r="E267" i="13"/>
  <c r="D267" i="13"/>
  <c r="I266" i="13"/>
  <c r="H266" i="13"/>
  <c r="G266" i="13"/>
  <c r="K266" i="13" s="1"/>
  <c r="L266" i="13" s="1"/>
  <c r="F266" i="13"/>
  <c r="E266" i="13"/>
  <c r="D266" i="13"/>
  <c r="K265" i="13"/>
  <c r="L265" i="13" s="1"/>
  <c r="I265" i="13"/>
  <c r="G265" i="13"/>
  <c r="F265" i="13"/>
  <c r="E265" i="13"/>
  <c r="H265" i="13" s="1"/>
  <c r="D265" i="13"/>
  <c r="I264" i="13"/>
  <c r="F264" i="13"/>
  <c r="E264" i="13"/>
  <c r="D264" i="13"/>
  <c r="I263" i="13"/>
  <c r="F263" i="13"/>
  <c r="E263" i="13"/>
  <c r="G263" i="13" s="1"/>
  <c r="K263" i="13" s="1"/>
  <c r="L263" i="13" s="1"/>
  <c r="D263" i="13"/>
  <c r="I262" i="13"/>
  <c r="H262" i="13"/>
  <c r="G262" i="13"/>
  <c r="K262" i="13" s="1"/>
  <c r="L262" i="13" s="1"/>
  <c r="F262" i="13"/>
  <c r="E262" i="13"/>
  <c r="D262" i="13"/>
  <c r="K261" i="13"/>
  <c r="L261" i="13" s="1"/>
  <c r="I261" i="13"/>
  <c r="G261" i="13"/>
  <c r="F261" i="13"/>
  <c r="E261" i="13"/>
  <c r="H261" i="13" s="1"/>
  <c r="D261" i="13"/>
  <c r="I260" i="13"/>
  <c r="F260" i="13"/>
  <c r="E260" i="13"/>
  <c r="D260" i="13"/>
  <c r="I259" i="13"/>
  <c r="H259" i="13"/>
  <c r="F259" i="13"/>
  <c r="E259" i="13"/>
  <c r="D259" i="13"/>
  <c r="I258" i="13"/>
  <c r="H258" i="13"/>
  <c r="F258" i="13"/>
  <c r="E258" i="13"/>
  <c r="D258" i="13"/>
  <c r="G258" i="13" s="1"/>
  <c r="K258" i="13" s="1"/>
  <c r="L258" i="13" s="1"/>
  <c r="I257" i="13"/>
  <c r="G257" i="13"/>
  <c r="K257" i="13" s="1"/>
  <c r="L257" i="13" s="1"/>
  <c r="F257" i="13"/>
  <c r="E257" i="13"/>
  <c r="H257" i="13" s="1"/>
  <c r="D257" i="13"/>
  <c r="I256" i="13"/>
  <c r="F256" i="13"/>
  <c r="E256" i="13"/>
  <c r="D256" i="13"/>
  <c r="I255" i="13"/>
  <c r="F255" i="13"/>
  <c r="E255" i="13"/>
  <c r="G255" i="13" s="1"/>
  <c r="K255" i="13" s="1"/>
  <c r="L255" i="13" s="1"/>
  <c r="D255" i="13"/>
  <c r="I254" i="13"/>
  <c r="H254" i="13"/>
  <c r="G254" i="13"/>
  <c r="K254" i="13" s="1"/>
  <c r="L254" i="13" s="1"/>
  <c r="F254" i="13"/>
  <c r="E254" i="13"/>
  <c r="D254" i="13"/>
  <c r="K253" i="13"/>
  <c r="L253" i="13" s="1"/>
  <c r="I253" i="13"/>
  <c r="G253" i="13"/>
  <c r="F253" i="13"/>
  <c r="E253" i="13"/>
  <c r="H253" i="13" s="1"/>
  <c r="D253" i="13"/>
  <c r="I252" i="13"/>
  <c r="F252" i="13"/>
  <c r="E252" i="13"/>
  <c r="D252" i="13"/>
  <c r="I251" i="13"/>
  <c r="H251" i="13"/>
  <c r="F251" i="13"/>
  <c r="E251" i="13"/>
  <c r="D251" i="13"/>
  <c r="I250" i="13"/>
  <c r="H250" i="13"/>
  <c r="F250" i="13"/>
  <c r="E250" i="13"/>
  <c r="D250" i="13"/>
  <c r="G250" i="13" s="1"/>
  <c r="K250" i="13" s="1"/>
  <c r="L250" i="13" s="1"/>
  <c r="I249" i="13"/>
  <c r="G249" i="13"/>
  <c r="K249" i="13" s="1"/>
  <c r="L249" i="13" s="1"/>
  <c r="F249" i="13"/>
  <c r="E249" i="13"/>
  <c r="H249" i="13" s="1"/>
  <c r="D249" i="13"/>
  <c r="I248" i="13"/>
  <c r="F248" i="13"/>
  <c r="E248" i="13"/>
  <c r="D248" i="13"/>
  <c r="I247" i="13"/>
  <c r="F247" i="13"/>
  <c r="E247" i="13"/>
  <c r="G247" i="13" s="1"/>
  <c r="K247" i="13" s="1"/>
  <c r="L247" i="13" s="1"/>
  <c r="D247" i="13"/>
  <c r="I246" i="13"/>
  <c r="H246" i="13"/>
  <c r="G246" i="13"/>
  <c r="K246" i="13" s="1"/>
  <c r="L246" i="13" s="1"/>
  <c r="F246" i="13"/>
  <c r="E246" i="13"/>
  <c r="D246" i="13"/>
  <c r="K245" i="13"/>
  <c r="L245" i="13" s="1"/>
  <c r="I245" i="13"/>
  <c r="G245" i="13"/>
  <c r="F245" i="13"/>
  <c r="E245" i="13"/>
  <c r="H245" i="13" s="1"/>
  <c r="D245" i="13"/>
  <c r="I244" i="13"/>
  <c r="F244" i="13"/>
  <c r="E244" i="13"/>
  <c r="D244" i="13"/>
  <c r="I243" i="13"/>
  <c r="H243" i="13"/>
  <c r="F243" i="13"/>
  <c r="E243" i="13"/>
  <c r="D243" i="13"/>
  <c r="I242" i="13"/>
  <c r="H242" i="13"/>
  <c r="F242" i="13"/>
  <c r="E242" i="13"/>
  <c r="D242" i="13"/>
  <c r="G242" i="13" s="1"/>
  <c r="K242" i="13" s="1"/>
  <c r="L242" i="13" s="1"/>
  <c r="I241" i="13"/>
  <c r="G241" i="13"/>
  <c r="K241" i="13" s="1"/>
  <c r="L241" i="13" s="1"/>
  <c r="F241" i="13"/>
  <c r="E241" i="13"/>
  <c r="H241" i="13" s="1"/>
  <c r="D241" i="13"/>
  <c r="I240" i="13"/>
  <c r="F240" i="13"/>
  <c r="E240" i="13"/>
  <c r="D240" i="13"/>
  <c r="I239" i="13"/>
  <c r="F239" i="13"/>
  <c r="E239" i="13"/>
  <c r="G239" i="13" s="1"/>
  <c r="K239" i="13" s="1"/>
  <c r="L239" i="13" s="1"/>
  <c r="D239" i="13"/>
  <c r="I238" i="13"/>
  <c r="H238" i="13"/>
  <c r="G238" i="13"/>
  <c r="K238" i="13" s="1"/>
  <c r="L238" i="13" s="1"/>
  <c r="F238" i="13"/>
  <c r="E238" i="13"/>
  <c r="D238" i="13"/>
  <c r="K237" i="13"/>
  <c r="L237" i="13" s="1"/>
  <c r="I237" i="13"/>
  <c r="G237" i="13"/>
  <c r="F237" i="13"/>
  <c r="E237" i="13"/>
  <c r="H237" i="13" s="1"/>
  <c r="D237" i="13"/>
  <c r="F236" i="13"/>
  <c r="I236" i="13" s="1"/>
  <c r="E236" i="13"/>
  <c r="D236" i="13"/>
  <c r="I235" i="13"/>
  <c r="F235" i="13"/>
  <c r="E235" i="13"/>
  <c r="D235" i="13"/>
  <c r="I234" i="13"/>
  <c r="F234" i="13"/>
  <c r="E234" i="13"/>
  <c r="D234" i="13"/>
  <c r="F233" i="13"/>
  <c r="I233" i="13" s="1"/>
  <c r="E233" i="13"/>
  <c r="D233" i="13"/>
  <c r="F232" i="13"/>
  <c r="I232" i="13" s="1"/>
  <c r="E232" i="13"/>
  <c r="D232" i="13"/>
  <c r="I231" i="13"/>
  <c r="F231" i="13"/>
  <c r="E231" i="13"/>
  <c r="D231" i="13"/>
  <c r="I230" i="13"/>
  <c r="F230" i="13"/>
  <c r="E230" i="13"/>
  <c r="D230" i="13"/>
  <c r="F229" i="13"/>
  <c r="I229" i="13" s="1"/>
  <c r="E229" i="13"/>
  <c r="D229" i="13"/>
  <c r="F228" i="13"/>
  <c r="I228" i="13" s="1"/>
  <c r="E228" i="13"/>
  <c r="D228" i="13"/>
  <c r="I227" i="13"/>
  <c r="F227" i="13"/>
  <c r="E227" i="13"/>
  <c r="D227" i="13"/>
  <c r="I226" i="13"/>
  <c r="F226" i="13"/>
  <c r="E226" i="13"/>
  <c r="D226" i="13"/>
  <c r="F225" i="13"/>
  <c r="I225" i="13" s="1"/>
  <c r="E225" i="13"/>
  <c r="D225" i="13"/>
  <c r="F224" i="13"/>
  <c r="I224" i="13" s="1"/>
  <c r="E224" i="13"/>
  <c r="D224" i="13"/>
  <c r="I223" i="13"/>
  <c r="F223" i="13"/>
  <c r="E223" i="13"/>
  <c r="D223" i="13"/>
  <c r="I222" i="13"/>
  <c r="F222" i="13"/>
  <c r="E222" i="13"/>
  <c r="D222" i="13"/>
  <c r="F221" i="13"/>
  <c r="I221" i="13" s="1"/>
  <c r="E221" i="13"/>
  <c r="D221" i="13"/>
  <c r="F220" i="13"/>
  <c r="I220" i="13" s="1"/>
  <c r="E220" i="13"/>
  <c r="D220" i="13"/>
  <c r="I219" i="13"/>
  <c r="F219" i="13"/>
  <c r="E219" i="13"/>
  <c r="D219" i="13"/>
  <c r="I218" i="13"/>
  <c r="F218" i="13"/>
  <c r="E218" i="13"/>
  <c r="D218" i="13"/>
  <c r="F217" i="13"/>
  <c r="I217" i="13" s="1"/>
  <c r="E217" i="13"/>
  <c r="D217" i="13"/>
  <c r="F216" i="13"/>
  <c r="I216" i="13" s="1"/>
  <c r="E216" i="13"/>
  <c r="D216" i="13"/>
  <c r="I215" i="13"/>
  <c r="F215" i="13"/>
  <c r="E215" i="13"/>
  <c r="D215" i="13"/>
  <c r="I214" i="13"/>
  <c r="F214" i="13"/>
  <c r="E214" i="13"/>
  <c r="D214" i="13"/>
  <c r="F213" i="13"/>
  <c r="I213" i="13" s="1"/>
  <c r="E213" i="13"/>
  <c r="D213" i="13"/>
  <c r="F212" i="13"/>
  <c r="I212" i="13" s="1"/>
  <c r="E212" i="13"/>
  <c r="D212" i="13"/>
  <c r="I211" i="13"/>
  <c r="F211" i="13"/>
  <c r="E211" i="13"/>
  <c r="D211" i="13"/>
  <c r="I210" i="13"/>
  <c r="F210" i="13"/>
  <c r="E210" i="13"/>
  <c r="D210" i="13"/>
  <c r="F209" i="13"/>
  <c r="I209" i="13" s="1"/>
  <c r="E209" i="13"/>
  <c r="D209" i="13"/>
  <c r="F208" i="13"/>
  <c r="I208" i="13" s="1"/>
  <c r="E208" i="13"/>
  <c r="D208" i="13"/>
  <c r="I207" i="13"/>
  <c r="F207" i="13"/>
  <c r="E207" i="13"/>
  <c r="D207" i="13"/>
  <c r="I206" i="13"/>
  <c r="F206" i="13"/>
  <c r="E206" i="13"/>
  <c r="D206" i="13"/>
  <c r="F205" i="13"/>
  <c r="I205" i="13" s="1"/>
  <c r="E205" i="13"/>
  <c r="D205" i="13"/>
  <c r="F204" i="13"/>
  <c r="I204" i="13" s="1"/>
  <c r="E204" i="13"/>
  <c r="D204" i="13"/>
  <c r="I203" i="13"/>
  <c r="F203" i="13"/>
  <c r="E203" i="13"/>
  <c r="D203" i="13"/>
  <c r="I202" i="13"/>
  <c r="F202" i="13"/>
  <c r="E202" i="13"/>
  <c r="D202" i="13"/>
  <c r="F201" i="13"/>
  <c r="I201" i="13" s="1"/>
  <c r="E201" i="13"/>
  <c r="D201" i="13"/>
  <c r="F200" i="13"/>
  <c r="I200" i="13" s="1"/>
  <c r="E200" i="13"/>
  <c r="D200" i="13"/>
  <c r="I199" i="13"/>
  <c r="F199" i="13"/>
  <c r="E199" i="13"/>
  <c r="D199" i="13"/>
  <c r="I198" i="13"/>
  <c r="F198" i="13"/>
  <c r="E198" i="13"/>
  <c r="D198" i="13"/>
  <c r="F197" i="13"/>
  <c r="I197" i="13" s="1"/>
  <c r="E197" i="13"/>
  <c r="D197" i="13"/>
  <c r="F196" i="13"/>
  <c r="I196" i="13" s="1"/>
  <c r="E196" i="13"/>
  <c r="D196" i="13"/>
  <c r="I195" i="13"/>
  <c r="F195" i="13"/>
  <c r="E195" i="13"/>
  <c r="D195" i="13"/>
  <c r="I194" i="13"/>
  <c r="F194" i="13"/>
  <c r="E194" i="13"/>
  <c r="D194" i="13"/>
  <c r="F193" i="13"/>
  <c r="I193" i="13" s="1"/>
  <c r="E193" i="13"/>
  <c r="D193" i="13"/>
  <c r="F192" i="13"/>
  <c r="I192" i="13" s="1"/>
  <c r="E192" i="13"/>
  <c r="D192" i="13"/>
  <c r="I191" i="13"/>
  <c r="F191" i="13"/>
  <c r="E191" i="13"/>
  <c r="D191" i="13"/>
  <c r="I190" i="13"/>
  <c r="F190" i="13"/>
  <c r="E190" i="13"/>
  <c r="D190" i="13"/>
  <c r="F189" i="13"/>
  <c r="I189" i="13" s="1"/>
  <c r="E189" i="13"/>
  <c r="D189" i="13"/>
  <c r="F188" i="13"/>
  <c r="I188" i="13" s="1"/>
  <c r="E188" i="13"/>
  <c r="D188" i="13"/>
  <c r="I187" i="13"/>
  <c r="F187" i="13"/>
  <c r="E187" i="13"/>
  <c r="D187" i="13"/>
  <c r="I186" i="13"/>
  <c r="F186" i="13"/>
  <c r="E186" i="13"/>
  <c r="D186" i="13"/>
  <c r="F185" i="13"/>
  <c r="I185" i="13" s="1"/>
  <c r="E185" i="13"/>
  <c r="D185" i="13"/>
  <c r="F184" i="13"/>
  <c r="I184" i="13" s="1"/>
  <c r="E184" i="13"/>
  <c r="D184" i="13"/>
  <c r="I183" i="13"/>
  <c r="F183" i="13"/>
  <c r="E183" i="13"/>
  <c r="D183" i="13"/>
  <c r="I182" i="13"/>
  <c r="F182" i="13"/>
  <c r="E182" i="13"/>
  <c r="D182" i="13"/>
  <c r="F181" i="13"/>
  <c r="I181" i="13" s="1"/>
  <c r="E181" i="13"/>
  <c r="D181" i="13"/>
  <c r="F180" i="13"/>
  <c r="I180" i="13" s="1"/>
  <c r="E180" i="13"/>
  <c r="D180" i="13"/>
  <c r="I179" i="13"/>
  <c r="F179" i="13"/>
  <c r="E179" i="13"/>
  <c r="D179" i="13"/>
  <c r="I178" i="13"/>
  <c r="F178" i="13"/>
  <c r="E178" i="13"/>
  <c r="D178" i="13"/>
  <c r="F177" i="13"/>
  <c r="I177" i="13" s="1"/>
  <c r="E177" i="13"/>
  <c r="D177" i="13"/>
  <c r="F176" i="13"/>
  <c r="I176" i="13" s="1"/>
  <c r="E176" i="13"/>
  <c r="D176" i="13"/>
  <c r="I175" i="13"/>
  <c r="F175" i="13"/>
  <c r="E175" i="13"/>
  <c r="D175" i="13"/>
  <c r="H174" i="13"/>
  <c r="F174" i="13"/>
  <c r="I174" i="13" s="1"/>
  <c r="E174" i="13"/>
  <c r="G174" i="13" s="1"/>
  <c r="K174" i="13" s="1"/>
  <c r="L174" i="13" s="1"/>
  <c r="D174" i="13"/>
  <c r="I173" i="13"/>
  <c r="F173" i="13"/>
  <c r="E173" i="13"/>
  <c r="D173" i="13"/>
  <c r="H172" i="13"/>
  <c r="F172" i="13"/>
  <c r="I172" i="13" s="1"/>
  <c r="E172" i="13"/>
  <c r="G172" i="13" s="1"/>
  <c r="K172" i="13" s="1"/>
  <c r="L172" i="13" s="1"/>
  <c r="D172" i="13"/>
  <c r="I171" i="13"/>
  <c r="F171" i="13"/>
  <c r="E171" i="13"/>
  <c r="D171" i="13"/>
  <c r="H170" i="13"/>
  <c r="F170" i="13"/>
  <c r="I170" i="13" s="1"/>
  <c r="E170" i="13"/>
  <c r="G170" i="13" s="1"/>
  <c r="K170" i="13" s="1"/>
  <c r="L170" i="13" s="1"/>
  <c r="D170" i="13"/>
  <c r="I169" i="13"/>
  <c r="F169" i="13"/>
  <c r="E169" i="13"/>
  <c r="D169" i="13"/>
  <c r="H168" i="13"/>
  <c r="F168" i="13"/>
  <c r="I168" i="13" s="1"/>
  <c r="E168" i="13"/>
  <c r="G168" i="13" s="1"/>
  <c r="K168" i="13" s="1"/>
  <c r="L168" i="13" s="1"/>
  <c r="D168" i="13"/>
  <c r="I167" i="13"/>
  <c r="F167" i="13"/>
  <c r="E167" i="13"/>
  <c r="D167" i="13"/>
  <c r="H166" i="13"/>
  <c r="F166" i="13"/>
  <c r="I166" i="13" s="1"/>
  <c r="E166" i="13"/>
  <c r="G166" i="13" s="1"/>
  <c r="K166" i="13" s="1"/>
  <c r="L166" i="13" s="1"/>
  <c r="D166" i="13"/>
  <c r="I165" i="13"/>
  <c r="F165" i="13"/>
  <c r="E165" i="13"/>
  <c r="D165" i="13"/>
  <c r="H164" i="13"/>
  <c r="F164" i="13"/>
  <c r="I164" i="13" s="1"/>
  <c r="E164" i="13"/>
  <c r="G164" i="13" s="1"/>
  <c r="K164" i="13" s="1"/>
  <c r="L164" i="13" s="1"/>
  <c r="D164" i="13"/>
  <c r="I163" i="13"/>
  <c r="F163" i="13"/>
  <c r="E163" i="13"/>
  <c r="D163" i="13"/>
  <c r="H162" i="13"/>
  <c r="F162" i="13"/>
  <c r="I162" i="13" s="1"/>
  <c r="E162" i="13"/>
  <c r="G162" i="13" s="1"/>
  <c r="K162" i="13" s="1"/>
  <c r="L162" i="13" s="1"/>
  <c r="D162" i="13"/>
  <c r="I161" i="13"/>
  <c r="F161" i="13"/>
  <c r="E161" i="13"/>
  <c r="D161" i="13"/>
  <c r="H160" i="13"/>
  <c r="F160" i="13"/>
  <c r="I160" i="13" s="1"/>
  <c r="E160" i="13"/>
  <c r="G160" i="13" s="1"/>
  <c r="K160" i="13" s="1"/>
  <c r="L160" i="13" s="1"/>
  <c r="D160" i="13"/>
  <c r="I159" i="13"/>
  <c r="F159" i="13"/>
  <c r="E159" i="13"/>
  <c r="D159" i="13"/>
  <c r="H158" i="13"/>
  <c r="F158" i="13"/>
  <c r="I158" i="13" s="1"/>
  <c r="E158" i="13"/>
  <c r="G158" i="13" s="1"/>
  <c r="K158" i="13" s="1"/>
  <c r="L158" i="13" s="1"/>
  <c r="D158" i="13"/>
  <c r="I157" i="13"/>
  <c r="F157" i="13"/>
  <c r="E157" i="13"/>
  <c r="D157" i="13"/>
  <c r="H156" i="13"/>
  <c r="F156" i="13"/>
  <c r="I156" i="13" s="1"/>
  <c r="E156" i="13"/>
  <c r="G156" i="13" s="1"/>
  <c r="K156" i="13" s="1"/>
  <c r="L156" i="13" s="1"/>
  <c r="D156" i="13"/>
  <c r="I155" i="13"/>
  <c r="F155" i="13"/>
  <c r="E155" i="13"/>
  <c r="D155" i="13"/>
  <c r="H154" i="13"/>
  <c r="F154" i="13"/>
  <c r="I154" i="13" s="1"/>
  <c r="E154" i="13"/>
  <c r="G154" i="13" s="1"/>
  <c r="K154" i="13" s="1"/>
  <c r="L154" i="13" s="1"/>
  <c r="D154" i="13"/>
  <c r="I153" i="13"/>
  <c r="F153" i="13"/>
  <c r="E153" i="13"/>
  <c r="D153" i="13"/>
  <c r="H152" i="13"/>
  <c r="F152" i="13"/>
  <c r="I152" i="13" s="1"/>
  <c r="E152" i="13"/>
  <c r="G152" i="13" s="1"/>
  <c r="K152" i="13" s="1"/>
  <c r="L152" i="13" s="1"/>
  <c r="D152" i="13"/>
  <c r="I151" i="13"/>
  <c r="F151" i="13"/>
  <c r="E151" i="13"/>
  <c r="D151" i="13"/>
  <c r="H150" i="13"/>
  <c r="F150" i="13"/>
  <c r="I150" i="13" s="1"/>
  <c r="E150" i="13"/>
  <c r="G150" i="13" s="1"/>
  <c r="K150" i="13" s="1"/>
  <c r="L150" i="13" s="1"/>
  <c r="D150" i="13"/>
  <c r="I149" i="13"/>
  <c r="F149" i="13"/>
  <c r="E149" i="13"/>
  <c r="D149" i="13"/>
  <c r="H148" i="13"/>
  <c r="F148" i="13"/>
  <c r="I148" i="13" s="1"/>
  <c r="E148" i="13"/>
  <c r="G148" i="13" s="1"/>
  <c r="K148" i="13" s="1"/>
  <c r="L148" i="13" s="1"/>
  <c r="D148" i="13"/>
  <c r="I147" i="13"/>
  <c r="F147" i="13"/>
  <c r="E147" i="13"/>
  <c r="D147" i="13"/>
  <c r="H146" i="13"/>
  <c r="F146" i="13"/>
  <c r="I146" i="13" s="1"/>
  <c r="E146" i="13"/>
  <c r="G146" i="13" s="1"/>
  <c r="K146" i="13" s="1"/>
  <c r="L146" i="13" s="1"/>
  <c r="D146" i="13"/>
  <c r="I145" i="13"/>
  <c r="F145" i="13"/>
  <c r="E145" i="13"/>
  <c r="D145" i="13"/>
  <c r="H144" i="13"/>
  <c r="F144" i="13"/>
  <c r="I144" i="13" s="1"/>
  <c r="E144" i="13"/>
  <c r="G144" i="13" s="1"/>
  <c r="K144" i="13" s="1"/>
  <c r="L144" i="13" s="1"/>
  <c r="D144" i="13"/>
  <c r="I143" i="13"/>
  <c r="F143" i="13"/>
  <c r="E143" i="13"/>
  <c r="D143" i="13"/>
  <c r="H142" i="13"/>
  <c r="F142" i="13"/>
  <c r="I142" i="13" s="1"/>
  <c r="E142" i="13"/>
  <c r="G142" i="13" s="1"/>
  <c r="K142" i="13" s="1"/>
  <c r="L142" i="13" s="1"/>
  <c r="D142" i="13"/>
  <c r="I141" i="13"/>
  <c r="F141" i="13"/>
  <c r="E141" i="13"/>
  <c r="D141" i="13"/>
  <c r="H140" i="13"/>
  <c r="F140" i="13"/>
  <c r="I140" i="13" s="1"/>
  <c r="E140" i="13"/>
  <c r="G140" i="13" s="1"/>
  <c r="K140" i="13" s="1"/>
  <c r="L140" i="13" s="1"/>
  <c r="D140" i="13"/>
  <c r="I139" i="13"/>
  <c r="F139" i="13"/>
  <c r="E139" i="13"/>
  <c r="D139" i="13"/>
  <c r="H138" i="13"/>
  <c r="F138" i="13"/>
  <c r="I138" i="13" s="1"/>
  <c r="E138" i="13"/>
  <c r="G138" i="13" s="1"/>
  <c r="K138" i="13" s="1"/>
  <c r="L138" i="13" s="1"/>
  <c r="D138" i="13"/>
  <c r="I137" i="13"/>
  <c r="F137" i="13"/>
  <c r="E137" i="13"/>
  <c r="D137" i="13"/>
  <c r="H136" i="13"/>
  <c r="F136" i="13"/>
  <c r="I136" i="13" s="1"/>
  <c r="E136" i="13"/>
  <c r="G136" i="13" s="1"/>
  <c r="K136" i="13" s="1"/>
  <c r="L136" i="13" s="1"/>
  <c r="D136" i="13"/>
  <c r="I135" i="13"/>
  <c r="F135" i="13"/>
  <c r="E135" i="13"/>
  <c r="D135" i="13"/>
  <c r="I134" i="13"/>
  <c r="H134" i="13"/>
  <c r="F134" i="13"/>
  <c r="E134" i="13"/>
  <c r="G134" i="13" s="1"/>
  <c r="K134" i="13" s="1"/>
  <c r="L134" i="13" s="1"/>
  <c r="D134" i="13"/>
  <c r="I133" i="13"/>
  <c r="H133" i="13"/>
  <c r="F133" i="13"/>
  <c r="E133" i="13"/>
  <c r="G133" i="13" s="1"/>
  <c r="K133" i="13" s="1"/>
  <c r="L133" i="13" s="1"/>
  <c r="D133" i="13"/>
  <c r="I132" i="13"/>
  <c r="H132" i="13"/>
  <c r="F132" i="13"/>
  <c r="E132" i="13"/>
  <c r="G132" i="13" s="1"/>
  <c r="K132" i="13" s="1"/>
  <c r="L132" i="13" s="1"/>
  <c r="D132" i="13"/>
  <c r="I131" i="13"/>
  <c r="H131" i="13"/>
  <c r="F131" i="13"/>
  <c r="E131" i="13"/>
  <c r="G131" i="13" s="1"/>
  <c r="K131" i="13" s="1"/>
  <c r="L131" i="13" s="1"/>
  <c r="D131" i="13"/>
  <c r="I130" i="13"/>
  <c r="H130" i="13"/>
  <c r="F130" i="13"/>
  <c r="E130" i="13"/>
  <c r="G130" i="13" s="1"/>
  <c r="K130" i="13" s="1"/>
  <c r="L130" i="13" s="1"/>
  <c r="D130" i="13"/>
  <c r="I129" i="13"/>
  <c r="H129" i="13"/>
  <c r="F129" i="13"/>
  <c r="E129" i="13"/>
  <c r="G129" i="13" s="1"/>
  <c r="K129" i="13" s="1"/>
  <c r="L129" i="13" s="1"/>
  <c r="D129" i="13"/>
  <c r="I128" i="13"/>
  <c r="H128" i="13"/>
  <c r="F128" i="13"/>
  <c r="E128" i="13"/>
  <c r="G128" i="13" s="1"/>
  <c r="K128" i="13" s="1"/>
  <c r="L128" i="13" s="1"/>
  <c r="D128" i="13"/>
  <c r="I127" i="13"/>
  <c r="H127" i="13"/>
  <c r="F127" i="13"/>
  <c r="E127" i="13"/>
  <c r="G127" i="13" s="1"/>
  <c r="K127" i="13" s="1"/>
  <c r="L127" i="13" s="1"/>
  <c r="D127" i="13"/>
  <c r="I126" i="13"/>
  <c r="H126" i="13"/>
  <c r="F126" i="13"/>
  <c r="E126" i="13"/>
  <c r="G126" i="13" s="1"/>
  <c r="K126" i="13" s="1"/>
  <c r="L126" i="13" s="1"/>
  <c r="D126" i="13"/>
  <c r="I125" i="13"/>
  <c r="H125" i="13"/>
  <c r="F125" i="13"/>
  <c r="E125" i="13"/>
  <c r="G125" i="13" s="1"/>
  <c r="K125" i="13" s="1"/>
  <c r="L125" i="13" s="1"/>
  <c r="D125" i="13"/>
  <c r="I124" i="13"/>
  <c r="H124" i="13"/>
  <c r="F124" i="13"/>
  <c r="E124" i="13"/>
  <c r="G124" i="13" s="1"/>
  <c r="K124" i="13" s="1"/>
  <c r="L124" i="13" s="1"/>
  <c r="D124" i="13"/>
  <c r="I123" i="13"/>
  <c r="H123" i="13"/>
  <c r="F123" i="13"/>
  <c r="E123" i="13"/>
  <c r="G123" i="13" s="1"/>
  <c r="K123" i="13" s="1"/>
  <c r="L123" i="13" s="1"/>
  <c r="D123" i="13"/>
  <c r="I122" i="13"/>
  <c r="H122" i="13"/>
  <c r="F122" i="13"/>
  <c r="E122" i="13"/>
  <c r="G122" i="13" s="1"/>
  <c r="K122" i="13" s="1"/>
  <c r="L122" i="13" s="1"/>
  <c r="D122" i="13"/>
  <c r="I121" i="13"/>
  <c r="H121" i="13"/>
  <c r="F121" i="13"/>
  <c r="E121" i="13"/>
  <c r="G121" i="13" s="1"/>
  <c r="K121" i="13" s="1"/>
  <c r="L121" i="13" s="1"/>
  <c r="D121" i="13"/>
  <c r="I120" i="13"/>
  <c r="H120" i="13"/>
  <c r="F120" i="13"/>
  <c r="E120" i="13"/>
  <c r="G120" i="13" s="1"/>
  <c r="K120" i="13" s="1"/>
  <c r="L120" i="13" s="1"/>
  <c r="D120" i="13"/>
  <c r="I119" i="13"/>
  <c r="H119" i="13"/>
  <c r="F119" i="13"/>
  <c r="E119" i="13"/>
  <c r="G119" i="13" s="1"/>
  <c r="K119" i="13" s="1"/>
  <c r="L119" i="13" s="1"/>
  <c r="D119" i="13"/>
  <c r="I118" i="13"/>
  <c r="H118" i="13"/>
  <c r="F118" i="13"/>
  <c r="E118" i="13"/>
  <c r="G118" i="13" s="1"/>
  <c r="K118" i="13" s="1"/>
  <c r="L118" i="13" s="1"/>
  <c r="D118" i="13"/>
  <c r="I117" i="13"/>
  <c r="H117" i="13"/>
  <c r="F117" i="13"/>
  <c r="E117" i="13"/>
  <c r="G117" i="13" s="1"/>
  <c r="K117" i="13" s="1"/>
  <c r="L117" i="13" s="1"/>
  <c r="D117" i="13"/>
  <c r="I116" i="13"/>
  <c r="H116" i="13"/>
  <c r="F116" i="13"/>
  <c r="E116" i="13"/>
  <c r="G116" i="13" s="1"/>
  <c r="K116" i="13" s="1"/>
  <c r="L116" i="13" s="1"/>
  <c r="D116" i="13"/>
  <c r="I115" i="13"/>
  <c r="H115" i="13"/>
  <c r="F115" i="13"/>
  <c r="E115" i="13"/>
  <c r="G115" i="13" s="1"/>
  <c r="K115" i="13" s="1"/>
  <c r="L115" i="13" s="1"/>
  <c r="D115" i="13"/>
  <c r="I114" i="13"/>
  <c r="H114" i="13"/>
  <c r="F114" i="13"/>
  <c r="E114" i="13"/>
  <c r="G114" i="13" s="1"/>
  <c r="K114" i="13" s="1"/>
  <c r="L114" i="13" s="1"/>
  <c r="D114" i="13"/>
  <c r="I113" i="13"/>
  <c r="H113" i="13"/>
  <c r="F113" i="13"/>
  <c r="E113" i="13"/>
  <c r="G113" i="13" s="1"/>
  <c r="K113" i="13" s="1"/>
  <c r="L113" i="13" s="1"/>
  <c r="D113" i="13"/>
  <c r="I112" i="13"/>
  <c r="H112" i="13"/>
  <c r="F112" i="13"/>
  <c r="E112" i="13"/>
  <c r="G112" i="13" s="1"/>
  <c r="K112" i="13" s="1"/>
  <c r="L112" i="13" s="1"/>
  <c r="D112" i="13"/>
  <c r="I111" i="13"/>
  <c r="H111" i="13"/>
  <c r="F111" i="13"/>
  <c r="E111" i="13"/>
  <c r="G111" i="13" s="1"/>
  <c r="K111" i="13" s="1"/>
  <c r="L111" i="13" s="1"/>
  <c r="D111" i="13"/>
  <c r="I110" i="13"/>
  <c r="H110" i="13"/>
  <c r="F110" i="13"/>
  <c r="E110" i="13"/>
  <c r="G110" i="13" s="1"/>
  <c r="K110" i="13" s="1"/>
  <c r="L110" i="13" s="1"/>
  <c r="D110" i="13"/>
  <c r="I109" i="13"/>
  <c r="H109" i="13"/>
  <c r="F109" i="13"/>
  <c r="E109" i="13"/>
  <c r="G109" i="13" s="1"/>
  <c r="K109" i="13" s="1"/>
  <c r="L109" i="13" s="1"/>
  <c r="D109" i="13"/>
  <c r="I108" i="13"/>
  <c r="H108" i="13"/>
  <c r="F108" i="13"/>
  <c r="E108" i="13"/>
  <c r="G108" i="13" s="1"/>
  <c r="K108" i="13" s="1"/>
  <c r="L108" i="13" s="1"/>
  <c r="D108" i="13"/>
  <c r="I107" i="13"/>
  <c r="H107" i="13"/>
  <c r="F107" i="13"/>
  <c r="E107" i="13"/>
  <c r="G107" i="13" s="1"/>
  <c r="K107" i="13" s="1"/>
  <c r="L107" i="13" s="1"/>
  <c r="D107" i="13"/>
  <c r="I106" i="13"/>
  <c r="H106" i="13"/>
  <c r="F106" i="13"/>
  <c r="E106" i="13"/>
  <c r="G106" i="13" s="1"/>
  <c r="K106" i="13" s="1"/>
  <c r="L106" i="13" s="1"/>
  <c r="D106" i="13"/>
  <c r="I105" i="13"/>
  <c r="H105" i="13"/>
  <c r="F105" i="13"/>
  <c r="E105" i="13"/>
  <c r="G105" i="13" s="1"/>
  <c r="K105" i="13" s="1"/>
  <c r="L105" i="13" s="1"/>
  <c r="D105" i="13"/>
  <c r="I104" i="13"/>
  <c r="H104" i="13"/>
  <c r="F104" i="13"/>
  <c r="E104" i="13"/>
  <c r="G104" i="13" s="1"/>
  <c r="K104" i="13" s="1"/>
  <c r="L104" i="13" s="1"/>
  <c r="D104" i="13"/>
  <c r="I103" i="13"/>
  <c r="H103" i="13"/>
  <c r="F103" i="13"/>
  <c r="E103" i="13"/>
  <c r="G103" i="13" s="1"/>
  <c r="K103" i="13" s="1"/>
  <c r="L103" i="13" s="1"/>
  <c r="D103" i="13"/>
  <c r="I102" i="13"/>
  <c r="H102" i="13"/>
  <c r="F102" i="13"/>
  <c r="E102" i="13"/>
  <c r="G102" i="13" s="1"/>
  <c r="K102" i="13" s="1"/>
  <c r="L102" i="13" s="1"/>
  <c r="D102" i="13"/>
  <c r="I101" i="13"/>
  <c r="H101" i="13"/>
  <c r="F101" i="13"/>
  <c r="E101" i="13"/>
  <c r="G101" i="13" s="1"/>
  <c r="K101" i="13" s="1"/>
  <c r="L101" i="13" s="1"/>
  <c r="D101" i="13"/>
  <c r="I100" i="13"/>
  <c r="H100" i="13"/>
  <c r="F100" i="13"/>
  <c r="E100" i="13"/>
  <c r="G100" i="13" s="1"/>
  <c r="K100" i="13" s="1"/>
  <c r="L100" i="13" s="1"/>
  <c r="D100" i="13"/>
  <c r="I99" i="13"/>
  <c r="H99" i="13"/>
  <c r="F99" i="13"/>
  <c r="E99" i="13"/>
  <c r="G99" i="13" s="1"/>
  <c r="K99" i="13" s="1"/>
  <c r="L99" i="13" s="1"/>
  <c r="D99" i="13"/>
  <c r="I98" i="13"/>
  <c r="H98" i="13"/>
  <c r="F98" i="13"/>
  <c r="E98" i="13"/>
  <c r="G98" i="13" s="1"/>
  <c r="K98" i="13" s="1"/>
  <c r="L98" i="13" s="1"/>
  <c r="D98" i="13"/>
  <c r="I97" i="13"/>
  <c r="H97" i="13"/>
  <c r="F97" i="13"/>
  <c r="E97" i="13"/>
  <c r="G97" i="13" s="1"/>
  <c r="K97" i="13" s="1"/>
  <c r="L97" i="13" s="1"/>
  <c r="D97" i="13"/>
  <c r="I96" i="13"/>
  <c r="H96" i="13"/>
  <c r="F96" i="13"/>
  <c r="E96" i="13"/>
  <c r="G96" i="13" s="1"/>
  <c r="K96" i="13" s="1"/>
  <c r="L96" i="13" s="1"/>
  <c r="D96" i="13"/>
  <c r="I95" i="13"/>
  <c r="H95" i="13"/>
  <c r="F95" i="13"/>
  <c r="E95" i="13"/>
  <c r="G95" i="13" s="1"/>
  <c r="K95" i="13" s="1"/>
  <c r="L95" i="13" s="1"/>
  <c r="D95" i="13"/>
  <c r="I94" i="13"/>
  <c r="H94" i="13"/>
  <c r="F94" i="13"/>
  <c r="E94" i="13"/>
  <c r="G94" i="13" s="1"/>
  <c r="K94" i="13" s="1"/>
  <c r="L94" i="13" s="1"/>
  <c r="D94" i="13"/>
  <c r="I93" i="13"/>
  <c r="H93" i="13"/>
  <c r="F93" i="13"/>
  <c r="E93" i="13"/>
  <c r="G93" i="13" s="1"/>
  <c r="K93" i="13" s="1"/>
  <c r="L93" i="13" s="1"/>
  <c r="D93" i="13"/>
  <c r="I92" i="13"/>
  <c r="H92" i="13"/>
  <c r="F92" i="13"/>
  <c r="E92" i="13"/>
  <c r="G92" i="13" s="1"/>
  <c r="K92" i="13" s="1"/>
  <c r="L92" i="13" s="1"/>
  <c r="D92" i="13"/>
  <c r="I91" i="13"/>
  <c r="H91" i="13"/>
  <c r="F91" i="13"/>
  <c r="E91" i="13"/>
  <c r="G91" i="13" s="1"/>
  <c r="K91" i="13" s="1"/>
  <c r="L91" i="13" s="1"/>
  <c r="D91" i="13"/>
  <c r="I90" i="13"/>
  <c r="H90" i="13"/>
  <c r="F90" i="13"/>
  <c r="E90" i="13"/>
  <c r="G90" i="13" s="1"/>
  <c r="K90" i="13" s="1"/>
  <c r="L90" i="13" s="1"/>
  <c r="D90" i="13"/>
  <c r="I89" i="13"/>
  <c r="H89" i="13"/>
  <c r="F89" i="13"/>
  <c r="E89" i="13"/>
  <c r="G89" i="13" s="1"/>
  <c r="K89" i="13" s="1"/>
  <c r="L89" i="13" s="1"/>
  <c r="D89" i="13"/>
  <c r="I88" i="13"/>
  <c r="H88" i="13"/>
  <c r="F88" i="13"/>
  <c r="E88" i="13"/>
  <c r="G88" i="13" s="1"/>
  <c r="K88" i="13" s="1"/>
  <c r="L88" i="13" s="1"/>
  <c r="D88" i="13"/>
  <c r="I87" i="13"/>
  <c r="H87" i="13"/>
  <c r="F87" i="13"/>
  <c r="E87" i="13"/>
  <c r="G87" i="13" s="1"/>
  <c r="K87" i="13" s="1"/>
  <c r="L87" i="13" s="1"/>
  <c r="D87" i="13"/>
  <c r="I86" i="13"/>
  <c r="H86" i="13"/>
  <c r="F86" i="13"/>
  <c r="E86" i="13"/>
  <c r="G86" i="13" s="1"/>
  <c r="K86" i="13" s="1"/>
  <c r="L86" i="13" s="1"/>
  <c r="D86" i="13"/>
  <c r="I85" i="13"/>
  <c r="H85" i="13"/>
  <c r="F85" i="13"/>
  <c r="E85" i="13"/>
  <c r="G85" i="13" s="1"/>
  <c r="K85" i="13" s="1"/>
  <c r="L85" i="13" s="1"/>
  <c r="D85" i="13"/>
  <c r="I84" i="13"/>
  <c r="H84" i="13"/>
  <c r="F84" i="13"/>
  <c r="E84" i="13"/>
  <c r="G84" i="13" s="1"/>
  <c r="K84" i="13" s="1"/>
  <c r="L84" i="13" s="1"/>
  <c r="D84" i="13"/>
  <c r="I83" i="13"/>
  <c r="H83" i="13"/>
  <c r="F83" i="13"/>
  <c r="E83" i="13"/>
  <c r="G83" i="13" s="1"/>
  <c r="K83" i="13" s="1"/>
  <c r="L83" i="13" s="1"/>
  <c r="D83" i="13"/>
  <c r="I82" i="13"/>
  <c r="H82" i="13"/>
  <c r="F82" i="13"/>
  <c r="E82" i="13"/>
  <c r="G82" i="13" s="1"/>
  <c r="K82" i="13" s="1"/>
  <c r="L82" i="13" s="1"/>
  <c r="D82" i="13"/>
  <c r="I81" i="13"/>
  <c r="H81" i="13"/>
  <c r="F81" i="13"/>
  <c r="E81" i="13"/>
  <c r="G81" i="13" s="1"/>
  <c r="K81" i="13" s="1"/>
  <c r="L81" i="13" s="1"/>
  <c r="D81" i="13"/>
  <c r="I80" i="13"/>
  <c r="H80" i="13"/>
  <c r="F80" i="13"/>
  <c r="E80" i="13"/>
  <c r="G80" i="13" s="1"/>
  <c r="K80" i="13" s="1"/>
  <c r="L80" i="13" s="1"/>
  <c r="D80" i="13"/>
  <c r="I79" i="13"/>
  <c r="H79" i="13"/>
  <c r="F79" i="13"/>
  <c r="E79" i="13"/>
  <c r="G79" i="13" s="1"/>
  <c r="K79" i="13" s="1"/>
  <c r="L79" i="13" s="1"/>
  <c r="D79" i="13"/>
  <c r="I78" i="13"/>
  <c r="H78" i="13"/>
  <c r="F78" i="13"/>
  <c r="E78" i="13"/>
  <c r="G78" i="13" s="1"/>
  <c r="K78" i="13" s="1"/>
  <c r="L78" i="13" s="1"/>
  <c r="D78" i="13"/>
  <c r="I77" i="13"/>
  <c r="H77" i="13"/>
  <c r="F77" i="13"/>
  <c r="E77" i="13"/>
  <c r="G77" i="13" s="1"/>
  <c r="K77" i="13" s="1"/>
  <c r="L77" i="13" s="1"/>
  <c r="D77" i="13"/>
  <c r="I76" i="13"/>
  <c r="H76" i="13"/>
  <c r="F76" i="13"/>
  <c r="E76" i="13"/>
  <c r="G76" i="13" s="1"/>
  <c r="K76" i="13" s="1"/>
  <c r="L76" i="13" s="1"/>
  <c r="D76" i="13"/>
  <c r="I75" i="13"/>
  <c r="H75" i="13"/>
  <c r="F75" i="13"/>
  <c r="E75" i="13"/>
  <c r="G75" i="13" s="1"/>
  <c r="K75" i="13" s="1"/>
  <c r="L75" i="13" s="1"/>
  <c r="D75" i="13"/>
  <c r="I74" i="13"/>
  <c r="H74" i="13"/>
  <c r="F74" i="13"/>
  <c r="E74" i="13"/>
  <c r="G74" i="13" s="1"/>
  <c r="K74" i="13" s="1"/>
  <c r="L74" i="13" s="1"/>
  <c r="D74" i="13"/>
  <c r="I73" i="13"/>
  <c r="H73" i="13"/>
  <c r="F73" i="13"/>
  <c r="E73" i="13"/>
  <c r="G73" i="13" s="1"/>
  <c r="K73" i="13" s="1"/>
  <c r="L73" i="13" s="1"/>
  <c r="D73" i="13"/>
  <c r="I72" i="13"/>
  <c r="H72" i="13"/>
  <c r="F72" i="13"/>
  <c r="E72" i="13"/>
  <c r="G72" i="13" s="1"/>
  <c r="K72" i="13" s="1"/>
  <c r="L72" i="13" s="1"/>
  <c r="D72" i="13"/>
  <c r="I71" i="13"/>
  <c r="H71" i="13"/>
  <c r="F71" i="13"/>
  <c r="E71" i="13"/>
  <c r="G71" i="13" s="1"/>
  <c r="K71" i="13" s="1"/>
  <c r="L71" i="13" s="1"/>
  <c r="D71" i="13"/>
  <c r="I70" i="13"/>
  <c r="H70" i="13"/>
  <c r="F70" i="13"/>
  <c r="E70" i="13"/>
  <c r="G70" i="13" s="1"/>
  <c r="K70" i="13" s="1"/>
  <c r="L70" i="13" s="1"/>
  <c r="D70" i="13"/>
  <c r="I69" i="13"/>
  <c r="H69" i="13"/>
  <c r="F69" i="13"/>
  <c r="E69" i="13"/>
  <c r="G69" i="13" s="1"/>
  <c r="K69" i="13" s="1"/>
  <c r="L69" i="13" s="1"/>
  <c r="D69" i="13"/>
  <c r="I68" i="13"/>
  <c r="H68" i="13"/>
  <c r="F68" i="13"/>
  <c r="E68" i="13"/>
  <c r="G68" i="13" s="1"/>
  <c r="K68" i="13" s="1"/>
  <c r="L68" i="13" s="1"/>
  <c r="D68" i="13"/>
  <c r="I67" i="13"/>
  <c r="H67" i="13"/>
  <c r="F67" i="13"/>
  <c r="E67" i="13"/>
  <c r="G67" i="13" s="1"/>
  <c r="K67" i="13" s="1"/>
  <c r="L67" i="13" s="1"/>
  <c r="D67" i="13"/>
  <c r="I66" i="13"/>
  <c r="H66" i="13"/>
  <c r="F66" i="13"/>
  <c r="E66" i="13"/>
  <c r="G66" i="13" s="1"/>
  <c r="K66" i="13" s="1"/>
  <c r="L66" i="13" s="1"/>
  <c r="D66" i="13"/>
  <c r="I65" i="13"/>
  <c r="H65" i="13"/>
  <c r="F65" i="13"/>
  <c r="E65" i="13"/>
  <c r="G65" i="13" s="1"/>
  <c r="K65" i="13" s="1"/>
  <c r="L65" i="13" s="1"/>
  <c r="D65" i="13"/>
  <c r="I64" i="13"/>
  <c r="H64" i="13"/>
  <c r="F64" i="13"/>
  <c r="E64" i="13"/>
  <c r="G64" i="13" s="1"/>
  <c r="K64" i="13" s="1"/>
  <c r="L64" i="13" s="1"/>
  <c r="D64" i="13"/>
  <c r="I63" i="13"/>
  <c r="H63" i="13"/>
  <c r="F63" i="13"/>
  <c r="E63" i="13"/>
  <c r="G63" i="13" s="1"/>
  <c r="K63" i="13" s="1"/>
  <c r="L63" i="13" s="1"/>
  <c r="D63" i="13"/>
  <c r="I62" i="13"/>
  <c r="H62" i="13"/>
  <c r="F62" i="13"/>
  <c r="E62" i="13"/>
  <c r="G62" i="13" s="1"/>
  <c r="K62" i="13" s="1"/>
  <c r="L62" i="13" s="1"/>
  <c r="D62" i="13"/>
  <c r="I61" i="13"/>
  <c r="H61" i="13"/>
  <c r="F61" i="13"/>
  <c r="E61" i="13"/>
  <c r="G61" i="13" s="1"/>
  <c r="K61" i="13" s="1"/>
  <c r="L61" i="13" s="1"/>
  <c r="D61" i="13"/>
  <c r="I60" i="13"/>
  <c r="H60" i="13"/>
  <c r="F60" i="13"/>
  <c r="E60" i="13"/>
  <c r="G60" i="13" s="1"/>
  <c r="K60" i="13" s="1"/>
  <c r="L60" i="13" s="1"/>
  <c r="D60" i="13"/>
  <c r="I59" i="13"/>
  <c r="H59" i="13"/>
  <c r="F59" i="13"/>
  <c r="E59" i="13"/>
  <c r="G59" i="13" s="1"/>
  <c r="K59" i="13" s="1"/>
  <c r="L59" i="13" s="1"/>
  <c r="D59" i="13"/>
  <c r="I58" i="13"/>
  <c r="H58" i="13"/>
  <c r="F58" i="13"/>
  <c r="E58" i="13"/>
  <c r="G58" i="13" s="1"/>
  <c r="K58" i="13" s="1"/>
  <c r="L58" i="13" s="1"/>
  <c r="D58" i="13"/>
  <c r="I57" i="13"/>
  <c r="H57" i="13"/>
  <c r="F57" i="13"/>
  <c r="E57" i="13"/>
  <c r="G57" i="13" s="1"/>
  <c r="K57" i="13" s="1"/>
  <c r="L57" i="13" s="1"/>
  <c r="D57" i="13"/>
  <c r="I56" i="13"/>
  <c r="H56" i="13"/>
  <c r="F56" i="13"/>
  <c r="E56" i="13"/>
  <c r="G56" i="13" s="1"/>
  <c r="K56" i="13" s="1"/>
  <c r="L56" i="13" s="1"/>
  <c r="D56" i="13"/>
  <c r="I55" i="13"/>
  <c r="H55" i="13"/>
  <c r="F55" i="13"/>
  <c r="E55" i="13"/>
  <c r="G55" i="13" s="1"/>
  <c r="K55" i="13" s="1"/>
  <c r="L55" i="13" s="1"/>
  <c r="D55" i="13"/>
  <c r="I54" i="13"/>
  <c r="H54" i="13"/>
  <c r="F54" i="13"/>
  <c r="E54" i="13"/>
  <c r="G54" i="13" s="1"/>
  <c r="K54" i="13" s="1"/>
  <c r="L54" i="13" s="1"/>
  <c r="D54" i="13"/>
  <c r="I53" i="13"/>
  <c r="H53" i="13"/>
  <c r="F53" i="13"/>
  <c r="E53" i="13"/>
  <c r="G53" i="13" s="1"/>
  <c r="K53" i="13" s="1"/>
  <c r="L53" i="13" s="1"/>
  <c r="D53" i="13"/>
  <c r="I52" i="13"/>
  <c r="H52" i="13"/>
  <c r="F52" i="13"/>
  <c r="E52" i="13"/>
  <c r="G52" i="13" s="1"/>
  <c r="K52" i="13" s="1"/>
  <c r="L52" i="13" s="1"/>
  <c r="D52" i="13"/>
  <c r="I51" i="13"/>
  <c r="H51" i="13"/>
  <c r="F51" i="13"/>
  <c r="E51" i="13"/>
  <c r="G51" i="13" s="1"/>
  <c r="K51" i="13" s="1"/>
  <c r="L51" i="13" s="1"/>
  <c r="D51" i="13"/>
  <c r="I50" i="13"/>
  <c r="H50" i="13"/>
  <c r="F50" i="13"/>
  <c r="E50" i="13"/>
  <c r="G50" i="13" s="1"/>
  <c r="K50" i="13" s="1"/>
  <c r="L50" i="13" s="1"/>
  <c r="D50" i="13"/>
  <c r="I49" i="13"/>
  <c r="H49" i="13"/>
  <c r="F49" i="13"/>
  <c r="E49" i="13"/>
  <c r="G49" i="13" s="1"/>
  <c r="K49" i="13" s="1"/>
  <c r="L49" i="13" s="1"/>
  <c r="D49" i="13"/>
  <c r="I48" i="13"/>
  <c r="H48" i="13"/>
  <c r="F48" i="13"/>
  <c r="E48" i="13"/>
  <c r="G48" i="13" s="1"/>
  <c r="K48" i="13" s="1"/>
  <c r="L48" i="13" s="1"/>
  <c r="D48" i="13"/>
  <c r="I47" i="13"/>
  <c r="H47" i="13"/>
  <c r="F47" i="13"/>
  <c r="E47" i="13"/>
  <c r="G47" i="13" s="1"/>
  <c r="K47" i="13" s="1"/>
  <c r="L47" i="13" s="1"/>
  <c r="D47" i="13"/>
  <c r="I46" i="13"/>
  <c r="H46" i="13"/>
  <c r="F46" i="13"/>
  <c r="E46" i="13"/>
  <c r="G46" i="13" s="1"/>
  <c r="K46" i="13" s="1"/>
  <c r="L46" i="13" s="1"/>
  <c r="D46" i="13"/>
  <c r="I45" i="13"/>
  <c r="H45" i="13"/>
  <c r="F45" i="13"/>
  <c r="E45" i="13"/>
  <c r="G45" i="13" s="1"/>
  <c r="K45" i="13" s="1"/>
  <c r="L45" i="13" s="1"/>
  <c r="D45" i="13"/>
  <c r="I44" i="13"/>
  <c r="H44" i="13"/>
  <c r="F44" i="13"/>
  <c r="E44" i="13"/>
  <c r="G44" i="13" s="1"/>
  <c r="K44" i="13" s="1"/>
  <c r="L44" i="13" s="1"/>
  <c r="D44" i="13"/>
  <c r="I43" i="13"/>
  <c r="H43" i="13"/>
  <c r="F43" i="13"/>
  <c r="E43" i="13"/>
  <c r="G43" i="13" s="1"/>
  <c r="K43" i="13" s="1"/>
  <c r="L43" i="13" s="1"/>
  <c r="D43" i="13"/>
  <c r="I42" i="13"/>
  <c r="H42" i="13"/>
  <c r="F42" i="13"/>
  <c r="E42" i="13"/>
  <c r="G42" i="13" s="1"/>
  <c r="K42" i="13" s="1"/>
  <c r="L42" i="13" s="1"/>
  <c r="D42" i="13"/>
  <c r="I41" i="13"/>
  <c r="H41" i="13"/>
  <c r="F41" i="13"/>
  <c r="E41" i="13"/>
  <c r="G41" i="13" s="1"/>
  <c r="K41" i="13" s="1"/>
  <c r="L41" i="13" s="1"/>
  <c r="D41" i="13"/>
  <c r="I40" i="13"/>
  <c r="H40" i="13"/>
  <c r="F40" i="13"/>
  <c r="E40" i="13"/>
  <c r="G40" i="13" s="1"/>
  <c r="K40" i="13" s="1"/>
  <c r="L40" i="13" s="1"/>
  <c r="D40" i="13"/>
  <c r="I39" i="13"/>
  <c r="H39" i="13"/>
  <c r="F39" i="13"/>
  <c r="E39" i="13"/>
  <c r="G39" i="13" s="1"/>
  <c r="K39" i="13" s="1"/>
  <c r="L39" i="13" s="1"/>
  <c r="D39" i="13"/>
  <c r="I38" i="13"/>
  <c r="H38" i="13"/>
  <c r="F38" i="13"/>
  <c r="E38" i="13"/>
  <c r="G38" i="13" s="1"/>
  <c r="K38" i="13" s="1"/>
  <c r="L38" i="13" s="1"/>
  <c r="D38" i="13"/>
  <c r="I37" i="13"/>
  <c r="H37" i="13"/>
  <c r="F37" i="13"/>
  <c r="E37" i="13"/>
  <c r="G37" i="13" s="1"/>
  <c r="K37" i="13" s="1"/>
  <c r="L37" i="13" s="1"/>
  <c r="D37" i="13"/>
  <c r="I36" i="13"/>
  <c r="H36" i="13"/>
  <c r="F36" i="13"/>
  <c r="E36" i="13"/>
  <c r="G36" i="13" s="1"/>
  <c r="K36" i="13" s="1"/>
  <c r="L36" i="13" s="1"/>
  <c r="D36" i="13"/>
  <c r="I35" i="13"/>
  <c r="H35" i="13"/>
  <c r="F35" i="13"/>
  <c r="E35" i="13"/>
  <c r="G35" i="13" s="1"/>
  <c r="K35" i="13" s="1"/>
  <c r="L35" i="13" s="1"/>
  <c r="D35" i="13"/>
  <c r="I34" i="13"/>
  <c r="H34" i="13"/>
  <c r="F34" i="13"/>
  <c r="E34" i="13"/>
  <c r="G34" i="13" s="1"/>
  <c r="K34" i="13" s="1"/>
  <c r="L34" i="13" s="1"/>
  <c r="D34" i="13"/>
  <c r="I33" i="13"/>
  <c r="H33" i="13"/>
  <c r="F33" i="13"/>
  <c r="E33" i="13"/>
  <c r="G33" i="13" s="1"/>
  <c r="K33" i="13" s="1"/>
  <c r="L33" i="13" s="1"/>
  <c r="D33" i="13"/>
  <c r="I32" i="13"/>
  <c r="H32" i="13"/>
  <c r="F32" i="13"/>
  <c r="E32" i="13"/>
  <c r="G32" i="13" s="1"/>
  <c r="K32" i="13" s="1"/>
  <c r="L32" i="13" s="1"/>
  <c r="D32" i="13"/>
  <c r="I31" i="13"/>
  <c r="H31" i="13"/>
  <c r="F31" i="13"/>
  <c r="E31" i="13"/>
  <c r="G31" i="13" s="1"/>
  <c r="K31" i="13" s="1"/>
  <c r="L31" i="13" s="1"/>
  <c r="D31" i="13"/>
  <c r="I30" i="13"/>
  <c r="H30" i="13"/>
  <c r="F30" i="13"/>
  <c r="E30" i="13"/>
  <c r="G30" i="13" s="1"/>
  <c r="K30" i="13" s="1"/>
  <c r="L30" i="13" s="1"/>
  <c r="D30" i="13"/>
  <c r="I29" i="13"/>
  <c r="H29" i="13"/>
  <c r="F29" i="13"/>
  <c r="E29" i="13"/>
  <c r="G29" i="13" s="1"/>
  <c r="K29" i="13" s="1"/>
  <c r="L29" i="13" s="1"/>
  <c r="D29" i="13"/>
  <c r="I28" i="13"/>
  <c r="H28" i="13"/>
  <c r="F28" i="13"/>
  <c r="E28" i="13"/>
  <c r="G28" i="13" s="1"/>
  <c r="K28" i="13" s="1"/>
  <c r="L28" i="13" s="1"/>
  <c r="D28" i="13"/>
  <c r="I27" i="13"/>
  <c r="H27" i="13"/>
  <c r="F27" i="13"/>
  <c r="E27" i="13"/>
  <c r="G27" i="13" s="1"/>
  <c r="K27" i="13" s="1"/>
  <c r="L27" i="13" s="1"/>
  <c r="D27" i="13"/>
  <c r="I26" i="13"/>
  <c r="H26" i="13"/>
  <c r="F26" i="13"/>
  <c r="E26" i="13"/>
  <c r="G26" i="13" s="1"/>
  <c r="K26" i="13" s="1"/>
  <c r="L26" i="13" s="1"/>
  <c r="D26" i="13"/>
  <c r="I25" i="13"/>
  <c r="H25" i="13"/>
  <c r="F25" i="13"/>
  <c r="E25" i="13"/>
  <c r="G25" i="13" s="1"/>
  <c r="K25" i="13" s="1"/>
  <c r="L25" i="13" s="1"/>
  <c r="D25" i="13"/>
  <c r="I24" i="13"/>
  <c r="H24" i="13"/>
  <c r="F24" i="13"/>
  <c r="E24" i="13"/>
  <c r="G24" i="13" s="1"/>
  <c r="K24" i="13" s="1"/>
  <c r="L24" i="13" s="1"/>
  <c r="D24" i="13"/>
  <c r="I23" i="13"/>
  <c r="H23" i="13"/>
  <c r="F23" i="13"/>
  <c r="E23" i="13"/>
  <c r="G23" i="13" s="1"/>
  <c r="K23" i="13" s="1"/>
  <c r="L23" i="13" s="1"/>
  <c r="D23" i="13"/>
  <c r="I22" i="13"/>
  <c r="H22" i="13"/>
  <c r="F22" i="13"/>
  <c r="E22" i="13"/>
  <c r="G22" i="13" s="1"/>
  <c r="K22" i="13" s="1"/>
  <c r="L22" i="13" s="1"/>
  <c r="D22" i="13"/>
  <c r="I21" i="13"/>
  <c r="H21" i="13"/>
  <c r="F21" i="13"/>
  <c r="E21" i="13"/>
  <c r="G21" i="13" s="1"/>
  <c r="K21" i="13" s="1"/>
  <c r="L21" i="13" s="1"/>
  <c r="D21" i="13"/>
  <c r="I20" i="13"/>
  <c r="H20" i="13"/>
  <c r="F20" i="13"/>
  <c r="E20" i="13"/>
  <c r="G20" i="13" s="1"/>
  <c r="K20" i="13" s="1"/>
  <c r="L20" i="13" s="1"/>
  <c r="D20" i="13"/>
  <c r="I19" i="13"/>
  <c r="H19" i="13"/>
  <c r="F19" i="13"/>
  <c r="E19" i="13"/>
  <c r="G19" i="13" s="1"/>
  <c r="K19" i="13" s="1"/>
  <c r="L19" i="13" s="1"/>
  <c r="D19" i="13"/>
  <c r="I18" i="13"/>
  <c r="H18" i="13"/>
  <c r="F18" i="13"/>
  <c r="E18" i="13"/>
  <c r="G18" i="13" s="1"/>
  <c r="K18" i="13" s="1"/>
  <c r="L18" i="13" s="1"/>
  <c r="D18" i="13"/>
  <c r="I17" i="13"/>
  <c r="H17" i="13"/>
  <c r="F17" i="13"/>
  <c r="E17" i="13"/>
  <c r="G17" i="13" s="1"/>
  <c r="K17" i="13" s="1"/>
  <c r="L17" i="13" s="1"/>
  <c r="D17" i="13"/>
  <c r="I16" i="13"/>
  <c r="H16" i="13"/>
  <c r="F16" i="13"/>
  <c r="E16" i="13"/>
  <c r="G16" i="13" s="1"/>
  <c r="K16" i="13" s="1"/>
  <c r="L16" i="13" s="1"/>
  <c r="D16" i="13"/>
  <c r="I15" i="13"/>
  <c r="H15" i="13"/>
  <c r="F15" i="13"/>
  <c r="E15" i="13"/>
  <c r="G15" i="13" s="1"/>
  <c r="K15" i="13" s="1"/>
  <c r="L15" i="13" s="1"/>
  <c r="D15" i="13"/>
  <c r="I14" i="13"/>
  <c r="H14" i="13"/>
  <c r="F14" i="13"/>
  <c r="E14" i="13"/>
  <c r="G14" i="13" s="1"/>
  <c r="K14" i="13" s="1"/>
  <c r="L14" i="13" s="1"/>
  <c r="D14" i="13"/>
  <c r="I13" i="13"/>
  <c r="H13" i="13"/>
  <c r="F13" i="13"/>
  <c r="E13" i="13"/>
  <c r="G13" i="13" s="1"/>
  <c r="K13" i="13" s="1"/>
  <c r="L13" i="13" s="1"/>
  <c r="D13" i="13"/>
  <c r="I12" i="13"/>
  <c r="H12" i="13"/>
  <c r="F12" i="13"/>
  <c r="E12" i="13"/>
  <c r="G12" i="13" s="1"/>
  <c r="K12" i="13" s="1"/>
  <c r="L12" i="13" s="1"/>
  <c r="D12" i="13"/>
  <c r="I11" i="13"/>
  <c r="H11" i="13"/>
  <c r="F11" i="13"/>
  <c r="E11" i="13"/>
  <c r="G11" i="13" s="1"/>
  <c r="K11" i="13" s="1"/>
  <c r="L11" i="13" s="1"/>
  <c r="D11" i="13"/>
  <c r="I10" i="13"/>
  <c r="H10" i="13"/>
  <c r="F10" i="13"/>
  <c r="E10" i="13"/>
  <c r="G10" i="13" s="1"/>
  <c r="K10" i="13" s="1"/>
  <c r="L10" i="13" s="1"/>
  <c r="D10" i="13"/>
  <c r="I9" i="13"/>
  <c r="H9" i="13"/>
  <c r="F9" i="13"/>
  <c r="E9" i="13"/>
  <c r="G9" i="13" s="1"/>
  <c r="K9" i="13" s="1"/>
  <c r="L9" i="13" s="1"/>
  <c r="D9" i="13"/>
  <c r="I8" i="13"/>
  <c r="H8" i="13"/>
  <c r="F8" i="13"/>
  <c r="E8" i="13"/>
  <c r="G8" i="13" s="1"/>
  <c r="K8" i="13" s="1"/>
  <c r="L8" i="13" s="1"/>
  <c r="D8" i="13"/>
  <c r="I7" i="13"/>
  <c r="H7" i="13"/>
  <c r="F7" i="13"/>
  <c r="E7" i="13"/>
  <c r="G7" i="13" s="1"/>
  <c r="K7" i="13" s="1"/>
  <c r="L7" i="13" s="1"/>
  <c r="D7" i="13"/>
  <c r="I6" i="13"/>
  <c r="H6" i="13"/>
  <c r="F6" i="13"/>
  <c r="E6" i="13"/>
  <c r="G6" i="13" s="1"/>
  <c r="K6" i="13" s="1"/>
  <c r="L6" i="13" s="1"/>
  <c r="D6" i="13"/>
  <c r="I5" i="13"/>
  <c r="H5" i="13"/>
  <c r="F5" i="13"/>
  <c r="E5" i="13"/>
  <c r="G5" i="13" s="1"/>
  <c r="K5" i="13" s="1"/>
  <c r="L5" i="13" s="1"/>
  <c r="D5" i="13"/>
  <c r="I4" i="13"/>
  <c r="H4" i="13"/>
  <c r="F4" i="13"/>
  <c r="E4" i="13"/>
  <c r="G4" i="13" s="1"/>
  <c r="K4" i="13" s="1"/>
  <c r="L4" i="13" s="1"/>
  <c r="D4" i="13"/>
  <c r="I3" i="13"/>
  <c r="H3" i="13"/>
  <c r="F3" i="13"/>
  <c r="E3" i="13"/>
  <c r="G3" i="13" s="1"/>
  <c r="K3" i="13" s="1"/>
  <c r="L3" i="13" s="1"/>
  <c r="D3" i="13"/>
  <c r="I2" i="13"/>
  <c r="H2" i="13"/>
  <c r="F2" i="13"/>
  <c r="E2" i="13"/>
  <c r="G2" i="13" s="1"/>
  <c r="D2" i="13"/>
  <c r="K1001" i="11"/>
  <c r="I1001" i="11"/>
  <c r="G1001" i="11"/>
  <c r="J1001" i="11" s="1"/>
  <c r="F1001" i="11"/>
  <c r="E1001" i="11"/>
  <c r="H1001" i="11" s="1"/>
  <c r="D1001" i="11"/>
  <c r="I1000" i="11"/>
  <c r="G1000" i="11"/>
  <c r="J1000" i="11" s="1"/>
  <c r="K1000" i="11" s="1"/>
  <c r="F1000" i="11"/>
  <c r="E1000" i="11"/>
  <c r="H1000" i="11" s="1"/>
  <c r="D1000" i="11"/>
  <c r="K999" i="11"/>
  <c r="I999" i="11"/>
  <c r="G999" i="11"/>
  <c r="J999" i="11" s="1"/>
  <c r="F999" i="11"/>
  <c r="E999" i="11"/>
  <c r="H999" i="11" s="1"/>
  <c r="D999" i="11"/>
  <c r="I998" i="11"/>
  <c r="G998" i="11"/>
  <c r="J998" i="11" s="1"/>
  <c r="K998" i="11" s="1"/>
  <c r="F998" i="11"/>
  <c r="E998" i="11"/>
  <c r="H998" i="11" s="1"/>
  <c r="D998" i="11"/>
  <c r="K997" i="11"/>
  <c r="I997" i="11"/>
  <c r="G997" i="11"/>
  <c r="J997" i="11" s="1"/>
  <c r="F997" i="11"/>
  <c r="E997" i="11"/>
  <c r="H997" i="11" s="1"/>
  <c r="D997" i="11"/>
  <c r="I996" i="11"/>
  <c r="G996" i="11"/>
  <c r="J996" i="11" s="1"/>
  <c r="K996" i="11" s="1"/>
  <c r="F996" i="11"/>
  <c r="E996" i="11"/>
  <c r="H996" i="11" s="1"/>
  <c r="D996" i="11"/>
  <c r="K995" i="11"/>
  <c r="I995" i="11"/>
  <c r="G995" i="11"/>
  <c r="J995" i="11" s="1"/>
  <c r="F995" i="11"/>
  <c r="E995" i="11"/>
  <c r="H995" i="11" s="1"/>
  <c r="D995" i="11"/>
  <c r="I994" i="11"/>
  <c r="G994" i="11"/>
  <c r="J994" i="11" s="1"/>
  <c r="K994" i="11" s="1"/>
  <c r="F994" i="11"/>
  <c r="E994" i="11"/>
  <c r="H994" i="11" s="1"/>
  <c r="D994" i="11"/>
  <c r="K993" i="11"/>
  <c r="I993" i="11"/>
  <c r="G993" i="11"/>
  <c r="J993" i="11" s="1"/>
  <c r="F993" i="11"/>
  <c r="E993" i="11"/>
  <c r="H993" i="11" s="1"/>
  <c r="D993" i="11"/>
  <c r="I992" i="11"/>
  <c r="G992" i="11"/>
  <c r="J992" i="11" s="1"/>
  <c r="K992" i="11" s="1"/>
  <c r="F992" i="11"/>
  <c r="E992" i="11"/>
  <c r="H992" i="11" s="1"/>
  <c r="D992" i="11"/>
  <c r="K991" i="11"/>
  <c r="I991" i="11"/>
  <c r="G991" i="11"/>
  <c r="J991" i="11" s="1"/>
  <c r="F991" i="11"/>
  <c r="E991" i="11"/>
  <c r="H991" i="11" s="1"/>
  <c r="D991" i="11"/>
  <c r="I990" i="11"/>
  <c r="G990" i="11"/>
  <c r="J990" i="11" s="1"/>
  <c r="K990" i="11" s="1"/>
  <c r="F990" i="11"/>
  <c r="E990" i="11"/>
  <c r="H990" i="11" s="1"/>
  <c r="D990" i="11"/>
  <c r="K989" i="11"/>
  <c r="I989" i="11"/>
  <c r="G989" i="11"/>
  <c r="J989" i="11" s="1"/>
  <c r="F989" i="11"/>
  <c r="E989" i="11"/>
  <c r="H989" i="11" s="1"/>
  <c r="D989" i="11"/>
  <c r="I988" i="11"/>
  <c r="G988" i="11"/>
  <c r="J988" i="11" s="1"/>
  <c r="K988" i="11" s="1"/>
  <c r="F988" i="11"/>
  <c r="E988" i="11"/>
  <c r="H988" i="11" s="1"/>
  <c r="D988" i="11"/>
  <c r="K987" i="11"/>
  <c r="I987" i="11"/>
  <c r="G987" i="11"/>
  <c r="J987" i="11" s="1"/>
  <c r="F987" i="11"/>
  <c r="E987" i="11"/>
  <c r="H987" i="11" s="1"/>
  <c r="D987" i="11"/>
  <c r="I986" i="11"/>
  <c r="G986" i="11"/>
  <c r="J986" i="11" s="1"/>
  <c r="K986" i="11" s="1"/>
  <c r="F986" i="11"/>
  <c r="E986" i="11"/>
  <c r="H986" i="11" s="1"/>
  <c r="D986" i="11"/>
  <c r="K985" i="11"/>
  <c r="I985" i="11"/>
  <c r="G985" i="11"/>
  <c r="J985" i="11" s="1"/>
  <c r="F985" i="11"/>
  <c r="E985" i="11"/>
  <c r="H985" i="11" s="1"/>
  <c r="D985" i="11"/>
  <c r="I984" i="11"/>
  <c r="G984" i="11"/>
  <c r="J984" i="11" s="1"/>
  <c r="K984" i="11" s="1"/>
  <c r="F984" i="11"/>
  <c r="E984" i="11"/>
  <c r="H984" i="11" s="1"/>
  <c r="D984" i="11"/>
  <c r="K983" i="11"/>
  <c r="I983" i="11"/>
  <c r="G983" i="11"/>
  <c r="J983" i="11" s="1"/>
  <c r="F983" i="11"/>
  <c r="E983" i="11"/>
  <c r="H983" i="11" s="1"/>
  <c r="D983" i="11"/>
  <c r="I982" i="11"/>
  <c r="G982" i="11"/>
  <c r="J982" i="11" s="1"/>
  <c r="K982" i="11" s="1"/>
  <c r="F982" i="11"/>
  <c r="E982" i="11"/>
  <c r="H982" i="11" s="1"/>
  <c r="D982" i="11"/>
  <c r="K981" i="11"/>
  <c r="I981" i="11"/>
  <c r="G981" i="11"/>
  <c r="J981" i="11" s="1"/>
  <c r="F981" i="11"/>
  <c r="E981" i="11"/>
  <c r="H981" i="11" s="1"/>
  <c r="D981" i="11"/>
  <c r="I980" i="11"/>
  <c r="G980" i="11"/>
  <c r="J980" i="11" s="1"/>
  <c r="K980" i="11" s="1"/>
  <c r="F980" i="11"/>
  <c r="E980" i="11"/>
  <c r="H980" i="11" s="1"/>
  <c r="D980" i="11"/>
  <c r="K979" i="11"/>
  <c r="I979" i="11"/>
  <c r="G979" i="11"/>
  <c r="J979" i="11" s="1"/>
  <c r="F979" i="11"/>
  <c r="E979" i="11"/>
  <c r="H979" i="11" s="1"/>
  <c r="D979" i="11"/>
  <c r="I978" i="11"/>
  <c r="G978" i="11"/>
  <c r="J978" i="11" s="1"/>
  <c r="K978" i="11" s="1"/>
  <c r="F978" i="11"/>
  <c r="E978" i="11"/>
  <c r="H978" i="11" s="1"/>
  <c r="D978" i="11"/>
  <c r="K977" i="11"/>
  <c r="I977" i="11"/>
  <c r="G977" i="11"/>
  <c r="J977" i="11" s="1"/>
  <c r="F977" i="11"/>
  <c r="E977" i="11"/>
  <c r="H977" i="11" s="1"/>
  <c r="D977" i="11"/>
  <c r="I976" i="11"/>
  <c r="G976" i="11"/>
  <c r="J976" i="11" s="1"/>
  <c r="K976" i="11" s="1"/>
  <c r="F976" i="11"/>
  <c r="E976" i="11"/>
  <c r="H976" i="11" s="1"/>
  <c r="D976" i="11"/>
  <c r="K975" i="11"/>
  <c r="I975" i="11"/>
  <c r="G975" i="11"/>
  <c r="J975" i="11" s="1"/>
  <c r="F975" i="11"/>
  <c r="E975" i="11"/>
  <c r="H975" i="11" s="1"/>
  <c r="D975" i="11"/>
  <c r="I974" i="11"/>
  <c r="G974" i="11"/>
  <c r="J974" i="11" s="1"/>
  <c r="K974" i="11" s="1"/>
  <c r="F974" i="11"/>
  <c r="E974" i="11"/>
  <c r="H974" i="11" s="1"/>
  <c r="D974" i="11"/>
  <c r="K973" i="11"/>
  <c r="I973" i="11"/>
  <c r="G973" i="11"/>
  <c r="J973" i="11" s="1"/>
  <c r="F973" i="11"/>
  <c r="E973" i="11"/>
  <c r="H973" i="11" s="1"/>
  <c r="D973" i="11"/>
  <c r="I972" i="11"/>
  <c r="G972" i="11"/>
  <c r="J972" i="11" s="1"/>
  <c r="K972" i="11" s="1"/>
  <c r="F972" i="11"/>
  <c r="E972" i="11"/>
  <c r="H972" i="11" s="1"/>
  <c r="D972" i="11"/>
  <c r="K971" i="11"/>
  <c r="I971" i="11"/>
  <c r="G971" i="11"/>
  <c r="J971" i="11" s="1"/>
  <c r="F971" i="11"/>
  <c r="E971" i="11"/>
  <c r="H971" i="11" s="1"/>
  <c r="D971" i="11"/>
  <c r="I970" i="11"/>
  <c r="G970" i="11"/>
  <c r="J970" i="11" s="1"/>
  <c r="K970" i="11" s="1"/>
  <c r="F970" i="11"/>
  <c r="E970" i="11"/>
  <c r="H970" i="11" s="1"/>
  <c r="D970" i="11"/>
  <c r="K969" i="11"/>
  <c r="I969" i="11"/>
  <c r="G969" i="11"/>
  <c r="J969" i="11" s="1"/>
  <c r="F969" i="11"/>
  <c r="E969" i="11"/>
  <c r="H969" i="11" s="1"/>
  <c r="D969" i="11"/>
  <c r="I968" i="11"/>
  <c r="G968" i="11"/>
  <c r="J968" i="11" s="1"/>
  <c r="K968" i="11" s="1"/>
  <c r="F968" i="11"/>
  <c r="E968" i="11"/>
  <c r="H968" i="11" s="1"/>
  <c r="D968" i="11"/>
  <c r="K967" i="11"/>
  <c r="I967" i="11"/>
  <c r="G967" i="11"/>
  <c r="J967" i="11" s="1"/>
  <c r="F967" i="11"/>
  <c r="E967" i="11"/>
  <c r="H967" i="11" s="1"/>
  <c r="D967" i="11"/>
  <c r="I966" i="11"/>
  <c r="G966" i="11"/>
  <c r="J966" i="11" s="1"/>
  <c r="K966" i="11" s="1"/>
  <c r="F966" i="11"/>
  <c r="E966" i="11"/>
  <c r="H966" i="11" s="1"/>
  <c r="D966" i="11"/>
  <c r="K965" i="11"/>
  <c r="I965" i="11"/>
  <c r="G965" i="11"/>
  <c r="J965" i="11" s="1"/>
  <c r="F965" i="11"/>
  <c r="E965" i="11"/>
  <c r="H965" i="11" s="1"/>
  <c r="D965" i="11"/>
  <c r="I964" i="11"/>
  <c r="G964" i="11"/>
  <c r="J964" i="11" s="1"/>
  <c r="K964" i="11" s="1"/>
  <c r="F964" i="11"/>
  <c r="E964" i="11"/>
  <c r="H964" i="11" s="1"/>
  <c r="D964" i="11"/>
  <c r="K963" i="11"/>
  <c r="I963" i="11"/>
  <c r="G963" i="11"/>
  <c r="J963" i="11" s="1"/>
  <c r="F963" i="11"/>
  <c r="E963" i="11"/>
  <c r="H963" i="11" s="1"/>
  <c r="D963" i="11"/>
  <c r="I962" i="11"/>
  <c r="G962" i="11"/>
  <c r="J962" i="11" s="1"/>
  <c r="K962" i="11" s="1"/>
  <c r="F962" i="11"/>
  <c r="E962" i="11"/>
  <c r="H962" i="11" s="1"/>
  <c r="D962" i="11"/>
  <c r="I961" i="11"/>
  <c r="F961" i="11"/>
  <c r="E961" i="11"/>
  <c r="D961" i="11"/>
  <c r="I960" i="11"/>
  <c r="G960" i="11"/>
  <c r="J960" i="11" s="1"/>
  <c r="K960" i="11" s="1"/>
  <c r="F960" i="11"/>
  <c r="E960" i="11"/>
  <c r="H960" i="11" s="1"/>
  <c r="D960" i="11"/>
  <c r="I959" i="11"/>
  <c r="F959" i="11"/>
  <c r="E959" i="11"/>
  <c r="D959" i="11"/>
  <c r="I958" i="11"/>
  <c r="G958" i="11"/>
  <c r="J958" i="11" s="1"/>
  <c r="K958" i="11" s="1"/>
  <c r="F958" i="11"/>
  <c r="E958" i="11"/>
  <c r="H958" i="11" s="1"/>
  <c r="D958" i="11"/>
  <c r="I957" i="11"/>
  <c r="F957" i="11"/>
  <c r="E957" i="11"/>
  <c r="D957" i="11"/>
  <c r="I956" i="11"/>
  <c r="G956" i="11"/>
  <c r="J956" i="11" s="1"/>
  <c r="K956" i="11" s="1"/>
  <c r="F956" i="11"/>
  <c r="E956" i="11"/>
  <c r="H956" i="11" s="1"/>
  <c r="D956" i="11"/>
  <c r="I955" i="11"/>
  <c r="F955" i="11"/>
  <c r="E955" i="11"/>
  <c r="D955" i="11"/>
  <c r="I954" i="11"/>
  <c r="G954" i="11"/>
  <c r="J954" i="11" s="1"/>
  <c r="K954" i="11" s="1"/>
  <c r="F954" i="11"/>
  <c r="E954" i="11"/>
  <c r="H954" i="11" s="1"/>
  <c r="D954" i="11"/>
  <c r="I953" i="11"/>
  <c r="F953" i="11"/>
  <c r="E953" i="11"/>
  <c r="D953" i="11"/>
  <c r="I952" i="11"/>
  <c r="G952" i="11"/>
  <c r="J952" i="11" s="1"/>
  <c r="K952" i="11" s="1"/>
  <c r="F952" i="11"/>
  <c r="E952" i="11"/>
  <c r="H952" i="11" s="1"/>
  <c r="D952" i="11"/>
  <c r="I951" i="11"/>
  <c r="F951" i="11"/>
  <c r="E951" i="11"/>
  <c r="D951" i="11"/>
  <c r="I950" i="11"/>
  <c r="G950" i="11"/>
  <c r="J950" i="11" s="1"/>
  <c r="K950" i="11" s="1"/>
  <c r="F950" i="11"/>
  <c r="E950" i="11"/>
  <c r="H950" i="11" s="1"/>
  <c r="D950" i="11"/>
  <c r="I949" i="11"/>
  <c r="F949" i="11"/>
  <c r="E949" i="11"/>
  <c r="D949" i="11"/>
  <c r="I948" i="11"/>
  <c r="G948" i="11"/>
  <c r="J948" i="11" s="1"/>
  <c r="K948" i="11" s="1"/>
  <c r="F948" i="11"/>
  <c r="E948" i="11"/>
  <c r="H948" i="11" s="1"/>
  <c r="D948" i="11"/>
  <c r="I947" i="11"/>
  <c r="F947" i="11"/>
  <c r="E947" i="11"/>
  <c r="D947" i="11"/>
  <c r="I946" i="11"/>
  <c r="G946" i="11"/>
  <c r="J946" i="11" s="1"/>
  <c r="K946" i="11" s="1"/>
  <c r="F946" i="11"/>
  <c r="E946" i="11"/>
  <c r="H946" i="11" s="1"/>
  <c r="D946" i="11"/>
  <c r="I945" i="11"/>
  <c r="F945" i="11"/>
  <c r="E945" i="11"/>
  <c r="D945" i="11"/>
  <c r="I944" i="11"/>
  <c r="G944" i="11"/>
  <c r="J944" i="11" s="1"/>
  <c r="K944" i="11" s="1"/>
  <c r="F944" i="11"/>
  <c r="E944" i="11"/>
  <c r="H944" i="11" s="1"/>
  <c r="D944" i="11"/>
  <c r="I943" i="11"/>
  <c r="F943" i="11"/>
  <c r="E943" i="11"/>
  <c r="D943" i="11"/>
  <c r="I942" i="11"/>
  <c r="G942" i="11"/>
  <c r="J942" i="11" s="1"/>
  <c r="K942" i="11" s="1"/>
  <c r="F942" i="11"/>
  <c r="E942" i="11"/>
  <c r="H942" i="11" s="1"/>
  <c r="D942" i="11"/>
  <c r="I941" i="11"/>
  <c r="F941" i="11"/>
  <c r="E941" i="11"/>
  <c r="D941" i="11"/>
  <c r="I940" i="11"/>
  <c r="G940" i="11"/>
  <c r="J940" i="11" s="1"/>
  <c r="K940" i="11" s="1"/>
  <c r="F940" i="11"/>
  <c r="E940" i="11"/>
  <c r="H940" i="11" s="1"/>
  <c r="D940" i="11"/>
  <c r="I939" i="11"/>
  <c r="G939" i="11"/>
  <c r="J939" i="11" s="1"/>
  <c r="K939" i="11" s="1"/>
  <c r="F939" i="11"/>
  <c r="E939" i="11"/>
  <c r="H939" i="11" s="1"/>
  <c r="D939" i="11"/>
  <c r="I938" i="11"/>
  <c r="F938" i="11"/>
  <c r="E938" i="11"/>
  <c r="D938" i="11"/>
  <c r="I937" i="11"/>
  <c r="G937" i="11"/>
  <c r="J937" i="11" s="1"/>
  <c r="K937" i="11" s="1"/>
  <c r="F937" i="11"/>
  <c r="E937" i="11"/>
  <c r="H937" i="11" s="1"/>
  <c r="D937" i="11"/>
  <c r="I936" i="11"/>
  <c r="F936" i="11"/>
  <c r="E936" i="11"/>
  <c r="D936" i="11"/>
  <c r="I935" i="11"/>
  <c r="G935" i="11"/>
  <c r="J935" i="11" s="1"/>
  <c r="K935" i="11" s="1"/>
  <c r="F935" i="11"/>
  <c r="E935" i="11"/>
  <c r="H935" i="11" s="1"/>
  <c r="D935" i="11"/>
  <c r="I934" i="11"/>
  <c r="F934" i="11"/>
  <c r="E934" i="11"/>
  <c r="D934" i="11"/>
  <c r="I933" i="11"/>
  <c r="G933" i="11"/>
  <c r="J933" i="11" s="1"/>
  <c r="K933" i="11" s="1"/>
  <c r="F933" i="11"/>
  <c r="E933" i="11"/>
  <c r="H933" i="11" s="1"/>
  <c r="D933" i="11"/>
  <c r="I932" i="11"/>
  <c r="F932" i="11"/>
  <c r="E932" i="11"/>
  <c r="D932" i="11"/>
  <c r="I931" i="11"/>
  <c r="G931" i="11"/>
  <c r="J931" i="11" s="1"/>
  <c r="K931" i="11" s="1"/>
  <c r="F931" i="11"/>
  <c r="E931" i="11"/>
  <c r="H931" i="11" s="1"/>
  <c r="D931" i="11"/>
  <c r="I930" i="11"/>
  <c r="F930" i="11"/>
  <c r="E930" i="11"/>
  <c r="D930" i="11"/>
  <c r="I929" i="11"/>
  <c r="G929" i="11"/>
  <c r="J929" i="11" s="1"/>
  <c r="K929" i="11" s="1"/>
  <c r="F929" i="11"/>
  <c r="E929" i="11"/>
  <c r="H929" i="11" s="1"/>
  <c r="D929" i="11"/>
  <c r="I928" i="11"/>
  <c r="F928" i="11"/>
  <c r="E928" i="11"/>
  <c r="D928" i="11"/>
  <c r="I927" i="11"/>
  <c r="G927" i="11"/>
  <c r="J927" i="11" s="1"/>
  <c r="K927" i="11" s="1"/>
  <c r="F927" i="11"/>
  <c r="E927" i="11"/>
  <c r="H927" i="11" s="1"/>
  <c r="D927" i="11"/>
  <c r="I926" i="11"/>
  <c r="F926" i="11"/>
  <c r="E926" i="11"/>
  <c r="D926" i="11"/>
  <c r="I925" i="11"/>
  <c r="G925" i="11"/>
  <c r="J925" i="11" s="1"/>
  <c r="K925" i="11" s="1"/>
  <c r="F925" i="11"/>
  <c r="E925" i="11"/>
  <c r="H925" i="11" s="1"/>
  <c r="D925" i="11"/>
  <c r="I924" i="11"/>
  <c r="F924" i="11"/>
  <c r="E924" i="11"/>
  <c r="D924" i="11"/>
  <c r="I923" i="11"/>
  <c r="G923" i="11"/>
  <c r="J923" i="11" s="1"/>
  <c r="K923" i="11" s="1"/>
  <c r="F923" i="11"/>
  <c r="E923" i="11"/>
  <c r="H923" i="11" s="1"/>
  <c r="D923" i="11"/>
  <c r="I922" i="11"/>
  <c r="F922" i="11"/>
  <c r="E922" i="11"/>
  <c r="D922" i="11"/>
  <c r="I921" i="11"/>
  <c r="G921" i="11"/>
  <c r="J921" i="11" s="1"/>
  <c r="K921" i="11" s="1"/>
  <c r="F921" i="11"/>
  <c r="E921" i="11"/>
  <c r="H921" i="11" s="1"/>
  <c r="D921" i="11"/>
  <c r="I920" i="11"/>
  <c r="F920" i="11"/>
  <c r="E920" i="11"/>
  <c r="D920" i="11"/>
  <c r="G919" i="11"/>
  <c r="J919" i="11" s="1"/>
  <c r="K919" i="11" s="1"/>
  <c r="F919" i="11"/>
  <c r="I919" i="11" s="1"/>
  <c r="E919" i="11"/>
  <c r="H919" i="11" s="1"/>
  <c r="D919" i="11"/>
  <c r="I918" i="11"/>
  <c r="F918" i="11"/>
  <c r="E918" i="11"/>
  <c r="H918" i="11" s="1"/>
  <c r="D918" i="11"/>
  <c r="I917" i="11"/>
  <c r="F917" i="11"/>
  <c r="E917" i="11"/>
  <c r="D917" i="11"/>
  <c r="I916" i="11"/>
  <c r="G916" i="11"/>
  <c r="J916" i="11" s="1"/>
  <c r="K916" i="11" s="1"/>
  <c r="F916" i="11"/>
  <c r="E916" i="11"/>
  <c r="H916" i="11" s="1"/>
  <c r="D916" i="11"/>
  <c r="I915" i="11"/>
  <c r="F915" i="11"/>
  <c r="E915" i="11"/>
  <c r="D915" i="11"/>
  <c r="I914" i="11"/>
  <c r="G914" i="11"/>
  <c r="J914" i="11" s="1"/>
  <c r="K914" i="11" s="1"/>
  <c r="F914" i="11"/>
  <c r="E914" i="11"/>
  <c r="H914" i="11" s="1"/>
  <c r="D914" i="11"/>
  <c r="I913" i="11"/>
  <c r="F913" i="11"/>
  <c r="E913" i="11"/>
  <c r="D913" i="11"/>
  <c r="I912" i="11"/>
  <c r="G912" i="11"/>
  <c r="J912" i="11" s="1"/>
  <c r="K912" i="11" s="1"/>
  <c r="F912" i="11"/>
  <c r="E912" i="11"/>
  <c r="H912" i="11" s="1"/>
  <c r="D912" i="11"/>
  <c r="I911" i="11"/>
  <c r="F911" i="11"/>
  <c r="E911" i="11"/>
  <c r="D911" i="11"/>
  <c r="I910" i="11"/>
  <c r="G910" i="11"/>
  <c r="J910" i="11" s="1"/>
  <c r="K910" i="11" s="1"/>
  <c r="F910" i="11"/>
  <c r="E910" i="11"/>
  <c r="H910" i="11" s="1"/>
  <c r="D910" i="11"/>
  <c r="I909" i="11"/>
  <c r="F909" i="11"/>
  <c r="E909" i="11"/>
  <c r="D909" i="11"/>
  <c r="I908" i="11"/>
  <c r="G908" i="11"/>
  <c r="J908" i="11" s="1"/>
  <c r="K908" i="11" s="1"/>
  <c r="F908" i="11"/>
  <c r="E908" i="11"/>
  <c r="H908" i="11" s="1"/>
  <c r="D908" i="11"/>
  <c r="I907" i="11"/>
  <c r="F907" i="11"/>
  <c r="E907" i="11"/>
  <c r="D907" i="11"/>
  <c r="I906" i="11"/>
  <c r="G906" i="11"/>
  <c r="J906" i="11" s="1"/>
  <c r="K906" i="11" s="1"/>
  <c r="F906" i="11"/>
  <c r="E906" i="11"/>
  <c r="H906" i="11" s="1"/>
  <c r="D906" i="11"/>
  <c r="I905" i="11"/>
  <c r="F905" i="11"/>
  <c r="E905" i="11"/>
  <c r="D905" i="11"/>
  <c r="I904" i="11"/>
  <c r="G904" i="11"/>
  <c r="J904" i="11" s="1"/>
  <c r="K904" i="11" s="1"/>
  <c r="F904" i="11"/>
  <c r="E904" i="11"/>
  <c r="H904" i="11" s="1"/>
  <c r="D904" i="11"/>
  <c r="I903" i="11"/>
  <c r="F903" i="11"/>
  <c r="E903" i="11"/>
  <c r="D903" i="11"/>
  <c r="I902" i="11"/>
  <c r="G902" i="11"/>
  <c r="J902" i="11" s="1"/>
  <c r="K902" i="11" s="1"/>
  <c r="F902" i="11"/>
  <c r="E902" i="11"/>
  <c r="H902" i="11" s="1"/>
  <c r="D902" i="11"/>
  <c r="I901" i="11"/>
  <c r="F901" i="11"/>
  <c r="E901" i="11"/>
  <c r="D901" i="11"/>
  <c r="I900" i="11"/>
  <c r="G900" i="11"/>
  <c r="J900" i="11" s="1"/>
  <c r="K900" i="11" s="1"/>
  <c r="F900" i="11"/>
  <c r="E900" i="11"/>
  <c r="H900" i="11" s="1"/>
  <c r="D900" i="11"/>
  <c r="I899" i="11"/>
  <c r="F899" i="11"/>
  <c r="E899" i="11"/>
  <c r="D899" i="11"/>
  <c r="I898" i="11"/>
  <c r="G898" i="11"/>
  <c r="J898" i="11" s="1"/>
  <c r="K898" i="11" s="1"/>
  <c r="F898" i="11"/>
  <c r="E898" i="11"/>
  <c r="H898" i="11" s="1"/>
  <c r="D898" i="11"/>
  <c r="I897" i="11"/>
  <c r="F897" i="11"/>
  <c r="E897" i="11"/>
  <c r="D897" i="11"/>
  <c r="I896" i="11"/>
  <c r="G896" i="11"/>
  <c r="J896" i="11" s="1"/>
  <c r="K896" i="11" s="1"/>
  <c r="F896" i="11"/>
  <c r="E896" i="11"/>
  <c r="H896" i="11" s="1"/>
  <c r="D896" i="11"/>
  <c r="I895" i="11"/>
  <c r="F895" i="11"/>
  <c r="E895" i="11"/>
  <c r="D895" i="11"/>
  <c r="I894" i="11"/>
  <c r="G894" i="11"/>
  <c r="J894" i="11" s="1"/>
  <c r="K894" i="11" s="1"/>
  <c r="F894" i="11"/>
  <c r="E894" i="11"/>
  <c r="H894" i="11" s="1"/>
  <c r="D894" i="11"/>
  <c r="I893" i="11"/>
  <c r="F893" i="11"/>
  <c r="E893" i="11"/>
  <c r="D893" i="11"/>
  <c r="I892" i="11"/>
  <c r="G892" i="11"/>
  <c r="J892" i="11" s="1"/>
  <c r="K892" i="11" s="1"/>
  <c r="F892" i="11"/>
  <c r="E892" i="11"/>
  <c r="H892" i="11" s="1"/>
  <c r="D892" i="11"/>
  <c r="I891" i="11"/>
  <c r="F891" i="11"/>
  <c r="E891" i="11"/>
  <c r="D891" i="11"/>
  <c r="I890" i="11"/>
  <c r="G890" i="11"/>
  <c r="J890" i="11" s="1"/>
  <c r="K890" i="11" s="1"/>
  <c r="F890" i="11"/>
  <c r="E890" i="11"/>
  <c r="H890" i="11" s="1"/>
  <c r="D890" i="11"/>
  <c r="I889" i="11"/>
  <c r="F889" i="11"/>
  <c r="E889" i="11"/>
  <c r="D889" i="11"/>
  <c r="I888" i="11"/>
  <c r="G888" i="11"/>
  <c r="J888" i="11" s="1"/>
  <c r="K888" i="11" s="1"/>
  <c r="F888" i="11"/>
  <c r="E888" i="11"/>
  <c r="H888" i="11" s="1"/>
  <c r="D888" i="11"/>
  <c r="I887" i="11"/>
  <c r="F887" i="11"/>
  <c r="E887" i="11"/>
  <c r="D887" i="11"/>
  <c r="I886" i="11"/>
  <c r="G886" i="11"/>
  <c r="J886" i="11" s="1"/>
  <c r="K886" i="11" s="1"/>
  <c r="F886" i="11"/>
  <c r="E886" i="11"/>
  <c r="H886" i="11" s="1"/>
  <c r="D886" i="11"/>
  <c r="I885" i="11"/>
  <c r="F885" i="11"/>
  <c r="E885" i="11"/>
  <c r="D885" i="11"/>
  <c r="I884" i="11"/>
  <c r="G884" i="11"/>
  <c r="J884" i="11" s="1"/>
  <c r="K884" i="11" s="1"/>
  <c r="F884" i="11"/>
  <c r="E884" i="11"/>
  <c r="H884" i="11" s="1"/>
  <c r="D884" i="11"/>
  <c r="I883" i="11"/>
  <c r="F883" i="11"/>
  <c r="E883" i="11"/>
  <c r="D883" i="11"/>
  <c r="I882" i="11"/>
  <c r="G882" i="11"/>
  <c r="J882" i="11" s="1"/>
  <c r="K882" i="11" s="1"/>
  <c r="F882" i="11"/>
  <c r="E882" i="11"/>
  <c r="H882" i="11" s="1"/>
  <c r="D882" i="11"/>
  <c r="I881" i="11"/>
  <c r="F881" i="11"/>
  <c r="E881" i="11"/>
  <c r="D881" i="11"/>
  <c r="I880" i="11"/>
  <c r="G880" i="11"/>
  <c r="J880" i="11" s="1"/>
  <c r="K880" i="11" s="1"/>
  <c r="F880" i="11"/>
  <c r="E880" i="11"/>
  <c r="H880" i="11" s="1"/>
  <c r="D880" i="11"/>
  <c r="I879" i="11"/>
  <c r="F879" i="11"/>
  <c r="E879" i="11"/>
  <c r="D879" i="11"/>
  <c r="I878" i="11"/>
  <c r="G878" i="11"/>
  <c r="J878" i="11" s="1"/>
  <c r="K878" i="11" s="1"/>
  <c r="F878" i="11"/>
  <c r="E878" i="11"/>
  <c r="H878" i="11" s="1"/>
  <c r="D878" i="11"/>
  <c r="I877" i="11"/>
  <c r="F877" i="11"/>
  <c r="E877" i="11"/>
  <c r="D877" i="11"/>
  <c r="I876" i="11"/>
  <c r="G876" i="11"/>
  <c r="J876" i="11" s="1"/>
  <c r="K876" i="11" s="1"/>
  <c r="F876" i="11"/>
  <c r="E876" i="11"/>
  <c r="H876" i="11" s="1"/>
  <c r="D876" i="11"/>
  <c r="I875" i="11"/>
  <c r="F875" i="11"/>
  <c r="E875" i="11"/>
  <c r="D875" i="11"/>
  <c r="I874" i="11"/>
  <c r="G874" i="11"/>
  <c r="J874" i="11" s="1"/>
  <c r="K874" i="11" s="1"/>
  <c r="F874" i="11"/>
  <c r="E874" i="11"/>
  <c r="H874" i="11" s="1"/>
  <c r="D874" i="11"/>
  <c r="I873" i="11"/>
  <c r="F873" i="11"/>
  <c r="E873" i="11"/>
  <c r="D873" i="11"/>
  <c r="I872" i="11"/>
  <c r="G872" i="11"/>
  <c r="J872" i="11" s="1"/>
  <c r="K872" i="11" s="1"/>
  <c r="F872" i="11"/>
  <c r="E872" i="11"/>
  <c r="H872" i="11" s="1"/>
  <c r="D872" i="11"/>
  <c r="I871" i="11"/>
  <c r="F871" i="11"/>
  <c r="E871" i="11"/>
  <c r="D871" i="11"/>
  <c r="I870" i="11"/>
  <c r="G870" i="11"/>
  <c r="J870" i="11" s="1"/>
  <c r="K870" i="11" s="1"/>
  <c r="F870" i="11"/>
  <c r="E870" i="11"/>
  <c r="H870" i="11" s="1"/>
  <c r="D870" i="11"/>
  <c r="I869" i="11"/>
  <c r="F869" i="11"/>
  <c r="E869" i="11"/>
  <c r="D869" i="11"/>
  <c r="I868" i="11"/>
  <c r="G868" i="11"/>
  <c r="J868" i="11" s="1"/>
  <c r="K868" i="11" s="1"/>
  <c r="F868" i="11"/>
  <c r="E868" i="11"/>
  <c r="H868" i="11" s="1"/>
  <c r="D868" i="11"/>
  <c r="I867" i="11"/>
  <c r="F867" i="11"/>
  <c r="E867" i="11"/>
  <c r="D867" i="11"/>
  <c r="I866" i="11"/>
  <c r="G866" i="11"/>
  <c r="J866" i="11" s="1"/>
  <c r="K866" i="11" s="1"/>
  <c r="F866" i="11"/>
  <c r="E866" i="11"/>
  <c r="H866" i="11" s="1"/>
  <c r="D866" i="11"/>
  <c r="I865" i="11"/>
  <c r="F865" i="11"/>
  <c r="E865" i="11"/>
  <c r="D865" i="11"/>
  <c r="I864" i="11"/>
  <c r="G864" i="11"/>
  <c r="J864" i="11" s="1"/>
  <c r="K864" i="11" s="1"/>
  <c r="F864" i="11"/>
  <c r="E864" i="11"/>
  <c r="H864" i="11" s="1"/>
  <c r="D864" i="11"/>
  <c r="I863" i="11"/>
  <c r="F863" i="11"/>
  <c r="E863" i="11"/>
  <c r="D863" i="11"/>
  <c r="I862" i="11"/>
  <c r="G862" i="11"/>
  <c r="J862" i="11" s="1"/>
  <c r="K862" i="11" s="1"/>
  <c r="F862" i="11"/>
  <c r="E862" i="11"/>
  <c r="H862" i="11" s="1"/>
  <c r="D862" i="11"/>
  <c r="I861" i="11"/>
  <c r="F861" i="11"/>
  <c r="E861" i="11"/>
  <c r="D861" i="11"/>
  <c r="I860" i="11"/>
  <c r="G860" i="11"/>
  <c r="J860" i="11" s="1"/>
  <c r="K860" i="11" s="1"/>
  <c r="F860" i="11"/>
  <c r="E860" i="11"/>
  <c r="H860" i="11" s="1"/>
  <c r="D860" i="11"/>
  <c r="I859" i="11"/>
  <c r="F859" i="11"/>
  <c r="E859" i="11"/>
  <c r="D859" i="11"/>
  <c r="I858" i="11"/>
  <c r="F858" i="11"/>
  <c r="E858" i="11"/>
  <c r="H858" i="11" s="1"/>
  <c r="D858" i="11"/>
  <c r="I857" i="11"/>
  <c r="G857" i="11"/>
  <c r="J857" i="11" s="1"/>
  <c r="K857" i="11" s="1"/>
  <c r="F857" i="11"/>
  <c r="E857" i="11"/>
  <c r="H857" i="11" s="1"/>
  <c r="D857" i="11"/>
  <c r="I856" i="11"/>
  <c r="F856" i="11"/>
  <c r="E856" i="11"/>
  <c r="H856" i="11" s="1"/>
  <c r="D856" i="11"/>
  <c r="I855" i="11"/>
  <c r="G855" i="11"/>
  <c r="J855" i="11" s="1"/>
  <c r="K855" i="11" s="1"/>
  <c r="F855" i="11"/>
  <c r="E855" i="11"/>
  <c r="H855" i="11" s="1"/>
  <c r="D855" i="11"/>
  <c r="I854" i="11"/>
  <c r="F854" i="11"/>
  <c r="E854" i="11"/>
  <c r="H854" i="11" s="1"/>
  <c r="D854" i="11"/>
  <c r="I853" i="11"/>
  <c r="G853" i="11"/>
  <c r="J853" i="11" s="1"/>
  <c r="K853" i="11" s="1"/>
  <c r="F853" i="11"/>
  <c r="E853" i="11"/>
  <c r="H853" i="11" s="1"/>
  <c r="D853" i="11"/>
  <c r="I852" i="11"/>
  <c r="F852" i="11"/>
  <c r="E852" i="11"/>
  <c r="H852" i="11" s="1"/>
  <c r="D852" i="11"/>
  <c r="I851" i="11"/>
  <c r="G851" i="11"/>
  <c r="J851" i="11" s="1"/>
  <c r="K851" i="11" s="1"/>
  <c r="F851" i="11"/>
  <c r="E851" i="11"/>
  <c r="H851" i="11" s="1"/>
  <c r="D851" i="11"/>
  <c r="I850" i="11"/>
  <c r="F850" i="11"/>
  <c r="E850" i="11"/>
  <c r="H850" i="11" s="1"/>
  <c r="D850" i="11"/>
  <c r="I849" i="11"/>
  <c r="G849" i="11"/>
  <c r="J849" i="11" s="1"/>
  <c r="K849" i="11" s="1"/>
  <c r="F849" i="11"/>
  <c r="E849" i="11"/>
  <c r="H849" i="11" s="1"/>
  <c r="D849" i="11"/>
  <c r="I848" i="11"/>
  <c r="F848" i="11"/>
  <c r="E848" i="11"/>
  <c r="H848" i="11" s="1"/>
  <c r="D848" i="11"/>
  <c r="I847" i="11"/>
  <c r="G847" i="11"/>
  <c r="J847" i="11" s="1"/>
  <c r="K847" i="11" s="1"/>
  <c r="F847" i="11"/>
  <c r="E847" i="11"/>
  <c r="H847" i="11" s="1"/>
  <c r="D847" i="11"/>
  <c r="I846" i="11"/>
  <c r="F846" i="11"/>
  <c r="E846" i="11"/>
  <c r="H846" i="11" s="1"/>
  <c r="D846" i="11"/>
  <c r="I845" i="11"/>
  <c r="G845" i="11"/>
  <c r="J845" i="11" s="1"/>
  <c r="K845" i="11" s="1"/>
  <c r="F845" i="11"/>
  <c r="E845" i="11"/>
  <c r="H845" i="11" s="1"/>
  <c r="D845" i="11"/>
  <c r="I844" i="11"/>
  <c r="F844" i="11"/>
  <c r="E844" i="11"/>
  <c r="H844" i="11" s="1"/>
  <c r="D844" i="11"/>
  <c r="I843" i="11"/>
  <c r="G843" i="11"/>
  <c r="J843" i="11" s="1"/>
  <c r="K843" i="11" s="1"/>
  <c r="F843" i="11"/>
  <c r="E843" i="11"/>
  <c r="H843" i="11" s="1"/>
  <c r="D843" i="11"/>
  <c r="I842" i="11"/>
  <c r="F842" i="11"/>
  <c r="E842" i="11"/>
  <c r="H842" i="11" s="1"/>
  <c r="D842" i="11"/>
  <c r="I841" i="11"/>
  <c r="G841" i="11"/>
  <c r="J841" i="11" s="1"/>
  <c r="K841" i="11" s="1"/>
  <c r="F841" i="11"/>
  <c r="E841" i="11"/>
  <c r="H841" i="11" s="1"/>
  <c r="D841" i="11"/>
  <c r="I840" i="11"/>
  <c r="F840" i="11"/>
  <c r="E840" i="11"/>
  <c r="H840" i="11" s="1"/>
  <c r="D840" i="11"/>
  <c r="I839" i="11"/>
  <c r="G839" i="11"/>
  <c r="J839" i="11" s="1"/>
  <c r="K839" i="11" s="1"/>
  <c r="F839" i="11"/>
  <c r="E839" i="11"/>
  <c r="H839" i="11" s="1"/>
  <c r="D839" i="11"/>
  <c r="I838" i="11"/>
  <c r="F838" i="11"/>
  <c r="E838" i="11"/>
  <c r="H838" i="11" s="1"/>
  <c r="D838" i="11"/>
  <c r="I837" i="11"/>
  <c r="G837" i="11"/>
  <c r="J837" i="11" s="1"/>
  <c r="K837" i="11" s="1"/>
  <c r="F837" i="11"/>
  <c r="E837" i="11"/>
  <c r="H837" i="11" s="1"/>
  <c r="D837" i="11"/>
  <c r="I836" i="11"/>
  <c r="F836" i="11"/>
  <c r="E836" i="11"/>
  <c r="H836" i="11" s="1"/>
  <c r="D836" i="11"/>
  <c r="G835" i="11"/>
  <c r="J835" i="11" s="1"/>
  <c r="K835" i="11" s="1"/>
  <c r="F835" i="11"/>
  <c r="I835" i="11" s="1"/>
  <c r="E835" i="11"/>
  <c r="H835" i="11" s="1"/>
  <c r="D835" i="11"/>
  <c r="I834" i="11"/>
  <c r="F834" i="11"/>
  <c r="E834" i="11"/>
  <c r="D834" i="11"/>
  <c r="I833" i="11"/>
  <c r="G833" i="11"/>
  <c r="J833" i="11" s="1"/>
  <c r="K833" i="11" s="1"/>
  <c r="F833" i="11"/>
  <c r="E833" i="11"/>
  <c r="H833" i="11" s="1"/>
  <c r="D833" i="11"/>
  <c r="K832" i="11"/>
  <c r="I832" i="11"/>
  <c r="G832" i="11"/>
  <c r="J832" i="11" s="1"/>
  <c r="F832" i="11"/>
  <c r="E832" i="11"/>
  <c r="H832" i="11" s="1"/>
  <c r="D832" i="11"/>
  <c r="G831" i="11"/>
  <c r="J831" i="11" s="1"/>
  <c r="K831" i="11" s="1"/>
  <c r="F831" i="11"/>
  <c r="I831" i="11" s="1"/>
  <c r="E831" i="11"/>
  <c r="H831" i="11" s="1"/>
  <c r="D831" i="11"/>
  <c r="I830" i="11"/>
  <c r="F830" i="11"/>
  <c r="E830" i="11"/>
  <c r="D830" i="11"/>
  <c r="I829" i="11"/>
  <c r="G829" i="11"/>
  <c r="J829" i="11" s="1"/>
  <c r="K829" i="11" s="1"/>
  <c r="F829" i="11"/>
  <c r="E829" i="11"/>
  <c r="H829" i="11" s="1"/>
  <c r="D829" i="11"/>
  <c r="K828" i="11"/>
  <c r="I828" i="11"/>
  <c r="G828" i="11"/>
  <c r="J828" i="11" s="1"/>
  <c r="F828" i="11"/>
  <c r="E828" i="11"/>
  <c r="H828" i="11" s="1"/>
  <c r="D828" i="11"/>
  <c r="G827" i="11"/>
  <c r="J827" i="11" s="1"/>
  <c r="K827" i="11" s="1"/>
  <c r="F827" i="11"/>
  <c r="I827" i="11" s="1"/>
  <c r="E827" i="11"/>
  <c r="H827" i="11" s="1"/>
  <c r="D827" i="11"/>
  <c r="I826" i="11"/>
  <c r="F826" i="11"/>
  <c r="E826" i="11"/>
  <c r="D826" i="11"/>
  <c r="I825" i="11"/>
  <c r="G825" i="11"/>
  <c r="J825" i="11" s="1"/>
  <c r="K825" i="11" s="1"/>
  <c r="F825" i="11"/>
  <c r="E825" i="11"/>
  <c r="H825" i="11" s="1"/>
  <c r="D825" i="11"/>
  <c r="K824" i="11"/>
  <c r="I824" i="11"/>
  <c r="G824" i="11"/>
  <c r="J824" i="11" s="1"/>
  <c r="F824" i="11"/>
  <c r="E824" i="11"/>
  <c r="H824" i="11" s="1"/>
  <c r="D824" i="11"/>
  <c r="G823" i="11"/>
  <c r="J823" i="11" s="1"/>
  <c r="K823" i="11" s="1"/>
  <c r="F823" i="11"/>
  <c r="I823" i="11" s="1"/>
  <c r="E823" i="11"/>
  <c r="H823" i="11" s="1"/>
  <c r="D823" i="11"/>
  <c r="I822" i="11"/>
  <c r="F822" i="11"/>
  <c r="E822" i="11"/>
  <c r="D822" i="11"/>
  <c r="I821" i="11"/>
  <c r="G821" i="11"/>
  <c r="J821" i="11" s="1"/>
  <c r="K821" i="11" s="1"/>
  <c r="F821" i="11"/>
  <c r="E821" i="11"/>
  <c r="H821" i="11" s="1"/>
  <c r="D821" i="11"/>
  <c r="K820" i="11"/>
  <c r="I820" i="11"/>
  <c r="G820" i="11"/>
  <c r="J820" i="11" s="1"/>
  <c r="F820" i="11"/>
  <c r="E820" i="11"/>
  <c r="H820" i="11" s="1"/>
  <c r="D820" i="11"/>
  <c r="G819" i="11"/>
  <c r="J819" i="11" s="1"/>
  <c r="K819" i="11" s="1"/>
  <c r="F819" i="11"/>
  <c r="I819" i="11" s="1"/>
  <c r="E819" i="11"/>
  <c r="H819" i="11" s="1"/>
  <c r="D819" i="11"/>
  <c r="I818" i="11"/>
  <c r="F818" i="11"/>
  <c r="E818" i="11"/>
  <c r="D818" i="11"/>
  <c r="I817" i="11"/>
  <c r="G817" i="11"/>
  <c r="J817" i="11" s="1"/>
  <c r="K817" i="11" s="1"/>
  <c r="F817" i="11"/>
  <c r="E817" i="11"/>
  <c r="H817" i="11" s="1"/>
  <c r="D817" i="11"/>
  <c r="K816" i="11"/>
  <c r="I816" i="11"/>
  <c r="G816" i="11"/>
  <c r="J816" i="11" s="1"/>
  <c r="F816" i="11"/>
  <c r="E816" i="11"/>
  <c r="H816" i="11" s="1"/>
  <c r="D816" i="11"/>
  <c r="G815" i="11"/>
  <c r="J815" i="11" s="1"/>
  <c r="K815" i="11" s="1"/>
  <c r="F815" i="11"/>
  <c r="I815" i="11" s="1"/>
  <c r="E815" i="11"/>
  <c r="H815" i="11" s="1"/>
  <c r="D815" i="11"/>
  <c r="I814" i="11"/>
  <c r="F814" i="11"/>
  <c r="E814" i="11"/>
  <c r="D814" i="11"/>
  <c r="I813" i="11"/>
  <c r="G813" i="11"/>
  <c r="J813" i="11" s="1"/>
  <c r="K813" i="11" s="1"/>
  <c r="F813" i="11"/>
  <c r="E813" i="11"/>
  <c r="H813" i="11" s="1"/>
  <c r="D813" i="11"/>
  <c r="K812" i="11"/>
  <c r="I812" i="11"/>
  <c r="G812" i="11"/>
  <c r="J812" i="11" s="1"/>
  <c r="F812" i="11"/>
  <c r="E812" i="11"/>
  <c r="H812" i="11" s="1"/>
  <c r="D812" i="11"/>
  <c r="G811" i="11"/>
  <c r="J811" i="11" s="1"/>
  <c r="K811" i="11" s="1"/>
  <c r="F811" i="11"/>
  <c r="I811" i="11" s="1"/>
  <c r="E811" i="11"/>
  <c r="H811" i="11" s="1"/>
  <c r="D811" i="11"/>
  <c r="I810" i="11"/>
  <c r="F810" i="11"/>
  <c r="E810" i="11"/>
  <c r="D810" i="11"/>
  <c r="I809" i="11"/>
  <c r="G809" i="11"/>
  <c r="J809" i="11" s="1"/>
  <c r="K809" i="11" s="1"/>
  <c r="F809" i="11"/>
  <c r="E809" i="11"/>
  <c r="H809" i="11" s="1"/>
  <c r="D809" i="11"/>
  <c r="K808" i="11"/>
  <c r="I808" i="11"/>
  <c r="G808" i="11"/>
  <c r="J808" i="11" s="1"/>
  <c r="F808" i="11"/>
  <c r="E808" i="11"/>
  <c r="H808" i="11" s="1"/>
  <c r="D808" i="11"/>
  <c r="G807" i="11"/>
  <c r="J807" i="11" s="1"/>
  <c r="K807" i="11" s="1"/>
  <c r="F807" i="11"/>
  <c r="I807" i="11" s="1"/>
  <c r="E807" i="11"/>
  <c r="H807" i="11" s="1"/>
  <c r="D807" i="11"/>
  <c r="I806" i="11"/>
  <c r="F806" i="11"/>
  <c r="E806" i="11"/>
  <c r="D806" i="11"/>
  <c r="I805" i="11"/>
  <c r="G805" i="11"/>
  <c r="J805" i="11" s="1"/>
  <c r="K805" i="11" s="1"/>
  <c r="F805" i="11"/>
  <c r="E805" i="11"/>
  <c r="H805" i="11" s="1"/>
  <c r="D805" i="11"/>
  <c r="K804" i="11"/>
  <c r="I804" i="11"/>
  <c r="G804" i="11"/>
  <c r="J804" i="11" s="1"/>
  <c r="F804" i="11"/>
  <c r="E804" i="11"/>
  <c r="H804" i="11" s="1"/>
  <c r="D804" i="11"/>
  <c r="G803" i="11"/>
  <c r="J803" i="11" s="1"/>
  <c r="K803" i="11" s="1"/>
  <c r="F803" i="11"/>
  <c r="I803" i="11" s="1"/>
  <c r="E803" i="11"/>
  <c r="H803" i="11" s="1"/>
  <c r="D803" i="11"/>
  <c r="I802" i="11"/>
  <c r="F802" i="11"/>
  <c r="E802" i="11"/>
  <c r="D802" i="11"/>
  <c r="I801" i="11"/>
  <c r="G801" i="11"/>
  <c r="J801" i="11" s="1"/>
  <c r="K801" i="11" s="1"/>
  <c r="F801" i="11"/>
  <c r="E801" i="11"/>
  <c r="H801" i="11" s="1"/>
  <c r="D801" i="11"/>
  <c r="K800" i="11"/>
  <c r="I800" i="11"/>
  <c r="G800" i="11"/>
  <c r="J800" i="11" s="1"/>
  <c r="F800" i="11"/>
  <c r="E800" i="11"/>
  <c r="H800" i="11" s="1"/>
  <c r="D800" i="11"/>
  <c r="G799" i="11"/>
  <c r="J799" i="11" s="1"/>
  <c r="K799" i="11" s="1"/>
  <c r="F799" i="11"/>
  <c r="I799" i="11" s="1"/>
  <c r="E799" i="11"/>
  <c r="H799" i="11" s="1"/>
  <c r="D799" i="11"/>
  <c r="I798" i="11"/>
  <c r="F798" i="11"/>
  <c r="E798" i="11"/>
  <c r="D798" i="11"/>
  <c r="I797" i="11"/>
  <c r="G797" i="11"/>
  <c r="J797" i="11" s="1"/>
  <c r="K797" i="11" s="1"/>
  <c r="F797" i="11"/>
  <c r="E797" i="11"/>
  <c r="H797" i="11" s="1"/>
  <c r="D797" i="11"/>
  <c r="K796" i="11"/>
  <c r="I796" i="11"/>
  <c r="G796" i="11"/>
  <c r="J796" i="11" s="1"/>
  <c r="F796" i="11"/>
  <c r="E796" i="11"/>
  <c r="H796" i="11" s="1"/>
  <c r="D796" i="11"/>
  <c r="G795" i="11"/>
  <c r="J795" i="11" s="1"/>
  <c r="K795" i="11" s="1"/>
  <c r="F795" i="11"/>
  <c r="I795" i="11" s="1"/>
  <c r="E795" i="11"/>
  <c r="H795" i="11" s="1"/>
  <c r="D795" i="11"/>
  <c r="I794" i="11"/>
  <c r="F794" i="11"/>
  <c r="E794" i="11"/>
  <c r="D794" i="11"/>
  <c r="I793" i="11"/>
  <c r="G793" i="11"/>
  <c r="J793" i="11" s="1"/>
  <c r="K793" i="11" s="1"/>
  <c r="F793" i="11"/>
  <c r="E793" i="11"/>
  <c r="H793" i="11" s="1"/>
  <c r="D793" i="11"/>
  <c r="K792" i="11"/>
  <c r="I792" i="11"/>
  <c r="G792" i="11"/>
  <c r="J792" i="11" s="1"/>
  <c r="F792" i="11"/>
  <c r="E792" i="11"/>
  <c r="H792" i="11" s="1"/>
  <c r="D792" i="11"/>
  <c r="G791" i="11"/>
  <c r="J791" i="11" s="1"/>
  <c r="K791" i="11" s="1"/>
  <c r="F791" i="11"/>
  <c r="I791" i="11" s="1"/>
  <c r="E791" i="11"/>
  <c r="H791" i="11" s="1"/>
  <c r="D791" i="11"/>
  <c r="I790" i="11"/>
  <c r="F790" i="11"/>
  <c r="E790" i="11"/>
  <c r="D790" i="11"/>
  <c r="I789" i="11"/>
  <c r="G789" i="11"/>
  <c r="J789" i="11" s="1"/>
  <c r="K789" i="11" s="1"/>
  <c r="F789" i="11"/>
  <c r="E789" i="11"/>
  <c r="H789" i="11" s="1"/>
  <c r="D789" i="11"/>
  <c r="K788" i="11"/>
  <c r="I788" i="11"/>
  <c r="G788" i="11"/>
  <c r="J788" i="11" s="1"/>
  <c r="F788" i="11"/>
  <c r="E788" i="11"/>
  <c r="H788" i="11" s="1"/>
  <c r="D788" i="11"/>
  <c r="G787" i="11"/>
  <c r="J787" i="11" s="1"/>
  <c r="K787" i="11" s="1"/>
  <c r="F787" i="11"/>
  <c r="I787" i="11" s="1"/>
  <c r="E787" i="11"/>
  <c r="H787" i="11" s="1"/>
  <c r="D787" i="11"/>
  <c r="I786" i="11"/>
  <c r="F786" i="11"/>
  <c r="E786" i="11"/>
  <c r="D786" i="11"/>
  <c r="H785" i="11"/>
  <c r="F785" i="11"/>
  <c r="I785" i="11" s="1"/>
  <c r="E785" i="11"/>
  <c r="G785" i="11" s="1"/>
  <c r="J785" i="11" s="1"/>
  <c r="K785" i="11" s="1"/>
  <c r="D785" i="11"/>
  <c r="I784" i="11"/>
  <c r="F784" i="11"/>
  <c r="E784" i="11"/>
  <c r="D784" i="11"/>
  <c r="H783" i="11"/>
  <c r="F783" i="11"/>
  <c r="I783" i="11" s="1"/>
  <c r="E783" i="11"/>
  <c r="G783" i="11" s="1"/>
  <c r="J783" i="11" s="1"/>
  <c r="K783" i="11" s="1"/>
  <c r="D783" i="11"/>
  <c r="I782" i="11"/>
  <c r="F782" i="11"/>
  <c r="E782" i="11"/>
  <c r="D782" i="11"/>
  <c r="H781" i="11"/>
  <c r="F781" i="11"/>
  <c r="I781" i="11" s="1"/>
  <c r="E781" i="11"/>
  <c r="G781" i="11" s="1"/>
  <c r="J781" i="11" s="1"/>
  <c r="K781" i="11" s="1"/>
  <c r="D781" i="11"/>
  <c r="I780" i="11"/>
  <c r="F780" i="11"/>
  <c r="E780" i="11"/>
  <c r="D780" i="11"/>
  <c r="H779" i="11"/>
  <c r="F779" i="11"/>
  <c r="I779" i="11" s="1"/>
  <c r="E779" i="11"/>
  <c r="G779" i="11" s="1"/>
  <c r="J779" i="11" s="1"/>
  <c r="K779" i="11" s="1"/>
  <c r="D779" i="11"/>
  <c r="I778" i="11"/>
  <c r="F778" i="11"/>
  <c r="E778" i="11"/>
  <c r="D778" i="11"/>
  <c r="H777" i="11"/>
  <c r="F777" i="11"/>
  <c r="I777" i="11" s="1"/>
  <c r="E777" i="11"/>
  <c r="G777" i="11" s="1"/>
  <c r="J777" i="11" s="1"/>
  <c r="K777" i="11" s="1"/>
  <c r="D777" i="11"/>
  <c r="I776" i="11"/>
  <c r="F776" i="11"/>
  <c r="E776" i="11"/>
  <c r="D776" i="11"/>
  <c r="H775" i="11"/>
  <c r="F775" i="11"/>
  <c r="I775" i="11" s="1"/>
  <c r="E775" i="11"/>
  <c r="G775" i="11" s="1"/>
  <c r="J775" i="11" s="1"/>
  <c r="K775" i="11" s="1"/>
  <c r="D775" i="11"/>
  <c r="I774" i="11"/>
  <c r="F774" i="11"/>
  <c r="E774" i="11"/>
  <c r="D774" i="11"/>
  <c r="H773" i="11"/>
  <c r="F773" i="11"/>
  <c r="I773" i="11" s="1"/>
  <c r="E773" i="11"/>
  <c r="G773" i="11" s="1"/>
  <c r="J773" i="11" s="1"/>
  <c r="K773" i="11" s="1"/>
  <c r="D773" i="11"/>
  <c r="I772" i="11"/>
  <c r="F772" i="11"/>
  <c r="E772" i="11"/>
  <c r="D772" i="11"/>
  <c r="H771" i="11"/>
  <c r="F771" i="11"/>
  <c r="I771" i="11" s="1"/>
  <c r="E771" i="11"/>
  <c r="G771" i="11" s="1"/>
  <c r="J771" i="11" s="1"/>
  <c r="K771" i="11" s="1"/>
  <c r="D771" i="11"/>
  <c r="K770" i="11"/>
  <c r="G770" i="11"/>
  <c r="J770" i="11" s="1"/>
  <c r="F770" i="11"/>
  <c r="I770" i="11" s="1"/>
  <c r="E770" i="11"/>
  <c r="H770" i="11" s="1"/>
  <c r="D770" i="11"/>
  <c r="K769" i="11"/>
  <c r="G769" i="11"/>
  <c r="J769" i="11" s="1"/>
  <c r="F769" i="11"/>
  <c r="I769" i="11" s="1"/>
  <c r="E769" i="11"/>
  <c r="H769" i="11" s="1"/>
  <c r="D769" i="11"/>
  <c r="K768" i="11"/>
  <c r="G768" i="11"/>
  <c r="J768" i="11" s="1"/>
  <c r="F768" i="11"/>
  <c r="I768" i="11" s="1"/>
  <c r="E768" i="11"/>
  <c r="H768" i="11" s="1"/>
  <c r="D768" i="11"/>
  <c r="G767" i="11"/>
  <c r="J767" i="11" s="1"/>
  <c r="K767" i="11" s="1"/>
  <c r="F767" i="11"/>
  <c r="I767" i="11" s="1"/>
  <c r="E767" i="11"/>
  <c r="H767" i="11" s="1"/>
  <c r="D767" i="11"/>
  <c r="G766" i="11"/>
  <c r="J766" i="11" s="1"/>
  <c r="K766" i="11" s="1"/>
  <c r="F766" i="11"/>
  <c r="I766" i="11" s="1"/>
  <c r="E766" i="11"/>
  <c r="H766" i="11" s="1"/>
  <c r="D766" i="11"/>
  <c r="K765" i="11"/>
  <c r="G765" i="11"/>
  <c r="J765" i="11" s="1"/>
  <c r="F765" i="11"/>
  <c r="I765" i="11" s="1"/>
  <c r="E765" i="11"/>
  <c r="H765" i="11" s="1"/>
  <c r="D765" i="11"/>
  <c r="K764" i="11"/>
  <c r="G764" i="11"/>
  <c r="J764" i="11" s="1"/>
  <c r="F764" i="11"/>
  <c r="I764" i="11" s="1"/>
  <c r="E764" i="11"/>
  <c r="H764" i="11" s="1"/>
  <c r="D764" i="11"/>
  <c r="G763" i="11"/>
  <c r="J763" i="11" s="1"/>
  <c r="K763" i="11" s="1"/>
  <c r="F763" i="11"/>
  <c r="I763" i="11" s="1"/>
  <c r="E763" i="11"/>
  <c r="H763" i="11" s="1"/>
  <c r="D763" i="11"/>
  <c r="K762" i="11"/>
  <c r="G762" i="11"/>
  <c r="J762" i="11" s="1"/>
  <c r="F762" i="11"/>
  <c r="I762" i="11" s="1"/>
  <c r="E762" i="11"/>
  <c r="H762" i="11" s="1"/>
  <c r="D762" i="11"/>
  <c r="K761" i="11"/>
  <c r="G761" i="11"/>
  <c r="J761" i="11" s="1"/>
  <c r="F761" i="11"/>
  <c r="I761" i="11" s="1"/>
  <c r="E761" i="11"/>
  <c r="H761" i="11" s="1"/>
  <c r="D761" i="11"/>
  <c r="K760" i="11"/>
  <c r="G760" i="11"/>
  <c r="J760" i="11" s="1"/>
  <c r="F760" i="11"/>
  <c r="I760" i="11" s="1"/>
  <c r="E760" i="11"/>
  <c r="H760" i="11" s="1"/>
  <c r="D760" i="11"/>
  <c r="G759" i="11"/>
  <c r="J759" i="11" s="1"/>
  <c r="K759" i="11" s="1"/>
  <c r="F759" i="11"/>
  <c r="I759" i="11" s="1"/>
  <c r="E759" i="11"/>
  <c r="H759" i="11" s="1"/>
  <c r="D759" i="11"/>
  <c r="G758" i="11"/>
  <c r="J758" i="11" s="1"/>
  <c r="K758" i="11" s="1"/>
  <c r="F758" i="11"/>
  <c r="I758" i="11" s="1"/>
  <c r="E758" i="11"/>
  <c r="H758" i="11" s="1"/>
  <c r="D758" i="11"/>
  <c r="K757" i="11"/>
  <c r="G757" i="11"/>
  <c r="J757" i="11" s="1"/>
  <c r="F757" i="11"/>
  <c r="I757" i="11" s="1"/>
  <c r="E757" i="11"/>
  <c r="H757" i="11" s="1"/>
  <c r="D757" i="11"/>
  <c r="K756" i="11"/>
  <c r="G756" i="11"/>
  <c r="J756" i="11" s="1"/>
  <c r="F756" i="11"/>
  <c r="I756" i="11" s="1"/>
  <c r="E756" i="11"/>
  <c r="H756" i="11" s="1"/>
  <c r="D756" i="11"/>
  <c r="G755" i="11"/>
  <c r="J755" i="11" s="1"/>
  <c r="K755" i="11" s="1"/>
  <c r="F755" i="11"/>
  <c r="I755" i="11" s="1"/>
  <c r="E755" i="11"/>
  <c r="H755" i="11" s="1"/>
  <c r="D755" i="11"/>
  <c r="K754" i="11"/>
  <c r="G754" i="11"/>
  <c r="J754" i="11" s="1"/>
  <c r="F754" i="11"/>
  <c r="I754" i="11" s="1"/>
  <c r="E754" i="11"/>
  <c r="H754" i="11" s="1"/>
  <c r="D754" i="11"/>
  <c r="K753" i="11"/>
  <c r="G753" i="11"/>
  <c r="J753" i="11" s="1"/>
  <c r="F753" i="11"/>
  <c r="I753" i="11" s="1"/>
  <c r="E753" i="11"/>
  <c r="H753" i="11" s="1"/>
  <c r="D753" i="11"/>
  <c r="K752" i="11"/>
  <c r="G752" i="11"/>
  <c r="J752" i="11" s="1"/>
  <c r="F752" i="11"/>
  <c r="I752" i="11" s="1"/>
  <c r="E752" i="11"/>
  <c r="H752" i="11" s="1"/>
  <c r="D752" i="11"/>
  <c r="G751" i="11"/>
  <c r="J751" i="11" s="1"/>
  <c r="K751" i="11" s="1"/>
  <c r="F751" i="11"/>
  <c r="I751" i="11" s="1"/>
  <c r="E751" i="11"/>
  <c r="H751" i="11" s="1"/>
  <c r="D751" i="11"/>
  <c r="G750" i="11"/>
  <c r="J750" i="11" s="1"/>
  <c r="K750" i="11" s="1"/>
  <c r="F750" i="11"/>
  <c r="I750" i="11" s="1"/>
  <c r="E750" i="11"/>
  <c r="H750" i="11" s="1"/>
  <c r="D750" i="11"/>
  <c r="K749" i="11"/>
  <c r="G749" i="11"/>
  <c r="J749" i="11" s="1"/>
  <c r="F749" i="11"/>
  <c r="I749" i="11" s="1"/>
  <c r="E749" i="11"/>
  <c r="H749" i="11" s="1"/>
  <c r="D749" i="11"/>
  <c r="K748" i="11"/>
  <c r="G748" i="11"/>
  <c r="J748" i="11" s="1"/>
  <c r="F748" i="11"/>
  <c r="I748" i="11" s="1"/>
  <c r="E748" i="11"/>
  <c r="H748" i="11" s="1"/>
  <c r="D748" i="11"/>
  <c r="G747" i="11"/>
  <c r="J747" i="11" s="1"/>
  <c r="K747" i="11" s="1"/>
  <c r="F747" i="11"/>
  <c r="I747" i="11" s="1"/>
  <c r="E747" i="11"/>
  <c r="H747" i="11" s="1"/>
  <c r="D747" i="11"/>
  <c r="K746" i="11"/>
  <c r="G746" i="11"/>
  <c r="J746" i="11" s="1"/>
  <c r="F746" i="11"/>
  <c r="I746" i="11" s="1"/>
  <c r="E746" i="11"/>
  <c r="H746" i="11" s="1"/>
  <c r="D746" i="11"/>
  <c r="K745" i="11"/>
  <c r="G745" i="11"/>
  <c r="J745" i="11" s="1"/>
  <c r="F745" i="11"/>
  <c r="I745" i="11" s="1"/>
  <c r="E745" i="11"/>
  <c r="H745" i="11" s="1"/>
  <c r="D745" i="11"/>
  <c r="K744" i="11"/>
  <c r="G744" i="11"/>
  <c r="J744" i="11" s="1"/>
  <c r="F744" i="11"/>
  <c r="I744" i="11" s="1"/>
  <c r="E744" i="11"/>
  <c r="H744" i="11" s="1"/>
  <c r="D744" i="11"/>
  <c r="G743" i="11"/>
  <c r="J743" i="11" s="1"/>
  <c r="K743" i="11" s="1"/>
  <c r="F743" i="11"/>
  <c r="I743" i="11" s="1"/>
  <c r="E743" i="11"/>
  <c r="H743" i="11" s="1"/>
  <c r="D743" i="11"/>
  <c r="G742" i="11"/>
  <c r="J742" i="11" s="1"/>
  <c r="K742" i="11" s="1"/>
  <c r="F742" i="11"/>
  <c r="I742" i="11" s="1"/>
  <c r="E742" i="11"/>
  <c r="H742" i="11" s="1"/>
  <c r="D742" i="11"/>
  <c r="K741" i="11"/>
  <c r="G741" i="11"/>
  <c r="J741" i="11" s="1"/>
  <c r="F741" i="11"/>
  <c r="I741" i="11" s="1"/>
  <c r="E741" i="11"/>
  <c r="H741" i="11" s="1"/>
  <c r="D741" i="11"/>
  <c r="K740" i="11"/>
  <c r="G740" i="11"/>
  <c r="J740" i="11" s="1"/>
  <c r="F740" i="11"/>
  <c r="I740" i="11" s="1"/>
  <c r="E740" i="11"/>
  <c r="H740" i="11" s="1"/>
  <c r="D740" i="11"/>
  <c r="J739" i="11"/>
  <c r="K739" i="11" s="1"/>
  <c r="G739" i="11"/>
  <c r="F739" i="11"/>
  <c r="I739" i="11" s="1"/>
  <c r="E739" i="11"/>
  <c r="H739" i="11" s="1"/>
  <c r="D739" i="11"/>
  <c r="G738" i="11"/>
  <c r="F738" i="11"/>
  <c r="E738" i="11"/>
  <c r="H738" i="11" s="1"/>
  <c r="D738" i="11"/>
  <c r="J737" i="11"/>
  <c r="K737" i="11" s="1"/>
  <c r="G737" i="11"/>
  <c r="F737" i="11"/>
  <c r="I737" i="11" s="1"/>
  <c r="E737" i="11"/>
  <c r="H737" i="11" s="1"/>
  <c r="D737" i="11"/>
  <c r="G736" i="11"/>
  <c r="F736" i="11"/>
  <c r="E736" i="11"/>
  <c r="H736" i="11" s="1"/>
  <c r="D736" i="11"/>
  <c r="J735" i="11"/>
  <c r="K735" i="11" s="1"/>
  <c r="G735" i="11"/>
  <c r="F735" i="11"/>
  <c r="I735" i="11" s="1"/>
  <c r="E735" i="11"/>
  <c r="H735" i="11" s="1"/>
  <c r="D735" i="11"/>
  <c r="J734" i="11"/>
  <c r="K734" i="11" s="1"/>
  <c r="G734" i="11"/>
  <c r="F734" i="11"/>
  <c r="I734" i="11" s="1"/>
  <c r="E734" i="11"/>
  <c r="H734" i="11" s="1"/>
  <c r="D734" i="11"/>
  <c r="G733" i="11"/>
  <c r="J733" i="11" s="1"/>
  <c r="K733" i="11" s="1"/>
  <c r="F733" i="11"/>
  <c r="I733" i="11" s="1"/>
  <c r="E733" i="11"/>
  <c r="H733" i="11" s="1"/>
  <c r="D733" i="11"/>
  <c r="K732" i="11"/>
  <c r="J732" i="11"/>
  <c r="G732" i="11"/>
  <c r="F732" i="11"/>
  <c r="I732" i="11" s="1"/>
  <c r="E732" i="11"/>
  <c r="H732" i="11" s="1"/>
  <c r="D732" i="11"/>
  <c r="J731" i="11"/>
  <c r="K731" i="11" s="1"/>
  <c r="G731" i="11"/>
  <c r="F731" i="11"/>
  <c r="I731" i="11" s="1"/>
  <c r="E731" i="11"/>
  <c r="H731" i="11" s="1"/>
  <c r="D731" i="11"/>
  <c r="G730" i="11"/>
  <c r="F730" i="11"/>
  <c r="I730" i="11" s="1"/>
  <c r="E730" i="11"/>
  <c r="H730" i="11" s="1"/>
  <c r="D730" i="11"/>
  <c r="G729" i="11"/>
  <c r="J729" i="11" s="1"/>
  <c r="K729" i="11" s="1"/>
  <c r="F729" i="11"/>
  <c r="I729" i="11" s="1"/>
  <c r="E729" i="11"/>
  <c r="H729" i="11" s="1"/>
  <c r="D729" i="11"/>
  <c r="G728" i="11"/>
  <c r="F728" i="11"/>
  <c r="I728" i="11" s="1"/>
  <c r="E728" i="11"/>
  <c r="H728" i="11" s="1"/>
  <c r="D728" i="11"/>
  <c r="G727" i="11"/>
  <c r="F727" i="11"/>
  <c r="I727" i="11" s="1"/>
  <c r="E727" i="11"/>
  <c r="H727" i="11" s="1"/>
  <c r="D727" i="11"/>
  <c r="J726" i="11"/>
  <c r="K726" i="11" s="1"/>
  <c r="G726" i="11"/>
  <c r="F726" i="11"/>
  <c r="I726" i="11" s="1"/>
  <c r="E726" i="11"/>
  <c r="H726" i="11" s="1"/>
  <c r="D726" i="11"/>
  <c r="G725" i="11"/>
  <c r="J725" i="11" s="1"/>
  <c r="K725" i="11" s="1"/>
  <c r="F725" i="11"/>
  <c r="I725" i="11" s="1"/>
  <c r="E725" i="11"/>
  <c r="H725" i="11" s="1"/>
  <c r="D725" i="11"/>
  <c r="K724" i="11"/>
  <c r="J724" i="11"/>
  <c r="G724" i="11"/>
  <c r="F724" i="11"/>
  <c r="I724" i="11" s="1"/>
  <c r="E724" i="11"/>
  <c r="H724" i="11" s="1"/>
  <c r="D724" i="11"/>
  <c r="J723" i="11"/>
  <c r="K723" i="11" s="1"/>
  <c r="G723" i="11"/>
  <c r="F723" i="11"/>
  <c r="I723" i="11" s="1"/>
  <c r="E723" i="11"/>
  <c r="H723" i="11" s="1"/>
  <c r="D723" i="11"/>
  <c r="G722" i="11"/>
  <c r="F722" i="11"/>
  <c r="E722" i="11"/>
  <c r="H722" i="11" s="1"/>
  <c r="D722" i="11"/>
  <c r="G721" i="11"/>
  <c r="J721" i="11" s="1"/>
  <c r="K721" i="11" s="1"/>
  <c r="F721" i="11"/>
  <c r="I721" i="11" s="1"/>
  <c r="E721" i="11"/>
  <c r="H721" i="11" s="1"/>
  <c r="D721" i="11"/>
  <c r="G720" i="11"/>
  <c r="F720" i="11"/>
  <c r="I720" i="11" s="1"/>
  <c r="E720" i="11"/>
  <c r="H720" i="11" s="1"/>
  <c r="D720" i="11"/>
  <c r="G719" i="11"/>
  <c r="F719" i="11"/>
  <c r="E719" i="11"/>
  <c r="H719" i="11" s="1"/>
  <c r="D719" i="11"/>
  <c r="J718" i="11"/>
  <c r="K718" i="11" s="1"/>
  <c r="G718" i="11"/>
  <c r="F718" i="11"/>
  <c r="I718" i="11" s="1"/>
  <c r="E718" i="11"/>
  <c r="H718" i="11" s="1"/>
  <c r="D718" i="11"/>
  <c r="G717" i="11"/>
  <c r="J717" i="11" s="1"/>
  <c r="K717" i="11" s="1"/>
  <c r="F717" i="11"/>
  <c r="I717" i="11" s="1"/>
  <c r="E717" i="11"/>
  <c r="H717" i="11" s="1"/>
  <c r="D717" i="11"/>
  <c r="K716" i="11"/>
  <c r="J716" i="11"/>
  <c r="G716" i="11"/>
  <c r="F716" i="11"/>
  <c r="I716" i="11" s="1"/>
  <c r="E716" i="11"/>
  <c r="H716" i="11" s="1"/>
  <c r="D716" i="11"/>
  <c r="I715" i="11"/>
  <c r="F715" i="11"/>
  <c r="E715" i="11"/>
  <c r="D715" i="11"/>
  <c r="I714" i="11"/>
  <c r="G714" i="11"/>
  <c r="J714" i="11" s="1"/>
  <c r="K714" i="11" s="1"/>
  <c r="F714" i="11"/>
  <c r="E714" i="11"/>
  <c r="H714" i="11" s="1"/>
  <c r="D714" i="11"/>
  <c r="F713" i="11"/>
  <c r="I713" i="11" s="1"/>
  <c r="E713" i="11"/>
  <c r="D713" i="11"/>
  <c r="I712" i="11"/>
  <c r="F712" i="11"/>
  <c r="E712" i="11"/>
  <c r="D712" i="11"/>
  <c r="I711" i="11"/>
  <c r="F711" i="11"/>
  <c r="E711" i="11"/>
  <c r="D711" i="11"/>
  <c r="I710" i="11"/>
  <c r="G710" i="11"/>
  <c r="J710" i="11" s="1"/>
  <c r="K710" i="11" s="1"/>
  <c r="F710" i="11"/>
  <c r="E710" i="11"/>
  <c r="H710" i="11" s="1"/>
  <c r="D710" i="11"/>
  <c r="F709" i="11"/>
  <c r="I709" i="11" s="1"/>
  <c r="E709" i="11"/>
  <c r="D709" i="11"/>
  <c r="I708" i="11"/>
  <c r="F708" i="11"/>
  <c r="E708" i="11"/>
  <c r="D708" i="11"/>
  <c r="I707" i="11"/>
  <c r="F707" i="11"/>
  <c r="E707" i="11"/>
  <c r="D707" i="11"/>
  <c r="I706" i="11"/>
  <c r="G706" i="11"/>
  <c r="J706" i="11" s="1"/>
  <c r="K706" i="11" s="1"/>
  <c r="F706" i="11"/>
  <c r="E706" i="11"/>
  <c r="H706" i="11" s="1"/>
  <c r="D706" i="11"/>
  <c r="F705" i="11"/>
  <c r="I705" i="11" s="1"/>
  <c r="E705" i="11"/>
  <c r="D705" i="11"/>
  <c r="I704" i="11"/>
  <c r="F704" i="11"/>
  <c r="E704" i="11"/>
  <c r="D704" i="11"/>
  <c r="I703" i="11"/>
  <c r="F703" i="11"/>
  <c r="E703" i="11"/>
  <c r="D703" i="11"/>
  <c r="I702" i="11"/>
  <c r="G702" i="11"/>
  <c r="J702" i="11" s="1"/>
  <c r="K702" i="11" s="1"/>
  <c r="F702" i="11"/>
  <c r="E702" i="11"/>
  <c r="H702" i="11" s="1"/>
  <c r="D702" i="11"/>
  <c r="F701" i="11"/>
  <c r="I701" i="11" s="1"/>
  <c r="E701" i="11"/>
  <c r="D701" i="11"/>
  <c r="I700" i="11"/>
  <c r="F700" i="11"/>
  <c r="E700" i="11"/>
  <c r="D700" i="11"/>
  <c r="I699" i="11"/>
  <c r="F699" i="11"/>
  <c r="E699" i="11"/>
  <c r="D699" i="11"/>
  <c r="I698" i="11"/>
  <c r="G698" i="11"/>
  <c r="J698" i="11" s="1"/>
  <c r="K698" i="11" s="1"/>
  <c r="F698" i="11"/>
  <c r="E698" i="11"/>
  <c r="H698" i="11" s="1"/>
  <c r="D698" i="11"/>
  <c r="F697" i="11"/>
  <c r="I697" i="11" s="1"/>
  <c r="E697" i="11"/>
  <c r="H697" i="11" s="1"/>
  <c r="D697" i="11"/>
  <c r="I696" i="11"/>
  <c r="F696" i="11"/>
  <c r="E696" i="11"/>
  <c r="D696" i="11"/>
  <c r="I695" i="11"/>
  <c r="G695" i="11"/>
  <c r="J695" i="11" s="1"/>
  <c r="K695" i="11" s="1"/>
  <c r="F695" i="11"/>
  <c r="E695" i="11"/>
  <c r="H695" i="11" s="1"/>
  <c r="D695" i="11"/>
  <c r="K694" i="11"/>
  <c r="I694" i="11"/>
  <c r="G694" i="11"/>
  <c r="J694" i="11" s="1"/>
  <c r="F694" i="11"/>
  <c r="E694" i="11"/>
  <c r="H694" i="11" s="1"/>
  <c r="D694" i="11"/>
  <c r="G693" i="11"/>
  <c r="J693" i="11" s="1"/>
  <c r="K693" i="11" s="1"/>
  <c r="F693" i="11"/>
  <c r="I693" i="11" s="1"/>
  <c r="E693" i="11"/>
  <c r="H693" i="11" s="1"/>
  <c r="D693" i="11"/>
  <c r="I692" i="11"/>
  <c r="F692" i="11"/>
  <c r="E692" i="11"/>
  <c r="D692" i="11"/>
  <c r="I691" i="11"/>
  <c r="F691" i="11"/>
  <c r="E691" i="11"/>
  <c r="H691" i="11" s="1"/>
  <c r="D691" i="11"/>
  <c r="I690" i="11"/>
  <c r="G690" i="11"/>
  <c r="J690" i="11" s="1"/>
  <c r="K690" i="11" s="1"/>
  <c r="F690" i="11"/>
  <c r="E690" i="11"/>
  <c r="H690" i="11" s="1"/>
  <c r="D690" i="11"/>
  <c r="F689" i="11"/>
  <c r="I689" i="11" s="1"/>
  <c r="E689" i="11"/>
  <c r="H689" i="11" s="1"/>
  <c r="D689" i="11"/>
  <c r="I688" i="11"/>
  <c r="F688" i="11"/>
  <c r="E688" i="11"/>
  <c r="D688" i="11"/>
  <c r="I687" i="11"/>
  <c r="G687" i="11"/>
  <c r="J687" i="11" s="1"/>
  <c r="K687" i="11" s="1"/>
  <c r="F687" i="11"/>
  <c r="E687" i="11"/>
  <c r="H687" i="11" s="1"/>
  <c r="D687" i="11"/>
  <c r="K686" i="11"/>
  <c r="I686" i="11"/>
  <c r="G686" i="11"/>
  <c r="J686" i="11" s="1"/>
  <c r="F686" i="11"/>
  <c r="E686" i="11"/>
  <c r="H686" i="11" s="1"/>
  <c r="D686" i="11"/>
  <c r="G685" i="11"/>
  <c r="J685" i="11" s="1"/>
  <c r="K685" i="11" s="1"/>
  <c r="F685" i="11"/>
  <c r="I685" i="11" s="1"/>
  <c r="E685" i="11"/>
  <c r="H685" i="11" s="1"/>
  <c r="D685" i="11"/>
  <c r="I684" i="11"/>
  <c r="F684" i="11"/>
  <c r="E684" i="11"/>
  <c r="D684" i="11"/>
  <c r="I683" i="11"/>
  <c r="F683" i="11"/>
  <c r="E683" i="11"/>
  <c r="H683" i="11" s="1"/>
  <c r="D683" i="11"/>
  <c r="I682" i="11"/>
  <c r="G682" i="11"/>
  <c r="J682" i="11" s="1"/>
  <c r="K682" i="11" s="1"/>
  <c r="F682" i="11"/>
  <c r="E682" i="11"/>
  <c r="H682" i="11" s="1"/>
  <c r="D682" i="11"/>
  <c r="F681" i="11"/>
  <c r="I681" i="11" s="1"/>
  <c r="E681" i="11"/>
  <c r="H681" i="11" s="1"/>
  <c r="D681" i="11"/>
  <c r="I680" i="11"/>
  <c r="F680" i="11"/>
  <c r="E680" i="11"/>
  <c r="D680" i="11"/>
  <c r="I679" i="11"/>
  <c r="G679" i="11"/>
  <c r="J679" i="11" s="1"/>
  <c r="K679" i="11" s="1"/>
  <c r="F679" i="11"/>
  <c r="E679" i="11"/>
  <c r="H679" i="11" s="1"/>
  <c r="D679" i="11"/>
  <c r="K678" i="11"/>
  <c r="I678" i="11"/>
  <c r="G678" i="11"/>
  <c r="J678" i="11" s="1"/>
  <c r="F678" i="11"/>
  <c r="E678" i="11"/>
  <c r="H678" i="11" s="1"/>
  <c r="D678" i="11"/>
  <c r="G677" i="11"/>
  <c r="J677" i="11" s="1"/>
  <c r="K677" i="11" s="1"/>
  <c r="F677" i="11"/>
  <c r="I677" i="11" s="1"/>
  <c r="E677" i="11"/>
  <c r="H677" i="11" s="1"/>
  <c r="D677" i="11"/>
  <c r="I676" i="11"/>
  <c r="F676" i="11"/>
  <c r="E676" i="11"/>
  <c r="D676" i="11"/>
  <c r="I675" i="11"/>
  <c r="F675" i="11"/>
  <c r="E675" i="11"/>
  <c r="H675" i="11" s="1"/>
  <c r="D675" i="11"/>
  <c r="I674" i="11"/>
  <c r="G674" i="11"/>
  <c r="J674" i="11" s="1"/>
  <c r="K674" i="11" s="1"/>
  <c r="F674" i="11"/>
  <c r="E674" i="11"/>
  <c r="H674" i="11" s="1"/>
  <c r="D674" i="11"/>
  <c r="F673" i="11"/>
  <c r="I673" i="11" s="1"/>
  <c r="E673" i="11"/>
  <c r="H673" i="11" s="1"/>
  <c r="D673" i="11"/>
  <c r="I672" i="11"/>
  <c r="F672" i="11"/>
  <c r="E672" i="11"/>
  <c r="D672" i="11"/>
  <c r="I671" i="11"/>
  <c r="G671" i="11"/>
  <c r="J671" i="11" s="1"/>
  <c r="K671" i="11" s="1"/>
  <c r="F671" i="11"/>
  <c r="E671" i="11"/>
  <c r="H671" i="11" s="1"/>
  <c r="D671" i="11"/>
  <c r="K670" i="11"/>
  <c r="I670" i="11"/>
  <c r="G670" i="11"/>
  <c r="J670" i="11" s="1"/>
  <c r="F670" i="11"/>
  <c r="E670" i="11"/>
  <c r="H670" i="11" s="1"/>
  <c r="D670" i="11"/>
  <c r="G669" i="11"/>
  <c r="J669" i="11" s="1"/>
  <c r="K669" i="11" s="1"/>
  <c r="F669" i="11"/>
  <c r="I669" i="11" s="1"/>
  <c r="E669" i="11"/>
  <c r="H669" i="11" s="1"/>
  <c r="D669" i="11"/>
  <c r="I668" i="11"/>
  <c r="F668" i="11"/>
  <c r="E668" i="11"/>
  <c r="D668" i="11"/>
  <c r="I667" i="11"/>
  <c r="F667" i="11"/>
  <c r="E667" i="11"/>
  <c r="H667" i="11" s="1"/>
  <c r="D667" i="11"/>
  <c r="I666" i="11"/>
  <c r="G666" i="11"/>
  <c r="J666" i="11" s="1"/>
  <c r="K666" i="11" s="1"/>
  <c r="F666" i="11"/>
  <c r="E666" i="11"/>
  <c r="H666" i="11" s="1"/>
  <c r="D666" i="11"/>
  <c r="F665" i="11"/>
  <c r="I665" i="11" s="1"/>
  <c r="E665" i="11"/>
  <c r="H665" i="11" s="1"/>
  <c r="D665" i="11"/>
  <c r="I664" i="11"/>
  <c r="F664" i="11"/>
  <c r="E664" i="11"/>
  <c r="D664" i="11"/>
  <c r="I663" i="11"/>
  <c r="G663" i="11"/>
  <c r="J663" i="11" s="1"/>
  <c r="K663" i="11" s="1"/>
  <c r="F663" i="11"/>
  <c r="E663" i="11"/>
  <c r="H663" i="11" s="1"/>
  <c r="D663" i="11"/>
  <c r="K662" i="11"/>
  <c r="I662" i="11"/>
  <c r="G662" i="11"/>
  <c r="J662" i="11" s="1"/>
  <c r="F662" i="11"/>
  <c r="E662" i="11"/>
  <c r="H662" i="11" s="1"/>
  <c r="D662" i="11"/>
  <c r="G661" i="11"/>
  <c r="J661" i="11" s="1"/>
  <c r="K661" i="11" s="1"/>
  <c r="F661" i="11"/>
  <c r="I661" i="11" s="1"/>
  <c r="E661" i="11"/>
  <c r="H661" i="11" s="1"/>
  <c r="D661" i="11"/>
  <c r="I660" i="11"/>
  <c r="F660" i="11"/>
  <c r="E660" i="11"/>
  <c r="D660" i="11"/>
  <c r="I659" i="11"/>
  <c r="F659" i="11"/>
  <c r="E659" i="11"/>
  <c r="H659" i="11" s="1"/>
  <c r="D659" i="11"/>
  <c r="I658" i="11"/>
  <c r="G658" i="11"/>
  <c r="J658" i="11" s="1"/>
  <c r="K658" i="11" s="1"/>
  <c r="F658" i="11"/>
  <c r="E658" i="11"/>
  <c r="H658" i="11" s="1"/>
  <c r="D658" i="11"/>
  <c r="F657" i="11"/>
  <c r="I657" i="11" s="1"/>
  <c r="E657" i="11"/>
  <c r="H657" i="11" s="1"/>
  <c r="D657" i="11"/>
  <c r="I656" i="11"/>
  <c r="F656" i="11"/>
  <c r="E656" i="11"/>
  <c r="D656" i="11"/>
  <c r="I655" i="11"/>
  <c r="G655" i="11"/>
  <c r="J655" i="11" s="1"/>
  <c r="K655" i="11" s="1"/>
  <c r="F655" i="11"/>
  <c r="E655" i="11"/>
  <c r="H655" i="11" s="1"/>
  <c r="D655" i="11"/>
  <c r="K654" i="11"/>
  <c r="I654" i="11"/>
  <c r="G654" i="11"/>
  <c r="J654" i="11" s="1"/>
  <c r="F654" i="11"/>
  <c r="E654" i="11"/>
  <c r="H654" i="11" s="1"/>
  <c r="D654" i="11"/>
  <c r="H653" i="11"/>
  <c r="F653" i="11"/>
  <c r="I653" i="11" s="1"/>
  <c r="E653" i="11"/>
  <c r="D653" i="11"/>
  <c r="G653" i="11" s="1"/>
  <c r="J652" i="11"/>
  <c r="K652" i="11" s="1"/>
  <c r="H652" i="11"/>
  <c r="G652" i="11"/>
  <c r="F652" i="11"/>
  <c r="I652" i="11" s="1"/>
  <c r="E652" i="11"/>
  <c r="D652" i="11"/>
  <c r="H651" i="11"/>
  <c r="F651" i="11"/>
  <c r="I651" i="11" s="1"/>
  <c r="E651" i="11"/>
  <c r="D651" i="11"/>
  <c r="G651" i="11" s="1"/>
  <c r="H650" i="11"/>
  <c r="G650" i="11"/>
  <c r="J650" i="11" s="1"/>
  <c r="K650" i="11" s="1"/>
  <c r="F650" i="11"/>
  <c r="I650" i="11" s="1"/>
  <c r="E650" i="11"/>
  <c r="D650" i="11"/>
  <c r="H649" i="11"/>
  <c r="F649" i="11"/>
  <c r="I649" i="11" s="1"/>
  <c r="E649" i="11"/>
  <c r="D649" i="11"/>
  <c r="G649" i="11" s="1"/>
  <c r="J649" i="11" s="1"/>
  <c r="K649" i="11" s="1"/>
  <c r="H648" i="11"/>
  <c r="G648" i="11"/>
  <c r="J648" i="11" s="1"/>
  <c r="K648" i="11" s="1"/>
  <c r="F648" i="11"/>
  <c r="I648" i="11" s="1"/>
  <c r="E648" i="11"/>
  <c r="D648" i="11"/>
  <c r="H647" i="11"/>
  <c r="F647" i="11"/>
  <c r="I647" i="11" s="1"/>
  <c r="E647" i="11"/>
  <c r="D647" i="11"/>
  <c r="G647" i="11" s="1"/>
  <c r="J647" i="11" s="1"/>
  <c r="K647" i="11" s="1"/>
  <c r="J646" i="11"/>
  <c r="K646" i="11" s="1"/>
  <c r="H646" i="11"/>
  <c r="G646" i="11"/>
  <c r="F646" i="11"/>
  <c r="I646" i="11" s="1"/>
  <c r="E646" i="11"/>
  <c r="D646" i="11"/>
  <c r="H645" i="11"/>
  <c r="F645" i="11"/>
  <c r="I645" i="11" s="1"/>
  <c r="E645" i="11"/>
  <c r="D645" i="11"/>
  <c r="G645" i="11" s="1"/>
  <c r="J644" i="11"/>
  <c r="K644" i="11" s="1"/>
  <c r="H644" i="11"/>
  <c r="G644" i="11"/>
  <c r="F644" i="11"/>
  <c r="I644" i="11" s="1"/>
  <c r="E644" i="11"/>
  <c r="D644" i="11"/>
  <c r="H643" i="11"/>
  <c r="F643" i="11"/>
  <c r="I643" i="11" s="1"/>
  <c r="E643" i="11"/>
  <c r="D643" i="11"/>
  <c r="G643" i="11" s="1"/>
  <c r="H642" i="11"/>
  <c r="G642" i="11"/>
  <c r="J642" i="11" s="1"/>
  <c r="K642" i="11" s="1"/>
  <c r="F642" i="11"/>
  <c r="I642" i="11" s="1"/>
  <c r="E642" i="11"/>
  <c r="D642" i="11"/>
  <c r="H641" i="11"/>
  <c r="F641" i="11"/>
  <c r="I641" i="11" s="1"/>
  <c r="E641" i="11"/>
  <c r="D641" i="11"/>
  <c r="G641" i="11" s="1"/>
  <c r="J641" i="11" s="1"/>
  <c r="K641" i="11" s="1"/>
  <c r="H640" i="11"/>
  <c r="G640" i="11"/>
  <c r="J640" i="11" s="1"/>
  <c r="K640" i="11" s="1"/>
  <c r="F640" i="11"/>
  <c r="I640" i="11" s="1"/>
  <c r="E640" i="11"/>
  <c r="D640" i="11"/>
  <c r="H639" i="11"/>
  <c r="F639" i="11"/>
  <c r="I639" i="11" s="1"/>
  <c r="E639" i="11"/>
  <c r="D639" i="11"/>
  <c r="G639" i="11" s="1"/>
  <c r="J639" i="11" s="1"/>
  <c r="K639" i="11" s="1"/>
  <c r="H638" i="11"/>
  <c r="G638" i="11"/>
  <c r="J638" i="11" s="1"/>
  <c r="K638" i="11" s="1"/>
  <c r="F638" i="11"/>
  <c r="I638" i="11" s="1"/>
  <c r="E638" i="11"/>
  <c r="D638" i="11"/>
  <c r="H637" i="11"/>
  <c r="F637" i="11"/>
  <c r="I637" i="11" s="1"/>
  <c r="E637" i="11"/>
  <c r="D637" i="11"/>
  <c r="G637" i="11" s="1"/>
  <c r="J637" i="11" s="1"/>
  <c r="K637" i="11" s="1"/>
  <c r="H636" i="11"/>
  <c r="G636" i="11"/>
  <c r="J636" i="11" s="1"/>
  <c r="K636" i="11" s="1"/>
  <c r="F636" i="11"/>
  <c r="I636" i="11" s="1"/>
  <c r="E636" i="11"/>
  <c r="D636" i="11"/>
  <c r="H635" i="11"/>
  <c r="F635" i="11"/>
  <c r="I635" i="11" s="1"/>
  <c r="E635" i="11"/>
  <c r="D635" i="11"/>
  <c r="G635" i="11" s="1"/>
  <c r="J635" i="11" s="1"/>
  <c r="K635" i="11" s="1"/>
  <c r="H634" i="11"/>
  <c r="G634" i="11"/>
  <c r="J634" i="11" s="1"/>
  <c r="K634" i="11" s="1"/>
  <c r="F634" i="11"/>
  <c r="I634" i="11" s="1"/>
  <c r="E634" i="11"/>
  <c r="D634" i="11"/>
  <c r="H633" i="11"/>
  <c r="F633" i="11"/>
  <c r="I633" i="11" s="1"/>
  <c r="E633" i="11"/>
  <c r="D633" i="11"/>
  <c r="G633" i="11" s="1"/>
  <c r="J633" i="11" s="1"/>
  <c r="K633" i="11" s="1"/>
  <c r="J632" i="11"/>
  <c r="K632" i="11" s="1"/>
  <c r="H632" i="11"/>
  <c r="G632" i="11"/>
  <c r="F632" i="11"/>
  <c r="I632" i="11" s="1"/>
  <c r="E632" i="11"/>
  <c r="D632" i="11"/>
  <c r="H631" i="11"/>
  <c r="F631" i="11"/>
  <c r="I631" i="11" s="1"/>
  <c r="E631" i="11"/>
  <c r="D631" i="11"/>
  <c r="G631" i="11" s="1"/>
  <c r="H630" i="11"/>
  <c r="F630" i="11"/>
  <c r="I630" i="11" s="1"/>
  <c r="E630" i="11"/>
  <c r="D630" i="11"/>
  <c r="G630" i="11" s="1"/>
  <c r="J630" i="11" s="1"/>
  <c r="K630" i="11" s="1"/>
  <c r="H629" i="11"/>
  <c r="G629" i="11"/>
  <c r="F629" i="11"/>
  <c r="I629" i="11" s="1"/>
  <c r="E629" i="11"/>
  <c r="D629" i="11"/>
  <c r="H628" i="11"/>
  <c r="G628" i="11"/>
  <c r="F628" i="11"/>
  <c r="I628" i="11" s="1"/>
  <c r="E628" i="11"/>
  <c r="D628" i="11"/>
  <c r="H627" i="11"/>
  <c r="F627" i="11"/>
  <c r="I627" i="11" s="1"/>
  <c r="E627" i="11"/>
  <c r="D627" i="11"/>
  <c r="G627" i="11" s="1"/>
  <c r="J627" i="11" s="1"/>
  <c r="K627" i="11" s="1"/>
  <c r="H626" i="11"/>
  <c r="F626" i="11"/>
  <c r="I626" i="11" s="1"/>
  <c r="E626" i="11"/>
  <c r="D626" i="11"/>
  <c r="G626" i="11" s="1"/>
  <c r="J626" i="11" s="1"/>
  <c r="K626" i="11" s="1"/>
  <c r="H625" i="11"/>
  <c r="G625" i="11"/>
  <c r="J625" i="11" s="1"/>
  <c r="K625" i="11" s="1"/>
  <c r="F625" i="11"/>
  <c r="I625" i="11" s="1"/>
  <c r="E625" i="11"/>
  <c r="D625" i="11"/>
  <c r="K624" i="11"/>
  <c r="H624" i="11"/>
  <c r="G624" i="11"/>
  <c r="J624" i="11" s="1"/>
  <c r="F624" i="11"/>
  <c r="I624" i="11" s="1"/>
  <c r="E624" i="11"/>
  <c r="D624" i="11"/>
  <c r="H623" i="11"/>
  <c r="F623" i="11"/>
  <c r="I623" i="11" s="1"/>
  <c r="E623" i="11"/>
  <c r="D623" i="11"/>
  <c r="G623" i="11" s="1"/>
  <c r="J623" i="11" s="1"/>
  <c r="K623" i="11" s="1"/>
  <c r="H622" i="11"/>
  <c r="G622" i="11"/>
  <c r="J622" i="11" s="1"/>
  <c r="K622" i="11" s="1"/>
  <c r="F622" i="11"/>
  <c r="I622" i="11" s="1"/>
  <c r="E622" i="11"/>
  <c r="D622" i="11"/>
  <c r="H621" i="11"/>
  <c r="F621" i="11"/>
  <c r="I621" i="11" s="1"/>
  <c r="E621" i="11"/>
  <c r="D621" i="11"/>
  <c r="G621" i="11" s="1"/>
  <c r="J621" i="11" s="1"/>
  <c r="K621" i="11" s="1"/>
  <c r="H620" i="11"/>
  <c r="G620" i="11"/>
  <c r="J620" i="11" s="1"/>
  <c r="K620" i="11" s="1"/>
  <c r="F620" i="11"/>
  <c r="I620" i="11" s="1"/>
  <c r="E620" i="11"/>
  <c r="D620" i="11"/>
  <c r="H619" i="11"/>
  <c r="F619" i="11"/>
  <c r="I619" i="11" s="1"/>
  <c r="E619" i="11"/>
  <c r="D619" i="11"/>
  <c r="G619" i="11" s="1"/>
  <c r="J619" i="11" s="1"/>
  <c r="K619" i="11" s="1"/>
  <c r="H618" i="11"/>
  <c r="F618" i="11"/>
  <c r="I618" i="11" s="1"/>
  <c r="E618" i="11"/>
  <c r="D618" i="11"/>
  <c r="G618" i="11" s="1"/>
  <c r="J618" i="11" s="1"/>
  <c r="K618" i="11" s="1"/>
  <c r="H617" i="11"/>
  <c r="F617" i="11"/>
  <c r="I617" i="11" s="1"/>
  <c r="E617" i="11"/>
  <c r="D617" i="11"/>
  <c r="G617" i="11" s="1"/>
  <c r="J616" i="11"/>
  <c r="K616" i="11" s="1"/>
  <c r="H616" i="11"/>
  <c r="G616" i="11"/>
  <c r="F616" i="11"/>
  <c r="I616" i="11" s="1"/>
  <c r="E616" i="11"/>
  <c r="D616" i="11"/>
  <c r="H615" i="11"/>
  <c r="F615" i="11"/>
  <c r="I615" i="11" s="1"/>
  <c r="E615" i="11"/>
  <c r="D615" i="11"/>
  <c r="G615" i="11" s="1"/>
  <c r="J615" i="11" s="1"/>
  <c r="K615" i="11" s="1"/>
  <c r="H614" i="11"/>
  <c r="F614" i="11"/>
  <c r="I614" i="11" s="1"/>
  <c r="E614" i="11"/>
  <c r="D614" i="11"/>
  <c r="G614" i="11" s="1"/>
  <c r="J614" i="11" s="1"/>
  <c r="K614" i="11" s="1"/>
  <c r="H613" i="11"/>
  <c r="G613" i="11"/>
  <c r="F613" i="11"/>
  <c r="I613" i="11" s="1"/>
  <c r="E613" i="11"/>
  <c r="D613" i="11"/>
  <c r="J612" i="11"/>
  <c r="K612" i="11" s="1"/>
  <c r="H612" i="11"/>
  <c r="G612" i="11"/>
  <c r="F612" i="11"/>
  <c r="I612" i="11" s="1"/>
  <c r="E612" i="11"/>
  <c r="D612" i="11"/>
  <c r="H611" i="11"/>
  <c r="F611" i="11"/>
  <c r="I611" i="11" s="1"/>
  <c r="E611" i="11"/>
  <c r="D611" i="11"/>
  <c r="G611" i="11" s="1"/>
  <c r="J611" i="11" s="1"/>
  <c r="K611" i="11" s="1"/>
  <c r="H610" i="11"/>
  <c r="F610" i="11"/>
  <c r="I610" i="11" s="1"/>
  <c r="E610" i="11"/>
  <c r="D610" i="11"/>
  <c r="G610" i="11" s="1"/>
  <c r="J610" i="11" s="1"/>
  <c r="K610" i="11" s="1"/>
  <c r="H609" i="11"/>
  <c r="G609" i="11"/>
  <c r="J609" i="11" s="1"/>
  <c r="K609" i="11" s="1"/>
  <c r="F609" i="11"/>
  <c r="I609" i="11" s="1"/>
  <c r="E609" i="11"/>
  <c r="D609" i="11"/>
  <c r="H608" i="11"/>
  <c r="G608" i="11"/>
  <c r="F608" i="11"/>
  <c r="I608" i="11" s="1"/>
  <c r="E608" i="11"/>
  <c r="D608" i="11"/>
  <c r="H607" i="11"/>
  <c r="F607" i="11"/>
  <c r="I607" i="11" s="1"/>
  <c r="E607" i="11"/>
  <c r="D607" i="11"/>
  <c r="G607" i="11" s="1"/>
  <c r="J607" i="11" s="1"/>
  <c r="K607" i="11" s="1"/>
  <c r="H606" i="11"/>
  <c r="G606" i="11"/>
  <c r="J606" i="11" s="1"/>
  <c r="K606" i="11" s="1"/>
  <c r="F606" i="11"/>
  <c r="I606" i="11" s="1"/>
  <c r="E606" i="11"/>
  <c r="D606" i="11"/>
  <c r="H605" i="11"/>
  <c r="F605" i="11"/>
  <c r="I605" i="11" s="1"/>
  <c r="E605" i="11"/>
  <c r="D605" i="11"/>
  <c r="G605" i="11" s="1"/>
  <c r="J605" i="11" s="1"/>
  <c r="K605" i="11" s="1"/>
  <c r="H604" i="11"/>
  <c r="G604" i="11"/>
  <c r="J604" i="11" s="1"/>
  <c r="K604" i="11" s="1"/>
  <c r="F604" i="11"/>
  <c r="I604" i="11" s="1"/>
  <c r="E604" i="11"/>
  <c r="D604" i="11"/>
  <c r="H603" i="11"/>
  <c r="F603" i="11"/>
  <c r="I603" i="11" s="1"/>
  <c r="E603" i="11"/>
  <c r="D603" i="11"/>
  <c r="G603" i="11" s="1"/>
  <c r="J603" i="11" s="1"/>
  <c r="K603" i="11" s="1"/>
  <c r="H602" i="11"/>
  <c r="F602" i="11"/>
  <c r="I602" i="11" s="1"/>
  <c r="E602" i="11"/>
  <c r="D602" i="11"/>
  <c r="G602" i="11" s="1"/>
  <c r="J602" i="11" s="1"/>
  <c r="K602" i="11" s="1"/>
  <c r="H601" i="11"/>
  <c r="F601" i="11"/>
  <c r="I601" i="11" s="1"/>
  <c r="E601" i="11"/>
  <c r="D601" i="11"/>
  <c r="G601" i="11" s="1"/>
  <c r="J600" i="11"/>
  <c r="K600" i="11" s="1"/>
  <c r="H600" i="11"/>
  <c r="G600" i="11"/>
  <c r="F600" i="11"/>
  <c r="I600" i="11" s="1"/>
  <c r="E600" i="11"/>
  <c r="D600" i="11"/>
  <c r="H599" i="11"/>
  <c r="F599" i="11"/>
  <c r="I599" i="11" s="1"/>
  <c r="E599" i="11"/>
  <c r="D599" i="11"/>
  <c r="G599" i="11" s="1"/>
  <c r="J599" i="11" s="1"/>
  <c r="K599" i="11" s="1"/>
  <c r="H598" i="11"/>
  <c r="F598" i="11"/>
  <c r="I598" i="11" s="1"/>
  <c r="E598" i="11"/>
  <c r="D598" i="11"/>
  <c r="G598" i="11" s="1"/>
  <c r="J598" i="11" s="1"/>
  <c r="K598" i="11" s="1"/>
  <c r="H597" i="11"/>
  <c r="G597" i="11"/>
  <c r="F597" i="11"/>
  <c r="I597" i="11" s="1"/>
  <c r="E597" i="11"/>
  <c r="D597" i="11"/>
  <c r="J596" i="11"/>
  <c r="K596" i="11" s="1"/>
  <c r="H596" i="11"/>
  <c r="G596" i="11"/>
  <c r="F596" i="11"/>
  <c r="I596" i="11" s="1"/>
  <c r="E596" i="11"/>
  <c r="D596" i="11"/>
  <c r="H595" i="11"/>
  <c r="F595" i="11"/>
  <c r="I595" i="11" s="1"/>
  <c r="E595" i="11"/>
  <c r="D595" i="11"/>
  <c r="G595" i="11" s="1"/>
  <c r="J595" i="11" s="1"/>
  <c r="K595" i="11" s="1"/>
  <c r="H594" i="11"/>
  <c r="F594" i="11"/>
  <c r="I594" i="11" s="1"/>
  <c r="E594" i="11"/>
  <c r="D594" i="11"/>
  <c r="G594" i="11" s="1"/>
  <c r="J594" i="11" s="1"/>
  <c r="K594" i="11" s="1"/>
  <c r="H593" i="11"/>
  <c r="F593" i="11"/>
  <c r="I593" i="11" s="1"/>
  <c r="E593" i="11"/>
  <c r="D593" i="11"/>
  <c r="G593" i="11" s="1"/>
  <c r="J593" i="11" s="1"/>
  <c r="K593" i="11" s="1"/>
  <c r="H592" i="11"/>
  <c r="G592" i="11"/>
  <c r="F592" i="11"/>
  <c r="I592" i="11" s="1"/>
  <c r="E592" i="11"/>
  <c r="D592" i="11"/>
  <c r="H591" i="11"/>
  <c r="F591" i="11"/>
  <c r="I591" i="11" s="1"/>
  <c r="E591" i="11"/>
  <c r="D591" i="11"/>
  <c r="G591" i="11" s="1"/>
  <c r="J591" i="11" s="1"/>
  <c r="K591" i="11" s="1"/>
  <c r="H590" i="11"/>
  <c r="G590" i="11"/>
  <c r="J590" i="11" s="1"/>
  <c r="K590" i="11" s="1"/>
  <c r="F590" i="11"/>
  <c r="I590" i="11" s="1"/>
  <c r="E590" i="11"/>
  <c r="D590" i="11"/>
  <c r="H589" i="11"/>
  <c r="F589" i="11"/>
  <c r="I589" i="11" s="1"/>
  <c r="E589" i="11"/>
  <c r="D589" i="11"/>
  <c r="G589" i="11" s="1"/>
  <c r="J589" i="11" s="1"/>
  <c r="K589" i="11" s="1"/>
  <c r="H588" i="11"/>
  <c r="G588" i="11"/>
  <c r="J588" i="11" s="1"/>
  <c r="K588" i="11" s="1"/>
  <c r="F588" i="11"/>
  <c r="I588" i="11" s="1"/>
  <c r="E588" i="11"/>
  <c r="D588" i="11"/>
  <c r="H587" i="11"/>
  <c r="F587" i="11"/>
  <c r="I587" i="11" s="1"/>
  <c r="E587" i="11"/>
  <c r="D587" i="11"/>
  <c r="G587" i="11" s="1"/>
  <c r="J587" i="11" s="1"/>
  <c r="K587" i="11" s="1"/>
  <c r="H586" i="11"/>
  <c r="F586" i="11"/>
  <c r="I586" i="11" s="1"/>
  <c r="E586" i="11"/>
  <c r="D586" i="11"/>
  <c r="G586" i="11" s="1"/>
  <c r="J586" i="11" s="1"/>
  <c r="K586" i="11" s="1"/>
  <c r="H585" i="11"/>
  <c r="F585" i="11"/>
  <c r="I585" i="11" s="1"/>
  <c r="E585" i="11"/>
  <c r="D585" i="11"/>
  <c r="G585" i="11" s="1"/>
  <c r="J584" i="11"/>
  <c r="K584" i="11" s="1"/>
  <c r="H584" i="11"/>
  <c r="G584" i="11"/>
  <c r="F584" i="11"/>
  <c r="I584" i="11" s="1"/>
  <c r="E584" i="11"/>
  <c r="D584" i="11"/>
  <c r="H583" i="11"/>
  <c r="F583" i="11"/>
  <c r="I583" i="11" s="1"/>
  <c r="E583" i="11"/>
  <c r="D583" i="11"/>
  <c r="G583" i="11" s="1"/>
  <c r="J583" i="11" s="1"/>
  <c r="K583" i="11" s="1"/>
  <c r="H582" i="11"/>
  <c r="F582" i="11"/>
  <c r="I582" i="11" s="1"/>
  <c r="E582" i="11"/>
  <c r="D582" i="11"/>
  <c r="G582" i="11" s="1"/>
  <c r="J582" i="11" s="1"/>
  <c r="K582" i="11" s="1"/>
  <c r="H581" i="11"/>
  <c r="G581" i="11"/>
  <c r="F581" i="11"/>
  <c r="I581" i="11" s="1"/>
  <c r="E581" i="11"/>
  <c r="D581" i="11"/>
  <c r="J580" i="11"/>
  <c r="K580" i="11" s="1"/>
  <c r="H580" i="11"/>
  <c r="G580" i="11"/>
  <c r="F580" i="11"/>
  <c r="I580" i="11" s="1"/>
  <c r="E580" i="11"/>
  <c r="D580" i="11"/>
  <c r="H579" i="11"/>
  <c r="F579" i="11"/>
  <c r="I579" i="11" s="1"/>
  <c r="E579" i="11"/>
  <c r="D579" i="11"/>
  <c r="G579" i="11" s="1"/>
  <c r="J579" i="11" s="1"/>
  <c r="K579" i="11" s="1"/>
  <c r="H578" i="11"/>
  <c r="F578" i="11"/>
  <c r="I578" i="11" s="1"/>
  <c r="E578" i="11"/>
  <c r="D578" i="11"/>
  <c r="G578" i="11" s="1"/>
  <c r="J578" i="11" s="1"/>
  <c r="K578" i="11" s="1"/>
  <c r="H577" i="11"/>
  <c r="F577" i="11"/>
  <c r="I577" i="11" s="1"/>
  <c r="E577" i="11"/>
  <c r="D577" i="11"/>
  <c r="G577" i="11" s="1"/>
  <c r="J577" i="11" s="1"/>
  <c r="K577" i="11" s="1"/>
  <c r="H576" i="11"/>
  <c r="G576" i="11"/>
  <c r="F576" i="11"/>
  <c r="I576" i="11" s="1"/>
  <c r="E576" i="11"/>
  <c r="D576" i="11"/>
  <c r="F575" i="11"/>
  <c r="I575" i="11" s="1"/>
  <c r="E575" i="11"/>
  <c r="D575" i="11"/>
  <c r="I574" i="11"/>
  <c r="F574" i="11"/>
  <c r="E574" i="11"/>
  <c r="D574" i="11"/>
  <c r="F573" i="11"/>
  <c r="I573" i="11" s="1"/>
  <c r="E573" i="11"/>
  <c r="D573" i="11"/>
  <c r="F572" i="11"/>
  <c r="I572" i="11" s="1"/>
  <c r="E572" i="11"/>
  <c r="D572" i="11"/>
  <c r="I571" i="11"/>
  <c r="F571" i="11"/>
  <c r="E571" i="11"/>
  <c r="D571" i="11"/>
  <c r="I570" i="11"/>
  <c r="F570" i="11"/>
  <c r="E570" i="11"/>
  <c r="D570" i="11"/>
  <c r="F569" i="11"/>
  <c r="I569" i="11" s="1"/>
  <c r="E569" i="11"/>
  <c r="D569" i="11"/>
  <c r="F568" i="11"/>
  <c r="I568" i="11" s="1"/>
  <c r="E568" i="11"/>
  <c r="D568" i="11"/>
  <c r="I567" i="11"/>
  <c r="F567" i="11"/>
  <c r="E567" i="11"/>
  <c r="D567" i="11"/>
  <c r="I566" i="11"/>
  <c r="F566" i="11"/>
  <c r="E566" i="11"/>
  <c r="D566" i="11"/>
  <c r="F565" i="11"/>
  <c r="I565" i="11" s="1"/>
  <c r="E565" i="11"/>
  <c r="D565" i="11"/>
  <c r="I564" i="11"/>
  <c r="H564" i="11"/>
  <c r="F564" i="11"/>
  <c r="E564" i="11"/>
  <c r="D564" i="11"/>
  <c r="F563" i="11"/>
  <c r="I563" i="11" s="1"/>
  <c r="E563" i="11"/>
  <c r="G563" i="11" s="1"/>
  <c r="J563" i="11" s="1"/>
  <c r="K563" i="11" s="1"/>
  <c r="D563" i="11"/>
  <c r="I562" i="11"/>
  <c r="H562" i="11"/>
  <c r="F562" i="11"/>
  <c r="E562" i="11"/>
  <c r="D562" i="11"/>
  <c r="F561" i="11"/>
  <c r="I561" i="11" s="1"/>
  <c r="E561" i="11"/>
  <c r="G561" i="11" s="1"/>
  <c r="J561" i="11" s="1"/>
  <c r="K561" i="11" s="1"/>
  <c r="D561" i="11"/>
  <c r="I560" i="11"/>
  <c r="H560" i="11"/>
  <c r="F560" i="11"/>
  <c r="E560" i="11"/>
  <c r="D560" i="11"/>
  <c r="F559" i="11"/>
  <c r="I559" i="11" s="1"/>
  <c r="E559" i="11"/>
  <c r="G559" i="11" s="1"/>
  <c r="J559" i="11" s="1"/>
  <c r="K559" i="11" s="1"/>
  <c r="D559" i="11"/>
  <c r="I558" i="11"/>
  <c r="H558" i="11"/>
  <c r="F558" i="11"/>
  <c r="E558" i="11"/>
  <c r="D558" i="11"/>
  <c r="F557" i="11"/>
  <c r="I557" i="11" s="1"/>
  <c r="E557" i="11"/>
  <c r="G557" i="11" s="1"/>
  <c r="J557" i="11" s="1"/>
  <c r="K557" i="11" s="1"/>
  <c r="D557" i="11"/>
  <c r="I556" i="11"/>
  <c r="H556" i="11"/>
  <c r="F556" i="11"/>
  <c r="E556" i="11"/>
  <c r="D556" i="11"/>
  <c r="F555" i="11"/>
  <c r="I555" i="11" s="1"/>
  <c r="E555" i="11"/>
  <c r="G555" i="11" s="1"/>
  <c r="J555" i="11" s="1"/>
  <c r="K555" i="11" s="1"/>
  <c r="D555" i="11"/>
  <c r="I554" i="11"/>
  <c r="H554" i="11"/>
  <c r="F554" i="11"/>
  <c r="E554" i="11"/>
  <c r="D554" i="11"/>
  <c r="F553" i="11"/>
  <c r="I553" i="11" s="1"/>
  <c r="E553" i="11"/>
  <c r="G553" i="11" s="1"/>
  <c r="J553" i="11" s="1"/>
  <c r="K553" i="11" s="1"/>
  <c r="D553" i="11"/>
  <c r="I552" i="11"/>
  <c r="H552" i="11"/>
  <c r="F552" i="11"/>
  <c r="E552" i="11"/>
  <c r="D552" i="11"/>
  <c r="F551" i="11"/>
  <c r="I551" i="11" s="1"/>
  <c r="E551" i="11"/>
  <c r="G551" i="11" s="1"/>
  <c r="J551" i="11" s="1"/>
  <c r="K551" i="11" s="1"/>
  <c r="D551" i="11"/>
  <c r="I550" i="11"/>
  <c r="H550" i="11"/>
  <c r="F550" i="11"/>
  <c r="E550" i="11"/>
  <c r="D550" i="11"/>
  <c r="F549" i="11"/>
  <c r="I549" i="11" s="1"/>
  <c r="E549" i="11"/>
  <c r="G549" i="11" s="1"/>
  <c r="J549" i="11" s="1"/>
  <c r="K549" i="11" s="1"/>
  <c r="D549" i="11"/>
  <c r="I548" i="11"/>
  <c r="H548" i="11"/>
  <c r="F548" i="11"/>
  <c r="E548" i="11"/>
  <c r="D548" i="11"/>
  <c r="F547" i="11"/>
  <c r="I547" i="11" s="1"/>
  <c r="E547" i="11"/>
  <c r="G547" i="11" s="1"/>
  <c r="J547" i="11" s="1"/>
  <c r="K547" i="11" s="1"/>
  <c r="D547" i="11"/>
  <c r="I546" i="11"/>
  <c r="H546" i="11"/>
  <c r="F546" i="11"/>
  <c r="E546" i="11"/>
  <c r="D546" i="11"/>
  <c r="F545" i="11"/>
  <c r="I545" i="11" s="1"/>
  <c r="E545" i="11"/>
  <c r="G545" i="11" s="1"/>
  <c r="J545" i="11" s="1"/>
  <c r="K545" i="11" s="1"/>
  <c r="D545" i="11"/>
  <c r="I544" i="11"/>
  <c r="H544" i="11"/>
  <c r="F544" i="11"/>
  <c r="E544" i="11"/>
  <c r="D544" i="11"/>
  <c r="F543" i="11"/>
  <c r="I543" i="11" s="1"/>
  <c r="E543" i="11"/>
  <c r="G543" i="11" s="1"/>
  <c r="J543" i="11" s="1"/>
  <c r="K543" i="11" s="1"/>
  <c r="D543" i="11"/>
  <c r="I542" i="11"/>
  <c r="H542" i="11"/>
  <c r="F542" i="11"/>
  <c r="E542" i="11"/>
  <c r="D542" i="11"/>
  <c r="F541" i="11"/>
  <c r="I541" i="11" s="1"/>
  <c r="E541" i="11"/>
  <c r="G541" i="11" s="1"/>
  <c r="J541" i="11" s="1"/>
  <c r="K541" i="11" s="1"/>
  <c r="D541" i="11"/>
  <c r="I540" i="11"/>
  <c r="H540" i="11"/>
  <c r="F540" i="11"/>
  <c r="E540" i="11"/>
  <c r="D540" i="11"/>
  <c r="F539" i="11"/>
  <c r="I539" i="11" s="1"/>
  <c r="E539" i="11"/>
  <c r="G539" i="11" s="1"/>
  <c r="J539" i="11" s="1"/>
  <c r="K539" i="11" s="1"/>
  <c r="D539" i="11"/>
  <c r="I538" i="11"/>
  <c r="H538" i="11"/>
  <c r="F538" i="11"/>
  <c r="E538" i="11"/>
  <c r="D538" i="11"/>
  <c r="F537" i="11"/>
  <c r="I537" i="11" s="1"/>
  <c r="E537" i="11"/>
  <c r="G537" i="11" s="1"/>
  <c r="J537" i="11" s="1"/>
  <c r="K537" i="11" s="1"/>
  <c r="D537" i="11"/>
  <c r="I536" i="11"/>
  <c r="H536" i="11"/>
  <c r="F536" i="11"/>
  <c r="E536" i="11"/>
  <c r="D536" i="11"/>
  <c r="F535" i="11"/>
  <c r="I535" i="11" s="1"/>
  <c r="E535" i="11"/>
  <c r="G535" i="11" s="1"/>
  <c r="J535" i="11" s="1"/>
  <c r="K535" i="11" s="1"/>
  <c r="D535" i="11"/>
  <c r="I534" i="11"/>
  <c r="H534" i="11"/>
  <c r="F534" i="11"/>
  <c r="E534" i="11"/>
  <c r="D534" i="11"/>
  <c r="F533" i="11"/>
  <c r="I533" i="11" s="1"/>
  <c r="E533" i="11"/>
  <c r="G533" i="11" s="1"/>
  <c r="J533" i="11" s="1"/>
  <c r="K533" i="11" s="1"/>
  <c r="D533" i="11"/>
  <c r="I532" i="11"/>
  <c r="H532" i="11"/>
  <c r="F532" i="11"/>
  <c r="E532" i="11"/>
  <c r="D532" i="11"/>
  <c r="F531" i="11"/>
  <c r="I531" i="11" s="1"/>
  <c r="E531" i="11"/>
  <c r="G531" i="11" s="1"/>
  <c r="J531" i="11" s="1"/>
  <c r="K531" i="11" s="1"/>
  <c r="D531" i="11"/>
  <c r="I530" i="11"/>
  <c r="H530" i="11"/>
  <c r="F530" i="11"/>
  <c r="E530" i="11"/>
  <c r="D530" i="11"/>
  <c r="F529" i="11"/>
  <c r="I529" i="11" s="1"/>
  <c r="E529" i="11"/>
  <c r="G529" i="11" s="1"/>
  <c r="J529" i="11" s="1"/>
  <c r="K529" i="11" s="1"/>
  <c r="D529" i="11"/>
  <c r="I528" i="11"/>
  <c r="H528" i="11"/>
  <c r="F528" i="11"/>
  <c r="E528" i="11"/>
  <c r="D528" i="11"/>
  <c r="F527" i="11"/>
  <c r="I527" i="11" s="1"/>
  <c r="E527" i="11"/>
  <c r="G527" i="11" s="1"/>
  <c r="J527" i="11" s="1"/>
  <c r="K527" i="11" s="1"/>
  <c r="D527" i="11"/>
  <c r="I526" i="11"/>
  <c r="H526" i="11"/>
  <c r="F526" i="11"/>
  <c r="E526" i="11"/>
  <c r="D526" i="11"/>
  <c r="F525" i="11"/>
  <c r="I525" i="11" s="1"/>
  <c r="E525" i="11"/>
  <c r="G525" i="11" s="1"/>
  <c r="J525" i="11" s="1"/>
  <c r="K525" i="11" s="1"/>
  <c r="D525" i="11"/>
  <c r="I524" i="11"/>
  <c r="H524" i="11"/>
  <c r="F524" i="11"/>
  <c r="E524" i="11"/>
  <c r="D524" i="11"/>
  <c r="H523" i="11"/>
  <c r="G523" i="11"/>
  <c r="J523" i="11" s="1"/>
  <c r="K523" i="11" s="1"/>
  <c r="F523" i="11"/>
  <c r="I523" i="11" s="1"/>
  <c r="E523" i="11"/>
  <c r="D523" i="11"/>
  <c r="H522" i="11"/>
  <c r="G522" i="11"/>
  <c r="J522" i="11" s="1"/>
  <c r="K522" i="11" s="1"/>
  <c r="F522" i="11"/>
  <c r="I522" i="11" s="1"/>
  <c r="E522" i="11"/>
  <c r="D522" i="11"/>
  <c r="H521" i="11"/>
  <c r="G521" i="11"/>
  <c r="J521" i="11" s="1"/>
  <c r="K521" i="11" s="1"/>
  <c r="F521" i="11"/>
  <c r="I521" i="11" s="1"/>
  <c r="E521" i="11"/>
  <c r="D521" i="11"/>
  <c r="H520" i="11"/>
  <c r="G520" i="11"/>
  <c r="J520" i="11" s="1"/>
  <c r="K520" i="11" s="1"/>
  <c r="F520" i="11"/>
  <c r="I520" i="11" s="1"/>
  <c r="E520" i="11"/>
  <c r="D520" i="11"/>
  <c r="H519" i="11"/>
  <c r="G519" i="11"/>
  <c r="J519" i="11" s="1"/>
  <c r="K519" i="11" s="1"/>
  <c r="F519" i="11"/>
  <c r="I519" i="11" s="1"/>
  <c r="E519" i="11"/>
  <c r="D519" i="11"/>
  <c r="H518" i="11"/>
  <c r="G518" i="11"/>
  <c r="J518" i="11" s="1"/>
  <c r="K518" i="11" s="1"/>
  <c r="F518" i="11"/>
  <c r="I518" i="11" s="1"/>
  <c r="E518" i="11"/>
  <c r="D518" i="11"/>
  <c r="H517" i="11"/>
  <c r="G517" i="11"/>
  <c r="J517" i="11" s="1"/>
  <c r="K517" i="11" s="1"/>
  <c r="F517" i="11"/>
  <c r="I517" i="11" s="1"/>
  <c r="E517" i="11"/>
  <c r="D517" i="11"/>
  <c r="H516" i="11"/>
  <c r="G516" i="11"/>
  <c r="J516" i="11" s="1"/>
  <c r="K516" i="11" s="1"/>
  <c r="F516" i="11"/>
  <c r="I516" i="11" s="1"/>
  <c r="E516" i="11"/>
  <c r="D516" i="11"/>
  <c r="H515" i="11"/>
  <c r="G515" i="11"/>
  <c r="J515" i="11" s="1"/>
  <c r="K515" i="11" s="1"/>
  <c r="F515" i="11"/>
  <c r="I515" i="11" s="1"/>
  <c r="E515" i="11"/>
  <c r="D515" i="11"/>
  <c r="H514" i="11"/>
  <c r="G514" i="11"/>
  <c r="J514" i="11" s="1"/>
  <c r="K514" i="11" s="1"/>
  <c r="F514" i="11"/>
  <c r="I514" i="11" s="1"/>
  <c r="E514" i="11"/>
  <c r="D514" i="11"/>
  <c r="H513" i="11"/>
  <c r="G513" i="11"/>
  <c r="J513" i="11" s="1"/>
  <c r="K513" i="11" s="1"/>
  <c r="F513" i="11"/>
  <c r="I513" i="11" s="1"/>
  <c r="E513" i="11"/>
  <c r="D513" i="11"/>
  <c r="H512" i="11"/>
  <c r="G512" i="11"/>
  <c r="J512" i="11" s="1"/>
  <c r="K512" i="11" s="1"/>
  <c r="F512" i="11"/>
  <c r="I512" i="11" s="1"/>
  <c r="E512" i="11"/>
  <c r="D512" i="11"/>
  <c r="H511" i="11"/>
  <c r="G511" i="11"/>
  <c r="J511" i="11" s="1"/>
  <c r="K511" i="11" s="1"/>
  <c r="F511" i="11"/>
  <c r="I511" i="11" s="1"/>
  <c r="E511" i="11"/>
  <c r="D511" i="11"/>
  <c r="H510" i="11"/>
  <c r="G510" i="11"/>
  <c r="J510" i="11" s="1"/>
  <c r="K510" i="11" s="1"/>
  <c r="F510" i="11"/>
  <c r="I510" i="11" s="1"/>
  <c r="E510" i="11"/>
  <c r="D510" i="11"/>
  <c r="H509" i="11"/>
  <c r="G509" i="11"/>
  <c r="J509" i="11" s="1"/>
  <c r="K509" i="11" s="1"/>
  <c r="F509" i="11"/>
  <c r="I509" i="11" s="1"/>
  <c r="E509" i="11"/>
  <c r="D509" i="11"/>
  <c r="H508" i="11"/>
  <c r="G508" i="11"/>
  <c r="J508" i="11" s="1"/>
  <c r="K508" i="11" s="1"/>
  <c r="F508" i="11"/>
  <c r="I508" i="11" s="1"/>
  <c r="E508" i="11"/>
  <c r="D508" i="11"/>
  <c r="H507" i="11"/>
  <c r="G507" i="11"/>
  <c r="J507" i="11" s="1"/>
  <c r="K507" i="11" s="1"/>
  <c r="F507" i="11"/>
  <c r="I507" i="11" s="1"/>
  <c r="E507" i="11"/>
  <c r="D507" i="11"/>
  <c r="H506" i="11"/>
  <c r="G506" i="11"/>
  <c r="J506" i="11" s="1"/>
  <c r="K506" i="11" s="1"/>
  <c r="F506" i="11"/>
  <c r="I506" i="11" s="1"/>
  <c r="E506" i="11"/>
  <c r="D506" i="11"/>
  <c r="H505" i="11"/>
  <c r="G505" i="11"/>
  <c r="J505" i="11" s="1"/>
  <c r="K505" i="11" s="1"/>
  <c r="F505" i="11"/>
  <c r="I505" i="11" s="1"/>
  <c r="E505" i="11"/>
  <c r="D505" i="11"/>
  <c r="H504" i="11"/>
  <c r="G504" i="11"/>
  <c r="J504" i="11" s="1"/>
  <c r="K504" i="11" s="1"/>
  <c r="F504" i="11"/>
  <c r="I504" i="11" s="1"/>
  <c r="E504" i="11"/>
  <c r="D504" i="11"/>
  <c r="H503" i="11"/>
  <c r="G503" i="11"/>
  <c r="J503" i="11" s="1"/>
  <c r="K503" i="11" s="1"/>
  <c r="F503" i="11"/>
  <c r="I503" i="11" s="1"/>
  <c r="E503" i="11"/>
  <c r="D503" i="11"/>
  <c r="H502" i="11"/>
  <c r="F502" i="11"/>
  <c r="I502" i="11" s="1"/>
  <c r="E502" i="11"/>
  <c r="D502" i="11"/>
  <c r="G502" i="11" s="1"/>
  <c r="J502" i="11" s="1"/>
  <c r="K502" i="11" s="1"/>
  <c r="H501" i="11"/>
  <c r="F501" i="11"/>
  <c r="I501" i="11" s="1"/>
  <c r="E501" i="11"/>
  <c r="D501" i="11"/>
  <c r="G501" i="11" s="1"/>
  <c r="J501" i="11" s="1"/>
  <c r="K501" i="11" s="1"/>
  <c r="H500" i="11"/>
  <c r="F500" i="11"/>
  <c r="I500" i="11" s="1"/>
  <c r="E500" i="11"/>
  <c r="D500" i="11"/>
  <c r="G500" i="11" s="1"/>
  <c r="J500" i="11" s="1"/>
  <c r="K500" i="11" s="1"/>
  <c r="H499" i="11"/>
  <c r="F499" i="11"/>
  <c r="I499" i="11" s="1"/>
  <c r="E499" i="11"/>
  <c r="D499" i="11"/>
  <c r="G499" i="11" s="1"/>
  <c r="J499" i="11" s="1"/>
  <c r="K499" i="11" s="1"/>
  <c r="H498" i="11"/>
  <c r="F498" i="11"/>
  <c r="I498" i="11" s="1"/>
  <c r="E498" i="11"/>
  <c r="D498" i="11"/>
  <c r="G498" i="11" s="1"/>
  <c r="J498" i="11" s="1"/>
  <c r="K498" i="11" s="1"/>
  <c r="H497" i="11"/>
  <c r="F497" i="11"/>
  <c r="I497" i="11" s="1"/>
  <c r="E497" i="11"/>
  <c r="D497" i="11"/>
  <c r="G497" i="11" s="1"/>
  <c r="J497" i="11" s="1"/>
  <c r="K497" i="11" s="1"/>
  <c r="H496" i="11"/>
  <c r="F496" i="11"/>
  <c r="I496" i="11" s="1"/>
  <c r="E496" i="11"/>
  <c r="D496" i="11"/>
  <c r="G496" i="11" s="1"/>
  <c r="J496" i="11" s="1"/>
  <c r="K496" i="11" s="1"/>
  <c r="H495" i="11"/>
  <c r="F495" i="11"/>
  <c r="I495" i="11" s="1"/>
  <c r="E495" i="11"/>
  <c r="D495" i="11"/>
  <c r="G495" i="11" s="1"/>
  <c r="J495" i="11" s="1"/>
  <c r="K495" i="11" s="1"/>
  <c r="H494" i="11"/>
  <c r="F494" i="11"/>
  <c r="I494" i="11" s="1"/>
  <c r="E494" i="11"/>
  <c r="D494" i="11"/>
  <c r="G494" i="11" s="1"/>
  <c r="J494" i="11" s="1"/>
  <c r="K494" i="11" s="1"/>
  <c r="H493" i="11"/>
  <c r="F493" i="11"/>
  <c r="I493" i="11" s="1"/>
  <c r="E493" i="11"/>
  <c r="D493" i="11"/>
  <c r="G493" i="11" s="1"/>
  <c r="J493" i="11" s="1"/>
  <c r="K493" i="11" s="1"/>
  <c r="H492" i="11"/>
  <c r="F492" i="11"/>
  <c r="I492" i="11" s="1"/>
  <c r="E492" i="11"/>
  <c r="D492" i="11"/>
  <c r="G492" i="11" s="1"/>
  <c r="J492" i="11" s="1"/>
  <c r="K492" i="11" s="1"/>
  <c r="H491" i="11"/>
  <c r="F491" i="11"/>
  <c r="I491" i="11" s="1"/>
  <c r="E491" i="11"/>
  <c r="D491" i="11"/>
  <c r="G491" i="11" s="1"/>
  <c r="J491" i="11" s="1"/>
  <c r="K491" i="11" s="1"/>
  <c r="H490" i="11"/>
  <c r="F490" i="11"/>
  <c r="I490" i="11" s="1"/>
  <c r="E490" i="11"/>
  <c r="D490" i="11"/>
  <c r="G490" i="11" s="1"/>
  <c r="J490" i="11" s="1"/>
  <c r="K490" i="11" s="1"/>
  <c r="H489" i="11"/>
  <c r="F489" i="11"/>
  <c r="I489" i="11" s="1"/>
  <c r="E489" i="11"/>
  <c r="D489" i="11"/>
  <c r="G489" i="11" s="1"/>
  <c r="J489" i="11" s="1"/>
  <c r="K489" i="11" s="1"/>
  <c r="H488" i="11"/>
  <c r="F488" i="11"/>
  <c r="I488" i="11" s="1"/>
  <c r="E488" i="11"/>
  <c r="D488" i="11"/>
  <c r="G488" i="11" s="1"/>
  <c r="J488" i="11" s="1"/>
  <c r="K488" i="11" s="1"/>
  <c r="H487" i="11"/>
  <c r="F487" i="11"/>
  <c r="I487" i="11" s="1"/>
  <c r="E487" i="11"/>
  <c r="D487" i="11"/>
  <c r="G487" i="11" s="1"/>
  <c r="J487" i="11" s="1"/>
  <c r="K487" i="11" s="1"/>
  <c r="H486" i="11"/>
  <c r="F486" i="11"/>
  <c r="I486" i="11" s="1"/>
  <c r="E486" i="11"/>
  <c r="D486" i="11"/>
  <c r="G486" i="11" s="1"/>
  <c r="J486" i="11" s="1"/>
  <c r="K486" i="11" s="1"/>
  <c r="H485" i="11"/>
  <c r="F485" i="11"/>
  <c r="I485" i="11" s="1"/>
  <c r="E485" i="11"/>
  <c r="D485" i="11"/>
  <c r="G485" i="11" s="1"/>
  <c r="J485" i="11" s="1"/>
  <c r="K485" i="11" s="1"/>
  <c r="H484" i="11"/>
  <c r="F484" i="11"/>
  <c r="I484" i="11" s="1"/>
  <c r="E484" i="11"/>
  <c r="D484" i="11"/>
  <c r="G484" i="11" s="1"/>
  <c r="J484" i="11" s="1"/>
  <c r="K484" i="11" s="1"/>
  <c r="H483" i="11"/>
  <c r="F483" i="11"/>
  <c r="I483" i="11" s="1"/>
  <c r="E483" i="11"/>
  <c r="D483" i="11"/>
  <c r="G483" i="11" s="1"/>
  <c r="J483" i="11" s="1"/>
  <c r="K483" i="11" s="1"/>
  <c r="H482" i="11"/>
  <c r="F482" i="11"/>
  <c r="I482" i="11" s="1"/>
  <c r="E482" i="11"/>
  <c r="D482" i="11"/>
  <c r="G482" i="11" s="1"/>
  <c r="J482" i="11" s="1"/>
  <c r="K482" i="11" s="1"/>
  <c r="H481" i="11"/>
  <c r="F481" i="11"/>
  <c r="I481" i="11" s="1"/>
  <c r="E481" i="11"/>
  <c r="D481" i="11"/>
  <c r="G481" i="11" s="1"/>
  <c r="J481" i="11" s="1"/>
  <c r="K481" i="11" s="1"/>
  <c r="H480" i="11"/>
  <c r="F480" i="11"/>
  <c r="I480" i="11" s="1"/>
  <c r="E480" i="11"/>
  <c r="D480" i="11"/>
  <c r="G480" i="11" s="1"/>
  <c r="J480" i="11" s="1"/>
  <c r="K480" i="11" s="1"/>
  <c r="H479" i="11"/>
  <c r="F479" i="11"/>
  <c r="I479" i="11" s="1"/>
  <c r="E479" i="11"/>
  <c r="D479" i="11"/>
  <c r="G479" i="11" s="1"/>
  <c r="J479" i="11" s="1"/>
  <c r="K479" i="11" s="1"/>
  <c r="H478" i="11"/>
  <c r="F478" i="11"/>
  <c r="I478" i="11" s="1"/>
  <c r="E478" i="11"/>
  <c r="D478" i="11"/>
  <c r="G478" i="11" s="1"/>
  <c r="J478" i="11" s="1"/>
  <c r="K478" i="11" s="1"/>
  <c r="H477" i="11"/>
  <c r="F477" i="11"/>
  <c r="I477" i="11" s="1"/>
  <c r="E477" i="11"/>
  <c r="D477" i="11"/>
  <c r="G477" i="11" s="1"/>
  <c r="J477" i="11" s="1"/>
  <c r="K477" i="11" s="1"/>
  <c r="H476" i="11"/>
  <c r="F476" i="11"/>
  <c r="I476" i="11" s="1"/>
  <c r="E476" i="11"/>
  <c r="D476" i="11"/>
  <c r="G476" i="11" s="1"/>
  <c r="J476" i="11" s="1"/>
  <c r="K476" i="11" s="1"/>
  <c r="H475" i="11"/>
  <c r="F475" i="11"/>
  <c r="I475" i="11" s="1"/>
  <c r="E475" i="11"/>
  <c r="D475" i="11"/>
  <c r="G475" i="11" s="1"/>
  <c r="J475" i="11" s="1"/>
  <c r="K475" i="11" s="1"/>
  <c r="H474" i="11"/>
  <c r="F474" i="11"/>
  <c r="I474" i="11" s="1"/>
  <c r="E474" i="11"/>
  <c r="D474" i="11"/>
  <c r="G474" i="11" s="1"/>
  <c r="J474" i="11" s="1"/>
  <c r="K474" i="11" s="1"/>
  <c r="H473" i="11"/>
  <c r="F473" i="11"/>
  <c r="I473" i="11" s="1"/>
  <c r="E473" i="11"/>
  <c r="D473" i="11"/>
  <c r="G473" i="11" s="1"/>
  <c r="J473" i="11" s="1"/>
  <c r="K473" i="11" s="1"/>
  <c r="H472" i="11"/>
  <c r="F472" i="11"/>
  <c r="I472" i="11" s="1"/>
  <c r="E472" i="11"/>
  <c r="D472" i="11"/>
  <c r="G472" i="11" s="1"/>
  <c r="J472" i="11" s="1"/>
  <c r="K472" i="11" s="1"/>
  <c r="H471" i="11"/>
  <c r="F471" i="11"/>
  <c r="I471" i="11" s="1"/>
  <c r="E471" i="11"/>
  <c r="D471" i="11"/>
  <c r="G471" i="11" s="1"/>
  <c r="J471" i="11" s="1"/>
  <c r="K471" i="11" s="1"/>
  <c r="H470" i="11"/>
  <c r="F470" i="11"/>
  <c r="I470" i="11" s="1"/>
  <c r="E470" i="11"/>
  <c r="D470" i="11"/>
  <c r="G470" i="11" s="1"/>
  <c r="J470" i="11" s="1"/>
  <c r="K470" i="11" s="1"/>
  <c r="H469" i="11"/>
  <c r="F469" i="11"/>
  <c r="I469" i="11" s="1"/>
  <c r="E469" i="11"/>
  <c r="D469" i="11"/>
  <c r="G469" i="11" s="1"/>
  <c r="J469" i="11" s="1"/>
  <c r="K469" i="11" s="1"/>
  <c r="H468" i="11"/>
  <c r="F468" i="11"/>
  <c r="I468" i="11" s="1"/>
  <c r="E468" i="11"/>
  <c r="D468" i="11"/>
  <c r="G468" i="11" s="1"/>
  <c r="J468" i="11" s="1"/>
  <c r="K468" i="11" s="1"/>
  <c r="H467" i="11"/>
  <c r="F467" i="11"/>
  <c r="I467" i="11" s="1"/>
  <c r="E467" i="11"/>
  <c r="D467" i="11"/>
  <c r="G467" i="11" s="1"/>
  <c r="J467" i="11" s="1"/>
  <c r="K467" i="11" s="1"/>
  <c r="H466" i="11"/>
  <c r="F466" i="11"/>
  <c r="I466" i="11" s="1"/>
  <c r="E466" i="11"/>
  <c r="D466" i="11"/>
  <c r="G466" i="11" s="1"/>
  <c r="J466" i="11" s="1"/>
  <c r="K466" i="11" s="1"/>
  <c r="H465" i="11"/>
  <c r="F465" i="11"/>
  <c r="I465" i="11" s="1"/>
  <c r="E465" i="11"/>
  <c r="D465" i="11"/>
  <c r="G465" i="11" s="1"/>
  <c r="J465" i="11" s="1"/>
  <c r="K465" i="11" s="1"/>
  <c r="H464" i="11"/>
  <c r="F464" i="11"/>
  <c r="I464" i="11" s="1"/>
  <c r="E464" i="11"/>
  <c r="D464" i="11"/>
  <c r="G464" i="11" s="1"/>
  <c r="J464" i="11" s="1"/>
  <c r="K464" i="11" s="1"/>
  <c r="H463" i="11"/>
  <c r="F463" i="11"/>
  <c r="I463" i="11" s="1"/>
  <c r="E463" i="11"/>
  <c r="D463" i="11"/>
  <c r="G463" i="11" s="1"/>
  <c r="J463" i="11" s="1"/>
  <c r="K463" i="11" s="1"/>
  <c r="H462" i="11"/>
  <c r="F462" i="11"/>
  <c r="I462" i="11" s="1"/>
  <c r="E462" i="11"/>
  <c r="D462" i="11"/>
  <c r="G462" i="11" s="1"/>
  <c r="J462" i="11" s="1"/>
  <c r="K462" i="11" s="1"/>
  <c r="H461" i="11"/>
  <c r="F461" i="11"/>
  <c r="I461" i="11" s="1"/>
  <c r="E461" i="11"/>
  <c r="D461" i="11"/>
  <c r="G461" i="11" s="1"/>
  <c r="J461" i="11" s="1"/>
  <c r="K461" i="11" s="1"/>
  <c r="H460" i="11"/>
  <c r="F460" i="11"/>
  <c r="I460" i="11" s="1"/>
  <c r="E460" i="11"/>
  <c r="D460" i="11"/>
  <c r="G460" i="11" s="1"/>
  <c r="J460" i="11" s="1"/>
  <c r="K460" i="11" s="1"/>
  <c r="H459" i="11"/>
  <c r="F459" i="11"/>
  <c r="I459" i="11" s="1"/>
  <c r="E459" i="11"/>
  <c r="D459" i="11"/>
  <c r="G459" i="11" s="1"/>
  <c r="J459" i="11" s="1"/>
  <c r="K459" i="11" s="1"/>
  <c r="H458" i="11"/>
  <c r="F458" i="11"/>
  <c r="I458" i="11" s="1"/>
  <c r="E458" i="11"/>
  <c r="D458" i="11"/>
  <c r="G458" i="11" s="1"/>
  <c r="J458" i="11" s="1"/>
  <c r="K458" i="11" s="1"/>
  <c r="H457" i="11"/>
  <c r="F457" i="11"/>
  <c r="I457" i="11" s="1"/>
  <c r="E457" i="11"/>
  <c r="D457" i="11"/>
  <c r="G457" i="11" s="1"/>
  <c r="J457" i="11" s="1"/>
  <c r="K457" i="11" s="1"/>
  <c r="H456" i="11"/>
  <c r="F456" i="11"/>
  <c r="I456" i="11" s="1"/>
  <c r="E456" i="11"/>
  <c r="D456" i="11"/>
  <c r="G456" i="11" s="1"/>
  <c r="J456" i="11" s="1"/>
  <c r="K456" i="11" s="1"/>
  <c r="H455" i="11"/>
  <c r="F455" i="11"/>
  <c r="I455" i="11" s="1"/>
  <c r="E455" i="11"/>
  <c r="D455" i="11"/>
  <c r="G455" i="11" s="1"/>
  <c r="J455" i="11" s="1"/>
  <c r="K455" i="11" s="1"/>
  <c r="H454" i="11"/>
  <c r="F454" i="11"/>
  <c r="I454" i="11" s="1"/>
  <c r="E454" i="11"/>
  <c r="D454" i="11"/>
  <c r="G454" i="11" s="1"/>
  <c r="J454" i="11" s="1"/>
  <c r="K454" i="11" s="1"/>
  <c r="H453" i="11"/>
  <c r="F453" i="11"/>
  <c r="I453" i="11" s="1"/>
  <c r="E453" i="11"/>
  <c r="D453" i="11"/>
  <c r="G453" i="11" s="1"/>
  <c r="J453" i="11" s="1"/>
  <c r="K453" i="11" s="1"/>
  <c r="H452" i="11"/>
  <c r="F452" i="11"/>
  <c r="I452" i="11" s="1"/>
  <c r="E452" i="11"/>
  <c r="D452" i="11"/>
  <c r="G452" i="11" s="1"/>
  <c r="J452" i="11" s="1"/>
  <c r="K452" i="11" s="1"/>
  <c r="H451" i="11"/>
  <c r="F451" i="11"/>
  <c r="I451" i="11" s="1"/>
  <c r="E451" i="11"/>
  <c r="D451" i="11"/>
  <c r="G451" i="11" s="1"/>
  <c r="J451" i="11" s="1"/>
  <c r="K451" i="11" s="1"/>
  <c r="H450" i="11"/>
  <c r="F450" i="11"/>
  <c r="I450" i="11" s="1"/>
  <c r="E450" i="11"/>
  <c r="D450" i="11"/>
  <c r="G450" i="11" s="1"/>
  <c r="J450" i="11" s="1"/>
  <c r="K450" i="11" s="1"/>
  <c r="H449" i="11"/>
  <c r="F449" i="11"/>
  <c r="I449" i="11" s="1"/>
  <c r="E449" i="11"/>
  <c r="D449" i="11"/>
  <c r="G449" i="11" s="1"/>
  <c r="J449" i="11" s="1"/>
  <c r="K449" i="11" s="1"/>
  <c r="H448" i="11"/>
  <c r="F448" i="11"/>
  <c r="I448" i="11" s="1"/>
  <c r="E448" i="11"/>
  <c r="D448" i="11"/>
  <c r="G448" i="11" s="1"/>
  <c r="J448" i="11" s="1"/>
  <c r="K448" i="11" s="1"/>
  <c r="H447" i="11"/>
  <c r="F447" i="11"/>
  <c r="I447" i="11" s="1"/>
  <c r="E447" i="11"/>
  <c r="D447" i="11"/>
  <c r="G447" i="11" s="1"/>
  <c r="J447" i="11" s="1"/>
  <c r="K447" i="11" s="1"/>
  <c r="H446" i="11"/>
  <c r="F446" i="11"/>
  <c r="I446" i="11" s="1"/>
  <c r="E446" i="11"/>
  <c r="D446" i="11"/>
  <c r="G446" i="11" s="1"/>
  <c r="J446" i="11" s="1"/>
  <c r="K446" i="11" s="1"/>
  <c r="H445" i="11"/>
  <c r="F445" i="11"/>
  <c r="I445" i="11" s="1"/>
  <c r="E445" i="11"/>
  <c r="D445" i="11"/>
  <c r="G445" i="11" s="1"/>
  <c r="J445" i="11" s="1"/>
  <c r="K445" i="11" s="1"/>
  <c r="H444" i="11"/>
  <c r="F444" i="11"/>
  <c r="I444" i="11" s="1"/>
  <c r="E444" i="11"/>
  <c r="D444" i="11"/>
  <c r="G444" i="11" s="1"/>
  <c r="J444" i="11" s="1"/>
  <c r="K444" i="11" s="1"/>
  <c r="H443" i="11"/>
  <c r="F443" i="11"/>
  <c r="I443" i="11" s="1"/>
  <c r="E443" i="11"/>
  <c r="D443" i="11"/>
  <c r="G443" i="11" s="1"/>
  <c r="J443" i="11" s="1"/>
  <c r="K443" i="11" s="1"/>
  <c r="H442" i="11"/>
  <c r="F442" i="11"/>
  <c r="I442" i="11" s="1"/>
  <c r="E442" i="11"/>
  <c r="D442" i="11"/>
  <c r="G442" i="11" s="1"/>
  <c r="J442" i="11" s="1"/>
  <c r="K442" i="11" s="1"/>
  <c r="H441" i="11"/>
  <c r="F441" i="11"/>
  <c r="I441" i="11" s="1"/>
  <c r="E441" i="11"/>
  <c r="D441" i="11"/>
  <c r="G441" i="11" s="1"/>
  <c r="J441" i="11" s="1"/>
  <c r="K441" i="11" s="1"/>
  <c r="H440" i="11"/>
  <c r="F440" i="11"/>
  <c r="I440" i="11" s="1"/>
  <c r="E440" i="11"/>
  <c r="D440" i="11"/>
  <c r="G440" i="11" s="1"/>
  <c r="J440" i="11" s="1"/>
  <c r="K440" i="11" s="1"/>
  <c r="H439" i="11"/>
  <c r="F439" i="11"/>
  <c r="I439" i="11" s="1"/>
  <c r="E439" i="11"/>
  <c r="D439" i="11"/>
  <c r="G439" i="11" s="1"/>
  <c r="J439" i="11" s="1"/>
  <c r="K439" i="11" s="1"/>
  <c r="H438" i="11"/>
  <c r="F438" i="11"/>
  <c r="I438" i="11" s="1"/>
  <c r="E438" i="11"/>
  <c r="D438" i="11"/>
  <c r="G438" i="11" s="1"/>
  <c r="J438" i="11" s="1"/>
  <c r="K438" i="11" s="1"/>
  <c r="H437" i="11"/>
  <c r="F437" i="11"/>
  <c r="I437" i="11" s="1"/>
  <c r="E437" i="11"/>
  <c r="D437" i="11"/>
  <c r="G437" i="11" s="1"/>
  <c r="J437" i="11" s="1"/>
  <c r="K437" i="11" s="1"/>
  <c r="H436" i="11"/>
  <c r="F436" i="11"/>
  <c r="I436" i="11" s="1"/>
  <c r="E436" i="11"/>
  <c r="D436" i="11"/>
  <c r="G436" i="11" s="1"/>
  <c r="J436" i="11" s="1"/>
  <c r="K436" i="11" s="1"/>
  <c r="H435" i="11"/>
  <c r="F435" i="11"/>
  <c r="I435" i="11" s="1"/>
  <c r="E435" i="11"/>
  <c r="D435" i="11"/>
  <c r="G435" i="11" s="1"/>
  <c r="J435" i="11" s="1"/>
  <c r="K435" i="11" s="1"/>
  <c r="H434" i="11"/>
  <c r="F434" i="11"/>
  <c r="I434" i="11" s="1"/>
  <c r="E434" i="11"/>
  <c r="D434" i="11"/>
  <c r="G434" i="11" s="1"/>
  <c r="J434" i="11" s="1"/>
  <c r="K434" i="11" s="1"/>
  <c r="H433" i="11"/>
  <c r="F433" i="11"/>
  <c r="I433" i="11" s="1"/>
  <c r="E433" i="11"/>
  <c r="D433" i="11"/>
  <c r="G433" i="11" s="1"/>
  <c r="J433" i="11" s="1"/>
  <c r="K433" i="11" s="1"/>
  <c r="H432" i="11"/>
  <c r="F432" i="11"/>
  <c r="I432" i="11" s="1"/>
  <c r="E432" i="11"/>
  <c r="D432" i="11"/>
  <c r="G432" i="11" s="1"/>
  <c r="J432" i="11" s="1"/>
  <c r="K432" i="11" s="1"/>
  <c r="H431" i="11"/>
  <c r="F431" i="11"/>
  <c r="I431" i="11" s="1"/>
  <c r="E431" i="11"/>
  <c r="D431" i="11"/>
  <c r="G431" i="11" s="1"/>
  <c r="J431" i="11" s="1"/>
  <c r="K431" i="11" s="1"/>
  <c r="H430" i="11"/>
  <c r="F430" i="11"/>
  <c r="I430" i="11" s="1"/>
  <c r="E430" i="11"/>
  <c r="D430" i="11"/>
  <c r="G430" i="11" s="1"/>
  <c r="J430" i="11" s="1"/>
  <c r="K430" i="11" s="1"/>
  <c r="H429" i="11"/>
  <c r="F429" i="11"/>
  <c r="I429" i="11" s="1"/>
  <c r="E429" i="11"/>
  <c r="D429" i="11"/>
  <c r="G429" i="11" s="1"/>
  <c r="J429" i="11" s="1"/>
  <c r="K429" i="11" s="1"/>
  <c r="H428" i="11"/>
  <c r="F428" i="11"/>
  <c r="I428" i="11" s="1"/>
  <c r="E428" i="11"/>
  <c r="D428" i="11"/>
  <c r="G428" i="11" s="1"/>
  <c r="J428" i="11" s="1"/>
  <c r="K428" i="11" s="1"/>
  <c r="H427" i="11"/>
  <c r="F427" i="11"/>
  <c r="I427" i="11" s="1"/>
  <c r="E427" i="11"/>
  <c r="D427" i="11"/>
  <c r="G427" i="11" s="1"/>
  <c r="J427" i="11" s="1"/>
  <c r="K427" i="11" s="1"/>
  <c r="H426" i="11"/>
  <c r="F426" i="11"/>
  <c r="I426" i="11" s="1"/>
  <c r="E426" i="11"/>
  <c r="D426" i="11"/>
  <c r="G426" i="11" s="1"/>
  <c r="J426" i="11" s="1"/>
  <c r="K426" i="11" s="1"/>
  <c r="H425" i="11"/>
  <c r="F425" i="11"/>
  <c r="I425" i="11" s="1"/>
  <c r="E425" i="11"/>
  <c r="D425" i="11"/>
  <c r="G425" i="11" s="1"/>
  <c r="J425" i="11" s="1"/>
  <c r="K425" i="11" s="1"/>
  <c r="H424" i="11"/>
  <c r="F424" i="11"/>
  <c r="I424" i="11" s="1"/>
  <c r="E424" i="11"/>
  <c r="D424" i="11"/>
  <c r="G424" i="11" s="1"/>
  <c r="J424" i="11" s="1"/>
  <c r="K424" i="11" s="1"/>
  <c r="H423" i="11"/>
  <c r="F423" i="11"/>
  <c r="I423" i="11" s="1"/>
  <c r="E423" i="11"/>
  <c r="D423" i="11"/>
  <c r="G423" i="11" s="1"/>
  <c r="J423" i="11" s="1"/>
  <c r="K423" i="11" s="1"/>
  <c r="H422" i="11"/>
  <c r="F422" i="11"/>
  <c r="I422" i="11" s="1"/>
  <c r="E422" i="11"/>
  <c r="D422" i="11"/>
  <c r="G422" i="11" s="1"/>
  <c r="J422" i="11" s="1"/>
  <c r="K422" i="11" s="1"/>
  <c r="H421" i="11"/>
  <c r="F421" i="11"/>
  <c r="I421" i="11" s="1"/>
  <c r="E421" i="11"/>
  <c r="D421" i="11"/>
  <c r="G421" i="11" s="1"/>
  <c r="J421" i="11" s="1"/>
  <c r="K421" i="11" s="1"/>
  <c r="H420" i="11"/>
  <c r="F420" i="11"/>
  <c r="I420" i="11" s="1"/>
  <c r="E420" i="11"/>
  <c r="D420" i="11"/>
  <c r="G420" i="11" s="1"/>
  <c r="J420" i="11" s="1"/>
  <c r="K420" i="11" s="1"/>
  <c r="H419" i="11"/>
  <c r="F419" i="11"/>
  <c r="I419" i="11" s="1"/>
  <c r="E419" i="11"/>
  <c r="D419" i="11"/>
  <c r="G419" i="11" s="1"/>
  <c r="J419" i="11" s="1"/>
  <c r="K419" i="11" s="1"/>
  <c r="H418" i="11"/>
  <c r="F418" i="11"/>
  <c r="I418" i="11" s="1"/>
  <c r="E418" i="11"/>
  <c r="D418" i="11"/>
  <c r="G418" i="11" s="1"/>
  <c r="J418" i="11" s="1"/>
  <c r="K418" i="11" s="1"/>
  <c r="H417" i="11"/>
  <c r="F417" i="11"/>
  <c r="I417" i="11" s="1"/>
  <c r="E417" i="11"/>
  <c r="D417" i="11"/>
  <c r="G417" i="11" s="1"/>
  <c r="J417" i="11" s="1"/>
  <c r="K417" i="11" s="1"/>
  <c r="H416" i="11"/>
  <c r="F416" i="11"/>
  <c r="I416" i="11" s="1"/>
  <c r="E416" i="11"/>
  <c r="D416" i="11"/>
  <c r="G416" i="11" s="1"/>
  <c r="J416" i="11" s="1"/>
  <c r="K416" i="11" s="1"/>
  <c r="H415" i="11"/>
  <c r="F415" i="11"/>
  <c r="I415" i="11" s="1"/>
  <c r="E415" i="11"/>
  <c r="D415" i="11"/>
  <c r="G415" i="11" s="1"/>
  <c r="J415" i="11" s="1"/>
  <c r="K415" i="11" s="1"/>
  <c r="H414" i="11"/>
  <c r="F414" i="11"/>
  <c r="I414" i="11" s="1"/>
  <c r="E414" i="11"/>
  <c r="D414" i="11"/>
  <c r="G414" i="11" s="1"/>
  <c r="J414" i="11" s="1"/>
  <c r="K414" i="11" s="1"/>
  <c r="H413" i="11"/>
  <c r="F413" i="11"/>
  <c r="I413" i="11" s="1"/>
  <c r="E413" i="11"/>
  <c r="D413" i="11"/>
  <c r="G413" i="11" s="1"/>
  <c r="J413" i="11" s="1"/>
  <c r="K413" i="11" s="1"/>
  <c r="H412" i="11"/>
  <c r="F412" i="11"/>
  <c r="I412" i="11" s="1"/>
  <c r="E412" i="11"/>
  <c r="D412" i="11"/>
  <c r="G412" i="11" s="1"/>
  <c r="J412" i="11" s="1"/>
  <c r="K412" i="11" s="1"/>
  <c r="H411" i="11"/>
  <c r="F411" i="11"/>
  <c r="I411" i="11" s="1"/>
  <c r="E411" i="11"/>
  <c r="D411" i="11"/>
  <c r="G411" i="11" s="1"/>
  <c r="J411" i="11" s="1"/>
  <c r="K411" i="11" s="1"/>
  <c r="H410" i="11"/>
  <c r="F410" i="11"/>
  <c r="I410" i="11" s="1"/>
  <c r="E410" i="11"/>
  <c r="D410" i="11"/>
  <c r="G410" i="11" s="1"/>
  <c r="J410" i="11" s="1"/>
  <c r="K410" i="11" s="1"/>
  <c r="H409" i="11"/>
  <c r="F409" i="11"/>
  <c r="I409" i="11" s="1"/>
  <c r="E409" i="11"/>
  <c r="D409" i="11"/>
  <c r="G409" i="11" s="1"/>
  <c r="J409" i="11" s="1"/>
  <c r="K409" i="11" s="1"/>
  <c r="H408" i="11"/>
  <c r="F408" i="11"/>
  <c r="I408" i="11" s="1"/>
  <c r="E408" i="11"/>
  <c r="D408" i="11"/>
  <c r="G408" i="11" s="1"/>
  <c r="J408" i="11" s="1"/>
  <c r="K408" i="11" s="1"/>
  <c r="H407" i="11"/>
  <c r="F407" i="11"/>
  <c r="I407" i="11" s="1"/>
  <c r="E407" i="11"/>
  <c r="D407" i="11"/>
  <c r="G407" i="11" s="1"/>
  <c r="J407" i="11" s="1"/>
  <c r="K407" i="11" s="1"/>
  <c r="H406" i="11"/>
  <c r="F406" i="11"/>
  <c r="I406" i="11" s="1"/>
  <c r="E406" i="11"/>
  <c r="D406" i="11"/>
  <c r="G406" i="11" s="1"/>
  <c r="J406" i="11" s="1"/>
  <c r="K406" i="11" s="1"/>
  <c r="H405" i="11"/>
  <c r="F405" i="11"/>
  <c r="I405" i="11" s="1"/>
  <c r="E405" i="11"/>
  <c r="D405" i="11"/>
  <c r="G405" i="11" s="1"/>
  <c r="J405" i="11" s="1"/>
  <c r="K405" i="11" s="1"/>
  <c r="H404" i="11"/>
  <c r="F404" i="11"/>
  <c r="I404" i="11" s="1"/>
  <c r="E404" i="11"/>
  <c r="D404" i="11"/>
  <c r="G404" i="11" s="1"/>
  <c r="J404" i="11" s="1"/>
  <c r="K404" i="11" s="1"/>
  <c r="H403" i="11"/>
  <c r="F403" i="11"/>
  <c r="I403" i="11" s="1"/>
  <c r="E403" i="11"/>
  <c r="D403" i="11"/>
  <c r="G403" i="11" s="1"/>
  <c r="J403" i="11" s="1"/>
  <c r="K403" i="11" s="1"/>
  <c r="H402" i="11"/>
  <c r="F402" i="11"/>
  <c r="I402" i="11" s="1"/>
  <c r="E402" i="11"/>
  <c r="D402" i="11"/>
  <c r="G402" i="11" s="1"/>
  <c r="J402" i="11" s="1"/>
  <c r="K402" i="11" s="1"/>
  <c r="H401" i="11"/>
  <c r="F401" i="11"/>
  <c r="I401" i="11" s="1"/>
  <c r="E401" i="11"/>
  <c r="D401" i="11"/>
  <c r="G401" i="11" s="1"/>
  <c r="J401" i="11" s="1"/>
  <c r="K401" i="11" s="1"/>
  <c r="H400" i="11"/>
  <c r="F400" i="11"/>
  <c r="I400" i="11" s="1"/>
  <c r="E400" i="11"/>
  <c r="D400" i="11"/>
  <c r="G400" i="11" s="1"/>
  <c r="J400" i="11" s="1"/>
  <c r="K400" i="11" s="1"/>
  <c r="H399" i="11"/>
  <c r="F399" i="11"/>
  <c r="I399" i="11" s="1"/>
  <c r="E399" i="11"/>
  <c r="D399" i="11"/>
  <c r="G399" i="11" s="1"/>
  <c r="H398" i="11"/>
  <c r="F398" i="11"/>
  <c r="I398" i="11" s="1"/>
  <c r="E398" i="11"/>
  <c r="D398" i="11"/>
  <c r="G398" i="11" s="1"/>
  <c r="J398" i="11" s="1"/>
  <c r="K398" i="11" s="1"/>
  <c r="H397" i="11"/>
  <c r="F397" i="11"/>
  <c r="I397" i="11" s="1"/>
  <c r="E397" i="11"/>
  <c r="D397" i="11"/>
  <c r="G397" i="11" s="1"/>
  <c r="J397" i="11" s="1"/>
  <c r="K397" i="11" s="1"/>
  <c r="H396" i="11"/>
  <c r="F396" i="11"/>
  <c r="I396" i="11" s="1"/>
  <c r="E396" i="11"/>
  <c r="D396" i="11"/>
  <c r="G396" i="11" s="1"/>
  <c r="J396" i="11" s="1"/>
  <c r="K396" i="11" s="1"/>
  <c r="H395" i="11"/>
  <c r="F395" i="11"/>
  <c r="I395" i="11" s="1"/>
  <c r="E395" i="11"/>
  <c r="D395" i="11"/>
  <c r="G395" i="11" s="1"/>
  <c r="H394" i="11"/>
  <c r="F394" i="11"/>
  <c r="I394" i="11" s="1"/>
  <c r="E394" i="11"/>
  <c r="D394" i="11"/>
  <c r="G394" i="11" s="1"/>
  <c r="J394" i="11" s="1"/>
  <c r="K394" i="11" s="1"/>
  <c r="H393" i="11"/>
  <c r="F393" i="11"/>
  <c r="I393" i="11" s="1"/>
  <c r="E393" i="11"/>
  <c r="D393" i="11"/>
  <c r="G393" i="11" s="1"/>
  <c r="J393" i="11" s="1"/>
  <c r="K393" i="11" s="1"/>
  <c r="H392" i="11"/>
  <c r="F392" i="11"/>
  <c r="I392" i="11" s="1"/>
  <c r="E392" i="11"/>
  <c r="D392" i="11"/>
  <c r="G392" i="11" s="1"/>
  <c r="J392" i="11" s="1"/>
  <c r="K392" i="11" s="1"/>
  <c r="H391" i="11"/>
  <c r="F391" i="11"/>
  <c r="I391" i="11" s="1"/>
  <c r="E391" i="11"/>
  <c r="D391" i="11"/>
  <c r="G391" i="11" s="1"/>
  <c r="J391" i="11" s="1"/>
  <c r="K391" i="11" s="1"/>
  <c r="H390" i="11"/>
  <c r="F390" i="11"/>
  <c r="I390" i="11" s="1"/>
  <c r="E390" i="11"/>
  <c r="D390" i="11"/>
  <c r="G390" i="11" s="1"/>
  <c r="J390" i="11" s="1"/>
  <c r="K390" i="11" s="1"/>
  <c r="H389" i="11"/>
  <c r="F389" i="11"/>
  <c r="I389" i="11" s="1"/>
  <c r="E389" i="11"/>
  <c r="D389" i="11"/>
  <c r="G389" i="11" s="1"/>
  <c r="J389" i="11" s="1"/>
  <c r="K389" i="11" s="1"/>
  <c r="H388" i="11"/>
  <c r="F388" i="11"/>
  <c r="I388" i="11" s="1"/>
  <c r="E388" i="11"/>
  <c r="D388" i="11"/>
  <c r="G388" i="11" s="1"/>
  <c r="J388" i="11" s="1"/>
  <c r="K388" i="11" s="1"/>
  <c r="H387" i="11"/>
  <c r="F387" i="11"/>
  <c r="I387" i="11" s="1"/>
  <c r="E387" i="11"/>
  <c r="D387" i="11"/>
  <c r="G387" i="11" s="1"/>
  <c r="J387" i="11" s="1"/>
  <c r="K387" i="11" s="1"/>
  <c r="H386" i="11"/>
  <c r="F386" i="11"/>
  <c r="I386" i="11" s="1"/>
  <c r="E386" i="11"/>
  <c r="D386" i="11"/>
  <c r="G386" i="11" s="1"/>
  <c r="J386" i="11" s="1"/>
  <c r="K386" i="11" s="1"/>
  <c r="H385" i="11"/>
  <c r="F385" i="11"/>
  <c r="I385" i="11" s="1"/>
  <c r="E385" i="11"/>
  <c r="D385" i="11"/>
  <c r="G385" i="11" s="1"/>
  <c r="J385" i="11" s="1"/>
  <c r="K385" i="11" s="1"/>
  <c r="H384" i="11"/>
  <c r="F384" i="11"/>
  <c r="I384" i="11" s="1"/>
  <c r="E384" i="11"/>
  <c r="D384" i="11"/>
  <c r="G384" i="11" s="1"/>
  <c r="J384" i="11" s="1"/>
  <c r="K384" i="11" s="1"/>
  <c r="H383" i="11"/>
  <c r="F383" i="11"/>
  <c r="I383" i="11" s="1"/>
  <c r="E383" i="11"/>
  <c r="D383" i="11"/>
  <c r="G383" i="11" s="1"/>
  <c r="H382" i="11"/>
  <c r="F382" i="11"/>
  <c r="I382" i="11" s="1"/>
  <c r="E382" i="11"/>
  <c r="D382" i="11"/>
  <c r="G382" i="11" s="1"/>
  <c r="J382" i="11" s="1"/>
  <c r="K382" i="11" s="1"/>
  <c r="H381" i="11"/>
  <c r="F381" i="11"/>
  <c r="I381" i="11" s="1"/>
  <c r="E381" i="11"/>
  <c r="D381" i="11"/>
  <c r="G381" i="11" s="1"/>
  <c r="J381" i="11" s="1"/>
  <c r="K381" i="11" s="1"/>
  <c r="H380" i="11"/>
  <c r="F380" i="11"/>
  <c r="I380" i="11" s="1"/>
  <c r="E380" i="11"/>
  <c r="D380" i="11"/>
  <c r="G380" i="11" s="1"/>
  <c r="J380" i="11" s="1"/>
  <c r="K380" i="11" s="1"/>
  <c r="H379" i="11"/>
  <c r="F379" i="11"/>
  <c r="I379" i="11" s="1"/>
  <c r="E379" i="11"/>
  <c r="D379" i="11"/>
  <c r="G379" i="11" s="1"/>
  <c r="H378" i="11"/>
  <c r="F378" i="11"/>
  <c r="I378" i="11" s="1"/>
  <c r="E378" i="11"/>
  <c r="D378" i="11"/>
  <c r="G378" i="11" s="1"/>
  <c r="J378" i="11" s="1"/>
  <c r="K378" i="11" s="1"/>
  <c r="H377" i="11"/>
  <c r="F377" i="11"/>
  <c r="I377" i="11" s="1"/>
  <c r="E377" i="11"/>
  <c r="D377" i="11"/>
  <c r="G377" i="11" s="1"/>
  <c r="J377" i="11" s="1"/>
  <c r="K377" i="11" s="1"/>
  <c r="H376" i="11"/>
  <c r="F376" i="11"/>
  <c r="I376" i="11" s="1"/>
  <c r="E376" i="11"/>
  <c r="D376" i="11"/>
  <c r="G376" i="11" s="1"/>
  <c r="J376" i="11" s="1"/>
  <c r="K376" i="11" s="1"/>
  <c r="H375" i="11"/>
  <c r="F375" i="11"/>
  <c r="I375" i="11" s="1"/>
  <c r="E375" i="11"/>
  <c r="D375" i="11"/>
  <c r="G375" i="11" s="1"/>
  <c r="J375" i="11" s="1"/>
  <c r="K375" i="11" s="1"/>
  <c r="H374" i="11"/>
  <c r="F374" i="11"/>
  <c r="I374" i="11" s="1"/>
  <c r="E374" i="11"/>
  <c r="D374" i="11"/>
  <c r="G374" i="11" s="1"/>
  <c r="J374" i="11" s="1"/>
  <c r="K374" i="11" s="1"/>
  <c r="H373" i="11"/>
  <c r="F373" i="11"/>
  <c r="I373" i="11" s="1"/>
  <c r="E373" i="11"/>
  <c r="D373" i="11"/>
  <c r="G373" i="11" s="1"/>
  <c r="J373" i="11" s="1"/>
  <c r="K373" i="11" s="1"/>
  <c r="H372" i="11"/>
  <c r="F372" i="11"/>
  <c r="I372" i="11" s="1"/>
  <c r="E372" i="11"/>
  <c r="D372" i="11"/>
  <c r="G372" i="11" s="1"/>
  <c r="J372" i="11" s="1"/>
  <c r="K372" i="11" s="1"/>
  <c r="H371" i="11"/>
  <c r="F371" i="11"/>
  <c r="I371" i="11" s="1"/>
  <c r="E371" i="11"/>
  <c r="D371" i="11"/>
  <c r="G371" i="11" s="1"/>
  <c r="J371" i="11" s="1"/>
  <c r="K371" i="11" s="1"/>
  <c r="H370" i="11"/>
  <c r="F370" i="11"/>
  <c r="I370" i="11" s="1"/>
  <c r="E370" i="11"/>
  <c r="D370" i="11"/>
  <c r="G370" i="11" s="1"/>
  <c r="J370" i="11" s="1"/>
  <c r="K370" i="11" s="1"/>
  <c r="H369" i="11"/>
  <c r="F369" i="11"/>
  <c r="I369" i="11" s="1"/>
  <c r="E369" i="11"/>
  <c r="D369" i="11"/>
  <c r="G369" i="11" s="1"/>
  <c r="J369" i="11" s="1"/>
  <c r="K369" i="11" s="1"/>
  <c r="H368" i="11"/>
  <c r="F368" i="11"/>
  <c r="I368" i="11" s="1"/>
  <c r="E368" i="11"/>
  <c r="D368" i="11"/>
  <c r="G368" i="11" s="1"/>
  <c r="J368" i="11" s="1"/>
  <c r="K368" i="11" s="1"/>
  <c r="H367" i="11"/>
  <c r="F367" i="11"/>
  <c r="I367" i="11" s="1"/>
  <c r="E367" i="11"/>
  <c r="D367" i="11"/>
  <c r="G367" i="11" s="1"/>
  <c r="H366" i="11"/>
  <c r="F366" i="11"/>
  <c r="I366" i="11" s="1"/>
  <c r="E366" i="11"/>
  <c r="D366" i="11"/>
  <c r="G366" i="11" s="1"/>
  <c r="J366" i="11" s="1"/>
  <c r="K366" i="11" s="1"/>
  <c r="H365" i="11"/>
  <c r="F365" i="11"/>
  <c r="I365" i="11" s="1"/>
  <c r="E365" i="11"/>
  <c r="D365" i="11"/>
  <c r="G365" i="11" s="1"/>
  <c r="J365" i="11" s="1"/>
  <c r="K365" i="11" s="1"/>
  <c r="H364" i="11"/>
  <c r="F364" i="11"/>
  <c r="I364" i="11" s="1"/>
  <c r="E364" i="11"/>
  <c r="D364" i="11"/>
  <c r="G364" i="11" s="1"/>
  <c r="J364" i="11" s="1"/>
  <c r="K364" i="11" s="1"/>
  <c r="H363" i="11"/>
  <c r="F363" i="11"/>
  <c r="I363" i="11" s="1"/>
  <c r="E363" i="11"/>
  <c r="D363" i="11"/>
  <c r="G363" i="11" s="1"/>
  <c r="H362" i="11"/>
  <c r="F362" i="11"/>
  <c r="I362" i="11" s="1"/>
  <c r="E362" i="11"/>
  <c r="D362" i="11"/>
  <c r="G362" i="11" s="1"/>
  <c r="J362" i="11" s="1"/>
  <c r="K362" i="11" s="1"/>
  <c r="H361" i="11"/>
  <c r="F361" i="11"/>
  <c r="I361" i="11" s="1"/>
  <c r="E361" i="11"/>
  <c r="D361" i="11"/>
  <c r="H360" i="11"/>
  <c r="F360" i="11"/>
  <c r="I360" i="11" s="1"/>
  <c r="E360" i="11"/>
  <c r="G360" i="11" s="1"/>
  <c r="J360" i="11" s="1"/>
  <c r="K360" i="11" s="1"/>
  <c r="D360" i="11"/>
  <c r="H359" i="11"/>
  <c r="F359" i="11"/>
  <c r="I359" i="11" s="1"/>
  <c r="E359" i="11"/>
  <c r="D359" i="11"/>
  <c r="G359" i="11" s="1"/>
  <c r="J359" i="11" s="1"/>
  <c r="K359" i="11" s="1"/>
  <c r="H358" i="11"/>
  <c r="F358" i="11"/>
  <c r="I358" i="11" s="1"/>
  <c r="E358" i="11"/>
  <c r="D358" i="11"/>
  <c r="G358" i="11" s="1"/>
  <c r="J358" i="11" s="1"/>
  <c r="K358" i="11" s="1"/>
  <c r="H357" i="11"/>
  <c r="F357" i="11"/>
  <c r="I357" i="11" s="1"/>
  <c r="E357" i="11"/>
  <c r="D357" i="11"/>
  <c r="G357" i="11" s="1"/>
  <c r="J357" i="11" s="1"/>
  <c r="K357" i="11" s="1"/>
  <c r="H356" i="11"/>
  <c r="F356" i="11"/>
  <c r="I356" i="11" s="1"/>
  <c r="E356" i="11"/>
  <c r="D356" i="11"/>
  <c r="G356" i="11" s="1"/>
  <c r="J356" i="11" s="1"/>
  <c r="K356" i="11" s="1"/>
  <c r="H355" i="11"/>
  <c r="F355" i="11"/>
  <c r="I355" i="11" s="1"/>
  <c r="E355" i="11"/>
  <c r="D355" i="11"/>
  <c r="G355" i="11" s="1"/>
  <c r="J355" i="11" s="1"/>
  <c r="K355" i="11" s="1"/>
  <c r="H354" i="11"/>
  <c r="F354" i="11"/>
  <c r="I354" i="11" s="1"/>
  <c r="E354" i="11"/>
  <c r="D354" i="11"/>
  <c r="G354" i="11" s="1"/>
  <c r="J354" i="11" s="1"/>
  <c r="K354" i="11" s="1"/>
  <c r="H353" i="11"/>
  <c r="F353" i="11"/>
  <c r="I353" i="11" s="1"/>
  <c r="E353" i="11"/>
  <c r="D353" i="11"/>
  <c r="G353" i="11" s="1"/>
  <c r="J353" i="11" s="1"/>
  <c r="K353" i="11" s="1"/>
  <c r="H352" i="11"/>
  <c r="F352" i="11"/>
  <c r="I352" i="11" s="1"/>
  <c r="E352" i="11"/>
  <c r="D352" i="11"/>
  <c r="G352" i="11" s="1"/>
  <c r="J352" i="11" s="1"/>
  <c r="K352" i="11" s="1"/>
  <c r="H351" i="11"/>
  <c r="F351" i="11"/>
  <c r="I351" i="11" s="1"/>
  <c r="E351" i="11"/>
  <c r="D351" i="11"/>
  <c r="G351" i="11" s="1"/>
  <c r="J351" i="11" s="1"/>
  <c r="K351" i="11" s="1"/>
  <c r="H350" i="11"/>
  <c r="F350" i="11"/>
  <c r="I350" i="11" s="1"/>
  <c r="E350" i="11"/>
  <c r="D350" i="11"/>
  <c r="G350" i="11" s="1"/>
  <c r="J350" i="11" s="1"/>
  <c r="K350" i="11" s="1"/>
  <c r="H349" i="11"/>
  <c r="F349" i="11"/>
  <c r="I349" i="11" s="1"/>
  <c r="E349" i="11"/>
  <c r="D349" i="11"/>
  <c r="G349" i="11" s="1"/>
  <c r="J349" i="11" s="1"/>
  <c r="K349" i="11" s="1"/>
  <c r="H348" i="11"/>
  <c r="F348" i="11"/>
  <c r="I348" i="11" s="1"/>
  <c r="E348" i="11"/>
  <c r="D348" i="11"/>
  <c r="G348" i="11" s="1"/>
  <c r="J348" i="11" s="1"/>
  <c r="K348" i="11" s="1"/>
  <c r="H347" i="11"/>
  <c r="F347" i="11"/>
  <c r="I347" i="11" s="1"/>
  <c r="E347" i="11"/>
  <c r="D347" i="11"/>
  <c r="G347" i="11" s="1"/>
  <c r="J347" i="11" s="1"/>
  <c r="K347" i="11" s="1"/>
  <c r="H346" i="11"/>
  <c r="F346" i="11"/>
  <c r="I346" i="11" s="1"/>
  <c r="E346" i="11"/>
  <c r="D346" i="11"/>
  <c r="G346" i="11" s="1"/>
  <c r="J346" i="11" s="1"/>
  <c r="K346" i="11" s="1"/>
  <c r="H345" i="11"/>
  <c r="F345" i="11"/>
  <c r="I345" i="11" s="1"/>
  <c r="E345" i="11"/>
  <c r="D345" i="11"/>
  <c r="G345" i="11" s="1"/>
  <c r="J345" i="11" s="1"/>
  <c r="K345" i="11" s="1"/>
  <c r="H344" i="11"/>
  <c r="F344" i="11"/>
  <c r="I344" i="11" s="1"/>
  <c r="E344" i="11"/>
  <c r="D344" i="11"/>
  <c r="G344" i="11" s="1"/>
  <c r="J344" i="11" s="1"/>
  <c r="K344" i="11" s="1"/>
  <c r="H343" i="11"/>
  <c r="F343" i="11"/>
  <c r="I343" i="11" s="1"/>
  <c r="E343" i="11"/>
  <c r="D343" i="11"/>
  <c r="G343" i="11" s="1"/>
  <c r="J343" i="11" s="1"/>
  <c r="K343" i="11" s="1"/>
  <c r="H342" i="11"/>
  <c r="F342" i="11"/>
  <c r="I342" i="11" s="1"/>
  <c r="E342" i="11"/>
  <c r="D342" i="11"/>
  <c r="G342" i="11" s="1"/>
  <c r="J342" i="11" s="1"/>
  <c r="K342" i="11" s="1"/>
  <c r="H341" i="11"/>
  <c r="F341" i="11"/>
  <c r="I341" i="11" s="1"/>
  <c r="E341" i="11"/>
  <c r="D341" i="11"/>
  <c r="G341" i="11" s="1"/>
  <c r="J341" i="11" s="1"/>
  <c r="K341" i="11" s="1"/>
  <c r="H340" i="11"/>
  <c r="F340" i="11"/>
  <c r="I340" i="11" s="1"/>
  <c r="E340" i="11"/>
  <c r="D340" i="11"/>
  <c r="G340" i="11" s="1"/>
  <c r="J340" i="11" s="1"/>
  <c r="K340" i="11" s="1"/>
  <c r="H339" i="11"/>
  <c r="F339" i="11"/>
  <c r="I339" i="11" s="1"/>
  <c r="E339" i="11"/>
  <c r="D339" i="11"/>
  <c r="G339" i="11" s="1"/>
  <c r="J339" i="11" s="1"/>
  <c r="K339" i="11" s="1"/>
  <c r="H338" i="11"/>
  <c r="F338" i="11"/>
  <c r="I338" i="11" s="1"/>
  <c r="E338" i="11"/>
  <c r="D338" i="11"/>
  <c r="G338" i="11" s="1"/>
  <c r="J338" i="11" s="1"/>
  <c r="K338" i="11" s="1"/>
  <c r="H337" i="11"/>
  <c r="F337" i="11"/>
  <c r="I337" i="11" s="1"/>
  <c r="E337" i="11"/>
  <c r="D337" i="11"/>
  <c r="G337" i="11" s="1"/>
  <c r="J337" i="11" s="1"/>
  <c r="K337" i="11" s="1"/>
  <c r="H336" i="11"/>
  <c r="F336" i="11"/>
  <c r="I336" i="11" s="1"/>
  <c r="E336" i="11"/>
  <c r="D336" i="11"/>
  <c r="G336" i="11" s="1"/>
  <c r="J336" i="11" s="1"/>
  <c r="K336" i="11" s="1"/>
  <c r="H335" i="11"/>
  <c r="F335" i="11"/>
  <c r="I335" i="11" s="1"/>
  <c r="E335" i="11"/>
  <c r="D335" i="11"/>
  <c r="G335" i="11" s="1"/>
  <c r="J335" i="11" s="1"/>
  <c r="K335" i="11" s="1"/>
  <c r="H334" i="11"/>
  <c r="F334" i="11"/>
  <c r="I334" i="11" s="1"/>
  <c r="E334" i="11"/>
  <c r="D334" i="11"/>
  <c r="G334" i="11" s="1"/>
  <c r="J334" i="11" s="1"/>
  <c r="K334" i="11" s="1"/>
  <c r="H333" i="11"/>
  <c r="F333" i="11"/>
  <c r="I333" i="11" s="1"/>
  <c r="E333" i="11"/>
  <c r="D333" i="11"/>
  <c r="G333" i="11" s="1"/>
  <c r="J333" i="11" s="1"/>
  <c r="K333" i="11" s="1"/>
  <c r="H332" i="11"/>
  <c r="F332" i="11"/>
  <c r="I332" i="11" s="1"/>
  <c r="E332" i="11"/>
  <c r="D332" i="11"/>
  <c r="G332" i="11" s="1"/>
  <c r="J332" i="11" s="1"/>
  <c r="K332" i="11" s="1"/>
  <c r="H331" i="11"/>
  <c r="F331" i="11"/>
  <c r="I331" i="11" s="1"/>
  <c r="E331" i="11"/>
  <c r="D331" i="11"/>
  <c r="G331" i="11" s="1"/>
  <c r="J331" i="11" s="1"/>
  <c r="K331" i="11" s="1"/>
  <c r="H330" i="11"/>
  <c r="F330" i="11"/>
  <c r="I330" i="11" s="1"/>
  <c r="E330" i="11"/>
  <c r="D330" i="11"/>
  <c r="G330" i="11" s="1"/>
  <c r="J330" i="11" s="1"/>
  <c r="K330" i="11" s="1"/>
  <c r="H329" i="11"/>
  <c r="F329" i="11"/>
  <c r="I329" i="11" s="1"/>
  <c r="E329" i="11"/>
  <c r="D329" i="11"/>
  <c r="G329" i="11" s="1"/>
  <c r="J329" i="11" s="1"/>
  <c r="K329" i="11" s="1"/>
  <c r="H328" i="11"/>
  <c r="F328" i="11"/>
  <c r="I328" i="11" s="1"/>
  <c r="E328" i="11"/>
  <c r="D328" i="11"/>
  <c r="G328" i="11" s="1"/>
  <c r="J328" i="11" s="1"/>
  <c r="K328" i="11" s="1"/>
  <c r="H327" i="11"/>
  <c r="F327" i="11"/>
  <c r="I327" i="11" s="1"/>
  <c r="E327" i="11"/>
  <c r="D327" i="11"/>
  <c r="G327" i="11" s="1"/>
  <c r="J327" i="11" s="1"/>
  <c r="K327" i="11" s="1"/>
  <c r="H326" i="11"/>
  <c r="F326" i="11"/>
  <c r="I326" i="11" s="1"/>
  <c r="E326" i="11"/>
  <c r="D326" i="11"/>
  <c r="G326" i="11" s="1"/>
  <c r="J326" i="11" s="1"/>
  <c r="K326" i="11" s="1"/>
  <c r="H325" i="11"/>
  <c r="F325" i="11"/>
  <c r="I325" i="11" s="1"/>
  <c r="E325" i="11"/>
  <c r="D325" i="11"/>
  <c r="G325" i="11" s="1"/>
  <c r="J325" i="11" s="1"/>
  <c r="K325" i="11" s="1"/>
  <c r="H324" i="11"/>
  <c r="F324" i="11"/>
  <c r="I324" i="11" s="1"/>
  <c r="E324" i="11"/>
  <c r="D324" i="11"/>
  <c r="G324" i="11" s="1"/>
  <c r="J324" i="11" s="1"/>
  <c r="K324" i="11" s="1"/>
  <c r="H323" i="11"/>
  <c r="F323" i="11"/>
  <c r="I323" i="11" s="1"/>
  <c r="E323" i="11"/>
  <c r="D323" i="11"/>
  <c r="G323" i="11" s="1"/>
  <c r="J323" i="11" s="1"/>
  <c r="K323" i="11" s="1"/>
  <c r="H322" i="11"/>
  <c r="F322" i="11"/>
  <c r="I322" i="11" s="1"/>
  <c r="E322" i="11"/>
  <c r="D322" i="11"/>
  <c r="G322" i="11" s="1"/>
  <c r="J322" i="11" s="1"/>
  <c r="K322" i="11" s="1"/>
  <c r="H321" i="11"/>
  <c r="F321" i="11"/>
  <c r="I321" i="11" s="1"/>
  <c r="E321" i="11"/>
  <c r="D321" i="11"/>
  <c r="G321" i="11" s="1"/>
  <c r="J321" i="11" s="1"/>
  <c r="K321" i="11" s="1"/>
  <c r="H320" i="11"/>
  <c r="F320" i="11"/>
  <c r="I320" i="11" s="1"/>
  <c r="E320" i="11"/>
  <c r="D320" i="11"/>
  <c r="G320" i="11" s="1"/>
  <c r="J320" i="11" s="1"/>
  <c r="K320" i="11" s="1"/>
  <c r="H319" i="11"/>
  <c r="F319" i="11"/>
  <c r="I319" i="11" s="1"/>
  <c r="E319" i="11"/>
  <c r="D319" i="11"/>
  <c r="G319" i="11" s="1"/>
  <c r="J319" i="11" s="1"/>
  <c r="K319" i="11" s="1"/>
  <c r="H318" i="11"/>
  <c r="F318" i="11"/>
  <c r="I318" i="11" s="1"/>
  <c r="E318" i="11"/>
  <c r="D318" i="11"/>
  <c r="G318" i="11" s="1"/>
  <c r="J318" i="11" s="1"/>
  <c r="K318" i="11" s="1"/>
  <c r="H317" i="11"/>
  <c r="F317" i="11"/>
  <c r="I317" i="11" s="1"/>
  <c r="E317" i="11"/>
  <c r="D317" i="11"/>
  <c r="G317" i="11" s="1"/>
  <c r="J317" i="11" s="1"/>
  <c r="K317" i="11" s="1"/>
  <c r="H316" i="11"/>
  <c r="F316" i="11"/>
  <c r="I316" i="11" s="1"/>
  <c r="E316" i="11"/>
  <c r="D316" i="11"/>
  <c r="G316" i="11" s="1"/>
  <c r="J316" i="11" s="1"/>
  <c r="K316" i="11" s="1"/>
  <c r="H315" i="11"/>
  <c r="F315" i="11"/>
  <c r="I315" i="11" s="1"/>
  <c r="E315" i="11"/>
  <c r="D315" i="11"/>
  <c r="G315" i="11" s="1"/>
  <c r="J315" i="11" s="1"/>
  <c r="K315" i="11" s="1"/>
  <c r="H314" i="11"/>
  <c r="F314" i="11"/>
  <c r="I314" i="11" s="1"/>
  <c r="E314" i="11"/>
  <c r="D314" i="11"/>
  <c r="G314" i="11" s="1"/>
  <c r="J314" i="11" s="1"/>
  <c r="K314" i="11" s="1"/>
  <c r="H313" i="11"/>
  <c r="F313" i="11"/>
  <c r="I313" i="11" s="1"/>
  <c r="E313" i="11"/>
  <c r="D313" i="11"/>
  <c r="G313" i="11" s="1"/>
  <c r="J313" i="11" s="1"/>
  <c r="K313" i="11" s="1"/>
  <c r="H312" i="11"/>
  <c r="F312" i="11"/>
  <c r="I312" i="11" s="1"/>
  <c r="E312" i="11"/>
  <c r="D312" i="11"/>
  <c r="G312" i="11" s="1"/>
  <c r="J312" i="11" s="1"/>
  <c r="K312" i="11" s="1"/>
  <c r="H311" i="11"/>
  <c r="F311" i="11"/>
  <c r="I311" i="11" s="1"/>
  <c r="E311" i="11"/>
  <c r="D311" i="11"/>
  <c r="G311" i="11" s="1"/>
  <c r="J311" i="11" s="1"/>
  <c r="K311" i="11" s="1"/>
  <c r="H310" i="11"/>
  <c r="F310" i="11"/>
  <c r="I310" i="11" s="1"/>
  <c r="E310" i="11"/>
  <c r="D310" i="11"/>
  <c r="G310" i="11" s="1"/>
  <c r="J310" i="11" s="1"/>
  <c r="K310" i="11" s="1"/>
  <c r="H309" i="11"/>
  <c r="F309" i="11"/>
  <c r="I309" i="11" s="1"/>
  <c r="E309" i="11"/>
  <c r="D309" i="11"/>
  <c r="G309" i="11" s="1"/>
  <c r="J309" i="11" s="1"/>
  <c r="K309" i="11" s="1"/>
  <c r="H308" i="11"/>
  <c r="F308" i="11"/>
  <c r="I308" i="11" s="1"/>
  <c r="E308" i="11"/>
  <c r="D308" i="11"/>
  <c r="G308" i="11" s="1"/>
  <c r="J308" i="11" s="1"/>
  <c r="K308" i="11" s="1"/>
  <c r="H307" i="11"/>
  <c r="F307" i="11"/>
  <c r="I307" i="11" s="1"/>
  <c r="E307" i="11"/>
  <c r="D307" i="11"/>
  <c r="G307" i="11" s="1"/>
  <c r="J307" i="11" s="1"/>
  <c r="K307" i="11" s="1"/>
  <c r="H306" i="11"/>
  <c r="F306" i="11"/>
  <c r="I306" i="11" s="1"/>
  <c r="E306" i="11"/>
  <c r="D306" i="11"/>
  <c r="G306" i="11" s="1"/>
  <c r="J306" i="11" s="1"/>
  <c r="K306" i="11" s="1"/>
  <c r="H305" i="11"/>
  <c r="F305" i="11"/>
  <c r="I305" i="11" s="1"/>
  <c r="E305" i="11"/>
  <c r="D305" i="11"/>
  <c r="G305" i="11" s="1"/>
  <c r="J305" i="11" s="1"/>
  <c r="K305" i="11" s="1"/>
  <c r="H304" i="11"/>
  <c r="F304" i="11"/>
  <c r="I304" i="11" s="1"/>
  <c r="E304" i="11"/>
  <c r="D304" i="11"/>
  <c r="G304" i="11" s="1"/>
  <c r="J304" i="11" s="1"/>
  <c r="K304" i="11" s="1"/>
  <c r="H303" i="11"/>
  <c r="F303" i="11"/>
  <c r="I303" i="11" s="1"/>
  <c r="E303" i="11"/>
  <c r="D303" i="11"/>
  <c r="G303" i="11" s="1"/>
  <c r="J303" i="11" s="1"/>
  <c r="K303" i="11" s="1"/>
  <c r="H302" i="11"/>
  <c r="F302" i="11"/>
  <c r="I302" i="11" s="1"/>
  <c r="E302" i="11"/>
  <c r="D302" i="11"/>
  <c r="G302" i="11" s="1"/>
  <c r="J302" i="11" s="1"/>
  <c r="K302" i="11" s="1"/>
  <c r="H301" i="11"/>
  <c r="F301" i="11"/>
  <c r="I301" i="11" s="1"/>
  <c r="E301" i="11"/>
  <c r="D301" i="11"/>
  <c r="G301" i="11" s="1"/>
  <c r="J301" i="11" s="1"/>
  <c r="K301" i="11" s="1"/>
  <c r="H300" i="11"/>
  <c r="F300" i="11"/>
  <c r="I300" i="11" s="1"/>
  <c r="E300" i="11"/>
  <c r="D300" i="11"/>
  <c r="G300" i="11" s="1"/>
  <c r="J300" i="11" s="1"/>
  <c r="K300" i="11" s="1"/>
  <c r="H299" i="11"/>
  <c r="F299" i="11"/>
  <c r="I299" i="11" s="1"/>
  <c r="E299" i="11"/>
  <c r="D299" i="11"/>
  <c r="G299" i="11" s="1"/>
  <c r="J299" i="11" s="1"/>
  <c r="K299" i="11" s="1"/>
  <c r="H298" i="11"/>
  <c r="F298" i="11"/>
  <c r="I298" i="11" s="1"/>
  <c r="E298" i="11"/>
  <c r="D298" i="11"/>
  <c r="G298" i="11" s="1"/>
  <c r="J298" i="11" s="1"/>
  <c r="K298" i="11" s="1"/>
  <c r="H297" i="11"/>
  <c r="F297" i="11"/>
  <c r="I297" i="11" s="1"/>
  <c r="E297" i="11"/>
  <c r="D297" i="11"/>
  <c r="G297" i="11" s="1"/>
  <c r="J297" i="11" s="1"/>
  <c r="K297" i="11" s="1"/>
  <c r="H296" i="11"/>
  <c r="F296" i="11"/>
  <c r="I296" i="11" s="1"/>
  <c r="E296" i="11"/>
  <c r="D296" i="11"/>
  <c r="G296" i="11" s="1"/>
  <c r="J296" i="11" s="1"/>
  <c r="K296" i="11" s="1"/>
  <c r="H295" i="11"/>
  <c r="F295" i="11"/>
  <c r="I295" i="11" s="1"/>
  <c r="E295" i="11"/>
  <c r="D295" i="11"/>
  <c r="G295" i="11" s="1"/>
  <c r="J295" i="11" s="1"/>
  <c r="K295" i="11" s="1"/>
  <c r="H294" i="11"/>
  <c r="F294" i="11"/>
  <c r="I294" i="11" s="1"/>
  <c r="E294" i="11"/>
  <c r="D294" i="11"/>
  <c r="G294" i="11" s="1"/>
  <c r="J294" i="11" s="1"/>
  <c r="K294" i="11" s="1"/>
  <c r="H293" i="11"/>
  <c r="F293" i="11"/>
  <c r="I293" i="11" s="1"/>
  <c r="E293" i="11"/>
  <c r="D293" i="11"/>
  <c r="G293" i="11" s="1"/>
  <c r="J293" i="11" s="1"/>
  <c r="K293" i="11" s="1"/>
  <c r="H292" i="11"/>
  <c r="F292" i="11"/>
  <c r="I292" i="11" s="1"/>
  <c r="E292" i="11"/>
  <c r="D292" i="11"/>
  <c r="G292" i="11" s="1"/>
  <c r="J292" i="11" s="1"/>
  <c r="K292" i="11" s="1"/>
  <c r="H291" i="11"/>
  <c r="F291" i="11"/>
  <c r="I291" i="11" s="1"/>
  <c r="E291" i="11"/>
  <c r="D291" i="11"/>
  <c r="G291" i="11" s="1"/>
  <c r="J291" i="11" s="1"/>
  <c r="K291" i="11" s="1"/>
  <c r="H290" i="11"/>
  <c r="F290" i="11"/>
  <c r="I290" i="11" s="1"/>
  <c r="E290" i="11"/>
  <c r="D290" i="11"/>
  <c r="G290" i="11" s="1"/>
  <c r="J290" i="11" s="1"/>
  <c r="K290" i="11" s="1"/>
  <c r="H289" i="11"/>
  <c r="F289" i="11"/>
  <c r="I289" i="11" s="1"/>
  <c r="E289" i="11"/>
  <c r="D289" i="11"/>
  <c r="G289" i="11" s="1"/>
  <c r="J289" i="11" s="1"/>
  <c r="K289" i="11" s="1"/>
  <c r="H288" i="11"/>
  <c r="F288" i="11"/>
  <c r="I288" i="11" s="1"/>
  <c r="E288" i="11"/>
  <c r="D288" i="11"/>
  <c r="G288" i="11" s="1"/>
  <c r="J288" i="11" s="1"/>
  <c r="K288" i="11" s="1"/>
  <c r="H287" i="11"/>
  <c r="F287" i="11"/>
  <c r="I287" i="11" s="1"/>
  <c r="E287" i="11"/>
  <c r="D287" i="11"/>
  <c r="G287" i="11" s="1"/>
  <c r="J287" i="11" s="1"/>
  <c r="K287" i="11" s="1"/>
  <c r="H286" i="11"/>
  <c r="F286" i="11"/>
  <c r="I286" i="11" s="1"/>
  <c r="E286" i="11"/>
  <c r="D286" i="11"/>
  <c r="G286" i="11" s="1"/>
  <c r="J286" i="11" s="1"/>
  <c r="K286" i="11" s="1"/>
  <c r="H285" i="11"/>
  <c r="F285" i="11"/>
  <c r="I285" i="11" s="1"/>
  <c r="E285" i="11"/>
  <c r="D285" i="11"/>
  <c r="G285" i="11" s="1"/>
  <c r="J285" i="11" s="1"/>
  <c r="K285" i="11" s="1"/>
  <c r="H284" i="11"/>
  <c r="F284" i="11"/>
  <c r="I284" i="11" s="1"/>
  <c r="E284" i="11"/>
  <c r="D284" i="11"/>
  <c r="G284" i="11" s="1"/>
  <c r="J284" i="11" s="1"/>
  <c r="K284" i="11" s="1"/>
  <c r="H283" i="11"/>
  <c r="F283" i="11"/>
  <c r="I283" i="11" s="1"/>
  <c r="E283" i="11"/>
  <c r="D283" i="11"/>
  <c r="G283" i="11" s="1"/>
  <c r="J283" i="11" s="1"/>
  <c r="K283" i="11" s="1"/>
  <c r="H282" i="11"/>
  <c r="F282" i="11"/>
  <c r="I282" i="11" s="1"/>
  <c r="E282" i="11"/>
  <c r="D282" i="11"/>
  <c r="G282" i="11" s="1"/>
  <c r="J282" i="11" s="1"/>
  <c r="K282" i="11" s="1"/>
  <c r="H281" i="11"/>
  <c r="F281" i="11"/>
  <c r="I281" i="11" s="1"/>
  <c r="E281" i="11"/>
  <c r="D281" i="11"/>
  <c r="G281" i="11" s="1"/>
  <c r="J281" i="11" s="1"/>
  <c r="K281" i="11" s="1"/>
  <c r="H280" i="11"/>
  <c r="F280" i="11"/>
  <c r="I280" i="11" s="1"/>
  <c r="E280" i="11"/>
  <c r="D280" i="11"/>
  <c r="G280" i="11" s="1"/>
  <c r="J280" i="11" s="1"/>
  <c r="K280" i="11" s="1"/>
  <c r="H279" i="11"/>
  <c r="F279" i="11"/>
  <c r="I279" i="11" s="1"/>
  <c r="E279" i="11"/>
  <c r="D279" i="11"/>
  <c r="G279" i="11" s="1"/>
  <c r="J279" i="11" s="1"/>
  <c r="K279" i="11" s="1"/>
  <c r="H278" i="11"/>
  <c r="F278" i="11"/>
  <c r="I278" i="11" s="1"/>
  <c r="E278" i="11"/>
  <c r="D278" i="11"/>
  <c r="G278" i="11" s="1"/>
  <c r="J278" i="11" s="1"/>
  <c r="K278" i="11" s="1"/>
  <c r="H277" i="11"/>
  <c r="F277" i="11"/>
  <c r="I277" i="11" s="1"/>
  <c r="E277" i="11"/>
  <c r="D277" i="11"/>
  <c r="G277" i="11" s="1"/>
  <c r="J277" i="11" s="1"/>
  <c r="K277" i="11" s="1"/>
  <c r="H276" i="11"/>
  <c r="F276" i="11"/>
  <c r="I276" i="11" s="1"/>
  <c r="E276" i="11"/>
  <c r="D276" i="11"/>
  <c r="G276" i="11" s="1"/>
  <c r="J276" i="11" s="1"/>
  <c r="K276" i="11" s="1"/>
  <c r="H275" i="11"/>
  <c r="F275" i="11"/>
  <c r="I275" i="11" s="1"/>
  <c r="E275" i="11"/>
  <c r="D275" i="11"/>
  <c r="G275" i="11" s="1"/>
  <c r="J275" i="11" s="1"/>
  <c r="K275" i="11" s="1"/>
  <c r="H274" i="11"/>
  <c r="F274" i="11"/>
  <c r="I274" i="11" s="1"/>
  <c r="E274" i="11"/>
  <c r="D274" i="11"/>
  <c r="G274" i="11" s="1"/>
  <c r="J274" i="11" s="1"/>
  <c r="K274" i="11" s="1"/>
  <c r="H273" i="11"/>
  <c r="F273" i="11"/>
  <c r="I273" i="11" s="1"/>
  <c r="E273" i="11"/>
  <c r="D273" i="11"/>
  <c r="G273" i="11" s="1"/>
  <c r="J273" i="11" s="1"/>
  <c r="K273" i="11" s="1"/>
  <c r="H272" i="11"/>
  <c r="F272" i="11"/>
  <c r="I272" i="11" s="1"/>
  <c r="E272" i="11"/>
  <c r="D272" i="11"/>
  <c r="G272" i="11" s="1"/>
  <c r="J272" i="11" s="1"/>
  <c r="K272" i="11" s="1"/>
  <c r="H271" i="11"/>
  <c r="F271" i="11"/>
  <c r="I271" i="11" s="1"/>
  <c r="E271" i="11"/>
  <c r="D271" i="11"/>
  <c r="G271" i="11" s="1"/>
  <c r="J271" i="11" s="1"/>
  <c r="K271" i="11" s="1"/>
  <c r="H270" i="11"/>
  <c r="F270" i="11"/>
  <c r="I270" i="11" s="1"/>
  <c r="E270" i="11"/>
  <c r="D270" i="11"/>
  <c r="G270" i="11" s="1"/>
  <c r="J270" i="11" s="1"/>
  <c r="K270" i="11" s="1"/>
  <c r="H269" i="11"/>
  <c r="F269" i="11"/>
  <c r="I269" i="11" s="1"/>
  <c r="E269" i="11"/>
  <c r="D269" i="11"/>
  <c r="G269" i="11" s="1"/>
  <c r="J269" i="11" s="1"/>
  <c r="K269" i="11" s="1"/>
  <c r="H268" i="11"/>
  <c r="F268" i="11"/>
  <c r="I268" i="11" s="1"/>
  <c r="E268" i="11"/>
  <c r="D268" i="11"/>
  <c r="G268" i="11" s="1"/>
  <c r="J268" i="11" s="1"/>
  <c r="K268" i="11" s="1"/>
  <c r="H267" i="11"/>
  <c r="F267" i="11"/>
  <c r="I267" i="11" s="1"/>
  <c r="E267" i="11"/>
  <c r="D267" i="11"/>
  <c r="G267" i="11" s="1"/>
  <c r="J267" i="11" s="1"/>
  <c r="K267" i="11" s="1"/>
  <c r="H266" i="11"/>
  <c r="F266" i="11"/>
  <c r="I266" i="11" s="1"/>
  <c r="E266" i="11"/>
  <c r="D266" i="11"/>
  <c r="G266" i="11" s="1"/>
  <c r="J266" i="11" s="1"/>
  <c r="K266" i="11" s="1"/>
  <c r="H265" i="11"/>
  <c r="F265" i="11"/>
  <c r="I265" i="11" s="1"/>
  <c r="E265" i="11"/>
  <c r="D265" i="11"/>
  <c r="G265" i="11" s="1"/>
  <c r="J265" i="11" s="1"/>
  <c r="K265" i="11" s="1"/>
  <c r="H264" i="11"/>
  <c r="F264" i="11"/>
  <c r="I264" i="11" s="1"/>
  <c r="E264" i="11"/>
  <c r="D264" i="11"/>
  <c r="G264" i="11" s="1"/>
  <c r="J264" i="11" s="1"/>
  <c r="K264" i="11" s="1"/>
  <c r="H263" i="11"/>
  <c r="F263" i="11"/>
  <c r="I263" i="11" s="1"/>
  <c r="E263" i="11"/>
  <c r="D263" i="11"/>
  <c r="G263" i="11" s="1"/>
  <c r="J263" i="11" s="1"/>
  <c r="K263" i="11" s="1"/>
  <c r="H262" i="11"/>
  <c r="F262" i="11"/>
  <c r="I262" i="11" s="1"/>
  <c r="E262" i="11"/>
  <c r="D262" i="11"/>
  <c r="G262" i="11" s="1"/>
  <c r="J262" i="11" s="1"/>
  <c r="K262" i="11" s="1"/>
  <c r="H261" i="11"/>
  <c r="F261" i="11"/>
  <c r="I261" i="11" s="1"/>
  <c r="E261" i="11"/>
  <c r="D261" i="11"/>
  <c r="G261" i="11" s="1"/>
  <c r="J261" i="11" s="1"/>
  <c r="K261" i="11" s="1"/>
  <c r="H260" i="11"/>
  <c r="F260" i="11"/>
  <c r="I260" i="11" s="1"/>
  <c r="E260" i="11"/>
  <c r="D260" i="11"/>
  <c r="G260" i="11" s="1"/>
  <c r="J260" i="11" s="1"/>
  <c r="K260" i="11" s="1"/>
  <c r="H259" i="11"/>
  <c r="F259" i="11"/>
  <c r="I259" i="11" s="1"/>
  <c r="E259" i="11"/>
  <c r="D259" i="11"/>
  <c r="G259" i="11" s="1"/>
  <c r="J259" i="11" s="1"/>
  <c r="K259" i="11" s="1"/>
  <c r="H258" i="11"/>
  <c r="F258" i="11"/>
  <c r="I258" i="11" s="1"/>
  <c r="E258" i="11"/>
  <c r="D258" i="11"/>
  <c r="G258" i="11" s="1"/>
  <c r="J258" i="11" s="1"/>
  <c r="K258" i="11" s="1"/>
  <c r="H257" i="11"/>
  <c r="F257" i="11"/>
  <c r="I257" i="11" s="1"/>
  <c r="E257" i="11"/>
  <c r="D257" i="11"/>
  <c r="G257" i="11" s="1"/>
  <c r="J257" i="11" s="1"/>
  <c r="K257" i="11" s="1"/>
  <c r="H256" i="11"/>
  <c r="F256" i="11"/>
  <c r="I256" i="11" s="1"/>
  <c r="E256" i="11"/>
  <c r="D256" i="11"/>
  <c r="G256" i="11" s="1"/>
  <c r="J256" i="11" s="1"/>
  <c r="K256" i="11" s="1"/>
  <c r="H255" i="11"/>
  <c r="F255" i="11"/>
  <c r="I255" i="11" s="1"/>
  <c r="E255" i="11"/>
  <c r="D255" i="11"/>
  <c r="G255" i="11" s="1"/>
  <c r="J255" i="11" s="1"/>
  <c r="K255" i="11" s="1"/>
  <c r="H254" i="11"/>
  <c r="F254" i="11"/>
  <c r="I254" i="11" s="1"/>
  <c r="E254" i="11"/>
  <c r="D254" i="11"/>
  <c r="G254" i="11" s="1"/>
  <c r="J254" i="11" s="1"/>
  <c r="K254" i="11" s="1"/>
  <c r="H253" i="11"/>
  <c r="F253" i="11"/>
  <c r="I253" i="11" s="1"/>
  <c r="E253" i="11"/>
  <c r="D253" i="11"/>
  <c r="G253" i="11" s="1"/>
  <c r="J253" i="11" s="1"/>
  <c r="K253" i="11" s="1"/>
  <c r="H252" i="11"/>
  <c r="F252" i="11"/>
  <c r="I252" i="11" s="1"/>
  <c r="E252" i="11"/>
  <c r="D252" i="11"/>
  <c r="G252" i="11" s="1"/>
  <c r="J252" i="11" s="1"/>
  <c r="K252" i="11" s="1"/>
  <c r="H251" i="11"/>
  <c r="F251" i="11"/>
  <c r="I251" i="11" s="1"/>
  <c r="E251" i="11"/>
  <c r="D251" i="11"/>
  <c r="G251" i="11" s="1"/>
  <c r="J251" i="11" s="1"/>
  <c r="K251" i="11" s="1"/>
  <c r="H250" i="11"/>
  <c r="F250" i="11"/>
  <c r="I250" i="11" s="1"/>
  <c r="E250" i="11"/>
  <c r="D250" i="11"/>
  <c r="G250" i="11" s="1"/>
  <c r="J250" i="11" s="1"/>
  <c r="K250" i="11" s="1"/>
  <c r="H249" i="11"/>
  <c r="F249" i="11"/>
  <c r="I249" i="11" s="1"/>
  <c r="E249" i="11"/>
  <c r="D249" i="11"/>
  <c r="G249" i="11" s="1"/>
  <c r="J249" i="11" s="1"/>
  <c r="K249" i="11" s="1"/>
  <c r="H248" i="11"/>
  <c r="F248" i="11"/>
  <c r="I248" i="11" s="1"/>
  <c r="E248" i="11"/>
  <c r="D248" i="11"/>
  <c r="G248" i="11" s="1"/>
  <c r="J248" i="11" s="1"/>
  <c r="K248" i="11" s="1"/>
  <c r="H247" i="11"/>
  <c r="F247" i="11"/>
  <c r="I247" i="11" s="1"/>
  <c r="E247" i="11"/>
  <c r="D247" i="11"/>
  <c r="G247" i="11" s="1"/>
  <c r="J247" i="11" s="1"/>
  <c r="K247" i="11" s="1"/>
  <c r="H246" i="11"/>
  <c r="F246" i="11"/>
  <c r="I246" i="11" s="1"/>
  <c r="E246" i="11"/>
  <c r="D246" i="11"/>
  <c r="G246" i="11" s="1"/>
  <c r="J246" i="11" s="1"/>
  <c r="K246" i="11" s="1"/>
  <c r="H245" i="11"/>
  <c r="F245" i="11"/>
  <c r="I245" i="11" s="1"/>
  <c r="E245" i="11"/>
  <c r="D245" i="11"/>
  <c r="G245" i="11" s="1"/>
  <c r="J245" i="11" s="1"/>
  <c r="K245" i="11" s="1"/>
  <c r="H244" i="11"/>
  <c r="F244" i="11"/>
  <c r="I244" i="11" s="1"/>
  <c r="E244" i="11"/>
  <c r="D244" i="11"/>
  <c r="G244" i="11" s="1"/>
  <c r="J244" i="11" s="1"/>
  <c r="K244" i="11" s="1"/>
  <c r="H243" i="11"/>
  <c r="F243" i="11"/>
  <c r="I243" i="11" s="1"/>
  <c r="E243" i="11"/>
  <c r="D243" i="11"/>
  <c r="G243" i="11" s="1"/>
  <c r="J243" i="11" s="1"/>
  <c r="K243" i="11" s="1"/>
  <c r="H242" i="11"/>
  <c r="F242" i="11"/>
  <c r="I242" i="11" s="1"/>
  <c r="E242" i="11"/>
  <c r="D242" i="11"/>
  <c r="G242" i="11" s="1"/>
  <c r="J242" i="11" s="1"/>
  <c r="K242" i="11" s="1"/>
  <c r="H241" i="11"/>
  <c r="F241" i="11"/>
  <c r="I241" i="11" s="1"/>
  <c r="E241" i="11"/>
  <c r="D241" i="11"/>
  <c r="G241" i="11" s="1"/>
  <c r="J241" i="11" s="1"/>
  <c r="K241" i="11" s="1"/>
  <c r="H240" i="11"/>
  <c r="F240" i="11"/>
  <c r="I240" i="11" s="1"/>
  <c r="E240" i="11"/>
  <c r="D240" i="11"/>
  <c r="G240" i="11" s="1"/>
  <c r="J240" i="11" s="1"/>
  <c r="K240" i="11" s="1"/>
  <c r="H239" i="11"/>
  <c r="F239" i="11"/>
  <c r="I239" i="11" s="1"/>
  <c r="E239" i="11"/>
  <c r="D239" i="11"/>
  <c r="G239" i="11" s="1"/>
  <c r="J239" i="11" s="1"/>
  <c r="K239" i="11" s="1"/>
  <c r="H238" i="11"/>
  <c r="F238" i="11"/>
  <c r="I238" i="11" s="1"/>
  <c r="E238" i="11"/>
  <c r="D238" i="11"/>
  <c r="G238" i="11" s="1"/>
  <c r="J238" i="11" s="1"/>
  <c r="K238" i="11" s="1"/>
  <c r="H237" i="11"/>
  <c r="F237" i="11"/>
  <c r="I237" i="11" s="1"/>
  <c r="E237" i="11"/>
  <c r="D237" i="11"/>
  <c r="G237" i="11" s="1"/>
  <c r="J237" i="11" s="1"/>
  <c r="K237" i="11" s="1"/>
  <c r="H236" i="11"/>
  <c r="F236" i="11"/>
  <c r="I236" i="11" s="1"/>
  <c r="E236" i="11"/>
  <c r="D236" i="11"/>
  <c r="G236" i="11" s="1"/>
  <c r="J236" i="11" s="1"/>
  <c r="K236" i="11" s="1"/>
  <c r="H235" i="11"/>
  <c r="F235" i="11"/>
  <c r="I235" i="11" s="1"/>
  <c r="E235" i="11"/>
  <c r="D235" i="11"/>
  <c r="G235" i="11" s="1"/>
  <c r="J235" i="11" s="1"/>
  <c r="K235" i="11" s="1"/>
  <c r="H234" i="11"/>
  <c r="F234" i="11"/>
  <c r="I234" i="11" s="1"/>
  <c r="E234" i="11"/>
  <c r="D234" i="11"/>
  <c r="G234" i="11" s="1"/>
  <c r="J234" i="11" s="1"/>
  <c r="K234" i="11" s="1"/>
  <c r="H233" i="11"/>
  <c r="F233" i="11"/>
  <c r="I233" i="11" s="1"/>
  <c r="E233" i="11"/>
  <c r="D233" i="11"/>
  <c r="G233" i="11" s="1"/>
  <c r="J233" i="11" s="1"/>
  <c r="K233" i="11" s="1"/>
  <c r="H232" i="11"/>
  <c r="F232" i="11"/>
  <c r="I232" i="11" s="1"/>
  <c r="E232" i="11"/>
  <c r="D232" i="11"/>
  <c r="G232" i="11" s="1"/>
  <c r="J232" i="11" s="1"/>
  <c r="K232" i="11" s="1"/>
  <c r="H231" i="11"/>
  <c r="F231" i="11"/>
  <c r="I231" i="11" s="1"/>
  <c r="E231" i="11"/>
  <c r="D231" i="11"/>
  <c r="G231" i="11" s="1"/>
  <c r="J231" i="11" s="1"/>
  <c r="K231" i="11" s="1"/>
  <c r="H230" i="11"/>
  <c r="F230" i="11"/>
  <c r="I230" i="11" s="1"/>
  <c r="E230" i="11"/>
  <c r="D230" i="11"/>
  <c r="G230" i="11" s="1"/>
  <c r="J230" i="11" s="1"/>
  <c r="K230" i="11" s="1"/>
  <c r="H229" i="11"/>
  <c r="F229" i="11"/>
  <c r="I229" i="11" s="1"/>
  <c r="E229" i="11"/>
  <c r="D229" i="11"/>
  <c r="G229" i="11" s="1"/>
  <c r="J229" i="11" s="1"/>
  <c r="K229" i="11" s="1"/>
  <c r="H228" i="11"/>
  <c r="F228" i="11"/>
  <c r="I228" i="11" s="1"/>
  <c r="E228" i="11"/>
  <c r="D228" i="11"/>
  <c r="G228" i="11" s="1"/>
  <c r="J228" i="11" s="1"/>
  <c r="K228" i="11" s="1"/>
  <c r="H227" i="11"/>
  <c r="F227" i="11"/>
  <c r="I227" i="11" s="1"/>
  <c r="E227" i="11"/>
  <c r="D227" i="11"/>
  <c r="G227" i="11" s="1"/>
  <c r="J227" i="11" s="1"/>
  <c r="K227" i="11" s="1"/>
  <c r="H226" i="11"/>
  <c r="F226" i="11"/>
  <c r="I226" i="11" s="1"/>
  <c r="E226" i="11"/>
  <c r="D226" i="11"/>
  <c r="G226" i="11" s="1"/>
  <c r="J226" i="11" s="1"/>
  <c r="K226" i="11" s="1"/>
  <c r="H225" i="11"/>
  <c r="F225" i="11"/>
  <c r="I225" i="11" s="1"/>
  <c r="E225" i="11"/>
  <c r="D225" i="11"/>
  <c r="G225" i="11" s="1"/>
  <c r="J225" i="11" s="1"/>
  <c r="K225" i="11" s="1"/>
  <c r="H224" i="11"/>
  <c r="F224" i="11"/>
  <c r="I224" i="11" s="1"/>
  <c r="E224" i="11"/>
  <c r="D224" i="11"/>
  <c r="G224" i="11" s="1"/>
  <c r="J224" i="11" s="1"/>
  <c r="K224" i="11" s="1"/>
  <c r="H223" i="11"/>
  <c r="F223" i="11"/>
  <c r="I223" i="11" s="1"/>
  <c r="E223" i="11"/>
  <c r="D223" i="11"/>
  <c r="G223" i="11" s="1"/>
  <c r="J223" i="11" s="1"/>
  <c r="K223" i="11" s="1"/>
  <c r="H222" i="11"/>
  <c r="F222" i="11"/>
  <c r="I222" i="11" s="1"/>
  <c r="E222" i="11"/>
  <c r="D222" i="11"/>
  <c r="G222" i="11" s="1"/>
  <c r="J222" i="11" s="1"/>
  <c r="K222" i="11" s="1"/>
  <c r="H221" i="11"/>
  <c r="F221" i="11"/>
  <c r="I221" i="11" s="1"/>
  <c r="E221" i="11"/>
  <c r="D221" i="11"/>
  <c r="G221" i="11" s="1"/>
  <c r="J221" i="11" s="1"/>
  <c r="K221" i="11" s="1"/>
  <c r="H220" i="11"/>
  <c r="F220" i="11"/>
  <c r="I220" i="11" s="1"/>
  <c r="E220" i="11"/>
  <c r="D220" i="11"/>
  <c r="G220" i="11" s="1"/>
  <c r="J220" i="11" s="1"/>
  <c r="K220" i="11" s="1"/>
  <c r="H219" i="11"/>
  <c r="F219" i="11"/>
  <c r="I219" i="11" s="1"/>
  <c r="E219" i="11"/>
  <c r="D219" i="11"/>
  <c r="G219" i="11" s="1"/>
  <c r="J219" i="11" s="1"/>
  <c r="K219" i="11" s="1"/>
  <c r="H218" i="11"/>
  <c r="F218" i="11"/>
  <c r="I218" i="11" s="1"/>
  <c r="E218" i="11"/>
  <c r="D218" i="11"/>
  <c r="G218" i="11" s="1"/>
  <c r="J218" i="11" s="1"/>
  <c r="K218" i="11" s="1"/>
  <c r="H217" i="11"/>
  <c r="F217" i="11"/>
  <c r="I217" i="11" s="1"/>
  <c r="E217" i="11"/>
  <c r="D217" i="11"/>
  <c r="G217" i="11" s="1"/>
  <c r="J217" i="11" s="1"/>
  <c r="K217" i="11" s="1"/>
  <c r="H216" i="11"/>
  <c r="F216" i="11"/>
  <c r="I216" i="11" s="1"/>
  <c r="E216" i="11"/>
  <c r="D216" i="11"/>
  <c r="G216" i="11" s="1"/>
  <c r="J216" i="11" s="1"/>
  <c r="K216" i="11" s="1"/>
  <c r="H215" i="11"/>
  <c r="F215" i="11"/>
  <c r="I215" i="11" s="1"/>
  <c r="E215" i="11"/>
  <c r="D215" i="11"/>
  <c r="G215" i="11" s="1"/>
  <c r="J215" i="11" s="1"/>
  <c r="K215" i="11" s="1"/>
  <c r="H214" i="11"/>
  <c r="F214" i="11"/>
  <c r="I214" i="11" s="1"/>
  <c r="E214" i="11"/>
  <c r="D214" i="11"/>
  <c r="G214" i="11" s="1"/>
  <c r="J214" i="11" s="1"/>
  <c r="K214" i="11" s="1"/>
  <c r="H213" i="11"/>
  <c r="F213" i="11"/>
  <c r="I213" i="11" s="1"/>
  <c r="E213" i="11"/>
  <c r="D213" i="11"/>
  <c r="G213" i="11" s="1"/>
  <c r="J213" i="11" s="1"/>
  <c r="K213" i="11" s="1"/>
  <c r="H212" i="11"/>
  <c r="F212" i="11"/>
  <c r="I212" i="11" s="1"/>
  <c r="E212" i="11"/>
  <c r="D212" i="11"/>
  <c r="G212" i="11" s="1"/>
  <c r="J212" i="11" s="1"/>
  <c r="K212" i="11" s="1"/>
  <c r="H211" i="11"/>
  <c r="F211" i="11"/>
  <c r="I211" i="11" s="1"/>
  <c r="E211" i="11"/>
  <c r="D211" i="11"/>
  <c r="G211" i="11" s="1"/>
  <c r="J211" i="11" s="1"/>
  <c r="K211" i="11" s="1"/>
  <c r="H210" i="11"/>
  <c r="F210" i="11"/>
  <c r="I210" i="11" s="1"/>
  <c r="E210" i="11"/>
  <c r="D210" i="11"/>
  <c r="G210" i="11" s="1"/>
  <c r="J210" i="11" s="1"/>
  <c r="K210" i="11" s="1"/>
  <c r="H209" i="11"/>
  <c r="F209" i="11"/>
  <c r="I209" i="11" s="1"/>
  <c r="E209" i="11"/>
  <c r="D209" i="11"/>
  <c r="G209" i="11" s="1"/>
  <c r="J209" i="11" s="1"/>
  <c r="K209" i="11" s="1"/>
  <c r="H208" i="11"/>
  <c r="F208" i="11"/>
  <c r="I208" i="11" s="1"/>
  <c r="E208" i="11"/>
  <c r="D208" i="11"/>
  <c r="G208" i="11" s="1"/>
  <c r="J208" i="11" s="1"/>
  <c r="K208" i="11" s="1"/>
  <c r="H207" i="11"/>
  <c r="F207" i="11"/>
  <c r="I207" i="11" s="1"/>
  <c r="E207" i="11"/>
  <c r="D207" i="11"/>
  <c r="G207" i="11" s="1"/>
  <c r="J207" i="11" s="1"/>
  <c r="K207" i="11" s="1"/>
  <c r="H206" i="11"/>
  <c r="F206" i="11"/>
  <c r="I206" i="11" s="1"/>
  <c r="E206" i="11"/>
  <c r="D206" i="11"/>
  <c r="G206" i="11" s="1"/>
  <c r="J206" i="11" s="1"/>
  <c r="K206" i="11" s="1"/>
  <c r="H205" i="11"/>
  <c r="F205" i="11"/>
  <c r="I205" i="11" s="1"/>
  <c r="E205" i="11"/>
  <c r="D205" i="11"/>
  <c r="G205" i="11" s="1"/>
  <c r="J205" i="11" s="1"/>
  <c r="K205" i="11" s="1"/>
  <c r="H204" i="11"/>
  <c r="F204" i="11"/>
  <c r="I204" i="11" s="1"/>
  <c r="E204" i="11"/>
  <c r="D204" i="11"/>
  <c r="G204" i="11" s="1"/>
  <c r="J204" i="11" s="1"/>
  <c r="K204" i="11" s="1"/>
  <c r="H203" i="11"/>
  <c r="F203" i="11"/>
  <c r="I203" i="11" s="1"/>
  <c r="E203" i="11"/>
  <c r="D203" i="11"/>
  <c r="G203" i="11" s="1"/>
  <c r="J203" i="11" s="1"/>
  <c r="K203" i="11" s="1"/>
  <c r="H202" i="11"/>
  <c r="F202" i="11"/>
  <c r="I202" i="11" s="1"/>
  <c r="E202" i="11"/>
  <c r="D202" i="11"/>
  <c r="G202" i="11" s="1"/>
  <c r="J202" i="11" s="1"/>
  <c r="K202" i="11" s="1"/>
  <c r="H201" i="11"/>
  <c r="F201" i="11"/>
  <c r="I201" i="11" s="1"/>
  <c r="E201" i="11"/>
  <c r="D201" i="11"/>
  <c r="G201" i="11" s="1"/>
  <c r="J201" i="11" s="1"/>
  <c r="K201" i="11" s="1"/>
  <c r="H200" i="11"/>
  <c r="F200" i="11"/>
  <c r="I200" i="11" s="1"/>
  <c r="E200" i="11"/>
  <c r="D200" i="11"/>
  <c r="G200" i="11" s="1"/>
  <c r="J200" i="11" s="1"/>
  <c r="K200" i="11" s="1"/>
  <c r="H199" i="11"/>
  <c r="F199" i="11"/>
  <c r="I199" i="11" s="1"/>
  <c r="E199" i="11"/>
  <c r="D199" i="11"/>
  <c r="G199" i="11" s="1"/>
  <c r="J199" i="11" s="1"/>
  <c r="K199" i="11" s="1"/>
  <c r="H198" i="11"/>
  <c r="F198" i="11"/>
  <c r="I198" i="11" s="1"/>
  <c r="E198" i="11"/>
  <c r="D198" i="11"/>
  <c r="G198" i="11" s="1"/>
  <c r="J198" i="11" s="1"/>
  <c r="K198" i="11" s="1"/>
  <c r="H197" i="11"/>
  <c r="F197" i="11"/>
  <c r="I197" i="11" s="1"/>
  <c r="E197" i="11"/>
  <c r="D197" i="11"/>
  <c r="G197" i="11" s="1"/>
  <c r="J197" i="11" s="1"/>
  <c r="K197" i="11" s="1"/>
  <c r="H196" i="11"/>
  <c r="F196" i="11"/>
  <c r="I196" i="11" s="1"/>
  <c r="E196" i="11"/>
  <c r="D196" i="11"/>
  <c r="G196" i="11" s="1"/>
  <c r="J196" i="11" s="1"/>
  <c r="K196" i="11" s="1"/>
  <c r="H195" i="11"/>
  <c r="F195" i="11"/>
  <c r="I195" i="11" s="1"/>
  <c r="E195" i="11"/>
  <c r="D195" i="11"/>
  <c r="G195" i="11" s="1"/>
  <c r="J195" i="11" s="1"/>
  <c r="K195" i="11" s="1"/>
  <c r="H194" i="11"/>
  <c r="F194" i="11"/>
  <c r="I194" i="11" s="1"/>
  <c r="E194" i="11"/>
  <c r="D194" i="11"/>
  <c r="G194" i="11" s="1"/>
  <c r="J194" i="11" s="1"/>
  <c r="K194" i="11" s="1"/>
  <c r="H193" i="11"/>
  <c r="F193" i="11"/>
  <c r="I193" i="11" s="1"/>
  <c r="E193" i="11"/>
  <c r="D193" i="11"/>
  <c r="G193" i="11" s="1"/>
  <c r="J193" i="11" s="1"/>
  <c r="K193" i="11" s="1"/>
  <c r="H192" i="11"/>
  <c r="F192" i="11"/>
  <c r="I192" i="11" s="1"/>
  <c r="E192" i="11"/>
  <c r="D192" i="11"/>
  <c r="G192" i="11" s="1"/>
  <c r="J192" i="11" s="1"/>
  <c r="K192" i="11" s="1"/>
  <c r="H191" i="11"/>
  <c r="F191" i="11"/>
  <c r="I191" i="11" s="1"/>
  <c r="E191" i="11"/>
  <c r="D191" i="11"/>
  <c r="G191" i="11" s="1"/>
  <c r="J191" i="11" s="1"/>
  <c r="K191" i="11" s="1"/>
  <c r="H190" i="11"/>
  <c r="F190" i="11"/>
  <c r="I190" i="11" s="1"/>
  <c r="E190" i="11"/>
  <c r="D190" i="11"/>
  <c r="G190" i="11" s="1"/>
  <c r="J190" i="11" s="1"/>
  <c r="K190" i="11" s="1"/>
  <c r="H189" i="11"/>
  <c r="F189" i="11"/>
  <c r="I189" i="11" s="1"/>
  <c r="E189" i="11"/>
  <c r="D189" i="11"/>
  <c r="G189" i="11" s="1"/>
  <c r="J189" i="11" s="1"/>
  <c r="K189" i="11" s="1"/>
  <c r="H188" i="11"/>
  <c r="F188" i="11"/>
  <c r="I188" i="11" s="1"/>
  <c r="E188" i="11"/>
  <c r="D188" i="11"/>
  <c r="G188" i="11" s="1"/>
  <c r="J188" i="11" s="1"/>
  <c r="K188" i="11" s="1"/>
  <c r="H187" i="11"/>
  <c r="F187" i="11"/>
  <c r="I187" i="11" s="1"/>
  <c r="E187" i="11"/>
  <c r="D187" i="11"/>
  <c r="G187" i="11" s="1"/>
  <c r="J187" i="11" s="1"/>
  <c r="K187" i="11" s="1"/>
  <c r="H186" i="11"/>
  <c r="F186" i="11"/>
  <c r="I186" i="11" s="1"/>
  <c r="E186" i="11"/>
  <c r="D186" i="11"/>
  <c r="G186" i="11" s="1"/>
  <c r="J186" i="11" s="1"/>
  <c r="K186" i="11" s="1"/>
  <c r="H185" i="11"/>
  <c r="F185" i="11"/>
  <c r="I185" i="11" s="1"/>
  <c r="E185" i="11"/>
  <c r="D185" i="11"/>
  <c r="G185" i="11" s="1"/>
  <c r="J185" i="11" s="1"/>
  <c r="K185" i="11" s="1"/>
  <c r="H184" i="11"/>
  <c r="F184" i="11"/>
  <c r="I184" i="11" s="1"/>
  <c r="E184" i="11"/>
  <c r="D184" i="11"/>
  <c r="G184" i="11" s="1"/>
  <c r="J184" i="11" s="1"/>
  <c r="K184" i="11" s="1"/>
  <c r="H183" i="11"/>
  <c r="F183" i="11"/>
  <c r="I183" i="11" s="1"/>
  <c r="E183" i="11"/>
  <c r="D183" i="11"/>
  <c r="G183" i="11" s="1"/>
  <c r="J183" i="11" s="1"/>
  <c r="K183" i="11" s="1"/>
  <c r="H182" i="11"/>
  <c r="F182" i="11"/>
  <c r="I182" i="11" s="1"/>
  <c r="E182" i="11"/>
  <c r="D182" i="11"/>
  <c r="G182" i="11" s="1"/>
  <c r="J182" i="11" s="1"/>
  <c r="K182" i="11" s="1"/>
  <c r="H181" i="11"/>
  <c r="F181" i="11"/>
  <c r="I181" i="11" s="1"/>
  <c r="E181" i="11"/>
  <c r="D181" i="11"/>
  <c r="G181" i="11" s="1"/>
  <c r="J181" i="11" s="1"/>
  <c r="K181" i="11" s="1"/>
  <c r="H180" i="11"/>
  <c r="F180" i="11"/>
  <c r="I180" i="11" s="1"/>
  <c r="E180" i="11"/>
  <c r="D180" i="11"/>
  <c r="G180" i="11" s="1"/>
  <c r="J180" i="11" s="1"/>
  <c r="K180" i="11" s="1"/>
  <c r="H179" i="11"/>
  <c r="F179" i="11"/>
  <c r="I179" i="11" s="1"/>
  <c r="E179" i="11"/>
  <c r="D179" i="11"/>
  <c r="G179" i="11" s="1"/>
  <c r="J179" i="11" s="1"/>
  <c r="K179" i="11" s="1"/>
  <c r="H178" i="11"/>
  <c r="F178" i="11"/>
  <c r="I178" i="11" s="1"/>
  <c r="E178" i="11"/>
  <c r="D178" i="11"/>
  <c r="G178" i="11" s="1"/>
  <c r="J178" i="11" s="1"/>
  <c r="K178" i="11" s="1"/>
  <c r="H177" i="11"/>
  <c r="F177" i="11"/>
  <c r="I177" i="11" s="1"/>
  <c r="E177" i="11"/>
  <c r="D177" i="11"/>
  <c r="G177" i="11" s="1"/>
  <c r="J177" i="11" s="1"/>
  <c r="K177" i="11" s="1"/>
  <c r="H176" i="11"/>
  <c r="F176" i="11"/>
  <c r="I176" i="11" s="1"/>
  <c r="E176" i="11"/>
  <c r="D176" i="11"/>
  <c r="G176" i="11" s="1"/>
  <c r="J176" i="11" s="1"/>
  <c r="K176" i="11" s="1"/>
  <c r="H175" i="11"/>
  <c r="F175" i="11"/>
  <c r="I175" i="11" s="1"/>
  <c r="E175" i="11"/>
  <c r="D175" i="11"/>
  <c r="G175" i="11" s="1"/>
  <c r="J175" i="11" s="1"/>
  <c r="K175" i="11" s="1"/>
  <c r="H174" i="11"/>
  <c r="F174" i="11"/>
  <c r="I174" i="11" s="1"/>
  <c r="E174" i="11"/>
  <c r="D174" i="11"/>
  <c r="G174" i="11" s="1"/>
  <c r="J174" i="11" s="1"/>
  <c r="K174" i="11" s="1"/>
  <c r="H173" i="11"/>
  <c r="F173" i="11"/>
  <c r="I173" i="11" s="1"/>
  <c r="E173" i="11"/>
  <c r="D173" i="11"/>
  <c r="G173" i="11" s="1"/>
  <c r="J173" i="11" s="1"/>
  <c r="K173" i="11" s="1"/>
  <c r="H172" i="11"/>
  <c r="F172" i="11"/>
  <c r="I172" i="11" s="1"/>
  <c r="E172" i="11"/>
  <c r="D172" i="11"/>
  <c r="G172" i="11" s="1"/>
  <c r="J172" i="11" s="1"/>
  <c r="K172" i="11" s="1"/>
  <c r="H171" i="11"/>
  <c r="F171" i="11"/>
  <c r="I171" i="11" s="1"/>
  <c r="E171" i="11"/>
  <c r="D171" i="11"/>
  <c r="G171" i="11" s="1"/>
  <c r="J171" i="11" s="1"/>
  <c r="K171" i="11" s="1"/>
  <c r="H170" i="11"/>
  <c r="F170" i="11"/>
  <c r="I170" i="11" s="1"/>
  <c r="E170" i="11"/>
  <c r="D170" i="11"/>
  <c r="G170" i="11" s="1"/>
  <c r="J170" i="11" s="1"/>
  <c r="K170" i="11" s="1"/>
  <c r="H169" i="11"/>
  <c r="F169" i="11"/>
  <c r="I169" i="11" s="1"/>
  <c r="E169" i="11"/>
  <c r="D169" i="11"/>
  <c r="G169" i="11" s="1"/>
  <c r="J169" i="11" s="1"/>
  <c r="K169" i="11" s="1"/>
  <c r="H168" i="11"/>
  <c r="F168" i="11"/>
  <c r="I168" i="11" s="1"/>
  <c r="E168" i="11"/>
  <c r="D168" i="11"/>
  <c r="G168" i="11" s="1"/>
  <c r="J168" i="11" s="1"/>
  <c r="K168" i="11" s="1"/>
  <c r="H167" i="11"/>
  <c r="F167" i="11"/>
  <c r="I167" i="11" s="1"/>
  <c r="E167" i="11"/>
  <c r="D167" i="11"/>
  <c r="G167" i="11" s="1"/>
  <c r="J167" i="11" s="1"/>
  <c r="K167" i="11" s="1"/>
  <c r="H166" i="11"/>
  <c r="F166" i="11"/>
  <c r="I166" i="11" s="1"/>
  <c r="E166" i="11"/>
  <c r="D166" i="11"/>
  <c r="G166" i="11" s="1"/>
  <c r="J166" i="11" s="1"/>
  <c r="K166" i="11" s="1"/>
  <c r="H165" i="11"/>
  <c r="F165" i="11"/>
  <c r="I165" i="11" s="1"/>
  <c r="E165" i="11"/>
  <c r="D165" i="11"/>
  <c r="G165" i="11" s="1"/>
  <c r="J165" i="11" s="1"/>
  <c r="K165" i="11" s="1"/>
  <c r="H164" i="11"/>
  <c r="F164" i="11"/>
  <c r="I164" i="11" s="1"/>
  <c r="E164" i="11"/>
  <c r="D164" i="11"/>
  <c r="G164" i="11" s="1"/>
  <c r="J164" i="11" s="1"/>
  <c r="K164" i="11" s="1"/>
  <c r="H163" i="11"/>
  <c r="F163" i="11"/>
  <c r="I163" i="11" s="1"/>
  <c r="E163" i="11"/>
  <c r="D163" i="11"/>
  <c r="G163" i="11" s="1"/>
  <c r="J163" i="11" s="1"/>
  <c r="K163" i="11" s="1"/>
  <c r="H162" i="11"/>
  <c r="F162" i="11"/>
  <c r="I162" i="11" s="1"/>
  <c r="E162" i="11"/>
  <c r="D162" i="11"/>
  <c r="G162" i="11" s="1"/>
  <c r="J162" i="11" s="1"/>
  <c r="K162" i="11" s="1"/>
  <c r="H161" i="11"/>
  <c r="F161" i="11"/>
  <c r="I161" i="11" s="1"/>
  <c r="E161" i="11"/>
  <c r="D161" i="11"/>
  <c r="G161" i="11" s="1"/>
  <c r="J161" i="11" s="1"/>
  <c r="K161" i="11" s="1"/>
  <c r="H160" i="11"/>
  <c r="F160" i="11"/>
  <c r="I160" i="11" s="1"/>
  <c r="E160" i="11"/>
  <c r="D160" i="11"/>
  <c r="G160" i="11" s="1"/>
  <c r="J160" i="11" s="1"/>
  <c r="K160" i="11" s="1"/>
  <c r="H159" i="11"/>
  <c r="F159" i="11"/>
  <c r="I159" i="11" s="1"/>
  <c r="E159" i="11"/>
  <c r="D159" i="11"/>
  <c r="G159" i="11" s="1"/>
  <c r="J159" i="11" s="1"/>
  <c r="K159" i="11" s="1"/>
  <c r="H158" i="11"/>
  <c r="F158" i="11"/>
  <c r="I158" i="11" s="1"/>
  <c r="E158" i="11"/>
  <c r="D158" i="11"/>
  <c r="G158" i="11" s="1"/>
  <c r="J158" i="11" s="1"/>
  <c r="K158" i="11" s="1"/>
  <c r="H157" i="11"/>
  <c r="F157" i="11"/>
  <c r="I157" i="11" s="1"/>
  <c r="E157" i="11"/>
  <c r="D157" i="11"/>
  <c r="G157" i="11" s="1"/>
  <c r="J157" i="11" s="1"/>
  <c r="K157" i="11" s="1"/>
  <c r="H156" i="11"/>
  <c r="F156" i="11"/>
  <c r="I156" i="11" s="1"/>
  <c r="E156" i="11"/>
  <c r="D156" i="11"/>
  <c r="G156" i="11" s="1"/>
  <c r="J156" i="11" s="1"/>
  <c r="K156" i="11" s="1"/>
  <c r="H155" i="11"/>
  <c r="F155" i="11"/>
  <c r="I155" i="11" s="1"/>
  <c r="E155" i="11"/>
  <c r="D155" i="11"/>
  <c r="G155" i="11" s="1"/>
  <c r="J155" i="11" s="1"/>
  <c r="K155" i="11" s="1"/>
  <c r="H154" i="11"/>
  <c r="F154" i="11"/>
  <c r="I154" i="11" s="1"/>
  <c r="E154" i="11"/>
  <c r="D154" i="11"/>
  <c r="G154" i="11" s="1"/>
  <c r="J154" i="11" s="1"/>
  <c r="K154" i="11" s="1"/>
  <c r="H153" i="11"/>
  <c r="F153" i="11"/>
  <c r="I153" i="11" s="1"/>
  <c r="E153" i="11"/>
  <c r="D153" i="11"/>
  <c r="G153" i="11" s="1"/>
  <c r="J153" i="11" s="1"/>
  <c r="K153" i="11" s="1"/>
  <c r="H152" i="11"/>
  <c r="F152" i="11"/>
  <c r="I152" i="11" s="1"/>
  <c r="E152" i="11"/>
  <c r="D152" i="11"/>
  <c r="G152" i="11" s="1"/>
  <c r="J152" i="11" s="1"/>
  <c r="K152" i="11" s="1"/>
  <c r="H151" i="11"/>
  <c r="F151" i="11"/>
  <c r="I151" i="11" s="1"/>
  <c r="E151" i="11"/>
  <c r="D151" i="11"/>
  <c r="G151" i="11" s="1"/>
  <c r="J151" i="11" s="1"/>
  <c r="K151" i="11" s="1"/>
  <c r="H150" i="11"/>
  <c r="F150" i="11"/>
  <c r="I150" i="11" s="1"/>
  <c r="E150" i="11"/>
  <c r="D150" i="11"/>
  <c r="G150" i="11" s="1"/>
  <c r="J150" i="11" s="1"/>
  <c r="K150" i="11" s="1"/>
  <c r="H149" i="11"/>
  <c r="F149" i="11"/>
  <c r="I149" i="11" s="1"/>
  <c r="E149" i="11"/>
  <c r="D149" i="11"/>
  <c r="G149" i="11" s="1"/>
  <c r="J149" i="11" s="1"/>
  <c r="K149" i="11" s="1"/>
  <c r="H148" i="11"/>
  <c r="F148" i="11"/>
  <c r="I148" i="11" s="1"/>
  <c r="E148" i="11"/>
  <c r="D148" i="11"/>
  <c r="G148" i="11" s="1"/>
  <c r="J148" i="11" s="1"/>
  <c r="K148" i="11" s="1"/>
  <c r="H147" i="11"/>
  <c r="F147" i="11"/>
  <c r="I147" i="11" s="1"/>
  <c r="E147" i="11"/>
  <c r="D147" i="11"/>
  <c r="G147" i="11" s="1"/>
  <c r="J147" i="11" s="1"/>
  <c r="K147" i="11" s="1"/>
  <c r="H146" i="11"/>
  <c r="F146" i="11"/>
  <c r="I146" i="11" s="1"/>
  <c r="E146" i="11"/>
  <c r="D146" i="11"/>
  <c r="G146" i="11" s="1"/>
  <c r="J146" i="11" s="1"/>
  <c r="K146" i="11" s="1"/>
  <c r="H145" i="11"/>
  <c r="F145" i="11"/>
  <c r="I145" i="11" s="1"/>
  <c r="E145" i="11"/>
  <c r="D145" i="11"/>
  <c r="G145" i="11" s="1"/>
  <c r="J145" i="11" s="1"/>
  <c r="K145" i="11" s="1"/>
  <c r="H144" i="11"/>
  <c r="F144" i="11"/>
  <c r="I144" i="11" s="1"/>
  <c r="E144" i="11"/>
  <c r="D144" i="11"/>
  <c r="G144" i="11" s="1"/>
  <c r="J144" i="11" s="1"/>
  <c r="K144" i="11" s="1"/>
  <c r="H143" i="11"/>
  <c r="F143" i="11"/>
  <c r="I143" i="11" s="1"/>
  <c r="E143" i="11"/>
  <c r="D143" i="11"/>
  <c r="G143" i="11" s="1"/>
  <c r="J143" i="11" s="1"/>
  <c r="K143" i="11" s="1"/>
  <c r="H142" i="11"/>
  <c r="F142" i="11"/>
  <c r="I142" i="11" s="1"/>
  <c r="E142" i="11"/>
  <c r="D142" i="11"/>
  <c r="G142" i="11" s="1"/>
  <c r="J142" i="11" s="1"/>
  <c r="K142" i="11" s="1"/>
  <c r="H141" i="11"/>
  <c r="F141" i="11"/>
  <c r="I141" i="11" s="1"/>
  <c r="E141" i="11"/>
  <c r="D141" i="11"/>
  <c r="G141" i="11" s="1"/>
  <c r="J141" i="11" s="1"/>
  <c r="K141" i="11" s="1"/>
  <c r="H140" i="11"/>
  <c r="F140" i="11"/>
  <c r="I140" i="11" s="1"/>
  <c r="E140" i="11"/>
  <c r="D140" i="11"/>
  <c r="G140" i="11" s="1"/>
  <c r="J140" i="11" s="1"/>
  <c r="K140" i="11" s="1"/>
  <c r="H139" i="11"/>
  <c r="F139" i="11"/>
  <c r="I139" i="11" s="1"/>
  <c r="E139" i="11"/>
  <c r="D139" i="11"/>
  <c r="G139" i="11" s="1"/>
  <c r="J139" i="11" s="1"/>
  <c r="K139" i="11" s="1"/>
  <c r="H138" i="11"/>
  <c r="F138" i="11"/>
  <c r="I138" i="11" s="1"/>
  <c r="E138" i="11"/>
  <c r="D138" i="11"/>
  <c r="G138" i="11" s="1"/>
  <c r="J138" i="11" s="1"/>
  <c r="K138" i="11" s="1"/>
  <c r="H137" i="11"/>
  <c r="F137" i="11"/>
  <c r="I137" i="11" s="1"/>
  <c r="E137" i="11"/>
  <c r="D137" i="11"/>
  <c r="G137" i="11" s="1"/>
  <c r="J137" i="11" s="1"/>
  <c r="K137" i="11" s="1"/>
  <c r="H136" i="11"/>
  <c r="F136" i="11"/>
  <c r="I136" i="11" s="1"/>
  <c r="E136" i="11"/>
  <c r="D136" i="11"/>
  <c r="G136" i="11" s="1"/>
  <c r="J136" i="11" s="1"/>
  <c r="K136" i="11" s="1"/>
  <c r="H135" i="11"/>
  <c r="F135" i="11"/>
  <c r="I135" i="11" s="1"/>
  <c r="E135" i="11"/>
  <c r="D135" i="11"/>
  <c r="G135" i="11" s="1"/>
  <c r="J135" i="11" s="1"/>
  <c r="K135" i="11" s="1"/>
  <c r="H134" i="11"/>
  <c r="F134" i="11"/>
  <c r="I134" i="11" s="1"/>
  <c r="E134" i="11"/>
  <c r="D134" i="11"/>
  <c r="G134" i="11" s="1"/>
  <c r="J134" i="11" s="1"/>
  <c r="K134" i="11" s="1"/>
  <c r="H133" i="11"/>
  <c r="F133" i="11"/>
  <c r="I133" i="11" s="1"/>
  <c r="E133" i="11"/>
  <c r="D133" i="11"/>
  <c r="G133" i="11" s="1"/>
  <c r="J133" i="11" s="1"/>
  <c r="K133" i="11" s="1"/>
  <c r="H132" i="11"/>
  <c r="F132" i="11"/>
  <c r="I132" i="11" s="1"/>
  <c r="E132" i="11"/>
  <c r="D132" i="11"/>
  <c r="G132" i="11" s="1"/>
  <c r="J132" i="11" s="1"/>
  <c r="K132" i="11" s="1"/>
  <c r="H131" i="11"/>
  <c r="F131" i="11"/>
  <c r="I131" i="11" s="1"/>
  <c r="E131" i="11"/>
  <c r="D131" i="11"/>
  <c r="G131" i="11" s="1"/>
  <c r="J131" i="11" s="1"/>
  <c r="K131" i="11" s="1"/>
  <c r="H130" i="11"/>
  <c r="F130" i="11"/>
  <c r="I130" i="11" s="1"/>
  <c r="E130" i="11"/>
  <c r="D130" i="11"/>
  <c r="G130" i="11" s="1"/>
  <c r="J130" i="11" s="1"/>
  <c r="K130" i="11" s="1"/>
  <c r="H129" i="11"/>
  <c r="F129" i="11"/>
  <c r="I129" i="11" s="1"/>
  <c r="E129" i="11"/>
  <c r="D129" i="11"/>
  <c r="G129" i="11" s="1"/>
  <c r="J129" i="11" s="1"/>
  <c r="K129" i="11" s="1"/>
  <c r="H128" i="11"/>
  <c r="F128" i="11"/>
  <c r="I128" i="11" s="1"/>
  <c r="E128" i="11"/>
  <c r="D128" i="11"/>
  <c r="G128" i="11" s="1"/>
  <c r="J128" i="11" s="1"/>
  <c r="K128" i="11" s="1"/>
  <c r="H127" i="11"/>
  <c r="F127" i="11"/>
  <c r="I127" i="11" s="1"/>
  <c r="E127" i="11"/>
  <c r="D127" i="11"/>
  <c r="G127" i="11" s="1"/>
  <c r="J127" i="11" s="1"/>
  <c r="K127" i="11" s="1"/>
  <c r="H126" i="11"/>
  <c r="F126" i="11"/>
  <c r="I126" i="11" s="1"/>
  <c r="E126" i="11"/>
  <c r="D126" i="11"/>
  <c r="G126" i="11" s="1"/>
  <c r="J126" i="11" s="1"/>
  <c r="K126" i="11" s="1"/>
  <c r="H125" i="11"/>
  <c r="F125" i="11"/>
  <c r="I125" i="11" s="1"/>
  <c r="E125" i="11"/>
  <c r="D125" i="11"/>
  <c r="G125" i="11" s="1"/>
  <c r="J125" i="11" s="1"/>
  <c r="K125" i="11" s="1"/>
  <c r="H124" i="11"/>
  <c r="F124" i="11"/>
  <c r="I124" i="11" s="1"/>
  <c r="E124" i="11"/>
  <c r="D124" i="11"/>
  <c r="G124" i="11" s="1"/>
  <c r="J124" i="11" s="1"/>
  <c r="K124" i="11" s="1"/>
  <c r="H123" i="11"/>
  <c r="F123" i="11"/>
  <c r="I123" i="11" s="1"/>
  <c r="E123" i="11"/>
  <c r="D123" i="11"/>
  <c r="G123" i="11" s="1"/>
  <c r="J123" i="11" s="1"/>
  <c r="K123" i="11" s="1"/>
  <c r="H122" i="11"/>
  <c r="F122" i="11"/>
  <c r="I122" i="11" s="1"/>
  <c r="E122" i="11"/>
  <c r="D122" i="11"/>
  <c r="G122" i="11" s="1"/>
  <c r="J122" i="11" s="1"/>
  <c r="K122" i="11" s="1"/>
  <c r="H121" i="11"/>
  <c r="F121" i="11"/>
  <c r="I121" i="11" s="1"/>
  <c r="E121" i="11"/>
  <c r="D121" i="11"/>
  <c r="G121" i="11" s="1"/>
  <c r="J121" i="11" s="1"/>
  <c r="K121" i="11" s="1"/>
  <c r="H120" i="11"/>
  <c r="F120" i="11"/>
  <c r="I120" i="11" s="1"/>
  <c r="E120" i="11"/>
  <c r="D120" i="11"/>
  <c r="G120" i="11" s="1"/>
  <c r="J120" i="11" s="1"/>
  <c r="K120" i="11" s="1"/>
  <c r="H119" i="11"/>
  <c r="F119" i="11"/>
  <c r="I119" i="11" s="1"/>
  <c r="E119" i="11"/>
  <c r="D119" i="11"/>
  <c r="G119" i="11" s="1"/>
  <c r="J119" i="11" s="1"/>
  <c r="K119" i="11" s="1"/>
  <c r="H118" i="11"/>
  <c r="F118" i="11"/>
  <c r="I118" i="11" s="1"/>
  <c r="E118" i="11"/>
  <c r="D118" i="11"/>
  <c r="G118" i="11" s="1"/>
  <c r="J118" i="11" s="1"/>
  <c r="K118" i="11" s="1"/>
  <c r="H117" i="11"/>
  <c r="F117" i="11"/>
  <c r="I117" i="11" s="1"/>
  <c r="E117" i="11"/>
  <c r="D117" i="11"/>
  <c r="G117" i="11" s="1"/>
  <c r="J117" i="11" s="1"/>
  <c r="K117" i="11" s="1"/>
  <c r="H116" i="11"/>
  <c r="F116" i="11"/>
  <c r="I116" i="11" s="1"/>
  <c r="E116" i="11"/>
  <c r="D116" i="11"/>
  <c r="G116" i="11" s="1"/>
  <c r="J116" i="11" s="1"/>
  <c r="K116" i="11" s="1"/>
  <c r="H115" i="11"/>
  <c r="F115" i="11"/>
  <c r="I115" i="11" s="1"/>
  <c r="E115" i="11"/>
  <c r="D115" i="11"/>
  <c r="G115" i="11" s="1"/>
  <c r="J115" i="11" s="1"/>
  <c r="K115" i="11" s="1"/>
  <c r="H114" i="11"/>
  <c r="F114" i="11"/>
  <c r="I114" i="11" s="1"/>
  <c r="E114" i="11"/>
  <c r="D114" i="11"/>
  <c r="G114" i="11" s="1"/>
  <c r="J114" i="11" s="1"/>
  <c r="K114" i="11" s="1"/>
  <c r="H113" i="11"/>
  <c r="F113" i="11"/>
  <c r="I113" i="11" s="1"/>
  <c r="E113" i="11"/>
  <c r="D113" i="11"/>
  <c r="G113" i="11" s="1"/>
  <c r="J113" i="11" s="1"/>
  <c r="K113" i="11" s="1"/>
  <c r="H112" i="11"/>
  <c r="F112" i="11"/>
  <c r="I112" i="11" s="1"/>
  <c r="E112" i="11"/>
  <c r="D112" i="11"/>
  <c r="G112" i="11" s="1"/>
  <c r="J112" i="11" s="1"/>
  <c r="K112" i="11" s="1"/>
  <c r="H111" i="11"/>
  <c r="F111" i="11"/>
  <c r="I111" i="11" s="1"/>
  <c r="E111" i="11"/>
  <c r="D111" i="11"/>
  <c r="G111" i="11" s="1"/>
  <c r="J111" i="11" s="1"/>
  <c r="K111" i="11" s="1"/>
  <c r="H110" i="11"/>
  <c r="F110" i="11"/>
  <c r="I110" i="11" s="1"/>
  <c r="E110" i="11"/>
  <c r="D110" i="11"/>
  <c r="G110" i="11" s="1"/>
  <c r="J110" i="11" s="1"/>
  <c r="K110" i="11" s="1"/>
  <c r="H109" i="11"/>
  <c r="F109" i="11"/>
  <c r="I109" i="11" s="1"/>
  <c r="E109" i="11"/>
  <c r="D109" i="11"/>
  <c r="G109" i="11" s="1"/>
  <c r="J109" i="11" s="1"/>
  <c r="K109" i="11" s="1"/>
  <c r="H108" i="11"/>
  <c r="F108" i="11"/>
  <c r="I108" i="11" s="1"/>
  <c r="E108" i="11"/>
  <c r="D108" i="11"/>
  <c r="G108" i="11" s="1"/>
  <c r="J108" i="11" s="1"/>
  <c r="K108" i="11" s="1"/>
  <c r="H107" i="11"/>
  <c r="F107" i="11"/>
  <c r="I107" i="11" s="1"/>
  <c r="E107" i="11"/>
  <c r="D107" i="11"/>
  <c r="G107" i="11" s="1"/>
  <c r="J107" i="11" s="1"/>
  <c r="K107" i="11" s="1"/>
  <c r="H106" i="11"/>
  <c r="F106" i="11"/>
  <c r="I106" i="11" s="1"/>
  <c r="E106" i="11"/>
  <c r="D106" i="11"/>
  <c r="G106" i="11" s="1"/>
  <c r="J106" i="11" s="1"/>
  <c r="K106" i="11" s="1"/>
  <c r="H105" i="11"/>
  <c r="F105" i="11"/>
  <c r="I105" i="11" s="1"/>
  <c r="E105" i="11"/>
  <c r="D105" i="11"/>
  <c r="G105" i="11" s="1"/>
  <c r="J105" i="11" s="1"/>
  <c r="K105" i="11" s="1"/>
  <c r="H104" i="11"/>
  <c r="F104" i="11"/>
  <c r="I104" i="11" s="1"/>
  <c r="E104" i="11"/>
  <c r="D104" i="11"/>
  <c r="G104" i="11" s="1"/>
  <c r="J104" i="11" s="1"/>
  <c r="K104" i="11" s="1"/>
  <c r="H103" i="11"/>
  <c r="F103" i="11"/>
  <c r="I103" i="11" s="1"/>
  <c r="E103" i="11"/>
  <c r="D103" i="11"/>
  <c r="G103" i="11" s="1"/>
  <c r="J103" i="11" s="1"/>
  <c r="K103" i="11" s="1"/>
  <c r="H102" i="11"/>
  <c r="F102" i="11"/>
  <c r="I102" i="11" s="1"/>
  <c r="E102" i="11"/>
  <c r="D102" i="11"/>
  <c r="G102" i="11" s="1"/>
  <c r="J102" i="11" s="1"/>
  <c r="K102" i="11" s="1"/>
  <c r="H101" i="11"/>
  <c r="F101" i="11"/>
  <c r="I101" i="11" s="1"/>
  <c r="E101" i="11"/>
  <c r="D101" i="11"/>
  <c r="G101" i="11" s="1"/>
  <c r="J101" i="11" s="1"/>
  <c r="K101" i="11" s="1"/>
  <c r="H100" i="11"/>
  <c r="F100" i="11"/>
  <c r="I100" i="11" s="1"/>
  <c r="E100" i="11"/>
  <c r="D100" i="11"/>
  <c r="G100" i="11" s="1"/>
  <c r="J100" i="11" s="1"/>
  <c r="K100" i="11" s="1"/>
  <c r="H99" i="11"/>
  <c r="F99" i="11"/>
  <c r="I99" i="11" s="1"/>
  <c r="E99" i="11"/>
  <c r="D99" i="11"/>
  <c r="G99" i="11" s="1"/>
  <c r="J99" i="11" s="1"/>
  <c r="K99" i="11" s="1"/>
  <c r="H98" i="11"/>
  <c r="F98" i="11"/>
  <c r="I98" i="11" s="1"/>
  <c r="E98" i="11"/>
  <c r="D98" i="11"/>
  <c r="G98" i="11" s="1"/>
  <c r="J98" i="11" s="1"/>
  <c r="K98" i="11" s="1"/>
  <c r="H97" i="11"/>
  <c r="F97" i="11"/>
  <c r="I97" i="11" s="1"/>
  <c r="E97" i="11"/>
  <c r="D97" i="11"/>
  <c r="G97" i="11" s="1"/>
  <c r="J97" i="11" s="1"/>
  <c r="K97" i="11" s="1"/>
  <c r="H96" i="11"/>
  <c r="F96" i="11"/>
  <c r="I96" i="11" s="1"/>
  <c r="E96" i="11"/>
  <c r="D96" i="11"/>
  <c r="G96" i="11" s="1"/>
  <c r="J96" i="11" s="1"/>
  <c r="K96" i="11" s="1"/>
  <c r="H95" i="11"/>
  <c r="F95" i="11"/>
  <c r="I95" i="11" s="1"/>
  <c r="E95" i="11"/>
  <c r="D95" i="11"/>
  <c r="G95" i="11" s="1"/>
  <c r="J95" i="11" s="1"/>
  <c r="K95" i="11" s="1"/>
  <c r="H94" i="11"/>
  <c r="F94" i="11"/>
  <c r="I94" i="11" s="1"/>
  <c r="E94" i="11"/>
  <c r="D94" i="11"/>
  <c r="G94" i="11" s="1"/>
  <c r="J94" i="11" s="1"/>
  <c r="K94" i="11" s="1"/>
  <c r="H93" i="11"/>
  <c r="F93" i="11"/>
  <c r="I93" i="11" s="1"/>
  <c r="E93" i="11"/>
  <c r="D93" i="11"/>
  <c r="G93" i="11" s="1"/>
  <c r="J93" i="11" s="1"/>
  <c r="K93" i="11" s="1"/>
  <c r="H92" i="11"/>
  <c r="F92" i="11"/>
  <c r="I92" i="11" s="1"/>
  <c r="E92" i="11"/>
  <c r="D92" i="11"/>
  <c r="G92" i="11" s="1"/>
  <c r="J92" i="11" s="1"/>
  <c r="K92" i="11" s="1"/>
  <c r="H91" i="11"/>
  <c r="F91" i="11"/>
  <c r="I91" i="11" s="1"/>
  <c r="E91" i="11"/>
  <c r="D91" i="11"/>
  <c r="G91" i="11" s="1"/>
  <c r="J91" i="11" s="1"/>
  <c r="K91" i="11" s="1"/>
  <c r="H90" i="11"/>
  <c r="F90" i="11"/>
  <c r="I90" i="11" s="1"/>
  <c r="E90" i="11"/>
  <c r="D90" i="11"/>
  <c r="G90" i="11" s="1"/>
  <c r="J90" i="11" s="1"/>
  <c r="K90" i="11" s="1"/>
  <c r="H89" i="11"/>
  <c r="F89" i="11"/>
  <c r="I89" i="11" s="1"/>
  <c r="E89" i="11"/>
  <c r="D89" i="11"/>
  <c r="G89" i="11" s="1"/>
  <c r="J89" i="11" s="1"/>
  <c r="K89" i="11" s="1"/>
  <c r="H88" i="11"/>
  <c r="F88" i="11"/>
  <c r="I88" i="11" s="1"/>
  <c r="E88" i="11"/>
  <c r="D88" i="11"/>
  <c r="G88" i="11" s="1"/>
  <c r="J88" i="11" s="1"/>
  <c r="K88" i="11" s="1"/>
  <c r="H87" i="11"/>
  <c r="F87" i="11"/>
  <c r="I87" i="11" s="1"/>
  <c r="E87" i="11"/>
  <c r="D87" i="11"/>
  <c r="G87" i="11" s="1"/>
  <c r="J87" i="11" s="1"/>
  <c r="K87" i="11" s="1"/>
  <c r="H86" i="11"/>
  <c r="F86" i="11"/>
  <c r="I86" i="11" s="1"/>
  <c r="E86" i="11"/>
  <c r="D86" i="11"/>
  <c r="G86" i="11" s="1"/>
  <c r="J86" i="11" s="1"/>
  <c r="K86" i="11" s="1"/>
  <c r="H85" i="11"/>
  <c r="F85" i="11"/>
  <c r="I85" i="11" s="1"/>
  <c r="E85" i="11"/>
  <c r="D85" i="11"/>
  <c r="G85" i="11" s="1"/>
  <c r="J85" i="11" s="1"/>
  <c r="K85" i="11" s="1"/>
  <c r="H84" i="11"/>
  <c r="F84" i="11"/>
  <c r="I84" i="11" s="1"/>
  <c r="E84" i="11"/>
  <c r="D84" i="11"/>
  <c r="G84" i="11" s="1"/>
  <c r="J84" i="11" s="1"/>
  <c r="K84" i="11" s="1"/>
  <c r="H83" i="11"/>
  <c r="F83" i="11"/>
  <c r="I83" i="11" s="1"/>
  <c r="E83" i="11"/>
  <c r="D83" i="11"/>
  <c r="G83" i="11" s="1"/>
  <c r="J83" i="11" s="1"/>
  <c r="K83" i="11" s="1"/>
  <c r="H82" i="11"/>
  <c r="F82" i="11"/>
  <c r="I82" i="11" s="1"/>
  <c r="E82" i="11"/>
  <c r="D82" i="11"/>
  <c r="G82" i="11" s="1"/>
  <c r="J82" i="11" s="1"/>
  <c r="K82" i="11" s="1"/>
  <c r="H81" i="11"/>
  <c r="F81" i="11"/>
  <c r="I81" i="11" s="1"/>
  <c r="E81" i="11"/>
  <c r="D81" i="11"/>
  <c r="G81" i="11" s="1"/>
  <c r="J81" i="11" s="1"/>
  <c r="K81" i="11" s="1"/>
  <c r="H80" i="11"/>
  <c r="F80" i="11"/>
  <c r="I80" i="11" s="1"/>
  <c r="E80" i="11"/>
  <c r="D80" i="11"/>
  <c r="G80" i="11" s="1"/>
  <c r="J80" i="11" s="1"/>
  <c r="K80" i="11" s="1"/>
  <c r="H79" i="11"/>
  <c r="F79" i="11"/>
  <c r="I79" i="11" s="1"/>
  <c r="E79" i="11"/>
  <c r="D79" i="11"/>
  <c r="G79" i="11" s="1"/>
  <c r="J79" i="11" s="1"/>
  <c r="K79" i="11" s="1"/>
  <c r="H78" i="11"/>
  <c r="F78" i="11"/>
  <c r="I78" i="11" s="1"/>
  <c r="E78" i="11"/>
  <c r="D78" i="11"/>
  <c r="G78" i="11" s="1"/>
  <c r="J78" i="11" s="1"/>
  <c r="K78" i="11" s="1"/>
  <c r="H77" i="11"/>
  <c r="F77" i="11"/>
  <c r="I77" i="11" s="1"/>
  <c r="E77" i="11"/>
  <c r="D77" i="11"/>
  <c r="G77" i="11" s="1"/>
  <c r="J77" i="11" s="1"/>
  <c r="K77" i="11" s="1"/>
  <c r="H76" i="11"/>
  <c r="F76" i="11"/>
  <c r="I76" i="11" s="1"/>
  <c r="E76" i="11"/>
  <c r="D76" i="11"/>
  <c r="G76" i="11" s="1"/>
  <c r="J76" i="11" s="1"/>
  <c r="K76" i="11" s="1"/>
  <c r="H75" i="11"/>
  <c r="F75" i="11"/>
  <c r="I75" i="11" s="1"/>
  <c r="E75" i="11"/>
  <c r="D75" i="11"/>
  <c r="G75" i="11" s="1"/>
  <c r="J75" i="11" s="1"/>
  <c r="K75" i="11" s="1"/>
  <c r="H74" i="11"/>
  <c r="F74" i="11"/>
  <c r="I74" i="11" s="1"/>
  <c r="E74" i="11"/>
  <c r="D74" i="11"/>
  <c r="G74" i="11" s="1"/>
  <c r="J74" i="11" s="1"/>
  <c r="K74" i="11" s="1"/>
  <c r="H73" i="11"/>
  <c r="F73" i="11"/>
  <c r="I73" i="11" s="1"/>
  <c r="E73" i="11"/>
  <c r="D73" i="11"/>
  <c r="G73" i="11" s="1"/>
  <c r="J73" i="11" s="1"/>
  <c r="K73" i="11" s="1"/>
  <c r="H72" i="11"/>
  <c r="F72" i="11"/>
  <c r="I72" i="11" s="1"/>
  <c r="E72" i="11"/>
  <c r="D72" i="11"/>
  <c r="G72" i="11" s="1"/>
  <c r="J72" i="11" s="1"/>
  <c r="K72" i="11" s="1"/>
  <c r="H71" i="11"/>
  <c r="F71" i="11"/>
  <c r="I71" i="11" s="1"/>
  <c r="E71" i="11"/>
  <c r="D71" i="11"/>
  <c r="G71" i="11" s="1"/>
  <c r="J71" i="11" s="1"/>
  <c r="K71" i="11" s="1"/>
  <c r="H70" i="11"/>
  <c r="F70" i="11"/>
  <c r="I70" i="11" s="1"/>
  <c r="E70" i="11"/>
  <c r="D70" i="11"/>
  <c r="G70" i="11" s="1"/>
  <c r="J70" i="11" s="1"/>
  <c r="K70" i="11" s="1"/>
  <c r="H69" i="11"/>
  <c r="F69" i="11"/>
  <c r="I69" i="11" s="1"/>
  <c r="E69" i="11"/>
  <c r="D69" i="11"/>
  <c r="G69" i="11" s="1"/>
  <c r="J69" i="11" s="1"/>
  <c r="K69" i="11" s="1"/>
  <c r="H68" i="11"/>
  <c r="F68" i="11"/>
  <c r="I68" i="11" s="1"/>
  <c r="E68" i="11"/>
  <c r="D68" i="11"/>
  <c r="G68" i="11" s="1"/>
  <c r="J68" i="11" s="1"/>
  <c r="K68" i="11" s="1"/>
  <c r="H67" i="11"/>
  <c r="F67" i="11"/>
  <c r="I67" i="11" s="1"/>
  <c r="E67" i="11"/>
  <c r="D67" i="11"/>
  <c r="G67" i="11" s="1"/>
  <c r="J67" i="11" s="1"/>
  <c r="K67" i="11" s="1"/>
  <c r="H66" i="11"/>
  <c r="F66" i="11"/>
  <c r="I66" i="11" s="1"/>
  <c r="E66" i="11"/>
  <c r="D66" i="11"/>
  <c r="G66" i="11" s="1"/>
  <c r="J66" i="11" s="1"/>
  <c r="K66" i="11" s="1"/>
  <c r="H65" i="11"/>
  <c r="F65" i="11"/>
  <c r="I65" i="11" s="1"/>
  <c r="E65" i="11"/>
  <c r="D65" i="11"/>
  <c r="G65" i="11" s="1"/>
  <c r="J65" i="11" s="1"/>
  <c r="K65" i="11" s="1"/>
  <c r="H64" i="11"/>
  <c r="F64" i="11"/>
  <c r="I64" i="11" s="1"/>
  <c r="E64" i="11"/>
  <c r="D64" i="11"/>
  <c r="G64" i="11" s="1"/>
  <c r="J64" i="11" s="1"/>
  <c r="K64" i="11" s="1"/>
  <c r="H63" i="11"/>
  <c r="F63" i="11"/>
  <c r="I63" i="11" s="1"/>
  <c r="E63" i="11"/>
  <c r="D63" i="11"/>
  <c r="G63" i="11" s="1"/>
  <c r="J63" i="11" s="1"/>
  <c r="K63" i="11" s="1"/>
  <c r="H62" i="11"/>
  <c r="F62" i="11"/>
  <c r="I62" i="11" s="1"/>
  <c r="E62" i="11"/>
  <c r="D62" i="11"/>
  <c r="G62" i="11" s="1"/>
  <c r="J62" i="11" s="1"/>
  <c r="K62" i="11" s="1"/>
  <c r="H61" i="11"/>
  <c r="F61" i="11"/>
  <c r="I61" i="11" s="1"/>
  <c r="E61" i="11"/>
  <c r="D61" i="11"/>
  <c r="G61" i="11" s="1"/>
  <c r="J61" i="11" s="1"/>
  <c r="K61" i="11" s="1"/>
  <c r="H60" i="11"/>
  <c r="F60" i="11"/>
  <c r="I60" i="11" s="1"/>
  <c r="E60" i="11"/>
  <c r="D60" i="11"/>
  <c r="G60" i="11" s="1"/>
  <c r="J60" i="11" s="1"/>
  <c r="K60" i="11" s="1"/>
  <c r="H59" i="11"/>
  <c r="F59" i="11"/>
  <c r="I59" i="11" s="1"/>
  <c r="E59" i="11"/>
  <c r="D59" i="11"/>
  <c r="G59" i="11" s="1"/>
  <c r="J59" i="11" s="1"/>
  <c r="K59" i="11" s="1"/>
  <c r="H58" i="11"/>
  <c r="F58" i="11"/>
  <c r="I58" i="11" s="1"/>
  <c r="E58" i="11"/>
  <c r="D58" i="11"/>
  <c r="G58" i="11" s="1"/>
  <c r="J58" i="11" s="1"/>
  <c r="K58" i="11" s="1"/>
  <c r="H57" i="11"/>
  <c r="F57" i="11"/>
  <c r="I57" i="11" s="1"/>
  <c r="E57" i="11"/>
  <c r="D57" i="11"/>
  <c r="G57" i="11" s="1"/>
  <c r="J57" i="11" s="1"/>
  <c r="K57" i="11" s="1"/>
  <c r="H56" i="11"/>
  <c r="F56" i="11"/>
  <c r="I56" i="11" s="1"/>
  <c r="E56" i="11"/>
  <c r="D56" i="11"/>
  <c r="G56" i="11" s="1"/>
  <c r="J56" i="11" s="1"/>
  <c r="K56" i="11" s="1"/>
  <c r="H55" i="11"/>
  <c r="F55" i="11"/>
  <c r="I55" i="11" s="1"/>
  <c r="E55" i="11"/>
  <c r="D55" i="11"/>
  <c r="G55" i="11" s="1"/>
  <c r="J55" i="11" s="1"/>
  <c r="K55" i="11" s="1"/>
  <c r="H54" i="11"/>
  <c r="F54" i="11"/>
  <c r="I54" i="11" s="1"/>
  <c r="E54" i="11"/>
  <c r="G54" i="11" s="1"/>
  <c r="J54" i="11" s="1"/>
  <c r="K54" i="11" s="1"/>
  <c r="D54" i="11"/>
  <c r="H53" i="11"/>
  <c r="F53" i="11"/>
  <c r="I53" i="11" s="1"/>
  <c r="E53" i="11"/>
  <c r="G53" i="11" s="1"/>
  <c r="J53" i="11" s="1"/>
  <c r="K53" i="11" s="1"/>
  <c r="D53" i="11"/>
  <c r="H52" i="11"/>
  <c r="F52" i="11"/>
  <c r="I52" i="11" s="1"/>
  <c r="E52" i="11"/>
  <c r="G52" i="11" s="1"/>
  <c r="J52" i="11" s="1"/>
  <c r="K52" i="11" s="1"/>
  <c r="D52" i="11"/>
  <c r="H51" i="11"/>
  <c r="F51" i="11"/>
  <c r="I51" i="11" s="1"/>
  <c r="E51" i="11"/>
  <c r="D51" i="11"/>
  <c r="G51" i="11" s="1"/>
  <c r="J51" i="11" s="1"/>
  <c r="K51" i="11" s="1"/>
  <c r="H50" i="11"/>
  <c r="G50" i="11"/>
  <c r="J50" i="11" s="1"/>
  <c r="K50" i="11" s="1"/>
  <c r="F50" i="11"/>
  <c r="I50" i="11" s="1"/>
  <c r="E50" i="11"/>
  <c r="D50" i="11"/>
  <c r="H49" i="11"/>
  <c r="F49" i="11"/>
  <c r="I49" i="11" s="1"/>
  <c r="E49" i="11"/>
  <c r="D49" i="11"/>
  <c r="G49" i="11" s="1"/>
  <c r="J49" i="11" s="1"/>
  <c r="K49" i="11" s="1"/>
  <c r="H48" i="11"/>
  <c r="F48" i="11"/>
  <c r="I48" i="11" s="1"/>
  <c r="E48" i="11"/>
  <c r="D48" i="11"/>
  <c r="G48" i="11" s="1"/>
  <c r="J48" i="11" s="1"/>
  <c r="K48" i="11" s="1"/>
  <c r="H47" i="11"/>
  <c r="F47" i="11"/>
  <c r="I47" i="11" s="1"/>
  <c r="E47" i="11"/>
  <c r="D47" i="11"/>
  <c r="G47" i="11" s="1"/>
  <c r="J47" i="11" s="1"/>
  <c r="K47" i="11" s="1"/>
  <c r="H46" i="11"/>
  <c r="G46" i="11"/>
  <c r="J46" i="11" s="1"/>
  <c r="K46" i="11" s="1"/>
  <c r="F46" i="11"/>
  <c r="I46" i="11" s="1"/>
  <c r="E46" i="11"/>
  <c r="D46" i="11"/>
  <c r="H45" i="11"/>
  <c r="F45" i="11"/>
  <c r="I45" i="11" s="1"/>
  <c r="E45" i="11"/>
  <c r="D45" i="11"/>
  <c r="G45" i="11" s="1"/>
  <c r="J45" i="11" s="1"/>
  <c r="K45" i="11" s="1"/>
  <c r="H44" i="11"/>
  <c r="F44" i="11"/>
  <c r="I44" i="11" s="1"/>
  <c r="E44" i="11"/>
  <c r="D44" i="11"/>
  <c r="G44" i="11" s="1"/>
  <c r="J44" i="11" s="1"/>
  <c r="K44" i="11" s="1"/>
  <c r="H43" i="11"/>
  <c r="F43" i="11"/>
  <c r="I43" i="11" s="1"/>
  <c r="E43" i="11"/>
  <c r="D43" i="11"/>
  <c r="G43" i="11" s="1"/>
  <c r="J43" i="11" s="1"/>
  <c r="K43" i="11" s="1"/>
  <c r="H42" i="11"/>
  <c r="G42" i="11"/>
  <c r="J42" i="11" s="1"/>
  <c r="K42" i="11" s="1"/>
  <c r="F42" i="11"/>
  <c r="I42" i="11" s="1"/>
  <c r="E42" i="11"/>
  <c r="D42" i="11"/>
  <c r="H41" i="11"/>
  <c r="F41" i="11"/>
  <c r="I41" i="11" s="1"/>
  <c r="E41" i="11"/>
  <c r="D41" i="11"/>
  <c r="G41" i="11" s="1"/>
  <c r="J41" i="11" s="1"/>
  <c r="K41" i="11" s="1"/>
  <c r="H40" i="11"/>
  <c r="F40" i="11"/>
  <c r="I40" i="11" s="1"/>
  <c r="E40" i="11"/>
  <c r="D40" i="11"/>
  <c r="G40" i="11" s="1"/>
  <c r="J40" i="11" s="1"/>
  <c r="K40" i="11" s="1"/>
  <c r="H39" i="11"/>
  <c r="F39" i="11"/>
  <c r="I39" i="11" s="1"/>
  <c r="E39" i="11"/>
  <c r="D39" i="11"/>
  <c r="G39" i="11" s="1"/>
  <c r="J39" i="11" s="1"/>
  <c r="K39" i="11" s="1"/>
  <c r="H38" i="11"/>
  <c r="G38" i="11"/>
  <c r="J38" i="11" s="1"/>
  <c r="K38" i="11" s="1"/>
  <c r="F38" i="11"/>
  <c r="I38" i="11" s="1"/>
  <c r="E38" i="11"/>
  <c r="D38" i="11"/>
  <c r="H37" i="11"/>
  <c r="F37" i="11"/>
  <c r="I37" i="11" s="1"/>
  <c r="E37" i="11"/>
  <c r="D37" i="11"/>
  <c r="G37" i="11" s="1"/>
  <c r="J37" i="11" s="1"/>
  <c r="K37" i="11" s="1"/>
  <c r="H36" i="11"/>
  <c r="F36" i="11"/>
  <c r="I36" i="11" s="1"/>
  <c r="E36" i="11"/>
  <c r="D36" i="11"/>
  <c r="G36" i="11" s="1"/>
  <c r="J36" i="11" s="1"/>
  <c r="K36" i="11" s="1"/>
  <c r="H35" i="11"/>
  <c r="F35" i="11"/>
  <c r="I35" i="11" s="1"/>
  <c r="E35" i="11"/>
  <c r="D35" i="11"/>
  <c r="G35" i="11" s="1"/>
  <c r="J35" i="11" s="1"/>
  <c r="K35" i="11" s="1"/>
  <c r="H34" i="11"/>
  <c r="G34" i="11"/>
  <c r="J34" i="11" s="1"/>
  <c r="K34" i="11" s="1"/>
  <c r="F34" i="11"/>
  <c r="I34" i="11" s="1"/>
  <c r="E34" i="11"/>
  <c r="D34" i="11"/>
  <c r="H33" i="11"/>
  <c r="F33" i="11"/>
  <c r="I33" i="11" s="1"/>
  <c r="E33" i="11"/>
  <c r="D33" i="11"/>
  <c r="G33" i="11" s="1"/>
  <c r="J33" i="11" s="1"/>
  <c r="K33" i="11" s="1"/>
  <c r="F32" i="11"/>
  <c r="I32" i="11" s="1"/>
  <c r="E32" i="11"/>
  <c r="H32" i="11" s="1"/>
  <c r="D32" i="11"/>
  <c r="I31" i="11"/>
  <c r="F31" i="11"/>
  <c r="E31" i="11"/>
  <c r="H31" i="11" s="1"/>
  <c r="D31" i="11"/>
  <c r="I30" i="11"/>
  <c r="F30" i="11"/>
  <c r="E30" i="11"/>
  <c r="H30" i="11" s="1"/>
  <c r="D30" i="11"/>
  <c r="I29" i="11"/>
  <c r="F29" i="11"/>
  <c r="E29" i="11"/>
  <c r="H29" i="11" s="1"/>
  <c r="D29" i="11"/>
  <c r="I28" i="11"/>
  <c r="F28" i="11"/>
  <c r="E28" i="11"/>
  <c r="H28" i="11" s="1"/>
  <c r="D28" i="11"/>
  <c r="I27" i="11"/>
  <c r="F27" i="11"/>
  <c r="E27" i="11"/>
  <c r="H27" i="11" s="1"/>
  <c r="D27" i="11"/>
  <c r="I26" i="11"/>
  <c r="F26" i="11"/>
  <c r="E26" i="11"/>
  <c r="H26" i="11" s="1"/>
  <c r="D26" i="11"/>
  <c r="I25" i="11"/>
  <c r="F25" i="11"/>
  <c r="E25" i="11"/>
  <c r="H25" i="11" s="1"/>
  <c r="D25" i="11"/>
  <c r="I24" i="11"/>
  <c r="F24" i="11"/>
  <c r="E24" i="11"/>
  <c r="H24" i="11" s="1"/>
  <c r="D24" i="11"/>
  <c r="I23" i="11"/>
  <c r="F23" i="11"/>
  <c r="E23" i="11"/>
  <c r="H23" i="11" s="1"/>
  <c r="D23" i="11"/>
  <c r="I22" i="11"/>
  <c r="F22" i="11"/>
  <c r="E22" i="11"/>
  <c r="H22" i="11" s="1"/>
  <c r="D22" i="11"/>
  <c r="I21" i="11"/>
  <c r="F21" i="11"/>
  <c r="E21" i="11"/>
  <c r="H21" i="11" s="1"/>
  <c r="D21" i="11"/>
  <c r="I20" i="11"/>
  <c r="F20" i="11"/>
  <c r="E20" i="11"/>
  <c r="H20" i="11" s="1"/>
  <c r="D20" i="11"/>
  <c r="I19" i="11"/>
  <c r="F19" i="11"/>
  <c r="E19" i="11"/>
  <c r="H19" i="11" s="1"/>
  <c r="D19" i="11"/>
  <c r="I18" i="11"/>
  <c r="F18" i="11"/>
  <c r="E18" i="11"/>
  <c r="H18" i="11" s="1"/>
  <c r="D18" i="11"/>
  <c r="I17" i="11"/>
  <c r="F17" i="11"/>
  <c r="E17" i="11"/>
  <c r="H17" i="11" s="1"/>
  <c r="D17" i="11"/>
  <c r="I16" i="11"/>
  <c r="F16" i="11"/>
  <c r="E16" i="11"/>
  <c r="H16" i="11" s="1"/>
  <c r="D16" i="11"/>
  <c r="I15" i="11"/>
  <c r="F15" i="11"/>
  <c r="E15" i="11"/>
  <c r="H15" i="11" s="1"/>
  <c r="D15" i="11"/>
  <c r="I14" i="11"/>
  <c r="F14" i="11"/>
  <c r="E14" i="11"/>
  <c r="H14" i="11" s="1"/>
  <c r="D14" i="11"/>
  <c r="I13" i="11"/>
  <c r="F13" i="11"/>
  <c r="E13" i="11"/>
  <c r="H13" i="11" s="1"/>
  <c r="D13" i="11"/>
  <c r="I12" i="11"/>
  <c r="F12" i="11"/>
  <c r="E12" i="11"/>
  <c r="H12" i="11" s="1"/>
  <c r="D12" i="11"/>
  <c r="I11" i="11"/>
  <c r="F11" i="11"/>
  <c r="E11" i="11"/>
  <c r="H11" i="11" s="1"/>
  <c r="D11" i="11"/>
  <c r="I10" i="11"/>
  <c r="F10" i="11"/>
  <c r="E10" i="11"/>
  <c r="H10" i="11" s="1"/>
  <c r="D10" i="11"/>
  <c r="I9" i="11"/>
  <c r="F9" i="11"/>
  <c r="E9" i="11"/>
  <c r="H9" i="11" s="1"/>
  <c r="D9" i="11"/>
  <c r="I8" i="11"/>
  <c r="F8" i="11"/>
  <c r="E8" i="11"/>
  <c r="H8" i="11" s="1"/>
  <c r="D8" i="11"/>
  <c r="I7" i="11"/>
  <c r="F7" i="11"/>
  <c r="E7" i="11"/>
  <c r="H7" i="11" s="1"/>
  <c r="D7" i="11"/>
  <c r="I6" i="11"/>
  <c r="F6" i="11"/>
  <c r="E6" i="11"/>
  <c r="H6" i="11" s="1"/>
  <c r="D6" i="11"/>
  <c r="I5" i="11"/>
  <c r="F5" i="11"/>
  <c r="E5" i="11"/>
  <c r="H5" i="11" s="1"/>
  <c r="D5" i="11"/>
  <c r="I4" i="11"/>
  <c r="F4" i="11"/>
  <c r="E4" i="11"/>
  <c r="H4" i="11" s="1"/>
  <c r="D4" i="11"/>
  <c r="I3" i="11"/>
  <c r="F3" i="11"/>
  <c r="E3" i="11"/>
  <c r="H3" i="11" s="1"/>
  <c r="D3" i="11"/>
  <c r="I2" i="11"/>
  <c r="F2" i="11"/>
  <c r="E2" i="11"/>
  <c r="H2" i="11" s="1"/>
  <c r="D2" i="11"/>
  <c r="Y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W275" i="10"/>
  <c r="W276" i="10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W316" i="10"/>
  <c r="W317" i="10"/>
  <c r="W318" i="10"/>
  <c r="W319" i="10"/>
  <c r="W320" i="10"/>
  <c r="W321" i="10"/>
  <c r="W322" i="10"/>
  <c r="W323" i="10"/>
  <c r="W324" i="10"/>
  <c r="W325" i="10"/>
  <c r="W326" i="10"/>
  <c r="W327" i="10"/>
  <c r="W328" i="10"/>
  <c r="W329" i="10"/>
  <c r="W330" i="10"/>
  <c r="W331" i="10"/>
  <c r="W332" i="10"/>
  <c r="W333" i="10"/>
  <c r="W334" i="10"/>
  <c r="W335" i="10"/>
  <c r="W336" i="10"/>
  <c r="W337" i="10"/>
  <c r="W338" i="10"/>
  <c r="W339" i="10"/>
  <c r="W340" i="10"/>
  <c r="W341" i="10"/>
  <c r="W342" i="10"/>
  <c r="W343" i="10"/>
  <c r="W344" i="10"/>
  <c r="W345" i="10"/>
  <c r="W346" i="10"/>
  <c r="W347" i="10"/>
  <c r="W348" i="10"/>
  <c r="W349" i="10"/>
  <c r="W350" i="10"/>
  <c r="W351" i="10"/>
  <c r="W352" i="10"/>
  <c r="W353" i="10"/>
  <c r="W354" i="10"/>
  <c r="W355" i="10"/>
  <c r="W356" i="10"/>
  <c r="W357" i="10"/>
  <c r="W358" i="10"/>
  <c r="W359" i="10"/>
  <c r="W360" i="10"/>
  <c r="W361" i="10"/>
  <c r="W362" i="10"/>
  <c r="W363" i="10"/>
  <c r="W364" i="10"/>
  <c r="W365" i="10"/>
  <c r="W366" i="10"/>
  <c r="W367" i="10"/>
  <c r="W368" i="10"/>
  <c r="W369" i="10"/>
  <c r="W370" i="10"/>
  <c r="W371" i="10"/>
  <c r="W372" i="10"/>
  <c r="W373" i="10"/>
  <c r="W374" i="10"/>
  <c r="W375" i="10"/>
  <c r="W376" i="10"/>
  <c r="W377" i="10"/>
  <c r="W378" i="10"/>
  <c r="W379" i="10"/>
  <c r="W380" i="10"/>
  <c r="W381" i="10"/>
  <c r="W382" i="10"/>
  <c r="W383" i="10"/>
  <c r="W384" i="10"/>
  <c r="W385" i="10"/>
  <c r="W386" i="10"/>
  <c r="W387" i="10"/>
  <c r="W388" i="10"/>
  <c r="W389" i="10"/>
  <c r="W390" i="10"/>
  <c r="W391" i="10"/>
  <c r="W392" i="10"/>
  <c r="W393" i="10"/>
  <c r="W394" i="10"/>
  <c r="W395" i="10"/>
  <c r="W396" i="10"/>
  <c r="W397" i="10"/>
  <c r="W398" i="10"/>
  <c r="W399" i="10"/>
  <c r="W400" i="10"/>
  <c r="W401" i="10"/>
  <c r="W402" i="10"/>
  <c r="W403" i="10"/>
  <c r="W404" i="10"/>
  <c r="W405" i="10"/>
  <c r="W406" i="10"/>
  <c r="W407" i="10"/>
  <c r="W408" i="10"/>
  <c r="W409" i="10"/>
  <c r="W410" i="10"/>
  <c r="W411" i="10"/>
  <c r="W412" i="10"/>
  <c r="W413" i="10"/>
  <c r="W414" i="10"/>
  <c r="W415" i="10"/>
  <c r="W416" i="10"/>
  <c r="W417" i="10"/>
  <c r="W418" i="10"/>
  <c r="W419" i="10"/>
  <c r="W420" i="10"/>
  <c r="W421" i="10"/>
  <c r="W422" i="10"/>
  <c r="W423" i="10"/>
  <c r="W424" i="10"/>
  <c r="W425" i="10"/>
  <c r="W426" i="10"/>
  <c r="W427" i="10"/>
  <c r="W428" i="10"/>
  <c r="W429" i="10"/>
  <c r="W430" i="10"/>
  <c r="W431" i="10"/>
  <c r="W432" i="10"/>
  <c r="W433" i="10"/>
  <c r="W434" i="10"/>
  <c r="W435" i="10"/>
  <c r="W436" i="10"/>
  <c r="W437" i="10"/>
  <c r="W438" i="10"/>
  <c r="W439" i="10"/>
  <c r="W440" i="10"/>
  <c r="W441" i="10"/>
  <c r="W442" i="10"/>
  <c r="W443" i="10"/>
  <c r="W444" i="10"/>
  <c r="W445" i="10"/>
  <c r="W446" i="10"/>
  <c r="W447" i="10"/>
  <c r="W448" i="10"/>
  <c r="W449" i="10"/>
  <c r="W450" i="10"/>
  <c r="W451" i="10"/>
  <c r="W452" i="10"/>
  <c r="W453" i="10"/>
  <c r="W454" i="10"/>
  <c r="W455" i="10"/>
  <c r="W456" i="10"/>
  <c r="W457" i="10"/>
  <c r="W458" i="10"/>
  <c r="W459" i="10"/>
  <c r="W460" i="10"/>
  <c r="W461" i="10"/>
  <c r="W462" i="10"/>
  <c r="W463" i="10"/>
  <c r="W464" i="10"/>
  <c r="W465" i="10"/>
  <c r="W466" i="10"/>
  <c r="W467" i="10"/>
  <c r="W468" i="10"/>
  <c r="W469" i="10"/>
  <c r="W470" i="10"/>
  <c r="W471" i="10"/>
  <c r="W472" i="10"/>
  <c r="W473" i="10"/>
  <c r="W474" i="10"/>
  <c r="W475" i="10"/>
  <c r="W476" i="10"/>
  <c r="W477" i="10"/>
  <c r="W478" i="10"/>
  <c r="W479" i="10"/>
  <c r="W480" i="10"/>
  <c r="W481" i="10"/>
  <c r="W482" i="10"/>
  <c r="W483" i="10"/>
  <c r="W484" i="10"/>
  <c r="W485" i="10"/>
  <c r="W486" i="10"/>
  <c r="W487" i="10"/>
  <c r="W488" i="10"/>
  <c r="W489" i="10"/>
  <c r="W490" i="10"/>
  <c r="W491" i="10"/>
  <c r="W492" i="10"/>
  <c r="W493" i="10"/>
  <c r="W494" i="10"/>
  <c r="W495" i="10"/>
  <c r="W496" i="10"/>
  <c r="W497" i="10"/>
  <c r="W498" i="10"/>
  <c r="W499" i="10"/>
  <c r="W500" i="10"/>
  <c r="W501" i="10"/>
  <c r="W502" i="10"/>
  <c r="W503" i="10"/>
  <c r="W504" i="10"/>
  <c r="W505" i="10"/>
  <c r="W506" i="10"/>
  <c r="W507" i="10"/>
  <c r="W508" i="10"/>
  <c r="W509" i="10"/>
  <c r="W510" i="10"/>
  <c r="W511" i="10"/>
  <c r="W512" i="10"/>
  <c r="W513" i="10"/>
  <c r="W514" i="10"/>
  <c r="W515" i="10"/>
  <c r="W516" i="10"/>
  <c r="W517" i="10"/>
  <c r="W518" i="10"/>
  <c r="W519" i="10"/>
  <c r="W520" i="10"/>
  <c r="W521" i="10"/>
  <c r="W522" i="10"/>
  <c r="W523" i="10"/>
  <c r="W524" i="10"/>
  <c r="W525" i="10"/>
  <c r="W526" i="10"/>
  <c r="W527" i="10"/>
  <c r="W528" i="10"/>
  <c r="W529" i="10"/>
  <c r="W530" i="10"/>
  <c r="W531" i="10"/>
  <c r="W532" i="10"/>
  <c r="W533" i="10"/>
  <c r="W534" i="10"/>
  <c r="W535" i="10"/>
  <c r="W536" i="10"/>
  <c r="W537" i="10"/>
  <c r="W538" i="10"/>
  <c r="W539" i="10"/>
  <c r="W540" i="10"/>
  <c r="W541" i="10"/>
  <c r="W542" i="10"/>
  <c r="W543" i="10"/>
  <c r="W544" i="10"/>
  <c r="W545" i="10"/>
  <c r="W546" i="10"/>
  <c r="W547" i="10"/>
  <c r="W548" i="10"/>
  <c r="W549" i="10"/>
  <c r="W550" i="10"/>
  <c r="W551" i="10"/>
  <c r="W552" i="10"/>
  <c r="W553" i="10"/>
  <c r="W554" i="10"/>
  <c r="W555" i="10"/>
  <c r="W556" i="10"/>
  <c r="W557" i="10"/>
  <c r="W558" i="10"/>
  <c r="W559" i="10"/>
  <c r="W560" i="10"/>
  <c r="W561" i="10"/>
  <c r="W562" i="10"/>
  <c r="W563" i="10"/>
  <c r="W564" i="10"/>
  <c r="W565" i="10"/>
  <c r="W566" i="10"/>
  <c r="W567" i="10"/>
  <c r="W568" i="10"/>
  <c r="W569" i="10"/>
  <c r="W570" i="10"/>
  <c r="W571" i="10"/>
  <c r="W572" i="10"/>
  <c r="W573" i="10"/>
  <c r="W574" i="10"/>
  <c r="W575" i="10"/>
  <c r="W576" i="10"/>
  <c r="W577" i="10"/>
  <c r="W578" i="10"/>
  <c r="W579" i="10"/>
  <c r="W580" i="10"/>
  <c r="W581" i="10"/>
  <c r="W582" i="10"/>
  <c r="W583" i="10"/>
  <c r="W584" i="10"/>
  <c r="W585" i="10"/>
  <c r="W586" i="10"/>
  <c r="W587" i="10"/>
  <c r="W588" i="10"/>
  <c r="W589" i="10"/>
  <c r="W590" i="10"/>
  <c r="W591" i="10"/>
  <c r="W592" i="10"/>
  <c r="W593" i="10"/>
  <c r="W594" i="10"/>
  <c r="W595" i="10"/>
  <c r="W596" i="10"/>
  <c r="W597" i="10"/>
  <c r="W598" i="10"/>
  <c r="W599" i="10"/>
  <c r="W600" i="10"/>
  <c r="W601" i="10"/>
  <c r="W602" i="10"/>
  <c r="W603" i="10"/>
  <c r="W604" i="10"/>
  <c r="W605" i="10"/>
  <c r="W606" i="10"/>
  <c r="W607" i="10"/>
  <c r="W608" i="10"/>
  <c r="W609" i="10"/>
  <c r="W610" i="10"/>
  <c r="W611" i="10"/>
  <c r="W612" i="10"/>
  <c r="W613" i="10"/>
  <c r="W614" i="10"/>
  <c r="W615" i="10"/>
  <c r="W616" i="10"/>
  <c r="W617" i="10"/>
  <c r="W618" i="10"/>
  <c r="W619" i="10"/>
  <c r="W620" i="10"/>
  <c r="W621" i="10"/>
  <c r="W622" i="10"/>
  <c r="W623" i="10"/>
  <c r="W624" i="10"/>
  <c r="W625" i="10"/>
  <c r="W626" i="10"/>
  <c r="W627" i="10"/>
  <c r="W628" i="10"/>
  <c r="W629" i="10"/>
  <c r="W630" i="10"/>
  <c r="W631" i="10"/>
  <c r="W632" i="10"/>
  <c r="W633" i="10"/>
  <c r="W634" i="10"/>
  <c r="W635" i="10"/>
  <c r="W636" i="10"/>
  <c r="W637" i="10"/>
  <c r="W638" i="10"/>
  <c r="W639" i="10"/>
  <c r="W640" i="10"/>
  <c r="W641" i="10"/>
  <c r="W642" i="10"/>
  <c r="W643" i="10"/>
  <c r="W644" i="10"/>
  <c r="W645" i="10"/>
  <c r="W646" i="10"/>
  <c r="W647" i="10"/>
  <c r="W648" i="10"/>
  <c r="W649" i="10"/>
  <c r="W650" i="10"/>
  <c r="W651" i="10"/>
  <c r="W652" i="10"/>
  <c r="W653" i="10"/>
  <c r="W654" i="10"/>
  <c r="W655" i="10"/>
  <c r="W656" i="10"/>
  <c r="W657" i="10"/>
  <c r="W658" i="10"/>
  <c r="W659" i="10"/>
  <c r="W660" i="10"/>
  <c r="W661" i="10"/>
  <c r="W662" i="10"/>
  <c r="W663" i="10"/>
  <c r="W664" i="10"/>
  <c r="W665" i="10"/>
  <c r="W666" i="10"/>
  <c r="W667" i="10"/>
  <c r="W668" i="10"/>
  <c r="W669" i="10"/>
  <c r="W670" i="10"/>
  <c r="W671" i="10"/>
  <c r="W672" i="10"/>
  <c r="W673" i="10"/>
  <c r="W674" i="10"/>
  <c r="W675" i="10"/>
  <c r="W676" i="10"/>
  <c r="W677" i="10"/>
  <c r="W678" i="10"/>
  <c r="W679" i="10"/>
  <c r="W680" i="10"/>
  <c r="W681" i="10"/>
  <c r="W682" i="10"/>
  <c r="W683" i="10"/>
  <c r="W684" i="10"/>
  <c r="W685" i="10"/>
  <c r="W686" i="10"/>
  <c r="W687" i="10"/>
  <c r="W688" i="10"/>
  <c r="W689" i="10"/>
  <c r="W690" i="10"/>
  <c r="W691" i="10"/>
  <c r="W692" i="10"/>
  <c r="W693" i="10"/>
  <c r="W694" i="10"/>
  <c r="W695" i="10"/>
  <c r="W696" i="10"/>
  <c r="W697" i="10"/>
  <c r="W698" i="10"/>
  <c r="W699" i="10"/>
  <c r="W700" i="10"/>
  <c r="W701" i="10"/>
  <c r="W702" i="10"/>
  <c r="W703" i="10"/>
  <c r="W704" i="10"/>
  <c r="W705" i="10"/>
  <c r="W706" i="10"/>
  <c r="W707" i="10"/>
  <c r="W708" i="10"/>
  <c r="W709" i="10"/>
  <c r="W710" i="10"/>
  <c r="W711" i="10"/>
  <c r="W712" i="10"/>
  <c r="W713" i="10"/>
  <c r="W714" i="10"/>
  <c r="W715" i="10"/>
  <c r="W716" i="10"/>
  <c r="W717" i="10"/>
  <c r="W718" i="10"/>
  <c r="W719" i="10"/>
  <c r="W720" i="10"/>
  <c r="W721" i="10"/>
  <c r="W722" i="10"/>
  <c r="W723" i="10"/>
  <c r="W724" i="10"/>
  <c r="W725" i="10"/>
  <c r="W726" i="10"/>
  <c r="W727" i="10"/>
  <c r="W728" i="10"/>
  <c r="W729" i="10"/>
  <c r="W730" i="10"/>
  <c r="W731" i="10"/>
  <c r="W732" i="10"/>
  <c r="W733" i="10"/>
  <c r="W734" i="10"/>
  <c r="W735" i="10"/>
  <c r="W736" i="10"/>
  <c r="W737" i="10"/>
  <c r="W738" i="10"/>
  <c r="W739" i="10"/>
  <c r="W740" i="10"/>
  <c r="W741" i="10"/>
  <c r="W742" i="10"/>
  <c r="W743" i="10"/>
  <c r="W744" i="10"/>
  <c r="W745" i="10"/>
  <c r="W746" i="10"/>
  <c r="W747" i="10"/>
  <c r="W748" i="10"/>
  <c r="W749" i="10"/>
  <c r="W750" i="10"/>
  <c r="W751" i="10"/>
  <c r="W752" i="10"/>
  <c r="W753" i="10"/>
  <c r="W754" i="10"/>
  <c r="W755" i="10"/>
  <c r="W756" i="10"/>
  <c r="W757" i="10"/>
  <c r="W758" i="10"/>
  <c r="W759" i="10"/>
  <c r="W760" i="10"/>
  <c r="W761" i="10"/>
  <c r="W762" i="10"/>
  <c r="W763" i="10"/>
  <c r="W764" i="10"/>
  <c r="W765" i="10"/>
  <c r="W766" i="10"/>
  <c r="W767" i="10"/>
  <c r="W768" i="10"/>
  <c r="W769" i="10"/>
  <c r="W770" i="10"/>
  <c r="W771" i="10"/>
  <c r="W772" i="10"/>
  <c r="W773" i="10"/>
  <c r="W774" i="10"/>
  <c r="W775" i="10"/>
  <c r="W776" i="10"/>
  <c r="W777" i="10"/>
  <c r="W778" i="10"/>
  <c r="W779" i="10"/>
  <c r="W780" i="10"/>
  <c r="W781" i="10"/>
  <c r="W782" i="10"/>
  <c r="W783" i="10"/>
  <c r="W784" i="10"/>
  <c r="W785" i="10"/>
  <c r="W786" i="10"/>
  <c r="W787" i="10"/>
  <c r="W788" i="10"/>
  <c r="W789" i="10"/>
  <c r="W790" i="10"/>
  <c r="W791" i="10"/>
  <c r="W792" i="10"/>
  <c r="W793" i="10"/>
  <c r="W794" i="10"/>
  <c r="W795" i="10"/>
  <c r="W796" i="10"/>
  <c r="W797" i="10"/>
  <c r="W798" i="10"/>
  <c r="W799" i="10"/>
  <c r="W800" i="10"/>
  <c r="W801" i="10"/>
  <c r="W802" i="10"/>
  <c r="W803" i="10"/>
  <c r="W804" i="10"/>
  <c r="W805" i="10"/>
  <c r="W806" i="10"/>
  <c r="W807" i="10"/>
  <c r="W808" i="10"/>
  <c r="W809" i="10"/>
  <c r="W810" i="10"/>
  <c r="W811" i="10"/>
  <c r="W812" i="10"/>
  <c r="W813" i="10"/>
  <c r="W814" i="10"/>
  <c r="W815" i="10"/>
  <c r="W816" i="10"/>
  <c r="W817" i="10"/>
  <c r="W818" i="10"/>
  <c r="W819" i="10"/>
  <c r="W820" i="10"/>
  <c r="W821" i="10"/>
  <c r="W822" i="10"/>
  <c r="W823" i="10"/>
  <c r="W824" i="10"/>
  <c r="W825" i="10"/>
  <c r="W826" i="10"/>
  <c r="W827" i="10"/>
  <c r="W828" i="10"/>
  <c r="W829" i="10"/>
  <c r="W830" i="10"/>
  <c r="W831" i="10"/>
  <c r="W832" i="10"/>
  <c r="W833" i="10"/>
  <c r="W834" i="10"/>
  <c r="W835" i="10"/>
  <c r="W836" i="10"/>
  <c r="W837" i="10"/>
  <c r="W838" i="10"/>
  <c r="W839" i="10"/>
  <c r="W840" i="10"/>
  <c r="W841" i="10"/>
  <c r="W842" i="10"/>
  <c r="W843" i="10"/>
  <c r="W844" i="10"/>
  <c r="W845" i="10"/>
  <c r="W846" i="10"/>
  <c r="W847" i="10"/>
  <c r="W848" i="10"/>
  <c r="W849" i="10"/>
  <c r="W850" i="10"/>
  <c r="W851" i="10"/>
  <c r="W852" i="10"/>
  <c r="W853" i="10"/>
  <c r="W854" i="10"/>
  <c r="W855" i="10"/>
  <c r="W856" i="10"/>
  <c r="W857" i="10"/>
  <c r="W858" i="10"/>
  <c r="W859" i="10"/>
  <c r="W860" i="10"/>
  <c r="W861" i="10"/>
  <c r="W862" i="10"/>
  <c r="W863" i="10"/>
  <c r="W864" i="10"/>
  <c r="W865" i="10"/>
  <c r="W866" i="10"/>
  <c r="W867" i="10"/>
  <c r="W868" i="10"/>
  <c r="W869" i="10"/>
  <c r="W870" i="10"/>
  <c r="W871" i="10"/>
  <c r="W872" i="10"/>
  <c r="W873" i="10"/>
  <c r="W874" i="10"/>
  <c r="W875" i="10"/>
  <c r="W876" i="10"/>
  <c r="W877" i="10"/>
  <c r="W878" i="10"/>
  <c r="W879" i="10"/>
  <c r="W880" i="10"/>
  <c r="W881" i="10"/>
  <c r="W882" i="10"/>
  <c r="W883" i="10"/>
  <c r="W884" i="10"/>
  <c r="W885" i="10"/>
  <c r="W886" i="10"/>
  <c r="W887" i="10"/>
  <c r="W888" i="10"/>
  <c r="W889" i="10"/>
  <c r="W890" i="10"/>
  <c r="W891" i="10"/>
  <c r="W892" i="10"/>
  <c r="W893" i="10"/>
  <c r="W894" i="10"/>
  <c r="W895" i="10"/>
  <c r="W896" i="10"/>
  <c r="W897" i="10"/>
  <c r="W898" i="10"/>
  <c r="W899" i="10"/>
  <c r="W900" i="10"/>
  <c r="W901" i="10"/>
  <c r="W902" i="10"/>
  <c r="W903" i="10"/>
  <c r="W904" i="10"/>
  <c r="W905" i="10"/>
  <c r="W906" i="10"/>
  <c r="W907" i="10"/>
  <c r="W908" i="10"/>
  <c r="W909" i="10"/>
  <c r="W910" i="10"/>
  <c r="W911" i="10"/>
  <c r="W912" i="10"/>
  <c r="W913" i="10"/>
  <c r="W914" i="10"/>
  <c r="W915" i="10"/>
  <c r="W916" i="10"/>
  <c r="W917" i="10"/>
  <c r="W918" i="10"/>
  <c r="W919" i="10"/>
  <c r="W920" i="10"/>
  <c r="W921" i="10"/>
  <c r="W922" i="10"/>
  <c r="W923" i="10"/>
  <c r="W924" i="10"/>
  <c r="W925" i="10"/>
  <c r="W926" i="10"/>
  <c r="W927" i="10"/>
  <c r="W928" i="10"/>
  <c r="W929" i="10"/>
  <c r="W930" i="10"/>
  <c r="W931" i="10"/>
  <c r="W932" i="10"/>
  <c r="W933" i="10"/>
  <c r="W934" i="10"/>
  <c r="W935" i="10"/>
  <c r="W936" i="10"/>
  <c r="W937" i="10"/>
  <c r="W938" i="10"/>
  <c r="W939" i="10"/>
  <c r="W940" i="10"/>
  <c r="W941" i="10"/>
  <c r="W942" i="10"/>
  <c r="W943" i="10"/>
  <c r="W944" i="10"/>
  <c r="W945" i="10"/>
  <c r="W946" i="10"/>
  <c r="W947" i="10"/>
  <c r="W948" i="10"/>
  <c r="W949" i="10"/>
  <c r="W950" i="10"/>
  <c r="W951" i="10"/>
  <c r="W952" i="10"/>
  <c r="W953" i="10"/>
  <c r="W954" i="10"/>
  <c r="W955" i="10"/>
  <c r="W956" i="10"/>
  <c r="W957" i="10"/>
  <c r="W958" i="10"/>
  <c r="W959" i="10"/>
  <c r="W960" i="10"/>
  <c r="W961" i="10"/>
  <c r="W962" i="10"/>
  <c r="W963" i="10"/>
  <c r="W964" i="10"/>
  <c r="W965" i="10"/>
  <c r="W966" i="10"/>
  <c r="W967" i="10"/>
  <c r="W968" i="10"/>
  <c r="W969" i="10"/>
  <c r="W970" i="10"/>
  <c r="W971" i="10"/>
  <c r="W972" i="10"/>
  <c r="W973" i="10"/>
  <c r="W974" i="10"/>
  <c r="W975" i="10"/>
  <c r="W976" i="10"/>
  <c r="W977" i="10"/>
  <c r="W978" i="10"/>
  <c r="W979" i="10"/>
  <c r="W980" i="10"/>
  <c r="W981" i="10"/>
  <c r="W982" i="10"/>
  <c r="W983" i="10"/>
  <c r="W984" i="10"/>
  <c r="W985" i="10"/>
  <c r="W986" i="10"/>
  <c r="W987" i="10"/>
  <c r="W988" i="10"/>
  <c r="W989" i="10"/>
  <c r="W990" i="10"/>
  <c r="W991" i="10"/>
  <c r="W992" i="10"/>
  <c r="W993" i="10"/>
  <c r="W994" i="10"/>
  <c r="W995" i="10"/>
  <c r="W996" i="10"/>
  <c r="W997" i="10"/>
  <c r="W998" i="10"/>
  <c r="W999" i="10"/>
  <c r="W1000" i="10"/>
  <c r="W1001" i="10"/>
  <c r="W2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V532" i="10"/>
  <c r="V533" i="10"/>
  <c r="V534" i="10"/>
  <c r="V535" i="10"/>
  <c r="V536" i="10"/>
  <c r="V537" i="10"/>
  <c r="V538" i="10"/>
  <c r="V539" i="10"/>
  <c r="V540" i="10"/>
  <c r="V541" i="10"/>
  <c r="V542" i="10"/>
  <c r="V543" i="10"/>
  <c r="V544" i="10"/>
  <c r="V545" i="10"/>
  <c r="V546" i="10"/>
  <c r="V547" i="10"/>
  <c r="V548" i="10"/>
  <c r="V549" i="10"/>
  <c r="V550" i="10"/>
  <c r="V551" i="10"/>
  <c r="V552" i="10"/>
  <c r="V553" i="10"/>
  <c r="V554" i="10"/>
  <c r="V555" i="10"/>
  <c r="V556" i="10"/>
  <c r="V557" i="10"/>
  <c r="V558" i="10"/>
  <c r="V559" i="10"/>
  <c r="V560" i="10"/>
  <c r="V561" i="10"/>
  <c r="V562" i="10"/>
  <c r="V563" i="10"/>
  <c r="V564" i="10"/>
  <c r="V565" i="10"/>
  <c r="V566" i="10"/>
  <c r="V567" i="10"/>
  <c r="V568" i="10"/>
  <c r="V569" i="10"/>
  <c r="V570" i="10"/>
  <c r="V571" i="10"/>
  <c r="V572" i="10"/>
  <c r="V573" i="10"/>
  <c r="V574" i="10"/>
  <c r="V575" i="10"/>
  <c r="V576" i="10"/>
  <c r="V577" i="10"/>
  <c r="V578" i="10"/>
  <c r="V579" i="10"/>
  <c r="V580" i="10"/>
  <c r="V581" i="10"/>
  <c r="V582" i="10"/>
  <c r="V583" i="10"/>
  <c r="V584" i="10"/>
  <c r="V585" i="10"/>
  <c r="V586" i="10"/>
  <c r="V587" i="10"/>
  <c r="V588" i="10"/>
  <c r="V589" i="10"/>
  <c r="V590" i="10"/>
  <c r="V591" i="10"/>
  <c r="V592" i="10"/>
  <c r="V593" i="10"/>
  <c r="V594" i="10"/>
  <c r="V595" i="10"/>
  <c r="V596" i="10"/>
  <c r="V597" i="10"/>
  <c r="V598" i="10"/>
  <c r="V599" i="10"/>
  <c r="V600" i="10"/>
  <c r="V601" i="10"/>
  <c r="V602" i="10"/>
  <c r="V603" i="10"/>
  <c r="V604" i="10"/>
  <c r="V605" i="10"/>
  <c r="V606" i="10"/>
  <c r="V607" i="10"/>
  <c r="V608" i="10"/>
  <c r="V609" i="10"/>
  <c r="V610" i="10"/>
  <c r="V611" i="10"/>
  <c r="V612" i="10"/>
  <c r="V613" i="10"/>
  <c r="V614" i="10"/>
  <c r="V615" i="10"/>
  <c r="V616" i="10"/>
  <c r="V617" i="10"/>
  <c r="V618" i="10"/>
  <c r="V619" i="10"/>
  <c r="V620" i="10"/>
  <c r="V621" i="10"/>
  <c r="V622" i="10"/>
  <c r="V623" i="10"/>
  <c r="V624" i="10"/>
  <c r="V625" i="10"/>
  <c r="V626" i="10"/>
  <c r="V627" i="10"/>
  <c r="V628" i="10"/>
  <c r="V629" i="10"/>
  <c r="V630" i="10"/>
  <c r="V631" i="10"/>
  <c r="V632" i="10"/>
  <c r="V633" i="10"/>
  <c r="V634" i="10"/>
  <c r="V635" i="10"/>
  <c r="V636" i="10"/>
  <c r="V637" i="10"/>
  <c r="V638" i="10"/>
  <c r="V639" i="10"/>
  <c r="V640" i="10"/>
  <c r="V641" i="10"/>
  <c r="V642" i="10"/>
  <c r="V643" i="10"/>
  <c r="V644" i="10"/>
  <c r="V645" i="10"/>
  <c r="V646" i="10"/>
  <c r="V647" i="10"/>
  <c r="V648" i="10"/>
  <c r="V649" i="10"/>
  <c r="V650" i="10"/>
  <c r="V651" i="10"/>
  <c r="V652" i="10"/>
  <c r="V653" i="10"/>
  <c r="V654" i="10"/>
  <c r="V655" i="10"/>
  <c r="V656" i="10"/>
  <c r="V657" i="10"/>
  <c r="V658" i="10"/>
  <c r="V659" i="10"/>
  <c r="V660" i="10"/>
  <c r="V661" i="10"/>
  <c r="V662" i="10"/>
  <c r="V663" i="10"/>
  <c r="V664" i="10"/>
  <c r="V665" i="10"/>
  <c r="V666" i="10"/>
  <c r="V667" i="10"/>
  <c r="V668" i="10"/>
  <c r="V669" i="10"/>
  <c r="V670" i="10"/>
  <c r="V671" i="10"/>
  <c r="V672" i="10"/>
  <c r="V673" i="10"/>
  <c r="V674" i="10"/>
  <c r="V675" i="10"/>
  <c r="V676" i="10"/>
  <c r="V677" i="10"/>
  <c r="V678" i="10"/>
  <c r="V679" i="10"/>
  <c r="V680" i="10"/>
  <c r="V681" i="10"/>
  <c r="V682" i="10"/>
  <c r="V683" i="10"/>
  <c r="V684" i="10"/>
  <c r="V685" i="10"/>
  <c r="V686" i="10"/>
  <c r="V687" i="10"/>
  <c r="V688" i="10"/>
  <c r="V689" i="10"/>
  <c r="V690" i="10"/>
  <c r="V691" i="10"/>
  <c r="V692" i="10"/>
  <c r="V693" i="10"/>
  <c r="V694" i="10"/>
  <c r="V695" i="10"/>
  <c r="V696" i="10"/>
  <c r="V697" i="10"/>
  <c r="V698" i="10"/>
  <c r="V699" i="10"/>
  <c r="V700" i="10"/>
  <c r="V701" i="10"/>
  <c r="V702" i="10"/>
  <c r="V703" i="10"/>
  <c r="V704" i="10"/>
  <c r="V705" i="10"/>
  <c r="V706" i="10"/>
  <c r="V707" i="10"/>
  <c r="V708" i="10"/>
  <c r="V709" i="10"/>
  <c r="V710" i="10"/>
  <c r="V711" i="10"/>
  <c r="V712" i="10"/>
  <c r="V713" i="10"/>
  <c r="V714" i="10"/>
  <c r="V715" i="10"/>
  <c r="V716" i="10"/>
  <c r="V717" i="10"/>
  <c r="V718" i="10"/>
  <c r="V719" i="10"/>
  <c r="V720" i="10"/>
  <c r="V721" i="10"/>
  <c r="V722" i="10"/>
  <c r="V723" i="10"/>
  <c r="V724" i="10"/>
  <c r="V725" i="10"/>
  <c r="V726" i="10"/>
  <c r="V727" i="10"/>
  <c r="V728" i="10"/>
  <c r="V729" i="10"/>
  <c r="V730" i="10"/>
  <c r="V731" i="10"/>
  <c r="V732" i="10"/>
  <c r="V733" i="10"/>
  <c r="V734" i="10"/>
  <c r="V735" i="10"/>
  <c r="V736" i="10"/>
  <c r="V737" i="10"/>
  <c r="V738" i="10"/>
  <c r="V739" i="10"/>
  <c r="V740" i="10"/>
  <c r="V741" i="10"/>
  <c r="V742" i="10"/>
  <c r="V743" i="10"/>
  <c r="V744" i="10"/>
  <c r="V745" i="10"/>
  <c r="V746" i="10"/>
  <c r="V747" i="10"/>
  <c r="V748" i="10"/>
  <c r="V749" i="10"/>
  <c r="V750" i="10"/>
  <c r="V751" i="10"/>
  <c r="V752" i="10"/>
  <c r="V753" i="10"/>
  <c r="V754" i="10"/>
  <c r="V755" i="10"/>
  <c r="V756" i="10"/>
  <c r="V757" i="10"/>
  <c r="V758" i="10"/>
  <c r="V759" i="10"/>
  <c r="V760" i="10"/>
  <c r="V761" i="10"/>
  <c r="V762" i="10"/>
  <c r="V763" i="10"/>
  <c r="V764" i="10"/>
  <c r="V765" i="10"/>
  <c r="V766" i="10"/>
  <c r="V767" i="10"/>
  <c r="V768" i="10"/>
  <c r="V769" i="10"/>
  <c r="V770" i="10"/>
  <c r="V771" i="10"/>
  <c r="V772" i="10"/>
  <c r="V773" i="10"/>
  <c r="V774" i="10"/>
  <c r="V775" i="10"/>
  <c r="V776" i="10"/>
  <c r="V777" i="10"/>
  <c r="V778" i="10"/>
  <c r="V779" i="10"/>
  <c r="V780" i="10"/>
  <c r="V781" i="10"/>
  <c r="V782" i="10"/>
  <c r="V783" i="10"/>
  <c r="V784" i="10"/>
  <c r="V785" i="10"/>
  <c r="V786" i="10"/>
  <c r="V787" i="10"/>
  <c r="V788" i="10"/>
  <c r="V789" i="10"/>
  <c r="V790" i="10"/>
  <c r="V791" i="10"/>
  <c r="V792" i="10"/>
  <c r="V793" i="10"/>
  <c r="V794" i="10"/>
  <c r="V795" i="10"/>
  <c r="V796" i="10"/>
  <c r="V797" i="10"/>
  <c r="V798" i="10"/>
  <c r="V799" i="10"/>
  <c r="V800" i="10"/>
  <c r="V801" i="10"/>
  <c r="V802" i="10"/>
  <c r="V803" i="10"/>
  <c r="V804" i="10"/>
  <c r="V805" i="10"/>
  <c r="V806" i="10"/>
  <c r="V807" i="10"/>
  <c r="V808" i="10"/>
  <c r="V809" i="10"/>
  <c r="V810" i="10"/>
  <c r="V811" i="10"/>
  <c r="V812" i="10"/>
  <c r="V813" i="10"/>
  <c r="V814" i="10"/>
  <c r="V815" i="10"/>
  <c r="V816" i="10"/>
  <c r="V817" i="10"/>
  <c r="V818" i="10"/>
  <c r="V819" i="10"/>
  <c r="V820" i="10"/>
  <c r="V821" i="10"/>
  <c r="V822" i="10"/>
  <c r="V823" i="10"/>
  <c r="V824" i="10"/>
  <c r="V825" i="10"/>
  <c r="V826" i="10"/>
  <c r="V827" i="10"/>
  <c r="V828" i="10"/>
  <c r="V829" i="10"/>
  <c r="V830" i="10"/>
  <c r="V831" i="10"/>
  <c r="V832" i="10"/>
  <c r="V833" i="10"/>
  <c r="V834" i="10"/>
  <c r="V835" i="10"/>
  <c r="V836" i="10"/>
  <c r="V837" i="10"/>
  <c r="V838" i="10"/>
  <c r="V839" i="10"/>
  <c r="V840" i="10"/>
  <c r="V841" i="10"/>
  <c r="V842" i="10"/>
  <c r="V843" i="10"/>
  <c r="V844" i="10"/>
  <c r="V845" i="10"/>
  <c r="V846" i="10"/>
  <c r="V847" i="10"/>
  <c r="V848" i="10"/>
  <c r="V849" i="10"/>
  <c r="V850" i="10"/>
  <c r="V851" i="10"/>
  <c r="V852" i="10"/>
  <c r="V853" i="10"/>
  <c r="V854" i="10"/>
  <c r="V855" i="10"/>
  <c r="V856" i="10"/>
  <c r="V857" i="10"/>
  <c r="V858" i="10"/>
  <c r="V859" i="10"/>
  <c r="V860" i="10"/>
  <c r="V861" i="10"/>
  <c r="V862" i="10"/>
  <c r="V863" i="10"/>
  <c r="V864" i="10"/>
  <c r="V865" i="10"/>
  <c r="V866" i="10"/>
  <c r="V867" i="10"/>
  <c r="V868" i="10"/>
  <c r="V869" i="10"/>
  <c r="V870" i="10"/>
  <c r="V871" i="10"/>
  <c r="V872" i="10"/>
  <c r="V873" i="10"/>
  <c r="V874" i="10"/>
  <c r="V875" i="10"/>
  <c r="V876" i="10"/>
  <c r="V877" i="10"/>
  <c r="V878" i="10"/>
  <c r="V879" i="10"/>
  <c r="V880" i="10"/>
  <c r="V881" i="10"/>
  <c r="V882" i="10"/>
  <c r="V883" i="10"/>
  <c r="V884" i="10"/>
  <c r="V885" i="10"/>
  <c r="V886" i="10"/>
  <c r="V887" i="10"/>
  <c r="V888" i="10"/>
  <c r="V889" i="10"/>
  <c r="V890" i="10"/>
  <c r="V891" i="10"/>
  <c r="V892" i="10"/>
  <c r="V893" i="10"/>
  <c r="V894" i="10"/>
  <c r="V895" i="10"/>
  <c r="V896" i="10"/>
  <c r="V897" i="10"/>
  <c r="V898" i="10"/>
  <c r="V899" i="10"/>
  <c r="V900" i="10"/>
  <c r="V901" i="10"/>
  <c r="V902" i="10"/>
  <c r="V903" i="10"/>
  <c r="V904" i="10"/>
  <c r="V905" i="10"/>
  <c r="V906" i="10"/>
  <c r="V907" i="10"/>
  <c r="V908" i="10"/>
  <c r="V909" i="10"/>
  <c r="V910" i="10"/>
  <c r="V911" i="10"/>
  <c r="V912" i="10"/>
  <c r="V913" i="10"/>
  <c r="V914" i="10"/>
  <c r="V915" i="10"/>
  <c r="V916" i="10"/>
  <c r="V917" i="10"/>
  <c r="V918" i="10"/>
  <c r="V919" i="10"/>
  <c r="V920" i="10"/>
  <c r="V921" i="10"/>
  <c r="V922" i="10"/>
  <c r="V923" i="10"/>
  <c r="V924" i="10"/>
  <c r="V925" i="10"/>
  <c r="V926" i="10"/>
  <c r="V927" i="10"/>
  <c r="V928" i="10"/>
  <c r="V929" i="10"/>
  <c r="V930" i="10"/>
  <c r="V931" i="10"/>
  <c r="V932" i="10"/>
  <c r="V933" i="10"/>
  <c r="V934" i="10"/>
  <c r="V935" i="10"/>
  <c r="V936" i="10"/>
  <c r="V937" i="10"/>
  <c r="V938" i="10"/>
  <c r="V939" i="10"/>
  <c r="V940" i="10"/>
  <c r="V941" i="10"/>
  <c r="V942" i="10"/>
  <c r="V943" i="10"/>
  <c r="V944" i="10"/>
  <c r="V945" i="10"/>
  <c r="V946" i="10"/>
  <c r="V947" i="10"/>
  <c r="V948" i="10"/>
  <c r="V949" i="10"/>
  <c r="V950" i="10"/>
  <c r="V951" i="10"/>
  <c r="V952" i="10"/>
  <c r="V953" i="10"/>
  <c r="V954" i="10"/>
  <c r="V955" i="10"/>
  <c r="V956" i="10"/>
  <c r="V957" i="10"/>
  <c r="V958" i="10"/>
  <c r="V959" i="10"/>
  <c r="V960" i="10"/>
  <c r="V961" i="10"/>
  <c r="V962" i="10"/>
  <c r="V963" i="10"/>
  <c r="V964" i="10"/>
  <c r="V965" i="10"/>
  <c r="V966" i="10"/>
  <c r="V967" i="10"/>
  <c r="V968" i="10"/>
  <c r="V969" i="10"/>
  <c r="V970" i="10"/>
  <c r="V971" i="10"/>
  <c r="V972" i="10"/>
  <c r="V973" i="10"/>
  <c r="V974" i="10"/>
  <c r="V975" i="10"/>
  <c r="V976" i="10"/>
  <c r="V977" i="10"/>
  <c r="V978" i="10"/>
  <c r="V979" i="10"/>
  <c r="V980" i="10"/>
  <c r="V981" i="10"/>
  <c r="V982" i="10"/>
  <c r="V983" i="10"/>
  <c r="V984" i="10"/>
  <c r="V985" i="10"/>
  <c r="V986" i="10"/>
  <c r="V987" i="10"/>
  <c r="V988" i="10"/>
  <c r="V989" i="10"/>
  <c r="V990" i="10"/>
  <c r="V991" i="10"/>
  <c r="V992" i="10"/>
  <c r="V993" i="10"/>
  <c r="V994" i="10"/>
  <c r="V995" i="10"/>
  <c r="V996" i="10"/>
  <c r="V997" i="10"/>
  <c r="V998" i="10"/>
  <c r="V999" i="10"/>
  <c r="V1000" i="10"/>
  <c r="V1001" i="10"/>
  <c r="V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2" i="10"/>
  <c r="K1001" i="10"/>
  <c r="G1001" i="10"/>
  <c r="J1001" i="10" s="1"/>
  <c r="F1001" i="10"/>
  <c r="I1001" i="10" s="1"/>
  <c r="E1001" i="10"/>
  <c r="H1001" i="10" s="1"/>
  <c r="D1001" i="10"/>
  <c r="K1000" i="10"/>
  <c r="G1000" i="10"/>
  <c r="J1000" i="10" s="1"/>
  <c r="F1000" i="10"/>
  <c r="I1000" i="10" s="1"/>
  <c r="E1000" i="10"/>
  <c r="H1000" i="10" s="1"/>
  <c r="D1000" i="10"/>
  <c r="K999" i="10"/>
  <c r="G999" i="10"/>
  <c r="J999" i="10" s="1"/>
  <c r="F999" i="10"/>
  <c r="I999" i="10" s="1"/>
  <c r="E999" i="10"/>
  <c r="H999" i="10" s="1"/>
  <c r="D999" i="10"/>
  <c r="G998" i="10"/>
  <c r="J998" i="10" s="1"/>
  <c r="K998" i="10" s="1"/>
  <c r="F998" i="10"/>
  <c r="I998" i="10" s="1"/>
  <c r="E998" i="10"/>
  <c r="H998" i="10" s="1"/>
  <c r="D998" i="10"/>
  <c r="K997" i="10"/>
  <c r="G997" i="10"/>
  <c r="J997" i="10" s="1"/>
  <c r="F997" i="10"/>
  <c r="I997" i="10" s="1"/>
  <c r="E997" i="10"/>
  <c r="H997" i="10" s="1"/>
  <c r="D997" i="10"/>
  <c r="K996" i="10"/>
  <c r="G996" i="10"/>
  <c r="J996" i="10" s="1"/>
  <c r="F996" i="10"/>
  <c r="I996" i="10" s="1"/>
  <c r="E996" i="10"/>
  <c r="H996" i="10" s="1"/>
  <c r="D996" i="10"/>
  <c r="K995" i="10"/>
  <c r="G995" i="10"/>
  <c r="J995" i="10" s="1"/>
  <c r="F995" i="10"/>
  <c r="I995" i="10" s="1"/>
  <c r="E995" i="10"/>
  <c r="H995" i="10" s="1"/>
  <c r="D995" i="10"/>
  <c r="G994" i="10"/>
  <c r="J994" i="10" s="1"/>
  <c r="K994" i="10" s="1"/>
  <c r="F994" i="10"/>
  <c r="I994" i="10" s="1"/>
  <c r="E994" i="10"/>
  <c r="H994" i="10" s="1"/>
  <c r="D994" i="10"/>
  <c r="K993" i="10"/>
  <c r="G993" i="10"/>
  <c r="J993" i="10" s="1"/>
  <c r="F993" i="10"/>
  <c r="I993" i="10" s="1"/>
  <c r="E993" i="10"/>
  <c r="H993" i="10" s="1"/>
  <c r="D993" i="10"/>
  <c r="G992" i="10"/>
  <c r="J992" i="10" s="1"/>
  <c r="K992" i="10" s="1"/>
  <c r="F992" i="10"/>
  <c r="I992" i="10" s="1"/>
  <c r="E992" i="10"/>
  <c r="H992" i="10" s="1"/>
  <c r="D992" i="10"/>
  <c r="K991" i="10"/>
  <c r="G991" i="10"/>
  <c r="J991" i="10" s="1"/>
  <c r="F991" i="10"/>
  <c r="I991" i="10" s="1"/>
  <c r="E991" i="10"/>
  <c r="H991" i="10" s="1"/>
  <c r="D991" i="10"/>
  <c r="G990" i="10"/>
  <c r="J990" i="10" s="1"/>
  <c r="K990" i="10" s="1"/>
  <c r="F990" i="10"/>
  <c r="I990" i="10" s="1"/>
  <c r="E990" i="10"/>
  <c r="H990" i="10" s="1"/>
  <c r="D990" i="10"/>
  <c r="K989" i="10"/>
  <c r="G989" i="10"/>
  <c r="J989" i="10" s="1"/>
  <c r="F989" i="10"/>
  <c r="I989" i="10" s="1"/>
  <c r="E989" i="10"/>
  <c r="H989" i="10" s="1"/>
  <c r="D989" i="10"/>
  <c r="G988" i="10"/>
  <c r="J988" i="10" s="1"/>
  <c r="K988" i="10" s="1"/>
  <c r="F988" i="10"/>
  <c r="I988" i="10" s="1"/>
  <c r="E988" i="10"/>
  <c r="H988" i="10" s="1"/>
  <c r="D988" i="10"/>
  <c r="K987" i="10"/>
  <c r="G987" i="10"/>
  <c r="J987" i="10" s="1"/>
  <c r="F987" i="10"/>
  <c r="I987" i="10" s="1"/>
  <c r="E987" i="10"/>
  <c r="H987" i="10" s="1"/>
  <c r="D987" i="10"/>
  <c r="G986" i="10"/>
  <c r="J986" i="10" s="1"/>
  <c r="K986" i="10" s="1"/>
  <c r="F986" i="10"/>
  <c r="I986" i="10" s="1"/>
  <c r="E986" i="10"/>
  <c r="H986" i="10" s="1"/>
  <c r="D986" i="10"/>
  <c r="K985" i="10"/>
  <c r="H985" i="10"/>
  <c r="G985" i="10"/>
  <c r="J985" i="10" s="1"/>
  <c r="F985" i="10"/>
  <c r="I985" i="10" s="1"/>
  <c r="E985" i="10"/>
  <c r="D985" i="10"/>
  <c r="H984" i="10"/>
  <c r="G984" i="10"/>
  <c r="J984" i="10" s="1"/>
  <c r="K984" i="10" s="1"/>
  <c r="F984" i="10"/>
  <c r="I984" i="10" s="1"/>
  <c r="E984" i="10"/>
  <c r="D984" i="10"/>
  <c r="K983" i="10"/>
  <c r="H983" i="10"/>
  <c r="G983" i="10"/>
  <c r="J983" i="10" s="1"/>
  <c r="F983" i="10"/>
  <c r="I983" i="10" s="1"/>
  <c r="E983" i="10"/>
  <c r="D983" i="10"/>
  <c r="H982" i="10"/>
  <c r="G982" i="10"/>
  <c r="J982" i="10" s="1"/>
  <c r="K982" i="10" s="1"/>
  <c r="F982" i="10"/>
  <c r="I982" i="10" s="1"/>
  <c r="E982" i="10"/>
  <c r="D982" i="10"/>
  <c r="K981" i="10"/>
  <c r="H981" i="10"/>
  <c r="G981" i="10"/>
  <c r="J981" i="10" s="1"/>
  <c r="F981" i="10"/>
  <c r="I981" i="10" s="1"/>
  <c r="E981" i="10"/>
  <c r="D981" i="10"/>
  <c r="H980" i="10"/>
  <c r="G980" i="10"/>
  <c r="J980" i="10" s="1"/>
  <c r="K980" i="10" s="1"/>
  <c r="F980" i="10"/>
  <c r="I980" i="10" s="1"/>
  <c r="E980" i="10"/>
  <c r="D980" i="10"/>
  <c r="K979" i="10"/>
  <c r="H979" i="10"/>
  <c r="G979" i="10"/>
  <c r="J979" i="10" s="1"/>
  <c r="F979" i="10"/>
  <c r="I979" i="10" s="1"/>
  <c r="E979" i="10"/>
  <c r="D979" i="10"/>
  <c r="H978" i="10"/>
  <c r="G978" i="10"/>
  <c r="J978" i="10" s="1"/>
  <c r="K978" i="10" s="1"/>
  <c r="F978" i="10"/>
  <c r="I978" i="10" s="1"/>
  <c r="E978" i="10"/>
  <c r="D978" i="10"/>
  <c r="K977" i="10"/>
  <c r="H977" i="10"/>
  <c r="G977" i="10"/>
  <c r="J977" i="10" s="1"/>
  <c r="F977" i="10"/>
  <c r="I977" i="10" s="1"/>
  <c r="E977" i="10"/>
  <c r="D977" i="10"/>
  <c r="H976" i="10"/>
  <c r="G976" i="10"/>
  <c r="J976" i="10" s="1"/>
  <c r="K976" i="10" s="1"/>
  <c r="F976" i="10"/>
  <c r="I976" i="10" s="1"/>
  <c r="E976" i="10"/>
  <c r="D976" i="10"/>
  <c r="K975" i="10"/>
  <c r="H975" i="10"/>
  <c r="G975" i="10"/>
  <c r="J975" i="10" s="1"/>
  <c r="F975" i="10"/>
  <c r="I975" i="10" s="1"/>
  <c r="E975" i="10"/>
  <c r="D975" i="10"/>
  <c r="H974" i="10"/>
  <c r="G974" i="10"/>
  <c r="J974" i="10" s="1"/>
  <c r="K974" i="10" s="1"/>
  <c r="F974" i="10"/>
  <c r="I974" i="10" s="1"/>
  <c r="E974" i="10"/>
  <c r="D974" i="10"/>
  <c r="K973" i="10"/>
  <c r="H973" i="10"/>
  <c r="G973" i="10"/>
  <c r="J973" i="10" s="1"/>
  <c r="F973" i="10"/>
  <c r="I973" i="10" s="1"/>
  <c r="E973" i="10"/>
  <c r="D973" i="10"/>
  <c r="H972" i="10"/>
  <c r="G972" i="10"/>
  <c r="J972" i="10" s="1"/>
  <c r="K972" i="10" s="1"/>
  <c r="F972" i="10"/>
  <c r="I972" i="10" s="1"/>
  <c r="E972" i="10"/>
  <c r="D972" i="10"/>
  <c r="K971" i="10"/>
  <c r="H971" i="10"/>
  <c r="G971" i="10"/>
  <c r="J971" i="10" s="1"/>
  <c r="F971" i="10"/>
  <c r="I971" i="10" s="1"/>
  <c r="E971" i="10"/>
  <c r="D971" i="10"/>
  <c r="H970" i="10"/>
  <c r="G970" i="10"/>
  <c r="J970" i="10" s="1"/>
  <c r="K970" i="10" s="1"/>
  <c r="F970" i="10"/>
  <c r="I970" i="10" s="1"/>
  <c r="E970" i="10"/>
  <c r="D970" i="10"/>
  <c r="K969" i="10"/>
  <c r="H969" i="10"/>
  <c r="G969" i="10"/>
  <c r="J969" i="10" s="1"/>
  <c r="F969" i="10"/>
  <c r="I969" i="10" s="1"/>
  <c r="E969" i="10"/>
  <c r="D969" i="10"/>
  <c r="H968" i="10"/>
  <c r="G968" i="10"/>
  <c r="J968" i="10" s="1"/>
  <c r="K968" i="10" s="1"/>
  <c r="F968" i="10"/>
  <c r="I968" i="10" s="1"/>
  <c r="E968" i="10"/>
  <c r="D968" i="10"/>
  <c r="K967" i="10"/>
  <c r="H967" i="10"/>
  <c r="G967" i="10"/>
  <c r="J967" i="10" s="1"/>
  <c r="F967" i="10"/>
  <c r="I967" i="10" s="1"/>
  <c r="E967" i="10"/>
  <c r="D967" i="10"/>
  <c r="H966" i="10"/>
  <c r="G966" i="10"/>
  <c r="J966" i="10" s="1"/>
  <c r="K966" i="10" s="1"/>
  <c r="F966" i="10"/>
  <c r="I966" i="10" s="1"/>
  <c r="E966" i="10"/>
  <c r="D966" i="10"/>
  <c r="K965" i="10"/>
  <c r="H965" i="10"/>
  <c r="G965" i="10"/>
  <c r="J965" i="10" s="1"/>
  <c r="F965" i="10"/>
  <c r="I965" i="10" s="1"/>
  <c r="E965" i="10"/>
  <c r="D965" i="10"/>
  <c r="H964" i="10"/>
  <c r="G964" i="10"/>
  <c r="J964" i="10" s="1"/>
  <c r="K964" i="10" s="1"/>
  <c r="F964" i="10"/>
  <c r="I964" i="10" s="1"/>
  <c r="E964" i="10"/>
  <c r="D964" i="10"/>
  <c r="K963" i="10"/>
  <c r="H963" i="10"/>
  <c r="G963" i="10"/>
  <c r="J963" i="10" s="1"/>
  <c r="F963" i="10"/>
  <c r="I963" i="10" s="1"/>
  <c r="E963" i="10"/>
  <c r="D963" i="10"/>
  <c r="H962" i="10"/>
  <c r="G962" i="10"/>
  <c r="J962" i="10" s="1"/>
  <c r="K962" i="10" s="1"/>
  <c r="F962" i="10"/>
  <c r="I962" i="10" s="1"/>
  <c r="E962" i="10"/>
  <c r="D962" i="10"/>
  <c r="K961" i="10"/>
  <c r="H961" i="10"/>
  <c r="G961" i="10"/>
  <c r="J961" i="10" s="1"/>
  <c r="F961" i="10"/>
  <c r="I961" i="10" s="1"/>
  <c r="E961" i="10"/>
  <c r="D961" i="10"/>
  <c r="H960" i="10"/>
  <c r="G960" i="10"/>
  <c r="J960" i="10" s="1"/>
  <c r="K960" i="10" s="1"/>
  <c r="F960" i="10"/>
  <c r="I960" i="10" s="1"/>
  <c r="E960" i="10"/>
  <c r="D960" i="10"/>
  <c r="K959" i="10"/>
  <c r="H959" i="10"/>
  <c r="G959" i="10"/>
  <c r="J959" i="10" s="1"/>
  <c r="F959" i="10"/>
  <c r="I959" i="10" s="1"/>
  <c r="E959" i="10"/>
  <c r="D959" i="10"/>
  <c r="H958" i="10"/>
  <c r="G958" i="10"/>
  <c r="J958" i="10" s="1"/>
  <c r="K958" i="10" s="1"/>
  <c r="F958" i="10"/>
  <c r="I958" i="10" s="1"/>
  <c r="E958" i="10"/>
  <c r="D958" i="10"/>
  <c r="K957" i="10"/>
  <c r="H957" i="10"/>
  <c r="G957" i="10"/>
  <c r="J957" i="10" s="1"/>
  <c r="F957" i="10"/>
  <c r="I957" i="10" s="1"/>
  <c r="E957" i="10"/>
  <c r="D957" i="10"/>
  <c r="H956" i="10"/>
  <c r="G956" i="10"/>
  <c r="J956" i="10" s="1"/>
  <c r="K956" i="10" s="1"/>
  <c r="F956" i="10"/>
  <c r="I956" i="10" s="1"/>
  <c r="E956" i="10"/>
  <c r="D956" i="10"/>
  <c r="K955" i="10"/>
  <c r="H955" i="10"/>
  <c r="G955" i="10"/>
  <c r="J955" i="10" s="1"/>
  <c r="F955" i="10"/>
  <c r="I955" i="10" s="1"/>
  <c r="E955" i="10"/>
  <c r="D955" i="10"/>
  <c r="H954" i="10"/>
  <c r="G954" i="10"/>
  <c r="J954" i="10" s="1"/>
  <c r="K954" i="10" s="1"/>
  <c r="F954" i="10"/>
  <c r="I954" i="10" s="1"/>
  <c r="E954" i="10"/>
  <c r="D954" i="10"/>
  <c r="K953" i="10"/>
  <c r="H953" i="10"/>
  <c r="G953" i="10"/>
  <c r="J953" i="10" s="1"/>
  <c r="F953" i="10"/>
  <c r="I953" i="10" s="1"/>
  <c r="E953" i="10"/>
  <c r="D953" i="10"/>
  <c r="H952" i="10"/>
  <c r="G952" i="10"/>
  <c r="J952" i="10" s="1"/>
  <c r="K952" i="10" s="1"/>
  <c r="F952" i="10"/>
  <c r="I952" i="10" s="1"/>
  <c r="E952" i="10"/>
  <c r="D952" i="10"/>
  <c r="K951" i="10"/>
  <c r="H951" i="10"/>
  <c r="G951" i="10"/>
  <c r="J951" i="10" s="1"/>
  <c r="F951" i="10"/>
  <c r="I951" i="10" s="1"/>
  <c r="E951" i="10"/>
  <c r="D951" i="10"/>
  <c r="H950" i="10"/>
  <c r="G950" i="10"/>
  <c r="J950" i="10" s="1"/>
  <c r="K950" i="10" s="1"/>
  <c r="F950" i="10"/>
  <c r="I950" i="10" s="1"/>
  <c r="E950" i="10"/>
  <c r="D950" i="10"/>
  <c r="H949" i="10"/>
  <c r="G949" i="10"/>
  <c r="J949" i="10" s="1"/>
  <c r="K949" i="10" s="1"/>
  <c r="F949" i="10"/>
  <c r="I949" i="10" s="1"/>
  <c r="E949" i="10"/>
  <c r="D949" i="10"/>
  <c r="H948" i="10"/>
  <c r="G948" i="10"/>
  <c r="F948" i="10"/>
  <c r="E948" i="10"/>
  <c r="D948" i="10"/>
  <c r="J947" i="10"/>
  <c r="K947" i="10" s="1"/>
  <c r="H947" i="10"/>
  <c r="G947" i="10"/>
  <c r="F947" i="10"/>
  <c r="I947" i="10" s="1"/>
  <c r="E947" i="10"/>
  <c r="D947" i="10"/>
  <c r="H946" i="10"/>
  <c r="G946" i="10"/>
  <c r="J946" i="10" s="1"/>
  <c r="K946" i="10" s="1"/>
  <c r="F946" i="10"/>
  <c r="I946" i="10" s="1"/>
  <c r="E946" i="10"/>
  <c r="D946" i="10"/>
  <c r="H945" i="10"/>
  <c r="G945" i="10"/>
  <c r="J945" i="10" s="1"/>
  <c r="K945" i="10" s="1"/>
  <c r="F945" i="10"/>
  <c r="I945" i="10" s="1"/>
  <c r="E945" i="10"/>
  <c r="D945" i="10"/>
  <c r="H944" i="10"/>
  <c r="G944" i="10"/>
  <c r="F944" i="10"/>
  <c r="E944" i="10"/>
  <c r="D944" i="10"/>
  <c r="J943" i="10"/>
  <c r="K943" i="10" s="1"/>
  <c r="H943" i="10"/>
  <c r="G943" i="10"/>
  <c r="F943" i="10"/>
  <c r="I943" i="10" s="1"/>
  <c r="E943" i="10"/>
  <c r="D943" i="10"/>
  <c r="H942" i="10"/>
  <c r="G942" i="10"/>
  <c r="J942" i="10" s="1"/>
  <c r="K942" i="10" s="1"/>
  <c r="F942" i="10"/>
  <c r="I942" i="10" s="1"/>
  <c r="E942" i="10"/>
  <c r="D942" i="10"/>
  <c r="H941" i="10"/>
  <c r="G941" i="10"/>
  <c r="J941" i="10" s="1"/>
  <c r="K941" i="10" s="1"/>
  <c r="F941" i="10"/>
  <c r="I941" i="10" s="1"/>
  <c r="E941" i="10"/>
  <c r="D941" i="10"/>
  <c r="H940" i="10"/>
  <c r="G940" i="10"/>
  <c r="F940" i="10"/>
  <c r="E940" i="10"/>
  <c r="D940" i="10"/>
  <c r="J939" i="10"/>
  <c r="K939" i="10" s="1"/>
  <c r="H939" i="10"/>
  <c r="G939" i="10"/>
  <c r="F939" i="10"/>
  <c r="I939" i="10" s="1"/>
  <c r="E939" i="10"/>
  <c r="D939" i="10"/>
  <c r="H938" i="10"/>
  <c r="F938" i="10"/>
  <c r="I938" i="10" s="1"/>
  <c r="E938" i="10"/>
  <c r="D938" i="10"/>
  <c r="G938" i="10" s="1"/>
  <c r="J938" i="10" s="1"/>
  <c r="K938" i="10" s="1"/>
  <c r="H937" i="10"/>
  <c r="G937" i="10"/>
  <c r="J937" i="10" s="1"/>
  <c r="K937" i="10" s="1"/>
  <c r="F937" i="10"/>
  <c r="I937" i="10" s="1"/>
  <c r="E937" i="10"/>
  <c r="D937" i="10"/>
  <c r="H936" i="10"/>
  <c r="F936" i="10"/>
  <c r="I936" i="10" s="1"/>
  <c r="E936" i="10"/>
  <c r="D936" i="10"/>
  <c r="G936" i="10" s="1"/>
  <c r="J935" i="10"/>
  <c r="K935" i="10" s="1"/>
  <c r="H935" i="10"/>
  <c r="G935" i="10"/>
  <c r="F935" i="10"/>
  <c r="I935" i="10" s="1"/>
  <c r="E935" i="10"/>
  <c r="D935" i="10"/>
  <c r="H934" i="10"/>
  <c r="F934" i="10"/>
  <c r="I934" i="10" s="1"/>
  <c r="E934" i="10"/>
  <c r="D934" i="10"/>
  <c r="G934" i="10" s="1"/>
  <c r="J934" i="10" s="1"/>
  <c r="K934" i="10" s="1"/>
  <c r="H933" i="10"/>
  <c r="G933" i="10"/>
  <c r="J933" i="10" s="1"/>
  <c r="K933" i="10" s="1"/>
  <c r="F933" i="10"/>
  <c r="I933" i="10" s="1"/>
  <c r="E933" i="10"/>
  <c r="D933" i="10"/>
  <c r="H932" i="10"/>
  <c r="F932" i="10"/>
  <c r="I932" i="10" s="1"/>
  <c r="E932" i="10"/>
  <c r="D932" i="10"/>
  <c r="G932" i="10" s="1"/>
  <c r="J931" i="10"/>
  <c r="K931" i="10" s="1"/>
  <c r="H931" i="10"/>
  <c r="G931" i="10"/>
  <c r="F931" i="10"/>
  <c r="I931" i="10" s="1"/>
  <c r="E931" i="10"/>
  <c r="D931" i="10"/>
  <c r="H930" i="10"/>
  <c r="F930" i="10"/>
  <c r="I930" i="10" s="1"/>
  <c r="E930" i="10"/>
  <c r="D930" i="10"/>
  <c r="G930" i="10" s="1"/>
  <c r="J930" i="10" s="1"/>
  <c r="K930" i="10" s="1"/>
  <c r="H929" i="10"/>
  <c r="G929" i="10"/>
  <c r="J929" i="10" s="1"/>
  <c r="K929" i="10" s="1"/>
  <c r="F929" i="10"/>
  <c r="I929" i="10" s="1"/>
  <c r="E929" i="10"/>
  <c r="D929" i="10"/>
  <c r="H928" i="10"/>
  <c r="F928" i="10"/>
  <c r="I928" i="10" s="1"/>
  <c r="E928" i="10"/>
  <c r="D928" i="10"/>
  <c r="G928" i="10" s="1"/>
  <c r="J927" i="10"/>
  <c r="K927" i="10" s="1"/>
  <c r="H927" i="10"/>
  <c r="G927" i="10"/>
  <c r="F927" i="10"/>
  <c r="I927" i="10" s="1"/>
  <c r="E927" i="10"/>
  <c r="D927" i="10"/>
  <c r="H926" i="10"/>
  <c r="F926" i="10"/>
  <c r="I926" i="10" s="1"/>
  <c r="E926" i="10"/>
  <c r="D926" i="10"/>
  <c r="G926" i="10" s="1"/>
  <c r="J926" i="10" s="1"/>
  <c r="K926" i="10" s="1"/>
  <c r="H925" i="10"/>
  <c r="G925" i="10"/>
  <c r="J925" i="10" s="1"/>
  <c r="K925" i="10" s="1"/>
  <c r="F925" i="10"/>
  <c r="I925" i="10" s="1"/>
  <c r="E925" i="10"/>
  <c r="D925" i="10"/>
  <c r="H924" i="10"/>
  <c r="F924" i="10"/>
  <c r="I924" i="10" s="1"/>
  <c r="E924" i="10"/>
  <c r="D924" i="10"/>
  <c r="G924" i="10" s="1"/>
  <c r="J923" i="10"/>
  <c r="K923" i="10" s="1"/>
  <c r="H923" i="10"/>
  <c r="G923" i="10"/>
  <c r="F923" i="10"/>
  <c r="I923" i="10" s="1"/>
  <c r="E923" i="10"/>
  <c r="D923" i="10"/>
  <c r="H922" i="10"/>
  <c r="F922" i="10"/>
  <c r="I922" i="10" s="1"/>
  <c r="E922" i="10"/>
  <c r="D922" i="10"/>
  <c r="G922" i="10" s="1"/>
  <c r="J922" i="10" s="1"/>
  <c r="K922" i="10" s="1"/>
  <c r="H921" i="10"/>
  <c r="G921" i="10"/>
  <c r="J921" i="10" s="1"/>
  <c r="K921" i="10" s="1"/>
  <c r="F921" i="10"/>
  <c r="I921" i="10" s="1"/>
  <c r="E921" i="10"/>
  <c r="D921" i="10"/>
  <c r="H920" i="10"/>
  <c r="F920" i="10"/>
  <c r="I920" i="10" s="1"/>
  <c r="E920" i="10"/>
  <c r="D920" i="10"/>
  <c r="G920" i="10" s="1"/>
  <c r="J919" i="10"/>
  <c r="K919" i="10" s="1"/>
  <c r="H919" i="10"/>
  <c r="G919" i="10"/>
  <c r="F919" i="10"/>
  <c r="I919" i="10" s="1"/>
  <c r="E919" i="10"/>
  <c r="D919" i="10"/>
  <c r="H918" i="10"/>
  <c r="F918" i="10"/>
  <c r="I918" i="10" s="1"/>
  <c r="E918" i="10"/>
  <c r="D918" i="10"/>
  <c r="G918" i="10" s="1"/>
  <c r="J918" i="10" s="1"/>
  <c r="K918" i="10" s="1"/>
  <c r="G917" i="10"/>
  <c r="J917" i="10" s="1"/>
  <c r="K917" i="10" s="1"/>
  <c r="F917" i="10"/>
  <c r="I917" i="10" s="1"/>
  <c r="E917" i="10"/>
  <c r="H917" i="10" s="1"/>
  <c r="D917" i="10"/>
  <c r="K916" i="10"/>
  <c r="I916" i="10"/>
  <c r="G916" i="10"/>
  <c r="J916" i="10" s="1"/>
  <c r="F916" i="10"/>
  <c r="E916" i="10"/>
  <c r="H916" i="10" s="1"/>
  <c r="D916" i="10"/>
  <c r="I915" i="10"/>
  <c r="G915" i="10"/>
  <c r="J915" i="10" s="1"/>
  <c r="K915" i="10" s="1"/>
  <c r="F915" i="10"/>
  <c r="E915" i="10"/>
  <c r="H915" i="10" s="1"/>
  <c r="D915" i="10"/>
  <c r="K914" i="10"/>
  <c r="I914" i="10"/>
  <c r="G914" i="10"/>
  <c r="J914" i="10" s="1"/>
  <c r="F914" i="10"/>
  <c r="E914" i="10"/>
  <c r="H914" i="10" s="1"/>
  <c r="D914" i="10"/>
  <c r="I913" i="10"/>
  <c r="G913" i="10"/>
  <c r="J913" i="10" s="1"/>
  <c r="K913" i="10" s="1"/>
  <c r="F913" i="10"/>
  <c r="E913" i="10"/>
  <c r="H913" i="10" s="1"/>
  <c r="D913" i="10"/>
  <c r="K912" i="10"/>
  <c r="I912" i="10"/>
  <c r="G912" i="10"/>
  <c r="J912" i="10" s="1"/>
  <c r="F912" i="10"/>
  <c r="E912" i="10"/>
  <c r="H912" i="10" s="1"/>
  <c r="D912" i="10"/>
  <c r="I911" i="10"/>
  <c r="G911" i="10"/>
  <c r="J911" i="10" s="1"/>
  <c r="K911" i="10" s="1"/>
  <c r="F911" i="10"/>
  <c r="E911" i="10"/>
  <c r="H911" i="10" s="1"/>
  <c r="D911" i="10"/>
  <c r="K910" i="10"/>
  <c r="I910" i="10"/>
  <c r="G910" i="10"/>
  <c r="J910" i="10" s="1"/>
  <c r="F910" i="10"/>
  <c r="E910" i="10"/>
  <c r="H910" i="10" s="1"/>
  <c r="D910" i="10"/>
  <c r="I909" i="10"/>
  <c r="G909" i="10"/>
  <c r="J909" i="10" s="1"/>
  <c r="K909" i="10" s="1"/>
  <c r="F909" i="10"/>
  <c r="E909" i="10"/>
  <c r="H909" i="10" s="1"/>
  <c r="D909" i="10"/>
  <c r="K908" i="10"/>
  <c r="I908" i="10"/>
  <c r="G908" i="10"/>
  <c r="J908" i="10" s="1"/>
  <c r="F908" i="10"/>
  <c r="E908" i="10"/>
  <c r="H908" i="10" s="1"/>
  <c r="D908" i="10"/>
  <c r="I907" i="10"/>
  <c r="G907" i="10"/>
  <c r="J907" i="10" s="1"/>
  <c r="K907" i="10" s="1"/>
  <c r="F907" i="10"/>
  <c r="E907" i="10"/>
  <c r="H907" i="10" s="1"/>
  <c r="D907" i="10"/>
  <c r="K906" i="10"/>
  <c r="I906" i="10"/>
  <c r="G906" i="10"/>
  <c r="J906" i="10" s="1"/>
  <c r="F906" i="10"/>
  <c r="E906" i="10"/>
  <c r="H906" i="10" s="1"/>
  <c r="D906" i="10"/>
  <c r="I905" i="10"/>
  <c r="G905" i="10"/>
  <c r="J905" i="10" s="1"/>
  <c r="K905" i="10" s="1"/>
  <c r="F905" i="10"/>
  <c r="E905" i="10"/>
  <c r="H905" i="10" s="1"/>
  <c r="D905" i="10"/>
  <c r="K904" i="10"/>
  <c r="I904" i="10"/>
  <c r="G904" i="10"/>
  <c r="J904" i="10" s="1"/>
  <c r="F904" i="10"/>
  <c r="E904" i="10"/>
  <c r="H904" i="10" s="1"/>
  <c r="D904" i="10"/>
  <c r="I903" i="10"/>
  <c r="G903" i="10"/>
  <c r="J903" i="10" s="1"/>
  <c r="K903" i="10" s="1"/>
  <c r="F903" i="10"/>
  <c r="E903" i="10"/>
  <c r="H903" i="10" s="1"/>
  <c r="D903" i="10"/>
  <c r="K902" i="10"/>
  <c r="I902" i="10"/>
  <c r="G902" i="10"/>
  <c r="J902" i="10" s="1"/>
  <c r="F902" i="10"/>
  <c r="E902" i="10"/>
  <c r="H902" i="10" s="1"/>
  <c r="D902" i="10"/>
  <c r="I901" i="10"/>
  <c r="G901" i="10"/>
  <c r="J901" i="10" s="1"/>
  <c r="K901" i="10" s="1"/>
  <c r="F901" i="10"/>
  <c r="E901" i="10"/>
  <c r="H901" i="10" s="1"/>
  <c r="D901" i="10"/>
  <c r="K900" i="10"/>
  <c r="I900" i="10"/>
  <c r="G900" i="10"/>
  <c r="J900" i="10" s="1"/>
  <c r="F900" i="10"/>
  <c r="E900" i="10"/>
  <c r="H900" i="10" s="1"/>
  <c r="D900" i="10"/>
  <c r="I899" i="10"/>
  <c r="G899" i="10"/>
  <c r="J899" i="10" s="1"/>
  <c r="K899" i="10" s="1"/>
  <c r="F899" i="10"/>
  <c r="E899" i="10"/>
  <c r="H899" i="10" s="1"/>
  <c r="D899" i="10"/>
  <c r="K898" i="10"/>
  <c r="I898" i="10"/>
  <c r="G898" i="10"/>
  <c r="J898" i="10" s="1"/>
  <c r="F898" i="10"/>
  <c r="E898" i="10"/>
  <c r="H898" i="10" s="1"/>
  <c r="D898" i="10"/>
  <c r="I897" i="10"/>
  <c r="G897" i="10"/>
  <c r="J897" i="10" s="1"/>
  <c r="K897" i="10" s="1"/>
  <c r="F897" i="10"/>
  <c r="E897" i="10"/>
  <c r="H897" i="10" s="1"/>
  <c r="D897" i="10"/>
  <c r="K896" i="10"/>
  <c r="I896" i="10"/>
  <c r="G896" i="10"/>
  <c r="J896" i="10" s="1"/>
  <c r="F896" i="10"/>
  <c r="E896" i="10"/>
  <c r="H896" i="10" s="1"/>
  <c r="D896" i="10"/>
  <c r="I895" i="10"/>
  <c r="G895" i="10"/>
  <c r="J895" i="10" s="1"/>
  <c r="K895" i="10" s="1"/>
  <c r="F895" i="10"/>
  <c r="E895" i="10"/>
  <c r="H895" i="10" s="1"/>
  <c r="D895" i="10"/>
  <c r="K894" i="10"/>
  <c r="I894" i="10"/>
  <c r="G894" i="10"/>
  <c r="J894" i="10" s="1"/>
  <c r="F894" i="10"/>
  <c r="E894" i="10"/>
  <c r="H894" i="10" s="1"/>
  <c r="D894" i="10"/>
  <c r="G893" i="10"/>
  <c r="J893" i="10" s="1"/>
  <c r="K893" i="10" s="1"/>
  <c r="F893" i="10"/>
  <c r="I893" i="10" s="1"/>
  <c r="E893" i="10"/>
  <c r="H893" i="10" s="1"/>
  <c r="D893" i="10"/>
  <c r="K892" i="10"/>
  <c r="G892" i="10"/>
  <c r="J892" i="10" s="1"/>
  <c r="F892" i="10"/>
  <c r="I892" i="10" s="1"/>
  <c r="E892" i="10"/>
  <c r="H892" i="10" s="1"/>
  <c r="D892" i="10"/>
  <c r="K891" i="10"/>
  <c r="G891" i="10"/>
  <c r="J891" i="10" s="1"/>
  <c r="F891" i="10"/>
  <c r="I891" i="10" s="1"/>
  <c r="E891" i="10"/>
  <c r="H891" i="10" s="1"/>
  <c r="D891" i="10"/>
  <c r="G890" i="10"/>
  <c r="J890" i="10" s="1"/>
  <c r="K890" i="10" s="1"/>
  <c r="F890" i="10"/>
  <c r="I890" i="10" s="1"/>
  <c r="E890" i="10"/>
  <c r="H890" i="10" s="1"/>
  <c r="D890" i="10"/>
  <c r="G889" i="10"/>
  <c r="J889" i="10" s="1"/>
  <c r="K889" i="10" s="1"/>
  <c r="F889" i="10"/>
  <c r="I889" i="10" s="1"/>
  <c r="E889" i="10"/>
  <c r="H889" i="10" s="1"/>
  <c r="D889" i="10"/>
  <c r="K888" i="10"/>
  <c r="G888" i="10"/>
  <c r="J888" i="10" s="1"/>
  <c r="F888" i="10"/>
  <c r="I888" i="10" s="1"/>
  <c r="E888" i="10"/>
  <c r="H888" i="10" s="1"/>
  <c r="D888" i="10"/>
  <c r="K887" i="10"/>
  <c r="G887" i="10"/>
  <c r="J887" i="10" s="1"/>
  <c r="F887" i="10"/>
  <c r="I887" i="10" s="1"/>
  <c r="E887" i="10"/>
  <c r="H887" i="10" s="1"/>
  <c r="D887" i="10"/>
  <c r="G886" i="10"/>
  <c r="J886" i="10" s="1"/>
  <c r="K886" i="10" s="1"/>
  <c r="F886" i="10"/>
  <c r="I886" i="10" s="1"/>
  <c r="E886" i="10"/>
  <c r="H886" i="10" s="1"/>
  <c r="D886" i="10"/>
  <c r="G885" i="10"/>
  <c r="J885" i="10" s="1"/>
  <c r="K885" i="10" s="1"/>
  <c r="F885" i="10"/>
  <c r="I885" i="10" s="1"/>
  <c r="E885" i="10"/>
  <c r="H885" i="10" s="1"/>
  <c r="D885" i="10"/>
  <c r="K884" i="10"/>
  <c r="G884" i="10"/>
  <c r="J884" i="10" s="1"/>
  <c r="F884" i="10"/>
  <c r="I884" i="10" s="1"/>
  <c r="E884" i="10"/>
  <c r="H884" i="10" s="1"/>
  <c r="D884" i="10"/>
  <c r="K883" i="10"/>
  <c r="G883" i="10"/>
  <c r="J883" i="10" s="1"/>
  <c r="F883" i="10"/>
  <c r="I883" i="10" s="1"/>
  <c r="E883" i="10"/>
  <c r="H883" i="10" s="1"/>
  <c r="D883" i="10"/>
  <c r="G882" i="10"/>
  <c r="J882" i="10" s="1"/>
  <c r="K882" i="10" s="1"/>
  <c r="F882" i="10"/>
  <c r="I882" i="10" s="1"/>
  <c r="E882" i="10"/>
  <c r="H882" i="10" s="1"/>
  <c r="D882" i="10"/>
  <c r="G881" i="10"/>
  <c r="J881" i="10" s="1"/>
  <c r="K881" i="10" s="1"/>
  <c r="F881" i="10"/>
  <c r="I881" i="10" s="1"/>
  <c r="E881" i="10"/>
  <c r="H881" i="10" s="1"/>
  <c r="D881" i="10"/>
  <c r="K880" i="10"/>
  <c r="G880" i="10"/>
  <c r="J880" i="10" s="1"/>
  <c r="F880" i="10"/>
  <c r="I880" i="10" s="1"/>
  <c r="E880" i="10"/>
  <c r="H880" i="10" s="1"/>
  <c r="D880" i="10"/>
  <c r="K879" i="10"/>
  <c r="G879" i="10"/>
  <c r="J879" i="10" s="1"/>
  <c r="F879" i="10"/>
  <c r="I879" i="10" s="1"/>
  <c r="E879" i="10"/>
  <c r="H879" i="10" s="1"/>
  <c r="D879" i="10"/>
  <c r="G878" i="10"/>
  <c r="J878" i="10" s="1"/>
  <c r="K878" i="10" s="1"/>
  <c r="F878" i="10"/>
  <c r="I878" i="10" s="1"/>
  <c r="E878" i="10"/>
  <c r="H878" i="10" s="1"/>
  <c r="D878" i="10"/>
  <c r="G877" i="10"/>
  <c r="J877" i="10" s="1"/>
  <c r="K877" i="10" s="1"/>
  <c r="F877" i="10"/>
  <c r="I877" i="10" s="1"/>
  <c r="E877" i="10"/>
  <c r="H877" i="10" s="1"/>
  <c r="D877" i="10"/>
  <c r="K876" i="10"/>
  <c r="G876" i="10"/>
  <c r="J876" i="10" s="1"/>
  <c r="F876" i="10"/>
  <c r="I876" i="10" s="1"/>
  <c r="E876" i="10"/>
  <c r="H876" i="10" s="1"/>
  <c r="D876" i="10"/>
  <c r="K875" i="10"/>
  <c r="G875" i="10"/>
  <c r="J875" i="10" s="1"/>
  <c r="F875" i="10"/>
  <c r="I875" i="10" s="1"/>
  <c r="E875" i="10"/>
  <c r="H875" i="10" s="1"/>
  <c r="D875" i="10"/>
  <c r="G874" i="10"/>
  <c r="J874" i="10" s="1"/>
  <c r="K874" i="10" s="1"/>
  <c r="F874" i="10"/>
  <c r="I874" i="10" s="1"/>
  <c r="E874" i="10"/>
  <c r="H874" i="10" s="1"/>
  <c r="D874" i="10"/>
  <c r="G873" i="10"/>
  <c r="J873" i="10" s="1"/>
  <c r="K873" i="10" s="1"/>
  <c r="F873" i="10"/>
  <c r="I873" i="10" s="1"/>
  <c r="E873" i="10"/>
  <c r="H873" i="10" s="1"/>
  <c r="D873" i="10"/>
  <c r="K872" i="10"/>
  <c r="G872" i="10"/>
  <c r="J872" i="10" s="1"/>
  <c r="F872" i="10"/>
  <c r="I872" i="10" s="1"/>
  <c r="E872" i="10"/>
  <c r="H872" i="10" s="1"/>
  <c r="D872" i="10"/>
  <c r="K871" i="10"/>
  <c r="G871" i="10"/>
  <c r="J871" i="10" s="1"/>
  <c r="F871" i="10"/>
  <c r="I871" i="10" s="1"/>
  <c r="E871" i="10"/>
  <c r="H871" i="10" s="1"/>
  <c r="D871" i="10"/>
  <c r="G870" i="10"/>
  <c r="J870" i="10" s="1"/>
  <c r="K870" i="10" s="1"/>
  <c r="F870" i="10"/>
  <c r="I870" i="10" s="1"/>
  <c r="E870" i="10"/>
  <c r="H870" i="10" s="1"/>
  <c r="D870" i="10"/>
  <c r="H869" i="10"/>
  <c r="G869" i="10"/>
  <c r="J869" i="10" s="1"/>
  <c r="K869" i="10" s="1"/>
  <c r="F869" i="10"/>
  <c r="I869" i="10" s="1"/>
  <c r="E869" i="10"/>
  <c r="D869" i="10"/>
  <c r="K868" i="10"/>
  <c r="H868" i="10"/>
  <c r="G868" i="10"/>
  <c r="J868" i="10" s="1"/>
  <c r="F868" i="10"/>
  <c r="I868" i="10" s="1"/>
  <c r="E868" i="10"/>
  <c r="D868" i="10"/>
  <c r="K867" i="10"/>
  <c r="I867" i="10"/>
  <c r="H867" i="10"/>
  <c r="G867" i="10"/>
  <c r="J867" i="10" s="1"/>
  <c r="F867" i="10"/>
  <c r="E867" i="10"/>
  <c r="D867" i="10"/>
  <c r="I866" i="10"/>
  <c r="H866" i="10"/>
  <c r="G866" i="10"/>
  <c r="J866" i="10" s="1"/>
  <c r="K866" i="10" s="1"/>
  <c r="F866" i="10"/>
  <c r="E866" i="10"/>
  <c r="D866" i="10"/>
  <c r="K865" i="10"/>
  <c r="H865" i="10"/>
  <c r="G865" i="10"/>
  <c r="J865" i="10" s="1"/>
  <c r="F865" i="10"/>
  <c r="I865" i="10" s="1"/>
  <c r="E865" i="10"/>
  <c r="D865" i="10"/>
  <c r="G864" i="10"/>
  <c r="J864" i="10" s="1"/>
  <c r="K864" i="10" s="1"/>
  <c r="F864" i="10"/>
  <c r="I864" i="10" s="1"/>
  <c r="E864" i="10"/>
  <c r="H864" i="10" s="1"/>
  <c r="D864" i="10"/>
  <c r="K863" i="10"/>
  <c r="G863" i="10"/>
  <c r="J863" i="10" s="1"/>
  <c r="F863" i="10"/>
  <c r="I863" i="10" s="1"/>
  <c r="E863" i="10"/>
  <c r="H863" i="10" s="1"/>
  <c r="D863" i="10"/>
  <c r="K862" i="10"/>
  <c r="G862" i="10"/>
  <c r="J862" i="10" s="1"/>
  <c r="F862" i="10"/>
  <c r="I862" i="10" s="1"/>
  <c r="E862" i="10"/>
  <c r="H862" i="10" s="1"/>
  <c r="D862" i="10"/>
  <c r="G861" i="10"/>
  <c r="J861" i="10" s="1"/>
  <c r="K861" i="10" s="1"/>
  <c r="F861" i="10"/>
  <c r="I861" i="10" s="1"/>
  <c r="E861" i="10"/>
  <c r="H861" i="10" s="1"/>
  <c r="D861" i="10"/>
  <c r="G860" i="10"/>
  <c r="J860" i="10" s="1"/>
  <c r="K860" i="10" s="1"/>
  <c r="F860" i="10"/>
  <c r="I860" i="10" s="1"/>
  <c r="E860" i="10"/>
  <c r="H860" i="10" s="1"/>
  <c r="D860" i="10"/>
  <c r="K859" i="10"/>
  <c r="G859" i="10"/>
  <c r="J859" i="10" s="1"/>
  <c r="F859" i="10"/>
  <c r="I859" i="10" s="1"/>
  <c r="E859" i="10"/>
  <c r="H859" i="10" s="1"/>
  <c r="D859" i="10"/>
  <c r="K858" i="10"/>
  <c r="G858" i="10"/>
  <c r="J858" i="10" s="1"/>
  <c r="F858" i="10"/>
  <c r="I858" i="10" s="1"/>
  <c r="E858" i="10"/>
  <c r="H858" i="10" s="1"/>
  <c r="D858" i="10"/>
  <c r="F857" i="10"/>
  <c r="I857" i="10" s="1"/>
  <c r="E857" i="10"/>
  <c r="D857" i="10"/>
  <c r="I856" i="10"/>
  <c r="F856" i="10"/>
  <c r="E856" i="10"/>
  <c r="D856" i="10"/>
  <c r="F855" i="10"/>
  <c r="I855" i="10" s="1"/>
  <c r="E855" i="10"/>
  <c r="D855" i="10"/>
  <c r="I854" i="10"/>
  <c r="F854" i="10"/>
  <c r="E854" i="10"/>
  <c r="D854" i="10"/>
  <c r="F853" i="10"/>
  <c r="I853" i="10" s="1"/>
  <c r="E853" i="10"/>
  <c r="D853" i="10"/>
  <c r="I852" i="10"/>
  <c r="F852" i="10"/>
  <c r="E852" i="10"/>
  <c r="D852" i="10"/>
  <c r="F851" i="10"/>
  <c r="I851" i="10" s="1"/>
  <c r="E851" i="10"/>
  <c r="D851" i="10"/>
  <c r="I850" i="10"/>
  <c r="F850" i="10"/>
  <c r="E850" i="10"/>
  <c r="D850" i="10"/>
  <c r="F849" i="10"/>
  <c r="I849" i="10" s="1"/>
  <c r="E849" i="10"/>
  <c r="D849" i="10"/>
  <c r="I848" i="10"/>
  <c r="F848" i="10"/>
  <c r="E848" i="10"/>
  <c r="D848" i="10"/>
  <c r="F847" i="10"/>
  <c r="I847" i="10" s="1"/>
  <c r="E847" i="10"/>
  <c r="D847" i="10"/>
  <c r="I846" i="10"/>
  <c r="F846" i="10"/>
  <c r="E846" i="10"/>
  <c r="D846" i="10"/>
  <c r="F845" i="10"/>
  <c r="I845" i="10" s="1"/>
  <c r="E845" i="10"/>
  <c r="D845" i="10"/>
  <c r="I844" i="10"/>
  <c r="F844" i="10"/>
  <c r="E844" i="10"/>
  <c r="D844" i="10"/>
  <c r="F843" i="10"/>
  <c r="I843" i="10" s="1"/>
  <c r="E843" i="10"/>
  <c r="D843" i="10"/>
  <c r="I842" i="10"/>
  <c r="F842" i="10"/>
  <c r="E842" i="10"/>
  <c r="D842" i="10"/>
  <c r="F841" i="10"/>
  <c r="I841" i="10" s="1"/>
  <c r="E841" i="10"/>
  <c r="D841" i="10"/>
  <c r="I840" i="10"/>
  <c r="F840" i="10"/>
  <c r="E840" i="10"/>
  <c r="D840" i="10"/>
  <c r="F839" i="10"/>
  <c r="I839" i="10" s="1"/>
  <c r="E839" i="10"/>
  <c r="D839" i="10"/>
  <c r="I838" i="10"/>
  <c r="F838" i="10"/>
  <c r="E838" i="10"/>
  <c r="D838" i="10"/>
  <c r="F837" i="10"/>
  <c r="I837" i="10" s="1"/>
  <c r="E837" i="10"/>
  <c r="D837" i="10"/>
  <c r="I836" i="10"/>
  <c r="F836" i="10"/>
  <c r="E836" i="10"/>
  <c r="D836" i="10"/>
  <c r="F835" i="10"/>
  <c r="I835" i="10" s="1"/>
  <c r="E835" i="10"/>
  <c r="D835" i="10"/>
  <c r="I834" i="10"/>
  <c r="F834" i="10"/>
  <c r="E834" i="10"/>
  <c r="D834" i="10"/>
  <c r="F833" i="10"/>
  <c r="I833" i="10" s="1"/>
  <c r="E833" i="10"/>
  <c r="D833" i="10"/>
  <c r="I832" i="10"/>
  <c r="F832" i="10"/>
  <c r="E832" i="10"/>
  <c r="D832" i="10"/>
  <c r="F831" i="10"/>
  <c r="I831" i="10" s="1"/>
  <c r="E831" i="10"/>
  <c r="D831" i="10"/>
  <c r="I830" i="10"/>
  <c r="F830" i="10"/>
  <c r="E830" i="10"/>
  <c r="D830" i="10"/>
  <c r="F829" i="10"/>
  <c r="I829" i="10" s="1"/>
  <c r="E829" i="10"/>
  <c r="D829" i="10"/>
  <c r="I828" i="10"/>
  <c r="F828" i="10"/>
  <c r="E828" i="10"/>
  <c r="D828" i="10"/>
  <c r="F827" i="10"/>
  <c r="I827" i="10" s="1"/>
  <c r="E827" i="10"/>
  <c r="D827" i="10"/>
  <c r="I826" i="10"/>
  <c r="F826" i="10"/>
  <c r="E826" i="10"/>
  <c r="D826" i="10"/>
  <c r="H825" i="10"/>
  <c r="F825" i="10"/>
  <c r="I825" i="10" s="1"/>
  <c r="E825" i="10"/>
  <c r="G825" i="10" s="1"/>
  <c r="J825" i="10" s="1"/>
  <c r="K825" i="10" s="1"/>
  <c r="D825" i="10"/>
  <c r="H824" i="10"/>
  <c r="F824" i="10"/>
  <c r="I824" i="10" s="1"/>
  <c r="E824" i="10"/>
  <c r="D824" i="10"/>
  <c r="H823" i="10"/>
  <c r="F823" i="10"/>
  <c r="I823" i="10" s="1"/>
  <c r="E823" i="10"/>
  <c r="G823" i="10" s="1"/>
  <c r="J823" i="10" s="1"/>
  <c r="K823" i="10" s="1"/>
  <c r="D823" i="10"/>
  <c r="H822" i="10"/>
  <c r="F822" i="10"/>
  <c r="I822" i="10" s="1"/>
  <c r="E822" i="10"/>
  <c r="D822" i="10"/>
  <c r="H821" i="10"/>
  <c r="F821" i="10"/>
  <c r="I821" i="10" s="1"/>
  <c r="E821" i="10"/>
  <c r="G821" i="10" s="1"/>
  <c r="J821" i="10" s="1"/>
  <c r="K821" i="10" s="1"/>
  <c r="D821" i="10"/>
  <c r="H820" i="10"/>
  <c r="F820" i="10"/>
  <c r="I820" i="10" s="1"/>
  <c r="E820" i="10"/>
  <c r="D820" i="10"/>
  <c r="H819" i="10"/>
  <c r="F819" i="10"/>
  <c r="I819" i="10" s="1"/>
  <c r="E819" i="10"/>
  <c r="G819" i="10" s="1"/>
  <c r="J819" i="10" s="1"/>
  <c r="K819" i="10" s="1"/>
  <c r="D819" i="10"/>
  <c r="H818" i="10"/>
  <c r="F818" i="10"/>
  <c r="I818" i="10" s="1"/>
  <c r="E818" i="10"/>
  <c r="D818" i="10"/>
  <c r="H817" i="10"/>
  <c r="F817" i="10"/>
  <c r="I817" i="10" s="1"/>
  <c r="E817" i="10"/>
  <c r="G817" i="10" s="1"/>
  <c r="J817" i="10" s="1"/>
  <c r="K817" i="10" s="1"/>
  <c r="D817" i="10"/>
  <c r="H816" i="10"/>
  <c r="F816" i="10"/>
  <c r="I816" i="10" s="1"/>
  <c r="E816" i="10"/>
  <c r="D816" i="10"/>
  <c r="H815" i="10"/>
  <c r="F815" i="10"/>
  <c r="I815" i="10" s="1"/>
  <c r="E815" i="10"/>
  <c r="G815" i="10" s="1"/>
  <c r="J815" i="10" s="1"/>
  <c r="K815" i="10" s="1"/>
  <c r="D815" i="10"/>
  <c r="H814" i="10"/>
  <c r="F814" i="10"/>
  <c r="I814" i="10" s="1"/>
  <c r="E814" i="10"/>
  <c r="D814" i="10"/>
  <c r="F813" i="10"/>
  <c r="I813" i="10" s="1"/>
  <c r="E813" i="10"/>
  <c r="D813" i="10"/>
  <c r="H812" i="10"/>
  <c r="F812" i="10"/>
  <c r="I812" i="10" s="1"/>
  <c r="E812" i="10"/>
  <c r="G812" i="10" s="1"/>
  <c r="J812" i="10" s="1"/>
  <c r="K812" i="10" s="1"/>
  <c r="D812" i="10"/>
  <c r="I811" i="10"/>
  <c r="F811" i="10"/>
  <c r="E811" i="10"/>
  <c r="D811" i="10"/>
  <c r="H810" i="10"/>
  <c r="F810" i="10"/>
  <c r="I810" i="10" s="1"/>
  <c r="E810" i="10"/>
  <c r="G810" i="10" s="1"/>
  <c r="J810" i="10" s="1"/>
  <c r="K810" i="10" s="1"/>
  <c r="D810" i="10"/>
  <c r="I809" i="10"/>
  <c r="F809" i="10"/>
  <c r="E809" i="10"/>
  <c r="D809" i="10"/>
  <c r="H808" i="10"/>
  <c r="F808" i="10"/>
  <c r="I808" i="10" s="1"/>
  <c r="E808" i="10"/>
  <c r="G808" i="10" s="1"/>
  <c r="J808" i="10" s="1"/>
  <c r="K808" i="10" s="1"/>
  <c r="D808" i="10"/>
  <c r="I807" i="10"/>
  <c r="F807" i="10"/>
  <c r="E807" i="10"/>
  <c r="D807" i="10"/>
  <c r="H806" i="10"/>
  <c r="F806" i="10"/>
  <c r="I806" i="10" s="1"/>
  <c r="E806" i="10"/>
  <c r="G806" i="10" s="1"/>
  <c r="J806" i="10" s="1"/>
  <c r="K806" i="10" s="1"/>
  <c r="D806" i="10"/>
  <c r="I805" i="10"/>
  <c r="F805" i="10"/>
  <c r="E805" i="10"/>
  <c r="D805" i="10"/>
  <c r="H804" i="10"/>
  <c r="F804" i="10"/>
  <c r="I804" i="10" s="1"/>
  <c r="E804" i="10"/>
  <c r="G804" i="10" s="1"/>
  <c r="J804" i="10" s="1"/>
  <c r="K804" i="10" s="1"/>
  <c r="D804" i="10"/>
  <c r="I803" i="10"/>
  <c r="F803" i="10"/>
  <c r="E803" i="10"/>
  <c r="D803" i="10"/>
  <c r="H802" i="10"/>
  <c r="F802" i="10"/>
  <c r="I802" i="10" s="1"/>
  <c r="E802" i="10"/>
  <c r="G802" i="10" s="1"/>
  <c r="J802" i="10" s="1"/>
  <c r="K802" i="10" s="1"/>
  <c r="D802" i="10"/>
  <c r="I801" i="10"/>
  <c r="F801" i="10"/>
  <c r="E801" i="10"/>
  <c r="D801" i="10"/>
  <c r="H800" i="10"/>
  <c r="F800" i="10"/>
  <c r="I800" i="10" s="1"/>
  <c r="E800" i="10"/>
  <c r="G800" i="10" s="1"/>
  <c r="J800" i="10" s="1"/>
  <c r="K800" i="10" s="1"/>
  <c r="D800" i="10"/>
  <c r="I799" i="10"/>
  <c r="F799" i="10"/>
  <c r="E799" i="10"/>
  <c r="D799" i="10"/>
  <c r="H798" i="10"/>
  <c r="F798" i="10"/>
  <c r="I798" i="10" s="1"/>
  <c r="E798" i="10"/>
  <c r="G798" i="10" s="1"/>
  <c r="J798" i="10" s="1"/>
  <c r="K798" i="10" s="1"/>
  <c r="D798" i="10"/>
  <c r="I797" i="10"/>
  <c r="F797" i="10"/>
  <c r="E797" i="10"/>
  <c r="D797" i="10"/>
  <c r="H796" i="10"/>
  <c r="F796" i="10"/>
  <c r="I796" i="10" s="1"/>
  <c r="E796" i="10"/>
  <c r="G796" i="10" s="1"/>
  <c r="J796" i="10" s="1"/>
  <c r="K796" i="10" s="1"/>
  <c r="D796" i="10"/>
  <c r="I795" i="10"/>
  <c r="F795" i="10"/>
  <c r="E795" i="10"/>
  <c r="D795" i="10"/>
  <c r="H794" i="10"/>
  <c r="F794" i="10"/>
  <c r="I794" i="10" s="1"/>
  <c r="E794" i="10"/>
  <c r="G794" i="10" s="1"/>
  <c r="J794" i="10" s="1"/>
  <c r="K794" i="10" s="1"/>
  <c r="D794" i="10"/>
  <c r="I793" i="10"/>
  <c r="F793" i="10"/>
  <c r="E793" i="10"/>
  <c r="D793" i="10"/>
  <c r="H792" i="10"/>
  <c r="F792" i="10"/>
  <c r="I792" i="10" s="1"/>
  <c r="E792" i="10"/>
  <c r="G792" i="10" s="1"/>
  <c r="J792" i="10" s="1"/>
  <c r="K792" i="10" s="1"/>
  <c r="D792" i="10"/>
  <c r="I791" i="10"/>
  <c r="F791" i="10"/>
  <c r="E791" i="10"/>
  <c r="D791" i="10"/>
  <c r="H790" i="10"/>
  <c r="F790" i="10"/>
  <c r="I790" i="10" s="1"/>
  <c r="E790" i="10"/>
  <c r="G790" i="10" s="1"/>
  <c r="J790" i="10" s="1"/>
  <c r="K790" i="10" s="1"/>
  <c r="D790" i="10"/>
  <c r="I789" i="10"/>
  <c r="F789" i="10"/>
  <c r="E789" i="10"/>
  <c r="D789" i="10"/>
  <c r="H788" i="10"/>
  <c r="F788" i="10"/>
  <c r="I788" i="10" s="1"/>
  <c r="E788" i="10"/>
  <c r="G788" i="10" s="1"/>
  <c r="J788" i="10" s="1"/>
  <c r="K788" i="10" s="1"/>
  <c r="D788" i="10"/>
  <c r="I787" i="10"/>
  <c r="F787" i="10"/>
  <c r="E787" i="10"/>
  <c r="D787" i="10"/>
  <c r="H786" i="10"/>
  <c r="F786" i="10"/>
  <c r="I786" i="10" s="1"/>
  <c r="E786" i="10"/>
  <c r="G786" i="10" s="1"/>
  <c r="J786" i="10" s="1"/>
  <c r="K786" i="10" s="1"/>
  <c r="D786" i="10"/>
  <c r="I785" i="10"/>
  <c r="F785" i="10"/>
  <c r="E785" i="10"/>
  <c r="D785" i="10"/>
  <c r="H784" i="10"/>
  <c r="F784" i="10"/>
  <c r="I784" i="10" s="1"/>
  <c r="E784" i="10"/>
  <c r="G784" i="10" s="1"/>
  <c r="J784" i="10" s="1"/>
  <c r="K784" i="10" s="1"/>
  <c r="D784" i="10"/>
  <c r="I783" i="10"/>
  <c r="F783" i="10"/>
  <c r="E783" i="10"/>
  <c r="D783" i="10"/>
  <c r="H782" i="10"/>
  <c r="F782" i="10"/>
  <c r="I782" i="10" s="1"/>
  <c r="E782" i="10"/>
  <c r="G782" i="10" s="1"/>
  <c r="J782" i="10" s="1"/>
  <c r="K782" i="10" s="1"/>
  <c r="D782" i="10"/>
  <c r="I781" i="10"/>
  <c r="F781" i="10"/>
  <c r="E781" i="10"/>
  <c r="D781" i="10"/>
  <c r="H780" i="10"/>
  <c r="F780" i="10"/>
  <c r="I780" i="10" s="1"/>
  <c r="E780" i="10"/>
  <c r="G780" i="10" s="1"/>
  <c r="J780" i="10" s="1"/>
  <c r="K780" i="10" s="1"/>
  <c r="D780" i="10"/>
  <c r="I779" i="10"/>
  <c r="F779" i="10"/>
  <c r="E779" i="10"/>
  <c r="D779" i="10"/>
  <c r="H778" i="10"/>
  <c r="F778" i="10"/>
  <c r="I778" i="10" s="1"/>
  <c r="E778" i="10"/>
  <c r="G778" i="10" s="1"/>
  <c r="J778" i="10" s="1"/>
  <c r="K778" i="10" s="1"/>
  <c r="D778" i="10"/>
  <c r="I777" i="10"/>
  <c r="F777" i="10"/>
  <c r="E777" i="10"/>
  <c r="D777" i="10"/>
  <c r="H776" i="10"/>
  <c r="F776" i="10"/>
  <c r="I776" i="10" s="1"/>
  <c r="E776" i="10"/>
  <c r="G776" i="10" s="1"/>
  <c r="J776" i="10" s="1"/>
  <c r="K776" i="10" s="1"/>
  <c r="D776" i="10"/>
  <c r="I775" i="10"/>
  <c r="F775" i="10"/>
  <c r="E775" i="10"/>
  <c r="D775" i="10"/>
  <c r="H774" i="10"/>
  <c r="F774" i="10"/>
  <c r="I774" i="10" s="1"/>
  <c r="E774" i="10"/>
  <c r="G774" i="10" s="1"/>
  <c r="J774" i="10" s="1"/>
  <c r="K774" i="10" s="1"/>
  <c r="D774" i="10"/>
  <c r="I773" i="10"/>
  <c r="F773" i="10"/>
  <c r="E773" i="10"/>
  <c r="D773" i="10"/>
  <c r="H772" i="10"/>
  <c r="F772" i="10"/>
  <c r="I772" i="10" s="1"/>
  <c r="E772" i="10"/>
  <c r="G772" i="10" s="1"/>
  <c r="J772" i="10" s="1"/>
  <c r="K772" i="10" s="1"/>
  <c r="D772" i="10"/>
  <c r="I771" i="10"/>
  <c r="F771" i="10"/>
  <c r="E771" i="10"/>
  <c r="D771" i="10"/>
  <c r="H770" i="10"/>
  <c r="F770" i="10"/>
  <c r="I770" i="10" s="1"/>
  <c r="E770" i="10"/>
  <c r="G770" i="10" s="1"/>
  <c r="J770" i="10" s="1"/>
  <c r="K770" i="10" s="1"/>
  <c r="D770" i="10"/>
  <c r="I769" i="10"/>
  <c r="F769" i="10"/>
  <c r="E769" i="10"/>
  <c r="D769" i="10"/>
  <c r="H768" i="10"/>
  <c r="F768" i="10"/>
  <c r="I768" i="10" s="1"/>
  <c r="E768" i="10"/>
  <c r="G768" i="10" s="1"/>
  <c r="J768" i="10" s="1"/>
  <c r="K768" i="10" s="1"/>
  <c r="D768" i="10"/>
  <c r="I767" i="10"/>
  <c r="F767" i="10"/>
  <c r="E767" i="10"/>
  <c r="D767" i="10"/>
  <c r="H766" i="10"/>
  <c r="F766" i="10"/>
  <c r="I766" i="10" s="1"/>
  <c r="E766" i="10"/>
  <c r="G766" i="10" s="1"/>
  <c r="J766" i="10" s="1"/>
  <c r="K766" i="10" s="1"/>
  <c r="D766" i="10"/>
  <c r="I765" i="10"/>
  <c r="F765" i="10"/>
  <c r="E765" i="10"/>
  <c r="D765" i="10"/>
  <c r="H764" i="10"/>
  <c r="F764" i="10"/>
  <c r="I764" i="10" s="1"/>
  <c r="E764" i="10"/>
  <c r="G764" i="10" s="1"/>
  <c r="J764" i="10" s="1"/>
  <c r="K764" i="10" s="1"/>
  <c r="D764" i="10"/>
  <c r="I763" i="10"/>
  <c r="F763" i="10"/>
  <c r="E763" i="10"/>
  <c r="D763" i="10"/>
  <c r="H762" i="10"/>
  <c r="F762" i="10"/>
  <c r="I762" i="10" s="1"/>
  <c r="E762" i="10"/>
  <c r="G762" i="10" s="1"/>
  <c r="J762" i="10" s="1"/>
  <c r="K762" i="10" s="1"/>
  <c r="D762" i="10"/>
  <c r="I761" i="10"/>
  <c r="F761" i="10"/>
  <c r="E761" i="10"/>
  <c r="D761" i="10"/>
  <c r="H760" i="10"/>
  <c r="F760" i="10"/>
  <c r="I760" i="10" s="1"/>
  <c r="E760" i="10"/>
  <c r="G760" i="10" s="1"/>
  <c r="J760" i="10" s="1"/>
  <c r="K760" i="10" s="1"/>
  <c r="D760" i="10"/>
  <c r="I759" i="10"/>
  <c r="F759" i="10"/>
  <c r="E759" i="10"/>
  <c r="D759" i="10"/>
  <c r="H758" i="10"/>
  <c r="F758" i="10"/>
  <c r="I758" i="10" s="1"/>
  <c r="E758" i="10"/>
  <c r="G758" i="10" s="1"/>
  <c r="J758" i="10" s="1"/>
  <c r="K758" i="10" s="1"/>
  <c r="D758" i="10"/>
  <c r="I757" i="10"/>
  <c r="F757" i="10"/>
  <c r="E757" i="10"/>
  <c r="D757" i="10"/>
  <c r="H756" i="10"/>
  <c r="F756" i="10"/>
  <c r="I756" i="10" s="1"/>
  <c r="E756" i="10"/>
  <c r="G756" i="10" s="1"/>
  <c r="J756" i="10" s="1"/>
  <c r="K756" i="10" s="1"/>
  <c r="D756" i="10"/>
  <c r="I755" i="10"/>
  <c r="F755" i="10"/>
  <c r="E755" i="10"/>
  <c r="D755" i="10"/>
  <c r="H754" i="10"/>
  <c r="F754" i="10"/>
  <c r="I754" i="10" s="1"/>
  <c r="E754" i="10"/>
  <c r="G754" i="10" s="1"/>
  <c r="J754" i="10" s="1"/>
  <c r="K754" i="10" s="1"/>
  <c r="D754" i="10"/>
  <c r="I753" i="10"/>
  <c r="F753" i="10"/>
  <c r="E753" i="10"/>
  <c r="D753" i="10"/>
  <c r="H752" i="10"/>
  <c r="F752" i="10"/>
  <c r="I752" i="10" s="1"/>
  <c r="E752" i="10"/>
  <c r="G752" i="10" s="1"/>
  <c r="J752" i="10" s="1"/>
  <c r="K752" i="10" s="1"/>
  <c r="D752" i="10"/>
  <c r="I751" i="10"/>
  <c r="F751" i="10"/>
  <c r="E751" i="10"/>
  <c r="D751" i="10"/>
  <c r="H750" i="10"/>
  <c r="F750" i="10"/>
  <c r="I750" i="10" s="1"/>
  <c r="E750" i="10"/>
  <c r="G750" i="10" s="1"/>
  <c r="J750" i="10" s="1"/>
  <c r="K750" i="10" s="1"/>
  <c r="D750" i="10"/>
  <c r="G749" i="10"/>
  <c r="J749" i="10" s="1"/>
  <c r="K749" i="10" s="1"/>
  <c r="F749" i="10"/>
  <c r="I749" i="10" s="1"/>
  <c r="E749" i="10"/>
  <c r="H749" i="10" s="1"/>
  <c r="D749" i="10"/>
  <c r="K748" i="10"/>
  <c r="G748" i="10"/>
  <c r="J748" i="10" s="1"/>
  <c r="F748" i="10"/>
  <c r="I748" i="10" s="1"/>
  <c r="E748" i="10"/>
  <c r="H748" i="10" s="1"/>
  <c r="D748" i="10"/>
  <c r="K747" i="10"/>
  <c r="G747" i="10"/>
  <c r="J747" i="10" s="1"/>
  <c r="F747" i="10"/>
  <c r="I747" i="10" s="1"/>
  <c r="E747" i="10"/>
  <c r="H747" i="10" s="1"/>
  <c r="D747" i="10"/>
  <c r="K746" i="10"/>
  <c r="G746" i="10"/>
  <c r="J746" i="10" s="1"/>
  <c r="F746" i="10"/>
  <c r="I746" i="10" s="1"/>
  <c r="E746" i="10"/>
  <c r="H746" i="10" s="1"/>
  <c r="D746" i="10"/>
  <c r="G745" i="10"/>
  <c r="J745" i="10" s="1"/>
  <c r="K745" i="10" s="1"/>
  <c r="F745" i="10"/>
  <c r="I745" i="10" s="1"/>
  <c r="E745" i="10"/>
  <c r="H745" i="10" s="1"/>
  <c r="D745" i="10"/>
  <c r="K744" i="10"/>
  <c r="G744" i="10"/>
  <c r="J744" i="10" s="1"/>
  <c r="F744" i="10"/>
  <c r="I744" i="10" s="1"/>
  <c r="E744" i="10"/>
  <c r="H744" i="10" s="1"/>
  <c r="D744" i="10"/>
  <c r="K743" i="10"/>
  <c r="G743" i="10"/>
  <c r="J743" i="10" s="1"/>
  <c r="F743" i="10"/>
  <c r="I743" i="10" s="1"/>
  <c r="E743" i="10"/>
  <c r="H743" i="10" s="1"/>
  <c r="D743" i="10"/>
  <c r="K742" i="10"/>
  <c r="G742" i="10"/>
  <c r="J742" i="10" s="1"/>
  <c r="F742" i="10"/>
  <c r="I742" i="10" s="1"/>
  <c r="E742" i="10"/>
  <c r="H742" i="10" s="1"/>
  <c r="D742" i="10"/>
  <c r="G741" i="10"/>
  <c r="J741" i="10" s="1"/>
  <c r="K741" i="10" s="1"/>
  <c r="F741" i="10"/>
  <c r="I741" i="10" s="1"/>
  <c r="E741" i="10"/>
  <c r="H741" i="10" s="1"/>
  <c r="D741" i="10"/>
  <c r="K740" i="10"/>
  <c r="G740" i="10"/>
  <c r="J740" i="10" s="1"/>
  <c r="F740" i="10"/>
  <c r="I740" i="10" s="1"/>
  <c r="E740" i="10"/>
  <c r="H740" i="10" s="1"/>
  <c r="D740" i="10"/>
  <c r="K739" i="10"/>
  <c r="G739" i="10"/>
  <c r="J739" i="10" s="1"/>
  <c r="F739" i="10"/>
  <c r="I739" i="10" s="1"/>
  <c r="E739" i="10"/>
  <c r="H739" i="10" s="1"/>
  <c r="D739" i="10"/>
  <c r="K738" i="10"/>
  <c r="G738" i="10"/>
  <c r="J738" i="10" s="1"/>
  <c r="F738" i="10"/>
  <c r="I738" i="10" s="1"/>
  <c r="E738" i="10"/>
  <c r="H738" i="10" s="1"/>
  <c r="D738" i="10"/>
  <c r="G737" i="10"/>
  <c r="J737" i="10" s="1"/>
  <c r="K737" i="10" s="1"/>
  <c r="F737" i="10"/>
  <c r="I737" i="10" s="1"/>
  <c r="E737" i="10"/>
  <c r="H737" i="10" s="1"/>
  <c r="D737" i="10"/>
  <c r="K736" i="10"/>
  <c r="G736" i="10"/>
  <c r="J736" i="10" s="1"/>
  <c r="F736" i="10"/>
  <c r="I736" i="10" s="1"/>
  <c r="E736" i="10"/>
  <c r="H736" i="10" s="1"/>
  <c r="D736" i="10"/>
  <c r="K735" i="10"/>
  <c r="G735" i="10"/>
  <c r="J735" i="10" s="1"/>
  <c r="F735" i="10"/>
  <c r="I735" i="10" s="1"/>
  <c r="E735" i="10"/>
  <c r="H735" i="10" s="1"/>
  <c r="D735" i="10"/>
  <c r="K734" i="10"/>
  <c r="G734" i="10"/>
  <c r="J734" i="10" s="1"/>
  <c r="F734" i="10"/>
  <c r="I734" i="10" s="1"/>
  <c r="E734" i="10"/>
  <c r="H734" i="10" s="1"/>
  <c r="D734" i="10"/>
  <c r="G733" i="10"/>
  <c r="J733" i="10" s="1"/>
  <c r="K733" i="10" s="1"/>
  <c r="F733" i="10"/>
  <c r="I733" i="10" s="1"/>
  <c r="E733" i="10"/>
  <c r="H733" i="10" s="1"/>
  <c r="D733" i="10"/>
  <c r="K732" i="10"/>
  <c r="G732" i="10"/>
  <c r="J732" i="10" s="1"/>
  <c r="F732" i="10"/>
  <c r="I732" i="10" s="1"/>
  <c r="E732" i="10"/>
  <c r="H732" i="10" s="1"/>
  <c r="D732" i="10"/>
  <c r="K731" i="10"/>
  <c r="G731" i="10"/>
  <c r="J731" i="10" s="1"/>
  <c r="F731" i="10"/>
  <c r="I731" i="10" s="1"/>
  <c r="E731" i="10"/>
  <c r="H731" i="10" s="1"/>
  <c r="D731" i="10"/>
  <c r="K730" i="10"/>
  <c r="G730" i="10"/>
  <c r="J730" i="10" s="1"/>
  <c r="F730" i="10"/>
  <c r="I730" i="10" s="1"/>
  <c r="E730" i="10"/>
  <c r="H730" i="10" s="1"/>
  <c r="D730" i="10"/>
  <c r="G729" i="10"/>
  <c r="J729" i="10" s="1"/>
  <c r="K729" i="10" s="1"/>
  <c r="F729" i="10"/>
  <c r="I729" i="10" s="1"/>
  <c r="E729" i="10"/>
  <c r="H729" i="10" s="1"/>
  <c r="D729" i="10"/>
  <c r="K728" i="10"/>
  <c r="G728" i="10"/>
  <c r="J728" i="10" s="1"/>
  <c r="F728" i="10"/>
  <c r="I728" i="10" s="1"/>
  <c r="E728" i="10"/>
  <c r="H728" i="10" s="1"/>
  <c r="D728" i="10"/>
  <c r="K727" i="10"/>
  <c r="G727" i="10"/>
  <c r="J727" i="10" s="1"/>
  <c r="F727" i="10"/>
  <c r="I727" i="10" s="1"/>
  <c r="E727" i="10"/>
  <c r="H727" i="10" s="1"/>
  <c r="D727" i="10"/>
  <c r="K726" i="10"/>
  <c r="G726" i="10"/>
  <c r="J726" i="10" s="1"/>
  <c r="F726" i="10"/>
  <c r="I726" i="10" s="1"/>
  <c r="E726" i="10"/>
  <c r="H726" i="10" s="1"/>
  <c r="D726" i="10"/>
  <c r="G725" i="10"/>
  <c r="J725" i="10" s="1"/>
  <c r="K725" i="10" s="1"/>
  <c r="F725" i="10"/>
  <c r="I725" i="10" s="1"/>
  <c r="E725" i="10"/>
  <c r="H725" i="10" s="1"/>
  <c r="D725" i="10"/>
  <c r="K724" i="10"/>
  <c r="G724" i="10"/>
  <c r="J724" i="10" s="1"/>
  <c r="F724" i="10"/>
  <c r="I724" i="10" s="1"/>
  <c r="E724" i="10"/>
  <c r="H724" i="10" s="1"/>
  <c r="D724" i="10"/>
  <c r="K723" i="10"/>
  <c r="G723" i="10"/>
  <c r="J723" i="10" s="1"/>
  <c r="F723" i="10"/>
  <c r="I723" i="10" s="1"/>
  <c r="E723" i="10"/>
  <c r="H723" i="10" s="1"/>
  <c r="D723" i="10"/>
  <c r="K722" i="10"/>
  <c r="G722" i="10"/>
  <c r="J722" i="10" s="1"/>
  <c r="F722" i="10"/>
  <c r="I722" i="10" s="1"/>
  <c r="E722" i="10"/>
  <c r="H722" i="10" s="1"/>
  <c r="D722" i="10"/>
  <c r="G721" i="10"/>
  <c r="J721" i="10" s="1"/>
  <c r="K721" i="10" s="1"/>
  <c r="F721" i="10"/>
  <c r="I721" i="10" s="1"/>
  <c r="E721" i="10"/>
  <c r="H721" i="10" s="1"/>
  <c r="D721" i="10"/>
  <c r="K720" i="10"/>
  <c r="G720" i="10"/>
  <c r="J720" i="10" s="1"/>
  <c r="F720" i="10"/>
  <c r="I720" i="10" s="1"/>
  <c r="E720" i="10"/>
  <c r="H720" i="10" s="1"/>
  <c r="D720" i="10"/>
  <c r="K719" i="10"/>
  <c r="G719" i="10"/>
  <c r="J719" i="10" s="1"/>
  <c r="F719" i="10"/>
  <c r="I719" i="10" s="1"/>
  <c r="E719" i="10"/>
  <c r="H719" i="10" s="1"/>
  <c r="D719" i="10"/>
  <c r="K718" i="10"/>
  <c r="G718" i="10"/>
  <c r="J718" i="10" s="1"/>
  <c r="F718" i="10"/>
  <c r="I718" i="10" s="1"/>
  <c r="E718" i="10"/>
  <c r="H718" i="10" s="1"/>
  <c r="D718" i="10"/>
  <c r="G717" i="10"/>
  <c r="J717" i="10" s="1"/>
  <c r="K717" i="10" s="1"/>
  <c r="F717" i="10"/>
  <c r="I717" i="10" s="1"/>
  <c r="E717" i="10"/>
  <c r="H717" i="10" s="1"/>
  <c r="D717" i="10"/>
  <c r="K716" i="10"/>
  <c r="G716" i="10"/>
  <c r="J716" i="10" s="1"/>
  <c r="F716" i="10"/>
  <c r="I716" i="10" s="1"/>
  <c r="E716" i="10"/>
  <c r="H716" i="10" s="1"/>
  <c r="D716" i="10"/>
  <c r="K715" i="10"/>
  <c r="G715" i="10"/>
  <c r="J715" i="10" s="1"/>
  <c r="F715" i="10"/>
  <c r="I715" i="10" s="1"/>
  <c r="E715" i="10"/>
  <c r="H715" i="10" s="1"/>
  <c r="D715" i="10"/>
  <c r="K714" i="10"/>
  <c r="G714" i="10"/>
  <c r="J714" i="10" s="1"/>
  <c r="F714" i="10"/>
  <c r="I714" i="10" s="1"/>
  <c r="E714" i="10"/>
  <c r="H714" i="10" s="1"/>
  <c r="D714" i="10"/>
  <c r="G713" i="10"/>
  <c r="J713" i="10" s="1"/>
  <c r="K713" i="10" s="1"/>
  <c r="F713" i="10"/>
  <c r="I713" i="10" s="1"/>
  <c r="E713" i="10"/>
  <c r="H713" i="10" s="1"/>
  <c r="D713" i="10"/>
  <c r="K712" i="10"/>
  <c r="G712" i="10"/>
  <c r="J712" i="10" s="1"/>
  <c r="F712" i="10"/>
  <c r="I712" i="10" s="1"/>
  <c r="E712" i="10"/>
  <c r="H712" i="10" s="1"/>
  <c r="D712" i="10"/>
  <c r="K711" i="10"/>
  <c r="G711" i="10"/>
  <c r="J711" i="10" s="1"/>
  <c r="F711" i="10"/>
  <c r="I711" i="10" s="1"/>
  <c r="E711" i="10"/>
  <c r="H711" i="10" s="1"/>
  <c r="D711" i="10"/>
  <c r="K710" i="10"/>
  <c r="G710" i="10"/>
  <c r="J710" i="10" s="1"/>
  <c r="F710" i="10"/>
  <c r="I710" i="10" s="1"/>
  <c r="E710" i="10"/>
  <c r="H710" i="10" s="1"/>
  <c r="D710" i="10"/>
  <c r="G709" i="10"/>
  <c r="J709" i="10" s="1"/>
  <c r="K709" i="10" s="1"/>
  <c r="F709" i="10"/>
  <c r="I709" i="10" s="1"/>
  <c r="E709" i="10"/>
  <c r="H709" i="10" s="1"/>
  <c r="D709" i="10"/>
  <c r="K708" i="10"/>
  <c r="G708" i="10"/>
  <c r="J708" i="10" s="1"/>
  <c r="F708" i="10"/>
  <c r="I708" i="10" s="1"/>
  <c r="E708" i="10"/>
  <c r="H708" i="10" s="1"/>
  <c r="D708" i="10"/>
  <c r="K707" i="10"/>
  <c r="G707" i="10"/>
  <c r="J707" i="10" s="1"/>
  <c r="F707" i="10"/>
  <c r="I707" i="10" s="1"/>
  <c r="E707" i="10"/>
  <c r="H707" i="10" s="1"/>
  <c r="D707" i="10"/>
  <c r="K706" i="10"/>
  <c r="G706" i="10"/>
  <c r="J706" i="10" s="1"/>
  <c r="F706" i="10"/>
  <c r="I706" i="10" s="1"/>
  <c r="E706" i="10"/>
  <c r="H706" i="10" s="1"/>
  <c r="D706" i="10"/>
  <c r="G705" i="10"/>
  <c r="J705" i="10" s="1"/>
  <c r="K705" i="10" s="1"/>
  <c r="F705" i="10"/>
  <c r="I705" i="10" s="1"/>
  <c r="E705" i="10"/>
  <c r="H705" i="10" s="1"/>
  <c r="D705" i="10"/>
  <c r="K704" i="10"/>
  <c r="G704" i="10"/>
  <c r="J704" i="10" s="1"/>
  <c r="F704" i="10"/>
  <c r="I704" i="10" s="1"/>
  <c r="E704" i="10"/>
  <c r="H704" i="10" s="1"/>
  <c r="D704" i="10"/>
  <c r="K703" i="10"/>
  <c r="G703" i="10"/>
  <c r="J703" i="10" s="1"/>
  <c r="F703" i="10"/>
  <c r="I703" i="10" s="1"/>
  <c r="E703" i="10"/>
  <c r="H703" i="10" s="1"/>
  <c r="D703" i="10"/>
  <c r="K702" i="10"/>
  <c r="G702" i="10"/>
  <c r="J702" i="10" s="1"/>
  <c r="F702" i="10"/>
  <c r="I702" i="10" s="1"/>
  <c r="E702" i="10"/>
  <c r="H702" i="10" s="1"/>
  <c r="D702" i="10"/>
  <c r="G701" i="10"/>
  <c r="J701" i="10" s="1"/>
  <c r="K701" i="10" s="1"/>
  <c r="F701" i="10"/>
  <c r="I701" i="10" s="1"/>
  <c r="E701" i="10"/>
  <c r="H701" i="10" s="1"/>
  <c r="D701" i="10"/>
  <c r="K700" i="10"/>
  <c r="G700" i="10"/>
  <c r="J700" i="10" s="1"/>
  <c r="F700" i="10"/>
  <c r="I700" i="10" s="1"/>
  <c r="E700" i="10"/>
  <c r="H700" i="10" s="1"/>
  <c r="D700" i="10"/>
  <c r="K699" i="10"/>
  <c r="G699" i="10"/>
  <c r="J699" i="10" s="1"/>
  <c r="F699" i="10"/>
  <c r="I699" i="10" s="1"/>
  <c r="E699" i="10"/>
  <c r="H699" i="10" s="1"/>
  <c r="D699" i="10"/>
  <c r="K698" i="10"/>
  <c r="G698" i="10"/>
  <c r="J698" i="10" s="1"/>
  <c r="F698" i="10"/>
  <c r="I698" i="10" s="1"/>
  <c r="E698" i="10"/>
  <c r="H698" i="10" s="1"/>
  <c r="D698" i="10"/>
  <c r="G697" i="10"/>
  <c r="J697" i="10" s="1"/>
  <c r="K697" i="10" s="1"/>
  <c r="F697" i="10"/>
  <c r="I697" i="10" s="1"/>
  <c r="E697" i="10"/>
  <c r="H697" i="10" s="1"/>
  <c r="D697" i="10"/>
  <c r="K696" i="10"/>
  <c r="G696" i="10"/>
  <c r="J696" i="10" s="1"/>
  <c r="F696" i="10"/>
  <c r="I696" i="10" s="1"/>
  <c r="E696" i="10"/>
  <c r="H696" i="10" s="1"/>
  <c r="D696" i="10"/>
  <c r="K695" i="10"/>
  <c r="G695" i="10"/>
  <c r="J695" i="10" s="1"/>
  <c r="F695" i="10"/>
  <c r="I695" i="10" s="1"/>
  <c r="E695" i="10"/>
  <c r="H695" i="10" s="1"/>
  <c r="D695" i="10"/>
  <c r="K694" i="10"/>
  <c r="G694" i="10"/>
  <c r="J694" i="10" s="1"/>
  <c r="F694" i="10"/>
  <c r="I694" i="10" s="1"/>
  <c r="E694" i="10"/>
  <c r="H694" i="10" s="1"/>
  <c r="D694" i="10"/>
  <c r="G693" i="10"/>
  <c r="J693" i="10" s="1"/>
  <c r="K693" i="10" s="1"/>
  <c r="F693" i="10"/>
  <c r="I693" i="10" s="1"/>
  <c r="E693" i="10"/>
  <c r="H693" i="10" s="1"/>
  <c r="D693" i="10"/>
  <c r="K692" i="10"/>
  <c r="G692" i="10"/>
  <c r="J692" i="10" s="1"/>
  <c r="F692" i="10"/>
  <c r="I692" i="10" s="1"/>
  <c r="E692" i="10"/>
  <c r="H692" i="10" s="1"/>
  <c r="D692" i="10"/>
  <c r="K691" i="10"/>
  <c r="G691" i="10"/>
  <c r="J691" i="10" s="1"/>
  <c r="F691" i="10"/>
  <c r="I691" i="10" s="1"/>
  <c r="E691" i="10"/>
  <c r="H691" i="10" s="1"/>
  <c r="D691" i="10"/>
  <c r="K690" i="10"/>
  <c r="G690" i="10"/>
  <c r="J690" i="10" s="1"/>
  <c r="F690" i="10"/>
  <c r="I690" i="10" s="1"/>
  <c r="E690" i="10"/>
  <c r="H690" i="10" s="1"/>
  <c r="D690" i="10"/>
  <c r="G689" i="10"/>
  <c r="J689" i="10" s="1"/>
  <c r="K689" i="10" s="1"/>
  <c r="F689" i="10"/>
  <c r="I689" i="10" s="1"/>
  <c r="E689" i="10"/>
  <c r="H689" i="10" s="1"/>
  <c r="D689" i="10"/>
  <c r="K688" i="10"/>
  <c r="G688" i="10"/>
  <c r="J688" i="10" s="1"/>
  <c r="F688" i="10"/>
  <c r="I688" i="10" s="1"/>
  <c r="E688" i="10"/>
  <c r="H688" i="10" s="1"/>
  <c r="D688" i="10"/>
  <c r="K687" i="10"/>
  <c r="G687" i="10"/>
  <c r="J687" i="10" s="1"/>
  <c r="F687" i="10"/>
  <c r="I687" i="10" s="1"/>
  <c r="E687" i="10"/>
  <c r="H687" i="10" s="1"/>
  <c r="D687" i="10"/>
  <c r="K686" i="10"/>
  <c r="G686" i="10"/>
  <c r="J686" i="10" s="1"/>
  <c r="F686" i="10"/>
  <c r="I686" i="10" s="1"/>
  <c r="E686" i="10"/>
  <c r="H686" i="10" s="1"/>
  <c r="D686" i="10"/>
  <c r="G685" i="10"/>
  <c r="J685" i="10" s="1"/>
  <c r="K685" i="10" s="1"/>
  <c r="F685" i="10"/>
  <c r="I685" i="10" s="1"/>
  <c r="E685" i="10"/>
  <c r="H685" i="10" s="1"/>
  <c r="D685" i="10"/>
  <c r="K684" i="10"/>
  <c r="G684" i="10"/>
  <c r="J684" i="10" s="1"/>
  <c r="F684" i="10"/>
  <c r="I684" i="10" s="1"/>
  <c r="E684" i="10"/>
  <c r="H684" i="10" s="1"/>
  <c r="D684" i="10"/>
  <c r="K683" i="10"/>
  <c r="G683" i="10"/>
  <c r="J683" i="10" s="1"/>
  <c r="F683" i="10"/>
  <c r="I683" i="10" s="1"/>
  <c r="E683" i="10"/>
  <c r="H683" i="10" s="1"/>
  <c r="D683" i="10"/>
  <c r="K682" i="10"/>
  <c r="G682" i="10"/>
  <c r="J682" i="10" s="1"/>
  <c r="F682" i="10"/>
  <c r="I682" i="10" s="1"/>
  <c r="E682" i="10"/>
  <c r="H682" i="10" s="1"/>
  <c r="D682" i="10"/>
  <c r="G681" i="10"/>
  <c r="J681" i="10" s="1"/>
  <c r="K681" i="10" s="1"/>
  <c r="F681" i="10"/>
  <c r="I681" i="10" s="1"/>
  <c r="E681" i="10"/>
  <c r="H681" i="10" s="1"/>
  <c r="D681" i="10"/>
  <c r="K680" i="10"/>
  <c r="G680" i="10"/>
  <c r="J680" i="10" s="1"/>
  <c r="F680" i="10"/>
  <c r="I680" i="10" s="1"/>
  <c r="E680" i="10"/>
  <c r="H680" i="10" s="1"/>
  <c r="D680" i="10"/>
  <c r="K679" i="10"/>
  <c r="G679" i="10"/>
  <c r="J679" i="10" s="1"/>
  <c r="F679" i="10"/>
  <c r="I679" i="10" s="1"/>
  <c r="E679" i="10"/>
  <c r="H679" i="10" s="1"/>
  <c r="D679" i="10"/>
  <c r="K678" i="10"/>
  <c r="G678" i="10"/>
  <c r="J678" i="10" s="1"/>
  <c r="F678" i="10"/>
  <c r="I678" i="10" s="1"/>
  <c r="E678" i="10"/>
  <c r="H678" i="10" s="1"/>
  <c r="D678" i="10"/>
  <c r="G677" i="10"/>
  <c r="J677" i="10" s="1"/>
  <c r="K677" i="10" s="1"/>
  <c r="F677" i="10"/>
  <c r="I677" i="10" s="1"/>
  <c r="E677" i="10"/>
  <c r="H677" i="10" s="1"/>
  <c r="D677" i="10"/>
  <c r="K676" i="10"/>
  <c r="G676" i="10"/>
  <c r="J676" i="10" s="1"/>
  <c r="F676" i="10"/>
  <c r="I676" i="10" s="1"/>
  <c r="E676" i="10"/>
  <c r="H676" i="10" s="1"/>
  <c r="D676" i="10"/>
  <c r="K675" i="10"/>
  <c r="G675" i="10"/>
  <c r="J675" i="10" s="1"/>
  <c r="F675" i="10"/>
  <c r="I675" i="10" s="1"/>
  <c r="E675" i="10"/>
  <c r="H675" i="10" s="1"/>
  <c r="D675" i="10"/>
  <c r="K674" i="10"/>
  <c r="G674" i="10"/>
  <c r="J674" i="10" s="1"/>
  <c r="F674" i="10"/>
  <c r="I674" i="10" s="1"/>
  <c r="E674" i="10"/>
  <c r="H674" i="10" s="1"/>
  <c r="D674" i="10"/>
  <c r="G673" i="10"/>
  <c r="J673" i="10" s="1"/>
  <c r="K673" i="10" s="1"/>
  <c r="F673" i="10"/>
  <c r="I673" i="10" s="1"/>
  <c r="E673" i="10"/>
  <c r="H673" i="10" s="1"/>
  <c r="D673" i="10"/>
  <c r="K672" i="10"/>
  <c r="G672" i="10"/>
  <c r="J672" i="10" s="1"/>
  <c r="F672" i="10"/>
  <c r="I672" i="10" s="1"/>
  <c r="E672" i="10"/>
  <c r="H672" i="10" s="1"/>
  <c r="D672" i="10"/>
  <c r="K671" i="10"/>
  <c r="G671" i="10"/>
  <c r="J671" i="10" s="1"/>
  <c r="F671" i="10"/>
  <c r="I671" i="10" s="1"/>
  <c r="E671" i="10"/>
  <c r="H671" i="10" s="1"/>
  <c r="D671" i="10"/>
  <c r="K670" i="10"/>
  <c r="G670" i="10"/>
  <c r="J670" i="10" s="1"/>
  <c r="F670" i="10"/>
  <c r="I670" i="10" s="1"/>
  <c r="E670" i="10"/>
  <c r="H670" i="10" s="1"/>
  <c r="D670" i="10"/>
  <c r="G669" i="10"/>
  <c r="J669" i="10" s="1"/>
  <c r="K669" i="10" s="1"/>
  <c r="F669" i="10"/>
  <c r="I669" i="10" s="1"/>
  <c r="E669" i="10"/>
  <c r="H669" i="10" s="1"/>
  <c r="D669" i="10"/>
  <c r="K668" i="10"/>
  <c r="H668" i="10"/>
  <c r="G668" i="10"/>
  <c r="J668" i="10" s="1"/>
  <c r="F668" i="10"/>
  <c r="I668" i="10" s="1"/>
  <c r="E668" i="10"/>
  <c r="D668" i="10"/>
  <c r="H667" i="10"/>
  <c r="G667" i="10"/>
  <c r="J667" i="10" s="1"/>
  <c r="K667" i="10" s="1"/>
  <c r="F667" i="10"/>
  <c r="I667" i="10" s="1"/>
  <c r="E667" i="10"/>
  <c r="D667" i="10"/>
  <c r="K666" i="10"/>
  <c r="G666" i="10"/>
  <c r="J666" i="10" s="1"/>
  <c r="F666" i="10"/>
  <c r="I666" i="10" s="1"/>
  <c r="E666" i="10"/>
  <c r="H666" i="10" s="1"/>
  <c r="D666" i="10"/>
  <c r="K665" i="10"/>
  <c r="G665" i="10"/>
  <c r="J665" i="10" s="1"/>
  <c r="F665" i="10"/>
  <c r="I665" i="10" s="1"/>
  <c r="E665" i="10"/>
  <c r="H665" i="10" s="1"/>
  <c r="D665" i="10"/>
  <c r="K664" i="10"/>
  <c r="G664" i="10"/>
  <c r="J664" i="10" s="1"/>
  <c r="F664" i="10"/>
  <c r="I664" i="10" s="1"/>
  <c r="E664" i="10"/>
  <c r="H664" i="10" s="1"/>
  <c r="D664" i="10"/>
  <c r="G663" i="10"/>
  <c r="J663" i="10" s="1"/>
  <c r="K663" i="10" s="1"/>
  <c r="F663" i="10"/>
  <c r="I663" i="10" s="1"/>
  <c r="E663" i="10"/>
  <c r="H663" i="10" s="1"/>
  <c r="D663" i="10"/>
  <c r="K662" i="10"/>
  <c r="G662" i="10"/>
  <c r="J662" i="10" s="1"/>
  <c r="F662" i="10"/>
  <c r="I662" i="10" s="1"/>
  <c r="E662" i="10"/>
  <c r="H662" i="10" s="1"/>
  <c r="D662" i="10"/>
  <c r="K661" i="10"/>
  <c r="G661" i="10"/>
  <c r="J661" i="10" s="1"/>
  <c r="F661" i="10"/>
  <c r="I661" i="10" s="1"/>
  <c r="E661" i="10"/>
  <c r="H661" i="10" s="1"/>
  <c r="D661" i="10"/>
  <c r="H660" i="10"/>
  <c r="G660" i="10"/>
  <c r="J660" i="10" s="1"/>
  <c r="K660" i="10" s="1"/>
  <c r="F660" i="10"/>
  <c r="I660" i="10" s="1"/>
  <c r="E660" i="10"/>
  <c r="D660" i="10"/>
  <c r="K659" i="10"/>
  <c r="G659" i="10"/>
  <c r="J659" i="10" s="1"/>
  <c r="F659" i="10"/>
  <c r="I659" i="10" s="1"/>
  <c r="E659" i="10"/>
  <c r="H659" i="10" s="1"/>
  <c r="D659" i="10"/>
  <c r="K658" i="10"/>
  <c r="G658" i="10"/>
  <c r="J658" i="10" s="1"/>
  <c r="F658" i="10"/>
  <c r="I658" i="10" s="1"/>
  <c r="E658" i="10"/>
  <c r="H658" i="10" s="1"/>
  <c r="D658" i="10"/>
  <c r="K657" i="10"/>
  <c r="G657" i="10"/>
  <c r="J657" i="10" s="1"/>
  <c r="F657" i="10"/>
  <c r="I657" i="10" s="1"/>
  <c r="E657" i="10"/>
  <c r="H657" i="10" s="1"/>
  <c r="D657" i="10"/>
  <c r="G656" i="10"/>
  <c r="J656" i="10" s="1"/>
  <c r="K656" i="10" s="1"/>
  <c r="F656" i="10"/>
  <c r="I656" i="10" s="1"/>
  <c r="E656" i="10"/>
  <c r="H656" i="10" s="1"/>
  <c r="D656" i="10"/>
  <c r="K655" i="10"/>
  <c r="G655" i="10"/>
  <c r="J655" i="10" s="1"/>
  <c r="F655" i="10"/>
  <c r="I655" i="10" s="1"/>
  <c r="E655" i="10"/>
  <c r="H655" i="10" s="1"/>
  <c r="D655" i="10"/>
  <c r="K654" i="10"/>
  <c r="G654" i="10"/>
  <c r="J654" i="10" s="1"/>
  <c r="F654" i="10"/>
  <c r="I654" i="10" s="1"/>
  <c r="E654" i="10"/>
  <c r="H654" i="10" s="1"/>
  <c r="D654" i="10"/>
  <c r="K653" i="10"/>
  <c r="G653" i="10"/>
  <c r="J653" i="10" s="1"/>
  <c r="F653" i="10"/>
  <c r="I653" i="10" s="1"/>
  <c r="E653" i="10"/>
  <c r="H653" i="10" s="1"/>
  <c r="D653" i="10"/>
  <c r="H652" i="10"/>
  <c r="G652" i="10"/>
  <c r="J652" i="10" s="1"/>
  <c r="K652" i="10" s="1"/>
  <c r="F652" i="10"/>
  <c r="I652" i="10" s="1"/>
  <c r="E652" i="10"/>
  <c r="D652" i="10"/>
  <c r="K651" i="10"/>
  <c r="H651" i="10"/>
  <c r="G651" i="10"/>
  <c r="J651" i="10" s="1"/>
  <c r="F651" i="10"/>
  <c r="I651" i="10" s="1"/>
  <c r="E651" i="10"/>
  <c r="D651" i="10"/>
  <c r="H650" i="10"/>
  <c r="G650" i="10"/>
  <c r="J650" i="10" s="1"/>
  <c r="K650" i="10" s="1"/>
  <c r="F650" i="10"/>
  <c r="I650" i="10" s="1"/>
  <c r="E650" i="10"/>
  <c r="D650" i="10"/>
  <c r="H649" i="10"/>
  <c r="F649" i="10"/>
  <c r="I649" i="10" s="1"/>
  <c r="E649" i="10"/>
  <c r="D649" i="10"/>
  <c r="G649" i="10" s="1"/>
  <c r="J649" i="10" s="1"/>
  <c r="K649" i="10" s="1"/>
  <c r="H648" i="10"/>
  <c r="F648" i="10"/>
  <c r="I648" i="10" s="1"/>
  <c r="E648" i="10"/>
  <c r="D648" i="10"/>
  <c r="G648" i="10" s="1"/>
  <c r="J648" i="10" s="1"/>
  <c r="K648" i="10" s="1"/>
  <c r="H647" i="10"/>
  <c r="F647" i="10"/>
  <c r="I647" i="10" s="1"/>
  <c r="E647" i="10"/>
  <c r="D647" i="10"/>
  <c r="G647" i="10" s="1"/>
  <c r="J647" i="10" s="1"/>
  <c r="K647" i="10" s="1"/>
  <c r="H646" i="10"/>
  <c r="F646" i="10"/>
  <c r="I646" i="10" s="1"/>
  <c r="E646" i="10"/>
  <c r="D646" i="10"/>
  <c r="G646" i="10" s="1"/>
  <c r="J646" i="10" s="1"/>
  <c r="K646" i="10" s="1"/>
  <c r="H645" i="10"/>
  <c r="F645" i="10"/>
  <c r="I645" i="10" s="1"/>
  <c r="E645" i="10"/>
  <c r="D645" i="10"/>
  <c r="G645" i="10" s="1"/>
  <c r="J645" i="10" s="1"/>
  <c r="K645" i="10" s="1"/>
  <c r="H644" i="10"/>
  <c r="F644" i="10"/>
  <c r="I644" i="10" s="1"/>
  <c r="E644" i="10"/>
  <c r="D644" i="10"/>
  <c r="G644" i="10" s="1"/>
  <c r="J644" i="10" s="1"/>
  <c r="K644" i="10" s="1"/>
  <c r="H643" i="10"/>
  <c r="F643" i="10"/>
  <c r="I643" i="10" s="1"/>
  <c r="E643" i="10"/>
  <c r="D643" i="10"/>
  <c r="G643" i="10" s="1"/>
  <c r="J643" i="10" s="1"/>
  <c r="K643" i="10" s="1"/>
  <c r="H642" i="10"/>
  <c r="F642" i="10"/>
  <c r="I642" i="10" s="1"/>
  <c r="E642" i="10"/>
  <c r="D642" i="10"/>
  <c r="G642" i="10" s="1"/>
  <c r="J642" i="10" s="1"/>
  <c r="K642" i="10" s="1"/>
  <c r="H641" i="10"/>
  <c r="F641" i="10"/>
  <c r="I641" i="10" s="1"/>
  <c r="E641" i="10"/>
  <c r="D641" i="10"/>
  <c r="G641" i="10" s="1"/>
  <c r="J641" i="10" s="1"/>
  <c r="K641" i="10" s="1"/>
  <c r="H640" i="10"/>
  <c r="F640" i="10"/>
  <c r="I640" i="10" s="1"/>
  <c r="E640" i="10"/>
  <c r="D640" i="10"/>
  <c r="G640" i="10" s="1"/>
  <c r="J640" i="10" s="1"/>
  <c r="K640" i="10" s="1"/>
  <c r="H639" i="10"/>
  <c r="F639" i="10"/>
  <c r="I639" i="10" s="1"/>
  <c r="E639" i="10"/>
  <c r="D639" i="10"/>
  <c r="G639" i="10" s="1"/>
  <c r="J639" i="10" s="1"/>
  <c r="K639" i="10" s="1"/>
  <c r="H638" i="10"/>
  <c r="F638" i="10"/>
  <c r="I638" i="10" s="1"/>
  <c r="E638" i="10"/>
  <c r="D638" i="10"/>
  <c r="G638" i="10" s="1"/>
  <c r="J638" i="10" s="1"/>
  <c r="K638" i="10" s="1"/>
  <c r="H637" i="10"/>
  <c r="F637" i="10"/>
  <c r="I637" i="10" s="1"/>
  <c r="E637" i="10"/>
  <c r="D637" i="10"/>
  <c r="G637" i="10" s="1"/>
  <c r="J637" i="10" s="1"/>
  <c r="K637" i="10" s="1"/>
  <c r="H636" i="10"/>
  <c r="F636" i="10"/>
  <c r="I636" i="10" s="1"/>
  <c r="E636" i="10"/>
  <c r="D636" i="10"/>
  <c r="G636" i="10" s="1"/>
  <c r="J636" i="10" s="1"/>
  <c r="K636" i="10" s="1"/>
  <c r="H635" i="10"/>
  <c r="F635" i="10"/>
  <c r="I635" i="10" s="1"/>
  <c r="E635" i="10"/>
  <c r="D635" i="10"/>
  <c r="G635" i="10" s="1"/>
  <c r="J635" i="10" s="1"/>
  <c r="K635" i="10" s="1"/>
  <c r="H634" i="10"/>
  <c r="F634" i="10"/>
  <c r="I634" i="10" s="1"/>
  <c r="E634" i="10"/>
  <c r="D634" i="10"/>
  <c r="G634" i="10" s="1"/>
  <c r="J634" i="10" s="1"/>
  <c r="K634" i="10" s="1"/>
  <c r="H633" i="10"/>
  <c r="F633" i="10"/>
  <c r="I633" i="10" s="1"/>
  <c r="E633" i="10"/>
  <c r="D633" i="10"/>
  <c r="G633" i="10" s="1"/>
  <c r="J633" i="10" s="1"/>
  <c r="K633" i="10" s="1"/>
  <c r="H632" i="10"/>
  <c r="F632" i="10"/>
  <c r="I632" i="10" s="1"/>
  <c r="E632" i="10"/>
  <c r="D632" i="10"/>
  <c r="G632" i="10" s="1"/>
  <c r="J632" i="10" s="1"/>
  <c r="K632" i="10" s="1"/>
  <c r="H631" i="10"/>
  <c r="F631" i="10"/>
  <c r="I631" i="10" s="1"/>
  <c r="E631" i="10"/>
  <c r="D631" i="10"/>
  <c r="G631" i="10" s="1"/>
  <c r="J631" i="10" s="1"/>
  <c r="K631" i="10" s="1"/>
  <c r="H630" i="10"/>
  <c r="F630" i="10"/>
  <c r="I630" i="10" s="1"/>
  <c r="E630" i="10"/>
  <c r="D630" i="10"/>
  <c r="G630" i="10" s="1"/>
  <c r="J630" i="10" s="1"/>
  <c r="K630" i="10" s="1"/>
  <c r="H629" i="10"/>
  <c r="F629" i="10"/>
  <c r="I629" i="10" s="1"/>
  <c r="E629" i="10"/>
  <c r="D629" i="10"/>
  <c r="G629" i="10" s="1"/>
  <c r="J629" i="10" s="1"/>
  <c r="K629" i="10" s="1"/>
  <c r="H628" i="10"/>
  <c r="F628" i="10"/>
  <c r="I628" i="10" s="1"/>
  <c r="E628" i="10"/>
  <c r="D628" i="10"/>
  <c r="G628" i="10" s="1"/>
  <c r="J628" i="10" s="1"/>
  <c r="K628" i="10" s="1"/>
  <c r="H627" i="10"/>
  <c r="F627" i="10"/>
  <c r="I627" i="10" s="1"/>
  <c r="E627" i="10"/>
  <c r="D627" i="10"/>
  <c r="G627" i="10" s="1"/>
  <c r="J627" i="10" s="1"/>
  <c r="K627" i="10" s="1"/>
  <c r="H626" i="10"/>
  <c r="F626" i="10"/>
  <c r="I626" i="10" s="1"/>
  <c r="E626" i="10"/>
  <c r="D626" i="10"/>
  <c r="G626" i="10" s="1"/>
  <c r="J626" i="10" s="1"/>
  <c r="K626" i="10" s="1"/>
  <c r="H625" i="10"/>
  <c r="F625" i="10"/>
  <c r="I625" i="10" s="1"/>
  <c r="E625" i="10"/>
  <c r="D625" i="10"/>
  <c r="G625" i="10" s="1"/>
  <c r="J625" i="10" s="1"/>
  <c r="K625" i="10" s="1"/>
  <c r="H624" i="10"/>
  <c r="F624" i="10"/>
  <c r="I624" i="10" s="1"/>
  <c r="E624" i="10"/>
  <c r="D624" i="10"/>
  <c r="G624" i="10" s="1"/>
  <c r="J624" i="10" s="1"/>
  <c r="K624" i="10" s="1"/>
  <c r="H623" i="10"/>
  <c r="F623" i="10"/>
  <c r="I623" i="10" s="1"/>
  <c r="E623" i="10"/>
  <c r="D623" i="10"/>
  <c r="G623" i="10" s="1"/>
  <c r="J623" i="10" s="1"/>
  <c r="K623" i="10" s="1"/>
  <c r="H622" i="10"/>
  <c r="F622" i="10"/>
  <c r="I622" i="10" s="1"/>
  <c r="E622" i="10"/>
  <c r="D622" i="10"/>
  <c r="G622" i="10" s="1"/>
  <c r="J622" i="10" s="1"/>
  <c r="K622" i="10" s="1"/>
  <c r="H621" i="10"/>
  <c r="F621" i="10"/>
  <c r="I621" i="10" s="1"/>
  <c r="E621" i="10"/>
  <c r="D621" i="10"/>
  <c r="G621" i="10" s="1"/>
  <c r="J621" i="10" s="1"/>
  <c r="K621" i="10" s="1"/>
  <c r="H620" i="10"/>
  <c r="F620" i="10"/>
  <c r="I620" i="10" s="1"/>
  <c r="E620" i="10"/>
  <c r="D620" i="10"/>
  <c r="G620" i="10" s="1"/>
  <c r="J620" i="10" s="1"/>
  <c r="K620" i="10" s="1"/>
  <c r="H619" i="10"/>
  <c r="F619" i="10"/>
  <c r="I619" i="10" s="1"/>
  <c r="E619" i="10"/>
  <c r="D619" i="10"/>
  <c r="G619" i="10" s="1"/>
  <c r="J619" i="10" s="1"/>
  <c r="K619" i="10" s="1"/>
  <c r="H618" i="10"/>
  <c r="F618" i="10"/>
  <c r="I618" i="10" s="1"/>
  <c r="E618" i="10"/>
  <c r="D618" i="10"/>
  <c r="G618" i="10" s="1"/>
  <c r="J618" i="10" s="1"/>
  <c r="K618" i="10" s="1"/>
  <c r="H617" i="10"/>
  <c r="F617" i="10"/>
  <c r="I617" i="10" s="1"/>
  <c r="E617" i="10"/>
  <c r="D617" i="10"/>
  <c r="G617" i="10" s="1"/>
  <c r="J617" i="10" s="1"/>
  <c r="K617" i="10" s="1"/>
  <c r="H616" i="10"/>
  <c r="F616" i="10"/>
  <c r="I616" i="10" s="1"/>
  <c r="E616" i="10"/>
  <c r="D616" i="10"/>
  <c r="G616" i="10" s="1"/>
  <c r="J616" i="10" s="1"/>
  <c r="K616" i="10" s="1"/>
  <c r="H615" i="10"/>
  <c r="F615" i="10"/>
  <c r="I615" i="10" s="1"/>
  <c r="E615" i="10"/>
  <c r="D615" i="10"/>
  <c r="G615" i="10" s="1"/>
  <c r="J615" i="10" s="1"/>
  <c r="K615" i="10" s="1"/>
  <c r="H614" i="10"/>
  <c r="F614" i="10"/>
  <c r="I614" i="10" s="1"/>
  <c r="E614" i="10"/>
  <c r="D614" i="10"/>
  <c r="G614" i="10" s="1"/>
  <c r="J614" i="10" s="1"/>
  <c r="K614" i="10" s="1"/>
  <c r="H613" i="10"/>
  <c r="F613" i="10"/>
  <c r="I613" i="10" s="1"/>
  <c r="E613" i="10"/>
  <c r="D613" i="10"/>
  <c r="G613" i="10" s="1"/>
  <c r="J613" i="10" s="1"/>
  <c r="K613" i="10" s="1"/>
  <c r="H612" i="10"/>
  <c r="F612" i="10"/>
  <c r="I612" i="10" s="1"/>
  <c r="E612" i="10"/>
  <c r="D612" i="10"/>
  <c r="G612" i="10" s="1"/>
  <c r="J612" i="10" s="1"/>
  <c r="K612" i="10" s="1"/>
  <c r="H611" i="10"/>
  <c r="F611" i="10"/>
  <c r="I611" i="10" s="1"/>
  <c r="E611" i="10"/>
  <c r="D611" i="10"/>
  <c r="G611" i="10" s="1"/>
  <c r="J611" i="10" s="1"/>
  <c r="K611" i="10" s="1"/>
  <c r="H610" i="10"/>
  <c r="F610" i="10"/>
  <c r="I610" i="10" s="1"/>
  <c r="E610" i="10"/>
  <c r="D610" i="10"/>
  <c r="G610" i="10" s="1"/>
  <c r="J610" i="10" s="1"/>
  <c r="K610" i="10" s="1"/>
  <c r="H609" i="10"/>
  <c r="F609" i="10"/>
  <c r="I609" i="10" s="1"/>
  <c r="E609" i="10"/>
  <c r="D609" i="10"/>
  <c r="G609" i="10" s="1"/>
  <c r="J609" i="10" s="1"/>
  <c r="K609" i="10" s="1"/>
  <c r="H608" i="10"/>
  <c r="F608" i="10"/>
  <c r="I608" i="10" s="1"/>
  <c r="E608" i="10"/>
  <c r="D608" i="10"/>
  <c r="G608" i="10" s="1"/>
  <c r="J608" i="10" s="1"/>
  <c r="K608" i="10" s="1"/>
  <c r="H607" i="10"/>
  <c r="F607" i="10"/>
  <c r="I607" i="10" s="1"/>
  <c r="E607" i="10"/>
  <c r="D607" i="10"/>
  <c r="G607" i="10" s="1"/>
  <c r="J607" i="10" s="1"/>
  <c r="K607" i="10" s="1"/>
  <c r="H606" i="10"/>
  <c r="F606" i="10"/>
  <c r="I606" i="10" s="1"/>
  <c r="E606" i="10"/>
  <c r="D606" i="10"/>
  <c r="G606" i="10" s="1"/>
  <c r="J606" i="10" s="1"/>
  <c r="K606" i="10" s="1"/>
  <c r="H605" i="10"/>
  <c r="F605" i="10"/>
  <c r="I605" i="10" s="1"/>
  <c r="E605" i="10"/>
  <c r="D605" i="10"/>
  <c r="G605" i="10" s="1"/>
  <c r="J605" i="10" s="1"/>
  <c r="K605" i="10" s="1"/>
  <c r="H604" i="10"/>
  <c r="F604" i="10"/>
  <c r="I604" i="10" s="1"/>
  <c r="E604" i="10"/>
  <c r="D604" i="10"/>
  <c r="G604" i="10" s="1"/>
  <c r="J604" i="10" s="1"/>
  <c r="K604" i="10" s="1"/>
  <c r="H603" i="10"/>
  <c r="F603" i="10"/>
  <c r="I603" i="10" s="1"/>
  <c r="E603" i="10"/>
  <c r="D603" i="10"/>
  <c r="G603" i="10" s="1"/>
  <c r="J603" i="10" s="1"/>
  <c r="K603" i="10" s="1"/>
  <c r="H602" i="10"/>
  <c r="F602" i="10"/>
  <c r="I602" i="10" s="1"/>
  <c r="E602" i="10"/>
  <c r="D602" i="10"/>
  <c r="G602" i="10" s="1"/>
  <c r="J602" i="10" s="1"/>
  <c r="K602" i="10" s="1"/>
  <c r="H601" i="10"/>
  <c r="F601" i="10"/>
  <c r="I601" i="10" s="1"/>
  <c r="E601" i="10"/>
  <c r="D601" i="10"/>
  <c r="G601" i="10" s="1"/>
  <c r="J601" i="10" s="1"/>
  <c r="K601" i="10" s="1"/>
  <c r="H600" i="10"/>
  <c r="F600" i="10"/>
  <c r="I600" i="10" s="1"/>
  <c r="E600" i="10"/>
  <c r="D600" i="10"/>
  <c r="G600" i="10" s="1"/>
  <c r="J600" i="10" s="1"/>
  <c r="K600" i="10" s="1"/>
  <c r="H599" i="10"/>
  <c r="F599" i="10"/>
  <c r="I599" i="10" s="1"/>
  <c r="E599" i="10"/>
  <c r="D599" i="10"/>
  <c r="G599" i="10" s="1"/>
  <c r="J599" i="10" s="1"/>
  <c r="K599" i="10" s="1"/>
  <c r="H598" i="10"/>
  <c r="F598" i="10"/>
  <c r="I598" i="10" s="1"/>
  <c r="E598" i="10"/>
  <c r="D598" i="10"/>
  <c r="G598" i="10" s="1"/>
  <c r="J598" i="10" s="1"/>
  <c r="K598" i="10" s="1"/>
  <c r="H597" i="10"/>
  <c r="F597" i="10"/>
  <c r="I597" i="10" s="1"/>
  <c r="E597" i="10"/>
  <c r="D597" i="10"/>
  <c r="G597" i="10" s="1"/>
  <c r="J597" i="10" s="1"/>
  <c r="K597" i="10" s="1"/>
  <c r="H596" i="10"/>
  <c r="F596" i="10"/>
  <c r="I596" i="10" s="1"/>
  <c r="E596" i="10"/>
  <c r="D596" i="10"/>
  <c r="G596" i="10" s="1"/>
  <c r="J596" i="10" s="1"/>
  <c r="K596" i="10" s="1"/>
  <c r="H595" i="10"/>
  <c r="F595" i="10"/>
  <c r="I595" i="10" s="1"/>
  <c r="E595" i="10"/>
  <c r="D595" i="10"/>
  <c r="G595" i="10" s="1"/>
  <c r="J595" i="10" s="1"/>
  <c r="K595" i="10" s="1"/>
  <c r="H594" i="10"/>
  <c r="F594" i="10"/>
  <c r="I594" i="10" s="1"/>
  <c r="E594" i="10"/>
  <c r="D594" i="10"/>
  <c r="G594" i="10" s="1"/>
  <c r="J594" i="10" s="1"/>
  <c r="K594" i="10" s="1"/>
  <c r="H593" i="10"/>
  <c r="F593" i="10"/>
  <c r="I593" i="10" s="1"/>
  <c r="E593" i="10"/>
  <c r="D593" i="10"/>
  <c r="G593" i="10" s="1"/>
  <c r="J593" i="10" s="1"/>
  <c r="K593" i="10" s="1"/>
  <c r="H592" i="10"/>
  <c r="F592" i="10"/>
  <c r="I592" i="10" s="1"/>
  <c r="E592" i="10"/>
  <c r="D592" i="10"/>
  <c r="G592" i="10" s="1"/>
  <c r="J592" i="10" s="1"/>
  <c r="K592" i="10" s="1"/>
  <c r="H591" i="10"/>
  <c r="F591" i="10"/>
  <c r="I591" i="10" s="1"/>
  <c r="E591" i="10"/>
  <c r="D591" i="10"/>
  <c r="G591" i="10" s="1"/>
  <c r="J591" i="10" s="1"/>
  <c r="K591" i="10" s="1"/>
  <c r="H590" i="10"/>
  <c r="F590" i="10"/>
  <c r="I590" i="10" s="1"/>
  <c r="E590" i="10"/>
  <c r="D590" i="10"/>
  <c r="G590" i="10" s="1"/>
  <c r="J590" i="10" s="1"/>
  <c r="K590" i="10" s="1"/>
  <c r="H589" i="10"/>
  <c r="F589" i="10"/>
  <c r="I589" i="10" s="1"/>
  <c r="E589" i="10"/>
  <c r="D589" i="10"/>
  <c r="G589" i="10" s="1"/>
  <c r="J589" i="10" s="1"/>
  <c r="K589" i="10" s="1"/>
  <c r="H588" i="10"/>
  <c r="F588" i="10"/>
  <c r="I588" i="10" s="1"/>
  <c r="E588" i="10"/>
  <c r="D588" i="10"/>
  <c r="G588" i="10" s="1"/>
  <c r="J588" i="10" s="1"/>
  <c r="K588" i="10" s="1"/>
  <c r="H587" i="10"/>
  <c r="F587" i="10"/>
  <c r="I587" i="10" s="1"/>
  <c r="E587" i="10"/>
  <c r="D587" i="10"/>
  <c r="G587" i="10" s="1"/>
  <c r="J587" i="10" s="1"/>
  <c r="K587" i="10" s="1"/>
  <c r="H586" i="10"/>
  <c r="F586" i="10"/>
  <c r="I586" i="10" s="1"/>
  <c r="E586" i="10"/>
  <c r="D586" i="10"/>
  <c r="G586" i="10" s="1"/>
  <c r="J586" i="10" s="1"/>
  <c r="K586" i="10" s="1"/>
  <c r="H585" i="10"/>
  <c r="F585" i="10"/>
  <c r="I585" i="10" s="1"/>
  <c r="E585" i="10"/>
  <c r="D585" i="10"/>
  <c r="G585" i="10" s="1"/>
  <c r="J585" i="10" s="1"/>
  <c r="K585" i="10" s="1"/>
  <c r="H584" i="10"/>
  <c r="F584" i="10"/>
  <c r="I584" i="10" s="1"/>
  <c r="E584" i="10"/>
  <c r="D584" i="10"/>
  <c r="G584" i="10" s="1"/>
  <c r="J584" i="10" s="1"/>
  <c r="K584" i="10" s="1"/>
  <c r="H583" i="10"/>
  <c r="F583" i="10"/>
  <c r="I583" i="10" s="1"/>
  <c r="E583" i="10"/>
  <c r="D583" i="10"/>
  <c r="G583" i="10" s="1"/>
  <c r="J583" i="10" s="1"/>
  <c r="K583" i="10" s="1"/>
  <c r="H582" i="10"/>
  <c r="F582" i="10"/>
  <c r="I582" i="10" s="1"/>
  <c r="E582" i="10"/>
  <c r="D582" i="10"/>
  <c r="G582" i="10" s="1"/>
  <c r="J582" i="10" s="1"/>
  <c r="K582" i="10" s="1"/>
  <c r="H581" i="10"/>
  <c r="F581" i="10"/>
  <c r="I581" i="10" s="1"/>
  <c r="E581" i="10"/>
  <c r="D581" i="10"/>
  <c r="G581" i="10" s="1"/>
  <c r="J581" i="10" s="1"/>
  <c r="K581" i="10" s="1"/>
  <c r="H580" i="10"/>
  <c r="F580" i="10"/>
  <c r="I580" i="10" s="1"/>
  <c r="E580" i="10"/>
  <c r="D580" i="10"/>
  <c r="G580" i="10" s="1"/>
  <c r="J580" i="10" s="1"/>
  <c r="K580" i="10" s="1"/>
  <c r="H579" i="10"/>
  <c r="F579" i="10"/>
  <c r="I579" i="10" s="1"/>
  <c r="E579" i="10"/>
  <c r="D579" i="10"/>
  <c r="G579" i="10" s="1"/>
  <c r="J579" i="10" s="1"/>
  <c r="K579" i="10" s="1"/>
  <c r="H578" i="10"/>
  <c r="F578" i="10"/>
  <c r="I578" i="10" s="1"/>
  <c r="E578" i="10"/>
  <c r="D578" i="10"/>
  <c r="G578" i="10" s="1"/>
  <c r="J578" i="10" s="1"/>
  <c r="K578" i="10" s="1"/>
  <c r="H577" i="10"/>
  <c r="F577" i="10"/>
  <c r="I577" i="10" s="1"/>
  <c r="E577" i="10"/>
  <c r="D577" i="10"/>
  <c r="G577" i="10" s="1"/>
  <c r="J577" i="10" s="1"/>
  <c r="K577" i="10" s="1"/>
  <c r="H576" i="10"/>
  <c r="F576" i="10"/>
  <c r="I576" i="10" s="1"/>
  <c r="E576" i="10"/>
  <c r="D576" i="10"/>
  <c r="G576" i="10" s="1"/>
  <c r="J576" i="10" s="1"/>
  <c r="K576" i="10" s="1"/>
  <c r="H575" i="10"/>
  <c r="F575" i="10"/>
  <c r="I575" i="10" s="1"/>
  <c r="E575" i="10"/>
  <c r="D575" i="10"/>
  <c r="G575" i="10" s="1"/>
  <c r="J575" i="10" s="1"/>
  <c r="K575" i="10" s="1"/>
  <c r="H574" i="10"/>
  <c r="F574" i="10"/>
  <c r="I574" i="10" s="1"/>
  <c r="E574" i="10"/>
  <c r="D574" i="10"/>
  <c r="G574" i="10" s="1"/>
  <c r="J574" i="10" s="1"/>
  <c r="K574" i="10" s="1"/>
  <c r="H573" i="10"/>
  <c r="F573" i="10"/>
  <c r="I573" i="10" s="1"/>
  <c r="E573" i="10"/>
  <c r="D573" i="10"/>
  <c r="G573" i="10" s="1"/>
  <c r="J573" i="10" s="1"/>
  <c r="K573" i="10" s="1"/>
  <c r="H572" i="10"/>
  <c r="F572" i="10"/>
  <c r="I572" i="10" s="1"/>
  <c r="E572" i="10"/>
  <c r="D572" i="10"/>
  <c r="G572" i="10" s="1"/>
  <c r="J572" i="10" s="1"/>
  <c r="K572" i="10" s="1"/>
  <c r="H571" i="10"/>
  <c r="F571" i="10"/>
  <c r="I571" i="10" s="1"/>
  <c r="E571" i="10"/>
  <c r="D571" i="10"/>
  <c r="G571" i="10" s="1"/>
  <c r="J571" i="10" s="1"/>
  <c r="K571" i="10" s="1"/>
  <c r="H570" i="10"/>
  <c r="F570" i="10"/>
  <c r="I570" i="10" s="1"/>
  <c r="E570" i="10"/>
  <c r="D570" i="10"/>
  <c r="G570" i="10" s="1"/>
  <c r="J570" i="10" s="1"/>
  <c r="K570" i="10" s="1"/>
  <c r="H569" i="10"/>
  <c r="F569" i="10"/>
  <c r="I569" i="10" s="1"/>
  <c r="E569" i="10"/>
  <c r="D569" i="10"/>
  <c r="G569" i="10" s="1"/>
  <c r="J569" i="10" s="1"/>
  <c r="K569" i="10" s="1"/>
  <c r="H568" i="10"/>
  <c r="F568" i="10"/>
  <c r="I568" i="10" s="1"/>
  <c r="E568" i="10"/>
  <c r="D568" i="10"/>
  <c r="G568" i="10" s="1"/>
  <c r="J568" i="10" s="1"/>
  <c r="K568" i="10" s="1"/>
  <c r="H567" i="10"/>
  <c r="F567" i="10"/>
  <c r="I567" i="10" s="1"/>
  <c r="E567" i="10"/>
  <c r="D567" i="10"/>
  <c r="G567" i="10" s="1"/>
  <c r="J567" i="10" s="1"/>
  <c r="K567" i="10" s="1"/>
  <c r="H566" i="10"/>
  <c r="F566" i="10"/>
  <c r="I566" i="10" s="1"/>
  <c r="E566" i="10"/>
  <c r="D566" i="10"/>
  <c r="G566" i="10" s="1"/>
  <c r="J566" i="10" s="1"/>
  <c r="K566" i="10" s="1"/>
  <c r="H565" i="10"/>
  <c r="F565" i="10"/>
  <c r="I565" i="10" s="1"/>
  <c r="E565" i="10"/>
  <c r="D565" i="10"/>
  <c r="G565" i="10" s="1"/>
  <c r="J565" i="10" s="1"/>
  <c r="K565" i="10" s="1"/>
  <c r="H564" i="10"/>
  <c r="F564" i="10"/>
  <c r="I564" i="10" s="1"/>
  <c r="E564" i="10"/>
  <c r="D564" i="10"/>
  <c r="G564" i="10" s="1"/>
  <c r="J564" i="10" s="1"/>
  <c r="K564" i="10" s="1"/>
  <c r="H563" i="10"/>
  <c r="F563" i="10"/>
  <c r="I563" i="10" s="1"/>
  <c r="E563" i="10"/>
  <c r="D563" i="10"/>
  <c r="G563" i="10" s="1"/>
  <c r="J563" i="10" s="1"/>
  <c r="K563" i="10" s="1"/>
  <c r="H562" i="10"/>
  <c r="F562" i="10"/>
  <c r="I562" i="10" s="1"/>
  <c r="E562" i="10"/>
  <c r="D562" i="10"/>
  <c r="G562" i="10" s="1"/>
  <c r="J562" i="10" s="1"/>
  <c r="K562" i="10" s="1"/>
  <c r="H561" i="10"/>
  <c r="F561" i="10"/>
  <c r="I561" i="10" s="1"/>
  <c r="E561" i="10"/>
  <c r="D561" i="10"/>
  <c r="G561" i="10" s="1"/>
  <c r="J561" i="10" s="1"/>
  <c r="K561" i="10" s="1"/>
  <c r="H560" i="10"/>
  <c r="F560" i="10"/>
  <c r="I560" i="10" s="1"/>
  <c r="E560" i="10"/>
  <c r="D560" i="10"/>
  <c r="G560" i="10" s="1"/>
  <c r="J560" i="10" s="1"/>
  <c r="K560" i="10" s="1"/>
  <c r="H559" i="10"/>
  <c r="F559" i="10"/>
  <c r="I559" i="10" s="1"/>
  <c r="E559" i="10"/>
  <c r="D559" i="10"/>
  <c r="G559" i="10" s="1"/>
  <c r="J559" i="10" s="1"/>
  <c r="K559" i="10" s="1"/>
  <c r="H558" i="10"/>
  <c r="F558" i="10"/>
  <c r="I558" i="10" s="1"/>
  <c r="E558" i="10"/>
  <c r="D558" i="10"/>
  <c r="G558" i="10" s="1"/>
  <c r="J558" i="10" s="1"/>
  <c r="K558" i="10" s="1"/>
  <c r="H557" i="10"/>
  <c r="F557" i="10"/>
  <c r="I557" i="10" s="1"/>
  <c r="E557" i="10"/>
  <c r="D557" i="10"/>
  <c r="G557" i="10" s="1"/>
  <c r="J557" i="10" s="1"/>
  <c r="K557" i="10" s="1"/>
  <c r="H556" i="10"/>
  <c r="F556" i="10"/>
  <c r="I556" i="10" s="1"/>
  <c r="E556" i="10"/>
  <c r="D556" i="10"/>
  <c r="G556" i="10" s="1"/>
  <c r="J556" i="10" s="1"/>
  <c r="K556" i="10" s="1"/>
  <c r="H555" i="10"/>
  <c r="F555" i="10"/>
  <c r="I555" i="10" s="1"/>
  <c r="E555" i="10"/>
  <c r="D555" i="10"/>
  <c r="G555" i="10" s="1"/>
  <c r="J555" i="10" s="1"/>
  <c r="K555" i="10" s="1"/>
  <c r="H554" i="10"/>
  <c r="F554" i="10"/>
  <c r="I554" i="10" s="1"/>
  <c r="E554" i="10"/>
  <c r="D554" i="10"/>
  <c r="G554" i="10" s="1"/>
  <c r="J554" i="10" s="1"/>
  <c r="K554" i="10" s="1"/>
  <c r="H553" i="10"/>
  <c r="G553" i="10"/>
  <c r="J553" i="10" s="1"/>
  <c r="K553" i="10" s="1"/>
  <c r="F553" i="10"/>
  <c r="I553" i="10" s="1"/>
  <c r="E553" i="10"/>
  <c r="D553" i="10"/>
  <c r="H552" i="10"/>
  <c r="F552" i="10"/>
  <c r="I552" i="10" s="1"/>
  <c r="E552" i="10"/>
  <c r="D552" i="10"/>
  <c r="G552" i="10" s="1"/>
  <c r="H551" i="10"/>
  <c r="F551" i="10"/>
  <c r="I551" i="10" s="1"/>
  <c r="E551" i="10"/>
  <c r="D551" i="10"/>
  <c r="G551" i="10" s="1"/>
  <c r="J551" i="10" s="1"/>
  <c r="K551" i="10" s="1"/>
  <c r="H550" i="10"/>
  <c r="F550" i="10"/>
  <c r="I550" i="10" s="1"/>
  <c r="E550" i="10"/>
  <c r="D550" i="10"/>
  <c r="G550" i="10" s="1"/>
  <c r="J550" i="10" s="1"/>
  <c r="K550" i="10" s="1"/>
  <c r="H549" i="10"/>
  <c r="G549" i="10"/>
  <c r="J549" i="10" s="1"/>
  <c r="K549" i="10" s="1"/>
  <c r="F549" i="10"/>
  <c r="I549" i="10" s="1"/>
  <c r="E549" i="10"/>
  <c r="D549" i="10"/>
  <c r="H548" i="10"/>
  <c r="F548" i="10"/>
  <c r="I548" i="10" s="1"/>
  <c r="E548" i="10"/>
  <c r="D548" i="10"/>
  <c r="G548" i="10" s="1"/>
  <c r="H547" i="10"/>
  <c r="F547" i="10"/>
  <c r="I547" i="10" s="1"/>
  <c r="E547" i="10"/>
  <c r="D547" i="10"/>
  <c r="G547" i="10" s="1"/>
  <c r="J547" i="10" s="1"/>
  <c r="K547" i="10" s="1"/>
  <c r="H546" i="10"/>
  <c r="F546" i="10"/>
  <c r="I546" i="10" s="1"/>
  <c r="E546" i="10"/>
  <c r="D546" i="10"/>
  <c r="G546" i="10" s="1"/>
  <c r="J546" i="10" s="1"/>
  <c r="K546" i="10" s="1"/>
  <c r="H545" i="10"/>
  <c r="G545" i="10"/>
  <c r="J545" i="10" s="1"/>
  <c r="K545" i="10" s="1"/>
  <c r="F545" i="10"/>
  <c r="I545" i="10" s="1"/>
  <c r="E545" i="10"/>
  <c r="D545" i="10"/>
  <c r="H544" i="10"/>
  <c r="F544" i="10"/>
  <c r="I544" i="10" s="1"/>
  <c r="E544" i="10"/>
  <c r="D544" i="10"/>
  <c r="G544" i="10" s="1"/>
  <c r="J544" i="10" s="1"/>
  <c r="K544" i="10" s="1"/>
  <c r="H543" i="10"/>
  <c r="F543" i="10"/>
  <c r="I543" i="10" s="1"/>
  <c r="E543" i="10"/>
  <c r="D543" i="10"/>
  <c r="G543" i="10" s="1"/>
  <c r="J543" i="10" s="1"/>
  <c r="K543" i="10" s="1"/>
  <c r="H542" i="10"/>
  <c r="F542" i="10"/>
  <c r="I542" i="10" s="1"/>
  <c r="E542" i="10"/>
  <c r="D542" i="10"/>
  <c r="G542" i="10" s="1"/>
  <c r="J542" i="10" s="1"/>
  <c r="K542" i="10" s="1"/>
  <c r="H541" i="10"/>
  <c r="G541" i="10"/>
  <c r="J541" i="10" s="1"/>
  <c r="K541" i="10" s="1"/>
  <c r="F541" i="10"/>
  <c r="I541" i="10" s="1"/>
  <c r="E541" i="10"/>
  <c r="D541" i="10"/>
  <c r="H540" i="10"/>
  <c r="F540" i="10"/>
  <c r="I540" i="10" s="1"/>
  <c r="E540" i="10"/>
  <c r="D540" i="10"/>
  <c r="G540" i="10" s="1"/>
  <c r="J540" i="10" s="1"/>
  <c r="K540" i="10" s="1"/>
  <c r="H539" i="10"/>
  <c r="F539" i="10"/>
  <c r="I539" i="10" s="1"/>
  <c r="E539" i="10"/>
  <c r="D539" i="10"/>
  <c r="G539" i="10" s="1"/>
  <c r="J539" i="10" s="1"/>
  <c r="K539" i="10" s="1"/>
  <c r="H538" i="10"/>
  <c r="F538" i="10"/>
  <c r="I538" i="10" s="1"/>
  <c r="E538" i="10"/>
  <c r="D538" i="10"/>
  <c r="G538" i="10" s="1"/>
  <c r="J538" i="10" s="1"/>
  <c r="K538" i="10" s="1"/>
  <c r="H537" i="10"/>
  <c r="G537" i="10"/>
  <c r="J537" i="10" s="1"/>
  <c r="K537" i="10" s="1"/>
  <c r="F537" i="10"/>
  <c r="I537" i="10" s="1"/>
  <c r="E537" i="10"/>
  <c r="D537" i="10"/>
  <c r="H536" i="10"/>
  <c r="F536" i="10"/>
  <c r="I536" i="10" s="1"/>
  <c r="E536" i="10"/>
  <c r="D536" i="10"/>
  <c r="G536" i="10" s="1"/>
  <c r="H535" i="10"/>
  <c r="F535" i="10"/>
  <c r="I535" i="10" s="1"/>
  <c r="E535" i="10"/>
  <c r="D535" i="10"/>
  <c r="G535" i="10" s="1"/>
  <c r="J535" i="10" s="1"/>
  <c r="K535" i="10" s="1"/>
  <c r="H534" i="10"/>
  <c r="F534" i="10"/>
  <c r="I534" i="10" s="1"/>
  <c r="E534" i="10"/>
  <c r="D534" i="10"/>
  <c r="G534" i="10" s="1"/>
  <c r="J534" i="10" s="1"/>
  <c r="K534" i="10" s="1"/>
  <c r="H533" i="10"/>
  <c r="G533" i="10"/>
  <c r="J533" i="10" s="1"/>
  <c r="K533" i="10" s="1"/>
  <c r="F533" i="10"/>
  <c r="I533" i="10" s="1"/>
  <c r="E533" i="10"/>
  <c r="D533" i="10"/>
  <c r="H532" i="10"/>
  <c r="F532" i="10"/>
  <c r="I532" i="10" s="1"/>
  <c r="E532" i="10"/>
  <c r="D532" i="10"/>
  <c r="G532" i="10" s="1"/>
  <c r="H531" i="10"/>
  <c r="F531" i="10"/>
  <c r="I531" i="10" s="1"/>
  <c r="E531" i="10"/>
  <c r="D531" i="10"/>
  <c r="G531" i="10" s="1"/>
  <c r="J531" i="10" s="1"/>
  <c r="K531" i="10" s="1"/>
  <c r="H530" i="10"/>
  <c r="F530" i="10"/>
  <c r="I530" i="10" s="1"/>
  <c r="E530" i="10"/>
  <c r="D530" i="10"/>
  <c r="G530" i="10" s="1"/>
  <c r="J530" i="10" s="1"/>
  <c r="K530" i="10" s="1"/>
  <c r="H529" i="10"/>
  <c r="G529" i="10"/>
  <c r="J529" i="10" s="1"/>
  <c r="K529" i="10" s="1"/>
  <c r="F529" i="10"/>
  <c r="I529" i="10" s="1"/>
  <c r="E529" i="10"/>
  <c r="D529" i="10"/>
  <c r="H528" i="10"/>
  <c r="F528" i="10"/>
  <c r="I528" i="10" s="1"/>
  <c r="E528" i="10"/>
  <c r="D528" i="10"/>
  <c r="G528" i="10" s="1"/>
  <c r="J528" i="10" s="1"/>
  <c r="K528" i="10" s="1"/>
  <c r="H527" i="10"/>
  <c r="F527" i="10"/>
  <c r="I527" i="10" s="1"/>
  <c r="E527" i="10"/>
  <c r="D527" i="10"/>
  <c r="G527" i="10" s="1"/>
  <c r="J527" i="10" s="1"/>
  <c r="K527" i="10" s="1"/>
  <c r="H526" i="10"/>
  <c r="F526" i="10"/>
  <c r="I526" i="10" s="1"/>
  <c r="E526" i="10"/>
  <c r="D526" i="10"/>
  <c r="G526" i="10" s="1"/>
  <c r="J526" i="10" s="1"/>
  <c r="K526" i="10" s="1"/>
  <c r="H525" i="10"/>
  <c r="G525" i="10"/>
  <c r="J525" i="10" s="1"/>
  <c r="K525" i="10" s="1"/>
  <c r="F525" i="10"/>
  <c r="I525" i="10" s="1"/>
  <c r="E525" i="10"/>
  <c r="D525" i="10"/>
  <c r="H524" i="10"/>
  <c r="F524" i="10"/>
  <c r="I524" i="10" s="1"/>
  <c r="E524" i="10"/>
  <c r="D524" i="10"/>
  <c r="G524" i="10" s="1"/>
  <c r="J524" i="10" s="1"/>
  <c r="K524" i="10" s="1"/>
  <c r="H523" i="10"/>
  <c r="F523" i="10"/>
  <c r="I523" i="10" s="1"/>
  <c r="E523" i="10"/>
  <c r="D523" i="10"/>
  <c r="G523" i="10" s="1"/>
  <c r="J523" i="10" s="1"/>
  <c r="K523" i="10" s="1"/>
  <c r="H522" i="10"/>
  <c r="F522" i="10"/>
  <c r="I522" i="10" s="1"/>
  <c r="E522" i="10"/>
  <c r="D522" i="10"/>
  <c r="G522" i="10" s="1"/>
  <c r="J522" i="10" s="1"/>
  <c r="K522" i="10" s="1"/>
  <c r="H521" i="10"/>
  <c r="G521" i="10"/>
  <c r="J521" i="10" s="1"/>
  <c r="K521" i="10" s="1"/>
  <c r="F521" i="10"/>
  <c r="I521" i="10" s="1"/>
  <c r="E521" i="10"/>
  <c r="D521" i="10"/>
  <c r="H520" i="10"/>
  <c r="F520" i="10"/>
  <c r="I520" i="10" s="1"/>
  <c r="E520" i="10"/>
  <c r="D520" i="10"/>
  <c r="G520" i="10" s="1"/>
  <c r="H519" i="10"/>
  <c r="F519" i="10"/>
  <c r="I519" i="10" s="1"/>
  <c r="E519" i="10"/>
  <c r="D519" i="10"/>
  <c r="G519" i="10" s="1"/>
  <c r="J519" i="10" s="1"/>
  <c r="K519" i="10" s="1"/>
  <c r="H518" i="10"/>
  <c r="F518" i="10"/>
  <c r="I518" i="10" s="1"/>
  <c r="E518" i="10"/>
  <c r="D518" i="10"/>
  <c r="G518" i="10" s="1"/>
  <c r="J518" i="10" s="1"/>
  <c r="K518" i="10" s="1"/>
  <c r="H517" i="10"/>
  <c r="G517" i="10"/>
  <c r="J517" i="10" s="1"/>
  <c r="K517" i="10" s="1"/>
  <c r="F517" i="10"/>
  <c r="I517" i="10" s="1"/>
  <c r="E517" i="10"/>
  <c r="D517" i="10"/>
  <c r="H516" i="10"/>
  <c r="F516" i="10"/>
  <c r="I516" i="10" s="1"/>
  <c r="E516" i="10"/>
  <c r="D516" i="10"/>
  <c r="G516" i="10" s="1"/>
  <c r="H515" i="10"/>
  <c r="F515" i="10"/>
  <c r="I515" i="10" s="1"/>
  <c r="E515" i="10"/>
  <c r="D515" i="10"/>
  <c r="G515" i="10" s="1"/>
  <c r="J515" i="10" s="1"/>
  <c r="K515" i="10" s="1"/>
  <c r="H514" i="10"/>
  <c r="F514" i="10"/>
  <c r="I514" i="10" s="1"/>
  <c r="E514" i="10"/>
  <c r="D514" i="10"/>
  <c r="G514" i="10" s="1"/>
  <c r="J514" i="10" s="1"/>
  <c r="K514" i="10" s="1"/>
  <c r="H513" i="10"/>
  <c r="G513" i="10"/>
  <c r="J513" i="10" s="1"/>
  <c r="K513" i="10" s="1"/>
  <c r="F513" i="10"/>
  <c r="I513" i="10" s="1"/>
  <c r="E513" i="10"/>
  <c r="D513" i="10"/>
  <c r="H512" i="10"/>
  <c r="F512" i="10"/>
  <c r="I512" i="10" s="1"/>
  <c r="E512" i="10"/>
  <c r="D512" i="10"/>
  <c r="G512" i="10" s="1"/>
  <c r="J512" i="10" s="1"/>
  <c r="K512" i="10" s="1"/>
  <c r="H511" i="10"/>
  <c r="F511" i="10"/>
  <c r="I511" i="10" s="1"/>
  <c r="E511" i="10"/>
  <c r="D511" i="10"/>
  <c r="G511" i="10" s="1"/>
  <c r="J511" i="10" s="1"/>
  <c r="K511" i="10" s="1"/>
  <c r="H510" i="10"/>
  <c r="G510" i="10"/>
  <c r="J510" i="10" s="1"/>
  <c r="K510" i="10" s="1"/>
  <c r="F510" i="10"/>
  <c r="I510" i="10" s="1"/>
  <c r="E510" i="10"/>
  <c r="D510" i="10"/>
  <c r="H509" i="10"/>
  <c r="G509" i="10"/>
  <c r="F509" i="10"/>
  <c r="I509" i="10" s="1"/>
  <c r="E509" i="10"/>
  <c r="D509" i="10"/>
  <c r="H508" i="10"/>
  <c r="F508" i="10"/>
  <c r="I508" i="10" s="1"/>
  <c r="E508" i="10"/>
  <c r="D508" i="10"/>
  <c r="G508" i="10" s="1"/>
  <c r="H507" i="10"/>
  <c r="F507" i="10"/>
  <c r="I507" i="10" s="1"/>
  <c r="E507" i="10"/>
  <c r="D507" i="10"/>
  <c r="G507" i="10" s="1"/>
  <c r="J507" i="10" s="1"/>
  <c r="K507" i="10" s="1"/>
  <c r="H506" i="10"/>
  <c r="F506" i="10"/>
  <c r="I506" i="10" s="1"/>
  <c r="E506" i="10"/>
  <c r="D506" i="10"/>
  <c r="G506" i="10" s="1"/>
  <c r="J506" i="10" s="1"/>
  <c r="K506" i="10" s="1"/>
  <c r="H505" i="10"/>
  <c r="G505" i="10"/>
  <c r="F505" i="10"/>
  <c r="I505" i="10" s="1"/>
  <c r="E505" i="10"/>
  <c r="D505" i="10"/>
  <c r="H504" i="10"/>
  <c r="F504" i="10"/>
  <c r="I504" i="10" s="1"/>
  <c r="E504" i="10"/>
  <c r="D504" i="10"/>
  <c r="G504" i="10" s="1"/>
  <c r="J504" i="10" s="1"/>
  <c r="K504" i="10" s="1"/>
  <c r="H503" i="10"/>
  <c r="F503" i="10"/>
  <c r="I503" i="10" s="1"/>
  <c r="E503" i="10"/>
  <c r="D503" i="10"/>
  <c r="G503" i="10" s="1"/>
  <c r="J503" i="10" s="1"/>
  <c r="K503" i="10" s="1"/>
  <c r="H502" i="10"/>
  <c r="G502" i="10"/>
  <c r="J502" i="10" s="1"/>
  <c r="K502" i="10" s="1"/>
  <c r="F502" i="10"/>
  <c r="I502" i="10" s="1"/>
  <c r="E502" i="10"/>
  <c r="D502" i="10"/>
  <c r="H501" i="10"/>
  <c r="G501" i="10"/>
  <c r="F501" i="10"/>
  <c r="I501" i="10" s="1"/>
  <c r="E501" i="10"/>
  <c r="D501" i="10"/>
  <c r="H500" i="10"/>
  <c r="F500" i="10"/>
  <c r="I500" i="10" s="1"/>
  <c r="E500" i="10"/>
  <c r="D500" i="10"/>
  <c r="G500" i="10" s="1"/>
  <c r="J500" i="10" s="1"/>
  <c r="K500" i="10" s="1"/>
  <c r="H499" i="10"/>
  <c r="F499" i="10"/>
  <c r="I499" i="10" s="1"/>
  <c r="E499" i="10"/>
  <c r="D499" i="10"/>
  <c r="G499" i="10" s="1"/>
  <c r="J499" i="10" s="1"/>
  <c r="K499" i="10" s="1"/>
  <c r="H498" i="10"/>
  <c r="F498" i="10"/>
  <c r="I498" i="10" s="1"/>
  <c r="E498" i="10"/>
  <c r="D498" i="10"/>
  <c r="G498" i="10" s="1"/>
  <c r="J498" i="10" s="1"/>
  <c r="K498" i="10" s="1"/>
  <c r="H497" i="10"/>
  <c r="G497" i="10"/>
  <c r="F497" i="10"/>
  <c r="I497" i="10" s="1"/>
  <c r="E497" i="10"/>
  <c r="D497" i="10"/>
  <c r="H496" i="10"/>
  <c r="F496" i="10"/>
  <c r="I496" i="10" s="1"/>
  <c r="E496" i="10"/>
  <c r="D496" i="10"/>
  <c r="G496" i="10" s="1"/>
  <c r="J496" i="10" s="1"/>
  <c r="K496" i="10" s="1"/>
  <c r="H495" i="10"/>
  <c r="F495" i="10"/>
  <c r="I495" i="10" s="1"/>
  <c r="E495" i="10"/>
  <c r="D495" i="10"/>
  <c r="G495" i="10" s="1"/>
  <c r="J495" i="10" s="1"/>
  <c r="K495" i="10" s="1"/>
  <c r="H494" i="10"/>
  <c r="G494" i="10"/>
  <c r="J494" i="10" s="1"/>
  <c r="K494" i="10" s="1"/>
  <c r="F494" i="10"/>
  <c r="I494" i="10" s="1"/>
  <c r="E494" i="10"/>
  <c r="D494" i="10"/>
  <c r="H493" i="10"/>
  <c r="G493" i="10"/>
  <c r="F493" i="10"/>
  <c r="I493" i="10" s="1"/>
  <c r="E493" i="10"/>
  <c r="D493" i="10"/>
  <c r="H492" i="10"/>
  <c r="F492" i="10"/>
  <c r="I492" i="10" s="1"/>
  <c r="E492" i="10"/>
  <c r="D492" i="10"/>
  <c r="G492" i="10" s="1"/>
  <c r="J492" i="10" s="1"/>
  <c r="K492" i="10" s="1"/>
  <c r="H491" i="10"/>
  <c r="F491" i="10"/>
  <c r="I491" i="10" s="1"/>
  <c r="E491" i="10"/>
  <c r="D491" i="10"/>
  <c r="G491" i="10" s="1"/>
  <c r="J491" i="10" s="1"/>
  <c r="K491" i="10" s="1"/>
  <c r="H490" i="10"/>
  <c r="F490" i="10"/>
  <c r="I490" i="10" s="1"/>
  <c r="E490" i="10"/>
  <c r="D490" i="10"/>
  <c r="G490" i="10" s="1"/>
  <c r="J490" i="10" s="1"/>
  <c r="K490" i="10" s="1"/>
  <c r="H489" i="10"/>
  <c r="G489" i="10"/>
  <c r="J489" i="10" s="1"/>
  <c r="K489" i="10" s="1"/>
  <c r="F489" i="10"/>
  <c r="I489" i="10" s="1"/>
  <c r="E489" i="10"/>
  <c r="D489" i="10"/>
  <c r="H488" i="10"/>
  <c r="F488" i="10"/>
  <c r="I488" i="10" s="1"/>
  <c r="E488" i="10"/>
  <c r="D488" i="10"/>
  <c r="G488" i="10" s="1"/>
  <c r="J488" i="10" s="1"/>
  <c r="K488" i="10" s="1"/>
  <c r="H487" i="10"/>
  <c r="F487" i="10"/>
  <c r="I487" i="10" s="1"/>
  <c r="E487" i="10"/>
  <c r="D487" i="10"/>
  <c r="G487" i="10" s="1"/>
  <c r="J487" i="10" s="1"/>
  <c r="K487" i="10" s="1"/>
  <c r="H486" i="10"/>
  <c r="G486" i="10"/>
  <c r="J486" i="10" s="1"/>
  <c r="K486" i="10" s="1"/>
  <c r="F486" i="10"/>
  <c r="I486" i="10" s="1"/>
  <c r="E486" i="10"/>
  <c r="D486" i="10"/>
  <c r="H485" i="10"/>
  <c r="G485" i="10"/>
  <c r="F485" i="10"/>
  <c r="I485" i="10" s="1"/>
  <c r="E485" i="10"/>
  <c r="D485" i="10"/>
  <c r="H484" i="10"/>
  <c r="F484" i="10"/>
  <c r="I484" i="10" s="1"/>
  <c r="E484" i="10"/>
  <c r="D484" i="10"/>
  <c r="G484" i="10" s="1"/>
  <c r="H483" i="10"/>
  <c r="F483" i="10"/>
  <c r="I483" i="10" s="1"/>
  <c r="E483" i="10"/>
  <c r="D483" i="10"/>
  <c r="G483" i="10" s="1"/>
  <c r="J483" i="10" s="1"/>
  <c r="K483" i="10" s="1"/>
  <c r="H482" i="10"/>
  <c r="F482" i="10"/>
  <c r="I482" i="10" s="1"/>
  <c r="E482" i="10"/>
  <c r="D482" i="10"/>
  <c r="G482" i="10" s="1"/>
  <c r="J482" i="10" s="1"/>
  <c r="K482" i="10" s="1"/>
  <c r="H481" i="10"/>
  <c r="G481" i="10"/>
  <c r="F481" i="10"/>
  <c r="I481" i="10" s="1"/>
  <c r="E481" i="10"/>
  <c r="D481" i="10"/>
  <c r="H480" i="10"/>
  <c r="F480" i="10"/>
  <c r="I480" i="10" s="1"/>
  <c r="E480" i="10"/>
  <c r="D480" i="10"/>
  <c r="G480" i="10" s="1"/>
  <c r="J480" i="10" s="1"/>
  <c r="K480" i="10" s="1"/>
  <c r="H479" i="10"/>
  <c r="F479" i="10"/>
  <c r="I479" i="10" s="1"/>
  <c r="E479" i="10"/>
  <c r="D479" i="10"/>
  <c r="G479" i="10" s="1"/>
  <c r="J479" i="10" s="1"/>
  <c r="K479" i="10" s="1"/>
  <c r="H478" i="10"/>
  <c r="G478" i="10"/>
  <c r="J478" i="10" s="1"/>
  <c r="K478" i="10" s="1"/>
  <c r="F478" i="10"/>
  <c r="I478" i="10" s="1"/>
  <c r="E478" i="10"/>
  <c r="D478" i="10"/>
  <c r="H477" i="10"/>
  <c r="G477" i="10"/>
  <c r="F477" i="10"/>
  <c r="I477" i="10" s="1"/>
  <c r="E477" i="10"/>
  <c r="D477" i="10"/>
  <c r="H476" i="10"/>
  <c r="F476" i="10"/>
  <c r="I476" i="10" s="1"/>
  <c r="E476" i="10"/>
  <c r="D476" i="10"/>
  <c r="G476" i="10" s="1"/>
  <c r="H475" i="10"/>
  <c r="F475" i="10"/>
  <c r="I475" i="10" s="1"/>
  <c r="E475" i="10"/>
  <c r="D475" i="10"/>
  <c r="G475" i="10" s="1"/>
  <c r="J475" i="10" s="1"/>
  <c r="K475" i="10" s="1"/>
  <c r="H474" i="10"/>
  <c r="G474" i="10"/>
  <c r="J474" i="10" s="1"/>
  <c r="K474" i="10" s="1"/>
  <c r="F474" i="10"/>
  <c r="I474" i="10" s="1"/>
  <c r="E474" i="10"/>
  <c r="D474" i="10"/>
  <c r="H473" i="10"/>
  <c r="G473" i="10"/>
  <c r="F473" i="10"/>
  <c r="E473" i="10"/>
  <c r="D473" i="10"/>
  <c r="H472" i="10"/>
  <c r="F472" i="10"/>
  <c r="I472" i="10" s="1"/>
  <c r="E472" i="10"/>
  <c r="D472" i="10"/>
  <c r="G472" i="10" s="1"/>
  <c r="J472" i="10" s="1"/>
  <c r="K472" i="10" s="1"/>
  <c r="J471" i="10"/>
  <c r="K471" i="10" s="1"/>
  <c r="H471" i="10"/>
  <c r="G471" i="10"/>
  <c r="F471" i="10"/>
  <c r="I471" i="10" s="1"/>
  <c r="E471" i="10"/>
  <c r="D471" i="10"/>
  <c r="H470" i="10"/>
  <c r="F470" i="10"/>
  <c r="I470" i="10" s="1"/>
  <c r="E470" i="10"/>
  <c r="D470" i="10"/>
  <c r="G470" i="10" s="1"/>
  <c r="J470" i="10" s="1"/>
  <c r="K470" i="10" s="1"/>
  <c r="H469" i="10"/>
  <c r="G469" i="10"/>
  <c r="F469" i="10"/>
  <c r="I469" i="10" s="1"/>
  <c r="E469" i="10"/>
  <c r="D469" i="10"/>
  <c r="H468" i="10"/>
  <c r="F468" i="10"/>
  <c r="I468" i="10" s="1"/>
  <c r="E468" i="10"/>
  <c r="D468" i="10"/>
  <c r="G468" i="10" s="1"/>
  <c r="J468" i="10" s="1"/>
  <c r="K468" i="10" s="1"/>
  <c r="H467" i="10"/>
  <c r="G467" i="10"/>
  <c r="J467" i="10" s="1"/>
  <c r="K467" i="10" s="1"/>
  <c r="F467" i="10"/>
  <c r="I467" i="10" s="1"/>
  <c r="E467" i="10"/>
  <c r="D467" i="10"/>
  <c r="H466" i="10"/>
  <c r="F466" i="10"/>
  <c r="I466" i="10" s="1"/>
  <c r="E466" i="10"/>
  <c r="D466" i="10"/>
  <c r="G466" i="10" s="1"/>
  <c r="J466" i="10" s="1"/>
  <c r="K466" i="10" s="1"/>
  <c r="H465" i="10"/>
  <c r="G465" i="10"/>
  <c r="J465" i="10" s="1"/>
  <c r="K465" i="10" s="1"/>
  <c r="F465" i="10"/>
  <c r="I465" i="10" s="1"/>
  <c r="E465" i="10"/>
  <c r="D465" i="10"/>
  <c r="H464" i="10"/>
  <c r="G464" i="10"/>
  <c r="J464" i="10" s="1"/>
  <c r="K464" i="10" s="1"/>
  <c r="F464" i="10"/>
  <c r="I464" i="10" s="1"/>
  <c r="E464" i="10"/>
  <c r="D464" i="10"/>
  <c r="H463" i="10"/>
  <c r="G463" i="10"/>
  <c r="F463" i="10"/>
  <c r="I463" i="10" s="1"/>
  <c r="E463" i="10"/>
  <c r="D463" i="10"/>
  <c r="J462" i="10"/>
  <c r="K462" i="10" s="1"/>
  <c r="H462" i="10"/>
  <c r="G462" i="10"/>
  <c r="F462" i="10"/>
  <c r="I462" i="10" s="1"/>
  <c r="E462" i="10"/>
  <c r="D462" i="10"/>
  <c r="H461" i="10"/>
  <c r="G461" i="10"/>
  <c r="F461" i="10"/>
  <c r="I461" i="10" s="1"/>
  <c r="E461" i="10"/>
  <c r="D461" i="10"/>
  <c r="H460" i="10"/>
  <c r="G460" i="10"/>
  <c r="J460" i="10" s="1"/>
  <c r="K460" i="10" s="1"/>
  <c r="F460" i="10"/>
  <c r="I460" i="10" s="1"/>
  <c r="E460" i="10"/>
  <c r="D460" i="10"/>
  <c r="H459" i="10"/>
  <c r="G459" i="10"/>
  <c r="F459" i="10"/>
  <c r="I459" i="10" s="1"/>
  <c r="E459" i="10"/>
  <c r="D459" i="10"/>
  <c r="J458" i="10"/>
  <c r="K458" i="10" s="1"/>
  <c r="H458" i="10"/>
  <c r="G458" i="10"/>
  <c r="F458" i="10"/>
  <c r="I458" i="10" s="1"/>
  <c r="E458" i="10"/>
  <c r="D458" i="10"/>
  <c r="H457" i="10"/>
  <c r="G457" i="10"/>
  <c r="F457" i="10"/>
  <c r="I457" i="10" s="1"/>
  <c r="E457" i="10"/>
  <c r="D457" i="10"/>
  <c r="H456" i="10"/>
  <c r="G456" i="10"/>
  <c r="J456" i="10" s="1"/>
  <c r="K456" i="10" s="1"/>
  <c r="F456" i="10"/>
  <c r="I456" i="10" s="1"/>
  <c r="E456" i="10"/>
  <c r="D456" i="10"/>
  <c r="H455" i="10"/>
  <c r="G455" i="10"/>
  <c r="F455" i="10"/>
  <c r="I455" i="10" s="1"/>
  <c r="E455" i="10"/>
  <c r="D455" i="10"/>
  <c r="J454" i="10"/>
  <c r="K454" i="10" s="1"/>
  <c r="H454" i="10"/>
  <c r="G454" i="10"/>
  <c r="F454" i="10"/>
  <c r="I454" i="10" s="1"/>
  <c r="E454" i="10"/>
  <c r="D454" i="10"/>
  <c r="H453" i="10"/>
  <c r="G453" i="10"/>
  <c r="F453" i="10"/>
  <c r="I453" i="10" s="1"/>
  <c r="E453" i="10"/>
  <c r="D453" i="10"/>
  <c r="H452" i="10"/>
  <c r="G452" i="10"/>
  <c r="J452" i="10" s="1"/>
  <c r="K452" i="10" s="1"/>
  <c r="F452" i="10"/>
  <c r="I452" i="10" s="1"/>
  <c r="E452" i="10"/>
  <c r="D452" i="10"/>
  <c r="H451" i="10"/>
  <c r="G451" i="10"/>
  <c r="F451" i="10"/>
  <c r="I451" i="10" s="1"/>
  <c r="E451" i="10"/>
  <c r="D451" i="10"/>
  <c r="J450" i="10"/>
  <c r="K450" i="10" s="1"/>
  <c r="H450" i="10"/>
  <c r="G450" i="10"/>
  <c r="F450" i="10"/>
  <c r="I450" i="10" s="1"/>
  <c r="E450" i="10"/>
  <c r="D450" i="10"/>
  <c r="H449" i="10"/>
  <c r="G449" i="10"/>
  <c r="F449" i="10"/>
  <c r="I449" i="10" s="1"/>
  <c r="E449" i="10"/>
  <c r="D449" i="10"/>
  <c r="H448" i="10"/>
  <c r="G448" i="10"/>
  <c r="J448" i="10" s="1"/>
  <c r="K448" i="10" s="1"/>
  <c r="F448" i="10"/>
  <c r="I448" i="10" s="1"/>
  <c r="E448" i="10"/>
  <c r="D448" i="10"/>
  <c r="H447" i="10"/>
  <c r="G447" i="10"/>
  <c r="F447" i="10"/>
  <c r="I447" i="10" s="1"/>
  <c r="E447" i="10"/>
  <c r="D447" i="10"/>
  <c r="J446" i="10"/>
  <c r="K446" i="10" s="1"/>
  <c r="H446" i="10"/>
  <c r="G446" i="10"/>
  <c r="F446" i="10"/>
  <c r="I446" i="10" s="1"/>
  <c r="E446" i="10"/>
  <c r="D446" i="10"/>
  <c r="H445" i="10"/>
  <c r="G445" i="10"/>
  <c r="F445" i="10"/>
  <c r="I445" i="10" s="1"/>
  <c r="E445" i="10"/>
  <c r="D445" i="10"/>
  <c r="H444" i="10"/>
  <c r="G444" i="10"/>
  <c r="J444" i="10" s="1"/>
  <c r="K444" i="10" s="1"/>
  <c r="F444" i="10"/>
  <c r="I444" i="10" s="1"/>
  <c r="E444" i="10"/>
  <c r="D444" i="10"/>
  <c r="H443" i="10"/>
  <c r="G443" i="10"/>
  <c r="F443" i="10"/>
  <c r="I443" i="10" s="1"/>
  <c r="E443" i="10"/>
  <c r="D443" i="10"/>
  <c r="J442" i="10"/>
  <c r="K442" i="10" s="1"/>
  <c r="H442" i="10"/>
  <c r="G442" i="10"/>
  <c r="F442" i="10"/>
  <c r="I442" i="10" s="1"/>
  <c r="E442" i="10"/>
  <c r="D442" i="10"/>
  <c r="H441" i="10"/>
  <c r="G441" i="10"/>
  <c r="F441" i="10"/>
  <c r="I441" i="10" s="1"/>
  <c r="E441" i="10"/>
  <c r="D441" i="10"/>
  <c r="H440" i="10"/>
  <c r="G440" i="10"/>
  <c r="J440" i="10" s="1"/>
  <c r="K440" i="10" s="1"/>
  <c r="F440" i="10"/>
  <c r="I440" i="10" s="1"/>
  <c r="E440" i="10"/>
  <c r="D440" i="10"/>
  <c r="H439" i="10"/>
  <c r="G439" i="10"/>
  <c r="F439" i="10"/>
  <c r="I439" i="10" s="1"/>
  <c r="E439" i="10"/>
  <c r="D439" i="10"/>
  <c r="J438" i="10"/>
  <c r="K438" i="10" s="1"/>
  <c r="H438" i="10"/>
  <c r="G438" i="10"/>
  <c r="F438" i="10"/>
  <c r="I438" i="10" s="1"/>
  <c r="E438" i="10"/>
  <c r="D438" i="10"/>
  <c r="H437" i="10"/>
  <c r="G437" i="10"/>
  <c r="F437" i="10"/>
  <c r="I437" i="10" s="1"/>
  <c r="E437" i="10"/>
  <c r="D437" i="10"/>
  <c r="H436" i="10"/>
  <c r="G436" i="10"/>
  <c r="J436" i="10" s="1"/>
  <c r="K436" i="10" s="1"/>
  <c r="F436" i="10"/>
  <c r="I436" i="10" s="1"/>
  <c r="E436" i="10"/>
  <c r="D436" i="10"/>
  <c r="H435" i="10"/>
  <c r="G435" i="10"/>
  <c r="F435" i="10"/>
  <c r="I435" i="10" s="1"/>
  <c r="E435" i="10"/>
  <c r="D435" i="10"/>
  <c r="J434" i="10"/>
  <c r="K434" i="10" s="1"/>
  <c r="H434" i="10"/>
  <c r="G434" i="10"/>
  <c r="F434" i="10"/>
  <c r="I434" i="10" s="1"/>
  <c r="E434" i="10"/>
  <c r="D434" i="10"/>
  <c r="H433" i="10"/>
  <c r="G433" i="10"/>
  <c r="F433" i="10"/>
  <c r="I433" i="10" s="1"/>
  <c r="E433" i="10"/>
  <c r="D433" i="10"/>
  <c r="H432" i="10"/>
  <c r="G432" i="10"/>
  <c r="J432" i="10" s="1"/>
  <c r="K432" i="10" s="1"/>
  <c r="F432" i="10"/>
  <c r="I432" i="10" s="1"/>
  <c r="E432" i="10"/>
  <c r="D432" i="10"/>
  <c r="H431" i="10"/>
  <c r="G431" i="10"/>
  <c r="F431" i="10"/>
  <c r="I431" i="10" s="1"/>
  <c r="E431" i="10"/>
  <c r="D431" i="10"/>
  <c r="J430" i="10"/>
  <c r="K430" i="10" s="1"/>
  <c r="H430" i="10"/>
  <c r="G430" i="10"/>
  <c r="F430" i="10"/>
  <c r="I430" i="10" s="1"/>
  <c r="E430" i="10"/>
  <c r="D430" i="10"/>
  <c r="H429" i="10"/>
  <c r="G429" i="10"/>
  <c r="F429" i="10"/>
  <c r="I429" i="10" s="1"/>
  <c r="E429" i="10"/>
  <c r="D429" i="10"/>
  <c r="H428" i="10"/>
  <c r="G428" i="10"/>
  <c r="J428" i="10" s="1"/>
  <c r="K428" i="10" s="1"/>
  <c r="F428" i="10"/>
  <c r="I428" i="10" s="1"/>
  <c r="E428" i="10"/>
  <c r="D428" i="10"/>
  <c r="H427" i="10"/>
  <c r="G427" i="10"/>
  <c r="F427" i="10"/>
  <c r="I427" i="10" s="1"/>
  <c r="E427" i="10"/>
  <c r="D427" i="10"/>
  <c r="J426" i="10"/>
  <c r="K426" i="10" s="1"/>
  <c r="H426" i="10"/>
  <c r="G426" i="10"/>
  <c r="F426" i="10"/>
  <c r="I426" i="10" s="1"/>
  <c r="E426" i="10"/>
  <c r="D426" i="10"/>
  <c r="H425" i="10"/>
  <c r="G425" i="10"/>
  <c r="F425" i="10"/>
  <c r="I425" i="10" s="1"/>
  <c r="E425" i="10"/>
  <c r="D425" i="10"/>
  <c r="H424" i="10"/>
  <c r="G424" i="10"/>
  <c r="J424" i="10" s="1"/>
  <c r="K424" i="10" s="1"/>
  <c r="F424" i="10"/>
  <c r="I424" i="10" s="1"/>
  <c r="E424" i="10"/>
  <c r="D424" i="10"/>
  <c r="H423" i="10"/>
  <c r="G423" i="10"/>
  <c r="F423" i="10"/>
  <c r="I423" i="10" s="1"/>
  <c r="E423" i="10"/>
  <c r="D423" i="10"/>
  <c r="J422" i="10"/>
  <c r="K422" i="10" s="1"/>
  <c r="H422" i="10"/>
  <c r="G422" i="10"/>
  <c r="F422" i="10"/>
  <c r="I422" i="10" s="1"/>
  <c r="E422" i="10"/>
  <c r="D422" i="10"/>
  <c r="H421" i="10"/>
  <c r="G421" i="10"/>
  <c r="F421" i="10"/>
  <c r="I421" i="10" s="1"/>
  <c r="E421" i="10"/>
  <c r="D421" i="10"/>
  <c r="H420" i="10"/>
  <c r="G420" i="10"/>
  <c r="J420" i="10" s="1"/>
  <c r="K420" i="10" s="1"/>
  <c r="F420" i="10"/>
  <c r="I420" i="10" s="1"/>
  <c r="E420" i="10"/>
  <c r="D420" i="10"/>
  <c r="H419" i="10"/>
  <c r="G419" i="10"/>
  <c r="F419" i="10"/>
  <c r="I419" i="10" s="1"/>
  <c r="E419" i="10"/>
  <c r="D419" i="10"/>
  <c r="J418" i="10"/>
  <c r="K418" i="10" s="1"/>
  <c r="H418" i="10"/>
  <c r="G418" i="10"/>
  <c r="F418" i="10"/>
  <c r="I418" i="10" s="1"/>
  <c r="E418" i="10"/>
  <c r="D418" i="10"/>
  <c r="H417" i="10"/>
  <c r="G417" i="10"/>
  <c r="F417" i="10"/>
  <c r="I417" i="10" s="1"/>
  <c r="E417" i="10"/>
  <c r="D417" i="10"/>
  <c r="H416" i="10"/>
  <c r="G416" i="10"/>
  <c r="J416" i="10" s="1"/>
  <c r="K416" i="10" s="1"/>
  <c r="F416" i="10"/>
  <c r="I416" i="10" s="1"/>
  <c r="E416" i="10"/>
  <c r="D416" i="10"/>
  <c r="H415" i="10"/>
  <c r="G415" i="10"/>
  <c r="F415" i="10"/>
  <c r="I415" i="10" s="1"/>
  <c r="E415" i="10"/>
  <c r="D415" i="10"/>
  <c r="J414" i="10"/>
  <c r="K414" i="10" s="1"/>
  <c r="H414" i="10"/>
  <c r="G414" i="10"/>
  <c r="F414" i="10"/>
  <c r="I414" i="10" s="1"/>
  <c r="E414" i="10"/>
  <c r="D414" i="10"/>
  <c r="H413" i="10"/>
  <c r="G413" i="10"/>
  <c r="F413" i="10"/>
  <c r="I413" i="10" s="1"/>
  <c r="E413" i="10"/>
  <c r="D413" i="10"/>
  <c r="H412" i="10"/>
  <c r="G412" i="10"/>
  <c r="J412" i="10" s="1"/>
  <c r="K412" i="10" s="1"/>
  <c r="F412" i="10"/>
  <c r="I412" i="10" s="1"/>
  <c r="E412" i="10"/>
  <c r="D412" i="10"/>
  <c r="H411" i="10"/>
  <c r="G411" i="10"/>
  <c r="F411" i="10"/>
  <c r="I411" i="10" s="1"/>
  <c r="E411" i="10"/>
  <c r="D411" i="10"/>
  <c r="J410" i="10"/>
  <c r="K410" i="10" s="1"/>
  <c r="H410" i="10"/>
  <c r="G410" i="10"/>
  <c r="F410" i="10"/>
  <c r="I410" i="10" s="1"/>
  <c r="E410" i="10"/>
  <c r="D410" i="10"/>
  <c r="H409" i="10"/>
  <c r="G409" i="10"/>
  <c r="F409" i="10"/>
  <c r="I409" i="10" s="1"/>
  <c r="E409" i="10"/>
  <c r="D409" i="10"/>
  <c r="H408" i="10"/>
  <c r="G408" i="10"/>
  <c r="J408" i="10" s="1"/>
  <c r="K408" i="10" s="1"/>
  <c r="F408" i="10"/>
  <c r="I408" i="10" s="1"/>
  <c r="E408" i="10"/>
  <c r="D408" i="10"/>
  <c r="H407" i="10"/>
  <c r="G407" i="10"/>
  <c r="F407" i="10"/>
  <c r="I407" i="10" s="1"/>
  <c r="E407" i="10"/>
  <c r="D407" i="10"/>
  <c r="J406" i="10"/>
  <c r="K406" i="10" s="1"/>
  <c r="H406" i="10"/>
  <c r="G406" i="10"/>
  <c r="F406" i="10"/>
  <c r="I406" i="10" s="1"/>
  <c r="E406" i="10"/>
  <c r="D406" i="10"/>
  <c r="H405" i="10"/>
  <c r="G405" i="10"/>
  <c r="F405" i="10"/>
  <c r="I405" i="10" s="1"/>
  <c r="E405" i="10"/>
  <c r="D405" i="10"/>
  <c r="H404" i="10"/>
  <c r="G404" i="10"/>
  <c r="J404" i="10" s="1"/>
  <c r="K404" i="10" s="1"/>
  <c r="F404" i="10"/>
  <c r="I404" i="10" s="1"/>
  <c r="E404" i="10"/>
  <c r="D404" i="10"/>
  <c r="H403" i="10"/>
  <c r="G403" i="10"/>
  <c r="F403" i="10"/>
  <c r="I403" i="10" s="1"/>
  <c r="E403" i="10"/>
  <c r="D403" i="10"/>
  <c r="J402" i="10"/>
  <c r="K402" i="10" s="1"/>
  <c r="H402" i="10"/>
  <c r="G402" i="10"/>
  <c r="F402" i="10"/>
  <c r="I402" i="10" s="1"/>
  <c r="E402" i="10"/>
  <c r="D402" i="10"/>
  <c r="H401" i="10"/>
  <c r="G401" i="10"/>
  <c r="F401" i="10"/>
  <c r="I401" i="10" s="1"/>
  <c r="E401" i="10"/>
  <c r="D401" i="10"/>
  <c r="H400" i="10"/>
  <c r="G400" i="10"/>
  <c r="J400" i="10" s="1"/>
  <c r="K400" i="10" s="1"/>
  <c r="F400" i="10"/>
  <c r="I400" i="10" s="1"/>
  <c r="E400" i="10"/>
  <c r="D400" i="10"/>
  <c r="H399" i="10"/>
  <c r="G399" i="10"/>
  <c r="F399" i="10"/>
  <c r="I399" i="10" s="1"/>
  <c r="E399" i="10"/>
  <c r="D399" i="10"/>
  <c r="J398" i="10"/>
  <c r="K398" i="10" s="1"/>
  <c r="H398" i="10"/>
  <c r="G398" i="10"/>
  <c r="F398" i="10"/>
  <c r="I398" i="10" s="1"/>
  <c r="E398" i="10"/>
  <c r="D398" i="10"/>
  <c r="H397" i="10"/>
  <c r="G397" i="10"/>
  <c r="F397" i="10"/>
  <c r="I397" i="10" s="1"/>
  <c r="E397" i="10"/>
  <c r="D397" i="10"/>
  <c r="H396" i="10"/>
  <c r="G396" i="10"/>
  <c r="J396" i="10" s="1"/>
  <c r="K396" i="10" s="1"/>
  <c r="F396" i="10"/>
  <c r="I396" i="10" s="1"/>
  <c r="E396" i="10"/>
  <c r="D396" i="10"/>
  <c r="H395" i="10"/>
  <c r="G395" i="10"/>
  <c r="J395" i="10" s="1"/>
  <c r="K395" i="10" s="1"/>
  <c r="F395" i="10"/>
  <c r="I395" i="10" s="1"/>
  <c r="E395" i="10"/>
  <c r="D395" i="10"/>
  <c r="J394" i="10"/>
  <c r="K394" i="10" s="1"/>
  <c r="H394" i="10"/>
  <c r="G394" i="10"/>
  <c r="F394" i="10"/>
  <c r="I394" i="10" s="1"/>
  <c r="E394" i="10"/>
  <c r="D394" i="10"/>
  <c r="H393" i="10"/>
  <c r="G393" i="10"/>
  <c r="F393" i="10"/>
  <c r="I393" i="10" s="1"/>
  <c r="E393" i="10"/>
  <c r="D393" i="10"/>
  <c r="H392" i="10"/>
  <c r="G392" i="10"/>
  <c r="J392" i="10" s="1"/>
  <c r="K392" i="10" s="1"/>
  <c r="F392" i="10"/>
  <c r="I392" i="10" s="1"/>
  <c r="E392" i="10"/>
  <c r="D392" i="10"/>
  <c r="H391" i="10"/>
  <c r="G391" i="10"/>
  <c r="F391" i="10"/>
  <c r="I391" i="10" s="1"/>
  <c r="E391" i="10"/>
  <c r="D391" i="10"/>
  <c r="J390" i="10"/>
  <c r="K390" i="10" s="1"/>
  <c r="H390" i="10"/>
  <c r="G390" i="10"/>
  <c r="F390" i="10"/>
  <c r="I390" i="10" s="1"/>
  <c r="E390" i="10"/>
  <c r="D390" i="10"/>
  <c r="H389" i="10"/>
  <c r="G389" i="10"/>
  <c r="F389" i="10"/>
  <c r="I389" i="10" s="1"/>
  <c r="E389" i="10"/>
  <c r="D389" i="10"/>
  <c r="H388" i="10"/>
  <c r="G388" i="10"/>
  <c r="J388" i="10" s="1"/>
  <c r="K388" i="10" s="1"/>
  <c r="F388" i="10"/>
  <c r="I388" i="10" s="1"/>
  <c r="E388" i="10"/>
  <c r="D388" i="10"/>
  <c r="H387" i="10"/>
  <c r="G387" i="10"/>
  <c r="J387" i="10" s="1"/>
  <c r="K387" i="10" s="1"/>
  <c r="F387" i="10"/>
  <c r="I387" i="10" s="1"/>
  <c r="E387" i="10"/>
  <c r="D387" i="10"/>
  <c r="J386" i="10"/>
  <c r="K386" i="10" s="1"/>
  <c r="H386" i="10"/>
  <c r="G386" i="10"/>
  <c r="F386" i="10"/>
  <c r="I386" i="10" s="1"/>
  <c r="E386" i="10"/>
  <c r="D386" i="10"/>
  <c r="H385" i="10"/>
  <c r="G385" i="10"/>
  <c r="F385" i="10"/>
  <c r="I385" i="10" s="1"/>
  <c r="E385" i="10"/>
  <c r="D385" i="10"/>
  <c r="H384" i="10"/>
  <c r="G384" i="10"/>
  <c r="J384" i="10" s="1"/>
  <c r="K384" i="10" s="1"/>
  <c r="F384" i="10"/>
  <c r="I384" i="10" s="1"/>
  <c r="E384" i="10"/>
  <c r="D384" i="10"/>
  <c r="K383" i="10"/>
  <c r="H383" i="10"/>
  <c r="G383" i="10"/>
  <c r="J383" i="10" s="1"/>
  <c r="F383" i="10"/>
  <c r="I383" i="10" s="1"/>
  <c r="E383" i="10"/>
  <c r="D383" i="10"/>
  <c r="J382" i="10"/>
  <c r="K382" i="10" s="1"/>
  <c r="H382" i="10"/>
  <c r="G382" i="10"/>
  <c r="F382" i="10"/>
  <c r="I382" i="10" s="1"/>
  <c r="E382" i="10"/>
  <c r="D382" i="10"/>
  <c r="H381" i="10"/>
  <c r="G381" i="10"/>
  <c r="F381" i="10"/>
  <c r="I381" i="10" s="1"/>
  <c r="E381" i="10"/>
  <c r="D381" i="10"/>
  <c r="H380" i="10"/>
  <c r="G380" i="10"/>
  <c r="J380" i="10" s="1"/>
  <c r="K380" i="10" s="1"/>
  <c r="F380" i="10"/>
  <c r="I380" i="10" s="1"/>
  <c r="E380" i="10"/>
  <c r="D380" i="10"/>
  <c r="H379" i="10"/>
  <c r="G379" i="10"/>
  <c r="J379" i="10" s="1"/>
  <c r="K379" i="10" s="1"/>
  <c r="F379" i="10"/>
  <c r="I379" i="10" s="1"/>
  <c r="E379" i="10"/>
  <c r="D379" i="10"/>
  <c r="J378" i="10"/>
  <c r="K378" i="10" s="1"/>
  <c r="H378" i="10"/>
  <c r="G378" i="10"/>
  <c r="F378" i="10"/>
  <c r="I378" i="10" s="1"/>
  <c r="E378" i="10"/>
  <c r="D378" i="10"/>
  <c r="H377" i="10"/>
  <c r="G377" i="10"/>
  <c r="F377" i="10"/>
  <c r="I377" i="10" s="1"/>
  <c r="E377" i="10"/>
  <c r="D377" i="10"/>
  <c r="H376" i="10"/>
  <c r="G376" i="10"/>
  <c r="J376" i="10" s="1"/>
  <c r="K376" i="10" s="1"/>
  <c r="F376" i="10"/>
  <c r="I376" i="10" s="1"/>
  <c r="E376" i="10"/>
  <c r="D376" i="10"/>
  <c r="K375" i="10"/>
  <c r="H375" i="10"/>
  <c r="G375" i="10"/>
  <c r="J375" i="10" s="1"/>
  <c r="F375" i="10"/>
  <c r="I375" i="10" s="1"/>
  <c r="E375" i="10"/>
  <c r="D375" i="10"/>
  <c r="J374" i="10"/>
  <c r="K374" i="10" s="1"/>
  <c r="H374" i="10"/>
  <c r="G374" i="10"/>
  <c r="F374" i="10"/>
  <c r="I374" i="10" s="1"/>
  <c r="E374" i="10"/>
  <c r="D374" i="10"/>
  <c r="H373" i="10"/>
  <c r="G373" i="10"/>
  <c r="F373" i="10"/>
  <c r="I373" i="10" s="1"/>
  <c r="E373" i="10"/>
  <c r="D373" i="10"/>
  <c r="H372" i="10"/>
  <c r="G372" i="10"/>
  <c r="J372" i="10" s="1"/>
  <c r="K372" i="10" s="1"/>
  <c r="F372" i="10"/>
  <c r="I372" i="10" s="1"/>
  <c r="E372" i="10"/>
  <c r="D372" i="10"/>
  <c r="H371" i="10"/>
  <c r="G371" i="10"/>
  <c r="J371" i="10" s="1"/>
  <c r="K371" i="10" s="1"/>
  <c r="F371" i="10"/>
  <c r="I371" i="10" s="1"/>
  <c r="E371" i="10"/>
  <c r="D371" i="10"/>
  <c r="J370" i="10"/>
  <c r="K370" i="10" s="1"/>
  <c r="H370" i="10"/>
  <c r="G370" i="10"/>
  <c r="F370" i="10"/>
  <c r="I370" i="10" s="1"/>
  <c r="E370" i="10"/>
  <c r="D370" i="10"/>
  <c r="H369" i="10"/>
  <c r="G369" i="10"/>
  <c r="F369" i="10"/>
  <c r="E369" i="10"/>
  <c r="D369" i="10"/>
  <c r="J368" i="10"/>
  <c r="K368" i="10" s="1"/>
  <c r="H368" i="10"/>
  <c r="G368" i="10"/>
  <c r="F368" i="10"/>
  <c r="I368" i="10" s="1"/>
  <c r="E368" i="10"/>
  <c r="D368" i="10"/>
  <c r="H367" i="10"/>
  <c r="G367" i="10"/>
  <c r="J367" i="10" s="1"/>
  <c r="K367" i="10" s="1"/>
  <c r="F367" i="10"/>
  <c r="I367" i="10" s="1"/>
  <c r="E367" i="10"/>
  <c r="D367" i="10"/>
  <c r="J366" i="10"/>
  <c r="K366" i="10" s="1"/>
  <c r="H366" i="10"/>
  <c r="G366" i="10"/>
  <c r="F366" i="10"/>
  <c r="I366" i="10" s="1"/>
  <c r="E366" i="10"/>
  <c r="D366" i="10"/>
  <c r="H365" i="10"/>
  <c r="G365" i="10"/>
  <c r="F365" i="10"/>
  <c r="E365" i="10"/>
  <c r="D365" i="10"/>
  <c r="J364" i="10"/>
  <c r="K364" i="10" s="1"/>
  <c r="H364" i="10"/>
  <c r="G364" i="10"/>
  <c r="F364" i="10"/>
  <c r="I364" i="10" s="1"/>
  <c r="E364" i="10"/>
  <c r="D364" i="10"/>
  <c r="H363" i="10"/>
  <c r="G363" i="10"/>
  <c r="J363" i="10" s="1"/>
  <c r="K363" i="10" s="1"/>
  <c r="F363" i="10"/>
  <c r="I363" i="10" s="1"/>
  <c r="E363" i="10"/>
  <c r="D363" i="10"/>
  <c r="J362" i="10"/>
  <c r="K362" i="10" s="1"/>
  <c r="H362" i="10"/>
  <c r="G362" i="10"/>
  <c r="F362" i="10"/>
  <c r="I362" i="10" s="1"/>
  <c r="E362" i="10"/>
  <c r="D362" i="10"/>
  <c r="H361" i="10"/>
  <c r="G361" i="10"/>
  <c r="F361" i="10"/>
  <c r="E361" i="10"/>
  <c r="D361" i="10"/>
  <c r="J360" i="10"/>
  <c r="K360" i="10" s="1"/>
  <c r="H360" i="10"/>
  <c r="G360" i="10"/>
  <c r="F360" i="10"/>
  <c r="I360" i="10" s="1"/>
  <c r="E360" i="10"/>
  <c r="D360" i="10"/>
  <c r="H359" i="10"/>
  <c r="G359" i="10"/>
  <c r="J359" i="10" s="1"/>
  <c r="K359" i="10" s="1"/>
  <c r="F359" i="10"/>
  <c r="I359" i="10" s="1"/>
  <c r="E359" i="10"/>
  <c r="D359" i="10"/>
  <c r="J358" i="10"/>
  <c r="K358" i="10" s="1"/>
  <c r="H358" i="10"/>
  <c r="G358" i="10"/>
  <c r="F358" i="10"/>
  <c r="I358" i="10" s="1"/>
  <c r="E358" i="10"/>
  <c r="D358" i="10"/>
  <c r="H357" i="10"/>
  <c r="G357" i="10"/>
  <c r="F357" i="10"/>
  <c r="E357" i="10"/>
  <c r="D357" i="10"/>
  <c r="J356" i="10"/>
  <c r="K356" i="10" s="1"/>
  <c r="H356" i="10"/>
  <c r="G356" i="10"/>
  <c r="F356" i="10"/>
  <c r="I356" i="10" s="1"/>
  <c r="E356" i="10"/>
  <c r="D356" i="10"/>
  <c r="H355" i="10"/>
  <c r="G355" i="10"/>
  <c r="J355" i="10" s="1"/>
  <c r="K355" i="10" s="1"/>
  <c r="F355" i="10"/>
  <c r="I355" i="10" s="1"/>
  <c r="E355" i="10"/>
  <c r="D355" i="10"/>
  <c r="J354" i="10"/>
  <c r="K354" i="10" s="1"/>
  <c r="H354" i="10"/>
  <c r="G354" i="10"/>
  <c r="F354" i="10"/>
  <c r="I354" i="10" s="1"/>
  <c r="E354" i="10"/>
  <c r="D354" i="10"/>
  <c r="H353" i="10"/>
  <c r="G353" i="10"/>
  <c r="F353" i="10"/>
  <c r="E353" i="10"/>
  <c r="D353" i="10"/>
  <c r="J352" i="10"/>
  <c r="K352" i="10" s="1"/>
  <c r="H352" i="10"/>
  <c r="G352" i="10"/>
  <c r="F352" i="10"/>
  <c r="I352" i="10" s="1"/>
  <c r="E352" i="10"/>
  <c r="D352" i="10"/>
  <c r="H351" i="10"/>
  <c r="G351" i="10"/>
  <c r="J351" i="10" s="1"/>
  <c r="K351" i="10" s="1"/>
  <c r="F351" i="10"/>
  <c r="I351" i="10" s="1"/>
  <c r="E351" i="10"/>
  <c r="D351" i="10"/>
  <c r="J350" i="10"/>
  <c r="K350" i="10" s="1"/>
  <c r="H350" i="10"/>
  <c r="G350" i="10"/>
  <c r="F350" i="10"/>
  <c r="I350" i="10" s="1"/>
  <c r="E350" i="10"/>
  <c r="D350" i="10"/>
  <c r="H349" i="10"/>
  <c r="G349" i="10"/>
  <c r="F349" i="10"/>
  <c r="E349" i="10"/>
  <c r="D349" i="10"/>
  <c r="J348" i="10"/>
  <c r="K348" i="10" s="1"/>
  <c r="H348" i="10"/>
  <c r="G348" i="10"/>
  <c r="F348" i="10"/>
  <c r="I348" i="10" s="1"/>
  <c r="E348" i="10"/>
  <c r="D348" i="10"/>
  <c r="H347" i="10"/>
  <c r="G347" i="10"/>
  <c r="J347" i="10" s="1"/>
  <c r="K347" i="10" s="1"/>
  <c r="F347" i="10"/>
  <c r="I347" i="10" s="1"/>
  <c r="E347" i="10"/>
  <c r="D347" i="10"/>
  <c r="J346" i="10"/>
  <c r="K346" i="10" s="1"/>
  <c r="H346" i="10"/>
  <c r="G346" i="10"/>
  <c r="F346" i="10"/>
  <c r="I346" i="10" s="1"/>
  <c r="E346" i="10"/>
  <c r="D346" i="10"/>
  <c r="H345" i="10"/>
  <c r="G345" i="10"/>
  <c r="F345" i="10"/>
  <c r="E345" i="10"/>
  <c r="D345" i="10"/>
  <c r="J344" i="10"/>
  <c r="K344" i="10" s="1"/>
  <c r="H344" i="10"/>
  <c r="G344" i="10"/>
  <c r="F344" i="10"/>
  <c r="I344" i="10" s="1"/>
  <c r="E344" i="10"/>
  <c r="D344" i="10"/>
  <c r="H343" i="10"/>
  <c r="G343" i="10"/>
  <c r="J343" i="10" s="1"/>
  <c r="K343" i="10" s="1"/>
  <c r="F343" i="10"/>
  <c r="I343" i="10" s="1"/>
  <c r="E343" i="10"/>
  <c r="D343" i="10"/>
  <c r="J342" i="10"/>
  <c r="K342" i="10" s="1"/>
  <c r="H342" i="10"/>
  <c r="G342" i="10"/>
  <c r="F342" i="10"/>
  <c r="I342" i="10" s="1"/>
  <c r="E342" i="10"/>
  <c r="D342" i="10"/>
  <c r="H341" i="10"/>
  <c r="G341" i="10"/>
  <c r="F341" i="10"/>
  <c r="E341" i="10"/>
  <c r="D341" i="10"/>
  <c r="J340" i="10"/>
  <c r="K340" i="10" s="1"/>
  <c r="H340" i="10"/>
  <c r="G340" i="10"/>
  <c r="F340" i="10"/>
  <c r="I340" i="10" s="1"/>
  <c r="E340" i="10"/>
  <c r="D340" i="10"/>
  <c r="H339" i="10"/>
  <c r="G339" i="10"/>
  <c r="J339" i="10" s="1"/>
  <c r="K339" i="10" s="1"/>
  <c r="F339" i="10"/>
  <c r="I339" i="10" s="1"/>
  <c r="E339" i="10"/>
  <c r="D339" i="10"/>
  <c r="J338" i="10"/>
  <c r="K338" i="10" s="1"/>
  <c r="H338" i="10"/>
  <c r="G338" i="10"/>
  <c r="F338" i="10"/>
  <c r="I338" i="10" s="1"/>
  <c r="E338" i="10"/>
  <c r="D338" i="10"/>
  <c r="H337" i="10"/>
  <c r="G337" i="10"/>
  <c r="F337" i="10"/>
  <c r="E337" i="10"/>
  <c r="D337" i="10"/>
  <c r="J336" i="10"/>
  <c r="K336" i="10" s="1"/>
  <c r="H336" i="10"/>
  <c r="G336" i="10"/>
  <c r="F336" i="10"/>
  <c r="I336" i="10" s="1"/>
  <c r="E336" i="10"/>
  <c r="D336" i="10"/>
  <c r="H335" i="10"/>
  <c r="G335" i="10"/>
  <c r="J335" i="10" s="1"/>
  <c r="K335" i="10" s="1"/>
  <c r="F335" i="10"/>
  <c r="I335" i="10" s="1"/>
  <c r="E335" i="10"/>
  <c r="D335" i="10"/>
  <c r="J334" i="10"/>
  <c r="K334" i="10" s="1"/>
  <c r="G334" i="10"/>
  <c r="F334" i="10"/>
  <c r="I334" i="10" s="1"/>
  <c r="E334" i="10"/>
  <c r="H334" i="10" s="1"/>
  <c r="D334" i="10"/>
  <c r="J333" i="10"/>
  <c r="K333" i="10" s="1"/>
  <c r="G333" i="10"/>
  <c r="F333" i="10"/>
  <c r="I333" i="10" s="1"/>
  <c r="E333" i="10"/>
  <c r="H333" i="10" s="1"/>
  <c r="D333" i="10"/>
  <c r="F332" i="10"/>
  <c r="I332" i="10" s="1"/>
  <c r="E332" i="10"/>
  <c r="H332" i="10" s="1"/>
  <c r="D332" i="10"/>
  <c r="I331" i="10"/>
  <c r="G331" i="10"/>
  <c r="J331" i="10" s="1"/>
  <c r="K331" i="10" s="1"/>
  <c r="F331" i="10"/>
  <c r="E331" i="10"/>
  <c r="H331" i="10" s="1"/>
  <c r="D331" i="10"/>
  <c r="K330" i="10"/>
  <c r="I330" i="10"/>
  <c r="G330" i="10"/>
  <c r="J330" i="10" s="1"/>
  <c r="F330" i="10"/>
  <c r="E330" i="10"/>
  <c r="H330" i="10" s="1"/>
  <c r="D330" i="10"/>
  <c r="F329" i="10"/>
  <c r="I329" i="10" s="1"/>
  <c r="E329" i="10"/>
  <c r="H329" i="10" s="1"/>
  <c r="D329" i="10"/>
  <c r="I328" i="10"/>
  <c r="F328" i="10"/>
  <c r="E328" i="10"/>
  <c r="H328" i="10" s="1"/>
  <c r="D328" i="10"/>
  <c r="I327" i="10"/>
  <c r="F327" i="10"/>
  <c r="E327" i="10"/>
  <c r="H327" i="10" s="1"/>
  <c r="D327" i="10"/>
  <c r="G326" i="10"/>
  <c r="J326" i="10" s="1"/>
  <c r="K326" i="10" s="1"/>
  <c r="F326" i="10"/>
  <c r="I326" i="10" s="1"/>
  <c r="E326" i="10"/>
  <c r="H326" i="10" s="1"/>
  <c r="D326" i="10"/>
  <c r="J325" i="10"/>
  <c r="K325" i="10" s="1"/>
  <c r="G325" i="10"/>
  <c r="F325" i="10"/>
  <c r="I325" i="10" s="1"/>
  <c r="E325" i="10"/>
  <c r="H325" i="10" s="1"/>
  <c r="D325" i="10"/>
  <c r="I324" i="10"/>
  <c r="F324" i="10"/>
  <c r="E324" i="10"/>
  <c r="H324" i="10" s="1"/>
  <c r="D324" i="10"/>
  <c r="I323" i="10"/>
  <c r="G323" i="10"/>
  <c r="J323" i="10" s="1"/>
  <c r="K323" i="10" s="1"/>
  <c r="F323" i="10"/>
  <c r="E323" i="10"/>
  <c r="H323" i="10" s="1"/>
  <c r="D323" i="10"/>
  <c r="K322" i="10"/>
  <c r="I322" i="10"/>
  <c r="G322" i="10"/>
  <c r="J322" i="10" s="1"/>
  <c r="F322" i="10"/>
  <c r="E322" i="10"/>
  <c r="H322" i="10" s="1"/>
  <c r="D322" i="10"/>
  <c r="F321" i="10"/>
  <c r="I321" i="10" s="1"/>
  <c r="E321" i="10"/>
  <c r="H321" i="10" s="1"/>
  <c r="D321" i="10"/>
  <c r="I320" i="10"/>
  <c r="F320" i="10"/>
  <c r="E320" i="10"/>
  <c r="H320" i="10" s="1"/>
  <c r="D320" i="10"/>
  <c r="I319" i="10"/>
  <c r="F319" i="10"/>
  <c r="E319" i="10"/>
  <c r="H319" i="10" s="1"/>
  <c r="D319" i="10"/>
  <c r="G318" i="10"/>
  <c r="J318" i="10" s="1"/>
  <c r="K318" i="10" s="1"/>
  <c r="F318" i="10"/>
  <c r="I318" i="10" s="1"/>
  <c r="E318" i="10"/>
  <c r="H318" i="10" s="1"/>
  <c r="D318" i="10"/>
  <c r="J317" i="10"/>
  <c r="K317" i="10" s="1"/>
  <c r="G317" i="10"/>
  <c r="F317" i="10"/>
  <c r="I317" i="10" s="1"/>
  <c r="E317" i="10"/>
  <c r="H317" i="10" s="1"/>
  <c r="D317" i="10"/>
  <c r="I316" i="10"/>
  <c r="F316" i="10"/>
  <c r="E316" i="10"/>
  <c r="H316" i="10" s="1"/>
  <c r="D316" i="10"/>
  <c r="I315" i="10"/>
  <c r="G315" i="10"/>
  <c r="J315" i="10" s="1"/>
  <c r="K315" i="10" s="1"/>
  <c r="F315" i="10"/>
  <c r="E315" i="10"/>
  <c r="H315" i="10" s="1"/>
  <c r="D315" i="10"/>
  <c r="K314" i="10"/>
  <c r="I314" i="10"/>
  <c r="G314" i="10"/>
  <c r="J314" i="10" s="1"/>
  <c r="F314" i="10"/>
  <c r="E314" i="10"/>
  <c r="H314" i="10" s="1"/>
  <c r="D314" i="10"/>
  <c r="F313" i="10"/>
  <c r="I313" i="10" s="1"/>
  <c r="E313" i="10"/>
  <c r="H313" i="10" s="1"/>
  <c r="D313" i="10"/>
  <c r="I312" i="10"/>
  <c r="F312" i="10"/>
  <c r="E312" i="10"/>
  <c r="H312" i="10" s="1"/>
  <c r="D312" i="10"/>
  <c r="I311" i="10"/>
  <c r="F311" i="10"/>
  <c r="E311" i="10"/>
  <c r="H311" i="10" s="1"/>
  <c r="D311" i="10"/>
  <c r="G310" i="10"/>
  <c r="J310" i="10" s="1"/>
  <c r="K310" i="10" s="1"/>
  <c r="F310" i="10"/>
  <c r="I310" i="10" s="1"/>
  <c r="E310" i="10"/>
  <c r="H310" i="10" s="1"/>
  <c r="D310" i="10"/>
  <c r="J309" i="10"/>
  <c r="K309" i="10" s="1"/>
  <c r="G309" i="10"/>
  <c r="F309" i="10"/>
  <c r="I309" i="10" s="1"/>
  <c r="E309" i="10"/>
  <c r="H309" i="10" s="1"/>
  <c r="D309" i="10"/>
  <c r="I308" i="10"/>
  <c r="F308" i="10"/>
  <c r="E308" i="10"/>
  <c r="H308" i="10" s="1"/>
  <c r="D308" i="10"/>
  <c r="I307" i="10"/>
  <c r="G307" i="10"/>
  <c r="J307" i="10" s="1"/>
  <c r="K307" i="10" s="1"/>
  <c r="F307" i="10"/>
  <c r="E307" i="10"/>
  <c r="H307" i="10" s="1"/>
  <c r="D307" i="10"/>
  <c r="K306" i="10"/>
  <c r="I306" i="10"/>
  <c r="G306" i="10"/>
  <c r="J306" i="10" s="1"/>
  <c r="F306" i="10"/>
  <c r="E306" i="10"/>
  <c r="H306" i="10" s="1"/>
  <c r="D306" i="10"/>
  <c r="F305" i="10"/>
  <c r="I305" i="10" s="1"/>
  <c r="E305" i="10"/>
  <c r="H305" i="10" s="1"/>
  <c r="D305" i="10"/>
  <c r="I304" i="10"/>
  <c r="F304" i="10"/>
  <c r="E304" i="10"/>
  <c r="H304" i="10" s="1"/>
  <c r="D304" i="10"/>
  <c r="I303" i="10"/>
  <c r="F303" i="10"/>
  <c r="E303" i="10"/>
  <c r="H303" i="10" s="1"/>
  <c r="D303" i="10"/>
  <c r="G302" i="10"/>
  <c r="J302" i="10" s="1"/>
  <c r="K302" i="10" s="1"/>
  <c r="F302" i="10"/>
  <c r="I302" i="10" s="1"/>
  <c r="E302" i="10"/>
  <c r="H302" i="10" s="1"/>
  <c r="D302" i="10"/>
  <c r="J301" i="10"/>
  <c r="K301" i="10" s="1"/>
  <c r="G301" i="10"/>
  <c r="F301" i="10"/>
  <c r="I301" i="10" s="1"/>
  <c r="E301" i="10"/>
  <c r="H301" i="10" s="1"/>
  <c r="D301" i="10"/>
  <c r="I300" i="10"/>
  <c r="F300" i="10"/>
  <c r="E300" i="10"/>
  <c r="H300" i="10" s="1"/>
  <c r="D300" i="10"/>
  <c r="I299" i="10"/>
  <c r="G299" i="10"/>
  <c r="J299" i="10" s="1"/>
  <c r="K299" i="10" s="1"/>
  <c r="F299" i="10"/>
  <c r="E299" i="10"/>
  <c r="H299" i="10" s="1"/>
  <c r="D299" i="10"/>
  <c r="K298" i="10"/>
  <c r="I298" i="10"/>
  <c r="G298" i="10"/>
  <c r="J298" i="10" s="1"/>
  <c r="F298" i="10"/>
  <c r="E298" i="10"/>
  <c r="H298" i="10" s="1"/>
  <c r="D298" i="10"/>
  <c r="G297" i="10"/>
  <c r="J297" i="10" s="1"/>
  <c r="K297" i="10" s="1"/>
  <c r="F297" i="10"/>
  <c r="I297" i="10" s="1"/>
  <c r="E297" i="10"/>
  <c r="H297" i="10" s="1"/>
  <c r="D297" i="10"/>
  <c r="I296" i="10"/>
  <c r="F296" i="10"/>
  <c r="E296" i="10"/>
  <c r="D296" i="10"/>
  <c r="H295" i="10"/>
  <c r="F295" i="10"/>
  <c r="I295" i="10" s="1"/>
  <c r="E295" i="10"/>
  <c r="G295" i="10" s="1"/>
  <c r="J295" i="10" s="1"/>
  <c r="K295" i="10" s="1"/>
  <c r="D295" i="10"/>
  <c r="I294" i="10"/>
  <c r="F294" i="10"/>
  <c r="E294" i="10"/>
  <c r="D294" i="10"/>
  <c r="H293" i="10"/>
  <c r="F293" i="10"/>
  <c r="I293" i="10" s="1"/>
  <c r="E293" i="10"/>
  <c r="G293" i="10" s="1"/>
  <c r="J293" i="10" s="1"/>
  <c r="K293" i="10" s="1"/>
  <c r="D293" i="10"/>
  <c r="I292" i="10"/>
  <c r="F292" i="10"/>
  <c r="E292" i="10"/>
  <c r="D292" i="10"/>
  <c r="H291" i="10"/>
  <c r="F291" i="10"/>
  <c r="I291" i="10" s="1"/>
  <c r="E291" i="10"/>
  <c r="G291" i="10" s="1"/>
  <c r="J291" i="10" s="1"/>
  <c r="K291" i="10" s="1"/>
  <c r="D291" i="10"/>
  <c r="I290" i="10"/>
  <c r="F290" i="10"/>
  <c r="E290" i="10"/>
  <c r="D290" i="10"/>
  <c r="H289" i="10"/>
  <c r="F289" i="10"/>
  <c r="I289" i="10" s="1"/>
  <c r="E289" i="10"/>
  <c r="G289" i="10" s="1"/>
  <c r="J289" i="10" s="1"/>
  <c r="K289" i="10" s="1"/>
  <c r="D289" i="10"/>
  <c r="I288" i="10"/>
  <c r="F288" i="10"/>
  <c r="E288" i="10"/>
  <c r="D288" i="10"/>
  <c r="H287" i="10"/>
  <c r="F287" i="10"/>
  <c r="I287" i="10" s="1"/>
  <c r="E287" i="10"/>
  <c r="G287" i="10" s="1"/>
  <c r="J287" i="10" s="1"/>
  <c r="K287" i="10" s="1"/>
  <c r="D287" i="10"/>
  <c r="I286" i="10"/>
  <c r="F286" i="10"/>
  <c r="E286" i="10"/>
  <c r="D286" i="10"/>
  <c r="H285" i="10"/>
  <c r="F285" i="10"/>
  <c r="I285" i="10" s="1"/>
  <c r="E285" i="10"/>
  <c r="G285" i="10" s="1"/>
  <c r="J285" i="10" s="1"/>
  <c r="K285" i="10" s="1"/>
  <c r="D285" i="10"/>
  <c r="I284" i="10"/>
  <c r="F284" i="10"/>
  <c r="E284" i="10"/>
  <c r="D284" i="10"/>
  <c r="H283" i="10"/>
  <c r="F283" i="10"/>
  <c r="I283" i="10" s="1"/>
  <c r="E283" i="10"/>
  <c r="G283" i="10" s="1"/>
  <c r="J283" i="10" s="1"/>
  <c r="K283" i="10" s="1"/>
  <c r="D283" i="10"/>
  <c r="I282" i="10"/>
  <c r="F282" i="10"/>
  <c r="E282" i="10"/>
  <c r="D282" i="10"/>
  <c r="H281" i="10"/>
  <c r="F281" i="10"/>
  <c r="I281" i="10" s="1"/>
  <c r="E281" i="10"/>
  <c r="G281" i="10" s="1"/>
  <c r="J281" i="10" s="1"/>
  <c r="K281" i="10" s="1"/>
  <c r="D281" i="10"/>
  <c r="I280" i="10"/>
  <c r="F280" i="10"/>
  <c r="E280" i="10"/>
  <c r="D280" i="10"/>
  <c r="H279" i="10"/>
  <c r="F279" i="10"/>
  <c r="I279" i="10" s="1"/>
  <c r="E279" i="10"/>
  <c r="G279" i="10" s="1"/>
  <c r="J279" i="10" s="1"/>
  <c r="K279" i="10" s="1"/>
  <c r="D279" i="10"/>
  <c r="I278" i="10"/>
  <c r="F278" i="10"/>
  <c r="E278" i="10"/>
  <c r="D278" i="10"/>
  <c r="H277" i="10"/>
  <c r="F277" i="10"/>
  <c r="I277" i="10" s="1"/>
  <c r="E277" i="10"/>
  <c r="G277" i="10" s="1"/>
  <c r="J277" i="10" s="1"/>
  <c r="K277" i="10" s="1"/>
  <c r="D277" i="10"/>
  <c r="I276" i="10"/>
  <c r="F276" i="10"/>
  <c r="E276" i="10"/>
  <c r="D276" i="10"/>
  <c r="H275" i="10"/>
  <c r="F275" i="10"/>
  <c r="I275" i="10" s="1"/>
  <c r="E275" i="10"/>
  <c r="G275" i="10" s="1"/>
  <c r="J275" i="10" s="1"/>
  <c r="K275" i="10" s="1"/>
  <c r="D275" i="10"/>
  <c r="I274" i="10"/>
  <c r="F274" i="10"/>
  <c r="E274" i="10"/>
  <c r="D274" i="10"/>
  <c r="H273" i="10"/>
  <c r="F273" i="10"/>
  <c r="I273" i="10" s="1"/>
  <c r="E273" i="10"/>
  <c r="G273" i="10" s="1"/>
  <c r="J273" i="10" s="1"/>
  <c r="K273" i="10" s="1"/>
  <c r="D273" i="10"/>
  <c r="I272" i="10"/>
  <c r="F272" i="10"/>
  <c r="E272" i="10"/>
  <c r="D272" i="10"/>
  <c r="H271" i="10"/>
  <c r="F271" i="10"/>
  <c r="I271" i="10" s="1"/>
  <c r="E271" i="10"/>
  <c r="G271" i="10" s="1"/>
  <c r="J271" i="10" s="1"/>
  <c r="K271" i="10" s="1"/>
  <c r="D271" i="10"/>
  <c r="I270" i="10"/>
  <c r="F270" i="10"/>
  <c r="E270" i="10"/>
  <c r="D270" i="10"/>
  <c r="H269" i="10"/>
  <c r="F269" i="10"/>
  <c r="I269" i="10" s="1"/>
  <c r="E269" i="10"/>
  <c r="G269" i="10" s="1"/>
  <c r="J269" i="10" s="1"/>
  <c r="K269" i="10" s="1"/>
  <c r="D269" i="10"/>
  <c r="I268" i="10"/>
  <c r="F268" i="10"/>
  <c r="E268" i="10"/>
  <c r="D268" i="10"/>
  <c r="H267" i="10"/>
  <c r="F267" i="10"/>
  <c r="I267" i="10" s="1"/>
  <c r="E267" i="10"/>
  <c r="G267" i="10" s="1"/>
  <c r="J267" i="10" s="1"/>
  <c r="K267" i="10" s="1"/>
  <c r="D267" i="10"/>
  <c r="I266" i="10"/>
  <c r="F266" i="10"/>
  <c r="E266" i="10"/>
  <c r="D266" i="10"/>
  <c r="H265" i="10"/>
  <c r="F265" i="10"/>
  <c r="I265" i="10" s="1"/>
  <c r="E265" i="10"/>
  <c r="G265" i="10" s="1"/>
  <c r="J265" i="10" s="1"/>
  <c r="K265" i="10" s="1"/>
  <c r="D265" i="10"/>
  <c r="I264" i="10"/>
  <c r="F264" i="10"/>
  <c r="E264" i="10"/>
  <c r="D264" i="10"/>
  <c r="H263" i="10"/>
  <c r="F263" i="10"/>
  <c r="I263" i="10" s="1"/>
  <c r="E263" i="10"/>
  <c r="G263" i="10" s="1"/>
  <c r="J263" i="10" s="1"/>
  <c r="K263" i="10" s="1"/>
  <c r="D263" i="10"/>
  <c r="I262" i="10"/>
  <c r="F262" i="10"/>
  <c r="E262" i="10"/>
  <c r="D262" i="10"/>
  <c r="H261" i="10"/>
  <c r="F261" i="10"/>
  <c r="I261" i="10" s="1"/>
  <c r="E261" i="10"/>
  <c r="G261" i="10" s="1"/>
  <c r="J261" i="10" s="1"/>
  <c r="K261" i="10" s="1"/>
  <c r="D261" i="10"/>
  <c r="I260" i="10"/>
  <c r="F260" i="10"/>
  <c r="E260" i="10"/>
  <c r="D260" i="10"/>
  <c r="H259" i="10"/>
  <c r="F259" i="10"/>
  <c r="I259" i="10" s="1"/>
  <c r="E259" i="10"/>
  <c r="G259" i="10" s="1"/>
  <c r="J259" i="10" s="1"/>
  <c r="K259" i="10" s="1"/>
  <c r="D259" i="10"/>
  <c r="I258" i="10"/>
  <c r="F258" i="10"/>
  <c r="E258" i="10"/>
  <c r="D258" i="10"/>
  <c r="H257" i="10"/>
  <c r="F257" i="10"/>
  <c r="I257" i="10" s="1"/>
  <c r="E257" i="10"/>
  <c r="G257" i="10" s="1"/>
  <c r="J257" i="10" s="1"/>
  <c r="K257" i="10" s="1"/>
  <c r="D257" i="10"/>
  <c r="I256" i="10"/>
  <c r="F256" i="10"/>
  <c r="E256" i="10"/>
  <c r="D256" i="10"/>
  <c r="H255" i="10"/>
  <c r="F255" i="10"/>
  <c r="I255" i="10" s="1"/>
  <c r="E255" i="10"/>
  <c r="G255" i="10" s="1"/>
  <c r="J255" i="10" s="1"/>
  <c r="K255" i="10" s="1"/>
  <c r="D255" i="10"/>
  <c r="I254" i="10"/>
  <c r="F254" i="10"/>
  <c r="E254" i="10"/>
  <c r="D254" i="10"/>
  <c r="H253" i="10"/>
  <c r="F253" i="10"/>
  <c r="I253" i="10" s="1"/>
  <c r="E253" i="10"/>
  <c r="G253" i="10" s="1"/>
  <c r="J253" i="10" s="1"/>
  <c r="K253" i="10" s="1"/>
  <c r="D253" i="10"/>
  <c r="I252" i="10"/>
  <c r="F252" i="10"/>
  <c r="E252" i="10"/>
  <c r="D252" i="10"/>
  <c r="H251" i="10"/>
  <c r="F251" i="10"/>
  <c r="I251" i="10" s="1"/>
  <c r="E251" i="10"/>
  <c r="G251" i="10" s="1"/>
  <c r="J251" i="10" s="1"/>
  <c r="K251" i="10" s="1"/>
  <c r="D251" i="10"/>
  <c r="I250" i="10"/>
  <c r="F250" i="10"/>
  <c r="E250" i="10"/>
  <c r="D250" i="10"/>
  <c r="H249" i="10"/>
  <c r="F249" i="10"/>
  <c r="I249" i="10" s="1"/>
  <c r="E249" i="10"/>
  <c r="G249" i="10" s="1"/>
  <c r="J249" i="10" s="1"/>
  <c r="K249" i="10" s="1"/>
  <c r="D249" i="10"/>
  <c r="I248" i="10"/>
  <c r="F248" i="10"/>
  <c r="E248" i="10"/>
  <c r="D248" i="10"/>
  <c r="H247" i="10"/>
  <c r="F247" i="10"/>
  <c r="I247" i="10" s="1"/>
  <c r="E247" i="10"/>
  <c r="G247" i="10" s="1"/>
  <c r="J247" i="10" s="1"/>
  <c r="K247" i="10" s="1"/>
  <c r="D247" i="10"/>
  <c r="I246" i="10"/>
  <c r="F246" i="10"/>
  <c r="E246" i="10"/>
  <c r="D246" i="10"/>
  <c r="H245" i="10"/>
  <c r="F245" i="10"/>
  <c r="I245" i="10" s="1"/>
  <c r="E245" i="10"/>
  <c r="G245" i="10" s="1"/>
  <c r="J245" i="10" s="1"/>
  <c r="K245" i="10" s="1"/>
  <c r="D245" i="10"/>
  <c r="I244" i="10"/>
  <c r="F244" i="10"/>
  <c r="E244" i="10"/>
  <c r="D244" i="10"/>
  <c r="H243" i="10"/>
  <c r="F243" i="10"/>
  <c r="I243" i="10" s="1"/>
  <c r="E243" i="10"/>
  <c r="G243" i="10" s="1"/>
  <c r="J243" i="10" s="1"/>
  <c r="K243" i="10" s="1"/>
  <c r="D243" i="10"/>
  <c r="I242" i="10"/>
  <c r="F242" i="10"/>
  <c r="E242" i="10"/>
  <c r="D242" i="10"/>
  <c r="H241" i="10"/>
  <c r="F241" i="10"/>
  <c r="I241" i="10" s="1"/>
  <c r="E241" i="10"/>
  <c r="G241" i="10" s="1"/>
  <c r="J241" i="10" s="1"/>
  <c r="K241" i="10" s="1"/>
  <c r="D241" i="10"/>
  <c r="I240" i="10"/>
  <c r="F240" i="10"/>
  <c r="E240" i="10"/>
  <c r="D240" i="10"/>
  <c r="H239" i="10"/>
  <c r="F239" i="10"/>
  <c r="I239" i="10" s="1"/>
  <c r="E239" i="10"/>
  <c r="G239" i="10" s="1"/>
  <c r="J239" i="10" s="1"/>
  <c r="K239" i="10" s="1"/>
  <c r="D239" i="10"/>
  <c r="I238" i="10"/>
  <c r="F238" i="10"/>
  <c r="E238" i="10"/>
  <c r="D238" i="10"/>
  <c r="H237" i="10"/>
  <c r="F237" i="10"/>
  <c r="I237" i="10" s="1"/>
  <c r="E237" i="10"/>
  <c r="G237" i="10" s="1"/>
  <c r="J237" i="10" s="1"/>
  <c r="K237" i="10" s="1"/>
  <c r="D237" i="10"/>
  <c r="I236" i="10"/>
  <c r="F236" i="10"/>
  <c r="E236" i="10"/>
  <c r="D236" i="10"/>
  <c r="H235" i="10"/>
  <c r="F235" i="10"/>
  <c r="I235" i="10" s="1"/>
  <c r="E235" i="10"/>
  <c r="G235" i="10" s="1"/>
  <c r="J235" i="10" s="1"/>
  <c r="K235" i="10" s="1"/>
  <c r="D235" i="10"/>
  <c r="I234" i="10"/>
  <c r="F234" i="10"/>
  <c r="E234" i="10"/>
  <c r="D234" i="10"/>
  <c r="H233" i="10"/>
  <c r="F233" i="10"/>
  <c r="I233" i="10" s="1"/>
  <c r="E233" i="10"/>
  <c r="G233" i="10" s="1"/>
  <c r="J233" i="10" s="1"/>
  <c r="K233" i="10" s="1"/>
  <c r="D233" i="10"/>
  <c r="I232" i="10"/>
  <c r="F232" i="10"/>
  <c r="E232" i="10"/>
  <c r="D232" i="10"/>
  <c r="H231" i="10"/>
  <c r="F231" i="10"/>
  <c r="I231" i="10" s="1"/>
  <c r="E231" i="10"/>
  <c r="G231" i="10" s="1"/>
  <c r="J231" i="10" s="1"/>
  <c r="K231" i="10" s="1"/>
  <c r="D231" i="10"/>
  <c r="I230" i="10"/>
  <c r="F230" i="10"/>
  <c r="E230" i="10"/>
  <c r="D230" i="10"/>
  <c r="H229" i="10"/>
  <c r="F229" i="10"/>
  <c r="I229" i="10" s="1"/>
  <c r="E229" i="10"/>
  <c r="G229" i="10" s="1"/>
  <c r="J229" i="10" s="1"/>
  <c r="K229" i="10" s="1"/>
  <c r="D229" i="10"/>
  <c r="I228" i="10"/>
  <c r="F228" i="10"/>
  <c r="E228" i="10"/>
  <c r="D228" i="10"/>
  <c r="H227" i="10"/>
  <c r="F227" i="10"/>
  <c r="I227" i="10" s="1"/>
  <c r="E227" i="10"/>
  <c r="G227" i="10" s="1"/>
  <c r="J227" i="10" s="1"/>
  <c r="K227" i="10" s="1"/>
  <c r="D227" i="10"/>
  <c r="I226" i="10"/>
  <c r="F226" i="10"/>
  <c r="E226" i="10"/>
  <c r="D226" i="10"/>
  <c r="H225" i="10"/>
  <c r="F225" i="10"/>
  <c r="I225" i="10" s="1"/>
  <c r="E225" i="10"/>
  <c r="G225" i="10" s="1"/>
  <c r="J225" i="10" s="1"/>
  <c r="K225" i="10" s="1"/>
  <c r="D225" i="10"/>
  <c r="I224" i="10"/>
  <c r="F224" i="10"/>
  <c r="E224" i="10"/>
  <c r="D224" i="10"/>
  <c r="H223" i="10"/>
  <c r="F223" i="10"/>
  <c r="I223" i="10" s="1"/>
  <c r="E223" i="10"/>
  <c r="G223" i="10" s="1"/>
  <c r="J223" i="10" s="1"/>
  <c r="K223" i="10" s="1"/>
  <c r="D223" i="10"/>
  <c r="I222" i="10"/>
  <c r="F222" i="10"/>
  <c r="E222" i="10"/>
  <c r="D222" i="10"/>
  <c r="H221" i="10"/>
  <c r="F221" i="10"/>
  <c r="I221" i="10" s="1"/>
  <c r="E221" i="10"/>
  <c r="G221" i="10" s="1"/>
  <c r="J221" i="10" s="1"/>
  <c r="K221" i="10" s="1"/>
  <c r="D221" i="10"/>
  <c r="I220" i="10"/>
  <c r="F220" i="10"/>
  <c r="E220" i="10"/>
  <c r="D220" i="10"/>
  <c r="H219" i="10"/>
  <c r="F219" i="10"/>
  <c r="I219" i="10" s="1"/>
  <c r="E219" i="10"/>
  <c r="G219" i="10" s="1"/>
  <c r="J219" i="10" s="1"/>
  <c r="K219" i="10" s="1"/>
  <c r="D219" i="10"/>
  <c r="I218" i="10"/>
  <c r="F218" i="10"/>
  <c r="E218" i="10"/>
  <c r="D218" i="10"/>
  <c r="H217" i="10"/>
  <c r="F217" i="10"/>
  <c r="I217" i="10" s="1"/>
  <c r="E217" i="10"/>
  <c r="G217" i="10" s="1"/>
  <c r="J217" i="10" s="1"/>
  <c r="K217" i="10" s="1"/>
  <c r="D217" i="10"/>
  <c r="I216" i="10"/>
  <c r="F216" i="10"/>
  <c r="E216" i="10"/>
  <c r="D216" i="10"/>
  <c r="H215" i="10"/>
  <c r="F215" i="10"/>
  <c r="I215" i="10" s="1"/>
  <c r="E215" i="10"/>
  <c r="G215" i="10" s="1"/>
  <c r="J215" i="10" s="1"/>
  <c r="K215" i="10" s="1"/>
  <c r="D215" i="10"/>
  <c r="I214" i="10"/>
  <c r="F214" i="10"/>
  <c r="E214" i="10"/>
  <c r="D214" i="10"/>
  <c r="H213" i="10"/>
  <c r="F213" i="10"/>
  <c r="I213" i="10" s="1"/>
  <c r="E213" i="10"/>
  <c r="G213" i="10" s="1"/>
  <c r="J213" i="10" s="1"/>
  <c r="K213" i="10" s="1"/>
  <c r="D213" i="10"/>
  <c r="I212" i="10"/>
  <c r="F212" i="10"/>
  <c r="E212" i="10"/>
  <c r="D212" i="10"/>
  <c r="H211" i="10"/>
  <c r="F211" i="10"/>
  <c r="I211" i="10" s="1"/>
  <c r="E211" i="10"/>
  <c r="G211" i="10" s="1"/>
  <c r="J211" i="10" s="1"/>
  <c r="K211" i="10" s="1"/>
  <c r="D211" i="10"/>
  <c r="I210" i="10"/>
  <c r="F210" i="10"/>
  <c r="E210" i="10"/>
  <c r="D210" i="10"/>
  <c r="H209" i="10"/>
  <c r="F209" i="10"/>
  <c r="I209" i="10" s="1"/>
  <c r="E209" i="10"/>
  <c r="G209" i="10" s="1"/>
  <c r="J209" i="10" s="1"/>
  <c r="K209" i="10" s="1"/>
  <c r="D209" i="10"/>
  <c r="I208" i="10"/>
  <c r="F208" i="10"/>
  <c r="E208" i="10"/>
  <c r="D208" i="10"/>
  <c r="H207" i="10"/>
  <c r="F207" i="10"/>
  <c r="I207" i="10" s="1"/>
  <c r="E207" i="10"/>
  <c r="G207" i="10" s="1"/>
  <c r="J207" i="10" s="1"/>
  <c r="K207" i="10" s="1"/>
  <c r="D207" i="10"/>
  <c r="I206" i="10"/>
  <c r="F206" i="10"/>
  <c r="E206" i="10"/>
  <c r="D206" i="10"/>
  <c r="H205" i="10"/>
  <c r="F205" i="10"/>
  <c r="I205" i="10" s="1"/>
  <c r="E205" i="10"/>
  <c r="G205" i="10" s="1"/>
  <c r="J205" i="10" s="1"/>
  <c r="K205" i="10" s="1"/>
  <c r="D205" i="10"/>
  <c r="I204" i="10"/>
  <c r="F204" i="10"/>
  <c r="E204" i="10"/>
  <c r="D204" i="10"/>
  <c r="H203" i="10"/>
  <c r="F203" i="10"/>
  <c r="I203" i="10" s="1"/>
  <c r="E203" i="10"/>
  <c r="G203" i="10" s="1"/>
  <c r="J203" i="10" s="1"/>
  <c r="K203" i="10" s="1"/>
  <c r="D203" i="10"/>
  <c r="I202" i="10"/>
  <c r="F202" i="10"/>
  <c r="E202" i="10"/>
  <c r="D202" i="10"/>
  <c r="H201" i="10"/>
  <c r="F201" i="10"/>
  <c r="I201" i="10" s="1"/>
  <c r="E201" i="10"/>
  <c r="G201" i="10" s="1"/>
  <c r="J201" i="10" s="1"/>
  <c r="K201" i="10" s="1"/>
  <c r="D201" i="10"/>
  <c r="I200" i="10"/>
  <c r="F200" i="10"/>
  <c r="E200" i="10"/>
  <c r="D200" i="10"/>
  <c r="H199" i="10"/>
  <c r="F199" i="10"/>
  <c r="I199" i="10" s="1"/>
  <c r="E199" i="10"/>
  <c r="G199" i="10" s="1"/>
  <c r="J199" i="10" s="1"/>
  <c r="K199" i="10" s="1"/>
  <c r="D199" i="10"/>
  <c r="I198" i="10"/>
  <c r="F198" i="10"/>
  <c r="E198" i="10"/>
  <c r="D198" i="10"/>
  <c r="H197" i="10"/>
  <c r="F197" i="10"/>
  <c r="I197" i="10" s="1"/>
  <c r="E197" i="10"/>
  <c r="G197" i="10" s="1"/>
  <c r="J197" i="10" s="1"/>
  <c r="K197" i="10" s="1"/>
  <c r="D197" i="10"/>
  <c r="I196" i="10"/>
  <c r="F196" i="10"/>
  <c r="E196" i="10"/>
  <c r="D196" i="10"/>
  <c r="H195" i="10"/>
  <c r="F195" i="10"/>
  <c r="I195" i="10" s="1"/>
  <c r="E195" i="10"/>
  <c r="G195" i="10" s="1"/>
  <c r="J195" i="10" s="1"/>
  <c r="K195" i="10" s="1"/>
  <c r="D195" i="10"/>
  <c r="I194" i="10"/>
  <c r="F194" i="10"/>
  <c r="E194" i="10"/>
  <c r="D194" i="10"/>
  <c r="H193" i="10"/>
  <c r="F193" i="10"/>
  <c r="I193" i="10" s="1"/>
  <c r="E193" i="10"/>
  <c r="G193" i="10" s="1"/>
  <c r="J193" i="10" s="1"/>
  <c r="K193" i="10" s="1"/>
  <c r="D193" i="10"/>
  <c r="I192" i="10"/>
  <c r="F192" i="10"/>
  <c r="E192" i="10"/>
  <c r="D192" i="10"/>
  <c r="H191" i="10"/>
  <c r="F191" i="10"/>
  <c r="I191" i="10" s="1"/>
  <c r="E191" i="10"/>
  <c r="G191" i="10" s="1"/>
  <c r="J191" i="10" s="1"/>
  <c r="K191" i="10" s="1"/>
  <c r="D191" i="10"/>
  <c r="I190" i="10"/>
  <c r="F190" i="10"/>
  <c r="E190" i="10"/>
  <c r="D190" i="10"/>
  <c r="H189" i="10"/>
  <c r="F189" i="10"/>
  <c r="I189" i="10" s="1"/>
  <c r="E189" i="10"/>
  <c r="G189" i="10" s="1"/>
  <c r="J189" i="10" s="1"/>
  <c r="K189" i="10" s="1"/>
  <c r="D189" i="10"/>
  <c r="I188" i="10"/>
  <c r="F188" i="10"/>
  <c r="E188" i="10"/>
  <c r="D188" i="10"/>
  <c r="H187" i="10"/>
  <c r="F187" i="10"/>
  <c r="I187" i="10" s="1"/>
  <c r="E187" i="10"/>
  <c r="G187" i="10" s="1"/>
  <c r="J187" i="10" s="1"/>
  <c r="K187" i="10" s="1"/>
  <c r="D187" i="10"/>
  <c r="I186" i="10"/>
  <c r="F186" i="10"/>
  <c r="E186" i="10"/>
  <c r="D186" i="10"/>
  <c r="H185" i="10"/>
  <c r="F185" i="10"/>
  <c r="I185" i="10" s="1"/>
  <c r="E185" i="10"/>
  <c r="G185" i="10" s="1"/>
  <c r="J185" i="10" s="1"/>
  <c r="K185" i="10" s="1"/>
  <c r="D185" i="10"/>
  <c r="I184" i="10"/>
  <c r="F184" i="10"/>
  <c r="E184" i="10"/>
  <c r="D184" i="10"/>
  <c r="H183" i="10"/>
  <c r="F183" i="10"/>
  <c r="I183" i="10" s="1"/>
  <c r="E183" i="10"/>
  <c r="G183" i="10" s="1"/>
  <c r="J183" i="10" s="1"/>
  <c r="K183" i="10" s="1"/>
  <c r="D183" i="10"/>
  <c r="I182" i="10"/>
  <c r="F182" i="10"/>
  <c r="E182" i="10"/>
  <c r="D182" i="10"/>
  <c r="H181" i="10"/>
  <c r="F181" i="10"/>
  <c r="I181" i="10" s="1"/>
  <c r="E181" i="10"/>
  <c r="D181" i="10"/>
  <c r="G181" i="10" s="1"/>
  <c r="J181" i="10" s="1"/>
  <c r="K181" i="10" s="1"/>
  <c r="H180" i="10"/>
  <c r="F180" i="10"/>
  <c r="I180" i="10" s="1"/>
  <c r="E180" i="10"/>
  <c r="D180" i="10"/>
  <c r="G180" i="10" s="1"/>
  <c r="J180" i="10" s="1"/>
  <c r="K180" i="10" s="1"/>
  <c r="H179" i="10"/>
  <c r="F179" i="10"/>
  <c r="I179" i="10" s="1"/>
  <c r="E179" i="10"/>
  <c r="D179" i="10"/>
  <c r="G179" i="10" s="1"/>
  <c r="J179" i="10" s="1"/>
  <c r="K179" i="10" s="1"/>
  <c r="H178" i="10"/>
  <c r="F178" i="10"/>
  <c r="I178" i="10" s="1"/>
  <c r="E178" i="10"/>
  <c r="D178" i="10"/>
  <c r="G178" i="10" s="1"/>
  <c r="J178" i="10" s="1"/>
  <c r="K178" i="10" s="1"/>
  <c r="H177" i="10"/>
  <c r="F177" i="10"/>
  <c r="I177" i="10" s="1"/>
  <c r="E177" i="10"/>
  <c r="D177" i="10"/>
  <c r="G177" i="10" s="1"/>
  <c r="J177" i="10" s="1"/>
  <c r="K177" i="10" s="1"/>
  <c r="H176" i="10"/>
  <c r="F176" i="10"/>
  <c r="I176" i="10" s="1"/>
  <c r="E176" i="10"/>
  <c r="D176" i="10"/>
  <c r="G176" i="10" s="1"/>
  <c r="J176" i="10" s="1"/>
  <c r="K176" i="10" s="1"/>
  <c r="H175" i="10"/>
  <c r="F175" i="10"/>
  <c r="I175" i="10" s="1"/>
  <c r="E175" i="10"/>
  <c r="D175" i="10"/>
  <c r="G175" i="10" s="1"/>
  <c r="J175" i="10" s="1"/>
  <c r="K175" i="10" s="1"/>
  <c r="H174" i="10"/>
  <c r="F174" i="10"/>
  <c r="I174" i="10" s="1"/>
  <c r="E174" i="10"/>
  <c r="D174" i="10"/>
  <c r="G174" i="10" s="1"/>
  <c r="J174" i="10" s="1"/>
  <c r="K174" i="10" s="1"/>
  <c r="H173" i="10"/>
  <c r="F173" i="10"/>
  <c r="I173" i="10" s="1"/>
  <c r="E173" i="10"/>
  <c r="D173" i="10"/>
  <c r="G173" i="10" s="1"/>
  <c r="J173" i="10" s="1"/>
  <c r="K173" i="10" s="1"/>
  <c r="H172" i="10"/>
  <c r="F172" i="10"/>
  <c r="I172" i="10" s="1"/>
  <c r="E172" i="10"/>
  <c r="D172" i="10"/>
  <c r="G172" i="10" s="1"/>
  <c r="J172" i="10" s="1"/>
  <c r="K172" i="10" s="1"/>
  <c r="H171" i="10"/>
  <c r="F171" i="10"/>
  <c r="I171" i="10" s="1"/>
  <c r="E171" i="10"/>
  <c r="D171" i="10"/>
  <c r="G171" i="10" s="1"/>
  <c r="J171" i="10" s="1"/>
  <c r="K171" i="10" s="1"/>
  <c r="H170" i="10"/>
  <c r="F170" i="10"/>
  <c r="I170" i="10" s="1"/>
  <c r="E170" i="10"/>
  <c r="D170" i="10"/>
  <c r="G170" i="10" s="1"/>
  <c r="J170" i="10" s="1"/>
  <c r="K170" i="10" s="1"/>
  <c r="H169" i="10"/>
  <c r="F169" i="10"/>
  <c r="I169" i="10" s="1"/>
  <c r="E169" i="10"/>
  <c r="D169" i="10"/>
  <c r="G169" i="10" s="1"/>
  <c r="J169" i="10" s="1"/>
  <c r="K169" i="10" s="1"/>
  <c r="H168" i="10"/>
  <c r="F168" i="10"/>
  <c r="I168" i="10" s="1"/>
  <c r="E168" i="10"/>
  <c r="D168" i="10"/>
  <c r="G168" i="10" s="1"/>
  <c r="J168" i="10" s="1"/>
  <c r="K168" i="10" s="1"/>
  <c r="H167" i="10"/>
  <c r="F167" i="10"/>
  <c r="I167" i="10" s="1"/>
  <c r="E167" i="10"/>
  <c r="D167" i="10"/>
  <c r="G167" i="10" s="1"/>
  <c r="J167" i="10" s="1"/>
  <c r="K167" i="10" s="1"/>
  <c r="H166" i="10"/>
  <c r="F166" i="10"/>
  <c r="I166" i="10" s="1"/>
  <c r="E166" i="10"/>
  <c r="D166" i="10"/>
  <c r="G166" i="10" s="1"/>
  <c r="J166" i="10" s="1"/>
  <c r="K166" i="10" s="1"/>
  <c r="H165" i="10"/>
  <c r="F165" i="10"/>
  <c r="I165" i="10" s="1"/>
  <c r="E165" i="10"/>
  <c r="D165" i="10"/>
  <c r="G165" i="10" s="1"/>
  <c r="J165" i="10" s="1"/>
  <c r="K165" i="10" s="1"/>
  <c r="H164" i="10"/>
  <c r="F164" i="10"/>
  <c r="I164" i="10" s="1"/>
  <c r="E164" i="10"/>
  <c r="D164" i="10"/>
  <c r="G164" i="10" s="1"/>
  <c r="J164" i="10" s="1"/>
  <c r="K164" i="10" s="1"/>
  <c r="H163" i="10"/>
  <c r="F163" i="10"/>
  <c r="I163" i="10" s="1"/>
  <c r="E163" i="10"/>
  <c r="D163" i="10"/>
  <c r="G163" i="10" s="1"/>
  <c r="J163" i="10" s="1"/>
  <c r="K163" i="10" s="1"/>
  <c r="H162" i="10"/>
  <c r="F162" i="10"/>
  <c r="I162" i="10" s="1"/>
  <c r="E162" i="10"/>
  <c r="D162" i="10"/>
  <c r="G162" i="10" s="1"/>
  <c r="J162" i="10" s="1"/>
  <c r="K162" i="10" s="1"/>
  <c r="H161" i="10"/>
  <c r="F161" i="10"/>
  <c r="I161" i="10" s="1"/>
  <c r="E161" i="10"/>
  <c r="D161" i="10"/>
  <c r="G161" i="10" s="1"/>
  <c r="J161" i="10" s="1"/>
  <c r="K161" i="10" s="1"/>
  <c r="H160" i="10"/>
  <c r="F160" i="10"/>
  <c r="I160" i="10" s="1"/>
  <c r="E160" i="10"/>
  <c r="D160" i="10"/>
  <c r="G160" i="10" s="1"/>
  <c r="J160" i="10" s="1"/>
  <c r="K160" i="10" s="1"/>
  <c r="H159" i="10"/>
  <c r="F159" i="10"/>
  <c r="I159" i="10" s="1"/>
  <c r="E159" i="10"/>
  <c r="D159" i="10"/>
  <c r="G159" i="10" s="1"/>
  <c r="J159" i="10" s="1"/>
  <c r="K159" i="10" s="1"/>
  <c r="H158" i="10"/>
  <c r="F158" i="10"/>
  <c r="I158" i="10" s="1"/>
  <c r="E158" i="10"/>
  <c r="D158" i="10"/>
  <c r="G158" i="10" s="1"/>
  <c r="J158" i="10" s="1"/>
  <c r="K158" i="10" s="1"/>
  <c r="H157" i="10"/>
  <c r="F157" i="10"/>
  <c r="I157" i="10" s="1"/>
  <c r="E157" i="10"/>
  <c r="D157" i="10"/>
  <c r="G157" i="10" s="1"/>
  <c r="J157" i="10" s="1"/>
  <c r="K157" i="10" s="1"/>
  <c r="H156" i="10"/>
  <c r="F156" i="10"/>
  <c r="I156" i="10" s="1"/>
  <c r="E156" i="10"/>
  <c r="D156" i="10"/>
  <c r="G156" i="10" s="1"/>
  <c r="J156" i="10" s="1"/>
  <c r="K156" i="10" s="1"/>
  <c r="H155" i="10"/>
  <c r="F155" i="10"/>
  <c r="I155" i="10" s="1"/>
  <c r="E155" i="10"/>
  <c r="D155" i="10"/>
  <c r="G155" i="10" s="1"/>
  <c r="J155" i="10" s="1"/>
  <c r="K155" i="10" s="1"/>
  <c r="H154" i="10"/>
  <c r="F154" i="10"/>
  <c r="I154" i="10" s="1"/>
  <c r="E154" i="10"/>
  <c r="D154" i="10"/>
  <c r="G154" i="10" s="1"/>
  <c r="J154" i="10" s="1"/>
  <c r="K154" i="10" s="1"/>
  <c r="H153" i="10"/>
  <c r="F153" i="10"/>
  <c r="I153" i="10" s="1"/>
  <c r="E153" i="10"/>
  <c r="D153" i="10"/>
  <c r="G153" i="10" s="1"/>
  <c r="J153" i="10" s="1"/>
  <c r="K153" i="10" s="1"/>
  <c r="H152" i="10"/>
  <c r="F152" i="10"/>
  <c r="I152" i="10" s="1"/>
  <c r="E152" i="10"/>
  <c r="D152" i="10"/>
  <c r="G152" i="10" s="1"/>
  <c r="J152" i="10" s="1"/>
  <c r="K152" i="10" s="1"/>
  <c r="H151" i="10"/>
  <c r="F151" i="10"/>
  <c r="I151" i="10" s="1"/>
  <c r="E151" i="10"/>
  <c r="D151" i="10"/>
  <c r="G151" i="10" s="1"/>
  <c r="J151" i="10" s="1"/>
  <c r="K151" i="10" s="1"/>
  <c r="H150" i="10"/>
  <c r="F150" i="10"/>
  <c r="I150" i="10" s="1"/>
  <c r="E150" i="10"/>
  <c r="D150" i="10"/>
  <c r="G150" i="10" s="1"/>
  <c r="J150" i="10" s="1"/>
  <c r="K150" i="10" s="1"/>
  <c r="H149" i="10"/>
  <c r="F149" i="10"/>
  <c r="I149" i="10" s="1"/>
  <c r="E149" i="10"/>
  <c r="D149" i="10"/>
  <c r="G149" i="10" s="1"/>
  <c r="J149" i="10" s="1"/>
  <c r="K149" i="10" s="1"/>
  <c r="H148" i="10"/>
  <c r="F148" i="10"/>
  <c r="I148" i="10" s="1"/>
  <c r="E148" i="10"/>
  <c r="D148" i="10"/>
  <c r="G148" i="10" s="1"/>
  <c r="J148" i="10" s="1"/>
  <c r="K148" i="10" s="1"/>
  <c r="H147" i="10"/>
  <c r="F147" i="10"/>
  <c r="I147" i="10" s="1"/>
  <c r="E147" i="10"/>
  <c r="D147" i="10"/>
  <c r="G147" i="10" s="1"/>
  <c r="J147" i="10" s="1"/>
  <c r="K147" i="10" s="1"/>
  <c r="H146" i="10"/>
  <c r="F146" i="10"/>
  <c r="I146" i="10" s="1"/>
  <c r="E146" i="10"/>
  <c r="D146" i="10"/>
  <c r="G146" i="10" s="1"/>
  <c r="J146" i="10" s="1"/>
  <c r="K146" i="10" s="1"/>
  <c r="H145" i="10"/>
  <c r="F145" i="10"/>
  <c r="I145" i="10" s="1"/>
  <c r="E145" i="10"/>
  <c r="D145" i="10"/>
  <c r="G145" i="10" s="1"/>
  <c r="J145" i="10" s="1"/>
  <c r="K145" i="10" s="1"/>
  <c r="H144" i="10"/>
  <c r="F144" i="10"/>
  <c r="I144" i="10" s="1"/>
  <c r="E144" i="10"/>
  <c r="D144" i="10"/>
  <c r="G144" i="10" s="1"/>
  <c r="J144" i="10" s="1"/>
  <c r="K144" i="10" s="1"/>
  <c r="H143" i="10"/>
  <c r="F143" i="10"/>
  <c r="I143" i="10" s="1"/>
  <c r="E143" i="10"/>
  <c r="D143" i="10"/>
  <c r="G143" i="10" s="1"/>
  <c r="J143" i="10" s="1"/>
  <c r="K143" i="10" s="1"/>
  <c r="H142" i="10"/>
  <c r="F142" i="10"/>
  <c r="I142" i="10" s="1"/>
  <c r="E142" i="10"/>
  <c r="D142" i="10"/>
  <c r="G142" i="10" s="1"/>
  <c r="J142" i="10" s="1"/>
  <c r="K142" i="10" s="1"/>
  <c r="H141" i="10"/>
  <c r="F141" i="10"/>
  <c r="I141" i="10" s="1"/>
  <c r="E141" i="10"/>
  <c r="D141" i="10"/>
  <c r="G141" i="10" s="1"/>
  <c r="J141" i="10" s="1"/>
  <c r="K141" i="10" s="1"/>
  <c r="H140" i="10"/>
  <c r="F140" i="10"/>
  <c r="I140" i="10" s="1"/>
  <c r="E140" i="10"/>
  <c r="D140" i="10"/>
  <c r="G140" i="10" s="1"/>
  <c r="J140" i="10" s="1"/>
  <c r="K140" i="10" s="1"/>
  <c r="H139" i="10"/>
  <c r="F139" i="10"/>
  <c r="I139" i="10" s="1"/>
  <c r="E139" i="10"/>
  <c r="D139" i="10"/>
  <c r="G139" i="10" s="1"/>
  <c r="J139" i="10" s="1"/>
  <c r="K139" i="10" s="1"/>
  <c r="H138" i="10"/>
  <c r="F138" i="10"/>
  <c r="I138" i="10" s="1"/>
  <c r="E138" i="10"/>
  <c r="D138" i="10"/>
  <c r="G138" i="10" s="1"/>
  <c r="J138" i="10" s="1"/>
  <c r="K138" i="10" s="1"/>
  <c r="H137" i="10"/>
  <c r="F137" i="10"/>
  <c r="I137" i="10" s="1"/>
  <c r="E137" i="10"/>
  <c r="D137" i="10"/>
  <c r="G137" i="10" s="1"/>
  <c r="J137" i="10" s="1"/>
  <c r="K137" i="10" s="1"/>
  <c r="H136" i="10"/>
  <c r="F136" i="10"/>
  <c r="I136" i="10" s="1"/>
  <c r="E136" i="10"/>
  <c r="D136" i="10"/>
  <c r="G136" i="10" s="1"/>
  <c r="J136" i="10" s="1"/>
  <c r="K136" i="10" s="1"/>
  <c r="H135" i="10"/>
  <c r="F135" i="10"/>
  <c r="I135" i="10" s="1"/>
  <c r="E135" i="10"/>
  <c r="D135" i="10"/>
  <c r="G135" i="10" s="1"/>
  <c r="J135" i="10" s="1"/>
  <c r="K135" i="10" s="1"/>
  <c r="H134" i="10"/>
  <c r="F134" i="10"/>
  <c r="I134" i="10" s="1"/>
  <c r="E134" i="10"/>
  <c r="D134" i="10"/>
  <c r="G134" i="10" s="1"/>
  <c r="J134" i="10" s="1"/>
  <c r="K134" i="10" s="1"/>
  <c r="H133" i="10"/>
  <c r="F133" i="10"/>
  <c r="I133" i="10" s="1"/>
  <c r="E133" i="10"/>
  <c r="D133" i="10"/>
  <c r="G133" i="10" s="1"/>
  <c r="J133" i="10" s="1"/>
  <c r="K133" i="10" s="1"/>
  <c r="H132" i="10"/>
  <c r="F132" i="10"/>
  <c r="I132" i="10" s="1"/>
  <c r="E132" i="10"/>
  <c r="D132" i="10"/>
  <c r="G132" i="10" s="1"/>
  <c r="J132" i="10" s="1"/>
  <c r="K132" i="10" s="1"/>
  <c r="H131" i="10"/>
  <c r="F131" i="10"/>
  <c r="I131" i="10" s="1"/>
  <c r="E131" i="10"/>
  <c r="D131" i="10"/>
  <c r="G131" i="10" s="1"/>
  <c r="J131" i="10" s="1"/>
  <c r="K131" i="10" s="1"/>
  <c r="H130" i="10"/>
  <c r="F130" i="10"/>
  <c r="I130" i="10" s="1"/>
  <c r="E130" i="10"/>
  <c r="D130" i="10"/>
  <c r="G130" i="10" s="1"/>
  <c r="J130" i="10" s="1"/>
  <c r="K130" i="10" s="1"/>
  <c r="H129" i="10"/>
  <c r="F129" i="10"/>
  <c r="I129" i="10" s="1"/>
  <c r="E129" i="10"/>
  <c r="D129" i="10"/>
  <c r="G129" i="10" s="1"/>
  <c r="J129" i="10" s="1"/>
  <c r="K129" i="10" s="1"/>
  <c r="H128" i="10"/>
  <c r="F128" i="10"/>
  <c r="I128" i="10" s="1"/>
  <c r="E128" i="10"/>
  <c r="D128" i="10"/>
  <c r="G128" i="10" s="1"/>
  <c r="J128" i="10" s="1"/>
  <c r="K128" i="10" s="1"/>
  <c r="H127" i="10"/>
  <c r="F127" i="10"/>
  <c r="I127" i="10" s="1"/>
  <c r="E127" i="10"/>
  <c r="D127" i="10"/>
  <c r="G127" i="10" s="1"/>
  <c r="J127" i="10" s="1"/>
  <c r="K127" i="10" s="1"/>
  <c r="H126" i="10"/>
  <c r="F126" i="10"/>
  <c r="I126" i="10" s="1"/>
  <c r="E126" i="10"/>
  <c r="D126" i="10"/>
  <c r="G126" i="10" s="1"/>
  <c r="J126" i="10" s="1"/>
  <c r="K126" i="10" s="1"/>
  <c r="H125" i="10"/>
  <c r="F125" i="10"/>
  <c r="I125" i="10" s="1"/>
  <c r="E125" i="10"/>
  <c r="D125" i="10"/>
  <c r="G125" i="10" s="1"/>
  <c r="J125" i="10" s="1"/>
  <c r="K125" i="10" s="1"/>
  <c r="H124" i="10"/>
  <c r="F124" i="10"/>
  <c r="I124" i="10" s="1"/>
  <c r="E124" i="10"/>
  <c r="D124" i="10"/>
  <c r="G124" i="10" s="1"/>
  <c r="J124" i="10" s="1"/>
  <c r="K124" i="10" s="1"/>
  <c r="H123" i="10"/>
  <c r="F123" i="10"/>
  <c r="I123" i="10" s="1"/>
  <c r="E123" i="10"/>
  <c r="D123" i="10"/>
  <c r="G123" i="10" s="1"/>
  <c r="J123" i="10" s="1"/>
  <c r="K123" i="10" s="1"/>
  <c r="H122" i="10"/>
  <c r="F122" i="10"/>
  <c r="I122" i="10" s="1"/>
  <c r="E122" i="10"/>
  <c r="D122" i="10"/>
  <c r="G122" i="10" s="1"/>
  <c r="J122" i="10" s="1"/>
  <c r="K122" i="10" s="1"/>
  <c r="H121" i="10"/>
  <c r="F121" i="10"/>
  <c r="I121" i="10" s="1"/>
  <c r="E121" i="10"/>
  <c r="D121" i="10"/>
  <c r="G121" i="10" s="1"/>
  <c r="J121" i="10" s="1"/>
  <c r="K121" i="10" s="1"/>
  <c r="H120" i="10"/>
  <c r="F120" i="10"/>
  <c r="I120" i="10" s="1"/>
  <c r="E120" i="10"/>
  <c r="D120" i="10"/>
  <c r="G120" i="10" s="1"/>
  <c r="J120" i="10" s="1"/>
  <c r="K120" i="10" s="1"/>
  <c r="H119" i="10"/>
  <c r="F119" i="10"/>
  <c r="I119" i="10" s="1"/>
  <c r="E119" i="10"/>
  <c r="D119" i="10"/>
  <c r="G119" i="10" s="1"/>
  <c r="J119" i="10" s="1"/>
  <c r="K119" i="10" s="1"/>
  <c r="H118" i="10"/>
  <c r="F118" i="10"/>
  <c r="I118" i="10" s="1"/>
  <c r="E118" i="10"/>
  <c r="D118" i="10"/>
  <c r="G118" i="10" s="1"/>
  <c r="J118" i="10" s="1"/>
  <c r="K118" i="10" s="1"/>
  <c r="H117" i="10"/>
  <c r="F117" i="10"/>
  <c r="I117" i="10" s="1"/>
  <c r="E117" i="10"/>
  <c r="D117" i="10"/>
  <c r="G117" i="10" s="1"/>
  <c r="J117" i="10" s="1"/>
  <c r="K117" i="10" s="1"/>
  <c r="H116" i="10"/>
  <c r="F116" i="10"/>
  <c r="I116" i="10" s="1"/>
  <c r="E116" i="10"/>
  <c r="D116" i="10"/>
  <c r="G116" i="10" s="1"/>
  <c r="J116" i="10" s="1"/>
  <c r="K116" i="10" s="1"/>
  <c r="H115" i="10"/>
  <c r="F115" i="10"/>
  <c r="I115" i="10" s="1"/>
  <c r="E115" i="10"/>
  <c r="D115" i="10"/>
  <c r="G115" i="10" s="1"/>
  <c r="J115" i="10" s="1"/>
  <c r="K115" i="10" s="1"/>
  <c r="H114" i="10"/>
  <c r="F114" i="10"/>
  <c r="I114" i="10" s="1"/>
  <c r="E114" i="10"/>
  <c r="D114" i="10"/>
  <c r="G114" i="10" s="1"/>
  <c r="J114" i="10" s="1"/>
  <c r="K114" i="10" s="1"/>
  <c r="H113" i="10"/>
  <c r="F113" i="10"/>
  <c r="I113" i="10" s="1"/>
  <c r="E113" i="10"/>
  <c r="D113" i="10"/>
  <c r="G113" i="10" s="1"/>
  <c r="J113" i="10" s="1"/>
  <c r="K113" i="10" s="1"/>
  <c r="H112" i="10"/>
  <c r="F112" i="10"/>
  <c r="I112" i="10" s="1"/>
  <c r="E112" i="10"/>
  <c r="D112" i="10"/>
  <c r="G112" i="10" s="1"/>
  <c r="J112" i="10" s="1"/>
  <c r="K112" i="10" s="1"/>
  <c r="H111" i="10"/>
  <c r="F111" i="10"/>
  <c r="I111" i="10" s="1"/>
  <c r="E111" i="10"/>
  <c r="D111" i="10"/>
  <c r="G111" i="10" s="1"/>
  <c r="J111" i="10" s="1"/>
  <c r="K111" i="10" s="1"/>
  <c r="H110" i="10"/>
  <c r="F110" i="10"/>
  <c r="I110" i="10" s="1"/>
  <c r="E110" i="10"/>
  <c r="D110" i="10"/>
  <c r="G110" i="10" s="1"/>
  <c r="J110" i="10" s="1"/>
  <c r="K110" i="10" s="1"/>
  <c r="H109" i="10"/>
  <c r="F109" i="10"/>
  <c r="I109" i="10" s="1"/>
  <c r="E109" i="10"/>
  <c r="D109" i="10"/>
  <c r="G109" i="10" s="1"/>
  <c r="J109" i="10" s="1"/>
  <c r="K109" i="10" s="1"/>
  <c r="H108" i="10"/>
  <c r="F108" i="10"/>
  <c r="I108" i="10" s="1"/>
  <c r="E108" i="10"/>
  <c r="D108" i="10"/>
  <c r="G108" i="10" s="1"/>
  <c r="J108" i="10" s="1"/>
  <c r="K108" i="10" s="1"/>
  <c r="H107" i="10"/>
  <c r="F107" i="10"/>
  <c r="I107" i="10" s="1"/>
  <c r="E107" i="10"/>
  <c r="D107" i="10"/>
  <c r="G107" i="10" s="1"/>
  <c r="J107" i="10" s="1"/>
  <c r="K107" i="10" s="1"/>
  <c r="H106" i="10"/>
  <c r="F106" i="10"/>
  <c r="I106" i="10" s="1"/>
  <c r="E106" i="10"/>
  <c r="D106" i="10"/>
  <c r="G106" i="10" s="1"/>
  <c r="J106" i="10" s="1"/>
  <c r="K106" i="10" s="1"/>
  <c r="H105" i="10"/>
  <c r="F105" i="10"/>
  <c r="I105" i="10" s="1"/>
  <c r="E105" i="10"/>
  <c r="D105" i="10"/>
  <c r="G105" i="10" s="1"/>
  <c r="J105" i="10" s="1"/>
  <c r="K105" i="10" s="1"/>
  <c r="H104" i="10"/>
  <c r="F104" i="10"/>
  <c r="I104" i="10" s="1"/>
  <c r="E104" i="10"/>
  <c r="D104" i="10"/>
  <c r="G104" i="10" s="1"/>
  <c r="J104" i="10" s="1"/>
  <c r="K104" i="10" s="1"/>
  <c r="H103" i="10"/>
  <c r="F103" i="10"/>
  <c r="I103" i="10" s="1"/>
  <c r="E103" i="10"/>
  <c r="D103" i="10"/>
  <c r="G103" i="10" s="1"/>
  <c r="J103" i="10" s="1"/>
  <c r="K103" i="10" s="1"/>
  <c r="H102" i="10"/>
  <c r="F102" i="10"/>
  <c r="I102" i="10" s="1"/>
  <c r="E102" i="10"/>
  <c r="D102" i="10"/>
  <c r="G102" i="10" s="1"/>
  <c r="J102" i="10" s="1"/>
  <c r="K102" i="10" s="1"/>
  <c r="H101" i="10"/>
  <c r="F101" i="10"/>
  <c r="I101" i="10" s="1"/>
  <c r="E101" i="10"/>
  <c r="D101" i="10"/>
  <c r="G101" i="10" s="1"/>
  <c r="J101" i="10" s="1"/>
  <c r="K101" i="10" s="1"/>
  <c r="H100" i="10"/>
  <c r="F100" i="10"/>
  <c r="I100" i="10" s="1"/>
  <c r="E100" i="10"/>
  <c r="D100" i="10"/>
  <c r="G100" i="10" s="1"/>
  <c r="J100" i="10" s="1"/>
  <c r="K100" i="10" s="1"/>
  <c r="H99" i="10"/>
  <c r="F99" i="10"/>
  <c r="I99" i="10" s="1"/>
  <c r="E99" i="10"/>
  <c r="D99" i="10"/>
  <c r="G99" i="10" s="1"/>
  <c r="J99" i="10" s="1"/>
  <c r="K99" i="10" s="1"/>
  <c r="H98" i="10"/>
  <c r="F98" i="10"/>
  <c r="I98" i="10" s="1"/>
  <c r="E98" i="10"/>
  <c r="D98" i="10"/>
  <c r="G98" i="10" s="1"/>
  <c r="J98" i="10" s="1"/>
  <c r="K98" i="10" s="1"/>
  <c r="H97" i="10"/>
  <c r="F97" i="10"/>
  <c r="I97" i="10" s="1"/>
  <c r="E97" i="10"/>
  <c r="D97" i="10"/>
  <c r="G97" i="10" s="1"/>
  <c r="J97" i="10" s="1"/>
  <c r="K97" i="10" s="1"/>
  <c r="H96" i="10"/>
  <c r="F96" i="10"/>
  <c r="I96" i="10" s="1"/>
  <c r="E96" i="10"/>
  <c r="D96" i="10"/>
  <c r="G96" i="10" s="1"/>
  <c r="J96" i="10" s="1"/>
  <c r="K96" i="10" s="1"/>
  <c r="H95" i="10"/>
  <c r="F95" i="10"/>
  <c r="I95" i="10" s="1"/>
  <c r="E95" i="10"/>
  <c r="D95" i="10"/>
  <c r="G95" i="10" s="1"/>
  <c r="J95" i="10" s="1"/>
  <c r="K95" i="10" s="1"/>
  <c r="H94" i="10"/>
  <c r="F94" i="10"/>
  <c r="I94" i="10" s="1"/>
  <c r="E94" i="10"/>
  <c r="D94" i="10"/>
  <c r="G94" i="10" s="1"/>
  <c r="J94" i="10" s="1"/>
  <c r="K94" i="10" s="1"/>
  <c r="H93" i="10"/>
  <c r="F93" i="10"/>
  <c r="I93" i="10" s="1"/>
  <c r="E93" i="10"/>
  <c r="D93" i="10"/>
  <c r="G93" i="10" s="1"/>
  <c r="J93" i="10" s="1"/>
  <c r="K93" i="10" s="1"/>
  <c r="H92" i="10"/>
  <c r="F92" i="10"/>
  <c r="I92" i="10" s="1"/>
  <c r="E92" i="10"/>
  <c r="D92" i="10"/>
  <c r="G92" i="10" s="1"/>
  <c r="J92" i="10" s="1"/>
  <c r="K92" i="10" s="1"/>
  <c r="H91" i="10"/>
  <c r="F91" i="10"/>
  <c r="I91" i="10" s="1"/>
  <c r="E91" i="10"/>
  <c r="D91" i="10"/>
  <c r="G91" i="10" s="1"/>
  <c r="J91" i="10" s="1"/>
  <c r="K91" i="10" s="1"/>
  <c r="H90" i="10"/>
  <c r="F90" i="10"/>
  <c r="I90" i="10" s="1"/>
  <c r="E90" i="10"/>
  <c r="D90" i="10"/>
  <c r="G90" i="10" s="1"/>
  <c r="J90" i="10" s="1"/>
  <c r="K90" i="10" s="1"/>
  <c r="H89" i="10"/>
  <c r="F89" i="10"/>
  <c r="I89" i="10" s="1"/>
  <c r="E89" i="10"/>
  <c r="D89" i="10"/>
  <c r="G89" i="10" s="1"/>
  <c r="J89" i="10" s="1"/>
  <c r="K89" i="10" s="1"/>
  <c r="H88" i="10"/>
  <c r="F88" i="10"/>
  <c r="I88" i="10" s="1"/>
  <c r="E88" i="10"/>
  <c r="D88" i="10"/>
  <c r="G88" i="10" s="1"/>
  <c r="J88" i="10" s="1"/>
  <c r="K88" i="10" s="1"/>
  <c r="H87" i="10"/>
  <c r="F87" i="10"/>
  <c r="I87" i="10" s="1"/>
  <c r="E87" i="10"/>
  <c r="D87" i="10"/>
  <c r="G87" i="10" s="1"/>
  <c r="J87" i="10" s="1"/>
  <c r="K87" i="10" s="1"/>
  <c r="H86" i="10"/>
  <c r="F86" i="10"/>
  <c r="I86" i="10" s="1"/>
  <c r="E86" i="10"/>
  <c r="D86" i="10"/>
  <c r="G86" i="10" s="1"/>
  <c r="J86" i="10" s="1"/>
  <c r="K86" i="10" s="1"/>
  <c r="H85" i="10"/>
  <c r="F85" i="10"/>
  <c r="I85" i="10" s="1"/>
  <c r="E85" i="10"/>
  <c r="D85" i="10"/>
  <c r="G85" i="10" s="1"/>
  <c r="J85" i="10" s="1"/>
  <c r="K85" i="10" s="1"/>
  <c r="H84" i="10"/>
  <c r="F84" i="10"/>
  <c r="I84" i="10" s="1"/>
  <c r="E84" i="10"/>
  <c r="D84" i="10"/>
  <c r="G84" i="10" s="1"/>
  <c r="J84" i="10" s="1"/>
  <c r="K84" i="10" s="1"/>
  <c r="H83" i="10"/>
  <c r="F83" i="10"/>
  <c r="I83" i="10" s="1"/>
  <c r="E83" i="10"/>
  <c r="D83" i="10"/>
  <c r="G83" i="10" s="1"/>
  <c r="J83" i="10" s="1"/>
  <c r="K83" i="10" s="1"/>
  <c r="H82" i="10"/>
  <c r="F82" i="10"/>
  <c r="I82" i="10" s="1"/>
  <c r="E82" i="10"/>
  <c r="D82" i="10"/>
  <c r="G82" i="10" s="1"/>
  <c r="J82" i="10" s="1"/>
  <c r="K82" i="10" s="1"/>
  <c r="H81" i="10"/>
  <c r="F81" i="10"/>
  <c r="I81" i="10" s="1"/>
  <c r="E81" i="10"/>
  <c r="D81" i="10"/>
  <c r="G81" i="10" s="1"/>
  <c r="J81" i="10" s="1"/>
  <c r="K81" i="10" s="1"/>
  <c r="H80" i="10"/>
  <c r="F80" i="10"/>
  <c r="I80" i="10" s="1"/>
  <c r="E80" i="10"/>
  <c r="D80" i="10"/>
  <c r="G80" i="10" s="1"/>
  <c r="J80" i="10" s="1"/>
  <c r="K80" i="10" s="1"/>
  <c r="H79" i="10"/>
  <c r="F79" i="10"/>
  <c r="I79" i="10" s="1"/>
  <c r="E79" i="10"/>
  <c r="D79" i="10"/>
  <c r="G79" i="10" s="1"/>
  <c r="J79" i="10" s="1"/>
  <c r="K79" i="10" s="1"/>
  <c r="H78" i="10"/>
  <c r="F78" i="10"/>
  <c r="I78" i="10" s="1"/>
  <c r="E78" i="10"/>
  <c r="D78" i="10"/>
  <c r="G78" i="10" s="1"/>
  <c r="J78" i="10" s="1"/>
  <c r="K78" i="10" s="1"/>
  <c r="H77" i="10"/>
  <c r="F77" i="10"/>
  <c r="I77" i="10" s="1"/>
  <c r="E77" i="10"/>
  <c r="D77" i="10"/>
  <c r="G77" i="10" s="1"/>
  <c r="J77" i="10" s="1"/>
  <c r="K77" i="10" s="1"/>
  <c r="H76" i="10"/>
  <c r="F76" i="10"/>
  <c r="I76" i="10" s="1"/>
  <c r="E76" i="10"/>
  <c r="D76" i="10"/>
  <c r="G76" i="10" s="1"/>
  <c r="J76" i="10" s="1"/>
  <c r="K76" i="10" s="1"/>
  <c r="H75" i="10"/>
  <c r="F75" i="10"/>
  <c r="I75" i="10" s="1"/>
  <c r="E75" i="10"/>
  <c r="D75" i="10"/>
  <c r="G75" i="10" s="1"/>
  <c r="J75" i="10" s="1"/>
  <c r="K75" i="10" s="1"/>
  <c r="H74" i="10"/>
  <c r="F74" i="10"/>
  <c r="I74" i="10" s="1"/>
  <c r="E74" i="10"/>
  <c r="D74" i="10"/>
  <c r="G74" i="10" s="1"/>
  <c r="J74" i="10" s="1"/>
  <c r="K74" i="10" s="1"/>
  <c r="H73" i="10"/>
  <c r="F73" i="10"/>
  <c r="I73" i="10" s="1"/>
  <c r="E73" i="10"/>
  <c r="D73" i="10"/>
  <c r="G73" i="10" s="1"/>
  <c r="J73" i="10" s="1"/>
  <c r="K73" i="10" s="1"/>
  <c r="H72" i="10"/>
  <c r="F72" i="10"/>
  <c r="I72" i="10" s="1"/>
  <c r="E72" i="10"/>
  <c r="D72" i="10"/>
  <c r="G72" i="10" s="1"/>
  <c r="J72" i="10" s="1"/>
  <c r="K72" i="10" s="1"/>
  <c r="H71" i="10"/>
  <c r="F71" i="10"/>
  <c r="I71" i="10" s="1"/>
  <c r="E71" i="10"/>
  <c r="D71" i="10"/>
  <c r="G71" i="10" s="1"/>
  <c r="J71" i="10" s="1"/>
  <c r="K71" i="10" s="1"/>
  <c r="H70" i="10"/>
  <c r="F70" i="10"/>
  <c r="I70" i="10" s="1"/>
  <c r="E70" i="10"/>
  <c r="D70" i="10"/>
  <c r="G70" i="10" s="1"/>
  <c r="J70" i="10" s="1"/>
  <c r="K70" i="10" s="1"/>
  <c r="H69" i="10"/>
  <c r="F69" i="10"/>
  <c r="I69" i="10" s="1"/>
  <c r="E69" i="10"/>
  <c r="D69" i="10"/>
  <c r="G69" i="10" s="1"/>
  <c r="J69" i="10" s="1"/>
  <c r="K69" i="10" s="1"/>
  <c r="H68" i="10"/>
  <c r="F68" i="10"/>
  <c r="I68" i="10" s="1"/>
  <c r="E68" i="10"/>
  <c r="D68" i="10"/>
  <c r="G68" i="10" s="1"/>
  <c r="J68" i="10" s="1"/>
  <c r="K68" i="10" s="1"/>
  <c r="H67" i="10"/>
  <c r="F67" i="10"/>
  <c r="I67" i="10" s="1"/>
  <c r="E67" i="10"/>
  <c r="D67" i="10"/>
  <c r="G67" i="10" s="1"/>
  <c r="J67" i="10" s="1"/>
  <c r="K67" i="10" s="1"/>
  <c r="H66" i="10"/>
  <c r="F66" i="10"/>
  <c r="I66" i="10" s="1"/>
  <c r="E66" i="10"/>
  <c r="D66" i="10"/>
  <c r="G66" i="10" s="1"/>
  <c r="J66" i="10" s="1"/>
  <c r="K66" i="10" s="1"/>
  <c r="H65" i="10"/>
  <c r="F65" i="10"/>
  <c r="I65" i="10" s="1"/>
  <c r="E65" i="10"/>
  <c r="D65" i="10"/>
  <c r="G65" i="10" s="1"/>
  <c r="J65" i="10" s="1"/>
  <c r="K65" i="10" s="1"/>
  <c r="H64" i="10"/>
  <c r="F64" i="10"/>
  <c r="I64" i="10" s="1"/>
  <c r="E64" i="10"/>
  <c r="D64" i="10"/>
  <c r="G64" i="10" s="1"/>
  <c r="J64" i="10" s="1"/>
  <c r="K64" i="10" s="1"/>
  <c r="H63" i="10"/>
  <c r="F63" i="10"/>
  <c r="I63" i="10" s="1"/>
  <c r="E63" i="10"/>
  <c r="D63" i="10"/>
  <c r="G63" i="10" s="1"/>
  <c r="J63" i="10" s="1"/>
  <c r="K63" i="10" s="1"/>
  <c r="H62" i="10"/>
  <c r="F62" i="10"/>
  <c r="I62" i="10" s="1"/>
  <c r="E62" i="10"/>
  <c r="D62" i="10"/>
  <c r="G62" i="10" s="1"/>
  <c r="J62" i="10" s="1"/>
  <c r="K62" i="10" s="1"/>
  <c r="H61" i="10"/>
  <c r="F61" i="10"/>
  <c r="I61" i="10" s="1"/>
  <c r="E61" i="10"/>
  <c r="D61" i="10"/>
  <c r="G61" i="10" s="1"/>
  <c r="J61" i="10" s="1"/>
  <c r="K61" i="10" s="1"/>
  <c r="H60" i="10"/>
  <c r="F60" i="10"/>
  <c r="I60" i="10" s="1"/>
  <c r="E60" i="10"/>
  <c r="D60" i="10"/>
  <c r="G60" i="10" s="1"/>
  <c r="J60" i="10" s="1"/>
  <c r="K60" i="10" s="1"/>
  <c r="H59" i="10"/>
  <c r="F59" i="10"/>
  <c r="I59" i="10" s="1"/>
  <c r="E59" i="10"/>
  <c r="D59" i="10"/>
  <c r="G59" i="10" s="1"/>
  <c r="J59" i="10" s="1"/>
  <c r="K59" i="10" s="1"/>
  <c r="H58" i="10"/>
  <c r="F58" i="10"/>
  <c r="I58" i="10" s="1"/>
  <c r="E58" i="10"/>
  <c r="D58" i="10"/>
  <c r="G58" i="10" s="1"/>
  <c r="J58" i="10" s="1"/>
  <c r="K58" i="10" s="1"/>
  <c r="H57" i="10"/>
  <c r="F57" i="10"/>
  <c r="I57" i="10" s="1"/>
  <c r="E57" i="10"/>
  <c r="D57" i="10"/>
  <c r="G57" i="10" s="1"/>
  <c r="J57" i="10" s="1"/>
  <c r="K57" i="10" s="1"/>
  <c r="H56" i="10"/>
  <c r="F56" i="10"/>
  <c r="I56" i="10" s="1"/>
  <c r="E56" i="10"/>
  <c r="D56" i="10"/>
  <c r="G56" i="10" s="1"/>
  <c r="J56" i="10" s="1"/>
  <c r="K56" i="10" s="1"/>
  <c r="H55" i="10"/>
  <c r="F55" i="10"/>
  <c r="I55" i="10" s="1"/>
  <c r="E55" i="10"/>
  <c r="D55" i="10"/>
  <c r="G55" i="10" s="1"/>
  <c r="J55" i="10" s="1"/>
  <c r="K55" i="10" s="1"/>
  <c r="H54" i="10"/>
  <c r="F54" i="10"/>
  <c r="I54" i="10" s="1"/>
  <c r="E54" i="10"/>
  <c r="D54" i="10"/>
  <c r="G54" i="10" s="1"/>
  <c r="J54" i="10" s="1"/>
  <c r="K54" i="10" s="1"/>
  <c r="H53" i="10"/>
  <c r="F53" i="10"/>
  <c r="I53" i="10" s="1"/>
  <c r="E53" i="10"/>
  <c r="D53" i="10"/>
  <c r="G53" i="10" s="1"/>
  <c r="J53" i="10" s="1"/>
  <c r="K53" i="10" s="1"/>
  <c r="H52" i="10"/>
  <c r="F52" i="10"/>
  <c r="I52" i="10" s="1"/>
  <c r="E52" i="10"/>
  <c r="D52" i="10"/>
  <c r="G52" i="10" s="1"/>
  <c r="J52" i="10" s="1"/>
  <c r="K52" i="10" s="1"/>
  <c r="H51" i="10"/>
  <c r="F51" i="10"/>
  <c r="I51" i="10" s="1"/>
  <c r="E51" i="10"/>
  <c r="D51" i="10"/>
  <c r="G51" i="10" s="1"/>
  <c r="J51" i="10" s="1"/>
  <c r="K51" i="10" s="1"/>
  <c r="H50" i="10"/>
  <c r="F50" i="10"/>
  <c r="I50" i="10" s="1"/>
  <c r="E50" i="10"/>
  <c r="D50" i="10"/>
  <c r="G50" i="10" s="1"/>
  <c r="J50" i="10" s="1"/>
  <c r="K50" i="10" s="1"/>
  <c r="H49" i="10"/>
  <c r="F49" i="10"/>
  <c r="I49" i="10" s="1"/>
  <c r="E49" i="10"/>
  <c r="D49" i="10"/>
  <c r="G49" i="10" s="1"/>
  <c r="J49" i="10" s="1"/>
  <c r="K49" i="10" s="1"/>
  <c r="H48" i="10"/>
  <c r="F48" i="10"/>
  <c r="I48" i="10" s="1"/>
  <c r="E48" i="10"/>
  <c r="D48" i="10"/>
  <c r="G48" i="10" s="1"/>
  <c r="J48" i="10" s="1"/>
  <c r="K48" i="10" s="1"/>
  <c r="H47" i="10"/>
  <c r="F47" i="10"/>
  <c r="I47" i="10" s="1"/>
  <c r="E47" i="10"/>
  <c r="D47" i="10"/>
  <c r="G47" i="10" s="1"/>
  <c r="J47" i="10" s="1"/>
  <c r="K47" i="10" s="1"/>
  <c r="H46" i="10"/>
  <c r="F46" i="10"/>
  <c r="I46" i="10" s="1"/>
  <c r="E46" i="10"/>
  <c r="D46" i="10"/>
  <c r="G46" i="10" s="1"/>
  <c r="J46" i="10" s="1"/>
  <c r="K46" i="10" s="1"/>
  <c r="H45" i="10"/>
  <c r="F45" i="10"/>
  <c r="I45" i="10" s="1"/>
  <c r="E45" i="10"/>
  <c r="D45" i="10"/>
  <c r="G45" i="10" s="1"/>
  <c r="J45" i="10" s="1"/>
  <c r="K45" i="10" s="1"/>
  <c r="H44" i="10"/>
  <c r="F44" i="10"/>
  <c r="I44" i="10" s="1"/>
  <c r="E44" i="10"/>
  <c r="D44" i="10"/>
  <c r="G44" i="10" s="1"/>
  <c r="J44" i="10" s="1"/>
  <c r="K44" i="10" s="1"/>
  <c r="H43" i="10"/>
  <c r="F43" i="10"/>
  <c r="I43" i="10" s="1"/>
  <c r="E43" i="10"/>
  <c r="D43" i="10"/>
  <c r="G43" i="10" s="1"/>
  <c r="J43" i="10" s="1"/>
  <c r="K43" i="10" s="1"/>
  <c r="H42" i="10"/>
  <c r="F42" i="10"/>
  <c r="I42" i="10" s="1"/>
  <c r="E42" i="10"/>
  <c r="D42" i="10"/>
  <c r="G42" i="10" s="1"/>
  <c r="J42" i="10" s="1"/>
  <c r="K42" i="10" s="1"/>
  <c r="H41" i="10"/>
  <c r="F41" i="10"/>
  <c r="I41" i="10" s="1"/>
  <c r="E41" i="10"/>
  <c r="D41" i="10"/>
  <c r="G41" i="10" s="1"/>
  <c r="J41" i="10" s="1"/>
  <c r="K41" i="10" s="1"/>
  <c r="H40" i="10"/>
  <c r="F40" i="10"/>
  <c r="I40" i="10" s="1"/>
  <c r="E40" i="10"/>
  <c r="D40" i="10"/>
  <c r="G40" i="10" s="1"/>
  <c r="J40" i="10" s="1"/>
  <c r="K40" i="10" s="1"/>
  <c r="H39" i="10"/>
  <c r="F39" i="10"/>
  <c r="I39" i="10" s="1"/>
  <c r="E39" i="10"/>
  <c r="D39" i="10"/>
  <c r="G39" i="10" s="1"/>
  <c r="J39" i="10" s="1"/>
  <c r="K39" i="10" s="1"/>
  <c r="H38" i="10"/>
  <c r="F38" i="10"/>
  <c r="I38" i="10" s="1"/>
  <c r="E38" i="10"/>
  <c r="D38" i="10"/>
  <c r="G38" i="10" s="1"/>
  <c r="J38" i="10" s="1"/>
  <c r="K38" i="10" s="1"/>
  <c r="H37" i="10"/>
  <c r="F37" i="10"/>
  <c r="I37" i="10" s="1"/>
  <c r="E37" i="10"/>
  <c r="D37" i="10"/>
  <c r="G37" i="10" s="1"/>
  <c r="J37" i="10" s="1"/>
  <c r="K37" i="10" s="1"/>
  <c r="H36" i="10"/>
  <c r="F36" i="10"/>
  <c r="I36" i="10" s="1"/>
  <c r="E36" i="10"/>
  <c r="D36" i="10"/>
  <c r="G36" i="10" s="1"/>
  <c r="J36" i="10" s="1"/>
  <c r="K36" i="10" s="1"/>
  <c r="H35" i="10"/>
  <c r="F35" i="10"/>
  <c r="I35" i="10" s="1"/>
  <c r="E35" i="10"/>
  <c r="D35" i="10"/>
  <c r="G35" i="10" s="1"/>
  <c r="J35" i="10" s="1"/>
  <c r="K35" i="10" s="1"/>
  <c r="H34" i="10"/>
  <c r="F34" i="10"/>
  <c r="I34" i="10" s="1"/>
  <c r="E34" i="10"/>
  <c r="D34" i="10"/>
  <c r="G34" i="10" s="1"/>
  <c r="J34" i="10" s="1"/>
  <c r="K34" i="10" s="1"/>
  <c r="H33" i="10"/>
  <c r="F33" i="10"/>
  <c r="I33" i="10" s="1"/>
  <c r="E33" i="10"/>
  <c r="D33" i="10"/>
  <c r="G33" i="10" s="1"/>
  <c r="J33" i="10" s="1"/>
  <c r="K33" i="10" s="1"/>
  <c r="H32" i="10"/>
  <c r="F32" i="10"/>
  <c r="I32" i="10" s="1"/>
  <c r="E32" i="10"/>
  <c r="D32" i="10"/>
  <c r="G32" i="10" s="1"/>
  <c r="J32" i="10" s="1"/>
  <c r="K32" i="10" s="1"/>
  <c r="H31" i="10"/>
  <c r="F31" i="10"/>
  <c r="I31" i="10" s="1"/>
  <c r="E31" i="10"/>
  <c r="D31" i="10"/>
  <c r="G31" i="10" s="1"/>
  <c r="J31" i="10" s="1"/>
  <c r="K31" i="10" s="1"/>
  <c r="H30" i="10"/>
  <c r="F30" i="10"/>
  <c r="I30" i="10" s="1"/>
  <c r="E30" i="10"/>
  <c r="D30" i="10"/>
  <c r="G30" i="10" s="1"/>
  <c r="J30" i="10" s="1"/>
  <c r="K30" i="10" s="1"/>
  <c r="H29" i="10"/>
  <c r="F29" i="10"/>
  <c r="I29" i="10" s="1"/>
  <c r="E29" i="10"/>
  <c r="D29" i="10"/>
  <c r="G29" i="10" s="1"/>
  <c r="J29" i="10" s="1"/>
  <c r="K29" i="10" s="1"/>
  <c r="H28" i="10"/>
  <c r="F28" i="10"/>
  <c r="I28" i="10" s="1"/>
  <c r="E28" i="10"/>
  <c r="D28" i="10"/>
  <c r="G28" i="10" s="1"/>
  <c r="J28" i="10" s="1"/>
  <c r="K28" i="10" s="1"/>
  <c r="H27" i="10"/>
  <c r="F27" i="10"/>
  <c r="I27" i="10" s="1"/>
  <c r="E27" i="10"/>
  <c r="D27" i="10"/>
  <c r="G27" i="10" s="1"/>
  <c r="J27" i="10" s="1"/>
  <c r="K27" i="10" s="1"/>
  <c r="H26" i="10"/>
  <c r="F26" i="10"/>
  <c r="I26" i="10" s="1"/>
  <c r="E26" i="10"/>
  <c r="D26" i="10"/>
  <c r="G26" i="10" s="1"/>
  <c r="J26" i="10" s="1"/>
  <c r="K26" i="10" s="1"/>
  <c r="H25" i="10"/>
  <c r="F25" i="10"/>
  <c r="I25" i="10" s="1"/>
  <c r="E25" i="10"/>
  <c r="D25" i="10"/>
  <c r="G25" i="10" s="1"/>
  <c r="J25" i="10" s="1"/>
  <c r="K25" i="10" s="1"/>
  <c r="H24" i="10"/>
  <c r="F24" i="10"/>
  <c r="I24" i="10" s="1"/>
  <c r="E24" i="10"/>
  <c r="D24" i="10"/>
  <c r="G24" i="10" s="1"/>
  <c r="J24" i="10" s="1"/>
  <c r="K24" i="10" s="1"/>
  <c r="H23" i="10"/>
  <c r="F23" i="10"/>
  <c r="I23" i="10" s="1"/>
  <c r="E23" i="10"/>
  <c r="D23" i="10"/>
  <c r="G23" i="10" s="1"/>
  <c r="J23" i="10" s="1"/>
  <c r="K23" i="10" s="1"/>
  <c r="H22" i="10"/>
  <c r="F22" i="10"/>
  <c r="I22" i="10" s="1"/>
  <c r="E22" i="10"/>
  <c r="D22" i="10"/>
  <c r="G22" i="10" s="1"/>
  <c r="J22" i="10" s="1"/>
  <c r="K22" i="10" s="1"/>
  <c r="H21" i="10"/>
  <c r="F21" i="10"/>
  <c r="I21" i="10" s="1"/>
  <c r="E21" i="10"/>
  <c r="D21" i="10"/>
  <c r="G21" i="10" s="1"/>
  <c r="J21" i="10" s="1"/>
  <c r="K21" i="10" s="1"/>
  <c r="H20" i="10"/>
  <c r="F20" i="10"/>
  <c r="I20" i="10" s="1"/>
  <c r="E20" i="10"/>
  <c r="D20" i="10"/>
  <c r="G20" i="10" s="1"/>
  <c r="J20" i="10" s="1"/>
  <c r="K20" i="10" s="1"/>
  <c r="H19" i="10"/>
  <c r="F19" i="10"/>
  <c r="I19" i="10" s="1"/>
  <c r="E19" i="10"/>
  <c r="D19" i="10"/>
  <c r="G19" i="10" s="1"/>
  <c r="J19" i="10" s="1"/>
  <c r="K19" i="10" s="1"/>
  <c r="H18" i="10"/>
  <c r="F18" i="10"/>
  <c r="I18" i="10" s="1"/>
  <c r="E18" i="10"/>
  <c r="D18" i="10"/>
  <c r="G18" i="10" s="1"/>
  <c r="J18" i="10" s="1"/>
  <c r="K18" i="10" s="1"/>
  <c r="H17" i="10"/>
  <c r="F17" i="10"/>
  <c r="I17" i="10" s="1"/>
  <c r="E17" i="10"/>
  <c r="D17" i="10"/>
  <c r="G17" i="10" s="1"/>
  <c r="J17" i="10" s="1"/>
  <c r="K17" i="10" s="1"/>
  <c r="H16" i="10"/>
  <c r="F16" i="10"/>
  <c r="I16" i="10" s="1"/>
  <c r="E16" i="10"/>
  <c r="D16" i="10"/>
  <c r="G16" i="10" s="1"/>
  <c r="J16" i="10" s="1"/>
  <c r="K16" i="10" s="1"/>
  <c r="H15" i="10"/>
  <c r="F15" i="10"/>
  <c r="I15" i="10" s="1"/>
  <c r="E15" i="10"/>
  <c r="D15" i="10"/>
  <c r="G15" i="10" s="1"/>
  <c r="J15" i="10" s="1"/>
  <c r="K15" i="10" s="1"/>
  <c r="H14" i="10"/>
  <c r="G14" i="10"/>
  <c r="J14" i="10" s="1"/>
  <c r="K14" i="10" s="1"/>
  <c r="F14" i="10"/>
  <c r="I14" i="10" s="1"/>
  <c r="E14" i="10"/>
  <c r="D14" i="10"/>
  <c r="H13" i="10"/>
  <c r="F13" i="10"/>
  <c r="I13" i="10" s="1"/>
  <c r="E13" i="10"/>
  <c r="D13" i="10"/>
  <c r="G13" i="10" s="1"/>
  <c r="J13" i="10" s="1"/>
  <c r="K13" i="10" s="1"/>
  <c r="J12" i="10"/>
  <c r="K12" i="10" s="1"/>
  <c r="H12" i="10"/>
  <c r="G12" i="10"/>
  <c r="F12" i="10"/>
  <c r="I12" i="10" s="1"/>
  <c r="E12" i="10"/>
  <c r="D12" i="10"/>
  <c r="H11" i="10"/>
  <c r="F11" i="10"/>
  <c r="I11" i="10" s="1"/>
  <c r="E11" i="10"/>
  <c r="D11" i="10"/>
  <c r="G11" i="10" s="1"/>
  <c r="J11" i="10" s="1"/>
  <c r="K11" i="10" s="1"/>
  <c r="H10" i="10"/>
  <c r="G10" i="10"/>
  <c r="J10" i="10" s="1"/>
  <c r="K10" i="10" s="1"/>
  <c r="F10" i="10"/>
  <c r="I10" i="10" s="1"/>
  <c r="E10" i="10"/>
  <c r="D10" i="10"/>
  <c r="H9" i="10"/>
  <c r="F9" i="10"/>
  <c r="I9" i="10" s="1"/>
  <c r="E9" i="10"/>
  <c r="D9" i="10"/>
  <c r="G9" i="10" s="1"/>
  <c r="J9" i="10" s="1"/>
  <c r="K9" i="10" s="1"/>
  <c r="J8" i="10"/>
  <c r="K8" i="10" s="1"/>
  <c r="H8" i="10"/>
  <c r="G8" i="10"/>
  <c r="F8" i="10"/>
  <c r="I8" i="10" s="1"/>
  <c r="E8" i="10"/>
  <c r="D8" i="10"/>
  <c r="H7" i="10"/>
  <c r="F7" i="10"/>
  <c r="I7" i="10" s="1"/>
  <c r="E7" i="10"/>
  <c r="D7" i="10"/>
  <c r="G7" i="10" s="1"/>
  <c r="J7" i="10" s="1"/>
  <c r="K7" i="10" s="1"/>
  <c r="H6" i="10"/>
  <c r="G6" i="10"/>
  <c r="J6" i="10" s="1"/>
  <c r="K6" i="10" s="1"/>
  <c r="F6" i="10"/>
  <c r="I6" i="10" s="1"/>
  <c r="E6" i="10"/>
  <c r="D6" i="10"/>
  <c r="H5" i="10"/>
  <c r="F5" i="10"/>
  <c r="I5" i="10" s="1"/>
  <c r="E5" i="10"/>
  <c r="D5" i="10"/>
  <c r="G5" i="10" s="1"/>
  <c r="J5" i="10" s="1"/>
  <c r="K5" i="10" s="1"/>
  <c r="J4" i="10"/>
  <c r="K4" i="10" s="1"/>
  <c r="H4" i="10"/>
  <c r="G4" i="10"/>
  <c r="F4" i="10"/>
  <c r="I4" i="10" s="1"/>
  <c r="E4" i="10"/>
  <c r="D4" i="10"/>
  <c r="H3" i="10"/>
  <c r="F3" i="10"/>
  <c r="I3" i="10" s="1"/>
  <c r="E3" i="10"/>
  <c r="D3" i="10"/>
  <c r="G3" i="10" s="1"/>
  <c r="J3" i="10" s="1"/>
  <c r="K3" i="10" s="1"/>
  <c r="H2" i="10"/>
  <c r="G2" i="10"/>
  <c r="J2" i="10" s="1"/>
  <c r="K2" i="10" s="1"/>
  <c r="F2" i="10"/>
  <c r="I2" i="10" s="1"/>
  <c r="E2" i="10"/>
  <c r="D2" i="10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M2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2" i="9"/>
  <c r="F1001" i="9"/>
  <c r="I1001" i="9" s="1"/>
  <c r="E1001" i="9"/>
  <c r="H1001" i="9" s="1"/>
  <c r="D1001" i="9"/>
  <c r="I1000" i="9"/>
  <c r="F1000" i="9"/>
  <c r="E1000" i="9"/>
  <c r="D1000" i="9"/>
  <c r="H999" i="9"/>
  <c r="F999" i="9"/>
  <c r="I999" i="9" s="1"/>
  <c r="E999" i="9"/>
  <c r="D999" i="9"/>
  <c r="G999" i="9" s="1"/>
  <c r="J999" i="9" s="1"/>
  <c r="G998" i="9"/>
  <c r="J998" i="9" s="1"/>
  <c r="F998" i="9"/>
  <c r="I998" i="9" s="1"/>
  <c r="E998" i="9"/>
  <c r="H998" i="9" s="1"/>
  <c r="D998" i="9"/>
  <c r="F997" i="9"/>
  <c r="I997" i="9" s="1"/>
  <c r="E997" i="9"/>
  <c r="H997" i="9" s="1"/>
  <c r="D997" i="9"/>
  <c r="I996" i="9"/>
  <c r="F996" i="9"/>
  <c r="E996" i="9"/>
  <c r="D996" i="9"/>
  <c r="H995" i="9"/>
  <c r="F995" i="9"/>
  <c r="I995" i="9" s="1"/>
  <c r="E995" i="9"/>
  <c r="D995" i="9"/>
  <c r="G995" i="9" s="1"/>
  <c r="J995" i="9" s="1"/>
  <c r="G994" i="9"/>
  <c r="J994" i="9" s="1"/>
  <c r="F994" i="9"/>
  <c r="I994" i="9" s="1"/>
  <c r="E994" i="9"/>
  <c r="H994" i="9" s="1"/>
  <c r="D994" i="9"/>
  <c r="F993" i="9"/>
  <c r="I993" i="9" s="1"/>
  <c r="E993" i="9"/>
  <c r="H993" i="9" s="1"/>
  <c r="D993" i="9"/>
  <c r="I992" i="9"/>
  <c r="F992" i="9"/>
  <c r="E992" i="9"/>
  <c r="D992" i="9"/>
  <c r="H991" i="9"/>
  <c r="F991" i="9"/>
  <c r="I991" i="9" s="1"/>
  <c r="E991" i="9"/>
  <c r="D991" i="9"/>
  <c r="G991" i="9" s="1"/>
  <c r="J991" i="9" s="1"/>
  <c r="G990" i="9"/>
  <c r="J990" i="9" s="1"/>
  <c r="F990" i="9"/>
  <c r="I990" i="9" s="1"/>
  <c r="E990" i="9"/>
  <c r="H990" i="9" s="1"/>
  <c r="D990" i="9"/>
  <c r="F989" i="9"/>
  <c r="I989" i="9" s="1"/>
  <c r="E989" i="9"/>
  <c r="H989" i="9" s="1"/>
  <c r="D989" i="9"/>
  <c r="I988" i="9"/>
  <c r="F988" i="9"/>
  <c r="E988" i="9"/>
  <c r="D988" i="9"/>
  <c r="H987" i="9"/>
  <c r="F987" i="9"/>
  <c r="I987" i="9" s="1"/>
  <c r="E987" i="9"/>
  <c r="D987" i="9"/>
  <c r="G987" i="9" s="1"/>
  <c r="J987" i="9" s="1"/>
  <c r="G986" i="9"/>
  <c r="J986" i="9" s="1"/>
  <c r="F986" i="9"/>
  <c r="I986" i="9" s="1"/>
  <c r="E986" i="9"/>
  <c r="H986" i="9" s="1"/>
  <c r="D986" i="9"/>
  <c r="F985" i="9"/>
  <c r="I985" i="9" s="1"/>
  <c r="E985" i="9"/>
  <c r="H985" i="9" s="1"/>
  <c r="D985" i="9"/>
  <c r="I984" i="9"/>
  <c r="F984" i="9"/>
  <c r="E984" i="9"/>
  <c r="D984" i="9"/>
  <c r="H983" i="9"/>
  <c r="F983" i="9"/>
  <c r="I983" i="9" s="1"/>
  <c r="E983" i="9"/>
  <c r="D983" i="9"/>
  <c r="G983" i="9" s="1"/>
  <c r="J983" i="9" s="1"/>
  <c r="G982" i="9"/>
  <c r="J982" i="9" s="1"/>
  <c r="F982" i="9"/>
  <c r="I982" i="9" s="1"/>
  <c r="E982" i="9"/>
  <c r="H982" i="9" s="1"/>
  <c r="D982" i="9"/>
  <c r="F981" i="9"/>
  <c r="I981" i="9" s="1"/>
  <c r="E981" i="9"/>
  <c r="H981" i="9" s="1"/>
  <c r="D981" i="9"/>
  <c r="I980" i="9"/>
  <c r="F980" i="9"/>
  <c r="E980" i="9"/>
  <c r="D980" i="9"/>
  <c r="H979" i="9"/>
  <c r="F979" i="9"/>
  <c r="I979" i="9" s="1"/>
  <c r="E979" i="9"/>
  <c r="D979" i="9"/>
  <c r="G979" i="9" s="1"/>
  <c r="J979" i="9" s="1"/>
  <c r="G978" i="9"/>
  <c r="J978" i="9" s="1"/>
  <c r="F978" i="9"/>
  <c r="I978" i="9" s="1"/>
  <c r="E978" i="9"/>
  <c r="H978" i="9" s="1"/>
  <c r="D978" i="9"/>
  <c r="F977" i="9"/>
  <c r="I977" i="9" s="1"/>
  <c r="E977" i="9"/>
  <c r="H977" i="9" s="1"/>
  <c r="D977" i="9"/>
  <c r="I976" i="9"/>
  <c r="F976" i="9"/>
  <c r="E976" i="9"/>
  <c r="D976" i="9"/>
  <c r="H975" i="9"/>
  <c r="F975" i="9"/>
  <c r="I975" i="9" s="1"/>
  <c r="E975" i="9"/>
  <c r="D975" i="9"/>
  <c r="G975" i="9" s="1"/>
  <c r="J975" i="9" s="1"/>
  <c r="G974" i="9"/>
  <c r="J974" i="9" s="1"/>
  <c r="F974" i="9"/>
  <c r="I974" i="9" s="1"/>
  <c r="E974" i="9"/>
  <c r="H974" i="9" s="1"/>
  <c r="D974" i="9"/>
  <c r="F973" i="9"/>
  <c r="I973" i="9" s="1"/>
  <c r="E973" i="9"/>
  <c r="H973" i="9" s="1"/>
  <c r="D973" i="9"/>
  <c r="I972" i="9"/>
  <c r="F972" i="9"/>
  <c r="E972" i="9"/>
  <c r="D972" i="9"/>
  <c r="H971" i="9"/>
  <c r="F971" i="9"/>
  <c r="I971" i="9" s="1"/>
  <c r="E971" i="9"/>
  <c r="D971" i="9"/>
  <c r="G971" i="9" s="1"/>
  <c r="J971" i="9" s="1"/>
  <c r="G970" i="9"/>
  <c r="J970" i="9" s="1"/>
  <c r="F970" i="9"/>
  <c r="I970" i="9" s="1"/>
  <c r="E970" i="9"/>
  <c r="H970" i="9" s="1"/>
  <c r="D970" i="9"/>
  <c r="F969" i="9"/>
  <c r="I969" i="9" s="1"/>
  <c r="E969" i="9"/>
  <c r="H969" i="9" s="1"/>
  <c r="D969" i="9"/>
  <c r="I968" i="9"/>
  <c r="F968" i="9"/>
  <c r="E968" i="9"/>
  <c r="D968" i="9"/>
  <c r="H967" i="9"/>
  <c r="F967" i="9"/>
  <c r="I967" i="9" s="1"/>
  <c r="E967" i="9"/>
  <c r="D967" i="9"/>
  <c r="G967" i="9" s="1"/>
  <c r="J967" i="9" s="1"/>
  <c r="G966" i="9"/>
  <c r="J966" i="9" s="1"/>
  <c r="F966" i="9"/>
  <c r="I966" i="9" s="1"/>
  <c r="E966" i="9"/>
  <c r="H966" i="9" s="1"/>
  <c r="D966" i="9"/>
  <c r="F965" i="9"/>
  <c r="I965" i="9" s="1"/>
  <c r="E965" i="9"/>
  <c r="H965" i="9" s="1"/>
  <c r="D965" i="9"/>
  <c r="I964" i="9"/>
  <c r="F964" i="9"/>
  <c r="E964" i="9"/>
  <c r="D964" i="9"/>
  <c r="H963" i="9"/>
  <c r="F963" i="9"/>
  <c r="I963" i="9" s="1"/>
  <c r="E963" i="9"/>
  <c r="D963" i="9"/>
  <c r="G963" i="9" s="1"/>
  <c r="J963" i="9" s="1"/>
  <c r="G962" i="9"/>
  <c r="J962" i="9" s="1"/>
  <c r="F962" i="9"/>
  <c r="I962" i="9" s="1"/>
  <c r="E962" i="9"/>
  <c r="H962" i="9" s="1"/>
  <c r="D962" i="9"/>
  <c r="F961" i="9"/>
  <c r="I961" i="9" s="1"/>
  <c r="E961" i="9"/>
  <c r="H961" i="9" s="1"/>
  <c r="D961" i="9"/>
  <c r="I960" i="9"/>
  <c r="F960" i="9"/>
  <c r="E960" i="9"/>
  <c r="D960" i="9"/>
  <c r="H959" i="9"/>
  <c r="F959" i="9"/>
  <c r="I959" i="9" s="1"/>
  <c r="E959" i="9"/>
  <c r="D959" i="9"/>
  <c r="G959" i="9" s="1"/>
  <c r="J959" i="9" s="1"/>
  <c r="G958" i="9"/>
  <c r="J958" i="9" s="1"/>
  <c r="F958" i="9"/>
  <c r="I958" i="9" s="1"/>
  <c r="E958" i="9"/>
  <c r="H958" i="9" s="1"/>
  <c r="D958" i="9"/>
  <c r="F957" i="9"/>
  <c r="I957" i="9" s="1"/>
  <c r="E957" i="9"/>
  <c r="H957" i="9" s="1"/>
  <c r="D957" i="9"/>
  <c r="I956" i="9"/>
  <c r="F956" i="9"/>
  <c r="E956" i="9"/>
  <c r="D956" i="9"/>
  <c r="H955" i="9"/>
  <c r="F955" i="9"/>
  <c r="I955" i="9" s="1"/>
  <c r="E955" i="9"/>
  <c r="D955" i="9"/>
  <c r="G955" i="9" s="1"/>
  <c r="J955" i="9" s="1"/>
  <c r="G954" i="9"/>
  <c r="J954" i="9" s="1"/>
  <c r="F954" i="9"/>
  <c r="I954" i="9" s="1"/>
  <c r="E954" i="9"/>
  <c r="H954" i="9" s="1"/>
  <c r="D954" i="9"/>
  <c r="F953" i="9"/>
  <c r="I953" i="9" s="1"/>
  <c r="E953" i="9"/>
  <c r="H953" i="9" s="1"/>
  <c r="D953" i="9"/>
  <c r="I952" i="9"/>
  <c r="F952" i="9"/>
  <c r="E952" i="9"/>
  <c r="D952" i="9"/>
  <c r="H951" i="9"/>
  <c r="F951" i="9"/>
  <c r="I951" i="9" s="1"/>
  <c r="E951" i="9"/>
  <c r="D951" i="9"/>
  <c r="G951" i="9" s="1"/>
  <c r="J951" i="9" s="1"/>
  <c r="G950" i="9"/>
  <c r="J950" i="9" s="1"/>
  <c r="F950" i="9"/>
  <c r="I950" i="9" s="1"/>
  <c r="E950" i="9"/>
  <c r="H950" i="9" s="1"/>
  <c r="D950" i="9"/>
  <c r="F949" i="9"/>
  <c r="I949" i="9" s="1"/>
  <c r="E949" i="9"/>
  <c r="H949" i="9" s="1"/>
  <c r="D949" i="9"/>
  <c r="I948" i="9"/>
  <c r="F948" i="9"/>
  <c r="E948" i="9"/>
  <c r="D948" i="9"/>
  <c r="H947" i="9"/>
  <c r="F947" i="9"/>
  <c r="I947" i="9" s="1"/>
  <c r="E947" i="9"/>
  <c r="D947" i="9"/>
  <c r="G947" i="9" s="1"/>
  <c r="J947" i="9" s="1"/>
  <c r="G946" i="9"/>
  <c r="J946" i="9" s="1"/>
  <c r="F946" i="9"/>
  <c r="I946" i="9" s="1"/>
  <c r="E946" i="9"/>
  <c r="H946" i="9" s="1"/>
  <c r="D946" i="9"/>
  <c r="F945" i="9"/>
  <c r="I945" i="9" s="1"/>
  <c r="E945" i="9"/>
  <c r="H945" i="9" s="1"/>
  <c r="D945" i="9"/>
  <c r="I944" i="9"/>
  <c r="F944" i="9"/>
  <c r="E944" i="9"/>
  <c r="D944" i="9"/>
  <c r="H943" i="9"/>
  <c r="F943" i="9"/>
  <c r="I943" i="9" s="1"/>
  <c r="E943" i="9"/>
  <c r="D943" i="9"/>
  <c r="G943" i="9" s="1"/>
  <c r="J943" i="9" s="1"/>
  <c r="G942" i="9"/>
  <c r="J942" i="9" s="1"/>
  <c r="F942" i="9"/>
  <c r="I942" i="9" s="1"/>
  <c r="E942" i="9"/>
  <c r="H942" i="9" s="1"/>
  <c r="D942" i="9"/>
  <c r="F941" i="9"/>
  <c r="I941" i="9" s="1"/>
  <c r="E941" i="9"/>
  <c r="D941" i="9"/>
  <c r="I940" i="9"/>
  <c r="F940" i="9"/>
  <c r="E940" i="9"/>
  <c r="G940" i="9" s="1"/>
  <c r="J940" i="9" s="1"/>
  <c r="D940" i="9"/>
  <c r="H939" i="9"/>
  <c r="G939" i="9"/>
  <c r="J939" i="9" s="1"/>
  <c r="F939" i="9"/>
  <c r="I939" i="9" s="1"/>
  <c r="E939" i="9"/>
  <c r="D939" i="9"/>
  <c r="J938" i="9"/>
  <c r="G938" i="9"/>
  <c r="F938" i="9"/>
  <c r="I938" i="9" s="1"/>
  <c r="E938" i="9"/>
  <c r="H938" i="9" s="1"/>
  <c r="D938" i="9"/>
  <c r="F937" i="9"/>
  <c r="I937" i="9" s="1"/>
  <c r="E937" i="9"/>
  <c r="D937" i="9"/>
  <c r="I936" i="9"/>
  <c r="F936" i="9"/>
  <c r="E936" i="9"/>
  <c r="D936" i="9"/>
  <c r="H935" i="9"/>
  <c r="G935" i="9"/>
  <c r="J935" i="9" s="1"/>
  <c r="F935" i="9"/>
  <c r="I935" i="9" s="1"/>
  <c r="E935" i="9"/>
  <c r="D935" i="9"/>
  <c r="G934" i="9"/>
  <c r="J934" i="9" s="1"/>
  <c r="F934" i="9"/>
  <c r="I934" i="9" s="1"/>
  <c r="E934" i="9"/>
  <c r="H934" i="9" s="1"/>
  <c r="D934" i="9"/>
  <c r="F933" i="9"/>
  <c r="I933" i="9" s="1"/>
  <c r="E933" i="9"/>
  <c r="D933" i="9"/>
  <c r="I932" i="9"/>
  <c r="F932" i="9"/>
  <c r="E932" i="9"/>
  <c r="D932" i="9"/>
  <c r="H931" i="9"/>
  <c r="G931" i="9"/>
  <c r="J931" i="9" s="1"/>
  <c r="F931" i="9"/>
  <c r="I931" i="9" s="1"/>
  <c r="E931" i="9"/>
  <c r="D931" i="9"/>
  <c r="J930" i="9"/>
  <c r="G930" i="9"/>
  <c r="F930" i="9"/>
  <c r="I930" i="9" s="1"/>
  <c r="E930" i="9"/>
  <c r="H930" i="9" s="1"/>
  <c r="D930" i="9"/>
  <c r="F929" i="9"/>
  <c r="I929" i="9" s="1"/>
  <c r="E929" i="9"/>
  <c r="D929" i="9"/>
  <c r="I928" i="9"/>
  <c r="F928" i="9"/>
  <c r="E928" i="9"/>
  <c r="D928" i="9"/>
  <c r="H927" i="9"/>
  <c r="G927" i="9"/>
  <c r="J927" i="9" s="1"/>
  <c r="F927" i="9"/>
  <c r="I927" i="9" s="1"/>
  <c r="E927" i="9"/>
  <c r="D927" i="9"/>
  <c r="G926" i="9"/>
  <c r="J926" i="9" s="1"/>
  <c r="F926" i="9"/>
  <c r="I926" i="9" s="1"/>
  <c r="E926" i="9"/>
  <c r="H926" i="9" s="1"/>
  <c r="D926" i="9"/>
  <c r="F925" i="9"/>
  <c r="I925" i="9" s="1"/>
  <c r="E925" i="9"/>
  <c r="D925" i="9"/>
  <c r="I924" i="9"/>
  <c r="F924" i="9"/>
  <c r="E924" i="9"/>
  <c r="D924" i="9"/>
  <c r="H923" i="9"/>
  <c r="G923" i="9"/>
  <c r="J923" i="9" s="1"/>
  <c r="F923" i="9"/>
  <c r="I923" i="9" s="1"/>
  <c r="E923" i="9"/>
  <c r="D923" i="9"/>
  <c r="F922" i="9"/>
  <c r="I922" i="9" s="1"/>
  <c r="E922" i="9"/>
  <c r="D922" i="9"/>
  <c r="I921" i="9"/>
  <c r="H921" i="9"/>
  <c r="F921" i="9"/>
  <c r="E921" i="9"/>
  <c r="D921" i="9"/>
  <c r="I920" i="9"/>
  <c r="F920" i="9"/>
  <c r="E920" i="9"/>
  <c r="D920" i="9"/>
  <c r="H919" i="9"/>
  <c r="G919" i="9"/>
  <c r="J919" i="9" s="1"/>
  <c r="F919" i="9"/>
  <c r="I919" i="9" s="1"/>
  <c r="E919" i="9"/>
  <c r="D919" i="9"/>
  <c r="F918" i="9"/>
  <c r="I918" i="9" s="1"/>
  <c r="E918" i="9"/>
  <c r="D918" i="9"/>
  <c r="I917" i="9"/>
  <c r="H917" i="9"/>
  <c r="F917" i="9"/>
  <c r="E917" i="9"/>
  <c r="D917" i="9"/>
  <c r="J916" i="9"/>
  <c r="H916" i="9"/>
  <c r="G916" i="9"/>
  <c r="F916" i="9"/>
  <c r="I916" i="9" s="1"/>
  <c r="E916" i="9"/>
  <c r="D916" i="9"/>
  <c r="F915" i="9"/>
  <c r="I915" i="9" s="1"/>
  <c r="E915" i="9"/>
  <c r="D915" i="9"/>
  <c r="I914" i="9"/>
  <c r="H914" i="9"/>
  <c r="F914" i="9"/>
  <c r="E914" i="9"/>
  <c r="D914" i="9"/>
  <c r="I913" i="9"/>
  <c r="H913" i="9"/>
  <c r="F913" i="9"/>
  <c r="E913" i="9"/>
  <c r="D913" i="9"/>
  <c r="G913" i="9" s="1"/>
  <c r="J913" i="9" s="1"/>
  <c r="H912" i="9"/>
  <c r="G912" i="9"/>
  <c r="J912" i="9" s="1"/>
  <c r="F912" i="9"/>
  <c r="I912" i="9" s="1"/>
  <c r="E912" i="9"/>
  <c r="D912" i="9"/>
  <c r="I911" i="9"/>
  <c r="F911" i="9"/>
  <c r="E911" i="9"/>
  <c r="D911" i="9"/>
  <c r="I910" i="9"/>
  <c r="F910" i="9"/>
  <c r="E910" i="9"/>
  <c r="D910" i="9"/>
  <c r="I909" i="9"/>
  <c r="H909" i="9"/>
  <c r="G909" i="9"/>
  <c r="J909" i="9" s="1"/>
  <c r="F909" i="9"/>
  <c r="E909" i="9"/>
  <c r="D909" i="9"/>
  <c r="J908" i="9"/>
  <c r="H908" i="9"/>
  <c r="G908" i="9"/>
  <c r="F908" i="9"/>
  <c r="I908" i="9" s="1"/>
  <c r="E908" i="9"/>
  <c r="D908" i="9"/>
  <c r="F907" i="9"/>
  <c r="I907" i="9" s="1"/>
  <c r="E907" i="9"/>
  <c r="D907" i="9"/>
  <c r="I906" i="9"/>
  <c r="H906" i="9"/>
  <c r="F906" i="9"/>
  <c r="E906" i="9"/>
  <c r="D906" i="9"/>
  <c r="I905" i="9"/>
  <c r="H905" i="9"/>
  <c r="F905" i="9"/>
  <c r="E905" i="9"/>
  <c r="D905" i="9"/>
  <c r="G905" i="9" s="1"/>
  <c r="J905" i="9" s="1"/>
  <c r="H904" i="9"/>
  <c r="G904" i="9"/>
  <c r="J904" i="9" s="1"/>
  <c r="F904" i="9"/>
  <c r="I904" i="9" s="1"/>
  <c r="E904" i="9"/>
  <c r="D904" i="9"/>
  <c r="I903" i="9"/>
  <c r="F903" i="9"/>
  <c r="E903" i="9"/>
  <c r="D903" i="9"/>
  <c r="I902" i="9"/>
  <c r="F902" i="9"/>
  <c r="E902" i="9"/>
  <c r="G902" i="9" s="1"/>
  <c r="J902" i="9" s="1"/>
  <c r="D902" i="9"/>
  <c r="I901" i="9"/>
  <c r="H901" i="9"/>
  <c r="G901" i="9"/>
  <c r="J901" i="9" s="1"/>
  <c r="F901" i="9"/>
  <c r="E901" i="9"/>
  <c r="D901" i="9"/>
  <c r="H900" i="9"/>
  <c r="F900" i="9"/>
  <c r="I900" i="9" s="1"/>
  <c r="E900" i="9"/>
  <c r="D900" i="9"/>
  <c r="G900" i="9" s="1"/>
  <c r="J900" i="9" s="1"/>
  <c r="G899" i="9"/>
  <c r="J899" i="9" s="1"/>
  <c r="F899" i="9"/>
  <c r="I899" i="9" s="1"/>
  <c r="E899" i="9"/>
  <c r="H899" i="9" s="1"/>
  <c r="D899" i="9"/>
  <c r="I898" i="9"/>
  <c r="F898" i="9"/>
  <c r="E898" i="9"/>
  <c r="G898" i="9" s="1"/>
  <c r="J898" i="9" s="1"/>
  <c r="D898" i="9"/>
  <c r="I897" i="9"/>
  <c r="H897" i="9"/>
  <c r="G897" i="9"/>
  <c r="J897" i="9" s="1"/>
  <c r="F897" i="9"/>
  <c r="E897" i="9"/>
  <c r="D897" i="9"/>
  <c r="H896" i="9"/>
  <c r="F896" i="9"/>
  <c r="I896" i="9" s="1"/>
  <c r="E896" i="9"/>
  <c r="D896" i="9"/>
  <c r="G896" i="9" s="1"/>
  <c r="J896" i="9" s="1"/>
  <c r="G895" i="9"/>
  <c r="J895" i="9" s="1"/>
  <c r="F895" i="9"/>
  <c r="I895" i="9" s="1"/>
  <c r="E895" i="9"/>
  <c r="H895" i="9" s="1"/>
  <c r="D895" i="9"/>
  <c r="I894" i="9"/>
  <c r="F894" i="9"/>
  <c r="E894" i="9"/>
  <c r="G894" i="9" s="1"/>
  <c r="J894" i="9" s="1"/>
  <c r="D894" i="9"/>
  <c r="I893" i="9"/>
  <c r="H893" i="9"/>
  <c r="G893" i="9"/>
  <c r="J893" i="9" s="1"/>
  <c r="F893" i="9"/>
  <c r="E893" i="9"/>
  <c r="D893" i="9"/>
  <c r="H892" i="9"/>
  <c r="F892" i="9"/>
  <c r="I892" i="9" s="1"/>
  <c r="E892" i="9"/>
  <c r="D892" i="9"/>
  <c r="G892" i="9" s="1"/>
  <c r="J892" i="9" s="1"/>
  <c r="G891" i="9"/>
  <c r="J891" i="9" s="1"/>
  <c r="F891" i="9"/>
  <c r="I891" i="9" s="1"/>
  <c r="E891" i="9"/>
  <c r="H891" i="9" s="1"/>
  <c r="D891" i="9"/>
  <c r="I890" i="9"/>
  <c r="F890" i="9"/>
  <c r="E890" i="9"/>
  <c r="G890" i="9" s="1"/>
  <c r="J890" i="9" s="1"/>
  <c r="D890" i="9"/>
  <c r="I889" i="9"/>
  <c r="H889" i="9"/>
  <c r="G889" i="9"/>
  <c r="J889" i="9" s="1"/>
  <c r="F889" i="9"/>
  <c r="E889" i="9"/>
  <c r="D889" i="9"/>
  <c r="H888" i="9"/>
  <c r="F888" i="9"/>
  <c r="I888" i="9" s="1"/>
  <c r="E888" i="9"/>
  <c r="D888" i="9"/>
  <c r="G888" i="9" s="1"/>
  <c r="J888" i="9" s="1"/>
  <c r="G887" i="9"/>
  <c r="J887" i="9" s="1"/>
  <c r="F887" i="9"/>
  <c r="I887" i="9" s="1"/>
  <c r="E887" i="9"/>
  <c r="H887" i="9" s="1"/>
  <c r="D887" i="9"/>
  <c r="I886" i="9"/>
  <c r="F886" i="9"/>
  <c r="E886" i="9"/>
  <c r="G886" i="9" s="1"/>
  <c r="J886" i="9" s="1"/>
  <c r="D886" i="9"/>
  <c r="I885" i="9"/>
  <c r="H885" i="9"/>
  <c r="G885" i="9"/>
  <c r="J885" i="9" s="1"/>
  <c r="F885" i="9"/>
  <c r="E885" i="9"/>
  <c r="D885" i="9"/>
  <c r="H884" i="9"/>
  <c r="F884" i="9"/>
  <c r="I884" i="9" s="1"/>
  <c r="E884" i="9"/>
  <c r="D884" i="9"/>
  <c r="G884" i="9" s="1"/>
  <c r="J884" i="9" s="1"/>
  <c r="G883" i="9"/>
  <c r="J883" i="9" s="1"/>
  <c r="F883" i="9"/>
  <c r="I883" i="9" s="1"/>
  <c r="E883" i="9"/>
  <c r="H883" i="9" s="1"/>
  <c r="D883" i="9"/>
  <c r="I882" i="9"/>
  <c r="F882" i="9"/>
  <c r="E882" i="9"/>
  <c r="G882" i="9" s="1"/>
  <c r="J882" i="9" s="1"/>
  <c r="D882" i="9"/>
  <c r="I881" i="9"/>
  <c r="H881" i="9"/>
  <c r="G881" i="9"/>
  <c r="J881" i="9" s="1"/>
  <c r="F881" i="9"/>
  <c r="E881" i="9"/>
  <c r="D881" i="9"/>
  <c r="H880" i="9"/>
  <c r="F880" i="9"/>
  <c r="I880" i="9" s="1"/>
  <c r="E880" i="9"/>
  <c r="D880" i="9"/>
  <c r="G880" i="9" s="1"/>
  <c r="J880" i="9" s="1"/>
  <c r="G879" i="9"/>
  <c r="J879" i="9" s="1"/>
  <c r="F879" i="9"/>
  <c r="I879" i="9" s="1"/>
  <c r="E879" i="9"/>
  <c r="H879" i="9" s="1"/>
  <c r="D879" i="9"/>
  <c r="I878" i="9"/>
  <c r="F878" i="9"/>
  <c r="E878" i="9"/>
  <c r="G878" i="9" s="1"/>
  <c r="J878" i="9" s="1"/>
  <c r="D878" i="9"/>
  <c r="I877" i="9"/>
  <c r="H877" i="9"/>
  <c r="G877" i="9"/>
  <c r="J877" i="9" s="1"/>
  <c r="F877" i="9"/>
  <c r="E877" i="9"/>
  <c r="D877" i="9"/>
  <c r="H876" i="9"/>
  <c r="F876" i="9"/>
  <c r="I876" i="9" s="1"/>
  <c r="E876" i="9"/>
  <c r="D876" i="9"/>
  <c r="G876" i="9" s="1"/>
  <c r="J876" i="9" s="1"/>
  <c r="G875" i="9"/>
  <c r="J875" i="9" s="1"/>
  <c r="F875" i="9"/>
  <c r="I875" i="9" s="1"/>
  <c r="E875" i="9"/>
  <c r="H875" i="9" s="1"/>
  <c r="D875" i="9"/>
  <c r="I874" i="9"/>
  <c r="F874" i="9"/>
  <c r="E874" i="9"/>
  <c r="G874" i="9" s="1"/>
  <c r="J874" i="9" s="1"/>
  <c r="D874" i="9"/>
  <c r="I873" i="9"/>
  <c r="H873" i="9"/>
  <c r="G873" i="9"/>
  <c r="J873" i="9" s="1"/>
  <c r="F873" i="9"/>
  <c r="E873" i="9"/>
  <c r="D873" i="9"/>
  <c r="H872" i="9"/>
  <c r="F872" i="9"/>
  <c r="I872" i="9" s="1"/>
  <c r="E872" i="9"/>
  <c r="D872" i="9"/>
  <c r="G872" i="9" s="1"/>
  <c r="J872" i="9" s="1"/>
  <c r="G871" i="9"/>
  <c r="J871" i="9" s="1"/>
  <c r="F871" i="9"/>
  <c r="I871" i="9" s="1"/>
  <c r="E871" i="9"/>
  <c r="H871" i="9" s="1"/>
  <c r="D871" i="9"/>
  <c r="I870" i="9"/>
  <c r="F870" i="9"/>
  <c r="E870" i="9"/>
  <c r="G870" i="9" s="1"/>
  <c r="J870" i="9" s="1"/>
  <c r="D870" i="9"/>
  <c r="I869" i="9"/>
  <c r="H869" i="9"/>
  <c r="G869" i="9"/>
  <c r="J869" i="9" s="1"/>
  <c r="F869" i="9"/>
  <c r="E869" i="9"/>
  <c r="D869" i="9"/>
  <c r="H868" i="9"/>
  <c r="F868" i="9"/>
  <c r="I868" i="9" s="1"/>
  <c r="E868" i="9"/>
  <c r="D868" i="9"/>
  <c r="G868" i="9" s="1"/>
  <c r="J868" i="9" s="1"/>
  <c r="G867" i="9"/>
  <c r="J867" i="9" s="1"/>
  <c r="F867" i="9"/>
  <c r="I867" i="9" s="1"/>
  <c r="E867" i="9"/>
  <c r="H867" i="9" s="1"/>
  <c r="D867" i="9"/>
  <c r="I866" i="9"/>
  <c r="F866" i="9"/>
  <c r="E866" i="9"/>
  <c r="G866" i="9" s="1"/>
  <c r="J866" i="9" s="1"/>
  <c r="D866" i="9"/>
  <c r="I865" i="9"/>
  <c r="H865" i="9"/>
  <c r="G865" i="9"/>
  <c r="J865" i="9" s="1"/>
  <c r="F865" i="9"/>
  <c r="E865" i="9"/>
  <c r="D865" i="9"/>
  <c r="H864" i="9"/>
  <c r="F864" i="9"/>
  <c r="I864" i="9" s="1"/>
  <c r="E864" i="9"/>
  <c r="D864" i="9"/>
  <c r="G864" i="9" s="1"/>
  <c r="J864" i="9" s="1"/>
  <c r="G863" i="9"/>
  <c r="J863" i="9" s="1"/>
  <c r="F863" i="9"/>
  <c r="I863" i="9" s="1"/>
  <c r="E863" i="9"/>
  <c r="H863" i="9" s="1"/>
  <c r="D863" i="9"/>
  <c r="I862" i="9"/>
  <c r="F862" i="9"/>
  <c r="E862" i="9"/>
  <c r="G862" i="9" s="1"/>
  <c r="J862" i="9" s="1"/>
  <c r="D862" i="9"/>
  <c r="I861" i="9"/>
  <c r="H861" i="9"/>
  <c r="G861" i="9"/>
  <c r="J861" i="9" s="1"/>
  <c r="F861" i="9"/>
  <c r="E861" i="9"/>
  <c r="D861" i="9"/>
  <c r="H860" i="9"/>
  <c r="F860" i="9"/>
  <c r="I860" i="9" s="1"/>
  <c r="E860" i="9"/>
  <c r="D860" i="9"/>
  <c r="G860" i="9" s="1"/>
  <c r="J860" i="9" s="1"/>
  <c r="G859" i="9"/>
  <c r="J859" i="9" s="1"/>
  <c r="F859" i="9"/>
  <c r="I859" i="9" s="1"/>
  <c r="E859" i="9"/>
  <c r="H859" i="9" s="1"/>
  <c r="D859" i="9"/>
  <c r="I858" i="9"/>
  <c r="F858" i="9"/>
  <c r="E858" i="9"/>
  <c r="D858" i="9"/>
  <c r="I857" i="9"/>
  <c r="H857" i="9"/>
  <c r="G857" i="9"/>
  <c r="J857" i="9" s="1"/>
  <c r="F857" i="9"/>
  <c r="E857" i="9"/>
  <c r="D857" i="9"/>
  <c r="H856" i="9"/>
  <c r="F856" i="9"/>
  <c r="I856" i="9" s="1"/>
  <c r="E856" i="9"/>
  <c r="D856" i="9"/>
  <c r="G856" i="9" s="1"/>
  <c r="J856" i="9" s="1"/>
  <c r="G855" i="9"/>
  <c r="J855" i="9" s="1"/>
  <c r="F855" i="9"/>
  <c r="I855" i="9" s="1"/>
  <c r="E855" i="9"/>
  <c r="H855" i="9" s="1"/>
  <c r="D855" i="9"/>
  <c r="I854" i="9"/>
  <c r="F854" i="9"/>
  <c r="E854" i="9"/>
  <c r="D854" i="9"/>
  <c r="I853" i="9"/>
  <c r="H853" i="9"/>
  <c r="G853" i="9"/>
  <c r="J853" i="9" s="1"/>
  <c r="F853" i="9"/>
  <c r="E853" i="9"/>
  <c r="D853" i="9"/>
  <c r="H852" i="9"/>
  <c r="F852" i="9"/>
  <c r="I852" i="9" s="1"/>
  <c r="E852" i="9"/>
  <c r="D852" i="9"/>
  <c r="G852" i="9" s="1"/>
  <c r="J852" i="9" s="1"/>
  <c r="G851" i="9"/>
  <c r="J851" i="9" s="1"/>
  <c r="F851" i="9"/>
  <c r="I851" i="9" s="1"/>
  <c r="E851" i="9"/>
  <c r="H851" i="9" s="1"/>
  <c r="D851" i="9"/>
  <c r="I850" i="9"/>
  <c r="F850" i="9"/>
  <c r="E850" i="9"/>
  <c r="D850" i="9"/>
  <c r="I849" i="9"/>
  <c r="H849" i="9"/>
  <c r="G849" i="9"/>
  <c r="J849" i="9" s="1"/>
  <c r="F849" i="9"/>
  <c r="E849" i="9"/>
  <c r="D849" i="9"/>
  <c r="H848" i="9"/>
  <c r="F848" i="9"/>
  <c r="I848" i="9" s="1"/>
  <c r="E848" i="9"/>
  <c r="D848" i="9"/>
  <c r="G848" i="9" s="1"/>
  <c r="J848" i="9" s="1"/>
  <c r="G847" i="9"/>
  <c r="J847" i="9" s="1"/>
  <c r="F847" i="9"/>
  <c r="I847" i="9" s="1"/>
  <c r="E847" i="9"/>
  <c r="H847" i="9" s="1"/>
  <c r="D847" i="9"/>
  <c r="I846" i="9"/>
  <c r="F846" i="9"/>
  <c r="E846" i="9"/>
  <c r="D846" i="9"/>
  <c r="I845" i="9"/>
  <c r="H845" i="9"/>
  <c r="G845" i="9"/>
  <c r="J845" i="9" s="1"/>
  <c r="F845" i="9"/>
  <c r="E845" i="9"/>
  <c r="D845" i="9"/>
  <c r="H844" i="9"/>
  <c r="F844" i="9"/>
  <c r="I844" i="9" s="1"/>
  <c r="E844" i="9"/>
  <c r="D844" i="9"/>
  <c r="G844" i="9" s="1"/>
  <c r="J844" i="9" s="1"/>
  <c r="G843" i="9"/>
  <c r="J843" i="9" s="1"/>
  <c r="F843" i="9"/>
  <c r="I843" i="9" s="1"/>
  <c r="E843" i="9"/>
  <c r="H843" i="9" s="1"/>
  <c r="D843" i="9"/>
  <c r="I842" i="9"/>
  <c r="F842" i="9"/>
  <c r="E842" i="9"/>
  <c r="D842" i="9"/>
  <c r="I841" i="9"/>
  <c r="H841" i="9"/>
  <c r="G841" i="9"/>
  <c r="J841" i="9" s="1"/>
  <c r="F841" i="9"/>
  <c r="E841" i="9"/>
  <c r="D841" i="9"/>
  <c r="F840" i="9"/>
  <c r="I840" i="9" s="1"/>
  <c r="E840" i="9"/>
  <c r="D840" i="9"/>
  <c r="I839" i="9"/>
  <c r="H839" i="9"/>
  <c r="F839" i="9"/>
  <c r="E839" i="9"/>
  <c r="D839" i="9"/>
  <c r="G839" i="9" s="1"/>
  <c r="J839" i="9" s="1"/>
  <c r="H838" i="9"/>
  <c r="G838" i="9"/>
  <c r="J838" i="9" s="1"/>
  <c r="F838" i="9"/>
  <c r="I838" i="9" s="1"/>
  <c r="E838" i="9"/>
  <c r="D838" i="9"/>
  <c r="F837" i="9"/>
  <c r="I837" i="9" s="1"/>
  <c r="E837" i="9"/>
  <c r="H837" i="9" s="1"/>
  <c r="D837" i="9"/>
  <c r="I836" i="9"/>
  <c r="F836" i="9"/>
  <c r="E836" i="9"/>
  <c r="D836" i="9"/>
  <c r="I835" i="9"/>
  <c r="H835" i="9"/>
  <c r="F835" i="9"/>
  <c r="E835" i="9"/>
  <c r="D835" i="9"/>
  <c r="G835" i="9" s="1"/>
  <c r="J835" i="9" s="1"/>
  <c r="H834" i="9"/>
  <c r="G834" i="9"/>
  <c r="J834" i="9" s="1"/>
  <c r="F834" i="9"/>
  <c r="I834" i="9" s="1"/>
  <c r="E834" i="9"/>
  <c r="D834" i="9"/>
  <c r="F833" i="9"/>
  <c r="I833" i="9" s="1"/>
  <c r="E833" i="9"/>
  <c r="H833" i="9" s="1"/>
  <c r="D833" i="9"/>
  <c r="I832" i="9"/>
  <c r="F832" i="9"/>
  <c r="E832" i="9"/>
  <c r="D832" i="9"/>
  <c r="I831" i="9"/>
  <c r="H831" i="9"/>
  <c r="F831" i="9"/>
  <c r="E831" i="9"/>
  <c r="D831" i="9"/>
  <c r="G831" i="9" s="1"/>
  <c r="J831" i="9" s="1"/>
  <c r="H830" i="9"/>
  <c r="G830" i="9"/>
  <c r="J830" i="9" s="1"/>
  <c r="F830" i="9"/>
  <c r="I830" i="9" s="1"/>
  <c r="E830" i="9"/>
  <c r="D830" i="9"/>
  <c r="F829" i="9"/>
  <c r="I829" i="9" s="1"/>
  <c r="E829" i="9"/>
  <c r="H829" i="9" s="1"/>
  <c r="D829" i="9"/>
  <c r="I828" i="9"/>
  <c r="F828" i="9"/>
  <c r="E828" i="9"/>
  <c r="D828" i="9"/>
  <c r="I827" i="9"/>
  <c r="H827" i="9"/>
  <c r="F827" i="9"/>
  <c r="E827" i="9"/>
  <c r="D827" i="9"/>
  <c r="G827" i="9" s="1"/>
  <c r="J827" i="9" s="1"/>
  <c r="H826" i="9"/>
  <c r="G826" i="9"/>
  <c r="J826" i="9" s="1"/>
  <c r="F826" i="9"/>
  <c r="I826" i="9" s="1"/>
  <c r="E826" i="9"/>
  <c r="D826" i="9"/>
  <c r="F825" i="9"/>
  <c r="I825" i="9" s="1"/>
  <c r="E825" i="9"/>
  <c r="H825" i="9" s="1"/>
  <c r="D825" i="9"/>
  <c r="I824" i="9"/>
  <c r="F824" i="9"/>
  <c r="E824" i="9"/>
  <c r="D824" i="9"/>
  <c r="I823" i="9"/>
  <c r="H823" i="9"/>
  <c r="F823" i="9"/>
  <c r="E823" i="9"/>
  <c r="D823" i="9"/>
  <c r="G823" i="9" s="1"/>
  <c r="J823" i="9" s="1"/>
  <c r="H822" i="9"/>
  <c r="G822" i="9"/>
  <c r="J822" i="9" s="1"/>
  <c r="F822" i="9"/>
  <c r="I822" i="9" s="1"/>
  <c r="E822" i="9"/>
  <c r="D822" i="9"/>
  <c r="F821" i="9"/>
  <c r="I821" i="9" s="1"/>
  <c r="E821" i="9"/>
  <c r="H821" i="9" s="1"/>
  <c r="D821" i="9"/>
  <c r="I820" i="9"/>
  <c r="F820" i="9"/>
  <c r="E820" i="9"/>
  <c r="D820" i="9"/>
  <c r="I819" i="9"/>
  <c r="H819" i="9"/>
  <c r="F819" i="9"/>
  <c r="E819" i="9"/>
  <c r="D819" i="9"/>
  <c r="G819" i="9" s="1"/>
  <c r="J819" i="9" s="1"/>
  <c r="H818" i="9"/>
  <c r="G818" i="9"/>
  <c r="J818" i="9" s="1"/>
  <c r="F818" i="9"/>
  <c r="I818" i="9" s="1"/>
  <c r="E818" i="9"/>
  <c r="D818" i="9"/>
  <c r="F817" i="9"/>
  <c r="I817" i="9" s="1"/>
  <c r="E817" i="9"/>
  <c r="D817" i="9"/>
  <c r="I816" i="9"/>
  <c r="H816" i="9"/>
  <c r="F816" i="9"/>
  <c r="E816" i="9"/>
  <c r="D816" i="9"/>
  <c r="I815" i="9"/>
  <c r="H815" i="9"/>
  <c r="G815" i="9"/>
  <c r="J815" i="9" s="1"/>
  <c r="F815" i="9"/>
  <c r="E815" i="9"/>
  <c r="D815" i="9"/>
  <c r="H814" i="9"/>
  <c r="G814" i="9"/>
  <c r="J814" i="9" s="1"/>
  <c r="F814" i="9"/>
  <c r="I814" i="9" s="1"/>
  <c r="E814" i="9"/>
  <c r="D814" i="9"/>
  <c r="F813" i="9"/>
  <c r="I813" i="9" s="1"/>
  <c r="E813" i="9"/>
  <c r="D813" i="9"/>
  <c r="I812" i="9"/>
  <c r="F812" i="9"/>
  <c r="E812" i="9"/>
  <c r="D812" i="9"/>
  <c r="I811" i="9"/>
  <c r="H811" i="9"/>
  <c r="G811" i="9"/>
  <c r="J811" i="9" s="1"/>
  <c r="F811" i="9"/>
  <c r="E811" i="9"/>
  <c r="D811" i="9"/>
  <c r="J810" i="9"/>
  <c r="H810" i="9"/>
  <c r="G810" i="9"/>
  <c r="F810" i="9"/>
  <c r="I810" i="9" s="1"/>
  <c r="E810" i="9"/>
  <c r="D810" i="9"/>
  <c r="F809" i="9"/>
  <c r="I809" i="9" s="1"/>
  <c r="E809" i="9"/>
  <c r="D809" i="9"/>
  <c r="I808" i="9"/>
  <c r="H808" i="9"/>
  <c r="F808" i="9"/>
  <c r="E808" i="9"/>
  <c r="D808" i="9"/>
  <c r="I807" i="9"/>
  <c r="H807" i="9"/>
  <c r="G807" i="9"/>
  <c r="J807" i="9" s="1"/>
  <c r="F807" i="9"/>
  <c r="E807" i="9"/>
  <c r="D807" i="9"/>
  <c r="H806" i="9"/>
  <c r="G806" i="9"/>
  <c r="J806" i="9" s="1"/>
  <c r="F806" i="9"/>
  <c r="I806" i="9" s="1"/>
  <c r="E806" i="9"/>
  <c r="D806" i="9"/>
  <c r="F805" i="9"/>
  <c r="I805" i="9" s="1"/>
  <c r="E805" i="9"/>
  <c r="D805" i="9"/>
  <c r="I804" i="9"/>
  <c r="F804" i="9"/>
  <c r="E804" i="9"/>
  <c r="D804" i="9"/>
  <c r="I803" i="9"/>
  <c r="H803" i="9"/>
  <c r="G803" i="9"/>
  <c r="J803" i="9" s="1"/>
  <c r="F803" i="9"/>
  <c r="E803" i="9"/>
  <c r="D803" i="9"/>
  <c r="J802" i="9"/>
  <c r="H802" i="9"/>
  <c r="G802" i="9"/>
  <c r="F802" i="9"/>
  <c r="I802" i="9" s="1"/>
  <c r="E802" i="9"/>
  <c r="D802" i="9"/>
  <c r="F801" i="9"/>
  <c r="I801" i="9" s="1"/>
  <c r="E801" i="9"/>
  <c r="D801" i="9"/>
  <c r="I800" i="9"/>
  <c r="H800" i="9"/>
  <c r="F800" i="9"/>
  <c r="E800" i="9"/>
  <c r="D800" i="9"/>
  <c r="I799" i="9"/>
  <c r="F799" i="9"/>
  <c r="E799" i="9"/>
  <c r="D799" i="9"/>
  <c r="H798" i="9"/>
  <c r="G798" i="9"/>
  <c r="J798" i="9" s="1"/>
  <c r="F798" i="9"/>
  <c r="I798" i="9" s="1"/>
  <c r="E798" i="9"/>
  <c r="D798" i="9"/>
  <c r="F797" i="9"/>
  <c r="I797" i="9" s="1"/>
  <c r="E797" i="9"/>
  <c r="D797" i="9"/>
  <c r="I796" i="9"/>
  <c r="H796" i="9"/>
  <c r="F796" i="9"/>
  <c r="E796" i="9"/>
  <c r="D796" i="9"/>
  <c r="I795" i="9"/>
  <c r="F795" i="9"/>
  <c r="E795" i="9"/>
  <c r="D795" i="9"/>
  <c r="H794" i="9"/>
  <c r="G794" i="9"/>
  <c r="J794" i="9" s="1"/>
  <c r="F794" i="9"/>
  <c r="I794" i="9" s="1"/>
  <c r="E794" i="9"/>
  <c r="D794" i="9"/>
  <c r="F793" i="9"/>
  <c r="I793" i="9" s="1"/>
  <c r="E793" i="9"/>
  <c r="D793" i="9"/>
  <c r="I792" i="9"/>
  <c r="H792" i="9"/>
  <c r="F792" i="9"/>
  <c r="E792" i="9"/>
  <c r="D792" i="9"/>
  <c r="I791" i="9"/>
  <c r="F791" i="9"/>
  <c r="E791" i="9"/>
  <c r="D791" i="9"/>
  <c r="H790" i="9"/>
  <c r="G790" i="9"/>
  <c r="J790" i="9" s="1"/>
  <c r="F790" i="9"/>
  <c r="I790" i="9" s="1"/>
  <c r="E790" i="9"/>
  <c r="D790" i="9"/>
  <c r="F789" i="9"/>
  <c r="I789" i="9" s="1"/>
  <c r="E789" i="9"/>
  <c r="D789" i="9"/>
  <c r="I788" i="9"/>
  <c r="H788" i="9"/>
  <c r="F788" i="9"/>
  <c r="E788" i="9"/>
  <c r="D788" i="9"/>
  <c r="I787" i="9"/>
  <c r="F787" i="9"/>
  <c r="E787" i="9"/>
  <c r="D787" i="9"/>
  <c r="H786" i="9"/>
  <c r="G786" i="9"/>
  <c r="J786" i="9" s="1"/>
  <c r="F786" i="9"/>
  <c r="I786" i="9" s="1"/>
  <c r="E786" i="9"/>
  <c r="D786" i="9"/>
  <c r="F785" i="9"/>
  <c r="I785" i="9" s="1"/>
  <c r="E785" i="9"/>
  <c r="D785" i="9"/>
  <c r="I784" i="9"/>
  <c r="H784" i="9"/>
  <c r="F784" i="9"/>
  <c r="E784" i="9"/>
  <c r="D784" i="9"/>
  <c r="I783" i="9"/>
  <c r="F783" i="9"/>
  <c r="E783" i="9"/>
  <c r="D783" i="9"/>
  <c r="H782" i="9"/>
  <c r="G782" i="9"/>
  <c r="J782" i="9" s="1"/>
  <c r="F782" i="9"/>
  <c r="I782" i="9" s="1"/>
  <c r="E782" i="9"/>
  <c r="D782" i="9"/>
  <c r="F781" i="9"/>
  <c r="I781" i="9" s="1"/>
  <c r="E781" i="9"/>
  <c r="D781" i="9"/>
  <c r="I780" i="9"/>
  <c r="H780" i="9"/>
  <c r="F780" i="9"/>
  <c r="E780" i="9"/>
  <c r="D780" i="9"/>
  <c r="I779" i="9"/>
  <c r="F779" i="9"/>
  <c r="E779" i="9"/>
  <c r="D779" i="9"/>
  <c r="H778" i="9"/>
  <c r="G778" i="9"/>
  <c r="J778" i="9" s="1"/>
  <c r="F778" i="9"/>
  <c r="I778" i="9" s="1"/>
  <c r="E778" i="9"/>
  <c r="D778" i="9"/>
  <c r="F777" i="9"/>
  <c r="I777" i="9" s="1"/>
  <c r="E777" i="9"/>
  <c r="D777" i="9"/>
  <c r="I776" i="9"/>
  <c r="H776" i="9"/>
  <c r="F776" i="9"/>
  <c r="E776" i="9"/>
  <c r="D776" i="9"/>
  <c r="I775" i="9"/>
  <c r="F775" i="9"/>
  <c r="E775" i="9"/>
  <c r="D775" i="9"/>
  <c r="H774" i="9"/>
  <c r="G774" i="9"/>
  <c r="J774" i="9" s="1"/>
  <c r="F774" i="9"/>
  <c r="I774" i="9" s="1"/>
  <c r="E774" i="9"/>
  <c r="D774" i="9"/>
  <c r="F773" i="9"/>
  <c r="I773" i="9" s="1"/>
  <c r="E773" i="9"/>
  <c r="D773" i="9"/>
  <c r="I772" i="9"/>
  <c r="H772" i="9"/>
  <c r="F772" i="9"/>
  <c r="E772" i="9"/>
  <c r="D772" i="9"/>
  <c r="I771" i="9"/>
  <c r="F771" i="9"/>
  <c r="E771" i="9"/>
  <c r="D771" i="9"/>
  <c r="H770" i="9"/>
  <c r="G770" i="9"/>
  <c r="J770" i="9" s="1"/>
  <c r="F770" i="9"/>
  <c r="I770" i="9" s="1"/>
  <c r="E770" i="9"/>
  <c r="D770" i="9"/>
  <c r="F769" i="9"/>
  <c r="I769" i="9" s="1"/>
  <c r="E769" i="9"/>
  <c r="D769" i="9"/>
  <c r="I768" i="9"/>
  <c r="H768" i="9"/>
  <c r="F768" i="9"/>
  <c r="E768" i="9"/>
  <c r="D768" i="9"/>
  <c r="I767" i="9"/>
  <c r="F767" i="9"/>
  <c r="E767" i="9"/>
  <c r="D767" i="9"/>
  <c r="H766" i="9"/>
  <c r="G766" i="9"/>
  <c r="J766" i="9" s="1"/>
  <c r="F766" i="9"/>
  <c r="I766" i="9" s="1"/>
  <c r="E766" i="9"/>
  <c r="D766" i="9"/>
  <c r="F765" i="9"/>
  <c r="I765" i="9" s="1"/>
  <c r="E765" i="9"/>
  <c r="D765" i="9"/>
  <c r="I764" i="9"/>
  <c r="H764" i="9"/>
  <c r="F764" i="9"/>
  <c r="E764" i="9"/>
  <c r="D764" i="9"/>
  <c r="I763" i="9"/>
  <c r="F763" i="9"/>
  <c r="E763" i="9"/>
  <c r="D763" i="9"/>
  <c r="H762" i="9"/>
  <c r="G762" i="9"/>
  <c r="J762" i="9" s="1"/>
  <c r="F762" i="9"/>
  <c r="I762" i="9" s="1"/>
  <c r="E762" i="9"/>
  <c r="D762" i="9"/>
  <c r="F761" i="9"/>
  <c r="I761" i="9" s="1"/>
  <c r="E761" i="9"/>
  <c r="D761" i="9"/>
  <c r="I760" i="9"/>
  <c r="H760" i="9"/>
  <c r="F760" i="9"/>
  <c r="E760" i="9"/>
  <c r="D760" i="9"/>
  <c r="I759" i="9"/>
  <c r="F759" i="9"/>
  <c r="E759" i="9"/>
  <c r="D759" i="9"/>
  <c r="H758" i="9"/>
  <c r="G758" i="9"/>
  <c r="J758" i="9" s="1"/>
  <c r="F758" i="9"/>
  <c r="I758" i="9" s="1"/>
  <c r="E758" i="9"/>
  <c r="D758" i="9"/>
  <c r="F757" i="9"/>
  <c r="I757" i="9" s="1"/>
  <c r="E757" i="9"/>
  <c r="D757" i="9"/>
  <c r="H756" i="9"/>
  <c r="F756" i="9"/>
  <c r="I756" i="9" s="1"/>
  <c r="E756" i="9"/>
  <c r="D756" i="9"/>
  <c r="I755" i="9"/>
  <c r="H755" i="9"/>
  <c r="F755" i="9"/>
  <c r="E755" i="9"/>
  <c r="D755" i="9"/>
  <c r="H754" i="9"/>
  <c r="G754" i="9"/>
  <c r="J754" i="9" s="1"/>
  <c r="F754" i="9"/>
  <c r="I754" i="9" s="1"/>
  <c r="E754" i="9"/>
  <c r="D754" i="9"/>
  <c r="F753" i="9"/>
  <c r="I753" i="9" s="1"/>
  <c r="E753" i="9"/>
  <c r="D753" i="9"/>
  <c r="H752" i="9"/>
  <c r="F752" i="9"/>
  <c r="I752" i="9" s="1"/>
  <c r="E752" i="9"/>
  <c r="D752" i="9"/>
  <c r="I751" i="9"/>
  <c r="H751" i="9"/>
  <c r="F751" i="9"/>
  <c r="E751" i="9"/>
  <c r="D751" i="9"/>
  <c r="H750" i="9"/>
  <c r="G750" i="9"/>
  <c r="J750" i="9" s="1"/>
  <c r="F750" i="9"/>
  <c r="I750" i="9" s="1"/>
  <c r="E750" i="9"/>
  <c r="D750" i="9"/>
  <c r="F749" i="9"/>
  <c r="I749" i="9" s="1"/>
  <c r="E749" i="9"/>
  <c r="D749" i="9"/>
  <c r="F748" i="9"/>
  <c r="I748" i="9" s="1"/>
  <c r="E748" i="9"/>
  <c r="G748" i="9" s="1"/>
  <c r="J748" i="9" s="1"/>
  <c r="D748" i="9"/>
  <c r="I747" i="9"/>
  <c r="H747" i="9"/>
  <c r="G747" i="9"/>
  <c r="J747" i="9" s="1"/>
  <c r="F747" i="9"/>
  <c r="E747" i="9"/>
  <c r="D747" i="9"/>
  <c r="J746" i="9"/>
  <c r="H746" i="9"/>
  <c r="G746" i="9"/>
  <c r="F746" i="9"/>
  <c r="I746" i="9" s="1"/>
  <c r="E746" i="9"/>
  <c r="D746" i="9"/>
  <c r="I745" i="9"/>
  <c r="G745" i="9"/>
  <c r="J745" i="9" s="1"/>
  <c r="F745" i="9"/>
  <c r="E745" i="9"/>
  <c r="H745" i="9" s="1"/>
  <c r="D745" i="9"/>
  <c r="F744" i="9"/>
  <c r="I744" i="9" s="1"/>
  <c r="E744" i="9"/>
  <c r="G744" i="9" s="1"/>
  <c r="J744" i="9" s="1"/>
  <c r="D744" i="9"/>
  <c r="I743" i="9"/>
  <c r="H743" i="9"/>
  <c r="G743" i="9"/>
  <c r="J743" i="9" s="1"/>
  <c r="F743" i="9"/>
  <c r="E743" i="9"/>
  <c r="D743" i="9"/>
  <c r="J742" i="9"/>
  <c r="H742" i="9"/>
  <c r="G742" i="9"/>
  <c r="F742" i="9"/>
  <c r="I742" i="9" s="1"/>
  <c r="E742" i="9"/>
  <c r="D742" i="9"/>
  <c r="I741" i="9"/>
  <c r="G741" i="9"/>
  <c r="J741" i="9" s="1"/>
  <c r="F741" i="9"/>
  <c r="E741" i="9"/>
  <c r="H741" i="9" s="1"/>
  <c r="D741" i="9"/>
  <c r="F740" i="9"/>
  <c r="I740" i="9" s="1"/>
  <c r="E740" i="9"/>
  <c r="G740" i="9" s="1"/>
  <c r="J740" i="9" s="1"/>
  <c r="D740" i="9"/>
  <c r="I739" i="9"/>
  <c r="H739" i="9"/>
  <c r="G739" i="9"/>
  <c r="J739" i="9" s="1"/>
  <c r="F739" i="9"/>
  <c r="E739" i="9"/>
  <c r="D739" i="9"/>
  <c r="J738" i="9"/>
  <c r="H738" i="9"/>
  <c r="G738" i="9"/>
  <c r="F738" i="9"/>
  <c r="I738" i="9" s="1"/>
  <c r="E738" i="9"/>
  <c r="D738" i="9"/>
  <c r="I737" i="9"/>
  <c r="G737" i="9"/>
  <c r="J737" i="9" s="1"/>
  <c r="F737" i="9"/>
  <c r="E737" i="9"/>
  <c r="H737" i="9" s="1"/>
  <c r="D737" i="9"/>
  <c r="F736" i="9"/>
  <c r="I736" i="9" s="1"/>
  <c r="E736" i="9"/>
  <c r="G736" i="9" s="1"/>
  <c r="J736" i="9" s="1"/>
  <c r="D736" i="9"/>
  <c r="I735" i="9"/>
  <c r="H735" i="9"/>
  <c r="G735" i="9"/>
  <c r="J735" i="9" s="1"/>
  <c r="F735" i="9"/>
  <c r="E735" i="9"/>
  <c r="D735" i="9"/>
  <c r="J734" i="9"/>
  <c r="H734" i="9"/>
  <c r="G734" i="9"/>
  <c r="F734" i="9"/>
  <c r="I734" i="9" s="1"/>
  <c r="E734" i="9"/>
  <c r="D734" i="9"/>
  <c r="I733" i="9"/>
  <c r="G733" i="9"/>
  <c r="J733" i="9" s="1"/>
  <c r="F733" i="9"/>
  <c r="E733" i="9"/>
  <c r="H733" i="9" s="1"/>
  <c r="D733" i="9"/>
  <c r="F732" i="9"/>
  <c r="I732" i="9" s="1"/>
  <c r="E732" i="9"/>
  <c r="G732" i="9" s="1"/>
  <c r="J732" i="9" s="1"/>
  <c r="D732" i="9"/>
  <c r="I731" i="9"/>
  <c r="H731" i="9"/>
  <c r="G731" i="9"/>
  <c r="J731" i="9" s="1"/>
  <c r="F731" i="9"/>
  <c r="E731" i="9"/>
  <c r="D731" i="9"/>
  <c r="J730" i="9"/>
  <c r="H730" i="9"/>
  <c r="G730" i="9"/>
  <c r="F730" i="9"/>
  <c r="I730" i="9" s="1"/>
  <c r="E730" i="9"/>
  <c r="D730" i="9"/>
  <c r="I729" i="9"/>
  <c r="G729" i="9"/>
  <c r="J729" i="9" s="1"/>
  <c r="F729" i="9"/>
  <c r="E729" i="9"/>
  <c r="H729" i="9" s="1"/>
  <c r="D729" i="9"/>
  <c r="F728" i="9"/>
  <c r="I728" i="9" s="1"/>
  <c r="E728" i="9"/>
  <c r="G728" i="9" s="1"/>
  <c r="J728" i="9" s="1"/>
  <c r="D728" i="9"/>
  <c r="I727" i="9"/>
  <c r="H727" i="9"/>
  <c r="F727" i="9"/>
  <c r="E727" i="9"/>
  <c r="G727" i="9" s="1"/>
  <c r="J727" i="9" s="1"/>
  <c r="D727" i="9"/>
  <c r="I726" i="9"/>
  <c r="H726" i="9"/>
  <c r="G726" i="9"/>
  <c r="J726" i="9" s="1"/>
  <c r="F726" i="9"/>
  <c r="E726" i="9"/>
  <c r="D726" i="9"/>
  <c r="H725" i="9"/>
  <c r="G725" i="9"/>
  <c r="F725" i="9"/>
  <c r="J725" i="9" s="1"/>
  <c r="E725" i="9"/>
  <c r="D725" i="9"/>
  <c r="I724" i="9"/>
  <c r="F724" i="9"/>
  <c r="E724" i="9"/>
  <c r="G724" i="9" s="1"/>
  <c r="J724" i="9" s="1"/>
  <c r="D724" i="9"/>
  <c r="I723" i="9"/>
  <c r="H723" i="9"/>
  <c r="F723" i="9"/>
  <c r="E723" i="9"/>
  <c r="G723" i="9" s="1"/>
  <c r="J723" i="9" s="1"/>
  <c r="D723" i="9"/>
  <c r="I722" i="9"/>
  <c r="H722" i="9"/>
  <c r="G722" i="9"/>
  <c r="J722" i="9" s="1"/>
  <c r="F722" i="9"/>
  <c r="E722" i="9"/>
  <c r="D722" i="9"/>
  <c r="H721" i="9"/>
  <c r="G721" i="9"/>
  <c r="F721" i="9"/>
  <c r="J721" i="9" s="1"/>
  <c r="E721" i="9"/>
  <c r="D721" i="9"/>
  <c r="I720" i="9"/>
  <c r="F720" i="9"/>
  <c r="E720" i="9"/>
  <c r="G720" i="9" s="1"/>
  <c r="J720" i="9" s="1"/>
  <c r="D720" i="9"/>
  <c r="I719" i="9"/>
  <c r="H719" i="9"/>
  <c r="F719" i="9"/>
  <c r="E719" i="9"/>
  <c r="G719" i="9" s="1"/>
  <c r="J719" i="9" s="1"/>
  <c r="D719" i="9"/>
  <c r="I718" i="9"/>
  <c r="H718" i="9"/>
  <c r="G718" i="9"/>
  <c r="J718" i="9" s="1"/>
  <c r="F718" i="9"/>
  <c r="E718" i="9"/>
  <c r="D718" i="9"/>
  <c r="H717" i="9"/>
  <c r="G717" i="9"/>
  <c r="F717" i="9"/>
  <c r="J717" i="9" s="1"/>
  <c r="E717" i="9"/>
  <c r="D717" i="9"/>
  <c r="I716" i="9"/>
  <c r="F716" i="9"/>
  <c r="E716" i="9"/>
  <c r="G716" i="9" s="1"/>
  <c r="J716" i="9" s="1"/>
  <c r="D716" i="9"/>
  <c r="I715" i="9"/>
  <c r="H715" i="9"/>
  <c r="F715" i="9"/>
  <c r="E715" i="9"/>
  <c r="G715" i="9" s="1"/>
  <c r="J715" i="9" s="1"/>
  <c r="D715" i="9"/>
  <c r="I714" i="9"/>
  <c r="H714" i="9"/>
  <c r="G714" i="9"/>
  <c r="J714" i="9" s="1"/>
  <c r="F714" i="9"/>
  <c r="E714" i="9"/>
  <c r="D714" i="9"/>
  <c r="H713" i="9"/>
  <c r="G713" i="9"/>
  <c r="F713" i="9"/>
  <c r="J713" i="9" s="1"/>
  <c r="E713" i="9"/>
  <c r="D713" i="9"/>
  <c r="I712" i="9"/>
  <c r="F712" i="9"/>
  <c r="E712" i="9"/>
  <c r="G712" i="9" s="1"/>
  <c r="J712" i="9" s="1"/>
  <c r="D712" i="9"/>
  <c r="I711" i="9"/>
  <c r="H711" i="9"/>
  <c r="F711" i="9"/>
  <c r="E711" i="9"/>
  <c r="G711" i="9" s="1"/>
  <c r="J711" i="9" s="1"/>
  <c r="D711" i="9"/>
  <c r="I710" i="9"/>
  <c r="H710" i="9"/>
  <c r="G710" i="9"/>
  <c r="J710" i="9" s="1"/>
  <c r="F710" i="9"/>
  <c r="E710" i="9"/>
  <c r="D710" i="9"/>
  <c r="H709" i="9"/>
  <c r="G709" i="9"/>
  <c r="F709" i="9"/>
  <c r="J709" i="9" s="1"/>
  <c r="E709" i="9"/>
  <c r="D709" i="9"/>
  <c r="I708" i="9"/>
  <c r="F708" i="9"/>
  <c r="E708" i="9"/>
  <c r="G708" i="9" s="1"/>
  <c r="J708" i="9" s="1"/>
  <c r="D708" i="9"/>
  <c r="I707" i="9"/>
  <c r="H707" i="9"/>
  <c r="F707" i="9"/>
  <c r="E707" i="9"/>
  <c r="G707" i="9" s="1"/>
  <c r="J707" i="9" s="1"/>
  <c r="D707" i="9"/>
  <c r="I706" i="9"/>
  <c r="H706" i="9"/>
  <c r="G706" i="9"/>
  <c r="J706" i="9" s="1"/>
  <c r="F706" i="9"/>
  <c r="E706" i="9"/>
  <c r="D706" i="9"/>
  <c r="H705" i="9"/>
  <c r="G705" i="9"/>
  <c r="F705" i="9"/>
  <c r="J705" i="9" s="1"/>
  <c r="E705" i="9"/>
  <c r="D705" i="9"/>
  <c r="I704" i="9"/>
  <c r="F704" i="9"/>
  <c r="E704" i="9"/>
  <c r="G704" i="9" s="1"/>
  <c r="J704" i="9" s="1"/>
  <c r="D704" i="9"/>
  <c r="I703" i="9"/>
  <c r="H703" i="9"/>
  <c r="F703" i="9"/>
  <c r="E703" i="9"/>
  <c r="G703" i="9" s="1"/>
  <c r="J703" i="9" s="1"/>
  <c r="D703" i="9"/>
  <c r="I702" i="9"/>
  <c r="H702" i="9"/>
  <c r="G702" i="9"/>
  <c r="J702" i="9" s="1"/>
  <c r="F702" i="9"/>
  <c r="E702" i="9"/>
  <c r="D702" i="9"/>
  <c r="H701" i="9"/>
  <c r="G701" i="9"/>
  <c r="F701" i="9"/>
  <c r="J701" i="9" s="1"/>
  <c r="E701" i="9"/>
  <c r="D701" i="9"/>
  <c r="I700" i="9"/>
  <c r="F700" i="9"/>
  <c r="E700" i="9"/>
  <c r="G700" i="9" s="1"/>
  <c r="J700" i="9" s="1"/>
  <c r="D700" i="9"/>
  <c r="I699" i="9"/>
  <c r="H699" i="9"/>
  <c r="F699" i="9"/>
  <c r="E699" i="9"/>
  <c r="G699" i="9" s="1"/>
  <c r="J699" i="9" s="1"/>
  <c r="D699" i="9"/>
  <c r="I698" i="9"/>
  <c r="H698" i="9"/>
  <c r="G698" i="9"/>
  <c r="J698" i="9" s="1"/>
  <c r="F698" i="9"/>
  <c r="E698" i="9"/>
  <c r="D698" i="9"/>
  <c r="H697" i="9"/>
  <c r="G697" i="9"/>
  <c r="F697" i="9"/>
  <c r="J697" i="9" s="1"/>
  <c r="E697" i="9"/>
  <c r="D697" i="9"/>
  <c r="I696" i="9"/>
  <c r="F696" i="9"/>
  <c r="E696" i="9"/>
  <c r="G696" i="9" s="1"/>
  <c r="J696" i="9" s="1"/>
  <c r="D696" i="9"/>
  <c r="I695" i="9"/>
  <c r="H695" i="9"/>
  <c r="F695" i="9"/>
  <c r="E695" i="9"/>
  <c r="G695" i="9" s="1"/>
  <c r="J695" i="9" s="1"/>
  <c r="D695" i="9"/>
  <c r="I694" i="9"/>
  <c r="H694" i="9"/>
  <c r="G694" i="9"/>
  <c r="J694" i="9" s="1"/>
  <c r="F694" i="9"/>
  <c r="E694" i="9"/>
  <c r="D694" i="9"/>
  <c r="J693" i="9"/>
  <c r="H693" i="9"/>
  <c r="G693" i="9"/>
  <c r="F693" i="9"/>
  <c r="I693" i="9" s="1"/>
  <c r="E693" i="9"/>
  <c r="D693" i="9"/>
  <c r="I692" i="9"/>
  <c r="F692" i="9"/>
  <c r="E692" i="9"/>
  <c r="D692" i="9"/>
  <c r="I691" i="9"/>
  <c r="H691" i="9"/>
  <c r="F691" i="9"/>
  <c r="E691" i="9"/>
  <c r="G691" i="9" s="1"/>
  <c r="J691" i="9" s="1"/>
  <c r="D691" i="9"/>
  <c r="I690" i="9"/>
  <c r="H690" i="9"/>
  <c r="G690" i="9"/>
  <c r="J690" i="9" s="1"/>
  <c r="F690" i="9"/>
  <c r="E690" i="9"/>
  <c r="D690" i="9"/>
  <c r="H689" i="9"/>
  <c r="G689" i="9"/>
  <c r="F689" i="9"/>
  <c r="I689" i="9" s="1"/>
  <c r="E689" i="9"/>
  <c r="D689" i="9"/>
  <c r="I688" i="9"/>
  <c r="F688" i="9"/>
  <c r="E688" i="9"/>
  <c r="D688" i="9"/>
  <c r="I687" i="9"/>
  <c r="H687" i="9"/>
  <c r="F687" i="9"/>
  <c r="E687" i="9"/>
  <c r="D687" i="9"/>
  <c r="I686" i="9"/>
  <c r="H686" i="9"/>
  <c r="G686" i="9"/>
  <c r="J686" i="9" s="1"/>
  <c r="F686" i="9"/>
  <c r="E686" i="9"/>
  <c r="D686" i="9"/>
  <c r="H685" i="9"/>
  <c r="G685" i="9"/>
  <c r="F685" i="9"/>
  <c r="I685" i="9" s="1"/>
  <c r="E685" i="9"/>
  <c r="D685" i="9"/>
  <c r="I684" i="9"/>
  <c r="F684" i="9"/>
  <c r="E684" i="9"/>
  <c r="D684" i="9"/>
  <c r="I683" i="9"/>
  <c r="H683" i="9"/>
  <c r="F683" i="9"/>
  <c r="E683" i="9"/>
  <c r="D683" i="9"/>
  <c r="I682" i="9"/>
  <c r="H682" i="9"/>
  <c r="G682" i="9"/>
  <c r="J682" i="9" s="1"/>
  <c r="F682" i="9"/>
  <c r="E682" i="9"/>
  <c r="D682" i="9"/>
  <c r="J681" i="9"/>
  <c r="H681" i="9"/>
  <c r="G681" i="9"/>
  <c r="F681" i="9"/>
  <c r="I681" i="9" s="1"/>
  <c r="E681" i="9"/>
  <c r="D681" i="9"/>
  <c r="I680" i="9"/>
  <c r="F680" i="9"/>
  <c r="E680" i="9"/>
  <c r="D680" i="9"/>
  <c r="I679" i="9"/>
  <c r="H679" i="9"/>
  <c r="F679" i="9"/>
  <c r="E679" i="9"/>
  <c r="G679" i="9" s="1"/>
  <c r="J679" i="9" s="1"/>
  <c r="D679" i="9"/>
  <c r="I678" i="9"/>
  <c r="H678" i="9"/>
  <c r="G678" i="9"/>
  <c r="J678" i="9" s="1"/>
  <c r="F678" i="9"/>
  <c r="E678" i="9"/>
  <c r="D678" i="9"/>
  <c r="J677" i="9"/>
  <c r="H677" i="9"/>
  <c r="G677" i="9"/>
  <c r="F677" i="9"/>
  <c r="I677" i="9" s="1"/>
  <c r="E677" i="9"/>
  <c r="D677" i="9"/>
  <c r="I676" i="9"/>
  <c r="F676" i="9"/>
  <c r="E676" i="9"/>
  <c r="D676" i="9"/>
  <c r="I675" i="9"/>
  <c r="H675" i="9"/>
  <c r="F675" i="9"/>
  <c r="E675" i="9"/>
  <c r="G675" i="9" s="1"/>
  <c r="J675" i="9" s="1"/>
  <c r="D675" i="9"/>
  <c r="I674" i="9"/>
  <c r="H674" i="9"/>
  <c r="G674" i="9"/>
  <c r="J674" i="9" s="1"/>
  <c r="F674" i="9"/>
  <c r="E674" i="9"/>
  <c r="D674" i="9"/>
  <c r="H673" i="9"/>
  <c r="G673" i="9"/>
  <c r="F673" i="9"/>
  <c r="I673" i="9" s="1"/>
  <c r="E673" i="9"/>
  <c r="D673" i="9"/>
  <c r="I672" i="9"/>
  <c r="F672" i="9"/>
  <c r="E672" i="9"/>
  <c r="D672" i="9"/>
  <c r="I671" i="9"/>
  <c r="H671" i="9"/>
  <c r="F671" i="9"/>
  <c r="E671" i="9"/>
  <c r="D671" i="9"/>
  <c r="I670" i="9"/>
  <c r="H670" i="9"/>
  <c r="G670" i="9"/>
  <c r="J670" i="9" s="1"/>
  <c r="F670" i="9"/>
  <c r="E670" i="9"/>
  <c r="D670" i="9"/>
  <c r="H669" i="9"/>
  <c r="G669" i="9"/>
  <c r="F669" i="9"/>
  <c r="I669" i="9" s="1"/>
  <c r="E669" i="9"/>
  <c r="D669" i="9"/>
  <c r="I668" i="9"/>
  <c r="F668" i="9"/>
  <c r="E668" i="9"/>
  <c r="D668" i="9"/>
  <c r="I667" i="9"/>
  <c r="H667" i="9"/>
  <c r="F667" i="9"/>
  <c r="E667" i="9"/>
  <c r="D667" i="9"/>
  <c r="I666" i="9"/>
  <c r="H666" i="9"/>
  <c r="G666" i="9"/>
  <c r="J666" i="9" s="1"/>
  <c r="F666" i="9"/>
  <c r="E666" i="9"/>
  <c r="D666" i="9"/>
  <c r="J665" i="9"/>
  <c r="H665" i="9"/>
  <c r="G665" i="9"/>
  <c r="F665" i="9"/>
  <c r="I665" i="9" s="1"/>
  <c r="E665" i="9"/>
  <c r="D665" i="9"/>
  <c r="I664" i="9"/>
  <c r="F664" i="9"/>
  <c r="E664" i="9"/>
  <c r="D664" i="9"/>
  <c r="I663" i="9"/>
  <c r="F663" i="9"/>
  <c r="E663" i="9"/>
  <c r="G663" i="9" s="1"/>
  <c r="J663" i="9" s="1"/>
  <c r="D663" i="9"/>
  <c r="I662" i="9"/>
  <c r="H662" i="9"/>
  <c r="F662" i="9"/>
  <c r="E662" i="9"/>
  <c r="D662" i="9"/>
  <c r="G662" i="9" s="1"/>
  <c r="J662" i="9" s="1"/>
  <c r="H661" i="9"/>
  <c r="G661" i="9"/>
  <c r="F661" i="9"/>
  <c r="I661" i="9" s="1"/>
  <c r="E661" i="9"/>
  <c r="D661" i="9"/>
  <c r="I660" i="9"/>
  <c r="F660" i="9"/>
  <c r="E660" i="9"/>
  <c r="D660" i="9"/>
  <c r="I659" i="9"/>
  <c r="H659" i="9"/>
  <c r="F659" i="9"/>
  <c r="E659" i="9"/>
  <c r="D659" i="9"/>
  <c r="I658" i="9"/>
  <c r="H658" i="9"/>
  <c r="F658" i="9"/>
  <c r="E658" i="9"/>
  <c r="D658" i="9"/>
  <c r="G658" i="9" s="1"/>
  <c r="J658" i="9" s="1"/>
  <c r="H657" i="9"/>
  <c r="G657" i="9"/>
  <c r="J657" i="9" s="1"/>
  <c r="F657" i="9"/>
  <c r="I657" i="9" s="1"/>
  <c r="E657" i="9"/>
  <c r="D657" i="9"/>
  <c r="I656" i="9"/>
  <c r="F656" i="9"/>
  <c r="E656" i="9"/>
  <c r="D656" i="9"/>
  <c r="I655" i="9"/>
  <c r="F655" i="9"/>
  <c r="E655" i="9"/>
  <c r="G655" i="9" s="1"/>
  <c r="J655" i="9" s="1"/>
  <c r="D655" i="9"/>
  <c r="I654" i="9"/>
  <c r="H654" i="9"/>
  <c r="G654" i="9"/>
  <c r="J654" i="9" s="1"/>
  <c r="F654" i="9"/>
  <c r="E654" i="9"/>
  <c r="D654" i="9"/>
  <c r="J653" i="9"/>
  <c r="H653" i="9"/>
  <c r="G653" i="9"/>
  <c r="F653" i="9"/>
  <c r="I653" i="9" s="1"/>
  <c r="E653" i="9"/>
  <c r="D653" i="9"/>
  <c r="F652" i="9"/>
  <c r="I652" i="9" s="1"/>
  <c r="E652" i="9"/>
  <c r="D652" i="9"/>
  <c r="I651" i="9"/>
  <c r="H651" i="9"/>
  <c r="F651" i="9"/>
  <c r="E651" i="9"/>
  <c r="D651" i="9"/>
  <c r="I650" i="9"/>
  <c r="H650" i="9"/>
  <c r="F650" i="9"/>
  <c r="E650" i="9"/>
  <c r="D650" i="9"/>
  <c r="G650" i="9" s="1"/>
  <c r="J650" i="9" s="1"/>
  <c r="H649" i="9"/>
  <c r="G649" i="9"/>
  <c r="J649" i="9" s="1"/>
  <c r="F649" i="9"/>
  <c r="I649" i="9" s="1"/>
  <c r="E649" i="9"/>
  <c r="D649" i="9"/>
  <c r="I648" i="9"/>
  <c r="F648" i="9"/>
  <c r="E648" i="9"/>
  <c r="D648" i="9"/>
  <c r="I647" i="9"/>
  <c r="F647" i="9"/>
  <c r="E647" i="9"/>
  <c r="G647" i="9" s="1"/>
  <c r="J647" i="9" s="1"/>
  <c r="D647" i="9"/>
  <c r="I646" i="9"/>
  <c r="H646" i="9"/>
  <c r="G646" i="9"/>
  <c r="J646" i="9" s="1"/>
  <c r="F646" i="9"/>
  <c r="E646" i="9"/>
  <c r="D646" i="9"/>
  <c r="J645" i="9"/>
  <c r="H645" i="9"/>
  <c r="G645" i="9"/>
  <c r="F645" i="9"/>
  <c r="I645" i="9" s="1"/>
  <c r="E645" i="9"/>
  <c r="D645" i="9"/>
  <c r="F644" i="9"/>
  <c r="I644" i="9" s="1"/>
  <c r="E644" i="9"/>
  <c r="D644" i="9"/>
  <c r="I643" i="9"/>
  <c r="H643" i="9"/>
  <c r="F643" i="9"/>
  <c r="E643" i="9"/>
  <c r="D643" i="9"/>
  <c r="I642" i="9"/>
  <c r="H642" i="9"/>
  <c r="F642" i="9"/>
  <c r="E642" i="9"/>
  <c r="D642" i="9"/>
  <c r="G642" i="9" s="1"/>
  <c r="J642" i="9" s="1"/>
  <c r="H641" i="9"/>
  <c r="G641" i="9"/>
  <c r="J641" i="9" s="1"/>
  <c r="F641" i="9"/>
  <c r="I641" i="9" s="1"/>
  <c r="E641" i="9"/>
  <c r="D641" i="9"/>
  <c r="I640" i="9"/>
  <c r="F640" i="9"/>
  <c r="E640" i="9"/>
  <c r="D640" i="9"/>
  <c r="I639" i="9"/>
  <c r="F639" i="9"/>
  <c r="E639" i="9"/>
  <c r="G639" i="9" s="1"/>
  <c r="J639" i="9" s="1"/>
  <c r="D639" i="9"/>
  <c r="I638" i="9"/>
  <c r="H638" i="9"/>
  <c r="G638" i="9"/>
  <c r="J638" i="9" s="1"/>
  <c r="F638" i="9"/>
  <c r="E638" i="9"/>
  <c r="D638" i="9"/>
  <c r="J637" i="9"/>
  <c r="H637" i="9"/>
  <c r="G637" i="9"/>
  <c r="F637" i="9"/>
  <c r="I637" i="9" s="1"/>
  <c r="E637" i="9"/>
  <c r="D637" i="9"/>
  <c r="F636" i="9"/>
  <c r="I636" i="9" s="1"/>
  <c r="E636" i="9"/>
  <c r="D636" i="9"/>
  <c r="I635" i="9"/>
  <c r="H635" i="9"/>
  <c r="F635" i="9"/>
  <c r="E635" i="9"/>
  <c r="D635" i="9"/>
  <c r="I634" i="9"/>
  <c r="H634" i="9"/>
  <c r="F634" i="9"/>
  <c r="E634" i="9"/>
  <c r="D634" i="9"/>
  <c r="G634" i="9" s="1"/>
  <c r="J634" i="9" s="1"/>
  <c r="H633" i="9"/>
  <c r="G633" i="9"/>
  <c r="J633" i="9" s="1"/>
  <c r="F633" i="9"/>
  <c r="I633" i="9" s="1"/>
  <c r="E633" i="9"/>
  <c r="D633" i="9"/>
  <c r="I632" i="9"/>
  <c r="F632" i="9"/>
  <c r="E632" i="9"/>
  <c r="D632" i="9"/>
  <c r="I631" i="9"/>
  <c r="F631" i="9"/>
  <c r="E631" i="9"/>
  <c r="G631" i="9" s="1"/>
  <c r="J631" i="9" s="1"/>
  <c r="D631" i="9"/>
  <c r="I630" i="9"/>
  <c r="H630" i="9"/>
  <c r="G630" i="9"/>
  <c r="J630" i="9" s="1"/>
  <c r="F630" i="9"/>
  <c r="E630" i="9"/>
  <c r="D630" i="9"/>
  <c r="J629" i="9"/>
  <c r="H629" i="9"/>
  <c r="G629" i="9"/>
  <c r="F629" i="9"/>
  <c r="I629" i="9" s="1"/>
  <c r="E629" i="9"/>
  <c r="D629" i="9"/>
  <c r="F628" i="9"/>
  <c r="I628" i="9" s="1"/>
  <c r="E628" i="9"/>
  <c r="D628" i="9"/>
  <c r="I627" i="9"/>
  <c r="H627" i="9"/>
  <c r="F627" i="9"/>
  <c r="E627" i="9"/>
  <c r="D627" i="9"/>
  <c r="I626" i="9"/>
  <c r="H626" i="9"/>
  <c r="F626" i="9"/>
  <c r="E626" i="9"/>
  <c r="D626" i="9"/>
  <c r="G626" i="9" s="1"/>
  <c r="J626" i="9" s="1"/>
  <c r="H625" i="9"/>
  <c r="G625" i="9"/>
  <c r="J625" i="9" s="1"/>
  <c r="F625" i="9"/>
  <c r="I625" i="9" s="1"/>
  <c r="E625" i="9"/>
  <c r="D625" i="9"/>
  <c r="I624" i="9"/>
  <c r="F624" i="9"/>
  <c r="E624" i="9"/>
  <c r="D624" i="9"/>
  <c r="I623" i="9"/>
  <c r="F623" i="9"/>
  <c r="E623" i="9"/>
  <c r="G623" i="9" s="1"/>
  <c r="J623" i="9" s="1"/>
  <c r="D623" i="9"/>
  <c r="I622" i="9"/>
  <c r="H622" i="9"/>
  <c r="G622" i="9"/>
  <c r="J622" i="9" s="1"/>
  <c r="F622" i="9"/>
  <c r="E622" i="9"/>
  <c r="D622" i="9"/>
  <c r="J621" i="9"/>
  <c r="H621" i="9"/>
  <c r="G621" i="9"/>
  <c r="F621" i="9"/>
  <c r="I621" i="9" s="1"/>
  <c r="E621" i="9"/>
  <c r="D621" i="9"/>
  <c r="F620" i="9"/>
  <c r="I620" i="9" s="1"/>
  <c r="E620" i="9"/>
  <c r="D620" i="9"/>
  <c r="I619" i="9"/>
  <c r="H619" i="9"/>
  <c r="F619" i="9"/>
  <c r="E619" i="9"/>
  <c r="D619" i="9"/>
  <c r="I618" i="9"/>
  <c r="H618" i="9"/>
  <c r="F618" i="9"/>
  <c r="E618" i="9"/>
  <c r="D618" i="9"/>
  <c r="G618" i="9" s="1"/>
  <c r="J618" i="9" s="1"/>
  <c r="H617" i="9"/>
  <c r="G617" i="9"/>
  <c r="J617" i="9" s="1"/>
  <c r="F617" i="9"/>
  <c r="I617" i="9" s="1"/>
  <c r="E617" i="9"/>
  <c r="D617" i="9"/>
  <c r="I616" i="9"/>
  <c r="F616" i="9"/>
  <c r="E616" i="9"/>
  <c r="D616" i="9"/>
  <c r="I615" i="9"/>
  <c r="F615" i="9"/>
  <c r="E615" i="9"/>
  <c r="G615" i="9" s="1"/>
  <c r="J615" i="9" s="1"/>
  <c r="D615" i="9"/>
  <c r="I614" i="9"/>
  <c r="H614" i="9"/>
  <c r="G614" i="9"/>
  <c r="J614" i="9" s="1"/>
  <c r="F614" i="9"/>
  <c r="E614" i="9"/>
  <c r="D614" i="9"/>
  <c r="J613" i="9"/>
  <c r="G613" i="9"/>
  <c r="F613" i="9"/>
  <c r="I613" i="9" s="1"/>
  <c r="E613" i="9"/>
  <c r="H613" i="9" s="1"/>
  <c r="D613" i="9"/>
  <c r="F612" i="9"/>
  <c r="I612" i="9" s="1"/>
  <c r="E612" i="9"/>
  <c r="D612" i="9"/>
  <c r="I611" i="9"/>
  <c r="H611" i="9"/>
  <c r="F611" i="9"/>
  <c r="E611" i="9"/>
  <c r="G611" i="9" s="1"/>
  <c r="J611" i="9" s="1"/>
  <c r="D611" i="9"/>
  <c r="H610" i="9"/>
  <c r="G610" i="9"/>
  <c r="J610" i="9" s="1"/>
  <c r="F610" i="9"/>
  <c r="I610" i="9" s="1"/>
  <c r="E610" i="9"/>
  <c r="D610" i="9"/>
  <c r="J609" i="9"/>
  <c r="G609" i="9"/>
  <c r="F609" i="9"/>
  <c r="I609" i="9" s="1"/>
  <c r="E609" i="9"/>
  <c r="H609" i="9" s="1"/>
  <c r="D609" i="9"/>
  <c r="F608" i="9"/>
  <c r="I608" i="9" s="1"/>
  <c r="E608" i="9"/>
  <c r="D608" i="9"/>
  <c r="I607" i="9"/>
  <c r="H607" i="9"/>
  <c r="F607" i="9"/>
  <c r="E607" i="9"/>
  <c r="G607" i="9" s="1"/>
  <c r="J607" i="9" s="1"/>
  <c r="D607" i="9"/>
  <c r="H606" i="9"/>
  <c r="G606" i="9"/>
  <c r="J606" i="9" s="1"/>
  <c r="F606" i="9"/>
  <c r="I606" i="9" s="1"/>
  <c r="E606" i="9"/>
  <c r="D606" i="9"/>
  <c r="J605" i="9"/>
  <c r="G605" i="9"/>
  <c r="F605" i="9"/>
  <c r="I605" i="9" s="1"/>
  <c r="E605" i="9"/>
  <c r="H605" i="9" s="1"/>
  <c r="D605" i="9"/>
  <c r="F604" i="9"/>
  <c r="I604" i="9" s="1"/>
  <c r="E604" i="9"/>
  <c r="D604" i="9"/>
  <c r="I603" i="9"/>
  <c r="H603" i="9"/>
  <c r="F603" i="9"/>
  <c r="E603" i="9"/>
  <c r="G603" i="9" s="1"/>
  <c r="J603" i="9" s="1"/>
  <c r="D603" i="9"/>
  <c r="H602" i="9"/>
  <c r="G602" i="9"/>
  <c r="J602" i="9" s="1"/>
  <c r="F602" i="9"/>
  <c r="I602" i="9" s="1"/>
  <c r="E602" i="9"/>
  <c r="D602" i="9"/>
  <c r="J601" i="9"/>
  <c r="G601" i="9"/>
  <c r="F601" i="9"/>
  <c r="I601" i="9" s="1"/>
  <c r="E601" i="9"/>
  <c r="H601" i="9" s="1"/>
  <c r="D601" i="9"/>
  <c r="F600" i="9"/>
  <c r="I600" i="9" s="1"/>
  <c r="E600" i="9"/>
  <c r="D600" i="9"/>
  <c r="I599" i="9"/>
  <c r="H599" i="9"/>
  <c r="F599" i="9"/>
  <c r="E599" i="9"/>
  <c r="G599" i="9" s="1"/>
  <c r="J599" i="9" s="1"/>
  <c r="D599" i="9"/>
  <c r="H598" i="9"/>
  <c r="G598" i="9"/>
  <c r="J598" i="9" s="1"/>
  <c r="F598" i="9"/>
  <c r="I598" i="9" s="1"/>
  <c r="E598" i="9"/>
  <c r="D598" i="9"/>
  <c r="J597" i="9"/>
  <c r="G597" i="9"/>
  <c r="F597" i="9"/>
  <c r="I597" i="9" s="1"/>
  <c r="E597" i="9"/>
  <c r="H597" i="9" s="1"/>
  <c r="D597" i="9"/>
  <c r="F596" i="9"/>
  <c r="I596" i="9" s="1"/>
  <c r="E596" i="9"/>
  <c r="D596" i="9"/>
  <c r="I595" i="9"/>
  <c r="H595" i="9"/>
  <c r="F595" i="9"/>
  <c r="E595" i="9"/>
  <c r="G595" i="9" s="1"/>
  <c r="J595" i="9" s="1"/>
  <c r="D595" i="9"/>
  <c r="H594" i="9"/>
  <c r="G594" i="9"/>
  <c r="J594" i="9" s="1"/>
  <c r="F594" i="9"/>
  <c r="I594" i="9" s="1"/>
  <c r="E594" i="9"/>
  <c r="D594" i="9"/>
  <c r="J593" i="9"/>
  <c r="G593" i="9"/>
  <c r="F593" i="9"/>
  <c r="I593" i="9" s="1"/>
  <c r="E593" i="9"/>
  <c r="H593" i="9" s="1"/>
  <c r="D593" i="9"/>
  <c r="F592" i="9"/>
  <c r="I592" i="9" s="1"/>
  <c r="E592" i="9"/>
  <c r="D592" i="9"/>
  <c r="I591" i="9"/>
  <c r="H591" i="9"/>
  <c r="F591" i="9"/>
  <c r="E591" i="9"/>
  <c r="G591" i="9" s="1"/>
  <c r="J591" i="9" s="1"/>
  <c r="D591" i="9"/>
  <c r="H590" i="9"/>
  <c r="G590" i="9"/>
  <c r="J590" i="9" s="1"/>
  <c r="F590" i="9"/>
  <c r="I590" i="9" s="1"/>
  <c r="E590" i="9"/>
  <c r="D590" i="9"/>
  <c r="J589" i="9"/>
  <c r="G589" i="9"/>
  <c r="F589" i="9"/>
  <c r="I589" i="9" s="1"/>
  <c r="E589" i="9"/>
  <c r="H589" i="9" s="1"/>
  <c r="D589" i="9"/>
  <c r="F588" i="9"/>
  <c r="I588" i="9" s="1"/>
  <c r="E588" i="9"/>
  <c r="D588" i="9"/>
  <c r="I587" i="9"/>
  <c r="H587" i="9"/>
  <c r="F587" i="9"/>
  <c r="E587" i="9"/>
  <c r="G587" i="9" s="1"/>
  <c r="J587" i="9" s="1"/>
  <c r="D587" i="9"/>
  <c r="H586" i="9"/>
  <c r="G586" i="9"/>
  <c r="J586" i="9" s="1"/>
  <c r="F586" i="9"/>
  <c r="I586" i="9" s="1"/>
  <c r="E586" i="9"/>
  <c r="D586" i="9"/>
  <c r="J585" i="9"/>
  <c r="G585" i="9"/>
  <c r="F585" i="9"/>
  <c r="I585" i="9" s="1"/>
  <c r="E585" i="9"/>
  <c r="H585" i="9" s="1"/>
  <c r="D585" i="9"/>
  <c r="F584" i="9"/>
  <c r="I584" i="9" s="1"/>
  <c r="E584" i="9"/>
  <c r="D584" i="9"/>
  <c r="I583" i="9"/>
  <c r="H583" i="9"/>
  <c r="F583" i="9"/>
  <c r="E583" i="9"/>
  <c r="G583" i="9" s="1"/>
  <c r="J583" i="9" s="1"/>
  <c r="D583" i="9"/>
  <c r="H582" i="9"/>
  <c r="F582" i="9"/>
  <c r="I582" i="9" s="1"/>
  <c r="E582" i="9"/>
  <c r="D582" i="9"/>
  <c r="G582" i="9" s="1"/>
  <c r="J582" i="9" s="1"/>
  <c r="J581" i="9"/>
  <c r="G581" i="9"/>
  <c r="F581" i="9"/>
  <c r="I581" i="9" s="1"/>
  <c r="E581" i="9"/>
  <c r="H581" i="9" s="1"/>
  <c r="D581" i="9"/>
  <c r="F580" i="9"/>
  <c r="I580" i="9" s="1"/>
  <c r="E580" i="9"/>
  <c r="D580" i="9"/>
  <c r="I579" i="9"/>
  <c r="H579" i="9"/>
  <c r="F579" i="9"/>
  <c r="E579" i="9"/>
  <c r="G579" i="9" s="1"/>
  <c r="J579" i="9" s="1"/>
  <c r="D579" i="9"/>
  <c r="H578" i="9"/>
  <c r="G578" i="9"/>
  <c r="J578" i="9" s="1"/>
  <c r="F578" i="9"/>
  <c r="I578" i="9" s="1"/>
  <c r="E578" i="9"/>
  <c r="D578" i="9"/>
  <c r="J577" i="9"/>
  <c r="G577" i="9"/>
  <c r="F577" i="9"/>
  <c r="I577" i="9" s="1"/>
  <c r="E577" i="9"/>
  <c r="H577" i="9" s="1"/>
  <c r="D577" i="9"/>
  <c r="F576" i="9"/>
  <c r="I576" i="9" s="1"/>
  <c r="E576" i="9"/>
  <c r="D576" i="9"/>
  <c r="I575" i="9"/>
  <c r="H575" i="9"/>
  <c r="F575" i="9"/>
  <c r="E575" i="9"/>
  <c r="G575" i="9" s="1"/>
  <c r="J575" i="9" s="1"/>
  <c r="D575" i="9"/>
  <c r="H574" i="9"/>
  <c r="F574" i="9"/>
  <c r="I574" i="9" s="1"/>
  <c r="E574" i="9"/>
  <c r="D574" i="9"/>
  <c r="G574" i="9" s="1"/>
  <c r="J574" i="9" s="1"/>
  <c r="G573" i="9"/>
  <c r="F573" i="9"/>
  <c r="I573" i="9" s="1"/>
  <c r="E573" i="9"/>
  <c r="H573" i="9" s="1"/>
  <c r="D573" i="9"/>
  <c r="I572" i="9"/>
  <c r="F572" i="9"/>
  <c r="E572" i="9"/>
  <c r="D572" i="9"/>
  <c r="H571" i="9"/>
  <c r="G571" i="9"/>
  <c r="J571" i="9" s="1"/>
  <c r="F571" i="9"/>
  <c r="I571" i="9" s="1"/>
  <c r="E571" i="9"/>
  <c r="D571" i="9"/>
  <c r="J570" i="9"/>
  <c r="G570" i="9"/>
  <c r="F570" i="9"/>
  <c r="I570" i="9" s="1"/>
  <c r="E570" i="9"/>
  <c r="H570" i="9" s="1"/>
  <c r="D570" i="9"/>
  <c r="F569" i="9"/>
  <c r="I569" i="9" s="1"/>
  <c r="E569" i="9"/>
  <c r="D569" i="9"/>
  <c r="I568" i="9"/>
  <c r="H568" i="9"/>
  <c r="F568" i="9"/>
  <c r="E568" i="9"/>
  <c r="G568" i="9" s="1"/>
  <c r="J568" i="9" s="1"/>
  <c r="D568" i="9"/>
  <c r="H567" i="9"/>
  <c r="G567" i="9"/>
  <c r="J567" i="9" s="1"/>
  <c r="F567" i="9"/>
  <c r="I567" i="9" s="1"/>
  <c r="E567" i="9"/>
  <c r="D567" i="9"/>
  <c r="J566" i="9"/>
  <c r="G566" i="9"/>
  <c r="F566" i="9"/>
  <c r="I566" i="9" s="1"/>
  <c r="E566" i="9"/>
  <c r="H566" i="9" s="1"/>
  <c r="D566" i="9"/>
  <c r="F565" i="9"/>
  <c r="I565" i="9" s="1"/>
  <c r="E565" i="9"/>
  <c r="D565" i="9"/>
  <c r="I564" i="9"/>
  <c r="H564" i="9"/>
  <c r="F564" i="9"/>
  <c r="E564" i="9"/>
  <c r="G564" i="9" s="1"/>
  <c r="J564" i="9" s="1"/>
  <c r="D564" i="9"/>
  <c r="H563" i="9"/>
  <c r="G563" i="9"/>
  <c r="J563" i="9" s="1"/>
  <c r="F563" i="9"/>
  <c r="I563" i="9" s="1"/>
  <c r="E563" i="9"/>
  <c r="D563" i="9"/>
  <c r="J562" i="9"/>
  <c r="G562" i="9"/>
  <c r="F562" i="9"/>
  <c r="I562" i="9" s="1"/>
  <c r="E562" i="9"/>
  <c r="H562" i="9" s="1"/>
  <c r="D562" i="9"/>
  <c r="F561" i="9"/>
  <c r="I561" i="9" s="1"/>
  <c r="E561" i="9"/>
  <c r="D561" i="9"/>
  <c r="I560" i="9"/>
  <c r="H560" i="9"/>
  <c r="F560" i="9"/>
  <c r="E560" i="9"/>
  <c r="G560" i="9" s="1"/>
  <c r="J560" i="9" s="1"/>
  <c r="D560" i="9"/>
  <c r="H559" i="9"/>
  <c r="G559" i="9"/>
  <c r="J559" i="9" s="1"/>
  <c r="F559" i="9"/>
  <c r="I559" i="9" s="1"/>
  <c r="E559" i="9"/>
  <c r="D559" i="9"/>
  <c r="J558" i="9"/>
  <c r="G558" i="9"/>
  <c r="F558" i="9"/>
  <c r="I558" i="9" s="1"/>
  <c r="E558" i="9"/>
  <c r="H558" i="9" s="1"/>
  <c r="D558" i="9"/>
  <c r="F557" i="9"/>
  <c r="I557" i="9" s="1"/>
  <c r="E557" i="9"/>
  <c r="D557" i="9"/>
  <c r="I556" i="9"/>
  <c r="H556" i="9"/>
  <c r="F556" i="9"/>
  <c r="E556" i="9"/>
  <c r="G556" i="9" s="1"/>
  <c r="J556" i="9" s="1"/>
  <c r="D556" i="9"/>
  <c r="H555" i="9"/>
  <c r="G555" i="9"/>
  <c r="J555" i="9" s="1"/>
  <c r="F555" i="9"/>
  <c r="I555" i="9" s="1"/>
  <c r="E555" i="9"/>
  <c r="D555" i="9"/>
  <c r="J554" i="9"/>
  <c r="G554" i="9"/>
  <c r="F554" i="9"/>
  <c r="I554" i="9" s="1"/>
  <c r="E554" i="9"/>
  <c r="H554" i="9" s="1"/>
  <c r="D554" i="9"/>
  <c r="F553" i="9"/>
  <c r="I553" i="9" s="1"/>
  <c r="E553" i="9"/>
  <c r="D553" i="9"/>
  <c r="I552" i="9"/>
  <c r="H552" i="9"/>
  <c r="F552" i="9"/>
  <c r="E552" i="9"/>
  <c r="G552" i="9" s="1"/>
  <c r="J552" i="9" s="1"/>
  <c r="D552" i="9"/>
  <c r="H551" i="9"/>
  <c r="G551" i="9"/>
  <c r="J551" i="9" s="1"/>
  <c r="F551" i="9"/>
  <c r="I551" i="9" s="1"/>
  <c r="E551" i="9"/>
  <c r="D551" i="9"/>
  <c r="J550" i="9"/>
  <c r="G550" i="9"/>
  <c r="F550" i="9"/>
  <c r="I550" i="9" s="1"/>
  <c r="E550" i="9"/>
  <c r="H550" i="9" s="1"/>
  <c r="D550" i="9"/>
  <c r="F549" i="9"/>
  <c r="I549" i="9" s="1"/>
  <c r="E549" i="9"/>
  <c r="D549" i="9"/>
  <c r="I548" i="9"/>
  <c r="H548" i="9"/>
  <c r="F548" i="9"/>
  <c r="E548" i="9"/>
  <c r="G548" i="9" s="1"/>
  <c r="J548" i="9" s="1"/>
  <c r="D548" i="9"/>
  <c r="H547" i="9"/>
  <c r="G547" i="9"/>
  <c r="J547" i="9" s="1"/>
  <c r="F547" i="9"/>
  <c r="I547" i="9" s="1"/>
  <c r="E547" i="9"/>
  <c r="D547" i="9"/>
  <c r="J546" i="9"/>
  <c r="G546" i="9"/>
  <c r="F546" i="9"/>
  <c r="I546" i="9" s="1"/>
  <c r="E546" i="9"/>
  <c r="H546" i="9" s="1"/>
  <c r="D546" i="9"/>
  <c r="F545" i="9"/>
  <c r="I545" i="9" s="1"/>
  <c r="E545" i="9"/>
  <c r="D545" i="9"/>
  <c r="I544" i="9"/>
  <c r="H544" i="9"/>
  <c r="F544" i="9"/>
  <c r="E544" i="9"/>
  <c r="G544" i="9" s="1"/>
  <c r="J544" i="9" s="1"/>
  <c r="D544" i="9"/>
  <c r="H543" i="9"/>
  <c r="G543" i="9"/>
  <c r="J543" i="9" s="1"/>
  <c r="F543" i="9"/>
  <c r="I543" i="9" s="1"/>
  <c r="E543" i="9"/>
  <c r="D543" i="9"/>
  <c r="J542" i="9"/>
  <c r="G542" i="9"/>
  <c r="F542" i="9"/>
  <c r="I542" i="9" s="1"/>
  <c r="E542" i="9"/>
  <c r="H542" i="9" s="1"/>
  <c r="D542" i="9"/>
  <c r="F541" i="9"/>
  <c r="I541" i="9" s="1"/>
  <c r="E541" i="9"/>
  <c r="D541" i="9"/>
  <c r="I540" i="9"/>
  <c r="H540" i="9"/>
  <c r="F540" i="9"/>
  <c r="E540" i="9"/>
  <c r="G540" i="9" s="1"/>
  <c r="J540" i="9" s="1"/>
  <c r="D540" i="9"/>
  <c r="H539" i="9"/>
  <c r="G539" i="9"/>
  <c r="J539" i="9" s="1"/>
  <c r="F539" i="9"/>
  <c r="I539" i="9" s="1"/>
  <c r="E539" i="9"/>
  <c r="D539" i="9"/>
  <c r="J538" i="9"/>
  <c r="G538" i="9"/>
  <c r="F538" i="9"/>
  <c r="I538" i="9" s="1"/>
  <c r="E538" i="9"/>
  <c r="H538" i="9" s="1"/>
  <c r="D538" i="9"/>
  <c r="F537" i="9"/>
  <c r="I537" i="9" s="1"/>
  <c r="E537" i="9"/>
  <c r="D537" i="9"/>
  <c r="I536" i="9"/>
  <c r="H536" i="9"/>
  <c r="F536" i="9"/>
  <c r="E536" i="9"/>
  <c r="G536" i="9" s="1"/>
  <c r="J536" i="9" s="1"/>
  <c r="D536" i="9"/>
  <c r="H535" i="9"/>
  <c r="G535" i="9"/>
  <c r="J535" i="9" s="1"/>
  <c r="F535" i="9"/>
  <c r="I535" i="9" s="1"/>
  <c r="E535" i="9"/>
  <c r="D535" i="9"/>
  <c r="J534" i="9"/>
  <c r="G534" i="9"/>
  <c r="F534" i="9"/>
  <c r="I534" i="9" s="1"/>
  <c r="E534" i="9"/>
  <c r="H534" i="9" s="1"/>
  <c r="D534" i="9"/>
  <c r="F533" i="9"/>
  <c r="I533" i="9" s="1"/>
  <c r="E533" i="9"/>
  <c r="D533" i="9"/>
  <c r="I532" i="9"/>
  <c r="H532" i="9"/>
  <c r="F532" i="9"/>
  <c r="E532" i="9"/>
  <c r="G532" i="9" s="1"/>
  <c r="J532" i="9" s="1"/>
  <c r="D532" i="9"/>
  <c r="H531" i="9"/>
  <c r="G531" i="9"/>
  <c r="J531" i="9" s="1"/>
  <c r="F531" i="9"/>
  <c r="I531" i="9" s="1"/>
  <c r="E531" i="9"/>
  <c r="D531" i="9"/>
  <c r="J530" i="9"/>
  <c r="G530" i="9"/>
  <c r="F530" i="9"/>
  <c r="I530" i="9" s="1"/>
  <c r="E530" i="9"/>
  <c r="H530" i="9" s="1"/>
  <c r="D530" i="9"/>
  <c r="F529" i="9"/>
  <c r="I529" i="9" s="1"/>
  <c r="E529" i="9"/>
  <c r="D529" i="9"/>
  <c r="I528" i="9"/>
  <c r="H528" i="9"/>
  <c r="F528" i="9"/>
  <c r="E528" i="9"/>
  <c r="G528" i="9" s="1"/>
  <c r="J528" i="9" s="1"/>
  <c r="D528" i="9"/>
  <c r="H527" i="9"/>
  <c r="G527" i="9"/>
  <c r="J527" i="9" s="1"/>
  <c r="F527" i="9"/>
  <c r="I527" i="9" s="1"/>
  <c r="E527" i="9"/>
  <c r="D527" i="9"/>
  <c r="J526" i="9"/>
  <c r="G526" i="9"/>
  <c r="F526" i="9"/>
  <c r="I526" i="9" s="1"/>
  <c r="E526" i="9"/>
  <c r="H526" i="9" s="1"/>
  <c r="D526" i="9"/>
  <c r="F525" i="9"/>
  <c r="I525" i="9" s="1"/>
  <c r="E525" i="9"/>
  <c r="D525" i="9"/>
  <c r="I524" i="9"/>
  <c r="H524" i="9"/>
  <c r="F524" i="9"/>
  <c r="E524" i="9"/>
  <c r="G524" i="9" s="1"/>
  <c r="J524" i="9" s="1"/>
  <c r="D524" i="9"/>
  <c r="H523" i="9"/>
  <c r="G523" i="9"/>
  <c r="J523" i="9" s="1"/>
  <c r="F523" i="9"/>
  <c r="I523" i="9" s="1"/>
  <c r="E523" i="9"/>
  <c r="D523" i="9"/>
  <c r="J522" i="9"/>
  <c r="G522" i="9"/>
  <c r="F522" i="9"/>
  <c r="I522" i="9" s="1"/>
  <c r="E522" i="9"/>
  <c r="H522" i="9" s="1"/>
  <c r="D522" i="9"/>
  <c r="F521" i="9"/>
  <c r="I521" i="9" s="1"/>
  <c r="E521" i="9"/>
  <c r="D521" i="9"/>
  <c r="I520" i="9"/>
  <c r="H520" i="9"/>
  <c r="G520" i="9"/>
  <c r="J520" i="9" s="1"/>
  <c r="F520" i="9"/>
  <c r="E520" i="9"/>
  <c r="D520" i="9"/>
  <c r="H519" i="9"/>
  <c r="F519" i="9"/>
  <c r="I519" i="9" s="1"/>
  <c r="E519" i="9"/>
  <c r="D519" i="9"/>
  <c r="G519" i="9" s="1"/>
  <c r="J519" i="9" s="1"/>
  <c r="I518" i="9"/>
  <c r="G518" i="9"/>
  <c r="J518" i="9" s="1"/>
  <c r="F518" i="9"/>
  <c r="E518" i="9"/>
  <c r="H518" i="9" s="1"/>
  <c r="D518" i="9"/>
  <c r="F517" i="9"/>
  <c r="I517" i="9" s="1"/>
  <c r="E517" i="9"/>
  <c r="G517" i="9" s="1"/>
  <c r="J517" i="9" s="1"/>
  <c r="D517" i="9"/>
  <c r="I516" i="9"/>
  <c r="H516" i="9"/>
  <c r="G516" i="9"/>
  <c r="J516" i="9" s="1"/>
  <c r="F516" i="9"/>
  <c r="E516" i="9"/>
  <c r="D516" i="9"/>
  <c r="H515" i="9"/>
  <c r="F515" i="9"/>
  <c r="I515" i="9" s="1"/>
  <c r="E515" i="9"/>
  <c r="D515" i="9"/>
  <c r="G515" i="9" s="1"/>
  <c r="J515" i="9" s="1"/>
  <c r="I514" i="9"/>
  <c r="G514" i="9"/>
  <c r="J514" i="9" s="1"/>
  <c r="F514" i="9"/>
  <c r="E514" i="9"/>
  <c r="H514" i="9" s="1"/>
  <c r="D514" i="9"/>
  <c r="F513" i="9"/>
  <c r="I513" i="9" s="1"/>
  <c r="E513" i="9"/>
  <c r="G513" i="9" s="1"/>
  <c r="J513" i="9" s="1"/>
  <c r="D513" i="9"/>
  <c r="I512" i="9"/>
  <c r="H512" i="9"/>
  <c r="G512" i="9"/>
  <c r="J512" i="9" s="1"/>
  <c r="F512" i="9"/>
  <c r="E512" i="9"/>
  <c r="D512" i="9"/>
  <c r="H511" i="9"/>
  <c r="F511" i="9"/>
  <c r="I511" i="9" s="1"/>
  <c r="E511" i="9"/>
  <c r="D511" i="9"/>
  <c r="G511" i="9" s="1"/>
  <c r="J511" i="9" s="1"/>
  <c r="I510" i="9"/>
  <c r="G510" i="9"/>
  <c r="J510" i="9" s="1"/>
  <c r="F510" i="9"/>
  <c r="E510" i="9"/>
  <c r="H510" i="9" s="1"/>
  <c r="D510" i="9"/>
  <c r="F509" i="9"/>
  <c r="I509" i="9" s="1"/>
  <c r="E509" i="9"/>
  <c r="G509" i="9" s="1"/>
  <c r="J509" i="9" s="1"/>
  <c r="D509" i="9"/>
  <c r="I508" i="9"/>
  <c r="H508" i="9"/>
  <c r="G508" i="9"/>
  <c r="J508" i="9" s="1"/>
  <c r="F508" i="9"/>
  <c r="E508" i="9"/>
  <c r="D508" i="9"/>
  <c r="H507" i="9"/>
  <c r="F507" i="9"/>
  <c r="I507" i="9" s="1"/>
  <c r="E507" i="9"/>
  <c r="D507" i="9"/>
  <c r="G507" i="9" s="1"/>
  <c r="J507" i="9" s="1"/>
  <c r="I506" i="9"/>
  <c r="G506" i="9"/>
  <c r="J506" i="9" s="1"/>
  <c r="F506" i="9"/>
  <c r="E506" i="9"/>
  <c r="H506" i="9" s="1"/>
  <c r="D506" i="9"/>
  <c r="F505" i="9"/>
  <c r="I505" i="9" s="1"/>
  <c r="E505" i="9"/>
  <c r="G505" i="9" s="1"/>
  <c r="J505" i="9" s="1"/>
  <c r="D505" i="9"/>
  <c r="I504" i="9"/>
  <c r="H504" i="9"/>
  <c r="G504" i="9"/>
  <c r="J504" i="9" s="1"/>
  <c r="F504" i="9"/>
  <c r="E504" i="9"/>
  <c r="D504" i="9"/>
  <c r="H503" i="9"/>
  <c r="F503" i="9"/>
  <c r="I503" i="9" s="1"/>
  <c r="E503" i="9"/>
  <c r="D503" i="9"/>
  <c r="G503" i="9" s="1"/>
  <c r="J503" i="9" s="1"/>
  <c r="I502" i="9"/>
  <c r="G502" i="9"/>
  <c r="J502" i="9" s="1"/>
  <c r="F502" i="9"/>
  <c r="E502" i="9"/>
  <c r="H502" i="9" s="1"/>
  <c r="D502" i="9"/>
  <c r="F501" i="9"/>
  <c r="I501" i="9" s="1"/>
  <c r="E501" i="9"/>
  <c r="G501" i="9" s="1"/>
  <c r="J501" i="9" s="1"/>
  <c r="D501" i="9"/>
  <c r="I500" i="9"/>
  <c r="H500" i="9"/>
  <c r="G500" i="9"/>
  <c r="J500" i="9" s="1"/>
  <c r="F500" i="9"/>
  <c r="E500" i="9"/>
  <c r="D500" i="9"/>
  <c r="H499" i="9"/>
  <c r="F499" i="9"/>
  <c r="I499" i="9" s="1"/>
  <c r="E499" i="9"/>
  <c r="D499" i="9"/>
  <c r="G499" i="9" s="1"/>
  <c r="J499" i="9" s="1"/>
  <c r="I498" i="9"/>
  <c r="G498" i="9"/>
  <c r="J498" i="9" s="1"/>
  <c r="F498" i="9"/>
  <c r="E498" i="9"/>
  <c r="H498" i="9" s="1"/>
  <c r="D498" i="9"/>
  <c r="F497" i="9"/>
  <c r="I497" i="9" s="1"/>
  <c r="E497" i="9"/>
  <c r="G497" i="9" s="1"/>
  <c r="J497" i="9" s="1"/>
  <c r="D497" i="9"/>
  <c r="I496" i="9"/>
  <c r="H496" i="9"/>
  <c r="G496" i="9"/>
  <c r="J496" i="9" s="1"/>
  <c r="F496" i="9"/>
  <c r="E496" i="9"/>
  <c r="D496" i="9"/>
  <c r="H495" i="9"/>
  <c r="F495" i="9"/>
  <c r="I495" i="9" s="1"/>
  <c r="E495" i="9"/>
  <c r="D495" i="9"/>
  <c r="G495" i="9" s="1"/>
  <c r="J495" i="9" s="1"/>
  <c r="I494" i="9"/>
  <c r="G494" i="9"/>
  <c r="J494" i="9" s="1"/>
  <c r="F494" i="9"/>
  <c r="E494" i="9"/>
  <c r="H494" i="9" s="1"/>
  <c r="D494" i="9"/>
  <c r="F493" i="9"/>
  <c r="I493" i="9" s="1"/>
  <c r="E493" i="9"/>
  <c r="G493" i="9" s="1"/>
  <c r="J493" i="9" s="1"/>
  <c r="D493" i="9"/>
  <c r="I492" i="9"/>
  <c r="H492" i="9"/>
  <c r="G492" i="9"/>
  <c r="J492" i="9" s="1"/>
  <c r="F492" i="9"/>
  <c r="E492" i="9"/>
  <c r="D492" i="9"/>
  <c r="H491" i="9"/>
  <c r="F491" i="9"/>
  <c r="I491" i="9" s="1"/>
  <c r="E491" i="9"/>
  <c r="D491" i="9"/>
  <c r="G491" i="9" s="1"/>
  <c r="J491" i="9" s="1"/>
  <c r="I490" i="9"/>
  <c r="G490" i="9"/>
  <c r="J490" i="9" s="1"/>
  <c r="F490" i="9"/>
  <c r="E490" i="9"/>
  <c r="H490" i="9" s="1"/>
  <c r="D490" i="9"/>
  <c r="F489" i="9"/>
  <c r="I489" i="9" s="1"/>
  <c r="E489" i="9"/>
  <c r="G489" i="9" s="1"/>
  <c r="J489" i="9" s="1"/>
  <c r="D489" i="9"/>
  <c r="I488" i="9"/>
  <c r="H488" i="9"/>
  <c r="G488" i="9"/>
  <c r="J488" i="9" s="1"/>
  <c r="F488" i="9"/>
  <c r="E488" i="9"/>
  <c r="D488" i="9"/>
  <c r="H487" i="9"/>
  <c r="F487" i="9"/>
  <c r="I487" i="9" s="1"/>
  <c r="E487" i="9"/>
  <c r="D487" i="9"/>
  <c r="G487" i="9" s="1"/>
  <c r="J487" i="9" s="1"/>
  <c r="I486" i="9"/>
  <c r="G486" i="9"/>
  <c r="J486" i="9" s="1"/>
  <c r="F486" i="9"/>
  <c r="E486" i="9"/>
  <c r="H486" i="9" s="1"/>
  <c r="D486" i="9"/>
  <c r="F485" i="9"/>
  <c r="I485" i="9" s="1"/>
  <c r="E485" i="9"/>
  <c r="G485" i="9" s="1"/>
  <c r="J485" i="9" s="1"/>
  <c r="D485" i="9"/>
  <c r="I484" i="9"/>
  <c r="H484" i="9"/>
  <c r="G484" i="9"/>
  <c r="J484" i="9" s="1"/>
  <c r="F484" i="9"/>
  <c r="E484" i="9"/>
  <c r="D484" i="9"/>
  <c r="H483" i="9"/>
  <c r="F483" i="9"/>
  <c r="I483" i="9" s="1"/>
  <c r="E483" i="9"/>
  <c r="D483" i="9"/>
  <c r="G483" i="9" s="1"/>
  <c r="J483" i="9" s="1"/>
  <c r="I482" i="9"/>
  <c r="G482" i="9"/>
  <c r="J482" i="9" s="1"/>
  <c r="F482" i="9"/>
  <c r="E482" i="9"/>
  <c r="H482" i="9" s="1"/>
  <c r="D482" i="9"/>
  <c r="F481" i="9"/>
  <c r="I481" i="9" s="1"/>
  <c r="E481" i="9"/>
  <c r="G481" i="9" s="1"/>
  <c r="J481" i="9" s="1"/>
  <c r="D481" i="9"/>
  <c r="I480" i="9"/>
  <c r="H480" i="9"/>
  <c r="G480" i="9"/>
  <c r="J480" i="9" s="1"/>
  <c r="F480" i="9"/>
  <c r="E480" i="9"/>
  <c r="D480" i="9"/>
  <c r="H479" i="9"/>
  <c r="F479" i="9"/>
  <c r="I479" i="9" s="1"/>
  <c r="E479" i="9"/>
  <c r="D479" i="9"/>
  <c r="G479" i="9" s="1"/>
  <c r="J479" i="9" s="1"/>
  <c r="I478" i="9"/>
  <c r="G478" i="9"/>
  <c r="J478" i="9" s="1"/>
  <c r="F478" i="9"/>
  <c r="E478" i="9"/>
  <c r="H478" i="9" s="1"/>
  <c r="D478" i="9"/>
  <c r="F477" i="9"/>
  <c r="I477" i="9" s="1"/>
  <c r="E477" i="9"/>
  <c r="G477" i="9" s="1"/>
  <c r="J477" i="9" s="1"/>
  <c r="D477" i="9"/>
  <c r="I476" i="9"/>
  <c r="H476" i="9"/>
  <c r="G476" i="9"/>
  <c r="J476" i="9" s="1"/>
  <c r="F476" i="9"/>
  <c r="E476" i="9"/>
  <c r="D476" i="9"/>
  <c r="H475" i="9"/>
  <c r="F475" i="9"/>
  <c r="I475" i="9" s="1"/>
  <c r="E475" i="9"/>
  <c r="D475" i="9"/>
  <c r="G475" i="9" s="1"/>
  <c r="J475" i="9" s="1"/>
  <c r="I474" i="9"/>
  <c r="G474" i="9"/>
  <c r="J474" i="9" s="1"/>
  <c r="F474" i="9"/>
  <c r="E474" i="9"/>
  <c r="H474" i="9" s="1"/>
  <c r="D474" i="9"/>
  <c r="F473" i="9"/>
  <c r="I473" i="9" s="1"/>
  <c r="E473" i="9"/>
  <c r="G473" i="9" s="1"/>
  <c r="J473" i="9" s="1"/>
  <c r="D473" i="9"/>
  <c r="I472" i="9"/>
  <c r="H472" i="9"/>
  <c r="G472" i="9"/>
  <c r="J472" i="9" s="1"/>
  <c r="F472" i="9"/>
  <c r="E472" i="9"/>
  <c r="D472" i="9"/>
  <c r="H471" i="9"/>
  <c r="F471" i="9"/>
  <c r="I471" i="9" s="1"/>
  <c r="E471" i="9"/>
  <c r="D471" i="9"/>
  <c r="G471" i="9" s="1"/>
  <c r="J471" i="9" s="1"/>
  <c r="I470" i="9"/>
  <c r="G470" i="9"/>
  <c r="J470" i="9" s="1"/>
  <c r="F470" i="9"/>
  <c r="E470" i="9"/>
  <c r="H470" i="9" s="1"/>
  <c r="D470" i="9"/>
  <c r="F469" i="9"/>
  <c r="I469" i="9" s="1"/>
  <c r="E469" i="9"/>
  <c r="G469" i="9" s="1"/>
  <c r="J469" i="9" s="1"/>
  <c r="D469" i="9"/>
  <c r="I468" i="9"/>
  <c r="H468" i="9"/>
  <c r="G468" i="9"/>
  <c r="J468" i="9" s="1"/>
  <c r="F468" i="9"/>
  <c r="E468" i="9"/>
  <c r="D468" i="9"/>
  <c r="H467" i="9"/>
  <c r="F467" i="9"/>
  <c r="I467" i="9" s="1"/>
  <c r="E467" i="9"/>
  <c r="D467" i="9"/>
  <c r="G467" i="9" s="1"/>
  <c r="J467" i="9" s="1"/>
  <c r="I466" i="9"/>
  <c r="G466" i="9"/>
  <c r="J466" i="9" s="1"/>
  <c r="F466" i="9"/>
  <c r="E466" i="9"/>
  <c r="H466" i="9" s="1"/>
  <c r="D466" i="9"/>
  <c r="F465" i="9"/>
  <c r="I465" i="9" s="1"/>
  <c r="E465" i="9"/>
  <c r="G465" i="9" s="1"/>
  <c r="J465" i="9" s="1"/>
  <c r="D465" i="9"/>
  <c r="I464" i="9"/>
  <c r="H464" i="9"/>
  <c r="G464" i="9"/>
  <c r="J464" i="9" s="1"/>
  <c r="F464" i="9"/>
  <c r="E464" i="9"/>
  <c r="D464" i="9"/>
  <c r="H463" i="9"/>
  <c r="F463" i="9"/>
  <c r="I463" i="9" s="1"/>
  <c r="E463" i="9"/>
  <c r="D463" i="9"/>
  <c r="G463" i="9" s="1"/>
  <c r="J463" i="9" s="1"/>
  <c r="I462" i="9"/>
  <c r="G462" i="9"/>
  <c r="J462" i="9" s="1"/>
  <c r="F462" i="9"/>
  <c r="E462" i="9"/>
  <c r="H462" i="9" s="1"/>
  <c r="D462" i="9"/>
  <c r="F461" i="9"/>
  <c r="I461" i="9" s="1"/>
  <c r="E461" i="9"/>
  <c r="G461" i="9" s="1"/>
  <c r="J461" i="9" s="1"/>
  <c r="D461" i="9"/>
  <c r="I460" i="9"/>
  <c r="H460" i="9"/>
  <c r="G460" i="9"/>
  <c r="J460" i="9" s="1"/>
  <c r="F460" i="9"/>
  <c r="E460" i="9"/>
  <c r="D460" i="9"/>
  <c r="H459" i="9"/>
  <c r="F459" i="9"/>
  <c r="I459" i="9" s="1"/>
  <c r="E459" i="9"/>
  <c r="D459" i="9"/>
  <c r="G459" i="9" s="1"/>
  <c r="J459" i="9" s="1"/>
  <c r="I458" i="9"/>
  <c r="G458" i="9"/>
  <c r="J458" i="9" s="1"/>
  <c r="F458" i="9"/>
  <c r="E458" i="9"/>
  <c r="H458" i="9" s="1"/>
  <c r="D458" i="9"/>
  <c r="F457" i="9"/>
  <c r="I457" i="9" s="1"/>
  <c r="E457" i="9"/>
  <c r="G457" i="9" s="1"/>
  <c r="J457" i="9" s="1"/>
  <c r="D457" i="9"/>
  <c r="I456" i="9"/>
  <c r="H456" i="9"/>
  <c r="G456" i="9"/>
  <c r="J456" i="9" s="1"/>
  <c r="F456" i="9"/>
  <c r="E456" i="9"/>
  <c r="D456" i="9"/>
  <c r="H455" i="9"/>
  <c r="F455" i="9"/>
  <c r="I455" i="9" s="1"/>
  <c r="E455" i="9"/>
  <c r="D455" i="9"/>
  <c r="G455" i="9" s="1"/>
  <c r="J455" i="9" s="1"/>
  <c r="I454" i="9"/>
  <c r="G454" i="9"/>
  <c r="J454" i="9" s="1"/>
  <c r="F454" i="9"/>
  <c r="E454" i="9"/>
  <c r="H454" i="9" s="1"/>
  <c r="D454" i="9"/>
  <c r="F453" i="9"/>
  <c r="I453" i="9" s="1"/>
  <c r="E453" i="9"/>
  <c r="G453" i="9" s="1"/>
  <c r="J453" i="9" s="1"/>
  <c r="D453" i="9"/>
  <c r="I452" i="9"/>
  <c r="H452" i="9"/>
  <c r="G452" i="9"/>
  <c r="J452" i="9" s="1"/>
  <c r="F452" i="9"/>
  <c r="E452" i="9"/>
  <c r="D452" i="9"/>
  <c r="H451" i="9"/>
  <c r="F451" i="9"/>
  <c r="I451" i="9" s="1"/>
  <c r="E451" i="9"/>
  <c r="D451" i="9"/>
  <c r="G451" i="9" s="1"/>
  <c r="J451" i="9" s="1"/>
  <c r="I450" i="9"/>
  <c r="G450" i="9"/>
  <c r="J450" i="9" s="1"/>
  <c r="F450" i="9"/>
  <c r="E450" i="9"/>
  <c r="H450" i="9" s="1"/>
  <c r="D450" i="9"/>
  <c r="F449" i="9"/>
  <c r="I449" i="9" s="1"/>
  <c r="E449" i="9"/>
  <c r="G449" i="9" s="1"/>
  <c r="J449" i="9" s="1"/>
  <c r="D449" i="9"/>
  <c r="H448" i="9"/>
  <c r="G448" i="9"/>
  <c r="J448" i="9" s="1"/>
  <c r="F448" i="9"/>
  <c r="I448" i="9" s="1"/>
  <c r="E448" i="9"/>
  <c r="D448" i="9"/>
  <c r="G447" i="9"/>
  <c r="F447" i="9"/>
  <c r="J447" i="9" s="1"/>
  <c r="E447" i="9"/>
  <c r="H447" i="9" s="1"/>
  <c r="D447" i="9"/>
  <c r="I446" i="9"/>
  <c r="F446" i="9"/>
  <c r="E446" i="9"/>
  <c r="G446" i="9" s="1"/>
  <c r="J446" i="9" s="1"/>
  <c r="D446" i="9"/>
  <c r="I445" i="9"/>
  <c r="H445" i="9"/>
  <c r="F445" i="9"/>
  <c r="E445" i="9"/>
  <c r="G445" i="9" s="1"/>
  <c r="J445" i="9" s="1"/>
  <c r="D445" i="9"/>
  <c r="H444" i="9"/>
  <c r="G444" i="9"/>
  <c r="J444" i="9" s="1"/>
  <c r="F444" i="9"/>
  <c r="I444" i="9" s="1"/>
  <c r="E444" i="9"/>
  <c r="D444" i="9"/>
  <c r="G443" i="9"/>
  <c r="F443" i="9"/>
  <c r="J443" i="9" s="1"/>
  <c r="E443" i="9"/>
  <c r="H443" i="9" s="1"/>
  <c r="D443" i="9"/>
  <c r="I442" i="9"/>
  <c r="F442" i="9"/>
  <c r="E442" i="9"/>
  <c r="G442" i="9" s="1"/>
  <c r="J442" i="9" s="1"/>
  <c r="D442" i="9"/>
  <c r="I441" i="9"/>
  <c r="H441" i="9"/>
  <c r="F441" i="9"/>
  <c r="E441" i="9"/>
  <c r="G441" i="9" s="1"/>
  <c r="J441" i="9" s="1"/>
  <c r="D441" i="9"/>
  <c r="H440" i="9"/>
  <c r="G440" i="9"/>
  <c r="J440" i="9" s="1"/>
  <c r="F440" i="9"/>
  <c r="I440" i="9" s="1"/>
  <c r="E440" i="9"/>
  <c r="D440" i="9"/>
  <c r="G439" i="9"/>
  <c r="F439" i="9"/>
  <c r="J439" i="9" s="1"/>
  <c r="E439" i="9"/>
  <c r="H439" i="9" s="1"/>
  <c r="D439" i="9"/>
  <c r="I438" i="9"/>
  <c r="F438" i="9"/>
  <c r="E438" i="9"/>
  <c r="G438" i="9" s="1"/>
  <c r="J438" i="9" s="1"/>
  <c r="D438" i="9"/>
  <c r="I437" i="9"/>
  <c r="H437" i="9"/>
  <c r="F437" i="9"/>
  <c r="E437" i="9"/>
  <c r="G437" i="9" s="1"/>
  <c r="J437" i="9" s="1"/>
  <c r="D437" i="9"/>
  <c r="H436" i="9"/>
  <c r="G436" i="9"/>
  <c r="J436" i="9" s="1"/>
  <c r="F436" i="9"/>
  <c r="I436" i="9" s="1"/>
  <c r="E436" i="9"/>
  <c r="D436" i="9"/>
  <c r="G435" i="9"/>
  <c r="F435" i="9"/>
  <c r="J435" i="9" s="1"/>
  <c r="E435" i="9"/>
  <c r="H435" i="9" s="1"/>
  <c r="D435" i="9"/>
  <c r="I434" i="9"/>
  <c r="F434" i="9"/>
  <c r="E434" i="9"/>
  <c r="G434" i="9" s="1"/>
  <c r="J434" i="9" s="1"/>
  <c r="D434" i="9"/>
  <c r="I433" i="9"/>
  <c r="H433" i="9"/>
  <c r="F433" i="9"/>
  <c r="E433" i="9"/>
  <c r="G433" i="9" s="1"/>
  <c r="J433" i="9" s="1"/>
  <c r="D433" i="9"/>
  <c r="H432" i="9"/>
  <c r="G432" i="9"/>
  <c r="J432" i="9" s="1"/>
  <c r="F432" i="9"/>
  <c r="I432" i="9" s="1"/>
  <c r="E432" i="9"/>
  <c r="D432" i="9"/>
  <c r="G431" i="9"/>
  <c r="F431" i="9"/>
  <c r="J431" i="9" s="1"/>
  <c r="E431" i="9"/>
  <c r="H431" i="9" s="1"/>
  <c r="D431" i="9"/>
  <c r="I430" i="9"/>
  <c r="F430" i="9"/>
  <c r="E430" i="9"/>
  <c r="G430" i="9" s="1"/>
  <c r="J430" i="9" s="1"/>
  <c r="D430" i="9"/>
  <c r="I429" i="9"/>
  <c r="H429" i="9"/>
  <c r="F429" i="9"/>
  <c r="E429" i="9"/>
  <c r="G429" i="9" s="1"/>
  <c r="J429" i="9" s="1"/>
  <c r="D429" i="9"/>
  <c r="H428" i="9"/>
  <c r="G428" i="9"/>
  <c r="J428" i="9" s="1"/>
  <c r="F428" i="9"/>
  <c r="I428" i="9" s="1"/>
  <c r="E428" i="9"/>
  <c r="D428" i="9"/>
  <c r="G427" i="9"/>
  <c r="F427" i="9"/>
  <c r="J427" i="9" s="1"/>
  <c r="E427" i="9"/>
  <c r="H427" i="9" s="1"/>
  <c r="D427" i="9"/>
  <c r="I426" i="9"/>
  <c r="F426" i="9"/>
  <c r="E426" i="9"/>
  <c r="G426" i="9" s="1"/>
  <c r="J426" i="9" s="1"/>
  <c r="D426" i="9"/>
  <c r="I425" i="9"/>
  <c r="H425" i="9"/>
  <c r="F425" i="9"/>
  <c r="E425" i="9"/>
  <c r="G425" i="9" s="1"/>
  <c r="J425" i="9" s="1"/>
  <c r="D425" i="9"/>
  <c r="H424" i="9"/>
  <c r="G424" i="9"/>
  <c r="J424" i="9" s="1"/>
  <c r="F424" i="9"/>
  <c r="I424" i="9" s="1"/>
  <c r="E424" i="9"/>
  <c r="D424" i="9"/>
  <c r="G423" i="9"/>
  <c r="F423" i="9"/>
  <c r="J423" i="9" s="1"/>
  <c r="E423" i="9"/>
  <c r="H423" i="9" s="1"/>
  <c r="D423" i="9"/>
  <c r="I422" i="9"/>
  <c r="F422" i="9"/>
  <c r="E422" i="9"/>
  <c r="G422" i="9" s="1"/>
  <c r="J422" i="9" s="1"/>
  <c r="D422" i="9"/>
  <c r="I421" i="9"/>
  <c r="H421" i="9"/>
  <c r="F421" i="9"/>
  <c r="E421" i="9"/>
  <c r="G421" i="9" s="1"/>
  <c r="J421" i="9" s="1"/>
  <c r="D421" i="9"/>
  <c r="H420" i="9"/>
  <c r="G420" i="9"/>
  <c r="J420" i="9" s="1"/>
  <c r="F420" i="9"/>
  <c r="I420" i="9" s="1"/>
  <c r="E420" i="9"/>
  <c r="D420" i="9"/>
  <c r="G419" i="9"/>
  <c r="F419" i="9"/>
  <c r="J419" i="9" s="1"/>
  <c r="E419" i="9"/>
  <c r="H419" i="9" s="1"/>
  <c r="D419" i="9"/>
  <c r="I418" i="9"/>
  <c r="F418" i="9"/>
  <c r="E418" i="9"/>
  <c r="G418" i="9" s="1"/>
  <c r="J418" i="9" s="1"/>
  <c r="D418" i="9"/>
  <c r="I417" i="9"/>
  <c r="H417" i="9"/>
  <c r="F417" i="9"/>
  <c r="E417" i="9"/>
  <c r="G417" i="9" s="1"/>
  <c r="J417" i="9" s="1"/>
  <c r="D417" i="9"/>
  <c r="H416" i="9"/>
  <c r="G416" i="9"/>
  <c r="J416" i="9" s="1"/>
  <c r="F416" i="9"/>
  <c r="I416" i="9" s="1"/>
  <c r="E416" i="9"/>
  <c r="D416" i="9"/>
  <c r="G415" i="9"/>
  <c r="F415" i="9"/>
  <c r="J415" i="9" s="1"/>
  <c r="E415" i="9"/>
  <c r="H415" i="9" s="1"/>
  <c r="D415" i="9"/>
  <c r="I414" i="9"/>
  <c r="F414" i="9"/>
  <c r="E414" i="9"/>
  <c r="G414" i="9" s="1"/>
  <c r="J414" i="9" s="1"/>
  <c r="D414" i="9"/>
  <c r="I413" i="9"/>
  <c r="H413" i="9"/>
  <c r="F413" i="9"/>
  <c r="E413" i="9"/>
  <c r="G413" i="9" s="1"/>
  <c r="J413" i="9" s="1"/>
  <c r="D413" i="9"/>
  <c r="H412" i="9"/>
  <c r="G412" i="9"/>
  <c r="J412" i="9" s="1"/>
  <c r="F412" i="9"/>
  <c r="I412" i="9" s="1"/>
  <c r="E412" i="9"/>
  <c r="D412" i="9"/>
  <c r="G411" i="9"/>
  <c r="F411" i="9"/>
  <c r="J411" i="9" s="1"/>
  <c r="E411" i="9"/>
  <c r="H411" i="9" s="1"/>
  <c r="D411" i="9"/>
  <c r="I410" i="9"/>
  <c r="F410" i="9"/>
  <c r="E410" i="9"/>
  <c r="G410" i="9" s="1"/>
  <c r="J410" i="9" s="1"/>
  <c r="D410" i="9"/>
  <c r="I409" i="9"/>
  <c r="H409" i="9"/>
  <c r="F409" i="9"/>
  <c r="E409" i="9"/>
  <c r="G409" i="9" s="1"/>
  <c r="J409" i="9" s="1"/>
  <c r="D409" i="9"/>
  <c r="H408" i="9"/>
  <c r="G408" i="9"/>
  <c r="J408" i="9" s="1"/>
  <c r="F408" i="9"/>
  <c r="I408" i="9" s="1"/>
  <c r="E408" i="9"/>
  <c r="D408" i="9"/>
  <c r="G407" i="9"/>
  <c r="F407" i="9"/>
  <c r="J407" i="9" s="1"/>
  <c r="E407" i="9"/>
  <c r="H407" i="9" s="1"/>
  <c r="D407" i="9"/>
  <c r="I406" i="9"/>
  <c r="F406" i="9"/>
  <c r="E406" i="9"/>
  <c r="G406" i="9" s="1"/>
  <c r="J406" i="9" s="1"/>
  <c r="D406" i="9"/>
  <c r="I405" i="9"/>
  <c r="H405" i="9"/>
  <c r="F405" i="9"/>
  <c r="E405" i="9"/>
  <c r="G405" i="9" s="1"/>
  <c r="J405" i="9" s="1"/>
  <c r="D405" i="9"/>
  <c r="H404" i="9"/>
  <c r="G404" i="9"/>
  <c r="J404" i="9" s="1"/>
  <c r="F404" i="9"/>
  <c r="I404" i="9" s="1"/>
  <c r="E404" i="9"/>
  <c r="D404" i="9"/>
  <c r="G403" i="9"/>
  <c r="F403" i="9"/>
  <c r="J403" i="9" s="1"/>
  <c r="E403" i="9"/>
  <c r="H403" i="9" s="1"/>
  <c r="D403" i="9"/>
  <c r="I402" i="9"/>
  <c r="F402" i="9"/>
  <c r="E402" i="9"/>
  <c r="G402" i="9" s="1"/>
  <c r="J402" i="9" s="1"/>
  <c r="D402" i="9"/>
  <c r="I401" i="9"/>
  <c r="H401" i="9"/>
  <c r="F401" i="9"/>
  <c r="E401" i="9"/>
  <c r="G401" i="9" s="1"/>
  <c r="J401" i="9" s="1"/>
  <c r="D401" i="9"/>
  <c r="H400" i="9"/>
  <c r="G400" i="9"/>
  <c r="J400" i="9" s="1"/>
  <c r="F400" i="9"/>
  <c r="I400" i="9" s="1"/>
  <c r="E400" i="9"/>
  <c r="D400" i="9"/>
  <c r="G399" i="9"/>
  <c r="F399" i="9"/>
  <c r="J399" i="9" s="1"/>
  <c r="E399" i="9"/>
  <c r="H399" i="9" s="1"/>
  <c r="D399" i="9"/>
  <c r="I398" i="9"/>
  <c r="F398" i="9"/>
  <c r="E398" i="9"/>
  <c r="G398" i="9" s="1"/>
  <c r="J398" i="9" s="1"/>
  <c r="D398" i="9"/>
  <c r="I397" i="9"/>
  <c r="H397" i="9"/>
  <c r="F397" i="9"/>
  <c r="E397" i="9"/>
  <c r="G397" i="9" s="1"/>
  <c r="J397" i="9" s="1"/>
  <c r="D397" i="9"/>
  <c r="H396" i="9"/>
  <c r="G396" i="9"/>
  <c r="J396" i="9" s="1"/>
  <c r="F396" i="9"/>
  <c r="I396" i="9" s="1"/>
  <c r="E396" i="9"/>
  <c r="D396" i="9"/>
  <c r="G395" i="9"/>
  <c r="F395" i="9"/>
  <c r="J395" i="9" s="1"/>
  <c r="E395" i="9"/>
  <c r="H395" i="9" s="1"/>
  <c r="D395" i="9"/>
  <c r="I394" i="9"/>
  <c r="F394" i="9"/>
  <c r="E394" i="9"/>
  <c r="G394" i="9" s="1"/>
  <c r="J394" i="9" s="1"/>
  <c r="D394" i="9"/>
  <c r="I393" i="9"/>
  <c r="H393" i="9"/>
  <c r="F393" i="9"/>
  <c r="E393" i="9"/>
  <c r="G393" i="9" s="1"/>
  <c r="J393" i="9" s="1"/>
  <c r="D393" i="9"/>
  <c r="H392" i="9"/>
  <c r="G392" i="9"/>
  <c r="J392" i="9" s="1"/>
  <c r="F392" i="9"/>
  <c r="I392" i="9" s="1"/>
  <c r="E392" i="9"/>
  <c r="D392" i="9"/>
  <c r="G391" i="9"/>
  <c r="F391" i="9"/>
  <c r="J391" i="9" s="1"/>
  <c r="E391" i="9"/>
  <c r="H391" i="9" s="1"/>
  <c r="D391" i="9"/>
  <c r="I390" i="9"/>
  <c r="F390" i="9"/>
  <c r="E390" i="9"/>
  <c r="G390" i="9" s="1"/>
  <c r="J390" i="9" s="1"/>
  <c r="D390" i="9"/>
  <c r="I389" i="9"/>
  <c r="H389" i="9"/>
  <c r="F389" i="9"/>
  <c r="E389" i="9"/>
  <c r="G389" i="9" s="1"/>
  <c r="J389" i="9" s="1"/>
  <c r="D389" i="9"/>
  <c r="H388" i="9"/>
  <c r="G388" i="9"/>
  <c r="J388" i="9" s="1"/>
  <c r="F388" i="9"/>
  <c r="I388" i="9" s="1"/>
  <c r="E388" i="9"/>
  <c r="D388" i="9"/>
  <c r="G387" i="9"/>
  <c r="F387" i="9"/>
  <c r="J387" i="9" s="1"/>
  <c r="E387" i="9"/>
  <c r="H387" i="9" s="1"/>
  <c r="D387" i="9"/>
  <c r="I386" i="9"/>
  <c r="F386" i="9"/>
  <c r="E386" i="9"/>
  <c r="G386" i="9" s="1"/>
  <c r="J386" i="9" s="1"/>
  <c r="D386" i="9"/>
  <c r="I385" i="9"/>
  <c r="H385" i="9"/>
  <c r="F385" i="9"/>
  <c r="E385" i="9"/>
  <c r="G385" i="9" s="1"/>
  <c r="J385" i="9" s="1"/>
  <c r="D385" i="9"/>
  <c r="H384" i="9"/>
  <c r="G384" i="9"/>
  <c r="J384" i="9" s="1"/>
  <c r="F384" i="9"/>
  <c r="I384" i="9" s="1"/>
  <c r="E384" i="9"/>
  <c r="D384" i="9"/>
  <c r="G383" i="9"/>
  <c r="F383" i="9"/>
  <c r="J383" i="9" s="1"/>
  <c r="E383" i="9"/>
  <c r="H383" i="9" s="1"/>
  <c r="D383" i="9"/>
  <c r="I382" i="9"/>
  <c r="F382" i="9"/>
  <c r="E382" i="9"/>
  <c r="G382" i="9" s="1"/>
  <c r="J382" i="9" s="1"/>
  <c r="D382" i="9"/>
  <c r="I381" i="9"/>
  <c r="H381" i="9"/>
  <c r="F381" i="9"/>
  <c r="E381" i="9"/>
  <c r="G381" i="9" s="1"/>
  <c r="J381" i="9" s="1"/>
  <c r="D381" i="9"/>
  <c r="H380" i="9"/>
  <c r="G380" i="9"/>
  <c r="J380" i="9" s="1"/>
  <c r="F380" i="9"/>
  <c r="I380" i="9" s="1"/>
  <c r="E380" i="9"/>
  <c r="D380" i="9"/>
  <c r="G379" i="9"/>
  <c r="F379" i="9"/>
  <c r="J379" i="9" s="1"/>
  <c r="E379" i="9"/>
  <c r="H379" i="9" s="1"/>
  <c r="D379" i="9"/>
  <c r="I378" i="9"/>
  <c r="F378" i="9"/>
  <c r="E378" i="9"/>
  <c r="G378" i="9" s="1"/>
  <c r="J378" i="9" s="1"/>
  <c r="D378" i="9"/>
  <c r="I377" i="9"/>
  <c r="H377" i="9"/>
  <c r="F377" i="9"/>
  <c r="E377" i="9"/>
  <c r="G377" i="9" s="1"/>
  <c r="J377" i="9" s="1"/>
  <c r="D377" i="9"/>
  <c r="H376" i="9"/>
  <c r="G376" i="9"/>
  <c r="J376" i="9" s="1"/>
  <c r="F376" i="9"/>
  <c r="I376" i="9" s="1"/>
  <c r="E376" i="9"/>
  <c r="D376" i="9"/>
  <c r="G375" i="9"/>
  <c r="F375" i="9"/>
  <c r="J375" i="9" s="1"/>
  <c r="E375" i="9"/>
  <c r="H375" i="9" s="1"/>
  <c r="D375" i="9"/>
  <c r="I374" i="9"/>
  <c r="F374" i="9"/>
  <c r="E374" i="9"/>
  <c r="G374" i="9" s="1"/>
  <c r="J374" i="9" s="1"/>
  <c r="D374" i="9"/>
  <c r="I373" i="9"/>
  <c r="H373" i="9"/>
  <c r="F373" i="9"/>
  <c r="E373" i="9"/>
  <c r="G373" i="9" s="1"/>
  <c r="J373" i="9" s="1"/>
  <c r="D373" i="9"/>
  <c r="H372" i="9"/>
  <c r="G372" i="9"/>
  <c r="J372" i="9" s="1"/>
  <c r="F372" i="9"/>
  <c r="I372" i="9" s="1"/>
  <c r="E372" i="9"/>
  <c r="D372" i="9"/>
  <c r="G371" i="9"/>
  <c r="F371" i="9"/>
  <c r="J371" i="9" s="1"/>
  <c r="E371" i="9"/>
  <c r="H371" i="9" s="1"/>
  <c r="D371" i="9"/>
  <c r="I370" i="9"/>
  <c r="F370" i="9"/>
  <c r="E370" i="9"/>
  <c r="G370" i="9" s="1"/>
  <c r="J370" i="9" s="1"/>
  <c r="D370" i="9"/>
  <c r="I369" i="9"/>
  <c r="H369" i="9"/>
  <c r="F369" i="9"/>
  <c r="E369" i="9"/>
  <c r="G369" i="9" s="1"/>
  <c r="J369" i="9" s="1"/>
  <c r="D369" i="9"/>
  <c r="H368" i="9"/>
  <c r="G368" i="9"/>
  <c r="J368" i="9" s="1"/>
  <c r="F368" i="9"/>
  <c r="I368" i="9" s="1"/>
  <c r="E368" i="9"/>
  <c r="D368" i="9"/>
  <c r="G367" i="9"/>
  <c r="F367" i="9"/>
  <c r="J367" i="9" s="1"/>
  <c r="E367" i="9"/>
  <c r="H367" i="9" s="1"/>
  <c r="D367" i="9"/>
  <c r="I366" i="9"/>
  <c r="F366" i="9"/>
  <c r="E366" i="9"/>
  <c r="G366" i="9" s="1"/>
  <c r="J366" i="9" s="1"/>
  <c r="D366" i="9"/>
  <c r="I365" i="9"/>
  <c r="H365" i="9"/>
  <c r="F365" i="9"/>
  <c r="E365" i="9"/>
  <c r="G365" i="9" s="1"/>
  <c r="J365" i="9" s="1"/>
  <c r="D365" i="9"/>
  <c r="H364" i="9"/>
  <c r="G364" i="9"/>
  <c r="J364" i="9" s="1"/>
  <c r="F364" i="9"/>
  <c r="I364" i="9" s="1"/>
  <c r="E364" i="9"/>
  <c r="D364" i="9"/>
  <c r="G363" i="9"/>
  <c r="F363" i="9"/>
  <c r="J363" i="9" s="1"/>
  <c r="E363" i="9"/>
  <c r="H363" i="9" s="1"/>
  <c r="D363" i="9"/>
  <c r="I362" i="9"/>
  <c r="F362" i="9"/>
  <c r="E362" i="9"/>
  <c r="G362" i="9" s="1"/>
  <c r="J362" i="9" s="1"/>
  <c r="D362" i="9"/>
  <c r="I361" i="9"/>
  <c r="H361" i="9"/>
  <c r="F361" i="9"/>
  <c r="E361" i="9"/>
  <c r="G361" i="9" s="1"/>
  <c r="J361" i="9" s="1"/>
  <c r="D361" i="9"/>
  <c r="H360" i="9"/>
  <c r="G360" i="9"/>
  <c r="J360" i="9" s="1"/>
  <c r="F360" i="9"/>
  <c r="I360" i="9" s="1"/>
  <c r="E360" i="9"/>
  <c r="D360" i="9"/>
  <c r="G359" i="9"/>
  <c r="F359" i="9"/>
  <c r="J359" i="9" s="1"/>
  <c r="E359" i="9"/>
  <c r="H359" i="9" s="1"/>
  <c r="D359" i="9"/>
  <c r="I358" i="9"/>
  <c r="F358" i="9"/>
  <c r="E358" i="9"/>
  <c r="G358" i="9" s="1"/>
  <c r="J358" i="9" s="1"/>
  <c r="D358" i="9"/>
  <c r="I357" i="9"/>
  <c r="H357" i="9"/>
  <c r="F357" i="9"/>
  <c r="E357" i="9"/>
  <c r="G357" i="9" s="1"/>
  <c r="J357" i="9" s="1"/>
  <c r="D357" i="9"/>
  <c r="H356" i="9"/>
  <c r="G356" i="9"/>
  <c r="J356" i="9" s="1"/>
  <c r="F356" i="9"/>
  <c r="I356" i="9" s="1"/>
  <c r="E356" i="9"/>
  <c r="D356" i="9"/>
  <c r="G355" i="9"/>
  <c r="F355" i="9"/>
  <c r="J355" i="9" s="1"/>
  <c r="E355" i="9"/>
  <c r="H355" i="9" s="1"/>
  <c r="D355" i="9"/>
  <c r="I354" i="9"/>
  <c r="F354" i="9"/>
  <c r="E354" i="9"/>
  <c r="G354" i="9" s="1"/>
  <c r="J354" i="9" s="1"/>
  <c r="D354" i="9"/>
  <c r="I353" i="9"/>
  <c r="H353" i="9"/>
  <c r="F353" i="9"/>
  <c r="E353" i="9"/>
  <c r="D353" i="9"/>
  <c r="H352" i="9"/>
  <c r="G352" i="9"/>
  <c r="J352" i="9" s="1"/>
  <c r="F352" i="9"/>
  <c r="I352" i="9" s="1"/>
  <c r="E352" i="9"/>
  <c r="D352" i="9"/>
  <c r="G351" i="9"/>
  <c r="F351" i="9"/>
  <c r="I351" i="9" s="1"/>
  <c r="E351" i="9"/>
  <c r="H351" i="9" s="1"/>
  <c r="D351" i="9"/>
  <c r="I350" i="9"/>
  <c r="F350" i="9"/>
  <c r="E350" i="9"/>
  <c r="D350" i="9"/>
  <c r="I349" i="9"/>
  <c r="H349" i="9"/>
  <c r="F349" i="9"/>
  <c r="E349" i="9"/>
  <c r="D349" i="9"/>
  <c r="H348" i="9"/>
  <c r="G348" i="9"/>
  <c r="J348" i="9" s="1"/>
  <c r="F348" i="9"/>
  <c r="I348" i="9" s="1"/>
  <c r="E348" i="9"/>
  <c r="D348" i="9"/>
  <c r="G347" i="9"/>
  <c r="F347" i="9"/>
  <c r="I347" i="9" s="1"/>
  <c r="E347" i="9"/>
  <c r="H347" i="9" s="1"/>
  <c r="D347" i="9"/>
  <c r="I346" i="9"/>
  <c r="F346" i="9"/>
  <c r="E346" i="9"/>
  <c r="D346" i="9"/>
  <c r="I345" i="9"/>
  <c r="H345" i="9"/>
  <c r="F345" i="9"/>
  <c r="E345" i="9"/>
  <c r="G345" i="9" s="1"/>
  <c r="J345" i="9" s="1"/>
  <c r="D345" i="9"/>
  <c r="H344" i="9"/>
  <c r="G344" i="9"/>
  <c r="J344" i="9" s="1"/>
  <c r="F344" i="9"/>
  <c r="I344" i="9" s="1"/>
  <c r="E344" i="9"/>
  <c r="D344" i="9"/>
  <c r="J343" i="9"/>
  <c r="G343" i="9"/>
  <c r="F343" i="9"/>
  <c r="I343" i="9" s="1"/>
  <c r="E343" i="9"/>
  <c r="H343" i="9" s="1"/>
  <c r="D343" i="9"/>
  <c r="I342" i="9"/>
  <c r="F342" i="9"/>
  <c r="E342" i="9"/>
  <c r="D342" i="9"/>
  <c r="I341" i="9"/>
  <c r="H341" i="9"/>
  <c r="F341" i="9"/>
  <c r="E341" i="9"/>
  <c r="G341" i="9" s="1"/>
  <c r="J341" i="9" s="1"/>
  <c r="D341" i="9"/>
  <c r="H340" i="9"/>
  <c r="G340" i="9"/>
  <c r="J340" i="9" s="1"/>
  <c r="F340" i="9"/>
  <c r="I340" i="9" s="1"/>
  <c r="E340" i="9"/>
  <c r="D340" i="9"/>
  <c r="J339" i="9"/>
  <c r="G339" i="9"/>
  <c r="F339" i="9"/>
  <c r="I339" i="9" s="1"/>
  <c r="E339" i="9"/>
  <c r="H339" i="9" s="1"/>
  <c r="D339" i="9"/>
  <c r="I338" i="9"/>
  <c r="F338" i="9"/>
  <c r="E338" i="9"/>
  <c r="D338" i="9"/>
  <c r="I337" i="9"/>
  <c r="H337" i="9"/>
  <c r="F337" i="9"/>
  <c r="E337" i="9"/>
  <c r="D337" i="9"/>
  <c r="H336" i="9"/>
  <c r="G336" i="9"/>
  <c r="J336" i="9" s="1"/>
  <c r="F336" i="9"/>
  <c r="I336" i="9" s="1"/>
  <c r="E336" i="9"/>
  <c r="D336" i="9"/>
  <c r="G335" i="9"/>
  <c r="F335" i="9"/>
  <c r="I335" i="9" s="1"/>
  <c r="E335" i="9"/>
  <c r="H335" i="9" s="1"/>
  <c r="D335" i="9"/>
  <c r="I334" i="9"/>
  <c r="F334" i="9"/>
  <c r="E334" i="9"/>
  <c r="D334" i="9"/>
  <c r="I333" i="9"/>
  <c r="H333" i="9"/>
  <c r="F333" i="9"/>
  <c r="E333" i="9"/>
  <c r="D333" i="9"/>
  <c r="H332" i="9"/>
  <c r="G332" i="9"/>
  <c r="J332" i="9" s="1"/>
  <c r="F332" i="9"/>
  <c r="I332" i="9" s="1"/>
  <c r="E332" i="9"/>
  <c r="D332" i="9"/>
  <c r="G331" i="9"/>
  <c r="F331" i="9"/>
  <c r="I331" i="9" s="1"/>
  <c r="E331" i="9"/>
  <c r="H331" i="9" s="1"/>
  <c r="D331" i="9"/>
  <c r="I330" i="9"/>
  <c r="F330" i="9"/>
  <c r="E330" i="9"/>
  <c r="D330" i="9"/>
  <c r="I329" i="9"/>
  <c r="H329" i="9"/>
  <c r="F329" i="9"/>
  <c r="E329" i="9"/>
  <c r="G329" i="9" s="1"/>
  <c r="J329" i="9" s="1"/>
  <c r="D329" i="9"/>
  <c r="H328" i="9"/>
  <c r="G328" i="9"/>
  <c r="J328" i="9" s="1"/>
  <c r="F328" i="9"/>
  <c r="I328" i="9" s="1"/>
  <c r="E328" i="9"/>
  <c r="D328" i="9"/>
  <c r="J327" i="9"/>
  <c r="G327" i="9"/>
  <c r="F327" i="9"/>
  <c r="I327" i="9" s="1"/>
  <c r="E327" i="9"/>
  <c r="H327" i="9" s="1"/>
  <c r="D327" i="9"/>
  <c r="I326" i="9"/>
  <c r="F326" i="9"/>
  <c r="E326" i="9"/>
  <c r="D326" i="9"/>
  <c r="I325" i="9"/>
  <c r="H325" i="9"/>
  <c r="F325" i="9"/>
  <c r="E325" i="9"/>
  <c r="G325" i="9" s="1"/>
  <c r="J325" i="9" s="1"/>
  <c r="D325" i="9"/>
  <c r="H324" i="9"/>
  <c r="G324" i="9"/>
  <c r="J324" i="9" s="1"/>
  <c r="F324" i="9"/>
  <c r="I324" i="9" s="1"/>
  <c r="E324" i="9"/>
  <c r="D324" i="9"/>
  <c r="J323" i="9"/>
  <c r="G323" i="9"/>
  <c r="F323" i="9"/>
  <c r="I323" i="9" s="1"/>
  <c r="E323" i="9"/>
  <c r="H323" i="9" s="1"/>
  <c r="D323" i="9"/>
  <c r="I322" i="9"/>
  <c r="F322" i="9"/>
  <c r="E322" i="9"/>
  <c r="D322" i="9"/>
  <c r="I321" i="9"/>
  <c r="H321" i="9"/>
  <c r="F321" i="9"/>
  <c r="E321" i="9"/>
  <c r="D321" i="9"/>
  <c r="H320" i="9"/>
  <c r="G320" i="9"/>
  <c r="J320" i="9" s="1"/>
  <c r="F320" i="9"/>
  <c r="I320" i="9" s="1"/>
  <c r="E320" i="9"/>
  <c r="D320" i="9"/>
  <c r="G319" i="9"/>
  <c r="F319" i="9"/>
  <c r="I319" i="9" s="1"/>
  <c r="E319" i="9"/>
  <c r="H319" i="9" s="1"/>
  <c r="D319" i="9"/>
  <c r="I318" i="9"/>
  <c r="F318" i="9"/>
  <c r="E318" i="9"/>
  <c r="D318" i="9"/>
  <c r="I317" i="9"/>
  <c r="H317" i="9"/>
  <c r="F317" i="9"/>
  <c r="E317" i="9"/>
  <c r="D317" i="9"/>
  <c r="H316" i="9"/>
  <c r="G316" i="9"/>
  <c r="J316" i="9" s="1"/>
  <c r="F316" i="9"/>
  <c r="I316" i="9" s="1"/>
  <c r="E316" i="9"/>
  <c r="D316" i="9"/>
  <c r="G315" i="9"/>
  <c r="F315" i="9"/>
  <c r="I315" i="9" s="1"/>
  <c r="E315" i="9"/>
  <c r="H315" i="9" s="1"/>
  <c r="D315" i="9"/>
  <c r="I314" i="9"/>
  <c r="F314" i="9"/>
  <c r="E314" i="9"/>
  <c r="D314" i="9"/>
  <c r="I313" i="9"/>
  <c r="H313" i="9"/>
  <c r="F313" i="9"/>
  <c r="E313" i="9"/>
  <c r="G313" i="9" s="1"/>
  <c r="J313" i="9" s="1"/>
  <c r="D313" i="9"/>
  <c r="H312" i="9"/>
  <c r="G312" i="9"/>
  <c r="J312" i="9" s="1"/>
  <c r="F312" i="9"/>
  <c r="I312" i="9" s="1"/>
  <c r="E312" i="9"/>
  <c r="D312" i="9"/>
  <c r="J311" i="9"/>
  <c r="G311" i="9"/>
  <c r="F311" i="9"/>
  <c r="I311" i="9" s="1"/>
  <c r="E311" i="9"/>
  <c r="H311" i="9" s="1"/>
  <c r="D311" i="9"/>
  <c r="I310" i="9"/>
  <c r="F310" i="9"/>
  <c r="E310" i="9"/>
  <c r="D310" i="9"/>
  <c r="I309" i="9"/>
  <c r="F309" i="9"/>
  <c r="E309" i="9"/>
  <c r="G309" i="9" s="1"/>
  <c r="J309" i="9" s="1"/>
  <c r="D309" i="9"/>
  <c r="H308" i="9"/>
  <c r="G308" i="9"/>
  <c r="J308" i="9" s="1"/>
  <c r="F308" i="9"/>
  <c r="I308" i="9" s="1"/>
  <c r="E308" i="9"/>
  <c r="D308" i="9"/>
  <c r="G307" i="9"/>
  <c r="J307" i="9" s="1"/>
  <c r="F307" i="9"/>
  <c r="I307" i="9" s="1"/>
  <c r="E307" i="9"/>
  <c r="H307" i="9" s="1"/>
  <c r="D307" i="9"/>
  <c r="I306" i="9"/>
  <c r="F306" i="9"/>
  <c r="E306" i="9"/>
  <c r="D306" i="9"/>
  <c r="I305" i="9"/>
  <c r="F305" i="9"/>
  <c r="E305" i="9"/>
  <c r="G305" i="9" s="1"/>
  <c r="J305" i="9" s="1"/>
  <c r="D305" i="9"/>
  <c r="H304" i="9"/>
  <c r="G304" i="9"/>
  <c r="J304" i="9" s="1"/>
  <c r="F304" i="9"/>
  <c r="I304" i="9" s="1"/>
  <c r="E304" i="9"/>
  <c r="D304" i="9"/>
  <c r="G303" i="9"/>
  <c r="J303" i="9" s="1"/>
  <c r="F303" i="9"/>
  <c r="I303" i="9" s="1"/>
  <c r="E303" i="9"/>
  <c r="H303" i="9" s="1"/>
  <c r="D303" i="9"/>
  <c r="I302" i="9"/>
  <c r="F302" i="9"/>
  <c r="E302" i="9"/>
  <c r="D302" i="9"/>
  <c r="I301" i="9"/>
  <c r="F301" i="9"/>
  <c r="E301" i="9"/>
  <c r="G301" i="9" s="1"/>
  <c r="J301" i="9" s="1"/>
  <c r="D301" i="9"/>
  <c r="H300" i="9"/>
  <c r="G300" i="9"/>
  <c r="J300" i="9" s="1"/>
  <c r="F300" i="9"/>
  <c r="I300" i="9" s="1"/>
  <c r="E300" i="9"/>
  <c r="D300" i="9"/>
  <c r="G299" i="9"/>
  <c r="J299" i="9" s="1"/>
  <c r="F299" i="9"/>
  <c r="I299" i="9" s="1"/>
  <c r="E299" i="9"/>
  <c r="H299" i="9" s="1"/>
  <c r="D299" i="9"/>
  <c r="I298" i="9"/>
  <c r="F298" i="9"/>
  <c r="E298" i="9"/>
  <c r="D298" i="9"/>
  <c r="I297" i="9"/>
  <c r="F297" i="9"/>
  <c r="E297" i="9"/>
  <c r="G297" i="9" s="1"/>
  <c r="J297" i="9" s="1"/>
  <c r="D297" i="9"/>
  <c r="H296" i="9"/>
  <c r="G296" i="9"/>
  <c r="J296" i="9" s="1"/>
  <c r="F296" i="9"/>
  <c r="I296" i="9" s="1"/>
  <c r="E296" i="9"/>
  <c r="D296" i="9"/>
  <c r="G295" i="9"/>
  <c r="J295" i="9" s="1"/>
  <c r="F295" i="9"/>
  <c r="I295" i="9" s="1"/>
  <c r="E295" i="9"/>
  <c r="H295" i="9" s="1"/>
  <c r="D295" i="9"/>
  <c r="I294" i="9"/>
  <c r="F294" i="9"/>
  <c r="E294" i="9"/>
  <c r="D294" i="9"/>
  <c r="I293" i="9"/>
  <c r="F293" i="9"/>
  <c r="E293" i="9"/>
  <c r="G293" i="9" s="1"/>
  <c r="J293" i="9" s="1"/>
  <c r="D293" i="9"/>
  <c r="H292" i="9"/>
  <c r="G292" i="9"/>
  <c r="J292" i="9" s="1"/>
  <c r="F292" i="9"/>
  <c r="I292" i="9" s="1"/>
  <c r="E292" i="9"/>
  <c r="D292" i="9"/>
  <c r="G291" i="9"/>
  <c r="J291" i="9" s="1"/>
  <c r="F291" i="9"/>
  <c r="I291" i="9" s="1"/>
  <c r="E291" i="9"/>
  <c r="H291" i="9" s="1"/>
  <c r="D291" i="9"/>
  <c r="I290" i="9"/>
  <c r="F290" i="9"/>
  <c r="E290" i="9"/>
  <c r="D290" i="9"/>
  <c r="I289" i="9"/>
  <c r="F289" i="9"/>
  <c r="E289" i="9"/>
  <c r="G289" i="9" s="1"/>
  <c r="J289" i="9" s="1"/>
  <c r="D289" i="9"/>
  <c r="H288" i="9"/>
  <c r="G288" i="9"/>
  <c r="J288" i="9" s="1"/>
  <c r="F288" i="9"/>
  <c r="I288" i="9" s="1"/>
  <c r="E288" i="9"/>
  <c r="D288" i="9"/>
  <c r="G287" i="9"/>
  <c r="J287" i="9" s="1"/>
  <c r="F287" i="9"/>
  <c r="I287" i="9" s="1"/>
  <c r="E287" i="9"/>
  <c r="H287" i="9" s="1"/>
  <c r="D287" i="9"/>
  <c r="I286" i="9"/>
  <c r="F286" i="9"/>
  <c r="E286" i="9"/>
  <c r="D286" i="9"/>
  <c r="I285" i="9"/>
  <c r="F285" i="9"/>
  <c r="E285" i="9"/>
  <c r="G285" i="9" s="1"/>
  <c r="J285" i="9" s="1"/>
  <c r="D285" i="9"/>
  <c r="H284" i="9"/>
  <c r="G284" i="9"/>
  <c r="J284" i="9" s="1"/>
  <c r="F284" i="9"/>
  <c r="I284" i="9" s="1"/>
  <c r="E284" i="9"/>
  <c r="D284" i="9"/>
  <c r="G283" i="9"/>
  <c r="J283" i="9" s="1"/>
  <c r="F283" i="9"/>
  <c r="I283" i="9" s="1"/>
  <c r="E283" i="9"/>
  <c r="H283" i="9" s="1"/>
  <c r="D283" i="9"/>
  <c r="I282" i="9"/>
  <c r="F282" i="9"/>
  <c r="E282" i="9"/>
  <c r="D282" i="9"/>
  <c r="I281" i="9"/>
  <c r="F281" i="9"/>
  <c r="E281" i="9"/>
  <c r="G281" i="9" s="1"/>
  <c r="J281" i="9" s="1"/>
  <c r="D281" i="9"/>
  <c r="H280" i="9"/>
  <c r="G280" i="9"/>
  <c r="J280" i="9" s="1"/>
  <c r="F280" i="9"/>
  <c r="I280" i="9" s="1"/>
  <c r="E280" i="9"/>
  <c r="D280" i="9"/>
  <c r="G279" i="9"/>
  <c r="J279" i="9" s="1"/>
  <c r="F279" i="9"/>
  <c r="I279" i="9" s="1"/>
  <c r="E279" i="9"/>
  <c r="H279" i="9" s="1"/>
  <c r="D279" i="9"/>
  <c r="I278" i="9"/>
  <c r="F278" i="9"/>
  <c r="E278" i="9"/>
  <c r="D278" i="9"/>
  <c r="I277" i="9"/>
  <c r="F277" i="9"/>
  <c r="E277" i="9"/>
  <c r="G277" i="9" s="1"/>
  <c r="J277" i="9" s="1"/>
  <c r="D277" i="9"/>
  <c r="H276" i="9"/>
  <c r="G276" i="9"/>
  <c r="J276" i="9" s="1"/>
  <c r="F276" i="9"/>
  <c r="I276" i="9" s="1"/>
  <c r="E276" i="9"/>
  <c r="D276" i="9"/>
  <c r="G275" i="9"/>
  <c r="J275" i="9" s="1"/>
  <c r="F275" i="9"/>
  <c r="I275" i="9" s="1"/>
  <c r="E275" i="9"/>
  <c r="H275" i="9" s="1"/>
  <c r="D275" i="9"/>
  <c r="I274" i="9"/>
  <c r="F274" i="9"/>
  <c r="E274" i="9"/>
  <c r="D274" i="9"/>
  <c r="I273" i="9"/>
  <c r="F273" i="9"/>
  <c r="E273" i="9"/>
  <c r="G273" i="9" s="1"/>
  <c r="J273" i="9" s="1"/>
  <c r="D273" i="9"/>
  <c r="H272" i="9"/>
  <c r="G272" i="9"/>
  <c r="J272" i="9" s="1"/>
  <c r="F272" i="9"/>
  <c r="I272" i="9" s="1"/>
  <c r="E272" i="9"/>
  <c r="D272" i="9"/>
  <c r="G271" i="9"/>
  <c r="J271" i="9" s="1"/>
  <c r="F271" i="9"/>
  <c r="I271" i="9" s="1"/>
  <c r="E271" i="9"/>
  <c r="H271" i="9" s="1"/>
  <c r="D271" i="9"/>
  <c r="I270" i="9"/>
  <c r="F270" i="9"/>
  <c r="E270" i="9"/>
  <c r="D270" i="9"/>
  <c r="I269" i="9"/>
  <c r="F269" i="9"/>
  <c r="E269" i="9"/>
  <c r="G269" i="9" s="1"/>
  <c r="J269" i="9" s="1"/>
  <c r="D269" i="9"/>
  <c r="H268" i="9"/>
  <c r="G268" i="9"/>
  <c r="J268" i="9" s="1"/>
  <c r="F268" i="9"/>
  <c r="I268" i="9" s="1"/>
  <c r="E268" i="9"/>
  <c r="D268" i="9"/>
  <c r="G267" i="9"/>
  <c r="J267" i="9" s="1"/>
  <c r="F267" i="9"/>
  <c r="I267" i="9" s="1"/>
  <c r="E267" i="9"/>
  <c r="H267" i="9" s="1"/>
  <c r="D267" i="9"/>
  <c r="I266" i="9"/>
  <c r="F266" i="9"/>
  <c r="E266" i="9"/>
  <c r="D266" i="9"/>
  <c r="I265" i="9"/>
  <c r="F265" i="9"/>
  <c r="E265" i="9"/>
  <c r="G265" i="9" s="1"/>
  <c r="J265" i="9" s="1"/>
  <c r="D265" i="9"/>
  <c r="H264" i="9"/>
  <c r="G264" i="9"/>
  <c r="J264" i="9" s="1"/>
  <c r="F264" i="9"/>
  <c r="I264" i="9" s="1"/>
  <c r="E264" i="9"/>
  <c r="D264" i="9"/>
  <c r="G263" i="9"/>
  <c r="J263" i="9" s="1"/>
  <c r="F263" i="9"/>
  <c r="I263" i="9" s="1"/>
  <c r="E263" i="9"/>
  <c r="H263" i="9" s="1"/>
  <c r="D263" i="9"/>
  <c r="I262" i="9"/>
  <c r="F262" i="9"/>
  <c r="E262" i="9"/>
  <c r="D262" i="9"/>
  <c r="I261" i="9"/>
  <c r="F261" i="9"/>
  <c r="E261" i="9"/>
  <c r="G261" i="9" s="1"/>
  <c r="J261" i="9" s="1"/>
  <c r="D261" i="9"/>
  <c r="H260" i="9"/>
  <c r="G260" i="9"/>
  <c r="J260" i="9" s="1"/>
  <c r="F260" i="9"/>
  <c r="I260" i="9" s="1"/>
  <c r="E260" i="9"/>
  <c r="D260" i="9"/>
  <c r="G259" i="9"/>
  <c r="J259" i="9" s="1"/>
  <c r="F259" i="9"/>
  <c r="I259" i="9" s="1"/>
  <c r="E259" i="9"/>
  <c r="H259" i="9" s="1"/>
  <c r="D259" i="9"/>
  <c r="I258" i="9"/>
  <c r="F258" i="9"/>
  <c r="E258" i="9"/>
  <c r="D258" i="9"/>
  <c r="I257" i="9"/>
  <c r="F257" i="9"/>
  <c r="E257" i="9"/>
  <c r="G257" i="9" s="1"/>
  <c r="J257" i="9" s="1"/>
  <c r="D257" i="9"/>
  <c r="H256" i="9"/>
  <c r="G256" i="9"/>
  <c r="J256" i="9" s="1"/>
  <c r="F256" i="9"/>
  <c r="I256" i="9" s="1"/>
  <c r="E256" i="9"/>
  <c r="D256" i="9"/>
  <c r="G255" i="9"/>
  <c r="J255" i="9" s="1"/>
  <c r="F255" i="9"/>
  <c r="I255" i="9" s="1"/>
  <c r="E255" i="9"/>
  <c r="H255" i="9" s="1"/>
  <c r="D255" i="9"/>
  <c r="I254" i="9"/>
  <c r="F254" i="9"/>
  <c r="E254" i="9"/>
  <c r="D254" i="9"/>
  <c r="I253" i="9"/>
  <c r="F253" i="9"/>
  <c r="E253" i="9"/>
  <c r="G253" i="9" s="1"/>
  <c r="J253" i="9" s="1"/>
  <c r="D253" i="9"/>
  <c r="H252" i="9"/>
  <c r="G252" i="9"/>
  <c r="J252" i="9" s="1"/>
  <c r="F252" i="9"/>
  <c r="I252" i="9" s="1"/>
  <c r="E252" i="9"/>
  <c r="D252" i="9"/>
  <c r="G251" i="9"/>
  <c r="J251" i="9" s="1"/>
  <c r="F251" i="9"/>
  <c r="I251" i="9" s="1"/>
  <c r="E251" i="9"/>
  <c r="H251" i="9" s="1"/>
  <c r="D251" i="9"/>
  <c r="F250" i="9"/>
  <c r="I250" i="9" s="1"/>
  <c r="E250" i="9"/>
  <c r="G250" i="9" s="1"/>
  <c r="J250" i="9" s="1"/>
  <c r="D250" i="9"/>
  <c r="I249" i="9"/>
  <c r="H249" i="9"/>
  <c r="G249" i="9"/>
  <c r="J249" i="9" s="1"/>
  <c r="F249" i="9"/>
  <c r="E249" i="9"/>
  <c r="D249" i="9"/>
  <c r="H248" i="9"/>
  <c r="F248" i="9"/>
  <c r="I248" i="9" s="1"/>
  <c r="E248" i="9"/>
  <c r="D248" i="9"/>
  <c r="G248" i="9" s="1"/>
  <c r="J248" i="9" s="1"/>
  <c r="I247" i="9"/>
  <c r="G247" i="9"/>
  <c r="J247" i="9" s="1"/>
  <c r="F247" i="9"/>
  <c r="E247" i="9"/>
  <c r="H247" i="9" s="1"/>
  <c r="D247" i="9"/>
  <c r="F246" i="9"/>
  <c r="I246" i="9" s="1"/>
  <c r="E246" i="9"/>
  <c r="G246" i="9" s="1"/>
  <c r="J246" i="9" s="1"/>
  <c r="D246" i="9"/>
  <c r="I245" i="9"/>
  <c r="H245" i="9"/>
  <c r="G245" i="9"/>
  <c r="J245" i="9" s="1"/>
  <c r="F245" i="9"/>
  <c r="E245" i="9"/>
  <c r="D245" i="9"/>
  <c r="H244" i="9"/>
  <c r="F244" i="9"/>
  <c r="I244" i="9" s="1"/>
  <c r="E244" i="9"/>
  <c r="D244" i="9"/>
  <c r="G244" i="9" s="1"/>
  <c r="J244" i="9" s="1"/>
  <c r="I243" i="9"/>
  <c r="G243" i="9"/>
  <c r="J243" i="9" s="1"/>
  <c r="F243" i="9"/>
  <c r="E243" i="9"/>
  <c r="H243" i="9" s="1"/>
  <c r="D243" i="9"/>
  <c r="F242" i="9"/>
  <c r="I242" i="9" s="1"/>
  <c r="E242" i="9"/>
  <c r="G242" i="9" s="1"/>
  <c r="J242" i="9" s="1"/>
  <c r="D242" i="9"/>
  <c r="I241" i="9"/>
  <c r="H241" i="9"/>
  <c r="G241" i="9"/>
  <c r="J241" i="9" s="1"/>
  <c r="F241" i="9"/>
  <c r="E241" i="9"/>
  <c r="D241" i="9"/>
  <c r="H240" i="9"/>
  <c r="F240" i="9"/>
  <c r="I240" i="9" s="1"/>
  <c r="E240" i="9"/>
  <c r="D240" i="9"/>
  <c r="G240" i="9" s="1"/>
  <c r="J240" i="9" s="1"/>
  <c r="I239" i="9"/>
  <c r="G239" i="9"/>
  <c r="J239" i="9" s="1"/>
  <c r="F239" i="9"/>
  <c r="E239" i="9"/>
  <c r="H239" i="9" s="1"/>
  <c r="D239" i="9"/>
  <c r="F238" i="9"/>
  <c r="I238" i="9" s="1"/>
  <c r="E238" i="9"/>
  <c r="G238" i="9" s="1"/>
  <c r="J238" i="9" s="1"/>
  <c r="D238" i="9"/>
  <c r="I237" i="9"/>
  <c r="H237" i="9"/>
  <c r="G237" i="9"/>
  <c r="J237" i="9" s="1"/>
  <c r="F237" i="9"/>
  <c r="E237" i="9"/>
  <c r="D237" i="9"/>
  <c r="H236" i="9"/>
  <c r="F236" i="9"/>
  <c r="I236" i="9" s="1"/>
  <c r="E236" i="9"/>
  <c r="D236" i="9"/>
  <c r="G236" i="9" s="1"/>
  <c r="J236" i="9" s="1"/>
  <c r="I235" i="9"/>
  <c r="G235" i="9"/>
  <c r="J235" i="9" s="1"/>
  <c r="F235" i="9"/>
  <c r="E235" i="9"/>
  <c r="H235" i="9" s="1"/>
  <c r="D235" i="9"/>
  <c r="F234" i="9"/>
  <c r="I234" i="9" s="1"/>
  <c r="E234" i="9"/>
  <c r="G234" i="9" s="1"/>
  <c r="J234" i="9" s="1"/>
  <c r="D234" i="9"/>
  <c r="I233" i="9"/>
  <c r="H233" i="9"/>
  <c r="G233" i="9"/>
  <c r="J233" i="9" s="1"/>
  <c r="F233" i="9"/>
  <c r="E233" i="9"/>
  <c r="D233" i="9"/>
  <c r="H232" i="9"/>
  <c r="F232" i="9"/>
  <c r="I232" i="9" s="1"/>
  <c r="E232" i="9"/>
  <c r="D232" i="9"/>
  <c r="G232" i="9" s="1"/>
  <c r="J232" i="9" s="1"/>
  <c r="I231" i="9"/>
  <c r="G231" i="9"/>
  <c r="J231" i="9" s="1"/>
  <c r="F231" i="9"/>
  <c r="E231" i="9"/>
  <c r="H231" i="9" s="1"/>
  <c r="D231" i="9"/>
  <c r="F230" i="9"/>
  <c r="I230" i="9" s="1"/>
  <c r="E230" i="9"/>
  <c r="G230" i="9" s="1"/>
  <c r="J230" i="9" s="1"/>
  <c r="D230" i="9"/>
  <c r="I229" i="9"/>
  <c r="H229" i="9"/>
  <c r="G229" i="9"/>
  <c r="J229" i="9" s="1"/>
  <c r="F229" i="9"/>
  <c r="E229" i="9"/>
  <c r="D229" i="9"/>
  <c r="H228" i="9"/>
  <c r="F228" i="9"/>
  <c r="I228" i="9" s="1"/>
  <c r="E228" i="9"/>
  <c r="D228" i="9"/>
  <c r="G228" i="9" s="1"/>
  <c r="J228" i="9" s="1"/>
  <c r="I227" i="9"/>
  <c r="G227" i="9"/>
  <c r="J227" i="9" s="1"/>
  <c r="F227" i="9"/>
  <c r="E227" i="9"/>
  <c r="H227" i="9" s="1"/>
  <c r="D227" i="9"/>
  <c r="F226" i="9"/>
  <c r="I226" i="9" s="1"/>
  <c r="E226" i="9"/>
  <c r="G226" i="9" s="1"/>
  <c r="J226" i="9" s="1"/>
  <c r="D226" i="9"/>
  <c r="I225" i="9"/>
  <c r="H225" i="9"/>
  <c r="G225" i="9"/>
  <c r="J225" i="9" s="1"/>
  <c r="F225" i="9"/>
  <c r="E225" i="9"/>
  <c r="D225" i="9"/>
  <c r="H224" i="9"/>
  <c r="F224" i="9"/>
  <c r="I224" i="9" s="1"/>
  <c r="E224" i="9"/>
  <c r="D224" i="9"/>
  <c r="G224" i="9" s="1"/>
  <c r="J224" i="9" s="1"/>
  <c r="I223" i="9"/>
  <c r="G223" i="9"/>
  <c r="J223" i="9" s="1"/>
  <c r="F223" i="9"/>
  <c r="E223" i="9"/>
  <c r="H223" i="9" s="1"/>
  <c r="D223" i="9"/>
  <c r="F222" i="9"/>
  <c r="I222" i="9" s="1"/>
  <c r="E222" i="9"/>
  <c r="G222" i="9" s="1"/>
  <c r="J222" i="9" s="1"/>
  <c r="D222" i="9"/>
  <c r="I221" i="9"/>
  <c r="H221" i="9"/>
  <c r="G221" i="9"/>
  <c r="J221" i="9" s="1"/>
  <c r="F221" i="9"/>
  <c r="E221" i="9"/>
  <c r="D221" i="9"/>
  <c r="H220" i="9"/>
  <c r="F220" i="9"/>
  <c r="I220" i="9" s="1"/>
  <c r="E220" i="9"/>
  <c r="D220" i="9"/>
  <c r="G220" i="9" s="1"/>
  <c r="J220" i="9" s="1"/>
  <c r="I219" i="9"/>
  <c r="G219" i="9"/>
  <c r="J219" i="9" s="1"/>
  <c r="F219" i="9"/>
  <c r="E219" i="9"/>
  <c r="H219" i="9" s="1"/>
  <c r="D219" i="9"/>
  <c r="F218" i="9"/>
  <c r="I218" i="9" s="1"/>
  <c r="E218" i="9"/>
  <c r="G218" i="9" s="1"/>
  <c r="J218" i="9" s="1"/>
  <c r="D218" i="9"/>
  <c r="I217" i="9"/>
  <c r="H217" i="9"/>
  <c r="G217" i="9"/>
  <c r="J217" i="9" s="1"/>
  <c r="F217" i="9"/>
  <c r="E217" i="9"/>
  <c r="D217" i="9"/>
  <c r="H216" i="9"/>
  <c r="F216" i="9"/>
  <c r="I216" i="9" s="1"/>
  <c r="E216" i="9"/>
  <c r="D216" i="9"/>
  <c r="G216" i="9" s="1"/>
  <c r="J216" i="9" s="1"/>
  <c r="I215" i="9"/>
  <c r="G215" i="9"/>
  <c r="J215" i="9" s="1"/>
  <c r="F215" i="9"/>
  <c r="E215" i="9"/>
  <c r="H215" i="9" s="1"/>
  <c r="D215" i="9"/>
  <c r="F214" i="9"/>
  <c r="I214" i="9" s="1"/>
  <c r="E214" i="9"/>
  <c r="G214" i="9" s="1"/>
  <c r="J214" i="9" s="1"/>
  <c r="D214" i="9"/>
  <c r="I213" i="9"/>
  <c r="H213" i="9"/>
  <c r="G213" i="9"/>
  <c r="J213" i="9" s="1"/>
  <c r="F213" i="9"/>
  <c r="E213" i="9"/>
  <c r="D213" i="9"/>
  <c r="H212" i="9"/>
  <c r="F212" i="9"/>
  <c r="I212" i="9" s="1"/>
  <c r="E212" i="9"/>
  <c r="D212" i="9"/>
  <c r="G212" i="9" s="1"/>
  <c r="J212" i="9" s="1"/>
  <c r="I211" i="9"/>
  <c r="G211" i="9"/>
  <c r="J211" i="9" s="1"/>
  <c r="F211" i="9"/>
  <c r="E211" i="9"/>
  <c r="H211" i="9" s="1"/>
  <c r="D211" i="9"/>
  <c r="F210" i="9"/>
  <c r="I210" i="9" s="1"/>
  <c r="E210" i="9"/>
  <c r="G210" i="9" s="1"/>
  <c r="J210" i="9" s="1"/>
  <c r="D210" i="9"/>
  <c r="I209" i="9"/>
  <c r="H209" i="9"/>
  <c r="G209" i="9"/>
  <c r="J209" i="9" s="1"/>
  <c r="F209" i="9"/>
  <c r="E209" i="9"/>
  <c r="D209" i="9"/>
  <c r="H208" i="9"/>
  <c r="F208" i="9"/>
  <c r="I208" i="9" s="1"/>
  <c r="E208" i="9"/>
  <c r="D208" i="9"/>
  <c r="G208" i="9" s="1"/>
  <c r="J208" i="9" s="1"/>
  <c r="I207" i="9"/>
  <c r="G207" i="9"/>
  <c r="J207" i="9" s="1"/>
  <c r="F207" i="9"/>
  <c r="E207" i="9"/>
  <c r="H207" i="9" s="1"/>
  <c r="D207" i="9"/>
  <c r="F206" i="9"/>
  <c r="I206" i="9" s="1"/>
  <c r="E206" i="9"/>
  <c r="G206" i="9" s="1"/>
  <c r="J206" i="9" s="1"/>
  <c r="D206" i="9"/>
  <c r="I205" i="9"/>
  <c r="H205" i="9"/>
  <c r="G205" i="9"/>
  <c r="J205" i="9" s="1"/>
  <c r="F205" i="9"/>
  <c r="E205" i="9"/>
  <c r="D205" i="9"/>
  <c r="H204" i="9"/>
  <c r="F204" i="9"/>
  <c r="I204" i="9" s="1"/>
  <c r="E204" i="9"/>
  <c r="D204" i="9"/>
  <c r="G204" i="9" s="1"/>
  <c r="J204" i="9" s="1"/>
  <c r="I203" i="9"/>
  <c r="G203" i="9"/>
  <c r="J203" i="9" s="1"/>
  <c r="F203" i="9"/>
  <c r="E203" i="9"/>
  <c r="H203" i="9" s="1"/>
  <c r="D203" i="9"/>
  <c r="F202" i="9"/>
  <c r="I202" i="9" s="1"/>
  <c r="E202" i="9"/>
  <c r="G202" i="9" s="1"/>
  <c r="J202" i="9" s="1"/>
  <c r="D202" i="9"/>
  <c r="I201" i="9"/>
  <c r="H201" i="9"/>
  <c r="G201" i="9"/>
  <c r="J201" i="9" s="1"/>
  <c r="F201" i="9"/>
  <c r="E201" i="9"/>
  <c r="D201" i="9"/>
  <c r="H200" i="9"/>
  <c r="F200" i="9"/>
  <c r="I200" i="9" s="1"/>
  <c r="E200" i="9"/>
  <c r="D200" i="9"/>
  <c r="G200" i="9" s="1"/>
  <c r="J200" i="9" s="1"/>
  <c r="I199" i="9"/>
  <c r="G199" i="9"/>
  <c r="J199" i="9" s="1"/>
  <c r="F199" i="9"/>
  <c r="E199" i="9"/>
  <c r="H199" i="9" s="1"/>
  <c r="D199" i="9"/>
  <c r="F198" i="9"/>
  <c r="I198" i="9" s="1"/>
  <c r="E198" i="9"/>
  <c r="G198" i="9" s="1"/>
  <c r="J198" i="9" s="1"/>
  <c r="D198" i="9"/>
  <c r="I197" i="9"/>
  <c r="H197" i="9"/>
  <c r="G197" i="9"/>
  <c r="J197" i="9" s="1"/>
  <c r="F197" i="9"/>
  <c r="E197" i="9"/>
  <c r="D197" i="9"/>
  <c r="H196" i="9"/>
  <c r="F196" i="9"/>
  <c r="I196" i="9" s="1"/>
  <c r="E196" i="9"/>
  <c r="D196" i="9"/>
  <c r="G196" i="9" s="1"/>
  <c r="J196" i="9" s="1"/>
  <c r="I195" i="9"/>
  <c r="G195" i="9"/>
  <c r="J195" i="9" s="1"/>
  <c r="F195" i="9"/>
  <c r="E195" i="9"/>
  <c r="H195" i="9" s="1"/>
  <c r="D195" i="9"/>
  <c r="F194" i="9"/>
  <c r="I194" i="9" s="1"/>
  <c r="E194" i="9"/>
  <c r="G194" i="9" s="1"/>
  <c r="J194" i="9" s="1"/>
  <c r="D194" i="9"/>
  <c r="I193" i="9"/>
  <c r="H193" i="9"/>
  <c r="G193" i="9"/>
  <c r="J193" i="9" s="1"/>
  <c r="F193" i="9"/>
  <c r="E193" i="9"/>
  <c r="D193" i="9"/>
  <c r="H192" i="9"/>
  <c r="F192" i="9"/>
  <c r="I192" i="9" s="1"/>
  <c r="E192" i="9"/>
  <c r="D192" i="9"/>
  <c r="G192" i="9" s="1"/>
  <c r="J192" i="9" s="1"/>
  <c r="I191" i="9"/>
  <c r="G191" i="9"/>
  <c r="J191" i="9" s="1"/>
  <c r="F191" i="9"/>
  <c r="E191" i="9"/>
  <c r="H191" i="9" s="1"/>
  <c r="D191" i="9"/>
  <c r="F190" i="9"/>
  <c r="I190" i="9" s="1"/>
  <c r="E190" i="9"/>
  <c r="G190" i="9" s="1"/>
  <c r="J190" i="9" s="1"/>
  <c r="D190" i="9"/>
  <c r="I189" i="9"/>
  <c r="H189" i="9"/>
  <c r="G189" i="9"/>
  <c r="J189" i="9" s="1"/>
  <c r="F189" i="9"/>
  <c r="E189" i="9"/>
  <c r="D189" i="9"/>
  <c r="H188" i="9"/>
  <c r="F188" i="9"/>
  <c r="I188" i="9" s="1"/>
  <c r="E188" i="9"/>
  <c r="D188" i="9"/>
  <c r="G188" i="9" s="1"/>
  <c r="J188" i="9" s="1"/>
  <c r="I187" i="9"/>
  <c r="G187" i="9"/>
  <c r="J187" i="9" s="1"/>
  <c r="F187" i="9"/>
  <c r="E187" i="9"/>
  <c r="H187" i="9" s="1"/>
  <c r="D187" i="9"/>
  <c r="F186" i="9"/>
  <c r="I186" i="9" s="1"/>
  <c r="E186" i="9"/>
  <c r="G186" i="9" s="1"/>
  <c r="J186" i="9" s="1"/>
  <c r="D186" i="9"/>
  <c r="I185" i="9"/>
  <c r="H185" i="9"/>
  <c r="G185" i="9"/>
  <c r="J185" i="9" s="1"/>
  <c r="F185" i="9"/>
  <c r="E185" i="9"/>
  <c r="D185" i="9"/>
  <c r="H184" i="9"/>
  <c r="F184" i="9"/>
  <c r="I184" i="9" s="1"/>
  <c r="E184" i="9"/>
  <c r="D184" i="9"/>
  <c r="G184" i="9" s="1"/>
  <c r="J184" i="9" s="1"/>
  <c r="I183" i="9"/>
  <c r="G183" i="9"/>
  <c r="J183" i="9" s="1"/>
  <c r="F183" i="9"/>
  <c r="E183" i="9"/>
  <c r="H183" i="9" s="1"/>
  <c r="D183" i="9"/>
  <c r="F182" i="9"/>
  <c r="I182" i="9" s="1"/>
  <c r="E182" i="9"/>
  <c r="G182" i="9" s="1"/>
  <c r="J182" i="9" s="1"/>
  <c r="D182" i="9"/>
  <c r="I181" i="9"/>
  <c r="H181" i="9"/>
  <c r="G181" i="9"/>
  <c r="J181" i="9" s="1"/>
  <c r="F181" i="9"/>
  <c r="E181" i="9"/>
  <c r="D181" i="9"/>
  <c r="F180" i="9"/>
  <c r="I180" i="9" s="1"/>
  <c r="E180" i="9"/>
  <c r="G180" i="9" s="1"/>
  <c r="J180" i="9" s="1"/>
  <c r="D180" i="9"/>
  <c r="I179" i="9"/>
  <c r="H179" i="9"/>
  <c r="F179" i="9"/>
  <c r="E179" i="9"/>
  <c r="G179" i="9" s="1"/>
  <c r="J179" i="9" s="1"/>
  <c r="D179" i="9"/>
  <c r="H178" i="9"/>
  <c r="G178" i="9"/>
  <c r="J178" i="9" s="1"/>
  <c r="F178" i="9"/>
  <c r="I178" i="9" s="1"/>
  <c r="E178" i="9"/>
  <c r="D178" i="9"/>
  <c r="G177" i="9"/>
  <c r="F177" i="9"/>
  <c r="J177" i="9" s="1"/>
  <c r="E177" i="9"/>
  <c r="H177" i="9" s="1"/>
  <c r="D177" i="9"/>
  <c r="I176" i="9"/>
  <c r="F176" i="9"/>
  <c r="E176" i="9"/>
  <c r="G176" i="9" s="1"/>
  <c r="J176" i="9" s="1"/>
  <c r="D176" i="9"/>
  <c r="I175" i="9"/>
  <c r="H175" i="9"/>
  <c r="F175" i="9"/>
  <c r="E175" i="9"/>
  <c r="G175" i="9" s="1"/>
  <c r="J175" i="9" s="1"/>
  <c r="D175" i="9"/>
  <c r="H174" i="9"/>
  <c r="G174" i="9"/>
  <c r="J174" i="9" s="1"/>
  <c r="F174" i="9"/>
  <c r="I174" i="9" s="1"/>
  <c r="E174" i="9"/>
  <c r="D174" i="9"/>
  <c r="G173" i="9"/>
  <c r="F173" i="9"/>
  <c r="J173" i="9" s="1"/>
  <c r="E173" i="9"/>
  <c r="H173" i="9" s="1"/>
  <c r="D173" i="9"/>
  <c r="I172" i="9"/>
  <c r="F172" i="9"/>
  <c r="E172" i="9"/>
  <c r="G172" i="9" s="1"/>
  <c r="J172" i="9" s="1"/>
  <c r="D172" i="9"/>
  <c r="I171" i="9"/>
  <c r="H171" i="9"/>
  <c r="F171" i="9"/>
  <c r="E171" i="9"/>
  <c r="G171" i="9" s="1"/>
  <c r="J171" i="9" s="1"/>
  <c r="D171" i="9"/>
  <c r="H170" i="9"/>
  <c r="G170" i="9"/>
  <c r="J170" i="9" s="1"/>
  <c r="F170" i="9"/>
  <c r="I170" i="9" s="1"/>
  <c r="E170" i="9"/>
  <c r="D170" i="9"/>
  <c r="G169" i="9"/>
  <c r="F169" i="9"/>
  <c r="J169" i="9" s="1"/>
  <c r="E169" i="9"/>
  <c r="H169" i="9" s="1"/>
  <c r="D169" i="9"/>
  <c r="I168" i="9"/>
  <c r="F168" i="9"/>
  <c r="E168" i="9"/>
  <c r="G168" i="9" s="1"/>
  <c r="J168" i="9" s="1"/>
  <c r="D168" i="9"/>
  <c r="I167" i="9"/>
  <c r="H167" i="9"/>
  <c r="F167" i="9"/>
  <c r="E167" i="9"/>
  <c r="G167" i="9" s="1"/>
  <c r="J167" i="9" s="1"/>
  <c r="D167" i="9"/>
  <c r="H166" i="9"/>
  <c r="G166" i="9"/>
  <c r="J166" i="9" s="1"/>
  <c r="F166" i="9"/>
  <c r="I166" i="9" s="1"/>
  <c r="E166" i="9"/>
  <c r="D166" i="9"/>
  <c r="G165" i="9"/>
  <c r="F165" i="9"/>
  <c r="J165" i="9" s="1"/>
  <c r="E165" i="9"/>
  <c r="H165" i="9" s="1"/>
  <c r="D165" i="9"/>
  <c r="I164" i="9"/>
  <c r="F164" i="9"/>
  <c r="E164" i="9"/>
  <c r="G164" i="9" s="1"/>
  <c r="J164" i="9" s="1"/>
  <c r="D164" i="9"/>
  <c r="I163" i="9"/>
  <c r="H163" i="9"/>
  <c r="F163" i="9"/>
  <c r="E163" i="9"/>
  <c r="G163" i="9" s="1"/>
  <c r="J163" i="9" s="1"/>
  <c r="D163" i="9"/>
  <c r="H162" i="9"/>
  <c r="G162" i="9"/>
  <c r="J162" i="9" s="1"/>
  <c r="F162" i="9"/>
  <c r="I162" i="9" s="1"/>
  <c r="E162" i="9"/>
  <c r="D162" i="9"/>
  <c r="G161" i="9"/>
  <c r="F161" i="9"/>
  <c r="J161" i="9" s="1"/>
  <c r="E161" i="9"/>
  <c r="H161" i="9" s="1"/>
  <c r="D161" i="9"/>
  <c r="I160" i="9"/>
  <c r="F160" i="9"/>
  <c r="E160" i="9"/>
  <c r="G160" i="9" s="1"/>
  <c r="J160" i="9" s="1"/>
  <c r="D160" i="9"/>
  <c r="I159" i="9"/>
  <c r="H159" i="9"/>
  <c r="F159" i="9"/>
  <c r="E159" i="9"/>
  <c r="G159" i="9" s="1"/>
  <c r="J159" i="9" s="1"/>
  <c r="D159" i="9"/>
  <c r="H158" i="9"/>
  <c r="G158" i="9"/>
  <c r="J158" i="9" s="1"/>
  <c r="F158" i="9"/>
  <c r="I158" i="9" s="1"/>
  <c r="E158" i="9"/>
  <c r="D158" i="9"/>
  <c r="G157" i="9"/>
  <c r="F157" i="9"/>
  <c r="J157" i="9" s="1"/>
  <c r="E157" i="9"/>
  <c r="H157" i="9" s="1"/>
  <c r="D157" i="9"/>
  <c r="I156" i="9"/>
  <c r="F156" i="9"/>
  <c r="E156" i="9"/>
  <c r="G156" i="9" s="1"/>
  <c r="J156" i="9" s="1"/>
  <c r="D156" i="9"/>
  <c r="I155" i="9"/>
  <c r="H155" i="9"/>
  <c r="F155" i="9"/>
  <c r="E155" i="9"/>
  <c r="G155" i="9" s="1"/>
  <c r="J155" i="9" s="1"/>
  <c r="D155" i="9"/>
  <c r="H154" i="9"/>
  <c r="G154" i="9"/>
  <c r="J154" i="9" s="1"/>
  <c r="F154" i="9"/>
  <c r="I154" i="9" s="1"/>
  <c r="E154" i="9"/>
  <c r="D154" i="9"/>
  <c r="G153" i="9"/>
  <c r="F153" i="9"/>
  <c r="J153" i="9" s="1"/>
  <c r="E153" i="9"/>
  <c r="H153" i="9" s="1"/>
  <c r="D153" i="9"/>
  <c r="I152" i="9"/>
  <c r="F152" i="9"/>
  <c r="E152" i="9"/>
  <c r="G152" i="9" s="1"/>
  <c r="J152" i="9" s="1"/>
  <c r="D152" i="9"/>
  <c r="I151" i="9"/>
  <c r="H151" i="9"/>
  <c r="F151" i="9"/>
  <c r="E151" i="9"/>
  <c r="G151" i="9" s="1"/>
  <c r="J151" i="9" s="1"/>
  <c r="D151" i="9"/>
  <c r="H150" i="9"/>
  <c r="G150" i="9"/>
  <c r="J150" i="9" s="1"/>
  <c r="F150" i="9"/>
  <c r="I150" i="9" s="1"/>
  <c r="E150" i="9"/>
  <c r="D150" i="9"/>
  <c r="G149" i="9"/>
  <c r="F149" i="9"/>
  <c r="J149" i="9" s="1"/>
  <c r="E149" i="9"/>
  <c r="H149" i="9" s="1"/>
  <c r="D149" i="9"/>
  <c r="I148" i="9"/>
  <c r="F148" i="9"/>
  <c r="E148" i="9"/>
  <c r="G148" i="9" s="1"/>
  <c r="J148" i="9" s="1"/>
  <c r="D148" i="9"/>
  <c r="I147" i="9"/>
  <c r="H147" i="9"/>
  <c r="F147" i="9"/>
  <c r="E147" i="9"/>
  <c r="G147" i="9" s="1"/>
  <c r="J147" i="9" s="1"/>
  <c r="D147" i="9"/>
  <c r="H146" i="9"/>
  <c r="G146" i="9"/>
  <c r="J146" i="9" s="1"/>
  <c r="F146" i="9"/>
  <c r="I146" i="9" s="1"/>
  <c r="E146" i="9"/>
  <c r="D146" i="9"/>
  <c r="G145" i="9"/>
  <c r="F145" i="9"/>
  <c r="J145" i="9" s="1"/>
  <c r="E145" i="9"/>
  <c r="H145" i="9" s="1"/>
  <c r="D145" i="9"/>
  <c r="I144" i="9"/>
  <c r="F144" i="9"/>
  <c r="E144" i="9"/>
  <c r="G144" i="9" s="1"/>
  <c r="J144" i="9" s="1"/>
  <c r="D144" i="9"/>
  <c r="I143" i="9"/>
  <c r="H143" i="9"/>
  <c r="F143" i="9"/>
  <c r="E143" i="9"/>
  <c r="G143" i="9" s="1"/>
  <c r="J143" i="9" s="1"/>
  <c r="D143" i="9"/>
  <c r="H142" i="9"/>
  <c r="G142" i="9"/>
  <c r="J142" i="9" s="1"/>
  <c r="F142" i="9"/>
  <c r="I142" i="9" s="1"/>
  <c r="E142" i="9"/>
  <c r="D142" i="9"/>
  <c r="G141" i="9"/>
  <c r="F141" i="9"/>
  <c r="J141" i="9" s="1"/>
  <c r="E141" i="9"/>
  <c r="H141" i="9" s="1"/>
  <c r="D141" i="9"/>
  <c r="I140" i="9"/>
  <c r="F140" i="9"/>
  <c r="E140" i="9"/>
  <c r="G140" i="9" s="1"/>
  <c r="J140" i="9" s="1"/>
  <c r="D140" i="9"/>
  <c r="I139" i="9"/>
  <c r="H139" i="9"/>
  <c r="F139" i="9"/>
  <c r="E139" i="9"/>
  <c r="G139" i="9" s="1"/>
  <c r="J139" i="9" s="1"/>
  <c r="D139" i="9"/>
  <c r="H138" i="9"/>
  <c r="G138" i="9"/>
  <c r="J138" i="9" s="1"/>
  <c r="F138" i="9"/>
  <c r="I138" i="9" s="1"/>
  <c r="E138" i="9"/>
  <c r="D138" i="9"/>
  <c r="G137" i="9"/>
  <c r="F137" i="9"/>
  <c r="J137" i="9" s="1"/>
  <c r="E137" i="9"/>
  <c r="H137" i="9" s="1"/>
  <c r="D137" i="9"/>
  <c r="I136" i="9"/>
  <c r="F136" i="9"/>
  <c r="E136" i="9"/>
  <c r="G136" i="9" s="1"/>
  <c r="J136" i="9" s="1"/>
  <c r="D136" i="9"/>
  <c r="I135" i="9"/>
  <c r="H135" i="9"/>
  <c r="F135" i="9"/>
  <c r="E135" i="9"/>
  <c r="G135" i="9" s="1"/>
  <c r="J135" i="9" s="1"/>
  <c r="D135" i="9"/>
  <c r="H134" i="9"/>
  <c r="G134" i="9"/>
  <c r="J134" i="9" s="1"/>
  <c r="F134" i="9"/>
  <c r="I134" i="9" s="1"/>
  <c r="E134" i="9"/>
  <c r="D134" i="9"/>
  <c r="G133" i="9"/>
  <c r="F133" i="9"/>
  <c r="J133" i="9" s="1"/>
  <c r="E133" i="9"/>
  <c r="H133" i="9" s="1"/>
  <c r="D133" i="9"/>
  <c r="I132" i="9"/>
  <c r="F132" i="9"/>
  <c r="E132" i="9"/>
  <c r="G132" i="9" s="1"/>
  <c r="J132" i="9" s="1"/>
  <c r="D132" i="9"/>
  <c r="I131" i="9"/>
  <c r="H131" i="9"/>
  <c r="F131" i="9"/>
  <c r="E131" i="9"/>
  <c r="G131" i="9" s="1"/>
  <c r="J131" i="9" s="1"/>
  <c r="D131" i="9"/>
  <c r="H130" i="9"/>
  <c r="G130" i="9"/>
  <c r="J130" i="9" s="1"/>
  <c r="F130" i="9"/>
  <c r="I130" i="9" s="1"/>
  <c r="E130" i="9"/>
  <c r="D130" i="9"/>
  <c r="G129" i="9"/>
  <c r="F129" i="9"/>
  <c r="J129" i="9" s="1"/>
  <c r="E129" i="9"/>
  <c r="H129" i="9" s="1"/>
  <c r="D129" i="9"/>
  <c r="I128" i="9"/>
  <c r="F128" i="9"/>
  <c r="E128" i="9"/>
  <c r="G128" i="9" s="1"/>
  <c r="J128" i="9" s="1"/>
  <c r="D128" i="9"/>
  <c r="I127" i="9"/>
  <c r="H127" i="9"/>
  <c r="F127" i="9"/>
  <c r="E127" i="9"/>
  <c r="G127" i="9" s="1"/>
  <c r="J127" i="9" s="1"/>
  <c r="D127" i="9"/>
  <c r="H126" i="9"/>
  <c r="G126" i="9"/>
  <c r="J126" i="9" s="1"/>
  <c r="F126" i="9"/>
  <c r="I126" i="9" s="1"/>
  <c r="E126" i="9"/>
  <c r="D126" i="9"/>
  <c r="G125" i="9"/>
  <c r="F125" i="9"/>
  <c r="J125" i="9" s="1"/>
  <c r="E125" i="9"/>
  <c r="H125" i="9" s="1"/>
  <c r="D125" i="9"/>
  <c r="I124" i="9"/>
  <c r="F124" i="9"/>
  <c r="E124" i="9"/>
  <c r="G124" i="9" s="1"/>
  <c r="J124" i="9" s="1"/>
  <c r="D124" i="9"/>
  <c r="I123" i="9"/>
  <c r="H123" i="9"/>
  <c r="F123" i="9"/>
  <c r="E123" i="9"/>
  <c r="G123" i="9" s="1"/>
  <c r="J123" i="9" s="1"/>
  <c r="D123" i="9"/>
  <c r="H122" i="9"/>
  <c r="G122" i="9"/>
  <c r="J122" i="9" s="1"/>
  <c r="F122" i="9"/>
  <c r="I122" i="9" s="1"/>
  <c r="E122" i="9"/>
  <c r="D122" i="9"/>
  <c r="G121" i="9"/>
  <c r="F121" i="9"/>
  <c r="J121" i="9" s="1"/>
  <c r="E121" i="9"/>
  <c r="H121" i="9" s="1"/>
  <c r="D121" i="9"/>
  <c r="I120" i="9"/>
  <c r="F120" i="9"/>
  <c r="E120" i="9"/>
  <c r="G120" i="9" s="1"/>
  <c r="J120" i="9" s="1"/>
  <c r="D120" i="9"/>
  <c r="I119" i="9"/>
  <c r="H119" i="9"/>
  <c r="F119" i="9"/>
  <c r="E119" i="9"/>
  <c r="G119" i="9" s="1"/>
  <c r="J119" i="9" s="1"/>
  <c r="D119" i="9"/>
  <c r="H118" i="9"/>
  <c r="G118" i="9"/>
  <c r="J118" i="9" s="1"/>
  <c r="F118" i="9"/>
  <c r="I118" i="9" s="1"/>
  <c r="E118" i="9"/>
  <c r="D118" i="9"/>
  <c r="G117" i="9"/>
  <c r="F117" i="9"/>
  <c r="J117" i="9" s="1"/>
  <c r="E117" i="9"/>
  <c r="H117" i="9" s="1"/>
  <c r="D117" i="9"/>
  <c r="I116" i="9"/>
  <c r="F116" i="9"/>
  <c r="E116" i="9"/>
  <c r="G116" i="9" s="1"/>
  <c r="J116" i="9" s="1"/>
  <c r="D116" i="9"/>
  <c r="I115" i="9"/>
  <c r="H115" i="9"/>
  <c r="F115" i="9"/>
  <c r="E115" i="9"/>
  <c r="G115" i="9" s="1"/>
  <c r="J115" i="9" s="1"/>
  <c r="D115" i="9"/>
  <c r="H114" i="9"/>
  <c r="G114" i="9"/>
  <c r="J114" i="9" s="1"/>
  <c r="F114" i="9"/>
  <c r="I114" i="9" s="1"/>
  <c r="E114" i="9"/>
  <c r="D114" i="9"/>
  <c r="G113" i="9"/>
  <c r="F113" i="9"/>
  <c r="J113" i="9" s="1"/>
  <c r="E113" i="9"/>
  <c r="H113" i="9" s="1"/>
  <c r="D113" i="9"/>
  <c r="I112" i="9"/>
  <c r="F112" i="9"/>
  <c r="E112" i="9"/>
  <c r="G112" i="9" s="1"/>
  <c r="J112" i="9" s="1"/>
  <c r="D112" i="9"/>
  <c r="I111" i="9"/>
  <c r="H111" i="9"/>
  <c r="F111" i="9"/>
  <c r="E111" i="9"/>
  <c r="G111" i="9" s="1"/>
  <c r="J111" i="9" s="1"/>
  <c r="D111" i="9"/>
  <c r="H110" i="9"/>
  <c r="G110" i="9"/>
  <c r="J110" i="9" s="1"/>
  <c r="F110" i="9"/>
  <c r="I110" i="9" s="1"/>
  <c r="E110" i="9"/>
  <c r="D110" i="9"/>
  <c r="G109" i="9"/>
  <c r="F109" i="9"/>
  <c r="J109" i="9" s="1"/>
  <c r="E109" i="9"/>
  <c r="H109" i="9" s="1"/>
  <c r="D109" i="9"/>
  <c r="I108" i="9"/>
  <c r="F108" i="9"/>
  <c r="E108" i="9"/>
  <c r="G108" i="9" s="1"/>
  <c r="J108" i="9" s="1"/>
  <c r="D108" i="9"/>
  <c r="I107" i="9"/>
  <c r="H107" i="9"/>
  <c r="F107" i="9"/>
  <c r="E107" i="9"/>
  <c r="G107" i="9" s="1"/>
  <c r="J107" i="9" s="1"/>
  <c r="D107" i="9"/>
  <c r="H106" i="9"/>
  <c r="G106" i="9"/>
  <c r="J106" i="9" s="1"/>
  <c r="F106" i="9"/>
  <c r="I106" i="9" s="1"/>
  <c r="E106" i="9"/>
  <c r="D106" i="9"/>
  <c r="G105" i="9"/>
  <c r="F105" i="9"/>
  <c r="J105" i="9" s="1"/>
  <c r="E105" i="9"/>
  <c r="H105" i="9" s="1"/>
  <c r="D105" i="9"/>
  <c r="I104" i="9"/>
  <c r="F104" i="9"/>
  <c r="E104" i="9"/>
  <c r="G104" i="9" s="1"/>
  <c r="J104" i="9" s="1"/>
  <c r="D104" i="9"/>
  <c r="I103" i="9"/>
  <c r="H103" i="9"/>
  <c r="F103" i="9"/>
  <c r="E103" i="9"/>
  <c r="G103" i="9" s="1"/>
  <c r="J103" i="9" s="1"/>
  <c r="D103" i="9"/>
  <c r="H102" i="9"/>
  <c r="G102" i="9"/>
  <c r="J102" i="9" s="1"/>
  <c r="F102" i="9"/>
  <c r="I102" i="9" s="1"/>
  <c r="E102" i="9"/>
  <c r="D102" i="9"/>
  <c r="G101" i="9"/>
  <c r="F101" i="9"/>
  <c r="J101" i="9" s="1"/>
  <c r="E101" i="9"/>
  <c r="H101" i="9" s="1"/>
  <c r="D101" i="9"/>
  <c r="I100" i="9"/>
  <c r="F100" i="9"/>
  <c r="E100" i="9"/>
  <c r="G100" i="9" s="1"/>
  <c r="J100" i="9" s="1"/>
  <c r="D100" i="9"/>
  <c r="I99" i="9"/>
  <c r="H99" i="9"/>
  <c r="F99" i="9"/>
  <c r="E99" i="9"/>
  <c r="G99" i="9" s="1"/>
  <c r="J99" i="9" s="1"/>
  <c r="D99" i="9"/>
  <c r="H98" i="9"/>
  <c r="G98" i="9"/>
  <c r="J98" i="9" s="1"/>
  <c r="F98" i="9"/>
  <c r="I98" i="9" s="1"/>
  <c r="E98" i="9"/>
  <c r="D98" i="9"/>
  <c r="G97" i="9"/>
  <c r="F97" i="9"/>
  <c r="J97" i="9" s="1"/>
  <c r="E97" i="9"/>
  <c r="H97" i="9" s="1"/>
  <c r="D97" i="9"/>
  <c r="I96" i="9"/>
  <c r="F96" i="9"/>
  <c r="E96" i="9"/>
  <c r="G96" i="9" s="1"/>
  <c r="J96" i="9" s="1"/>
  <c r="D96" i="9"/>
  <c r="I95" i="9"/>
  <c r="H95" i="9"/>
  <c r="F95" i="9"/>
  <c r="E95" i="9"/>
  <c r="G95" i="9" s="1"/>
  <c r="J95" i="9" s="1"/>
  <c r="D95" i="9"/>
  <c r="H94" i="9"/>
  <c r="G94" i="9"/>
  <c r="J94" i="9" s="1"/>
  <c r="F94" i="9"/>
  <c r="I94" i="9" s="1"/>
  <c r="E94" i="9"/>
  <c r="D94" i="9"/>
  <c r="G93" i="9"/>
  <c r="F93" i="9"/>
  <c r="J93" i="9" s="1"/>
  <c r="E93" i="9"/>
  <c r="H93" i="9" s="1"/>
  <c r="D93" i="9"/>
  <c r="I92" i="9"/>
  <c r="F92" i="9"/>
  <c r="E92" i="9"/>
  <c r="G92" i="9" s="1"/>
  <c r="J92" i="9" s="1"/>
  <c r="D92" i="9"/>
  <c r="I91" i="9"/>
  <c r="H91" i="9"/>
  <c r="F91" i="9"/>
  <c r="E91" i="9"/>
  <c r="G91" i="9" s="1"/>
  <c r="J91" i="9" s="1"/>
  <c r="D91" i="9"/>
  <c r="H90" i="9"/>
  <c r="G90" i="9"/>
  <c r="J90" i="9" s="1"/>
  <c r="F90" i="9"/>
  <c r="I90" i="9" s="1"/>
  <c r="E90" i="9"/>
  <c r="D90" i="9"/>
  <c r="G89" i="9"/>
  <c r="F89" i="9"/>
  <c r="J89" i="9" s="1"/>
  <c r="E89" i="9"/>
  <c r="H89" i="9" s="1"/>
  <c r="D89" i="9"/>
  <c r="I88" i="9"/>
  <c r="F88" i="9"/>
  <c r="E88" i="9"/>
  <c r="G88" i="9" s="1"/>
  <c r="J88" i="9" s="1"/>
  <c r="D88" i="9"/>
  <c r="I87" i="9"/>
  <c r="H87" i="9"/>
  <c r="F87" i="9"/>
  <c r="E87" i="9"/>
  <c r="G87" i="9" s="1"/>
  <c r="J87" i="9" s="1"/>
  <c r="D87" i="9"/>
  <c r="H86" i="9"/>
  <c r="G86" i="9"/>
  <c r="J86" i="9" s="1"/>
  <c r="F86" i="9"/>
  <c r="I86" i="9" s="1"/>
  <c r="E86" i="9"/>
  <c r="D86" i="9"/>
  <c r="G85" i="9"/>
  <c r="F85" i="9"/>
  <c r="J85" i="9" s="1"/>
  <c r="E85" i="9"/>
  <c r="H85" i="9" s="1"/>
  <c r="D85" i="9"/>
  <c r="I84" i="9"/>
  <c r="F84" i="9"/>
  <c r="E84" i="9"/>
  <c r="G84" i="9" s="1"/>
  <c r="J84" i="9" s="1"/>
  <c r="D84" i="9"/>
  <c r="I83" i="9"/>
  <c r="H83" i="9"/>
  <c r="F83" i="9"/>
  <c r="E83" i="9"/>
  <c r="G83" i="9" s="1"/>
  <c r="J83" i="9" s="1"/>
  <c r="D83" i="9"/>
  <c r="H82" i="9"/>
  <c r="G82" i="9"/>
  <c r="J82" i="9" s="1"/>
  <c r="F82" i="9"/>
  <c r="I82" i="9" s="1"/>
  <c r="E82" i="9"/>
  <c r="D82" i="9"/>
  <c r="G81" i="9"/>
  <c r="F81" i="9"/>
  <c r="J81" i="9" s="1"/>
  <c r="E81" i="9"/>
  <c r="H81" i="9" s="1"/>
  <c r="D81" i="9"/>
  <c r="I80" i="9"/>
  <c r="F80" i="9"/>
  <c r="E80" i="9"/>
  <c r="G80" i="9" s="1"/>
  <c r="J80" i="9" s="1"/>
  <c r="D80" i="9"/>
  <c r="I79" i="9"/>
  <c r="H79" i="9"/>
  <c r="F79" i="9"/>
  <c r="E79" i="9"/>
  <c r="G79" i="9" s="1"/>
  <c r="J79" i="9" s="1"/>
  <c r="D79" i="9"/>
  <c r="H78" i="9"/>
  <c r="G78" i="9"/>
  <c r="J78" i="9" s="1"/>
  <c r="F78" i="9"/>
  <c r="I78" i="9" s="1"/>
  <c r="E78" i="9"/>
  <c r="D78" i="9"/>
  <c r="G77" i="9"/>
  <c r="F77" i="9"/>
  <c r="J77" i="9" s="1"/>
  <c r="E77" i="9"/>
  <c r="H77" i="9" s="1"/>
  <c r="D77" i="9"/>
  <c r="I76" i="9"/>
  <c r="F76" i="9"/>
  <c r="E76" i="9"/>
  <c r="G76" i="9" s="1"/>
  <c r="J76" i="9" s="1"/>
  <c r="D76" i="9"/>
  <c r="I75" i="9"/>
  <c r="H75" i="9"/>
  <c r="F75" i="9"/>
  <c r="E75" i="9"/>
  <c r="G75" i="9" s="1"/>
  <c r="J75" i="9" s="1"/>
  <c r="D75" i="9"/>
  <c r="H74" i="9"/>
  <c r="G74" i="9"/>
  <c r="J74" i="9" s="1"/>
  <c r="F74" i="9"/>
  <c r="I74" i="9" s="1"/>
  <c r="E74" i="9"/>
  <c r="D74" i="9"/>
  <c r="G73" i="9"/>
  <c r="F73" i="9"/>
  <c r="J73" i="9" s="1"/>
  <c r="E73" i="9"/>
  <c r="H73" i="9" s="1"/>
  <c r="D73" i="9"/>
  <c r="I72" i="9"/>
  <c r="F72" i="9"/>
  <c r="E72" i="9"/>
  <c r="G72" i="9" s="1"/>
  <c r="J72" i="9" s="1"/>
  <c r="D72" i="9"/>
  <c r="I71" i="9"/>
  <c r="H71" i="9"/>
  <c r="F71" i="9"/>
  <c r="E71" i="9"/>
  <c r="G71" i="9" s="1"/>
  <c r="J71" i="9" s="1"/>
  <c r="D71" i="9"/>
  <c r="H70" i="9"/>
  <c r="G70" i="9"/>
  <c r="J70" i="9" s="1"/>
  <c r="F70" i="9"/>
  <c r="I70" i="9" s="1"/>
  <c r="E70" i="9"/>
  <c r="D70" i="9"/>
  <c r="G69" i="9"/>
  <c r="F69" i="9"/>
  <c r="J69" i="9" s="1"/>
  <c r="E69" i="9"/>
  <c r="H69" i="9" s="1"/>
  <c r="D69" i="9"/>
  <c r="I68" i="9"/>
  <c r="F68" i="9"/>
  <c r="E68" i="9"/>
  <c r="G68" i="9" s="1"/>
  <c r="J68" i="9" s="1"/>
  <c r="D68" i="9"/>
  <c r="I67" i="9"/>
  <c r="H67" i="9"/>
  <c r="F67" i="9"/>
  <c r="E67" i="9"/>
  <c r="G67" i="9" s="1"/>
  <c r="J67" i="9" s="1"/>
  <c r="D67" i="9"/>
  <c r="H66" i="9"/>
  <c r="G66" i="9"/>
  <c r="J66" i="9" s="1"/>
  <c r="F66" i="9"/>
  <c r="I66" i="9" s="1"/>
  <c r="E66" i="9"/>
  <c r="D66" i="9"/>
  <c r="G65" i="9"/>
  <c r="F65" i="9"/>
  <c r="J65" i="9" s="1"/>
  <c r="E65" i="9"/>
  <c r="H65" i="9" s="1"/>
  <c r="D65" i="9"/>
  <c r="I64" i="9"/>
  <c r="F64" i="9"/>
  <c r="E64" i="9"/>
  <c r="G64" i="9" s="1"/>
  <c r="J64" i="9" s="1"/>
  <c r="D64" i="9"/>
  <c r="I63" i="9"/>
  <c r="H63" i="9"/>
  <c r="F63" i="9"/>
  <c r="E63" i="9"/>
  <c r="G63" i="9" s="1"/>
  <c r="J63" i="9" s="1"/>
  <c r="D63" i="9"/>
  <c r="H62" i="9"/>
  <c r="G62" i="9"/>
  <c r="J62" i="9" s="1"/>
  <c r="F62" i="9"/>
  <c r="I62" i="9" s="1"/>
  <c r="E62" i="9"/>
  <c r="D62" i="9"/>
  <c r="G61" i="9"/>
  <c r="F61" i="9"/>
  <c r="J61" i="9" s="1"/>
  <c r="E61" i="9"/>
  <c r="H61" i="9" s="1"/>
  <c r="D61" i="9"/>
  <c r="I60" i="9"/>
  <c r="F60" i="9"/>
  <c r="E60" i="9"/>
  <c r="G60" i="9" s="1"/>
  <c r="J60" i="9" s="1"/>
  <c r="D60" i="9"/>
  <c r="I59" i="9"/>
  <c r="H59" i="9"/>
  <c r="F59" i="9"/>
  <c r="E59" i="9"/>
  <c r="G59" i="9" s="1"/>
  <c r="J59" i="9" s="1"/>
  <c r="D59" i="9"/>
  <c r="H58" i="9"/>
  <c r="G58" i="9"/>
  <c r="J58" i="9" s="1"/>
  <c r="F58" i="9"/>
  <c r="I58" i="9" s="1"/>
  <c r="E58" i="9"/>
  <c r="D58" i="9"/>
  <c r="G57" i="9"/>
  <c r="F57" i="9"/>
  <c r="J57" i="9" s="1"/>
  <c r="E57" i="9"/>
  <c r="H57" i="9" s="1"/>
  <c r="D57" i="9"/>
  <c r="I56" i="9"/>
  <c r="F56" i="9"/>
  <c r="E56" i="9"/>
  <c r="G56" i="9" s="1"/>
  <c r="J56" i="9" s="1"/>
  <c r="D56" i="9"/>
  <c r="I55" i="9"/>
  <c r="H55" i="9"/>
  <c r="F55" i="9"/>
  <c r="E55" i="9"/>
  <c r="G55" i="9" s="1"/>
  <c r="J55" i="9" s="1"/>
  <c r="D55" i="9"/>
  <c r="H54" i="9"/>
  <c r="G54" i="9"/>
  <c r="J54" i="9" s="1"/>
  <c r="F54" i="9"/>
  <c r="I54" i="9" s="1"/>
  <c r="E54" i="9"/>
  <c r="D54" i="9"/>
  <c r="G53" i="9"/>
  <c r="F53" i="9"/>
  <c r="J53" i="9" s="1"/>
  <c r="E53" i="9"/>
  <c r="H53" i="9" s="1"/>
  <c r="D53" i="9"/>
  <c r="I52" i="9"/>
  <c r="F52" i="9"/>
  <c r="E52" i="9"/>
  <c r="G52" i="9" s="1"/>
  <c r="J52" i="9" s="1"/>
  <c r="D52" i="9"/>
  <c r="I51" i="9"/>
  <c r="H51" i="9"/>
  <c r="F51" i="9"/>
  <c r="E51" i="9"/>
  <c r="G51" i="9" s="1"/>
  <c r="J51" i="9" s="1"/>
  <c r="D51" i="9"/>
  <c r="H50" i="9"/>
  <c r="G50" i="9"/>
  <c r="J50" i="9" s="1"/>
  <c r="F50" i="9"/>
  <c r="I50" i="9" s="1"/>
  <c r="E50" i="9"/>
  <c r="D50" i="9"/>
  <c r="G49" i="9"/>
  <c r="F49" i="9"/>
  <c r="J49" i="9" s="1"/>
  <c r="E49" i="9"/>
  <c r="H49" i="9" s="1"/>
  <c r="D49" i="9"/>
  <c r="I48" i="9"/>
  <c r="F48" i="9"/>
  <c r="E48" i="9"/>
  <c r="G48" i="9" s="1"/>
  <c r="J48" i="9" s="1"/>
  <c r="D48" i="9"/>
  <c r="I47" i="9"/>
  <c r="H47" i="9"/>
  <c r="F47" i="9"/>
  <c r="E47" i="9"/>
  <c r="G47" i="9" s="1"/>
  <c r="J47" i="9" s="1"/>
  <c r="D47" i="9"/>
  <c r="H46" i="9"/>
  <c r="G46" i="9"/>
  <c r="J46" i="9" s="1"/>
  <c r="F46" i="9"/>
  <c r="I46" i="9" s="1"/>
  <c r="E46" i="9"/>
  <c r="D46" i="9"/>
  <c r="G45" i="9"/>
  <c r="F45" i="9"/>
  <c r="E45" i="9"/>
  <c r="H45" i="9" s="1"/>
  <c r="D45" i="9"/>
  <c r="I44" i="9"/>
  <c r="F44" i="9"/>
  <c r="E44" i="9"/>
  <c r="D44" i="9"/>
  <c r="I43" i="9"/>
  <c r="H43" i="9"/>
  <c r="F43" i="9"/>
  <c r="E43" i="9"/>
  <c r="D43" i="9"/>
  <c r="H42" i="9"/>
  <c r="G42" i="9"/>
  <c r="J42" i="9" s="1"/>
  <c r="F42" i="9"/>
  <c r="I42" i="9" s="1"/>
  <c r="E42" i="9"/>
  <c r="D42" i="9"/>
  <c r="G41" i="9"/>
  <c r="F41" i="9"/>
  <c r="I41" i="9" s="1"/>
  <c r="E41" i="9"/>
  <c r="H41" i="9" s="1"/>
  <c r="D41" i="9"/>
  <c r="I40" i="9"/>
  <c r="F40" i="9"/>
  <c r="E40" i="9"/>
  <c r="D40" i="9"/>
  <c r="I39" i="9"/>
  <c r="H39" i="9"/>
  <c r="F39" i="9"/>
  <c r="E39" i="9"/>
  <c r="D39" i="9"/>
  <c r="H38" i="9"/>
  <c r="G38" i="9"/>
  <c r="J38" i="9" s="1"/>
  <c r="F38" i="9"/>
  <c r="I38" i="9" s="1"/>
  <c r="E38" i="9"/>
  <c r="D38" i="9"/>
  <c r="G37" i="9"/>
  <c r="F37" i="9"/>
  <c r="I37" i="9" s="1"/>
  <c r="E37" i="9"/>
  <c r="H37" i="9" s="1"/>
  <c r="D37" i="9"/>
  <c r="I36" i="9"/>
  <c r="F36" i="9"/>
  <c r="E36" i="9"/>
  <c r="D36" i="9"/>
  <c r="I35" i="9"/>
  <c r="H35" i="9"/>
  <c r="F35" i="9"/>
  <c r="E35" i="9"/>
  <c r="G35" i="9" s="1"/>
  <c r="J35" i="9" s="1"/>
  <c r="D35" i="9"/>
  <c r="H34" i="9"/>
  <c r="G34" i="9"/>
  <c r="J34" i="9" s="1"/>
  <c r="F34" i="9"/>
  <c r="I34" i="9" s="1"/>
  <c r="E34" i="9"/>
  <c r="D34" i="9"/>
  <c r="J33" i="9"/>
  <c r="G33" i="9"/>
  <c r="F33" i="9"/>
  <c r="I33" i="9" s="1"/>
  <c r="E33" i="9"/>
  <c r="H33" i="9" s="1"/>
  <c r="D33" i="9"/>
  <c r="I32" i="9"/>
  <c r="F32" i="9"/>
  <c r="E32" i="9"/>
  <c r="D32" i="9"/>
  <c r="I31" i="9"/>
  <c r="H31" i="9"/>
  <c r="F31" i="9"/>
  <c r="E31" i="9"/>
  <c r="G31" i="9" s="1"/>
  <c r="J31" i="9" s="1"/>
  <c r="D31" i="9"/>
  <c r="H30" i="9"/>
  <c r="G30" i="9"/>
  <c r="J30" i="9" s="1"/>
  <c r="F30" i="9"/>
  <c r="I30" i="9" s="1"/>
  <c r="E30" i="9"/>
  <c r="D30" i="9"/>
  <c r="J29" i="9"/>
  <c r="G29" i="9"/>
  <c r="F29" i="9"/>
  <c r="I29" i="9" s="1"/>
  <c r="E29" i="9"/>
  <c r="H29" i="9" s="1"/>
  <c r="D29" i="9"/>
  <c r="I28" i="9"/>
  <c r="F28" i="9"/>
  <c r="E28" i="9"/>
  <c r="D28" i="9"/>
  <c r="I27" i="9"/>
  <c r="H27" i="9"/>
  <c r="F27" i="9"/>
  <c r="E27" i="9"/>
  <c r="D27" i="9"/>
  <c r="H26" i="9"/>
  <c r="G26" i="9"/>
  <c r="J26" i="9" s="1"/>
  <c r="F26" i="9"/>
  <c r="I26" i="9" s="1"/>
  <c r="E26" i="9"/>
  <c r="D26" i="9"/>
  <c r="G25" i="9"/>
  <c r="F25" i="9"/>
  <c r="I25" i="9" s="1"/>
  <c r="E25" i="9"/>
  <c r="H25" i="9" s="1"/>
  <c r="D25" i="9"/>
  <c r="I24" i="9"/>
  <c r="F24" i="9"/>
  <c r="E24" i="9"/>
  <c r="D24" i="9"/>
  <c r="I23" i="9"/>
  <c r="H23" i="9"/>
  <c r="F23" i="9"/>
  <c r="E23" i="9"/>
  <c r="D23" i="9"/>
  <c r="H22" i="9"/>
  <c r="F22" i="9"/>
  <c r="I22" i="9" s="1"/>
  <c r="E22" i="9"/>
  <c r="D22" i="9"/>
  <c r="G22" i="9" s="1"/>
  <c r="J22" i="9" s="1"/>
  <c r="G21" i="9"/>
  <c r="F21" i="9"/>
  <c r="I21" i="9" s="1"/>
  <c r="E21" i="9"/>
  <c r="H21" i="9" s="1"/>
  <c r="D21" i="9"/>
  <c r="F20" i="9"/>
  <c r="I20" i="9" s="1"/>
  <c r="E20" i="9"/>
  <c r="D20" i="9"/>
  <c r="I19" i="9"/>
  <c r="H19" i="9"/>
  <c r="F19" i="9"/>
  <c r="E19" i="9"/>
  <c r="D19" i="9"/>
  <c r="H18" i="9"/>
  <c r="F18" i="9"/>
  <c r="I18" i="9" s="1"/>
  <c r="E18" i="9"/>
  <c r="D18" i="9"/>
  <c r="G18" i="9" s="1"/>
  <c r="J18" i="9" s="1"/>
  <c r="G17" i="9"/>
  <c r="F17" i="9"/>
  <c r="I17" i="9" s="1"/>
  <c r="E17" i="9"/>
  <c r="H17" i="9" s="1"/>
  <c r="D17" i="9"/>
  <c r="F16" i="9"/>
  <c r="I16" i="9" s="1"/>
  <c r="E16" i="9"/>
  <c r="D16" i="9"/>
  <c r="I15" i="9"/>
  <c r="H15" i="9"/>
  <c r="F15" i="9"/>
  <c r="E15" i="9"/>
  <c r="D15" i="9"/>
  <c r="H14" i="9"/>
  <c r="F14" i="9"/>
  <c r="I14" i="9" s="1"/>
  <c r="E14" i="9"/>
  <c r="D14" i="9"/>
  <c r="G14" i="9" s="1"/>
  <c r="J14" i="9" s="1"/>
  <c r="G13" i="9"/>
  <c r="F13" i="9"/>
  <c r="I13" i="9" s="1"/>
  <c r="E13" i="9"/>
  <c r="H13" i="9" s="1"/>
  <c r="D13" i="9"/>
  <c r="F12" i="9"/>
  <c r="I12" i="9" s="1"/>
  <c r="E12" i="9"/>
  <c r="D12" i="9"/>
  <c r="I11" i="9"/>
  <c r="H11" i="9"/>
  <c r="F11" i="9"/>
  <c r="E11" i="9"/>
  <c r="D11" i="9"/>
  <c r="H10" i="9"/>
  <c r="F10" i="9"/>
  <c r="I10" i="9" s="1"/>
  <c r="E10" i="9"/>
  <c r="D10" i="9"/>
  <c r="G10" i="9" s="1"/>
  <c r="J10" i="9" s="1"/>
  <c r="G9" i="9"/>
  <c r="F9" i="9"/>
  <c r="I9" i="9" s="1"/>
  <c r="E9" i="9"/>
  <c r="H9" i="9" s="1"/>
  <c r="D9" i="9"/>
  <c r="F8" i="9"/>
  <c r="I8" i="9" s="1"/>
  <c r="E8" i="9"/>
  <c r="D8" i="9"/>
  <c r="I7" i="9"/>
  <c r="H7" i="9"/>
  <c r="F7" i="9"/>
  <c r="E7" i="9"/>
  <c r="D7" i="9"/>
  <c r="H6" i="9"/>
  <c r="F6" i="9"/>
  <c r="I6" i="9" s="1"/>
  <c r="E6" i="9"/>
  <c r="D6" i="9"/>
  <c r="G6" i="9" s="1"/>
  <c r="J6" i="9" s="1"/>
  <c r="G5" i="9"/>
  <c r="F5" i="9"/>
  <c r="I5" i="9" s="1"/>
  <c r="E5" i="9"/>
  <c r="H5" i="9" s="1"/>
  <c r="D5" i="9"/>
  <c r="F4" i="9"/>
  <c r="I4" i="9" s="1"/>
  <c r="E4" i="9"/>
  <c r="D4" i="9"/>
  <c r="I3" i="9"/>
  <c r="H3" i="9"/>
  <c r="F3" i="9"/>
  <c r="E3" i="9"/>
  <c r="D3" i="9"/>
  <c r="H2" i="9"/>
  <c r="F2" i="9"/>
  <c r="I2" i="9" s="1"/>
  <c r="E2" i="9"/>
  <c r="D2" i="9"/>
  <c r="G2" i="9" s="1"/>
  <c r="J2" i="9" s="1"/>
  <c r="F3" i="8"/>
  <c r="F1001" i="7"/>
  <c r="I1001" i="7" s="1"/>
  <c r="E1001" i="7"/>
  <c r="D1001" i="7"/>
  <c r="F1000" i="7"/>
  <c r="I1000" i="7" s="1"/>
  <c r="E1000" i="7"/>
  <c r="D1000" i="7"/>
  <c r="F999" i="7"/>
  <c r="I999" i="7" s="1"/>
  <c r="E999" i="7"/>
  <c r="H999" i="7" s="1"/>
  <c r="D999" i="7"/>
  <c r="F998" i="7"/>
  <c r="I998" i="7" s="1"/>
  <c r="E998" i="7"/>
  <c r="H998" i="7" s="1"/>
  <c r="D998" i="7"/>
  <c r="F997" i="7"/>
  <c r="I997" i="7" s="1"/>
  <c r="E997" i="7"/>
  <c r="D997" i="7"/>
  <c r="F996" i="7"/>
  <c r="I996" i="7" s="1"/>
  <c r="E996" i="7"/>
  <c r="D996" i="7"/>
  <c r="F995" i="7"/>
  <c r="I995" i="7" s="1"/>
  <c r="E995" i="7"/>
  <c r="H995" i="7" s="1"/>
  <c r="D995" i="7"/>
  <c r="F994" i="7"/>
  <c r="I994" i="7" s="1"/>
  <c r="E994" i="7"/>
  <c r="H994" i="7" s="1"/>
  <c r="D994" i="7"/>
  <c r="F993" i="7"/>
  <c r="I993" i="7" s="1"/>
  <c r="E993" i="7"/>
  <c r="D993" i="7"/>
  <c r="F992" i="7"/>
  <c r="I992" i="7" s="1"/>
  <c r="E992" i="7"/>
  <c r="D992" i="7"/>
  <c r="F991" i="7"/>
  <c r="I991" i="7" s="1"/>
  <c r="E991" i="7"/>
  <c r="H991" i="7" s="1"/>
  <c r="D991" i="7"/>
  <c r="F990" i="7"/>
  <c r="I990" i="7" s="1"/>
  <c r="E990" i="7"/>
  <c r="H990" i="7" s="1"/>
  <c r="D990" i="7"/>
  <c r="F989" i="7"/>
  <c r="I989" i="7" s="1"/>
  <c r="E989" i="7"/>
  <c r="D989" i="7"/>
  <c r="F941" i="7"/>
  <c r="I941" i="7" s="1"/>
  <c r="E941" i="7"/>
  <c r="D941" i="7"/>
  <c r="F987" i="7"/>
  <c r="I987" i="7" s="1"/>
  <c r="E987" i="7"/>
  <c r="H987" i="7" s="1"/>
  <c r="D987" i="7"/>
  <c r="F986" i="7"/>
  <c r="I986" i="7" s="1"/>
  <c r="E986" i="7"/>
  <c r="H986" i="7" s="1"/>
  <c r="D986" i="7"/>
  <c r="F985" i="7"/>
  <c r="I985" i="7" s="1"/>
  <c r="E985" i="7"/>
  <c r="D985" i="7"/>
  <c r="F984" i="7"/>
  <c r="I984" i="7" s="1"/>
  <c r="E984" i="7"/>
  <c r="D984" i="7"/>
  <c r="F983" i="7"/>
  <c r="I983" i="7" s="1"/>
  <c r="E983" i="7"/>
  <c r="H983" i="7" s="1"/>
  <c r="D983" i="7"/>
  <c r="F982" i="7"/>
  <c r="I982" i="7" s="1"/>
  <c r="E982" i="7"/>
  <c r="H982" i="7" s="1"/>
  <c r="D982" i="7"/>
  <c r="F981" i="7"/>
  <c r="I981" i="7" s="1"/>
  <c r="E981" i="7"/>
  <c r="D981" i="7"/>
  <c r="F932" i="7"/>
  <c r="I932" i="7" s="1"/>
  <c r="E932" i="7"/>
  <c r="D932" i="7"/>
  <c r="F979" i="7"/>
  <c r="I979" i="7" s="1"/>
  <c r="E979" i="7"/>
  <c r="D979" i="7"/>
  <c r="F978" i="7"/>
  <c r="I978" i="7" s="1"/>
  <c r="E978" i="7"/>
  <c r="H978" i="7" s="1"/>
  <c r="D978" i="7"/>
  <c r="F977" i="7"/>
  <c r="I977" i="7" s="1"/>
  <c r="E977" i="7"/>
  <c r="D977" i="7"/>
  <c r="F976" i="7"/>
  <c r="I976" i="7" s="1"/>
  <c r="E976" i="7"/>
  <c r="D976" i="7"/>
  <c r="F975" i="7"/>
  <c r="I975" i="7" s="1"/>
  <c r="E975" i="7"/>
  <c r="H975" i="7" s="1"/>
  <c r="D975" i="7"/>
  <c r="F974" i="7"/>
  <c r="I974" i="7" s="1"/>
  <c r="E974" i="7"/>
  <c r="H974" i="7" s="1"/>
  <c r="D974" i="7"/>
  <c r="F973" i="7"/>
  <c r="I973" i="7" s="1"/>
  <c r="E973" i="7"/>
  <c r="D973" i="7"/>
  <c r="F972" i="7"/>
  <c r="I972" i="7" s="1"/>
  <c r="E972" i="7"/>
  <c r="D972" i="7"/>
  <c r="F971" i="7"/>
  <c r="I971" i="7" s="1"/>
  <c r="E971" i="7"/>
  <c r="H971" i="7" s="1"/>
  <c r="D971" i="7"/>
  <c r="F970" i="7"/>
  <c r="I970" i="7" s="1"/>
  <c r="E970" i="7"/>
  <c r="H970" i="7" s="1"/>
  <c r="D970" i="7"/>
  <c r="F969" i="7"/>
  <c r="I969" i="7" s="1"/>
  <c r="E969" i="7"/>
  <c r="D969" i="7"/>
  <c r="F968" i="7"/>
  <c r="I968" i="7" s="1"/>
  <c r="E968" i="7"/>
  <c r="D968" i="7"/>
  <c r="F967" i="7"/>
  <c r="I967" i="7" s="1"/>
  <c r="E967" i="7"/>
  <c r="H967" i="7" s="1"/>
  <c r="D967" i="7"/>
  <c r="F966" i="7"/>
  <c r="I966" i="7" s="1"/>
  <c r="E966" i="7"/>
  <c r="H966" i="7" s="1"/>
  <c r="D966" i="7"/>
  <c r="F965" i="7"/>
  <c r="I965" i="7" s="1"/>
  <c r="E965" i="7"/>
  <c r="D965" i="7"/>
  <c r="F964" i="7"/>
  <c r="I964" i="7" s="1"/>
  <c r="E964" i="7"/>
  <c r="D964" i="7"/>
  <c r="F963" i="7"/>
  <c r="I963" i="7" s="1"/>
  <c r="E963" i="7"/>
  <c r="D963" i="7"/>
  <c r="F962" i="7"/>
  <c r="I962" i="7" s="1"/>
  <c r="E962" i="7"/>
  <c r="H962" i="7" s="1"/>
  <c r="D962" i="7"/>
  <c r="F866" i="7"/>
  <c r="I866" i="7" s="1"/>
  <c r="E866" i="7"/>
  <c r="D866" i="7"/>
  <c r="F960" i="7"/>
  <c r="I960" i="7" s="1"/>
  <c r="E960" i="7"/>
  <c r="D960" i="7"/>
  <c r="F959" i="7"/>
  <c r="I959" i="7" s="1"/>
  <c r="E959" i="7"/>
  <c r="H959" i="7" s="1"/>
  <c r="D959" i="7"/>
  <c r="F958" i="7"/>
  <c r="I958" i="7" s="1"/>
  <c r="E958" i="7"/>
  <c r="H958" i="7" s="1"/>
  <c r="D958" i="7"/>
  <c r="F957" i="7"/>
  <c r="I957" i="7" s="1"/>
  <c r="E957" i="7"/>
  <c r="D957" i="7"/>
  <c r="F601" i="7"/>
  <c r="I601" i="7" s="1"/>
  <c r="E601" i="7"/>
  <c r="D601" i="7"/>
  <c r="F955" i="7"/>
  <c r="I955" i="7" s="1"/>
  <c r="E955" i="7"/>
  <c r="G955" i="7" s="1"/>
  <c r="D955" i="7"/>
  <c r="F954" i="7"/>
  <c r="I954" i="7" s="1"/>
  <c r="E954" i="7"/>
  <c r="H954" i="7" s="1"/>
  <c r="D954" i="7"/>
  <c r="F953" i="7"/>
  <c r="I953" i="7" s="1"/>
  <c r="E953" i="7"/>
  <c r="D953" i="7"/>
  <c r="F952" i="7"/>
  <c r="I952" i="7" s="1"/>
  <c r="E952" i="7"/>
  <c r="D952" i="7"/>
  <c r="F951" i="7"/>
  <c r="I951" i="7" s="1"/>
  <c r="E951" i="7"/>
  <c r="H951" i="7" s="1"/>
  <c r="D951" i="7"/>
  <c r="F873" i="7"/>
  <c r="I873" i="7" s="1"/>
  <c r="E873" i="7"/>
  <c r="H873" i="7" s="1"/>
  <c r="D873" i="7"/>
  <c r="F949" i="7"/>
  <c r="I949" i="7" s="1"/>
  <c r="E949" i="7"/>
  <c r="D949" i="7"/>
  <c r="F948" i="7"/>
  <c r="I948" i="7" s="1"/>
  <c r="E948" i="7"/>
  <c r="D948" i="7"/>
  <c r="F947" i="7"/>
  <c r="I947" i="7" s="1"/>
  <c r="E947" i="7"/>
  <c r="D947" i="7"/>
  <c r="F946" i="7"/>
  <c r="I946" i="7" s="1"/>
  <c r="E946" i="7"/>
  <c r="H946" i="7" s="1"/>
  <c r="D946" i="7"/>
  <c r="F945" i="7"/>
  <c r="I945" i="7" s="1"/>
  <c r="E945" i="7"/>
  <c r="D945" i="7"/>
  <c r="F944" i="7"/>
  <c r="I944" i="7" s="1"/>
  <c r="E944" i="7"/>
  <c r="D944" i="7"/>
  <c r="F943" i="7"/>
  <c r="I943" i="7" s="1"/>
  <c r="E943" i="7"/>
  <c r="H943" i="7" s="1"/>
  <c r="D943" i="7"/>
  <c r="F942" i="7"/>
  <c r="I942" i="7" s="1"/>
  <c r="E942" i="7"/>
  <c r="H942" i="7" s="1"/>
  <c r="D942" i="7"/>
  <c r="F835" i="7"/>
  <c r="I835" i="7" s="1"/>
  <c r="E835" i="7"/>
  <c r="D835" i="7"/>
  <c r="F940" i="7"/>
  <c r="I940" i="7" s="1"/>
  <c r="E940" i="7"/>
  <c r="D940" i="7"/>
  <c r="F939" i="7"/>
  <c r="I939" i="7" s="1"/>
  <c r="E939" i="7"/>
  <c r="H939" i="7" s="1"/>
  <c r="D939" i="7"/>
  <c r="F938" i="7"/>
  <c r="I938" i="7" s="1"/>
  <c r="E938" i="7"/>
  <c r="H938" i="7" s="1"/>
  <c r="D938" i="7"/>
  <c r="F937" i="7"/>
  <c r="I937" i="7" s="1"/>
  <c r="E937" i="7"/>
  <c r="H937" i="7" s="1"/>
  <c r="D937" i="7"/>
  <c r="F936" i="7"/>
  <c r="I936" i="7" s="1"/>
  <c r="E936" i="7"/>
  <c r="D936" i="7"/>
  <c r="F935" i="7"/>
  <c r="I935" i="7" s="1"/>
  <c r="E935" i="7"/>
  <c r="H935" i="7" s="1"/>
  <c r="D935" i="7"/>
  <c r="F934" i="7"/>
  <c r="I934" i="7" s="1"/>
  <c r="E934" i="7"/>
  <c r="H934" i="7" s="1"/>
  <c r="D934" i="7"/>
  <c r="F933" i="7"/>
  <c r="I933" i="7" s="1"/>
  <c r="E933" i="7"/>
  <c r="D933" i="7"/>
  <c r="F961" i="7"/>
  <c r="I961" i="7" s="1"/>
  <c r="E961" i="7"/>
  <c r="D961" i="7"/>
  <c r="F931" i="7"/>
  <c r="I931" i="7" s="1"/>
  <c r="E931" i="7"/>
  <c r="D931" i="7"/>
  <c r="F930" i="7"/>
  <c r="I930" i="7" s="1"/>
  <c r="E930" i="7"/>
  <c r="H930" i="7" s="1"/>
  <c r="D930" i="7"/>
  <c r="F929" i="7"/>
  <c r="I929" i="7" s="1"/>
  <c r="E929" i="7"/>
  <c r="D929" i="7"/>
  <c r="F928" i="7"/>
  <c r="I928" i="7" s="1"/>
  <c r="E928" i="7"/>
  <c r="D928" i="7"/>
  <c r="H927" i="7"/>
  <c r="F927" i="7"/>
  <c r="I927" i="7" s="1"/>
  <c r="E927" i="7"/>
  <c r="D927" i="7"/>
  <c r="H926" i="7"/>
  <c r="F926" i="7"/>
  <c r="I926" i="7" s="1"/>
  <c r="E926" i="7"/>
  <c r="D926" i="7"/>
  <c r="F925" i="7"/>
  <c r="I925" i="7" s="1"/>
  <c r="E925" i="7"/>
  <c r="D925" i="7"/>
  <c r="F924" i="7"/>
  <c r="I924" i="7" s="1"/>
  <c r="E924" i="7"/>
  <c r="D924" i="7"/>
  <c r="F923" i="7"/>
  <c r="I923" i="7" s="1"/>
  <c r="E923" i="7"/>
  <c r="H923" i="7" s="1"/>
  <c r="D923" i="7"/>
  <c r="F922" i="7"/>
  <c r="I922" i="7" s="1"/>
  <c r="E922" i="7"/>
  <c r="D922" i="7"/>
  <c r="F921" i="7"/>
  <c r="I921" i="7" s="1"/>
  <c r="E921" i="7"/>
  <c r="D921" i="7"/>
  <c r="F920" i="7"/>
  <c r="I920" i="7" s="1"/>
  <c r="E920" i="7"/>
  <c r="D920" i="7"/>
  <c r="F919" i="7"/>
  <c r="I919" i="7" s="1"/>
  <c r="E919" i="7"/>
  <c r="H919" i="7" s="1"/>
  <c r="D919" i="7"/>
  <c r="F918" i="7"/>
  <c r="I918" i="7" s="1"/>
  <c r="E918" i="7"/>
  <c r="H918" i="7" s="1"/>
  <c r="D918" i="7"/>
  <c r="F917" i="7"/>
  <c r="I917" i="7" s="1"/>
  <c r="E917" i="7"/>
  <c r="H917" i="7" s="1"/>
  <c r="D917" i="7"/>
  <c r="F916" i="7"/>
  <c r="I916" i="7" s="1"/>
  <c r="E916" i="7"/>
  <c r="D916" i="7"/>
  <c r="F915" i="7"/>
  <c r="I915" i="7" s="1"/>
  <c r="E915" i="7"/>
  <c r="D915" i="7"/>
  <c r="F914" i="7"/>
  <c r="I914" i="7" s="1"/>
  <c r="E914" i="7"/>
  <c r="H914" i="7" s="1"/>
  <c r="D914" i="7"/>
  <c r="F913" i="7"/>
  <c r="I913" i="7" s="1"/>
  <c r="E913" i="7"/>
  <c r="H913" i="7" s="1"/>
  <c r="D913" i="7"/>
  <c r="F912" i="7"/>
  <c r="I912" i="7" s="1"/>
  <c r="E912" i="7"/>
  <c r="D912" i="7"/>
  <c r="F911" i="7"/>
  <c r="I911" i="7" s="1"/>
  <c r="E911" i="7"/>
  <c r="D911" i="7"/>
  <c r="F910" i="7"/>
  <c r="I910" i="7" s="1"/>
  <c r="E910" i="7"/>
  <c r="D910" i="7"/>
  <c r="F909" i="7"/>
  <c r="I909" i="7" s="1"/>
  <c r="E909" i="7"/>
  <c r="H909" i="7" s="1"/>
  <c r="D909" i="7"/>
  <c r="F908" i="7"/>
  <c r="I908" i="7" s="1"/>
  <c r="E908" i="7"/>
  <c r="D908" i="7"/>
  <c r="F907" i="7"/>
  <c r="I907" i="7" s="1"/>
  <c r="E907" i="7"/>
  <c r="D907" i="7"/>
  <c r="F906" i="7"/>
  <c r="I906" i="7" s="1"/>
  <c r="E906" i="7"/>
  <c r="H906" i="7" s="1"/>
  <c r="D906" i="7"/>
  <c r="F905" i="7"/>
  <c r="I905" i="7" s="1"/>
  <c r="E905" i="7"/>
  <c r="D905" i="7"/>
  <c r="F904" i="7"/>
  <c r="I904" i="7" s="1"/>
  <c r="E904" i="7"/>
  <c r="H904" i="7" s="1"/>
  <c r="D904" i="7"/>
  <c r="F903" i="7"/>
  <c r="I903" i="7" s="1"/>
  <c r="E903" i="7"/>
  <c r="H903" i="7" s="1"/>
  <c r="D903" i="7"/>
  <c r="F902" i="7"/>
  <c r="I902" i="7" s="1"/>
  <c r="E902" i="7"/>
  <c r="H902" i="7" s="1"/>
  <c r="D902" i="7"/>
  <c r="F901" i="7"/>
  <c r="I901" i="7" s="1"/>
  <c r="E901" i="7"/>
  <c r="D901" i="7"/>
  <c r="F900" i="7"/>
  <c r="I900" i="7" s="1"/>
  <c r="E900" i="7"/>
  <c r="H900" i="7" s="1"/>
  <c r="D900" i="7"/>
  <c r="F899" i="7"/>
  <c r="I899" i="7" s="1"/>
  <c r="E899" i="7"/>
  <c r="H899" i="7" s="1"/>
  <c r="D899" i="7"/>
  <c r="F898" i="7"/>
  <c r="I898" i="7" s="1"/>
  <c r="E898" i="7"/>
  <c r="H898" i="7" s="1"/>
  <c r="D898" i="7"/>
  <c r="F897" i="7"/>
  <c r="I897" i="7" s="1"/>
  <c r="E897" i="7"/>
  <c r="D897" i="7"/>
  <c r="F896" i="7"/>
  <c r="I896" i="7" s="1"/>
  <c r="E896" i="7"/>
  <c r="H896" i="7" s="1"/>
  <c r="D896" i="7"/>
  <c r="F895" i="7"/>
  <c r="I895" i="7" s="1"/>
  <c r="E895" i="7"/>
  <c r="H895" i="7" s="1"/>
  <c r="D895" i="7"/>
  <c r="F894" i="7"/>
  <c r="I894" i="7" s="1"/>
  <c r="E894" i="7"/>
  <c r="H894" i="7" s="1"/>
  <c r="D894" i="7"/>
  <c r="F893" i="7"/>
  <c r="I893" i="7" s="1"/>
  <c r="E893" i="7"/>
  <c r="D893" i="7"/>
  <c r="F892" i="7"/>
  <c r="I892" i="7" s="1"/>
  <c r="E892" i="7"/>
  <c r="H892" i="7" s="1"/>
  <c r="D892" i="7"/>
  <c r="F891" i="7"/>
  <c r="I891" i="7" s="1"/>
  <c r="E891" i="7"/>
  <c r="H891" i="7" s="1"/>
  <c r="D891" i="7"/>
  <c r="F890" i="7"/>
  <c r="I890" i="7" s="1"/>
  <c r="E890" i="7"/>
  <c r="H890" i="7" s="1"/>
  <c r="D890" i="7"/>
  <c r="F889" i="7"/>
  <c r="I889" i="7" s="1"/>
  <c r="E889" i="7"/>
  <c r="D889" i="7"/>
  <c r="F888" i="7"/>
  <c r="I888" i="7" s="1"/>
  <c r="E888" i="7"/>
  <c r="H888" i="7" s="1"/>
  <c r="D888" i="7"/>
  <c r="F887" i="7"/>
  <c r="I887" i="7" s="1"/>
  <c r="E887" i="7"/>
  <c r="H887" i="7" s="1"/>
  <c r="D887" i="7"/>
  <c r="F886" i="7"/>
  <c r="I886" i="7" s="1"/>
  <c r="E886" i="7"/>
  <c r="H886" i="7" s="1"/>
  <c r="D886" i="7"/>
  <c r="F885" i="7"/>
  <c r="I885" i="7" s="1"/>
  <c r="E885" i="7"/>
  <c r="D885" i="7"/>
  <c r="F884" i="7"/>
  <c r="I884" i="7" s="1"/>
  <c r="E884" i="7"/>
  <c r="H884" i="7" s="1"/>
  <c r="D884" i="7"/>
  <c r="F883" i="7"/>
  <c r="I883" i="7" s="1"/>
  <c r="E883" i="7"/>
  <c r="H883" i="7" s="1"/>
  <c r="D883" i="7"/>
  <c r="F882" i="7"/>
  <c r="I882" i="7" s="1"/>
  <c r="E882" i="7"/>
  <c r="H882" i="7" s="1"/>
  <c r="D882" i="7"/>
  <c r="F881" i="7"/>
  <c r="I881" i="7" s="1"/>
  <c r="E881" i="7"/>
  <c r="D881" i="7"/>
  <c r="F880" i="7"/>
  <c r="I880" i="7" s="1"/>
  <c r="E880" i="7"/>
  <c r="H880" i="7" s="1"/>
  <c r="D880" i="7"/>
  <c r="F879" i="7"/>
  <c r="I879" i="7" s="1"/>
  <c r="E879" i="7"/>
  <c r="H879" i="7" s="1"/>
  <c r="D879" i="7"/>
  <c r="F878" i="7"/>
  <c r="I878" i="7" s="1"/>
  <c r="E878" i="7"/>
  <c r="H878" i="7" s="1"/>
  <c r="D878" i="7"/>
  <c r="F877" i="7"/>
  <c r="I877" i="7" s="1"/>
  <c r="E877" i="7"/>
  <c r="D877" i="7"/>
  <c r="F876" i="7"/>
  <c r="I876" i="7" s="1"/>
  <c r="E876" i="7"/>
  <c r="H876" i="7" s="1"/>
  <c r="D876" i="7"/>
  <c r="F875" i="7"/>
  <c r="I875" i="7" s="1"/>
  <c r="E875" i="7"/>
  <c r="H875" i="7" s="1"/>
  <c r="D875" i="7"/>
  <c r="F874" i="7"/>
  <c r="I874" i="7" s="1"/>
  <c r="E874" i="7"/>
  <c r="H874" i="7" s="1"/>
  <c r="D874" i="7"/>
  <c r="I703" i="7"/>
  <c r="F703" i="7"/>
  <c r="E703" i="7"/>
  <c r="D703" i="7"/>
  <c r="F872" i="7"/>
  <c r="I872" i="7" s="1"/>
  <c r="E872" i="7"/>
  <c r="H872" i="7" s="1"/>
  <c r="D872" i="7"/>
  <c r="F871" i="7"/>
  <c r="I871" i="7" s="1"/>
  <c r="E871" i="7"/>
  <c r="H871" i="7" s="1"/>
  <c r="D871" i="7"/>
  <c r="F870" i="7"/>
  <c r="I870" i="7" s="1"/>
  <c r="E870" i="7"/>
  <c r="H870" i="7" s="1"/>
  <c r="D870" i="7"/>
  <c r="F869" i="7"/>
  <c r="I869" i="7" s="1"/>
  <c r="E869" i="7"/>
  <c r="D869" i="7"/>
  <c r="F868" i="7"/>
  <c r="I868" i="7" s="1"/>
  <c r="E868" i="7"/>
  <c r="H868" i="7" s="1"/>
  <c r="D868" i="7"/>
  <c r="F867" i="7"/>
  <c r="I867" i="7" s="1"/>
  <c r="E867" i="7"/>
  <c r="H867" i="7" s="1"/>
  <c r="D867" i="7"/>
  <c r="F758" i="7"/>
  <c r="I758" i="7" s="1"/>
  <c r="E758" i="7"/>
  <c r="H758" i="7" s="1"/>
  <c r="D758" i="7"/>
  <c r="F865" i="7"/>
  <c r="I865" i="7" s="1"/>
  <c r="E865" i="7"/>
  <c r="D865" i="7"/>
  <c r="F864" i="7"/>
  <c r="I864" i="7" s="1"/>
  <c r="E864" i="7"/>
  <c r="H864" i="7" s="1"/>
  <c r="D864" i="7"/>
  <c r="F863" i="7"/>
  <c r="I863" i="7" s="1"/>
  <c r="E863" i="7"/>
  <c r="D863" i="7"/>
  <c r="F862" i="7"/>
  <c r="I862" i="7" s="1"/>
  <c r="E862" i="7"/>
  <c r="H862" i="7" s="1"/>
  <c r="D862" i="7"/>
  <c r="F861" i="7"/>
  <c r="I861" i="7" s="1"/>
  <c r="E861" i="7"/>
  <c r="D861" i="7"/>
  <c r="F860" i="7"/>
  <c r="I860" i="7" s="1"/>
  <c r="E860" i="7"/>
  <c r="D860" i="7"/>
  <c r="F859" i="7"/>
  <c r="I859" i="7" s="1"/>
  <c r="E859" i="7"/>
  <c r="D859" i="7"/>
  <c r="F858" i="7"/>
  <c r="I858" i="7" s="1"/>
  <c r="E858" i="7"/>
  <c r="H858" i="7" s="1"/>
  <c r="D858" i="7"/>
  <c r="F857" i="7"/>
  <c r="I857" i="7" s="1"/>
  <c r="E857" i="7"/>
  <c r="D857" i="7"/>
  <c r="F856" i="7"/>
  <c r="I856" i="7" s="1"/>
  <c r="E856" i="7"/>
  <c r="D856" i="7"/>
  <c r="F855" i="7"/>
  <c r="I855" i="7" s="1"/>
  <c r="E855" i="7"/>
  <c r="D855" i="7"/>
  <c r="F854" i="7"/>
  <c r="I854" i="7" s="1"/>
  <c r="E854" i="7"/>
  <c r="H854" i="7" s="1"/>
  <c r="D854" i="7"/>
  <c r="F853" i="7"/>
  <c r="I853" i="7" s="1"/>
  <c r="E853" i="7"/>
  <c r="D853" i="7"/>
  <c r="F852" i="7"/>
  <c r="I852" i="7" s="1"/>
  <c r="E852" i="7"/>
  <c r="H852" i="7" s="1"/>
  <c r="D852" i="7"/>
  <c r="F851" i="7"/>
  <c r="I851" i="7" s="1"/>
  <c r="E851" i="7"/>
  <c r="H851" i="7" s="1"/>
  <c r="D851" i="7"/>
  <c r="F850" i="7"/>
  <c r="I850" i="7" s="1"/>
  <c r="E850" i="7"/>
  <c r="H850" i="7" s="1"/>
  <c r="D850" i="7"/>
  <c r="F849" i="7"/>
  <c r="I849" i="7" s="1"/>
  <c r="E849" i="7"/>
  <c r="D849" i="7"/>
  <c r="F848" i="7"/>
  <c r="I848" i="7" s="1"/>
  <c r="E848" i="7"/>
  <c r="D848" i="7"/>
  <c r="F847" i="7"/>
  <c r="I847" i="7" s="1"/>
  <c r="E847" i="7"/>
  <c r="H847" i="7" s="1"/>
  <c r="D847" i="7"/>
  <c r="F846" i="7"/>
  <c r="I846" i="7" s="1"/>
  <c r="E846" i="7"/>
  <c r="H846" i="7" s="1"/>
  <c r="D846" i="7"/>
  <c r="F845" i="7"/>
  <c r="I845" i="7" s="1"/>
  <c r="E845" i="7"/>
  <c r="D845" i="7"/>
  <c r="F844" i="7"/>
  <c r="I844" i="7" s="1"/>
  <c r="E844" i="7"/>
  <c r="H844" i="7" s="1"/>
  <c r="D844" i="7"/>
  <c r="F843" i="7"/>
  <c r="I843" i="7" s="1"/>
  <c r="E843" i="7"/>
  <c r="D843" i="7"/>
  <c r="F842" i="7"/>
  <c r="I842" i="7" s="1"/>
  <c r="E842" i="7"/>
  <c r="D842" i="7"/>
  <c r="F841" i="7"/>
  <c r="I841" i="7" s="1"/>
  <c r="E841" i="7"/>
  <c r="D841" i="7"/>
  <c r="F840" i="7"/>
  <c r="I840" i="7" s="1"/>
  <c r="E840" i="7"/>
  <c r="D840" i="7"/>
  <c r="F839" i="7"/>
  <c r="I839" i="7" s="1"/>
  <c r="E839" i="7"/>
  <c r="D839" i="7"/>
  <c r="F838" i="7"/>
  <c r="I838" i="7" s="1"/>
  <c r="E838" i="7"/>
  <c r="H838" i="7" s="1"/>
  <c r="D838" i="7"/>
  <c r="F837" i="7"/>
  <c r="I837" i="7" s="1"/>
  <c r="E837" i="7"/>
  <c r="D837" i="7"/>
  <c r="F836" i="7"/>
  <c r="I836" i="7" s="1"/>
  <c r="E836" i="7"/>
  <c r="H836" i="7" s="1"/>
  <c r="D836" i="7"/>
  <c r="F988" i="7"/>
  <c r="I988" i="7" s="1"/>
  <c r="E988" i="7"/>
  <c r="D988" i="7"/>
  <c r="F950" i="7"/>
  <c r="I950" i="7" s="1"/>
  <c r="E950" i="7"/>
  <c r="D950" i="7"/>
  <c r="F833" i="7"/>
  <c r="I833" i="7" s="1"/>
  <c r="E833" i="7"/>
  <c r="H833" i="7" s="1"/>
  <c r="D833" i="7"/>
  <c r="F832" i="7"/>
  <c r="I832" i="7" s="1"/>
  <c r="E832" i="7"/>
  <c r="H832" i="7" s="1"/>
  <c r="D832" i="7"/>
  <c r="F831" i="7"/>
  <c r="I831" i="7" s="1"/>
  <c r="E831" i="7"/>
  <c r="D831" i="7"/>
  <c r="F830" i="7"/>
  <c r="I830" i="7" s="1"/>
  <c r="E830" i="7"/>
  <c r="H830" i="7" s="1"/>
  <c r="D830" i="7"/>
  <c r="F656" i="7"/>
  <c r="I656" i="7" s="1"/>
  <c r="E656" i="7"/>
  <c r="H656" i="7" s="1"/>
  <c r="D656" i="7"/>
  <c r="F828" i="7"/>
  <c r="I828" i="7" s="1"/>
  <c r="E828" i="7"/>
  <c r="H828" i="7" s="1"/>
  <c r="D828" i="7"/>
  <c r="F827" i="7"/>
  <c r="I827" i="7" s="1"/>
  <c r="E827" i="7"/>
  <c r="D827" i="7"/>
  <c r="F826" i="7"/>
  <c r="I826" i="7" s="1"/>
  <c r="E826" i="7"/>
  <c r="H826" i="7" s="1"/>
  <c r="D826" i="7"/>
  <c r="F825" i="7"/>
  <c r="I825" i="7" s="1"/>
  <c r="E825" i="7"/>
  <c r="H825" i="7" s="1"/>
  <c r="D825" i="7"/>
  <c r="F824" i="7"/>
  <c r="I824" i="7" s="1"/>
  <c r="E824" i="7"/>
  <c r="H824" i="7" s="1"/>
  <c r="D824" i="7"/>
  <c r="F823" i="7"/>
  <c r="I823" i="7" s="1"/>
  <c r="E823" i="7"/>
  <c r="D823" i="7"/>
  <c r="F822" i="7"/>
  <c r="I822" i="7" s="1"/>
  <c r="E822" i="7"/>
  <c r="H822" i="7" s="1"/>
  <c r="D822" i="7"/>
  <c r="F821" i="7"/>
  <c r="I821" i="7" s="1"/>
  <c r="E821" i="7"/>
  <c r="H821" i="7" s="1"/>
  <c r="D821" i="7"/>
  <c r="F820" i="7"/>
  <c r="I820" i="7" s="1"/>
  <c r="E820" i="7"/>
  <c r="H820" i="7" s="1"/>
  <c r="D820" i="7"/>
  <c r="F819" i="7"/>
  <c r="I819" i="7" s="1"/>
  <c r="E819" i="7"/>
  <c r="D819" i="7"/>
  <c r="F818" i="7"/>
  <c r="I818" i="7" s="1"/>
  <c r="E818" i="7"/>
  <c r="D818" i="7"/>
  <c r="F817" i="7"/>
  <c r="I817" i="7" s="1"/>
  <c r="E817" i="7"/>
  <c r="H817" i="7" s="1"/>
  <c r="D817" i="7"/>
  <c r="F816" i="7"/>
  <c r="I816" i="7" s="1"/>
  <c r="E816" i="7"/>
  <c r="H816" i="7" s="1"/>
  <c r="D816" i="7"/>
  <c r="F815" i="7"/>
  <c r="I815" i="7" s="1"/>
  <c r="E815" i="7"/>
  <c r="D815" i="7"/>
  <c r="F814" i="7"/>
  <c r="I814" i="7" s="1"/>
  <c r="E814" i="7"/>
  <c r="D814" i="7"/>
  <c r="F813" i="7"/>
  <c r="I813" i="7" s="1"/>
  <c r="E813" i="7"/>
  <c r="H813" i="7" s="1"/>
  <c r="D813" i="7"/>
  <c r="F812" i="7"/>
  <c r="I812" i="7" s="1"/>
  <c r="E812" i="7"/>
  <c r="H812" i="7" s="1"/>
  <c r="D812" i="7"/>
  <c r="F811" i="7"/>
  <c r="I811" i="7" s="1"/>
  <c r="E811" i="7"/>
  <c r="D811" i="7"/>
  <c r="F810" i="7"/>
  <c r="I810" i="7" s="1"/>
  <c r="E810" i="7"/>
  <c r="H810" i="7" s="1"/>
  <c r="D810" i="7"/>
  <c r="F809" i="7"/>
  <c r="I809" i="7" s="1"/>
  <c r="E809" i="7"/>
  <c r="H809" i="7" s="1"/>
  <c r="D809" i="7"/>
  <c r="F808" i="7"/>
  <c r="I808" i="7" s="1"/>
  <c r="E808" i="7"/>
  <c r="H808" i="7" s="1"/>
  <c r="D808" i="7"/>
  <c r="F807" i="7"/>
  <c r="I807" i="7" s="1"/>
  <c r="E807" i="7"/>
  <c r="D807" i="7"/>
  <c r="F806" i="7"/>
  <c r="I806" i="7" s="1"/>
  <c r="E806" i="7"/>
  <c r="H806" i="7" s="1"/>
  <c r="D806" i="7"/>
  <c r="F805" i="7"/>
  <c r="I805" i="7" s="1"/>
  <c r="E805" i="7"/>
  <c r="H805" i="7" s="1"/>
  <c r="D805" i="7"/>
  <c r="F804" i="7"/>
  <c r="E804" i="7"/>
  <c r="H804" i="7" s="1"/>
  <c r="D804" i="7"/>
  <c r="F803" i="7"/>
  <c r="I803" i="7" s="1"/>
  <c r="E803" i="7"/>
  <c r="D803" i="7"/>
  <c r="F802" i="7"/>
  <c r="I802" i="7" s="1"/>
  <c r="E802" i="7"/>
  <c r="H802" i="7" s="1"/>
  <c r="D802" i="7"/>
  <c r="F801" i="7"/>
  <c r="I801" i="7" s="1"/>
  <c r="E801" i="7"/>
  <c r="D801" i="7"/>
  <c r="F800" i="7"/>
  <c r="E800" i="7"/>
  <c r="D800" i="7"/>
  <c r="F799" i="7"/>
  <c r="I799" i="7" s="1"/>
  <c r="E799" i="7"/>
  <c r="D799" i="7"/>
  <c r="F798" i="7"/>
  <c r="I798" i="7" s="1"/>
  <c r="E798" i="7"/>
  <c r="H798" i="7" s="1"/>
  <c r="D798" i="7"/>
  <c r="F797" i="7"/>
  <c r="I797" i="7" s="1"/>
  <c r="E797" i="7"/>
  <c r="H797" i="7" s="1"/>
  <c r="D797" i="7"/>
  <c r="F796" i="7"/>
  <c r="I796" i="7" s="1"/>
  <c r="E796" i="7"/>
  <c r="H796" i="7" s="1"/>
  <c r="D796" i="7"/>
  <c r="F795" i="7"/>
  <c r="I795" i="7" s="1"/>
  <c r="E795" i="7"/>
  <c r="D795" i="7"/>
  <c r="F794" i="7"/>
  <c r="I794" i="7" s="1"/>
  <c r="E794" i="7"/>
  <c r="H794" i="7" s="1"/>
  <c r="D794" i="7"/>
  <c r="F621" i="7"/>
  <c r="I621" i="7" s="1"/>
  <c r="E621" i="7"/>
  <c r="H621" i="7" s="1"/>
  <c r="D621" i="7"/>
  <c r="F792" i="7"/>
  <c r="I792" i="7" s="1"/>
  <c r="E792" i="7"/>
  <c r="H792" i="7" s="1"/>
  <c r="D792" i="7"/>
  <c r="F791" i="7"/>
  <c r="I791" i="7" s="1"/>
  <c r="E791" i="7"/>
  <c r="D791" i="7"/>
  <c r="F790" i="7"/>
  <c r="I790" i="7" s="1"/>
  <c r="E790" i="7"/>
  <c r="H790" i="7" s="1"/>
  <c r="D790" i="7"/>
  <c r="F789" i="7"/>
  <c r="I789" i="7" s="1"/>
  <c r="E789" i="7"/>
  <c r="H789" i="7" s="1"/>
  <c r="D789" i="7"/>
  <c r="F788" i="7"/>
  <c r="I788" i="7" s="1"/>
  <c r="E788" i="7"/>
  <c r="D788" i="7"/>
  <c r="F787" i="7"/>
  <c r="I787" i="7" s="1"/>
  <c r="E787" i="7"/>
  <c r="D787" i="7"/>
  <c r="F786" i="7"/>
  <c r="I786" i="7" s="1"/>
  <c r="E786" i="7"/>
  <c r="D786" i="7"/>
  <c r="F785" i="7"/>
  <c r="I785" i="7" s="1"/>
  <c r="E785" i="7"/>
  <c r="H785" i="7" s="1"/>
  <c r="D785" i="7"/>
  <c r="F784" i="7"/>
  <c r="I784" i="7" s="1"/>
  <c r="E784" i="7"/>
  <c r="D784" i="7"/>
  <c r="F783" i="7"/>
  <c r="I783" i="7" s="1"/>
  <c r="E783" i="7"/>
  <c r="D783" i="7"/>
  <c r="F782" i="7"/>
  <c r="I782" i="7" s="1"/>
  <c r="E782" i="7"/>
  <c r="H782" i="7" s="1"/>
  <c r="D782" i="7"/>
  <c r="F781" i="7"/>
  <c r="I781" i="7" s="1"/>
  <c r="E781" i="7"/>
  <c r="H781" i="7" s="1"/>
  <c r="D781" i="7"/>
  <c r="F780" i="7"/>
  <c r="I780" i="7" s="1"/>
  <c r="E780" i="7"/>
  <c r="D780" i="7"/>
  <c r="F779" i="7"/>
  <c r="I779" i="7" s="1"/>
  <c r="E779" i="7"/>
  <c r="D779" i="7"/>
  <c r="F778" i="7"/>
  <c r="I778" i="7" s="1"/>
  <c r="E778" i="7"/>
  <c r="D778" i="7"/>
  <c r="F777" i="7"/>
  <c r="I777" i="7" s="1"/>
  <c r="E777" i="7"/>
  <c r="D777" i="7"/>
  <c r="F776" i="7"/>
  <c r="I776" i="7" s="1"/>
  <c r="E776" i="7"/>
  <c r="D776" i="7"/>
  <c r="F775" i="7"/>
  <c r="I775" i="7" s="1"/>
  <c r="E775" i="7"/>
  <c r="D775" i="7"/>
  <c r="F774" i="7"/>
  <c r="I774" i="7" s="1"/>
  <c r="E774" i="7"/>
  <c r="H774" i="7" s="1"/>
  <c r="D774" i="7"/>
  <c r="F773" i="7"/>
  <c r="I773" i="7" s="1"/>
  <c r="E773" i="7"/>
  <c r="H773" i="7" s="1"/>
  <c r="D773" i="7"/>
  <c r="F772" i="7"/>
  <c r="I772" i="7" s="1"/>
  <c r="E772" i="7"/>
  <c r="D772" i="7"/>
  <c r="F771" i="7"/>
  <c r="I771" i="7" s="1"/>
  <c r="E771" i="7"/>
  <c r="D771" i="7"/>
  <c r="F770" i="7"/>
  <c r="I770" i="7" s="1"/>
  <c r="E770" i="7"/>
  <c r="D770" i="7"/>
  <c r="F769" i="7"/>
  <c r="I769" i="7" s="1"/>
  <c r="E769" i="7"/>
  <c r="D769" i="7"/>
  <c r="F768" i="7"/>
  <c r="I768" i="7" s="1"/>
  <c r="E768" i="7"/>
  <c r="D768" i="7"/>
  <c r="F767" i="7"/>
  <c r="I767" i="7" s="1"/>
  <c r="E767" i="7"/>
  <c r="D767" i="7"/>
  <c r="F766" i="7"/>
  <c r="I766" i="7" s="1"/>
  <c r="E766" i="7"/>
  <c r="H766" i="7" s="1"/>
  <c r="D766" i="7"/>
  <c r="F765" i="7"/>
  <c r="I765" i="7" s="1"/>
  <c r="E765" i="7"/>
  <c r="H765" i="7" s="1"/>
  <c r="D765" i="7"/>
  <c r="F764" i="7"/>
  <c r="I764" i="7" s="1"/>
  <c r="E764" i="7"/>
  <c r="H764" i="7" s="1"/>
  <c r="D764" i="7"/>
  <c r="F763" i="7"/>
  <c r="I763" i="7" s="1"/>
  <c r="E763" i="7"/>
  <c r="D763" i="7"/>
  <c r="F762" i="7"/>
  <c r="I762" i="7" s="1"/>
  <c r="E762" i="7"/>
  <c r="D762" i="7"/>
  <c r="F761" i="7"/>
  <c r="I761" i="7" s="1"/>
  <c r="E761" i="7"/>
  <c r="D761" i="7"/>
  <c r="F760" i="7"/>
  <c r="I760" i="7" s="1"/>
  <c r="E760" i="7"/>
  <c r="H760" i="7" s="1"/>
  <c r="D760" i="7"/>
  <c r="F759" i="7"/>
  <c r="I759" i="7" s="1"/>
  <c r="E759" i="7"/>
  <c r="D759" i="7"/>
  <c r="F644" i="7"/>
  <c r="I644" i="7" s="1"/>
  <c r="E644" i="7"/>
  <c r="H644" i="7" s="1"/>
  <c r="D644" i="7"/>
  <c r="F757" i="7"/>
  <c r="I757" i="7" s="1"/>
  <c r="E757" i="7"/>
  <c r="H757" i="7" s="1"/>
  <c r="D757" i="7"/>
  <c r="F756" i="7"/>
  <c r="I756" i="7" s="1"/>
  <c r="E756" i="7"/>
  <c r="D756" i="7"/>
  <c r="F755" i="7"/>
  <c r="I755" i="7" s="1"/>
  <c r="E755" i="7"/>
  <c r="D755" i="7"/>
  <c r="F754" i="7"/>
  <c r="I754" i="7" s="1"/>
  <c r="E754" i="7"/>
  <c r="D754" i="7"/>
  <c r="F753" i="7"/>
  <c r="I753" i="7" s="1"/>
  <c r="E753" i="7"/>
  <c r="H753" i="7" s="1"/>
  <c r="D753" i="7"/>
  <c r="F752" i="7"/>
  <c r="I752" i="7" s="1"/>
  <c r="E752" i="7"/>
  <c r="D752" i="7"/>
  <c r="F751" i="7"/>
  <c r="I751" i="7" s="1"/>
  <c r="E751" i="7"/>
  <c r="D751" i="7"/>
  <c r="F750" i="7"/>
  <c r="I750" i="7" s="1"/>
  <c r="E750" i="7"/>
  <c r="H750" i="7" s="1"/>
  <c r="D750" i="7"/>
  <c r="F749" i="7"/>
  <c r="I749" i="7" s="1"/>
  <c r="E749" i="7"/>
  <c r="H749" i="7" s="1"/>
  <c r="D749" i="7"/>
  <c r="F748" i="7"/>
  <c r="I748" i="7" s="1"/>
  <c r="E748" i="7"/>
  <c r="D748" i="7"/>
  <c r="F747" i="7"/>
  <c r="I747" i="7" s="1"/>
  <c r="E747" i="7"/>
  <c r="D747" i="7"/>
  <c r="F746" i="7"/>
  <c r="I746" i="7" s="1"/>
  <c r="E746" i="7"/>
  <c r="D746" i="7"/>
  <c r="F745" i="7"/>
  <c r="I745" i="7" s="1"/>
  <c r="E745" i="7"/>
  <c r="D745" i="7"/>
  <c r="F744" i="7"/>
  <c r="I744" i="7" s="1"/>
  <c r="E744" i="7"/>
  <c r="D744" i="7"/>
  <c r="F743" i="7"/>
  <c r="I743" i="7" s="1"/>
  <c r="E743" i="7"/>
  <c r="D743" i="7"/>
  <c r="F742" i="7"/>
  <c r="I742" i="7" s="1"/>
  <c r="E742" i="7"/>
  <c r="H742" i="7" s="1"/>
  <c r="D742" i="7"/>
  <c r="F741" i="7"/>
  <c r="I741" i="7" s="1"/>
  <c r="E741" i="7"/>
  <c r="H741" i="7" s="1"/>
  <c r="D741" i="7"/>
  <c r="F740" i="7"/>
  <c r="I740" i="7" s="1"/>
  <c r="E740" i="7"/>
  <c r="D740" i="7"/>
  <c r="F739" i="7"/>
  <c r="I739" i="7" s="1"/>
  <c r="E739" i="7"/>
  <c r="D739" i="7"/>
  <c r="F738" i="7"/>
  <c r="I738" i="7" s="1"/>
  <c r="E738" i="7"/>
  <c r="D738" i="7"/>
  <c r="F737" i="7"/>
  <c r="I737" i="7" s="1"/>
  <c r="E737" i="7"/>
  <c r="H737" i="7" s="1"/>
  <c r="D737" i="7"/>
  <c r="F736" i="7"/>
  <c r="I736" i="7" s="1"/>
  <c r="E736" i="7"/>
  <c r="D736" i="7"/>
  <c r="F735" i="7"/>
  <c r="I735" i="7" s="1"/>
  <c r="E735" i="7"/>
  <c r="D735" i="7"/>
  <c r="F734" i="7"/>
  <c r="I734" i="7" s="1"/>
  <c r="E734" i="7"/>
  <c r="H734" i="7" s="1"/>
  <c r="D734" i="7"/>
  <c r="F733" i="7"/>
  <c r="I733" i="7" s="1"/>
  <c r="E733" i="7"/>
  <c r="H733" i="7" s="1"/>
  <c r="D733" i="7"/>
  <c r="F732" i="7"/>
  <c r="I732" i="7" s="1"/>
  <c r="E732" i="7"/>
  <c r="H732" i="7" s="1"/>
  <c r="D732" i="7"/>
  <c r="F731" i="7"/>
  <c r="I731" i="7" s="1"/>
  <c r="E731" i="7"/>
  <c r="D731" i="7"/>
  <c r="F980" i="7"/>
  <c r="I980" i="7" s="1"/>
  <c r="E980" i="7"/>
  <c r="D980" i="7"/>
  <c r="F729" i="7"/>
  <c r="I729" i="7" s="1"/>
  <c r="E729" i="7"/>
  <c r="D729" i="7"/>
  <c r="F728" i="7"/>
  <c r="I728" i="7" s="1"/>
  <c r="E728" i="7"/>
  <c r="H728" i="7" s="1"/>
  <c r="D728" i="7"/>
  <c r="F727" i="7"/>
  <c r="I727" i="7" s="1"/>
  <c r="E727" i="7"/>
  <c r="D727" i="7"/>
  <c r="F726" i="7"/>
  <c r="I726" i="7" s="1"/>
  <c r="E726" i="7"/>
  <c r="H726" i="7" s="1"/>
  <c r="D726" i="7"/>
  <c r="F725" i="7"/>
  <c r="I725" i="7" s="1"/>
  <c r="E725" i="7"/>
  <c r="H725" i="7" s="1"/>
  <c r="D725" i="7"/>
  <c r="F724" i="7"/>
  <c r="I724" i="7" s="1"/>
  <c r="E724" i="7"/>
  <c r="D724" i="7"/>
  <c r="F723" i="7"/>
  <c r="I723" i="7" s="1"/>
  <c r="E723" i="7"/>
  <c r="D723" i="7"/>
  <c r="F834" i="7"/>
  <c r="I834" i="7" s="1"/>
  <c r="E834" i="7"/>
  <c r="H834" i="7" s="1"/>
  <c r="D834" i="7"/>
  <c r="F721" i="7"/>
  <c r="I721" i="7" s="1"/>
  <c r="E721" i="7"/>
  <c r="D721" i="7"/>
  <c r="F720" i="7"/>
  <c r="I720" i="7" s="1"/>
  <c r="E720" i="7"/>
  <c r="H720" i="7" s="1"/>
  <c r="D720" i="7"/>
  <c r="F793" i="7"/>
  <c r="I793" i="7" s="1"/>
  <c r="E793" i="7"/>
  <c r="D793" i="7"/>
  <c r="F718" i="7"/>
  <c r="I718" i="7" s="1"/>
  <c r="E718" i="7"/>
  <c r="H718" i="7" s="1"/>
  <c r="D718" i="7"/>
  <c r="F717" i="7"/>
  <c r="I717" i="7" s="1"/>
  <c r="E717" i="7"/>
  <c r="D717" i="7"/>
  <c r="F956" i="7"/>
  <c r="I956" i="7" s="1"/>
  <c r="E956" i="7"/>
  <c r="H956" i="7" s="1"/>
  <c r="D956" i="7"/>
  <c r="F715" i="7"/>
  <c r="I715" i="7" s="1"/>
  <c r="E715" i="7"/>
  <c r="D715" i="7"/>
  <c r="F714" i="7"/>
  <c r="I714" i="7" s="1"/>
  <c r="E714" i="7"/>
  <c r="H714" i="7" s="1"/>
  <c r="D714" i="7"/>
  <c r="F713" i="7"/>
  <c r="I713" i="7" s="1"/>
  <c r="E713" i="7"/>
  <c r="D713" i="7"/>
  <c r="F712" i="7"/>
  <c r="I712" i="7" s="1"/>
  <c r="E712" i="7"/>
  <c r="H712" i="7" s="1"/>
  <c r="D712" i="7"/>
  <c r="F711" i="7"/>
  <c r="I711" i="7" s="1"/>
  <c r="E711" i="7"/>
  <c r="D711" i="7"/>
  <c r="F710" i="7"/>
  <c r="I710" i="7" s="1"/>
  <c r="E710" i="7"/>
  <c r="H710" i="7" s="1"/>
  <c r="D710" i="7"/>
  <c r="F709" i="7"/>
  <c r="I709" i="7" s="1"/>
  <c r="E709" i="7"/>
  <c r="D709" i="7"/>
  <c r="F708" i="7"/>
  <c r="I708" i="7" s="1"/>
  <c r="E708" i="7"/>
  <c r="D708" i="7"/>
  <c r="F707" i="7"/>
  <c r="I707" i="7" s="1"/>
  <c r="E707" i="7"/>
  <c r="D707" i="7"/>
  <c r="F706" i="7"/>
  <c r="I706" i="7" s="1"/>
  <c r="E706" i="7"/>
  <c r="H706" i="7" s="1"/>
  <c r="D706" i="7"/>
  <c r="F705" i="7"/>
  <c r="I705" i="7" s="1"/>
  <c r="E705" i="7"/>
  <c r="D705" i="7"/>
  <c r="F704" i="7"/>
  <c r="I704" i="7" s="1"/>
  <c r="E704" i="7"/>
  <c r="D704" i="7"/>
  <c r="F730" i="7"/>
  <c r="I730" i="7" s="1"/>
  <c r="E730" i="7"/>
  <c r="D730" i="7"/>
  <c r="F702" i="7"/>
  <c r="I702" i="7" s="1"/>
  <c r="E702" i="7"/>
  <c r="H702" i="7" s="1"/>
  <c r="D702" i="7"/>
  <c r="F701" i="7"/>
  <c r="I701" i="7" s="1"/>
  <c r="E701" i="7"/>
  <c r="D701" i="7"/>
  <c r="F700" i="7"/>
  <c r="I700" i="7" s="1"/>
  <c r="E700" i="7"/>
  <c r="H700" i="7" s="1"/>
  <c r="D700" i="7"/>
  <c r="F699" i="7"/>
  <c r="I699" i="7" s="1"/>
  <c r="E699" i="7"/>
  <c r="D699" i="7"/>
  <c r="F698" i="7"/>
  <c r="I698" i="7" s="1"/>
  <c r="E698" i="7"/>
  <c r="H698" i="7" s="1"/>
  <c r="D698" i="7"/>
  <c r="F697" i="7"/>
  <c r="I697" i="7" s="1"/>
  <c r="E697" i="7"/>
  <c r="D697" i="7"/>
  <c r="F696" i="7"/>
  <c r="I696" i="7" s="1"/>
  <c r="E696" i="7"/>
  <c r="H696" i="7" s="1"/>
  <c r="D696" i="7"/>
  <c r="F695" i="7"/>
  <c r="I695" i="7" s="1"/>
  <c r="E695" i="7"/>
  <c r="D695" i="7"/>
  <c r="F694" i="7"/>
  <c r="I694" i="7" s="1"/>
  <c r="E694" i="7"/>
  <c r="H694" i="7" s="1"/>
  <c r="D694" i="7"/>
  <c r="F693" i="7"/>
  <c r="I693" i="7" s="1"/>
  <c r="E693" i="7"/>
  <c r="D693" i="7"/>
  <c r="F692" i="7"/>
  <c r="I692" i="7" s="1"/>
  <c r="E692" i="7"/>
  <c r="D692" i="7"/>
  <c r="F691" i="7"/>
  <c r="I691" i="7" s="1"/>
  <c r="E691" i="7"/>
  <c r="D691" i="7"/>
  <c r="F690" i="7"/>
  <c r="I690" i="7" s="1"/>
  <c r="E690" i="7"/>
  <c r="H690" i="7" s="1"/>
  <c r="D690" i="7"/>
  <c r="F689" i="7"/>
  <c r="I689" i="7" s="1"/>
  <c r="E689" i="7"/>
  <c r="D689" i="7"/>
  <c r="F688" i="7"/>
  <c r="I688" i="7" s="1"/>
  <c r="E688" i="7"/>
  <c r="D688" i="7"/>
  <c r="F687" i="7"/>
  <c r="I687" i="7" s="1"/>
  <c r="E687" i="7"/>
  <c r="D687" i="7"/>
  <c r="F686" i="7"/>
  <c r="I686" i="7" s="1"/>
  <c r="E686" i="7"/>
  <c r="H686" i="7" s="1"/>
  <c r="D686" i="7"/>
  <c r="F685" i="7"/>
  <c r="I685" i="7" s="1"/>
  <c r="E685" i="7"/>
  <c r="D685" i="7"/>
  <c r="F684" i="7"/>
  <c r="I684" i="7" s="1"/>
  <c r="E684" i="7"/>
  <c r="D684" i="7"/>
  <c r="F683" i="7"/>
  <c r="I683" i="7" s="1"/>
  <c r="E683" i="7"/>
  <c r="D683" i="7"/>
  <c r="F682" i="7"/>
  <c r="I682" i="7" s="1"/>
  <c r="E682" i="7"/>
  <c r="H682" i="7" s="1"/>
  <c r="D682" i="7"/>
  <c r="F681" i="7"/>
  <c r="I681" i="7" s="1"/>
  <c r="E681" i="7"/>
  <c r="D681" i="7"/>
  <c r="F680" i="7"/>
  <c r="I680" i="7" s="1"/>
  <c r="E680" i="7"/>
  <c r="H680" i="7" s="1"/>
  <c r="D680" i="7"/>
  <c r="F679" i="7"/>
  <c r="I679" i="7" s="1"/>
  <c r="E679" i="7"/>
  <c r="D679" i="7"/>
  <c r="F678" i="7"/>
  <c r="I678" i="7" s="1"/>
  <c r="E678" i="7"/>
  <c r="H678" i="7" s="1"/>
  <c r="D678" i="7"/>
  <c r="F677" i="7"/>
  <c r="I677" i="7" s="1"/>
  <c r="E677" i="7"/>
  <c r="D677" i="7"/>
  <c r="F676" i="7"/>
  <c r="I676" i="7" s="1"/>
  <c r="E676" i="7"/>
  <c r="D676" i="7"/>
  <c r="F675" i="7"/>
  <c r="I675" i="7" s="1"/>
  <c r="E675" i="7"/>
  <c r="D675" i="7"/>
  <c r="F674" i="7"/>
  <c r="I674" i="7" s="1"/>
  <c r="E674" i="7"/>
  <c r="H674" i="7" s="1"/>
  <c r="D674" i="7"/>
  <c r="F673" i="7"/>
  <c r="I673" i="7" s="1"/>
  <c r="E673" i="7"/>
  <c r="D673" i="7"/>
  <c r="F672" i="7"/>
  <c r="I672" i="7" s="1"/>
  <c r="E672" i="7"/>
  <c r="D672" i="7"/>
  <c r="F671" i="7"/>
  <c r="I671" i="7" s="1"/>
  <c r="E671" i="7"/>
  <c r="D671" i="7"/>
  <c r="F670" i="7"/>
  <c r="I670" i="7" s="1"/>
  <c r="E670" i="7"/>
  <c r="H670" i="7" s="1"/>
  <c r="D670" i="7"/>
  <c r="F669" i="7"/>
  <c r="I669" i="7" s="1"/>
  <c r="E669" i="7"/>
  <c r="D669" i="7"/>
  <c r="F668" i="7"/>
  <c r="I668" i="7" s="1"/>
  <c r="E668" i="7"/>
  <c r="H668" i="7" s="1"/>
  <c r="D668" i="7"/>
  <c r="F667" i="7"/>
  <c r="I667" i="7" s="1"/>
  <c r="E667" i="7"/>
  <c r="D667" i="7"/>
  <c r="F666" i="7"/>
  <c r="I666" i="7" s="1"/>
  <c r="E666" i="7"/>
  <c r="H666" i="7" s="1"/>
  <c r="D666" i="7"/>
  <c r="F665" i="7"/>
  <c r="I665" i="7" s="1"/>
  <c r="E665" i="7"/>
  <c r="D665" i="7"/>
  <c r="F664" i="7"/>
  <c r="I664" i="7" s="1"/>
  <c r="E664" i="7"/>
  <c r="H664" i="7" s="1"/>
  <c r="D664" i="7"/>
  <c r="F663" i="7"/>
  <c r="I663" i="7" s="1"/>
  <c r="E663" i="7"/>
  <c r="D663" i="7"/>
  <c r="F662" i="7"/>
  <c r="I662" i="7" s="1"/>
  <c r="E662" i="7"/>
  <c r="H662" i="7" s="1"/>
  <c r="D662" i="7"/>
  <c r="F661" i="7"/>
  <c r="I661" i="7" s="1"/>
  <c r="E661" i="7"/>
  <c r="D661" i="7"/>
  <c r="F660" i="7"/>
  <c r="I660" i="7" s="1"/>
  <c r="E660" i="7"/>
  <c r="D660" i="7"/>
  <c r="F659" i="7"/>
  <c r="I659" i="7" s="1"/>
  <c r="E659" i="7"/>
  <c r="D659" i="7"/>
  <c r="F658" i="7"/>
  <c r="I658" i="7" s="1"/>
  <c r="E658" i="7"/>
  <c r="H658" i="7" s="1"/>
  <c r="D658" i="7"/>
  <c r="F657" i="7"/>
  <c r="I657" i="7" s="1"/>
  <c r="E657" i="7"/>
  <c r="D657" i="7"/>
  <c r="F829" i="7"/>
  <c r="I829" i="7" s="1"/>
  <c r="E829" i="7"/>
  <c r="H829" i="7" s="1"/>
  <c r="D829" i="7"/>
  <c r="F655" i="7"/>
  <c r="I655" i="7" s="1"/>
  <c r="E655" i="7"/>
  <c r="D655" i="7"/>
  <c r="F654" i="7"/>
  <c r="I654" i="7" s="1"/>
  <c r="E654" i="7"/>
  <c r="H654" i="7" s="1"/>
  <c r="D654" i="7"/>
  <c r="F653" i="7"/>
  <c r="I653" i="7" s="1"/>
  <c r="E653" i="7"/>
  <c r="H653" i="7" s="1"/>
  <c r="D653" i="7"/>
  <c r="F652" i="7"/>
  <c r="I652" i="7" s="1"/>
  <c r="E652" i="7"/>
  <c r="H652" i="7" s="1"/>
  <c r="D652" i="7"/>
  <c r="F651" i="7"/>
  <c r="I651" i="7" s="1"/>
  <c r="E651" i="7"/>
  <c r="D651" i="7"/>
  <c r="F650" i="7"/>
  <c r="I650" i="7" s="1"/>
  <c r="E650" i="7"/>
  <c r="H650" i="7" s="1"/>
  <c r="D650" i="7"/>
  <c r="F649" i="7"/>
  <c r="I649" i="7" s="1"/>
  <c r="E649" i="7"/>
  <c r="D649" i="7"/>
  <c r="F648" i="7"/>
  <c r="I648" i="7" s="1"/>
  <c r="E648" i="7"/>
  <c r="D648" i="7"/>
  <c r="F647" i="7"/>
  <c r="I647" i="7" s="1"/>
  <c r="E647" i="7"/>
  <c r="D647" i="7"/>
  <c r="F646" i="7"/>
  <c r="I646" i="7" s="1"/>
  <c r="E646" i="7"/>
  <c r="H646" i="7" s="1"/>
  <c r="D646" i="7"/>
  <c r="F645" i="7"/>
  <c r="I645" i="7" s="1"/>
  <c r="E645" i="7"/>
  <c r="H645" i="7" s="1"/>
  <c r="D645" i="7"/>
  <c r="F722" i="7"/>
  <c r="I722" i="7" s="1"/>
  <c r="E722" i="7"/>
  <c r="H722" i="7" s="1"/>
  <c r="D722" i="7"/>
  <c r="F643" i="7"/>
  <c r="I643" i="7" s="1"/>
  <c r="E643" i="7"/>
  <c r="D643" i="7"/>
  <c r="F642" i="7"/>
  <c r="I642" i="7" s="1"/>
  <c r="E642" i="7"/>
  <c r="D642" i="7"/>
  <c r="F641" i="7"/>
  <c r="I641" i="7" s="1"/>
  <c r="E641" i="7"/>
  <c r="D641" i="7"/>
  <c r="F640" i="7"/>
  <c r="I640" i="7" s="1"/>
  <c r="E640" i="7"/>
  <c r="H640" i="7" s="1"/>
  <c r="D640" i="7"/>
  <c r="F639" i="7"/>
  <c r="I639" i="7" s="1"/>
  <c r="E639" i="7"/>
  <c r="D639" i="7"/>
  <c r="F638" i="7"/>
  <c r="I638" i="7" s="1"/>
  <c r="E638" i="7"/>
  <c r="H638" i="7" s="1"/>
  <c r="D638" i="7"/>
  <c r="F637" i="7"/>
  <c r="I637" i="7" s="1"/>
  <c r="E637" i="7"/>
  <c r="D637" i="7"/>
  <c r="F636" i="7"/>
  <c r="E636" i="7"/>
  <c r="D636" i="7"/>
  <c r="F635" i="7"/>
  <c r="I635" i="7" s="1"/>
  <c r="E635" i="7"/>
  <c r="D635" i="7"/>
  <c r="F634" i="7"/>
  <c r="I634" i="7" s="1"/>
  <c r="E634" i="7"/>
  <c r="H634" i="7" s="1"/>
  <c r="D634" i="7"/>
  <c r="F633" i="7"/>
  <c r="I633" i="7" s="1"/>
  <c r="E633" i="7"/>
  <c r="H633" i="7" s="1"/>
  <c r="D633" i="7"/>
  <c r="F632" i="7"/>
  <c r="I632" i="7" s="1"/>
  <c r="E632" i="7"/>
  <c r="H632" i="7" s="1"/>
  <c r="D632" i="7"/>
  <c r="F631" i="7"/>
  <c r="I631" i="7" s="1"/>
  <c r="E631" i="7"/>
  <c r="D631" i="7"/>
  <c r="F630" i="7"/>
  <c r="I630" i="7" s="1"/>
  <c r="E630" i="7"/>
  <c r="H630" i="7" s="1"/>
  <c r="D630" i="7"/>
  <c r="F629" i="7"/>
  <c r="I629" i="7" s="1"/>
  <c r="E629" i="7"/>
  <c r="D629" i="7"/>
  <c r="F628" i="7"/>
  <c r="I628" i="7" s="1"/>
  <c r="E628" i="7"/>
  <c r="H628" i="7" s="1"/>
  <c r="D628" i="7"/>
  <c r="F627" i="7"/>
  <c r="I627" i="7" s="1"/>
  <c r="E627" i="7"/>
  <c r="D627" i="7"/>
  <c r="F626" i="7"/>
  <c r="I626" i="7" s="1"/>
  <c r="E626" i="7"/>
  <c r="H626" i="7" s="1"/>
  <c r="D626" i="7"/>
  <c r="F625" i="7"/>
  <c r="I625" i="7" s="1"/>
  <c r="E625" i="7"/>
  <c r="H625" i="7" s="1"/>
  <c r="D625" i="7"/>
  <c r="F624" i="7"/>
  <c r="I624" i="7" s="1"/>
  <c r="E624" i="7"/>
  <c r="D624" i="7"/>
  <c r="F623" i="7"/>
  <c r="I623" i="7" s="1"/>
  <c r="E623" i="7"/>
  <c r="D623" i="7"/>
  <c r="F622" i="7"/>
  <c r="I622" i="7" s="1"/>
  <c r="E622" i="7"/>
  <c r="H622" i="7" s="1"/>
  <c r="D622" i="7"/>
  <c r="F716" i="7"/>
  <c r="I716" i="7" s="1"/>
  <c r="E716" i="7"/>
  <c r="H716" i="7" s="1"/>
  <c r="D716" i="7"/>
  <c r="F620" i="7"/>
  <c r="E620" i="7"/>
  <c r="H620" i="7" s="1"/>
  <c r="D620" i="7"/>
  <c r="F619" i="7"/>
  <c r="I619" i="7" s="1"/>
  <c r="E619" i="7"/>
  <c r="D619" i="7"/>
  <c r="F618" i="7"/>
  <c r="I618" i="7" s="1"/>
  <c r="E618" i="7"/>
  <c r="H618" i="7" s="1"/>
  <c r="D618" i="7"/>
  <c r="F617" i="7"/>
  <c r="I617" i="7" s="1"/>
  <c r="E617" i="7"/>
  <c r="D617" i="7"/>
  <c r="F616" i="7"/>
  <c r="I616" i="7" s="1"/>
  <c r="E616" i="7"/>
  <c r="D616" i="7"/>
  <c r="F615" i="7"/>
  <c r="I615" i="7" s="1"/>
  <c r="E615" i="7"/>
  <c r="D615" i="7"/>
  <c r="F614" i="7"/>
  <c r="I614" i="7" s="1"/>
  <c r="E614" i="7"/>
  <c r="H614" i="7" s="1"/>
  <c r="D614" i="7"/>
  <c r="F613" i="7"/>
  <c r="I613" i="7" s="1"/>
  <c r="E613" i="7"/>
  <c r="H613" i="7" s="1"/>
  <c r="D613" i="7"/>
  <c r="F612" i="7"/>
  <c r="I612" i="7" s="1"/>
  <c r="E612" i="7"/>
  <c r="H612" i="7" s="1"/>
  <c r="D612" i="7"/>
  <c r="F611" i="7"/>
  <c r="I611" i="7" s="1"/>
  <c r="E611" i="7"/>
  <c r="D611" i="7"/>
  <c r="F610" i="7"/>
  <c r="I610" i="7" s="1"/>
  <c r="E610" i="7"/>
  <c r="D610" i="7"/>
  <c r="F609" i="7"/>
  <c r="I609" i="7" s="1"/>
  <c r="E609" i="7"/>
  <c r="D609" i="7"/>
  <c r="F608" i="7"/>
  <c r="I608" i="7" s="1"/>
  <c r="E608" i="7"/>
  <c r="H608" i="7" s="1"/>
  <c r="D608" i="7"/>
  <c r="F607" i="7"/>
  <c r="I607" i="7" s="1"/>
  <c r="E607" i="7"/>
  <c r="D607" i="7"/>
  <c r="H606" i="7"/>
  <c r="F606" i="7"/>
  <c r="I606" i="7" s="1"/>
  <c r="E606" i="7"/>
  <c r="D606" i="7"/>
  <c r="F605" i="7"/>
  <c r="I605" i="7" s="1"/>
  <c r="E605" i="7"/>
  <c r="D605" i="7"/>
  <c r="F604" i="7"/>
  <c r="E604" i="7"/>
  <c r="D604" i="7"/>
  <c r="F603" i="7"/>
  <c r="I603" i="7" s="1"/>
  <c r="E603" i="7"/>
  <c r="D603" i="7"/>
  <c r="F602" i="7"/>
  <c r="I602" i="7" s="1"/>
  <c r="E602" i="7"/>
  <c r="H602" i="7" s="1"/>
  <c r="D602" i="7"/>
  <c r="F719" i="7"/>
  <c r="I719" i="7" s="1"/>
  <c r="E719" i="7"/>
  <c r="D719" i="7"/>
  <c r="F600" i="7"/>
  <c r="I600" i="7" s="1"/>
  <c r="E600" i="7"/>
  <c r="D600" i="7"/>
  <c r="F599" i="7"/>
  <c r="I599" i="7" s="1"/>
  <c r="E599" i="7"/>
  <c r="D599" i="7"/>
  <c r="F598" i="7"/>
  <c r="I598" i="7" s="1"/>
  <c r="E598" i="7"/>
  <c r="H598" i="7" s="1"/>
  <c r="D598" i="7"/>
  <c r="F583" i="7"/>
  <c r="I583" i="7" s="1"/>
  <c r="E583" i="7"/>
  <c r="D583" i="7"/>
  <c r="F596" i="7"/>
  <c r="I596" i="7" s="1"/>
  <c r="E596" i="7"/>
  <c r="H596" i="7" s="1"/>
  <c r="D596" i="7"/>
  <c r="F595" i="7"/>
  <c r="I595" i="7" s="1"/>
  <c r="E595" i="7"/>
  <c r="D595" i="7"/>
  <c r="F594" i="7"/>
  <c r="I594" i="7" s="1"/>
  <c r="E594" i="7"/>
  <c r="D594" i="7"/>
  <c r="F593" i="7"/>
  <c r="I593" i="7" s="1"/>
  <c r="E593" i="7"/>
  <c r="H593" i="7" s="1"/>
  <c r="D593" i="7"/>
  <c r="F592" i="7"/>
  <c r="I592" i="7" s="1"/>
  <c r="E592" i="7"/>
  <c r="D592" i="7"/>
  <c r="F591" i="7"/>
  <c r="I591" i="7" s="1"/>
  <c r="E591" i="7"/>
  <c r="D591" i="7"/>
  <c r="F590" i="7"/>
  <c r="I590" i="7" s="1"/>
  <c r="E590" i="7"/>
  <c r="H590" i="7" s="1"/>
  <c r="D590" i="7"/>
  <c r="F589" i="7"/>
  <c r="I589" i="7" s="1"/>
  <c r="E589" i="7"/>
  <c r="D589" i="7"/>
  <c r="F588" i="7"/>
  <c r="E588" i="7"/>
  <c r="D588" i="7"/>
  <c r="F587" i="7"/>
  <c r="I587" i="7" s="1"/>
  <c r="E587" i="7"/>
  <c r="D587" i="7"/>
  <c r="F586" i="7"/>
  <c r="I586" i="7" s="1"/>
  <c r="E586" i="7"/>
  <c r="H586" i="7" s="1"/>
  <c r="D586" i="7"/>
  <c r="F585" i="7"/>
  <c r="I585" i="7" s="1"/>
  <c r="E585" i="7"/>
  <c r="H585" i="7" s="1"/>
  <c r="D585" i="7"/>
  <c r="F239" i="7"/>
  <c r="I239" i="7" s="1"/>
  <c r="E239" i="7"/>
  <c r="H239" i="7" s="1"/>
  <c r="D239" i="7"/>
  <c r="F24" i="7"/>
  <c r="I24" i="7" s="1"/>
  <c r="E24" i="7"/>
  <c r="D24" i="7"/>
  <c r="F582" i="7"/>
  <c r="I582" i="7" s="1"/>
  <c r="E582" i="7"/>
  <c r="H582" i="7" s="1"/>
  <c r="D582" i="7"/>
  <c r="F581" i="7"/>
  <c r="I581" i="7" s="1"/>
  <c r="E581" i="7"/>
  <c r="H581" i="7" s="1"/>
  <c r="D581" i="7"/>
  <c r="F580" i="7"/>
  <c r="I580" i="7" s="1"/>
  <c r="E580" i="7"/>
  <c r="H580" i="7" s="1"/>
  <c r="D580" i="7"/>
  <c r="F579" i="7"/>
  <c r="I579" i="7" s="1"/>
  <c r="E579" i="7"/>
  <c r="D579" i="7"/>
  <c r="F578" i="7"/>
  <c r="I578" i="7" s="1"/>
  <c r="E578" i="7"/>
  <c r="H578" i="7" s="1"/>
  <c r="D578" i="7"/>
  <c r="F558" i="7"/>
  <c r="I558" i="7" s="1"/>
  <c r="E558" i="7"/>
  <c r="H558" i="7" s="1"/>
  <c r="D558" i="7"/>
  <c r="F576" i="7"/>
  <c r="I576" i="7" s="1"/>
  <c r="E576" i="7"/>
  <c r="D576" i="7"/>
  <c r="F575" i="7"/>
  <c r="I575" i="7" s="1"/>
  <c r="E575" i="7"/>
  <c r="D575" i="7"/>
  <c r="F574" i="7"/>
  <c r="I574" i="7" s="1"/>
  <c r="E574" i="7"/>
  <c r="H574" i="7" s="1"/>
  <c r="D574" i="7"/>
  <c r="F573" i="7"/>
  <c r="I573" i="7" s="1"/>
  <c r="E573" i="7"/>
  <c r="H573" i="7" s="1"/>
  <c r="D573" i="7"/>
  <c r="F572" i="7"/>
  <c r="I572" i="7" s="1"/>
  <c r="E572" i="7"/>
  <c r="H572" i="7" s="1"/>
  <c r="D572" i="7"/>
  <c r="F571" i="7"/>
  <c r="I571" i="7" s="1"/>
  <c r="E571" i="7"/>
  <c r="D571" i="7"/>
  <c r="F570" i="7"/>
  <c r="I570" i="7" s="1"/>
  <c r="E570" i="7"/>
  <c r="H570" i="7" s="1"/>
  <c r="D570" i="7"/>
  <c r="F569" i="7"/>
  <c r="I569" i="7" s="1"/>
  <c r="E569" i="7"/>
  <c r="H569" i="7" s="1"/>
  <c r="D569" i="7"/>
  <c r="F568" i="7"/>
  <c r="I568" i="7" s="1"/>
  <c r="E568" i="7"/>
  <c r="H568" i="7" s="1"/>
  <c r="D568" i="7"/>
  <c r="F295" i="7"/>
  <c r="I295" i="7" s="1"/>
  <c r="E295" i="7"/>
  <c r="D295" i="7"/>
  <c r="F566" i="7"/>
  <c r="I566" i="7" s="1"/>
  <c r="E566" i="7"/>
  <c r="D566" i="7"/>
  <c r="F565" i="7"/>
  <c r="I565" i="7" s="1"/>
  <c r="E565" i="7"/>
  <c r="H565" i="7" s="1"/>
  <c r="D565" i="7"/>
  <c r="F564" i="7"/>
  <c r="I564" i="7" s="1"/>
  <c r="E564" i="7"/>
  <c r="D564" i="7"/>
  <c r="F563" i="7"/>
  <c r="I563" i="7" s="1"/>
  <c r="E563" i="7"/>
  <c r="H563" i="7" s="1"/>
  <c r="D563" i="7"/>
  <c r="F562" i="7"/>
  <c r="I562" i="7" s="1"/>
  <c r="E562" i="7"/>
  <c r="H562" i="7" s="1"/>
  <c r="D562" i="7"/>
  <c r="F561" i="7"/>
  <c r="I561" i="7" s="1"/>
  <c r="E561" i="7"/>
  <c r="D561" i="7"/>
  <c r="F560" i="7"/>
  <c r="I560" i="7" s="1"/>
  <c r="E560" i="7"/>
  <c r="D560" i="7"/>
  <c r="F559" i="7"/>
  <c r="I559" i="7" s="1"/>
  <c r="E559" i="7"/>
  <c r="H559" i="7" s="1"/>
  <c r="D559" i="7"/>
  <c r="F577" i="7"/>
  <c r="I577" i="7" s="1"/>
  <c r="E577" i="7"/>
  <c r="H577" i="7" s="1"/>
  <c r="D577" i="7"/>
  <c r="F557" i="7"/>
  <c r="I557" i="7" s="1"/>
  <c r="E557" i="7"/>
  <c r="D557" i="7"/>
  <c r="F556" i="7"/>
  <c r="I556" i="7" s="1"/>
  <c r="E556" i="7"/>
  <c r="D556" i="7"/>
  <c r="F555" i="7"/>
  <c r="I555" i="7" s="1"/>
  <c r="E555" i="7"/>
  <c r="H555" i="7" s="1"/>
  <c r="D555" i="7"/>
  <c r="F554" i="7"/>
  <c r="I554" i="7" s="1"/>
  <c r="E554" i="7"/>
  <c r="D554" i="7"/>
  <c r="F553" i="7"/>
  <c r="I553" i="7" s="1"/>
  <c r="E553" i="7"/>
  <c r="H553" i="7" s="1"/>
  <c r="D553" i="7"/>
  <c r="F552" i="7"/>
  <c r="I552" i="7" s="1"/>
  <c r="E552" i="7"/>
  <c r="D552" i="7"/>
  <c r="F551" i="7"/>
  <c r="I551" i="7" s="1"/>
  <c r="E551" i="7"/>
  <c r="H551" i="7" s="1"/>
  <c r="D551" i="7"/>
  <c r="F550" i="7"/>
  <c r="I550" i="7" s="1"/>
  <c r="E550" i="7"/>
  <c r="D550" i="7"/>
  <c r="F549" i="7"/>
  <c r="I549" i="7" s="1"/>
  <c r="E549" i="7"/>
  <c r="H549" i="7" s="1"/>
  <c r="D549" i="7"/>
  <c r="F548" i="7"/>
  <c r="I548" i="7" s="1"/>
  <c r="E548" i="7"/>
  <c r="D548" i="7"/>
  <c r="F547" i="7"/>
  <c r="I547" i="7" s="1"/>
  <c r="E547" i="7"/>
  <c r="H547" i="7" s="1"/>
  <c r="D547" i="7"/>
  <c r="F541" i="7"/>
  <c r="I541" i="7" s="1"/>
  <c r="E541" i="7"/>
  <c r="D541" i="7"/>
  <c r="F545" i="7"/>
  <c r="I545" i="7" s="1"/>
  <c r="E545" i="7"/>
  <c r="H545" i="7" s="1"/>
  <c r="D545" i="7"/>
  <c r="F544" i="7"/>
  <c r="I544" i="7" s="1"/>
  <c r="E544" i="7"/>
  <c r="D544" i="7"/>
  <c r="F543" i="7"/>
  <c r="I543" i="7" s="1"/>
  <c r="E543" i="7"/>
  <c r="H543" i="7" s="1"/>
  <c r="D543" i="7"/>
  <c r="F542" i="7"/>
  <c r="I542" i="7" s="1"/>
  <c r="E542" i="7"/>
  <c r="D542" i="7"/>
  <c r="F296" i="7"/>
  <c r="I296" i="7" s="1"/>
  <c r="E296" i="7"/>
  <c r="H296" i="7" s="1"/>
  <c r="D296" i="7"/>
  <c r="F540" i="7"/>
  <c r="I540" i="7" s="1"/>
  <c r="E540" i="7"/>
  <c r="D540" i="7"/>
  <c r="F539" i="7"/>
  <c r="I539" i="7" s="1"/>
  <c r="E539" i="7"/>
  <c r="H539" i="7" s="1"/>
  <c r="D539" i="7"/>
  <c r="F538" i="7"/>
  <c r="I538" i="7" s="1"/>
  <c r="E538" i="7"/>
  <c r="D538" i="7"/>
  <c r="F537" i="7"/>
  <c r="I537" i="7" s="1"/>
  <c r="E537" i="7"/>
  <c r="H537" i="7" s="1"/>
  <c r="D537" i="7"/>
  <c r="F536" i="7"/>
  <c r="I536" i="7" s="1"/>
  <c r="E536" i="7"/>
  <c r="D536" i="7"/>
  <c r="F535" i="7"/>
  <c r="I535" i="7" s="1"/>
  <c r="E535" i="7"/>
  <c r="H535" i="7" s="1"/>
  <c r="D535" i="7"/>
  <c r="F534" i="7"/>
  <c r="I534" i="7" s="1"/>
  <c r="E534" i="7"/>
  <c r="D534" i="7"/>
  <c r="F533" i="7"/>
  <c r="I533" i="7" s="1"/>
  <c r="E533" i="7"/>
  <c r="H533" i="7" s="1"/>
  <c r="D533" i="7"/>
  <c r="F532" i="7"/>
  <c r="I532" i="7" s="1"/>
  <c r="E532" i="7"/>
  <c r="D532" i="7"/>
  <c r="F531" i="7"/>
  <c r="I531" i="7" s="1"/>
  <c r="E531" i="7"/>
  <c r="H531" i="7" s="1"/>
  <c r="D531" i="7"/>
  <c r="F530" i="7"/>
  <c r="I530" i="7" s="1"/>
  <c r="E530" i="7"/>
  <c r="D530" i="7"/>
  <c r="F529" i="7"/>
  <c r="I529" i="7" s="1"/>
  <c r="E529" i="7"/>
  <c r="H529" i="7" s="1"/>
  <c r="D529" i="7"/>
  <c r="F528" i="7"/>
  <c r="I528" i="7" s="1"/>
  <c r="E528" i="7"/>
  <c r="D528" i="7"/>
  <c r="F527" i="7"/>
  <c r="I527" i="7" s="1"/>
  <c r="E527" i="7"/>
  <c r="H527" i="7" s="1"/>
  <c r="D527" i="7"/>
  <c r="F526" i="7"/>
  <c r="I526" i="7" s="1"/>
  <c r="E526" i="7"/>
  <c r="D526" i="7"/>
  <c r="F525" i="7"/>
  <c r="I525" i="7" s="1"/>
  <c r="E525" i="7"/>
  <c r="H525" i="7" s="1"/>
  <c r="D525" i="7"/>
  <c r="F524" i="7"/>
  <c r="I524" i="7" s="1"/>
  <c r="E524" i="7"/>
  <c r="D524" i="7"/>
  <c r="F597" i="7"/>
  <c r="I597" i="7" s="1"/>
  <c r="E597" i="7"/>
  <c r="H597" i="7" s="1"/>
  <c r="D597" i="7"/>
  <c r="F522" i="7"/>
  <c r="I522" i="7" s="1"/>
  <c r="E522" i="7"/>
  <c r="D522" i="7"/>
  <c r="F521" i="7"/>
  <c r="I521" i="7" s="1"/>
  <c r="E521" i="7"/>
  <c r="H521" i="7" s="1"/>
  <c r="D521" i="7"/>
  <c r="F520" i="7"/>
  <c r="I520" i="7" s="1"/>
  <c r="E520" i="7"/>
  <c r="D520" i="7"/>
  <c r="F519" i="7"/>
  <c r="I519" i="7" s="1"/>
  <c r="E519" i="7"/>
  <c r="H519" i="7" s="1"/>
  <c r="D519" i="7"/>
  <c r="F518" i="7"/>
  <c r="I518" i="7" s="1"/>
  <c r="E518" i="7"/>
  <c r="D518" i="7"/>
  <c r="F517" i="7"/>
  <c r="I517" i="7" s="1"/>
  <c r="E517" i="7"/>
  <c r="D517" i="7"/>
  <c r="F516" i="7"/>
  <c r="I516" i="7" s="1"/>
  <c r="E516" i="7"/>
  <c r="D516" i="7"/>
  <c r="F515" i="7"/>
  <c r="I515" i="7" s="1"/>
  <c r="E515" i="7"/>
  <c r="H515" i="7" s="1"/>
  <c r="D515" i="7"/>
  <c r="F514" i="7"/>
  <c r="I514" i="7" s="1"/>
  <c r="E514" i="7"/>
  <c r="D514" i="7"/>
  <c r="F513" i="7"/>
  <c r="I513" i="7" s="1"/>
  <c r="E513" i="7"/>
  <c r="D513" i="7"/>
  <c r="F512" i="7"/>
  <c r="I512" i="7" s="1"/>
  <c r="E512" i="7"/>
  <c r="D512" i="7"/>
  <c r="F511" i="7"/>
  <c r="I511" i="7" s="1"/>
  <c r="E511" i="7"/>
  <c r="H511" i="7" s="1"/>
  <c r="D511" i="7"/>
  <c r="F510" i="7"/>
  <c r="I510" i="7" s="1"/>
  <c r="E510" i="7"/>
  <c r="D510" i="7"/>
  <c r="F509" i="7"/>
  <c r="I509" i="7" s="1"/>
  <c r="E509" i="7"/>
  <c r="H509" i="7" s="1"/>
  <c r="D509" i="7"/>
  <c r="F508" i="7"/>
  <c r="I508" i="7" s="1"/>
  <c r="E508" i="7"/>
  <c r="D508" i="7"/>
  <c r="F507" i="7"/>
  <c r="I507" i="7" s="1"/>
  <c r="E507" i="7"/>
  <c r="H507" i="7" s="1"/>
  <c r="D507" i="7"/>
  <c r="F506" i="7"/>
  <c r="I506" i="7" s="1"/>
  <c r="E506" i="7"/>
  <c r="D506" i="7"/>
  <c r="F505" i="7"/>
  <c r="I505" i="7" s="1"/>
  <c r="E505" i="7"/>
  <c r="H505" i="7" s="1"/>
  <c r="D505" i="7"/>
  <c r="F504" i="7"/>
  <c r="I504" i="7" s="1"/>
  <c r="E504" i="7"/>
  <c r="D504" i="7"/>
  <c r="F503" i="7"/>
  <c r="I503" i="7" s="1"/>
  <c r="E503" i="7"/>
  <c r="H503" i="7" s="1"/>
  <c r="D503" i="7"/>
  <c r="F502" i="7"/>
  <c r="I502" i="7" s="1"/>
  <c r="E502" i="7"/>
  <c r="D502" i="7"/>
  <c r="F501" i="7"/>
  <c r="I501" i="7" s="1"/>
  <c r="E501" i="7"/>
  <c r="H501" i="7" s="1"/>
  <c r="D501" i="7"/>
  <c r="F500" i="7"/>
  <c r="I500" i="7" s="1"/>
  <c r="E500" i="7"/>
  <c r="D500" i="7"/>
  <c r="F499" i="7"/>
  <c r="I499" i="7" s="1"/>
  <c r="E499" i="7"/>
  <c r="H499" i="7" s="1"/>
  <c r="D499" i="7"/>
  <c r="F498" i="7"/>
  <c r="I498" i="7" s="1"/>
  <c r="E498" i="7"/>
  <c r="D498" i="7"/>
  <c r="F497" i="7"/>
  <c r="I497" i="7" s="1"/>
  <c r="E497" i="7"/>
  <c r="H497" i="7" s="1"/>
  <c r="D497" i="7"/>
  <c r="F496" i="7"/>
  <c r="I496" i="7" s="1"/>
  <c r="E496" i="7"/>
  <c r="D496" i="7"/>
  <c r="F495" i="7"/>
  <c r="I495" i="7" s="1"/>
  <c r="E495" i="7"/>
  <c r="H495" i="7" s="1"/>
  <c r="D495" i="7"/>
  <c r="F494" i="7"/>
  <c r="I494" i="7" s="1"/>
  <c r="E494" i="7"/>
  <c r="D494" i="7"/>
  <c r="F493" i="7"/>
  <c r="I493" i="7" s="1"/>
  <c r="E493" i="7"/>
  <c r="H493" i="7" s="1"/>
  <c r="D493" i="7"/>
  <c r="F492" i="7"/>
  <c r="I492" i="7" s="1"/>
  <c r="E492" i="7"/>
  <c r="D492" i="7"/>
  <c r="F491" i="7"/>
  <c r="I491" i="7" s="1"/>
  <c r="E491" i="7"/>
  <c r="H491" i="7" s="1"/>
  <c r="D491" i="7"/>
  <c r="F490" i="7"/>
  <c r="I490" i="7" s="1"/>
  <c r="E490" i="7"/>
  <c r="D490" i="7"/>
  <c r="F489" i="7"/>
  <c r="I489" i="7" s="1"/>
  <c r="E489" i="7"/>
  <c r="H489" i="7" s="1"/>
  <c r="D489" i="7"/>
  <c r="F488" i="7"/>
  <c r="I488" i="7" s="1"/>
  <c r="E488" i="7"/>
  <c r="D488" i="7"/>
  <c r="F487" i="7"/>
  <c r="I487" i="7" s="1"/>
  <c r="E487" i="7"/>
  <c r="H487" i="7" s="1"/>
  <c r="D487" i="7"/>
  <c r="F486" i="7"/>
  <c r="I486" i="7" s="1"/>
  <c r="E486" i="7"/>
  <c r="D486" i="7"/>
  <c r="F485" i="7"/>
  <c r="I485" i="7" s="1"/>
  <c r="E485" i="7"/>
  <c r="D485" i="7"/>
  <c r="F484" i="7"/>
  <c r="I484" i="7" s="1"/>
  <c r="E484" i="7"/>
  <c r="D484" i="7"/>
  <c r="F483" i="7"/>
  <c r="I483" i="7" s="1"/>
  <c r="E483" i="7"/>
  <c r="H483" i="7" s="1"/>
  <c r="D483" i="7"/>
  <c r="F482" i="7"/>
  <c r="I482" i="7" s="1"/>
  <c r="E482" i="7"/>
  <c r="D482" i="7"/>
  <c r="F481" i="7"/>
  <c r="I481" i="7" s="1"/>
  <c r="E481" i="7"/>
  <c r="H481" i="7" s="1"/>
  <c r="D481" i="7"/>
  <c r="F480" i="7"/>
  <c r="I480" i="7" s="1"/>
  <c r="E480" i="7"/>
  <c r="D480" i="7"/>
  <c r="F479" i="7"/>
  <c r="I479" i="7" s="1"/>
  <c r="E479" i="7"/>
  <c r="H479" i="7" s="1"/>
  <c r="D479" i="7"/>
  <c r="F478" i="7"/>
  <c r="I478" i="7" s="1"/>
  <c r="E478" i="7"/>
  <c r="D478" i="7"/>
  <c r="F477" i="7"/>
  <c r="I477" i="7" s="1"/>
  <c r="E477" i="7"/>
  <c r="H477" i="7" s="1"/>
  <c r="D477" i="7"/>
  <c r="F476" i="7"/>
  <c r="I476" i="7" s="1"/>
  <c r="E476" i="7"/>
  <c r="D476" i="7"/>
  <c r="F475" i="7"/>
  <c r="I475" i="7" s="1"/>
  <c r="E475" i="7"/>
  <c r="H475" i="7" s="1"/>
  <c r="D475" i="7"/>
  <c r="F474" i="7"/>
  <c r="I474" i="7" s="1"/>
  <c r="E474" i="7"/>
  <c r="D474" i="7"/>
  <c r="F473" i="7"/>
  <c r="I473" i="7" s="1"/>
  <c r="E473" i="7"/>
  <c r="D473" i="7"/>
  <c r="F472" i="7"/>
  <c r="I472" i="7" s="1"/>
  <c r="E472" i="7"/>
  <c r="D472" i="7"/>
  <c r="F471" i="7"/>
  <c r="I471" i="7" s="1"/>
  <c r="E471" i="7"/>
  <c r="H471" i="7" s="1"/>
  <c r="D471" i="7"/>
  <c r="F470" i="7"/>
  <c r="I470" i="7" s="1"/>
  <c r="E470" i="7"/>
  <c r="D470" i="7"/>
  <c r="F469" i="7"/>
  <c r="I469" i="7" s="1"/>
  <c r="E469" i="7"/>
  <c r="H469" i="7" s="1"/>
  <c r="D469" i="7"/>
  <c r="F468" i="7"/>
  <c r="I468" i="7" s="1"/>
  <c r="E468" i="7"/>
  <c r="D468" i="7"/>
  <c r="F467" i="7"/>
  <c r="I467" i="7" s="1"/>
  <c r="E467" i="7"/>
  <c r="H467" i="7" s="1"/>
  <c r="D467" i="7"/>
  <c r="F466" i="7"/>
  <c r="I466" i="7" s="1"/>
  <c r="E466" i="7"/>
  <c r="D466" i="7"/>
  <c r="F465" i="7"/>
  <c r="I465" i="7" s="1"/>
  <c r="E465" i="7"/>
  <c r="D465" i="7"/>
  <c r="F464" i="7"/>
  <c r="I464" i="7" s="1"/>
  <c r="E464" i="7"/>
  <c r="D464" i="7"/>
  <c r="F463" i="7"/>
  <c r="I463" i="7" s="1"/>
  <c r="E463" i="7"/>
  <c r="H463" i="7" s="1"/>
  <c r="D463" i="7"/>
  <c r="F462" i="7"/>
  <c r="I462" i="7" s="1"/>
  <c r="E462" i="7"/>
  <c r="D462" i="7"/>
  <c r="F461" i="7"/>
  <c r="I461" i="7" s="1"/>
  <c r="E461" i="7"/>
  <c r="H461" i="7" s="1"/>
  <c r="D461" i="7"/>
  <c r="F460" i="7"/>
  <c r="I460" i="7" s="1"/>
  <c r="E460" i="7"/>
  <c r="D460" i="7"/>
  <c r="F459" i="7"/>
  <c r="I459" i="7" s="1"/>
  <c r="E459" i="7"/>
  <c r="H459" i="7" s="1"/>
  <c r="D459" i="7"/>
  <c r="F458" i="7"/>
  <c r="I458" i="7" s="1"/>
  <c r="E458" i="7"/>
  <c r="D458" i="7"/>
  <c r="F457" i="7"/>
  <c r="I457" i="7" s="1"/>
  <c r="E457" i="7"/>
  <c r="D457" i="7"/>
  <c r="F456" i="7"/>
  <c r="I456" i="7" s="1"/>
  <c r="E456" i="7"/>
  <c r="D456" i="7"/>
  <c r="F455" i="7"/>
  <c r="I455" i="7" s="1"/>
  <c r="E455" i="7"/>
  <c r="H455" i="7" s="1"/>
  <c r="D455" i="7"/>
  <c r="F454" i="7"/>
  <c r="I454" i="7" s="1"/>
  <c r="E454" i="7"/>
  <c r="D454" i="7"/>
  <c r="F453" i="7"/>
  <c r="I453" i="7" s="1"/>
  <c r="E453" i="7"/>
  <c r="H453" i="7" s="1"/>
  <c r="D453" i="7"/>
  <c r="F452" i="7"/>
  <c r="I452" i="7" s="1"/>
  <c r="E452" i="7"/>
  <c r="D452" i="7"/>
  <c r="F451" i="7"/>
  <c r="I451" i="7" s="1"/>
  <c r="E451" i="7"/>
  <c r="D451" i="7"/>
  <c r="F450" i="7"/>
  <c r="I450" i="7" s="1"/>
  <c r="E450" i="7"/>
  <c r="H450" i="7" s="1"/>
  <c r="D450" i="7"/>
  <c r="F449" i="7"/>
  <c r="I449" i="7" s="1"/>
  <c r="E449" i="7"/>
  <c r="D449" i="7"/>
  <c r="F448" i="7"/>
  <c r="I448" i="7" s="1"/>
  <c r="E448" i="7"/>
  <c r="H448" i="7" s="1"/>
  <c r="D448" i="7"/>
  <c r="F447" i="7"/>
  <c r="I447" i="7" s="1"/>
  <c r="E447" i="7"/>
  <c r="D447" i="7"/>
  <c r="F446" i="7"/>
  <c r="I446" i="7" s="1"/>
  <c r="E446" i="7"/>
  <c r="H446" i="7" s="1"/>
  <c r="D446" i="7"/>
  <c r="F445" i="7"/>
  <c r="I445" i="7" s="1"/>
  <c r="E445" i="7"/>
  <c r="H445" i="7" s="1"/>
  <c r="D445" i="7"/>
  <c r="F444" i="7"/>
  <c r="I444" i="7" s="1"/>
  <c r="E444" i="7"/>
  <c r="H444" i="7" s="1"/>
  <c r="D444" i="7"/>
  <c r="F443" i="7"/>
  <c r="E443" i="7"/>
  <c r="H443" i="7" s="1"/>
  <c r="D443" i="7"/>
  <c r="F442" i="7"/>
  <c r="I442" i="7" s="1"/>
  <c r="E442" i="7"/>
  <c r="D442" i="7"/>
  <c r="F441" i="7"/>
  <c r="I441" i="7" s="1"/>
  <c r="E441" i="7"/>
  <c r="D441" i="7"/>
  <c r="F440" i="7"/>
  <c r="I440" i="7" s="1"/>
  <c r="E440" i="7"/>
  <c r="H440" i="7" s="1"/>
  <c r="D440" i="7"/>
  <c r="F439" i="7"/>
  <c r="E439" i="7"/>
  <c r="H439" i="7" s="1"/>
  <c r="D439" i="7"/>
  <c r="F438" i="7"/>
  <c r="I438" i="7" s="1"/>
  <c r="E438" i="7"/>
  <c r="D438" i="7"/>
  <c r="F437" i="7"/>
  <c r="I437" i="7" s="1"/>
  <c r="E437" i="7"/>
  <c r="D437" i="7"/>
  <c r="F436" i="7"/>
  <c r="I436" i="7" s="1"/>
  <c r="E436" i="7"/>
  <c r="H436" i="7" s="1"/>
  <c r="D436" i="7"/>
  <c r="F435" i="7"/>
  <c r="E435" i="7"/>
  <c r="H435" i="7" s="1"/>
  <c r="D435" i="7"/>
  <c r="F434" i="7"/>
  <c r="I434" i="7" s="1"/>
  <c r="E434" i="7"/>
  <c r="D434" i="7"/>
  <c r="F433" i="7"/>
  <c r="I433" i="7" s="1"/>
  <c r="E433" i="7"/>
  <c r="D433" i="7"/>
  <c r="F432" i="7"/>
  <c r="I432" i="7" s="1"/>
  <c r="E432" i="7"/>
  <c r="H432" i="7" s="1"/>
  <c r="D432" i="7"/>
  <c r="F139" i="7"/>
  <c r="E139" i="7"/>
  <c r="H139" i="7" s="1"/>
  <c r="D139" i="7"/>
  <c r="F430" i="7"/>
  <c r="I430" i="7" s="1"/>
  <c r="E430" i="7"/>
  <c r="D430" i="7"/>
  <c r="F429" i="7"/>
  <c r="I429" i="7" s="1"/>
  <c r="E429" i="7"/>
  <c r="D429" i="7"/>
  <c r="F428" i="7"/>
  <c r="I428" i="7" s="1"/>
  <c r="E428" i="7"/>
  <c r="H428" i="7" s="1"/>
  <c r="D428" i="7"/>
  <c r="F427" i="7"/>
  <c r="E427" i="7"/>
  <c r="H427" i="7" s="1"/>
  <c r="D427" i="7"/>
  <c r="F426" i="7"/>
  <c r="I426" i="7" s="1"/>
  <c r="E426" i="7"/>
  <c r="D426" i="7"/>
  <c r="F425" i="7"/>
  <c r="I425" i="7" s="1"/>
  <c r="E425" i="7"/>
  <c r="D425" i="7"/>
  <c r="F424" i="7"/>
  <c r="I424" i="7" s="1"/>
  <c r="E424" i="7"/>
  <c r="H424" i="7" s="1"/>
  <c r="D424" i="7"/>
  <c r="F423" i="7"/>
  <c r="E423" i="7"/>
  <c r="H423" i="7" s="1"/>
  <c r="D423" i="7"/>
  <c r="F422" i="7"/>
  <c r="I422" i="7" s="1"/>
  <c r="E422" i="7"/>
  <c r="D422" i="7"/>
  <c r="F421" i="7"/>
  <c r="I421" i="7" s="1"/>
  <c r="E421" i="7"/>
  <c r="D421" i="7"/>
  <c r="F420" i="7"/>
  <c r="I420" i="7" s="1"/>
  <c r="E420" i="7"/>
  <c r="H420" i="7" s="1"/>
  <c r="D420" i="7"/>
  <c r="F419" i="7"/>
  <c r="E419" i="7"/>
  <c r="H419" i="7" s="1"/>
  <c r="D419" i="7"/>
  <c r="F418" i="7"/>
  <c r="I418" i="7" s="1"/>
  <c r="E418" i="7"/>
  <c r="D418" i="7"/>
  <c r="F417" i="7"/>
  <c r="I417" i="7" s="1"/>
  <c r="E417" i="7"/>
  <c r="D417" i="7"/>
  <c r="F416" i="7"/>
  <c r="I416" i="7" s="1"/>
  <c r="E416" i="7"/>
  <c r="H416" i="7" s="1"/>
  <c r="D416" i="7"/>
  <c r="F415" i="7"/>
  <c r="E415" i="7"/>
  <c r="H415" i="7" s="1"/>
  <c r="D415" i="7"/>
  <c r="F414" i="7"/>
  <c r="I414" i="7" s="1"/>
  <c r="E414" i="7"/>
  <c r="D414" i="7"/>
  <c r="F413" i="7"/>
  <c r="I413" i="7" s="1"/>
  <c r="E413" i="7"/>
  <c r="D413" i="7"/>
  <c r="F412" i="7"/>
  <c r="I412" i="7" s="1"/>
  <c r="E412" i="7"/>
  <c r="H412" i="7" s="1"/>
  <c r="D412" i="7"/>
  <c r="F411" i="7"/>
  <c r="E411" i="7"/>
  <c r="H411" i="7" s="1"/>
  <c r="D411" i="7"/>
  <c r="F410" i="7"/>
  <c r="I410" i="7" s="1"/>
  <c r="E410" i="7"/>
  <c r="D410" i="7"/>
  <c r="F409" i="7"/>
  <c r="I409" i="7" s="1"/>
  <c r="E409" i="7"/>
  <c r="D409" i="7"/>
  <c r="F408" i="7"/>
  <c r="I408" i="7" s="1"/>
  <c r="E408" i="7"/>
  <c r="H408" i="7" s="1"/>
  <c r="D408" i="7"/>
  <c r="F407" i="7"/>
  <c r="E407" i="7"/>
  <c r="H407" i="7" s="1"/>
  <c r="D407" i="7"/>
  <c r="F406" i="7"/>
  <c r="I406" i="7" s="1"/>
  <c r="E406" i="7"/>
  <c r="D406" i="7"/>
  <c r="F405" i="7"/>
  <c r="I405" i="7" s="1"/>
  <c r="E405" i="7"/>
  <c r="D405" i="7"/>
  <c r="F404" i="7"/>
  <c r="I404" i="7" s="1"/>
  <c r="E404" i="7"/>
  <c r="H404" i="7" s="1"/>
  <c r="D404" i="7"/>
  <c r="F403" i="7"/>
  <c r="E403" i="7"/>
  <c r="H403" i="7" s="1"/>
  <c r="D403" i="7"/>
  <c r="F402" i="7"/>
  <c r="I402" i="7" s="1"/>
  <c r="E402" i="7"/>
  <c r="D402" i="7"/>
  <c r="F401" i="7"/>
  <c r="I401" i="7" s="1"/>
  <c r="E401" i="7"/>
  <c r="D401" i="7"/>
  <c r="F400" i="7"/>
  <c r="I400" i="7" s="1"/>
  <c r="E400" i="7"/>
  <c r="H400" i="7" s="1"/>
  <c r="D400" i="7"/>
  <c r="F399" i="7"/>
  <c r="E399" i="7"/>
  <c r="H399" i="7" s="1"/>
  <c r="D399" i="7"/>
  <c r="F398" i="7"/>
  <c r="I398" i="7" s="1"/>
  <c r="E398" i="7"/>
  <c r="D398" i="7"/>
  <c r="F397" i="7"/>
  <c r="I397" i="7" s="1"/>
  <c r="E397" i="7"/>
  <c r="D397" i="7"/>
  <c r="F396" i="7"/>
  <c r="I396" i="7" s="1"/>
  <c r="E396" i="7"/>
  <c r="D396" i="7"/>
  <c r="F395" i="7"/>
  <c r="E395" i="7"/>
  <c r="H395" i="7" s="1"/>
  <c r="D395" i="7"/>
  <c r="F394" i="7"/>
  <c r="I394" i="7" s="1"/>
  <c r="E394" i="7"/>
  <c r="D394" i="7"/>
  <c r="F393" i="7"/>
  <c r="I393" i="7" s="1"/>
  <c r="E393" i="7"/>
  <c r="D393" i="7"/>
  <c r="F392" i="7"/>
  <c r="I392" i="7" s="1"/>
  <c r="E392" i="7"/>
  <c r="H392" i="7" s="1"/>
  <c r="D392" i="7"/>
  <c r="F391" i="7"/>
  <c r="E391" i="7"/>
  <c r="H391" i="7" s="1"/>
  <c r="D391" i="7"/>
  <c r="F390" i="7"/>
  <c r="I390" i="7" s="1"/>
  <c r="E390" i="7"/>
  <c r="D390" i="7"/>
  <c r="F389" i="7"/>
  <c r="I389" i="7" s="1"/>
  <c r="E389" i="7"/>
  <c r="D389" i="7"/>
  <c r="F388" i="7"/>
  <c r="I388" i="7" s="1"/>
  <c r="E388" i="7"/>
  <c r="H388" i="7" s="1"/>
  <c r="D388" i="7"/>
  <c r="F387" i="7"/>
  <c r="E387" i="7"/>
  <c r="H387" i="7" s="1"/>
  <c r="D387" i="7"/>
  <c r="F386" i="7"/>
  <c r="I386" i="7" s="1"/>
  <c r="E386" i="7"/>
  <c r="D386" i="7"/>
  <c r="F385" i="7"/>
  <c r="I385" i="7" s="1"/>
  <c r="E385" i="7"/>
  <c r="H385" i="7" s="1"/>
  <c r="D385" i="7"/>
  <c r="F384" i="7"/>
  <c r="I384" i="7" s="1"/>
  <c r="E384" i="7"/>
  <c r="H384" i="7" s="1"/>
  <c r="D384" i="7"/>
  <c r="F383" i="7"/>
  <c r="E383" i="7"/>
  <c r="H383" i="7" s="1"/>
  <c r="D383" i="7"/>
  <c r="F382" i="7"/>
  <c r="I382" i="7" s="1"/>
  <c r="E382" i="7"/>
  <c r="D382" i="7"/>
  <c r="F381" i="7"/>
  <c r="I381" i="7" s="1"/>
  <c r="E381" i="7"/>
  <c r="D381" i="7"/>
  <c r="F377" i="7"/>
  <c r="I377" i="7" s="1"/>
  <c r="E377" i="7"/>
  <c r="D377" i="7"/>
  <c r="F379" i="7"/>
  <c r="E379" i="7"/>
  <c r="H379" i="7" s="1"/>
  <c r="D379" i="7"/>
  <c r="F378" i="7"/>
  <c r="I378" i="7" s="1"/>
  <c r="E378" i="7"/>
  <c r="D378" i="7"/>
  <c r="F120" i="7"/>
  <c r="I120" i="7" s="1"/>
  <c r="E120" i="7"/>
  <c r="D120" i="7"/>
  <c r="F376" i="7"/>
  <c r="I376" i="7" s="1"/>
  <c r="E376" i="7"/>
  <c r="H376" i="7" s="1"/>
  <c r="D376" i="7"/>
  <c r="F375" i="7"/>
  <c r="E375" i="7"/>
  <c r="H375" i="7" s="1"/>
  <c r="D375" i="7"/>
  <c r="F374" i="7"/>
  <c r="I374" i="7" s="1"/>
  <c r="E374" i="7"/>
  <c r="D374" i="7"/>
  <c r="F373" i="7"/>
  <c r="I373" i="7" s="1"/>
  <c r="E373" i="7"/>
  <c r="D373" i="7"/>
  <c r="F372" i="7"/>
  <c r="I372" i="7" s="1"/>
  <c r="E372" i="7"/>
  <c r="H372" i="7" s="1"/>
  <c r="D372" i="7"/>
  <c r="F371" i="7"/>
  <c r="E371" i="7"/>
  <c r="H371" i="7" s="1"/>
  <c r="D371" i="7"/>
  <c r="F370" i="7"/>
  <c r="I370" i="7" s="1"/>
  <c r="E370" i="7"/>
  <c r="D370" i="7"/>
  <c r="F369" i="7"/>
  <c r="I369" i="7" s="1"/>
  <c r="E369" i="7"/>
  <c r="H369" i="7" s="1"/>
  <c r="D369" i="7"/>
  <c r="F368" i="7"/>
  <c r="I368" i="7" s="1"/>
  <c r="E368" i="7"/>
  <c r="H368" i="7" s="1"/>
  <c r="D368" i="7"/>
  <c r="F367" i="7"/>
  <c r="E367" i="7"/>
  <c r="H367" i="7" s="1"/>
  <c r="D367" i="7"/>
  <c r="F366" i="7"/>
  <c r="I366" i="7" s="1"/>
  <c r="E366" i="7"/>
  <c r="D366" i="7"/>
  <c r="F365" i="7"/>
  <c r="I365" i="7" s="1"/>
  <c r="E365" i="7"/>
  <c r="D365" i="7"/>
  <c r="F364" i="7"/>
  <c r="I364" i="7" s="1"/>
  <c r="E364" i="7"/>
  <c r="D364" i="7"/>
  <c r="F363" i="7"/>
  <c r="E363" i="7"/>
  <c r="H363" i="7" s="1"/>
  <c r="D363" i="7"/>
  <c r="F362" i="7"/>
  <c r="I362" i="7" s="1"/>
  <c r="E362" i="7"/>
  <c r="D362" i="7"/>
  <c r="F361" i="7"/>
  <c r="I361" i="7" s="1"/>
  <c r="E361" i="7"/>
  <c r="D361" i="7"/>
  <c r="F360" i="7"/>
  <c r="I360" i="7" s="1"/>
  <c r="E360" i="7"/>
  <c r="D360" i="7"/>
  <c r="F359" i="7"/>
  <c r="E359" i="7"/>
  <c r="H359" i="7" s="1"/>
  <c r="D359" i="7"/>
  <c r="F358" i="7"/>
  <c r="I358" i="7" s="1"/>
  <c r="E358" i="7"/>
  <c r="D358" i="7"/>
  <c r="F357" i="7"/>
  <c r="I357" i="7" s="1"/>
  <c r="E357" i="7"/>
  <c r="D357" i="7"/>
  <c r="F103" i="7"/>
  <c r="I103" i="7" s="1"/>
  <c r="E103" i="7"/>
  <c r="H103" i="7" s="1"/>
  <c r="D103" i="7"/>
  <c r="F355" i="7"/>
  <c r="E355" i="7"/>
  <c r="H355" i="7" s="1"/>
  <c r="D355" i="7"/>
  <c r="F354" i="7"/>
  <c r="I354" i="7" s="1"/>
  <c r="E354" i="7"/>
  <c r="D354" i="7"/>
  <c r="F353" i="7"/>
  <c r="I353" i="7" s="1"/>
  <c r="E353" i="7"/>
  <c r="H353" i="7" s="1"/>
  <c r="D353" i="7"/>
  <c r="F352" i="7"/>
  <c r="I352" i="7" s="1"/>
  <c r="E352" i="7"/>
  <c r="H352" i="7" s="1"/>
  <c r="D352" i="7"/>
  <c r="F351" i="7"/>
  <c r="E351" i="7"/>
  <c r="H351" i="7" s="1"/>
  <c r="D351" i="7"/>
  <c r="F350" i="7"/>
  <c r="I350" i="7" s="1"/>
  <c r="E350" i="7"/>
  <c r="D350" i="7"/>
  <c r="F349" i="7"/>
  <c r="I349" i="7" s="1"/>
  <c r="E349" i="7"/>
  <c r="D349" i="7"/>
  <c r="F348" i="7"/>
  <c r="I348" i="7" s="1"/>
  <c r="E348" i="7"/>
  <c r="D348" i="7"/>
  <c r="F347" i="7"/>
  <c r="E347" i="7"/>
  <c r="H347" i="7" s="1"/>
  <c r="D347" i="7"/>
  <c r="F346" i="7"/>
  <c r="I346" i="7" s="1"/>
  <c r="E346" i="7"/>
  <c r="D346" i="7"/>
  <c r="F345" i="7"/>
  <c r="I345" i="7" s="1"/>
  <c r="E345" i="7"/>
  <c r="D345" i="7"/>
  <c r="F344" i="7"/>
  <c r="I344" i="7" s="1"/>
  <c r="E344" i="7"/>
  <c r="H344" i="7" s="1"/>
  <c r="D344" i="7"/>
  <c r="F343" i="7"/>
  <c r="E343" i="7"/>
  <c r="H343" i="7" s="1"/>
  <c r="D343" i="7"/>
  <c r="F342" i="7"/>
  <c r="I342" i="7" s="1"/>
  <c r="E342" i="7"/>
  <c r="D342" i="7"/>
  <c r="F341" i="7"/>
  <c r="I341" i="7" s="1"/>
  <c r="E341" i="7"/>
  <c r="D341" i="7"/>
  <c r="F340" i="7"/>
  <c r="I340" i="7" s="1"/>
  <c r="E340" i="7"/>
  <c r="D340" i="7"/>
  <c r="F339" i="7"/>
  <c r="E339" i="7"/>
  <c r="H339" i="7" s="1"/>
  <c r="D339" i="7"/>
  <c r="F338" i="7"/>
  <c r="I338" i="7" s="1"/>
  <c r="E338" i="7"/>
  <c r="D338" i="7"/>
  <c r="F337" i="7"/>
  <c r="I337" i="7" s="1"/>
  <c r="E337" i="7"/>
  <c r="H337" i="7" s="1"/>
  <c r="D337" i="7"/>
  <c r="F336" i="7"/>
  <c r="I336" i="7" s="1"/>
  <c r="E336" i="7"/>
  <c r="H336" i="7" s="1"/>
  <c r="D336" i="7"/>
  <c r="F335" i="7"/>
  <c r="E335" i="7"/>
  <c r="H335" i="7" s="1"/>
  <c r="D335" i="7"/>
  <c r="F334" i="7"/>
  <c r="I334" i="7" s="1"/>
  <c r="E334" i="7"/>
  <c r="D334" i="7"/>
  <c r="F333" i="7"/>
  <c r="I333" i="7" s="1"/>
  <c r="E333" i="7"/>
  <c r="H333" i="7" s="1"/>
  <c r="D333" i="7"/>
  <c r="F332" i="7"/>
  <c r="I332" i="7" s="1"/>
  <c r="E332" i="7"/>
  <c r="H332" i="7" s="1"/>
  <c r="D332" i="7"/>
  <c r="F331" i="7"/>
  <c r="E331" i="7"/>
  <c r="D331" i="7"/>
  <c r="F330" i="7"/>
  <c r="I330" i="7" s="1"/>
  <c r="E330" i="7"/>
  <c r="D330" i="7"/>
  <c r="F329" i="7"/>
  <c r="I329" i="7" s="1"/>
  <c r="E329" i="7"/>
  <c r="D329" i="7"/>
  <c r="F328" i="7"/>
  <c r="I328" i="7" s="1"/>
  <c r="E328" i="7"/>
  <c r="H328" i="7" s="1"/>
  <c r="D328" i="7"/>
  <c r="F327" i="7"/>
  <c r="E327" i="7"/>
  <c r="H327" i="7" s="1"/>
  <c r="D327" i="7"/>
  <c r="F326" i="7"/>
  <c r="I326" i="7" s="1"/>
  <c r="E326" i="7"/>
  <c r="D326" i="7"/>
  <c r="F325" i="7"/>
  <c r="I325" i="7" s="1"/>
  <c r="E325" i="7"/>
  <c r="D325" i="7"/>
  <c r="F324" i="7"/>
  <c r="I324" i="7" s="1"/>
  <c r="E324" i="7"/>
  <c r="H324" i="7" s="1"/>
  <c r="D324" i="7"/>
  <c r="F323" i="7"/>
  <c r="E323" i="7"/>
  <c r="D323" i="7"/>
  <c r="F322" i="7"/>
  <c r="I322" i="7" s="1"/>
  <c r="E322" i="7"/>
  <c r="D322" i="7"/>
  <c r="F321" i="7"/>
  <c r="I321" i="7" s="1"/>
  <c r="E321" i="7"/>
  <c r="D321" i="7"/>
  <c r="F320" i="7"/>
  <c r="I320" i="7" s="1"/>
  <c r="E320" i="7"/>
  <c r="H320" i="7" s="1"/>
  <c r="D320" i="7"/>
  <c r="F319" i="7"/>
  <c r="E319" i="7"/>
  <c r="D319" i="7"/>
  <c r="F318" i="7"/>
  <c r="I318" i="7" s="1"/>
  <c r="E318" i="7"/>
  <c r="D318" i="7"/>
  <c r="F317" i="7"/>
  <c r="I317" i="7" s="1"/>
  <c r="E317" i="7"/>
  <c r="D317" i="7"/>
  <c r="F316" i="7"/>
  <c r="I316" i="7" s="1"/>
  <c r="E316" i="7"/>
  <c r="H316" i="7" s="1"/>
  <c r="D316" i="7"/>
  <c r="F315" i="7"/>
  <c r="E315" i="7"/>
  <c r="D315" i="7"/>
  <c r="F314" i="7"/>
  <c r="I314" i="7" s="1"/>
  <c r="E314" i="7"/>
  <c r="D314" i="7"/>
  <c r="F313" i="7"/>
  <c r="I313" i="7" s="1"/>
  <c r="E313" i="7"/>
  <c r="D313" i="7"/>
  <c r="F312" i="7"/>
  <c r="I312" i="7" s="1"/>
  <c r="E312" i="7"/>
  <c r="H312" i="7" s="1"/>
  <c r="D312" i="7"/>
  <c r="F311" i="7"/>
  <c r="E311" i="7"/>
  <c r="H311" i="7" s="1"/>
  <c r="D311" i="7"/>
  <c r="F310" i="7"/>
  <c r="I310" i="7" s="1"/>
  <c r="E310" i="7"/>
  <c r="D310" i="7"/>
  <c r="F309" i="7"/>
  <c r="I309" i="7" s="1"/>
  <c r="E309" i="7"/>
  <c r="D309" i="7"/>
  <c r="F308" i="7"/>
  <c r="I308" i="7" s="1"/>
  <c r="E308" i="7"/>
  <c r="H308" i="7" s="1"/>
  <c r="D308" i="7"/>
  <c r="F307" i="7"/>
  <c r="E307" i="7"/>
  <c r="H307" i="7" s="1"/>
  <c r="D307" i="7"/>
  <c r="F306" i="7"/>
  <c r="I306" i="7" s="1"/>
  <c r="E306" i="7"/>
  <c r="D306" i="7"/>
  <c r="F305" i="7"/>
  <c r="I305" i="7" s="1"/>
  <c r="E305" i="7"/>
  <c r="D305" i="7"/>
  <c r="F304" i="7"/>
  <c r="I304" i="7" s="1"/>
  <c r="E304" i="7"/>
  <c r="H304" i="7" s="1"/>
  <c r="D304" i="7"/>
  <c r="F303" i="7"/>
  <c r="E303" i="7"/>
  <c r="D303" i="7"/>
  <c r="F302" i="7"/>
  <c r="I302" i="7" s="1"/>
  <c r="E302" i="7"/>
  <c r="D302" i="7"/>
  <c r="F301" i="7"/>
  <c r="I301" i="7" s="1"/>
  <c r="E301" i="7"/>
  <c r="D301" i="7"/>
  <c r="F300" i="7"/>
  <c r="I300" i="7" s="1"/>
  <c r="E300" i="7"/>
  <c r="H300" i="7" s="1"/>
  <c r="D300" i="7"/>
  <c r="F299" i="7"/>
  <c r="I299" i="7" s="1"/>
  <c r="E299" i="7"/>
  <c r="D299" i="7"/>
  <c r="F298" i="7"/>
  <c r="I298" i="7" s="1"/>
  <c r="E298" i="7"/>
  <c r="D298" i="7"/>
  <c r="F297" i="7"/>
  <c r="I297" i="7" s="1"/>
  <c r="E297" i="7"/>
  <c r="H297" i="7" s="1"/>
  <c r="D297" i="7"/>
  <c r="F276" i="7"/>
  <c r="I276" i="7" s="1"/>
  <c r="E276" i="7"/>
  <c r="H276" i="7" s="1"/>
  <c r="D276" i="7"/>
  <c r="F177" i="7"/>
  <c r="E177" i="7"/>
  <c r="D177" i="7"/>
  <c r="F294" i="7"/>
  <c r="I294" i="7" s="1"/>
  <c r="E294" i="7"/>
  <c r="D294" i="7"/>
  <c r="F293" i="7"/>
  <c r="I293" i="7" s="1"/>
  <c r="E293" i="7"/>
  <c r="H293" i="7" s="1"/>
  <c r="D293" i="7"/>
  <c r="F292" i="7"/>
  <c r="I292" i="7" s="1"/>
  <c r="E292" i="7"/>
  <c r="H292" i="7" s="1"/>
  <c r="D292" i="7"/>
  <c r="F291" i="7"/>
  <c r="I291" i="7" s="1"/>
  <c r="E291" i="7"/>
  <c r="D291" i="7"/>
  <c r="F290" i="7"/>
  <c r="I290" i="7" s="1"/>
  <c r="E290" i="7"/>
  <c r="D290" i="7"/>
  <c r="F126" i="7"/>
  <c r="I126" i="7" s="1"/>
  <c r="E126" i="7"/>
  <c r="D126" i="7"/>
  <c r="F288" i="7"/>
  <c r="I288" i="7" s="1"/>
  <c r="E288" i="7"/>
  <c r="H288" i="7" s="1"/>
  <c r="D288" i="7"/>
  <c r="F287" i="7"/>
  <c r="I287" i="7" s="1"/>
  <c r="E287" i="7"/>
  <c r="H287" i="7" s="1"/>
  <c r="D287" i="7"/>
  <c r="F286" i="7"/>
  <c r="I286" i="7" s="1"/>
  <c r="E286" i="7"/>
  <c r="D286" i="7"/>
  <c r="F285" i="7"/>
  <c r="I285" i="7" s="1"/>
  <c r="E285" i="7"/>
  <c r="H285" i="7" s="1"/>
  <c r="D285" i="7"/>
  <c r="F284" i="7"/>
  <c r="I284" i="7" s="1"/>
  <c r="E284" i="7"/>
  <c r="H284" i="7" s="1"/>
  <c r="D284" i="7"/>
  <c r="F283" i="7"/>
  <c r="I283" i="7" s="1"/>
  <c r="E283" i="7"/>
  <c r="H283" i="7" s="1"/>
  <c r="D283" i="7"/>
  <c r="F282" i="7"/>
  <c r="I282" i="7" s="1"/>
  <c r="E282" i="7"/>
  <c r="D282" i="7"/>
  <c r="F281" i="7"/>
  <c r="I281" i="7" s="1"/>
  <c r="E281" i="7"/>
  <c r="D281" i="7"/>
  <c r="F280" i="7"/>
  <c r="I280" i="7" s="1"/>
  <c r="E280" i="7"/>
  <c r="H280" i="7" s="1"/>
  <c r="D280" i="7"/>
  <c r="F279" i="7"/>
  <c r="I279" i="7" s="1"/>
  <c r="E279" i="7"/>
  <c r="D279" i="7"/>
  <c r="F278" i="7"/>
  <c r="I278" i="7" s="1"/>
  <c r="E278" i="7"/>
  <c r="D278" i="7"/>
  <c r="F277" i="7"/>
  <c r="I277" i="7" s="1"/>
  <c r="E277" i="7"/>
  <c r="H277" i="7" s="1"/>
  <c r="D277" i="7"/>
  <c r="F523" i="7"/>
  <c r="I523" i="7" s="1"/>
  <c r="E523" i="7"/>
  <c r="H523" i="7" s="1"/>
  <c r="D523" i="7"/>
  <c r="F275" i="7"/>
  <c r="I275" i="7" s="1"/>
  <c r="E275" i="7"/>
  <c r="D275" i="7"/>
  <c r="F274" i="7"/>
  <c r="I274" i="7" s="1"/>
  <c r="E274" i="7"/>
  <c r="D274" i="7"/>
  <c r="F273" i="7"/>
  <c r="I273" i="7" s="1"/>
  <c r="E273" i="7"/>
  <c r="D273" i="7"/>
  <c r="F272" i="7"/>
  <c r="I272" i="7" s="1"/>
  <c r="E272" i="7"/>
  <c r="H272" i="7" s="1"/>
  <c r="D272" i="7"/>
  <c r="F271" i="7"/>
  <c r="I271" i="7" s="1"/>
  <c r="E271" i="7"/>
  <c r="H271" i="7" s="1"/>
  <c r="D271" i="7"/>
  <c r="F270" i="7"/>
  <c r="I270" i="7" s="1"/>
  <c r="E270" i="7"/>
  <c r="D270" i="7"/>
  <c r="F269" i="7"/>
  <c r="I269" i="7" s="1"/>
  <c r="E269" i="7"/>
  <c r="H269" i="7" s="1"/>
  <c r="D269" i="7"/>
  <c r="F268" i="7"/>
  <c r="I268" i="7" s="1"/>
  <c r="E268" i="7"/>
  <c r="H268" i="7" s="1"/>
  <c r="D268" i="7"/>
  <c r="F267" i="7"/>
  <c r="I267" i="7" s="1"/>
  <c r="E267" i="7"/>
  <c r="H267" i="7" s="1"/>
  <c r="D267" i="7"/>
  <c r="F266" i="7"/>
  <c r="I266" i="7" s="1"/>
  <c r="E266" i="7"/>
  <c r="D266" i="7"/>
  <c r="F265" i="7"/>
  <c r="I265" i="7" s="1"/>
  <c r="E265" i="7"/>
  <c r="D265" i="7"/>
  <c r="F264" i="7"/>
  <c r="I264" i="7" s="1"/>
  <c r="E264" i="7"/>
  <c r="D264" i="7"/>
  <c r="F263" i="7"/>
  <c r="I263" i="7" s="1"/>
  <c r="E263" i="7"/>
  <c r="H263" i="7" s="1"/>
  <c r="D263" i="7"/>
  <c r="F262" i="7"/>
  <c r="I262" i="7" s="1"/>
  <c r="E262" i="7"/>
  <c r="D262" i="7"/>
  <c r="F261" i="7"/>
  <c r="I261" i="7" s="1"/>
  <c r="E261" i="7"/>
  <c r="H261" i="7" s="1"/>
  <c r="D261" i="7"/>
  <c r="F260" i="7"/>
  <c r="I260" i="7" s="1"/>
  <c r="E260" i="7"/>
  <c r="H260" i="7" s="1"/>
  <c r="D260" i="7"/>
  <c r="F259" i="7"/>
  <c r="I259" i="7" s="1"/>
  <c r="E259" i="7"/>
  <c r="D259" i="7"/>
  <c r="F258" i="7"/>
  <c r="I258" i="7" s="1"/>
  <c r="E258" i="7"/>
  <c r="D258" i="7"/>
  <c r="F257" i="7"/>
  <c r="I257" i="7" s="1"/>
  <c r="E257" i="7"/>
  <c r="D257" i="7"/>
  <c r="F256" i="7"/>
  <c r="I256" i="7" s="1"/>
  <c r="E256" i="7"/>
  <c r="H256" i="7" s="1"/>
  <c r="D256" i="7"/>
  <c r="F255" i="7"/>
  <c r="I255" i="7" s="1"/>
  <c r="E255" i="7"/>
  <c r="H255" i="7" s="1"/>
  <c r="D255" i="7"/>
  <c r="F254" i="7"/>
  <c r="I254" i="7" s="1"/>
  <c r="E254" i="7"/>
  <c r="D254" i="7"/>
  <c r="F253" i="7"/>
  <c r="I253" i="7" s="1"/>
  <c r="E253" i="7"/>
  <c r="H253" i="7" s="1"/>
  <c r="D253" i="7"/>
  <c r="F252" i="7"/>
  <c r="I252" i="7" s="1"/>
  <c r="E252" i="7"/>
  <c r="H252" i="7" s="1"/>
  <c r="D252" i="7"/>
  <c r="F251" i="7"/>
  <c r="I251" i="7" s="1"/>
  <c r="E251" i="7"/>
  <c r="H251" i="7" s="1"/>
  <c r="D251" i="7"/>
  <c r="F250" i="7"/>
  <c r="I250" i="7" s="1"/>
  <c r="E250" i="7"/>
  <c r="D250" i="7"/>
  <c r="F249" i="7"/>
  <c r="I249" i="7" s="1"/>
  <c r="E249" i="7"/>
  <c r="D249" i="7"/>
  <c r="F248" i="7"/>
  <c r="I248" i="7" s="1"/>
  <c r="E248" i="7"/>
  <c r="H248" i="7" s="1"/>
  <c r="D248" i="7"/>
  <c r="F247" i="7"/>
  <c r="I247" i="7" s="1"/>
  <c r="E247" i="7"/>
  <c r="H247" i="7" s="1"/>
  <c r="D247" i="7"/>
  <c r="F246" i="7"/>
  <c r="I246" i="7" s="1"/>
  <c r="E246" i="7"/>
  <c r="D246" i="7"/>
  <c r="F245" i="7"/>
  <c r="I245" i="7" s="1"/>
  <c r="E245" i="7"/>
  <c r="H245" i="7" s="1"/>
  <c r="D245" i="7"/>
  <c r="F244" i="7"/>
  <c r="I244" i="7" s="1"/>
  <c r="E244" i="7"/>
  <c r="H244" i="7" s="1"/>
  <c r="D244" i="7"/>
  <c r="F243" i="7"/>
  <c r="I243" i="7" s="1"/>
  <c r="E243" i="7"/>
  <c r="D243" i="7"/>
  <c r="F242" i="7"/>
  <c r="I242" i="7" s="1"/>
  <c r="E242" i="7"/>
  <c r="D242" i="7"/>
  <c r="F241" i="7"/>
  <c r="I241" i="7" s="1"/>
  <c r="E241" i="7"/>
  <c r="D241" i="7"/>
  <c r="F240" i="7"/>
  <c r="I240" i="7" s="1"/>
  <c r="E240" i="7"/>
  <c r="H240" i="7" s="1"/>
  <c r="D240" i="7"/>
  <c r="F431" i="7"/>
  <c r="I431" i="7" s="1"/>
  <c r="E431" i="7"/>
  <c r="H431" i="7" s="1"/>
  <c r="D431" i="7"/>
  <c r="F238" i="7"/>
  <c r="I238" i="7" s="1"/>
  <c r="E238" i="7"/>
  <c r="D238" i="7"/>
  <c r="F237" i="7"/>
  <c r="I237" i="7" s="1"/>
  <c r="E237" i="7"/>
  <c r="H237" i="7" s="1"/>
  <c r="D237" i="7"/>
  <c r="F236" i="7"/>
  <c r="I236" i="7" s="1"/>
  <c r="E236" i="7"/>
  <c r="D236" i="7"/>
  <c r="F235" i="7"/>
  <c r="I235" i="7" s="1"/>
  <c r="E235" i="7"/>
  <c r="H235" i="7" s="1"/>
  <c r="D235" i="7"/>
  <c r="F234" i="7"/>
  <c r="I234" i="7" s="1"/>
  <c r="E234" i="7"/>
  <c r="D234" i="7"/>
  <c r="F233" i="7"/>
  <c r="I233" i="7" s="1"/>
  <c r="E233" i="7"/>
  <c r="D233" i="7"/>
  <c r="F232" i="7"/>
  <c r="I232" i="7" s="1"/>
  <c r="E232" i="7"/>
  <c r="H232" i="7" s="1"/>
  <c r="D232" i="7"/>
  <c r="F231" i="7"/>
  <c r="I231" i="7" s="1"/>
  <c r="E231" i="7"/>
  <c r="H231" i="7" s="1"/>
  <c r="D231" i="7"/>
  <c r="F230" i="7"/>
  <c r="I230" i="7" s="1"/>
  <c r="E230" i="7"/>
  <c r="D230" i="7"/>
  <c r="F229" i="7"/>
  <c r="I229" i="7" s="1"/>
  <c r="E229" i="7"/>
  <c r="H229" i="7" s="1"/>
  <c r="D229" i="7"/>
  <c r="F228" i="7"/>
  <c r="I228" i="7" s="1"/>
  <c r="E228" i="7"/>
  <c r="H228" i="7" s="1"/>
  <c r="D228" i="7"/>
  <c r="F227" i="7"/>
  <c r="I227" i="7" s="1"/>
  <c r="E227" i="7"/>
  <c r="D227" i="7"/>
  <c r="F226" i="7"/>
  <c r="I226" i="7" s="1"/>
  <c r="E226" i="7"/>
  <c r="D226" i="7"/>
  <c r="F225" i="7"/>
  <c r="I225" i="7" s="1"/>
  <c r="E225" i="7"/>
  <c r="D225" i="7"/>
  <c r="F224" i="7"/>
  <c r="I224" i="7" s="1"/>
  <c r="E224" i="7"/>
  <c r="H224" i="7" s="1"/>
  <c r="D224" i="7"/>
  <c r="F223" i="7"/>
  <c r="I223" i="7" s="1"/>
  <c r="E223" i="7"/>
  <c r="H223" i="7" s="1"/>
  <c r="D223" i="7"/>
  <c r="F222" i="7"/>
  <c r="I222" i="7" s="1"/>
  <c r="E222" i="7"/>
  <c r="D222" i="7"/>
  <c r="F221" i="7"/>
  <c r="I221" i="7" s="1"/>
  <c r="E221" i="7"/>
  <c r="H221" i="7" s="1"/>
  <c r="D221" i="7"/>
  <c r="F584" i="7"/>
  <c r="I584" i="7" s="1"/>
  <c r="E584" i="7"/>
  <c r="H584" i="7" s="1"/>
  <c r="D584" i="7"/>
  <c r="F219" i="7"/>
  <c r="I219" i="7" s="1"/>
  <c r="E219" i="7"/>
  <c r="D219" i="7"/>
  <c r="F218" i="7"/>
  <c r="I218" i="7" s="1"/>
  <c r="E218" i="7"/>
  <c r="D218" i="7"/>
  <c r="F217" i="7"/>
  <c r="I217" i="7" s="1"/>
  <c r="E217" i="7"/>
  <c r="D217" i="7"/>
  <c r="F216" i="7"/>
  <c r="I216" i="7" s="1"/>
  <c r="E216" i="7"/>
  <c r="H216" i="7" s="1"/>
  <c r="D216" i="7"/>
  <c r="F215" i="7"/>
  <c r="I215" i="7" s="1"/>
  <c r="E215" i="7"/>
  <c r="H215" i="7" s="1"/>
  <c r="D215" i="7"/>
  <c r="F214" i="7"/>
  <c r="I214" i="7" s="1"/>
  <c r="E214" i="7"/>
  <c r="D214" i="7"/>
  <c r="F213" i="7"/>
  <c r="I213" i="7" s="1"/>
  <c r="E213" i="7"/>
  <c r="H213" i="7" s="1"/>
  <c r="D213" i="7"/>
  <c r="F212" i="7"/>
  <c r="I212" i="7" s="1"/>
  <c r="E212" i="7"/>
  <c r="H212" i="7" s="1"/>
  <c r="D212" i="7"/>
  <c r="F211" i="7"/>
  <c r="I211" i="7" s="1"/>
  <c r="E211" i="7"/>
  <c r="D211" i="7"/>
  <c r="F210" i="7"/>
  <c r="I210" i="7" s="1"/>
  <c r="E210" i="7"/>
  <c r="D210" i="7"/>
  <c r="F209" i="7"/>
  <c r="I209" i="7" s="1"/>
  <c r="E209" i="7"/>
  <c r="D209" i="7"/>
  <c r="F208" i="7"/>
  <c r="I208" i="7" s="1"/>
  <c r="E208" i="7"/>
  <c r="D208" i="7"/>
  <c r="F207" i="7"/>
  <c r="I207" i="7" s="1"/>
  <c r="E207" i="7"/>
  <c r="D207" i="7"/>
  <c r="F206" i="7"/>
  <c r="I206" i="7" s="1"/>
  <c r="E206" i="7"/>
  <c r="D206" i="7"/>
  <c r="F205" i="7"/>
  <c r="I205" i="7" s="1"/>
  <c r="E205" i="7"/>
  <c r="H205" i="7" s="1"/>
  <c r="D205" i="7"/>
  <c r="F204" i="7"/>
  <c r="I204" i="7" s="1"/>
  <c r="E204" i="7"/>
  <c r="H204" i="7" s="1"/>
  <c r="D204" i="7"/>
  <c r="F203" i="7"/>
  <c r="I203" i="7" s="1"/>
  <c r="E203" i="7"/>
  <c r="H203" i="7" s="1"/>
  <c r="D203" i="7"/>
  <c r="F202" i="7"/>
  <c r="I202" i="7" s="1"/>
  <c r="E202" i="7"/>
  <c r="D202" i="7"/>
  <c r="F201" i="7"/>
  <c r="I201" i="7" s="1"/>
  <c r="E201" i="7"/>
  <c r="D201" i="7"/>
  <c r="F200" i="7"/>
  <c r="I200" i="7" s="1"/>
  <c r="E200" i="7"/>
  <c r="D200" i="7"/>
  <c r="F199" i="7"/>
  <c r="I199" i="7" s="1"/>
  <c r="E199" i="7"/>
  <c r="H199" i="7" s="1"/>
  <c r="D199" i="7"/>
  <c r="F198" i="7"/>
  <c r="I198" i="7" s="1"/>
  <c r="E198" i="7"/>
  <c r="D198" i="7"/>
  <c r="F197" i="7"/>
  <c r="I197" i="7" s="1"/>
  <c r="E197" i="7"/>
  <c r="H197" i="7" s="1"/>
  <c r="D197" i="7"/>
  <c r="F196" i="7"/>
  <c r="I196" i="7" s="1"/>
  <c r="E196" i="7"/>
  <c r="H196" i="7" s="1"/>
  <c r="D196" i="7"/>
  <c r="F195" i="7"/>
  <c r="I195" i="7" s="1"/>
  <c r="E195" i="7"/>
  <c r="D195" i="7"/>
  <c r="F194" i="7"/>
  <c r="I194" i="7" s="1"/>
  <c r="E194" i="7"/>
  <c r="D194" i="7"/>
  <c r="F193" i="7"/>
  <c r="I193" i="7" s="1"/>
  <c r="E193" i="7"/>
  <c r="D193" i="7"/>
  <c r="F192" i="7"/>
  <c r="I192" i="7" s="1"/>
  <c r="E192" i="7"/>
  <c r="D192" i="7"/>
  <c r="F191" i="7"/>
  <c r="I191" i="7" s="1"/>
  <c r="E191" i="7"/>
  <c r="H191" i="7" s="1"/>
  <c r="D191" i="7"/>
  <c r="F190" i="7"/>
  <c r="I190" i="7" s="1"/>
  <c r="E190" i="7"/>
  <c r="H190" i="7" s="1"/>
  <c r="D190" i="7"/>
  <c r="F189" i="7"/>
  <c r="I189" i="7" s="1"/>
  <c r="E189" i="7"/>
  <c r="D189" i="7"/>
  <c r="F188" i="7"/>
  <c r="I188" i="7" s="1"/>
  <c r="E188" i="7"/>
  <c r="D188" i="7"/>
  <c r="F187" i="7"/>
  <c r="I187" i="7" s="1"/>
  <c r="E187" i="7"/>
  <c r="H187" i="7" s="1"/>
  <c r="D187" i="7"/>
  <c r="F186" i="7"/>
  <c r="I186" i="7" s="1"/>
  <c r="E186" i="7"/>
  <c r="H186" i="7" s="1"/>
  <c r="D186" i="7"/>
  <c r="F185" i="7"/>
  <c r="I185" i="7" s="1"/>
  <c r="E185" i="7"/>
  <c r="D185" i="7"/>
  <c r="F184" i="7"/>
  <c r="I184" i="7" s="1"/>
  <c r="E184" i="7"/>
  <c r="H184" i="7" s="1"/>
  <c r="D184" i="7"/>
  <c r="F183" i="7"/>
  <c r="I183" i="7" s="1"/>
  <c r="E183" i="7"/>
  <c r="D183" i="7"/>
  <c r="F182" i="7"/>
  <c r="I182" i="7" s="1"/>
  <c r="E182" i="7"/>
  <c r="H182" i="7" s="1"/>
  <c r="D182" i="7"/>
  <c r="F181" i="7"/>
  <c r="I181" i="7" s="1"/>
  <c r="E181" i="7"/>
  <c r="D181" i="7"/>
  <c r="F180" i="7"/>
  <c r="I180" i="7" s="1"/>
  <c r="E180" i="7"/>
  <c r="D180" i="7"/>
  <c r="F179" i="7"/>
  <c r="I179" i="7" s="1"/>
  <c r="E179" i="7"/>
  <c r="D179" i="7"/>
  <c r="F178" i="7"/>
  <c r="I178" i="7" s="1"/>
  <c r="E178" i="7"/>
  <c r="H178" i="7" s="1"/>
  <c r="D178" i="7"/>
  <c r="F356" i="7"/>
  <c r="I356" i="7" s="1"/>
  <c r="E356" i="7"/>
  <c r="D356" i="7"/>
  <c r="F176" i="7"/>
  <c r="I176" i="7" s="1"/>
  <c r="E176" i="7"/>
  <c r="H176" i="7" s="1"/>
  <c r="D176" i="7"/>
  <c r="F175" i="7"/>
  <c r="I175" i="7" s="1"/>
  <c r="E175" i="7"/>
  <c r="D175" i="7"/>
  <c r="F174" i="7"/>
  <c r="I174" i="7" s="1"/>
  <c r="E174" i="7"/>
  <c r="H174" i="7" s="1"/>
  <c r="D174" i="7"/>
  <c r="F173" i="7"/>
  <c r="I173" i="7" s="1"/>
  <c r="E173" i="7"/>
  <c r="D173" i="7"/>
  <c r="F172" i="7"/>
  <c r="I172" i="7" s="1"/>
  <c r="E172" i="7"/>
  <c r="D172" i="7"/>
  <c r="F92" i="7"/>
  <c r="I92" i="7" s="1"/>
  <c r="E92" i="7"/>
  <c r="D92" i="7"/>
  <c r="F170" i="7"/>
  <c r="I170" i="7" s="1"/>
  <c r="E170" i="7"/>
  <c r="H170" i="7" s="1"/>
  <c r="D170" i="7"/>
  <c r="F169" i="7"/>
  <c r="I169" i="7" s="1"/>
  <c r="E169" i="7"/>
  <c r="D169" i="7"/>
  <c r="F289" i="7"/>
  <c r="I289" i="7" s="1"/>
  <c r="E289" i="7"/>
  <c r="H289" i="7" s="1"/>
  <c r="D289" i="7"/>
  <c r="F167" i="7"/>
  <c r="I167" i="7" s="1"/>
  <c r="E167" i="7"/>
  <c r="H167" i="7" s="1"/>
  <c r="D167" i="7"/>
  <c r="F166" i="7"/>
  <c r="I166" i="7" s="1"/>
  <c r="E166" i="7"/>
  <c r="H166" i="7" s="1"/>
  <c r="D166" i="7"/>
  <c r="F165" i="7"/>
  <c r="I165" i="7" s="1"/>
  <c r="E165" i="7"/>
  <c r="D165" i="7"/>
  <c r="F164" i="7"/>
  <c r="I164" i="7" s="1"/>
  <c r="E164" i="7"/>
  <c r="D164" i="7"/>
  <c r="F163" i="7"/>
  <c r="I163" i="7" s="1"/>
  <c r="E163" i="7"/>
  <c r="H163" i="7" s="1"/>
  <c r="D163" i="7"/>
  <c r="F162" i="7"/>
  <c r="I162" i="7" s="1"/>
  <c r="E162" i="7"/>
  <c r="H162" i="7" s="1"/>
  <c r="D162" i="7"/>
  <c r="F161" i="7"/>
  <c r="I161" i="7" s="1"/>
  <c r="E161" i="7"/>
  <c r="D161" i="7"/>
  <c r="F160" i="7"/>
  <c r="I160" i="7" s="1"/>
  <c r="E160" i="7"/>
  <c r="D160" i="7"/>
  <c r="F159" i="7"/>
  <c r="I159" i="7" s="1"/>
  <c r="E159" i="7"/>
  <c r="H159" i="7" s="1"/>
  <c r="D159" i="7"/>
  <c r="F158" i="7"/>
  <c r="I158" i="7" s="1"/>
  <c r="E158" i="7"/>
  <c r="H158" i="7" s="1"/>
  <c r="D158" i="7"/>
  <c r="F157" i="7"/>
  <c r="I157" i="7" s="1"/>
  <c r="E157" i="7"/>
  <c r="D157" i="7"/>
  <c r="F156" i="7"/>
  <c r="I156" i="7" s="1"/>
  <c r="E156" i="7"/>
  <c r="D156" i="7"/>
  <c r="F220" i="7"/>
  <c r="I220" i="7" s="1"/>
  <c r="E220" i="7"/>
  <c r="H220" i="7" s="1"/>
  <c r="D220" i="7"/>
  <c r="F154" i="7"/>
  <c r="I154" i="7" s="1"/>
  <c r="E154" i="7"/>
  <c r="H154" i="7" s="1"/>
  <c r="D154" i="7"/>
  <c r="F153" i="7"/>
  <c r="I153" i="7" s="1"/>
  <c r="E153" i="7"/>
  <c r="D153" i="7"/>
  <c r="F152" i="7"/>
  <c r="I152" i="7" s="1"/>
  <c r="E152" i="7"/>
  <c r="H152" i="7" s="1"/>
  <c r="D152" i="7"/>
  <c r="F151" i="7"/>
  <c r="I151" i="7" s="1"/>
  <c r="E151" i="7"/>
  <c r="D151" i="7"/>
  <c r="F150" i="7"/>
  <c r="I150" i="7" s="1"/>
  <c r="E150" i="7"/>
  <c r="H150" i="7" s="1"/>
  <c r="D150" i="7"/>
  <c r="F149" i="7"/>
  <c r="I149" i="7" s="1"/>
  <c r="E149" i="7"/>
  <c r="D149" i="7"/>
  <c r="F148" i="7"/>
  <c r="I148" i="7" s="1"/>
  <c r="E148" i="7"/>
  <c r="H148" i="7" s="1"/>
  <c r="D148" i="7"/>
  <c r="F147" i="7"/>
  <c r="I147" i="7" s="1"/>
  <c r="E147" i="7"/>
  <c r="D147" i="7"/>
  <c r="F146" i="7"/>
  <c r="I146" i="7" s="1"/>
  <c r="E146" i="7"/>
  <c r="H146" i="7" s="1"/>
  <c r="D146" i="7"/>
  <c r="F145" i="7"/>
  <c r="I145" i="7" s="1"/>
  <c r="E145" i="7"/>
  <c r="D145" i="7"/>
  <c r="F144" i="7"/>
  <c r="I144" i="7" s="1"/>
  <c r="E144" i="7"/>
  <c r="H144" i="7" s="1"/>
  <c r="D144" i="7"/>
  <c r="F143" i="7"/>
  <c r="I143" i="7" s="1"/>
  <c r="E143" i="7"/>
  <c r="D143" i="7"/>
  <c r="F142" i="7"/>
  <c r="I142" i="7" s="1"/>
  <c r="E142" i="7"/>
  <c r="H142" i="7" s="1"/>
  <c r="D142" i="7"/>
  <c r="F141" i="7"/>
  <c r="I141" i="7" s="1"/>
  <c r="E141" i="7"/>
  <c r="D141" i="7"/>
  <c r="F140" i="7"/>
  <c r="I140" i="7" s="1"/>
  <c r="E140" i="7"/>
  <c r="H140" i="7" s="1"/>
  <c r="D140" i="7"/>
  <c r="F155" i="7"/>
  <c r="I155" i="7" s="1"/>
  <c r="E155" i="7"/>
  <c r="D155" i="7"/>
  <c r="F138" i="7"/>
  <c r="I138" i="7" s="1"/>
  <c r="E138" i="7"/>
  <c r="H138" i="7" s="1"/>
  <c r="D138" i="7"/>
  <c r="F137" i="7"/>
  <c r="I137" i="7" s="1"/>
  <c r="E137" i="7"/>
  <c r="D137" i="7"/>
  <c r="F136" i="7"/>
  <c r="I136" i="7" s="1"/>
  <c r="E136" i="7"/>
  <c r="H136" i="7" s="1"/>
  <c r="D136" i="7"/>
  <c r="F135" i="7"/>
  <c r="I135" i="7" s="1"/>
  <c r="E135" i="7"/>
  <c r="H135" i="7" s="1"/>
  <c r="D135" i="7"/>
  <c r="F134" i="7"/>
  <c r="I134" i="7" s="1"/>
  <c r="E134" i="7"/>
  <c r="H134" i="7" s="1"/>
  <c r="D134" i="7"/>
  <c r="F133" i="7"/>
  <c r="I133" i="7" s="1"/>
  <c r="E133" i="7"/>
  <c r="D133" i="7"/>
  <c r="F132" i="7"/>
  <c r="I132" i="7" s="1"/>
  <c r="E132" i="7"/>
  <c r="D132" i="7"/>
  <c r="F131" i="7"/>
  <c r="I131" i="7" s="1"/>
  <c r="E131" i="7"/>
  <c r="H131" i="7" s="1"/>
  <c r="D131" i="7"/>
  <c r="F130" i="7"/>
  <c r="I130" i="7" s="1"/>
  <c r="E130" i="7"/>
  <c r="H130" i="7" s="1"/>
  <c r="D130" i="7"/>
  <c r="F129" i="7"/>
  <c r="I129" i="7" s="1"/>
  <c r="E129" i="7"/>
  <c r="H129" i="7" s="1"/>
  <c r="D129" i="7"/>
  <c r="F128" i="7"/>
  <c r="I128" i="7" s="1"/>
  <c r="E128" i="7"/>
  <c r="H128" i="7" s="1"/>
  <c r="D128" i="7"/>
  <c r="F127" i="7"/>
  <c r="I127" i="7" s="1"/>
  <c r="E127" i="7"/>
  <c r="H127" i="7" s="1"/>
  <c r="D127" i="7"/>
  <c r="F546" i="7"/>
  <c r="I546" i="7" s="1"/>
  <c r="E546" i="7"/>
  <c r="H546" i="7" s="1"/>
  <c r="D546" i="7"/>
  <c r="F125" i="7"/>
  <c r="I125" i="7" s="1"/>
  <c r="E125" i="7"/>
  <c r="D125" i="7"/>
  <c r="F124" i="7"/>
  <c r="I124" i="7" s="1"/>
  <c r="E124" i="7"/>
  <c r="D124" i="7"/>
  <c r="F123" i="7"/>
  <c r="I123" i="7" s="1"/>
  <c r="E123" i="7"/>
  <c r="H123" i="7" s="1"/>
  <c r="D123" i="7"/>
  <c r="F122" i="7"/>
  <c r="I122" i="7" s="1"/>
  <c r="E122" i="7"/>
  <c r="H122" i="7" s="1"/>
  <c r="D122" i="7"/>
  <c r="F121" i="7"/>
  <c r="I121" i="7" s="1"/>
  <c r="E121" i="7"/>
  <c r="D121" i="7"/>
  <c r="F380" i="7"/>
  <c r="I380" i="7" s="1"/>
  <c r="E380" i="7"/>
  <c r="H380" i="7" s="1"/>
  <c r="D380" i="7"/>
  <c r="F119" i="7"/>
  <c r="I119" i="7" s="1"/>
  <c r="E119" i="7"/>
  <c r="D119" i="7"/>
  <c r="F118" i="7"/>
  <c r="I118" i="7" s="1"/>
  <c r="E118" i="7"/>
  <c r="D118" i="7"/>
  <c r="F117" i="7"/>
  <c r="I117" i="7" s="1"/>
  <c r="E117" i="7"/>
  <c r="H117" i="7" s="1"/>
  <c r="D117" i="7"/>
  <c r="F116" i="7"/>
  <c r="I116" i="7" s="1"/>
  <c r="E116" i="7"/>
  <c r="H116" i="7" s="1"/>
  <c r="D116" i="7"/>
  <c r="F115" i="7"/>
  <c r="I115" i="7" s="1"/>
  <c r="E115" i="7"/>
  <c r="H115" i="7" s="1"/>
  <c r="D115" i="7"/>
  <c r="F114" i="7"/>
  <c r="I114" i="7" s="1"/>
  <c r="E114" i="7"/>
  <c r="H114" i="7" s="1"/>
  <c r="D114" i="7"/>
  <c r="F113" i="7"/>
  <c r="I113" i="7" s="1"/>
  <c r="E113" i="7"/>
  <c r="H113" i="7" s="1"/>
  <c r="D113" i="7"/>
  <c r="F112" i="7"/>
  <c r="I112" i="7" s="1"/>
  <c r="E112" i="7"/>
  <c r="H112" i="7" s="1"/>
  <c r="D112" i="7"/>
  <c r="F111" i="7"/>
  <c r="I111" i="7" s="1"/>
  <c r="E111" i="7"/>
  <c r="H111" i="7" s="1"/>
  <c r="D111" i="7"/>
  <c r="F110" i="7"/>
  <c r="I110" i="7" s="1"/>
  <c r="E110" i="7"/>
  <c r="H110" i="7" s="1"/>
  <c r="D110" i="7"/>
  <c r="F109" i="7"/>
  <c r="I109" i="7" s="1"/>
  <c r="E109" i="7"/>
  <c r="D109" i="7"/>
  <c r="F108" i="7"/>
  <c r="I108" i="7" s="1"/>
  <c r="E108" i="7"/>
  <c r="H108" i="7" s="1"/>
  <c r="D108" i="7"/>
  <c r="F107" i="7"/>
  <c r="I107" i="7" s="1"/>
  <c r="E107" i="7"/>
  <c r="H107" i="7" s="1"/>
  <c r="D107" i="7"/>
  <c r="F106" i="7"/>
  <c r="I106" i="7" s="1"/>
  <c r="E106" i="7"/>
  <c r="H106" i="7" s="1"/>
  <c r="D106" i="7"/>
  <c r="F105" i="7"/>
  <c r="I105" i="7" s="1"/>
  <c r="E105" i="7"/>
  <c r="H105" i="7" s="1"/>
  <c r="D105" i="7"/>
  <c r="F104" i="7"/>
  <c r="I104" i="7" s="1"/>
  <c r="E104" i="7"/>
  <c r="H104" i="7" s="1"/>
  <c r="D104" i="7"/>
  <c r="F98" i="7"/>
  <c r="I98" i="7" s="1"/>
  <c r="E98" i="7"/>
  <c r="H98" i="7" s="1"/>
  <c r="D98" i="7"/>
  <c r="F102" i="7"/>
  <c r="I102" i="7" s="1"/>
  <c r="E102" i="7"/>
  <c r="H102" i="7" s="1"/>
  <c r="D102" i="7"/>
  <c r="F101" i="7"/>
  <c r="I101" i="7" s="1"/>
  <c r="E101" i="7"/>
  <c r="H101" i="7" s="1"/>
  <c r="D101" i="7"/>
  <c r="F100" i="7"/>
  <c r="I100" i="7" s="1"/>
  <c r="E100" i="7"/>
  <c r="H100" i="7" s="1"/>
  <c r="D100" i="7"/>
  <c r="F99" i="7"/>
  <c r="I99" i="7" s="1"/>
  <c r="E99" i="7"/>
  <c r="H99" i="7" s="1"/>
  <c r="D99" i="7"/>
  <c r="F171" i="7"/>
  <c r="I171" i="7" s="1"/>
  <c r="E171" i="7"/>
  <c r="H171" i="7" s="1"/>
  <c r="D171" i="7"/>
  <c r="F97" i="7"/>
  <c r="I97" i="7" s="1"/>
  <c r="E97" i="7"/>
  <c r="H97" i="7" s="1"/>
  <c r="D97" i="7"/>
  <c r="F96" i="7"/>
  <c r="I96" i="7" s="1"/>
  <c r="E96" i="7"/>
  <c r="H96" i="7" s="1"/>
  <c r="D96" i="7"/>
  <c r="F95" i="7"/>
  <c r="I95" i="7" s="1"/>
  <c r="E95" i="7"/>
  <c r="H95" i="7" s="1"/>
  <c r="D95" i="7"/>
  <c r="F94" i="7"/>
  <c r="I94" i="7" s="1"/>
  <c r="E94" i="7"/>
  <c r="H94" i="7" s="1"/>
  <c r="D94" i="7"/>
  <c r="F93" i="7"/>
  <c r="I93" i="7" s="1"/>
  <c r="E93" i="7"/>
  <c r="D93" i="7"/>
  <c r="F168" i="7"/>
  <c r="I168" i="7" s="1"/>
  <c r="E168" i="7"/>
  <c r="H168" i="7" s="1"/>
  <c r="D168" i="7"/>
  <c r="F91" i="7"/>
  <c r="I91" i="7" s="1"/>
  <c r="E91" i="7"/>
  <c r="H91" i="7" s="1"/>
  <c r="D91" i="7"/>
  <c r="F90" i="7"/>
  <c r="I90" i="7" s="1"/>
  <c r="E90" i="7"/>
  <c r="H90" i="7" s="1"/>
  <c r="D90" i="7"/>
  <c r="F89" i="7"/>
  <c r="I89" i="7" s="1"/>
  <c r="E89" i="7"/>
  <c r="H89" i="7" s="1"/>
  <c r="D89" i="7"/>
  <c r="F88" i="7"/>
  <c r="I88" i="7" s="1"/>
  <c r="E88" i="7"/>
  <c r="H88" i="7" s="1"/>
  <c r="D88" i="7"/>
  <c r="F87" i="7"/>
  <c r="I87" i="7" s="1"/>
  <c r="E87" i="7"/>
  <c r="H87" i="7" s="1"/>
  <c r="D87" i="7"/>
  <c r="F86" i="7"/>
  <c r="I86" i="7" s="1"/>
  <c r="E86" i="7"/>
  <c r="H86" i="7" s="1"/>
  <c r="D86" i="7"/>
  <c r="F85" i="7"/>
  <c r="I85" i="7" s="1"/>
  <c r="E85" i="7"/>
  <c r="H85" i="7" s="1"/>
  <c r="D85" i="7"/>
  <c r="F84" i="7"/>
  <c r="I84" i="7" s="1"/>
  <c r="E84" i="7"/>
  <c r="H84" i="7" s="1"/>
  <c r="D84" i="7"/>
  <c r="F83" i="7"/>
  <c r="I83" i="7" s="1"/>
  <c r="E83" i="7"/>
  <c r="H83" i="7" s="1"/>
  <c r="D83" i="7"/>
  <c r="F82" i="7"/>
  <c r="I82" i="7" s="1"/>
  <c r="E82" i="7"/>
  <c r="H82" i="7" s="1"/>
  <c r="D82" i="7"/>
  <c r="F81" i="7"/>
  <c r="I81" i="7" s="1"/>
  <c r="E81" i="7"/>
  <c r="H81" i="7" s="1"/>
  <c r="D81" i="7"/>
  <c r="F80" i="7"/>
  <c r="I80" i="7" s="1"/>
  <c r="E80" i="7"/>
  <c r="H80" i="7" s="1"/>
  <c r="D80" i="7"/>
  <c r="F79" i="7"/>
  <c r="I79" i="7" s="1"/>
  <c r="E79" i="7"/>
  <c r="H79" i="7" s="1"/>
  <c r="D79" i="7"/>
  <c r="F78" i="7"/>
  <c r="I78" i="7" s="1"/>
  <c r="E78" i="7"/>
  <c r="H78" i="7" s="1"/>
  <c r="D78" i="7"/>
  <c r="F77" i="7"/>
  <c r="I77" i="7" s="1"/>
  <c r="E77" i="7"/>
  <c r="D77" i="7"/>
  <c r="F76" i="7"/>
  <c r="I76" i="7" s="1"/>
  <c r="E76" i="7"/>
  <c r="H76" i="7" s="1"/>
  <c r="D76" i="7"/>
  <c r="F75" i="7"/>
  <c r="I75" i="7" s="1"/>
  <c r="E75" i="7"/>
  <c r="H75" i="7" s="1"/>
  <c r="D75" i="7"/>
  <c r="F74" i="7"/>
  <c r="I74" i="7" s="1"/>
  <c r="E74" i="7"/>
  <c r="H74" i="7" s="1"/>
  <c r="D74" i="7"/>
  <c r="F73" i="7"/>
  <c r="I73" i="7" s="1"/>
  <c r="E73" i="7"/>
  <c r="H73" i="7" s="1"/>
  <c r="D73" i="7"/>
  <c r="F72" i="7"/>
  <c r="I72" i="7" s="1"/>
  <c r="E72" i="7"/>
  <c r="H72" i="7" s="1"/>
  <c r="D72" i="7"/>
  <c r="F71" i="7"/>
  <c r="I71" i="7" s="1"/>
  <c r="E71" i="7"/>
  <c r="H71" i="7" s="1"/>
  <c r="D71" i="7"/>
  <c r="F70" i="7"/>
  <c r="I70" i="7" s="1"/>
  <c r="E70" i="7"/>
  <c r="H70" i="7" s="1"/>
  <c r="D70" i="7"/>
  <c r="F69" i="7"/>
  <c r="I69" i="7" s="1"/>
  <c r="E69" i="7"/>
  <c r="H69" i="7" s="1"/>
  <c r="D69" i="7"/>
  <c r="F68" i="7"/>
  <c r="I68" i="7" s="1"/>
  <c r="E68" i="7"/>
  <c r="H68" i="7" s="1"/>
  <c r="D68" i="7"/>
  <c r="F67" i="7"/>
  <c r="I67" i="7" s="1"/>
  <c r="E67" i="7"/>
  <c r="H67" i="7" s="1"/>
  <c r="D67" i="7"/>
  <c r="F66" i="7"/>
  <c r="I66" i="7" s="1"/>
  <c r="E66" i="7"/>
  <c r="D66" i="7"/>
  <c r="F65" i="7"/>
  <c r="E65" i="7"/>
  <c r="H65" i="7" s="1"/>
  <c r="D65" i="7"/>
  <c r="F64" i="7"/>
  <c r="I64" i="7" s="1"/>
  <c r="E64" i="7"/>
  <c r="H64" i="7" s="1"/>
  <c r="D64" i="7"/>
  <c r="F63" i="7"/>
  <c r="I63" i="7" s="1"/>
  <c r="E63" i="7"/>
  <c r="H63" i="7" s="1"/>
  <c r="D63" i="7"/>
  <c r="F62" i="7"/>
  <c r="I62" i="7" s="1"/>
  <c r="E62" i="7"/>
  <c r="D62" i="7"/>
  <c r="F61" i="7"/>
  <c r="E61" i="7"/>
  <c r="H61" i="7" s="1"/>
  <c r="D61" i="7"/>
  <c r="F60" i="7"/>
  <c r="I60" i="7" s="1"/>
  <c r="E60" i="7"/>
  <c r="H60" i="7" s="1"/>
  <c r="D60" i="7"/>
  <c r="F59" i="7"/>
  <c r="I59" i="7" s="1"/>
  <c r="E59" i="7"/>
  <c r="H59" i="7" s="1"/>
  <c r="D59" i="7"/>
  <c r="F58" i="7"/>
  <c r="I58" i="7" s="1"/>
  <c r="E58" i="7"/>
  <c r="D58" i="7"/>
  <c r="F57" i="7"/>
  <c r="E57" i="7"/>
  <c r="H57" i="7" s="1"/>
  <c r="D57" i="7"/>
  <c r="F56" i="7"/>
  <c r="I56" i="7" s="1"/>
  <c r="E56" i="7"/>
  <c r="H56" i="7" s="1"/>
  <c r="D56" i="7"/>
  <c r="F55" i="7"/>
  <c r="I55" i="7" s="1"/>
  <c r="E55" i="7"/>
  <c r="H55" i="7" s="1"/>
  <c r="D55" i="7"/>
  <c r="F54" i="7"/>
  <c r="I54" i="7" s="1"/>
  <c r="E54" i="7"/>
  <c r="D54" i="7"/>
  <c r="F53" i="7"/>
  <c r="E53" i="7"/>
  <c r="H53" i="7" s="1"/>
  <c r="D53" i="7"/>
  <c r="F52" i="7"/>
  <c r="I52" i="7" s="1"/>
  <c r="E52" i="7"/>
  <c r="H52" i="7" s="1"/>
  <c r="D52" i="7"/>
  <c r="F51" i="7"/>
  <c r="I51" i="7" s="1"/>
  <c r="E51" i="7"/>
  <c r="H51" i="7" s="1"/>
  <c r="D51" i="7"/>
  <c r="F50" i="7"/>
  <c r="I50" i="7" s="1"/>
  <c r="E50" i="7"/>
  <c r="D50" i="7"/>
  <c r="F49" i="7"/>
  <c r="E49" i="7"/>
  <c r="H49" i="7" s="1"/>
  <c r="D49" i="7"/>
  <c r="F48" i="7"/>
  <c r="I48" i="7" s="1"/>
  <c r="E48" i="7"/>
  <c r="H48" i="7" s="1"/>
  <c r="D48" i="7"/>
  <c r="F47" i="7"/>
  <c r="I47" i="7" s="1"/>
  <c r="E47" i="7"/>
  <c r="H47" i="7" s="1"/>
  <c r="D47" i="7"/>
  <c r="F46" i="7"/>
  <c r="I46" i="7" s="1"/>
  <c r="E46" i="7"/>
  <c r="D46" i="7"/>
  <c r="F45" i="7"/>
  <c r="E45" i="7"/>
  <c r="H45" i="7" s="1"/>
  <c r="D45" i="7"/>
  <c r="F44" i="7"/>
  <c r="I44" i="7" s="1"/>
  <c r="E44" i="7"/>
  <c r="H44" i="7" s="1"/>
  <c r="D44" i="7"/>
  <c r="F43" i="7"/>
  <c r="I43" i="7" s="1"/>
  <c r="E43" i="7"/>
  <c r="H43" i="7" s="1"/>
  <c r="D43" i="7"/>
  <c r="F42" i="7"/>
  <c r="I42" i="7" s="1"/>
  <c r="E42" i="7"/>
  <c r="D42" i="7"/>
  <c r="F41" i="7"/>
  <c r="E41" i="7"/>
  <c r="H41" i="7" s="1"/>
  <c r="D41" i="7"/>
  <c r="F40" i="7"/>
  <c r="I40" i="7" s="1"/>
  <c r="E40" i="7"/>
  <c r="H40" i="7" s="1"/>
  <c r="D40" i="7"/>
  <c r="F39" i="7"/>
  <c r="I39" i="7" s="1"/>
  <c r="E39" i="7"/>
  <c r="H39" i="7" s="1"/>
  <c r="D39" i="7"/>
  <c r="F38" i="7"/>
  <c r="I38" i="7" s="1"/>
  <c r="E38" i="7"/>
  <c r="D38" i="7"/>
  <c r="F37" i="7"/>
  <c r="E37" i="7"/>
  <c r="H37" i="7" s="1"/>
  <c r="D37" i="7"/>
  <c r="F36" i="7"/>
  <c r="I36" i="7" s="1"/>
  <c r="E36" i="7"/>
  <c r="H36" i="7" s="1"/>
  <c r="D36" i="7"/>
  <c r="F35" i="7"/>
  <c r="I35" i="7" s="1"/>
  <c r="E35" i="7"/>
  <c r="H35" i="7" s="1"/>
  <c r="D35" i="7"/>
  <c r="F34" i="7"/>
  <c r="I34" i="7" s="1"/>
  <c r="E34" i="7"/>
  <c r="D34" i="7"/>
  <c r="F33" i="7"/>
  <c r="E33" i="7"/>
  <c r="H33" i="7" s="1"/>
  <c r="D33" i="7"/>
  <c r="F32" i="7"/>
  <c r="I32" i="7" s="1"/>
  <c r="E32" i="7"/>
  <c r="H32" i="7" s="1"/>
  <c r="D32" i="7"/>
  <c r="F31" i="7"/>
  <c r="I31" i="7" s="1"/>
  <c r="E31" i="7"/>
  <c r="H31" i="7" s="1"/>
  <c r="D31" i="7"/>
  <c r="F30" i="7"/>
  <c r="I30" i="7" s="1"/>
  <c r="E30" i="7"/>
  <c r="D30" i="7"/>
  <c r="F29" i="7"/>
  <c r="E29" i="7"/>
  <c r="H29" i="7" s="1"/>
  <c r="D29" i="7"/>
  <c r="F28" i="7"/>
  <c r="I28" i="7" s="1"/>
  <c r="E28" i="7"/>
  <c r="H28" i="7" s="1"/>
  <c r="D28" i="7"/>
  <c r="F27" i="7"/>
  <c r="I27" i="7" s="1"/>
  <c r="E27" i="7"/>
  <c r="H27" i="7" s="1"/>
  <c r="D27" i="7"/>
  <c r="F26" i="7"/>
  <c r="I26" i="7" s="1"/>
  <c r="E26" i="7"/>
  <c r="D26" i="7"/>
  <c r="F25" i="7"/>
  <c r="E25" i="7"/>
  <c r="H25" i="7" s="1"/>
  <c r="D25" i="7"/>
  <c r="F567" i="7"/>
  <c r="I567" i="7" s="1"/>
  <c r="E567" i="7"/>
  <c r="H567" i="7" s="1"/>
  <c r="D567" i="7"/>
  <c r="F23" i="7"/>
  <c r="I23" i="7" s="1"/>
  <c r="E23" i="7"/>
  <c r="H23" i="7" s="1"/>
  <c r="D23" i="7"/>
  <c r="F22" i="7"/>
  <c r="I22" i="7" s="1"/>
  <c r="E22" i="7"/>
  <c r="D22" i="7"/>
  <c r="F21" i="7"/>
  <c r="E21" i="7"/>
  <c r="H21" i="7" s="1"/>
  <c r="D21" i="7"/>
  <c r="F20" i="7"/>
  <c r="I20" i="7" s="1"/>
  <c r="E20" i="7"/>
  <c r="H20" i="7" s="1"/>
  <c r="D20" i="7"/>
  <c r="F19" i="7"/>
  <c r="I19" i="7" s="1"/>
  <c r="E19" i="7"/>
  <c r="H19" i="7" s="1"/>
  <c r="D19" i="7"/>
  <c r="F18" i="7"/>
  <c r="I18" i="7" s="1"/>
  <c r="E18" i="7"/>
  <c r="D18" i="7"/>
  <c r="F17" i="7"/>
  <c r="E17" i="7"/>
  <c r="H17" i="7" s="1"/>
  <c r="D17" i="7"/>
  <c r="G17" i="7" s="1"/>
  <c r="J17" i="7" s="1"/>
  <c r="F16" i="7"/>
  <c r="I16" i="7" s="1"/>
  <c r="E16" i="7"/>
  <c r="H16" i="7" s="1"/>
  <c r="D16" i="7"/>
  <c r="H15" i="7"/>
  <c r="F15" i="7"/>
  <c r="I15" i="7" s="1"/>
  <c r="E15" i="7"/>
  <c r="D15" i="7"/>
  <c r="F14" i="7"/>
  <c r="I14" i="7" s="1"/>
  <c r="E14" i="7"/>
  <c r="D14" i="7"/>
  <c r="F13" i="7"/>
  <c r="E13" i="7"/>
  <c r="H13" i="7" s="1"/>
  <c r="D13" i="7"/>
  <c r="F12" i="7"/>
  <c r="I12" i="7" s="1"/>
  <c r="E12" i="7"/>
  <c r="H12" i="7" s="1"/>
  <c r="D12" i="7"/>
  <c r="F11" i="7"/>
  <c r="I11" i="7" s="1"/>
  <c r="E11" i="7"/>
  <c r="H11" i="7" s="1"/>
  <c r="D11" i="7"/>
  <c r="F10" i="7"/>
  <c r="I10" i="7" s="1"/>
  <c r="E10" i="7"/>
  <c r="D10" i="7"/>
  <c r="F9" i="7"/>
  <c r="E9" i="7"/>
  <c r="D9" i="7"/>
  <c r="F8" i="7"/>
  <c r="I8" i="7" s="1"/>
  <c r="E8" i="7"/>
  <c r="H8" i="7" s="1"/>
  <c r="D8" i="7"/>
  <c r="F7" i="7"/>
  <c r="I7" i="7" s="1"/>
  <c r="E7" i="7"/>
  <c r="H7" i="7" s="1"/>
  <c r="D7" i="7"/>
  <c r="F6" i="7"/>
  <c r="I6" i="7" s="1"/>
  <c r="E6" i="7"/>
  <c r="D6" i="7"/>
  <c r="F5" i="7"/>
  <c r="E5" i="7"/>
  <c r="H5" i="7" s="1"/>
  <c r="D5" i="7"/>
  <c r="F4" i="7"/>
  <c r="I4" i="7" s="1"/>
  <c r="E4" i="7"/>
  <c r="H4" i="7" s="1"/>
  <c r="D4" i="7"/>
  <c r="F3" i="7"/>
  <c r="I3" i="7" s="1"/>
  <c r="E3" i="7"/>
  <c r="H3" i="7" s="1"/>
  <c r="D3" i="7"/>
  <c r="F2" i="7"/>
  <c r="I2" i="7" s="1"/>
  <c r="E2" i="7"/>
  <c r="D2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G737" i="7" l="1"/>
  <c r="J737" i="7" s="1"/>
  <c r="G937" i="7"/>
  <c r="J937" i="7" s="1"/>
  <c r="G612" i="7"/>
  <c r="J612" i="7" s="1"/>
  <c r="G103" i="7"/>
  <c r="J103" i="7" s="1"/>
  <c r="G388" i="7"/>
  <c r="J388" i="7" s="1"/>
  <c r="G404" i="7"/>
  <c r="J404" i="7" s="1"/>
  <c r="G542" i="7"/>
  <c r="G966" i="7"/>
  <c r="J966" i="7" s="1"/>
  <c r="G373" i="7"/>
  <c r="G609" i="7"/>
  <c r="G65" i="7"/>
  <c r="J65" i="7" s="1"/>
  <c r="G323" i="7"/>
  <c r="G349" i="7"/>
  <c r="G367" i="7"/>
  <c r="J367" i="7" s="1"/>
  <c r="G383" i="7"/>
  <c r="J383" i="7" s="1"/>
  <c r="G449" i="7"/>
  <c r="G469" i="7"/>
  <c r="J469" i="7" s="1"/>
  <c r="G167" i="7"/>
  <c r="J167" i="7" s="1"/>
  <c r="G351" i="7"/>
  <c r="J351" i="7" s="1"/>
  <c r="G436" i="7"/>
  <c r="J436" i="7" s="1"/>
  <c r="G440" i="7"/>
  <c r="J440" i="7" s="1"/>
  <c r="G446" i="7"/>
  <c r="J446" i="7" s="1"/>
  <c r="G9" i="7"/>
  <c r="G13" i="7"/>
  <c r="J13" i="7" s="1"/>
  <c r="G21" i="7"/>
  <c r="J21" i="7" s="1"/>
  <c r="G704" i="7"/>
  <c r="G865" i="7"/>
  <c r="G220" i="7"/>
  <c r="J220" i="7" s="1"/>
  <c r="G199" i="7"/>
  <c r="J199" i="7" s="1"/>
  <c r="G247" i="7"/>
  <c r="J247" i="7" s="1"/>
  <c r="G308" i="7"/>
  <c r="J308" i="7" s="1"/>
  <c r="G328" i="7"/>
  <c r="J328" i="7" s="1"/>
  <c r="G428" i="7"/>
  <c r="J428" i="7" s="1"/>
  <c r="G435" i="7"/>
  <c r="J435" i="7" s="1"/>
  <c r="G518" i="7"/>
  <c r="G799" i="7"/>
  <c r="G826" i="7"/>
  <c r="J826" i="7" s="1"/>
  <c r="G289" i="7"/>
  <c r="J289" i="7" s="1"/>
  <c r="G224" i="7"/>
  <c r="J224" i="7" s="1"/>
  <c r="G427" i="7"/>
  <c r="J427" i="7" s="1"/>
  <c r="G481" i="7"/>
  <c r="J481" i="7" s="1"/>
  <c r="G572" i="7"/>
  <c r="J572" i="7" s="1"/>
  <c r="G956" i="7"/>
  <c r="J956" i="7" s="1"/>
  <c r="G822" i="7"/>
  <c r="J822" i="7" s="1"/>
  <c r="G846" i="7"/>
  <c r="J846" i="7" s="1"/>
  <c r="G5" i="7"/>
  <c r="J5" i="7" s="1"/>
  <c r="H9" i="7"/>
  <c r="G49" i="7"/>
  <c r="J49" i="7" s="1"/>
  <c r="G140" i="7"/>
  <c r="J140" i="7" s="1"/>
  <c r="G176" i="7"/>
  <c r="J176" i="7" s="1"/>
  <c r="G263" i="7"/>
  <c r="J263" i="7" s="1"/>
  <c r="H323" i="7"/>
  <c r="G324" i="7"/>
  <c r="J324" i="7" s="1"/>
  <c r="G554" i="7"/>
  <c r="G807" i="7"/>
  <c r="G815" i="7"/>
  <c r="G889" i="7"/>
  <c r="G926" i="7"/>
  <c r="J926" i="7" s="1"/>
  <c r="G29" i="7"/>
  <c r="J29" i="7" s="1"/>
  <c r="G85" i="7"/>
  <c r="J85" i="7" s="1"/>
  <c r="G180" i="7"/>
  <c r="G182" i="7"/>
  <c r="J182" i="7" s="1"/>
  <c r="G184" i="7"/>
  <c r="J184" i="7" s="1"/>
  <c r="G307" i="7"/>
  <c r="J307" i="7" s="1"/>
  <c r="G312" i="7"/>
  <c r="J312" i="7" s="1"/>
  <c r="G355" i="7"/>
  <c r="J355" i="7" s="1"/>
  <c r="G365" i="7"/>
  <c r="G403" i="7"/>
  <c r="J403" i="7" s="1"/>
  <c r="G407" i="7"/>
  <c r="J407" i="7" s="1"/>
  <c r="G408" i="7"/>
  <c r="J408" i="7" s="1"/>
  <c r="G415" i="7"/>
  <c r="J415" i="7" s="1"/>
  <c r="G443" i="7"/>
  <c r="J443" i="7" s="1"/>
  <c r="G444" i="7"/>
  <c r="J444" i="7" s="1"/>
  <c r="G477" i="7"/>
  <c r="J477" i="7" s="1"/>
  <c r="G498" i="7"/>
  <c r="G537" i="7"/>
  <c r="J537" i="7" s="1"/>
  <c r="G732" i="7"/>
  <c r="J732" i="7" s="1"/>
  <c r="G757" i="7"/>
  <c r="J757" i="7" s="1"/>
  <c r="G765" i="7"/>
  <c r="J765" i="7" s="1"/>
  <c r="G789" i="7"/>
  <c r="J789" i="7" s="1"/>
  <c r="G792" i="7"/>
  <c r="J792" i="7" s="1"/>
  <c r="G796" i="7"/>
  <c r="J796" i="7" s="1"/>
  <c r="G814" i="7"/>
  <c r="G958" i="7"/>
  <c r="J958" i="7" s="1"/>
  <c r="G25" i="7"/>
  <c r="J25" i="7" s="1"/>
  <c r="G272" i="7"/>
  <c r="J272" i="7" s="1"/>
  <c r="G399" i="7"/>
  <c r="J399" i="7" s="1"/>
  <c r="G400" i="7"/>
  <c r="J400" i="7" s="1"/>
  <c r="G411" i="7"/>
  <c r="J411" i="7" s="1"/>
  <c r="G412" i="7"/>
  <c r="J412" i="7" s="1"/>
  <c r="G489" i="7"/>
  <c r="J489" i="7" s="1"/>
  <c r="G613" i="7"/>
  <c r="J613" i="7" s="1"/>
  <c r="G712" i="7"/>
  <c r="J712" i="7" s="1"/>
  <c r="G725" i="7"/>
  <c r="J725" i="7" s="1"/>
  <c r="G785" i="7"/>
  <c r="J785" i="7" s="1"/>
  <c r="G934" i="7"/>
  <c r="J934" i="7" s="1"/>
  <c r="G982" i="7"/>
  <c r="J982" i="7" s="1"/>
  <c r="G990" i="7"/>
  <c r="J990" i="7" s="1"/>
  <c r="G998" i="7"/>
  <c r="J998" i="7" s="1"/>
  <c r="G236" i="7"/>
  <c r="G315" i="7"/>
  <c r="G331" i="7"/>
  <c r="H513" i="7"/>
  <c r="G513" i="7"/>
  <c r="J513" i="7" s="1"/>
  <c r="G119" i="7"/>
  <c r="G172" i="7"/>
  <c r="G208" i="7"/>
  <c r="G219" i="7"/>
  <c r="J219" i="7" s="1"/>
  <c r="G279" i="7"/>
  <c r="G357" i="7"/>
  <c r="G45" i="7"/>
  <c r="J45" i="7" s="1"/>
  <c r="G73" i="7"/>
  <c r="J73" i="7" s="1"/>
  <c r="G115" i="7"/>
  <c r="J115" i="7" s="1"/>
  <c r="G144" i="7"/>
  <c r="J144" i="7" s="1"/>
  <c r="G163" i="7"/>
  <c r="J163" i="7" s="1"/>
  <c r="G174" i="7"/>
  <c r="J174" i="7" s="1"/>
  <c r="H180" i="7"/>
  <c r="G187" i="7"/>
  <c r="J187" i="7" s="1"/>
  <c r="G231" i="7"/>
  <c r="J231" i="7" s="1"/>
  <c r="G284" i="7"/>
  <c r="J284" i="7" s="1"/>
  <c r="G303" i="7"/>
  <c r="G311" i="7"/>
  <c r="J311" i="7" s="1"/>
  <c r="G319" i="7"/>
  <c r="G327" i="7"/>
  <c r="J327" i="7" s="1"/>
  <c r="H373" i="7"/>
  <c r="G389" i="7"/>
  <c r="G423" i="7"/>
  <c r="J423" i="7" s="1"/>
  <c r="G424" i="7"/>
  <c r="J424" i="7" s="1"/>
  <c r="G439" i="7"/>
  <c r="J439" i="7" s="1"/>
  <c r="G594" i="7"/>
  <c r="H594" i="7"/>
  <c r="G922" i="7"/>
  <c r="J922" i="7" s="1"/>
  <c r="H922" i="7"/>
  <c r="G33" i="7"/>
  <c r="J33" i="7" s="1"/>
  <c r="G61" i="7"/>
  <c r="J61" i="7" s="1"/>
  <c r="G105" i="7"/>
  <c r="J105" i="7" s="1"/>
  <c r="G148" i="7"/>
  <c r="J148" i="7" s="1"/>
  <c r="G159" i="7"/>
  <c r="J159" i="7" s="1"/>
  <c r="H172" i="7"/>
  <c r="G204" i="7"/>
  <c r="J204" i="7" s="1"/>
  <c r="H208" i="7"/>
  <c r="G215" i="7"/>
  <c r="J215" i="7" s="1"/>
  <c r="H219" i="7"/>
  <c r="H236" i="7"/>
  <c r="G251" i="7"/>
  <c r="J251" i="7" s="1"/>
  <c r="G256" i="7"/>
  <c r="J256" i="7" s="1"/>
  <c r="G268" i="7"/>
  <c r="J268" i="7" s="1"/>
  <c r="H279" i="7"/>
  <c r="G335" i="7"/>
  <c r="J335" i="7" s="1"/>
  <c r="H357" i="7"/>
  <c r="G387" i="7"/>
  <c r="J387" i="7" s="1"/>
  <c r="G416" i="7"/>
  <c r="J416" i="7" s="1"/>
  <c r="H576" i="7"/>
  <c r="G576" i="7"/>
  <c r="J576" i="7" s="1"/>
  <c r="H921" i="7"/>
  <c r="G921" i="7"/>
  <c r="J921" i="7" s="1"/>
  <c r="H360" i="7"/>
  <c r="G360" i="7"/>
  <c r="J360" i="7" s="1"/>
  <c r="H744" i="7"/>
  <c r="G744" i="7"/>
  <c r="J744" i="7" s="1"/>
  <c r="H748" i="7"/>
  <c r="G748" i="7"/>
  <c r="J748" i="7" s="1"/>
  <c r="G541" i="7"/>
  <c r="G580" i="7"/>
  <c r="J580" i="7" s="1"/>
  <c r="G608" i="7"/>
  <c r="J608" i="7" s="1"/>
  <c r="H609" i="7"/>
  <c r="H704" i="7"/>
  <c r="H814" i="7"/>
  <c r="G703" i="7"/>
  <c r="G905" i="7"/>
  <c r="G371" i="7"/>
  <c r="J371" i="7" s="1"/>
  <c r="G372" i="7"/>
  <c r="J372" i="7" s="1"/>
  <c r="G381" i="7"/>
  <c r="G397" i="7"/>
  <c r="G419" i="7"/>
  <c r="J419" i="7" s="1"/>
  <c r="G420" i="7"/>
  <c r="J420" i="7" s="1"/>
  <c r="G139" i="7"/>
  <c r="J139" i="7" s="1"/>
  <c r="G432" i="7"/>
  <c r="J432" i="7" s="1"/>
  <c r="G486" i="7"/>
  <c r="G521" i="7"/>
  <c r="J521" i="7" s="1"/>
  <c r="G529" i="7"/>
  <c r="J529" i="7" s="1"/>
  <c r="G530" i="7"/>
  <c r="G585" i="7"/>
  <c r="J585" i="7" s="1"/>
  <c r="G633" i="7"/>
  <c r="J633" i="7" s="1"/>
  <c r="G680" i="7"/>
  <c r="J680" i="7" s="1"/>
  <c r="G700" i="7"/>
  <c r="J700" i="7" s="1"/>
  <c r="G810" i="7"/>
  <c r="J810" i="7" s="1"/>
  <c r="G851" i="7"/>
  <c r="J851" i="7" s="1"/>
  <c r="G885" i="7"/>
  <c r="G918" i="7"/>
  <c r="J918" i="7" s="1"/>
  <c r="G938" i="7"/>
  <c r="J938" i="7" s="1"/>
  <c r="G873" i="7"/>
  <c r="J873" i="7" s="1"/>
  <c r="H955" i="7"/>
  <c r="J955" i="7" s="1"/>
  <c r="G971" i="7"/>
  <c r="J971" i="7" s="1"/>
  <c r="G986" i="7"/>
  <c r="J986" i="7" s="1"/>
  <c r="G994" i="7"/>
  <c r="J994" i="7" s="1"/>
  <c r="G505" i="7"/>
  <c r="J505" i="7" s="1"/>
  <c r="G625" i="7"/>
  <c r="J625" i="7" s="1"/>
  <c r="G668" i="7"/>
  <c r="J668" i="7" s="1"/>
  <c r="G733" i="7"/>
  <c r="J733" i="7" s="1"/>
  <c r="G621" i="7"/>
  <c r="J621" i="7" s="1"/>
  <c r="G804" i="7"/>
  <c r="J804" i="7" s="1"/>
  <c r="G942" i="7"/>
  <c r="J942" i="7" s="1"/>
  <c r="G974" i="7"/>
  <c r="J974" i="7" s="1"/>
  <c r="K803" i="13"/>
  <c r="L803" i="13" s="1"/>
  <c r="K811" i="13"/>
  <c r="L811" i="13" s="1"/>
  <c r="K923" i="13"/>
  <c r="L923" i="13" s="1"/>
  <c r="K935" i="13"/>
  <c r="L935" i="13" s="1"/>
  <c r="K687" i="13"/>
  <c r="L687" i="13" s="1"/>
  <c r="K695" i="13"/>
  <c r="L695" i="13" s="1"/>
  <c r="K703" i="13"/>
  <c r="L703" i="13" s="1"/>
  <c r="K711" i="13"/>
  <c r="L711" i="13" s="1"/>
  <c r="K719" i="13"/>
  <c r="L719" i="13" s="1"/>
  <c r="K727" i="13"/>
  <c r="L727" i="13" s="1"/>
  <c r="K735" i="13"/>
  <c r="L735" i="13" s="1"/>
  <c r="K743" i="13"/>
  <c r="L743" i="13" s="1"/>
  <c r="K751" i="13"/>
  <c r="L751" i="13" s="1"/>
  <c r="K759" i="13"/>
  <c r="L759" i="13" s="1"/>
  <c r="K767" i="13"/>
  <c r="L767" i="13" s="1"/>
  <c r="K775" i="13"/>
  <c r="L775" i="13" s="1"/>
  <c r="K779" i="13"/>
  <c r="L779" i="13" s="1"/>
  <c r="K791" i="13"/>
  <c r="L791" i="13" s="1"/>
  <c r="K799" i="13"/>
  <c r="L799" i="13" s="1"/>
  <c r="K915" i="13"/>
  <c r="L915" i="13" s="1"/>
  <c r="K783" i="13"/>
  <c r="L783" i="13" s="1"/>
  <c r="K807" i="13"/>
  <c r="L807" i="13" s="1"/>
  <c r="K815" i="13"/>
  <c r="L815" i="13" s="1"/>
  <c r="K927" i="13"/>
  <c r="L927" i="13" s="1"/>
  <c r="K931" i="13"/>
  <c r="L931" i="13" s="1"/>
  <c r="K947" i="13"/>
  <c r="L947" i="13" s="1"/>
  <c r="K2" i="13"/>
  <c r="L2" i="13" s="1"/>
  <c r="G135" i="13"/>
  <c r="K135" i="13" s="1"/>
  <c r="L135" i="13" s="1"/>
  <c r="G137" i="13"/>
  <c r="K137" i="13" s="1"/>
  <c r="L137" i="13" s="1"/>
  <c r="G139" i="13"/>
  <c r="K139" i="13" s="1"/>
  <c r="L139" i="13" s="1"/>
  <c r="G141" i="13"/>
  <c r="K141" i="13" s="1"/>
  <c r="L141" i="13" s="1"/>
  <c r="G143" i="13"/>
  <c r="K143" i="13" s="1"/>
  <c r="L143" i="13" s="1"/>
  <c r="G145" i="13"/>
  <c r="K145" i="13" s="1"/>
  <c r="L145" i="13" s="1"/>
  <c r="G147" i="13"/>
  <c r="K147" i="13" s="1"/>
  <c r="L147" i="13" s="1"/>
  <c r="G149" i="13"/>
  <c r="K149" i="13" s="1"/>
  <c r="L149" i="13" s="1"/>
  <c r="G151" i="13"/>
  <c r="K151" i="13" s="1"/>
  <c r="L151" i="13" s="1"/>
  <c r="G153" i="13"/>
  <c r="K153" i="13" s="1"/>
  <c r="L153" i="13" s="1"/>
  <c r="G155" i="13"/>
  <c r="K155" i="13" s="1"/>
  <c r="L155" i="13" s="1"/>
  <c r="G157" i="13"/>
  <c r="K157" i="13" s="1"/>
  <c r="L157" i="13" s="1"/>
  <c r="G159" i="13"/>
  <c r="K159" i="13" s="1"/>
  <c r="L159" i="13" s="1"/>
  <c r="G161" i="13"/>
  <c r="K161" i="13" s="1"/>
  <c r="L161" i="13" s="1"/>
  <c r="G163" i="13"/>
  <c r="K163" i="13" s="1"/>
  <c r="L163" i="13" s="1"/>
  <c r="G165" i="13"/>
  <c r="K165" i="13" s="1"/>
  <c r="L165" i="13" s="1"/>
  <c r="G167" i="13"/>
  <c r="K167" i="13" s="1"/>
  <c r="L167" i="13" s="1"/>
  <c r="G169" i="13"/>
  <c r="K169" i="13" s="1"/>
  <c r="L169" i="13" s="1"/>
  <c r="G171" i="13"/>
  <c r="K171" i="13" s="1"/>
  <c r="L171" i="13" s="1"/>
  <c r="G173" i="13"/>
  <c r="K173" i="13" s="1"/>
  <c r="L173" i="13" s="1"/>
  <c r="G175" i="13"/>
  <c r="K175" i="13" s="1"/>
  <c r="L175" i="13" s="1"/>
  <c r="H178" i="13"/>
  <c r="G178" i="13"/>
  <c r="K178" i="13" s="1"/>
  <c r="L178" i="13" s="1"/>
  <c r="H182" i="13"/>
  <c r="G182" i="13"/>
  <c r="K182" i="13" s="1"/>
  <c r="L182" i="13" s="1"/>
  <c r="H186" i="13"/>
  <c r="G186" i="13"/>
  <c r="K186" i="13" s="1"/>
  <c r="L186" i="13" s="1"/>
  <c r="H190" i="13"/>
  <c r="G190" i="13"/>
  <c r="K190" i="13" s="1"/>
  <c r="L190" i="13" s="1"/>
  <c r="H194" i="13"/>
  <c r="G194" i="13"/>
  <c r="K194" i="13" s="1"/>
  <c r="L194" i="13" s="1"/>
  <c r="H198" i="13"/>
  <c r="G198" i="13"/>
  <c r="K198" i="13" s="1"/>
  <c r="L198" i="13" s="1"/>
  <c r="H202" i="13"/>
  <c r="G202" i="13"/>
  <c r="K202" i="13" s="1"/>
  <c r="L202" i="13" s="1"/>
  <c r="H206" i="13"/>
  <c r="G206" i="13"/>
  <c r="K206" i="13" s="1"/>
  <c r="L206" i="13" s="1"/>
  <c r="H210" i="13"/>
  <c r="G210" i="13"/>
  <c r="K210" i="13" s="1"/>
  <c r="L210" i="13" s="1"/>
  <c r="H214" i="13"/>
  <c r="G214" i="13"/>
  <c r="K214" i="13" s="1"/>
  <c r="L214" i="13" s="1"/>
  <c r="H218" i="13"/>
  <c r="G218" i="13"/>
  <c r="K218" i="13" s="1"/>
  <c r="L218" i="13" s="1"/>
  <c r="H222" i="13"/>
  <c r="G222" i="13"/>
  <c r="K222" i="13" s="1"/>
  <c r="L222" i="13" s="1"/>
  <c r="H226" i="13"/>
  <c r="G226" i="13"/>
  <c r="K226" i="13" s="1"/>
  <c r="L226" i="13" s="1"/>
  <c r="H230" i="13"/>
  <c r="G230" i="13"/>
  <c r="K230" i="13" s="1"/>
  <c r="L230" i="13" s="1"/>
  <c r="H234" i="13"/>
  <c r="G234" i="13"/>
  <c r="K234" i="13" s="1"/>
  <c r="L234" i="13" s="1"/>
  <c r="H240" i="13"/>
  <c r="G240" i="13"/>
  <c r="K240" i="13" s="1"/>
  <c r="L240" i="13" s="1"/>
  <c r="H248" i="13"/>
  <c r="G248" i="13"/>
  <c r="K248" i="13" s="1"/>
  <c r="L248" i="13" s="1"/>
  <c r="H256" i="13"/>
  <c r="G256" i="13"/>
  <c r="K256" i="13" s="1"/>
  <c r="L256" i="13" s="1"/>
  <c r="H264" i="13"/>
  <c r="G264" i="13"/>
  <c r="K264" i="13" s="1"/>
  <c r="L264" i="13" s="1"/>
  <c r="H276" i="13"/>
  <c r="G276" i="13"/>
  <c r="K276" i="13" s="1"/>
  <c r="L276" i="13" s="1"/>
  <c r="G279" i="13"/>
  <c r="K279" i="13" s="1"/>
  <c r="L279" i="13" s="1"/>
  <c r="H292" i="13"/>
  <c r="G292" i="13"/>
  <c r="K292" i="13" s="1"/>
  <c r="L292" i="13" s="1"/>
  <c r="G295" i="13"/>
  <c r="K295" i="13" s="1"/>
  <c r="L295" i="13" s="1"/>
  <c r="H308" i="13"/>
  <c r="G308" i="13"/>
  <c r="K308" i="13" s="1"/>
  <c r="L308" i="13" s="1"/>
  <c r="G311" i="13"/>
  <c r="K311" i="13" s="1"/>
  <c r="L311" i="13" s="1"/>
  <c r="H324" i="13"/>
  <c r="G324" i="13"/>
  <c r="K324" i="13" s="1"/>
  <c r="L324" i="13" s="1"/>
  <c r="G327" i="13"/>
  <c r="K327" i="13" s="1"/>
  <c r="L327" i="13" s="1"/>
  <c r="H340" i="13"/>
  <c r="G340" i="13"/>
  <c r="K340" i="13" s="1"/>
  <c r="L340" i="13" s="1"/>
  <c r="G343" i="13"/>
  <c r="K343" i="13" s="1"/>
  <c r="L343" i="13" s="1"/>
  <c r="H179" i="13"/>
  <c r="G179" i="13"/>
  <c r="K179" i="13" s="1"/>
  <c r="L179" i="13" s="1"/>
  <c r="H183" i="13"/>
  <c r="G183" i="13"/>
  <c r="K183" i="13" s="1"/>
  <c r="L183" i="13" s="1"/>
  <c r="H187" i="13"/>
  <c r="G187" i="13"/>
  <c r="K187" i="13" s="1"/>
  <c r="L187" i="13" s="1"/>
  <c r="H191" i="13"/>
  <c r="G191" i="13"/>
  <c r="K191" i="13" s="1"/>
  <c r="L191" i="13" s="1"/>
  <c r="H195" i="13"/>
  <c r="G195" i="13"/>
  <c r="K195" i="13" s="1"/>
  <c r="L195" i="13" s="1"/>
  <c r="H199" i="13"/>
  <c r="G199" i="13"/>
  <c r="K199" i="13" s="1"/>
  <c r="L199" i="13" s="1"/>
  <c r="H203" i="13"/>
  <c r="G203" i="13"/>
  <c r="K203" i="13" s="1"/>
  <c r="L203" i="13" s="1"/>
  <c r="H207" i="13"/>
  <c r="G207" i="13"/>
  <c r="K207" i="13" s="1"/>
  <c r="L207" i="13" s="1"/>
  <c r="H211" i="13"/>
  <c r="G211" i="13"/>
  <c r="K211" i="13" s="1"/>
  <c r="L211" i="13" s="1"/>
  <c r="H215" i="13"/>
  <c r="G215" i="13"/>
  <c r="K215" i="13" s="1"/>
  <c r="L215" i="13" s="1"/>
  <c r="H219" i="13"/>
  <c r="G219" i="13"/>
  <c r="K219" i="13" s="1"/>
  <c r="L219" i="13" s="1"/>
  <c r="H223" i="13"/>
  <c r="G223" i="13"/>
  <c r="K223" i="13" s="1"/>
  <c r="L223" i="13" s="1"/>
  <c r="H227" i="13"/>
  <c r="G227" i="13"/>
  <c r="K227" i="13" s="1"/>
  <c r="L227" i="13" s="1"/>
  <c r="H231" i="13"/>
  <c r="G231" i="13"/>
  <c r="K231" i="13" s="1"/>
  <c r="L231" i="13" s="1"/>
  <c r="H235" i="13"/>
  <c r="G235" i="13"/>
  <c r="K235" i="13" s="1"/>
  <c r="L235" i="13" s="1"/>
  <c r="H239" i="13"/>
  <c r="G243" i="13"/>
  <c r="K243" i="13" s="1"/>
  <c r="L243" i="13" s="1"/>
  <c r="H247" i="13"/>
  <c r="G251" i="13"/>
  <c r="K251" i="13" s="1"/>
  <c r="L251" i="13" s="1"/>
  <c r="H255" i="13"/>
  <c r="G259" i="13"/>
  <c r="K259" i="13" s="1"/>
  <c r="L259" i="13" s="1"/>
  <c r="H263" i="13"/>
  <c r="G267" i="13"/>
  <c r="K267" i="13" s="1"/>
  <c r="L267" i="13" s="1"/>
  <c r="H280" i="13"/>
  <c r="G280" i="13"/>
  <c r="K280" i="13" s="1"/>
  <c r="L280" i="13" s="1"/>
  <c r="G283" i="13"/>
  <c r="K283" i="13" s="1"/>
  <c r="L283" i="13" s="1"/>
  <c r="H296" i="13"/>
  <c r="G296" i="13"/>
  <c r="K296" i="13" s="1"/>
  <c r="L296" i="13" s="1"/>
  <c r="G299" i="13"/>
  <c r="K299" i="13" s="1"/>
  <c r="L299" i="13" s="1"/>
  <c r="H312" i="13"/>
  <c r="G312" i="13"/>
  <c r="K312" i="13" s="1"/>
  <c r="L312" i="13" s="1"/>
  <c r="G315" i="13"/>
  <c r="K315" i="13" s="1"/>
  <c r="L315" i="13" s="1"/>
  <c r="H328" i="13"/>
  <c r="G328" i="13"/>
  <c r="K328" i="13" s="1"/>
  <c r="L328" i="13" s="1"/>
  <c r="G331" i="13"/>
  <c r="K331" i="13" s="1"/>
  <c r="L331" i="13" s="1"/>
  <c r="H344" i="13"/>
  <c r="G344" i="13"/>
  <c r="K344" i="13" s="1"/>
  <c r="L344" i="13" s="1"/>
  <c r="H135" i="13"/>
  <c r="H137" i="13"/>
  <c r="H139" i="13"/>
  <c r="H141" i="13"/>
  <c r="H143" i="13"/>
  <c r="H145" i="13"/>
  <c r="H147" i="13"/>
  <c r="H149" i="13"/>
  <c r="H151" i="13"/>
  <c r="H153" i="13"/>
  <c r="H155" i="13"/>
  <c r="H157" i="13"/>
  <c r="H159" i="13"/>
  <c r="H161" i="13"/>
  <c r="H163" i="13"/>
  <c r="H165" i="13"/>
  <c r="H167" i="13"/>
  <c r="H169" i="13"/>
  <c r="H171" i="13"/>
  <c r="H173" i="13"/>
  <c r="H175" i="13"/>
  <c r="H176" i="13"/>
  <c r="G176" i="13"/>
  <c r="K176" i="13" s="1"/>
  <c r="L176" i="13" s="1"/>
  <c r="H180" i="13"/>
  <c r="G180" i="13"/>
  <c r="K180" i="13" s="1"/>
  <c r="L180" i="13" s="1"/>
  <c r="H184" i="13"/>
  <c r="G184" i="13"/>
  <c r="K184" i="13" s="1"/>
  <c r="L184" i="13" s="1"/>
  <c r="H188" i="13"/>
  <c r="G188" i="13"/>
  <c r="K188" i="13" s="1"/>
  <c r="L188" i="13" s="1"/>
  <c r="H192" i="13"/>
  <c r="G192" i="13"/>
  <c r="K192" i="13" s="1"/>
  <c r="L192" i="13" s="1"/>
  <c r="H196" i="13"/>
  <c r="G196" i="13"/>
  <c r="K196" i="13" s="1"/>
  <c r="L196" i="13" s="1"/>
  <c r="H200" i="13"/>
  <c r="G200" i="13"/>
  <c r="K200" i="13" s="1"/>
  <c r="L200" i="13" s="1"/>
  <c r="H204" i="13"/>
  <c r="G204" i="13"/>
  <c r="K204" i="13" s="1"/>
  <c r="L204" i="13" s="1"/>
  <c r="H208" i="13"/>
  <c r="G208" i="13"/>
  <c r="K208" i="13" s="1"/>
  <c r="L208" i="13" s="1"/>
  <c r="H212" i="13"/>
  <c r="G212" i="13"/>
  <c r="K212" i="13" s="1"/>
  <c r="L212" i="13" s="1"/>
  <c r="H216" i="13"/>
  <c r="G216" i="13"/>
  <c r="K216" i="13" s="1"/>
  <c r="L216" i="13" s="1"/>
  <c r="H220" i="13"/>
  <c r="G220" i="13"/>
  <c r="K220" i="13" s="1"/>
  <c r="L220" i="13" s="1"/>
  <c r="H224" i="13"/>
  <c r="G224" i="13"/>
  <c r="K224" i="13" s="1"/>
  <c r="L224" i="13" s="1"/>
  <c r="H228" i="13"/>
  <c r="G228" i="13"/>
  <c r="K228" i="13" s="1"/>
  <c r="L228" i="13" s="1"/>
  <c r="H232" i="13"/>
  <c r="G232" i="13"/>
  <c r="K232" i="13" s="1"/>
  <c r="L232" i="13" s="1"/>
  <c r="H236" i="13"/>
  <c r="G236" i="13"/>
  <c r="K236" i="13" s="1"/>
  <c r="L236" i="13" s="1"/>
  <c r="H244" i="13"/>
  <c r="G244" i="13"/>
  <c r="K244" i="13" s="1"/>
  <c r="L244" i="13" s="1"/>
  <c r="H252" i="13"/>
  <c r="G252" i="13"/>
  <c r="K252" i="13" s="1"/>
  <c r="L252" i="13" s="1"/>
  <c r="H260" i="13"/>
  <c r="G260" i="13"/>
  <c r="K260" i="13" s="1"/>
  <c r="L260" i="13" s="1"/>
  <c r="H268" i="13"/>
  <c r="G268" i="13"/>
  <c r="K268" i="13" s="1"/>
  <c r="L268" i="13" s="1"/>
  <c r="H284" i="13"/>
  <c r="G284" i="13"/>
  <c r="K284" i="13" s="1"/>
  <c r="L284" i="13" s="1"/>
  <c r="H300" i="13"/>
  <c r="G300" i="13"/>
  <c r="K300" i="13" s="1"/>
  <c r="L300" i="13" s="1"/>
  <c r="H316" i="13"/>
  <c r="G316" i="13"/>
  <c r="K316" i="13" s="1"/>
  <c r="L316" i="13" s="1"/>
  <c r="G319" i="13"/>
  <c r="K319" i="13" s="1"/>
  <c r="L319" i="13" s="1"/>
  <c r="H332" i="13"/>
  <c r="G332" i="13"/>
  <c r="K332" i="13" s="1"/>
  <c r="L332" i="13" s="1"/>
  <c r="G335" i="13"/>
  <c r="K335" i="13" s="1"/>
  <c r="L335" i="13" s="1"/>
  <c r="H177" i="13"/>
  <c r="G177" i="13"/>
  <c r="K177" i="13" s="1"/>
  <c r="L177" i="13" s="1"/>
  <c r="H181" i="13"/>
  <c r="G181" i="13"/>
  <c r="K181" i="13" s="1"/>
  <c r="L181" i="13" s="1"/>
  <c r="H185" i="13"/>
  <c r="G185" i="13"/>
  <c r="K185" i="13" s="1"/>
  <c r="L185" i="13" s="1"/>
  <c r="H189" i="13"/>
  <c r="G189" i="13"/>
  <c r="K189" i="13" s="1"/>
  <c r="L189" i="13" s="1"/>
  <c r="H193" i="13"/>
  <c r="G193" i="13"/>
  <c r="K193" i="13" s="1"/>
  <c r="L193" i="13" s="1"/>
  <c r="H197" i="13"/>
  <c r="G197" i="13"/>
  <c r="K197" i="13" s="1"/>
  <c r="L197" i="13" s="1"/>
  <c r="H201" i="13"/>
  <c r="G201" i="13"/>
  <c r="K201" i="13" s="1"/>
  <c r="L201" i="13" s="1"/>
  <c r="H205" i="13"/>
  <c r="G205" i="13"/>
  <c r="K205" i="13" s="1"/>
  <c r="L205" i="13" s="1"/>
  <c r="H209" i="13"/>
  <c r="G209" i="13"/>
  <c r="K209" i="13" s="1"/>
  <c r="L209" i="13" s="1"/>
  <c r="H213" i="13"/>
  <c r="G213" i="13"/>
  <c r="K213" i="13" s="1"/>
  <c r="L213" i="13" s="1"/>
  <c r="H217" i="13"/>
  <c r="G217" i="13"/>
  <c r="K217" i="13" s="1"/>
  <c r="L217" i="13" s="1"/>
  <c r="H221" i="13"/>
  <c r="G221" i="13"/>
  <c r="K221" i="13" s="1"/>
  <c r="L221" i="13" s="1"/>
  <c r="H225" i="13"/>
  <c r="G225" i="13"/>
  <c r="K225" i="13" s="1"/>
  <c r="L225" i="13" s="1"/>
  <c r="H229" i="13"/>
  <c r="G229" i="13"/>
  <c r="K229" i="13" s="1"/>
  <c r="L229" i="13" s="1"/>
  <c r="H233" i="13"/>
  <c r="G233" i="13"/>
  <c r="K233" i="13" s="1"/>
  <c r="L233" i="13" s="1"/>
  <c r="H272" i="13"/>
  <c r="G272" i="13"/>
  <c r="K272" i="13" s="1"/>
  <c r="L272" i="13" s="1"/>
  <c r="H288" i="13"/>
  <c r="G288" i="13"/>
  <c r="K288" i="13" s="1"/>
  <c r="L288" i="13" s="1"/>
  <c r="H304" i="13"/>
  <c r="G304" i="13"/>
  <c r="K304" i="13" s="1"/>
  <c r="L304" i="13" s="1"/>
  <c r="H320" i="13"/>
  <c r="G320" i="13"/>
  <c r="K320" i="13" s="1"/>
  <c r="L320" i="13" s="1"/>
  <c r="H336" i="13"/>
  <c r="G336" i="13"/>
  <c r="K336" i="13" s="1"/>
  <c r="L336" i="13" s="1"/>
  <c r="G522" i="13"/>
  <c r="K522" i="13" s="1"/>
  <c r="L522" i="13" s="1"/>
  <c r="G526" i="13"/>
  <c r="K526" i="13" s="1"/>
  <c r="L526" i="13" s="1"/>
  <c r="G530" i="13"/>
  <c r="K530" i="13" s="1"/>
  <c r="L530" i="13" s="1"/>
  <c r="G534" i="13"/>
  <c r="K534" i="13" s="1"/>
  <c r="L534" i="13" s="1"/>
  <c r="G536" i="13"/>
  <c r="K536" i="13" s="1"/>
  <c r="L536" i="13" s="1"/>
  <c r="G538" i="13"/>
  <c r="K538" i="13" s="1"/>
  <c r="L538" i="13" s="1"/>
  <c r="G540" i="13"/>
  <c r="K540" i="13" s="1"/>
  <c r="L540" i="13" s="1"/>
  <c r="G542" i="13"/>
  <c r="K542" i="13" s="1"/>
  <c r="L542" i="13" s="1"/>
  <c r="G544" i="13"/>
  <c r="K544" i="13" s="1"/>
  <c r="L544" i="13" s="1"/>
  <c r="G546" i="13"/>
  <c r="K546" i="13" s="1"/>
  <c r="L546" i="13" s="1"/>
  <c r="G548" i="13"/>
  <c r="K548" i="13" s="1"/>
  <c r="L548" i="13" s="1"/>
  <c r="G550" i="13"/>
  <c r="K550" i="13" s="1"/>
  <c r="L550" i="13" s="1"/>
  <c r="G552" i="13"/>
  <c r="K552" i="13" s="1"/>
  <c r="L552" i="13" s="1"/>
  <c r="G554" i="13"/>
  <c r="K554" i="13" s="1"/>
  <c r="L554" i="13" s="1"/>
  <c r="G556" i="13"/>
  <c r="K556" i="13" s="1"/>
  <c r="L556" i="13" s="1"/>
  <c r="G558" i="13"/>
  <c r="K558" i="13" s="1"/>
  <c r="L558" i="13" s="1"/>
  <c r="G560" i="13"/>
  <c r="K560" i="13" s="1"/>
  <c r="L560" i="13" s="1"/>
  <c r="G562" i="13"/>
  <c r="K562" i="13" s="1"/>
  <c r="L562" i="13" s="1"/>
  <c r="G564" i="13"/>
  <c r="K564" i="13" s="1"/>
  <c r="L564" i="13" s="1"/>
  <c r="G566" i="13"/>
  <c r="K566" i="13" s="1"/>
  <c r="L566" i="13" s="1"/>
  <c r="G568" i="13"/>
  <c r="K568" i="13" s="1"/>
  <c r="L568" i="13" s="1"/>
  <c r="G570" i="13"/>
  <c r="K570" i="13" s="1"/>
  <c r="L570" i="13" s="1"/>
  <c r="G572" i="13"/>
  <c r="K572" i="13" s="1"/>
  <c r="L572" i="13" s="1"/>
  <c r="G574" i="13"/>
  <c r="K574" i="13" s="1"/>
  <c r="L574" i="13" s="1"/>
  <c r="G576" i="13"/>
  <c r="K576" i="13" s="1"/>
  <c r="L576" i="13" s="1"/>
  <c r="G578" i="13"/>
  <c r="K578" i="13" s="1"/>
  <c r="L578" i="13" s="1"/>
  <c r="G580" i="13"/>
  <c r="K580" i="13" s="1"/>
  <c r="L580" i="13" s="1"/>
  <c r="G582" i="13"/>
  <c r="K582" i="13" s="1"/>
  <c r="L582" i="13" s="1"/>
  <c r="G584" i="13"/>
  <c r="K584" i="13" s="1"/>
  <c r="L584" i="13" s="1"/>
  <c r="G586" i="13"/>
  <c r="K586" i="13" s="1"/>
  <c r="L586" i="13" s="1"/>
  <c r="G588" i="13"/>
  <c r="K588" i="13" s="1"/>
  <c r="L588" i="13" s="1"/>
  <c r="G590" i="13"/>
  <c r="K590" i="13" s="1"/>
  <c r="L590" i="13" s="1"/>
  <c r="G592" i="13"/>
  <c r="K592" i="13" s="1"/>
  <c r="L592" i="13" s="1"/>
  <c r="G594" i="13"/>
  <c r="K594" i="13" s="1"/>
  <c r="L594" i="13" s="1"/>
  <c r="G596" i="13"/>
  <c r="K596" i="13" s="1"/>
  <c r="L596" i="13" s="1"/>
  <c r="G598" i="13"/>
  <c r="K598" i="13" s="1"/>
  <c r="L598" i="13" s="1"/>
  <c r="G600" i="13"/>
  <c r="K600" i="13" s="1"/>
  <c r="L600" i="13" s="1"/>
  <c r="G602" i="13"/>
  <c r="K602" i="13" s="1"/>
  <c r="L602" i="13" s="1"/>
  <c r="G604" i="13"/>
  <c r="K604" i="13" s="1"/>
  <c r="L604" i="13" s="1"/>
  <c r="G606" i="13"/>
  <c r="K606" i="13" s="1"/>
  <c r="L606" i="13" s="1"/>
  <c r="G608" i="13"/>
  <c r="K608" i="13" s="1"/>
  <c r="L608" i="13" s="1"/>
  <c r="G610" i="13"/>
  <c r="K610" i="13" s="1"/>
  <c r="L610" i="13" s="1"/>
  <c r="G612" i="13"/>
  <c r="K612" i="13" s="1"/>
  <c r="L612" i="13" s="1"/>
  <c r="G614" i="13"/>
  <c r="K614" i="13" s="1"/>
  <c r="L614" i="13" s="1"/>
  <c r="G616" i="13"/>
  <c r="K616" i="13" s="1"/>
  <c r="L616" i="13" s="1"/>
  <c r="G618" i="13"/>
  <c r="K618" i="13" s="1"/>
  <c r="L618" i="13" s="1"/>
  <c r="G620" i="13"/>
  <c r="K620" i="13" s="1"/>
  <c r="L620" i="13" s="1"/>
  <c r="G622" i="13"/>
  <c r="K622" i="13" s="1"/>
  <c r="L622" i="13" s="1"/>
  <c r="G630" i="13"/>
  <c r="K630" i="13" s="1"/>
  <c r="L630" i="13" s="1"/>
  <c r="G638" i="13"/>
  <c r="K638" i="13" s="1"/>
  <c r="L638" i="13" s="1"/>
  <c r="G646" i="13"/>
  <c r="K646" i="13" s="1"/>
  <c r="L646" i="13" s="1"/>
  <c r="G628" i="13"/>
  <c r="K628" i="13" s="1"/>
  <c r="L628" i="13" s="1"/>
  <c r="G636" i="13"/>
  <c r="K636" i="13" s="1"/>
  <c r="L636" i="13" s="1"/>
  <c r="G644" i="13"/>
  <c r="K644" i="13" s="1"/>
  <c r="L644" i="13" s="1"/>
  <c r="G652" i="13"/>
  <c r="K652" i="13" s="1"/>
  <c r="L652" i="13" s="1"/>
  <c r="K778" i="13"/>
  <c r="L778" i="13" s="1"/>
  <c r="G623" i="13"/>
  <c r="K623" i="13" s="1"/>
  <c r="L623" i="13" s="1"/>
  <c r="G627" i="13"/>
  <c r="K627" i="13" s="1"/>
  <c r="L627" i="13" s="1"/>
  <c r="G631" i="13"/>
  <c r="K631" i="13" s="1"/>
  <c r="L631" i="13" s="1"/>
  <c r="G635" i="13"/>
  <c r="K635" i="13" s="1"/>
  <c r="L635" i="13" s="1"/>
  <c r="G639" i="13"/>
  <c r="K639" i="13" s="1"/>
  <c r="L639" i="13" s="1"/>
  <c r="G643" i="13"/>
  <c r="K643" i="13" s="1"/>
  <c r="L643" i="13" s="1"/>
  <c r="G647" i="13"/>
  <c r="K647" i="13" s="1"/>
  <c r="L647" i="13" s="1"/>
  <c r="G651" i="13"/>
  <c r="K651" i="13" s="1"/>
  <c r="L651" i="13" s="1"/>
  <c r="I790" i="13"/>
  <c r="K790" i="13"/>
  <c r="L790" i="13" s="1"/>
  <c r="I794" i="13"/>
  <c r="K794" i="13"/>
  <c r="L794" i="13" s="1"/>
  <c r="I798" i="13"/>
  <c r="K798" i="13"/>
  <c r="L798" i="13" s="1"/>
  <c r="H827" i="13"/>
  <c r="G827" i="13"/>
  <c r="K827" i="13" s="1"/>
  <c r="L827" i="13" s="1"/>
  <c r="I841" i="13"/>
  <c r="K841" i="13"/>
  <c r="L841" i="13" s="1"/>
  <c r="I835" i="13"/>
  <c r="K835" i="13"/>
  <c r="L835" i="13" s="1"/>
  <c r="I843" i="13"/>
  <c r="K843" i="13"/>
  <c r="L843" i="13" s="1"/>
  <c r="I851" i="13"/>
  <c r="K851" i="13"/>
  <c r="L851" i="13" s="1"/>
  <c r="I859" i="13"/>
  <c r="K859" i="13"/>
  <c r="L859" i="13" s="1"/>
  <c r="H831" i="13"/>
  <c r="G831" i="13"/>
  <c r="K831" i="13" s="1"/>
  <c r="L831" i="13" s="1"/>
  <c r="I837" i="13"/>
  <c r="K837" i="13"/>
  <c r="L837" i="13" s="1"/>
  <c r="I845" i="13"/>
  <c r="K845" i="13"/>
  <c r="L845" i="13" s="1"/>
  <c r="I839" i="13"/>
  <c r="K839" i="13"/>
  <c r="L839" i="13" s="1"/>
  <c r="I847" i="13"/>
  <c r="K847" i="13"/>
  <c r="L847" i="13" s="1"/>
  <c r="I855" i="13"/>
  <c r="K855" i="13"/>
  <c r="L855" i="13" s="1"/>
  <c r="I863" i="13"/>
  <c r="K863" i="13"/>
  <c r="L863" i="13" s="1"/>
  <c r="K865" i="13"/>
  <c r="L865" i="13" s="1"/>
  <c r="H868" i="13"/>
  <c r="G868" i="13"/>
  <c r="K868" i="13" s="1"/>
  <c r="L868" i="13" s="1"/>
  <c r="H876" i="13"/>
  <c r="G876" i="13"/>
  <c r="K876" i="13" s="1"/>
  <c r="L876" i="13" s="1"/>
  <c r="H884" i="13"/>
  <c r="G884" i="13"/>
  <c r="K884" i="13" s="1"/>
  <c r="L884" i="13" s="1"/>
  <c r="H892" i="13"/>
  <c r="G892" i="13"/>
  <c r="K892" i="13" s="1"/>
  <c r="L892" i="13" s="1"/>
  <c r="H900" i="13"/>
  <c r="G900" i="13"/>
  <c r="K900" i="13" s="1"/>
  <c r="L900" i="13" s="1"/>
  <c r="H908" i="13"/>
  <c r="G908" i="13"/>
  <c r="K908" i="13" s="1"/>
  <c r="L908" i="13" s="1"/>
  <c r="G828" i="13"/>
  <c r="K828" i="13" s="1"/>
  <c r="L828" i="13" s="1"/>
  <c r="G832" i="13"/>
  <c r="K832" i="13" s="1"/>
  <c r="L832" i="13" s="1"/>
  <c r="K850" i="13"/>
  <c r="L850" i="13" s="1"/>
  <c r="K854" i="13"/>
  <c r="L854" i="13" s="1"/>
  <c r="K858" i="13"/>
  <c r="L858" i="13" s="1"/>
  <c r="K862" i="13"/>
  <c r="L862" i="13" s="1"/>
  <c r="K869" i="13"/>
  <c r="L869" i="13" s="1"/>
  <c r="H872" i="13"/>
  <c r="G872" i="13"/>
  <c r="K872" i="13" s="1"/>
  <c r="L872" i="13" s="1"/>
  <c r="K877" i="13"/>
  <c r="L877" i="13" s="1"/>
  <c r="H880" i="13"/>
  <c r="G880" i="13"/>
  <c r="K880" i="13" s="1"/>
  <c r="L880" i="13" s="1"/>
  <c r="K885" i="13"/>
  <c r="L885" i="13" s="1"/>
  <c r="H888" i="13"/>
  <c r="G888" i="13"/>
  <c r="K888" i="13" s="1"/>
  <c r="L888" i="13" s="1"/>
  <c r="K893" i="13"/>
  <c r="L893" i="13" s="1"/>
  <c r="H896" i="13"/>
  <c r="G896" i="13"/>
  <c r="K896" i="13" s="1"/>
  <c r="L896" i="13" s="1"/>
  <c r="K901" i="13"/>
  <c r="L901" i="13" s="1"/>
  <c r="H904" i="13"/>
  <c r="G904" i="13"/>
  <c r="K904" i="13" s="1"/>
  <c r="L904" i="13" s="1"/>
  <c r="K909" i="13"/>
  <c r="L909" i="13" s="1"/>
  <c r="H912" i="13"/>
  <c r="G912" i="13"/>
  <c r="K912" i="13" s="1"/>
  <c r="L912" i="13" s="1"/>
  <c r="G867" i="13"/>
  <c r="K867" i="13" s="1"/>
  <c r="L867" i="13" s="1"/>
  <c r="G871" i="13"/>
  <c r="K871" i="13" s="1"/>
  <c r="L871" i="13" s="1"/>
  <c r="G875" i="13"/>
  <c r="K875" i="13" s="1"/>
  <c r="L875" i="13" s="1"/>
  <c r="G879" i="13"/>
  <c r="K879" i="13" s="1"/>
  <c r="L879" i="13" s="1"/>
  <c r="G883" i="13"/>
  <c r="K883" i="13" s="1"/>
  <c r="L883" i="13" s="1"/>
  <c r="G887" i="13"/>
  <c r="K887" i="13" s="1"/>
  <c r="L887" i="13" s="1"/>
  <c r="G891" i="13"/>
  <c r="K891" i="13" s="1"/>
  <c r="L891" i="13" s="1"/>
  <c r="G895" i="13"/>
  <c r="K895" i="13" s="1"/>
  <c r="L895" i="13" s="1"/>
  <c r="G899" i="13"/>
  <c r="K899" i="13" s="1"/>
  <c r="L899" i="13" s="1"/>
  <c r="G903" i="13"/>
  <c r="K903" i="13" s="1"/>
  <c r="L903" i="13" s="1"/>
  <c r="G907" i="13"/>
  <c r="K907" i="13" s="1"/>
  <c r="L907" i="13" s="1"/>
  <c r="G911" i="13"/>
  <c r="K911" i="13" s="1"/>
  <c r="L911" i="13" s="1"/>
  <c r="G2" i="11"/>
  <c r="J2" i="11" s="1"/>
  <c r="K2" i="11" s="1"/>
  <c r="G3" i="11"/>
  <c r="J3" i="11" s="1"/>
  <c r="K3" i="11" s="1"/>
  <c r="G4" i="11"/>
  <c r="J4" i="11" s="1"/>
  <c r="K4" i="11" s="1"/>
  <c r="G5" i="11"/>
  <c r="J5" i="11" s="1"/>
  <c r="K5" i="11" s="1"/>
  <c r="G6" i="11"/>
  <c r="J6" i="11" s="1"/>
  <c r="K6" i="11" s="1"/>
  <c r="G7" i="11"/>
  <c r="J7" i="11" s="1"/>
  <c r="K7" i="11" s="1"/>
  <c r="G8" i="11"/>
  <c r="J8" i="11" s="1"/>
  <c r="K8" i="11" s="1"/>
  <c r="G9" i="11"/>
  <c r="J9" i="11" s="1"/>
  <c r="K9" i="11" s="1"/>
  <c r="G10" i="11"/>
  <c r="J10" i="11" s="1"/>
  <c r="K10" i="11" s="1"/>
  <c r="G11" i="11"/>
  <c r="J11" i="11" s="1"/>
  <c r="K11" i="11" s="1"/>
  <c r="G12" i="11"/>
  <c r="J12" i="11" s="1"/>
  <c r="K12" i="11" s="1"/>
  <c r="G13" i="11"/>
  <c r="J13" i="11" s="1"/>
  <c r="K13" i="11" s="1"/>
  <c r="G14" i="11"/>
  <c r="J14" i="11" s="1"/>
  <c r="K14" i="11" s="1"/>
  <c r="G15" i="11"/>
  <c r="J15" i="11" s="1"/>
  <c r="K15" i="11" s="1"/>
  <c r="G16" i="11"/>
  <c r="J16" i="11" s="1"/>
  <c r="K16" i="11" s="1"/>
  <c r="G17" i="11"/>
  <c r="J17" i="11" s="1"/>
  <c r="K17" i="11" s="1"/>
  <c r="G18" i="11"/>
  <c r="J18" i="11" s="1"/>
  <c r="K18" i="11" s="1"/>
  <c r="G19" i="11"/>
  <c r="J19" i="11" s="1"/>
  <c r="K19" i="11" s="1"/>
  <c r="G20" i="11"/>
  <c r="J20" i="11" s="1"/>
  <c r="K20" i="11" s="1"/>
  <c r="G21" i="11"/>
  <c r="J21" i="11" s="1"/>
  <c r="K21" i="11" s="1"/>
  <c r="G22" i="11"/>
  <c r="J22" i="11" s="1"/>
  <c r="K22" i="11" s="1"/>
  <c r="G23" i="11"/>
  <c r="J23" i="11" s="1"/>
  <c r="K23" i="11" s="1"/>
  <c r="G24" i="11"/>
  <c r="J24" i="11" s="1"/>
  <c r="K24" i="11" s="1"/>
  <c r="G25" i="11"/>
  <c r="J25" i="11" s="1"/>
  <c r="K25" i="11" s="1"/>
  <c r="G26" i="11"/>
  <c r="J26" i="11" s="1"/>
  <c r="K26" i="11" s="1"/>
  <c r="G27" i="11"/>
  <c r="J27" i="11" s="1"/>
  <c r="K27" i="11" s="1"/>
  <c r="G28" i="11"/>
  <c r="J28" i="11" s="1"/>
  <c r="K28" i="11" s="1"/>
  <c r="G29" i="11"/>
  <c r="J29" i="11" s="1"/>
  <c r="K29" i="11" s="1"/>
  <c r="G30" i="11"/>
  <c r="J30" i="11" s="1"/>
  <c r="K30" i="11" s="1"/>
  <c r="G31" i="11"/>
  <c r="J31" i="11" s="1"/>
  <c r="K31" i="11" s="1"/>
  <c r="G32" i="11"/>
  <c r="J32" i="11" s="1"/>
  <c r="K32" i="11" s="1"/>
  <c r="J367" i="11"/>
  <c r="K367" i="11" s="1"/>
  <c r="J383" i="11"/>
  <c r="K383" i="11" s="1"/>
  <c r="J399" i="11"/>
  <c r="K399" i="11" s="1"/>
  <c r="J363" i="11"/>
  <c r="K363" i="11" s="1"/>
  <c r="J379" i="11"/>
  <c r="K379" i="11" s="1"/>
  <c r="J395" i="11"/>
  <c r="K395" i="11" s="1"/>
  <c r="G361" i="11"/>
  <c r="J361" i="11" s="1"/>
  <c r="K361" i="11" s="1"/>
  <c r="G568" i="11"/>
  <c r="J568" i="11" s="1"/>
  <c r="K568" i="11" s="1"/>
  <c r="H568" i="11"/>
  <c r="G572" i="11"/>
  <c r="J572" i="11" s="1"/>
  <c r="K572" i="11" s="1"/>
  <c r="H572" i="11"/>
  <c r="J631" i="11"/>
  <c r="K631" i="11" s="1"/>
  <c r="G565" i="11"/>
  <c r="J565" i="11" s="1"/>
  <c r="K565" i="11" s="1"/>
  <c r="H565" i="11"/>
  <c r="G569" i="11"/>
  <c r="J569" i="11" s="1"/>
  <c r="K569" i="11" s="1"/>
  <c r="H569" i="11"/>
  <c r="G573" i="11"/>
  <c r="J573" i="11" s="1"/>
  <c r="K573" i="11" s="1"/>
  <c r="H573" i="11"/>
  <c r="J628" i="11"/>
  <c r="K628" i="11" s="1"/>
  <c r="G566" i="11"/>
  <c r="J566" i="11" s="1"/>
  <c r="K566" i="11" s="1"/>
  <c r="H566" i="11"/>
  <c r="G570" i="11"/>
  <c r="J570" i="11" s="1"/>
  <c r="K570" i="11" s="1"/>
  <c r="H570" i="11"/>
  <c r="G574" i="11"/>
  <c r="J574" i="11" s="1"/>
  <c r="K574" i="11" s="1"/>
  <c r="H574" i="11"/>
  <c r="J576" i="11"/>
  <c r="K576" i="11" s="1"/>
  <c r="J581" i="11"/>
  <c r="K581" i="11" s="1"/>
  <c r="J592" i="11"/>
  <c r="K592" i="11" s="1"/>
  <c r="J597" i="11"/>
  <c r="K597" i="11" s="1"/>
  <c r="J608" i="11"/>
  <c r="K608" i="11" s="1"/>
  <c r="J613" i="11"/>
  <c r="K613" i="11" s="1"/>
  <c r="G524" i="11"/>
  <c r="J524" i="11" s="1"/>
  <c r="K524" i="11" s="1"/>
  <c r="H525" i="11"/>
  <c r="G526" i="11"/>
  <c r="J526" i="11" s="1"/>
  <c r="K526" i="11" s="1"/>
  <c r="H527" i="11"/>
  <c r="G528" i="11"/>
  <c r="J528" i="11" s="1"/>
  <c r="K528" i="11" s="1"/>
  <c r="H529" i="11"/>
  <c r="G530" i="11"/>
  <c r="J530" i="11" s="1"/>
  <c r="K530" i="11" s="1"/>
  <c r="H531" i="11"/>
  <c r="G532" i="11"/>
  <c r="J532" i="11" s="1"/>
  <c r="K532" i="11" s="1"/>
  <c r="H533" i="11"/>
  <c r="G534" i="11"/>
  <c r="J534" i="11" s="1"/>
  <c r="K534" i="11" s="1"/>
  <c r="H535" i="11"/>
  <c r="G536" i="11"/>
  <c r="J536" i="11" s="1"/>
  <c r="K536" i="11" s="1"/>
  <c r="H537" i="11"/>
  <c r="G538" i="11"/>
  <c r="J538" i="11" s="1"/>
  <c r="K538" i="11" s="1"/>
  <c r="H539" i="11"/>
  <c r="G540" i="11"/>
  <c r="J540" i="11" s="1"/>
  <c r="K540" i="11" s="1"/>
  <c r="H541" i="11"/>
  <c r="G542" i="11"/>
  <c r="J542" i="11" s="1"/>
  <c r="K542" i="11" s="1"/>
  <c r="H543" i="11"/>
  <c r="G544" i="11"/>
  <c r="J544" i="11" s="1"/>
  <c r="K544" i="11" s="1"/>
  <c r="H545" i="11"/>
  <c r="G546" i="11"/>
  <c r="J546" i="11" s="1"/>
  <c r="K546" i="11" s="1"/>
  <c r="H547" i="11"/>
  <c r="G548" i="11"/>
  <c r="J548" i="11" s="1"/>
  <c r="K548" i="11" s="1"/>
  <c r="H549" i="11"/>
  <c r="G550" i="11"/>
  <c r="J550" i="11" s="1"/>
  <c r="K550" i="11" s="1"/>
  <c r="H551" i="11"/>
  <c r="G552" i="11"/>
  <c r="J552" i="11" s="1"/>
  <c r="K552" i="11" s="1"/>
  <c r="H553" i="11"/>
  <c r="G554" i="11"/>
  <c r="J554" i="11" s="1"/>
  <c r="K554" i="11" s="1"/>
  <c r="H555" i="11"/>
  <c r="G556" i="11"/>
  <c r="J556" i="11" s="1"/>
  <c r="K556" i="11" s="1"/>
  <c r="H557" i="11"/>
  <c r="G558" i="11"/>
  <c r="J558" i="11" s="1"/>
  <c r="K558" i="11" s="1"/>
  <c r="H559" i="11"/>
  <c r="G560" i="11"/>
  <c r="J560" i="11" s="1"/>
  <c r="K560" i="11" s="1"/>
  <c r="H561" i="11"/>
  <c r="G562" i="11"/>
  <c r="J562" i="11" s="1"/>
  <c r="K562" i="11" s="1"/>
  <c r="H563" i="11"/>
  <c r="G564" i="11"/>
  <c r="J564" i="11" s="1"/>
  <c r="K564" i="11" s="1"/>
  <c r="G567" i="11"/>
  <c r="J567" i="11" s="1"/>
  <c r="K567" i="11" s="1"/>
  <c r="H567" i="11"/>
  <c r="G571" i="11"/>
  <c r="J571" i="11" s="1"/>
  <c r="K571" i="11" s="1"/>
  <c r="H571" i="11"/>
  <c r="G575" i="11"/>
  <c r="J575" i="11" s="1"/>
  <c r="K575" i="11" s="1"/>
  <c r="H575" i="11"/>
  <c r="J585" i="11"/>
  <c r="K585" i="11" s="1"/>
  <c r="J601" i="11"/>
  <c r="K601" i="11" s="1"/>
  <c r="J617" i="11"/>
  <c r="K617" i="11" s="1"/>
  <c r="J643" i="11"/>
  <c r="K643" i="11" s="1"/>
  <c r="J651" i="11"/>
  <c r="K651" i="11" s="1"/>
  <c r="G657" i="11"/>
  <c r="J657" i="11" s="1"/>
  <c r="K657" i="11" s="1"/>
  <c r="G665" i="11"/>
  <c r="J665" i="11" s="1"/>
  <c r="K665" i="11" s="1"/>
  <c r="G673" i="11"/>
  <c r="J673" i="11" s="1"/>
  <c r="K673" i="11" s="1"/>
  <c r="G681" i="11"/>
  <c r="J681" i="11" s="1"/>
  <c r="K681" i="11" s="1"/>
  <c r="G689" i="11"/>
  <c r="J689" i="11" s="1"/>
  <c r="K689" i="11" s="1"/>
  <c r="G697" i="11"/>
  <c r="J697" i="11" s="1"/>
  <c r="K697" i="11" s="1"/>
  <c r="H699" i="11"/>
  <c r="G699" i="11"/>
  <c r="J699" i="11" s="1"/>
  <c r="K699" i="11" s="1"/>
  <c r="H707" i="11"/>
  <c r="G707" i="11"/>
  <c r="J707" i="11" s="1"/>
  <c r="K707" i="11" s="1"/>
  <c r="H715" i="11"/>
  <c r="G715" i="11"/>
  <c r="J715" i="11" s="1"/>
  <c r="K715" i="11" s="1"/>
  <c r="H656" i="11"/>
  <c r="G656" i="11"/>
  <c r="J656" i="11" s="1"/>
  <c r="K656" i="11" s="1"/>
  <c r="H664" i="11"/>
  <c r="G664" i="11"/>
  <c r="J664" i="11" s="1"/>
  <c r="K664" i="11" s="1"/>
  <c r="H672" i="11"/>
  <c r="G672" i="11"/>
  <c r="J672" i="11" s="1"/>
  <c r="K672" i="11" s="1"/>
  <c r="H680" i="11"/>
  <c r="G680" i="11"/>
  <c r="J680" i="11" s="1"/>
  <c r="K680" i="11" s="1"/>
  <c r="H688" i="11"/>
  <c r="G688" i="11"/>
  <c r="J688" i="11" s="1"/>
  <c r="K688" i="11" s="1"/>
  <c r="H696" i="11"/>
  <c r="G696" i="11"/>
  <c r="J696" i="11" s="1"/>
  <c r="K696" i="11" s="1"/>
  <c r="H701" i="11"/>
  <c r="G701" i="11"/>
  <c r="J701" i="11" s="1"/>
  <c r="K701" i="11" s="1"/>
  <c r="H709" i="11"/>
  <c r="G709" i="11"/>
  <c r="J709" i="11" s="1"/>
  <c r="K709" i="11" s="1"/>
  <c r="I719" i="11"/>
  <c r="J719" i="11"/>
  <c r="K719" i="11" s="1"/>
  <c r="J629" i="11"/>
  <c r="K629" i="11" s="1"/>
  <c r="H703" i="11"/>
  <c r="G703" i="11"/>
  <c r="J703" i="11" s="1"/>
  <c r="K703" i="11" s="1"/>
  <c r="H711" i="11"/>
  <c r="G711" i="11"/>
  <c r="J711" i="11" s="1"/>
  <c r="K711" i="11" s="1"/>
  <c r="I722" i="11"/>
  <c r="J722" i="11"/>
  <c r="K722" i="11" s="1"/>
  <c r="J645" i="11"/>
  <c r="K645" i="11" s="1"/>
  <c r="J653" i="11"/>
  <c r="K653" i="11" s="1"/>
  <c r="G659" i="11"/>
  <c r="J659" i="11" s="1"/>
  <c r="K659" i="11" s="1"/>
  <c r="H660" i="11"/>
  <c r="G660" i="11"/>
  <c r="J660" i="11" s="1"/>
  <c r="K660" i="11" s="1"/>
  <c r="G667" i="11"/>
  <c r="J667" i="11" s="1"/>
  <c r="K667" i="11" s="1"/>
  <c r="H668" i="11"/>
  <c r="G668" i="11"/>
  <c r="J668" i="11" s="1"/>
  <c r="K668" i="11" s="1"/>
  <c r="G675" i="11"/>
  <c r="J675" i="11" s="1"/>
  <c r="K675" i="11" s="1"/>
  <c r="H676" i="11"/>
  <c r="G676" i="11"/>
  <c r="J676" i="11" s="1"/>
  <c r="K676" i="11" s="1"/>
  <c r="G683" i="11"/>
  <c r="J683" i="11" s="1"/>
  <c r="K683" i="11" s="1"/>
  <c r="H684" i="11"/>
  <c r="G684" i="11"/>
  <c r="J684" i="11" s="1"/>
  <c r="K684" i="11" s="1"/>
  <c r="G691" i="11"/>
  <c r="J691" i="11" s="1"/>
  <c r="K691" i="11" s="1"/>
  <c r="H692" i="11"/>
  <c r="G692" i="11"/>
  <c r="J692" i="11" s="1"/>
  <c r="K692" i="11" s="1"/>
  <c r="H705" i="11"/>
  <c r="G705" i="11"/>
  <c r="J705" i="11" s="1"/>
  <c r="K705" i="11" s="1"/>
  <c r="H713" i="11"/>
  <c r="G713" i="11"/>
  <c r="J713" i="11" s="1"/>
  <c r="K713" i="11" s="1"/>
  <c r="G774" i="11"/>
  <c r="J774" i="11" s="1"/>
  <c r="K774" i="11" s="1"/>
  <c r="H774" i="11"/>
  <c r="G776" i="11"/>
  <c r="J776" i="11" s="1"/>
  <c r="K776" i="11" s="1"/>
  <c r="H776" i="11"/>
  <c r="I736" i="11"/>
  <c r="J736" i="11"/>
  <c r="K736" i="11" s="1"/>
  <c r="H700" i="11"/>
  <c r="G700" i="11"/>
  <c r="J700" i="11" s="1"/>
  <c r="K700" i="11" s="1"/>
  <c r="H704" i="11"/>
  <c r="G704" i="11"/>
  <c r="J704" i="11" s="1"/>
  <c r="K704" i="11" s="1"/>
  <c r="H708" i="11"/>
  <c r="G708" i="11"/>
  <c r="J708" i="11" s="1"/>
  <c r="K708" i="11" s="1"/>
  <c r="H712" i="11"/>
  <c r="G712" i="11"/>
  <c r="J712" i="11" s="1"/>
  <c r="K712" i="11" s="1"/>
  <c r="J727" i="11"/>
  <c r="K727" i="11" s="1"/>
  <c r="J730" i="11"/>
  <c r="K730" i="11" s="1"/>
  <c r="G782" i="11"/>
  <c r="J782" i="11" s="1"/>
  <c r="K782" i="11" s="1"/>
  <c r="H782" i="11"/>
  <c r="J720" i="11"/>
  <c r="K720" i="11" s="1"/>
  <c r="J728" i="11"/>
  <c r="K728" i="11" s="1"/>
  <c r="I738" i="11"/>
  <c r="J738" i="11"/>
  <c r="K738" i="11" s="1"/>
  <c r="G784" i="11"/>
  <c r="J784" i="11" s="1"/>
  <c r="K784" i="11" s="1"/>
  <c r="H784" i="11"/>
  <c r="G778" i="11"/>
  <c r="J778" i="11" s="1"/>
  <c r="K778" i="11" s="1"/>
  <c r="H778" i="11"/>
  <c r="H786" i="11"/>
  <c r="G786" i="11"/>
  <c r="J786" i="11" s="1"/>
  <c r="K786" i="11" s="1"/>
  <c r="H790" i="11"/>
  <c r="G790" i="11"/>
  <c r="J790" i="11" s="1"/>
  <c r="K790" i="11" s="1"/>
  <c r="H794" i="11"/>
  <c r="G794" i="11"/>
  <c r="J794" i="11" s="1"/>
  <c r="K794" i="11" s="1"/>
  <c r="H798" i="11"/>
  <c r="G798" i="11"/>
  <c r="J798" i="11" s="1"/>
  <c r="K798" i="11" s="1"/>
  <c r="H802" i="11"/>
  <c r="G802" i="11"/>
  <c r="J802" i="11" s="1"/>
  <c r="K802" i="11" s="1"/>
  <c r="H806" i="11"/>
  <c r="G806" i="11"/>
  <c r="J806" i="11" s="1"/>
  <c r="K806" i="11" s="1"/>
  <c r="H810" i="11"/>
  <c r="G810" i="11"/>
  <c r="J810" i="11" s="1"/>
  <c r="K810" i="11" s="1"/>
  <c r="H814" i="11"/>
  <c r="G814" i="11"/>
  <c r="J814" i="11" s="1"/>
  <c r="K814" i="11" s="1"/>
  <c r="H818" i="11"/>
  <c r="G818" i="11"/>
  <c r="J818" i="11" s="1"/>
  <c r="K818" i="11" s="1"/>
  <c r="H822" i="11"/>
  <c r="G822" i="11"/>
  <c r="J822" i="11" s="1"/>
  <c r="K822" i="11" s="1"/>
  <c r="H826" i="11"/>
  <c r="G826" i="11"/>
  <c r="J826" i="11" s="1"/>
  <c r="K826" i="11" s="1"/>
  <c r="H830" i="11"/>
  <c r="G830" i="11"/>
  <c r="J830" i="11" s="1"/>
  <c r="K830" i="11" s="1"/>
  <c r="H834" i="11"/>
  <c r="G834" i="11"/>
  <c r="J834" i="11" s="1"/>
  <c r="K834" i="11" s="1"/>
  <c r="G772" i="11"/>
  <c r="J772" i="11" s="1"/>
  <c r="K772" i="11" s="1"/>
  <c r="H772" i="11"/>
  <c r="G780" i="11"/>
  <c r="J780" i="11" s="1"/>
  <c r="K780" i="11" s="1"/>
  <c r="H780" i="11"/>
  <c r="H949" i="11"/>
  <c r="G949" i="11"/>
  <c r="J949" i="11" s="1"/>
  <c r="K949" i="11" s="1"/>
  <c r="G836" i="11"/>
  <c r="J836" i="11" s="1"/>
  <c r="K836" i="11" s="1"/>
  <c r="G838" i="11"/>
  <c r="J838" i="11" s="1"/>
  <c r="K838" i="11" s="1"/>
  <c r="G840" i="11"/>
  <c r="J840" i="11" s="1"/>
  <c r="K840" i="11" s="1"/>
  <c r="G842" i="11"/>
  <c r="J842" i="11" s="1"/>
  <c r="K842" i="11" s="1"/>
  <c r="G844" i="11"/>
  <c r="J844" i="11" s="1"/>
  <c r="K844" i="11" s="1"/>
  <c r="G846" i="11"/>
  <c r="J846" i="11" s="1"/>
  <c r="K846" i="11" s="1"/>
  <c r="G848" i="11"/>
  <c r="J848" i="11" s="1"/>
  <c r="K848" i="11" s="1"/>
  <c r="G850" i="11"/>
  <c r="J850" i="11" s="1"/>
  <c r="K850" i="11" s="1"/>
  <c r="G852" i="11"/>
  <c r="J852" i="11" s="1"/>
  <c r="K852" i="11" s="1"/>
  <c r="G854" i="11"/>
  <c r="J854" i="11" s="1"/>
  <c r="K854" i="11" s="1"/>
  <c r="G856" i="11"/>
  <c r="J856" i="11" s="1"/>
  <c r="K856" i="11" s="1"/>
  <c r="G858" i="11"/>
  <c r="J858" i="11" s="1"/>
  <c r="K858" i="11" s="1"/>
  <c r="H859" i="11"/>
  <c r="G859" i="11"/>
  <c r="J859" i="11" s="1"/>
  <c r="K859" i="11" s="1"/>
  <c r="H863" i="11"/>
  <c r="G863" i="11"/>
  <c r="J863" i="11" s="1"/>
  <c r="K863" i="11" s="1"/>
  <c r="H867" i="11"/>
  <c r="G867" i="11"/>
  <c r="J867" i="11" s="1"/>
  <c r="K867" i="11" s="1"/>
  <c r="H871" i="11"/>
  <c r="G871" i="11"/>
  <c r="J871" i="11" s="1"/>
  <c r="K871" i="11" s="1"/>
  <c r="H875" i="11"/>
  <c r="G875" i="11"/>
  <c r="J875" i="11" s="1"/>
  <c r="K875" i="11" s="1"/>
  <c r="H879" i="11"/>
  <c r="G879" i="11"/>
  <c r="J879" i="11" s="1"/>
  <c r="K879" i="11" s="1"/>
  <c r="H883" i="11"/>
  <c r="G883" i="11"/>
  <c r="J883" i="11" s="1"/>
  <c r="K883" i="11" s="1"/>
  <c r="H887" i="11"/>
  <c r="G887" i="11"/>
  <c r="J887" i="11" s="1"/>
  <c r="K887" i="11" s="1"/>
  <c r="H891" i="11"/>
  <c r="G891" i="11"/>
  <c r="J891" i="11" s="1"/>
  <c r="K891" i="11" s="1"/>
  <c r="H895" i="11"/>
  <c r="G895" i="11"/>
  <c r="J895" i="11" s="1"/>
  <c r="K895" i="11" s="1"/>
  <c r="H899" i="11"/>
  <c r="G899" i="11"/>
  <c r="J899" i="11" s="1"/>
  <c r="K899" i="11" s="1"/>
  <c r="H903" i="11"/>
  <c r="G903" i="11"/>
  <c r="J903" i="11" s="1"/>
  <c r="K903" i="11" s="1"/>
  <c r="H907" i="11"/>
  <c r="G907" i="11"/>
  <c r="J907" i="11" s="1"/>
  <c r="K907" i="11" s="1"/>
  <c r="H911" i="11"/>
  <c r="G911" i="11"/>
  <c r="J911" i="11" s="1"/>
  <c r="K911" i="11" s="1"/>
  <c r="H915" i="11"/>
  <c r="G915" i="11"/>
  <c r="J915" i="11" s="1"/>
  <c r="K915" i="11" s="1"/>
  <c r="H920" i="11"/>
  <c r="G920" i="11"/>
  <c r="J920" i="11" s="1"/>
  <c r="K920" i="11" s="1"/>
  <c r="H924" i="11"/>
  <c r="G924" i="11"/>
  <c r="J924" i="11" s="1"/>
  <c r="K924" i="11" s="1"/>
  <c r="H928" i="11"/>
  <c r="G928" i="11"/>
  <c r="J928" i="11" s="1"/>
  <c r="K928" i="11" s="1"/>
  <c r="H932" i="11"/>
  <c r="G932" i="11"/>
  <c r="J932" i="11" s="1"/>
  <c r="K932" i="11" s="1"/>
  <c r="H936" i="11"/>
  <c r="G936" i="11"/>
  <c r="J936" i="11" s="1"/>
  <c r="K936" i="11" s="1"/>
  <c r="H945" i="11"/>
  <c r="G945" i="11"/>
  <c r="J945" i="11" s="1"/>
  <c r="K945" i="11" s="1"/>
  <c r="H961" i="11"/>
  <c r="G961" i="11"/>
  <c r="J961" i="11" s="1"/>
  <c r="K961" i="11" s="1"/>
  <c r="H941" i="11"/>
  <c r="G941" i="11"/>
  <c r="J941" i="11" s="1"/>
  <c r="K941" i="11" s="1"/>
  <c r="H957" i="11"/>
  <c r="G957" i="11"/>
  <c r="J957" i="11" s="1"/>
  <c r="K957" i="11" s="1"/>
  <c r="H861" i="11"/>
  <c r="G861" i="11"/>
  <c r="J861" i="11" s="1"/>
  <c r="K861" i="11" s="1"/>
  <c r="H865" i="11"/>
  <c r="G865" i="11"/>
  <c r="J865" i="11" s="1"/>
  <c r="K865" i="11" s="1"/>
  <c r="H869" i="11"/>
  <c r="G869" i="11"/>
  <c r="J869" i="11" s="1"/>
  <c r="K869" i="11" s="1"/>
  <c r="H873" i="11"/>
  <c r="G873" i="11"/>
  <c r="J873" i="11" s="1"/>
  <c r="K873" i="11" s="1"/>
  <c r="H877" i="11"/>
  <c r="G877" i="11"/>
  <c r="J877" i="11" s="1"/>
  <c r="K877" i="11" s="1"/>
  <c r="H881" i="11"/>
  <c r="G881" i="11"/>
  <c r="J881" i="11" s="1"/>
  <c r="K881" i="11" s="1"/>
  <c r="H885" i="11"/>
  <c r="G885" i="11"/>
  <c r="J885" i="11" s="1"/>
  <c r="K885" i="11" s="1"/>
  <c r="H889" i="11"/>
  <c r="G889" i="11"/>
  <c r="J889" i="11" s="1"/>
  <c r="K889" i="11" s="1"/>
  <c r="H893" i="11"/>
  <c r="G893" i="11"/>
  <c r="J893" i="11" s="1"/>
  <c r="K893" i="11" s="1"/>
  <c r="H897" i="11"/>
  <c r="G897" i="11"/>
  <c r="J897" i="11" s="1"/>
  <c r="K897" i="11" s="1"/>
  <c r="H901" i="11"/>
  <c r="G901" i="11"/>
  <c r="J901" i="11" s="1"/>
  <c r="K901" i="11" s="1"/>
  <c r="H905" i="11"/>
  <c r="G905" i="11"/>
  <c r="J905" i="11" s="1"/>
  <c r="K905" i="11" s="1"/>
  <c r="H909" i="11"/>
  <c r="G909" i="11"/>
  <c r="J909" i="11" s="1"/>
  <c r="K909" i="11" s="1"/>
  <c r="H913" i="11"/>
  <c r="G913" i="11"/>
  <c r="J913" i="11" s="1"/>
  <c r="K913" i="11" s="1"/>
  <c r="H917" i="11"/>
  <c r="G917" i="11"/>
  <c r="J917" i="11" s="1"/>
  <c r="K917" i="11" s="1"/>
  <c r="H922" i="11"/>
  <c r="G922" i="11"/>
  <c r="J922" i="11" s="1"/>
  <c r="K922" i="11" s="1"/>
  <c r="H926" i="11"/>
  <c r="G926" i="11"/>
  <c r="J926" i="11" s="1"/>
  <c r="K926" i="11" s="1"/>
  <c r="H930" i="11"/>
  <c r="G930" i="11"/>
  <c r="J930" i="11" s="1"/>
  <c r="K930" i="11" s="1"/>
  <c r="H934" i="11"/>
  <c r="G934" i="11"/>
  <c r="J934" i="11" s="1"/>
  <c r="K934" i="11" s="1"/>
  <c r="H938" i="11"/>
  <c r="G938" i="11"/>
  <c r="J938" i="11" s="1"/>
  <c r="K938" i="11" s="1"/>
  <c r="H953" i="11"/>
  <c r="G953" i="11"/>
  <c r="J953" i="11" s="1"/>
  <c r="K953" i="11" s="1"/>
  <c r="H943" i="11"/>
  <c r="G943" i="11"/>
  <c r="J943" i="11" s="1"/>
  <c r="K943" i="11" s="1"/>
  <c r="H947" i="11"/>
  <c r="G947" i="11"/>
  <c r="J947" i="11" s="1"/>
  <c r="K947" i="11" s="1"/>
  <c r="H951" i="11"/>
  <c r="G951" i="11"/>
  <c r="J951" i="11" s="1"/>
  <c r="K951" i="11" s="1"/>
  <c r="H955" i="11"/>
  <c r="G955" i="11"/>
  <c r="J955" i="11" s="1"/>
  <c r="K955" i="11" s="1"/>
  <c r="H959" i="11"/>
  <c r="G959" i="11"/>
  <c r="J959" i="11" s="1"/>
  <c r="K959" i="11" s="1"/>
  <c r="G918" i="11"/>
  <c r="J918" i="11" s="1"/>
  <c r="K918" i="11" s="1"/>
  <c r="G186" i="10"/>
  <c r="J186" i="10" s="1"/>
  <c r="K186" i="10" s="1"/>
  <c r="H186" i="10"/>
  <c r="G194" i="10"/>
  <c r="J194" i="10" s="1"/>
  <c r="K194" i="10" s="1"/>
  <c r="H194" i="10"/>
  <c r="G202" i="10"/>
  <c r="J202" i="10" s="1"/>
  <c r="K202" i="10" s="1"/>
  <c r="H202" i="10"/>
  <c r="G210" i="10"/>
  <c r="J210" i="10" s="1"/>
  <c r="K210" i="10" s="1"/>
  <c r="H210" i="10"/>
  <c r="G218" i="10"/>
  <c r="J218" i="10" s="1"/>
  <c r="K218" i="10" s="1"/>
  <c r="H218" i="10"/>
  <c r="G226" i="10"/>
  <c r="J226" i="10" s="1"/>
  <c r="K226" i="10" s="1"/>
  <c r="H226" i="10"/>
  <c r="G234" i="10"/>
  <c r="J234" i="10" s="1"/>
  <c r="K234" i="10" s="1"/>
  <c r="H234" i="10"/>
  <c r="G242" i="10"/>
  <c r="J242" i="10" s="1"/>
  <c r="K242" i="10" s="1"/>
  <c r="H242" i="10"/>
  <c r="G250" i="10"/>
  <c r="J250" i="10" s="1"/>
  <c r="K250" i="10" s="1"/>
  <c r="H250" i="10"/>
  <c r="G258" i="10"/>
  <c r="J258" i="10" s="1"/>
  <c r="K258" i="10" s="1"/>
  <c r="H258" i="10"/>
  <c r="G266" i="10"/>
  <c r="J266" i="10" s="1"/>
  <c r="K266" i="10" s="1"/>
  <c r="H266" i="10"/>
  <c r="G274" i="10"/>
  <c r="J274" i="10" s="1"/>
  <c r="K274" i="10" s="1"/>
  <c r="H274" i="10"/>
  <c r="G282" i="10"/>
  <c r="J282" i="10" s="1"/>
  <c r="K282" i="10" s="1"/>
  <c r="H282" i="10"/>
  <c r="G290" i="10"/>
  <c r="J290" i="10" s="1"/>
  <c r="K290" i="10" s="1"/>
  <c r="H290" i="10"/>
  <c r="G188" i="10"/>
  <c r="J188" i="10" s="1"/>
  <c r="K188" i="10" s="1"/>
  <c r="H188" i="10"/>
  <c r="G196" i="10"/>
  <c r="J196" i="10" s="1"/>
  <c r="K196" i="10" s="1"/>
  <c r="H196" i="10"/>
  <c r="G204" i="10"/>
  <c r="J204" i="10" s="1"/>
  <c r="K204" i="10" s="1"/>
  <c r="H204" i="10"/>
  <c r="G212" i="10"/>
  <c r="J212" i="10" s="1"/>
  <c r="K212" i="10" s="1"/>
  <c r="H212" i="10"/>
  <c r="G220" i="10"/>
  <c r="J220" i="10" s="1"/>
  <c r="K220" i="10" s="1"/>
  <c r="H220" i="10"/>
  <c r="G228" i="10"/>
  <c r="J228" i="10" s="1"/>
  <c r="K228" i="10" s="1"/>
  <c r="H228" i="10"/>
  <c r="G236" i="10"/>
  <c r="J236" i="10" s="1"/>
  <c r="K236" i="10" s="1"/>
  <c r="H236" i="10"/>
  <c r="G244" i="10"/>
  <c r="J244" i="10" s="1"/>
  <c r="K244" i="10" s="1"/>
  <c r="H244" i="10"/>
  <c r="G252" i="10"/>
  <c r="J252" i="10" s="1"/>
  <c r="K252" i="10" s="1"/>
  <c r="H252" i="10"/>
  <c r="G260" i="10"/>
  <c r="J260" i="10" s="1"/>
  <c r="K260" i="10" s="1"/>
  <c r="H260" i="10"/>
  <c r="G268" i="10"/>
  <c r="J268" i="10" s="1"/>
  <c r="K268" i="10" s="1"/>
  <c r="H268" i="10"/>
  <c r="G276" i="10"/>
  <c r="J276" i="10" s="1"/>
  <c r="K276" i="10" s="1"/>
  <c r="H276" i="10"/>
  <c r="G284" i="10"/>
  <c r="J284" i="10" s="1"/>
  <c r="K284" i="10" s="1"/>
  <c r="H284" i="10"/>
  <c r="G292" i="10"/>
  <c r="J292" i="10" s="1"/>
  <c r="K292" i="10" s="1"/>
  <c r="H292" i="10"/>
  <c r="G182" i="10"/>
  <c r="J182" i="10" s="1"/>
  <c r="K182" i="10" s="1"/>
  <c r="H182" i="10"/>
  <c r="G190" i="10"/>
  <c r="J190" i="10" s="1"/>
  <c r="K190" i="10" s="1"/>
  <c r="H190" i="10"/>
  <c r="G198" i="10"/>
  <c r="J198" i="10" s="1"/>
  <c r="K198" i="10" s="1"/>
  <c r="H198" i="10"/>
  <c r="G206" i="10"/>
  <c r="J206" i="10" s="1"/>
  <c r="K206" i="10" s="1"/>
  <c r="H206" i="10"/>
  <c r="G214" i="10"/>
  <c r="J214" i="10" s="1"/>
  <c r="K214" i="10" s="1"/>
  <c r="H214" i="10"/>
  <c r="G222" i="10"/>
  <c r="J222" i="10" s="1"/>
  <c r="K222" i="10" s="1"/>
  <c r="H222" i="10"/>
  <c r="G230" i="10"/>
  <c r="J230" i="10" s="1"/>
  <c r="K230" i="10" s="1"/>
  <c r="H230" i="10"/>
  <c r="G238" i="10"/>
  <c r="J238" i="10" s="1"/>
  <c r="K238" i="10" s="1"/>
  <c r="H238" i="10"/>
  <c r="G246" i="10"/>
  <c r="J246" i="10" s="1"/>
  <c r="K246" i="10" s="1"/>
  <c r="H246" i="10"/>
  <c r="G254" i="10"/>
  <c r="J254" i="10" s="1"/>
  <c r="K254" i="10" s="1"/>
  <c r="H254" i="10"/>
  <c r="G262" i="10"/>
  <c r="J262" i="10" s="1"/>
  <c r="K262" i="10" s="1"/>
  <c r="H262" i="10"/>
  <c r="G270" i="10"/>
  <c r="J270" i="10" s="1"/>
  <c r="K270" i="10" s="1"/>
  <c r="H270" i="10"/>
  <c r="G278" i="10"/>
  <c r="J278" i="10" s="1"/>
  <c r="K278" i="10" s="1"/>
  <c r="H278" i="10"/>
  <c r="G286" i="10"/>
  <c r="J286" i="10" s="1"/>
  <c r="K286" i="10" s="1"/>
  <c r="H286" i="10"/>
  <c r="G294" i="10"/>
  <c r="J294" i="10" s="1"/>
  <c r="K294" i="10" s="1"/>
  <c r="H294" i="10"/>
  <c r="G184" i="10"/>
  <c r="J184" i="10" s="1"/>
  <c r="K184" i="10" s="1"/>
  <c r="H184" i="10"/>
  <c r="G192" i="10"/>
  <c r="J192" i="10" s="1"/>
  <c r="K192" i="10" s="1"/>
  <c r="H192" i="10"/>
  <c r="G200" i="10"/>
  <c r="J200" i="10" s="1"/>
  <c r="K200" i="10" s="1"/>
  <c r="H200" i="10"/>
  <c r="G208" i="10"/>
  <c r="J208" i="10" s="1"/>
  <c r="K208" i="10" s="1"/>
  <c r="H208" i="10"/>
  <c r="G216" i="10"/>
  <c r="J216" i="10" s="1"/>
  <c r="K216" i="10" s="1"/>
  <c r="H216" i="10"/>
  <c r="G224" i="10"/>
  <c r="J224" i="10" s="1"/>
  <c r="K224" i="10" s="1"/>
  <c r="H224" i="10"/>
  <c r="G232" i="10"/>
  <c r="J232" i="10" s="1"/>
  <c r="K232" i="10" s="1"/>
  <c r="H232" i="10"/>
  <c r="G240" i="10"/>
  <c r="J240" i="10" s="1"/>
  <c r="K240" i="10" s="1"/>
  <c r="H240" i="10"/>
  <c r="G248" i="10"/>
  <c r="J248" i="10" s="1"/>
  <c r="K248" i="10" s="1"/>
  <c r="H248" i="10"/>
  <c r="G256" i="10"/>
  <c r="J256" i="10" s="1"/>
  <c r="K256" i="10" s="1"/>
  <c r="H256" i="10"/>
  <c r="G264" i="10"/>
  <c r="J264" i="10" s="1"/>
  <c r="K264" i="10" s="1"/>
  <c r="H264" i="10"/>
  <c r="G272" i="10"/>
  <c r="J272" i="10" s="1"/>
  <c r="K272" i="10" s="1"/>
  <c r="H272" i="10"/>
  <c r="G280" i="10"/>
  <c r="J280" i="10" s="1"/>
  <c r="K280" i="10" s="1"/>
  <c r="H280" i="10"/>
  <c r="G288" i="10"/>
  <c r="J288" i="10" s="1"/>
  <c r="K288" i="10" s="1"/>
  <c r="H288" i="10"/>
  <c r="H296" i="10"/>
  <c r="G296" i="10"/>
  <c r="J296" i="10" s="1"/>
  <c r="K296" i="10" s="1"/>
  <c r="I337" i="10"/>
  <c r="J337" i="10"/>
  <c r="K337" i="10" s="1"/>
  <c r="I341" i="10"/>
  <c r="J341" i="10"/>
  <c r="K341" i="10" s="1"/>
  <c r="I345" i="10"/>
  <c r="J345" i="10"/>
  <c r="K345" i="10" s="1"/>
  <c r="I349" i="10"/>
  <c r="J349" i="10"/>
  <c r="K349" i="10" s="1"/>
  <c r="I353" i="10"/>
  <c r="J353" i="10"/>
  <c r="K353" i="10" s="1"/>
  <c r="I357" i="10"/>
  <c r="J357" i="10"/>
  <c r="K357" i="10" s="1"/>
  <c r="I361" i="10"/>
  <c r="J361" i="10"/>
  <c r="K361" i="10" s="1"/>
  <c r="I365" i="10"/>
  <c r="J365" i="10"/>
  <c r="K365" i="10" s="1"/>
  <c r="I369" i="10"/>
  <c r="J369" i="10"/>
  <c r="K369" i="10" s="1"/>
  <c r="J403" i="10"/>
  <c r="K403" i="10" s="1"/>
  <c r="J411" i="10"/>
  <c r="K411" i="10" s="1"/>
  <c r="J419" i="10"/>
  <c r="K419" i="10" s="1"/>
  <c r="J427" i="10"/>
  <c r="K427" i="10" s="1"/>
  <c r="J435" i="10"/>
  <c r="K435" i="10" s="1"/>
  <c r="J443" i="10"/>
  <c r="K443" i="10" s="1"/>
  <c r="J451" i="10"/>
  <c r="K451" i="10" s="1"/>
  <c r="J459" i="10"/>
  <c r="K459" i="10" s="1"/>
  <c r="G305" i="10"/>
  <c r="J305" i="10" s="1"/>
  <c r="K305" i="10" s="1"/>
  <c r="G313" i="10"/>
  <c r="J313" i="10" s="1"/>
  <c r="K313" i="10" s="1"/>
  <c r="G321" i="10"/>
  <c r="J321" i="10" s="1"/>
  <c r="K321" i="10" s="1"/>
  <c r="G329" i="10"/>
  <c r="J329" i="10" s="1"/>
  <c r="K329" i="10" s="1"/>
  <c r="G303" i="10"/>
  <c r="J303" i="10" s="1"/>
  <c r="K303" i="10" s="1"/>
  <c r="G311" i="10"/>
  <c r="J311" i="10" s="1"/>
  <c r="K311" i="10" s="1"/>
  <c r="G319" i="10"/>
  <c r="J319" i="10" s="1"/>
  <c r="K319" i="10" s="1"/>
  <c r="G327" i="10"/>
  <c r="J327" i="10" s="1"/>
  <c r="K327" i="10" s="1"/>
  <c r="J391" i="10"/>
  <c r="K391" i="10" s="1"/>
  <c r="J399" i="10"/>
  <c r="K399" i="10" s="1"/>
  <c r="J407" i="10"/>
  <c r="K407" i="10" s="1"/>
  <c r="J415" i="10"/>
  <c r="K415" i="10" s="1"/>
  <c r="J423" i="10"/>
  <c r="K423" i="10" s="1"/>
  <c r="J431" i="10"/>
  <c r="K431" i="10" s="1"/>
  <c r="J439" i="10"/>
  <c r="K439" i="10" s="1"/>
  <c r="J447" i="10"/>
  <c r="K447" i="10" s="1"/>
  <c r="J455" i="10"/>
  <c r="K455" i="10" s="1"/>
  <c r="J463" i="10"/>
  <c r="K463" i="10" s="1"/>
  <c r="I473" i="10"/>
  <c r="J473" i="10"/>
  <c r="K473" i="10" s="1"/>
  <c r="J373" i="10"/>
  <c r="K373" i="10" s="1"/>
  <c r="J377" i="10"/>
  <c r="K377" i="10" s="1"/>
  <c r="J381" i="10"/>
  <c r="K381" i="10" s="1"/>
  <c r="J385" i="10"/>
  <c r="K385" i="10" s="1"/>
  <c r="J389" i="10"/>
  <c r="K389" i="10" s="1"/>
  <c r="J393" i="10"/>
  <c r="K393" i="10" s="1"/>
  <c r="J397" i="10"/>
  <c r="K397" i="10" s="1"/>
  <c r="J401" i="10"/>
  <c r="K401" i="10" s="1"/>
  <c r="J405" i="10"/>
  <c r="K405" i="10" s="1"/>
  <c r="J409" i="10"/>
  <c r="K409" i="10" s="1"/>
  <c r="J413" i="10"/>
  <c r="K413" i="10" s="1"/>
  <c r="J417" i="10"/>
  <c r="K417" i="10" s="1"/>
  <c r="J421" i="10"/>
  <c r="K421" i="10" s="1"/>
  <c r="J425" i="10"/>
  <c r="K425" i="10" s="1"/>
  <c r="J429" i="10"/>
  <c r="K429" i="10" s="1"/>
  <c r="J433" i="10"/>
  <c r="K433" i="10" s="1"/>
  <c r="J437" i="10"/>
  <c r="K437" i="10" s="1"/>
  <c r="J441" i="10"/>
  <c r="K441" i="10" s="1"/>
  <c r="J445" i="10"/>
  <c r="K445" i="10" s="1"/>
  <c r="J449" i="10"/>
  <c r="K449" i="10" s="1"/>
  <c r="J453" i="10"/>
  <c r="K453" i="10" s="1"/>
  <c r="J457" i="10"/>
  <c r="K457" i="10" s="1"/>
  <c r="J461" i="10"/>
  <c r="K461" i="10" s="1"/>
  <c r="J497" i="10"/>
  <c r="K497" i="10" s="1"/>
  <c r="J484" i="10"/>
  <c r="K484" i="10" s="1"/>
  <c r="J508" i="10"/>
  <c r="K508" i="10" s="1"/>
  <c r="G300" i="10"/>
  <c r="J300" i="10" s="1"/>
  <c r="K300" i="10" s="1"/>
  <c r="G304" i="10"/>
  <c r="J304" i="10" s="1"/>
  <c r="K304" i="10" s="1"/>
  <c r="G308" i="10"/>
  <c r="J308" i="10" s="1"/>
  <c r="K308" i="10" s="1"/>
  <c r="G312" i="10"/>
  <c r="J312" i="10" s="1"/>
  <c r="K312" i="10" s="1"/>
  <c r="G316" i="10"/>
  <c r="J316" i="10" s="1"/>
  <c r="K316" i="10" s="1"/>
  <c r="G320" i="10"/>
  <c r="J320" i="10" s="1"/>
  <c r="K320" i="10" s="1"/>
  <c r="G324" i="10"/>
  <c r="J324" i="10" s="1"/>
  <c r="K324" i="10" s="1"/>
  <c r="G328" i="10"/>
  <c r="J328" i="10" s="1"/>
  <c r="K328" i="10" s="1"/>
  <c r="G332" i="10"/>
  <c r="J332" i="10" s="1"/>
  <c r="K332" i="10" s="1"/>
  <c r="J469" i="10"/>
  <c r="K469" i="10" s="1"/>
  <c r="J476" i="10"/>
  <c r="K476" i="10" s="1"/>
  <c r="J481" i="10"/>
  <c r="K481" i="10" s="1"/>
  <c r="J505" i="10"/>
  <c r="K505" i="10" s="1"/>
  <c r="J520" i="10"/>
  <c r="K520" i="10" s="1"/>
  <c r="J536" i="10"/>
  <c r="K536" i="10" s="1"/>
  <c r="J552" i="10"/>
  <c r="K552" i="10" s="1"/>
  <c r="J477" i="10"/>
  <c r="K477" i="10" s="1"/>
  <c r="J485" i="10"/>
  <c r="K485" i="10" s="1"/>
  <c r="J493" i="10"/>
  <c r="K493" i="10" s="1"/>
  <c r="J501" i="10"/>
  <c r="K501" i="10" s="1"/>
  <c r="J509" i="10"/>
  <c r="K509" i="10" s="1"/>
  <c r="J516" i="10"/>
  <c r="K516" i="10" s="1"/>
  <c r="J532" i="10"/>
  <c r="K532" i="10" s="1"/>
  <c r="J548" i="10"/>
  <c r="K548" i="10" s="1"/>
  <c r="G761" i="10"/>
  <c r="J761" i="10" s="1"/>
  <c r="K761" i="10" s="1"/>
  <c r="H761" i="10"/>
  <c r="G793" i="10"/>
  <c r="J793" i="10" s="1"/>
  <c r="K793" i="10" s="1"/>
  <c r="H793" i="10"/>
  <c r="G769" i="10"/>
  <c r="J769" i="10" s="1"/>
  <c r="K769" i="10" s="1"/>
  <c r="H769" i="10"/>
  <c r="G801" i="10"/>
  <c r="J801" i="10" s="1"/>
  <c r="K801" i="10" s="1"/>
  <c r="H801" i="10"/>
  <c r="G777" i="10"/>
  <c r="J777" i="10" s="1"/>
  <c r="K777" i="10" s="1"/>
  <c r="H777" i="10"/>
  <c r="G809" i="10"/>
  <c r="J809" i="10" s="1"/>
  <c r="K809" i="10" s="1"/>
  <c r="H809" i="10"/>
  <c r="G753" i="10"/>
  <c r="J753" i="10" s="1"/>
  <c r="K753" i="10" s="1"/>
  <c r="H753" i="10"/>
  <c r="G785" i="10"/>
  <c r="J785" i="10" s="1"/>
  <c r="K785" i="10" s="1"/>
  <c r="H785" i="10"/>
  <c r="G755" i="10"/>
  <c r="J755" i="10" s="1"/>
  <c r="K755" i="10" s="1"/>
  <c r="H755" i="10"/>
  <c r="G763" i="10"/>
  <c r="J763" i="10" s="1"/>
  <c r="K763" i="10" s="1"/>
  <c r="H763" i="10"/>
  <c r="G771" i="10"/>
  <c r="J771" i="10" s="1"/>
  <c r="K771" i="10" s="1"/>
  <c r="H771" i="10"/>
  <c r="G779" i="10"/>
  <c r="J779" i="10" s="1"/>
  <c r="K779" i="10" s="1"/>
  <c r="H779" i="10"/>
  <c r="G787" i="10"/>
  <c r="J787" i="10" s="1"/>
  <c r="K787" i="10" s="1"/>
  <c r="H787" i="10"/>
  <c r="G795" i="10"/>
  <c r="J795" i="10" s="1"/>
  <c r="K795" i="10" s="1"/>
  <c r="H795" i="10"/>
  <c r="G803" i="10"/>
  <c r="J803" i="10" s="1"/>
  <c r="K803" i="10" s="1"/>
  <c r="H803" i="10"/>
  <c r="G811" i="10"/>
  <c r="J811" i="10" s="1"/>
  <c r="K811" i="10" s="1"/>
  <c r="H811" i="10"/>
  <c r="G757" i="10"/>
  <c r="J757" i="10" s="1"/>
  <c r="K757" i="10" s="1"/>
  <c r="H757" i="10"/>
  <c r="G765" i="10"/>
  <c r="J765" i="10" s="1"/>
  <c r="K765" i="10" s="1"/>
  <c r="H765" i="10"/>
  <c r="G773" i="10"/>
  <c r="J773" i="10" s="1"/>
  <c r="K773" i="10" s="1"/>
  <c r="H773" i="10"/>
  <c r="G781" i="10"/>
  <c r="J781" i="10" s="1"/>
  <c r="K781" i="10" s="1"/>
  <c r="H781" i="10"/>
  <c r="G789" i="10"/>
  <c r="J789" i="10" s="1"/>
  <c r="K789" i="10" s="1"/>
  <c r="H789" i="10"/>
  <c r="G797" i="10"/>
  <c r="J797" i="10" s="1"/>
  <c r="K797" i="10" s="1"/>
  <c r="H797" i="10"/>
  <c r="G805" i="10"/>
  <c r="J805" i="10" s="1"/>
  <c r="K805" i="10" s="1"/>
  <c r="H805" i="10"/>
  <c r="G813" i="10"/>
  <c r="J813" i="10" s="1"/>
  <c r="K813" i="10" s="1"/>
  <c r="H813" i="10"/>
  <c r="G751" i="10"/>
  <c r="J751" i="10" s="1"/>
  <c r="K751" i="10" s="1"/>
  <c r="H751" i="10"/>
  <c r="G759" i="10"/>
  <c r="J759" i="10" s="1"/>
  <c r="K759" i="10" s="1"/>
  <c r="H759" i="10"/>
  <c r="G767" i="10"/>
  <c r="J767" i="10" s="1"/>
  <c r="K767" i="10" s="1"/>
  <c r="H767" i="10"/>
  <c r="G775" i="10"/>
  <c r="J775" i="10" s="1"/>
  <c r="K775" i="10" s="1"/>
  <c r="H775" i="10"/>
  <c r="G783" i="10"/>
  <c r="J783" i="10" s="1"/>
  <c r="K783" i="10" s="1"/>
  <c r="H783" i="10"/>
  <c r="G791" i="10"/>
  <c r="J791" i="10" s="1"/>
  <c r="K791" i="10" s="1"/>
  <c r="H791" i="10"/>
  <c r="G799" i="10"/>
  <c r="J799" i="10" s="1"/>
  <c r="K799" i="10" s="1"/>
  <c r="H799" i="10"/>
  <c r="G807" i="10"/>
  <c r="J807" i="10" s="1"/>
  <c r="K807" i="10" s="1"/>
  <c r="H807" i="10"/>
  <c r="G814" i="10"/>
  <c r="J814" i="10" s="1"/>
  <c r="K814" i="10" s="1"/>
  <c r="G818" i="10"/>
  <c r="J818" i="10" s="1"/>
  <c r="K818" i="10" s="1"/>
  <c r="G822" i="10"/>
  <c r="J822" i="10" s="1"/>
  <c r="K822" i="10" s="1"/>
  <c r="H826" i="10"/>
  <c r="G826" i="10"/>
  <c r="J826" i="10" s="1"/>
  <c r="K826" i="10" s="1"/>
  <c r="H828" i="10"/>
  <c r="G828" i="10"/>
  <c r="J828" i="10" s="1"/>
  <c r="K828" i="10" s="1"/>
  <c r="H830" i="10"/>
  <c r="G830" i="10"/>
  <c r="J830" i="10" s="1"/>
  <c r="K830" i="10" s="1"/>
  <c r="H832" i="10"/>
  <c r="G832" i="10"/>
  <c r="J832" i="10" s="1"/>
  <c r="K832" i="10" s="1"/>
  <c r="H834" i="10"/>
  <c r="G834" i="10"/>
  <c r="J834" i="10" s="1"/>
  <c r="K834" i="10" s="1"/>
  <c r="H836" i="10"/>
  <c r="G836" i="10"/>
  <c r="J836" i="10" s="1"/>
  <c r="K836" i="10" s="1"/>
  <c r="H838" i="10"/>
  <c r="G838" i="10"/>
  <c r="J838" i="10" s="1"/>
  <c r="K838" i="10" s="1"/>
  <c r="H840" i="10"/>
  <c r="G840" i="10"/>
  <c r="J840" i="10" s="1"/>
  <c r="K840" i="10" s="1"/>
  <c r="H842" i="10"/>
  <c r="G842" i="10"/>
  <c r="J842" i="10" s="1"/>
  <c r="K842" i="10" s="1"/>
  <c r="H844" i="10"/>
  <c r="G844" i="10"/>
  <c r="J844" i="10" s="1"/>
  <c r="K844" i="10" s="1"/>
  <c r="H846" i="10"/>
  <c r="G846" i="10"/>
  <c r="J846" i="10" s="1"/>
  <c r="K846" i="10" s="1"/>
  <c r="H848" i="10"/>
  <c r="G848" i="10"/>
  <c r="J848" i="10" s="1"/>
  <c r="K848" i="10" s="1"/>
  <c r="H850" i="10"/>
  <c r="G850" i="10"/>
  <c r="J850" i="10" s="1"/>
  <c r="K850" i="10" s="1"/>
  <c r="H852" i="10"/>
  <c r="G852" i="10"/>
  <c r="J852" i="10" s="1"/>
  <c r="K852" i="10" s="1"/>
  <c r="H854" i="10"/>
  <c r="G854" i="10"/>
  <c r="J854" i="10" s="1"/>
  <c r="K854" i="10" s="1"/>
  <c r="H856" i="10"/>
  <c r="G856" i="10"/>
  <c r="J856" i="10" s="1"/>
  <c r="K856" i="10" s="1"/>
  <c r="G816" i="10"/>
  <c r="J816" i="10" s="1"/>
  <c r="K816" i="10" s="1"/>
  <c r="G820" i="10"/>
  <c r="J820" i="10" s="1"/>
  <c r="K820" i="10" s="1"/>
  <c r="G824" i="10"/>
  <c r="J824" i="10" s="1"/>
  <c r="K824" i="10" s="1"/>
  <c r="H829" i="10"/>
  <c r="G829" i="10"/>
  <c r="J829" i="10" s="1"/>
  <c r="K829" i="10" s="1"/>
  <c r="H833" i="10"/>
  <c r="G833" i="10"/>
  <c r="J833" i="10" s="1"/>
  <c r="K833" i="10" s="1"/>
  <c r="H837" i="10"/>
  <c r="G837" i="10"/>
  <c r="J837" i="10" s="1"/>
  <c r="K837" i="10" s="1"/>
  <c r="H841" i="10"/>
  <c r="G841" i="10"/>
  <c r="J841" i="10" s="1"/>
  <c r="K841" i="10" s="1"/>
  <c r="H845" i="10"/>
  <c r="G845" i="10"/>
  <c r="J845" i="10" s="1"/>
  <c r="K845" i="10" s="1"/>
  <c r="H849" i="10"/>
  <c r="G849" i="10"/>
  <c r="J849" i="10" s="1"/>
  <c r="K849" i="10" s="1"/>
  <c r="H853" i="10"/>
  <c r="G853" i="10"/>
  <c r="J853" i="10" s="1"/>
  <c r="K853" i="10" s="1"/>
  <c r="H857" i="10"/>
  <c r="G857" i="10"/>
  <c r="J857" i="10" s="1"/>
  <c r="K857" i="10" s="1"/>
  <c r="I948" i="10"/>
  <c r="J948" i="10"/>
  <c r="K948" i="10" s="1"/>
  <c r="H827" i="10"/>
  <c r="G827" i="10"/>
  <c r="J827" i="10" s="1"/>
  <c r="K827" i="10" s="1"/>
  <c r="H831" i="10"/>
  <c r="G831" i="10"/>
  <c r="J831" i="10" s="1"/>
  <c r="K831" i="10" s="1"/>
  <c r="H835" i="10"/>
  <c r="G835" i="10"/>
  <c r="J835" i="10" s="1"/>
  <c r="K835" i="10" s="1"/>
  <c r="H839" i="10"/>
  <c r="G839" i="10"/>
  <c r="J839" i="10" s="1"/>
  <c r="K839" i="10" s="1"/>
  <c r="H843" i="10"/>
  <c r="G843" i="10"/>
  <c r="J843" i="10" s="1"/>
  <c r="K843" i="10" s="1"/>
  <c r="H847" i="10"/>
  <c r="G847" i="10"/>
  <c r="J847" i="10" s="1"/>
  <c r="K847" i="10" s="1"/>
  <c r="H851" i="10"/>
  <c r="G851" i="10"/>
  <c r="J851" i="10" s="1"/>
  <c r="K851" i="10" s="1"/>
  <c r="H855" i="10"/>
  <c r="G855" i="10"/>
  <c r="J855" i="10" s="1"/>
  <c r="K855" i="10" s="1"/>
  <c r="I940" i="10"/>
  <c r="J940" i="10"/>
  <c r="K940" i="10" s="1"/>
  <c r="J920" i="10"/>
  <c r="K920" i="10" s="1"/>
  <c r="J924" i="10"/>
  <c r="K924" i="10" s="1"/>
  <c r="J928" i="10"/>
  <c r="K928" i="10" s="1"/>
  <c r="J932" i="10"/>
  <c r="K932" i="10" s="1"/>
  <c r="J936" i="10"/>
  <c r="K936" i="10" s="1"/>
  <c r="I944" i="10"/>
  <c r="J944" i="10"/>
  <c r="K944" i="10" s="1"/>
  <c r="G4" i="9"/>
  <c r="J4" i="9" s="1"/>
  <c r="H4" i="9"/>
  <c r="J5" i="9"/>
  <c r="G8" i="9"/>
  <c r="J8" i="9" s="1"/>
  <c r="H8" i="9"/>
  <c r="J9" i="9"/>
  <c r="G12" i="9"/>
  <c r="J12" i="9" s="1"/>
  <c r="H12" i="9"/>
  <c r="J13" i="9"/>
  <c r="G16" i="9"/>
  <c r="J16" i="9" s="1"/>
  <c r="H16" i="9"/>
  <c r="J17" i="9"/>
  <c r="G20" i="9"/>
  <c r="J20" i="9" s="1"/>
  <c r="H20" i="9"/>
  <c r="J21" i="9"/>
  <c r="G24" i="9"/>
  <c r="J24" i="9" s="1"/>
  <c r="H24" i="9"/>
  <c r="J37" i="9"/>
  <c r="G40" i="9"/>
  <c r="J40" i="9" s="1"/>
  <c r="H40" i="9"/>
  <c r="J45" i="9"/>
  <c r="I45" i="9"/>
  <c r="G36" i="9"/>
  <c r="J36" i="9" s="1"/>
  <c r="H36" i="9"/>
  <c r="G27" i="9"/>
  <c r="J27" i="9" s="1"/>
  <c r="G32" i="9"/>
  <c r="J32" i="9" s="1"/>
  <c r="H32" i="9"/>
  <c r="G43" i="9"/>
  <c r="J43" i="9" s="1"/>
  <c r="G3" i="9"/>
  <c r="J3" i="9" s="1"/>
  <c r="G7" i="9"/>
  <c r="J7" i="9" s="1"/>
  <c r="G11" i="9"/>
  <c r="J11" i="9" s="1"/>
  <c r="G15" i="9"/>
  <c r="J15" i="9" s="1"/>
  <c r="G19" i="9"/>
  <c r="J19" i="9" s="1"/>
  <c r="G23" i="9"/>
  <c r="J23" i="9" s="1"/>
  <c r="J25" i="9"/>
  <c r="G28" i="9"/>
  <c r="J28" i="9" s="1"/>
  <c r="H28" i="9"/>
  <c r="G39" i="9"/>
  <c r="J39" i="9" s="1"/>
  <c r="J41" i="9"/>
  <c r="G44" i="9"/>
  <c r="J44" i="9" s="1"/>
  <c r="H44" i="9"/>
  <c r="H48" i="9"/>
  <c r="I49" i="9"/>
  <c r="H52" i="9"/>
  <c r="I53" i="9"/>
  <c r="H56" i="9"/>
  <c r="I57" i="9"/>
  <c r="H60" i="9"/>
  <c r="I61" i="9"/>
  <c r="H64" i="9"/>
  <c r="I65" i="9"/>
  <c r="H68" i="9"/>
  <c r="I69" i="9"/>
  <c r="H72" i="9"/>
  <c r="I73" i="9"/>
  <c r="H76" i="9"/>
  <c r="I77" i="9"/>
  <c r="H80" i="9"/>
  <c r="I81" i="9"/>
  <c r="H84" i="9"/>
  <c r="I85" i="9"/>
  <c r="H88" i="9"/>
  <c r="I89" i="9"/>
  <c r="H92" i="9"/>
  <c r="I93" i="9"/>
  <c r="H96" i="9"/>
  <c r="I97" i="9"/>
  <c r="H100" i="9"/>
  <c r="I101" i="9"/>
  <c r="H104" i="9"/>
  <c r="I105" i="9"/>
  <c r="H108" i="9"/>
  <c r="I109" i="9"/>
  <c r="H112" i="9"/>
  <c r="I113" i="9"/>
  <c r="H116" i="9"/>
  <c r="I117" i="9"/>
  <c r="H120" i="9"/>
  <c r="I121" i="9"/>
  <c r="H124" i="9"/>
  <c r="I125" i="9"/>
  <c r="H128" i="9"/>
  <c r="I129" i="9"/>
  <c r="H132" i="9"/>
  <c r="I133" i="9"/>
  <c r="H136" i="9"/>
  <c r="I137" i="9"/>
  <c r="H140" i="9"/>
  <c r="I141" i="9"/>
  <c r="H144" i="9"/>
  <c r="I145" i="9"/>
  <c r="H148" i="9"/>
  <c r="I149" i="9"/>
  <c r="H152" i="9"/>
  <c r="I153" i="9"/>
  <c r="H156" i="9"/>
  <c r="I157" i="9"/>
  <c r="H160" i="9"/>
  <c r="I161" i="9"/>
  <c r="H164" i="9"/>
  <c r="I165" i="9"/>
  <c r="H168" i="9"/>
  <c r="I169" i="9"/>
  <c r="H172" i="9"/>
  <c r="I173" i="9"/>
  <c r="H176" i="9"/>
  <c r="I177" i="9"/>
  <c r="H180" i="9"/>
  <c r="J315" i="9"/>
  <c r="G318" i="9"/>
  <c r="J318" i="9" s="1"/>
  <c r="H318" i="9"/>
  <c r="J331" i="9"/>
  <c r="G334" i="9"/>
  <c r="J334" i="9" s="1"/>
  <c r="H334" i="9"/>
  <c r="J347" i="9"/>
  <c r="G350" i="9"/>
  <c r="J350" i="9" s="1"/>
  <c r="H350" i="9"/>
  <c r="G314" i="9"/>
  <c r="J314" i="9" s="1"/>
  <c r="H314" i="9"/>
  <c r="G330" i="9"/>
  <c r="J330" i="9" s="1"/>
  <c r="H330" i="9"/>
  <c r="G346" i="9"/>
  <c r="J346" i="9" s="1"/>
  <c r="H346" i="9"/>
  <c r="G254" i="9"/>
  <c r="J254" i="9" s="1"/>
  <c r="H254" i="9"/>
  <c r="G258" i="9"/>
  <c r="J258" i="9" s="1"/>
  <c r="H258" i="9"/>
  <c r="G262" i="9"/>
  <c r="J262" i="9" s="1"/>
  <c r="H262" i="9"/>
  <c r="G266" i="9"/>
  <c r="J266" i="9" s="1"/>
  <c r="H266" i="9"/>
  <c r="G270" i="9"/>
  <c r="J270" i="9" s="1"/>
  <c r="H270" i="9"/>
  <c r="G274" i="9"/>
  <c r="J274" i="9" s="1"/>
  <c r="H274" i="9"/>
  <c r="G278" i="9"/>
  <c r="J278" i="9" s="1"/>
  <c r="H278" i="9"/>
  <c r="G282" i="9"/>
  <c r="J282" i="9" s="1"/>
  <c r="H282" i="9"/>
  <c r="G286" i="9"/>
  <c r="J286" i="9" s="1"/>
  <c r="H286" i="9"/>
  <c r="G290" i="9"/>
  <c r="J290" i="9" s="1"/>
  <c r="H290" i="9"/>
  <c r="G294" i="9"/>
  <c r="J294" i="9" s="1"/>
  <c r="H294" i="9"/>
  <c r="G298" i="9"/>
  <c r="J298" i="9" s="1"/>
  <c r="H298" i="9"/>
  <c r="G302" i="9"/>
  <c r="J302" i="9" s="1"/>
  <c r="H302" i="9"/>
  <c r="G306" i="9"/>
  <c r="J306" i="9" s="1"/>
  <c r="H306" i="9"/>
  <c r="G310" i="9"/>
  <c r="J310" i="9" s="1"/>
  <c r="H310" i="9"/>
  <c r="G321" i="9"/>
  <c r="J321" i="9" s="1"/>
  <c r="G326" i="9"/>
  <c r="J326" i="9" s="1"/>
  <c r="H326" i="9"/>
  <c r="G337" i="9"/>
  <c r="J337" i="9" s="1"/>
  <c r="G342" i="9"/>
  <c r="J342" i="9" s="1"/>
  <c r="H342" i="9"/>
  <c r="G353" i="9"/>
  <c r="J353" i="9" s="1"/>
  <c r="H182" i="9"/>
  <c r="H186" i="9"/>
  <c r="H190" i="9"/>
  <c r="H194" i="9"/>
  <c r="H198" i="9"/>
  <c r="H202" i="9"/>
  <c r="H206" i="9"/>
  <c r="H210" i="9"/>
  <c r="H214" i="9"/>
  <c r="H218" i="9"/>
  <c r="H222" i="9"/>
  <c r="H226" i="9"/>
  <c r="H230" i="9"/>
  <c r="H234" i="9"/>
  <c r="H238" i="9"/>
  <c r="H242" i="9"/>
  <c r="H246" i="9"/>
  <c r="H250" i="9"/>
  <c r="H253" i="9"/>
  <c r="H257" i="9"/>
  <c r="H261" i="9"/>
  <c r="H265" i="9"/>
  <c r="H269" i="9"/>
  <c r="H273" i="9"/>
  <c r="H277" i="9"/>
  <c r="H281" i="9"/>
  <c r="H285" i="9"/>
  <c r="H289" i="9"/>
  <c r="H293" i="9"/>
  <c r="H297" i="9"/>
  <c r="H301" i="9"/>
  <c r="H305" i="9"/>
  <c r="H309" i="9"/>
  <c r="G317" i="9"/>
  <c r="J317" i="9" s="1"/>
  <c r="J319" i="9"/>
  <c r="G322" i="9"/>
  <c r="J322" i="9" s="1"/>
  <c r="H322" i="9"/>
  <c r="G333" i="9"/>
  <c r="J333" i="9" s="1"/>
  <c r="J335" i="9"/>
  <c r="G338" i="9"/>
  <c r="J338" i="9" s="1"/>
  <c r="H338" i="9"/>
  <c r="G349" i="9"/>
  <c r="J349" i="9" s="1"/>
  <c r="J351" i="9"/>
  <c r="H354" i="9"/>
  <c r="I355" i="9"/>
  <c r="H358" i="9"/>
  <c r="I359" i="9"/>
  <c r="H362" i="9"/>
  <c r="I363" i="9"/>
  <c r="H366" i="9"/>
  <c r="I367" i="9"/>
  <c r="H370" i="9"/>
  <c r="I371" i="9"/>
  <c r="H374" i="9"/>
  <c r="I375" i="9"/>
  <c r="H378" i="9"/>
  <c r="I379" i="9"/>
  <c r="H382" i="9"/>
  <c r="I383" i="9"/>
  <c r="H386" i="9"/>
  <c r="I387" i="9"/>
  <c r="H390" i="9"/>
  <c r="I391" i="9"/>
  <c r="H394" i="9"/>
  <c r="I395" i="9"/>
  <c r="H398" i="9"/>
  <c r="I399" i="9"/>
  <c r="H402" i="9"/>
  <c r="I403" i="9"/>
  <c r="H406" i="9"/>
  <c r="I407" i="9"/>
  <c r="H410" i="9"/>
  <c r="I411" i="9"/>
  <c r="H414" i="9"/>
  <c r="I415" i="9"/>
  <c r="H418" i="9"/>
  <c r="I419" i="9"/>
  <c r="H422" i="9"/>
  <c r="I423" i="9"/>
  <c r="H426" i="9"/>
  <c r="I427" i="9"/>
  <c r="H430" i="9"/>
  <c r="I431" i="9"/>
  <c r="H434" i="9"/>
  <c r="I435" i="9"/>
  <c r="H438" i="9"/>
  <c r="I439" i="9"/>
  <c r="H442" i="9"/>
  <c r="I443" i="9"/>
  <c r="H446" i="9"/>
  <c r="I447" i="9"/>
  <c r="G572" i="9"/>
  <c r="J572" i="9" s="1"/>
  <c r="H572" i="9"/>
  <c r="G521" i="9"/>
  <c r="J521" i="9" s="1"/>
  <c r="H521" i="9"/>
  <c r="G525" i="9"/>
  <c r="J525" i="9" s="1"/>
  <c r="H525" i="9"/>
  <c r="G529" i="9"/>
  <c r="J529" i="9" s="1"/>
  <c r="H529" i="9"/>
  <c r="G533" i="9"/>
  <c r="J533" i="9" s="1"/>
  <c r="H533" i="9"/>
  <c r="G537" i="9"/>
  <c r="J537" i="9" s="1"/>
  <c r="H537" i="9"/>
  <c r="G541" i="9"/>
  <c r="J541" i="9" s="1"/>
  <c r="H541" i="9"/>
  <c r="G545" i="9"/>
  <c r="J545" i="9" s="1"/>
  <c r="H545" i="9"/>
  <c r="G549" i="9"/>
  <c r="J549" i="9" s="1"/>
  <c r="H549" i="9"/>
  <c r="G553" i="9"/>
  <c r="J553" i="9" s="1"/>
  <c r="H553" i="9"/>
  <c r="G557" i="9"/>
  <c r="J557" i="9" s="1"/>
  <c r="H557" i="9"/>
  <c r="G561" i="9"/>
  <c r="J561" i="9" s="1"/>
  <c r="H561" i="9"/>
  <c r="G565" i="9"/>
  <c r="J565" i="9" s="1"/>
  <c r="H565" i="9"/>
  <c r="G569" i="9"/>
  <c r="J569" i="9" s="1"/>
  <c r="H569" i="9"/>
  <c r="G580" i="9"/>
  <c r="J580" i="9" s="1"/>
  <c r="H580" i="9"/>
  <c r="G588" i="9"/>
  <c r="J588" i="9" s="1"/>
  <c r="H588" i="9"/>
  <c r="G596" i="9"/>
  <c r="J596" i="9" s="1"/>
  <c r="H596" i="9"/>
  <c r="G604" i="9"/>
  <c r="J604" i="9" s="1"/>
  <c r="H604" i="9"/>
  <c r="H449" i="9"/>
  <c r="H453" i="9"/>
  <c r="H457" i="9"/>
  <c r="H461" i="9"/>
  <c r="H465" i="9"/>
  <c r="H469" i="9"/>
  <c r="H473" i="9"/>
  <c r="H477" i="9"/>
  <c r="H481" i="9"/>
  <c r="H485" i="9"/>
  <c r="H489" i="9"/>
  <c r="H493" i="9"/>
  <c r="H497" i="9"/>
  <c r="H501" i="9"/>
  <c r="H505" i="9"/>
  <c r="H509" i="9"/>
  <c r="H513" i="9"/>
  <c r="H517" i="9"/>
  <c r="J573" i="9"/>
  <c r="G576" i="9"/>
  <c r="J576" i="9" s="1"/>
  <c r="H576" i="9"/>
  <c r="G584" i="9"/>
  <c r="J584" i="9" s="1"/>
  <c r="H584" i="9"/>
  <c r="G592" i="9"/>
  <c r="J592" i="9" s="1"/>
  <c r="H592" i="9"/>
  <c r="G600" i="9"/>
  <c r="J600" i="9" s="1"/>
  <c r="H600" i="9"/>
  <c r="G608" i="9"/>
  <c r="J608" i="9" s="1"/>
  <c r="H608" i="9"/>
  <c r="G620" i="9"/>
  <c r="J620" i="9" s="1"/>
  <c r="H620" i="9"/>
  <c r="G628" i="9"/>
  <c r="J628" i="9" s="1"/>
  <c r="H628" i="9"/>
  <c r="G636" i="9"/>
  <c r="J636" i="9" s="1"/>
  <c r="H636" i="9"/>
  <c r="G644" i="9"/>
  <c r="J644" i="9" s="1"/>
  <c r="H644" i="9"/>
  <c r="G652" i="9"/>
  <c r="J652" i="9" s="1"/>
  <c r="H652" i="9"/>
  <c r="G660" i="9"/>
  <c r="J660" i="9" s="1"/>
  <c r="H660" i="9"/>
  <c r="G672" i="9"/>
  <c r="J672" i="9" s="1"/>
  <c r="H672" i="9"/>
  <c r="J673" i="9"/>
  <c r="G688" i="9"/>
  <c r="J688" i="9" s="1"/>
  <c r="H688" i="9"/>
  <c r="J689" i="9"/>
  <c r="G612" i="9"/>
  <c r="J612" i="9" s="1"/>
  <c r="H612" i="9"/>
  <c r="J661" i="9"/>
  <c r="G676" i="9"/>
  <c r="J676" i="9" s="1"/>
  <c r="H676" i="9"/>
  <c r="G692" i="9"/>
  <c r="J692" i="9" s="1"/>
  <c r="H692" i="9"/>
  <c r="G616" i="9"/>
  <c r="J616" i="9" s="1"/>
  <c r="H616" i="9"/>
  <c r="G624" i="9"/>
  <c r="J624" i="9" s="1"/>
  <c r="H624" i="9"/>
  <c r="G632" i="9"/>
  <c r="J632" i="9" s="1"/>
  <c r="H632" i="9"/>
  <c r="G640" i="9"/>
  <c r="J640" i="9" s="1"/>
  <c r="H640" i="9"/>
  <c r="G648" i="9"/>
  <c r="J648" i="9" s="1"/>
  <c r="H648" i="9"/>
  <c r="G656" i="9"/>
  <c r="J656" i="9" s="1"/>
  <c r="H656" i="9"/>
  <c r="G664" i="9"/>
  <c r="J664" i="9" s="1"/>
  <c r="H664" i="9"/>
  <c r="G667" i="9"/>
  <c r="J667" i="9" s="1"/>
  <c r="G680" i="9"/>
  <c r="J680" i="9" s="1"/>
  <c r="H680" i="9"/>
  <c r="G683" i="9"/>
  <c r="J683" i="9" s="1"/>
  <c r="H615" i="9"/>
  <c r="G619" i="9"/>
  <c r="J619" i="9" s="1"/>
  <c r="H623" i="9"/>
  <c r="G627" i="9"/>
  <c r="J627" i="9" s="1"/>
  <c r="H631" i="9"/>
  <c r="G635" i="9"/>
  <c r="J635" i="9" s="1"/>
  <c r="H639" i="9"/>
  <c r="G643" i="9"/>
  <c r="J643" i="9" s="1"/>
  <c r="H647" i="9"/>
  <c r="G651" i="9"/>
  <c r="J651" i="9" s="1"/>
  <c r="H655" i="9"/>
  <c r="G659" i="9"/>
  <c r="J659" i="9" s="1"/>
  <c r="H663" i="9"/>
  <c r="G668" i="9"/>
  <c r="J668" i="9" s="1"/>
  <c r="H668" i="9"/>
  <c r="J669" i="9"/>
  <c r="G671" i="9"/>
  <c r="J671" i="9" s="1"/>
  <c r="G684" i="9"/>
  <c r="J684" i="9" s="1"/>
  <c r="H684" i="9"/>
  <c r="J685" i="9"/>
  <c r="G687" i="9"/>
  <c r="J687" i="9" s="1"/>
  <c r="H696" i="9"/>
  <c r="I697" i="9"/>
  <c r="H700" i="9"/>
  <c r="I701" i="9"/>
  <c r="H704" i="9"/>
  <c r="I705" i="9"/>
  <c r="H708" i="9"/>
  <c r="I709" i="9"/>
  <c r="H712" i="9"/>
  <c r="I713" i="9"/>
  <c r="H716" i="9"/>
  <c r="I717" i="9"/>
  <c r="H720" i="9"/>
  <c r="I721" i="9"/>
  <c r="H724" i="9"/>
  <c r="I725" i="9"/>
  <c r="G751" i="9"/>
  <c r="J751" i="9" s="1"/>
  <c r="G755" i="9"/>
  <c r="J755" i="9" s="1"/>
  <c r="G759" i="9"/>
  <c r="J759" i="9" s="1"/>
  <c r="H759" i="9"/>
  <c r="G767" i="9"/>
  <c r="J767" i="9" s="1"/>
  <c r="H767" i="9"/>
  <c r="G775" i="9"/>
  <c r="J775" i="9" s="1"/>
  <c r="H775" i="9"/>
  <c r="G783" i="9"/>
  <c r="J783" i="9" s="1"/>
  <c r="H783" i="9"/>
  <c r="G791" i="9"/>
  <c r="J791" i="9" s="1"/>
  <c r="H791" i="9"/>
  <c r="G799" i="9"/>
  <c r="J799" i="9" s="1"/>
  <c r="H799" i="9"/>
  <c r="H832" i="9"/>
  <c r="G832" i="9"/>
  <c r="J832" i="9" s="1"/>
  <c r="H761" i="9"/>
  <c r="G761" i="9"/>
  <c r="J761" i="9" s="1"/>
  <c r="H769" i="9"/>
  <c r="G769" i="9"/>
  <c r="J769" i="9" s="1"/>
  <c r="H777" i="9"/>
  <c r="G777" i="9"/>
  <c r="J777" i="9" s="1"/>
  <c r="H785" i="9"/>
  <c r="G785" i="9"/>
  <c r="J785" i="9" s="1"/>
  <c r="H793" i="9"/>
  <c r="G793" i="9"/>
  <c r="J793" i="9" s="1"/>
  <c r="G804" i="9"/>
  <c r="J804" i="9" s="1"/>
  <c r="H804" i="9"/>
  <c r="H805" i="9"/>
  <c r="G805" i="9"/>
  <c r="J805" i="9" s="1"/>
  <c r="G812" i="9"/>
  <c r="J812" i="9" s="1"/>
  <c r="H812" i="9"/>
  <c r="H813" i="9"/>
  <c r="G813" i="9"/>
  <c r="J813" i="9" s="1"/>
  <c r="H824" i="9"/>
  <c r="G824" i="9"/>
  <c r="J824" i="9" s="1"/>
  <c r="H749" i="9"/>
  <c r="G749" i="9"/>
  <c r="J749" i="9" s="1"/>
  <c r="H753" i="9"/>
  <c r="G753" i="9"/>
  <c r="J753" i="9" s="1"/>
  <c r="H757" i="9"/>
  <c r="G757" i="9"/>
  <c r="J757" i="9" s="1"/>
  <c r="G763" i="9"/>
  <c r="J763" i="9" s="1"/>
  <c r="H763" i="9"/>
  <c r="G771" i="9"/>
  <c r="J771" i="9" s="1"/>
  <c r="H771" i="9"/>
  <c r="G779" i="9"/>
  <c r="J779" i="9" s="1"/>
  <c r="H779" i="9"/>
  <c r="G787" i="9"/>
  <c r="J787" i="9" s="1"/>
  <c r="H787" i="9"/>
  <c r="G795" i="9"/>
  <c r="J795" i="9" s="1"/>
  <c r="H795" i="9"/>
  <c r="H728" i="9"/>
  <c r="H732" i="9"/>
  <c r="H736" i="9"/>
  <c r="H740" i="9"/>
  <c r="H744" i="9"/>
  <c r="H748" i="9"/>
  <c r="H765" i="9"/>
  <c r="G765" i="9"/>
  <c r="J765" i="9" s="1"/>
  <c r="H773" i="9"/>
  <c r="G773" i="9"/>
  <c r="J773" i="9" s="1"/>
  <c r="H781" i="9"/>
  <c r="G781" i="9"/>
  <c r="J781" i="9" s="1"/>
  <c r="H789" i="9"/>
  <c r="G789" i="9"/>
  <c r="J789" i="9" s="1"/>
  <c r="H797" i="9"/>
  <c r="G797" i="9"/>
  <c r="J797" i="9" s="1"/>
  <c r="H840" i="9"/>
  <c r="G840" i="9"/>
  <c r="J840" i="9" s="1"/>
  <c r="H801" i="9"/>
  <c r="G801" i="9"/>
  <c r="J801" i="9" s="1"/>
  <c r="H809" i="9"/>
  <c r="G809" i="9"/>
  <c r="J809" i="9" s="1"/>
  <c r="H817" i="9"/>
  <c r="G817" i="9"/>
  <c r="J817" i="9" s="1"/>
  <c r="G752" i="9"/>
  <c r="J752" i="9" s="1"/>
  <c r="G756" i="9"/>
  <c r="J756" i="9" s="1"/>
  <c r="G760" i="9"/>
  <c r="J760" i="9" s="1"/>
  <c r="G764" i="9"/>
  <c r="J764" i="9" s="1"/>
  <c r="G768" i="9"/>
  <c r="J768" i="9" s="1"/>
  <c r="G772" i="9"/>
  <c r="J772" i="9" s="1"/>
  <c r="G776" i="9"/>
  <c r="J776" i="9" s="1"/>
  <c r="G780" i="9"/>
  <c r="J780" i="9" s="1"/>
  <c r="G784" i="9"/>
  <c r="J784" i="9" s="1"/>
  <c r="G788" i="9"/>
  <c r="J788" i="9" s="1"/>
  <c r="G792" i="9"/>
  <c r="J792" i="9" s="1"/>
  <c r="G796" i="9"/>
  <c r="J796" i="9" s="1"/>
  <c r="G800" i="9"/>
  <c r="J800" i="9" s="1"/>
  <c r="G808" i="9"/>
  <c r="J808" i="9" s="1"/>
  <c r="G816" i="9"/>
  <c r="J816" i="9" s="1"/>
  <c r="H820" i="9"/>
  <c r="G820" i="9"/>
  <c r="J820" i="9" s="1"/>
  <c r="H828" i="9"/>
  <c r="G828" i="9"/>
  <c r="J828" i="9" s="1"/>
  <c r="H836" i="9"/>
  <c r="G836" i="9"/>
  <c r="J836" i="9" s="1"/>
  <c r="G842" i="9"/>
  <c r="J842" i="9" s="1"/>
  <c r="H842" i="9"/>
  <c r="G846" i="9"/>
  <c r="J846" i="9" s="1"/>
  <c r="H846" i="9"/>
  <c r="G850" i="9"/>
  <c r="J850" i="9" s="1"/>
  <c r="H850" i="9"/>
  <c r="G854" i="9"/>
  <c r="J854" i="9" s="1"/>
  <c r="H854" i="9"/>
  <c r="G858" i="9"/>
  <c r="J858" i="9" s="1"/>
  <c r="H858" i="9"/>
  <c r="G910" i="9"/>
  <c r="J910" i="9" s="1"/>
  <c r="H920" i="9"/>
  <c r="G920" i="9"/>
  <c r="J920" i="9" s="1"/>
  <c r="G928" i="9"/>
  <c r="J928" i="9" s="1"/>
  <c r="H928" i="9"/>
  <c r="H929" i="9"/>
  <c r="G929" i="9"/>
  <c r="J929" i="9" s="1"/>
  <c r="G936" i="9"/>
  <c r="J936" i="9" s="1"/>
  <c r="H936" i="9"/>
  <c r="H937" i="9"/>
  <c r="G937" i="9"/>
  <c r="J937" i="9" s="1"/>
  <c r="G821" i="9"/>
  <c r="J821" i="9" s="1"/>
  <c r="G825" i="9"/>
  <c r="J825" i="9" s="1"/>
  <c r="G829" i="9"/>
  <c r="J829" i="9" s="1"/>
  <c r="G833" i="9"/>
  <c r="J833" i="9" s="1"/>
  <c r="G837" i="9"/>
  <c r="J837" i="9" s="1"/>
  <c r="H903" i="9"/>
  <c r="G903" i="9"/>
  <c r="J903" i="9" s="1"/>
  <c r="H911" i="9"/>
  <c r="G911" i="9"/>
  <c r="J911" i="9" s="1"/>
  <c r="H922" i="9"/>
  <c r="G922" i="9"/>
  <c r="J922" i="9" s="1"/>
  <c r="H941" i="9"/>
  <c r="G941" i="9"/>
  <c r="J941" i="9" s="1"/>
  <c r="H862" i="9"/>
  <c r="H866" i="9"/>
  <c r="H870" i="9"/>
  <c r="H874" i="9"/>
  <c r="H878" i="9"/>
  <c r="H882" i="9"/>
  <c r="H886" i="9"/>
  <c r="H890" i="9"/>
  <c r="H894" i="9"/>
  <c r="H898" i="9"/>
  <c r="H902" i="9"/>
  <c r="G906" i="9"/>
  <c r="J906" i="9" s="1"/>
  <c r="H910" i="9"/>
  <c r="G914" i="9"/>
  <c r="J914" i="9" s="1"/>
  <c r="G924" i="9"/>
  <c r="J924" i="9" s="1"/>
  <c r="H924" i="9"/>
  <c r="H925" i="9"/>
  <c r="G925" i="9"/>
  <c r="J925" i="9" s="1"/>
  <c r="G932" i="9"/>
  <c r="J932" i="9" s="1"/>
  <c r="H932" i="9"/>
  <c r="H933" i="9"/>
  <c r="G933" i="9"/>
  <c r="J933" i="9" s="1"/>
  <c r="H907" i="9"/>
  <c r="G907" i="9"/>
  <c r="J907" i="9" s="1"/>
  <c r="H915" i="9"/>
  <c r="G915" i="9"/>
  <c r="J915" i="9" s="1"/>
  <c r="H918" i="9"/>
  <c r="G918" i="9"/>
  <c r="J918" i="9" s="1"/>
  <c r="G917" i="9"/>
  <c r="J917" i="9" s="1"/>
  <c r="G921" i="9"/>
  <c r="J921" i="9" s="1"/>
  <c r="H940" i="9"/>
  <c r="H944" i="9"/>
  <c r="G944" i="9"/>
  <c r="J944" i="9" s="1"/>
  <c r="H948" i="9"/>
  <c r="G948" i="9"/>
  <c r="J948" i="9" s="1"/>
  <c r="H952" i="9"/>
  <c r="G952" i="9"/>
  <c r="J952" i="9" s="1"/>
  <c r="H956" i="9"/>
  <c r="G956" i="9"/>
  <c r="J956" i="9" s="1"/>
  <c r="H960" i="9"/>
  <c r="G960" i="9"/>
  <c r="J960" i="9" s="1"/>
  <c r="H964" i="9"/>
  <c r="G964" i="9"/>
  <c r="J964" i="9" s="1"/>
  <c r="H968" i="9"/>
  <c r="G968" i="9"/>
  <c r="J968" i="9" s="1"/>
  <c r="H972" i="9"/>
  <c r="G972" i="9"/>
  <c r="J972" i="9" s="1"/>
  <c r="H976" i="9"/>
  <c r="G976" i="9"/>
  <c r="J976" i="9" s="1"/>
  <c r="H980" i="9"/>
  <c r="G980" i="9"/>
  <c r="J980" i="9" s="1"/>
  <c r="H984" i="9"/>
  <c r="G984" i="9"/>
  <c r="J984" i="9" s="1"/>
  <c r="H988" i="9"/>
  <c r="G988" i="9"/>
  <c r="J988" i="9" s="1"/>
  <c r="H992" i="9"/>
  <c r="G992" i="9"/>
  <c r="J992" i="9" s="1"/>
  <c r="H996" i="9"/>
  <c r="G996" i="9"/>
  <c r="J996" i="9" s="1"/>
  <c r="H1000" i="9"/>
  <c r="G1000" i="9"/>
  <c r="J1000" i="9" s="1"/>
  <c r="G945" i="9"/>
  <c r="J945" i="9" s="1"/>
  <c r="G949" i="9"/>
  <c r="J949" i="9" s="1"/>
  <c r="G953" i="9"/>
  <c r="J953" i="9" s="1"/>
  <c r="G957" i="9"/>
  <c r="J957" i="9" s="1"/>
  <c r="G961" i="9"/>
  <c r="J961" i="9" s="1"/>
  <c r="G965" i="9"/>
  <c r="J965" i="9" s="1"/>
  <c r="G969" i="9"/>
  <c r="J969" i="9" s="1"/>
  <c r="G973" i="9"/>
  <c r="J973" i="9" s="1"/>
  <c r="G977" i="9"/>
  <c r="J977" i="9" s="1"/>
  <c r="G981" i="9"/>
  <c r="J981" i="9" s="1"/>
  <c r="G985" i="9"/>
  <c r="J985" i="9" s="1"/>
  <c r="G989" i="9"/>
  <c r="J989" i="9" s="1"/>
  <c r="G993" i="9"/>
  <c r="J993" i="9" s="1"/>
  <c r="G997" i="9"/>
  <c r="J997" i="9" s="1"/>
  <c r="G1001" i="9"/>
  <c r="J1001" i="9" s="1"/>
  <c r="G801" i="7"/>
  <c r="H801" i="7"/>
  <c r="G856" i="7"/>
  <c r="H856" i="7"/>
  <c r="G947" i="7"/>
  <c r="H947" i="7"/>
  <c r="G979" i="7"/>
  <c r="H979" i="7"/>
  <c r="G37" i="7"/>
  <c r="J37" i="7" s="1"/>
  <c r="G53" i="7"/>
  <c r="J53" i="7" s="1"/>
  <c r="G69" i="7"/>
  <c r="J69" i="7" s="1"/>
  <c r="G101" i="7"/>
  <c r="J101" i="7" s="1"/>
  <c r="G131" i="7"/>
  <c r="J131" i="7" s="1"/>
  <c r="G135" i="7"/>
  <c r="J135" i="7" s="1"/>
  <c r="G138" i="7"/>
  <c r="J138" i="7" s="1"/>
  <c r="G142" i="7"/>
  <c r="J142" i="7" s="1"/>
  <c r="G146" i="7"/>
  <c r="J146" i="7" s="1"/>
  <c r="G150" i="7"/>
  <c r="J150" i="7" s="1"/>
  <c r="G152" i="7"/>
  <c r="J152" i="7" s="1"/>
  <c r="G170" i="7"/>
  <c r="J170" i="7" s="1"/>
  <c r="G178" i="7"/>
  <c r="J178" i="7" s="1"/>
  <c r="G235" i="7"/>
  <c r="J235" i="7" s="1"/>
  <c r="G240" i="7"/>
  <c r="J240" i="7" s="1"/>
  <c r="G267" i="7"/>
  <c r="J267" i="7" s="1"/>
  <c r="G283" i="7"/>
  <c r="J283" i="7" s="1"/>
  <c r="G288" i="7"/>
  <c r="J288" i="7" s="1"/>
  <c r="H303" i="7"/>
  <c r="G304" i="7"/>
  <c r="J304" i="7" s="1"/>
  <c r="H319" i="7"/>
  <c r="G320" i="7"/>
  <c r="J320" i="7" s="1"/>
  <c r="G343" i="7"/>
  <c r="J343" i="7" s="1"/>
  <c r="G392" i="7"/>
  <c r="J392" i="7" s="1"/>
  <c r="G448" i="7"/>
  <c r="J448" i="7" s="1"/>
  <c r="H449" i="7"/>
  <c r="G461" i="7"/>
  <c r="J461" i="7" s="1"/>
  <c r="G497" i="7"/>
  <c r="J497" i="7" s="1"/>
  <c r="H719" i="7"/>
  <c r="G719" i="7"/>
  <c r="J719" i="7" s="1"/>
  <c r="G41" i="7"/>
  <c r="J41" i="7" s="1"/>
  <c r="G57" i="7"/>
  <c r="J57" i="7" s="1"/>
  <c r="G89" i="7"/>
  <c r="J89" i="7" s="1"/>
  <c r="H119" i="7"/>
  <c r="G380" i="7"/>
  <c r="J380" i="7" s="1"/>
  <c r="G123" i="7"/>
  <c r="J123" i="7" s="1"/>
  <c r="G191" i="7"/>
  <c r="J191" i="7" s="1"/>
  <c r="G203" i="7"/>
  <c r="J203" i="7" s="1"/>
  <c r="G584" i="7"/>
  <c r="J584" i="7" s="1"/>
  <c r="G252" i="7"/>
  <c r="J252" i="7" s="1"/>
  <c r="G300" i="7"/>
  <c r="J300" i="7" s="1"/>
  <c r="H315" i="7"/>
  <c r="G316" i="7"/>
  <c r="J316" i="7" s="1"/>
  <c r="H331" i="7"/>
  <c r="G332" i="7"/>
  <c r="J332" i="7" s="1"/>
  <c r="G339" i="7"/>
  <c r="J339" i="7" s="1"/>
  <c r="G376" i="7"/>
  <c r="J376" i="7" s="1"/>
  <c r="H389" i="7"/>
  <c r="H589" i="7"/>
  <c r="G589" i="7"/>
  <c r="H600" i="7"/>
  <c r="G600" i="7"/>
  <c r="J600" i="7" s="1"/>
  <c r="G136" i="7"/>
  <c r="J136" i="7" s="1"/>
  <c r="H588" i="7"/>
  <c r="G588" i="7"/>
  <c r="J588" i="7" s="1"/>
  <c r="G200" i="7"/>
  <c r="J200" i="7" s="1"/>
  <c r="G207" i="7"/>
  <c r="G244" i="7"/>
  <c r="J244" i="7" s="1"/>
  <c r="G264" i="7"/>
  <c r="G271" i="7"/>
  <c r="J271" i="7" s="1"/>
  <c r="G276" i="7"/>
  <c r="J276" i="7" s="1"/>
  <c r="G344" i="7"/>
  <c r="J344" i="7" s="1"/>
  <c r="G347" i="7"/>
  <c r="J347" i="7" s="1"/>
  <c r="G353" i="7"/>
  <c r="J353" i="7" s="1"/>
  <c r="G359" i="7"/>
  <c r="J359" i="7" s="1"/>
  <c r="G363" i="7"/>
  <c r="J363" i="7" s="1"/>
  <c r="G369" i="7"/>
  <c r="J369" i="7" s="1"/>
  <c r="G375" i="7"/>
  <c r="J375" i="7" s="1"/>
  <c r="G379" i="7"/>
  <c r="J379" i="7" s="1"/>
  <c r="G385" i="7"/>
  <c r="J385" i="7" s="1"/>
  <c r="G391" i="7"/>
  <c r="J391" i="7" s="1"/>
  <c r="G395" i="7"/>
  <c r="J395" i="7" s="1"/>
  <c r="G445" i="7"/>
  <c r="J445" i="7" s="1"/>
  <c r="G453" i="7"/>
  <c r="J453" i="7" s="1"/>
  <c r="G501" i="7"/>
  <c r="J501" i="7" s="1"/>
  <c r="G502" i="7"/>
  <c r="G506" i="7"/>
  <c r="G533" i="7"/>
  <c r="J533" i="7" s="1"/>
  <c r="G534" i="7"/>
  <c r="G538" i="7"/>
  <c r="G553" i="7"/>
  <c r="J553" i="7" s="1"/>
  <c r="G565" i="7"/>
  <c r="J565" i="7" s="1"/>
  <c r="G593" i="7"/>
  <c r="J593" i="7" s="1"/>
  <c r="G620" i="7"/>
  <c r="J620" i="7" s="1"/>
  <c r="G716" i="7"/>
  <c r="J716" i="7" s="1"/>
  <c r="G626" i="7"/>
  <c r="J626" i="7" s="1"/>
  <c r="H684" i="7"/>
  <c r="G684" i="7"/>
  <c r="J684" i="7" s="1"/>
  <c r="H769" i="7"/>
  <c r="G769" i="7"/>
  <c r="J769" i="7" s="1"/>
  <c r="H780" i="7"/>
  <c r="G780" i="7"/>
  <c r="J780" i="7" s="1"/>
  <c r="H800" i="7"/>
  <c r="G800" i="7"/>
  <c r="J800" i="7" s="1"/>
  <c r="G839" i="7"/>
  <c r="H839" i="7"/>
  <c r="G672" i="7"/>
  <c r="H672" i="7"/>
  <c r="H776" i="7"/>
  <c r="G776" i="7"/>
  <c r="J776" i="7" s="1"/>
  <c r="H860" i="7"/>
  <c r="G860" i="7"/>
  <c r="J860" i="7" s="1"/>
  <c r="G931" i="7"/>
  <c r="H931" i="7"/>
  <c r="G963" i="7"/>
  <c r="H963" i="7"/>
  <c r="H200" i="7"/>
  <c r="H207" i="7"/>
  <c r="H264" i="7"/>
  <c r="G450" i="7"/>
  <c r="J450" i="7" s="1"/>
  <c r="G482" i="7"/>
  <c r="G490" i="7"/>
  <c r="G514" i="7"/>
  <c r="G522" i="7"/>
  <c r="G545" i="7"/>
  <c r="J545" i="7" s="1"/>
  <c r="G549" i="7"/>
  <c r="J549" i="7" s="1"/>
  <c r="G550" i="7"/>
  <c r="G569" i="7"/>
  <c r="J569" i="7" s="1"/>
  <c r="G239" i="7"/>
  <c r="J239" i="7" s="1"/>
  <c r="G632" i="7"/>
  <c r="J632" i="7" s="1"/>
  <c r="G641" i="7"/>
  <c r="G645" i="7"/>
  <c r="J645" i="7" s="1"/>
  <c r="G688" i="7"/>
  <c r="G696" i="7"/>
  <c r="J696" i="7" s="1"/>
  <c r="G741" i="7"/>
  <c r="J741" i="7" s="1"/>
  <c r="G749" i="7"/>
  <c r="J749" i="7" s="1"/>
  <c r="G753" i="7"/>
  <c r="J753" i="7" s="1"/>
  <c r="G760" i="7"/>
  <c r="J760" i="7" s="1"/>
  <c r="G764" i="7"/>
  <c r="J764" i="7" s="1"/>
  <c r="G803" i="7"/>
  <c r="G805" i="7"/>
  <c r="J805" i="7" s="1"/>
  <c r="G847" i="7"/>
  <c r="J847" i="7" s="1"/>
  <c r="G850" i="7"/>
  <c r="J850" i="7" s="1"/>
  <c r="G864" i="7"/>
  <c r="J864" i="7" s="1"/>
  <c r="G881" i="7"/>
  <c r="G897" i="7"/>
  <c r="G908" i="7"/>
  <c r="G913" i="7"/>
  <c r="J913" i="7" s="1"/>
  <c r="G927" i="7"/>
  <c r="J927" i="7" s="1"/>
  <c r="G943" i="7"/>
  <c r="J943" i="7" s="1"/>
  <c r="G954" i="7"/>
  <c r="J954" i="7" s="1"/>
  <c r="G959" i="7"/>
  <c r="J959" i="7" s="1"/>
  <c r="G970" i="7"/>
  <c r="J970" i="7" s="1"/>
  <c r="G975" i="7"/>
  <c r="J975" i="7" s="1"/>
  <c r="G640" i="7"/>
  <c r="J640" i="7" s="1"/>
  <c r="H641" i="7"/>
  <c r="G722" i="7"/>
  <c r="J722" i="7" s="1"/>
  <c r="G652" i="7"/>
  <c r="J652" i="7" s="1"/>
  <c r="G653" i="7"/>
  <c r="J653" i="7" s="1"/>
  <c r="G829" i="7"/>
  <c r="J829" i="7" s="1"/>
  <c r="G664" i="7"/>
  <c r="J664" i="7" s="1"/>
  <c r="H688" i="7"/>
  <c r="G720" i="7"/>
  <c r="J720" i="7" s="1"/>
  <c r="G728" i="7"/>
  <c r="J728" i="7" s="1"/>
  <c r="G773" i="7"/>
  <c r="J773" i="7" s="1"/>
  <c r="G781" i="7"/>
  <c r="J781" i="7" s="1"/>
  <c r="G797" i="7"/>
  <c r="J797" i="7" s="1"/>
  <c r="G823" i="7"/>
  <c r="G830" i="7"/>
  <c r="J830" i="7" s="1"/>
  <c r="G831" i="7"/>
  <c r="G838" i="7"/>
  <c r="J838" i="7" s="1"/>
  <c r="G869" i="7"/>
  <c r="G877" i="7"/>
  <c r="G893" i="7"/>
  <c r="G901" i="7"/>
  <c r="H908" i="7"/>
  <c r="G917" i="7"/>
  <c r="J917" i="7" s="1"/>
  <c r="G930" i="7"/>
  <c r="J930" i="7" s="1"/>
  <c r="G946" i="7"/>
  <c r="J946" i="7" s="1"/>
  <c r="G951" i="7"/>
  <c r="J951" i="7" s="1"/>
  <c r="G962" i="7"/>
  <c r="J962" i="7" s="1"/>
  <c r="G967" i="7"/>
  <c r="J967" i="7" s="1"/>
  <c r="G978" i="7"/>
  <c r="J978" i="7" s="1"/>
  <c r="H54" i="7"/>
  <c r="G54" i="7"/>
  <c r="H77" i="7"/>
  <c r="G77" i="7"/>
  <c r="H143" i="7"/>
  <c r="G143" i="7"/>
  <c r="H92" i="7"/>
  <c r="G92" i="7"/>
  <c r="H299" i="7"/>
  <c r="G299" i="7"/>
  <c r="H692" i="7"/>
  <c r="G692" i="7"/>
  <c r="H866" i="7"/>
  <c r="G866" i="7"/>
  <c r="H10" i="7"/>
  <c r="G10" i="7"/>
  <c r="H18" i="7"/>
  <c r="G18" i="7"/>
  <c r="J18" i="7" s="1"/>
  <c r="H26" i="7"/>
  <c r="G26" i="7"/>
  <c r="H42" i="7"/>
  <c r="G42" i="7"/>
  <c r="H58" i="7"/>
  <c r="G58" i="7"/>
  <c r="G81" i="7"/>
  <c r="J81" i="7" s="1"/>
  <c r="G113" i="7"/>
  <c r="J113" i="7" s="1"/>
  <c r="H118" i="7"/>
  <c r="G118" i="7"/>
  <c r="H124" i="7"/>
  <c r="G124" i="7"/>
  <c r="H147" i="7"/>
  <c r="G147" i="7"/>
  <c r="H156" i="7"/>
  <c r="G156" i="7"/>
  <c r="H160" i="7"/>
  <c r="G160" i="7"/>
  <c r="H164" i="7"/>
  <c r="G164" i="7"/>
  <c r="H175" i="7"/>
  <c r="G175" i="7"/>
  <c r="G228" i="7"/>
  <c r="J228" i="7" s="1"/>
  <c r="H243" i="7"/>
  <c r="G243" i="7"/>
  <c r="J243" i="7" s="1"/>
  <c r="G248" i="7"/>
  <c r="J248" i="7" s="1"/>
  <c r="G255" i="7"/>
  <c r="J255" i="7" s="1"/>
  <c r="G292" i="7"/>
  <c r="J292" i="7" s="1"/>
  <c r="H177" i="7"/>
  <c r="G177" i="7"/>
  <c r="H38" i="7"/>
  <c r="G38" i="7"/>
  <c r="H259" i="7"/>
  <c r="G259" i="7"/>
  <c r="H929" i="7"/>
  <c r="G929" i="7"/>
  <c r="H945" i="7"/>
  <c r="G945" i="7"/>
  <c r="H977" i="7"/>
  <c r="G977" i="7"/>
  <c r="H30" i="7"/>
  <c r="G30" i="7"/>
  <c r="H46" i="7"/>
  <c r="G46" i="7"/>
  <c r="H62" i="7"/>
  <c r="G62" i="7"/>
  <c r="H93" i="7"/>
  <c r="G93" i="7"/>
  <c r="H151" i="7"/>
  <c r="G151" i="7"/>
  <c r="H179" i="7"/>
  <c r="G179" i="7"/>
  <c r="H188" i="7"/>
  <c r="G188" i="7"/>
  <c r="H192" i="7"/>
  <c r="G192" i="7"/>
  <c r="G212" i="7"/>
  <c r="J212" i="7" s="1"/>
  <c r="H227" i="7"/>
  <c r="G227" i="7"/>
  <c r="J227" i="7" s="1"/>
  <c r="G232" i="7"/>
  <c r="J232" i="7" s="1"/>
  <c r="G431" i="7"/>
  <c r="J431" i="7" s="1"/>
  <c r="G523" i="7"/>
  <c r="J523" i="7" s="1"/>
  <c r="H291" i="7"/>
  <c r="G291" i="7"/>
  <c r="G301" i="7"/>
  <c r="J301" i="7" s="1"/>
  <c r="H301" i="7"/>
  <c r="G305" i="7"/>
  <c r="H305" i="7"/>
  <c r="G309" i="7"/>
  <c r="J309" i="7" s="1"/>
  <c r="H309" i="7"/>
  <c r="G313" i="7"/>
  <c r="H313" i="7"/>
  <c r="G317" i="7"/>
  <c r="J317" i="7" s="1"/>
  <c r="H317" i="7"/>
  <c r="G321" i="7"/>
  <c r="H321" i="7"/>
  <c r="G325" i="7"/>
  <c r="J325" i="7" s="1"/>
  <c r="H325" i="7"/>
  <c r="G329" i="7"/>
  <c r="H329" i="7"/>
  <c r="H348" i="7"/>
  <c r="G348" i="7"/>
  <c r="H364" i="7"/>
  <c r="G364" i="7"/>
  <c r="H377" i="7"/>
  <c r="G377" i="7"/>
  <c r="H396" i="7"/>
  <c r="G396" i="7"/>
  <c r="H109" i="7"/>
  <c r="G109" i="7"/>
  <c r="H132" i="7"/>
  <c r="G132" i="7"/>
  <c r="H195" i="7"/>
  <c r="G195" i="7"/>
  <c r="H2" i="7"/>
  <c r="G2" i="7"/>
  <c r="J2" i="7" s="1"/>
  <c r="H6" i="7"/>
  <c r="G6" i="7"/>
  <c r="H14" i="7"/>
  <c r="G14" i="7"/>
  <c r="J14" i="7" s="1"/>
  <c r="H22" i="7"/>
  <c r="G22" i="7"/>
  <c r="H34" i="7"/>
  <c r="G34" i="7"/>
  <c r="H50" i="7"/>
  <c r="G50" i="7"/>
  <c r="H66" i="7"/>
  <c r="G66" i="7"/>
  <c r="G97" i="7"/>
  <c r="J97" i="7" s="1"/>
  <c r="G127" i="7"/>
  <c r="J127" i="7" s="1"/>
  <c r="H155" i="7"/>
  <c r="G155" i="7"/>
  <c r="H183" i="7"/>
  <c r="G183" i="7"/>
  <c r="G196" i="7"/>
  <c r="J196" i="7" s="1"/>
  <c r="H211" i="7"/>
  <c r="G211" i="7"/>
  <c r="J211" i="7" s="1"/>
  <c r="G216" i="7"/>
  <c r="J216" i="7" s="1"/>
  <c r="G223" i="7"/>
  <c r="J223" i="7" s="1"/>
  <c r="G260" i="7"/>
  <c r="J260" i="7" s="1"/>
  <c r="H275" i="7"/>
  <c r="G275" i="7"/>
  <c r="G280" i="7"/>
  <c r="J280" i="7" s="1"/>
  <c r="G287" i="7"/>
  <c r="J287" i="7" s="1"/>
  <c r="H340" i="7"/>
  <c r="G340" i="7"/>
  <c r="G345" i="7"/>
  <c r="H345" i="7"/>
  <c r="G361" i="7"/>
  <c r="J361" i="7" s="1"/>
  <c r="H361" i="7"/>
  <c r="G120" i="7"/>
  <c r="H120" i="7"/>
  <c r="G393" i="7"/>
  <c r="J393" i="7" s="1"/>
  <c r="H393" i="7"/>
  <c r="G121" i="7"/>
  <c r="G306" i="7"/>
  <c r="G310" i="7"/>
  <c r="G314" i="7"/>
  <c r="G318" i="7"/>
  <c r="G322" i="7"/>
  <c r="G326" i="7"/>
  <c r="G330" i="7"/>
  <c r="G341" i="7"/>
  <c r="H457" i="7"/>
  <c r="G457" i="7"/>
  <c r="J457" i="7" s="1"/>
  <c r="G485" i="7"/>
  <c r="H485" i="7"/>
  <c r="G517" i="7"/>
  <c r="H517" i="7"/>
  <c r="H557" i="7"/>
  <c r="G557" i="7"/>
  <c r="J557" i="7" s="1"/>
  <c r="H637" i="7"/>
  <c r="G637" i="7"/>
  <c r="J637" i="7" s="1"/>
  <c r="G642" i="7"/>
  <c r="H642" i="7"/>
  <c r="H772" i="7"/>
  <c r="G772" i="7"/>
  <c r="J772" i="7" s="1"/>
  <c r="G3" i="7"/>
  <c r="J3" i="7" s="1"/>
  <c r="G7" i="7"/>
  <c r="J7" i="7" s="1"/>
  <c r="G11" i="7"/>
  <c r="J11" i="7" s="1"/>
  <c r="G15" i="7"/>
  <c r="J15" i="7" s="1"/>
  <c r="G19" i="7"/>
  <c r="J19" i="7" s="1"/>
  <c r="G23" i="7"/>
  <c r="J23" i="7" s="1"/>
  <c r="G27" i="7"/>
  <c r="J27" i="7" s="1"/>
  <c r="G31" i="7"/>
  <c r="J31" i="7" s="1"/>
  <c r="G35" i="7"/>
  <c r="J35" i="7" s="1"/>
  <c r="G39" i="7"/>
  <c r="J39" i="7" s="1"/>
  <c r="G43" i="7"/>
  <c r="J43" i="7" s="1"/>
  <c r="G47" i="7"/>
  <c r="J47" i="7" s="1"/>
  <c r="G51" i="7"/>
  <c r="J51" i="7" s="1"/>
  <c r="G55" i="7"/>
  <c r="J55" i="7" s="1"/>
  <c r="G59" i="7"/>
  <c r="J59" i="7" s="1"/>
  <c r="G63" i="7"/>
  <c r="J63" i="7" s="1"/>
  <c r="G67" i="7"/>
  <c r="J67" i="7" s="1"/>
  <c r="G125" i="7"/>
  <c r="G128" i="7"/>
  <c r="J128" i="7" s="1"/>
  <c r="G337" i="7"/>
  <c r="J337" i="7" s="1"/>
  <c r="G401" i="7"/>
  <c r="H401" i="7"/>
  <c r="G405" i="7"/>
  <c r="H405" i="7"/>
  <c r="G409" i="7"/>
  <c r="H409" i="7"/>
  <c r="G413" i="7"/>
  <c r="H413" i="7"/>
  <c r="G417" i="7"/>
  <c r="H417" i="7"/>
  <c r="G421" i="7"/>
  <c r="H421" i="7"/>
  <c r="G425" i="7"/>
  <c r="H425" i="7"/>
  <c r="G429" i="7"/>
  <c r="H429" i="7"/>
  <c r="G433" i="7"/>
  <c r="H433" i="7"/>
  <c r="G437" i="7"/>
  <c r="H437" i="7"/>
  <c r="G441" i="7"/>
  <c r="H441" i="7"/>
  <c r="H465" i="7"/>
  <c r="G465" i="7"/>
  <c r="J465" i="7" s="1"/>
  <c r="G117" i="7"/>
  <c r="J117" i="7" s="1"/>
  <c r="G122" i="7"/>
  <c r="J122" i="7" s="1"/>
  <c r="G129" i="7"/>
  <c r="J129" i="7" s="1"/>
  <c r="G134" i="7"/>
  <c r="J134" i="7" s="1"/>
  <c r="G154" i="7"/>
  <c r="J154" i="7" s="1"/>
  <c r="G158" i="7"/>
  <c r="J158" i="7" s="1"/>
  <c r="G162" i="7"/>
  <c r="J162" i="7" s="1"/>
  <c r="G166" i="7"/>
  <c r="J166" i="7" s="1"/>
  <c r="G186" i="7"/>
  <c r="J186" i="7" s="1"/>
  <c r="G190" i="7"/>
  <c r="J190" i="7" s="1"/>
  <c r="G333" i="7"/>
  <c r="J333" i="7" s="1"/>
  <c r="G336" i="7"/>
  <c r="J336" i="7" s="1"/>
  <c r="H341" i="7"/>
  <c r="H349" i="7"/>
  <c r="G352" i="7"/>
  <c r="J352" i="7" s="1"/>
  <c r="H365" i="7"/>
  <c r="G368" i="7"/>
  <c r="J368" i="7" s="1"/>
  <c r="H381" i="7"/>
  <c r="G384" i="7"/>
  <c r="J384" i="7" s="1"/>
  <c r="H397" i="7"/>
  <c r="H473" i="7"/>
  <c r="G473" i="7"/>
  <c r="J473" i="7" s="1"/>
  <c r="H561" i="7"/>
  <c r="G561" i="7"/>
  <c r="J561" i="7" s="1"/>
  <c r="H740" i="7"/>
  <c r="G740" i="7"/>
  <c r="J740" i="7" s="1"/>
  <c r="G334" i="7"/>
  <c r="G338" i="7"/>
  <c r="G342" i="7"/>
  <c r="G346" i="7"/>
  <c r="G350" i="7"/>
  <c r="G354" i="7"/>
  <c r="G358" i="7"/>
  <c r="G362" i="7"/>
  <c r="G366" i="7"/>
  <c r="G370" i="7"/>
  <c r="G374" i="7"/>
  <c r="G378" i="7"/>
  <c r="G382" i="7"/>
  <c r="G386" i="7"/>
  <c r="G390" i="7"/>
  <c r="G394" i="7"/>
  <c r="G398" i="7"/>
  <c r="G402" i="7"/>
  <c r="G406" i="7"/>
  <c r="G410" i="7"/>
  <c r="G414" i="7"/>
  <c r="G418" i="7"/>
  <c r="G422" i="7"/>
  <c r="G426" i="7"/>
  <c r="G430" i="7"/>
  <c r="G434" i="7"/>
  <c r="G438" i="7"/>
  <c r="G442" i="7"/>
  <c r="G458" i="7"/>
  <c r="G466" i="7"/>
  <c r="G474" i="7"/>
  <c r="G493" i="7"/>
  <c r="J493" i="7" s="1"/>
  <c r="G494" i="7"/>
  <c r="G525" i="7"/>
  <c r="J525" i="7" s="1"/>
  <c r="G526" i="7"/>
  <c r="G296" i="7"/>
  <c r="J296" i="7" s="1"/>
  <c r="H605" i="7"/>
  <c r="G605" i="7"/>
  <c r="J605" i="7" s="1"/>
  <c r="G610" i="7"/>
  <c r="H610" i="7"/>
  <c r="H624" i="7"/>
  <c r="G624" i="7"/>
  <c r="J624" i="7" s="1"/>
  <c r="H636" i="7"/>
  <c r="G636" i="7"/>
  <c r="J636" i="7" s="1"/>
  <c r="H649" i="7"/>
  <c r="G649" i="7"/>
  <c r="J649" i="7" s="1"/>
  <c r="H708" i="7"/>
  <c r="G708" i="7"/>
  <c r="J708" i="7" s="1"/>
  <c r="H729" i="7"/>
  <c r="G729" i="7"/>
  <c r="J729" i="7" s="1"/>
  <c r="H752" i="7"/>
  <c r="G752" i="7"/>
  <c r="J752" i="7" s="1"/>
  <c r="H761" i="7"/>
  <c r="G761" i="7"/>
  <c r="J761" i="7" s="1"/>
  <c r="H784" i="7"/>
  <c r="G784" i="7"/>
  <c r="J784" i="7" s="1"/>
  <c r="H818" i="7"/>
  <c r="G818" i="7"/>
  <c r="J818" i="7" s="1"/>
  <c r="G843" i="7"/>
  <c r="H843" i="7"/>
  <c r="H592" i="7"/>
  <c r="G592" i="7"/>
  <c r="J592" i="7" s="1"/>
  <c r="H604" i="7"/>
  <c r="G604" i="7"/>
  <c r="J604" i="7" s="1"/>
  <c r="H617" i="7"/>
  <c r="G617" i="7"/>
  <c r="J617" i="7" s="1"/>
  <c r="H629" i="7"/>
  <c r="G629" i="7"/>
  <c r="J629" i="7" s="1"/>
  <c r="H648" i="7"/>
  <c r="G648" i="7"/>
  <c r="J648" i="7" s="1"/>
  <c r="H660" i="7"/>
  <c r="G660" i="7"/>
  <c r="J660" i="7" s="1"/>
  <c r="H724" i="7"/>
  <c r="G724" i="7"/>
  <c r="J724" i="7" s="1"/>
  <c r="H756" i="7"/>
  <c r="G756" i="7"/>
  <c r="J756" i="7" s="1"/>
  <c r="H788" i="7"/>
  <c r="G788" i="7"/>
  <c r="J788" i="7" s="1"/>
  <c r="H950" i="7"/>
  <c r="G950" i="7"/>
  <c r="J950" i="7" s="1"/>
  <c r="H842" i="7"/>
  <c r="G842" i="7"/>
  <c r="J842" i="7" s="1"/>
  <c r="G447" i="7"/>
  <c r="G451" i="7"/>
  <c r="G454" i="7"/>
  <c r="G462" i="7"/>
  <c r="G470" i="7"/>
  <c r="G478" i="7"/>
  <c r="G509" i="7"/>
  <c r="J509" i="7" s="1"/>
  <c r="G510" i="7"/>
  <c r="H583" i="7"/>
  <c r="G583" i="7"/>
  <c r="J583" i="7" s="1"/>
  <c r="H616" i="7"/>
  <c r="G616" i="7"/>
  <c r="J616" i="7" s="1"/>
  <c r="H676" i="7"/>
  <c r="G676" i="7"/>
  <c r="J676" i="7" s="1"/>
  <c r="H736" i="7"/>
  <c r="G736" i="7"/>
  <c r="J736" i="7" s="1"/>
  <c r="H745" i="7"/>
  <c r="G745" i="7"/>
  <c r="J745" i="7" s="1"/>
  <c r="H768" i="7"/>
  <c r="G768" i="7"/>
  <c r="J768" i="7" s="1"/>
  <c r="H777" i="7"/>
  <c r="G777" i="7"/>
  <c r="J777" i="7" s="1"/>
  <c r="G568" i="7"/>
  <c r="J568" i="7" s="1"/>
  <c r="G596" i="7"/>
  <c r="J596" i="7" s="1"/>
  <c r="G628" i="7"/>
  <c r="J628" i="7" s="1"/>
  <c r="G798" i="7"/>
  <c r="J798" i="7" s="1"/>
  <c r="G802" i="7"/>
  <c r="J802" i="7" s="1"/>
  <c r="G806" i="7"/>
  <c r="J806" i="7" s="1"/>
  <c r="G819" i="7"/>
  <c r="G988" i="7"/>
  <c r="G840" i="7"/>
  <c r="H916" i="7"/>
  <c r="G916" i="7"/>
  <c r="H925" i="7"/>
  <c r="G925" i="7"/>
  <c r="H835" i="7"/>
  <c r="G835" i="7"/>
  <c r="H957" i="7"/>
  <c r="G957" i="7"/>
  <c r="H973" i="7"/>
  <c r="G973" i="7"/>
  <c r="H985" i="7"/>
  <c r="G985" i="7"/>
  <c r="H993" i="7"/>
  <c r="G993" i="7"/>
  <c r="H1001" i="7"/>
  <c r="G1001" i="7"/>
  <c r="J1001" i="7" s="1"/>
  <c r="H953" i="7"/>
  <c r="G953" i="7"/>
  <c r="H969" i="7"/>
  <c r="G969" i="7"/>
  <c r="G566" i="7"/>
  <c r="G573" i="7"/>
  <c r="J573" i="7" s="1"/>
  <c r="G558" i="7"/>
  <c r="J558" i="7" s="1"/>
  <c r="G581" i="7"/>
  <c r="J581" i="7" s="1"/>
  <c r="G590" i="7"/>
  <c r="J590" i="7" s="1"/>
  <c r="G811" i="7"/>
  <c r="G827" i="7"/>
  <c r="H912" i="7"/>
  <c r="G912" i="7"/>
  <c r="J912" i="7" s="1"/>
  <c r="H933" i="7"/>
  <c r="G933" i="7"/>
  <c r="J933" i="7" s="1"/>
  <c r="H949" i="7"/>
  <c r="G949" i="7"/>
  <c r="J949" i="7" s="1"/>
  <c r="H965" i="7"/>
  <c r="G965" i="7"/>
  <c r="J965" i="7" s="1"/>
  <c r="H981" i="7"/>
  <c r="G981" i="7"/>
  <c r="J981" i="7" s="1"/>
  <c r="H989" i="7"/>
  <c r="G989" i="7"/>
  <c r="J989" i="7" s="1"/>
  <c r="H997" i="7"/>
  <c r="G997" i="7"/>
  <c r="J997" i="7" s="1"/>
  <c r="G848" i="7"/>
  <c r="G868" i="7"/>
  <c r="J868" i="7" s="1"/>
  <c r="G872" i="7"/>
  <c r="J872" i="7" s="1"/>
  <c r="G876" i="7"/>
  <c r="J876" i="7" s="1"/>
  <c r="G880" i="7"/>
  <c r="J880" i="7" s="1"/>
  <c r="G884" i="7"/>
  <c r="J884" i="7" s="1"/>
  <c r="G888" i="7"/>
  <c r="J888" i="7" s="1"/>
  <c r="G892" i="7"/>
  <c r="J892" i="7" s="1"/>
  <c r="G896" i="7"/>
  <c r="J896" i="7" s="1"/>
  <c r="G900" i="7"/>
  <c r="J900" i="7" s="1"/>
  <c r="G904" i="7"/>
  <c r="J904" i="7" s="1"/>
  <c r="G910" i="7"/>
  <c r="G919" i="7"/>
  <c r="J919" i="7" s="1"/>
  <c r="G935" i="7"/>
  <c r="J935" i="7" s="1"/>
  <c r="G972" i="7"/>
  <c r="G976" i="7"/>
  <c r="G932" i="7"/>
  <c r="G983" i="7"/>
  <c r="J983" i="7" s="1"/>
  <c r="G984" i="7"/>
  <c r="G987" i="7"/>
  <c r="J987" i="7" s="1"/>
  <c r="G941" i="7"/>
  <c r="G991" i="7"/>
  <c r="J991" i="7" s="1"/>
  <c r="G992" i="7"/>
  <c r="G995" i="7"/>
  <c r="J995" i="7" s="1"/>
  <c r="G996" i="7"/>
  <c r="G999" i="7"/>
  <c r="J999" i="7" s="1"/>
  <c r="G1000" i="7"/>
  <c r="G909" i="7"/>
  <c r="J909" i="7" s="1"/>
  <c r="G923" i="7"/>
  <c r="J923" i="7" s="1"/>
  <c r="G939" i="7"/>
  <c r="J939" i="7" s="1"/>
  <c r="G145" i="7"/>
  <c r="H145" i="7"/>
  <c r="G161" i="7"/>
  <c r="H161" i="7"/>
  <c r="G356" i="7"/>
  <c r="H356" i="7"/>
  <c r="G193" i="7"/>
  <c r="H193" i="7"/>
  <c r="I177" i="7"/>
  <c r="G302" i="7"/>
  <c r="J302" i="7" s="1"/>
  <c r="H302" i="7"/>
  <c r="G4" i="7"/>
  <c r="J4" i="7" s="1"/>
  <c r="G8" i="7"/>
  <c r="J8" i="7" s="1"/>
  <c r="G12" i="7"/>
  <c r="J12" i="7" s="1"/>
  <c r="G16" i="7"/>
  <c r="J16" i="7" s="1"/>
  <c r="G20" i="7"/>
  <c r="J20" i="7" s="1"/>
  <c r="G567" i="7"/>
  <c r="J567" i="7" s="1"/>
  <c r="G28" i="7"/>
  <c r="J28" i="7" s="1"/>
  <c r="G32" i="7"/>
  <c r="J32" i="7" s="1"/>
  <c r="G36" i="7"/>
  <c r="J36" i="7" s="1"/>
  <c r="G40" i="7"/>
  <c r="J40" i="7" s="1"/>
  <c r="G44" i="7"/>
  <c r="J44" i="7" s="1"/>
  <c r="G48" i="7"/>
  <c r="J48" i="7" s="1"/>
  <c r="G52" i="7"/>
  <c r="J52" i="7" s="1"/>
  <c r="G56" i="7"/>
  <c r="J56" i="7" s="1"/>
  <c r="G60" i="7"/>
  <c r="J60" i="7" s="1"/>
  <c r="G64" i="7"/>
  <c r="J64" i="7" s="1"/>
  <c r="G68" i="7"/>
  <c r="J68" i="7" s="1"/>
  <c r="G70" i="7"/>
  <c r="J70" i="7" s="1"/>
  <c r="G71" i="7"/>
  <c r="J71" i="7" s="1"/>
  <c r="G72" i="7"/>
  <c r="J72" i="7" s="1"/>
  <c r="G74" i="7"/>
  <c r="J74" i="7" s="1"/>
  <c r="G75" i="7"/>
  <c r="J75" i="7" s="1"/>
  <c r="G76" i="7"/>
  <c r="J76" i="7" s="1"/>
  <c r="G78" i="7"/>
  <c r="J78" i="7" s="1"/>
  <c r="G79" i="7"/>
  <c r="J79" i="7" s="1"/>
  <c r="G80" i="7"/>
  <c r="J80" i="7" s="1"/>
  <c r="G82" i="7"/>
  <c r="J82" i="7" s="1"/>
  <c r="G83" i="7"/>
  <c r="J83" i="7" s="1"/>
  <c r="G84" i="7"/>
  <c r="J84" i="7" s="1"/>
  <c r="G86" i="7"/>
  <c r="J86" i="7" s="1"/>
  <c r="G87" i="7"/>
  <c r="J87" i="7" s="1"/>
  <c r="G88" i="7"/>
  <c r="J88" i="7" s="1"/>
  <c r="G90" i="7"/>
  <c r="J90" i="7" s="1"/>
  <c r="G91" i="7"/>
  <c r="J91" i="7" s="1"/>
  <c r="G168" i="7"/>
  <c r="J168" i="7" s="1"/>
  <c r="G94" i="7"/>
  <c r="J94" i="7" s="1"/>
  <c r="G95" i="7"/>
  <c r="J95" i="7" s="1"/>
  <c r="G96" i="7"/>
  <c r="J96" i="7" s="1"/>
  <c r="G171" i="7"/>
  <c r="J171" i="7" s="1"/>
  <c r="G99" i="7"/>
  <c r="J99" i="7" s="1"/>
  <c r="G100" i="7"/>
  <c r="J100" i="7" s="1"/>
  <c r="G102" i="7"/>
  <c r="J102" i="7" s="1"/>
  <c r="G98" i="7"/>
  <c r="J98" i="7" s="1"/>
  <c r="G104" i="7"/>
  <c r="J104" i="7" s="1"/>
  <c r="G106" i="7"/>
  <c r="J106" i="7" s="1"/>
  <c r="G107" i="7"/>
  <c r="J107" i="7" s="1"/>
  <c r="G108" i="7"/>
  <c r="J108" i="7" s="1"/>
  <c r="G110" i="7"/>
  <c r="J110" i="7" s="1"/>
  <c r="G111" i="7"/>
  <c r="J111" i="7" s="1"/>
  <c r="G112" i="7"/>
  <c r="J112" i="7" s="1"/>
  <c r="G114" i="7"/>
  <c r="J114" i="7" s="1"/>
  <c r="G116" i="7"/>
  <c r="J116" i="7" s="1"/>
  <c r="H125" i="7"/>
  <c r="G130" i="7"/>
  <c r="J130" i="7" s="1"/>
  <c r="G133" i="7"/>
  <c r="J133" i="7" s="1"/>
  <c r="H133" i="7"/>
  <c r="G149" i="7"/>
  <c r="H149" i="7"/>
  <c r="G165" i="7"/>
  <c r="J165" i="7" s="1"/>
  <c r="H165" i="7"/>
  <c r="G181" i="7"/>
  <c r="H181" i="7"/>
  <c r="I5" i="7"/>
  <c r="I9" i="7"/>
  <c r="I13" i="7"/>
  <c r="I17" i="7"/>
  <c r="I21" i="7"/>
  <c r="I25" i="7"/>
  <c r="I29" i="7"/>
  <c r="I33" i="7"/>
  <c r="I37" i="7"/>
  <c r="I41" i="7"/>
  <c r="I45" i="7"/>
  <c r="I49" i="7"/>
  <c r="I53" i="7"/>
  <c r="I57" i="7"/>
  <c r="I61" i="7"/>
  <c r="I65" i="7"/>
  <c r="H121" i="7"/>
  <c r="G546" i="7"/>
  <c r="J546" i="7" s="1"/>
  <c r="G137" i="7"/>
  <c r="H137" i="7"/>
  <c r="G153" i="7"/>
  <c r="J153" i="7" s="1"/>
  <c r="H153" i="7"/>
  <c r="G169" i="7"/>
  <c r="H169" i="7"/>
  <c r="G185" i="7"/>
  <c r="J185" i="7" s="1"/>
  <c r="H185" i="7"/>
  <c r="G141" i="7"/>
  <c r="H141" i="7"/>
  <c r="G157" i="7"/>
  <c r="J157" i="7" s="1"/>
  <c r="H157" i="7"/>
  <c r="G173" i="7"/>
  <c r="H173" i="7"/>
  <c r="G189" i="7"/>
  <c r="J189" i="7" s="1"/>
  <c r="H189" i="7"/>
  <c r="G194" i="7"/>
  <c r="H194" i="7"/>
  <c r="G201" i="7"/>
  <c r="J201" i="7" s="1"/>
  <c r="H201" i="7"/>
  <c r="G202" i="7"/>
  <c r="H202" i="7"/>
  <c r="G209" i="7"/>
  <c r="J209" i="7" s="1"/>
  <c r="H209" i="7"/>
  <c r="G210" i="7"/>
  <c r="H210" i="7"/>
  <c r="G217" i="7"/>
  <c r="J217" i="7" s="1"/>
  <c r="H217" i="7"/>
  <c r="G218" i="7"/>
  <c r="H218" i="7"/>
  <c r="G225" i="7"/>
  <c r="J225" i="7" s="1"/>
  <c r="H225" i="7"/>
  <c r="G226" i="7"/>
  <c r="H226" i="7"/>
  <c r="G233" i="7"/>
  <c r="J233" i="7" s="1"/>
  <c r="H233" i="7"/>
  <c r="G234" i="7"/>
  <c r="H234" i="7"/>
  <c r="G241" i="7"/>
  <c r="J241" i="7" s="1"/>
  <c r="H241" i="7"/>
  <c r="G242" i="7"/>
  <c r="H242" i="7"/>
  <c r="G249" i="7"/>
  <c r="J249" i="7" s="1"/>
  <c r="H249" i="7"/>
  <c r="G250" i="7"/>
  <c r="H250" i="7"/>
  <c r="G257" i="7"/>
  <c r="J257" i="7" s="1"/>
  <c r="H257" i="7"/>
  <c r="G258" i="7"/>
  <c r="H258" i="7"/>
  <c r="G265" i="7"/>
  <c r="J265" i="7" s="1"/>
  <c r="H265" i="7"/>
  <c r="G266" i="7"/>
  <c r="H266" i="7"/>
  <c r="G273" i="7"/>
  <c r="J273" i="7" s="1"/>
  <c r="H273" i="7"/>
  <c r="G274" i="7"/>
  <c r="H274" i="7"/>
  <c r="G281" i="7"/>
  <c r="J281" i="7" s="1"/>
  <c r="H281" i="7"/>
  <c r="G282" i="7"/>
  <c r="H282" i="7"/>
  <c r="G126" i="7"/>
  <c r="J126" i="7" s="1"/>
  <c r="H126" i="7"/>
  <c r="G290" i="7"/>
  <c r="H290" i="7"/>
  <c r="G298" i="7"/>
  <c r="J298" i="7" s="1"/>
  <c r="H298" i="7"/>
  <c r="G197" i="7"/>
  <c r="J197" i="7" s="1"/>
  <c r="G205" i="7"/>
  <c r="J205" i="7" s="1"/>
  <c r="G213" i="7"/>
  <c r="J213" i="7" s="1"/>
  <c r="G221" i="7"/>
  <c r="J221" i="7" s="1"/>
  <c r="G229" i="7"/>
  <c r="J229" i="7" s="1"/>
  <c r="G237" i="7"/>
  <c r="J237" i="7" s="1"/>
  <c r="G245" i="7"/>
  <c r="J245" i="7" s="1"/>
  <c r="G253" i="7"/>
  <c r="J253" i="7" s="1"/>
  <c r="G261" i="7"/>
  <c r="J261" i="7" s="1"/>
  <c r="G269" i="7"/>
  <c r="J269" i="7" s="1"/>
  <c r="G277" i="7"/>
  <c r="J277" i="7" s="1"/>
  <c r="G285" i="7"/>
  <c r="J285" i="7" s="1"/>
  <c r="G293" i="7"/>
  <c r="J293" i="7" s="1"/>
  <c r="I303" i="7"/>
  <c r="G198" i="7"/>
  <c r="J198" i="7" s="1"/>
  <c r="H198" i="7"/>
  <c r="G206" i="7"/>
  <c r="H206" i="7"/>
  <c r="G214" i="7"/>
  <c r="J214" i="7" s="1"/>
  <c r="H214" i="7"/>
  <c r="G222" i="7"/>
  <c r="H222" i="7"/>
  <c r="G230" i="7"/>
  <c r="J230" i="7" s="1"/>
  <c r="H230" i="7"/>
  <c r="G238" i="7"/>
  <c r="H238" i="7"/>
  <c r="G246" i="7"/>
  <c r="J246" i="7" s="1"/>
  <c r="H246" i="7"/>
  <c r="G254" i="7"/>
  <c r="H254" i="7"/>
  <c r="G262" i="7"/>
  <c r="J262" i="7" s="1"/>
  <c r="H262" i="7"/>
  <c r="G270" i="7"/>
  <c r="H270" i="7"/>
  <c r="G278" i="7"/>
  <c r="J278" i="7" s="1"/>
  <c r="H278" i="7"/>
  <c r="G286" i="7"/>
  <c r="H286" i="7"/>
  <c r="G294" i="7"/>
  <c r="J294" i="7" s="1"/>
  <c r="H294" i="7"/>
  <c r="G297" i="7"/>
  <c r="J297" i="7" s="1"/>
  <c r="H306" i="7"/>
  <c r="I307" i="7"/>
  <c r="H310" i="7"/>
  <c r="I311" i="7"/>
  <c r="H314" i="7"/>
  <c r="I315" i="7"/>
  <c r="H318" i="7"/>
  <c r="I319" i="7"/>
  <c r="H322" i="7"/>
  <c r="I323" i="7"/>
  <c r="H326" i="7"/>
  <c r="I327" i="7"/>
  <c r="H330" i="7"/>
  <c r="I331" i="7"/>
  <c r="H334" i="7"/>
  <c r="I335" i="7"/>
  <c r="H338" i="7"/>
  <c r="I339" i="7"/>
  <c r="H342" i="7"/>
  <c r="I343" i="7"/>
  <c r="H346" i="7"/>
  <c r="I347" i="7"/>
  <c r="H350" i="7"/>
  <c r="I351" i="7"/>
  <c r="H354" i="7"/>
  <c r="I355" i="7"/>
  <c r="H358" i="7"/>
  <c r="I359" i="7"/>
  <c r="H362" i="7"/>
  <c r="I363" i="7"/>
  <c r="H366" i="7"/>
  <c r="I367" i="7"/>
  <c r="H370" i="7"/>
  <c r="I371" i="7"/>
  <c r="H374" i="7"/>
  <c r="I375" i="7"/>
  <c r="H378" i="7"/>
  <c r="I379" i="7"/>
  <c r="H382" i="7"/>
  <c r="I383" i="7"/>
  <c r="H386" i="7"/>
  <c r="I387" i="7"/>
  <c r="H390" i="7"/>
  <c r="I391" i="7"/>
  <c r="H394" i="7"/>
  <c r="I395" i="7"/>
  <c r="H398" i="7"/>
  <c r="I399" i="7"/>
  <c r="H402" i="7"/>
  <c r="I403" i="7"/>
  <c r="H406" i="7"/>
  <c r="I407" i="7"/>
  <c r="H410" i="7"/>
  <c r="I411" i="7"/>
  <c r="H414" i="7"/>
  <c r="I415" i="7"/>
  <c r="H418" i="7"/>
  <c r="I419" i="7"/>
  <c r="H422" i="7"/>
  <c r="I423" i="7"/>
  <c r="H426" i="7"/>
  <c r="I427" i="7"/>
  <c r="H430" i="7"/>
  <c r="I139" i="7"/>
  <c r="H434" i="7"/>
  <c r="I435" i="7"/>
  <c r="H438" i="7"/>
  <c r="I439" i="7"/>
  <c r="H442" i="7"/>
  <c r="I443" i="7"/>
  <c r="G577" i="7"/>
  <c r="J577" i="7" s="1"/>
  <c r="H564" i="7"/>
  <c r="G564" i="7"/>
  <c r="H566" i="7"/>
  <c r="H599" i="7"/>
  <c r="G599" i="7"/>
  <c r="J599" i="7" s="1"/>
  <c r="H631" i="7"/>
  <c r="G631" i="7"/>
  <c r="J631" i="7" s="1"/>
  <c r="H560" i="7"/>
  <c r="G560" i="7"/>
  <c r="J560" i="7" s="1"/>
  <c r="I588" i="7"/>
  <c r="H595" i="7"/>
  <c r="G595" i="7"/>
  <c r="I620" i="7"/>
  <c r="H556" i="7"/>
  <c r="G556" i="7"/>
  <c r="J556" i="7" s="1"/>
  <c r="H615" i="7"/>
  <c r="G615" i="7"/>
  <c r="J615" i="7" s="1"/>
  <c r="H647" i="7"/>
  <c r="G647" i="7"/>
  <c r="J647" i="7" s="1"/>
  <c r="H447" i="7"/>
  <c r="H451" i="7"/>
  <c r="H452" i="7"/>
  <c r="G452" i="7"/>
  <c r="J452" i="7" s="1"/>
  <c r="H454" i="7"/>
  <c r="H456" i="7"/>
  <c r="G456" i="7"/>
  <c r="H458" i="7"/>
  <c r="H460" i="7"/>
  <c r="G460" i="7"/>
  <c r="J460" i="7" s="1"/>
  <c r="H462" i="7"/>
  <c r="H464" i="7"/>
  <c r="G464" i="7"/>
  <c r="H466" i="7"/>
  <c r="H468" i="7"/>
  <c r="G468" i="7"/>
  <c r="J468" i="7" s="1"/>
  <c r="H470" i="7"/>
  <c r="H472" i="7"/>
  <c r="G472" i="7"/>
  <c r="H474" i="7"/>
  <c r="H476" i="7"/>
  <c r="G476" i="7"/>
  <c r="J476" i="7" s="1"/>
  <c r="H478" i="7"/>
  <c r="H480" i="7"/>
  <c r="G480" i="7"/>
  <c r="H482" i="7"/>
  <c r="H484" i="7"/>
  <c r="G484" i="7"/>
  <c r="J484" i="7" s="1"/>
  <c r="H486" i="7"/>
  <c r="H488" i="7"/>
  <c r="G488" i="7"/>
  <c r="H490" i="7"/>
  <c r="H492" i="7"/>
  <c r="G492" i="7"/>
  <c r="J492" i="7" s="1"/>
  <c r="H494" i="7"/>
  <c r="H496" i="7"/>
  <c r="G496" i="7"/>
  <c r="H498" i="7"/>
  <c r="H500" i="7"/>
  <c r="G500" i="7"/>
  <c r="J500" i="7" s="1"/>
  <c r="H502" i="7"/>
  <c r="H504" i="7"/>
  <c r="G504" i="7"/>
  <c r="H506" i="7"/>
  <c r="H508" i="7"/>
  <c r="G508" i="7"/>
  <c r="J508" i="7" s="1"/>
  <c r="H510" i="7"/>
  <c r="H512" i="7"/>
  <c r="G512" i="7"/>
  <c r="H514" i="7"/>
  <c r="H516" i="7"/>
  <c r="G516" i="7"/>
  <c r="J516" i="7" s="1"/>
  <c r="H518" i="7"/>
  <c r="H520" i="7"/>
  <c r="G520" i="7"/>
  <c r="H522" i="7"/>
  <c r="H524" i="7"/>
  <c r="G524" i="7"/>
  <c r="J524" i="7" s="1"/>
  <c r="H526" i="7"/>
  <c r="H528" i="7"/>
  <c r="G528" i="7"/>
  <c r="H530" i="7"/>
  <c r="H532" i="7"/>
  <c r="G532" i="7"/>
  <c r="J532" i="7" s="1"/>
  <c r="H534" i="7"/>
  <c r="H536" i="7"/>
  <c r="G536" i="7"/>
  <c r="H538" i="7"/>
  <c r="H540" i="7"/>
  <c r="G540" i="7"/>
  <c r="J540" i="7" s="1"/>
  <c r="H542" i="7"/>
  <c r="H544" i="7"/>
  <c r="G544" i="7"/>
  <c r="H541" i="7"/>
  <c r="H548" i="7"/>
  <c r="G548" i="7"/>
  <c r="J548" i="7" s="1"/>
  <c r="H550" i="7"/>
  <c r="H552" i="7"/>
  <c r="G552" i="7"/>
  <c r="H554" i="7"/>
  <c r="G562" i="7"/>
  <c r="J562" i="7" s="1"/>
  <c r="I604" i="7"/>
  <c r="I636" i="7"/>
  <c r="G570" i="7"/>
  <c r="J570" i="7" s="1"/>
  <c r="G574" i="7"/>
  <c r="J574" i="7" s="1"/>
  <c r="G578" i="7"/>
  <c r="J578" i="7" s="1"/>
  <c r="G582" i="7"/>
  <c r="J582" i="7" s="1"/>
  <c r="G586" i="7"/>
  <c r="J586" i="7" s="1"/>
  <c r="H591" i="7"/>
  <c r="G591" i="7"/>
  <c r="J591" i="7" s="1"/>
  <c r="G602" i="7"/>
  <c r="J602" i="7" s="1"/>
  <c r="H607" i="7"/>
  <c r="G607" i="7"/>
  <c r="G618" i="7"/>
  <c r="J618" i="7" s="1"/>
  <c r="H623" i="7"/>
  <c r="G623" i="7"/>
  <c r="J623" i="7" s="1"/>
  <c r="G634" i="7"/>
  <c r="J634" i="7" s="1"/>
  <c r="H639" i="7"/>
  <c r="G639" i="7"/>
  <c r="G650" i="7"/>
  <c r="J650" i="7" s="1"/>
  <c r="H655" i="7"/>
  <c r="G655" i="7"/>
  <c r="J655" i="7" s="1"/>
  <c r="H663" i="7"/>
  <c r="G663" i="7"/>
  <c r="J663" i="7" s="1"/>
  <c r="H671" i="7"/>
  <c r="G671" i="7"/>
  <c r="J671" i="7" s="1"/>
  <c r="H679" i="7"/>
  <c r="G679" i="7"/>
  <c r="J679" i="7" s="1"/>
  <c r="H687" i="7"/>
  <c r="G687" i="7"/>
  <c r="J687" i="7" s="1"/>
  <c r="H695" i="7"/>
  <c r="G695" i="7"/>
  <c r="J695" i="7" s="1"/>
  <c r="H730" i="7"/>
  <c r="G730" i="7"/>
  <c r="J730" i="7" s="1"/>
  <c r="H711" i="7"/>
  <c r="G711" i="7"/>
  <c r="J711" i="7" s="1"/>
  <c r="H793" i="7"/>
  <c r="G793" i="7"/>
  <c r="J793" i="7" s="1"/>
  <c r="G980" i="7"/>
  <c r="H980" i="7"/>
  <c r="G762" i="7"/>
  <c r="H762" i="7"/>
  <c r="G455" i="7"/>
  <c r="J455" i="7" s="1"/>
  <c r="G459" i="7"/>
  <c r="J459" i="7" s="1"/>
  <c r="G463" i="7"/>
  <c r="J463" i="7" s="1"/>
  <c r="G467" i="7"/>
  <c r="J467" i="7" s="1"/>
  <c r="G471" i="7"/>
  <c r="J471" i="7" s="1"/>
  <c r="G475" i="7"/>
  <c r="J475" i="7" s="1"/>
  <c r="G479" i="7"/>
  <c r="J479" i="7" s="1"/>
  <c r="G483" i="7"/>
  <c r="J483" i="7" s="1"/>
  <c r="G487" i="7"/>
  <c r="J487" i="7" s="1"/>
  <c r="G491" i="7"/>
  <c r="J491" i="7" s="1"/>
  <c r="G495" i="7"/>
  <c r="J495" i="7" s="1"/>
  <c r="G499" i="7"/>
  <c r="J499" i="7" s="1"/>
  <c r="G503" i="7"/>
  <c r="J503" i="7" s="1"/>
  <c r="G507" i="7"/>
  <c r="J507" i="7" s="1"/>
  <c r="G511" i="7"/>
  <c r="J511" i="7" s="1"/>
  <c r="G515" i="7"/>
  <c r="J515" i="7" s="1"/>
  <c r="G519" i="7"/>
  <c r="J519" i="7" s="1"/>
  <c r="G597" i="7"/>
  <c r="J597" i="7" s="1"/>
  <c r="G527" i="7"/>
  <c r="J527" i="7" s="1"/>
  <c r="G531" i="7"/>
  <c r="J531" i="7" s="1"/>
  <c r="G535" i="7"/>
  <c r="J535" i="7" s="1"/>
  <c r="G539" i="7"/>
  <c r="J539" i="7" s="1"/>
  <c r="G543" i="7"/>
  <c r="J543" i="7" s="1"/>
  <c r="G547" i="7"/>
  <c r="J547" i="7" s="1"/>
  <c r="G551" i="7"/>
  <c r="J551" i="7" s="1"/>
  <c r="G555" i="7"/>
  <c r="J555" i="7" s="1"/>
  <c r="G559" i="7"/>
  <c r="J559" i="7" s="1"/>
  <c r="G563" i="7"/>
  <c r="J563" i="7" s="1"/>
  <c r="H295" i="7"/>
  <c r="G295" i="7"/>
  <c r="J295" i="7" s="1"/>
  <c r="H571" i="7"/>
  <c r="G571" i="7"/>
  <c r="J571" i="7" s="1"/>
  <c r="H575" i="7"/>
  <c r="G575" i="7"/>
  <c r="J575" i="7" s="1"/>
  <c r="H579" i="7"/>
  <c r="G579" i="7"/>
  <c r="J579" i="7" s="1"/>
  <c r="H24" i="7"/>
  <c r="G24" i="7"/>
  <c r="J24" i="7" s="1"/>
  <c r="H587" i="7"/>
  <c r="G587" i="7"/>
  <c r="J587" i="7" s="1"/>
  <c r="G598" i="7"/>
  <c r="J598" i="7" s="1"/>
  <c r="H603" i="7"/>
  <c r="G603" i="7"/>
  <c r="G614" i="7"/>
  <c r="J614" i="7" s="1"/>
  <c r="H619" i="7"/>
  <c r="G619" i="7"/>
  <c r="J619" i="7" s="1"/>
  <c r="G630" i="7"/>
  <c r="J630" i="7" s="1"/>
  <c r="H635" i="7"/>
  <c r="G635" i="7"/>
  <c r="G646" i="7"/>
  <c r="J646" i="7" s="1"/>
  <c r="H651" i="7"/>
  <c r="G651" i="7"/>
  <c r="J651" i="7" s="1"/>
  <c r="H657" i="7"/>
  <c r="G657" i="7"/>
  <c r="J657" i="7" s="1"/>
  <c r="H665" i="7"/>
  <c r="G665" i="7"/>
  <c r="J665" i="7" s="1"/>
  <c r="H673" i="7"/>
  <c r="G673" i="7"/>
  <c r="J673" i="7" s="1"/>
  <c r="H681" i="7"/>
  <c r="G681" i="7"/>
  <c r="J681" i="7" s="1"/>
  <c r="H689" i="7"/>
  <c r="G689" i="7"/>
  <c r="J689" i="7" s="1"/>
  <c r="H697" i="7"/>
  <c r="G697" i="7"/>
  <c r="J697" i="7" s="1"/>
  <c r="H705" i="7"/>
  <c r="G705" i="7"/>
  <c r="J705" i="7" s="1"/>
  <c r="H713" i="7"/>
  <c r="G713" i="7"/>
  <c r="J713" i="7" s="1"/>
  <c r="H721" i="7"/>
  <c r="G721" i="7"/>
  <c r="J721" i="7" s="1"/>
  <c r="G754" i="7"/>
  <c r="H754" i="7"/>
  <c r="G786" i="7"/>
  <c r="H786" i="7"/>
  <c r="H659" i="7"/>
  <c r="G659" i="7"/>
  <c r="J659" i="7" s="1"/>
  <c r="H667" i="7"/>
  <c r="G667" i="7"/>
  <c r="J667" i="7" s="1"/>
  <c r="H675" i="7"/>
  <c r="G675" i="7"/>
  <c r="J675" i="7" s="1"/>
  <c r="H683" i="7"/>
  <c r="G683" i="7"/>
  <c r="J683" i="7" s="1"/>
  <c r="H691" i="7"/>
  <c r="G691" i="7"/>
  <c r="J691" i="7" s="1"/>
  <c r="H699" i="7"/>
  <c r="G699" i="7"/>
  <c r="J699" i="7" s="1"/>
  <c r="H707" i="7"/>
  <c r="G707" i="7"/>
  <c r="J707" i="7" s="1"/>
  <c r="H715" i="7"/>
  <c r="G715" i="7"/>
  <c r="J715" i="7" s="1"/>
  <c r="H723" i="7"/>
  <c r="G723" i="7"/>
  <c r="J723" i="7" s="1"/>
  <c r="G746" i="7"/>
  <c r="H746" i="7"/>
  <c r="G778" i="7"/>
  <c r="H778" i="7"/>
  <c r="G606" i="7"/>
  <c r="J606" i="7" s="1"/>
  <c r="H611" i="7"/>
  <c r="G611" i="7"/>
  <c r="G622" i="7"/>
  <c r="J622" i="7" s="1"/>
  <c r="H627" i="7"/>
  <c r="G627" i="7"/>
  <c r="J627" i="7" s="1"/>
  <c r="G638" i="7"/>
  <c r="J638" i="7" s="1"/>
  <c r="H643" i="7"/>
  <c r="G643" i="7"/>
  <c r="G654" i="7"/>
  <c r="J654" i="7" s="1"/>
  <c r="H661" i="7"/>
  <c r="G661" i="7"/>
  <c r="J661" i="7" s="1"/>
  <c r="H669" i="7"/>
  <c r="G669" i="7"/>
  <c r="J669" i="7" s="1"/>
  <c r="H677" i="7"/>
  <c r="G677" i="7"/>
  <c r="J677" i="7" s="1"/>
  <c r="H685" i="7"/>
  <c r="G685" i="7"/>
  <c r="J685" i="7" s="1"/>
  <c r="H693" i="7"/>
  <c r="G693" i="7"/>
  <c r="J693" i="7" s="1"/>
  <c r="H701" i="7"/>
  <c r="G701" i="7"/>
  <c r="J701" i="7" s="1"/>
  <c r="H709" i="7"/>
  <c r="G709" i="7"/>
  <c r="J709" i="7" s="1"/>
  <c r="H717" i="7"/>
  <c r="G717" i="7"/>
  <c r="J717" i="7" s="1"/>
  <c r="G738" i="7"/>
  <c r="H738" i="7"/>
  <c r="G770" i="7"/>
  <c r="H770" i="7"/>
  <c r="G658" i="7"/>
  <c r="J658" i="7" s="1"/>
  <c r="G662" i="7"/>
  <c r="J662" i="7" s="1"/>
  <c r="G666" i="7"/>
  <c r="J666" i="7" s="1"/>
  <c r="G670" i="7"/>
  <c r="J670" i="7" s="1"/>
  <c r="G674" i="7"/>
  <c r="J674" i="7" s="1"/>
  <c r="G678" i="7"/>
  <c r="J678" i="7" s="1"/>
  <c r="G682" i="7"/>
  <c r="J682" i="7" s="1"/>
  <c r="G686" i="7"/>
  <c r="J686" i="7" s="1"/>
  <c r="G690" i="7"/>
  <c r="J690" i="7" s="1"/>
  <c r="G694" i="7"/>
  <c r="J694" i="7" s="1"/>
  <c r="G698" i="7"/>
  <c r="J698" i="7" s="1"/>
  <c r="G702" i="7"/>
  <c r="J702" i="7" s="1"/>
  <c r="G706" i="7"/>
  <c r="J706" i="7" s="1"/>
  <c r="G710" i="7"/>
  <c r="J710" i="7" s="1"/>
  <c r="G714" i="7"/>
  <c r="J714" i="7" s="1"/>
  <c r="G718" i="7"/>
  <c r="J718" i="7" s="1"/>
  <c r="G834" i="7"/>
  <c r="J834" i="7" s="1"/>
  <c r="G726" i="7"/>
  <c r="J726" i="7" s="1"/>
  <c r="G734" i="7"/>
  <c r="J734" i="7" s="1"/>
  <c r="G742" i="7"/>
  <c r="J742" i="7" s="1"/>
  <c r="G750" i="7"/>
  <c r="J750" i="7" s="1"/>
  <c r="G644" i="7"/>
  <c r="J644" i="7" s="1"/>
  <c r="G766" i="7"/>
  <c r="J766" i="7" s="1"/>
  <c r="G774" i="7"/>
  <c r="J774" i="7" s="1"/>
  <c r="G782" i="7"/>
  <c r="J782" i="7" s="1"/>
  <c r="G790" i="7"/>
  <c r="J790" i="7" s="1"/>
  <c r="G727" i="7"/>
  <c r="H727" i="7"/>
  <c r="G735" i="7"/>
  <c r="H735" i="7"/>
  <c r="G743" i="7"/>
  <c r="H743" i="7"/>
  <c r="G751" i="7"/>
  <c r="H751" i="7"/>
  <c r="G759" i="7"/>
  <c r="H759" i="7"/>
  <c r="G767" i="7"/>
  <c r="H767" i="7"/>
  <c r="G775" i="7"/>
  <c r="H775" i="7"/>
  <c r="G783" i="7"/>
  <c r="H783" i="7"/>
  <c r="G791" i="7"/>
  <c r="H791" i="7"/>
  <c r="G794" i="7"/>
  <c r="J794" i="7" s="1"/>
  <c r="G731" i="7"/>
  <c r="H731" i="7"/>
  <c r="G739" i="7"/>
  <c r="J739" i="7" s="1"/>
  <c r="H739" i="7"/>
  <c r="G747" i="7"/>
  <c r="H747" i="7"/>
  <c r="G755" i="7"/>
  <c r="J755" i="7" s="1"/>
  <c r="H755" i="7"/>
  <c r="G763" i="7"/>
  <c r="H763" i="7"/>
  <c r="G771" i="7"/>
  <c r="J771" i="7" s="1"/>
  <c r="H771" i="7"/>
  <c r="G779" i="7"/>
  <c r="H779" i="7"/>
  <c r="G787" i="7"/>
  <c r="J787" i="7" s="1"/>
  <c r="H787" i="7"/>
  <c r="G795" i="7"/>
  <c r="H795" i="7"/>
  <c r="H799" i="7"/>
  <c r="I800" i="7"/>
  <c r="H803" i="7"/>
  <c r="I804" i="7"/>
  <c r="H807" i="7"/>
  <c r="H811" i="7"/>
  <c r="H815" i="7"/>
  <c r="H819" i="7"/>
  <c r="H823" i="7"/>
  <c r="H827" i="7"/>
  <c r="H831" i="7"/>
  <c r="H988" i="7"/>
  <c r="G837" i="7"/>
  <c r="J837" i="7" s="1"/>
  <c r="H837" i="7"/>
  <c r="G845" i="7"/>
  <c r="H845" i="7"/>
  <c r="G853" i="7"/>
  <c r="J853" i="7" s="1"/>
  <c r="H853" i="7"/>
  <c r="G861" i="7"/>
  <c r="H861" i="7"/>
  <c r="H855" i="7"/>
  <c r="G855" i="7"/>
  <c r="H863" i="7"/>
  <c r="G863" i="7"/>
  <c r="G841" i="7"/>
  <c r="J841" i="7" s="1"/>
  <c r="H841" i="7"/>
  <c r="G849" i="7"/>
  <c r="H849" i="7"/>
  <c r="G857" i="7"/>
  <c r="J857" i="7" s="1"/>
  <c r="H857" i="7"/>
  <c r="G808" i="7"/>
  <c r="J808" i="7" s="1"/>
  <c r="G809" i="7"/>
  <c r="J809" i="7" s="1"/>
  <c r="G812" i="7"/>
  <c r="J812" i="7" s="1"/>
  <c r="G813" i="7"/>
  <c r="J813" i="7" s="1"/>
  <c r="G816" i="7"/>
  <c r="J816" i="7" s="1"/>
  <c r="G817" i="7"/>
  <c r="J817" i="7" s="1"/>
  <c r="G820" i="7"/>
  <c r="J820" i="7" s="1"/>
  <c r="G821" i="7"/>
  <c r="J821" i="7" s="1"/>
  <c r="G824" i="7"/>
  <c r="J824" i="7" s="1"/>
  <c r="G825" i="7"/>
  <c r="J825" i="7" s="1"/>
  <c r="G828" i="7"/>
  <c r="J828" i="7" s="1"/>
  <c r="G656" i="7"/>
  <c r="J656" i="7" s="1"/>
  <c r="G832" i="7"/>
  <c r="J832" i="7" s="1"/>
  <c r="G833" i="7"/>
  <c r="J833" i="7" s="1"/>
  <c r="G836" i="7"/>
  <c r="J836" i="7" s="1"/>
  <c r="H840" i="7"/>
  <c r="G844" i="7"/>
  <c r="J844" i="7" s="1"/>
  <c r="H848" i="7"/>
  <c r="G852" i="7"/>
  <c r="J852" i="7" s="1"/>
  <c r="H859" i="7"/>
  <c r="G859" i="7"/>
  <c r="J859" i="7" s="1"/>
  <c r="H865" i="7"/>
  <c r="H869" i="7"/>
  <c r="H703" i="7"/>
  <c r="H877" i="7"/>
  <c r="H881" i="7"/>
  <c r="H885" i="7"/>
  <c r="H889" i="7"/>
  <c r="H893" i="7"/>
  <c r="H897" i="7"/>
  <c r="H901" i="7"/>
  <c r="H905" i="7"/>
  <c r="G907" i="7"/>
  <c r="H907" i="7"/>
  <c r="G915" i="7"/>
  <c r="J915" i="7" s="1"/>
  <c r="H915" i="7"/>
  <c r="G920" i="7"/>
  <c r="H920" i="7"/>
  <c r="G936" i="7"/>
  <c r="J936" i="7" s="1"/>
  <c r="H936" i="7"/>
  <c r="G952" i="7"/>
  <c r="H952" i="7"/>
  <c r="G968" i="7"/>
  <c r="J968" i="7" s="1"/>
  <c r="H968" i="7"/>
  <c r="G924" i="7"/>
  <c r="H924" i="7"/>
  <c r="G940" i="7"/>
  <c r="J940" i="7" s="1"/>
  <c r="H940" i="7"/>
  <c r="G601" i="7"/>
  <c r="H601" i="7"/>
  <c r="G911" i="7"/>
  <c r="J911" i="7" s="1"/>
  <c r="H911" i="7"/>
  <c r="G928" i="7"/>
  <c r="H928" i="7"/>
  <c r="G944" i="7"/>
  <c r="J944" i="7" s="1"/>
  <c r="H944" i="7"/>
  <c r="G960" i="7"/>
  <c r="H960" i="7"/>
  <c r="G854" i="7"/>
  <c r="J854" i="7" s="1"/>
  <c r="G858" i="7"/>
  <c r="J858" i="7" s="1"/>
  <c r="G862" i="7"/>
  <c r="J862" i="7" s="1"/>
  <c r="G758" i="7"/>
  <c r="J758" i="7" s="1"/>
  <c r="G867" i="7"/>
  <c r="J867" i="7" s="1"/>
  <c r="G870" i="7"/>
  <c r="J870" i="7" s="1"/>
  <c r="G871" i="7"/>
  <c r="J871" i="7" s="1"/>
  <c r="G874" i="7"/>
  <c r="J874" i="7" s="1"/>
  <c r="G875" i="7"/>
  <c r="J875" i="7" s="1"/>
  <c r="G878" i="7"/>
  <c r="J878" i="7" s="1"/>
  <c r="G879" i="7"/>
  <c r="J879" i="7" s="1"/>
  <c r="G882" i="7"/>
  <c r="J882" i="7" s="1"/>
  <c r="G883" i="7"/>
  <c r="J883" i="7" s="1"/>
  <c r="G886" i="7"/>
  <c r="J886" i="7" s="1"/>
  <c r="G887" i="7"/>
  <c r="J887" i="7" s="1"/>
  <c r="G890" i="7"/>
  <c r="J890" i="7" s="1"/>
  <c r="G891" i="7"/>
  <c r="J891" i="7" s="1"/>
  <c r="G894" i="7"/>
  <c r="J894" i="7" s="1"/>
  <c r="G895" i="7"/>
  <c r="J895" i="7" s="1"/>
  <c r="G898" i="7"/>
  <c r="J898" i="7" s="1"/>
  <c r="G899" i="7"/>
  <c r="J899" i="7" s="1"/>
  <c r="G902" i="7"/>
  <c r="J902" i="7" s="1"/>
  <c r="G903" i="7"/>
  <c r="J903" i="7" s="1"/>
  <c r="G906" i="7"/>
  <c r="J906" i="7" s="1"/>
  <c r="H910" i="7"/>
  <c r="G914" i="7"/>
  <c r="J914" i="7" s="1"/>
  <c r="G961" i="7"/>
  <c r="H961" i="7"/>
  <c r="G948" i="7"/>
  <c r="J948" i="7" s="1"/>
  <c r="H948" i="7"/>
  <c r="G964" i="7"/>
  <c r="H964" i="7"/>
  <c r="H972" i="7"/>
  <c r="H976" i="7"/>
  <c r="H932" i="7"/>
  <c r="H984" i="7"/>
  <c r="H941" i="7"/>
  <c r="H992" i="7"/>
  <c r="H996" i="7"/>
  <c r="H1000" i="7"/>
  <c r="G2" i="5"/>
  <c r="G998" i="5"/>
  <c r="G994" i="5"/>
  <c r="G990" i="5"/>
  <c r="G986" i="5"/>
  <c r="G982" i="5"/>
  <c r="G978" i="5"/>
  <c r="G974" i="5"/>
  <c r="G970" i="5"/>
  <c r="G966" i="5"/>
  <c r="G962" i="5"/>
  <c r="G958" i="5"/>
  <c r="G954" i="5"/>
  <c r="G950" i="5"/>
  <c r="G946" i="5"/>
  <c r="G942" i="5"/>
  <c r="G938" i="5"/>
  <c r="G934" i="5"/>
  <c r="G930" i="5"/>
  <c r="G926" i="5"/>
  <c r="G922" i="5"/>
  <c r="G918" i="5"/>
  <c r="G914" i="5"/>
  <c r="G910" i="5"/>
  <c r="G906" i="5"/>
  <c r="G902" i="5"/>
  <c r="G898" i="5"/>
  <c r="G894" i="5"/>
  <c r="G890" i="5"/>
  <c r="G886" i="5"/>
  <c r="G882" i="5"/>
  <c r="G878" i="5"/>
  <c r="G874" i="5"/>
  <c r="G870" i="5"/>
  <c r="G866" i="5"/>
  <c r="G862" i="5"/>
  <c r="G858" i="5"/>
  <c r="G854" i="5"/>
  <c r="G850" i="5"/>
  <c r="G846" i="5"/>
  <c r="G842" i="5"/>
  <c r="G838" i="5"/>
  <c r="G834" i="5"/>
  <c r="G830" i="5"/>
  <c r="G826" i="5"/>
  <c r="G822" i="5"/>
  <c r="G818" i="5"/>
  <c r="G814" i="5"/>
  <c r="G810" i="5"/>
  <c r="G806" i="5"/>
  <c r="G802" i="5"/>
  <c r="G798" i="5"/>
  <c r="G794" i="5"/>
  <c r="G790" i="5"/>
  <c r="G786" i="5"/>
  <c r="G782" i="5"/>
  <c r="G778" i="5"/>
  <c r="G774" i="5"/>
  <c r="G770" i="5"/>
  <c r="G766" i="5"/>
  <c r="G762" i="5"/>
  <c r="G758" i="5"/>
  <c r="G754" i="5"/>
  <c r="G750" i="5"/>
  <c r="G746" i="5"/>
  <c r="G742" i="5"/>
  <c r="G738" i="5"/>
  <c r="G734" i="5"/>
  <c r="G730" i="5"/>
  <c r="G726" i="5"/>
  <c r="G722" i="5"/>
  <c r="G718" i="5"/>
  <c r="G714" i="5"/>
  <c r="G710" i="5"/>
  <c r="G706" i="5"/>
  <c r="G702" i="5"/>
  <c r="G698" i="5"/>
  <c r="G694" i="5"/>
  <c r="G690" i="5"/>
  <c r="G686" i="5"/>
  <c r="G682" i="5"/>
  <c r="G678" i="5"/>
  <c r="G674" i="5"/>
  <c r="G670" i="5"/>
  <c r="G666" i="5"/>
  <c r="G662" i="5"/>
  <c r="G658" i="5"/>
  <c r="G654" i="5"/>
  <c r="G650" i="5"/>
  <c r="G646" i="5"/>
  <c r="G642" i="5"/>
  <c r="G638" i="5"/>
  <c r="G634" i="5"/>
  <c r="G630" i="5"/>
  <c r="G626" i="5"/>
  <c r="G622" i="5"/>
  <c r="G618" i="5"/>
  <c r="G614" i="5"/>
  <c r="G610" i="5"/>
  <c r="G606" i="5"/>
  <c r="G602" i="5"/>
  <c r="G598" i="5"/>
  <c r="G594" i="5"/>
  <c r="G590" i="5"/>
  <c r="G586" i="5"/>
  <c r="G582" i="5"/>
  <c r="G578" i="5"/>
  <c r="G574" i="5"/>
  <c r="G570" i="5"/>
  <c r="G566" i="5"/>
  <c r="G562" i="5"/>
  <c r="G558" i="5"/>
  <c r="G554" i="5"/>
  <c r="G550" i="5"/>
  <c r="G546" i="5"/>
  <c r="G542" i="5"/>
  <c r="G538" i="5"/>
  <c r="G534" i="5"/>
  <c r="G530" i="5"/>
  <c r="G526" i="5"/>
  <c r="G522" i="5"/>
  <c r="G1001" i="5"/>
  <c r="G997" i="5"/>
  <c r="G993" i="5"/>
  <c r="G989" i="5"/>
  <c r="G985" i="5"/>
  <c r="G981" i="5"/>
  <c r="G977" i="5"/>
  <c r="G973" i="5"/>
  <c r="G969" i="5"/>
  <c r="G965" i="5"/>
  <c r="G961" i="5"/>
  <c r="G957" i="5"/>
  <c r="G953" i="5"/>
  <c r="G949" i="5"/>
  <c r="G945" i="5"/>
  <c r="G941" i="5"/>
  <c r="G937" i="5"/>
  <c r="G933" i="5"/>
  <c r="G929" i="5"/>
  <c r="G925" i="5"/>
  <c r="G921" i="5"/>
  <c r="G917" i="5"/>
  <c r="G913" i="5"/>
  <c r="G909" i="5"/>
  <c r="G905" i="5"/>
  <c r="G901" i="5"/>
  <c r="G897" i="5"/>
  <c r="G893" i="5"/>
  <c r="G889" i="5"/>
  <c r="G885" i="5"/>
  <c r="G881" i="5"/>
  <c r="G877" i="5"/>
  <c r="G873" i="5"/>
  <c r="G869" i="5"/>
  <c r="G865" i="5"/>
  <c r="G861" i="5"/>
  <c r="G857" i="5"/>
  <c r="G853" i="5"/>
  <c r="G849" i="5"/>
  <c r="G845" i="5"/>
  <c r="G841" i="5"/>
  <c r="G837" i="5"/>
  <c r="G833" i="5"/>
  <c r="G829" i="5"/>
  <c r="G825" i="5"/>
  <c r="G821" i="5"/>
  <c r="G817" i="5"/>
  <c r="G813" i="5"/>
  <c r="G809" i="5"/>
  <c r="G805" i="5"/>
  <c r="G801" i="5"/>
  <c r="G797" i="5"/>
  <c r="G793" i="5"/>
  <c r="G789" i="5"/>
  <c r="G785" i="5"/>
  <c r="G781" i="5"/>
  <c r="G777" i="5"/>
  <c r="G773" i="5"/>
  <c r="G769" i="5"/>
  <c r="G765" i="5"/>
  <c r="G761" i="5"/>
  <c r="G757" i="5"/>
  <c r="G753" i="5"/>
  <c r="G749" i="5"/>
  <c r="G745" i="5"/>
  <c r="G741" i="5"/>
  <c r="G737" i="5"/>
  <c r="G733" i="5"/>
  <c r="G729" i="5"/>
  <c r="G725" i="5"/>
  <c r="G721" i="5"/>
  <c r="G717" i="5"/>
  <c r="G713" i="5"/>
  <c r="G709" i="5"/>
  <c r="G705" i="5"/>
  <c r="G701" i="5"/>
  <c r="G697" i="5"/>
  <c r="G693" i="5"/>
  <c r="G689" i="5"/>
  <c r="G685" i="5"/>
  <c r="G681" i="5"/>
  <c r="G677" i="5"/>
  <c r="G673" i="5"/>
  <c r="G669" i="5"/>
  <c r="G665" i="5"/>
  <c r="G661" i="5"/>
  <c r="G657" i="5"/>
  <c r="G653" i="5"/>
  <c r="G649" i="5"/>
  <c r="G645" i="5"/>
  <c r="G641" i="5"/>
  <c r="G637" i="5"/>
  <c r="G633" i="5"/>
  <c r="G629" i="5"/>
  <c r="G625" i="5"/>
  <c r="G621" i="5"/>
  <c r="G617" i="5"/>
  <c r="G613" i="5"/>
  <c r="G609" i="5"/>
  <c r="G605" i="5"/>
  <c r="G601" i="5"/>
  <c r="G597" i="5"/>
  <c r="G593" i="5"/>
  <c r="G589" i="5"/>
  <c r="G585" i="5"/>
  <c r="G581" i="5"/>
  <c r="G577" i="5"/>
  <c r="G573" i="5"/>
  <c r="G569" i="5"/>
  <c r="G565" i="5"/>
  <c r="G561" i="5"/>
  <c r="G557" i="5"/>
  <c r="G553" i="5"/>
  <c r="G549" i="5"/>
  <c r="G545" i="5"/>
  <c r="G541" i="5"/>
  <c r="G537" i="5"/>
  <c r="G533" i="5"/>
  <c r="G529" i="5"/>
  <c r="G525" i="5"/>
  <c r="G521" i="5"/>
  <c r="G517" i="5"/>
  <c r="G513" i="5"/>
  <c r="G509" i="5"/>
  <c r="G505" i="5"/>
  <c r="G501" i="5"/>
  <c r="G497" i="5"/>
  <c r="G493" i="5"/>
  <c r="G489" i="5"/>
  <c r="G485" i="5"/>
  <c r="G481" i="5"/>
  <c r="G477" i="5"/>
  <c r="G473" i="5"/>
  <c r="G469" i="5"/>
  <c r="G465" i="5"/>
  <c r="G461" i="5"/>
  <c r="G457" i="5"/>
  <c r="G453" i="5"/>
  <c r="G449" i="5"/>
  <c r="G445" i="5"/>
  <c r="G441" i="5"/>
  <c r="G437" i="5"/>
  <c r="G433" i="5"/>
  <c r="G429" i="5"/>
  <c r="G425" i="5"/>
  <c r="G421" i="5"/>
  <c r="G417" i="5"/>
  <c r="G413" i="5"/>
  <c r="G409" i="5"/>
  <c r="G405" i="5"/>
  <c r="G401" i="5"/>
  <c r="G397" i="5"/>
  <c r="G393" i="5"/>
  <c r="G389" i="5"/>
  <c r="G385" i="5"/>
  <c r="G381" i="5"/>
  <c r="G377" i="5"/>
  <c r="G373" i="5"/>
  <c r="G369" i="5"/>
  <c r="G365" i="5"/>
  <c r="G361" i="5"/>
  <c r="G357" i="5"/>
  <c r="G1000" i="5"/>
  <c r="G996" i="5"/>
  <c r="G992" i="5"/>
  <c r="G988" i="5"/>
  <c r="G984" i="5"/>
  <c r="G980" i="5"/>
  <c r="G976" i="5"/>
  <c r="G972" i="5"/>
  <c r="G968" i="5"/>
  <c r="G964" i="5"/>
  <c r="G960" i="5"/>
  <c r="G956" i="5"/>
  <c r="G952" i="5"/>
  <c r="G948" i="5"/>
  <c r="G944" i="5"/>
  <c r="G940" i="5"/>
  <c r="G936" i="5"/>
  <c r="G932" i="5"/>
  <c r="G928" i="5"/>
  <c r="G924" i="5"/>
  <c r="G920" i="5"/>
  <c r="G916" i="5"/>
  <c r="G912" i="5"/>
  <c r="G908" i="5"/>
  <c r="G904" i="5"/>
  <c r="G900" i="5"/>
  <c r="G896" i="5"/>
  <c r="G892" i="5"/>
  <c r="G888" i="5"/>
  <c r="G884" i="5"/>
  <c r="G880" i="5"/>
  <c r="G876" i="5"/>
  <c r="G872" i="5"/>
  <c r="G868" i="5"/>
  <c r="G864" i="5"/>
  <c r="G860" i="5"/>
  <c r="G856" i="5"/>
  <c r="G852" i="5"/>
  <c r="G848" i="5"/>
  <c r="G844" i="5"/>
  <c r="G840" i="5"/>
  <c r="G836" i="5"/>
  <c r="G832" i="5"/>
  <c r="G828" i="5"/>
  <c r="G824" i="5"/>
  <c r="G820" i="5"/>
  <c r="G816" i="5"/>
  <c r="G812" i="5"/>
  <c r="G808" i="5"/>
  <c r="G804" i="5"/>
  <c r="G800" i="5"/>
  <c r="G796" i="5"/>
  <c r="G792" i="5"/>
  <c r="G788" i="5"/>
  <c r="G784" i="5"/>
  <c r="G780" i="5"/>
  <c r="G776" i="5"/>
  <c r="G772" i="5"/>
  <c r="G768" i="5"/>
  <c r="G764" i="5"/>
  <c r="G760" i="5"/>
  <c r="G756" i="5"/>
  <c r="G752" i="5"/>
  <c r="G748" i="5"/>
  <c r="G744" i="5"/>
  <c r="G740" i="5"/>
  <c r="G736" i="5"/>
  <c r="G732" i="5"/>
  <c r="G728" i="5"/>
  <c r="G724" i="5"/>
  <c r="G720" i="5"/>
  <c r="G716" i="5"/>
  <c r="G712" i="5"/>
  <c r="G708" i="5"/>
  <c r="G704" i="5"/>
  <c r="G700" i="5"/>
  <c r="G696" i="5"/>
  <c r="G692" i="5"/>
  <c r="G688" i="5"/>
  <c r="G684" i="5"/>
  <c r="G680" i="5"/>
  <c r="G676" i="5"/>
  <c r="G672" i="5"/>
  <c r="G668" i="5"/>
  <c r="G664" i="5"/>
  <c r="G660" i="5"/>
  <c r="G656" i="5"/>
  <c r="G652" i="5"/>
  <c r="G648" i="5"/>
  <c r="G644" i="5"/>
  <c r="G640" i="5"/>
  <c r="G636" i="5"/>
  <c r="G632" i="5"/>
  <c r="G628" i="5"/>
  <c r="G624" i="5"/>
  <c r="G620" i="5"/>
  <c r="G616" i="5"/>
  <c r="G612" i="5"/>
  <c r="G608" i="5"/>
  <c r="G604" i="5"/>
  <c r="G600" i="5"/>
  <c r="G596" i="5"/>
  <c r="G592" i="5"/>
  <c r="G588" i="5"/>
  <c r="G584" i="5"/>
  <c r="G580" i="5"/>
  <c r="G576" i="5"/>
  <c r="G572" i="5"/>
  <c r="G568" i="5"/>
  <c r="G564" i="5"/>
  <c r="G560" i="5"/>
  <c r="G556" i="5"/>
  <c r="G552" i="5"/>
  <c r="G548" i="5"/>
  <c r="G544" i="5"/>
  <c r="G540" i="5"/>
  <c r="G536" i="5"/>
  <c r="G532" i="5"/>
  <c r="G528" i="5"/>
  <c r="G524" i="5"/>
  <c r="G999" i="5"/>
  <c r="G995" i="5"/>
  <c r="G991" i="5"/>
  <c r="G987" i="5"/>
  <c r="G983" i="5"/>
  <c r="G979" i="5"/>
  <c r="G975" i="5"/>
  <c r="G971" i="5"/>
  <c r="G967" i="5"/>
  <c r="G963" i="5"/>
  <c r="G959" i="5"/>
  <c r="G955" i="5"/>
  <c r="G951" i="5"/>
  <c r="G947" i="5"/>
  <c r="G943" i="5"/>
  <c r="G939" i="5"/>
  <c r="G935" i="5"/>
  <c r="G931" i="5"/>
  <c r="G927" i="5"/>
  <c r="G923" i="5"/>
  <c r="G919" i="5"/>
  <c r="G915" i="5"/>
  <c r="G911" i="5"/>
  <c r="G907" i="5"/>
  <c r="G903" i="5"/>
  <c r="G899" i="5"/>
  <c r="G895" i="5"/>
  <c r="G891" i="5"/>
  <c r="G887" i="5"/>
  <c r="G883" i="5"/>
  <c r="G879" i="5"/>
  <c r="G875" i="5"/>
  <c r="G871" i="5"/>
  <c r="G867" i="5"/>
  <c r="G863" i="5"/>
  <c r="G859" i="5"/>
  <c r="G855" i="5"/>
  <c r="G851" i="5"/>
  <c r="G847" i="5"/>
  <c r="G843" i="5"/>
  <c r="G839" i="5"/>
  <c r="G835" i="5"/>
  <c r="G831" i="5"/>
  <c r="G827" i="5"/>
  <c r="G823" i="5"/>
  <c r="G819" i="5"/>
  <c r="G815" i="5"/>
  <c r="G811" i="5"/>
  <c r="G807" i="5"/>
  <c r="G803" i="5"/>
  <c r="G799" i="5"/>
  <c r="G795" i="5"/>
  <c r="G791" i="5"/>
  <c r="G787" i="5"/>
  <c r="G783" i="5"/>
  <c r="G779" i="5"/>
  <c r="G775" i="5"/>
  <c r="G771" i="5"/>
  <c r="G767" i="5"/>
  <c r="G763" i="5"/>
  <c r="G759" i="5"/>
  <c r="G755" i="5"/>
  <c r="G751" i="5"/>
  <c r="G747" i="5"/>
  <c r="G743" i="5"/>
  <c r="G739" i="5"/>
  <c r="G735" i="5"/>
  <c r="G731" i="5"/>
  <c r="G727" i="5"/>
  <c r="G723" i="5"/>
  <c r="G719" i="5"/>
  <c r="G715" i="5"/>
  <c r="G711" i="5"/>
  <c r="G707" i="5"/>
  <c r="G703" i="5"/>
  <c r="G699" i="5"/>
  <c r="G695" i="5"/>
  <c r="G691" i="5"/>
  <c r="G687" i="5"/>
  <c r="G683" i="5"/>
  <c r="G679" i="5"/>
  <c r="G675" i="5"/>
  <c r="G671" i="5"/>
  <c r="G667" i="5"/>
  <c r="G663" i="5"/>
  <c r="G659" i="5"/>
  <c r="G655" i="5"/>
  <c r="G651" i="5"/>
  <c r="G647" i="5"/>
  <c r="G643" i="5"/>
  <c r="G639" i="5"/>
  <c r="G635" i="5"/>
  <c r="G631" i="5"/>
  <c r="G627" i="5"/>
  <c r="G623" i="5"/>
  <c r="G619" i="5"/>
  <c r="G615" i="5"/>
  <c r="G611" i="5"/>
  <c r="G607" i="5"/>
  <c r="G603" i="5"/>
  <c r="G599" i="5"/>
  <c r="G595" i="5"/>
  <c r="G591" i="5"/>
  <c r="G587" i="5"/>
  <c r="G583" i="5"/>
  <c r="G579" i="5"/>
  <c r="G575" i="5"/>
  <c r="G571" i="5"/>
  <c r="G567" i="5"/>
  <c r="G563" i="5"/>
  <c r="G559" i="5"/>
  <c r="G555" i="5"/>
  <c r="G551" i="5"/>
  <c r="G547" i="5"/>
  <c r="G543" i="5"/>
  <c r="G539" i="5"/>
  <c r="G535" i="5"/>
  <c r="G531" i="5"/>
  <c r="G527" i="5"/>
  <c r="G523" i="5"/>
  <c r="G519" i="5"/>
  <c r="G515" i="5"/>
  <c r="G511" i="5"/>
  <c r="G507" i="5"/>
  <c r="G503" i="5"/>
  <c r="G499" i="5"/>
  <c r="G495" i="5"/>
  <c r="G491" i="5"/>
  <c r="G487" i="5"/>
  <c r="G483" i="5"/>
  <c r="G479" i="5"/>
  <c r="G475" i="5"/>
  <c r="G471" i="5"/>
  <c r="G467" i="5"/>
  <c r="G463" i="5"/>
  <c r="G459" i="5"/>
  <c r="G455" i="5"/>
  <c r="G451" i="5"/>
  <c r="G447" i="5"/>
  <c r="G443" i="5"/>
  <c r="G439" i="5"/>
  <c r="G435" i="5"/>
  <c r="G431" i="5"/>
  <c r="G427" i="5"/>
  <c r="G423" i="5"/>
  <c r="G419" i="5"/>
  <c r="G415" i="5"/>
  <c r="G411" i="5"/>
  <c r="G407" i="5"/>
  <c r="G403" i="5"/>
  <c r="G399" i="5"/>
  <c r="G395" i="5"/>
  <c r="G391" i="5"/>
  <c r="G387" i="5"/>
  <c r="G353" i="5"/>
  <c r="G349" i="5"/>
  <c r="G345" i="5"/>
  <c r="G341" i="5"/>
  <c r="G337" i="5"/>
  <c r="G333" i="5"/>
  <c r="G329" i="5"/>
  <c r="G325" i="5"/>
  <c r="G321" i="5"/>
  <c r="G317" i="5"/>
  <c r="G313" i="5"/>
  <c r="G309" i="5"/>
  <c r="G305" i="5"/>
  <c r="G301" i="5"/>
  <c r="G297" i="5"/>
  <c r="G293" i="5"/>
  <c r="G289" i="5"/>
  <c r="G285" i="5"/>
  <c r="G281" i="5"/>
  <c r="G277" i="5"/>
  <c r="G273" i="5"/>
  <c r="G269" i="5"/>
  <c r="G265" i="5"/>
  <c r="G261" i="5"/>
  <c r="G257" i="5"/>
  <c r="G253" i="5"/>
  <c r="G249" i="5"/>
  <c r="G245" i="5"/>
  <c r="G241" i="5"/>
  <c r="G237" i="5"/>
  <c r="G233" i="5"/>
  <c r="G229" i="5"/>
  <c r="G225" i="5"/>
  <c r="G221" i="5"/>
  <c r="G217" i="5"/>
  <c r="G213" i="5"/>
  <c r="G209" i="5"/>
  <c r="G205" i="5"/>
  <c r="G201" i="5"/>
  <c r="G197" i="5"/>
  <c r="G193" i="5"/>
  <c r="G189" i="5"/>
  <c r="G185" i="5"/>
  <c r="G181" i="5"/>
  <c r="G177" i="5"/>
  <c r="G173" i="5"/>
  <c r="G169" i="5"/>
  <c r="G165" i="5"/>
  <c r="G161" i="5"/>
  <c r="G157" i="5"/>
  <c r="G153" i="5"/>
  <c r="G149" i="5"/>
  <c r="G145" i="5"/>
  <c r="G141" i="5"/>
  <c r="G137" i="5"/>
  <c r="G133" i="5"/>
  <c r="G129" i="5"/>
  <c r="G125" i="5"/>
  <c r="G121" i="5"/>
  <c r="G117" i="5"/>
  <c r="G113" i="5"/>
  <c r="G109" i="5"/>
  <c r="G105" i="5"/>
  <c r="G101" i="5"/>
  <c r="G97" i="5"/>
  <c r="G93" i="5"/>
  <c r="G89" i="5"/>
  <c r="G85" i="5"/>
  <c r="G81" i="5"/>
  <c r="G77" i="5"/>
  <c r="G73" i="5"/>
  <c r="G69" i="5"/>
  <c r="G65" i="5"/>
  <c r="G61" i="5"/>
  <c r="G57" i="5"/>
  <c r="G53" i="5"/>
  <c r="G49" i="5"/>
  <c r="G45" i="5"/>
  <c r="G41" i="5"/>
  <c r="G37" i="5"/>
  <c r="G33" i="5"/>
  <c r="G29" i="5"/>
  <c r="G25" i="5"/>
  <c r="G21" i="5"/>
  <c r="G17" i="5"/>
  <c r="G13" i="5"/>
  <c r="G9" i="5"/>
  <c r="G5" i="5"/>
  <c r="G520" i="5"/>
  <c r="G516" i="5"/>
  <c r="G512" i="5"/>
  <c r="G508" i="5"/>
  <c r="G504" i="5"/>
  <c r="G500" i="5"/>
  <c r="G496" i="5"/>
  <c r="G492" i="5"/>
  <c r="G488" i="5"/>
  <c r="G484" i="5"/>
  <c r="G480" i="5"/>
  <c r="G476" i="5"/>
  <c r="G472" i="5"/>
  <c r="G468" i="5"/>
  <c r="G464" i="5"/>
  <c r="G460" i="5"/>
  <c r="G456" i="5"/>
  <c r="G452" i="5"/>
  <c r="G448" i="5"/>
  <c r="G444" i="5"/>
  <c r="G440" i="5"/>
  <c r="G436" i="5"/>
  <c r="G432" i="5"/>
  <c r="G428" i="5"/>
  <c r="G424" i="5"/>
  <c r="G420" i="5"/>
  <c r="G416" i="5"/>
  <c r="G412" i="5"/>
  <c r="G408" i="5"/>
  <c r="G404" i="5"/>
  <c r="G400" i="5"/>
  <c r="G396" i="5"/>
  <c r="G392" i="5"/>
  <c r="G388" i="5"/>
  <c r="G384" i="5"/>
  <c r="G380" i="5"/>
  <c r="G376" i="5"/>
  <c r="G372" i="5"/>
  <c r="G368" i="5"/>
  <c r="G364" i="5"/>
  <c r="G360" i="5"/>
  <c r="G356" i="5"/>
  <c r="G352" i="5"/>
  <c r="G348" i="5"/>
  <c r="G344" i="5"/>
  <c r="G340" i="5"/>
  <c r="G336" i="5"/>
  <c r="G332" i="5"/>
  <c r="G328" i="5"/>
  <c r="G324" i="5"/>
  <c r="G320" i="5"/>
  <c r="G316" i="5"/>
  <c r="G312" i="5"/>
  <c r="G308" i="5"/>
  <c r="G304" i="5"/>
  <c r="G300" i="5"/>
  <c r="G296" i="5"/>
  <c r="G292" i="5"/>
  <c r="G288" i="5"/>
  <c r="G284" i="5"/>
  <c r="G280" i="5"/>
  <c r="G276" i="5"/>
  <c r="G272" i="5"/>
  <c r="G268" i="5"/>
  <c r="G264" i="5"/>
  <c r="G260" i="5"/>
  <c r="G256" i="5"/>
  <c r="G252" i="5"/>
  <c r="G248" i="5"/>
  <c r="G244" i="5"/>
  <c r="G240" i="5"/>
  <c r="G236" i="5"/>
  <c r="G232" i="5"/>
  <c r="G228" i="5"/>
  <c r="G224" i="5"/>
  <c r="G220" i="5"/>
  <c r="G216" i="5"/>
  <c r="G212" i="5"/>
  <c r="G208" i="5"/>
  <c r="G204" i="5"/>
  <c r="G200" i="5"/>
  <c r="G196" i="5"/>
  <c r="G192" i="5"/>
  <c r="G188" i="5"/>
  <c r="G184" i="5"/>
  <c r="G180" i="5"/>
  <c r="G176" i="5"/>
  <c r="G172" i="5"/>
  <c r="G168" i="5"/>
  <c r="G164" i="5"/>
  <c r="G160" i="5"/>
  <c r="G156" i="5"/>
  <c r="G152" i="5"/>
  <c r="G148" i="5"/>
  <c r="G144" i="5"/>
  <c r="G140" i="5"/>
  <c r="G136" i="5"/>
  <c r="G132" i="5"/>
  <c r="G128" i="5"/>
  <c r="G124" i="5"/>
  <c r="G120" i="5"/>
  <c r="G116" i="5"/>
  <c r="G112" i="5"/>
  <c r="G108" i="5"/>
  <c r="G104" i="5"/>
  <c r="G100" i="5"/>
  <c r="G96" i="5"/>
  <c r="G92" i="5"/>
  <c r="G88" i="5"/>
  <c r="G84" i="5"/>
  <c r="G80" i="5"/>
  <c r="G76" i="5"/>
  <c r="G72" i="5"/>
  <c r="G68" i="5"/>
  <c r="G64" i="5"/>
  <c r="G60" i="5"/>
  <c r="G56" i="5"/>
  <c r="G52" i="5"/>
  <c r="G48" i="5"/>
  <c r="G44" i="5"/>
  <c r="G40" i="5"/>
  <c r="G36" i="5"/>
  <c r="G32" i="5"/>
  <c r="G28" i="5"/>
  <c r="G24" i="5"/>
  <c r="G20" i="5"/>
  <c r="G16" i="5"/>
  <c r="G12" i="5"/>
  <c r="G8" i="5"/>
  <c r="G4" i="5"/>
  <c r="G383" i="5"/>
  <c r="G379" i="5"/>
  <c r="G375" i="5"/>
  <c r="G371" i="5"/>
  <c r="G367" i="5"/>
  <c r="G363" i="5"/>
  <c r="G359" i="5"/>
  <c r="G355" i="5"/>
  <c r="G351" i="5"/>
  <c r="G347" i="5"/>
  <c r="G343" i="5"/>
  <c r="G339" i="5"/>
  <c r="G335" i="5"/>
  <c r="G331" i="5"/>
  <c r="G327" i="5"/>
  <c r="G323" i="5"/>
  <c r="G319" i="5"/>
  <c r="G315" i="5"/>
  <c r="G311" i="5"/>
  <c r="G307" i="5"/>
  <c r="G303" i="5"/>
  <c r="G299" i="5"/>
  <c r="G295" i="5"/>
  <c r="G291" i="5"/>
  <c r="G287" i="5"/>
  <c r="G283" i="5"/>
  <c r="G279" i="5"/>
  <c r="G275" i="5"/>
  <c r="G271" i="5"/>
  <c r="G267" i="5"/>
  <c r="G263" i="5"/>
  <c r="G259" i="5"/>
  <c r="G255" i="5"/>
  <c r="G251" i="5"/>
  <c r="G247" i="5"/>
  <c r="G243" i="5"/>
  <c r="G239" i="5"/>
  <c r="G235" i="5"/>
  <c r="G231" i="5"/>
  <c r="G227" i="5"/>
  <c r="G223" i="5"/>
  <c r="G219" i="5"/>
  <c r="G215" i="5"/>
  <c r="G211" i="5"/>
  <c r="G207" i="5"/>
  <c r="G203" i="5"/>
  <c r="G199" i="5"/>
  <c r="G195" i="5"/>
  <c r="G191" i="5"/>
  <c r="G187" i="5"/>
  <c r="G183" i="5"/>
  <c r="G179" i="5"/>
  <c r="G175" i="5"/>
  <c r="G171" i="5"/>
  <c r="G167" i="5"/>
  <c r="G163" i="5"/>
  <c r="G159" i="5"/>
  <c r="G155" i="5"/>
  <c r="G151" i="5"/>
  <c r="G147" i="5"/>
  <c r="G143" i="5"/>
  <c r="G139" i="5"/>
  <c r="G135" i="5"/>
  <c r="G131" i="5"/>
  <c r="G127" i="5"/>
  <c r="G123" i="5"/>
  <c r="G119" i="5"/>
  <c r="G115" i="5"/>
  <c r="G111" i="5"/>
  <c r="G107" i="5"/>
  <c r="G103" i="5"/>
  <c r="G99" i="5"/>
  <c r="G95" i="5"/>
  <c r="G91" i="5"/>
  <c r="G87" i="5"/>
  <c r="G83" i="5"/>
  <c r="G79" i="5"/>
  <c r="G75" i="5"/>
  <c r="G71" i="5"/>
  <c r="G67" i="5"/>
  <c r="G63" i="5"/>
  <c r="G59" i="5"/>
  <c r="G55" i="5"/>
  <c r="G51" i="5"/>
  <c r="G47" i="5"/>
  <c r="G43" i="5"/>
  <c r="G39" i="5"/>
  <c r="G35" i="5"/>
  <c r="G31" i="5"/>
  <c r="G27" i="5"/>
  <c r="G23" i="5"/>
  <c r="G19" i="5"/>
  <c r="G15" i="5"/>
  <c r="G11" i="5"/>
  <c r="G7" i="5"/>
  <c r="G3" i="5"/>
  <c r="G518" i="5"/>
  <c r="G514" i="5"/>
  <c r="G510" i="5"/>
  <c r="G506" i="5"/>
  <c r="G502" i="5"/>
  <c r="G498" i="5"/>
  <c r="G494" i="5"/>
  <c r="G490" i="5"/>
  <c r="G486" i="5"/>
  <c r="G482" i="5"/>
  <c r="G478" i="5"/>
  <c r="G474" i="5"/>
  <c r="G470" i="5"/>
  <c r="G466" i="5"/>
  <c r="G462" i="5"/>
  <c r="G458" i="5"/>
  <c r="G454" i="5"/>
  <c r="G450" i="5"/>
  <c r="G446" i="5"/>
  <c r="G442" i="5"/>
  <c r="G438" i="5"/>
  <c r="G434" i="5"/>
  <c r="G430" i="5"/>
  <c r="G426" i="5"/>
  <c r="G422" i="5"/>
  <c r="G418" i="5"/>
  <c r="G414" i="5"/>
  <c r="G410" i="5"/>
  <c r="G406" i="5"/>
  <c r="G402" i="5"/>
  <c r="G398" i="5"/>
  <c r="G394" i="5"/>
  <c r="G390" i="5"/>
  <c r="G386" i="5"/>
  <c r="G382" i="5"/>
  <c r="G378" i="5"/>
  <c r="G374" i="5"/>
  <c r="G370" i="5"/>
  <c r="G366" i="5"/>
  <c r="G362" i="5"/>
  <c r="G358" i="5"/>
  <c r="G354" i="5"/>
  <c r="G350" i="5"/>
  <c r="G346" i="5"/>
  <c r="G342" i="5"/>
  <c r="G338" i="5"/>
  <c r="G334" i="5"/>
  <c r="G330" i="5"/>
  <c r="G326" i="5"/>
  <c r="G322" i="5"/>
  <c r="G318" i="5"/>
  <c r="G314" i="5"/>
  <c r="G310" i="5"/>
  <c r="G306" i="5"/>
  <c r="G302" i="5"/>
  <c r="G298" i="5"/>
  <c r="G294" i="5"/>
  <c r="G290" i="5"/>
  <c r="G286" i="5"/>
  <c r="G282" i="5"/>
  <c r="G278" i="5"/>
  <c r="G274" i="5"/>
  <c r="G270" i="5"/>
  <c r="G266" i="5"/>
  <c r="G262" i="5"/>
  <c r="G258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6" i="5"/>
  <c r="G182" i="5"/>
  <c r="G178" i="5"/>
  <c r="G174" i="5"/>
  <c r="G170" i="5"/>
  <c r="G166" i="5"/>
  <c r="G162" i="5"/>
  <c r="G158" i="5"/>
  <c r="G154" i="5"/>
  <c r="G150" i="5"/>
  <c r="G146" i="5"/>
  <c r="G142" i="5"/>
  <c r="G138" i="5"/>
  <c r="G134" i="5"/>
  <c r="G130" i="5"/>
  <c r="G126" i="5"/>
  <c r="G122" i="5"/>
  <c r="G118" i="5"/>
  <c r="G114" i="5"/>
  <c r="G110" i="5"/>
  <c r="G106" i="5"/>
  <c r="G102" i="5"/>
  <c r="G98" i="5"/>
  <c r="G94" i="5"/>
  <c r="G90" i="5"/>
  <c r="G86" i="5"/>
  <c r="G82" i="5"/>
  <c r="G78" i="5"/>
  <c r="G74" i="5"/>
  <c r="G70" i="5"/>
  <c r="G66" i="5"/>
  <c r="G62" i="5"/>
  <c r="G58" i="5"/>
  <c r="G54" i="5"/>
  <c r="G50" i="5"/>
  <c r="G46" i="5"/>
  <c r="G42" i="5"/>
  <c r="G38" i="5"/>
  <c r="G34" i="5"/>
  <c r="G30" i="5"/>
  <c r="G26" i="5"/>
  <c r="G22" i="5"/>
  <c r="G18" i="5"/>
  <c r="G14" i="5"/>
  <c r="G10" i="5"/>
  <c r="G6" i="5"/>
  <c r="J976" i="7" l="1"/>
  <c r="J510" i="7"/>
  <c r="J462" i="7"/>
  <c r="J466" i="7"/>
  <c r="J434" i="7"/>
  <c r="J418" i="7"/>
  <c r="J402" i="7"/>
  <c r="J386" i="7"/>
  <c r="J370" i="7"/>
  <c r="J354" i="7"/>
  <c r="J338" i="7"/>
  <c r="J326" i="7"/>
  <c r="J310" i="7"/>
  <c r="J893" i="7"/>
  <c r="J831" i="7"/>
  <c r="J897" i="7"/>
  <c r="J502" i="7"/>
  <c r="J815" i="7"/>
  <c r="J449" i="7"/>
  <c r="J863" i="7"/>
  <c r="J643" i="7"/>
  <c r="J635" i="7"/>
  <c r="J639" i="7"/>
  <c r="J552" i="7"/>
  <c r="J536" i="7"/>
  <c r="J520" i="7"/>
  <c r="J504" i="7"/>
  <c r="J488" i="7"/>
  <c r="J472" i="7"/>
  <c r="J456" i="7"/>
  <c r="J564" i="7"/>
  <c r="J969" i="7"/>
  <c r="J985" i="7"/>
  <c r="J957" i="7"/>
  <c r="J925" i="7"/>
  <c r="J454" i="7"/>
  <c r="J430" i="7"/>
  <c r="J414" i="7"/>
  <c r="J398" i="7"/>
  <c r="J382" i="7"/>
  <c r="J366" i="7"/>
  <c r="J350" i="7"/>
  <c r="J334" i="7"/>
  <c r="J155" i="7"/>
  <c r="J66" i="7"/>
  <c r="J34" i="7"/>
  <c r="J132" i="7"/>
  <c r="J396" i="7"/>
  <c r="J364" i="7"/>
  <c r="J291" i="7"/>
  <c r="J192" i="7"/>
  <c r="J179" i="7"/>
  <c r="J93" i="7"/>
  <c r="J46" i="7"/>
  <c r="J977" i="7"/>
  <c r="J929" i="7"/>
  <c r="J38" i="7"/>
  <c r="J164" i="7"/>
  <c r="J156" i="7"/>
  <c r="J124" i="7"/>
  <c r="J42" i="7"/>
  <c r="J866" i="7"/>
  <c r="J299" i="7"/>
  <c r="J143" i="7"/>
  <c r="J54" i="7"/>
  <c r="J264" i="7"/>
  <c r="J341" i="7"/>
  <c r="J589" i="7"/>
  <c r="J594" i="7"/>
  <c r="J172" i="7"/>
  <c r="J566" i="7"/>
  <c r="J490" i="7"/>
  <c r="J538" i="7"/>
  <c r="J236" i="7"/>
  <c r="J323" i="7"/>
  <c r="J791" i="7"/>
  <c r="J759" i="7"/>
  <c r="J727" i="7"/>
  <c r="J770" i="7"/>
  <c r="J786" i="7"/>
  <c r="J980" i="7"/>
  <c r="J356" i="7"/>
  <c r="J145" i="7"/>
  <c r="J1000" i="7"/>
  <c r="J992" i="7"/>
  <c r="J984" i="7"/>
  <c r="J972" i="7"/>
  <c r="J840" i="7"/>
  <c r="J494" i="7"/>
  <c r="J458" i="7"/>
  <c r="J437" i="7"/>
  <c r="J429" i="7"/>
  <c r="J421" i="7"/>
  <c r="J413" i="7"/>
  <c r="J405" i="7"/>
  <c r="J517" i="7"/>
  <c r="J322" i="7"/>
  <c r="J306" i="7"/>
  <c r="J877" i="7"/>
  <c r="J881" i="7"/>
  <c r="J688" i="7"/>
  <c r="J482" i="7"/>
  <c r="J931" i="7"/>
  <c r="J839" i="7"/>
  <c r="J534" i="7"/>
  <c r="J979" i="7"/>
  <c r="J856" i="7"/>
  <c r="J486" i="7"/>
  <c r="J541" i="7"/>
  <c r="J319" i="7"/>
  <c r="J208" i="7"/>
  <c r="J814" i="7"/>
  <c r="J498" i="7"/>
  <c r="J365" i="7"/>
  <c r="J807" i="7"/>
  <c r="J518" i="7"/>
  <c r="J865" i="7"/>
  <c r="J9" i="7"/>
  <c r="J542" i="7"/>
  <c r="J910" i="7"/>
  <c r="J775" i="7"/>
  <c r="J743" i="7"/>
  <c r="J960" i="7"/>
  <c r="J924" i="7"/>
  <c r="J849" i="7"/>
  <c r="J861" i="7"/>
  <c r="J795" i="7"/>
  <c r="J747" i="7"/>
  <c r="J286" i="7"/>
  <c r="J270" i="7"/>
  <c r="J254" i="7"/>
  <c r="J238" i="7"/>
  <c r="J222" i="7"/>
  <c r="J206" i="7"/>
  <c r="J290" i="7"/>
  <c r="J282" i="7"/>
  <c r="J274" i="7"/>
  <c r="J266" i="7"/>
  <c r="J258" i="7"/>
  <c r="J250" i="7"/>
  <c r="J242" i="7"/>
  <c r="J234" i="7"/>
  <c r="J226" i="7"/>
  <c r="J218" i="7"/>
  <c r="J210" i="7"/>
  <c r="J202" i="7"/>
  <c r="J194" i="7"/>
  <c r="J173" i="7"/>
  <c r="J141" i="7"/>
  <c r="J169" i="7"/>
  <c r="J137" i="7"/>
  <c r="J181" i="7"/>
  <c r="J149" i="7"/>
  <c r="J827" i="7"/>
  <c r="J988" i="7"/>
  <c r="J478" i="7"/>
  <c r="J451" i="7"/>
  <c r="J442" i="7"/>
  <c r="J426" i="7"/>
  <c r="J410" i="7"/>
  <c r="J394" i="7"/>
  <c r="J378" i="7"/>
  <c r="J362" i="7"/>
  <c r="J346" i="7"/>
  <c r="J125" i="7"/>
  <c r="J318" i="7"/>
  <c r="J121" i="7"/>
  <c r="J120" i="7"/>
  <c r="J345" i="7"/>
  <c r="J329" i="7"/>
  <c r="J321" i="7"/>
  <c r="J313" i="7"/>
  <c r="J305" i="7"/>
  <c r="J869" i="7"/>
  <c r="J823" i="7"/>
  <c r="J803" i="7"/>
  <c r="J522" i="7"/>
  <c r="J530" i="7"/>
  <c r="J397" i="7"/>
  <c r="J905" i="7"/>
  <c r="J389" i="7"/>
  <c r="J357" i="7"/>
  <c r="J331" i="7"/>
  <c r="J554" i="7"/>
  <c r="J704" i="7"/>
  <c r="J609" i="7"/>
  <c r="J799" i="7"/>
  <c r="J746" i="7"/>
  <c r="J964" i="7"/>
  <c r="J961" i="7"/>
  <c r="J928" i="7"/>
  <c r="J601" i="7"/>
  <c r="J952" i="7"/>
  <c r="J920" i="7"/>
  <c r="J907" i="7"/>
  <c r="J845" i="7"/>
  <c r="J779" i="7"/>
  <c r="J763" i="7"/>
  <c r="J731" i="7"/>
  <c r="J855" i="7"/>
  <c r="J783" i="7"/>
  <c r="J767" i="7"/>
  <c r="J751" i="7"/>
  <c r="J735" i="7"/>
  <c r="J738" i="7"/>
  <c r="J611" i="7"/>
  <c r="J778" i="7"/>
  <c r="J754" i="7"/>
  <c r="J603" i="7"/>
  <c r="J762" i="7"/>
  <c r="J607" i="7"/>
  <c r="J544" i="7"/>
  <c r="J528" i="7"/>
  <c r="J512" i="7"/>
  <c r="J496" i="7"/>
  <c r="J480" i="7"/>
  <c r="J464" i="7"/>
  <c r="J595" i="7"/>
  <c r="J193" i="7"/>
  <c r="J161" i="7"/>
  <c r="J996" i="7"/>
  <c r="J941" i="7"/>
  <c r="J932" i="7"/>
  <c r="J848" i="7"/>
  <c r="J811" i="7"/>
  <c r="J953" i="7"/>
  <c r="J993" i="7"/>
  <c r="J973" i="7"/>
  <c r="J835" i="7"/>
  <c r="J916" i="7"/>
  <c r="J819" i="7"/>
  <c r="J470" i="7"/>
  <c r="J447" i="7"/>
  <c r="J843" i="7"/>
  <c r="J610" i="7"/>
  <c r="J526" i="7"/>
  <c r="J474" i="7"/>
  <c r="J438" i="7"/>
  <c r="J422" i="7"/>
  <c r="J406" i="7"/>
  <c r="J390" i="7"/>
  <c r="J374" i="7"/>
  <c r="J358" i="7"/>
  <c r="J342" i="7"/>
  <c r="J441" i="7"/>
  <c r="J433" i="7"/>
  <c r="J425" i="7"/>
  <c r="J417" i="7"/>
  <c r="J409" i="7"/>
  <c r="J401" i="7"/>
  <c r="J642" i="7"/>
  <c r="J485" i="7"/>
  <c r="J330" i="7"/>
  <c r="J314" i="7"/>
  <c r="J340" i="7"/>
  <c r="J275" i="7"/>
  <c r="J183" i="7"/>
  <c r="J50" i="7"/>
  <c r="J22" i="7"/>
  <c r="J6" i="7"/>
  <c r="J195" i="7"/>
  <c r="J109" i="7"/>
  <c r="J377" i="7"/>
  <c r="J348" i="7"/>
  <c r="J188" i="7"/>
  <c r="J151" i="7"/>
  <c r="J62" i="7"/>
  <c r="J30" i="7"/>
  <c r="J945" i="7"/>
  <c r="J259" i="7"/>
  <c r="J177" i="7"/>
  <c r="J175" i="7"/>
  <c r="J160" i="7"/>
  <c r="J147" i="7"/>
  <c r="J118" i="7"/>
  <c r="J58" i="7"/>
  <c r="J26" i="7"/>
  <c r="J10" i="7"/>
  <c r="J692" i="7"/>
  <c r="J92" i="7"/>
  <c r="J77" i="7"/>
  <c r="J901" i="7"/>
  <c r="J908" i="7"/>
  <c r="J641" i="7"/>
  <c r="J550" i="7"/>
  <c r="J514" i="7"/>
  <c r="J963" i="7"/>
  <c r="J672" i="7"/>
  <c r="J506" i="7"/>
  <c r="J207" i="7"/>
  <c r="J947" i="7"/>
  <c r="J801" i="7"/>
  <c r="J885" i="7"/>
  <c r="J381" i="7"/>
  <c r="J703" i="7"/>
  <c r="J303" i="7"/>
  <c r="J279" i="7"/>
  <c r="J119" i="7"/>
  <c r="J315" i="7"/>
  <c r="J180" i="7"/>
  <c r="J889" i="7"/>
  <c r="J349" i="7"/>
  <c r="J373" i="7"/>
</calcChain>
</file>

<file path=xl/connections.xml><?xml version="1.0" encoding="utf-8"?>
<connections xmlns="http://schemas.openxmlformats.org/spreadsheetml/2006/main">
  <connection id="1" name="ips" type="6" refreshedVersion="6" background="1" saveData="1">
    <textPr codePage="65001" sourceFile="C:\Users\2022aR\Desktop\Matura\2023-01S\ips.txt" decimal="," thousands=" " tab="0" semicolon="1">
      <textFields count="3">
        <textField/>
        <textField/>
        <textField/>
      </textFields>
    </textPr>
  </connection>
  <connection id="2" name="ips1" type="6" refreshedVersion="6" background="1" saveData="1">
    <textPr codePage="65001" sourceFile="C:\Users\2022aR\Desktop\Matura\2023-01S\ips.txt" decimal="," thousands=" " tab="0" semicolon="1">
      <textFields count="3">
        <textField/>
        <textField/>
        <textField/>
      </textFields>
    </textPr>
  </connection>
  <connection id="3" name="ips2" type="6" refreshedVersion="6" background="1" saveData="1">
    <textPr codePage="65001" sourceFile="C:\Users\2022aR\Desktop\Matura\2023-01S\ips.txt" decimal="," thousands=" " tab="0" semicolon="1">
      <textFields count="3">
        <textField type="text"/>
        <textField/>
        <textField/>
      </textFields>
    </textPr>
  </connection>
  <connection id="4" name="ips21" type="6" refreshedVersion="6" background="1" saveData="1">
    <textPr codePage="65001" sourceFile="C:\Users\2022aR\Desktop\Matura\2023-01S\ips.txt" decimal="," thousands=" " tab="0" semicolon="1">
      <textFields count="3">
        <textField type="text"/>
        <textField/>
        <textField/>
      </textFields>
    </textPr>
  </connection>
  <connection id="5" name="ips22" type="6" refreshedVersion="6" background="1" saveData="1">
    <textPr codePage="65001" sourceFile="C:\Users\2022aR\Desktop\Matura\2023-01S\ips.txt" decimal="," thousands=" " tab="0" semicolon="1">
      <textFields count="3">
        <textField type="text"/>
        <textField/>
        <textField/>
      </textFields>
    </textPr>
  </connection>
  <connection id="6" name="ips23" type="6" refreshedVersion="6" background="1" saveData="1">
    <textPr codePage="65001" sourceFile="C:\Users\2022aR\Desktop\Matura\2023-01S\ips.txt" decimal="," thousands=" " tab="0" semicolon="1">
      <textFields count="3">
        <textField type="text"/>
        <textField/>
        <textField/>
      </textFields>
    </textPr>
  </connection>
  <connection id="7" name="ips24" type="6" refreshedVersion="6" background="1" saveData="1">
    <textPr codePage="65001" sourceFile="C:\Users\2022aR\Desktop\Matura\2023-01S\ips.txt" decimal="," thousands=" " tab="0" semicolon="1">
      <textFields count="3">
        <textField type="text"/>
        <textField/>
        <textField/>
      </textFields>
    </textPr>
  </connection>
  <connection id="8" name="ips25" type="6" refreshedVersion="6" background="1" saveData="1">
    <textPr codePage="65001" sourceFile="C:\Users\2022aR\Desktop\Matura\2023-01S\ips.txt" decimal="," thousands=" " tab="0" semicolon="1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<sst xmlns="http://schemas.openxmlformats.org/spreadsheetml/2006/main" count="22131" uniqueCount="1061">
  <si>
    <t>pesel</t>
  </si>
  <si>
    <t>województwo</t>
  </si>
  <si>
    <t>miesjce zamieszkania (miasto-wieś)</t>
  </si>
  <si>
    <t>zachodniopomorskie</t>
  </si>
  <si>
    <t>wieś</t>
  </si>
  <si>
    <t>pomorskie</t>
  </si>
  <si>
    <t>miasto</t>
  </si>
  <si>
    <t>świętokrzyskie</t>
  </si>
  <si>
    <t>lubuskie</t>
  </si>
  <si>
    <t>małopolskie</t>
  </si>
  <si>
    <t>lubelskie</t>
  </si>
  <si>
    <t>śląskie</t>
  </si>
  <si>
    <t>warmińsko-mazurskie</t>
  </si>
  <si>
    <t>mazowieckie</t>
  </si>
  <si>
    <t>podlaskie</t>
  </si>
  <si>
    <t>podkarpackie</t>
  </si>
  <si>
    <t>wielkopolskie</t>
  </si>
  <si>
    <t>opolskie</t>
  </si>
  <si>
    <t>kujawsko-pomorskie</t>
  </si>
  <si>
    <t>łódzkie</t>
  </si>
  <si>
    <t>dolnośląskie</t>
  </si>
  <si>
    <t>Etykiety kolumn</t>
  </si>
  <si>
    <t>Suma końcowa</t>
  </si>
  <si>
    <t>Liczba z pesel</t>
  </si>
  <si>
    <t>Województwo</t>
  </si>
  <si>
    <t>Ilość z miasta</t>
  </si>
  <si>
    <t>Ilość ze wsi</t>
  </si>
  <si>
    <t>rok</t>
  </si>
  <si>
    <t>93071285223</t>
  </si>
  <si>
    <t>71100161818</t>
  </si>
  <si>
    <t>81042322710</t>
  </si>
  <si>
    <t>72083133476</t>
  </si>
  <si>
    <t>50072800150</t>
  </si>
  <si>
    <t>93050716944</t>
  </si>
  <si>
    <t>72081479033</t>
  </si>
  <si>
    <t>95090874952</t>
  </si>
  <si>
    <t>61121070211</t>
  </si>
  <si>
    <t>81051730520</t>
  </si>
  <si>
    <t>95061702620</t>
  </si>
  <si>
    <t>50080851678</t>
  </si>
  <si>
    <t>79092865583</t>
  </si>
  <si>
    <t>66091136037</t>
  </si>
  <si>
    <t>84081042483</t>
  </si>
  <si>
    <t>76012491819</t>
  </si>
  <si>
    <t>60112365499</t>
  </si>
  <si>
    <t>95100981335</t>
  </si>
  <si>
    <t>91111640340</t>
  </si>
  <si>
    <t>74012678094</t>
  </si>
  <si>
    <t>83041036704</t>
  </si>
  <si>
    <t>61122682262</t>
  </si>
  <si>
    <t>91120411609</t>
  </si>
  <si>
    <t>72082694471</t>
  </si>
  <si>
    <t>97122899159</t>
  </si>
  <si>
    <t>56071053131</t>
  </si>
  <si>
    <t>83020158890</t>
  </si>
  <si>
    <t>86040879028</t>
  </si>
  <si>
    <t>56102724748</t>
  </si>
  <si>
    <t>57011144311</t>
  </si>
  <si>
    <t>88040991416</t>
  </si>
  <si>
    <t>86112649382</t>
  </si>
  <si>
    <t>71010805927</t>
  </si>
  <si>
    <t>94062395770</t>
  </si>
  <si>
    <t>61120262307</t>
  </si>
  <si>
    <t>81061212645</t>
  </si>
  <si>
    <t>82030696103</t>
  </si>
  <si>
    <t>94022848630</t>
  </si>
  <si>
    <t>99020135465</t>
  </si>
  <si>
    <t>82080288567</t>
  </si>
  <si>
    <t>66020115140</t>
  </si>
  <si>
    <t>86032868618</t>
  </si>
  <si>
    <t>83111806237</t>
  </si>
  <si>
    <t>67092597948</t>
  </si>
  <si>
    <t>55032362187</t>
  </si>
  <si>
    <t>68111551073</t>
  </si>
  <si>
    <t>72050199081</t>
  </si>
  <si>
    <t>89110619812</t>
  </si>
  <si>
    <t>92062939635</t>
  </si>
  <si>
    <t>96022721818</t>
  </si>
  <si>
    <t>67082759149</t>
  </si>
  <si>
    <t>53041338908</t>
  </si>
  <si>
    <t>85070464356</t>
  </si>
  <si>
    <t>67110443901</t>
  </si>
  <si>
    <t>76112956896</t>
  </si>
  <si>
    <t>78072344438</t>
  </si>
  <si>
    <t>50092746764</t>
  </si>
  <si>
    <t>67090933304</t>
  </si>
  <si>
    <t>94070783248</t>
  </si>
  <si>
    <t>78031408458</t>
  </si>
  <si>
    <t>75111802177</t>
  </si>
  <si>
    <t>84011772408</t>
  </si>
  <si>
    <t>73101944548</t>
  </si>
  <si>
    <t>98112560941</t>
  </si>
  <si>
    <t>80020544623</t>
  </si>
  <si>
    <t>78090623276</t>
  </si>
  <si>
    <t>85100461779</t>
  </si>
  <si>
    <t>62103049429</t>
  </si>
  <si>
    <t>64092166116</t>
  </si>
  <si>
    <t>72112844735</t>
  </si>
  <si>
    <t>90071102655</t>
  </si>
  <si>
    <t>80100724608</t>
  </si>
  <si>
    <t>67111696971</t>
  </si>
  <si>
    <t>87100455842</t>
  </si>
  <si>
    <t>64090118269</t>
  </si>
  <si>
    <t>61061727275</t>
  </si>
  <si>
    <t>66121567550</t>
  </si>
  <si>
    <t>92102923299</t>
  </si>
  <si>
    <t>97011978576</t>
  </si>
  <si>
    <t>75042006365</t>
  </si>
  <si>
    <t>51100113466</t>
  </si>
  <si>
    <t>72073013618</t>
  </si>
  <si>
    <t>95071506935</t>
  </si>
  <si>
    <t>64082706270</t>
  </si>
  <si>
    <t>74102033752</t>
  </si>
  <si>
    <t>57081355125</t>
  </si>
  <si>
    <t>63091825499</t>
  </si>
  <si>
    <t>90040264315</t>
  </si>
  <si>
    <t>93021005602</t>
  </si>
  <si>
    <t>71060935904</t>
  </si>
  <si>
    <t>66042814865</t>
  </si>
  <si>
    <t>97080217897</t>
  </si>
  <si>
    <t>81053035807</t>
  </si>
  <si>
    <t>91022423029</t>
  </si>
  <si>
    <t>75090195129</t>
  </si>
  <si>
    <t>84070107438</t>
  </si>
  <si>
    <t>66043085280</t>
  </si>
  <si>
    <t>50121269604</t>
  </si>
  <si>
    <t>85122146708</t>
  </si>
  <si>
    <t>90010495521</t>
  </si>
  <si>
    <t>72100728249</t>
  </si>
  <si>
    <t>54082626522</t>
  </si>
  <si>
    <t>60082633448</t>
  </si>
  <si>
    <t>57091615958</t>
  </si>
  <si>
    <t>87111052780</t>
  </si>
  <si>
    <t>50040740697</t>
  </si>
  <si>
    <t>68101095387</t>
  </si>
  <si>
    <t>62033049740</t>
  </si>
  <si>
    <t>79072780929</t>
  </si>
  <si>
    <t>94051017843</t>
  </si>
  <si>
    <t>98010553667</t>
  </si>
  <si>
    <t>98052401375</t>
  </si>
  <si>
    <t>86072999428</t>
  </si>
  <si>
    <t>76061601553</t>
  </si>
  <si>
    <t>69011748389</t>
  </si>
  <si>
    <t>72053198339</t>
  </si>
  <si>
    <t>92111126939</t>
  </si>
  <si>
    <t>56122609544</t>
  </si>
  <si>
    <t>78022120507</t>
  </si>
  <si>
    <t>93062318824</t>
  </si>
  <si>
    <t>68111201527</t>
  </si>
  <si>
    <t>78071480489</t>
  </si>
  <si>
    <t>76051975909</t>
  </si>
  <si>
    <t>64062904454</t>
  </si>
  <si>
    <t>88040681139</t>
  </si>
  <si>
    <t>82102913532</t>
  </si>
  <si>
    <t>80111550241</t>
  </si>
  <si>
    <t>73042186560</t>
  </si>
  <si>
    <t>71111622249</t>
  </si>
  <si>
    <t>52042431764</t>
  </si>
  <si>
    <t>94110574874</t>
  </si>
  <si>
    <t>97070314418</t>
  </si>
  <si>
    <t>68020157834</t>
  </si>
  <si>
    <t>61032343220</t>
  </si>
  <si>
    <t>89051851742</t>
  </si>
  <si>
    <t>97090739563</t>
  </si>
  <si>
    <t>61080507803</t>
  </si>
  <si>
    <t>66022228110</t>
  </si>
  <si>
    <t>53120902549</t>
  </si>
  <si>
    <t>84010544767</t>
  </si>
  <si>
    <t>94111642336</t>
  </si>
  <si>
    <t>83080941885</t>
  </si>
  <si>
    <t>99020631770</t>
  </si>
  <si>
    <t>99111303315</t>
  </si>
  <si>
    <t>51092524844</t>
  </si>
  <si>
    <t>56021402794</t>
  </si>
  <si>
    <t>61052346386</t>
  </si>
  <si>
    <t>51122893889</t>
  </si>
  <si>
    <t>71063060230</t>
  </si>
  <si>
    <t>74072279383</t>
  </si>
  <si>
    <t>91091481535</t>
  </si>
  <si>
    <t>57122300244</t>
  </si>
  <si>
    <t>99041479098</t>
  </si>
  <si>
    <t>67100309631</t>
  </si>
  <si>
    <t>82062058218</t>
  </si>
  <si>
    <t>57122013287</t>
  </si>
  <si>
    <t>67112146802</t>
  </si>
  <si>
    <t>87090221803</t>
  </si>
  <si>
    <t>61032430030</t>
  </si>
  <si>
    <t>64080716404</t>
  </si>
  <si>
    <t>59062796578</t>
  </si>
  <si>
    <t>65040627947</t>
  </si>
  <si>
    <t>94122638353</t>
  </si>
  <si>
    <t>58091381319</t>
  </si>
  <si>
    <t>73112332640</t>
  </si>
  <si>
    <t>61052868334</t>
  </si>
  <si>
    <t>71021611182</t>
  </si>
  <si>
    <t>56082234284</t>
  </si>
  <si>
    <t>99101200505</t>
  </si>
  <si>
    <t>52101785894</t>
  </si>
  <si>
    <t>86091601548</t>
  </si>
  <si>
    <t>58071981807</t>
  </si>
  <si>
    <t>95030424298</t>
  </si>
  <si>
    <t>91110362072</t>
  </si>
  <si>
    <t>56010667456</t>
  </si>
  <si>
    <t>75062741479</t>
  </si>
  <si>
    <t>94111155399</t>
  </si>
  <si>
    <t>81021537391</t>
  </si>
  <si>
    <t>90103167461</t>
  </si>
  <si>
    <t>72033126578</t>
  </si>
  <si>
    <t>90010474418</t>
  </si>
  <si>
    <t>93101150990</t>
  </si>
  <si>
    <t>96091515974</t>
  </si>
  <si>
    <t>65011096293</t>
  </si>
  <si>
    <t>53123191577</t>
  </si>
  <si>
    <t>73060298351</t>
  </si>
  <si>
    <t>77121944265</t>
  </si>
  <si>
    <t>68031048828</t>
  </si>
  <si>
    <t>98100693644</t>
  </si>
  <si>
    <t>76072914871</t>
  </si>
  <si>
    <t>55041429471</t>
  </si>
  <si>
    <t>96010658900</t>
  </si>
  <si>
    <t>84032372784</t>
  </si>
  <si>
    <t>50101409189</t>
  </si>
  <si>
    <t>54122295170</t>
  </si>
  <si>
    <t>67092404057</t>
  </si>
  <si>
    <t>67022391071</t>
  </si>
  <si>
    <t>97041948136</t>
  </si>
  <si>
    <t>99011275523</t>
  </si>
  <si>
    <t>57071222781</t>
  </si>
  <si>
    <t>93012973237</t>
  </si>
  <si>
    <t>59082791780</t>
  </si>
  <si>
    <t>81091693078</t>
  </si>
  <si>
    <t>71022845751</t>
  </si>
  <si>
    <t>74123045345</t>
  </si>
  <si>
    <t>88060484406</t>
  </si>
  <si>
    <t>85012784393</t>
  </si>
  <si>
    <t>94112166637</t>
  </si>
  <si>
    <t>68091657019</t>
  </si>
  <si>
    <t>54081341844</t>
  </si>
  <si>
    <t>60012310953</t>
  </si>
  <si>
    <t>61042978869</t>
  </si>
  <si>
    <t>67122575465</t>
  </si>
  <si>
    <t>85060561687</t>
  </si>
  <si>
    <t>62030546646</t>
  </si>
  <si>
    <t>87071650974</t>
  </si>
  <si>
    <t>80051365079</t>
  </si>
  <si>
    <t>63031207831</t>
  </si>
  <si>
    <t>99112776026</t>
  </si>
  <si>
    <t>90071387764</t>
  </si>
  <si>
    <t>79100121607</t>
  </si>
  <si>
    <t>67021697321</t>
  </si>
  <si>
    <t>80122931244</t>
  </si>
  <si>
    <t>68021561579</t>
  </si>
  <si>
    <t>57051700113</t>
  </si>
  <si>
    <t>96111212067</t>
  </si>
  <si>
    <t>89031099317</t>
  </si>
  <si>
    <t>82091382834</t>
  </si>
  <si>
    <t>51122005161</t>
  </si>
  <si>
    <t>65081827241</t>
  </si>
  <si>
    <t>52073149353</t>
  </si>
  <si>
    <t>52072768764</t>
  </si>
  <si>
    <t>73050819755</t>
  </si>
  <si>
    <t>61041842387</t>
  </si>
  <si>
    <t>66072012686</t>
  </si>
  <si>
    <t>52011513628</t>
  </si>
  <si>
    <t>90030794936</t>
  </si>
  <si>
    <t>79011981318</t>
  </si>
  <si>
    <t>93082049658</t>
  </si>
  <si>
    <t>95020539612</t>
  </si>
  <si>
    <t>62121026899</t>
  </si>
  <si>
    <t>98070529271</t>
  </si>
  <si>
    <t>93030531536</t>
  </si>
  <si>
    <t>89051997242</t>
  </si>
  <si>
    <t>98031592126</t>
  </si>
  <si>
    <t>96032495400</t>
  </si>
  <si>
    <t>76060407716</t>
  </si>
  <si>
    <t>86102363786</t>
  </si>
  <si>
    <t>50011021644</t>
  </si>
  <si>
    <t>79020918057</t>
  </si>
  <si>
    <t>78022471528</t>
  </si>
  <si>
    <t>63121010668</t>
  </si>
  <si>
    <t>56080833942</t>
  </si>
  <si>
    <t>66101082660</t>
  </si>
  <si>
    <t>65052373250</t>
  </si>
  <si>
    <t>54061841533</t>
  </si>
  <si>
    <t>90042297346</t>
  </si>
  <si>
    <t>58012291873</t>
  </si>
  <si>
    <t>88020290896</t>
  </si>
  <si>
    <t>74072307837</t>
  </si>
  <si>
    <t>72122724900</t>
  </si>
  <si>
    <t>76081823199</t>
  </si>
  <si>
    <t>79042502241</t>
  </si>
  <si>
    <t>57071748146</t>
  </si>
  <si>
    <t>69042830493</t>
  </si>
  <si>
    <t>51122805709</t>
  </si>
  <si>
    <t>60100601215</t>
  </si>
  <si>
    <t>71032673014</t>
  </si>
  <si>
    <t>65020176692</t>
  </si>
  <si>
    <t>96030717845</t>
  </si>
  <si>
    <t>58072435114</t>
  </si>
  <si>
    <t>76121983603</t>
  </si>
  <si>
    <t>63102281616</t>
  </si>
  <si>
    <t>60102044179</t>
  </si>
  <si>
    <t>79110638474</t>
  </si>
  <si>
    <t>56031331390</t>
  </si>
  <si>
    <t>88031966519</t>
  </si>
  <si>
    <t>60100214787</t>
  </si>
  <si>
    <t>70080400450</t>
  </si>
  <si>
    <t>71111962853</t>
  </si>
  <si>
    <t>77041828005</t>
  </si>
  <si>
    <t>61082401051</t>
  </si>
  <si>
    <t>53080346768</t>
  </si>
  <si>
    <t>81092123347</t>
  </si>
  <si>
    <t>83102006475</t>
  </si>
  <si>
    <t>57080789431</t>
  </si>
  <si>
    <t>96092868033</t>
  </si>
  <si>
    <t>61040869008</t>
  </si>
  <si>
    <t>56112420867</t>
  </si>
  <si>
    <t>73033131926</t>
  </si>
  <si>
    <t>59071140867</t>
  </si>
  <si>
    <t>53062600392</t>
  </si>
  <si>
    <t>94091797482</t>
  </si>
  <si>
    <t>66082438007</t>
  </si>
  <si>
    <t>70120434153</t>
  </si>
  <si>
    <t>99072313297</t>
  </si>
  <si>
    <t>52032165031</t>
  </si>
  <si>
    <t>89101149319</t>
  </si>
  <si>
    <t>79083070972</t>
  </si>
  <si>
    <t>93021544752</t>
  </si>
  <si>
    <t>92112431197</t>
  </si>
  <si>
    <t>51121146926</t>
  </si>
  <si>
    <t>85111499028</t>
  </si>
  <si>
    <t>98012042048</t>
  </si>
  <si>
    <t>72071093829</t>
  </si>
  <si>
    <t>69040958571</t>
  </si>
  <si>
    <t>69090471617</t>
  </si>
  <si>
    <t>50062151338</t>
  </si>
  <si>
    <t>96123037605</t>
  </si>
  <si>
    <t>50040731114</t>
  </si>
  <si>
    <t>86063067804</t>
  </si>
  <si>
    <t>64070523768</t>
  </si>
  <si>
    <t>61111487140</t>
  </si>
  <si>
    <t>55081402366</t>
  </si>
  <si>
    <t>68101484688</t>
  </si>
  <si>
    <t>96072101624</t>
  </si>
  <si>
    <t>53111372836</t>
  </si>
  <si>
    <t>66050423060</t>
  </si>
  <si>
    <t>50112572104</t>
  </si>
  <si>
    <t>66041509607</t>
  </si>
  <si>
    <t>54111160315</t>
  </si>
  <si>
    <t>56040228672</t>
  </si>
  <si>
    <t>78111431918</t>
  </si>
  <si>
    <t>73070626456</t>
  </si>
  <si>
    <t>61042433348</t>
  </si>
  <si>
    <t>81050869595</t>
  </si>
  <si>
    <t>58091890613</t>
  </si>
  <si>
    <t>66082232755</t>
  </si>
  <si>
    <t>69020508231</t>
  </si>
  <si>
    <t>57111407330</t>
  </si>
  <si>
    <t>52110758050</t>
  </si>
  <si>
    <t>93011246172</t>
  </si>
  <si>
    <t>96121936753</t>
  </si>
  <si>
    <t>79061604939</t>
  </si>
  <si>
    <t>90082985672</t>
  </si>
  <si>
    <t>86010806854</t>
  </si>
  <si>
    <t>60051494601</t>
  </si>
  <si>
    <t>78012615541</t>
  </si>
  <si>
    <t>85120295381</t>
  </si>
  <si>
    <t>52042558504</t>
  </si>
  <si>
    <t>60091893541</t>
  </si>
  <si>
    <t>80021593459</t>
  </si>
  <si>
    <t>62011939184</t>
  </si>
  <si>
    <t>78092814382</t>
  </si>
  <si>
    <t>69060539204</t>
  </si>
  <si>
    <t>54012029489</t>
  </si>
  <si>
    <t>71120775567</t>
  </si>
  <si>
    <t>97082550396</t>
  </si>
  <si>
    <t>83092045281</t>
  </si>
  <si>
    <t>63011212011</t>
  </si>
  <si>
    <t>55040378486</t>
  </si>
  <si>
    <t>93042345873</t>
  </si>
  <si>
    <t>54050436032</t>
  </si>
  <si>
    <t>87110483314</t>
  </si>
  <si>
    <t>56100225593</t>
  </si>
  <si>
    <t>87081751737</t>
  </si>
  <si>
    <t>65030177359</t>
  </si>
  <si>
    <t>98101496192</t>
  </si>
  <si>
    <t>81071437597</t>
  </si>
  <si>
    <t>82042883285</t>
  </si>
  <si>
    <t>76100518516</t>
  </si>
  <si>
    <t>76021655411</t>
  </si>
  <si>
    <t>99083108912</t>
  </si>
  <si>
    <t>53041446074</t>
  </si>
  <si>
    <t>82040651244</t>
  </si>
  <si>
    <t>98062819672</t>
  </si>
  <si>
    <t>71082464877</t>
  </si>
  <si>
    <t>98121450028</t>
  </si>
  <si>
    <t>68111216570</t>
  </si>
  <si>
    <t>96112579475</t>
  </si>
  <si>
    <t>62062966269</t>
  </si>
  <si>
    <t>98012031044</t>
  </si>
  <si>
    <t>81061664770</t>
  </si>
  <si>
    <t>71092819494</t>
  </si>
  <si>
    <t>86121687339</t>
  </si>
  <si>
    <t>57121694261</t>
  </si>
  <si>
    <t>60020736888</t>
  </si>
  <si>
    <t>75020499295</t>
  </si>
  <si>
    <t>77111555550</t>
  </si>
  <si>
    <t>58021758370</t>
  </si>
  <si>
    <t>76082740538</t>
  </si>
  <si>
    <t>98060701454</t>
  </si>
  <si>
    <t>50111946757</t>
  </si>
  <si>
    <t>64011943574</t>
  </si>
  <si>
    <t>64111978557</t>
  </si>
  <si>
    <t>67090828323</t>
  </si>
  <si>
    <t>55011731764</t>
  </si>
  <si>
    <t>76090406305</t>
  </si>
  <si>
    <t>80020819576</t>
  </si>
  <si>
    <t>73020122872</t>
  </si>
  <si>
    <t>67030428862</t>
  </si>
  <si>
    <t>93021206362</t>
  </si>
  <si>
    <t>89050505963</t>
  </si>
  <si>
    <t>73101493325</t>
  </si>
  <si>
    <t>85071473760</t>
  </si>
  <si>
    <t>65071424836</t>
  </si>
  <si>
    <t>61021342298</t>
  </si>
  <si>
    <t>84121422192</t>
  </si>
  <si>
    <t>74092255071</t>
  </si>
  <si>
    <t>53052765728</t>
  </si>
  <si>
    <t>97042931845</t>
  </si>
  <si>
    <t>78062520080</t>
  </si>
  <si>
    <t>65111959825</t>
  </si>
  <si>
    <t>50011440807</t>
  </si>
  <si>
    <t>83111092722</t>
  </si>
  <si>
    <t>75122143973</t>
  </si>
  <si>
    <t>65100549251</t>
  </si>
  <si>
    <t>70021990226</t>
  </si>
  <si>
    <t>79053025344</t>
  </si>
  <si>
    <t>98100739519</t>
  </si>
  <si>
    <t>61040445673</t>
  </si>
  <si>
    <t>54120956644</t>
  </si>
  <si>
    <t>87011726224</t>
  </si>
  <si>
    <t>89122110541</t>
  </si>
  <si>
    <t>63102562292</t>
  </si>
  <si>
    <t>91101758446</t>
  </si>
  <si>
    <t>73041277610</t>
  </si>
  <si>
    <t>63101233720</t>
  </si>
  <si>
    <t>84021497980</t>
  </si>
  <si>
    <t>87051320026</t>
  </si>
  <si>
    <t>87122216434</t>
  </si>
  <si>
    <t>63062929199</t>
  </si>
  <si>
    <t>99011281256</t>
  </si>
  <si>
    <t>72110750487</t>
  </si>
  <si>
    <t>70052334215</t>
  </si>
  <si>
    <t>53080638348</t>
  </si>
  <si>
    <t>63092655936</t>
  </si>
  <si>
    <t>80012365708</t>
  </si>
  <si>
    <t>88092831629</t>
  </si>
  <si>
    <t>63062036462</t>
  </si>
  <si>
    <t>62020662873</t>
  </si>
  <si>
    <t>85120753924</t>
  </si>
  <si>
    <t>57072490011</t>
  </si>
  <si>
    <t>82020297372</t>
  </si>
  <si>
    <t>93113022209</t>
  </si>
  <si>
    <t>80032957947</t>
  </si>
  <si>
    <t>97061666537</t>
  </si>
  <si>
    <t>99042282211</t>
  </si>
  <si>
    <t>90122294917</t>
  </si>
  <si>
    <t>98042035638</t>
  </si>
  <si>
    <t>63090624679</t>
  </si>
  <si>
    <t>56041608154</t>
  </si>
  <si>
    <t>61061367026</t>
  </si>
  <si>
    <t>65030283393</t>
  </si>
  <si>
    <t>92012998491</t>
  </si>
  <si>
    <t>98021347510</t>
  </si>
  <si>
    <t>61020732218</t>
  </si>
  <si>
    <t>51100859081</t>
  </si>
  <si>
    <t>58092388216</t>
  </si>
  <si>
    <t>58081857013</t>
  </si>
  <si>
    <t>51112066114</t>
  </si>
  <si>
    <t>89010145123</t>
  </si>
  <si>
    <t>84021137424</t>
  </si>
  <si>
    <t>66071191281</t>
  </si>
  <si>
    <t>64110521169</t>
  </si>
  <si>
    <t>80090724666</t>
  </si>
  <si>
    <t>60081098044</t>
  </si>
  <si>
    <t>81060672345</t>
  </si>
  <si>
    <t>72041188498</t>
  </si>
  <si>
    <t>93050237328</t>
  </si>
  <si>
    <t>57111030969</t>
  </si>
  <si>
    <t>95120189926</t>
  </si>
  <si>
    <t>50030558617</t>
  </si>
  <si>
    <t>99030787526</t>
  </si>
  <si>
    <t>86012893795</t>
  </si>
  <si>
    <t>77070917279</t>
  </si>
  <si>
    <t>81110769382</t>
  </si>
  <si>
    <t>77111159976</t>
  </si>
  <si>
    <t>70100187141</t>
  </si>
  <si>
    <t>65021500043</t>
  </si>
  <si>
    <t>85060885312</t>
  </si>
  <si>
    <t>71050660586</t>
  </si>
  <si>
    <t>59071738598</t>
  </si>
  <si>
    <t>95032440571</t>
  </si>
  <si>
    <t>89061704744</t>
  </si>
  <si>
    <t>51080898629</t>
  </si>
  <si>
    <t>57022141905</t>
  </si>
  <si>
    <t>83040146750</t>
  </si>
  <si>
    <t>94073040289</t>
  </si>
  <si>
    <t>85082674482</t>
  </si>
  <si>
    <t>68071192873</t>
  </si>
  <si>
    <t>66122411933</t>
  </si>
  <si>
    <t>83112543531</t>
  </si>
  <si>
    <t>72032940355</t>
  </si>
  <si>
    <t>99041426748</t>
  </si>
  <si>
    <t>99082013556</t>
  </si>
  <si>
    <t>62123067166</t>
  </si>
  <si>
    <t>65031764132</t>
  </si>
  <si>
    <t>66031525363</t>
  </si>
  <si>
    <t>84121279350</t>
  </si>
  <si>
    <t>56060275416</t>
  </si>
  <si>
    <t>88060298577</t>
  </si>
  <si>
    <t>93071613624</t>
  </si>
  <si>
    <t>56032245658</t>
  </si>
  <si>
    <t>64081190522</t>
  </si>
  <si>
    <t>62040616607</t>
  </si>
  <si>
    <t>87032142416</t>
  </si>
  <si>
    <t>73101455554</t>
  </si>
  <si>
    <t>56111282482</t>
  </si>
  <si>
    <t>83032688282</t>
  </si>
  <si>
    <t>88051092544</t>
  </si>
  <si>
    <t>50012665757</t>
  </si>
  <si>
    <t>96040206342</t>
  </si>
  <si>
    <t>91041069954</t>
  </si>
  <si>
    <t>75061743946</t>
  </si>
  <si>
    <t>52020449840</t>
  </si>
  <si>
    <t>94021767981</t>
  </si>
  <si>
    <t>54061438140</t>
  </si>
  <si>
    <t>60012636109</t>
  </si>
  <si>
    <t>64031328634</t>
  </si>
  <si>
    <t>76032562353</t>
  </si>
  <si>
    <t>94042289916</t>
  </si>
  <si>
    <t>72011235869</t>
  </si>
  <si>
    <t>55101622897</t>
  </si>
  <si>
    <t>63061591096</t>
  </si>
  <si>
    <t>66092086287</t>
  </si>
  <si>
    <t>79120351848</t>
  </si>
  <si>
    <t>75032029066</t>
  </si>
  <si>
    <t>64120631351</t>
  </si>
  <si>
    <t>73072842436</t>
  </si>
  <si>
    <t>81032163367</t>
  </si>
  <si>
    <t>99120273519</t>
  </si>
  <si>
    <t>57040596570</t>
  </si>
  <si>
    <t>99051386795</t>
  </si>
  <si>
    <t>73031813176</t>
  </si>
  <si>
    <t>86061566312</t>
  </si>
  <si>
    <t>53090698026</t>
  </si>
  <si>
    <t>75021357613</t>
  </si>
  <si>
    <t>72123107126</t>
  </si>
  <si>
    <t>79070698840</t>
  </si>
  <si>
    <t>99121640071</t>
  </si>
  <si>
    <t>62040855749</t>
  </si>
  <si>
    <t>77050752195</t>
  </si>
  <si>
    <t>61011848526</t>
  </si>
  <si>
    <t>67090716369</t>
  </si>
  <si>
    <t>69121808746</t>
  </si>
  <si>
    <t>95022144672</t>
  </si>
  <si>
    <t>50122386122</t>
  </si>
  <si>
    <t>64040818515</t>
  </si>
  <si>
    <t>74110420436</t>
  </si>
  <si>
    <t>95070175648</t>
  </si>
  <si>
    <t>51040710541</t>
  </si>
  <si>
    <t>68050307393</t>
  </si>
  <si>
    <t>78012414409</t>
  </si>
  <si>
    <t>85080239649</t>
  </si>
  <si>
    <t>80111845565</t>
  </si>
  <si>
    <t>64060295028</t>
  </si>
  <si>
    <t>66112444217</t>
  </si>
  <si>
    <t>95010531354</t>
  </si>
  <si>
    <t>66091626497</t>
  </si>
  <si>
    <t>60101353265</t>
  </si>
  <si>
    <t>73112234065</t>
  </si>
  <si>
    <t>77100455058</t>
  </si>
  <si>
    <t>98091693687</t>
  </si>
  <si>
    <t>67091449031</t>
  </si>
  <si>
    <t>75052421464</t>
  </si>
  <si>
    <t>93042060965</t>
  </si>
  <si>
    <t>58011437395</t>
  </si>
  <si>
    <t>61010924043</t>
  </si>
  <si>
    <t>59020116778</t>
  </si>
  <si>
    <t>85012006521</t>
  </si>
  <si>
    <t>89021336354</t>
  </si>
  <si>
    <t>65092409201</t>
  </si>
  <si>
    <t>69072352000</t>
  </si>
  <si>
    <t>80101429434</t>
  </si>
  <si>
    <t>74041163095</t>
  </si>
  <si>
    <t>95030310836</t>
  </si>
  <si>
    <t>84083110241</t>
  </si>
  <si>
    <t>81082753187</t>
  </si>
  <si>
    <t>64061448050</t>
  </si>
  <si>
    <t>96091382992</t>
  </si>
  <si>
    <t>84041663297</t>
  </si>
  <si>
    <t>94113074555</t>
  </si>
  <si>
    <t>53100155150</t>
  </si>
  <si>
    <t>81102995678</t>
  </si>
  <si>
    <t>91020385192</t>
  </si>
  <si>
    <t>86012915370</t>
  </si>
  <si>
    <t>95011238564</t>
  </si>
  <si>
    <t>63060590812</t>
  </si>
  <si>
    <t>73052262582</t>
  </si>
  <si>
    <t>57022439574</t>
  </si>
  <si>
    <t>50091782701</t>
  </si>
  <si>
    <t>68052065082</t>
  </si>
  <si>
    <t>84061020261</t>
  </si>
  <si>
    <t>77040155423</t>
  </si>
  <si>
    <t>84091296111</t>
  </si>
  <si>
    <t>55022627630</t>
  </si>
  <si>
    <t>69082217922</t>
  </si>
  <si>
    <t>99022773687</t>
  </si>
  <si>
    <t>97082737087</t>
  </si>
  <si>
    <t>54010610047</t>
  </si>
  <si>
    <t>91020578578</t>
  </si>
  <si>
    <t>70012817695</t>
  </si>
  <si>
    <t>70122997690</t>
  </si>
  <si>
    <t>78102548326</t>
  </si>
  <si>
    <t>97060505297</t>
  </si>
  <si>
    <t>84122479674</t>
  </si>
  <si>
    <t>98051749735</t>
  </si>
  <si>
    <t>11072711776</t>
  </si>
  <si>
    <t>05251729665</t>
  </si>
  <si>
    <t>03252361185</t>
  </si>
  <si>
    <t>07282315604</t>
  </si>
  <si>
    <t>03241701451</t>
  </si>
  <si>
    <t>03212680950</t>
  </si>
  <si>
    <t>08301978174</t>
  </si>
  <si>
    <t>04291228949</t>
  </si>
  <si>
    <t>20290586763</t>
  </si>
  <si>
    <t>13302617719</t>
  </si>
  <si>
    <t>09210404682</t>
  </si>
  <si>
    <t>00211828297</t>
  </si>
  <si>
    <t>02251268240</t>
  </si>
  <si>
    <t>03231107164</t>
  </si>
  <si>
    <t>04240363642</t>
  </si>
  <si>
    <t>03291272002</t>
  </si>
  <si>
    <t>22281507519</t>
  </si>
  <si>
    <t>02262482800</t>
  </si>
  <si>
    <t>08211004273</t>
  </si>
  <si>
    <t>21210948180</t>
  </si>
  <si>
    <t>20240625971</t>
  </si>
  <si>
    <t>04302302640</t>
  </si>
  <si>
    <t>21213196313</t>
  </si>
  <si>
    <t>12221688202</t>
  </si>
  <si>
    <t>00292767397</t>
  </si>
  <si>
    <t>09280834761</t>
  </si>
  <si>
    <t>07230141800</t>
  </si>
  <si>
    <t>13242783936</t>
  </si>
  <si>
    <t>19301615406</t>
  </si>
  <si>
    <t>21322259118</t>
  </si>
  <si>
    <t>22320106198</t>
  </si>
  <si>
    <t>03231838149</t>
  </si>
  <si>
    <t>16210190729</t>
  </si>
  <si>
    <t>18321437030</t>
  </si>
  <si>
    <t>16261642886</t>
  </si>
  <si>
    <t>07270267124</t>
  </si>
  <si>
    <t>12230371272</t>
  </si>
  <si>
    <t>19312291217</t>
  </si>
  <si>
    <t>01300894454</t>
  </si>
  <si>
    <t>19211127459</t>
  </si>
  <si>
    <t>22242651466</t>
  </si>
  <si>
    <t>22231156695</t>
  </si>
  <si>
    <t>07262771994</t>
  </si>
  <si>
    <t>10242164211</t>
  </si>
  <si>
    <t>05292216513</t>
  </si>
  <si>
    <t>14282288777</t>
  </si>
  <si>
    <t>18230257567</t>
  </si>
  <si>
    <t>09310318685</t>
  </si>
  <si>
    <t>14291341548</t>
  </si>
  <si>
    <t>05220871506</t>
  </si>
  <si>
    <t>01291595985</t>
  </si>
  <si>
    <t>03221082073</t>
  </si>
  <si>
    <t>13281615591</t>
  </si>
  <si>
    <t>22260628520</t>
  </si>
  <si>
    <t>16262990056</t>
  </si>
  <si>
    <t>03262578326</t>
  </si>
  <si>
    <t>08261654831</t>
  </si>
  <si>
    <t>07221636355</t>
  </si>
  <si>
    <t>03221064390</t>
  </si>
  <si>
    <t>11260890223</t>
  </si>
  <si>
    <t>14241199184</t>
  </si>
  <si>
    <t>12241226916</t>
  </si>
  <si>
    <t>04213122199</t>
  </si>
  <si>
    <t>10240797842</t>
  </si>
  <si>
    <t>19251159416</t>
  </si>
  <si>
    <t>02210829651</t>
  </si>
  <si>
    <t>16320390840</t>
  </si>
  <si>
    <t>22290574762</t>
  </si>
  <si>
    <t>15272803226</t>
  </si>
  <si>
    <t>22301213239</t>
  </si>
  <si>
    <t>12293034558</t>
  </si>
  <si>
    <t>11220493866</t>
  </si>
  <si>
    <t>06321656678</t>
  </si>
  <si>
    <t>08271854737</t>
  </si>
  <si>
    <t>12220169142</t>
  </si>
  <si>
    <t>18271849295</t>
  </si>
  <si>
    <t>06210843055</t>
  </si>
  <si>
    <t>08241312032</t>
  </si>
  <si>
    <t>15321101996</t>
  </si>
  <si>
    <t>09230321604</t>
  </si>
  <si>
    <t>09282257544</t>
  </si>
  <si>
    <t>12272278496</t>
  </si>
  <si>
    <t>06261714801</t>
  </si>
  <si>
    <t>12290662086</t>
  </si>
  <si>
    <t>13222347822</t>
  </si>
  <si>
    <t>17292749872</t>
  </si>
  <si>
    <t>19302110146</t>
  </si>
  <si>
    <t>13240361611</t>
  </si>
  <si>
    <t>15240354042</t>
  </si>
  <si>
    <t>13301915474</t>
  </si>
  <si>
    <t>19262778871</t>
  </si>
  <si>
    <t>13280978334</t>
  </si>
  <si>
    <t>14302824284</t>
  </si>
  <si>
    <t>11272805824</t>
  </si>
  <si>
    <t>05291879913</t>
  </si>
  <si>
    <t>14212729259</t>
  </si>
  <si>
    <t>03210117463</t>
  </si>
  <si>
    <t>14291498509</t>
  </si>
  <si>
    <t>12300620789</t>
  </si>
  <si>
    <t>16230803856</t>
  </si>
  <si>
    <t>01220719112</t>
  </si>
  <si>
    <t>19220908124</t>
  </si>
  <si>
    <t>07240788697</t>
  </si>
  <si>
    <t>06292261558</t>
  </si>
  <si>
    <t>17311142206</t>
  </si>
  <si>
    <t>16321147489</t>
  </si>
  <si>
    <t>06292135242</t>
  </si>
  <si>
    <t>05230870575</t>
  </si>
  <si>
    <t>18271449174</t>
  </si>
  <si>
    <t>06321258252</t>
  </si>
  <si>
    <t>18262630525</t>
  </si>
  <si>
    <t>07261242695</t>
  </si>
  <si>
    <t>08300675577</t>
  </si>
  <si>
    <t>08221193888</t>
  </si>
  <si>
    <t>05220192948</t>
  </si>
  <si>
    <t>11222023223</t>
  </si>
  <si>
    <t>18320215404</t>
  </si>
  <si>
    <t>19303024725</t>
  </si>
  <si>
    <t>16291352676</t>
  </si>
  <si>
    <t>08250619858</t>
  </si>
  <si>
    <t>05263016560</t>
  </si>
  <si>
    <t>00213181006</t>
  </si>
  <si>
    <t>08322760361</t>
  </si>
  <si>
    <t>16251548464</t>
  </si>
  <si>
    <t>10292707398</t>
  </si>
  <si>
    <t>14231316500</t>
  </si>
  <si>
    <t>21222678682</t>
  </si>
  <si>
    <t>12292215862</t>
  </si>
  <si>
    <t>07282982598</t>
  </si>
  <si>
    <t>09220591189</t>
  </si>
  <si>
    <t>21230117469</t>
  </si>
  <si>
    <t>11312331944</t>
  </si>
  <si>
    <t>09240629666</t>
  </si>
  <si>
    <t>00312160294</t>
  </si>
  <si>
    <t>08281110832</t>
  </si>
  <si>
    <t>05221259161</t>
  </si>
  <si>
    <t>16212479677</t>
  </si>
  <si>
    <t>15300618013</t>
  </si>
  <si>
    <t>15291801395</t>
  </si>
  <si>
    <t>19301521378</t>
  </si>
  <si>
    <t>03211413360</t>
  </si>
  <si>
    <t>06242125787</t>
  </si>
  <si>
    <t>03252816289</t>
  </si>
  <si>
    <t>16292924229</t>
  </si>
  <si>
    <t>00272757774</t>
  </si>
  <si>
    <t>06252143218</t>
  </si>
  <si>
    <t>12241783008</t>
  </si>
  <si>
    <t>17250119602</t>
  </si>
  <si>
    <t>15312624240</t>
  </si>
  <si>
    <t>11261383104</t>
  </si>
  <si>
    <t>11270859559</t>
  </si>
  <si>
    <t>13251052847</t>
  </si>
  <si>
    <t>16251477472</t>
  </si>
  <si>
    <t>21270269818</t>
  </si>
  <si>
    <t>07233171240</t>
  </si>
  <si>
    <t>06240685911</t>
  </si>
  <si>
    <t>08230748288</t>
  </si>
  <si>
    <t>10272638467</t>
  </si>
  <si>
    <t>02222614214</t>
  </si>
  <si>
    <t>02300270619</t>
  </si>
  <si>
    <t>02320180006</t>
  </si>
  <si>
    <t>10231388673</t>
  </si>
  <si>
    <t>01211693203</t>
  </si>
  <si>
    <t>19221918386</t>
  </si>
  <si>
    <t>21242102774</t>
  </si>
  <si>
    <t>21220329306</t>
  </si>
  <si>
    <t>02301356646</t>
  </si>
  <si>
    <t>00322554973</t>
  </si>
  <si>
    <t>13281180844</t>
  </si>
  <si>
    <t>08291177821</t>
  </si>
  <si>
    <t>09211086504</t>
  </si>
  <si>
    <t>04322699630</t>
  </si>
  <si>
    <t>21291945252</t>
  </si>
  <si>
    <t>12272287597</t>
  </si>
  <si>
    <t>10271077511</t>
  </si>
  <si>
    <t>13281776603</t>
  </si>
  <si>
    <t>08321477132</t>
  </si>
  <si>
    <t>03241142483</t>
  </si>
  <si>
    <t>06261817733</t>
  </si>
  <si>
    <t>01322621562</t>
  </si>
  <si>
    <t>02212245123</t>
  </si>
  <si>
    <t>16240578128</t>
  </si>
  <si>
    <t>03260343573</t>
  </si>
  <si>
    <t>01220297225</t>
  </si>
  <si>
    <t>06210896367</t>
  </si>
  <si>
    <t>11321724913</t>
  </si>
  <si>
    <t>08291544285</t>
  </si>
  <si>
    <t>17311176384</t>
  </si>
  <si>
    <t>04220185460</t>
  </si>
  <si>
    <t>22241050839</t>
  </si>
  <si>
    <t>13291881753</t>
  </si>
  <si>
    <t>14292742539</t>
  </si>
  <si>
    <t>20252400425</t>
  </si>
  <si>
    <t>01221128012</t>
  </si>
  <si>
    <t>05290342425</t>
  </si>
  <si>
    <t>08251519232</t>
  </si>
  <si>
    <t>01242346721</t>
  </si>
  <si>
    <t>19221946062</t>
  </si>
  <si>
    <t>02242206231</t>
  </si>
  <si>
    <t>15220366922</t>
  </si>
  <si>
    <t>05270147233</t>
  </si>
  <si>
    <t>07212419974</t>
  </si>
  <si>
    <t>06210742569</t>
  </si>
  <si>
    <t>11230540910</t>
  </si>
  <si>
    <t>09300144173</t>
  </si>
  <si>
    <t>11213025230</t>
  </si>
  <si>
    <t>11320429338</t>
  </si>
  <si>
    <t>20312520250</t>
  </si>
  <si>
    <t>14280583423</t>
  </si>
  <si>
    <t>03221032757</t>
  </si>
  <si>
    <t>16291603888</t>
  </si>
  <si>
    <t>00291838700</t>
  </si>
  <si>
    <t>11302022001</t>
  </si>
  <si>
    <t>04272000276</t>
  </si>
  <si>
    <t>00262862624</t>
  </si>
  <si>
    <t>07263089155</t>
  </si>
  <si>
    <t>02210196742</t>
  </si>
  <si>
    <t>11301805012</t>
  </si>
  <si>
    <t>10292551560</t>
  </si>
  <si>
    <t>19302646924</t>
  </si>
  <si>
    <t>02290618927</t>
  </si>
  <si>
    <t>01302670779</t>
  </si>
  <si>
    <t>19302687224</t>
  </si>
  <si>
    <t>12260688504</t>
  </si>
  <si>
    <t>00241654994</t>
  </si>
  <si>
    <t>00291433332</t>
  </si>
  <si>
    <t>09281659309</t>
  </si>
  <si>
    <t>05271072857</t>
  </si>
  <si>
    <t>20222616272</t>
  </si>
  <si>
    <t>02283166327</t>
  </si>
  <si>
    <t>19231080301</t>
  </si>
  <si>
    <t>09301626432</t>
  </si>
  <si>
    <t>12292632894</t>
  </si>
  <si>
    <t>00220197337</t>
  </si>
  <si>
    <t>18261827999</t>
  </si>
  <si>
    <t>22280655817</t>
  </si>
  <si>
    <t>21221398701</t>
  </si>
  <si>
    <t>04240223735</t>
  </si>
  <si>
    <t>12312469426</t>
  </si>
  <si>
    <t>09281542067</t>
  </si>
  <si>
    <t>15253008956</t>
  </si>
  <si>
    <t>10220968532</t>
  </si>
  <si>
    <t>05231406151</t>
  </si>
  <si>
    <t>04312426006</t>
  </si>
  <si>
    <t>22290577994</t>
  </si>
  <si>
    <t>19280922601</t>
  </si>
  <si>
    <t>11251095756</t>
  </si>
  <si>
    <t>06220429652</t>
  </si>
  <si>
    <t>07282107661</t>
  </si>
  <si>
    <t>00321275130</t>
  </si>
  <si>
    <t>17230169162</t>
  </si>
  <si>
    <t>10252988317</t>
  </si>
  <si>
    <t>11221946127</t>
  </si>
  <si>
    <t>01262279216</t>
  </si>
  <si>
    <t>08232997710</t>
  </si>
  <si>
    <t>15252065891</t>
  </si>
  <si>
    <t>12270628460</t>
  </si>
  <si>
    <t>06292817353</t>
  </si>
  <si>
    <t>20251246970</t>
  </si>
  <si>
    <t>15240174587</t>
  </si>
  <si>
    <t>12220617492</t>
  </si>
  <si>
    <t>01233090512</t>
  </si>
  <si>
    <t>03311712479</t>
  </si>
  <si>
    <t>05261564690</t>
  </si>
  <si>
    <t>19312698724</t>
  </si>
  <si>
    <t>16291742480</t>
  </si>
  <si>
    <t>07221031648</t>
  </si>
  <si>
    <t>06271769888</t>
  </si>
  <si>
    <t>18230851693</t>
  </si>
  <si>
    <t>17251583819</t>
  </si>
  <si>
    <t>19222247988</t>
  </si>
  <si>
    <t>21291587975</t>
  </si>
  <si>
    <t>20251580243</t>
  </si>
  <si>
    <t>04292335426</t>
  </si>
  <si>
    <t>19212365544</t>
  </si>
  <si>
    <t>03212825508</t>
  </si>
  <si>
    <t>08231950989</t>
  </si>
  <si>
    <t>18290225326</t>
  </si>
  <si>
    <t>14270954859</t>
  </si>
  <si>
    <t>21320534080</t>
  </si>
  <si>
    <t>15280299664</t>
  </si>
  <si>
    <t>08231643490</t>
  </si>
  <si>
    <t>04272996258</t>
  </si>
  <si>
    <t>06290719237</t>
  </si>
  <si>
    <t>00301200651</t>
  </si>
  <si>
    <t>18211262029</t>
  </si>
  <si>
    <t>05282383166</t>
  </si>
  <si>
    <t>18241417767</t>
  </si>
  <si>
    <t>16312049086</t>
  </si>
  <si>
    <t>09321581591</t>
  </si>
  <si>
    <t>08271795313</t>
  </si>
  <si>
    <t>10311034407</t>
  </si>
  <si>
    <t>14281264761</t>
  </si>
  <si>
    <t>03241511191</t>
  </si>
  <si>
    <t>02272037384</t>
  </si>
  <si>
    <t>17282315085</t>
  </si>
  <si>
    <t>03241893396</t>
  </si>
  <si>
    <t>10210725761</t>
  </si>
  <si>
    <t>12310765821</t>
  </si>
  <si>
    <t>14262881374</t>
  </si>
  <si>
    <t>16221452829</t>
  </si>
  <si>
    <t>06240977898</t>
  </si>
  <si>
    <t>20231233552</t>
  </si>
  <si>
    <t>02260903279</t>
  </si>
  <si>
    <t>15300457836</t>
  </si>
  <si>
    <t>12241643573</t>
  </si>
  <si>
    <t>13222492508</t>
  </si>
  <si>
    <t>20303175236</t>
  </si>
  <si>
    <t>14271835467</t>
  </si>
  <si>
    <t>06220350891</t>
  </si>
  <si>
    <t>07231617603</t>
  </si>
  <si>
    <t>07282120738</t>
  </si>
  <si>
    <t>13242793243</t>
  </si>
  <si>
    <t>22270105250</t>
  </si>
  <si>
    <t>15220359519</t>
  </si>
  <si>
    <t>16323024481</t>
  </si>
  <si>
    <t>17212907508</t>
  </si>
  <si>
    <t>06280926629</t>
  </si>
  <si>
    <t>20301201520</t>
  </si>
  <si>
    <t>01300883719</t>
  </si>
  <si>
    <t>21292867504</t>
  </si>
  <si>
    <t>09310931990</t>
  </si>
  <si>
    <t>00301923628</t>
  </si>
  <si>
    <t>01241320263</t>
  </si>
  <si>
    <t>20242260107</t>
  </si>
  <si>
    <t>00231165855</t>
  </si>
  <si>
    <t>15272639593</t>
  </si>
  <si>
    <t>22302366035</t>
  </si>
  <si>
    <t>17241573501</t>
  </si>
  <si>
    <t>11272916382</t>
  </si>
  <si>
    <t>15323100788</t>
  </si>
  <si>
    <t>09262218954</t>
  </si>
  <si>
    <t>21220692011</t>
  </si>
  <si>
    <t>08321684273</t>
  </si>
  <si>
    <t>04322129955</t>
  </si>
  <si>
    <t>10301730326</t>
  </si>
  <si>
    <t>09271604865</t>
  </si>
  <si>
    <t>18320126005</t>
  </si>
  <si>
    <t>10262232318</t>
  </si>
  <si>
    <t>21303122839</t>
  </si>
  <si>
    <t>10293014169</t>
  </si>
  <si>
    <t>09210120492</t>
  </si>
  <si>
    <t>20260451486</t>
  </si>
  <si>
    <t>17302231740</t>
  </si>
  <si>
    <t>02320253199</t>
  </si>
  <si>
    <t>18260366309</t>
  </si>
  <si>
    <t>04222956169</t>
  </si>
  <si>
    <t>05261270230</t>
  </si>
  <si>
    <t>15320635728</t>
  </si>
  <si>
    <t>14292679651</t>
  </si>
  <si>
    <t>15210368107</t>
  </si>
  <si>
    <t>11282868178</t>
  </si>
  <si>
    <t>21270839187</t>
  </si>
  <si>
    <t>07271839036</t>
  </si>
  <si>
    <t>05281893493</t>
  </si>
  <si>
    <t>09252839228</t>
  </si>
  <si>
    <t>00291348241</t>
  </si>
  <si>
    <t>04280932334</t>
  </si>
  <si>
    <t>02220934077</t>
  </si>
  <si>
    <t>02210131268</t>
  </si>
  <si>
    <t>09241160465</t>
  </si>
  <si>
    <t>09241367008</t>
  </si>
  <si>
    <t>13312872144</t>
  </si>
  <si>
    <t>13262230102</t>
  </si>
  <si>
    <t>21220724187</t>
  </si>
  <si>
    <t>06261743427</t>
  </si>
  <si>
    <t>14222620834</t>
  </si>
  <si>
    <t>19321241795</t>
  </si>
  <si>
    <t>08231904735</t>
  </si>
  <si>
    <t>15291262613</t>
  </si>
  <si>
    <t>08260445829</t>
  </si>
  <si>
    <t>08240292689</t>
  </si>
  <si>
    <t>19231091923</t>
  </si>
  <si>
    <t>14281202570</t>
  </si>
  <si>
    <t>07280297711</t>
  </si>
  <si>
    <t>06262554167</t>
  </si>
  <si>
    <t>15242764690</t>
  </si>
  <si>
    <t>14262226577</t>
  </si>
  <si>
    <t>01212988892</t>
  </si>
  <si>
    <t>21210221072</t>
  </si>
  <si>
    <t>16282427578</t>
  </si>
  <si>
    <t>02241272826</t>
  </si>
  <si>
    <t>06310554648</t>
  </si>
  <si>
    <t>18210957250</t>
  </si>
  <si>
    <t>21243075794</t>
  </si>
  <si>
    <t>00251281221</t>
  </si>
  <si>
    <t>00270484214</t>
  </si>
  <si>
    <t>06211342089</t>
  </si>
  <si>
    <t>17212237652</t>
  </si>
  <si>
    <t>11241593178</t>
  </si>
  <si>
    <t>18222264663</t>
  </si>
  <si>
    <t>04311914014</t>
  </si>
  <si>
    <t>06260135821</t>
  </si>
  <si>
    <t>06220424817</t>
  </si>
  <si>
    <t>22261251874</t>
  </si>
  <si>
    <t>19291516772</t>
  </si>
  <si>
    <t>01310378922</t>
  </si>
  <si>
    <t>16232416838</t>
  </si>
  <si>
    <t>02240727679</t>
  </si>
  <si>
    <t>06270487288</t>
  </si>
  <si>
    <t>04241869475</t>
  </si>
  <si>
    <t>17320457399</t>
  </si>
  <si>
    <t>miesiac</t>
  </si>
  <si>
    <t>dzien</t>
  </si>
  <si>
    <t>data złączona</t>
  </si>
  <si>
    <t>Najmłodsza</t>
  </si>
  <si>
    <t>Najstarsza</t>
  </si>
  <si>
    <t>17 października 1950</t>
  </si>
  <si>
    <t>6 sierpnia 2022</t>
  </si>
  <si>
    <t>(puste)</t>
  </si>
  <si>
    <t>Etykiety wierszy</t>
  </si>
  <si>
    <t>Ilość Koziorożców</t>
  </si>
  <si>
    <t>XX wiek</t>
  </si>
  <si>
    <t>XXI wiek</t>
  </si>
  <si>
    <t>wiek</t>
  </si>
  <si>
    <t>data serio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</si>
  <si>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</si>
  <si>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</si>
  <si>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</si>
  <si>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</si>
  <si>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</si>
  <si>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</si>
  <si>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</si>
  <si>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</si>
  <si>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</si>
  <si>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</si>
  <si>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reszta z sumy</t>
  </si>
  <si>
    <t>kontrolna</t>
  </si>
  <si>
    <t>czy się zgadza</t>
  </si>
  <si>
    <t>Błędy</t>
  </si>
  <si>
    <t>Miesiąc</t>
  </si>
  <si>
    <t>Liczba osób</t>
  </si>
  <si>
    <t>roznica</t>
  </si>
  <si>
    <t>ile lat</t>
  </si>
  <si>
    <t>Średnia z ile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</si>
</sst>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0" borderId="0" xfId="0" applyAlignment="1">
      <alignment horizontal="left" indent="1"/>
    </xf>
    <xf numFmtId="164" fontId="0" fillId="0" borderId="0" xfId="0" applyNumberFormat="1"/>
    <xf numFmtId="1" fontId="0" fillId="0" borderId="0" xfId="0" applyNumberFormat="1"/>
    <xf numFmtId="0" fontId="0" fillId="2" borderId="0" xfId="0" applyNumberFormat="1" applyFill="1"/>
    <xf numFmtId="14" fontId="0" fillId="0" borderId="0" xfId="0" applyNumberFormat="1"/>
  </cellXfs>
  <cellStyles count="1">
    <cellStyle name="Normalny" xfId="0" builtinId="0"/>
  </cellStyles>
  <dxfs count="18">
    <dxf>
      <numFmt numFmtId="167" formatCode="0.000000000"/>
    </dxf>
    <dxf>
      <numFmt numFmtId="168" formatCode="0.00000000"/>
    </dxf>
    <dxf>
      <numFmt numFmtId="169" formatCode="0.0000000"/>
    </dxf>
    <dxf>
      <numFmt numFmtId="170" formatCode="0.000000"/>
    </dxf>
    <dxf>
      <numFmt numFmtId="171" formatCode="0.00000"/>
    </dxf>
    <dxf>
      <numFmt numFmtId="172" formatCode="0.0000"/>
    </dxf>
    <dxf>
      <numFmt numFmtId="166" formatCode="0.0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166" formatCode="0.000"/>
    </dxf>
    <dxf>
      <numFmt numFmtId="172" formatCode="0.0000"/>
    </dxf>
    <dxf>
      <numFmt numFmtId="171" formatCode="0.00000"/>
    </dxf>
    <dxf>
      <numFmt numFmtId="170" formatCode="0.000000"/>
    </dxf>
    <dxf>
      <numFmt numFmtId="169" formatCode="0.0000000"/>
    </dxf>
    <dxf>
      <numFmt numFmtId="168" formatCode="0.00000000"/>
    </dxf>
    <dxf>
      <numFmt numFmtId="167" formatCode="0.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[pesel.xlsx]odp-1!Tabela przestawna1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'odp-1'!$B$3:$B$4</c:f>
              <c:strCache>
                <c:ptCount val="1"/>
                <c:pt idx="0">
                  <c:v>Ilość z miasta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'odp-1'!$A$5:$A$8</c:f>
              <c:strCache>
                <c:ptCount val="3"/>
                <c:pt idx="0">
                  <c:v>pomorskie</c:v>
                </c:pt>
                <c:pt idx="1">
                  <c:v>warmińsko-mazurskie</c:v>
                </c:pt>
                <c:pt idx="2">
                  <c:v>zachodniopomorskie</c:v>
                </c:pt>
              </c:strCache>
            </c:strRef>
          </c:cat>
          <c:val>
            <c:numRef>
              <c:f>'odp-1'!$B$5:$B$8</c:f>
              <c:numCache>
                <c:formatCode>General</c:formatCode>
                <c:ptCount val="3"/>
                <c:pt idx="0">
                  <c:v>38</c:v>
                </c:pt>
                <c:pt idx="1">
                  <c:v>23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5-4111-BD7A-331558A70410}"/>
            </c:ext>
          </c:extLst>
        </c:ser>
        <c:ser>
          <c:idx val="1"/>
          <c:order val="1"/>
          <c:tx>
            <c:strRef>
              <c:f>'odp-1'!$C$3:$C$4</c:f>
              <c:strCache>
                <c:ptCount val="1"/>
                <c:pt idx="0">
                  <c:v>Ilość ze wsi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'odp-1'!$A$5:$A$8</c:f>
              <c:strCache>
                <c:ptCount val="3"/>
                <c:pt idx="0">
                  <c:v>pomorskie</c:v>
                </c:pt>
                <c:pt idx="1">
                  <c:v>warmińsko-mazurskie</c:v>
                </c:pt>
                <c:pt idx="2">
                  <c:v>zachodniopomorskie</c:v>
                </c:pt>
              </c:strCache>
            </c:strRef>
          </c:cat>
          <c:val>
            <c:numRef>
              <c:f>'odp-1'!$C$5:$C$8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05-4111-BD7A-331558A70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162607"/>
        <c:axId val="665165935"/>
      </c:barChart>
      <c:catAx>
        <c:axId val="66516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5165935"/>
        <c:crosses val="autoZero"/>
        <c:auto val="1"/>
        <c:lblAlgn val="ctr"/>
        <c:lblOffset val="100"/>
        <c:noMultiLvlLbl val="0"/>
      </c:catAx>
      <c:valAx>
        <c:axId val="6651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516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0</xdr:row>
      <xdr:rowOff>180975</xdr:rowOff>
    </xdr:from>
    <xdr:to>
      <xdr:col>11</xdr:col>
      <xdr:colOff>528637</xdr:colOff>
      <xdr:row>15</xdr:row>
      <xdr:rowOff>66675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073.503522916668" createdVersion="6" refreshedVersion="6" minRefreshableVersion="3" recordCount="1000">
  <cacheSource type="worksheet">
    <worksheetSource ref="A1:C1001" sheet="z-1"/>
  </cacheSource>
  <cacheFields count="3">
    <cacheField name="pesel" numFmtId="0">
      <sharedItems containsSemiMixedTypes="0" containsString="0" containsNumber="1" containsInteger="1" minValue="211828297" maxValue="99121640071"/>
    </cacheField>
    <cacheField name="województwo" numFmtId="0">
      <sharedItems count="16">
        <s v="zachodniopomorskie"/>
        <s v="pomorskie"/>
        <s v="świętokrzyskie"/>
        <s v="lubuskie"/>
        <s v="małopolskie"/>
        <s v="lubelskie"/>
        <s v="śląskie"/>
        <s v="warmińsko-mazurskie"/>
        <s v="mazowieckie"/>
        <s v="podlaskie"/>
        <s v="podkarpackie"/>
        <s v="wielkopolskie"/>
        <s v="opolskie"/>
        <s v="kujawsko-pomorskie"/>
        <s v="łódzkie"/>
        <s v="dolnośląskie"/>
      </sharedItems>
    </cacheField>
    <cacheField name="miesjce zamieszkania (miasto-wieś)" numFmtId="0">
      <sharedItems count="2">
        <s v="wieś"/>
        <s v="mias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022aR" refreshedDate="46073.578632870369" createdVersion="6" refreshedVersion="6" minRefreshableVersion="3" recordCount="1001">
  <cacheSource type="worksheet">
    <worksheetSource ref="A1:J1048576" sheet="z-2"/>
  </cacheSource>
  <cacheFields count="10">
    <cacheField name="pesel" numFmtId="0">
      <sharedItems containsBlank="1"/>
    </cacheField>
    <cacheField name="województwo" numFmtId="0">
      <sharedItems containsBlank="1"/>
    </cacheField>
    <cacheField name="miesjce zamieszkania (miasto-wieś)" numFmtId="0">
      <sharedItems containsBlank="1"/>
    </cacheField>
    <cacheField name="rok" numFmtId="0">
      <sharedItems containsString="0" containsBlank="1" containsNumber="1" containsInteger="1" minValue="0" maxValue="99"/>
    </cacheField>
    <cacheField name="miesiac" numFmtId="0">
      <sharedItems containsString="0" containsBlank="1" containsNumber="1" containsInteger="1" minValue="1" maxValue="32" count="25">
        <n v="7"/>
        <n v="10"/>
        <n v="4"/>
        <n v="8"/>
        <n v="5"/>
        <n v="9"/>
        <n v="12"/>
        <n v="6"/>
        <n v="1"/>
        <n v="11"/>
        <n v="2"/>
        <n v="3"/>
        <n v="29"/>
        <n v="25"/>
        <n v="28"/>
        <n v="24"/>
        <n v="21"/>
        <n v="30"/>
        <n v="23"/>
        <n v="26"/>
        <n v="22"/>
        <n v="32"/>
        <n v="27"/>
        <n v="31"/>
        <m/>
      </sharedItems>
    </cacheField>
    <cacheField name="dzien" numFmtId="0">
      <sharedItems containsString="0" containsBlank="1" containsNumber="1" containsInteger="1" minValue="1" maxValue="31"/>
    </cacheField>
    <cacheField name="rok2" numFmtId="0">
      <sharedItems containsString="0" containsBlank="1" containsNumber="1" containsInteger="1" minValue="1911" maxValue="2022"/>
    </cacheField>
    <cacheField name="miesiac2" numFmtId="0">
      <sharedItems containsString="0" containsBlank="1" containsNumber="1" containsInteger="1" minValue="1" maxValue="12" count="13">
        <n v="7"/>
        <n v="10"/>
        <n v="4"/>
        <n v="8"/>
        <n v="5"/>
        <n v="9"/>
        <n v="12"/>
        <n v="6"/>
        <n v="1"/>
        <n v="11"/>
        <n v="2"/>
        <n v="3"/>
        <m/>
      </sharedItems>
    </cacheField>
    <cacheField name="dzien2" numFmtId="0">
      <sharedItems containsString="0" containsBlank="1" containsNumber="1" containsInteger="1" minValue="1" maxValue="31" count="32">
        <n v="12"/>
        <n v="1"/>
        <n v="23"/>
        <n v="31"/>
        <n v="28"/>
        <n v="7"/>
        <n v="14"/>
        <n v="8"/>
        <n v="10"/>
        <n v="17"/>
        <n v="11"/>
        <n v="24"/>
        <n v="9"/>
        <n v="16"/>
        <n v="26"/>
        <n v="27"/>
        <n v="2"/>
        <n v="6"/>
        <n v="18"/>
        <n v="25"/>
        <n v="15"/>
        <n v="29"/>
        <n v="13"/>
        <n v="4"/>
        <n v="19"/>
        <n v="5"/>
        <n v="30"/>
        <n v="21"/>
        <n v="20"/>
        <n v="3"/>
        <n v="22"/>
        <m/>
      </sharedItems>
    </cacheField>
    <cacheField name="data złączona" numFmtId="0">
      <sharedItems containsString="0" containsBlank="1" containsNumber="1" containsInteger="1" minValue="19110727" maxValue="20223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2022aR" refreshedDate="46073.617313657407" createdVersion="6" refreshedVersion="6" minRefreshableVersion="3" recordCount="1001">
  <cacheSource type="worksheet">
    <worksheetSource ref="A1:K1048576" sheet="z-6"/>
  </cacheSource>
  <cacheFields count="11">
    <cacheField name="pesel" numFmtId="0">
      <sharedItems containsBlank="1"/>
    </cacheField>
    <cacheField name="województwo" numFmtId="0">
      <sharedItems containsBlank="1"/>
    </cacheField>
    <cacheField name="miesjce zamieszkania (miasto-wieś)" numFmtId="0">
      <sharedItems containsBlank="1"/>
    </cacheField>
    <cacheField name="rok" numFmtId="0">
      <sharedItems containsString="0" containsBlank="1" containsNumber="1" containsInteger="1" minValue="0" maxValue="99"/>
    </cacheField>
    <cacheField name="miesiac" numFmtId="0">
      <sharedItems containsString="0" containsBlank="1" containsNumber="1" containsInteger="1" minValue="1" maxValue="32" count="25">
        <n v="7"/>
        <n v="10"/>
        <n v="4"/>
        <n v="8"/>
        <n v="5"/>
        <n v="9"/>
        <n v="12"/>
        <n v="6"/>
        <n v="1"/>
        <n v="11"/>
        <n v="2"/>
        <n v="3"/>
        <n v="25"/>
        <n v="28"/>
        <n v="24"/>
        <n v="21"/>
        <n v="30"/>
        <n v="29"/>
        <n v="23"/>
        <n v="26"/>
        <n v="22"/>
        <n v="32"/>
        <n v="27"/>
        <n v="31"/>
        <m/>
      </sharedItems>
    </cacheField>
    <cacheField name="dzien" numFmtId="0">
      <sharedItems containsString="0" containsBlank="1" containsNumber="1" containsInteger="1" minValue="1" maxValue="31"/>
    </cacheField>
    <cacheField name="rok2" numFmtId="0">
      <sharedItems containsString="0" containsBlank="1" containsNumber="1" containsInteger="1" minValue="1911" maxValue="2022"/>
    </cacheField>
    <cacheField name="miesiac2" numFmtId="0">
      <sharedItems containsString="0" containsBlank="1" containsNumber="1" containsInteger="1" minValue="1" maxValue="12" count="13">
        <n v="7"/>
        <n v="10"/>
        <n v="4"/>
        <n v="8"/>
        <n v="5"/>
        <n v="9"/>
        <n v="12"/>
        <n v="6"/>
        <n v="1"/>
        <n v="11"/>
        <n v="2"/>
        <n v="3"/>
        <m/>
      </sharedItems>
    </cacheField>
    <cacheField name="dzien2" numFmtId="0">
      <sharedItems containsString="0" containsBlank="1" containsNumber="1" containsInteger="1" minValue="1" maxValue="31"/>
    </cacheField>
    <cacheField name="data złączona" numFmtId="0">
      <sharedItems containsString="0" containsBlank="1" containsNumber="1" containsInteger="1" minValue="19110727" maxValue="20223201"/>
    </cacheField>
    <cacheField name="data se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2022aR" refreshedDate="46073.628795949073" createdVersion="6" refreshedVersion="6" minRefreshableVersion="3" recordCount="1001">
  <cacheSource type="worksheet">
    <worksheetSource ref="A1:M1048576" sheet="z-5"/>
  </cacheSource>
  <cacheFields count="13">
    <cacheField name="pesel" numFmtId="0">
      <sharedItems containsBlank="1"/>
    </cacheField>
    <cacheField name="województwo" numFmtId="0">
      <sharedItems containsBlank="1" count="17">
        <s v="zachodniopomorskie"/>
        <s v="pomorskie"/>
        <s v="świętokrzyskie"/>
        <s v="lubuskie"/>
        <s v="małopolskie"/>
        <s v="lubelskie"/>
        <s v="śląskie"/>
        <s v="warmińsko-mazurskie"/>
        <s v="mazowieckie"/>
        <s v="podlaskie"/>
        <s v="podkarpackie"/>
        <s v="wielkopolskie"/>
        <s v="opolskie"/>
        <s v="kujawsko-pomorskie"/>
        <s v="łódzkie"/>
        <s v="dolnośląskie"/>
        <m/>
      </sharedItems>
    </cacheField>
    <cacheField name="miesjce zamieszkania (miasto-wieś)" numFmtId="0">
      <sharedItems containsBlank="1"/>
    </cacheField>
    <cacheField name="rok" numFmtId="0">
      <sharedItems containsString="0" containsBlank="1" containsNumber="1" containsInteger="1" minValue="0" maxValue="99"/>
    </cacheField>
    <cacheField name="miesiac" numFmtId="0">
      <sharedItems containsString="0" containsBlank="1" containsNumber="1" containsInteger="1" minValue="1" maxValue="32"/>
    </cacheField>
    <cacheField name="dzien" numFmtId="0">
      <sharedItems containsString="0" containsBlank="1" containsNumber="1" containsInteger="1" minValue="1" maxValue="31"/>
    </cacheField>
    <cacheField name="rok2" numFmtId="0">
      <sharedItems containsString="0" containsBlank="1" containsNumber="1" containsInteger="1" minValue="1911" maxValue="2022"/>
    </cacheField>
    <cacheField name="miesiac2" numFmtId="0">
      <sharedItems containsString="0" containsBlank="1" containsNumber="1" containsInteger="1" minValue="1" maxValue="12"/>
    </cacheField>
    <cacheField name="dzien2" numFmtId="0">
      <sharedItems containsString="0" containsBlank="1" containsNumber="1" containsInteger="1" minValue="1" maxValue="31"/>
    </cacheField>
    <cacheField name="data złączona" numFmtId="0">
      <sharedItems containsString="0" containsBlank="1" containsNumber="1" containsInteger="1" minValue="19110727" maxValue="20221201"/>
    </cacheField>
    <cacheField name="data serio" numFmtId="0">
      <sharedItems containsBlank="1"/>
    </cacheField>
    <cacheField name="roznica" numFmtId="14">
      <sharedItems containsNonDate="0" containsDate="1" containsString="0" containsBlank="1" minDate="1900-02-09T00:00:00" maxDate="2011-06-18T00:00:00"/>
    </cacheField>
    <cacheField name="ile lat" numFmtId="1">
      <sharedItems containsString="0" containsBlank="1" containsNumber="1" containsInteger="1" minValue="0" maxValue="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93071285223"/>
    <x v="0"/>
    <x v="0"/>
  </r>
  <r>
    <n v="71100161818"/>
    <x v="1"/>
    <x v="1"/>
  </r>
  <r>
    <n v="81042322710"/>
    <x v="2"/>
    <x v="1"/>
  </r>
  <r>
    <n v="72083133476"/>
    <x v="3"/>
    <x v="0"/>
  </r>
  <r>
    <n v="50072800150"/>
    <x v="4"/>
    <x v="1"/>
  </r>
  <r>
    <n v="93050716944"/>
    <x v="5"/>
    <x v="1"/>
  </r>
  <r>
    <n v="72081479033"/>
    <x v="4"/>
    <x v="1"/>
  </r>
  <r>
    <n v="95090874952"/>
    <x v="3"/>
    <x v="1"/>
  </r>
  <r>
    <n v="61121070211"/>
    <x v="0"/>
    <x v="0"/>
  </r>
  <r>
    <n v="81051730520"/>
    <x v="5"/>
    <x v="1"/>
  </r>
  <r>
    <n v="95061702620"/>
    <x v="1"/>
    <x v="1"/>
  </r>
  <r>
    <n v="50080851678"/>
    <x v="6"/>
    <x v="1"/>
  </r>
  <r>
    <n v="79092865583"/>
    <x v="7"/>
    <x v="1"/>
  </r>
  <r>
    <n v="66091136037"/>
    <x v="8"/>
    <x v="1"/>
  </r>
  <r>
    <n v="84081042483"/>
    <x v="7"/>
    <x v="0"/>
  </r>
  <r>
    <n v="76012491819"/>
    <x v="6"/>
    <x v="1"/>
  </r>
  <r>
    <n v="60112365499"/>
    <x v="5"/>
    <x v="1"/>
  </r>
  <r>
    <n v="95100981335"/>
    <x v="1"/>
    <x v="1"/>
  </r>
  <r>
    <n v="91111640340"/>
    <x v="9"/>
    <x v="1"/>
  </r>
  <r>
    <n v="74012678094"/>
    <x v="10"/>
    <x v="0"/>
  </r>
  <r>
    <n v="83041036704"/>
    <x v="11"/>
    <x v="1"/>
  </r>
  <r>
    <n v="61122682262"/>
    <x v="12"/>
    <x v="0"/>
  </r>
  <r>
    <n v="91120411609"/>
    <x v="13"/>
    <x v="0"/>
  </r>
  <r>
    <n v="72082694471"/>
    <x v="14"/>
    <x v="0"/>
  </r>
  <r>
    <n v="97122899159"/>
    <x v="5"/>
    <x v="0"/>
  </r>
  <r>
    <n v="56071053131"/>
    <x v="15"/>
    <x v="1"/>
  </r>
  <r>
    <n v="83020158890"/>
    <x v="0"/>
    <x v="0"/>
  </r>
  <r>
    <n v="86040879028"/>
    <x v="9"/>
    <x v="0"/>
  </r>
  <r>
    <n v="56102724748"/>
    <x v="0"/>
    <x v="0"/>
  </r>
  <r>
    <n v="57011144311"/>
    <x v="5"/>
    <x v="1"/>
  </r>
  <r>
    <n v="88040991416"/>
    <x v="7"/>
    <x v="0"/>
  </r>
  <r>
    <n v="86112649382"/>
    <x v="4"/>
    <x v="1"/>
  </r>
  <r>
    <n v="71010805927"/>
    <x v="14"/>
    <x v="1"/>
  </r>
  <r>
    <n v="94062395770"/>
    <x v="8"/>
    <x v="1"/>
  </r>
  <r>
    <n v="61120262307"/>
    <x v="11"/>
    <x v="1"/>
  </r>
  <r>
    <n v="81061212645"/>
    <x v="8"/>
    <x v="1"/>
  </r>
  <r>
    <n v="82030696103"/>
    <x v="7"/>
    <x v="1"/>
  </r>
  <r>
    <n v="94022848630"/>
    <x v="9"/>
    <x v="1"/>
  </r>
  <r>
    <n v="99020135465"/>
    <x v="14"/>
    <x v="1"/>
  </r>
  <r>
    <n v="82080288567"/>
    <x v="14"/>
    <x v="0"/>
  </r>
  <r>
    <n v="66020115140"/>
    <x v="14"/>
    <x v="1"/>
  </r>
  <r>
    <n v="86032868618"/>
    <x v="12"/>
    <x v="0"/>
  </r>
  <r>
    <n v="83111806237"/>
    <x v="7"/>
    <x v="1"/>
  </r>
  <r>
    <n v="67092597948"/>
    <x v="9"/>
    <x v="1"/>
  </r>
  <r>
    <n v="55032362187"/>
    <x v="14"/>
    <x v="0"/>
  </r>
  <r>
    <n v="68111551073"/>
    <x v="12"/>
    <x v="0"/>
  </r>
  <r>
    <n v="72050199081"/>
    <x v="14"/>
    <x v="0"/>
  </r>
  <r>
    <n v="89110619812"/>
    <x v="12"/>
    <x v="0"/>
  </r>
  <r>
    <n v="92062939635"/>
    <x v="9"/>
    <x v="1"/>
  </r>
  <r>
    <n v="96022721818"/>
    <x v="12"/>
    <x v="1"/>
  </r>
  <r>
    <n v="67082759149"/>
    <x v="7"/>
    <x v="1"/>
  </r>
  <r>
    <n v="53041338908"/>
    <x v="8"/>
    <x v="1"/>
  </r>
  <r>
    <n v="85070464356"/>
    <x v="10"/>
    <x v="1"/>
  </r>
  <r>
    <n v="67110443901"/>
    <x v="0"/>
    <x v="0"/>
  </r>
  <r>
    <n v="76112956896"/>
    <x v="11"/>
    <x v="0"/>
  </r>
  <r>
    <n v="78072344438"/>
    <x v="2"/>
    <x v="1"/>
  </r>
  <r>
    <n v="50092746764"/>
    <x v="8"/>
    <x v="1"/>
  </r>
  <r>
    <n v="67090933304"/>
    <x v="5"/>
    <x v="0"/>
  </r>
  <r>
    <n v="94070783248"/>
    <x v="0"/>
    <x v="1"/>
  </r>
  <r>
    <n v="78031408458"/>
    <x v="8"/>
    <x v="0"/>
  </r>
  <r>
    <n v="75111802177"/>
    <x v="4"/>
    <x v="0"/>
  </r>
  <r>
    <n v="84011772408"/>
    <x v="15"/>
    <x v="0"/>
  </r>
  <r>
    <n v="73101944548"/>
    <x v="3"/>
    <x v="1"/>
  </r>
  <r>
    <n v="98112560941"/>
    <x v="15"/>
    <x v="1"/>
  </r>
  <r>
    <n v="80020544623"/>
    <x v="9"/>
    <x v="0"/>
  </r>
  <r>
    <n v="78090623276"/>
    <x v="12"/>
    <x v="0"/>
  </r>
  <r>
    <n v="85100461779"/>
    <x v="3"/>
    <x v="0"/>
  </r>
  <r>
    <n v="62103049429"/>
    <x v="12"/>
    <x v="1"/>
  </r>
  <r>
    <n v="64092166116"/>
    <x v="15"/>
    <x v="1"/>
  </r>
  <r>
    <n v="72112844735"/>
    <x v="14"/>
    <x v="0"/>
  </r>
  <r>
    <n v="90071102655"/>
    <x v="10"/>
    <x v="1"/>
  </r>
  <r>
    <n v="80100724608"/>
    <x v="5"/>
    <x v="0"/>
  </r>
  <r>
    <n v="67111696971"/>
    <x v="14"/>
    <x v="0"/>
  </r>
  <r>
    <n v="87100455842"/>
    <x v="4"/>
    <x v="0"/>
  </r>
  <r>
    <n v="64090118269"/>
    <x v="15"/>
    <x v="0"/>
  </r>
  <r>
    <n v="61061727275"/>
    <x v="0"/>
    <x v="0"/>
  </r>
  <r>
    <n v="66121567550"/>
    <x v="4"/>
    <x v="1"/>
  </r>
  <r>
    <n v="92102923299"/>
    <x v="9"/>
    <x v="0"/>
  </r>
  <r>
    <n v="97011978576"/>
    <x v="0"/>
    <x v="0"/>
  </r>
  <r>
    <n v="75042006365"/>
    <x v="9"/>
    <x v="1"/>
  </r>
  <r>
    <n v="51100113466"/>
    <x v="10"/>
    <x v="0"/>
  </r>
  <r>
    <n v="72073013618"/>
    <x v="10"/>
    <x v="0"/>
  </r>
  <r>
    <n v="95071506935"/>
    <x v="1"/>
    <x v="0"/>
  </r>
  <r>
    <n v="64082706270"/>
    <x v="4"/>
    <x v="0"/>
  </r>
  <r>
    <n v="74102033752"/>
    <x v="1"/>
    <x v="0"/>
  </r>
  <r>
    <n v="57081355125"/>
    <x v="9"/>
    <x v="1"/>
  </r>
  <r>
    <n v="63091825499"/>
    <x v="3"/>
    <x v="0"/>
  </r>
  <r>
    <n v="90040264315"/>
    <x v="11"/>
    <x v="0"/>
  </r>
  <r>
    <n v="93021005602"/>
    <x v="12"/>
    <x v="0"/>
  </r>
  <r>
    <n v="71060935904"/>
    <x v="15"/>
    <x v="0"/>
  </r>
  <r>
    <n v="66042814865"/>
    <x v="13"/>
    <x v="0"/>
  </r>
  <r>
    <n v="97080217897"/>
    <x v="0"/>
    <x v="0"/>
  </r>
  <r>
    <n v="81053035807"/>
    <x v="11"/>
    <x v="1"/>
  </r>
  <r>
    <n v="91022423029"/>
    <x v="8"/>
    <x v="1"/>
  </r>
  <r>
    <n v="75090195129"/>
    <x v="10"/>
    <x v="1"/>
  </r>
  <r>
    <n v="84070107438"/>
    <x v="1"/>
    <x v="1"/>
  </r>
  <r>
    <n v="66043085280"/>
    <x v="13"/>
    <x v="0"/>
  </r>
  <r>
    <n v="50121269604"/>
    <x v="12"/>
    <x v="1"/>
  </r>
  <r>
    <n v="85122146708"/>
    <x v="9"/>
    <x v="1"/>
  </r>
  <r>
    <n v="90010495521"/>
    <x v="8"/>
    <x v="1"/>
  </r>
  <r>
    <n v="72100728249"/>
    <x v="4"/>
    <x v="1"/>
  </r>
  <r>
    <n v="54082626522"/>
    <x v="13"/>
    <x v="1"/>
  </r>
  <r>
    <n v="60082633448"/>
    <x v="3"/>
    <x v="0"/>
  </r>
  <r>
    <n v="57091615958"/>
    <x v="8"/>
    <x v="1"/>
  </r>
  <r>
    <n v="87111052780"/>
    <x v="15"/>
    <x v="1"/>
  </r>
  <r>
    <n v="50040740697"/>
    <x v="6"/>
    <x v="1"/>
  </r>
  <r>
    <n v="68101095387"/>
    <x v="3"/>
    <x v="0"/>
  </r>
  <r>
    <n v="62033049740"/>
    <x v="2"/>
    <x v="1"/>
  </r>
  <r>
    <n v="79072780929"/>
    <x v="15"/>
    <x v="1"/>
  </r>
  <r>
    <n v="94051017843"/>
    <x v="10"/>
    <x v="1"/>
  </r>
  <r>
    <n v="98010553667"/>
    <x v="12"/>
    <x v="1"/>
  </r>
  <r>
    <n v="98052401375"/>
    <x v="2"/>
    <x v="0"/>
  </r>
  <r>
    <n v="86072999428"/>
    <x v="10"/>
    <x v="0"/>
  </r>
  <r>
    <n v="76061601553"/>
    <x v="6"/>
    <x v="0"/>
  </r>
  <r>
    <n v="69011748389"/>
    <x v="0"/>
    <x v="0"/>
  </r>
  <r>
    <n v="72053198339"/>
    <x v="4"/>
    <x v="0"/>
  </r>
  <r>
    <n v="92111126939"/>
    <x v="5"/>
    <x v="1"/>
  </r>
  <r>
    <n v="56122609544"/>
    <x v="1"/>
    <x v="1"/>
  </r>
  <r>
    <n v="78022120507"/>
    <x v="13"/>
    <x v="1"/>
  </r>
  <r>
    <n v="93062318824"/>
    <x v="11"/>
    <x v="0"/>
  </r>
  <r>
    <n v="68111201527"/>
    <x v="8"/>
    <x v="0"/>
  </r>
  <r>
    <n v="78071480489"/>
    <x v="3"/>
    <x v="1"/>
  </r>
  <r>
    <n v="76051975909"/>
    <x v="11"/>
    <x v="0"/>
  </r>
  <r>
    <n v="64062904454"/>
    <x v="0"/>
    <x v="1"/>
  </r>
  <r>
    <n v="88040681139"/>
    <x v="13"/>
    <x v="0"/>
  </r>
  <r>
    <n v="82102913532"/>
    <x v="14"/>
    <x v="0"/>
  </r>
  <r>
    <n v="80111550241"/>
    <x v="10"/>
    <x v="1"/>
  </r>
  <r>
    <n v="73042186560"/>
    <x v="5"/>
    <x v="1"/>
  </r>
  <r>
    <n v="71111622249"/>
    <x v="8"/>
    <x v="0"/>
  </r>
  <r>
    <n v="52042431764"/>
    <x v="0"/>
    <x v="1"/>
  </r>
  <r>
    <n v="94110574874"/>
    <x v="12"/>
    <x v="0"/>
  </r>
  <r>
    <n v="97070314418"/>
    <x v="2"/>
    <x v="0"/>
  </r>
  <r>
    <n v="68020157834"/>
    <x v="0"/>
    <x v="0"/>
  </r>
  <r>
    <n v="61032343220"/>
    <x v="5"/>
    <x v="1"/>
  </r>
  <r>
    <n v="89051851742"/>
    <x v="10"/>
    <x v="1"/>
  </r>
  <r>
    <n v="97090739563"/>
    <x v="14"/>
    <x v="0"/>
  </r>
  <r>
    <n v="61080507803"/>
    <x v="2"/>
    <x v="1"/>
  </r>
  <r>
    <n v="66022228110"/>
    <x v="13"/>
    <x v="1"/>
  </r>
  <r>
    <n v="53120902549"/>
    <x v="9"/>
    <x v="0"/>
  </r>
  <r>
    <n v="84010544767"/>
    <x v="0"/>
    <x v="0"/>
  </r>
  <r>
    <n v="94111642336"/>
    <x v="8"/>
    <x v="1"/>
  </r>
  <r>
    <n v="83080941885"/>
    <x v="4"/>
    <x v="0"/>
  </r>
  <r>
    <n v="99020631770"/>
    <x v="3"/>
    <x v="0"/>
  </r>
  <r>
    <n v="99111303315"/>
    <x v="12"/>
    <x v="1"/>
  </r>
  <r>
    <n v="51092524844"/>
    <x v="15"/>
    <x v="0"/>
  </r>
  <r>
    <n v="56021402794"/>
    <x v="4"/>
    <x v="0"/>
  </r>
  <r>
    <n v="61052346386"/>
    <x v="8"/>
    <x v="0"/>
  </r>
  <r>
    <n v="51122893889"/>
    <x v="8"/>
    <x v="0"/>
  </r>
  <r>
    <n v="71063060230"/>
    <x v="14"/>
    <x v="0"/>
  </r>
  <r>
    <n v="74072279383"/>
    <x v="1"/>
    <x v="1"/>
  </r>
  <r>
    <n v="91091481535"/>
    <x v="5"/>
    <x v="0"/>
  </r>
  <r>
    <n v="57122300244"/>
    <x v="4"/>
    <x v="1"/>
  </r>
  <r>
    <n v="99041479098"/>
    <x v="2"/>
    <x v="1"/>
  </r>
  <r>
    <n v="67100309631"/>
    <x v="13"/>
    <x v="0"/>
  </r>
  <r>
    <n v="82062058218"/>
    <x v="12"/>
    <x v="0"/>
  </r>
  <r>
    <n v="57122013287"/>
    <x v="6"/>
    <x v="0"/>
  </r>
  <r>
    <n v="67112146802"/>
    <x v="11"/>
    <x v="1"/>
  </r>
  <r>
    <n v="87090221803"/>
    <x v="4"/>
    <x v="0"/>
  </r>
  <r>
    <n v="61032430030"/>
    <x v="2"/>
    <x v="1"/>
  </r>
  <r>
    <n v="64080716404"/>
    <x v="1"/>
    <x v="1"/>
  </r>
  <r>
    <n v="59062796578"/>
    <x v="4"/>
    <x v="1"/>
  </r>
  <r>
    <n v="65040627947"/>
    <x v="15"/>
    <x v="1"/>
  </r>
  <r>
    <n v="94122638353"/>
    <x v="8"/>
    <x v="1"/>
  </r>
  <r>
    <n v="58091381319"/>
    <x v="15"/>
    <x v="0"/>
  </r>
  <r>
    <n v="73112332640"/>
    <x v="2"/>
    <x v="0"/>
  </r>
  <r>
    <n v="61052868334"/>
    <x v="11"/>
    <x v="0"/>
  </r>
  <r>
    <n v="71021611182"/>
    <x v="13"/>
    <x v="1"/>
  </r>
  <r>
    <n v="56082234284"/>
    <x v="10"/>
    <x v="1"/>
  </r>
  <r>
    <n v="99101200505"/>
    <x v="14"/>
    <x v="1"/>
  </r>
  <r>
    <n v="52101785894"/>
    <x v="13"/>
    <x v="1"/>
  </r>
  <r>
    <n v="86091601548"/>
    <x v="6"/>
    <x v="1"/>
  </r>
  <r>
    <n v="58071981807"/>
    <x v="5"/>
    <x v="0"/>
  </r>
  <r>
    <n v="95030424298"/>
    <x v="11"/>
    <x v="1"/>
  </r>
  <r>
    <n v="91110362072"/>
    <x v="8"/>
    <x v="1"/>
  </r>
  <r>
    <n v="56010667456"/>
    <x v="11"/>
    <x v="1"/>
  </r>
  <r>
    <n v="75062741479"/>
    <x v="13"/>
    <x v="0"/>
  </r>
  <r>
    <n v="94111155399"/>
    <x v="12"/>
    <x v="0"/>
  </r>
  <r>
    <n v="81021537391"/>
    <x v="7"/>
    <x v="1"/>
  </r>
  <r>
    <n v="90103167461"/>
    <x v="6"/>
    <x v="1"/>
  </r>
  <r>
    <n v="72033126578"/>
    <x v="6"/>
    <x v="1"/>
  </r>
  <r>
    <n v="90010474418"/>
    <x v="11"/>
    <x v="1"/>
  </r>
  <r>
    <n v="93101150990"/>
    <x v="2"/>
    <x v="0"/>
  </r>
  <r>
    <n v="96091515974"/>
    <x v="15"/>
    <x v="0"/>
  </r>
  <r>
    <n v="65011096293"/>
    <x v="10"/>
    <x v="0"/>
  </r>
  <r>
    <n v="53123191577"/>
    <x v="4"/>
    <x v="1"/>
  </r>
  <r>
    <n v="73060298351"/>
    <x v="9"/>
    <x v="1"/>
  </r>
  <r>
    <n v="77121944265"/>
    <x v="9"/>
    <x v="0"/>
  </r>
  <r>
    <n v="68031048828"/>
    <x v="2"/>
    <x v="0"/>
  </r>
  <r>
    <n v="98100693644"/>
    <x v="11"/>
    <x v="1"/>
  </r>
  <r>
    <n v="76072914871"/>
    <x v="7"/>
    <x v="0"/>
  </r>
  <r>
    <n v="55041429471"/>
    <x v="10"/>
    <x v="0"/>
  </r>
  <r>
    <n v="96010658900"/>
    <x v="8"/>
    <x v="0"/>
  </r>
  <r>
    <n v="84032372784"/>
    <x v="9"/>
    <x v="1"/>
  </r>
  <r>
    <n v="50101409189"/>
    <x v="5"/>
    <x v="0"/>
  </r>
  <r>
    <n v="54122295170"/>
    <x v="14"/>
    <x v="1"/>
  </r>
  <r>
    <n v="67092404057"/>
    <x v="7"/>
    <x v="0"/>
  </r>
  <r>
    <n v="67022391071"/>
    <x v="2"/>
    <x v="0"/>
  </r>
  <r>
    <n v="97041948136"/>
    <x v="9"/>
    <x v="1"/>
  </r>
  <r>
    <n v="99011275523"/>
    <x v="8"/>
    <x v="1"/>
  </r>
  <r>
    <n v="57071222781"/>
    <x v="6"/>
    <x v="1"/>
  </r>
  <r>
    <n v="93012973237"/>
    <x v="12"/>
    <x v="1"/>
  </r>
  <r>
    <n v="59082791780"/>
    <x v="4"/>
    <x v="0"/>
  </r>
  <r>
    <n v="81091693078"/>
    <x v="15"/>
    <x v="0"/>
  </r>
  <r>
    <n v="71022845751"/>
    <x v="9"/>
    <x v="0"/>
  </r>
  <r>
    <n v="74123045345"/>
    <x v="4"/>
    <x v="1"/>
  </r>
  <r>
    <n v="88060484406"/>
    <x v="15"/>
    <x v="1"/>
  </r>
  <r>
    <n v="85012784393"/>
    <x v="15"/>
    <x v="1"/>
  </r>
  <r>
    <n v="94112166637"/>
    <x v="7"/>
    <x v="0"/>
  </r>
  <r>
    <n v="68091657019"/>
    <x v="7"/>
    <x v="0"/>
  </r>
  <r>
    <n v="54081341844"/>
    <x v="9"/>
    <x v="1"/>
  </r>
  <r>
    <n v="60012310953"/>
    <x v="9"/>
    <x v="0"/>
  </r>
  <r>
    <n v="61042978869"/>
    <x v="9"/>
    <x v="0"/>
  </r>
  <r>
    <n v="67122575465"/>
    <x v="6"/>
    <x v="0"/>
  </r>
  <r>
    <n v="85060561687"/>
    <x v="1"/>
    <x v="1"/>
  </r>
  <r>
    <n v="62030546646"/>
    <x v="12"/>
    <x v="1"/>
  </r>
  <r>
    <n v="87071650974"/>
    <x v="4"/>
    <x v="1"/>
  </r>
  <r>
    <n v="80051365079"/>
    <x v="4"/>
    <x v="1"/>
  </r>
  <r>
    <n v="63031207831"/>
    <x v="4"/>
    <x v="1"/>
  </r>
  <r>
    <n v="99112776026"/>
    <x v="13"/>
    <x v="0"/>
  </r>
  <r>
    <n v="90071387764"/>
    <x v="7"/>
    <x v="0"/>
  </r>
  <r>
    <n v="79100121607"/>
    <x v="10"/>
    <x v="1"/>
  </r>
  <r>
    <n v="67021697321"/>
    <x v="3"/>
    <x v="1"/>
  </r>
  <r>
    <n v="80122931244"/>
    <x v="15"/>
    <x v="0"/>
  </r>
  <r>
    <n v="68021561579"/>
    <x v="2"/>
    <x v="1"/>
  </r>
  <r>
    <n v="57051700113"/>
    <x v="11"/>
    <x v="0"/>
  </r>
  <r>
    <n v="96111212067"/>
    <x v="6"/>
    <x v="1"/>
  </r>
  <r>
    <n v="89031099317"/>
    <x v="10"/>
    <x v="1"/>
  </r>
  <r>
    <n v="82091382834"/>
    <x v="14"/>
    <x v="0"/>
  </r>
  <r>
    <n v="51122005161"/>
    <x v="2"/>
    <x v="0"/>
  </r>
  <r>
    <n v="65081827241"/>
    <x v="4"/>
    <x v="1"/>
  </r>
  <r>
    <n v="52073149353"/>
    <x v="9"/>
    <x v="0"/>
  </r>
  <r>
    <n v="52072768764"/>
    <x v="3"/>
    <x v="1"/>
  </r>
  <r>
    <n v="73050819755"/>
    <x v="11"/>
    <x v="0"/>
  </r>
  <r>
    <n v="61041842387"/>
    <x v="14"/>
    <x v="1"/>
  </r>
  <r>
    <n v="66072012686"/>
    <x v="3"/>
    <x v="0"/>
  </r>
  <r>
    <n v="52011513628"/>
    <x v="0"/>
    <x v="0"/>
  </r>
  <r>
    <n v="90030794936"/>
    <x v="12"/>
    <x v="1"/>
  </r>
  <r>
    <n v="79011981318"/>
    <x v="13"/>
    <x v="0"/>
  </r>
  <r>
    <n v="93082049658"/>
    <x v="8"/>
    <x v="0"/>
  </r>
  <r>
    <n v="95020539612"/>
    <x v="11"/>
    <x v="1"/>
  </r>
  <r>
    <n v="62121026899"/>
    <x v="6"/>
    <x v="0"/>
  </r>
  <r>
    <n v="98070529271"/>
    <x v="3"/>
    <x v="1"/>
  </r>
  <r>
    <n v="93030531536"/>
    <x v="0"/>
    <x v="0"/>
  </r>
  <r>
    <n v="89051997242"/>
    <x v="10"/>
    <x v="1"/>
  </r>
  <r>
    <n v="98031592126"/>
    <x v="6"/>
    <x v="1"/>
  </r>
  <r>
    <n v="96032495400"/>
    <x v="4"/>
    <x v="0"/>
  </r>
  <r>
    <n v="76060407716"/>
    <x v="7"/>
    <x v="0"/>
  </r>
  <r>
    <n v="86102363786"/>
    <x v="2"/>
    <x v="1"/>
  </r>
  <r>
    <n v="50011021644"/>
    <x v="14"/>
    <x v="1"/>
  </r>
  <r>
    <n v="79020918057"/>
    <x v="6"/>
    <x v="1"/>
  </r>
  <r>
    <n v="78022471528"/>
    <x v="8"/>
    <x v="1"/>
  </r>
  <r>
    <n v="63121010668"/>
    <x v="9"/>
    <x v="0"/>
  </r>
  <r>
    <n v="56080833942"/>
    <x v="14"/>
    <x v="0"/>
  </r>
  <r>
    <n v="66101082660"/>
    <x v="12"/>
    <x v="0"/>
  </r>
  <r>
    <n v="65052373250"/>
    <x v="8"/>
    <x v="1"/>
  </r>
  <r>
    <n v="54061841533"/>
    <x v="4"/>
    <x v="1"/>
  </r>
  <r>
    <n v="90042297346"/>
    <x v="3"/>
    <x v="1"/>
  </r>
  <r>
    <n v="58012291873"/>
    <x v="2"/>
    <x v="1"/>
  </r>
  <r>
    <n v="88020290896"/>
    <x v="10"/>
    <x v="0"/>
  </r>
  <r>
    <n v="74072307837"/>
    <x v="14"/>
    <x v="1"/>
  </r>
  <r>
    <n v="72122724900"/>
    <x v="14"/>
    <x v="1"/>
  </r>
  <r>
    <n v="76081823199"/>
    <x v="11"/>
    <x v="1"/>
  </r>
  <r>
    <n v="79042502241"/>
    <x v="5"/>
    <x v="1"/>
  </r>
  <r>
    <n v="57071748146"/>
    <x v="2"/>
    <x v="0"/>
  </r>
  <r>
    <n v="69042830493"/>
    <x v="1"/>
    <x v="0"/>
  </r>
  <r>
    <n v="51122805709"/>
    <x v="4"/>
    <x v="0"/>
  </r>
  <r>
    <n v="60100601215"/>
    <x v="9"/>
    <x v="1"/>
  </r>
  <r>
    <n v="71032673014"/>
    <x v="10"/>
    <x v="1"/>
  </r>
  <r>
    <n v="65020176692"/>
    <x v="3"/>
    <x v="0"/>
  </r>
  <r>
    <n v="96030717845"/>
    <x v="6"/>
    <x v="0"/>
  </r>
  <r>
    <n v="58072435114"/>
    <x v="6"/>
    <x v="1"/>
  </r>
  <r>
    <n v="76121983603"/>
    <x v="14"/>
    <x v="1"/>
  </r>
  <r>
    <n v="63102281616"/>
    <x v="12"/>
    <x v="0"/>
  </r>
  <r>
    <n v="60102044179"/>
    <x v="10"/>
    <x v="1"/>
  </r>
  <r>
    <n v="79110638474"/>
    <x v="13"/>
    <x v="0"/>
  </r>
  <r>
    <n v="56031331390"/>
    <x v="3"/>
    <x v="0"/>
  </r>
  <r>
    <n v="88031966519"/>
    <x v="3"/>
    <x v="1"/>
  </r>
  <r>
    <n v="60100214787"/>
    <x v="11"/>
    <x v="0"/>
  </r>
  <r>
    <n v="70080400450"/>
    <x v="11"/>
    <x v="1"/>
  </r>
  <r>
    <n v="71111962853"/>
    <x v="15"/>
    <x v="0"/>
  </r>
  <r>
    <n v="77041828005"/>
    <x v="11"/>
    <x v="0"/>
  </r>
  <r>
    <n v="61082401051"/>
    <x v="11"/>
    <x v="1"/>
  </r>
  <r>
    <n v="53080346768"/>
    <x v="8"/>
    <x v="0"/>
  </r>
  <r>
    <n v="81092123347"/>
    <x v="15"/>
    <x v="1"/>
  </r>
  <r>
    <n v="83102006475"/>
    <x v="8"/>
    <x v="0"/>
  </r>
  <r>
    <n v="57080789431"/>
    <x v="5"/>
    <x v="1"/>
  </r>
  <r>
    <n v="96092868033"/>
    <x v="12"/>
    <x v="0"/>
  </r>
  <r>
    <n v="61040869008"/>
    <x v="13"/>
    <x v="0"/>
  </r>
  <r>
    <n v="56112420867"/>
    <x v="8"/>
    <x v="1"/>
  </r>
  <r>
    <n v="73033131926"/>
    <x v="2"/>
    <x v="1"/>
  </r>
  <r>
    <n v="59071140867"/>
    <x v="11"/>
    <x v="0"/>
  </r>
  <r>
    <n v="53062600392"/>
    <x v="6"/>
    <x v="1"/>
  </r>
  <r>
    <n v="94091797482"/>
    <x v="1"/>
    <x v="1"/>
  </r>
  <r>
    <n v="66082438007"/>
    <x v="13"/>
    <x v="1"/>
  </r>
  <r>
    <n v="70120434153"/>
    <x v="13"/>
    <x v="0"/>
  </r>
  <r>
    <n v="99072313297"/>
    <x v="12"/>
    <x v="1"/>
  </r>
  <r>
    <n v="52032165031"/>
    <x v="12"/>
    <x v="0"/>
  </r>
  <r>
    <n v="89101149319"/>
    <x v="0"/>
    <x v="1"/>
  </r>
  <r>
    <n v="79083070972"/>
    <x v="9"/>
    <x v="1"/>
  </r>
  <r>
    <n v="93021544752"/>
    <x v="1"/>
    <x v="0"/>
  </r>
  <r>
    <n v="92112431197"/>
    <x v="12"/>
    <x v="0"/>
  </r>
  <r>
    <n v="51121146926"/>
    <x v="15"/>
    <x v="1"/>
  </r>
  <r>
    <n v="85111499028"/>
    <x v="10"/>
    <x v="1"/>
  </r>
  <r>
    <n v="98012042048"/>
    <x v="15"/>
    <x v="0"/>
  </r>
  <r>
    <n v="72071093829"/>
    <x v="10"/>
    <x v="0"/>
  </r>
  <r>
    <n v="69040958571"/>
    <x v="5"/>
    <x v="0"/>
  </r>
  <r>
    <n v="69090471617"/>
    <x v="1"/>
    <x v="0"/>
  </r>
  <r>
    <n v="50062151338"/>
    <x v="14"/>
    <x v="0"/>
  </r>
  <r>
    <n v="96123037605"/>
    <x v="9"/>
    <x v="1"/>
  </r>
  <r>
    <n v="50040731114"/>
    <x v="6"/>
    <x v="0"/>
  </r>
  <r>
    <n v="86063067804"/>
    <x v="14"/>
    <x v="0"/>
  </r>
  <r>
    <n v="64070523768"/>
    <x v="12"/>
    <x v="0"/>
  </r>
  <r>
    <n v="61111487140"/>
    <x v="7"/>
    <x v="0"/>
  </r>
  <r>
    <n v="55081402366"/>
    <x v="1"/>
    <x v="1"/>
  </r>
  <r>
    <n v="68101484688"/>
    <x v="1"/>
    <x v="1"/>
  </r>
  <r>
    <n v="96072101624"/>
    <x v="12"/>
    <x v="1"/>
  </r>
  <r>
    <n v="53111372836"/>
    <x v="3"/>
    <x v="1"/>
  </r>
  <r>
    <n v="66050423060"/>
    <x v="1"/>
    <x v="1"/>
  </r>
  <r>
    <n v="50112572104"/>
    <x v="3"/>
    <x v="1"/>
  </r>
  <r>
    <n v="66041509607"/>
    <x v="12"/>
    <x v="0"/>
  </r>
  <r>
    <n v="54111160315"/>
    <x v="4"/>
    <x v="0"/>
  </r>
  <r>
    <n v="56040228672"/>
    <x v="9"/>
    <x v="1"/>
  </r>
  <r>
    <n v="78111431918"/>
    <x v="6"/>
    <x v="0"/>
  </r>
  <r>
    <n v="73070626456"/>
    <x v="2"/>
    <x v="1"/>
  </r>
  <r>
    <n v="61042433348"/>
    <x v="9"/>
    <x v="1"/>
  </r>
  <r>
    <n v="81050869595"/>
    <x v="14"/>
    <x v="0"/>
  </r>
  <r>
    <n v="58091890613"/>
    <x v="4"/>
    <x v="0"/>
  </r>
  <r>
    <n v="66082232755"/>
    <x v="1"/>
    <x v="1"/>
  </r>
  <r>
    <n v="69020508231"/>
    <x v="12"/>
    <x v="1"/>
  </r>
  <r>
    <n v="57111407330"/>
    <x v="5"/>
    <x v="0"/>
  </r>
  <r>
    <n v="52110758050"/>
    <x v="7"/>
    <x v="0"/>
  </r>
  <r>
    <n v="93011246172"/>
    <x v="14"/>
    <x v="0"/>
  </r>
  <r>
    <n v="96121936753"/>
    <x v="7"/>
    <x v="1"/>
  </r>
  <r>
    <n v="79061604939"/>
    <x v="12"/>
    <x v="1"/>
  </r>
  <r>
    <n v="90082985672"/>
    <x v="1"/>
    <x v="0"/>
  </r>
  <r>
    <n v="86010806854"/>
    <x v="14"/>
    <x v="0"/>
  </r>
  <r>
    <n v="60051494601"/>
    <x v="8"/>
    <x v="0"/>
  </r>
  <r>
    <n v="78012615541"/>
    <x v="8"/>
    <x v="1"/>
  </r>
  <r>
    <n v="85120295381"/>
    <x v="15"/>
    <x v="1"/>
  </r>
  <r>
    <n v="52042558504"/>
    <x v="14"/>
    <x v="0"/>
  </r>
  <r>
    <n v="60091893541"/>
    <x v="5"/>
    <x v="0"/>
  </r>
  <r>
    <n v="80021593459"/>
    <x v="5"/>
    <x v="0"/>
  </r>
  <r>
    <n v="62011939184"/>
    <x v="5"/>
    <x v="1"/>
  </r>
  <r>
    <n v="78092814382"/>
    <x v="14"/>
    <x v="0"/>
  </r>
  <r>
    <n v="69060539204"/>
    <x v="0"/>
    <x v="0"/>
  </r>
  <r>
    <n v="54012029489"/>
    <x v="8"/>
    <x v="0"/>
  </r>
  <r>
    <n v="71120775567"/>
    <x v="6"/>
    <x v="1"/>
  </r>
  <r>
    <n v="97082550396"/>
    <x v="8"/>
    <x v="0"/>
  </r>
  <r>
    <n v="83092045281"/>
    <x v="11"/>
    <x v="0"/>
  </r>
  <r>
    <n v="63011212011"/>
    <x v="14"/>
    <x v="1"/>
  </r>
  <r>
    <n v="55040378486"/>
    <x v="12"/>
    <x v="0"/>
  </r>
  <r>
    <n v="93042345873"/>
    <x v="6"/>
    <x v="1"/>
  </r>
  <r>
    <n v="54050436032"/>
    <x v="2"/>
    <x v="0"/>
  </r>
  <r>
    <n v="87110483314"/>
    <x v="15"/>
    <x v="1"/>
  </r>
  <r>
    <n v="56100225593"/>
    <x v="13"/>
    <x v="1"/>
  </r>
  <r>
    <n v="87081751737"/>
    <x v="14"/>
    <x v="0"/>
  </r>
  <r>
    <n v="65030177359"/>
    <x v="14"/>
    <x v="0"/>
  </r>
  <r>
    <n v="98101496192"/>
    <x v="7"/>
    <x v="1"/>
  </r>
  <r>
    <n v="81071437597"/>
    <x v="11"/>
    <x v="0"/>
  </r>
  <r>
    <n v="82042883285"/>
    <x v="14"/>
    <x v="0"/>
  </r>
  <r>
    <n v="76100518516"/>
    <x v="11"/>
    <x v="0"/>
  </r>
  <r>
    <n v="76021655411"/>
    <x v="7"/>
    <x v="1"/>
  </r>
  <r>
    <n v="99083108912"/>
    <x v="10"/>
    <x v="1"/>
  </r>
  <r>
    <n v="53041446074"/>
    <x v="1"/>
    <x v="1"/>
  </r>
  <r>
    <n v="82040651244"/>
    <x v="14"/>
    <x v="0"/>
  </r>
  <r>
    <n v="98062819672"/>
    <x v="11"/>
    <x v="0"/>
  </r>
  <r>
    <n v="71082464877"/>
    <x v="7"/>
    <x v="0"/>
  </r>
  <r>
    <n v="98121450028"/>
    <x v="7"/>
    <x v="0"/>
  </r>
  <r>
    <n v="68111216570"/>
    <x v="5"/>
    <x v="0"/>
  </r>
  <r>
    <n v="96112579475"/>
    <x v="4"/>
    <x v="1"/>
  </r>
  <r>
    <n v="62062966269"/>
    <x v="2"/>
    <x v="0"/>
  </r>
  <r>
    <n v="98012031044"/>
    <x v="7"/>
    <x v="0"/>
  </r>
  <r>
    <n v="81061664770"/>
    <x v="2"/>
    <x v="1"/>
  </r>
  <r>
    <n v="71092819494"/>
    <x v="9"/>
    <x v="1"/>
  </r>
  <r>
    <n v="86121687339"/>
    <x v="7"/>
    <x v="1"/>
  </r>
  <r>
    <n v="57121694261"/>
    <x v="13"/>
    <x v="0"/>
  </r>
  <r>
    <n v="60020736888"/>
    <x v="2"/>
    <x v="0"/>
  </r>
  <r>
    <n v="75020499295"/>
    <x v="7"/>
    <x v="0"/>
  </r>
  <r>
    <n v="77111555550"/>
    <x v="13"/>
    <x v="0"/>
  </r>
  <r>
    <n v="58021758370"/>
    <x v="11"/>
    <x v="0"/>
  </r>
  <r>
    <n v="76082740538"/>
    <x v="8"/>
    <x v="0"/>
  </r>
  <r>
    <n v="98060701454"/>
    <x v="2"/>
    <x v="0"/>
  </r>
  <r>
    <n v="50111946757"/>
    <x v="1"/>
    <x v="1"/>
  </r>
  <r>
    <n v="64011943574"/>
    <x v="1"/>
    <x v="1"/>
  </r>
  <r>
    <n v="64111978557"/>
    <x v="5"/>
    <x v="1"/>
  </r>
  <r>
    <n v="67090828323"/>
    <x v="9"/>
    <x v="1"/>
  </r>
  <r>
    <n v="55011731764"/>
    <x v="0"/>
    <x v="1"/>
  </r>
  <r>
    <n v="76090406305"/>
    <x v="11"/>
    <x v="0"/>
  </r>
  <r>
    <n v="80020819576"/>
    <x v="14"/>
    <x v="1"/>
  </r>
  <r>
    <n v="73020122872"/>
    <x v="12"/>
    <x v="1"/>
  </r>
  <r>
    <n v="67030428862"/>
    <x v="15"/>
    <x v="0"/>
  </r>
  <r>
    <n v="93021206362"/>
    <x v="3"/>
    <x v="0"/>
  </r>
  <r>
    <n v="89050505963"/>
    <x v="1"/>
    <x v="0"/>
  </r>
  <r>
    <n v="73101493325"/>
    <x v="11"/>
    <x v="0"/>
  </r>
  <r>
    <n v="85071473760"/>
    <x v="0"/>
    <x v="1"/>
  </r>
  <r>
    <n v="65071424836"/>
    <x v="1"/>
    <x v="1"/>
  </r>
  <r>
    <n v="61021342298"/>
    <x v="15"/>
    <x v="0"/>
  </r>
  <r>
    <n v="84121422192"/>
    <x v="5"/>
    <x v="0"/>
  </r>
  <r>
    <n v="74092255071"/>
    <x v="9"/>
    <x v="0"/>
  </r>
  <r>
    <n v="53052765728"/>
    <x v="12"/>
    <x v="0"/>
  </r>
  <r>
    <n v="97042931845"/>
    <x v="4"/>
    <x v="1"/>
  </r>
  <r>
    <n v="78062520080"/>
    <x v="2"/>
    <x v="0"/>
  </r>
  <r>
    <n v="65111959825"/>
    <x v="6"/>
    <x v="0"/>
  </r>
  <r>
    <n v="50011440807"/>
    <x v="0"/>
    <x v="0"/>
  </r>
  <r>
    <n v="83111092722"/>
    <x v="6"/>
    <x v="1"/>
  </r>
  <r>
    <n v="75122143973"/>
    <x v="12"/>
    <x v="1"/>
  </r>
  <r>
    <n v="65100549251"/>
    <x v="1"/>
    <x v="0"/>
  </r>
  <r>
    <n v="70021990226"/>
    <x v="4"/>
    <x v="1"/>
  </r>
  <r>
    <n v="79053025344"/>
    <x v="10"/>
    <x v="0"/>
  </r>
  <r>
    <n v="98100739519"/>
    <x v="15"/>
    <x v="0"/>
  </r>
  <r>
    <n v="61040445673"/>
    <x v="9"/>
    <x v="0"/>
  </r>
  <r>
    <n v="54120956644"/>
    <x v="8"/>
    <x v="0"/>
  </r>
  <r>
    <n v="87011726224"/>
    <x v="8"/>
    <x v="1"/>
  </r>
  <r>
    <n v="89122110541"/>
    <x v="2"/>
    <x v="0"/>
  </r>
  <r>
    <n v="63102562292"/>
    <x v="10"/>
    <x v="0"/>
  </r>
  <r>
    <n v="91101758446"/>
    <x v="15"/>
    <x v="1"/>
  </r>
  <r>
    <n v="73041277610"/>
    <x v="9"/>
    <x v="1"/>
  </r>
  <r>
    <n v="63101233720"/>
    <x v="14"/>
    <x v="0"/>
  </r>
  <r>
    <n v="84021497980"/>
    <x v="5"/>
    <x v="1"/>
  </r>
  <r>
    <n v="87051320026"/>
    <x v="1"/>
    <x v="0"/>
  </r>
  <r>
    <n v="87122216434"/>
    <x v="12"/>
    <x v="0"/>
  </r>
  <r>
    <n v="63062929199"/>
    <x v="7"/>
    <x v="0"/>
  </r>
  <r>
    <n v="99011281256"/>
    <x v="14"/>
    <x v="1"/>
  </r>
  <r>
    <n v="72110750487"/>
    <x v="14"/>
    <x v="1"/>
  </r>
  <r>
    <n v="70052334215"/>
    <x v="11"/>
    <x v="1"/>
  </r>
  <r>
    <n v="53080638348"/>
    <x v="7"/>
    <x v="1"/>
  </r>
  <r>
    <n v="63092655936"/>
    <x v="8"/>
    <x v="1"/>
  </r>
  <r>
    <n v="80012365708"/>
    <x v="10"/>
    <x v="0"/>
  </r>
  <r>
    <n v="88092831629"/>
    <x v="1"/>
    <x v="0"/>
  </r>
  <r>
    <n v="63062036462"/>
    <x v="13"/>
    <x v="1"/>
  </r>
  <r>
    <n v="62020662873"/>
    <x v="10"/>
    <x v="0"/>
  </r>
  <r>
    <n v="85120753924"/>
    <x v="15"/>
    <x v="1"/>
  </r>
  <r>
    <n v="57072490011"/>
    <x v="12"/>
    <x v="0"/>
  </r>
  <r>
    <n v="82020297372"/>
    <x v="15"/>
    <x v="1"/>
  </r>
  <r>
    <n v="93113022209"/>
    <x v="6"/>
    <x v="0"/>
  </r>
  <r>
    <n v="80032957947"/>
    <x v="0"/>
    <x v="0"/>
  </r>
  <r>
    <n v="97061666537"/>
    <x v="6"/>
    <x v="0"/>
  </r>
  <r>
    <n v="99042282211"/>
    <x v="6"/>
    <x v="0"/>
  </r>
  <r>
    <n v="90122294917"/>
    <x v="2"/>
    <x v="0"/>
  </r>
  <r>
    <n v="98042035638"/>
    <x v="0"/>
    <x v="0"/>
  </r>
  <r>
    <n v="63090624679"/>
    <x v="6"/>
    <x v="0"/>
  </r>
  <r>
    <n v="56041608154"/>
    <x v="9"/>
    <x v="0"/>
  </r>
  <r>
    <n v="61061367026"/>
    <x v="6"/>
    <x v="0"/>
  </r>
  <r>
    <n v="65030283393"/>
    <x v="11"/>
    <x v="1"/>
  </r>
  <r>
    <n v="92012998491"/>
    <x v="7"/>
    <x v="0"/>
  </r>
  <r>
    <n v="98021347510"/>
    <x v="10"/>
    <x v="1"/>
  </r>
  <r>
    <n v="61020732218"/>
    <x v="5"/>
    <x v="1"/>
  </r>
  <r>
    <n v="51100859081"/>
    <x v="6"/>
    <x v="1"/>
  </r>
  <r>
    <n v="58092388216"/>
    <x v="7"/>
    <x v="0"/>
  </r>
  <r>
    <n v="58081857013"/>
    <x v="10"/>
    <x v="0"/>
  </r>
  <r>
    <n v="51112066114"/>
    <x v="12"/>
    <x v="0"/>
  </r>
  <r>
    <n v="89010145123"/>
    <x v="10"/>
    <x v="0"/>
  </r>
  <r>
    <n v="84021137424"/>
    <x v="9"/>
    <x v="1"/>
  </r>
  <r>
    <n v="66071191281"/>
    <x v="4"/>
    <x v="1"/>
  </r>
  <r>
    <n v="64110521169"/>
    <x v="4"/>
    <x v="1"/>
  </r>
  <r>
    <n v="80090724666"/>
    <x v="2"/>
    <x v="1"/>
  </r>
  <r>
    <n v="60081098044"/>
    <x v="12"/>
    <x v="0"/>
  </r>
  <r>
    <n v="81060672345"/>
    <x v="1"/>
    <x v="1"/>
  </r>
  <r>
    <n v="72041188498"/>
    <x v="14"/>
    <x v="0"/>
  </r>
  <r>
    <n v="93050237328"/>
    <x v="10"/>
    <x v="1"/>
  </r>
  <r>
    <n v="57111030969"/>
    <x v="1"/>
    <x v="1"/>
  </r>
  <r>
    <n v="95120189926"/>
    <x v="2"/>
    <x v="1"/>
  </r>
  <r>
    <n v="50030558617"/>
    <x v="2"/>
    <x v="1"/>
  </r>
  <r>
    <n v="99030787526"/>
    <x v="7"/>
    <x v="1"/>
  </r>
  <r>
    <n v="86012893795"/>
    <x v="1"/>
    <x v="1"/>
  </r>
  <r>
    <n v="77070917279"/>
    <x v="11"/>
    <x v="0"/>
  </r>
  <r>
    <n v="81110769382"/>
    <x v="0"/>
    <x v="0"/>
  </r>
  <r>
    <n v="77111159976"/>
    <x v="2"/>
    <x v="0"/>
  </r>
  <r>
    <n v="70100187141"/>
    <x v="8"/>
    <x v="0"/>
  </r>
  <r>
    <n v="65021500043"/>
    <x v="10"/>
    <x v="1"/>
  </r>
  <r>
    <n v="85060885312"/>
    <x v="15"/>
    <x v="0"/>
  </r>
  <r>
    <n v="71050660586"/>
    <x v="1"/>
    <x v="1"/>
  </r>
  <r>
    <n v="59071738598"/>
    <x v="5"/>
    <x v="1"/>
  </r>
  <r>
    <n v="95032440571"/>
    <x v="14"/>
    <x v="1"/>
  </r>
  <r>
    <n v="89061704744"/>
    <x v="4"/>
    <x v="0"/>
  </r>
  <r>
    <n v="51080898629"/>
    <x v="12"/>
    <x v="0"/>
  </r>
  <r>
    <n v="57022141905"/>
    <x v="14"/>
    <x v="0"/>
  </r>
  <r>
    <n v="83040146750"/>
    <x v="11"/>
    <x v="0"/>
  </r>
  <r>
    <n v="94073040289"/>
    <x v="12"/>
    <x v="1"/>
  </r>
  <r>
    <n v="85082674482"/>
    <x v="15"/>
    <x v="1"/>
  </r>
  <r>
    <n v="68071192873"/>
    <x v="3"/>
    <x v="1"/>
  </r>
  <r>
    <n v="66122411933"/>
    <x v="3"/>
    <x v="0"/>
  </r>
  <r>
    <n v="83112543531"/>
    <x v="7"/>
    <x v="0"/>
  </r>
  <r>
    <n v="72032940355"/>
    <x v="15"/>
    <x v="0"/>
  </r>
  <r>
    <n v="99041426748"/>
    <x v="6"/>
    <x v="1"/>
  </r>
  <r>
    <n v="99082013556"/>
    <x v="0"/>
    <x v="0"/>
  </r>
  <r>
    <n v="62123067166"/>
    <x v="11"/>
    <x v="1"/>
  </r>
  <r>
    <n v="65031764132"/>
    <x v="5"/>
    <x v="0"/>
  </r>
  <r>
    <n v="66031525363"/>
    <x v="3"/>
    <x v="1"/>
  </r>
  <r>
    <n v="84121279350"/>
    <x v="12"/>
    <x v="0"/>
  </r>
  <r>
    <n v="56060275416"/>
    <x v="3"/>
    <x v="1"/>
  </r>
  <r>
    <n v="88060298577"/>
    <x v="8"/>
    <x v="0"/>
  </r>
  <r>
    <n v="93071613624"/>
    <x v="14"/>
    <x v="1"/>
  </r>
  <r>
    <n v="56032245658"/>
    <x v="4"/>
    <x v="0"/>
  </r>
  <r>
    <n v="64081190522"/>
    <x v="2"/>
    <x v="0"/>
  </r>
  <r>
    <n v="62040616607"/>
    <x v="5"/>
    <x v="0"/>
  </r>
  <r>
    <n v="87032142416"/>
    <x v="9"/>
    <x v="0"/>
  </r>
  <r>
    <n v="73101455554"/>
    <x v="2"/>
    <x v="0"/>
  </r>
  <r>
    <n v="56111282482"/>
    <x v="14"/>
    <x v="1"/>
  </r>
  <r>
    <n v="83032688282"/>
    <x v="3"/>
    <x v="0"/>
  </r>
  <r>
    <n v="88051092544"/>
    <x v="4"/>
    <x v="0"/>
  </r>
  <r>
    <n v="50012665757"/>
    <x v="9"/>
    <x v="0"/>
  </r>
  <r>
    <n v="96040206342"/>
    <x v="4"/>
    <x v="1"/>
  </r>
  <r>
    <n v="91041069954"/>
    <x v="2"/>
    <x v="0"/>
  </r>
  <r>
    <n v="75061743946"/>
    <x v="9"/>
    <x v="1"/>
  </r>
  <r>
    <n v="52020449840"/>
    <x v="3"/>
    <x v="0"/>
  </r>
  <r>
    <n v="94021767981"/>
    <x v="10"/>
    <x v="0"/>
  </r>
  <r>
    <n v="54061438140"/>
    <x v="3"/>
    <x v="1"/>
  </r>
  <r>
    <n v="60012636109"/>
    <x v="4"/>
    <x v="1"/>
  </r>
  <r>
    <n v="64031328634"/>
    <x v="9"/>
    <x v="1"/>
  </r>
  <r>
    <n v="76032562353"/>
    <x v="15"/>
    <x v="1"/>
  </r>
  <r>
    <n v="94042289916"/>
    <x v="6"/>
    <x v="0"/>
  </r>
  <r>
    <n v="72011235869"/>
    <x v="11"/>
    <x v="1"/>
  </r>
  <r>
    <n v="55101622897"/>
    <x v="7"/>
    <x v="1"/>
  </r>
  <r>
    <n v="63061591096"/>
    <x v="1"/>
    <x v="1"/>
  </r>
  <r>
    <n v="66092086287"/>
    <x v="10"/>
    <x v="1"/>
  </r>
  <r>
    <n v="79120351848"/>
    <x v="10"/>
    <x v="1"/>
  </r>
  <r>
    <n v="75032029066"/>
    <x v="12"/>
    <x v="1"/>
  </r>
  <r>
    <n v="64120631351"/>
    <x v="12"/>
    <x v="0"/>
  </r>
  <r>
    <n v="73072842436"/>
    <x v="4"/>
    <x v="1"/>
  </r>
  <r>
    <n v="81032163367"/>
    <x v="12"/>
    <x v="1"/>
  </r>
  <r>
    <n v="99120273519"/>
    <x v="13"/>
    <x v="0"/>
  </r>
  <r>
    <n v="57040596570"/>
    <x v="2"/>
    <x v="1"/>
  </r>
  <r>
    <n v="99051386795"/>
    <x v="9"/>
    <x v="1"/>
  </r>
  <r>
    <n v="73031813176"/>
    <x v="6"/>
    <x v="0"/>
  </r>
  <r>
    <n v="86061566312"/>
    <x v="1"/>
    <x v="1"/>
  </r>
  <r>
    <n v="53090698026"/>
    <x v="6"/>
    <x v="0"/>
  </r>
  <r>
    <n v="75021357613"/>
    <x v="0"/>
    <x v="0"/>
  </r>
  <r>
    <n v="72123107126"/>
    <x v="1"/>
    <x v="1"/>
  </r>
  <r>
    <n v="79070698840"/>
    <x v="10"/>
    <x v="1"/>
  </r>
  <r>
    <n v="99121640071"/>
    <x v="8"/>
    <x v="1"/>
  </r>
  <r>
    <n v="62040855749"/>
    <x v="2"/>
    <x v="0"/>
  </r>
  <r>
    <n v="77050752195"/>
    <x v="9"/>
    <x v="1"/>
  </r>
  <r>
    <n v="61011848526"/>
    <x v="5"/>
    <x v="1"/>
  </r>
  <r>
    <n v="67090716369"/>
    <x v="5"/>
    <x v="0"/>
  </r>
  <r>
    <n v="69121808746"/>
    <x v="14"/>
    <x v="0"/>
  </r>
  <r>
    <n v="95022144672"/>
    <x v="6"/>
    <x v="1"/>
  </r>
  <r>
    <n v="50122386122"/>
    <x v="5"/>
    <x v="1"/>
  </r>
  <r>
    <n v="64040818515"/>
    <x v="15"/>
    <x v="0"/>
  </r>
  <r>
    <n v="74110420436"/>
    <x v="13"/>
    <x v="0"/>
  </r>
  <r>
    <n v="95070175648"/>
    <x v="9"/>
    <x v="0"/>
  </r>
  <r>
    <n v="51040710541"/>
    <x v="2"/>
    <x v="1"/>
  </r>
  <r>
    <n v="68050307393"/>
    <x v="8"/>
    <x v="0"/>
  </r>
  <r>
    <n v="78012414409"/>
    <x v="9"/>
    <x v="0"/>
  </r>
  <r>
    <n v="85080239649"/>
    <x v="13"/>
    <x v="0"/>
  </r>
  <r>
    <n v="80111845565"/>
    <x v="0"/>
    <x v="0"/>
  </r>
  <r>
    <n v="64060295028"/>
    <x v="12"/>
    <x v="0"/>
  </r>
  <r>
    <n v="66112444217"/>
    <x v="4"/>
    <x v="1"/>
  </r>
  <r>
    <n v="95010531354"/>
    <x v="6"/>
    <x v="1"/>
  </r>
  <r>
    <n v="66091626497"/>
    <x v="3"/>
    <x v="1"/>
  </r>
  <r>
    <n v="60101353265"/>
    <x v="7"/>
    <x v="0"/>
  </r>
  <r>
    <n v="73112234065"/>
    <x v="7"/>
    <x v="0"/>
  </r>
  <r>
    <n v="77100455058"/>
    <x v="2"/>
    <x v="1"/>
  </r>
  <r>
    <n v="98091693687"/>
    <x v="4"/>
    <x v="1"/>
  </r>
  <r>
    <n v="67091449031"/>
    <x v="11"/>
    <x v="1"/>
  </r>
  <r>
    <n v="75052421464"/>
    <x v="1"/>
    <x v="1"/>
  </r>
  <r>
    <n v="93042060965"/>
    <x v="13"/>
    <x v="0"/>
  </r>
  <r>
    <n v="58011437395"/>
    <x v="15"/>
    <x v="1"/>
  </r>
  <r>
    <n v="61010924043"/>
    <x v="12"/>
    <x v="0"/>
  </r>
  <r>
    <n v="59020116778"/>
    <x v="15"/>
    <x v="0"/>
  </r>
  <r>
    <n v="85012006521"/>
    <x v="5"/>
    <x v="1"/>
  </r>
  <r>
    <n v="89021336354"/>
    <x v="9"/>
    <x v="1"/>
  </r>
  <r>
    <n v="65092409201"/>
    <x v="10"/>
    <x v="0"/>
  </r>
  <r>
    <n v="69072352000"/>
    <x v="7"/>
    <x v="1"/>
  </r>
  <r>
    <n v="80101429434"/>
    <x v="4"/>
    <x v="0"/>
  </r>
  <r>
    <n v="74041163095"/>
    <x v="13"/>
    <x v="1"/>
  </r>
  <r>
    <n v="95030310836"/>
    <x v="6"/>
    <x v="1"/>
  </r>
  <r>
    <n v="84083110241"/>
    <x v="4"/>
    <x v="1"/>
  </r>
  <r>
    <n v="81082753187"/>
    <x v="15"/>
    <x v="1"/>
  </r>
  <r>
    <n v="64061448050"/>
    <x v="11"/>
    <x v="1"/>
  </r>
  <r>
    <n v="96091382992"/>
    <x v="6"/>
    <x v="1"/>
  </r>
  <r>
    <n v="84041663297"/>
    <x v="8"/>
    <x v="1"/>
  </r>
  <r>
    <n v="94113074555"/>
    <x v="10"/>
    <x v="1"/>
  </r>
  <r>
    <n v="53100155150"/>
    <x v="10"/>
    <x v="0"/>
  </r>
  <r>
    <n v="81102995678"/>
    <x v="10"/>
    <x v="0"/>
  </r>
  <r>
    <n v="91020385192"/>
    <x v="13"/>
    <x v="1"/>
  </r>
  <r>
    <n v="86012915370"/>
    <x v="11"/>
    <x v="0"/>
  </r>
  <r>
    <n v="95011238564"/>
    <x v="5"/>
    <x v="1"/>
  </r>
  <r>
    <n v="63060590812"/>
    <x v="14"/>
    <x v="0"/>
  </r>
  <r>
    <n v="73052262582"/>
    <x v="8"/>
    <x v="0"/>
  </r>
  <r>
    <n v="57022439574"/>
    <x v="3"/>
    <x v="0"/>
  </r>
  <r>
    <n v="50091782701"/>
    <x v="13"/>
    <x v="1"/>
  </r>
  <r>
    <n v="68052065082"/>
    <x v="13"/>
    <x v="0"/>
  </r>
  <r>
    <n v="84061020261"/>
    <x v="10"/>
    <x v="0"/>
  </r>
  <r>
    <n v="77040155423"/>
    <x v="12"/>
    <x v="1"/>
  </r>
  <r>
    <n v="84091296111"/>
    <x v="5"/>
    <x v="1"/>
  </r>
  <r>
    <n v="55022627630"/>
    <x v="14"/>
    <x v="1"/>
  </r>
  <r>
    <n v="69082217922"/>
    <x v="12"/>
    <x v="1"/>
  </r>
  <r>
    <n v="99022773687"/>
    <x v="6"/>
    <x v="1"/>
  </r>
  <r>
    <n v="97082737087"/>
    <x v="14"/>
    <x v="1"/>
  </r>
  <r>
    <n v="54010610047"/>
    <x v="6"/>
    <x v="1"/>
  </r>
  <r>
    <n v="91020578578"/>
    <x v="12"/>
    <x v="1"/>
  </r>
  <r>
    <n v="70012817695"/>
    <x v="14"/>
    <x v="0"/>
  </r>
  <r>
    <n v="70122997690"/>
    <x v="7"/>
    <x v="0"/>
  </r>
  <r>
    <n v="78102548326"/>
    <x v="3"/>
    <x v="1"/>
  </r>
  <r>
    <n v="97060505297"/>
    <x v="13"/>
    <x v="1"/>
  </r>
  <r>
    <n v="84122479674"/>
    <x v="4"/>
    <x v="1"/>
  </r>
  <r>
    <n v="98051749735"/>
    <x v="5"/>
    <x v="0"/>
  </r>
  <r>
    <n v="11072711776"/>
    <x v="12"/>
    <x v="1"/>
  </r>
  <r>
    <n v="5251729665"/>
    <x v="13"/>
    <x v="1"/>
  </r>
  <r>
    <n v="3252361185"/>
    <x v="7"/>
    <x v="1"/>
  </r>
  <r>
    <n v="7282315604"/>
    <x v="8"/>
    <x v="0"/>
  </r>
  <r>
    <n v="3241701451"/>
    <x v="11"/>
    <x v="1"/>
  </r>
  <r>
    <n v="3212680950"/>
    <x v="6"/>
    <x v="1"/>
  </r>
  <r>
    <n v="8301978174"/>
    <x v="1"/>
    <x v="1"/>
  </r>
  <r>
    <n v="4291228949"/>
    <x v="11"/>
    <x v="1"/>
  </r>
  <r>
    <n v="20290586763"/>
    <x v="9"/>
    <x v="0"/>
  </r>
  <r>
    <n v="13302617719"/>
    <x v="9"/>
    <x v="1"/>
  </r>
  <r>
    <n v="9210404682"/>
    <x v="15"/>
    <x v="1"/>
  </r>
  <r>
    <n v="211828297"/>
    <x v="15"/>
    <x v="0"/>
  </r>
  <r>
    <n v="2251268240"/>
    <x v="4"/>
    <x v="0"/>
  </r>
  <r>
    <n v="3231107164"/>
    <x v="15"/>
    <x v="0"/>
  </r>
  <r>
    <n v="4240363642"/>
    <x v="0"/>
    <x v="1"/>
  </r>
  <r>
    <n v="3291272002"/>
    <x v="1"/>
    <x v="0"/>
  </r>
  <r>
    <n v="22281507519"/>
    <x v="5"/>
    <x v="1"/>
  </r>
  <r>
    <n v="2262482800"/>
    <x v="11"/>
    <x v="1"/>
  </r>
  <r>
    <n v="8211004273"/>
    <x v="1"/>
    <x v="1"/>
  </r>
  <r>
    <n v="21210948180"/>
    <x v="8"/>
    <x v="1"/>
  </r>
  <r>
    <n v="20240625971"/>
    <x v="12"/>
    <x v="0"/>
  </r>
  <r>
    <n v="4302302640"/>
    <x v="13"/>
    <x v="0"/>
  </r>
  <r>
    <n v="21213196313"/>
    <x v="14"/>
    <x v="1"/>
  </r>
  <r>
    <n v="12221688202"/>
    <x v="2"/>
    <x v="1"/>
  </r>
  <r>
    <n v="292767397"/>
    <x v="12"/>
    <x v="1"/>
  </r>
  <r>
    <n v="9280834761"/>
    <x v="10"/>
    <x v="0"/>
  </r>
  <r>
    <n v="7230141800"/>
    <x v="7"/>
    <x v="0"/>
  </r>
  <r>
    <n v="13242783936"/>
    <x v="7"/>
    <x v="1"/>
  </r>
  <r>
    <n v="19301615406"/>
    <x v="8"/>
    <x v="1"/>
  </r>
  <r>
    <n v="21322259118"/>
    <x v="0"/>
    <x v="0"/>
  </r>
  <r>
    <n v="22320106198"/>
    <x v="0"/>
    <x v="1"/>
  </r>
  <r>
    <n v="3231838149"/>
    <x v="10"/>
    <x v="0"/>
  </r>
  <r>
    <n v="16210190729"/>
    <x v="3"/>
    <x v="1"/>
  </r>
  <r>
    <n v="18321437030"/>
    <x v="1"/>
    <x v="1"/>
  </r>
  <r>
    <n v="16261642886"/>
    <x v="7"/>
    <x v="0"/>
  </r>
  <r>
    <n v="7270267124"/>
    <x v="8"/>
    <x v="0"/>
  </r>
  <r>
    <n v="12230371272"/>
    <x v="15"/>
    <x v="1"/>
  </r>
  <r>
    <n v="19312291217"/>
    <x v="0"/>
    <x v="1"/>
  </r>
  <r>
    <n v="1300894454"/>
    <x v="14"/>
    <x v="1"/>
  </r>
  <r>
    <n v="19211127459"/>
    <x v="5"/>
    <x v="0"/>
  </r>
  <r>
    <n v="22242651466"/>
    <x v="11"/>
    <x v="0"/>
  </r>
  <r>
    <n v="22231156695"/>
    <x v="3"/>
    <x v="1"/>
  </r>
  <r>
    <n v="7262771994"/>
    <x v="15"/>
    <x v="0"/>
  </r>
  <r>
    <n v="10242164211"/>
    <x v="12"/>
    <x v="1"/>
  </r>
  <r>
    <n v="5292216513"/>
    <x v="13"/>
    <x v="0"/>
  </r>
  <r>
    <n v="14282288777"/>
    <x v="3"/>
    <x v="0"/>
  </r>
  <r>
    <n v="18230257567"/>
    <x v="1"/>
    <x v="1"/>
  </r>
  <r>
    <n v="9310318685"/>
    <x v="0"/>
    <x v="1"/>
  </r>
  <r>
    <n v="14291341548"/>
    <x v="6"/>
    <x v="0"/>
  </r>
  <r>
    <n v="5220871506"/>
    <x v="11"/>
    <x v="1"/>
  </r>
  <r>
    <n v="1291595985"/>
    <x v="9"/>
    <x v="1"/>
  </r>
  <r>
    <n v="3221082073"/>
    <x v="8"/>
    <x v="0"/>
  </r>
  <r>
    <n v="13281615591"/>
    <x v="9"/>
    <x v="0"/>
  </r>
  <r>
    <n v="22260628520"/>
    <x v="14"/>
    <x v="1"/>
  </r>
  <r>
    <n v="16262990056"/>
    <x v="1"/>
    <x v="0"/>
  </r>
  <r>
    <n v="3262578326"/>
    <x v="2"/>
    <x v="0"/>
  </r>
  <r>
    <n v="8261654831"/>
    <x v="13"/>
    <x v="1"/>
  </r>
  <r>
    <n v="7221636355"/>
    <x v="14"/>
    <x v="0"/>
  </r>
  <r>
    <n v="3221064390"/>
    <x v="14"/>
    <x v="0"/>
  </r>
  <r>
    <n v="11260890223"/>
    <x v="4"/>
    <x v="0"/>
  </r>
  <r>
    <n v="14241199184"/>
    <x v="2"/>
    <x v="0"/>
  </r>
  <r>
    <n v="12241226916"/>
    <x v="14"/>
    <x v="0"/>
  </r>
  <r>
    <n v="4213122199"/>
    <x v="15"/>
    <x v="1"/>
  </r>
  <r>
    <n v="10240797842"/>
    <x v="5"/>
    <x v="0"/>
  </r>
  <r>
    <n v="19251159416"/>
    <x v="12"/>
    <x v="1"/>
  </r>
  <r>
    <n v="2210829651"/>
    <x v="9"/>
    <x v="0"/>
  </r>
  <r>
    <n v="16320390840"/>
    <x v="14"/>
    <x v="0"/>
  </r>
  <r>
    <n v="22290574762"/>
    <x v="9"/>
    <x v="0"/>
  </r>
  <r>
    <n v="15272803226"/>
    <x v="12"/>
    <x v="0"/>
  </r>
  <r>
    <n v="22301213239"/>
    <x v="6"/>
    <x v="0"/>
  </r>
  <r>
    <n v="12293034558"/>
    <x v="0"/>
    <x v="1"/>
  </r>
  <r>
    <n v="11220493866"/>
    <x v="0"/>
    <x v="1"/>
  </r>
  <r>
    <n v="6321656678"/>
    <x v="6"/>
    <x v="0"/>
  </r>
  <r>
    <n v="8271854737"/>
    <x v="5"/>
    <x v="0"/>
  </r>
  <r>
    <n v="12220169142"/>
    <x v="12"/>
    <x v="1"/>
  </r>
  <r>
    <n v="18271849295"/>
    <x v="8"/>
    <x v="1"/>
  </r>
  <r>
    <n v="6210843055"/>
    <x v="9"/>
    <x v="1"/>
  </r>
  <r>
    <n v="8241312032"/>
    <x v="15"/>
    <x v="0"/>
  </r>
  <r>
    <n v="15321101996"/>
    <x v="5"/>
    <x v="0"/>
  </r>
  <r>
    <n v="9230321604"/>
    <x v="6"/>
    <x v="0"/>
  </r>
  <r>
    <n v="9282257544"/>
    <x v="0"/>
    <x v="0"/>
  </r>
  <r>
    <n v="12272278496"/>
    <x v="10"/>
    <x v="0"/>
  </r>
  <r>
    <n v="6261714801"/>
    <x v="0"/>
    <x v="1"/>
  </r>
  <r>
    <n v="12290662086"/>
    <x v="8"/>
    <x v="1"/>
  </r>
  <r>
    <n v="13222347822"/>
    <x v="8"/>
    <x v="1"/>
  </r>
  <r>
    <n v="17292749872"/>
    <x v="5"/>
    <x v="0"/>
  </r>
  <r>
    <n v="19302110146"/>
    <x v="12"/>
    <x v="0"/>
  </r>
  <r>
    <n v="13240361611"/>
    <x v="2"/>
    <x v="1"/>
  </r>
  <r>
    <n v="15240354042"/>
    <x v="12"/>
    <x v="1"/>
  </r>
  <r>
    <n v="13301915474"/>
    <x v="0"/>
    <x v="1"/>
  </r>
  <r>
    <n v="19262778871"/>
    <x v="15"/>
    <x v="1"/>
  </r>
  <r>
    <n v="13280978334"/>
    <x v="4"/>
    <x v="0"/>
  </r>
  <r>
    <n v="14302824284"/>
    <x v="15"/>
    <x v="1"/>
  </r>
  <r>
    <n v="11272805824"/>
    <x v="5"/>
    <x v="0"/>
  </r>
  <r>
    <n v="5291879913"/>
    <x v="14"/>
    <x v="1"/>
  </r>
  <r>
    <n v="14212729259"/>
    <x v="14"/>
    <x v="0"/>
  </r>
  <r>
    <n v="3210117463"/>
    <x v="14"/>
    <x v="1"/>
  </r>
  <r>
    <n v="14291498509"/>
    <x v="11"/>
    <x v="1"/>
  </r>
  <r>
    <n v="12300620789"/>
    <x v="7"/>
    <x v="1"/>
  </r>
  <r>
    <n v="16230803856"/>
    <x v="6"/>
    <x v="1"/>
  </r>
  <r>
    <n v="1220719112"/>
    <x v="6"/>
    <x v="1"/>
  </r>
  <r>
    <n v="19220908124"/>
    <x v="15"/>
    <x v="0"/>
  </r>
  <r>
    <n v="7240788697"/>
    <x v="5"/>
    <x v="0"/>
  </r>
  <r>
    <n v="6292261558"/>
    <x v="13"/>
    <x v="0"/>
  </r>
  <r>
    <n v="17311142206"/>
    <x v="5"/>
    <x v="0"/>
  </r>
  <r>
    <n v="16321147489"/>
    <x v="12"/>
    <x v="0"/>
  </r>
  <r>
    <n v="6292135242"/>
    <x v="14"/>
    <x v="1"/>
  </r>
  <r>
    <n v="5230870575"/>
    <x v="10"/>
    <x v="1"/>
  </r>
  <r>
    <n v="18271449174"/>
    <x v="2"/>
    <x v="0"/>
  </r>
  <r>
    <n v="6321258252"/>
    <x v="1"/>
    <x v="0"/>
  </r>
  <r>
    <n v="18262630525"/>
    <x v="3"/>
    <x v="1"/>
  </r>
  <r>
    <n v="7261242695"/>
    <x v="2"/>
    <x v="0"/>
  </r>
  <r>
    <n v="8300675577"/>
    <x v="11"/>
    <x v="0"/>
  </r>
  <r>
    <n v="8221193888"/>
    <x v="5"/>
    <x v="1"/>
  </r>
  <r>
    <n v="5220192948"/>
    <x v="5"/>
    <x v="0"/>
  </r>
  <r>
    <n v="11222023223"/>
    <x v="7"/>
    <x v="0"/>
  </r>
  <r>
    <n v="18320215404"/>
    <x v="13"/>
    <x v="0"/>
  </r>
  <r>
    <n v="19303024725"/>
    <x v="0"/>
    <x v="1"/>
  </r>
  <r>
    <n v="16291352676"/>
    <x v="0"/>
    <x v="1"/>
  </r>
  <r>
    <n v="8250619858"/>
    <x v="13"/>
    <x v="0"/>
  </r>
  <r>
    <n v="5263016560"/>
    <x v="15"/>
    <x v="1"/>
  </r>
  <r>
    <n v="213181006"/>
    <x v="8"/>
    <x v="1"/>
  </r>
  <r>
    <n v="8322760361"/>
    <x v="13"/>
    <x v="1"/>
  </r>
  <r>
    <n v="16251548464"/>
    <x v="1"/>
    <x v="0"/>
  </r>
  <r>
    <n v="10292707398"/>
    <x v="8"/>
    <x v="1"/>
  </r>
  <r>
    <n v="14231316500"/>
    <x v="8"/>
    <x v="1"/>
  </r>
  <r>
    <n v="21222678682"/>
    <x v="9"/>
    <x v="0"/>
  </r>
  <r>
    <n v="12292215862"/>
    <x v="12"/>
    <x v="1"/>
  </r>
  <r>
    <n v="7282982598"/>
    <x v="8"/>
    <x v="1"/>
  </r>
  <r>
    <n v="9220591189"/>
    <x v="14"/>
    <x v="1"/>
  </r>
  <r>
    <n v="21230117469"/>
    <x v="13"/>
    <x v="1"/>
  </r>
  <r>
    <n v="11312331944"/>
    <x v="11"/>
    <x v="0"/>
  </r>
  <r>
    <n v="9240629666"/>
    <x v="9"/>
    <x v="0"/>
  </r>
  <r>
    <n v="312160294"/>
    <x v="10"/>
    <x v="1"/>
  </r>
  <r>
    <n v="8281110832"/>
    <x v="15"/>
    <x v="0"/>
  </r>
  <r>
    <n v="5221259161"/>
    <x v="12"/>
    <x v="1"/>
  </r>
  <r>
    <n v="16212479677"/>
    <x v="6"/>
    <x v="0"/>
  </r>
  <r>
    <n v="15300618013"/>
    <x v="15"/>
    <x v="0"/>
  </r>
  <r>
    <n v="15291801395"/>
    <x v="1"/>
    <x v="0"/>
  </r>
  <r>
    <n v="19301521378"/>
    <x v="14"/>
    <x v="1"/>
  </r>
  <r>
    <n v="3211413360"/>
    <x v="7"/>
    <x v="0"/>
  </r>
  <r>
    <n v="6242125787"/>
    <x v="6"/>
    <x v="0"/>
  </r>
  <r>
    <n v="3252816289"/>
    <x v="12"/>
    <x v="0"/>
  </r>
  <r>
    <n v="16292924229"/>
    <x v="7"/>
    <x v="0"/>
  </r>
  <r>
    <n v="272757774"/>
    <x v="11"/>
    <x v="1"/>
  </r>
  <r>
    <n v="6252143218"/>
    <x v="7"/>
    <x v="1"/>
  </r>
  <r>
    <n v="12241783008"/>
    <x v="7"/>
    <x v="1"/>
  </r>
  <r>
    <n v="17250119602"/>
    <x v="14"/>
    <x v="1"/>
  </r>
  <r>
    <n v="15312624240"/>
    <x v="1"/>
    <x v="1"/>
  </r>
  <r>
    <n v="11261383104"/>
    <x v="9"/>
    <x v="0"/>
  </r>
  <r>
    <n v="11270859559"/>
    <x v="8"/>
    <x v="0"/>
  </r>
  <r>
    <n v="13251052847"/>
    <x v="10"/>
    <x v="0"/>
  </r>
  <r>
    <n v="16251477472"/>
    <x v="15"/>
    <x v="0"/>
  </r>
  <r>
    <n v="21270269818"/>
    <x v="7"/>
    <x v="1"/>
  </r>
  <r>
    <n v="7233171240"/>
    <x v="11"/>
    <x v="1"/>
  </r>
  <r>
    <n v="6240685911"/>
    <x v="9"/>
    <x v="0"/>
  </r>
  <r>
    <n v="8230748288"/>
    <x v="3"/>
    <x v="0"/>
  </r>
  <r>
    <n v="10272638467"/>
    <x v="14"/>
    <x v="0"/>
  </r>
  <r>
    <n v="2222614214"/>
    <x v="13"/>
    <x v="0"/>
  </r>
  <r>
    <n v="2300270619"/>
    <x v="3"/>
    <x v="0"/>
  </r>
  <r>
    <n v="2320180006"/>
    <x v="1"/>
    <x v="0"/>
  </r>
  <r>
    <n v="10231388673"/>
    <x v="12"/>
    <x v="0"/>
  </r>
  <r>
    <n v="1211693203"/>
    <x v="1"/>
    <x v="1"/>
  </r>
  <r>
    <n v="19221918386"/>
    <x v="0"/>
    <x v="0"/>
  </r>
  <r>
    <n v="21242102774"/>
    <x v="11"/>
    <x v="0"/>
  </r>
  <r>
    <n v="21220329306"/>
    <x v="7"/>
    <x v="0"/>
  </r>
  <r>
    <n v="2301356646"/>
    <x v="2"/>
    <x v="0"/>
  </r>
  <r>
    <n v="322554973"/>
    <x v="11"/>
    <x v="0"/>
  </r>
  <r>
    <n v="13281180844"/>
    <x v="10"/>
    <x v="0"/>
  </r>
  <r>
    <n v="8291177821"/>
    <x v="9"/>
    <x v="0"/>
  </r>
  <r>
    <n v="9211086504"/>
    <x v="5"/>
    <x v="1"/>
  </r>
  <r>
    <n v="4322699630"/>
    <x v="8"/>
    <x v="0"/>
  </r>
  <r>
    <n v="21291945252"/>
    <x v="2"/>
    <x v="0"/>
  </r>
  <r>
    <n v="12272287597"/>
    <x v="0"/>
    <x v="1"/>
  </r>
  <r>
    <n v="10271077511"/>
    <x v="2"/>
    <x v="0"/>
  </r>
  <r>
    <n v="13281776603"/>
    <x v="4"/>
    <x v="0"/>
  </r>
  <r>
    <n v="8321477132"/>
    <x v="7"/>
    <x v="1"/>
  </r>
  <r>
    <n v="3241142483"/>
    <x v="7"/>
    <x v="0"/>
  </r>
  <r>
    <n v="6261817733"/>
    <x v="6"/>
    <x v="0"/>
  </r>
  <r>
    <n v="1322621562"/>
    <x v="3"/>
    <x v="0"/>
  </r>
  <r>
    <n v="2212245123"/>
    <x v="1"/>
    <x v="1"/>
  </r>
  <r>
    <n v="16240578128"/>
    <x v="5"/>
    <x v="0"/>
  </r>
  <r>
    <n v="3260343573"/>
    <x v="11"/>
    <x v="1"/>
  </r>
  <r>
    <n v="1220297225"/>
    <x v="1"/>
    <x v="0"/>
  </r>
  <r>
    <n v="6210896367"/>
    <x v="3"/>
    <x v="1"/>
  </r>
  <r>
    <n v="11321724913"/>
    <x v="5"/>
    <x v="1"/>
  </r>
  <r>
    <n v="8291544285"/>
    <x v="1"/>
    <x v="0"/>
  </r>
  <r>
    <n v="17311176384"/>
    <x v="10"/>
    <x v="0"/>
  </r>
  <r>
    <n v="4220185460"/>
    <x v="8"/>
    <x v="1"/>
  </r>
  <r>
    <n v="22241050839"/>
    <x v="3"/>
    <x v="0"/>
  </r>
  <r>
    <n v="13291881753"/>
    <x v="4"/>
    <x v="0"/>
  </r>
  <r>
    <n v="14292742539"/>
    <x v="3"/>
    <x v="1"/>
  </r>
  <r>
    <n v="20252400425"/>
    <x v="4"/>
    <x v="0"/>
  </r>
  <r>
    <n v="1221128012"/>
    <x v="13"/>
    <x v="1"/>
  </r>
  <r>
    <n v="5290342425"/>
    <x v="4"/>
    <x v="1"/>
  </r>
  <r>
    <n v="8251519232"/>
    <x v="4"/>
    <x v="1"/>
  </r>
  <r>
    <n v="1242346721"/>
    <x v="1"/>
    <x v="0"/>
  </r>
  <r>
    <n v="19221946062"/>
    <x v="1"/>
    <x v="1"/>
  </r>
  <r>
    <n v="2242206231"/>
    <x v="12"/>
    <x v="0"/>
  </r>
  <r>
    <n v="15220366922"/>
    <x v="0"/>
    <x v="0"/>
  </r>
  <r>
    <n v="5270147233"/>
    <x v="6"/>
    <x v="0"/>
  </r>
  <r>
    <n v="7212419974"/>
    <x v="8"/>
    <x v="1"/>
  </r>
  <r>
    <n v="6210742569"/>
    <x v="3"/>
    <x v="0"/>
  </r>
  <r>
    <n v="11230540910"/>
    <x v="10"/>
    <x v="1"/>
  </r>
  <r>
    <n v="9300144173"/>
    <x v="3"/>
    <x v="1"/>
  </r>
  <r>
    <n v="11213025230"/>
    <x v="0"/>
    <x v="0"/>
  </r>
  <r>
    <n v="11320429338"/>
    <x v="9"/>
    <x v="1"/>
  </r>
  <r>
    <n v="20312520250"/>
    <x v="1"/>
    <x v="0"/>
  </r>
  <r>
    <n v="14280583423"/>
    <x v="9"/>
    <x v="0"/>
  </r>
  <r>
    <n v="3221032757"/>
    <x v="10"/>
    <x v="0"/>
  </r>
  <r>
    <n v="16291603888"/>
    <x v="8"/>
    <x v="1"/>
  </r>
  <r>
    <n v="291838700"/>
    <x v="6"/>
    <x v="0"/>
  </r>
  <r>
    <n v="11302022001"/>
    <x v="1"/>
    <x v="0"/>
  </r>
  <r>
    <n v="4272000276"/>
    <x v="3"/>
    <x v="1"/>
  </r>
  <r>
    <n v="262862624"/>
    <x v="9"/>
    <x v="0"/>
  </r>
  <r>
    <n v="7263089155"/>
    <x v="15"/>
    <x v="0"/>
  </r>
  <r>
    <n v="2210196742"/>
    <x v="8"/>
    <x v="1"/>
  </r>
  <r>
    <n v="11301805012"/>
    <x v="6"/>
    <x v="0"/>
  </r>
  <r>
    <n v="10292551560"/>
    <x v="3"/>
    <x v="0"/>
  </r>
  <r>
    <n v="19302646924"/>
    <x v="11"/>
    <x v="1"/>
  </r>
  <r>
    <n v="2290618927"/>
    <x v="11"/>
    <x v="1"/>
  </r>
  <r>
    <n v="1302670779"/>
    <x v="1"/>
    <x v="1"/>
  </r>
  <r>
    <n v="19302687224"/>
    <x v="10"/>
    <x v="1"/>
  </r>
  <r>
    <n v="12260688504"/>
    <x v="11"/>
    <x v="1"/>
  </r>
  <r>
    <n v="241654994"/>
    <x v="15"/>
    <x v="0"/>
  </r>
  <r>
    <n v="291433332"/>
    <x v="1"/>
    <x v="0"/>
  </r>
  <r>
    <n v="9281659309"/>
    <x v="14"/>
    <x v="0"/>
  </r>
  <r>
    <n v="5271072857"/>
    <x v="6"/>
    <x v="0"/>
  </r>
  <r>
    <n v="20222616272"/>
    <x v="14"/>
    <x v="0"/>
  </r>
  <r>
    <n v="2283166327"/>
    <x v="13"/>
    <x v="1"/>
  </r>
  <r>
    <n v="19231080301"/>
    <x v="6"/>
    <x v="1"/>
  </r>
  <r>
    <n v="9301626432"/>
    <x v="5"/>
    <x v="1"/>
  </r>
  <r>
    <n v="12292632894"/>
    <x v="0"/>
    <x v="0"/>
  </r>
  <r>
    <n v="220197337"/>
    <x v="4"/>
    <x v="1"/>
  </r>
  <r>
    <n v="18261827999"/>
    <x v="13"/>
    <x v="0"/>
  </r>
  <r>
    <n v="22280655817"/>
    <x v="13"/>
    <x v="0"/>
  </r>
  <r>
    <n v="21221398701"/>
    <x v="14"/>
    <x v="1"/>
  </r>
  <r>
    <n v="4240223735"/>
    <x v="1"/>
    <x v="0"/>
  </r>
  <r>
    <n v="12312469426"/>
    <x v="10"/>
    <x v="1"/>
  </r>
  <r>
    <n v="9281542067"/>
    <x v="0"/>
    <x v="1"/>
  </r>
  <r>
    <n v="15253008956"/>
    <x v="0"/>
    <x v="1"/>
  </r>
  <r>
    <n v="10220968532"/>
    <x v="8"/>
    <x v="0"/>
  </r>
  <r>
    <n v="5231406151"/>
    <x v="1"/>
    <x v="0"/>
  </r>
  <r>
    <n v="4312426006"/>
    <x v="5"/>
    <x v="1"/>
  </r>
  <r>
    <n v="22290577994"/>
    <x v="4"/>
    <x v="1"/>
  </r>
  <r>
    <n v="19280922601"/>
    <x v="0"/>
    <x v="0"/>
  </r>
  <r>
    <n v="11251095756"/>
    <x v="15"/>
    <x v="1"/>
  </r>
  <r>
    <n v="6220429652"/>
    <x v="8"/>
    <x v="0"/>
  </r>
  <r>
    <n v="7282107661"/>
    <x v="0"/>
    <x v="0"/>
  </r>
  <r>
    <n v="321275130"/>
    <x v="6"/>
    <x v="1"/>
  </r>
  <r>
    <n v="17230169162"/>
    <x v="11"/>
    <x v="0"/>
  </r>
  <r>
    <n v="10252988317"/>
    <x v="6"/>
    <x v="0"/>
  </r>
  <r>
    <n v="11221946127"/>
    <x v="7"/>
    <x v="1"/>
  </r>
  <r>
    <n v="1262279216"/>
    <x v="9"/>
    <x v="0"/>
  </r>
  <r>
    <n v="8232997710"/>
    <x v="9"/>
    <x v="1"/>
  </r>
  <r>
    <n v="15252065891"/>
    <x v="0"/>
    <x v="0"/>
  </r>
  <r>
    <n v="12270628460"/>
    <x v="5"/>
    <x v="1"/>
  </r>
  <r>
    <n v="6292817353"/>
    <x v="0"/>
    <x v="0"/>
  </r>
  <r>
    <n v="20251246970"/>
    <x v="11"/>
    <x v="1"/>
  </r>
  <r>
    <n v="15240174587"/>
    <x v="4"/>
    <x v="0"/>
  </r>
  <r>
    <n v="12220617492"/>
    <x v="11"/>
    <x v="0"/>
  </r>
  <r>
    <n v="1233090512"/>
    <x v="8"/>
    <x v="0"/>
  </r>
  <r>
    <n v="3311712479"/>
    <x v="7"/>
    <x v="1"/>
  </r>
  <r>
    <n v="5261564690"/>
    <x v="2"/>
    <x v="0"/>
  </r>
  <r>
    <n v="19312698724"/>
    <x v="11"/>
    <x v="0"/>
  </r>
  <r>
    <n v="16291742480"/>
    <x v="14"/>
    <x v="1"/>
  </r>
  <r>
    <n v="7221031648"/>
    <x v="13"/>
    <x v="1"/>
  </r>
  <r>
    <n v="6271769888"/>
    <x v="12"/>
    <x v="0"/>
  </r>
  <r>
    <n v="18230851693"/>
    <x v="12"/>
    <x v="1"/>
  </r>
  <r>
    <n v="17251583819"/>
    <x v="1"/>
    <x v="1"/>
  </r>
  <r>
    <n v="19222247988"/>
    <x v="12"/>
    <x v="1"/>
  </r>
  <r>
    <n v="21291587975"/>
    <x v="1"/>
    <x v="1"/>
  </r>
  <r>
    <n v="20251580243"/>
    <x v="12"/>
    <x v="1"/>
  </r>
  <r>
    <n v="4292335426"/>
    <x v="13"/>
    <x v="1"/>
  </r>
  <r>
    <n v="19212365544"/>
    <x v="12"/>
    <x v="0"/>
  </r>
  <r>
    <n v="3212825508"/>
    <x v="0"/>
    <x v="1"/>
  </r>
  <r>
    <n v="8231950989"/>
    <x v="15"/>
    <x v="1"/>
  </r>
  <r>
    <n v="18290225326"/>
    <x v="15"/>
    <x v="0"/>
  </r>
  <r>
    <n v="14270954859"/>
    <x v="4"/>
    <x v="1"/>
  </r>
  <r>
    <n v="21320534080"/>
    <x v="0"/>
    <x v="0"/>
  </r>
  <r>
    <n v="15280299664"/>
    <x v="9"/>
    <x v="1"/>
  </r>
  <r>
    <n v="8231643490"/>
    <x v="7"/>
    <x v="0"/>
  </r>
  <r>
    <n v="4272996258"/>
    <x v="10"/>
    <x v="1"/>
  </r>
  <r>
    <n v="6290719237"/>
    <x v="14"/>
    <x v="0"/>
  </r>
  <r>
    <n v="301200651"/>
    <x v="6"/>
    <x v="0"/>
  </r>
  <r>
    <n v="18211262029"/>
    <x v="8"/>
    <x v="1"/>
  </r>
  <r>
    <n v="5282383166"/>
    <x v="8"/>
    <x v="0"/>
  </r>
  <r>
    <n v="18241417767"/>
    <x v="11"/>
    <x v="0"/>
  </r>
  <r>
    <n v="16312049086"/>
    <x v="15"/>
    <x v="1"/>
  </r>
  <r>
    <n v="9321581591"/>
    <x v="4"/>
    <x v="0"/>
  </r>
  <r>
    <n v="8271795313"/>
    <x v="5"/>
    <x v="1"/>
  </r>
  <r>
    <n v="10311034407"/>
    <x v="4"/>
    <x v="1"/>
  </r>
  <r>
    <n v="14281264761"/>
    <x v="14"/>
    <x v="0"/>
  </r>
  <r>
    <n v="3241511191"/>
    <x v="8"/>
    <x v="1"/>
  </r>
  <r>
    <n v="2272037384"/>
    <x v="11"/>
    <x v="0"/>
  </r>
  <r>
    <n v="17282315085"/>
    <x v="8"/>
    <x v="0"/>
  </r>
  <r>
    <n v="3241893396"/>
    <x v="1"/>
    <x v="1"/>
  </r>
  <r>
    <n v="10210725761"/>
    <x v="4"/>
    <x v="1"/>
  </r>
  <r>
    <n v="12310765821"/>
    <x v="14"/>
    <x v="0"/>
  </r>
  <r>
    <n v="14262881374"/>
    <x v="5"/>
    <x v="1"/>
  </r>
  <r>
    <n v="16221452829"/>
    <x v="0"/>
    <x v="1"/>
  </r>
  <r>
    <n v="6240977898"/>
    <x v="7"/>
    <x v="0"/>
  </r>
  <r>
    <n v="20231233552"/>
    <x v="4"/>
    <x v="0"/>
  </r>
  <r>
    <n v="2260903279"/>
    <x v="11"/>
    <x v="1"/>
  </r>
  <r>
    <n v="15300457836"/>
    <x v="0"/>
    <x v="1"/>
  </r>
  <r>
    <n v="12241643573"/>
    <x v="2"/>
    <x v="0"/>
  </r>
  <r>
    <n v="13222492508"/>
    <x v="6"/>
    <x v="1"/>
  </r>
  <r>
    <n v="20303175236"/>
    <x v="3"/>
    <x v="0"/>
  </r>
  <r>
    <n v="14271835467"/>
    <x v="11"/>
    <x v="0"/>
  </r>
  <r>
    <n v="6220350891"/>
    <x v="2"/>
    <x v="0"/>
  </r>
  <r>
    <n v="7231617603"/>
    <x v="8"/>
    <x v="0"/>
  </r>
  <r>
    <n v="7282120738"/>
    <x v="11"/>
    <x v="0"/>
  </r>
  <r>
    <n v="13242793243"/>
    <x v="10"/>
    <x v="1"/>
  </r>
  <r>
    <n v="22270105250"/>
    <x v="14"/>
    <x v="1"/>
  </r>
  <r>
    <n v="15220359519"/>
    <x v="0"/>
    <x v="1"/>
  </r>
  <r>
    <n v="16323024481"/>
    <x v="9"/>
    <x v="1"/>
  </r>
  <r>
    <n v="17212907508"/>
    <x v="9"/>
    <x v="0"/>
  </r>
  <r>
    <n v="6280926629"/>
    <x v="2"/>
    <x v="1"/>
  </r>
  <r>
    <n v="20301201520"/>
    <x v="10"/>
    <x v="1"/>
  </r>
  <r>
    <n v="1300883719"/>
    <x v="0"/>
    <x v="1"/>
  </r>
  <r>
    <n v="21292867504"/>
    <x v="0"/>
    <x v="1"/>
  </r>
  <r>
    <n v="9310931990"/>
    <x v="12"/>
    <x v="1"/>
  </r>
  <r>
    <n v="301923628"/>
    <x v="6"/>
    <x v="1"/>
  </r>
  <r>
    <n v="1241320263"/>
    <x v="10"/>
    <x v="1"/>
  </r>
  <r>
    <n v="20242260107"/>
    <x v="2"/>
    <x v="0"/>
  </r>
  <r>
    <n v="231165855"/>
    <x v="2"/>
    <x v="0"/>
  </r>
  <r>
    <n v="15272639593"/>
    <x v="10"/>
    <x v="0"/>
  </r>
  <r>
    <n v="22302366035"/>
    <x v="0"/>
    <x v="0"/>
  </r>
  <r>
    <n v="17241573501"/>
    <x v="4"/>
    <x v="1"/>
  </r>
  <r>
    <n v="11272916382"/>
    <x v="4"/>
    <x v="1"/>
  </r>
  <r>
    <n v="15323100788"/>
    <x v="9"/>
    <x v="0"/>
  </r>
  <r>
    <n v="9262218954"/>
    <x v="1"/>
    <x v="0"/>
  </r>
  <r>
    <n v="21220692011"/>
    <x v="13"/>
    <x v="0"/>
  </r>
  <r>
    <n v="8321684273"/>
    <x v="9"/>
    <x v="0"/>
  </r>
  <r>
    <n v="4322129955"/>
    <x v="2"/>
    <x v="0"/>
  </r>
  <r>
    <n v="10301730326"/>
    <x v="1"/>
    <x v="0"/>
  </r>
  <r>
    <n v="9271604865"/>
    <x v="12"/>
    <x v="1"/>
  </r>
  <r>
    <n v="18320126005"/>
    <x v="10"/>
    <x v="1"/>
  </r>
  <r>
    <n v="10262232318"/>
    <x v="1"/>
    <x v="0"/>
  </r>
  <r>
    <n v="21303122839"/>
    <x v="2"/>
    <x v="1"/>
  </r>
  <r>
    <n v="10293014169"/>
    <x v="15"/>
    <x v="0"/>
  </r>
  <r>
    <n v="9210120492"/>
    <x v="13"/>
    <x v="0"/>
  </r>
  <r>
    <n v="20260451486"/>
    <x v="6"/>
    <x v="1"/>
  </r>
  <r>
    <n v="17302231740"/>
    <x v="6"/>
    <x v="0"/>
  </r>
  <r>
    <n v="2320253199"/>
    <x v="11"/>
    <x v="0"/>
  </r>
  <r>
    <n v="18260366309"/>
    <x v="6"/>
    <x v="1"/>
  </r>
  <r>
    <n v="4222956169"/>
    <x v="6"/>
    <x v="0"/>
  </r>
  <r>
    <n v="5261270230"/>
    <x v="9"/>
    <x v="0"/>
  </r>
  <r>
    <n v="15320635728"/>
    <x v="4"/>
    <x v="0"/>
  </r>
  <r>
    <n v="14292679651"/>
    <x v="4"/>
    <x v="1"/>
  </r>
  <r>
    <n v="15210368107"/>
    <x v="13"/>
    <x v="0"/>
  </r>
  <r>
    <n v="11282868178"/>
    <x v="14"/>
    <x v="1"/>
  </r>
  <r>
    <n v="21270839187"/>
    <x v="9"/>
    <x v="1"/>
  </r>
  <r>
    <n v="7271839036"/>
    <x v="5"/>
    <x v="0"/>
  </r>
  <r>
    <n v="5281893493"/>
    <x v="15"/>
    <x v="1"/>
  </r>
  <r>
    <n v="9252839228"/>
    <x v="5"/>
    <x v="0"/>
  </r>
  <r>
    <n v="291348241"/>
    <x v="13"/>
    <x v="0"/>
  </r>
  <r>
    <n v="4280932334"/>
    <x v="7"/>
    <x v="1"/>
  </r>
  <r>
    <n v="2220934077"/>
    <x v="2"/>
    <x v="1"/>
  </r>
  <r>
    <n v="2210131268"/>
    <x v="11"/>
    <x v="1"/>
  </r>
  <r>
    <n v="9241160465"/>
    <x v="3"/>
    <x v="1"/>
  </r>
  <r>
    <n v="9241367008"/>
    <x v="13"/>
    <x v="1"/>
  </r>
  <r>
    <n v="13312872144"/>
    <x v="2"/>
    <x v="1"/>
  </r>
  <r>
    <n v="13262230102"/>
    <x v="1"/>
    <x v="1"/>
  </r>
  <r>
    <n v="21220724187"/>
    <x v="2"/>
    <x v="0"/>
  </r>
  <r>
    <n v="6261743427"/>
    <x v="5"/>
    <x v="1"/>
  </r>
  <r>
    <n v="14222620834"/>
    <x v="11"/>
    <x v="0"/>
  </r>
  <r>
    <n v="19321241795"/>
    <x v="3"/>
    <x v="1"/>
  </r>
  <r>
    <n v="8231904735"/>
    <x v="4"/>
    <x v="0"/>
  </r>
  <r>
    <n v="15291262613"/>
    <x v="11"/>
    <x v="1"/>
  </r>
  <r>
    <n v="8260445829"/>
    <x v="12"/>
    <x v="1"/>
  </r>
  <r>
    <n v="8240292689"/>
    <x v="5"/>
    <x v="1"/>
  </r>
  <r>
    <n v="19231091923"/>
    <x v="12"/>
    <x v="0"/>
  </r>
  <r>
    <n v="14281202570"/>
    <x v="3"/>
    <x v="1"/>
  </r>
  <r>
    <n v="7280297711"/>
    <x v="2"/>
    <x v="0"/>
  </r>
  <r>
    <n v="6262554167"/>
    <x v="0"/>
    <x v="1"/>
  </r>
  <r>
    <n v="15242764690"/>
    <x v="2"/>
    <x v="1"/>
  </r>
  <r>
    <n v="14262226577"/>
    <x v="4"/>
    <x v="1"/>
  </r>
  <r>
    <n v="1212988892"/>
    <x v="7"/>
    <x v="0"/>
  </r>
  <r>
    <n v="21210221072"/>
    <x v="1"/>
    <x v="0"/>
  </r>
  <r>
    <n v="16282427578"/>
    <x v="13"/>
    <x v="0"/>
  </r>
  <r>
    <n v="2241272826"/>
    <x v="9"/>
    <x v="1"/>
  </r>
  <r>
    <n v="6310554648"/>
    <x v="15"/>
    <x v="0"/>
  </r>
  <r>
    <n v="18210957250"/>
    <x v="14"/>
    <x v="1"/>
  </r>
  <r>
    <n v="21243075794"/>
    <x v="4"/>
    <x v="0"/>
  </r>
  <r>
    <n v="251281221"/>
    <x v="8"/>
    <x v="1"/>
  </r>
  <r>
    <n v="270484214"/>
    <x v="5"/>
    <x v="1"/>
  </r>
  <r>
    <n v="6211342089"/>
    <x v="6"/>
    <x v="0"/>
  </r>
  <r>
    <n v="17212237652"/>
    <x v="13"/>
    <x v="1"/>
  </r>
  <r>
    <n v="11241593178"/>
    <x v="2"/>
    <x v="1"/>
  </r>
  <r>
    <n v="18222264663"/>
    <x v="7"/>
    <x v="0"/>
  </r>
  <r>
    <n v="4311914014"/>
    <x v="5"/>
    <x v="0"/>
  </r>
  <r>
    <n v="6260135821"/>
    <x v="0"/>
    <x v="1"/>
  </r>
  <r>
    <n v="6220424817"/>
    <x v="8"/>
    <x v="1"/>
  </r>
  <r>
    <n v="22261251874"/>
    <x v="6"/>
    <x v="0"/>
  </r>
  <r>
    <n v="19291516772"/>
    <x v="8"/>
    <x v="1"/>
  </r>
  <r>
    <n v="1310378922"/>
    <x v="1"/>
    <x v="0"/>
  </r>
  <r>
    <n v="16232416838"/>
    <x v="10"/>
    <x v="1"/>
  </r>
  <r>
    <n v="2240727679"/>
    <x v="14"/>
    <x v="1"/>
  </r>
  <r>
    <n v="6270487288"/>
    <x v="2"/>
    <x v="0"/>
  </r>
  <r>
    <n v="4241869475"/>
    <x v="3"/>
    <x v="0"/>
  </r>
  <r>
    <n v="17320457399"/>
    <x v="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s v="93071285223"/>
    <s v="zachodniopomorskie"/>
    <s v="wieś"/>
    <n v="93"/>
    <x v="0"/>
    <n v="12"/>
    <n v="1993"/>
    <x v="0"/>
    <x v="0"/>
    <n v="19930712"/>
  </r>
  <r>
    <s v="71100161818"/>
    <s v="pomorskie"/>
    <s v="miasto"/>
    <n v="71"/>
    <x v="1"/>
    <n v="1"/>
    <n v="1971"/>
    <x v="1"/>
    <x v="1"/>
    <n v="19711001"/>
  </r>
  <r>
    <s v="81042322710"/>
    <s v="świętokrzyskie"/>
    <s v="miasto"/>
    <n v="81"/>
    <x v="2"/>
    <n v="23"/>
    <n v="1981"/>
    <x v="2"/>
    <x v="2"/>
    <n v="19810423"/>
  </r>
  <r>
    <s v="72083133476"/>
    <s v="lubuskie"/>
    <s v="wieś"/>
    <n v="72"/>
    <x v="3"/>
    <n v="31"/>
    <n v="1972"/>
    <x v="3"/>
    <x v="3"/>
    <n v="19720831"/>
  </r>
  <r>
    <s v="50072800150"/>
    <s v="małopolskie"/>
    <s v="miasto"/>
    <n v="50"/>
    <x v="0"/>
    <n v="28"/>
    <n v="1950"/>
    <x v="0"/>
    <x v="4"/>
    <n v="19500728"/>
  </r>
  <r>
    <s v="93050716944"/>
    <s v="lubelskie"/>
    <s v="miasto"/>
    <n v="93"/>
    <x v="4"/>
    <n v="7"/>
    <n v="1993"/>
    <x v="4"/>
    <x v="5"/>
    <n v="19930507"/>
  </r>
  <r>
    <s v="72081479033"/>
    <s v="małopolskie"/>
    <s v="miasto"/>
    <n v="72"/>
    <x v="3"/>
    <n v="14"/>
    <n v="1972"/>
    <x v="3"/>
    <x v="6"/>
    <n v="19720814"/>
  </r>
  <r>
    <s v="95090874952"/>
    <s v="lubuskie"/>
    <s v="miasto"/>
    <n v="95"/>
    <x v="5"/>
    <n v="8"/>
    <n v="1995"/>
    <x v="5"/>
    <x v="7"/>
    <n v="19950908"/>
  </r>
  <r>
    <s v="61121070211"/>
    <s v="zachodniopomorskie"/>
    <s v="wieś"/>
    <n v="61"/>
    <x v="6"/>
    <n v="10"/>
    <n v="1961"/>
    <x v="6"/>
    <x v="8"/>
    <n v="19611210"/>
  </r>
  <r>
    <s v="81051730520"/>
    <s v="lubelskie"/>
    <s v="miasto"/>
    <n v="81"/>
    <x v="4"/>
    <n v="17"/>
    <n v="1981"/>
    <x v="4"/>
    <x v="9"/>
    <n v="19810517"/>
  </r>
  <r>
    <s v="95061702620"/>
    <s v="pomorskie"/>
    <s v="miasto"/>
    <n v="95"/>
    <x v="7"/>
    <n v="17"/>
    <n v="1995"/>
    <x v="7"/>
    <x v="9"/>
    <n v="19950617"/>
  </r>
  <r>
    <s v="50080851678"/>
    <s v="śląskie"/>
    <s v="miasto"/>
    <n v="50"/>
    <x v="3"/>
    <n v="8"/>
    <n v="1950"/>
    <x v="3"/>
    <x v="7"/>
    <n v="19500808"/>
  </r>
  <r>
    <s v="79092865583"/>
    <s v="warmińsko-mazurskie"/>
    <s v="miasto"/>
    <n v="79"/>
    <x v="5"/>
    <n v="28"/>
    <n v="1979"/>
    <x v="5"/>
    <x v="4"/>
    <n v="19790928"/>
  </r>
  <r>
    <s v="66091136037"/>
    <s v="mazowieckie"/>
    <s v="miasto"/>
    <n v="66"/>
    <x v="5"/>
    <n v="11"/>
    <n v="1966"/>
    <x v="5"/>
    <x v="10"/>
    <n v="19660911"/>
  </r>
  <r>
    <s v="84081042483"/>
    <s v="warmińsko-mazurskie"/>
    <s v="wieś"/>
    <n v="84"/>
    <x v="3"/>
    <n v="10"/>
    <n v="1984"/>
    <x v="3"/>
    <x v="8"/>
    <n v="19840810"/>
  </r>
  <r>
    <s v="76012491819"/>
    <s v="śląskie"/>
    <s v="miasto"/>
    <n v="76"/>
    <x v="8"/>
    <n v="24"/>
    <n v="1976"/>
    <x v="8"/>
    <x v="11"/>
    <n v="19760124"/>
  </r>
  <r>
    <s v="60112365499"/>
    <s v="lubelskie"/>
    <s v="miasto"/>
    <n v="60"/>
    <x v="9"/>
    <n v="23"/>
    <n v="1960"/>
    <x v="9"/>
    <x v="2"/>
    <n v="19601123"/>
  </r>
  <r>
    <s v="95100981335"/>
    <s v="pomorskie"/>
    <s v="miasto"/>
    <n v="95"/>
    <x v="1"/>
    <n v="9"/>
    <n v="1995"/>
    <x v="1"/>
    <x v="12"/>
    <n v="19951009"/>
  </r>
  <r>
    <s v="91111640340"/>
    <s v="podlaskie"/>
    <s v="miasto"/>
    <n v="91"/>
    <x v="9"/>
    <n v="16"/>
    <n v="1991"/>
    <x v="9"/>
    <x v="13"/>
    <n v="19911116"/>
  </r>
  <r>
    <s v="74012678094"/>
    <s v="podkarpackie"/>
    <s v="wieś"/>
    <n v="74"/>
    <x v="8"/>
    <n v="26"/>
    <n v="1974"/>
    <x v="8"/>
    <x v="14"/>
    <n v="19740126"/>
  </r>
  <r>
    <s v="83041036704"/>
    <s v="wielkopolskie"/>
    <s v="miasto"/>
    <n v="83"/>
    <x v="2"/>
    <n v="10"/>
    <n v="1983"/>
    <x v="2"/>
    <x v="8"/>
    <n v="19830410"/>
  </r>
  <r>
    <s v="61122682262"/>
    <s v="opolskie"/>
    <s v="wieś"/>
    <n v="61"/>
    <x v="6"/>
    <n v="26"/>
    <n v="1961"/>
    <x v="6"/>
    <x v="14"/>
    <n v="19611226"/>
  </r>
  <r>
    <s v="50091782701"/>
    <s v="kujawsko-pomorskie"/>
    <s v="miasto"/>
    <n v="50"/>
    <x v="5"/>
    <n v="17"/>
    <n v="1950"/>
    <x v="5"/>
    <x v="9"/>
    <n v="19500917"/>
  </r>
  <r>
    <s v="72082694471"/>
    <s v="łódzkie"/>
    <s v="wieś"/>
    <n v="72"/>
    <x v="3"/>
    <n v="26"/>
    <n v="1972"/>
    <x v="3"/>
    <x v="14"/>
    <n v="19720826"/>
  </r>
  <r>
    <s v="97122899159"/>
    <s v="lubelskie"/>
    <s v="wieś"/>
    <n v="97"/>
    <x v="6"/>
    <n v="28"/>
    <n v="1997"/>
    <x v="6"/>
    <x v="4"/>
    <n v="19971228"/>
  </r>
  <r>
    <s v="56071053131"/>
    <s v="dolnośląskie"/>
    <s v="miasto"/>
    <n v="56"/>
    <x v="0"/>
    <n v="10"/>
    <n v="1956"/>
    <x v="0"/>
    <x v="8"/>
    <n v="19560710"/>
  </r>
  <r>
    <s v="83020158890"/>
    <s v="zachodniopomorskie"/>
    <s v="wieś"/>
    <n v="83"/>
    <x v="10"/>
    <n v="1"/>
    <n v="1983"/>
    <x v="10"/>
    <x v="1"/>
    <n v="19830201"/>
  </r>
  <r>
    <s v="86040879028"/>
    <s v="podlaskie"/>
    <s v="wieś"/>
    <n v="86"/>
    <x v="2"/>
    <n v="8"/>
    <n v="1986"/>
    <x v="2"/>
    <x v="7"/>
    <n v="19860408"/>
  </r>
  <r>
    <s v="56102724748"/>
    <s v="zachodniopomorskie"/>
    <s v="wieś"/>
    <n v="56"/>
    <x v="1"/>
    <n v="27"/>
    <n v="1956"/>
    <x v="1"/>
    <x v="15"/>
    <n v="19561027"/>
  </r>
  <r>
    <s v="57011144311"/>
    <s v="lubelskie"/>
    <s v="miasto"/>
    <n v="57"/>
    <x v="8"/>
    <n v="11"/>
    <n v="1957"/>
    <x v="8"/>
    <x v="10"/>
    <n v="19570111"/>
  </r>
  <r>
    <s v="88040991416"/>
    <s v="warmińsko-mazurskie"/>
    <s v="wieś"/>
    <n v="88"/>
    <x v="2"/>
    <n v="9"/>
    <n v="1988"/>
    <x v="2"/>
    <x v="12"/>
    <n v="19880409"/>
  </r>
  <r>
    <s v="86112649382"/>
    <s v="małopolskie"/>
    <s v="miasto"/>
    <n v="86"/>
    <x v="9"/>
    <n v="26"/>
    <n v="1986"/>
    <x v="9"/>
    <x v="14"/>
    <n v="19861126"/>
  </r>
  <r>
    <s v="71010805927"/>
    <s v="łódzkie"/>
    <s v="miasto"/>
    <n v="71"/>
    <x v="8"/>
    <n v="8"/>
    <n v="1971"/>
    <x v="8"/>
    <x v="7"/>
    <n v="19710108"/>
  </r>
  <r>
    <s v="94062395770"/>
    <s v="mazowieckie"/>
    <s v="miasto"/>
    <n v="94"/>
    <x v="7"/>
    <n v="23"/>
    <n v="1994"/>
    <x v="7"/>
    <x v="2"/>
    <n v="19940623"/>
  </r>
  <r>
    <s v="61120262307"/>
    <s v="wielkopolskie"/>
    <s v="miasto"/>
    <n v="61"/>
    <x v="6"/>
    <n v="2"/>
    <n v="1961"/>
    <x v="6"/>
    <x v="16"/>
    <n v="19611202"/>
  </r>
  <r>
    <s v="81061212645"/>
    <s v="mazowieckie"/>
    <s v="miasto"/>
    <n v="81"/>
    <x v="7"/>
    <n v="12"/>
    <n v="1981"/>
    <x v="7"/>
    <x v="0"/>
    <n v="19810612"/>
  </r>
  <r>
    <s v="82030696103"/>
    <s v="warmińsko-mazurskie"/>
    <s v="miasto"/>
    <n v="82"/>
    <x v="11"/>
    <n v="6"/>
    <n v="1982"/>
    <x v="11"/>
    <x v="17"/>
    <n v="19820306"/>
  </r>
  <r>
    <s v="94022848630"/>
    <s v="podlaskie"/>
    <s v="miasto"/>
    <n v="94"/>
    <x v="10"/>
    <n v="28"/>
    <n v="1994"/>
    <x v="10"/>
    <x v="4"/>
    <n v="19940228"/>
  </r>
  <r>
    <s v="99020135465"/>
    <s v="łódzkie"/>
    <s v="miasto"/>
    <n v="99"/>
    <x v="10"/>
    <n v="1"/>
    <n v="1999"/>
    <x v="10"/>
    <x v="1"/>
    <n v="19990201"/>
  </r>
  <r>
    <s v="82080288567"/>
    <s v="łódzkie"/>
    <s v="wieś"/>
    <n v="82"/>
    <x v="3"/>
    <n v="2"/>
    <n v="1982"/>
    <x v="3"/>
    <x v="16"/>
    <n v="19820802"/>
  </r>
  <r>
    <s v="66020115140"/>
    <s v="łódzkie"/>
    <s v="miasto"/>
    <n v="66"/>
    <x v="10"/>
    <n v="1"/>
    <n v="1966"/>
    <x v="10"/>
    <x v="1"/>
    <n v="19660201"/>
  </r>
  <r>
    <s v="86032868618"/>
    <s v="opolskie"/>
    <s v="wieś"/>
    <n v="86"/>
    <x v="11"/>
    <n v="28"/>
    <n v="1986"/>
    <x v="11"/>
    <x v="4"/>
    <n v="19860328"/>
  </r>
  <r>
    <s v="83111806237"/>
    <s v="warmińsko-mazurskie"/>
    <s v="miasto"/>
    <n v="83"/>
    <x v="9"/>
    <n v="18"/>
    <n v="1983"/>
    <x v="9"/>
    <x v="18"/>
    <n v="19831118"/>
  </r>
  <r>
    <s v="67092597948"/>
    <s v="podlaskie"/>
    <s v="miasto"/>
    <n v="67"/>
    <x v="5"/>
    <n v="25"/>
    <n v="1967"/>
    <x v="5"/>
    <x v="19"/>
    <n v="19670925"/>
  </r>
  <r>
    <s v="55032362187"/>
    <s v="łódzkie"/>
    <s v="wieś"/>
    <n v="55"/>
    <x v="11"/>
    <n v="23"/>
    <n v="1955"/>
    <x v="11"/>
    <x v="2"/>
    <n v="19550323"/>
  </r>
  <r>
    <s v="68111551073"/>
    <s v="opolskie"/>
    <s v="wieś"/>
    <n v="68"/>
    <x v="9"/>
    <n v="15"/>
    <n v="1968"/>
    <x v="9"/>
    <x v="20"/>
    <n v="19681115"/>
  </r>
  <r>
    <s v="72050199081"/>
    <s v="łódzkie"/>
    <s v="wieś"/>
    <n v="72"/>
    <x v="4"/>
    <n v="1"/>
    <n v="1972"/>
    <x v="4"/>
    <x v="1"/>
    <n v="19720501"/>
  </r>
  <r>
    <s v="89110619812"/>
    <s v="opolskie"/>
    <s v="wieś"/>
    <n v="89"/>
    <x v="9"/>
    <n v="6"/>
    <n v="1989"/>
    <x v="9"/>
    <x v="17"/>
    <n v="19891106"/>
  </r>
  <r>
    <s v="92062939635"/>
    <s v="podlaskie"/>
    <s v="miasto"/>
    <n v="92"/>
    <x v="7"/>
    <n v="29"/>
    <n v="1992"/>
    <x v="7"/>
    <x v="21"/>
    <n v="19920629"/>
  </r>
  <r>
    <s v="96022721818"/>
    <s v="opolskie"/>
    <s v="miasto"/>
    <n v="96"/>
    <x v="10"/>
    <n v="27"/>
    <n v="1996"/>
    <x v="10"/>
    <x v="15"/>
    <n v="19960227"/>
  </r>
  <r>
    <s v="67082759149"/>
    <s v="warmińsko-mazurskie"/>
    <s v="miasto"/>
    <n v="67"/>
    <x v="3"/>
    <n v="27"/>
    <n v="1967"/>
    <x v="3"/>
    <x v="15"/>
    <n v="19670827"/>
  </r>
  <r>
    <s v="53041338908"/>
    <s v="mazowieckie"/>
    <s v="miasto"/>
    <n v="53"/>
    <x v="2"/>
    <n v="13"/>
    <n v="1953"/>
    <x v="2"/>
    <x v="22"/>
    <n v="19530413"/>
  </r>
  <r>
    <s v="85070464356"/>
    <s v="podkarpackie"/>
    <s v="miasto"/>
    <n v="85"/>
    <x v="0"/>
    <n v="4"/>
    <n v="1985"/>
    <x v="0"/>
    <x v="23"/>
    <n v="19850704"/>
  </r>
  <r>
    <s v="67110443901"/>
    <s v="zachodniopomorskie"/>
    <s v="wieś"/>
    <n v="67"/>
    <x v="9"/>
    <n v="4"/>
    <n v="1967"/>
    <x v="9"/>
    <x v="23"/>
    <n v="19671104"/>
  </r>
  <r>
    <s v="76112956896"/>
    <s v="wielkopolskie"/>
    <s v="wieś"/>
    <n v="76"/>
    <x v="9"/>
    <n v="29"/>
    <n v="1976"/>
    <x v="9"/>
    <x v="21"/>
    <n v="19761129"/>
  </r>
  <r>
    <s v="78072344438"/>
    <s v="świętokrzyskie"/>
    <s v="miasto"/>
    <n v="78"/>
    <x v="0"/>
    <n v="23"/>
    <n v="1978"/>
    <x v="0"/>
    <x v="2"/>
    <n v="19780723"/>
  </r>
  <r>
    <s v="50092746764"/>
    <s v="mazowieckie"/>
    <s v="miasto"/>
    <n v="50"/>
    <x v="5"/>
    <n v="27"/>
    <n v="1950"/>
    <x v="5"/>
    <x v="15"/>
    <n v="19500927"/>
  </r>
  <r>
    <s v="67090933304"/>
    <s v="lubelskie"/>
    <s v="wieś"/>
    <n v="67"/>
    <x v="5"/>
    <n v="9"/>
    <n v="1967"/>
    <x v="5"/>
    <x v="12"/>
    <n v="19670909"/>
  </r>
  <r>
    <s v="94070783248"/>
    <s v="zachodniopomorskie"/>
    <s v="miasto"/>
    <n v="94"/>
    <x v="0"/>
    <n v="7"/>
    <n v="1994"/>
    <x v="0"/>
    <x v="5"/>
    <n v="19940707"/>
  </r>
  <r>
    <s v="78031408458"/>
    <s v="mazowieckie"/>
    <s v="wieś"/>
    <n v="78"/>
    <x v="11"/>
    <n v="14"/>
    <n v="1978"/>
    <x v="11"/>
    <x v="6"/>
    <n v="19780314"/>
  </r>
  <r>
    <s v="75111802177"/>
    <s v="małopolskie"/>
    <s v="wieś"/>
    <n v="75"/>
    <x v="9"/>
    <n v="18"/>
    <n v="1975"/>
    <x v="9"/>
    <x v="18"/>
    <n v="19751118"/>
  </r>
  <r>
    <s v="84011772408"/>
    <s v="dolnośląskie"/>
    <s v="wieś"/>
    <n v="84"/>
    <x v="8"/>
    <n v="17"/>
    <n v="1984"/>
    <x v="8"/>
    <x v="9"/>
    <n v="19840117"/>
  </r>
  <r>
    <s v="73101944548"/>
    <s v="lubuskie"/>
    <s v="miasto"/>
    <n v="73"/>
    <x v="1"/>
    <n v="19"/>
    <n v="1973"/>
    <x v="1"/>
    <x v="24"/>
    <n v="19731019"/>
  </r>
  <r>
    <s v="98112560941"/>
    <s v="dolnośląskie"/>
    <s v="miasto"/>
    <n v="98"/>
    <x v="9"/>
    <n v="25"/>
    <n v="1998"/>
    <x v="9"/>
    <x v="19"/>
    <n v="19981125"/>
  </r>
  <r>
    <s v="80020544623"/>
    <s v="podlaskie"/>
    <s v="wieś"/>
    <n v="80"/>
    <x v="10"/>
    <n v="5"/>
    <n v="1980"/>
    <x v="10"/>
    <x v="25"/>
    <n v="19800205"/>
  </r>
  <r>
    <s v="78090623276"/>
    <s v="opolskie"/>
    <s v="wieś"/>
    <n v="78"/>
    <x v="5"/>
    <n v="6"/>
    <n v="1978"/>
    <x v="5"/>
    <x v="17"/>
    <n v="19780906"/>
  </r>
  <r>
    <s v="85100461779"/>
    <s v="lubuskie"/>
    <s v="wieś"/>
    <n v="85"/>
    <x v="1"/>
    <n v="4"/>
    <n v="1985"/>
    <x v="1"/>
    <x v="23"/>
    <n v="19851004"/>
  </r>
  <r>
    <s v="62103049429"/>
    <s v="opolskie"/>
    <s v="miasto"/>
    <n v="62"/>
    <x v="1"/>
    <n v="30"/>
    <n v="1962"/>
    <x v="1"/>
    <x v="26"/>
    <n v="19621030"/>
  </r>
  <r>
    <s v="64092166116"/>
    <s v="dolnośląskie"/>
    <s v="miasto"/>
    <n v="64"/>
    <x v="5"/>
    <n v="21"/>
    <n v="1964"/>
    <x v="5"/>
    <x v="27"/>
    <n v="19640921"/>
  </r>
  <r>
    <s v="72112844735"/>
    <s v="łódzkie"/>
    <s v="wieś"/>
    <n v="72"/>
    <x v="9"/>
    <n v="28"/>
    <n v="1972"/>
    <x v="9"/>
    <x v="4"/>
    <n v="19721128"/>
  </r>
  <r>
    <s v="90071102655"/>
    <s v="podkarpackie"/>
    <s v="miasto"/>
    <n v="90"/>
    <x v="0"/>
    <n v="11"/>
    <n v="1990"/>
    <x v="0"/>
    <x v="10"/>
    <n v="19900711"/>
  </r>
  <r>
    <s v="80100724608"/>
    <s v="lubelskie"/>
    <s v="wieś"/>
    <n v="80"/>
    <x v="1"/>
    <n v="7"/>
    <n v="1980"/>
    <x v="1"/>
    <x v="5"/>
    <n v="19801007"/>
  </r>
  <r>
    <s v="67111696971"/>
    <s v="łódzkie"/>
    <s v="wieś"/>
    <n v="67"/>
    <x v="9"/>
    <n v="16"/>
    <n v="1967"/>
    <x v="9"/>
    <x v="13"/>
    <n v="19671116"/>
  </r>
  <r>
    <s v="87100455842"/>
    <s v="małopolskie"/>
    <s v="wieś"/>
    <n v="87"/>
    <x v="1"/>
    <n v="4"/>
    <n v="1987"/>
    <x v="1"/>
    <x v="23"/>
    <n v="19871004"/>
  </r>
  <r>
    <s v="64090118269"/>
    <s v="dolnośląskie"/>
    <s v="wieś"/>
    <n v="64"/>
    <x v="5"/>
    <n v="1"/>
    <n v="1964"/>
    <x v="5"/>
    <x v="1"/>
    <n v="19640901"/>
  </r>
  <r>
    <s v="61061727275"/>
    <s v="zachodniopomorskie"/>
    <s v="wieś"/>
    <n v="61"/>
    <x v="7"/>
    <n v="17"/>
    <n v="1961"/>
    <x v="7"/>
    <x v="9"/>
    <n v="19610617"/>
  </r>
  <r>
    <s v="66121567550"/>
    <s v="małopolskie"/>
    <s v="miasto"/>
    <n v="66"/>
    <x v="6"/>
    <n v="15"/>
    <n v="1966"/>
    <x v="6"/>
    <x v="20"/>
    <n v="19661215"/>
  </r>
  <r>
    <s v="92102923299"/>
    <s v="podlaskie"/>
    <s v="wieś"/>
    <n v="92"/>
    <x v="1"/>
    <n v="29"/>
    <n v="1992"/>
    <x v="1"/>
    <x v="21"/>
    <n v="19921029"/>
  </r>
  <r>
    <s v="97011978576"/>
    <s v="zachodniopomorskie"/>
    <s v="wieś"/>
    <n v="97"/>
    <x v="8"/>
    <n v="19"/>
    <n v="1997"/>
    <x v="8"/>
    <x v="24"/>
    <n v="19970119"/>
  </r>
  <r>
    <s v="75042006365"/>
    <s v="podlaskie"/>
    <s v="miasto"/>
    <n v="75"/>
    <x v="2"/>
    <n v="20"/>
    <n v="1975"/>
    <x v="2"/>
    <x v="28"/>
    <n v="19750420"/>
  </r>
  <r>
    <s v="51100113466"/>
    <s v="podkarpackie"/>
    <s v="wieś"/>
    <n v="51"/>
    <x v="1"/>
    <n v="1"/>
    <n v="1951"/>
    <x v="1"/>
    <x v="1"/>
    <n v="19511001"/>
  </r>
  <r>
    <s v="72073013618"/>
    <s v="podkarpackie"/>
    <s v="wieś"/>
    <n v="72"/>
    <x v="0"/>
    <n v="30"/>
    <n v="1972"/>
    <x v="0"/>
    <x v="26"/>
    <n v="19720730"/>
  </r>
  <r>
    <s v="95071506935"/>
    <s v="pomorskie"/>
    <s v="wieś"/>
    <n v="95"/>
    <x v="0"/>
    <n v="15"/>
    <n v="1995"/>
    <x v="0"/>
    <x v="20"/>
    <n v="19950715"/>
  </r>
  <r>
    <s v="64082706270"/>
    <s v="małopolskie"/>
    <s v="wieś"/>
    <n v="64"/>
    <x v="3"/>
    <n v="27"/>
    <n v="1964"/>
    <x v="3"/>
    <x v="15"/>
    <n v="19640827"/>
  </r>
  <r>
    <s v="74102033752"/>
    <s v="pomorskie"/>
    <s v="wieś"/>
    <n v="74"/>
    <x v="1"/>
    <n v="20"/>
    <n v="1974"/>
    <x v="1"/>
    <x v="28"/>
    <n v="19741020"/>
  </r>
  <r>
    <s v="57081355125"/>
    <s v="podlaskie"/>
    <s v="miasto"/>
    <n v="57"/>
    <x v="3"/>
    <n v="13"/>
    <n v="1957"/>
    <x v="3"/>
    <x v="22"/>
    <n v="19570813"/>
  </r>
  <r>
    <s v="63091825499"/>
    <s v="lubuskie"/>
    <s v="wieś"/>
    <n v="63"/>
    <x v="5"/>
    <n v="18"/>
    <n v="1963"/>
    <x v="5"/>
    <x v="18"/>
    <n v="19630918"/>
  </r>
  <r>
    <s v="90040264315"/>
    <s v="wielkopolskie"/>
    <s v="wieś"/>
    <n v="90"/>
    <x v="2"/>
    <n v="2"/>
    <n v="1990"/>
    <x v="2"/>
    <x v="16"/>
    <n v="19900402"/>
  </r>
  <r>
    <s v="93021005602"/>
    <s v="opolskie"/>
    <s v="wieś"/>
    <n v="93"/>
    <x v="10"/>
    <n v="10"/>
    <n v="1993"/>
    <x v="10"/>
    <x v="8"/>
    <n v="19930210"/>
  </r>
  <r>
    <s v="71060935904"/>
    <s v="dolnośląskie"/>
    <s v="wieś"/>
    <n v="71"/>
    <x v="7"/>
    <n v="9"/>
    <n v="1971"/>
    <x v="7"/>
    <x v="12"/>
    <n v="19710609"/>
  </r>
  <r>
    <s v="52101785894"/>
    <s v="kujawsko-pomorskie"/>
    <s v="miasto"/>
    <n v="52"/>
    <x v="1"/>
    <n v="17"/>
    <n v="1952"/>
    <x v="1"/>
    <x v="9"/>
    <n v="19521017"/>
  </r>
  <r>
    <s v="97080217897"/>
    <s v="zachodniopomorskie"/>
    <s v="wieś"/>
    <n v="97"/>
    <x v="3"/>
    <n v="2"/>
    <n v="1997"/>
    <x v="3"/>
    <x v="16"/>
    <n v="19970802"/>
  </r>
  <r>
    <s v="81053035807"/>
    <s v="wielkopolskie"/>
    <s v="miasto"/>
    <n v="81"/>
    <x v="4"/>
    <n v="30"/>
    <n v="1981"/>
    <x v="4"/>
    <x v="26"/>
    <n v="19810530"/>
  </r>
  <r>
    <s v="91022423029"/>
    <s v="mazowieckie"/>
    <s v="miasto"/>
    <n v="91"/>
    <x v="10"/>
    <n v="24"/>
    <n v="1991"/>
    <x v="10"/>
    <x v="11"/>
    <n v="19910224"/>
  </r>
  <r>
    <s v="75090195129"/>
    <s v="podkarpackie"/>
    <s v="miasto"/>
    <n v="75"/>
    <x v="5"/>
    <n v="1"/>
    <n v="1975"/>
    <x v="5"/>
    <x v="1"/>
    <n v="19750901"/>
  </r>
  <r>
    <s v="84070107438"/>
    <s v="pomorskie"/>
    <s v="miasto"/>
    <n v="84"/>
    <x v="0"/>
    <n v="1"/>
    <n v="1984"/>
    <x v="0"/>
    <x v="1"/>
    <n v="19840701"/>
  </r>
  <r>
    <s v="54082626522"/>
    <s v="kujawsko-pomorskie"/>
    <s v="miasto"/>
    <n v="54"/>
    <x v="3"/>
    <n v="26"/>
    <n v="1954"/>
    <x v="3"/>
    <x v="14"/>
    <n v="19540826"/>
  </r>
  <r>
    <s v="50121269604"/>
    <s v="opolskie"/>
    <s v="miasto"/>
    <n v="50"/>
    <x v="6"/>
    <n v="12"/>
    <n v="1950"/>
    <x v="6"/>
    <x v="0"/>
    <n v="19501212"/>
  </r>
  <r>
    <s v="85122146708"/>
    <s v="podlaskie"/>
    <s v="miasto"/>
    <n v="85"/>
    <x v="6"/>
    <n v="21"/>
    <n v="1985"/>
    <x v="6"/>
    <x v="27"/>
    <n v="19851221"/>
  </r>
  <r>
    <s v="90010495521"/>
    <s v="mazowieckie"/>
    <s v="miasto"/>
    <n v="90"/>
    <x v="8"/>
    <n v="4"/>
    <n v="1990"/>
    <x v="8"/>
    <x v="23"/>
    <n v="19900104"/>
  </r>
  <r>
    <s v="72100728249"/>
    <s v="małopolskie"/>
    <s v="miasto"/>
    <n v="72"/>
    <x v="1"/>
    <n v="7"/>
    <n v="1972"/>
    <x v="1"/>
    <x v="5"/>
    <n v="19721007"/>
  </r>
  <r>
    <s v="56100225593"/>
    <s v="kujawsko-pomorskie"/>
    <s v="miasto"/>
    <n v="56"/>
    <x v="1"/>
    <n v="2"/>
    <n v="1956"/>
    <x v="1"/>
    <x v="16"/>
    <n v="19561002"/>
  </r>
  <r>
    <s v="60082633448"/>
    <s v="lubuskie"/>
    <s v="wieś"/>
    <n v="60"/>
    <x v="3"/>
    <n v="26"/>
    <n v="1960"/>
    <x v="3"/>
    <x v="14"/>
    <n v="19600826"/>
  </r>
  <r>
    <s v="57091615958"/>
    <s v="mazowieckie"/>
    <s v="miasto"/>
    <n v="57"/>
    <x v="5"/>
    <n v="16"/>
    <n v="1957"/>
    <x v="5"/>
    <x v="13"/>
    <n v="19570916"/>
  </r>
  <r>
    <s v="87111052780"/>
    <s v="dolnośląskie"/>
    <s v="miasto"/>
    <n v="87"/>
    <x v="9"/>
    <n v="10"/>
    <n v="1987"/>
    <x v="9"/>
    <x v="8"/>
    <n v="19871110"/>
  </r>
  <r>
    <s v="50040740697"/>
    <s v="śląskie"/>
    <s v="miasto"/>
    <n v="50"/>
    <x v="2"/>
    <n v="7"/>
    <n v="1950"/>
    <x v="2"/>
    <x v="5"/>
    <n v="19500407"/>
  </r>
  <r>
    <s v="68101095387"/>
    <s v="lubuskie"/>
    <s v="wieś"/>
    <n v="68"/>
    <x v="1"/>
    <n v="10"/>
    <n v="1968"/>
    <x v="1"/>
    <x v="8"/>
    <n v="19681010"/>
  </r>
  <r>
    <s v="62033049740"/>
    <s v="świętokrzyskie"/>
    <s v="miasto"/>
    <n v="62"/>
    <x v="11"/>
    <n v="30"/>
    <n v="1962"/>
    <x v="11"/>
    <x v="26"/>
    <n v="19620330"/>
  </r>
  <r>
    <s v="79072780929"/>
    <s v="dolnośląskie"/>
    <s v="miasto"/>
    <n v="79"/>
    <x v="0"/>
    <n v="27"/>
    <n v="1979"/>
    <x v="0"/>
    <x v="15"/>
    <n v="19790727"/>
  </r>
  <r>
    <s v="94051017843"/>
    <s v="podkarpackie"/>
    <s v="miasto"/>
    <n v="94"/>
    <x v="4"/>
    <n v="10"/>
    <n v="1994"/>
    <x v="4"/>
    <x v="8"/>
    <n v="19940510"/>
  </r>
  <r>
    <s v="98010553667"/>
    <s v="opolskie"/>
    <s v="miasto"/>
    <n v="98"/>
    <x v="8"/>
    <n v="5"/>
    <n v="1998"/>
    <x v="8"/>
    <x v="25"/>
    <n v="19980105"/>
  </r>
  <r>
    <s v="98052401375"/>
    <s v="świętokrzyskie"/>
    <s v="wieś"/>
    <n v="98"/>
    <x v="4"/>
    <n v="24"/>
    <n v="1998"/>
    <x v="4"/>
    <x v="11"/>
    <n v="19980524"/>
  </r>
  <r>
    <s v="86072999428"/>
    <s v="podkarpackie"/>
    <s v="wieś"/>
    <n v="86"/>
    <x v="0"/>
    <n v="29"/>
    <n v="1986"/>
    <x v="0"/>
    <x v="21"/>
    <n v="19860729"/>
  </r>
  <r>
    <s v="76061601553"/>
    <s v="śląskie"/>
    <s v="wieś"/>
    <n v="76"/>
    <x v="7"/>
    <n v="16"/>
    <n v="1976"/>
    <x v="7"/>
    <x v="13"/>
    <n v="19760616"/>
  </r>
  <r>
    <s v="69011748389"/>
    <s v="zachodniopomorskie"/>
    <s v="wieś"/>
    <n v="69"/>
    <x v="8"/>
    <n v="17"/>
    <n v="1969"/>
    <x v="8"/>
    <x v="9"/>
    <n v="19690117"/>
  </r>
  <r>
    <s v="72053198339"/>
    <s v="małopolskie"/>
    <s v="wieś"/>
    <n v="72"/>
    <x v="4"/>
    <n v="31"/>
    <n v="1972"/>
    <x v="4"/>
    <x v="3"/>
    <n v="19720531"/>
  </r>
  <r>
    <s v="92111126939"/>
    <s v="lubelskie"/>
    <s v="miasto"/>
    <n v="92"/>
    <x v="9"/>
    <n v="11"/>
    <n v="1992"/>
    <x v="9"/>
    <x v="10"/>
    <n v="19921111"/>
  </r>
  <r>
    <s v="56122609544"/>
    <s v="pomorskie"/>
    <s v="miasto"/>
    <n v="56"/>
    <x v="6"/>
    <n v="26"/>
    <n v="1956"/>
    <x v="6"/>
    <x v="14"/>
    <n v="19561226"/>
  </r>
  <r>
    <s v="57121694261"/>
    <s v="kujawsko-pomorskie"/>
    <s v="wieś"/>
    <n v="57"/>
    <x v="6"/>
    <n v="16"/>
    <n v="1957"/>
    <x v="6"/>
    <x v="13"/>
    <n v="19571216"/>
  </r>
  <r>
    <s v="93062318824"/>
    <s v="wielkopolskie"/>
    <s v="wieś"/>
    <n v="93"/>
    <x v="7"/>
    <n v="23"/>
    <n v="1993"/>
    <x v="7"/>
    <x v="2"/>
    <n v="19930623"/>
  </r>
  <r>
    <s v="68111201527"/>
    <s v="mazowieckie"/>
    <s v="wieś"/>
    <n v="68"/>
    <x v="9"/>
    <n v="12"/>
    <n v="1968"/>
    <x v="9"/>
    <x v="0"/>
    <n v="19681112"/>
  </r>
  <r>
    <s v="78071480489"/>
    <s v="lubuskie"/>
    <s v="miasto"/>
    <n v="78"/>
    <x v="0"/>
    <n v="14"/>
    <n v="1978"/>
    <x v="0"/>
    <x v="6"/>
    <n v="19780714"/>
  </r>
  <r>
    <s v="76051975909"/>
    <s v="wielkopolskie"/>
    <s v="wieś"/>
    <n v="76"/>
    <x v="4"/>
    <n v="19"/>
    <n v="1976"/>
    <x v="4"/>
    <x v="24"/>
    <n v="19760519"/>
  </r>
  <r>
    <s v="64062904454"/>
    <s v="zachodniopomorskie"/>
    <s v="miasto"/>
    <n v="64"/>
    <x v="7"/>
    <n v="29"/>
    <n v="1964"/>
    <x v="7"/>
    <x v="21"/>
    <n v="19640629"/>
  </r>
  <r>
    <s v="61040869008"/>
    <s v="kujawsko-pomorskie"/>
    <s v="wieś"/>
    <n v="61"/>
    <x v="2"/>
    <n v="8"/>
    <n v="1961"/>
    <x v="2"/>
    <x v="7"/>
    <n v="19610408"/>
  </r>
  <r>
    <s v="82102913532"/>
    <s v="łódzkie"/>
    <s v="wieś"/>
    <n v="82"/>
    <x v="1"/>
    <n v="29"/>
    <n v="1982"/>
    <x v="1"/>
    <x v="21"/>
    <n v="19821029"/>
  </r>
  <r>
    <s v="80111550241"/>
    <s v="podkarpackie"/>
    <s v="miasto"/>
    <n v="80"/>
    <x v="9"/>
    <n v="15"/>
    <n v="1980"/>
    <x v="9"/>
    <x v="20"/>
    <n v="19801115"/>
  </r>
  <r>
    <s v="73042186560"/>
    <s v="lubelskie"/>
    <s v="miasto"/>
    <n v="73"/>
    <x v="2"/>
    <n v="21"/>
    <n v="1973"/>
    <x v="2"/>
    <x v="27"/>
    <n v="19730421"/>
  </r>
  <r>
    <s v="71111622249"/>
    <s v="mazowieckie"/>
    <s v="wieś"/>
    <n v="71"/>
    <x v="9"/>
    <n v="16"/>
    <n v="1971"/>
    <x v="9"/>
    <x v="13"/>
    <n v="19711116"/>
  </r>
  <r>
    <s v="52042431764"/>
    <s v="zachodniopomorskie"/>
    <s v="miasto"/>
    <n v="52"/>
    <x v="2"/>
    <n v="24"/>
    <n v="1952"/>
    <x v="2"/>
    <x v="11"/>
    <n v="19520424"/>
  </r>
  <r>
    <s v="94110574874"/>
    <s v="opolskie"/>
    <s v="wieś"/>
    <n v="94"/>
    <x v="9"/>
    <n v="5"/>
    <n v="1994"/>
    <x v="9"/>
    <x v="25"/>
    <n v="19941105"/>
  </r>
  <r>
    <s v="97070314418"/>
    <s v="świętokrzyskie"/>
    <s v="wieś"/>
    <n v="97"/>
    <x v="0"/>
    <n v="3"/>
    <n v="1997"/>
    <x v="0"/>
    <x v="29"/>
    <n v="19970703"/>
  </r>
  <r>
    <s v="68020157834"/>
    <s v="zachodniopomorskie"/>
    <s v="wieś"/>
    <n v="68"/>
    <x v="10"/>
    <n v="1"/>
    <n v="1968"/>
    <x v="10"/>
    <x v="1"/>
    <n v="19680201"/>
  </r>
  <r>
    <s v="61032343220"/>
    <s v="lubelskie"/>
    <s v="miasto"/>
    <n v="61"/>
    <x v="11"/>
    <n v="23"/>
    <n v="1961"/>
    <x v="11"/>
    <x v="2"/>
    <n v="19610323"/>
  </r>
  <r>
    <s v="89051851742"/>
    <s v="podkarpackie"/>
    <s v="miasto"/>
    <n v="89"/>
    <x v="4"/>
    <n v="18"/>
    <n v="1989"/>
    <x v="4"/>
    <x v="18"/>
    <n v="19890518"/>
  </r>
  <r>
    <s v="97090739563"/>
    <s v="łódzkie"/>
    <s v="wieś"/>
    <n v="97"/>
    <x v="5"/>
    <n v="7"/>
    <n v="1997"/>
    <x v="5"/>
    <x v="5"/>
    <n v="19970907"/>
  </r>
  <r>
    <s v="61080507803"/>
    <s v="świętokrzyskie"/>
    <s v="miasto"/>
    <n v="61"/>
    <x v="3"/>
    <n v="5"/>
    <n v="1961"/>
    <x v="3"/>
    <x v="25"/>
    <n v="19610805"/>
  </r>
  <r>
    <s v="63062036462"/>
    <s v="kujawsko-pomorskie"/>
    <s v="miasto"/>
    <n v="63"/>
    <x v="7"/>
    <n v="20"/>
    <n v="1963"/>
    <x v="7"/>
    <x v="28"/>
    <n v="19630620"/>
  </r>
  <r>
    <s v="53120902549"/>
    <s v="podlaskie"/>
    <s v="wieś"/>
    <n v="53"/>
    <x v="6"/>
    <n v="9"/>
    <n v="1953"/>
    <x v="6"/>
    <x v="12"/>
    <n v="19531209"/>
  </r>
  <r>
    <s v="84010544767"/>
    <s v="zachodniopomorskie"/>
    <s v="wieś"/>
    <n v="84"/>
    <x v="8"/>
    <n v="5"/>
    <n v="1984"/>
    <x v="8"/>
    <x v="25"/>
    <n v="19840105"/>
  </r>
  <r>
    <s v="94111642336"/>
    <s v="mazowieckie"/>
    <s v="miasto"/>
    <n v="94"/>
    <x v="9"/>
    <n v="16"/>
    <n v="1994"/>
    <x v="9"/>
    <x v="13"/>
    <n v="19941116"/>
  </r>
  <r>
    <s v="83080941885"/>
    <s v="małopolskie"/>
    <s v="wieś"/>
    <n v="83"/>
    <x v="3"/>
    <n v="9"/>
    <n v="1983"/>
    <x v="3"/>
    <x v="12"/>
    <n v="19830809"/>
  </r>
  <r>
    <s v="99020631770"/>
    <s v="lubuskie"/>
    <s v="wieś"/>
    <n v="99"/>
    <x v="10"/>
    <n v="6"/>
    <n v="1999"/>
    <x v="10"/>
    <x v="17"/>
    <n v="19990206"/>
  </r>
  <r>
    <s v="99111303315"/>
    <s v="opolskie"/>
    <s v="miasto"/>
    <n v="99"/>
    <x v="9"/>
    <n v="13"/>
    <n v="1999"/>
    <x v="9"/>
    <x v="22"/>
    <n v="19991113"/>
  </r>
  <r>
    <s v="51092524844"/>
    <s v="dolnośląskie"/>
    <s v="wieś"/>
    <n v="51"/>
    <x v="5"/>
    <n v="25"/>
    <n v="1951"/>
    <x v="5"/>
    <x v="19"/>
    <n v="19510925"/>
  </r>
  <r>
    <s v="56021402794"/>
    <s v="małopolskie"/>
    <s v="wieś"/>
    <n v="56"/>
    <x v="10"/>
    <n v="14"/>
    <n v="1956"/>
    <x v="10"/>
    <x v="6"/>
    <n v="19560214"/>
  </r>
  <r>
    <s v="61052346386"/>
    <s v="mazowieckie"/>
    <s v="wieś"/>
    <n v="61"/>
    <x v="4"/>
    <n v="23"/>
    <n v="1961"/>
    <x v="4"/>
    <x v="2"/>
    <n v="19610523"/>
  </r>
  <r>
    <s v="51122893889"/>
    <s v="mazowieckie"/>
    <s v="wieś"/>
    <n v="51"/>
    <x v="6"/>
    <n v="28"/>
    <n v="1951"/>
    <x v="6"/>
    <x v="4"/>
    <n v="19511228"/>
  </r>
  <r>
    <s v="71063060230"/>
    <s v="łódzkie"/>
    <s v="wieś"/>
    <n v="71"/>
    <x v="7"/>
    <n v="30"/>
    <n v="1971"/>
    <x v="7"/>
    <x v="26"/>
    <n v="19710630"/>
  </r>
  <r>
    <s v="74072279383"/>
    <s v="pomorskie"/>
    <s v="miasto"/>
    <n v="74"/>
    <x v="0"/>
    <n v="22"/>
    <n v="1974"/>
    <x v="0"/>
    <x v="30"/>
    <n v="19740722"/>
  </r>
  <r>
    <s v="91091481535"/>
    <s v="lubelskie"/>
    <s v="wieś"/>
    <n v="91"/>
    <x v="5"/>
    <n v="14"/>
    <n v="1991"/>
    <x v="5"/>
    <x v="6"/>
    <n v="19910914"/>
  </r>
  <r>
    <s v="57122300244"/>
    <s v="małopolskie"/>
    <s v="miasto"/>
    <n v="57"/>
    <x v="6"/>
    <n v="23"/>
    <n v="1957"/>
    <x v="6"/>
    <x v="2"/>
    <n v="19571223"/>
  </r>
  <r>
    <s v="99041479098"/>
    <s v="świętokrzyskie"/>
    <s v="miasto"/>
    <n v="99"/>
    <x v="2"/>
    <n v="14"/>
    <n v="1999"/>
    <x v="2"/>
    <x v="6"/>
    <n v="19990414"/>
  </r>
  <r>
    <s v="66022228110"/>
    <s v="kujawsko-pomorskie"/>
    <s v="miasto"/>
    <n v="66"/>
    <x v="10"/>
    <n v="22"/>
    <n v="1966"/>
    <x v="10"/>
    <x v="30"/>
    <n v="19660222"/>
  </r>
  <r>
    <s v="82062058218"/>
    <s v="opolskie"/>
    <s v="wieś"/>
    <n v="82"/>
    <x v="7"/>
    <n v="20"/>
    <n v="1982"/>
    <x v="7"/>
    <x v="28"/>
    <n v="19820620"/>
  </r>
  <r>
    <s v="57122013287"/>
    <s v="śląskie"/>
    <s v="wieś"/>
    <n v="57"/>
    <x v="6"/>
    <n v="20"/>
    <n v="1957"/>
    <x v="6"/>
    <x v="28"/>
    <n v="19571220"/>
  </r>
  <r>
    <s v="67112146802"/>
    <s v="wielkopolskie"/>
    <s v="miasto"/>
    <n v="67"/>
    <x v="9"/>
    <n v="21"/>
    <n v="1967"/>
    <x v="9"/>
    <x v="27"/>
    <n v="19671121"/>
  </r>
  <r>
    <s v="87090221803"/>
    <s v="małopolskie"/>
    <s v="wieś"/>
    <n v="87"/>
    <x v="5"/>
    <n v="2"/>
    <n v="1987"/>
    <x v="5"/>
    <x v="16"/>
    <n v="19870902"/>
  </r>
  <r>
    <s v="61032430030"/>
    <s v="świętokrzyskie"/>
    <s v="miasto"/>
    <n v="61"/>
    <x v="11"/>
    <n v="24"/>
    <n v="1961"/>
    <x v="11"/>
    <x v="11"/>
    <n v="19610324"/>
  </r>
  <r>
    <s v="64080716404"/>
    <s v="pomorskie"/>
    <s v="miasto"/>
    <n v="64"/>
    <x v="3"/>
    <n v="7"/>
    <n v="1964"/>
    <x v="3"/>
    <x v="5"/>
    <n v="19640807"/>
  </r>
  <r>
    <s v="59062796578"/>
    <s v="małopolskie"/>
    <s v="miasto"/>
    <n v="59"/>
    <x v="7"/>
    <n v="27"/>
    <n v="1959"/>
    <x v="7"/>
    <x v="15"/>
    <n v="19590627"/>
  </r>
  <r>
    <s v="65040627947"/>
    <s v="dolnośląskie"/>
    <s v="miasto"/>
    <n v="65"/>
    <x v="2"/>
    <n v="6"/>
    <n v="1965"/>
    <x v="2"/>
    <x v="17"/>
    <n v="19650406"/>
  </r>
  <r>
    <s v="94122638353"/>
    <s v="mazowieckie"/>
    <s v="miasto"/>
    <n v="94"/>
    <x v="6"/>
    <n v="26"/>
    <n v="1994"/>
    <x v="6"/>
    <x v="14"/>
    <n v="19941226"/>
  </r>
  <r>
    <s v="58091381319"/>
    <s v="dolnośląskie"/>
    <s v="wieś"/>
    <n v="58"/>
    <x v="5"/>
    <n v="13"/>
    <n v="1958"/>
    <x v="5"/>
    <x v="22"/>
    <n v="19580913"/>
  </r>
  <r>
    <s v="73112332640"/>
    <s v="świętokrzyskie"/>
    <s v="wieś"/>
    <n v="73"/>
    <x v="9"/>
    <n v="23"/>
    <n v="1973"/>
    <x v="9"/>
    <x v="2"/>
    <n v="19731123"/>
  </r>
  <r>
    <s v="61052868334"/>
    <s v="wielkopolskie"/>
    <s v="wieś"/>
    <n v="61"/>
    <x v="4"/>
    <n v="28"/>
    <n v="1961"/>
    <x v="4"/>
    <x v="4"/>
    <n v="19610528"/>
  </r>
  <r>
    <s v="66042814865"/>
    <s v="kujawsko-pomorskie"/>
    <s v="wieś"/>
    <n v="66"/>
    <x v="2"/>
    <n v="28"/>
    <n v="1966"/>
    <x v="2"/>
    <x v="4"/>
    <n v="19660428"/>
  </r>
  <r>
    <s v="56082234284"/>
    <s v="podkarpackie"/>
    <s v="miasto"/>
    <n v="56"/>
    <x v="3"/>
    <n v="22"/>
    <n v="1956"/>
    <x v="3"/>
    <x v="30"/>
    <n v="19560822"/>
  </r>
  <r>
    <s v="99101200505"/>
    <s v="łódzkie"/>
    <s v="miasto"/>
    <n v="99"/>
    <x v="1"/>
    <n v="12"/>
    <n v="1999"/>
    <x v="1"/>
    <x v="0"/>
    <n v="19991012"/>
  </r>
  <r>
    <s v="66043085280"/>
    <s v="kujawsko-pomorskie"/>
    <s v="wieś"/>
    <n v="66"/>
    <x v="2"/>
    <n v="30"/>
    <n v="1966"/>
    <x v="2"/>
    <x v="26"/>
    <n v="19660430"/>
  </r>
  <r>
    <s v="86091601548"/>
    <s v="śląskie"/>
    <s v="miasto"/>
    <n v="86"/>
    <x v="5"/>
    <n v="16"/>
    <n v="1986"/>
    <x v="5"/>
    <x v="13"/>
    <n v="19860916"/>
  </r>
  <r>
    <s v="58071981807"/>
    <s v="lubelskie"/>
    <s v="wieś"/>
    <n v="58"/>
    <x v="0"/>
    <n v="19"/>
    <n v="1958"/>
    <x v="0"/>
    <x v="24"/>
    <n v="19580719"/>
  </r>
  <r>
    <s v="95030424298"/>
    <s v="wielkopolskie"/>
    <s v="miasto"/>
    <n v="95"/>
    <x v="11"/>
    <n v="4"/>
    <n v="1995"/>
    <x v="11"/>
    <x v="23"/>
    <n v="19950304"/>
  </r>
  <r>
    <s v="91110362072"/>
    <s v="mazowieckie"/>
    <s v="miasto"/>
    <n v="91"/>
    <x v="9"/>
    <n v="3"/>
    <n v="1991"/>
    <x v="9"/>
    <x v="29"/>
    <n v="19911103"/>
  </r>
  <r>
    <s v="56010667456"/>
    <s v="wielkopolskie"/>
    <s v="miasto"/>
    <n v="56"/>
    <x v="8"/>
    <n v="6"/>
    <n v="1956"/>
    <x v="8"/>
    <x v="17"/>
    <n v="19560106"/>
  </r>
  <r>
    <s v="66082438007"/>
    <s v="kujawsko-pomorskie"/>
    <s v="miasto"/>
    <n v="66"/>
    <x v="3"/>
    <n v="24"/>
    <n v="1966"/>
    <x v="3"/>
    <x v="11"/>
    <n v="19660824"/>
  </r>
  <r>
    <s v="94111155399"/>
    <s v="opolskie"/>
    <s v="wieś"/>
    <n v="94"/>
    <x v="9"/>
    <n v="11"/>
    <n v="1994"/>
    <x v="9"/>
    <x v="10"/>
    <n v="19941111"/>
  </r>
  <r>
    <s v="81021537391"/>
    <s v="warmińsko-mazurskie"/>
    <s v="miasto"/>
    <n v="81"/>
    <x v="10"/>
    <n v="15"/>
    <n v="1981"/>
    <x v="10"/>
    <x v="20"/>
    <n v="19810215"/>
  </r>
  <r>
    <s v="90103167461"/>
    <s v="śląskie"/>
    <s v="miasto"/>
    <n v="90"/>
    <x v="1"/>
    <n v="31"/>
    <n v="1990"/>
    <x v="1"/>
    <x v="3"/>
    <n v="19901031"/>
  </r>
  <r>
    <s v="72033126578"/>
    <s v="śląskie"/>
    <s v="miasto"/>
    <n v="72"/>
    <x v="11"/>
    <n v="31"/>
    <n v="1972"/>
    <x v="11"/>
    <x v="3"/>
    <n v="19720331"/>
  </r>
  <r>
    <s v="90010474418"/>
    <s v="wielkopolskie"/>
    <s v="miasto"/>
    <n v="90"/>
    <x v="8"/>
    <n v="4"/>
    <n v="1990"/>
    <x v="8"/>
    <x v="23"/>
    <n v="19900104"/>
  </r>
  <r>
    <s v="93101150990"/>
    <s v="świętokrzyskie"/>
    <s v="wieś"/>
    <n v="93"/>
    <x v="1"/>
    <n v="11"/>
    <n v="1993"/>
    <x v="1"/>
    <x v="10"/>
    <n v="19931011"/>
  </r>
  <r>
    <s v="96091515974"/>
    <s v="dolnośląskie"/>
    <s v="wieś"/>
    <n v="96"/>
    <x v="5"/>
    <n v="15"/>
    <n v="1996"/>
    <x v="5"/>
    <x v="20"/>
    <n v="19960915"/>
  </r>
  <r>
    <s v="65011096293"/>
    <s v="podkarpackie"/>
    <s v="wieś"/>
    <n v="65"/>
    <x v="8"/>
    <n v="10"/>
    <n v="1965"/>
    <x v="8"/>
    <x v="8"/>
    <n v="19650110"/>
  </r>
  <r>
    <s v="53123191577"/>
    <s v="małopolskie"/>
    <s v="miasto"/>
    <n v="53"/>
    <x v="6"/>
    <n v="31"/>
    <n v="1953"/>
    <x v="6"/>
    <x v="3"/>
    <n v="19531231"/>
  </r>
  <r>
    <s v="73060298351"/>
    <s v="podlaskie"/>
    <s v="miasto"/>
    <n v="73"/>
    <x v="7"/>
    <n v="2"/>
    <n v="1973"/>
    <x v="7"/>
    <x v="16"/>
    <n v="19730602"/>
  </r>
  <r>
    <s v="77121944265"/>
    <s v="podlaskie"/>
    <s v="wieś"/>
    <n v="77"/>
    <x v="6"/>
    <n v="19"/>
    <n v="1977"/>
    <x v="6"/>
    <x v="24"/>
    <n v="19771219"/>
  </r>
  <r>
    <s v="68031048828"/>
    <s v="świętokrzyskie"/>
    <s v="wieś"/>
    <n v="68"/>
    <x v="11"/>
    <n v="10"/>
    <n v="1968"/>
    <x v="11"/>
    <x v="8"/>
    <n v="19680310"/>
  </r>
  <r>
    <s v="98100693644"/>
    <s v="wielkopolskie"/>
    <s v="miasto"/>
    <n v="98"/>
    <x v="1"/>
    <n v="6"/>
    <n v="1998"/>
    <x v="1"/>
    <x v="17"/>
    <n v="19981006"/>
  </r>
  <r>
    <s v="76072914871"/>
    <s v="warmińsko-mazurskie"/>
    <s v="wieś"/>
    <n v="76"/>
    <x v="0"/>
    <n v="29"/>
    <n v="1976"/>
    <x v="0"/>
    <x v="21"/>
    <n v="19760729"/>
  </r>
  <r>
    <s v="55041429471"/>
    <s v="podkarpackie"/>
    <s v="wieś"/>
    <n v="55"/>
    <x v="2"/>
    <n v="14"/>
    <n v="1955"/>
    <x v="2"/>
    <x v="6"/>
    <n v="19550414"/>
  </r>
  <r>
    <s v="96010658900"/>
    <s v="mazowieckie"/>
    <s v="wieś"/>
    <n v="96"/>
    <x v="8"/>
    <n v="6"/>
    <n v="1996"/>
    <x v="8"/>
    <x v="17"/>
    <n v="19960106"/>
  </r>
  <r>
    <s v="84032372784"/>
    <s v="podlaskie"/>
    <s v="miasto"/>
    <n v="84"/>
    <x v="11"/>
    <n v="23"/>
    <n v="1984"/>
    <x v="11"/>
    <x v="2"/>
    <n v="19840323"/>
  </r>
  <r>
    <s v="50101409189"/>
    <s v="lubelskie"/>
    <s v="wieś"/>
    <n v="50"/>
    <x v="1"/>
    <n v="14"/>
    <n v="1950"/>
    <x v="1"/>
    <x v="6"/>
    <n v="19501014"/>
  </r>
  <r>
    <s v="54122295170"/>
    <s v="łódzkie"/>
    <s v="miasto"/>
    <n v="54"/>
    <x v="6"/>
    <n v="22"/>
    <n v="1954"/>
    <x v="6"/>
    <x v="30"/>
    <n v="19541222"/>
  </r>
  <r>
    <s v="67092404057"/>
    <s v="warmińsko-mazurskie"/>
    <s v="wieś"/>
    <n v="67"/>
    <x v="5"/>
    <n v="24"/>
    <n v="1967"/>
    <x v="5"/>
    <x v="11"/>
    <n v="19670924"/>
  </r>
  <r>
    <s v="67022391071"/>
    <s v="świętokrzyskie"/>
    <s v="wieś"/>
    <n v="67"/>
    <x v="10"/>
    <n v="23"/>
    <n v="1967"/>
    <x v="10"/>
    <x v="2"/>
    <n v="19670223"/>
  </r>
  <r>
    <s v="97041948136"/>
    <s v="podlaskie"/>
    <s v="miasto"/>
    <n v="97"/>
    <x v="2"/>
    <n v="19"/>
    <n v="1997"/>
    <x v="2"/>
    <x v="24"/>
    <n v="19970419"/>
  </r>
  <r>
    <s v="99011275523"/>
    <s v="mazowieckie"/>
    <s v="miasto"/>
    <n v="99"/>
    <x v="8"/>
    <n v="12"/>
    <n v="1999"/>
    <x v="8"/>
    <x v="0"/>
    <n v="19990112"/>
  </r>
  <r>
    <s v="57071222781"/>
    <s v="śląskie"/>
    <s v="miasto"/>
    <n v="57"/>
    <x v="0"/>
    <n v="12"/>
    <n v="1957"/>
    <x v="0"/>
    <x v="0"/>
    <n v="19570712"/>
  </r>
  <r>
    <s v="93012973237"/>
    <s v="opolskie"/>
    <s v="miasto"/>
    <n v="93"/>
    <x v="8"/>
    <n v="29"/>
    <n v="1993"/>
    <x v="8"/>
    <x v="21"/>
    <n v="19930129"/>
  </r>
  <r>
    <s v="59082791780"/>
    <s v="małopolskie"/>
    <s v="wieś"/>
    <n v="59"/>
    <x v="3"/>
    <n v="27"/>
    <n v="1959"/>
    <x v="3"/>
    <x v="15"/>
    <n v="19590827"/>
  </r>
  <r>
    <s v="81091693078"/>
    <s v="dolnośląskie"/>
    <s v="wieś"/>
    <n v="81"/>
    <x v="5"/>
    <n v="16"/>
    <n v="1981"/>
    <x v="5"/>
    <x v="13"/>
    <n v="19810916"/>
  </r>
  <r>
    <s v="71022845751"/>
    <s v="podlaskie"/>
    <s v="wieś"/>
    <n v="71"/>
    <x v="10"/>
    <n v="28"/>
    <n v="1971"/>
    <x v="10"/>
    <x v="4"/>
    <n v="19710228"/>
  </r>
  <r>
    <s v="74123045345"/>
    <s v="małopolskie"/>
    <s v="miasto"/>
    <n v="74"/>
    <x v="6"/>
    <n v="30"/>
    <n v="1974"/>
    <x v="6"/>
    <x v="26"/>
    <n v="19741230"/>
  </r>
  <r>
    <s v="88060484406"/>
    <s v="dolnośląskie"/>
    <s v="miasto"/>
    <n v="88"/>
    <x v="7"/>
    <n v="4"/>
    <n v="1988"/>
    <x v="7"/>
    <x v="23"/>
    <n v="19880604"/>
  </r>
  <r>
    <s v="85012784393"/>
    <s v="dolnośląskie"/>
    <s v="miasto"/>
    <n v="85"/>
    <x v="8"/>
    <n v="27"/>
    <n v="1985"/>
    <x v="8"/>
    <x v="15"/>
    <n v="19850127"/>
  </r>
  <r>
    <s v="94112166637"/>
    <s v="warmińsko-mazurskie"/>
    <s v="wieś"/>
    <n v="94"/>
    <x v="9"/>
    <n v="21"/>
    <n v="1994"/>
    <x v="9"/>
    <x v="27"/>
    <n v="19941121"/>
  </r>
  <r>
    <s v="68091657019"/>
    <s v="warmińsko-mazurskie"/>
    <s v="wieś"/>
    <n v="68"/>
    <x v="5"/>
    <n v="16"/>
    <n v="1968"/>
    <x v="5"/>
    <x v="13"/>
    <n v="19680916"/>
  </r>
  <r>
    <s v="54081341844"/>
    <s v="podlaskie"/>
    <s v="miasto"/>
    <n v="54"/>
    <x v="3"/>
    <n v="13"/>
    <n v="1954"/>
    <x v="3"/>
    <x v="22"/>
    <n v="19540813"/>
  </r>
  <r>
    <s v="60012310953"/>
    <s v="podlaskie"/>
    <s v="wieś"/>
    <n v="60"/>
    <x v="8"/>
    <n v="23"/>
    <n v="1960"/>
    <x v="8"/>
    <x v="2"/>
    <n v="19600123"/>
  </r>
  <r>
    <s v="61042978869"/>
    <s v="podlaskie"/>
    <s v="wieś"/>
    <n v="61"/>
    <x v="2"/>
    <n v="29"/>
    <n v="1961"/>
    <x v="2"/>
    <x v="21"/>
    <n v="19610429"/>
  </r>
  <r>
    <s v="67122575465"/>
    <s v="śląskie"/>
    <s v="wieś"/>
    <n v="67"/>
    <x v="6"/>
    <n v="25"/>
    <n v="1967"/>
    <x v="6"/>
    <x v="19"/>
    <n v="19671225"/>
  </r>
  <r>
    <s v="85060561687"/>
    <s v="pomorskie"/>
    <s v="miasto"/>
    <n v="85"/>
    <x v="7"/>
    <n v="5"/>
    <n v="1985"/>
    <x v="7"/>
    <x v="25"/>
    <n v="19850605"/>
  </r>
  <r>
    <s v="62030546646"/>
    <s v="opolskie"/>
    <s v="miasto"/>
    <n v="62"/>
    <x v="11"/>
    <n v="5"/>
    <n v="1962"/>
    <x v="11"/>
    <x v="25"/>
    <n v="19620305"/>
  </r>
  <r>
    <s v="87071650974"/>
    <s v="małopolskie"/>
    <s v="miasto"/>
    <n v="87"/>
    <x v="0"/>
    <n v="16"/>
    <n v="1987"/>
    <x v="0"/>
    <x v="13"/>
    <n v="19870716"/>
  </r>
  <r>
    <s v="80051365079"/>
    <s v="małopolskie"/>
    <s v="miasto"/>
    <n v="80"/>
    <x v="4"/>
    <n v="13"/>
    <n v="1980"/>
    <x v="4"/>
    <x v="22"/>
    <n v="19800513"/>
  </r>
  <r>
    <s v="63031207831"/>
    <s v="małopolskie"/>
    <s v="miasto"/>
    <n v="63"/>
    <x v="11"/>
    <n v="12"/>
    <n v="1963"/>
    <x v="11"/>
    <x v="0"/>
    <n v="19630312"/>
  </r>
  <r>
    <s v="67100309631"/>
    <s v="kujawsko-pomorskie"/>
    <s v="wieś"/>
    <n v="67"/>
    <x v="1"/>
    <n v="3"/>
    <n v="1967"/>
    <x v="1"/>
    <x v="29"/>
    <n v="19671003"/>
  </r>
  <r>
    <s v="90071387764"/>
    <s v="warmińsko-mazurskie"/>
    <s v="wieś"/>
    <n v="90"/>
    <x v="0"/>
    <n v="13"/>
    <n v="1990"/>
    <x v="0"/>
    <x v="22"/>
    <n v="19900713"/>
  </r>
  <r>
    <s v="79100121607"/>
    <s v="podkarpackie"/>
    <s v="miasto"/>
    <n v="79"/>
    <x v="1"/>
    <n v="1"/>
    <n v="1979"/>
    <x v="1"/>
    <x v="1"/>
    <n v="19791001"/>
  </r>
  <r>
    <s v="67021697321"/>
    <s v="lubuskie"/>
    <s v="miasto"/>
    <n v="67"/>
    <x v="10"/>
    <n v="16"/>
    <n v="1967"/>
    <x v="10"/>
    <x v="13"/>
    <n v="19670216"/>
  </r>
  <r>
    <s v="80122931244"/>
    <s v="dolnośląskie"/>
    <s v="wieś"/>
    <n v="80"/>
    <x v="6"/>
    <n v="29"/>
    <n v="1980"/>
    <x v="6"/>
    <x v="21"/>
    <n v="19801229"/>
  </r>
  <r>
    <s v="68021561579"/>
    <s v="świętokrzyskie"/>
    <s v="miasto"/>
    <n v="68"/>
    <x v="10"/>
    <n v="15"/>
    <n v="1968"/>
    <x v="10"/>
    <x v="20"/>
    <n v="19680215"/>
  </r>
  <r>
    <s v="57051700113"/>
    <s v="wielkopolskie"/>
    <s v="wieś"/>
    <n v="57"/>
    <x v="4"/>
    <n v="17"/>
    <n v="1957"/>
    <x v="4"/>
    <x v="9"/>
    <n v="19570517"/>
  </r>
  <r>
    <s v="96111212067"/>
    <s v="śląskie"/>
    <s v="miasto"/>
    <n v="96"/>
    <x v="9"/>
    <n v="12"/>
    <n v="1996"/>
    <x v="9"/>
    <x v="0"/>
    <n v="19961112"/>
  </r>
  <r>
    <s v="89031099317"/>
    <s v="podkarpackie"/>
    <s v="miasto"/>
    <n v="89"/>
    <x v="11"/>
    <n v="10"/>
    <n v="1989"/>
    <x v="11"/>
    <x v="8"/>
    <n v="19890310"/>
  </r>
  <r>
    <s v="82091382834"/>
    <s v="łódzkie"/>
    <s v="wieś"/>
    <n v="82"/>
    <x v="5"/>
    <n v="13"/>
    <n v="1982"/>
    <x v="5"/>
    <x v="22"/>
    <n v="19820913"/>
  </r>
  <r>
    <s v="51122005161"/>
    <s v="świętokrzyskie"/>
    <s v="wieś"/>
    <n v="51"/>
    <x v="6"/>
    <n v="20"/>
    <n v="1951"/>
    <x v="6"/>
    <x v="28"/>
    <n v="19511220"/>
  </r>
  <r>
    <s v="65081827241"/>
    <s v="małopolskie"/>
    <s v="miasto"/>
    <n v="65"/>
    <x v="3"/>
    <n v="18"/>
    <n v="1965"/>
    <x v="3"/>
    <x v="18"/>
    <n v="19650818"/>
  </r>
  <r>
    <s v="52073149353"/>
    <s v="podlaskie"/>
    <s v="wieś"/>
    <n v="52"/>
    <x v="0"/>
    <n v="31"/>
    <n v="1952"/>
    <x v="0"/>
    <x v="3"/>
    <n v="19520731"/>
  </r>
  <r>
    <s v="52072768764"/>
    <s v="lubuskie"/>
    <s v="miasto"/>
    <n v="52"/>
    <x v="0"/>
    <n v="27"/>
    <n v="1952"/>
    <x v="0"/>
    <x v="15"/>
    <n v="19520727"/>
  </r>
  <r>
    <s v="73050819755"/>
    <s v="wielkopolskie"/>
    <s v="wieś"/>
    <n v="73"/>
    <x v="4"/>
    <n v="8"/>
    <n v="1973"/>
    <x v="4"/>
    <x v="7"/>
    <n v="19730508"/>
  </r>
  <r>
    <s v="61041842387"/>
    <s v="łódzkie"/>
    <s v="miasto"/>
    <n v="61"/>
    <x v="2"/>
    <n v="18"/>
    <n v="1961"/>
    <x v="2"/>
    <x v="18"/>
    <n v="19610418"/>
  </r>
  <r>
    <s v="66072012686"/>
    <s v="lubuskie"/>
    <s v="wieś"/>
    <n v="66"/>
    <x v="0"/>
    <n v="20"/>
    <n v="1966"/>
    <x v="0"/>
    <x v="28"/>
    <n v="19660720"/>
  </r>
  <r>
    <s v="52011513628"/>
    <s v="zachodniopomorskie"/>
    <s v="wieś"/>
    <n v="52"/>
    <x v="8"/>
    <n v="15"/>
    <n v="1952"/>
    <x v="8"/>
    <x v="20"/>
    <n v="19520115"/>
  </r>
  <r>
    <s v="90030794936"/>
    <s v="opolskie"/>
    <s v="miasto"/>
    <n v="90"/>
    <x v="11"/>
    <n v="7"/>
    <n v="1990"/>
    <x v="11"/>
    <x v="5"/>
    <n v="19900307"/>
  </r>
  <r>
    <s v="68052065082"/>
    <s v="kujawsko-pomorskie"/>
    <s v="wieś"/>
    <n v="68"/>
    <x v="4"/>
    <n v="20"/>
    <n v="1968"/>
    <x v="4"/>
    <x v="28"/>
    <n v="19680520"/>
  </r>
  <r>
    <s v="93082049658"/>
    <s v="mazowieckie"/>
    <s v="wieś"/>
    <n v="93"/>
    <x v="3"/>
    <n v="20"/>
    <n v="1993"/>
    <x v="3"/>
    <x v="28"/>
    <n v="19930820"/>
  </r>
  <r>
    <s v="95020539612"/>
    <s v="wielkopolskie"/>
    <s v="miasto"/>
    <n v="95"/>
    <x v="10"/>
    <n v="5"/>
    <n v="1995"/>
    <x v="10"/>
    <x v="25"/>
    <n v="19950205"/>
  </r>
  <r>
    <s v="62121026899"/>
    <s v="śląskie"/>
    <s v="wieś"/>
    <n v="62"/>
    <x v="6"/>
    <n v="10"/>
    <n v="1962"/>
    <x v="6"/>
    <x v="8"/>
    <n v="19621210"/>
  </r>
  <r>
    <s v="98070529271"/>
    <s v="lubuskie"/>
    <s v="miasto"/>
    <n v="98"/>
    <x v="0"/>
    <n v="5"/>
    <n v="1998"/>
    <x v="0"/>
    <x v="25"/>
    <n v="19980705"/>
  </r>
  <r>
    <s v="93030531536"/>
    <s v="zachodniopomorskie"/>
    <s v="wieś"/>
    <n v="93"/>
    <x v="11"/>
    <n v="5"/>
    <n v="1993"/>
    <x v="11"/>
    <x v="25"/>
    <n v="19930305"/>
  </r>
  <r>
    <s v="89051997242"/>
    <s v="podkarpackie"/>
    <s v="miasto"/>
    <n v="89"/>
    <x v="4"/>
    <n v="19"/>
    <n v="1989"/>
    <x v="4"/>
    <x v="24"/>
    <n v="19890519"/>
  </r>
  <r>
    <s v="98031592126"/>
    <s v="śląskie"/>
    <s v="miasto"/>
    <n v="98"/>
    <x v="11"/>
    <n v="15"/>
    <n v="1998"/>
    <x v="11"/>
    <x v="20"/>
    <n v="19980315"/>
  </r>
  <r>
    <s v="96032495400"/>
    <s v="małopolskie"/>
    <s v="wieś"/>
    <n v="96"/>
    <x v="11"/>
    <n v="24"/>
    <n v="1996"/>
    <x v="11"/>
    <x v="11"/>
    <n v="19960324"/>
  </r>
  <r>
    <s v="76060407716"/>
    <s v="warmińsko-mazurskie"/>
    <s v="wieś"/>
    <n v="76"/>
    <x v="7"/>
    <n v="4"/>
    <n v="1976"/>
    <x v="7"/>
    <x v="23"/>
    <n v="19760604"/>
  </r>
  <r>
    <s v="86102363786"/>
    <s v="świętokrzyskie"/>
    <s v="miasto"/>
    <n v="86"/>
    <x v="1"/>
    <n v="23"/>
    <n v="1986"/>
    <x v="1"/>
    <x v="2"/>
    <n v="19861023"/>
  </r>
  <r>
    <s v="50011021644"/>
    <s v="łódzkie"/>
    <s v="miasto"/>
    <n v="50"/>
    <x v="8"/>
    <n v="10"/>
    <n v="1950"/>
    <x v="8"/>
    <x v="8"/>
    <n v="19500110"/>
  </r>
  <r>
    <s v="79020918057"/>
    <s v="śląskie"/>
    <s v="miasto"/>
    <n v="79"/>
    <x v="10"/>
    <n v="9"/>
    <n v="1979"/>
    <x v="10"/>
    <x v="12"/>
    <n v="19790209"/>
  </r>
  <r>
    <s v="78022471528"/>
    <s v="mazowieckie"/>
    <s v="miasto"/>
    <n v="78"/>
    <x v="10"/>
    <n v="24"/>
    <n v="1978"/>
    <x v="10"/>
    <x v="11"/>
    <n v="19780224"/>
  </r>
  <r>
    <s v="63121010668"/>
    <s v="podlaskie"/>
    <s v="wieś"/>
    <n v="63"/>
    <x v="6"/>
    <n v="10"/>
    <n v="1963"/>
    <x v="6"/>
    <x v="8"/>
    <n v="19631210"/>
  </r>
  <r>
    <s v="56080833942"/>
    <s v="łódzkie"/>
    <s v="wieś"/>
    <n v="56"/>
    <x v="3"/>
    <n v="8"/>
    <n v="1956"/>
    <x v="3"/>
    <x v="7"/>
    <n v="19560808"/>
  </r>
  <r>
    <s v="66101082660"/>
    <s v="opolskie"/>
    <s v="wieś"/>
    <n v="66"/>
    <x v="1"/>
    <n v="10"/>
    <n v="1966"/>
    <x v="1"/>
    <x v="8"/>
    <n v="19661010"/>
  </r>
  <r>
    <s v="65052373250"/>
    <s v="mazowieckie"/>
    <s v="miasto"/>
    <n v="65"/>
    <x v="4"/>
    <n v="23"/>
    <n v="1965"/>
    <x v="4"/>
    <x v="2"/>
    <n v="19650523"/>
  </r>
  <r>
    <s v="54061841533"/>
    <s v="małopolskie"/>
    <s v="miasto"/>
    <n v="54"/>
    <x v="7"/>
    <n v="18"/>
    <n v="1954"/>
    <x v="7"/>
    <x v="18"/>
    <n v="19540618"/>
  </r>
  <r>
    <s v="90042297346"/>
    <s v="lubuskie"/>
    <s v="miasto"/>
    <n v="90"/>
    <x v="2"/>
    <n v="22"/>
    <n v="1990"/>
    <x v="2"/>
    <x v="30"/>
    <n v="19900422"/>
  </r>
  <r>
    <s v="58012291873"/>
    <s v="świętokrzyskie"/>
    <s v="miasto"/>
    <n v="58"/>
    <x v="8"/>
    <n v="22"/>
    <n v="1958"/>
    <x v="8"/>
    <x v="30"/>
    <n v="19580122"/>
  </r>
  <r>
    <s v="88020290896"/>
    <s v="podkarpackie"/>
    <s v="wieś"/>
    <n v="88"/>
    <x v="10"/>
    <n v="2"/>
    <n v="1988"/>
    <x v="10"/>
    <x v="16"/>
    <n v="19880202"/>
  </r>
  <r>
    <s v="74072307837"/>
    <s v="łódzkie"/>
    <s v="miasto"/>
    <n v="74"/>
    <x v="0"/>
    <n v="23"/>
    <n v="1974"/>
    <x v="0"/>
    <x v="2"/>
    <n v="19740723"/>
  </r>
  <r>
    <s v="72122724900"/>
    <s v="łódzkie"/>
    <s v="miasto"/>
    <n v="72"/>
    <x v="6"/>
    <n v="27"/>
    <n v="1972"/>
    <x v="6"/>
    <x v="15"/>
    <n v="19721227"/>
  </r>
  <r>
    <s v="76081823199"/>
    <s v="wielkopolskie"/>
    <s v="miasto"/>
    <n v="76"/>
    <x v="3"/>
    <n v="18"/>
    <n v="1976"/>
    <x v="3"/>
    <x v="18"/>
    <n v="19760818"/>
  </r>
  <r>
    <s v="79042502241"/>
    <s v="lubelskie"/>
    <s v="miasto"/>
    <n v="79"/>
    <x v="2"/>
    <n v="25"/>
    <n v="1979"/>
    <x v="2"/>
    <x v="19"/>
    <n v="19790425"/>
  </r>
  <r>
    <s v="57071748146"/>
    <s v="świętokrzyskie"/>
    <s v="wieś"/>
    <n v="57"/>
    <x v="0"/>
    <n v="17"/>
    <n v="1957"/>
    <x v="0"/>
    <x v="9"/>
    <n v="19570717"/>
  </r>
  <r>
    <s v="69042830493"/>
    <s v="pomorskie"/>
    <s v="wieś"/>
    <n v="69"/>
    <x v="2"/>
    <n v="28"/>
    <n v="1969"/>
    <x v="2"/>
    <x v="4"/>
    <n v="19690428"/>
  </r>
  <r>
    <s v="51122805709"/>
    <s v="małopolskie"/>
    <s v="wieś"/>
    <n v="51"/>
    <x v="6"/>
    <n v="28"/>
    <n v="1951"/>
    <x v="6"/>
    <x v="4"/>
    <n v="19511228"/>
  </r>
  <r>
    <s v="60100601215"/>
    <s v="podlaskie"/>
    <s v="miasto"/>
    <n v="60"/>
    <x v="1"/>
    <n v="6"/>
    <n v="1960"/>
    <x v="1"/>
    <x v="17"/>
    <n v="19601006"/>
  </r>
  <r>
    <s v="71032673014"/>
    <s v="podkarpackie"/>
    <s v="miasto"/>
    <n v="71"/>
    <x v="11"/>
    <n v="26"/>
    <n v="1971"/>
    <x v="11"/>
    <x v="14"/>
    <n v="19710326"/>
  </r>
  <r>
    <s v="65020176692"/>
    <s v="lubuskie"/>
    <s v="wieś"/>
    <n v="65"/>
    <x v="10"/>
    <n v="1"/>
    <n v="1965"/>
    <x v="10"/>
    <x v="1"/>
    <n v="19650201"/>
  </r>
  <r>
    <s v="96030717845"/>
    <s v="śląskie"/>
    <s v="wieś"/>
    <n v="96"/>
    <x v="11"/>
    <n v="7"/>
    <n v="1996"/>
    <x v="11"/>
    <x v="5"/>
    <n v="19960307"/>
  </r>
  <r>
    <s v="58072435114"/>
    <s v="śląskie"/>
    <s v="miasto"/>
    <n v="58"/>
    <x v="0"/>
    <n v="24"/>
    <n v="1958"/>
    <x v="0"/>
    <x v="11"/>
    <n v="19580724"/>
  </r>
  <r>
    <s v="76121983603"/>
    <s v="łódzkie"/>
    <s v="miasto"/>
    <n v="76"/>
    <x v="6"/>
    <n v="19"/>
    <n v="1976"/>
    <x v="6"/>
    <x v="24"/>
    <n v="19761219"/>
  </r>
  <r>
    <s v="63102281616"/>
    <s v="opolskie"/>
    <s v="wieś"/>
    <n v="63"/>
    <x v="1"/>
    <n v="22"/>
    <n v="1963"/>
    <x v="1"/>
    <x v="30"/>
    <n v="19631022"/>
  </r>
  <r>
    <s v="60102044179"/>
    <s v="podkarpackie"/>
    <s v="miasto"/>
    <n v="60"/>
    <x v="1"/>
    <n v="20"/>
    <n v="1960"/>
    <x v="1"/>
    <x v="28"/>
    <n v="19601020"/>
  </r>
  <r>
    <s v="70120434153"/>
    <s v="kujawsko-pomorskie"/>
    <s v="wieś"/>
    <n v="70"/>
    <x v="6"/>
    <n v="4"/>
    <n v="1970"/>
    <x v="6"/>
    <x v="23"/>
    <n v="19701204"/>
  </r>
  <r>
    <s v="56031331390"/>
    <s v="lubuskie"/>
    <s v="wieś"/>
    <n v="56"/>
    <x v="11"/>
    <n v="13"/>
    <n v="1956"/>
    <x v="11"/>
    <x v="22"/>
    <n v="19560313"/>
  </r>
  <r>
    <s v="88031966519"/>
    <s v="lubuskie"/>
    <s v="miasto"/>
    <n v="88"/>
    <x v="11"/>
    <n v="19"/>
    <n v="1988"/>
    <x v="11"/>
    <x v="24"/>
    <n v="19880319"/>
  </r>
  <r>
    <s v="60100214787"/>
    <s v="wielkopolskie"/>
    <s v="wieś"/>
    <n v="60"/>
    <x v="1"/>
    <n v="2"/>
    <n v="1960"/>
    <x v="1"/>
    <x v="16"/>
    <n v="19601002"/>
  </r>
  <r>
    <s v="70080400450"/>
    <s v="wielkopolskie"/>
    <s v="miasto"/>
    <n v="70"/>
    <x v="3"/>
    <n v="4"/>
    <n v="1970"/>
    <x v="3"/>
    <x v="23"/>
    <n v="19700804"/>
  </r>
  <r>
    <s v="71111962853"/>
    <s v="dolnośląskie"/>
    <s v="wieś"/>
    <n v="71"/>
    <x v="9"/>
    <n v="19"/>
    <n v="1971"/>
    <x v="9"/>
    <x v="24"/>
    <n v="19711119"/>
  </r>
  <r>
    <s v="77041828005"/>
    <s v="wielkopolskie"/>
    <s v="wieś"/>
    <n v="77"/>
    <x v="2"/>
    <n v="18"/>
    <n v="1977"/>
    <x v="2"/>
    <x v="18"/>
    <n v="19770418"/>
  </r>
  <r>
    <s v="61082401051"/>
    <s v="wielkopolskie"/>
    <s v="miasto"/>
    <n v="61"/>
    <x v="3"/>
    <n v="24"/>
    <n v="1961"/>
    <x v="3"/>
    <x v="11"/>
    <n v="19610824"/>
  </r>
  <r>
    <s v="53080346768"/>
    <s v="mazowieckie"/>
    <s v="wieś"/>
    <n v="53"/>
    <x v="3"/>
    <n v="3"/>
    <n v="1953"/>
    <x v="3"/>
    <x v="29"/>
    <n v="19530803"/>
  </r>
  <r>
    <s v="81092123347"/>
    <s v="dolnośląskie"/>
    <s v="miasto"/>
    <n v="81"/>
    <x v="5"/>
    <n v="21"/>
    <n v="1981"/>
    <x v="5"/>
    <x v="27"/>
    <n v="19810921"/>
  </r>
  <r>
    <s v="83102006475"/>
    <s v="mazowieckie"/>
    <s v="wieś"/>
    <n v="83"/>
    <x v="1"/>
    <n v="20"/>
    <n v="1983"/>
    <x v="1"/>
    <x v="28"/>
    <n v="19831020"/>
  </r>
  <r>
    <s v="57080789431"/>
    <s v="lubelskie"/>
    <s v="miasto"/>
    <n v="57"/>
    <x v="3"/>
    <n v="7"/>
    <n v="1957"/>
    <x v="3"/>
    <x v="5"/>
    <n v="19570807"/>
  </r>
  <r>
    <s v="96092868033"/>
    <s v="opolskie"/>
    <s v="wieś"/>
    <n v="96"/>
    <x v="5"/>
    <n v="28"/>
    <n v="1996"/>
    <x v="5"/>
    <x v="4"/>
    <n v="19960928"/>
  </r>
  <r>
    <s v="71021611182"/>
    <s v="kujawsko-pomorskie"/>
    <s v="miasto"/>
    <n v="71"/>
    <x v="10"/>
    <n v="16"/>
    <n v="1971"/>
    <x v="10"/>
    <x v="13"/>
    <n v="19710216"/>
  </r>
  <r>
    <s v="56112420867"/>
    <s v="mazowieckie"/>
    <s v="miasto"/>
    <n v="56"/>
    <x v="9"/>
    <n v="24"/>
    <n v="1956"/>
    <x v="9"/>
    <x v="11"/>
    <n v="19561124"/>
  </r>
  <r>
    <s v="73033131926"/>
    <s v="świętokrzyskie"/>
    <s v="miasto"/>
    <n v="73"/>
    <x v="11"/>
    <n v="31"/>
    <n v="1973"/>
    <x v="11"/>
    <x v="3"/>
    <n v="19730331"/>
  </r>
  <r>
    <s v="59071140867"/>
    <s v="wielkopolskie"/>
    <s v="wieś"/>
    <n v="59"/>
    <x v="0"/>
    <n v="11"/>
    <n v="1959"/>
    <x v="0"/>
    <x v="10"/>
    <n v="19590711"/>
  </r>
  <r>
    <s v="53062600392"/>
    <s v="śląskie"/>
    <s v="miasto"/>
    <n v="53"/>
    <x v="7"/>
    <n v="26"/>
    <n v="1953"/>
    <x v="7"/>
    <x v="14"/>
    <n v="19530626"/>
  </r>
  <r>
    <s v="94091797482"/>
    <s v="pomorskie"/>
    <s v="miasto"/>
    <n v="94"/>
    <x v="5"/>
    <n v="17"/>
    <n v="1994"/>
    <x v="5"/>
    <x v="9"/>
    <n v="19940917"/>
  </r>
  <r>
    <s v="74041163095"/>
    <s v="kujawsko-pomorskie"/>
    <s v="miasto"/>
    <n v="74"/>
    <x v="2"/>
    <n v="11"/>
    <n v="1974"/>
    <x v="2"/>
    <x v="10"/>
    <n v="19740411"/>
  </r>
  <r>
    <s v="74110420436"/>
    <s v="kujawsko-pomorskie"/>
    <s v="wieś"/>
    <n v="74"/>
    <x v="9"/>
    <n v="4"/>
    <n v="1974"/>
    <x v="9"/>
    <x v="23"/>
    <n v="19741104"/>
  </r>
  <r>
    <s v="99072313297"/>
    <s v="opolskie"/>
    <s v="miasto"/>
    <n v="99"/>
    <x v="0"/>
    <n v="23"/>
    <n v="1999"/>
    <x v="0"/>
    <x v="2"/>
    <n v="19990723"/>
  </r>
  <r>
    <s v="52032165031"/>
    <s v="opolskie"/>
    <s v="wieś"/>
    <n v="52"/>
    <x v="11"/>
    <n v="21"/>
    <n v="1952"/>
    <x v="11"/>
    <x v="27"/>
    <n v="19520321"/>
  </r>
  <r>
    <s v="89101149319"/>
    <s v="zachodniopomorskie"/>
    <s v="miasto"/>
    <n v="89"/>
    <x v="1"/>
    <n v="11"/>
    <n v="1989"/>
    <x v="1"/>
    <x v="10"/>
    <n v="19891011"/>
  </r>
  <r>
    <s v="79083070972"/>
    <s v="podlaskie"/>
    <s v="miasto"/>
    <n v="79"/>
    <x v="3"/>
    <n v="30"/>
    <n v="1979"/>
    <x v="3"/>
    <x v="26"/>
    <n v="19790830"/>
  </r>
  <r>
    <s v="93021544752"/>
    <s v="pomorskie"/>
    <s v="wieś"/>
    <n v="93"/>
    <x v="10"/>
    <n v="15"/>
    <n v="1993"/>
    <x v="10"/>
    <x v="20"/>
    <n v="19930215"/>
  </r>
  <r>
    <s v="92112431197"/>
    <s v="opolskie"/>
    <s v="wieś"/>
    <n v="92"/>
    <x v="9"/>
    <n v="24"/>
    <n v="1992"/>
    <x v="9"/>
    <x v="11"/>
    <n v="19921124"/>
  </r>
  <r>
    <s v="51121146926"/>
    <s v="dolnośląskie"/>
    <s v="miasto"/>
    <n v="51"/>
    <x v="6"/>
    <n v="11"/>
    <n v="1951"/>
    <x v="6"/>
    <x v="10"/>
    <n v="19511211"/>
  </r>
  <r>
    <s v="85111499028"/>
    <s v="podkarpackie"/>
    <s v="miasto"/>
    <n v="85"/>
    <x v="9"/>
    <n v="14"/>
    <n v="1985"/>
    <x v="9"/>
    <x v="6"/>
    <n v="19851114"/>
  </r>
  <r>
    <s v="98012042048"/>
    <s v="dolnośląskie"/>
    <s v="wieś"/>
    <n v="98"/>
    <x v="8"/>
    <n v="20"/>
    <n v="1998"/>
    <x v="8"/>
    <x v="28"/>
    <n v="19980120"/>
  </r>
  <r>
    <s v="72071093829"/>
    <s v="podkarpackie"/>
    <s v="wieś"/>
    <n v="72"/>
    <x v="0"/>
    <n v="10"/>
    <n v="1972"/>
    <x v="0"/>
    <x v="8"/>
    <n v="19720710"/>
  </r>
  <r>
    <s v="69040958571"/>
    <s v="lubelskie"/>
    <s v="wieś"/>
    <n v="69"/>
    <x v="2"/>
    <n v="9"/>
    <n v="1969"/>
    <x v="2"/>
    <x v="12"/>
    <n v="19690409"/>
  </r>
  <r>
    <s v="69090471617"/>
    <s v="pomorskie"/>
    <s v="wieś"/>
    <n v="69"/>
    <x v="5"/>
    <n v="4"/>
    <n v="1969"/>
    <x v="5"/>
    <x v="23"/>
    <n v="19690904"/>
  </r>
  <r>
    <s v="50062151338"/>
    <s v="łódzkie"/>
    <s v="wieś"/>
    <n v="50"/>
    <x v="7"/>
    <n v="21"/>
    <n v="1950"/>
    <x v="7"/>
    <x v="27"/>
    <n v="19500621"/>
  </r>
  <r>
    <s v="96123037605"/>
    <s v="podlaskie"/>
    <s v="miasto"/>
    <n v="96"/>
    <x v="6"/>
    <n v="30"/>
    <n v="1996"/>
    <x v="6"/>
    <x v="26"/>
    <n v="19961230"/>
  </r>
  <r>
    <s v="50040731114"/>
    <s v="śląskie"/>
    <s v="wieś"/>
    <n v="50"/>
    <x v="2"/>
    <n v="7"/>
    <n v="1950"/>
    <x v="2"/>
    <x v="5"/>
    <n v="19500407"/>
  </r>
  <r>
    <s v="86063067804"/>
    <s v="łódzkie"/>
    <s v="wieś"/>
    <n v="86"/>
    <x v="7"/>
    <n v="30"/>
    <n v="1986"/>
    <x v="7"/>
    <x v="26"/>
    <n v="19860630"/>
  </r>
  <r>
    <s v="64070523768"/>
    <s v="opolskie"/>
    <s v="wieś"/>
    <n v="64"/>
    <x v="0"/>
    <n v="5"/>
    <n v="1964"/>
    <x v="0"/>
    <x v="25"/>
    <n v="19640705"/>
  </r>
  <r>
    <s v="61111487140"/>
    <s v="warmińsko-mazurskie"/>
    <s v="wieś"/>
    <n v="61"/>
    <x v="9"/>
    <n v="14"/>
    <n v="1961"/>
    <x v="9"/>
    <x v="6"/>
    <n v="19611114"/>
  </r>
  <r>
    <s v="55081402366"/>
    <s v="pomorskie"/>
    <s v="miasto"/>
    <n v="55"/>
    <x v="3"/>
    <n v="14"/>
    <n v="1955"/>
    <x v="3"/>
    <x v="6"/>
    <n v="19550814"/>
  </r>
  <r>
    <s v="68101484688"/>
    <s v="pomorskie"/>
    <s v="miasto"/>
    <n v="68"/>
    <x v="1"/>
    <n v="14"/>
    <n v="1968"/>
    <x v="1"/>
    <x v="6"/>
    <n v="19681014"/>
  </r>
  <r>
    <s v="96072101624"/>
    <s v="opolskie"/>
    <s v="miasto"/>
    <n v="96"/>
    <x v="0"/>
    <n v="21"/>
    <n v="1996"/>
    <x v="0"/>
    <x v="27"/>
    <n v="19960721"/>
  </r>
  <r>
    <s v="53111372836"/>
    <s v="lubuskie"/>
    <s v="miasto"/>
    <n v="53"/>
    <x v="9"/>
    <n v="13"/>
    <n v="1953"/>
    <x v="9"/>
    <x v="22"/>
    <n v="19531113"/>
  </r>
  <r>
    <s v="66050423060"/>
    <s v="pomorskie"/>
    <s v="miasto"/>
    <n v="66"/>
    <x v="4"/>
    <n v="4"/>
    <n v="1966"/>
    <x v="4"/>
    <x v="23"/>
    <n v="19660504"/>
  </r>
  <r>
    <s v="50112572104"/>
    <s v="lubuskie"/>
    <s v="miasto"/>
    <n v="50"/>
    <x v="9"/>
    <n v="25"/>
    <n v="1950"/>
    <x v="9"/>
    <x v="19"/>
    <n v="19501125"/>
  </r>
  <r>
    <s v="66041509607"/>
    <s v="opolskie"/>
    <s v="wieś"/>
    <n v="66"/>
    <x v="2"/>
    <n v="15"/>
    <n v="1966"/>
    <x v="2"/>
    <x v="20"/>
    <n v="19660415"/>
  </r>
  <r>
    <s v="54111160315"/>
    <s v="małopolskie"/>
    <s v="wieś"/>
    <n v="54"/>
    <x v="9"/>
    <n v="11"/>
    <n v="1954"/>
    <x v="9"/>
    <x v="10"/>
    <n v="19541111"/>
  </r>
  <r>
    <s v="56040228672"/>
    <s v="podlaskie"/>
    <s v="miasto"/>
    <n v="56"/>
    <x v="2"/>
    <n v="2"/>
    <n v="1956"/>
    <x v="2"/>
    <x v="16"/>
    <n v="19560402"/>
  </r>
  <r>
    <s v="78111431918"/>
    <s v="śląskie"/>
    <s v="wieś"/>
    <n v="78"/>
    <x v="9"/>
    <n v="14"/>
    <n v="1978"/>
    <x v="9"/>
    <x v="6"/>
    <n v="19781114"/>
  </r>
  <r>
    <s v="73070626456"/>
    <s v="świętokrzyskie"/>
    <s v="miasto"/>
    <n v="73"/>
    <x v="0"/>
    <n v="6"/>
    <n v="1973"/>
    <x v="0"/>
    <x v="17"/>
    <n v="19730706"/>
  </r>
  <r>
    <s v="61042433348"/>
    <s v="podlaskie"/>
    <s v="miasto"/>
    <n v="61"/>
    <x v="2"/>
    <n v="24"/>
    <n v="1961"/>
    <x v="2"/>
    <x v="11"/>
    <n v="19610424"/>
  </r>
  <r>
    <s v="81050869595"/>
    <s v="łódzkie"/>
    <s v="wieś"/>
    <n v="81"/>
    <x v="4"/>
    <n v="8"/>
    <n v="1981"/>
    <x v="4"/>
    <x v="7"/>
    <n v="19810508"/>
  </r>
  <r>
    <s v="58091890613"/>
    <s v="małopolskie"/>
    <s v="wieś"/>
    <n v="58"/>
    <x v="5"/>
    <n v="18"/>
    <n v="1958"/>
    <x v="5"/>
    <x v="18"/>
    <n v="19580918"/>
  </r>
  <r>
    <s v="66082232755"/>
    <s v="pomorskie"/>
    <s v="miasto"/>
    <n v="66"/>
    <x v="3"/>
    <n v="22"/>
    <n v="1966"/>
    <x v="3"/>
    <x v="30"/>
    <n v="19660822"/>
  </r>
  <r>
    <s v="69020508231"/>
    <s v="opolskie"/>
    <s v="miasto"/>
    <n v="69"/>
    <x v="10"/>
    <n v="5"/>
    <n v="1969"/>
    <x v="10"/>
    <x v="25"/>
    <n v="19690205"/>
  </r>
  <r>
    <s v="57111407330"/>
    <s v="lubelskie"/>
    <s v="wieś"/>
    <n v="57"/>
    <x v="9"/>
    <n v="14"/>
    <n v="1957"/>
    <x v="9"/>
    <x v="6"/>
    <n v="19571114"/>
  </r>
  <r>
    <s v="52110758050"/>
    <s v="warmińsko-mazurskie"/>
    <s v="wieś"/>
    <n v="52"/>
    <x v="9"/>
    <n v="7"/>
    <n v="1952"/>
    <x v="9"/>
    <x v="5"/>
    <n v="19521107"/>
  </r>
  <r>
    <s v="93011246172"/>
    <s v="łódzkie"/>
    <s v="wieś"/>
    <n v="93"/>
    <x v="8"/>
    <n v="12"/>
    <n v="1993"/>
    <x v="8"/>
    <x v="0"/>
    <n v="19930112"/>
  </r>
  <r>
    <s v="96121936753"/>
    <s v="warmińsko-mazurskie"/>
    <s v="miasto"/>
    <n v="96"/>
    <x v="6"/>
    <n v="19"/>
    <n v="1996"/>
    <x v="6"/>
    <x v="24"/>
    <n v="19961219"/>
  </r>
  <r>
    <s v="79061604939"/>
    <s v="opolskie"/>
    <s v="miasto"/>
    <n v="79"/>
    <x v="7"/>
    <n v="16"/>
    <n v="1979"/>
    <x v="7"/>
    <x v="13"/>
    <n v="19790616"/>
  </r>
  <r>
    <s v="90082985672"/>
    <s v="pomorskie"/>
    <s v="wieś"/>
    <n v="90"/>
    <x v="3"/>
    <n v="29"/>
    <n v="1990"/>
    <x v="3"/>
    <x v="21"/>
    <n v="19900829"/>
  </r>
  <r>
    <s v="86010806854"/>
    <s v="łódzkie"/>
    <s v="wieś"/>
    <n v="86"/>
    <x v="8"/>
    <n v="8"/>
    <n v="1986"/>
    <x v="8"/>
    <x v="7"/>
    <n v="19860108"/>
  </r>
  <r>
    <s v="60051494601"/>
    <s v="mazowieckie"/>
    <s v="wieś"/>
    <n v="60"/>
    <x v="4"/>
    <n v="14"/>
    <n v="1960"/>
    <x v="4"/>
    <x v="6"/>
    <n v="19600514"/>
  </r>
  <r>
    <s v="78012615541"/>
    <s v="mazowieckie"/>
    <s v="miasto"/>
    <n v="78"/>
    <x v="8"/>
    <n v="26"/>
    <n v="1978"/>
    <x v="8"/>
    <x v="14"/>
    <n v="19780126"/>
  </r>
  <r>
    <s v="85120295381"/>
    <s v="dolnośląskie"/>
    <s v="miasto"/>
    <n v="85"/>
    <x v="6"/>
    <n v="2"/>
    <n v="1985"/>
    <x v="6"/>
    <x v="16"/>
    <n v="19851202"/>
  </r>
  <r>
    <s v="52042558504"/>
    <s v="łódzkie"/>
    <s v="wieś"/>
    <n v="52"/>
    <x v="2"/>
    <n v="25"/>
    <n v="1952"/>
    <x v="2"/>
    <x v="19"/>
    <n v="19520425"/>
  </r>
  <r>
    <s v="60091893541"/>
    <s v="lubelskie"/>
    <s v="wieś"/>
    <n v="60"/>
    <x v="5"/>
    <n v="18"/>
    <n v="1960"/>
    <x v="5"/>
    <x v="18"/>
    <n v="19600918"/>
  </r>
  <r>
    <s v="80021593459"/>
    <s v="lubelskie"/>
    <s v="wieś"/>
    <n v="80"/>
    <x v="10"/>
    <n v="15"/>
    <n v="1980"/>
    <x v="10"/>
    <x v="20"/>
    <n v="19800215"/>
  </r>
  <r>
    <s v="62011939184"/>
    <s v="lubelskie"/>
    <s v="miasto"/>
    <n v="62"/>
    <x v="8"/>
    <n v="19"/>
    <n v="1962"/>
    <x v="8"/>
    <x v="24"/>
    <n v="19620119"/>
  </r>
  <r>
    <s v="78092814382"/>
    <s v="łódzkie"/>
    <s v="wieś"/>
    <n v="78"/>
    <x v="5"/>
    <n v="28"/>
    <n v="1978"/>
    <x v="5"/>
    <x v="4"/>
    <n v="19780928"/>
  </r>
  <r>
    <s v="69060539204"/>
    <s v="zachodniopomorskie"/>
    <s v="wieś"/>
    <n v="69"/>
    <x v="7"/>
    <n v="5"/>
    <n v="1969"/>
    <x v="7"/>
    <x v="25"/>
    <n v="19690605"/>
  </r>
  <r>
    <s v="54012029489"/>
    <s v="mazowieckie"/>
    <s v="wieś"/>
    <n v="54"/>
    <x v="8"/>
    <n v="20"/>
    <n v="1954"/>
    <x v="8"/>
    <x v="28"/>
    <n v="19540120"/>
  </r>
  <r>
    <s v="71120775567"/>
    <s v="śląskie"/>
    <s v="miasto"/>
    <n v="71"/>
    <x v="6"/>
    <n v="7"/>
    <n v="1971"/>
    <x v="6"/>
    <x v="5"/>
    <n v="19711207"/>
  </r>
  <r>
    <s v="97082550396"/>
    <s v="mazowieckie"/>
    <s v="wieś"/>
    <n v="97"/>
    <x v="3"/>
    <n v="25"/>
    <n v="1997"/>
    <x v="3"/>
    <x v="19"/>
    <n v="19970825"/>
  </r>
  <r>
    <s v="83092045281"/>
    <s v="wielkopolskie"/>
    <s v="wieś"/>
    <n v="83"/>
    <x v="5"/>
    <n v="20"/>
    <n v="1983"/>
    <x v="5"/>
    <x v="28"/>
    <n v="19830920"/>
  </r>
  <r>
    <s v="63011212011"/>
    <s v="łódzkie"/>
    <s v="miasto"/>
    <n v="63"/>
    <x v="8"/>
    <n v="12"/>
    <n v="1963"/>
    <x v="8"/>
    <x v="0"/>
    <n v="19630112"/>
  </r>
  <r>
    <s v="55040378486"/>
    <s v="opolskie"/>
    <s v="wieś"/>
    <n v="55"/>
    <x v="2"/>
    <n v="3"/>
    <n v="1955"/>
    <x v="2"/>
    <x v="29"/>
    <n v="19550403"/>
  </r>
  <r>
    <s v="93042345873"/>
    <s v="śląskie"/>
    <s v="miasto"/>
    <n v="93"/>
    <x v="2"/>
    <n v="23"/>
    <n v="1993"/>
    <x v="2"/>
    <x v="2"/>
    <n v="19930423"/>
  </r>
  <r>
    <s v="54050436032"/>
    <s v="świętokrzyskie"/>
    <s v="wieś"/>
    <n v="54"/>
    <x v="4"/>
    <n v="4"/>
    <n v="1954"/>
    <x v="4"/>
    <x v="23"/>
    <n v="19540504"/>
  </r>
  <r>
    <s v="87110483314"/>
    <s v="dolnośląskie"/>
    <s v="miasto"/>
    <n v="87"/>
    <x v="9"/>
    <n v="4"/>
    <n v="1987"/>
    <x v="9"/>
    <x v="23"/>
    <n v="19871104"/>
  </r>
  <r>
    <s v="75062741479"/>
    <s v="kujawsko-pomorskie"/>
    <s v="wieś"/>
    <n v="75"/>
    <x v="7"/>
    <n v="27"/>
    <n v="1975"/>
    <x v="7"/>
    <x v="15"/>
    <n v="19750627"/>
  </r>
  <r>
    <s v="87081751737"/>
    <s v="łódzkie"/>
    <s v="wieś"/>
    <n v="87"/>
    <x v="3"/>
    <n v="17"/>
    <n v="1987"/>
    <x v="3"/>
    <x v="9"/>
    <n v="19870817"/>
  </r>
  <r>
    <s v="65030177359"/>
    <s v="łódzkie"/>
    <s v="wieś"/>
    <n v="65"/>
    <x v="11"/>
    <n v="1"/>
    <n v="1965"/>
    <x v="11"/>
    <x v="1"/>
    <n v="19650301"/>
  </r>
  <r>
    <s v="98101496192"/>
    <s v="warmińsko-mazurskie"/>
    <s v="miasto"/>
    <n v="98"/>
    <x v="1"/>
    <n v="14"/>
    <n v="1998"/>
    <x v="1"/>
    <x v="6"/>
    <n v="19981014"/>
  </r>
  <r>
    <s v="81071437597"/>
    <s v="wielkopolskie"/>
    <s v="wieś"/>
    <n v="81"/>
    <x v="0"/>
    <n v="14"/>
    <n v="1981"/>
    <x v="0"/>
    <x v="6"/>
    <n v="19810714"/>
  </r>
  <r>
    <s v="82042883285"/>
    <s v="łódzkie"/>
    <s v="wieś"/>
    <n v="82"/>
    <x v="2"/>
    <n v="28"/>
    <n v="1982"/>
    <x v="2"/>
    <x v="4"/>
    <n v="19820428"/>
  </r>
  <r>
    <s v="76100518516"/>
    <s v="wielkopolskie"/>
    <s v="wieś"/>
    <n v="76"/>
    <x v="1"/>
    <n v="5"/>
    <n v="1976"/>
    <x v="1"/>
    <x v="25"/>
    <n v="19761005"/>
  </r>
  <r>
    <s v="76021655411"/>
    <s v="warmińsko-mazurskie"/>
    <s v="miasto"/>
    <n v="76"/>
    <x v="10"/>
    <n v="16"/>
    <n v="1976"/>
    <x v="10"/>
    <x v="13"/>
    <n v="19760216"/>
  </r>
  <r>
    <s v="99083108912"/>
    <s v="podkarpackie"/>
    <s v="miasto"/>
    <n v="99"/>
    <x v="3"/>
    <n v="31"/>
    <n v="1999"/>
    <x v="3"/>
    <x v="3"/>
    <n v="19990831"/>
  </r>
  <r>
    <s v="53041446074"/>
    <s v="pomorskie"/>
    <s v="miasto"/>
    <n v="53"/>
    <x v="2"/>
    <n v="14"/>
    <n v="1953"/>
    <x v="2"/>
    <x v="6"/>
    <n v="19530414"/>
  </r>
  <r>
    <s v="82040651244"/>
    <s v="łódzkie"/>
    <s v="wieś"/>
    <n v="82"/>
    <x v="2"/>
    <n v="6"/>
    <n v="1982"/>
    <x v="2"/>
    <x v="17"/>
    <n v="19820406"/>
  </r>
  <r>
    <s v="98062819672"/>
    <s v="wielkopolskie"/>
    <s v="wieś"/>
    <n v="98"/>
    <x v="7"/>
    <n v="28"/>
    <n v="1998"/>
    <x v="7"/>
    <x v="4"/>
    <n v="19980628"/>
  </r>
  <r>
    <s v="71082464877"/>
    <s v="warmińsko-mazurskie"/>
    <s v="wieś"/>
    <n v="71"/>
    <x v="3"/>
    <n v="24"/>
    <n v="1971"/>
    <x v="3"/>
    <x v="11"/>
    <n v="19710824"/>
  </r>
  <r>
    <s v="98121450028"/>
    <s v="warmińsko-mazurskie"/>
    <s v="wieś"/>
    <n v="98"/>
    <x v="6"/>
    <n v="14"/>
    <n v="1998"/>
    <x v="6"/>
    <x v="6"/>
    <n v="19981214"/>
  </r>
  <r>
    <s v="68111216570"/>
    <s v="lubelskie"/>
    <s v="wieś"/>
    <n v="68"/>
    <x v="9"/>
    <n v="12"/>
    <n v="1968"/>
    <x v="9"/>
    <x v="0"/>
    <n v="19681112"/>
  </r>
  <r>
    <s v="96112579475"/>
    <s v="małopolskie"/>
    <s v="miasto"/>
    <n v="96"/>
    <x v="9"/>
    <n v="25"/>
    <n v="1996"/>
    <x v="9"/>
    <x v="19"/>
    <n v="19961125"/>
  </r>
  <r>
    <s v="62062966269"/>
    <s v="świętokrzyskie"/>
    <s v="wieś"/>
    <n v="62"/>
    <x v="7"/>
    <n v="29"/>
    <n v="1962"/>
    <x v="7"/>
    <x v="21"/>
    <n v="19620629"/>
  </r>
  <r>
    <s v="98012031044"/>
    <s v="warmińsko-mazurskie"/>
    <s v="wieś"/>
    <n v="98"/>
    <x v="8"/>
    <n v="20"/>
    <n v="1998"/>
    <x v="8"/>
    <x v="28"/>
    <n v="19980120"/>
  </r>
  <r>
    <s v="81061664770"/>
    <s v="świętokrzyskie"/>
    <s v="miasto"/>
    <n v="81"/>
    <x v="7"/>
    <n v="16"/>
    <n v="1981"/>
    <x v="7"/>
    <x v="13"/>
    <n v="19810616"/>
  </r>
  <r>
    <s v="71092819494"/>
    <s v="podlaskie"/>
    <s v="miasto"/>
    <n v="71"/>
    <x v="5"/>
    <n v="28"/>
    <n v="1971"/>
    <x v="5"/>
    <x v="4"/>
    <n v="19710928"/>
  </r>
  <r>
    <s v="86121687339"/>
    <s v="warmińsko-mazurskie"/>
    <s v="miasto"/>
    <n v="86"/>
    <x v="6"/>
    <n v="16"/>
    <n v="1986"/>
    <x v="6"/>
    <x v="13"/>
    <n v="19861216"/>
  </r>
  <r>
    <s v="77111555550"/>
    <s v="kujawsko-pomorskie"/>
    <s v="wieś"/>
    <n v="77"/>
    <x v="9"/>
    <n v="15"/>
    <n v="1977"/>
    <x v="9"/>
    <x v="20"/>
    <n v="19771115"/>
  </r>
  <r>
    <s v="60020736888"/>
    <s v="świętokrzyskie"/>
    <s v="wieś"/>
    <n v="60"/>
    <x v="10"/>
    <n v="7"/>
    <n v="1960"/>
    <x v="10"/>
    <x v="5"/>
    <n v="19600207"/>
  </r>
  <r>
    <s v="75020499295"/>
    <s v="warmińsko-mazurskie"/>
    <s v="wieś"/>
    <n v="75"/>
    <x v="10"/>
    <n v="4"/>
    <n v="1975"/>
    <x v="10"/>
    <x v="23"/>
    <n v="19750204"/>
  </r>
  <r>
    <s v="78022120507"/>
    <s v="kujawsko-pomorskie"/>
    <s v="miasto"/>
    <n v="78"/>
    <x v="10"/>
    <n v="21"/>
    <n v="1978"/>
    <x v="10"/>
    <x v="27"/>
    <n v="19780221"/>
  </r>
  <r>
    <s v="58021758370"/>
    <s v="wielkopolskie"/>
    <s v="wieś"/>
    <n v="58"/>
    <x v="10"/>
    <n v="17"/>
    <n v="1958"/>
    <x v="10"/>
    <x v="9"/>
    <n v="19580217"/>
  </r>
  <r>
    <s v="76082740538"/>
    <s v="mazowieckie"/>
    <s v="wieś"/>
    <n v="76"/>
    <x v="3"/>
    <n v="27"/>
    <n v="1976"/>
    <x v="3"/>
    <x v="15"/>
    <n v="19760827"/>
  </r>
  <r>
    <s v="98060701454"/>
    <s v="świętokrzyskie"/>
    <s v="wieś"/>
    <n v="98"/>
    <x v="7"/>
    <n v="7"/>
    <n v="1998"/>
    <x v="7"/>
    <x v="5"/>
    <n v="19980607"/>
  </r>
  <r>
    <s v="50111946757"/>
    <s v="pomorskie"/>
    <s v="miasto"/>
    <n v="50"/>
    <x v="9"/>
    <n v="19"/>
    <n v="1950"/>
    <x v="9"/>
    <x v="24"/>
    <n v="19501119"/>
  </r>
  <r>
    <s v="64011943574"/>
    <s v="pomorskie"/>
    <s v="miasto"/>
    <n v="64"/>
    <x v="8"/>
    <n v="19"/>
    <n v="1964"/>
    <x v="8"/>
    <x v="24"/>
    <n v="19640119"/>
  </r>
  <r>
    <s v="64111978557"/>
    <s v="lubelskie"/>
    <s v="miasto"/>
    <n v="64"/>
    <x v="9"/>
    <n v="19"/>
    <n v="1964"/>
    <x v="9"/>
    <x v="24"/>
    <n v="19641119"/>
  </r>
  <r>
    <s v="67090828323"/>
    <s v="podlaskie"/>
    <s v="miasto"/>
    <n v="67"/>
    <x v="5"/>
    <n v="8"/>
    <n v="1967"/>
    <x v="5"/>
    <x v="7"/>
    <n v="19670908"/>
  </r>
  <r>
    <s v="55011731764"/>
    <s v="zachodniopomorskie"/>
    <s v="miasto"/>
    <n v="55"/>
    <x v="8"/>
    <n v="17"/>
    <n v="1955"/>
    <x v="8"/>
    <x v="9"/>
    <n v="19550117"/>
  </r>
  <r>
    <s v="76090406305"/>
    <s v="wielkopolskie"/>
    <s v="wieś"/>
    <n v="76"/>
    <x v="5"/>
    <n v="4"/>
    <n v="1976"/>
    <x v="5"/>
    <x v="23"/>
    <n v="19760904"/>
  </r>
  <r>
    <s v="80020819576"/>
    <s v="łódzkie"/>
    <s v="miasto"/>
    <n v="80"/>
    <x v="10"/>
    <n v="8"/>
    <n v="1980"/>
    <x v="10"/>
    <x v="7"/>
    <n v="19800208"/>
  </r>
  <r>
    <s v="73020122872"/>
    <s v="opolskie"/>
    <s v="miasto"/>
    <n v="73"/>
    <x v="10"/>
    <n v="1"/>
    <n v="1973"/>
    <x v="10"/>
    <x v="1"/>
    <n v="19730201"/>
  </r>
  <r>
    <s v="67030428862"/>
    <s v="dolnośląskie"/>
    <s v="wieś"/>
    <n v="67"/>
    <x v="11"/>
    <n v="4"/>
    <n v="1967"/>
    <x v="11"/>
    <x v="23"/>
    <n v="19670304"/>
  </r>
  <r>
    <s v="93021206362"/>
    <s v="lubuskie"/>
    <s v="wieś"/>
    <n v="93"/>
    <x v="10"/>
    <n v="12"/>
    <n v="1993"/>
    <x v="10"/>
    <x v="0"/>
    <n v="19930212"/>
  </r>
  <r>
    <s v="89050505963"/>
    <s v="pomorskie"/>
    <s v="wieś"/>
    <n v="89"/>
    <x v="4"/>
    <n v="5"/>
    <n v="1989"/>
    <x v="4"/>
    <x v="25"/>
    <n v="19890505"/>
  </r>
  <r>
    <s v="73101493325"/>
    <s v="wielkopolskie"/>
    <s v="wieś"/>
    <n v="73"/>
    <x v="1"/>
    <n v="14"/>
    <n v="1973"/>
    <x v="1"/>
    <x v="6"/>
    <n v="19731014"/>
  </r>
  <r>
    <s v="85071473760"/>
    <s v="zachodniopomorskie"/>
    <s v="miasto"/>
    <n v="85"/>
    <x v="0"/>
    <n v="14"/>
    <n v="1985"/>
    <x v="0"/>
    <x v="6"/>
    <n v="19850714"/>
  </r>
  <r>
    <s v="65071424836"/>
    <s v="pomorskie"/>
    <s v="miasto"/>
    <n v="65"/>
    <x v="0"/>
    <n v="14"/>
    <n v="1965"/>
    <x v="0"/>
    <x v="6"/>
    <n v="19650714"/>
  </r>
  <r>
    <s v="61021342298"/>
    <s v="dolnośląskie"/>
    <s v="wieś"/>
    <n v="61"/>
    <x v="10"/>
    <n v="13"/>
    <n v="1961"/>
    <x v="10"/>
    <x v="22"/>
    <n v="19610213"/>
  </r>
  <r>
    <s v="84121422192"/>
    <s v="lubelskie"/>
    <s v="wieś"/>
    <n v="84"/>
    <x v="6"/>
    <n v="14"/>
    <n v="1984"/>
    <x v="6"/>
    <x v="6"/>
    <n v="19841214"/>
  </r>
  <r>
    <s v="74092255071"/>
    <s v="podlaskie"/>
    <s v="wieś"/>
    <n v="74"/>
    <x v="5"/>
    <n v="22"/>
    <n v="1974"/>
    <x v="5"/>
    <x v="30"/>
    <n v="19740922"/>
  </r>
  <r>
    <s v="53052765728"/>
    <s v="opolskie"/>
    <s v="wieś"/>
    <n v="53"/>
    <x v="4"/>
    <n v="27"/>
    <n v="1953"/>
    <x v="4"/>
    <x v="15"/>
    <n v="19530527"/>
  </r>
  <r>
    <s v="97042931845"/>
    <s v="małopolskie"/>
    <s v="miasto"/>
    <n v="97"/>
    <x v="2"/>
    <n v="29"/>
    <n v="1997"/>
    <x v="2"/>
    <x v="21"/>
    <n v="19970429"/>
  </r>
  <r>
    <s v="78062520080"/>
    <s v="świętokrzyskie"/>
    <s v="wieś"/>
    <n v="78"/>
    <x v="7"/>
    <n v="25"/>
    <n v="1978"/>
    <x v="7"/>
    <x v="19"/>
    <n v="19780625"/>
  </r>
  <r>
    <s v="65111959825"/>
    <s v="śląskie"/>
    <s v="wieś"/>
    <n v="65"/>
    <x v="9"/>
    <n v="19"/>
    <n v="1965"/>
    <x v="9"/>
    <x v="24"/>
    <n v="19651119"/>
  </r>
  <r>
    <s v="50011440807"/>
    <s v="zachodniopomorskie"/>
    <s v="wieś"/>
    <n v="50"/>
    <x v="8"/>
    <n v="14"/>
    <n v="1950"/>
    <x v="8"/>
    <x v="6"/>
    <n v="19500114"/>
  </r>
  <r>
    <s v="83111092722"/>
    <s v="śląskie"/>
    <s v="miasto"/>
    <n v="83"/>
    <x v="9"/>
    <n v="10"/>
    <n v="1983"/>
    <x v="9"/>
    <x v="8"/>
    <n v="19831110"/>
  </r>
  <r>
    <s v="75122143973"/>
    <s v="opolskie"/>
    <s v="miasto"/>
    <n v="75"/>
    <x v="6"/>
    <n v="21"/>
    <n v="1975"/>
    <x v="6"/>
    <x v="27"/>
    <n v="19751221"/>
  </r>
  <r>
    <s v="65100549251"/>
    <s v="pomorskie"/>
    <s v="wieś"/>
    <n v="65"/>
    <x v="1"/>
    <n v="5"/>
    <n v="1965"/>
    <x v="1"/>
    <x v="25"/>
    <n v="19651005"/>
  </r>
  <r>
    <s v="70021990226"/>
    <s v="małopolskie"/>
    <s v="miasto"/>
    <n v="70"/>
    <x v="10"/>
    <n v="19"/>
    <n v="1970"/>
    <x v="10"/>
    <x v="24"/>
    <n v="19700219"/>
  </r>
  <r>
    <s v="79053025344"/>
    <s v="podkarpackie"/>
    <s v="wieś"/>
    <n v="79"/>
    <x v="4"/>
    <n v="30"/>
    <n v="1979"/>
    <x v="4"/>
    <x v="26"/>
    <n v="19790530"/>
  </r>
  <r>
    <s v="98100739519"/>
    <s v="dolnośląskie"/>
    <s v="wieś"/>
    <n v="98"/>
    <x v="1"/>
    <n v="7"/>
    <n v="1998"/>
    <x v="1"/>
    <x v="5"/>
    <n v="19981007"/>
  </r>
  <r>
    <s v="61040445673"/>
    <s v="podlaskie"/>
    <s v="wieś"/>
    <n v="61"/>
    <x v="2"/>
    <n v="4"/>
    <n v="1961"/>
    <x v="2"/>
    <x v="23"/>
    <n v="19610404"/>
  </r>
  <r>
    <s v="54120956644"/>
    <s v="mazowieckie"/>
    <s v="wieś"/>
    <n v="54"/>
    <x v="6"/>
    <n v="9"/>
    <n v="1954"/>
    <x v="6"/>
    <x v="12"/>
    <n v="19541209"/>
  </r>
  <r>
    <s v="87011726224"/>
    <s v="mazowieckie"/>
    <s v="miasto"/>
    <n v="87"/>
    <x v="8"/>
    <n v="17"/>
    <n v="1987"/>
    <x v="8"/>
    <x v="9"/>
    <n v="19870117"/>
  </r>
  <r>
    <s v="89122110541"/>
    <s v="świętokrzyskie"/>
    <s v="wieś"/>
    <n v="89"/>
    <x v="6"/>
    <n v="21"/>
    <n v="1989"/>
    <x v="6"/>
    <x v="27"/>
    <n v="19891221"/>
  </r>
  <r>
    <s v="63102562292"/>
    <s v="podkarpackie"/>
    <s v="wieś"/>
    <n v="63"/>
    <x v="1"/>
    <n v="25"/>
    <n v="1963"/>
    <x v="1"/>
    <x v="19"/>
    <n v="19631025"/>
  </r>
  <r>
    <s v="91101758446"/>
    <s v="dolnośląskie"/>
    <s v="miasto"/>
    <n v="91"/>
    <x v="1"/>
    <n v="17"/>
    <n v="1991"/>
    <x v="1"/>
    <x v="9"/>
    <n v="19911017"/>
  </r>
  <r>
    <s v="73041277610"/>
    <s v="podlaskie"/>
    <s v="miasto"/>
    <n v="73"/>
    <x v="2"/>
    <n v="12"/>
    <n v="1973"/>
    <x v="2"/>
    <x v="0"/>
    <n v="19730412"/>
  </r>
  <r>
    <s v="63101233720"/>
    <s v="łódzkie"/>
    <s v="wieś"/>
    <n v="63"/>
    <x v="1"/>
    <n v="12"/>
    <n v="1963"/>
    <x v="1"/>
    <x v="0"/>
    <n v="19631012"/>
  </r>
  <r>
    <s v="84021497980"/>
    <s v="lubelskie"/>
    <s v="miasto"/>
    <n v="84"/>
    <x v="10"/>
    <n v="14"/>
    <n v="1984"/>
    <x v="10"/>
    <x v="6"/>
    <n v="19840214"/>
  </r>
  <r>
    <s v="87051320026"/>
    <s v="pomorskie"/>
    <s v="wieś"/>
    <n v="87"/>
    <x v="4"/>
    <n v="13"/>
    <n v="1987"/>
    <x v="4"/>
    <x v="22"/>
    <n v="19870513"/>
  </r>
  <r>
    <s v="87122216434"/>
    <s v="opolskie"/>
    <s v="wieś"/>
    <n v="87"/>
    <x v="6"/>
    <n v="22"/>
    <n v="1987"/>
    <x v="6"/>
    <x v="30"/>
    <n v="19871222"/>
  </r>
  <r>
    <s v="63062929199"/>
    <s v="warmińsko-mazurskie"/>
    <s v="wieś"/>
    <n v="63"/>
    <x v="7"/>
    <n v="29"/>
    <n v="1963"/>
    <x v="7"/>
    <x v="21"/>
    <n v="19630629"/>
  </r>
  <r>
    <s v="99011281256"/>
    <s v="łódzkie"/>
    <s v="miasto"/>
    <n v="99"/>
    <x v="8"/>
    <n v="12"/>
    <n v="1999"/>
    <x v="8"/>
    <x v="0"/>
    <n v="19990112"/>
  </r>
  <r>
    <s v="72110750487"/>
    <s v="łódzkie"/>
    <s v="miasto"/>
    <n v="72"/>
    <x v="9"/>
    <n v="7"/>
    <n v="1972"/>
    <x v="9"/>
    <x v="5"/>
    <n v="19721107"/>
  </r>
  <r>
    <s v="70052334215"/>
    <s v="wielkopolskie"/>
    <s v="miasto"/>
    <n v="70"/>
    <x v="4"/>
    <n v="23"/>
    <n v="1970"/>
    <x v="4"/>
    <x v="2"/>
    <n v="19700523"/>
  </r>
  <r>
    <s v="53080638348"/>
    <s v="warmińsko-mazurskie"/>
    <s v="miasto"/>
    <n v="53"/>
    <x v="3"/>
    <n v="6"/>
    <n v="1953"/>
    <x v="3"/>
    <x v="17"/>
    <n v="19530806"/>
  </r>
  <r>
    <s v="63092655936"/>
    <s v="mazowieckie"/>
    <s v="miasto"/>
    <n v="63"/>
    <x v="5"/>
    <n v="26"/>
    <n v="1963"/>
    <x v="5"/>
    <x v="14"/>
    <n v="19630926"/>
  </r>
  <r>
    <s v="80012365708"/>
    <s v="podkarpackie"/>
    <s v="wieś"/>
    <n v="80"/>
    <x v="8"/>
    <n v="23"/>
    <n v="1980"/>
    <x v="8"/>
    <x v="2"/>
    <n v="19800123"/>
  </r>
  <r>
    <s v="88092831629"/>
    <s v="pomorskie"/>
    <s v="wieś"/>
    <n v="88"/>
    <x v="5"/>
    <n v="28"/>
    <n v="1988"/>
    <x v="5"/>
    <x v="4"/>
    <n v="19880928"/>
  </r>
  <r>
    <s v="79011981318"/>
    <s v="kujawsko-pomorskie"/>
    <s v="wieś"/>
    <n v="79"/>
    <x v="8"/>
    <n v="19"/>
    <n v="1979"/>
    <x v="8"/>
    <x v="24"/>
    <n v="19790119"/>
  </r>
  <r>
    <s v="62020662873"/>
    <s v="podkarpackie"/>
    <s v="wieś"/>
    <n v="62"/>
    <x v="10"/>
    <n v="6"/>
    <n v="1962"/>
    <x v="10"/>
    <x v="17"/>
    <n v="19620206"/>
  </r>
  <r>
    <s v="85120753924"/>
    <s v="dolnośląskie"/>
    <s v="miasto"/>
    <n v="85"/>
    <x v="6"/>
    <n v="7"/>
    <n v="1985"/>
    <x v="6"/>
    <x v="5"/>
    <n v="19851207"/>
  </r>
  <r>
    <s v="57072490011"/>
    <s v="opolskie"/>
    <s v="wieś"/>
    <n v="57"/>
    <x v="0"/>
    <n v="24"/>
    <n v="1957"/>
    <x v="0"/>
    <x v="11"/>
    <n v="19570724"/>
  </r>
  <r>
    <s v="82020297372"/>
    <s v="dolnośląskie"/>
    <s v="miasto"/>
    <n v="82"/>
    <x v="10"/>
    <n v="2"/>
    <n v="1982"/>
    <x v="10"/>
    <x v="16"/>
    <n v="19820202"/>
  </r>
  <r>
    <s v="93113022209"/>
    <s v="śląskie"/>
    <s v="wieś"/>
    <n v="93"/>
    <x v="9"/>
    <n v="30"/>
    <n v="1993"/>
    <x v="9"/>
    <x v="26"/>
    <n v="19931130"/>
  </r>
  <r>
    <s v="80032957947"/>
    <s v="zachodniopomorskie"/>
    <s v="wieś"/>
    <n v="80"/>
    <x v="11"/>
    <n v="29"/>
    <n v="1980"/>
    <x v="11"/>
    <x v="21"/>
    <n v="19800329"/>
  </r>
  <r>
    <s v="97061666537"/>
    <s v="śląskie"/>
    <s v="wieś"/>
    <n v="97"/>
    <x v="7"/>
    <n v="16"/>
    <n v="1997"/>
    <x v="7"/>
    <x v="13"/>
    <n v="19970616"/>
  </r>
  <r>
    <s v="99042282211"/>
    <s v="śląskie"/>
    <s v="wieś"/>
    <n v="99"/>
    <x v="2"/>
    <n v="22"/>
    <n v="1999"/>
    <x v="2"/>
    <x v="30"/>
    <n v="19990422"/>
  </r>
  <r>
    <s v="90122294917"/>
    <s v="świętokrzyskie"/>
    <s v="wieś"/>
    <n v="90"/>
    <x v="6"/>
    <n v="22"/>
    <n v="1990"/>
    <x v="6"/>
    <x v="30"/>
    <n v="19901222"/>
  </r>
  <r>
    <s v="98042035638"/>
    <s v="zachodniopomorskie"/>
    <s v="wieś"/>
    <n v="98"/>
    <x v="2"/>
    <n v="20"/>
    <n v="1998"/>
    <x v="2"/>
    <x v="28"/>
    <n v="19980420"/>
  </r>
  <r>
    <s v="63090624679"/>
    <s v="śląskie"/>
    <s v="wieś"/>
    <n v="63"/>
    <x v="5"/>
    <n v="6"/>
    <n v="1963"/>
    <x v="5"/>
    <x v="17"/>
    <n v="19630906"/>
  </r>
  <r>
    <s v="56041608154"/>
    <s v="podlaskie"/>
    <s v="wieś"/>
    <n v="56"/>
    <x v="2"/>
    <n v="16"/>
    <n v="1956"/>
    <x v="2"/>
    <x v="13"/>
    <n v="19560416"/>
  </r>
  <r>
    <s v="61061367026"/>
    <s v="śląskie"/>
    <s v="wieś"/>
    <n v="61"/>
    <x v="7"/>
    <n v="13"/>
    <n v="1961"/>
    <x v="7"/>
    <x v="22"/>
    <n v="19610613"/>
  </r>
  <r>
    <s v="65030283393"/>
    <s v="wielkopolskie"/>
    <s v="miasto"/>
    <n v="65"/>
    <x v="11"/>
    <n v="2"/>
    <n v="1965"/>
    <x v="11"/>
    <x v="16"/>
    <n v="19650302"/>
  </r>
  <r>
    <s v="92012998491"/>
    <s v="warmińsko-mazurskie"/>
    <s v="wieś"/>
    <n v="92"/>
    <x v="8"/>
    <n v="29"/>
    <n v="1992"/>
    <x v="8"/>
    <x v="21"/>
    <n v="19920129"/>
  </r>
  <r>
    <s v="98021347510"/>
    <s v="podkarpackie"/>
    <s v="miasto"/>
    <n v="98"/>
    <x v="10"/>
    <n v="13"/>
    <n v="1998"/>
    <x v="10"/>
    <x v="22"/>
    <n v="19980213"/>
  </r>
  <r>
    <s v="61020732218"/>
    <s v="lubelskie"/>
    <s v="miasto"/>
    <n v="61"/>
    <x v="10"/>
    <n v="7"/>
    <n v="1961"/>
    <x v="10"/>
    <x v="5"/>
    <n v="19610207"/>
  </r>
  <r>
    <s v="51100859081"/>
    <s v="śląskie"/>
    <s v="miasto"/>
    <n v="51"/>
    <x v="1"/>
    <n v="8"/>
    <n v="1951"/>
    <x v="1"/>
    <x v="7"/>
    <n v="19511008"/>
  </r>
  <r>
    <s v="58092388216"/>
    <s v="warmińsko-mazurskie"/>
    <s v="wieś"/>
    <n v="58"/>
    <x v="5"/>
    <n v="23"/>
    <n v="1958"/>
    <x v="5"/>
    <x v="2"/>
    <n v="19580923"/>
  </r>
  <r>
    <s v="58081857013"/>
    <s v="podkarpackie"/>
    <s v="wieś"/>
    <n v="58"/>
    <x v="3"/>
    <n v="18"/>
    <n v="1958"/>
    <x v="3"/>
    <x v="18"/>
    <n v="19580818"/>
  </r>
  <r>
    <s v="51112066114"/>
    <s v="opolskie"/>
    <s v="wieś"/>
    <n v="51"/>
    <x v="9"/>
    <n v="20"/>
    <n v="1951"/>
    <x v="9"/>
    <x v="28"/>
    <n v="19511120"/>
  </r>
  <r>
    <s v="89010145123"/>
    <s v="podkarpackie"/>
    <s v="wieś"/>
    <n v="89"/>
    <x v="8"/>
    <n v="1"/>
    <n v="1989"/>
    <x v="8"/>
    <x v="1"/>
    <n v="19890101"/>
  </r>
  <r>
    <s v="84021137424"/>
    <s v="podlaskie"/>
    <s v="miasto"/>
    <n v="84"/>
    <x v="10"/>
    <n v="11"/>
    <n v="1984"/>
    <x v="10"/>
    <x v="10"/>
    <n v="19840211"/>
  </r>
  <r>
    <s v="66071191281"/>
    <s v="małopolskie"/>
    <s v="miasto"/>
    <n v="66"/>
    <x v="0"/>
    <n v="11"/>
    <n v="1966"/>
    <x v="0"/>
    <x v="10"/>
    <n v="19660711"/>
  </r>
  <r>
    <s v="64110521169"/>
    <s v="małopolskie"/>
    <s v="miasto"/>
    <n v="64"/>
    <x v="9"/>
    <n v="5"/>
    <n v="1964"/>
    <x v="9"/>
    <x v="25"/>
    <n v="19641105"/>
  </r>
  <r>
    <s v="80090724666"/>
    <s v="świętokrzyskie"/>
    <s v="miasto"/>
    <n v="80"/>
    <x v="5"/>
    <n v="7"/>
    <n v="1980"/>
    <x v="5"/>
    <x v="5"/>
    <n v="19800907"/>
  </r>
  <r>
    <s v="60081098044"/>
    <s v="opolskie"/>
    <s v="wieś"/>
    <n v="60"/>
    <x v="3"/>
    <n v="10"/>
    <n v="1960"/>
    <x v="3"/>
    <x v="8"/>
    <n v="19600810"/>
  </r>
  <r>
    <s v="81060672345"/>
    <s v="pomorskie"/>
    <s v="miasto"/>
    <n v="81"/>
    <x v="7"/>
    <n v="6"/>
    <n v="1981"/>
    <x v="7"/>
    <x v="17"/>
    <n v="19810606"/>
  </r>
  <r>
    <s v="72041188498"/>
    <s v="łódzkie"/>
    <s v="wieś"/>
    <n v="72"/>
    <x v="2"/>
    <n v="11"/>
    <n v="1972"/>
    <x v="2"/>
    <x v="10"/>
    <n v="19720411"/>
  </r>
  <r>
    <s v="93050237328"/>
    <s v="podkarpackie"/>
    <s v="miasto"/>
    <n v="93"/>
    <x v="4"/>
    <n v="2"/>
    <n v="1993"/>
    <x v="4"/>
    <x v="16"/>
    <n v="19930502"/>
  </r>
  <r>
    <s v="57111030969"/>
    <s v="pomorskie"/>
    <s v="miasto"/>
    <n v="57"/>
    <x v="9"/>
    <n v="10"/>
    <n v="1957"/>
    <x v="9"/>
    <x v="8"/>
    <n v="19571110"/>
  </r>
  <r>
    <s v="95120189926"/>
    <s v="świętokrzyskie"/>
    <s v="miasto"/>
    <n v="95"/>
    <x v="6"/>
    <n v="1"/>
    <n v="1995"/>
    <x v="6"/>
    <x v="1"/>
    <n v="19951201"/>
  </r>
  <r>
    <s v="50030558617"/>
    <s v="świętokrzyskie"/>
    <s v="miasto"/>
    <n v="50"/>
    <x v="11"/>
    <n v="5"/>
    <n v="1950"/>
    <x v="11"/>
    <x v="25"/>
    <n v="19500305"/>
  </r>
  <r>
    <s v="99030787526"/>
    <s v="warmińsko-mazurskie"/>
    <s v="miasto"/>
    <n v="99"/>
    <x v="11"/>
    <n v="7"/>
    <n v="1999"/>
    <x v="11"/>
    <x v="5"/>
    <n v="19990307"/>
  </r>
  <r>
    <s v="86012893795"/>
    <s v="pomorskie"/>
    <s v="miasto"/>
    <n v="86"/>
    <x v="8"/>
    <n v="28"/>
    <n v="1986"/>
    <x v="8"/>
    <x v="4"/>
    <n v="19860128"/>
  </r>
  <r>
    <s v="77070917279"/>
    <s v="wielkopolskie"/>
    <s v="wieś"/>
    <n v="77"/>
    <x v="0"/>
    <n v="9"/>
    <n v="1977"/>
    <x v="0"/>
    <x v="12"/>
    <n v="19770709"/>
  </r>
  <r>
    <s v="81110769382"/>
    <s v="zachodniopomorskie"/>
    <s v="wieś"/>
    <n v="81"/>
    <x v="9"/>
    <n v="7"/>
    <n v="1981"/>
    <x v="9"/>
    <x v="5"/>
    <n v="19811107"/>
  </r>
  <r>
    <s v="77111159976"/>
    <s v="świętokrzyskie"/>
    <s v="wieś"/>
    <n v="77"/>
    <x v="9"/>
    <n v="11"/>
    <n v="1977"/>
    <x v="9"/>
    <x v="10"/>
    <n v="19771111"/>
  </r>
  <r>
    <s v="70100187141"/>
    <s v="mazowieckie"/>
    <s v="wieś"/>
    <n v="70"/>
    <x v="1"/>
    <n v="1"/>
    <n v="1970"/>
    <x v="1"/>
    <x v="1"/>
    <n v="19701001"/>
  </r>
  <r>
    <s v="65021500043"/>
    <s v="podkarpackie"/>
    <s v="miasto"/>
    <n v="65"/>
    <x v="10"/>
    <n v="15"/>
    <n v="1965"/>
    <x v="10"/>
    <x v="20"/>
    <n v="19650215"/>
  </r>
  <r>
    <s v="85060885312"/>
    <s v="dolnośląskie"/>
    <s v="wieś"/>
    <n v="85"/>
    <x v="7"/>
    <n v="8"/>
    <n v="1985"/>
    <x v="7"/>
    <x v="7"/>
    <n v="19850608"/>
  </r>
  <r>
    <s v="71050660586"/>
    <s v="pomorskie"/>
    <s v="miasto"/>
    <n v="71"/>
    <x v="4"/>
    <n v="6"/>
    <n v="1971"/>
    <x v="4"/>
    <x v="17"/>
    <n v="19710506"/>
  </r>
  <r>
    <s v="59071738598"/>
    <s v="lubelskie"/>
    <s v="miasto"/>
    <n v="59"/>
    <x v="0"/>
    <n v="17"/>
    <n v="1959"/>
    <x v="0"/>
    <x v="9"/>
    <n v="19590717"/>
  </r>
  <r>
    <s v="95032440571"/>
    <s v="łódzkie"/>
    <s v="miasto"/>
    <n v="95"/>
    <x v="11"/>
    <n v="24"/>
    <n v="1995"/>
    <x v="11"/>
    <x v="11"/>
    <n v="19950324"/>
  </r>
  <r>
    <s v="89061704744"/>
    <s v="małopolskie"/>
    <s v="wieś"/>
    <n v="89"/>
    <x v="7"/>
    <n v="17"/>
    <n v="1989"/>
    <x v="7"/>
    <x v="9"/>
    <n v="19890617"/>
  </r>
  <r>
    <s v="51080898629"/>
    <s v="opolskie"/>
    <s v="wieś"/>
    <n v="51"/>
    <x v="3"/>
    <n v="8"/>
    <n v="1951"/>
    <x v="3"/>
    <x v="7"/>
    <n v="19510808"/>
  </r>
  <r>
    <s v="57022141905"/>
    <s v="łódzkie"/>
    <s v="wieś"/>
    <n v="57"/>
    <x v="10"/>
    <n v="21"/>
    <n v="1957"/>
    <x v="10"/>
    <x v="27"/>
    <n v="19570221"/>
  </r>
  <r>
    <s v="83040146750"/>
    <s v="wielkopolskie"/>
    <s v="wieś"/>
    <n v="83"/>
    <x v="2"/>
    <n v="1"/>
    <n v="1983"/>
    <x v="2"/>
    <x v="1"/>
    <n v="19830401"/>
  </r>
  <r>
    <s v="94073040289"/>
    <s v="opolskie"/>
    <s v="miasto"/>
    <n v="94"/>
    <x v="0"/>
    <n v="30"/>
    <n v="1994"/>
    <x v="0"/>
    <x v="26"/>
    <n v="19940730"/>
  </r>
  <r>
    <s v="85082674482"/>
    <s v="dolnośląskie"/>
    <s v="miasto"/>
    <n v="85"/>
    <x v="3"/>
    <n v="26"/>
    <n v="1985"/>
    <x v="3"/>
    <x v="14"/>
    <n v="19850826"/>
  </r>
  <r>
    <s v="68071192873"/>
    <s v="lubuskie"/>
    <s v="miasto"/>
    <n v="68"/>
    <x v="0"/>
    <n v="11"/>
    <n v="1968"/>
    <x v="0"/>
    <x v="10"/>
    <n v="19680711"/>
  </r>
  <r>
    <s v="66122411933"/>
    <s v="lubuskie"/>
    <s v="wieś"/>
    <n v="66"/>
    <x v="6"/>
    <n v="24"/>
    <n v="1966"/>
    <x v="6"/>
    <x v="11"/>
    <n v="19661224"/>
  </r>
  <r>
    <s v="83112543531"/>
    <s v="warmińsko-mazurskie"/>
    <s v="wieś"/>
    <n v="83"/>
    <x v="9"/>
    <n v="25"/>
    <n v="1983"/>
    <x v="9"/>
    <x v="19"/>
    <n v="19831125"/>
  </r>
  <r>
    <s v="72032940355"/>
    <s v="dolnośląskie"/>
    <s v="wieś"/>
    <n v="72"/>
    <x v="11"/>
    <n v="29"/>
    <n v="1972"/>
    <x v="11"/>
    <x v="21"/>
    <n v="19720329"/>
  </r>
  <r>
    <s v="99041426748"/>
    <s v="śląskie"/>
    <s v="miasto"/>
    <n v="99"/>
    <x v="2"/>
    <n v="14"/>
    <n v="1999"/>
    <x v="2"/>
    <x v="6"/>
    <n v="19990414"/>
  </r>
  <r>
    <s v="99082013556"/>
    <s v="zachodniopomorskie"/>
    <s v="wieś"/>
    <n v="99"/>
    <x v="3"/>
    <n v="20"/>
    <n v="1999"/>
    <x v="3"/>
    <x v="28"/>
    <n v="19990820"/>
  </r>
  <r>
    <s v="62123067166"/>
    <s v="wielkopolskie"/>
    <s v="miasto"/>
    <n v="62"/>
    <x v="6"/>
    <n v="30"/>
    <n v="1962"/>
    <x v="6"/>
    <x v="26"/>
    <n v="19621230"/>
  </r>
  <r>
    <s v="65031764132"/>
    <s v="lubelskie"/>
    <s v="wieś"/>
    <n v="65"/>
    <x v="11"/>
    <n v="17"/>
    <n v="1965"/>
    <x v="11"/>
    <x v="9"/>
    <n v="19650317"/>
  </r>
  <r>
    <s v="66031525363"/>
    <s v="lubuskie"/>
    <s v="miasto"/>
    <n v="66"/>
    <x v="11"/>
    <n v="15"/>
    <n v="1966"/>
    <x v="11"/>
    <x v="20"/>
    <n v="19660315"/>
  </r>
  <r>
    <s v="84121279350"/>
    <s v="opolskie"/>
    <s v="wieś"/>
    <n v="84"/>
    <x v="6"/>
    <n v="12"/>
    <n v="1984"/>
    <x v="6"/>
    <x v="0"/>
    <n v="19841212"/>
  </r>
  <r>
    <s v="56060275416"/>
    <s v="lubuskie"/>
    <s v="miasto"/>
    <n v="56"/>
    <x v="7"/>
    <n v="2"/>
    <n v="1956"/>
    <x v="7"/>
    <x v="16"/>
    <n v="19560602"/>
  </r>
  <r>
    <s v="88060298577"/>
    <s v="mazowieckie"/>
    <s v="wieś"/>
    <n v="88"/>
    <x v="7"/>
    <n v="2"/>
    <n v="1988"/>
    <x v="7"/>
    <x v="16"/>
    <n v="19880602"/>
  </r>
  <r>
    <s v="93071613624"/>
    <s v="łódzkie"/>
    <s v="miasto"/>
    <n v="93"/>
    <x v="0"/>
    <n v="16"/>
    <n v="1993"/>
    <x v="0"/>
    <x v="13"/>
    <n v="19930716"/>
  </r>
  <r>
    <s v="56032245658"/>
    <s v="małopolskie"/>
    <s v="wieś"/>
    <n v="56"/>
    <x v="11"/>
    <n v="22"/>
    <n v="1956"/>
    <x v="11"/>
    <x v="30"/>
    <n v="19560322"/>
  </r>
  <r>
    <s v="64081190522"/>
    <s v="świętokrzyskie"/>
    <s v="wieś"/>
    <n v="64"/>
    <x v="3"/>
    <n v="11"/>
    <n v="1964"/>
    <x v="3"/>
    <x v="10"/>
    <n v="19640811"/>
  </r>
  <r>
    <s v="62040616607"/>
    <s v="lubelskie"/>
    <s v="wieś"/>
    <n v="62"/>
    <x v="2"/>
    <n v="6"/>
    <n v="1962"/>
    <x v="2"/>
    <x v="17"/>
    <n v="19620406"/>
  </r>
  <r>
    <s v="87032142416"/>
    <s v="podlaskie"/>
    <s v="wieś"/>
    <n v="87"/>
    <x v="11"/>
    <n v="21"/>
    <n v="1987"/>
    <x v="11"/>
    <x v="27"/>
    <n v="19870321"/>
  </r>
  <r>
    <s v="73101455554"/>
    <s v="świętokrzyskie"/>
    <s v="wieś"/>
    <n v="73"/>
    <x v="1"/>
    <n v="14"/>
    <n v="1973"/>
    <x v="1"/>
    <x v="6"/>
    <n v="19731014"/>
  </r>
  <r>
    <s v="56111282482"/>
    <s v="łódzkie"/>
    <s v="miasto"/>
    <n v="56"/>
    <x v="9"/>
    <n v="12"/>
    <n v="1956"/>
    <x v="9"/>
    <x v="0"/>
    <n v="19561112"/>
  </r>
  <r>
    <s v="83032688282"/>
    <s v="lubuskie"/>
    <s v="wieś"/>
    <n v="83"/>
    <x v="11"/>
    <n v="26"/>
    <n v="1983"/>
    <x v="11"/>
    <x v="14"/>
    <n v="19830326"/>
  </r>
  <r>
    <s v="88051092544"/>
    <s v="małopolskie"/>
    <s v="wieś"/>
    <n v="88"/>
    <x v="4"/>
    <n v="10"/>
    <n v="1988"/>
    <x v="4"/>
    <x v="8"/>
    <n v="19880510"/>
  </r>
  <r>
    <s v="50012665757"/>
    <s v="podlaskie"/>
    <s v="wieś"/>
    <n v="50"/>
    <x v="8"/>
    <n v="26"/>
    <n v="1950"/>
    <x v="8"/>
    <x v="14"/>
    <n v="19500126"/>
  </r>
  <r>
    <s v="96040206342"/>
    <s v="małopolskie"/>
    <s v="miasto"/>
    <n v="96"/>
    <x v="2"/>
    <n v="2"/>
    <n v="1996"/>
    <x v="2"/>
    <x v="16"/>
    <n v="19960402"/>
  </r>
  <r>
    <s v="91041069954"/>
    <s v="świętokrzyskie"/>
    <s v="wieś"/>
    <n v="91"/>
    <x v="2"/>
    <n v="10"/>
    <n v="1991"/>
    <x v="2"/>
    <x v="8"/>
    <n v="19910410"/>
  </r>
  <r>
    <s v="75061743946"/>
    <s v="podlaskie"/>
    <s v="miasto"/>
    <n v="75"/>
    <x v="7"/>
    <n v="17"/>
    <n v="1975"/>
    <x v="7"/>
    <x v="9"/>
    <n v="19750617"/>
  </r>
  <r>
    <s v="52020449840"/>
    <s v="lubuskie"/>
    <s v="wieś"/>
    <n v="52"/>
    <x v="10"/>
    <n v="4"/>
    <n v="1952"/>
    <x v="10"/>
    <x v="23"/>
    <n v="19520204"/>
  </r>
  <r>
    <s v="94021767981"/>
    <s v="podkarpackie"/>
    <s v="wieś"/>
    <n v="94"/>
    <x v="10"/>
    <n v="17"/>
    <n v="1994"/>
    <x v="10"/>
    <x v="9"/>
    <n v="19940217"/>
  </r>
  <r>
    <s v="54061438140"/>
    <s v="lubuskie"/>
    <s v="miasto"/>
    <n v="54"/>
    <x v="7"/>
    <n v="14"/>
    <n v="1954"/>
    <x v="7"/>
    <x v="6"/>
    <n v="19540614"/>
  </r>
  <r>
    <s v="60012636109"/>
    <s v="małopolskie"/>
    <s v="miasto"/>
    <n v="60"/>
    <x v="8"/>
    <n v="26"/>
    <n v="1960"/>
    <x v="8"/>
    <x v="14"/>
    <n v="19600126"/>
  </r>
  <r>
    <s v="64031328634"/>
    <s v="podlaskie"/>
    <s v="miasto"/>
    <n v="64"/>
    <x v="11"/>
    <n v="13"/>
    <n v="1964"/>
    <x v="11"/>
    <x v="22"/>
    <n v="19640313"/>
  </r>
  <r>
    <s v="76032562353"/>
    <s v="dolnośląskie"/>
    <s v="miasto"/>
    <n v="76"/>
    <x v="11"/>
    <n v="25"/>
    <n v="1976"/>
    <x v="11"/>
    <x v="19"/>
    <n v="19760325"/>
  </r>
  <r>
    <s v="94042289916"/>
    <s v="śląskie"/>
    <s v="wieś"/>
    <n v="94"/>
    <x v="2"/>
    <n v="22"/>
    <n v="1994"/>
    <x v="2"/>
    <x v="30"/>
    <n v="19940422"/>
  </r>
  <r>
    <s v="72011235869"/>
    <s v="wielkopolskie"/>
    <s v="miasto"/>
    <n v="72"/>
    <x v="8"/>
    <n v="12"/>
    <n v="1972"/>
    <x v="8"/>
    <x v="0"/>
    <n v="19720112"/>
  </r>
  <r>
    <s v="55101622897"/>
    <s v="warmińsko-mazurskie"/>
    <s v="miasto"/>
    <n v="55"/>
    <x v="1"/>
    <n v="16"/>
    <n v="1955"/>
    <x v="1"/>
    <x v="13"/>
    <n v="19551016"/>
  </r>
  <r>
    <s v="63061591096"/>
    <s v="pomorskie"/>
    <s v="miasto"/>
    <n v="63"/>
    <x v="7"/>
    <n v="15"/>
    <n v="1963"/>
    <x v="7"/>
    <x v="20"/>
    <n v="19630615"/>
  </r>
  <r>
    <s v="66092086287"/>
    <s v="podkarpackie"/>
    <s v="miasto"/>
    <n v="66"/>
    <x v="5"/>
    <n v="20"/>
    <n v="1966"/>
    <x v="5"/>
    <x v="28"/>
    <n v="19660920"/>
  </r>
  <r>
    <s v="79120351848"/>
    <s v="podkarpackie"/>
    <s v="miasto"/>
    <n v="79"/>
    <x v="6"/>
    <n v="3"/>
    <n v="1979"/>
    <x v="6"/>
    <x v="29"/>
    <n v="19791203"/>
  </r>
  <r>
    <s v="75032029066"/>
    <s v="opolskie"/>
    <s v="miasto"/>
    <n v="75"/>
    <x v="11"/>
    <n v="20"/>
    <n v="1975"/>
    <x v="11"/>
    <x v="28"/>
    <n v="19750320"/>
  </r>
  <r>
    <s v="64120631351"/>
    <s v="opolskie"/>
    <s v="wieś"/>
    <n v="64"/>
    <x v="6"/>
    <n v="6"/>
    <n v="1964"/>
    <x v="6"/>
    <x v="17"/>
    <n v="19641206"/>
  </r>
  <r>
    <s v="73072842436"/>
    <s v="małopolskie"/>
    <s v="miasto"/>
    <n v="73"/>
    <x v="0"/>
    <n v="28"/>
    <n v="1973"/>
    <x v="0"/>
    <x v="4"/>
    <n v="19730728"/>
  </r>
  <r>
    <s v="81032163367"/>
    <s v="opolskie"/>
    <s v="miasto"/>
    <n v="81"/>
    <x v="11"/>
    <n v="21"/>
    <n v="1981"/>
    <x v="11"/>
    <x v="27"/>
    <n v="19810321"/>
  </r>
  <r>
    <s v="79110638474"/>
    <s v="kujawsko-pomorskie"/>
    <s v="wieś"/>
    <n v="79"/>
    <x v="9"/>
    <n v="6"/>
    <n v="1979"/>
    <x v="9"/>
    <x v="17"/>
    <n v="19791106"/>
  </r>
  <r>
    <s v="57040596570"/>
    <s v="świętokrzyskie"/>
    <s v="miasto"/>
    <n v="57"/>
    <x v="2"/>
    <n v="5"/>
    <n v="1957"/>
    <x v="2"/>
    <x v="25"/>
    <n v="19570405"/>
  </r>
  <r>
    <s v="99051386795"/>
    <s v="podlaskie"/>
    <s v="miasto"/>
    <n v="99"/>
    <x v="4"/>
    <n v="13"/>
    <n v="1999"/>
    <x v="4"/>
    <x v="22"/>
    <n v="19990513"/>
  </r>
  <r>
    <s v="73031813176"/>
    <s v="śląskie"/>
    <s v="wieś"/>
    <n v="73"/>
    <x v="11"/>
    <n v="18"/>
    <n v="1973"/>
    <x v="11"/>
    <x v="18"/>
    <n v="19730318"/>
  </r>
  <r>
    <s v="86061566312"/>
    <s v="pomorskie"/>
    <s v="miasto"/>
    <n v="86"/>
    <x v="7"/>
    <n v="15"/>
    <n v="1986"/>
    <x v="7"/>
    <x v="20"/>
    <n v="19860615"/>
  </r>
  <r>
    <s v="53090698026"/>
    <s v="śląskie"/>
    <s v="wieś"/>
    <n v="53"/>
    <x v="5"/>
    <n v="6"/>
    <n v="1953"/>
    <x v="5"/>
    <x v="17"/>
    <n v="19530906"/>
  </r>
  <r>
    <s v="75021357613"/>
    <s v="zachodniopomorskie"/>
    <s v="wieś"/>
    <n v="75"/>
    <x v="10"/>
    <n v="13"/>
    <n v="1975"/>
    <x v="10"/>
    <x v="22"/>
    <n v="19750213"/>
  </r>
  <r>
    <s v="72123107126"/>
    <s v="pomorskie"/>
    <s v="miasto"/>
    <n v="72"/>
    <x v="6"/>
    <n v="31"/>
    <n v="1972"/>
    <x v="6"/>
    <x v="3"/>
    <n v="19721231"/>
  </r>
  <r>
    <s v="79070698840"/>
    <s v="podkarpackie"/>
    <s v="miasto"/>
    <n v="79"/>
    <x v="0"/>
    <n v="6"/>
    <n v="1979"/>
    <x v="0"/>
    <x v="17"/>
    <n v="19790706"/>
  </r>
  <r>
    <s v="99121640071"/>
    <s v="mazowieckie"/>
    <s v="miasto"/>
    <n v="99"/>
    <x v="6"/>
    <n v="16"/>
    <n v="1999"/>
    <x v="6"/>
    <x v="13"/>
    <n v="19991216"/>
  </r>
  <r>
    <s v="62040855749"/>
    <s v="świętokrzyskie"/>
    <s v="wieś"/>
    <n v="62"/>
    <x v="2"/>
    <n v="8"/>
    <n v="1962"/>
    <x v="2"/>
    <x v="7"/>
    <n v="19620408"/>
  </r>
  <r>
    <s v="77050752195"/>
    <s v="podlaskie"/>
    <s v="miasto"/>
    <n v="77"/>
    <x v="4"/>
    <n v="7"/>
    <n v="1977"/>
    <x v="4"/>
    <x v="5"/>
    <n v="19770507"/>
  </r>
  <r>
    <s v="61011848526"/>
    <s v="lubelskie"/>
    <s v="miasto"/>
    <n v="61"/>
    <x v="8"/>
    <n v="18"/>
    <n v="1961"/>
    <x v="8"/>
    <x v="18"/>
    <n v="19610118"/>
  </r>
  <r>
    <s v="67090716369"/>
    <s v="lubelskie"/>
    <s v="wieś"/>
    <n v="67"/>
    <x v="5"/>
    <n v="7"/>
    <n v="1967"/>
    <x v="5"/>
    <x v="5"/>
    <n v="19670907"/>
  </r>
  <r>
    <s v="69121808746"/>
    <s v="łódzkie"/>
    <s v="wieś"/>
    <n v="69"/>
    <x v="6"/>
    <n v="18"/>
    <n v="1969"/>
    <x v="6"/>
    <x v="18"/>
    <n v="19691218"/>
  </r>
  <r>
    <s v="95022144672"/>
    <s v="śląskie"/>
    <s v="miasto"/>
    <n v="95"/>
    <x v="10"/>
    <n v="21"/>
    <n v="1995"/>
    <x v="10"/>
    <x v="27"/>
    <n v="19950221"/>
  </r>
  <r>
    <s v="50122386122"/>
    <s v="lubelskie"/>
    <s v="miasto"/>
    <n v="50"/>
    <x v="6"/>
    <n v="23"/>
    <n v="1950"/>
    <x v="6"/>
    <x v="2"/>
    <n v="19501223"/>
  </r>
  <r>
    <s v="64040818515"/>
    <s v="dolnośląskie"/>
    <s v="wieś"/>
    <n v="64"/>
    <x v="2"/>
    <n v="8"/>
    <n v="1964"/>
    <x v="2"/>
    <x v="7"/>
    <n v="19640408"/>
  </r>
  <r>
    <s v="85080239649"/>
    <s v="kujawsko-pomorskie"/>
    <s v="wieś"/>
    <n v="85"/>
    <x v="3"/>
    <n v="2"/>
    <n v="1985"/>
    <x v="3"/>
    <x v="16"/>
    <n v="19850802"/>
  </r>
  <r>
    <s v="95070175648"/>
    <s v="podlaskie"/>
    <s v="wieś"/>
    <n v="95"/>
    <x v="0"/>
    <n v="1"/>
    <n v="1995"/>
    <x v="0"/>
    <x v="1"/>
    <n v="19950701"/>
  </r>
  <r>
    <s v="51040710541"/>
    <s v="świętokrzyskie"/>
    <s v="miasto"/>
    <n v="51"/>
    <x v="2"/>
    <n v="7"/>
    <n v="1951"/>
    <x v="2"/>
    <x v="5"/>
    <n v="19510407"/>
  </r>
  <r>
    <s v="68050307393"/>
    <s v="mazowieckie"/>
    <s v="wieś"/>
    <n v="68"/>
    <x v="4"/>
    <n v="3"/>
    <n v="1968"/>
    <x v="4"/>
    <x v="29"/>
    <n v="19680503"/>
  </r>
  <r>
    <s v="78012414409"/>
    <s v="podlaskie"/>
    <s v="wieś"/>
    <n v="78"/>
    <x v="8"/>
    <n v="24"/>
    <n v="1978"/>
    <x v="8"/>
    <x v="11"/>
    <n v="19780124"/>
  </r>
  <r>
    <s v="88040681139"/>
    <s v="kujawsko-pomorskie"/>
    <s v="wieś"/>
    <n v="88"/>
    <x v="2"/>
    <n v="6"/>
    <n v="1988"/>
    <x v="2"/>
    <x v="17"/>
    <n v="19880406"/>
  </r>
  <r>
    <s v="80111845565"/>
    <s v="zachodniopomorskie"/>
    <s v="wieś"/>
    <n v="80"/>
    <x v="9"/>
    <n v="18"/>
    <n v="1980"/>
    <x v="9"/>
    <x v="18"/>
    <n v="19801118"/>
  </r>
  <r>
    <s v="64060295028"/>
    <s v="opolskie"/>
    <s v="wieś"/>
    <n v="64"/>
    <x v="7"/>
    <n v="2"/>
    <n v="1964"/>
    <x v="7"/>
    <x v="16"/>
    <n v="19640602"/>
  </r>
  <r>
    <s v="66112444217"/>
    <s v="małopolskie"/>
    <s v="miasto"/>
    <n v="66"/>
    <x v="9"/>
    <n v="24"/>
    <n v="1966"/>
    <x v="9"/>
    <x v="11"/>
    <n v="19661124"/>
  </r>
  <r>
    <s v="95010531354"/>
    <s v="śląskie"/>
    <s v="miasto"/>
    <n v="95"/>
    <x v="8"/>
    <n v="5"/>
    <n v="1995"/>
    <x v="8"/>
    <x v="25"/>
    <n v="19950105"/>
  </r>
  <r>
    <s v="66091626497"/>
    <s v="lubuskie"/>
    <s v="miasto"/>
    <n v="66"/>
    <x v="5"/>
    <n v="16"/>
    <n v="1966"/>
    <x v="5"/>
    <x v="13"/>
    <n v="19660916"/>
  </r>
  <r>
    <s v="60101353265"/>
    <s v="warmińsko-mazurskie"/>
    <s v="wieś"/>
    <n v="60"/>
    <x v="1"/>
    <n v="13"/>
    <n v="1960"/>
    <x v="1"/>
    <x v="22"/>
    <n v="19601013"/>
  </r>
  <r>
    <s v="73112234065"/>
    <s v="warmińsko-mazurskie"/>
    <s v="wieś"/>
    <n v="73"/>
    <x v="9"/>
    <n v="22"/>
    <n v="1973"/>
    <x v="9"/>
    <x v="30"/>
    <n v="19731122"/>
  </r>
  <r>
    <s v="77100455058"/>
    <s v="świętokrzyskie"/>
    <s v="miasto"/>
    <n v="77"/>
    <x v="1"/>
    <n v="4"/>
    <n v="1977"/>
    <x v="1"/>
    <x v="23"/>
    <n v="19771004"/>
  </r>
  <r>
    <s v="98091693687"/>
    <s v="małopolskie"/>
    <s v="miasto"/>
    <n v="98"/>
    <x v="5"/>
    <n v="16"/>
    <n v="1998"/>
    <x v="5"/>
    <x v="13"/>
    <n v="19980916"/>
  </r>
  <r>
    <s v="67091449031"/>
    <s v="wielkopolskie"/>
    <s v="miasto"/>
    <n v="67"/>
    <x v="5"/>
    <n v="14"/>
    <n v="1967"/>
    <x v="5"/>
    <x v="6"/>
    <n v="19670914"/>
  </r>
  <r>
    <s v="75052421464"/>
    <s v="pomorskie"/>
    <s v="miasto"/>
    <n v="75"/>
    <x v="4"/>
    <n v="24"/>
    <n v="1975"/>
    <x v="4"/>
    <x v="11"/>
    <n v="19750524"/>
  </r>
  <r>
    <s v="91020385192"/>
    <s v="kujawsko-pomorskie"/>
    <s v="miasto"/>
    <n v="91"/>
    <x v="10"/>
    <n v="3"/>
    <n v="1991"/>
    <x v="10"/>
    <x v="29"/>
    <n v="19910203"/>
  </r>
  <r>
    <s v="58011437395"/>
    <s v="dolnośląskie"/>
    <s v="miasto"/>
    <n v="58"/>
    <x v="8"/>
    <n v="14"/>
    <n v="1958"/>
    <x v="8"/>
    <x v="6"/>
    <n v="19580114"/>
  </r>
  <r>
    <s v="61010924043"/>
    <s v="opolskie"/>
    <s v="wieś"/>
    <n v="61"/>
    <x v="8"/>
    <n v="9"/>
    <n v="1961"/>
    <x v="8"/>
    <x v="12"/>
    <n v="19610109"/>
  </r>
  <r>
    <s v="59020116778"/>
    <s v="dolnośląskie"/>
    <s v="wieś"/>
    <n v="59"/>
    <x v="10"/>
    <n v="1"/>
    <n v="1959"/>
    <x v="10"/>
    <x v="1"/>
    <n v="19590201"/>
  </r>
  <r>
    <s v="85012006521"/>
    <s v="lubelskie"/>
    <s v="miasto"/>
    <n v="85"/>
    <x v="8"/>
    <n v="20"/>
    <n v="1985"/>
    <x v="8"/>
    <x v="28"/>
    <n v="19850120"/>
  </r>
  <r>
    <s v="89021336354"/>
    <s v="podlaskie"/>
    <s v="miasto"/>
    <n v="89"/>
    <x v="10"/>
    <n v="13"/>
    <n v="1989"/>
    <x v="10"/>
    <x v="22"/>
    <n v="19890213"/>
  </r>
  <r>
    <s v="65092409201"/>
    <s v="podkarpackie"/>
    <s v="wieś"/>
    <n v="65"/>
    <x v="5"/>
    <n v="24"/>
    <n v="1965"/>
    <x v="5"/>
    <x v="11"/>
    <n v="19650924"/>
  </r>
  <r>
    <s v="69072352000"/>
    <s v="warmińsko-mazurskie"/>
    <s v="miasto"/>
    <n v="69"/>
    <x v="0"/>
    <n v="23"/>
    <n v="1969"/>
    <x v="0"/>
    <x v="2"/>
    <n v="19690723"/>
  </r>
  <r>
    <s v="80101429434"/>
    <s v="małopolskie"/>
    <s v="wieś"/>
    <n v="80"/>
    <x v="1"/>
    <n v="14"/>
    <n v="1980"/>
    <x v="1"/>
    <x v="6"/>
    <n v="19801014"/>
  </r>
  <r>
    <s v="91120411609"/>
    <s v="kujawsko-pomorskie"/>
    <s v="wieś"/>
    <n v="91"/>
    <x v="6"/>
    <n v="4"/>
    <n v="1991"/>
    <x v="6"/>
    <x v="23"/>
    <n v="19911204"/>
  </r>
  <r>
    <s v="95030310836"/>
    <s v="śląskie"/>
    <s v="miasto"/>
    <n v="95"/>
    <x v="11"/>
    <n v="3"/>
    <n v="1995"/>
    <x v="11"/>
    <x v="29"/>
    <n v="19950303"/>
  </r>
  <r>
    <s v="84083110241"/>
    <s v="małopolskie"/>
    <s v="miasto"/>
    <n v="84"/>
    <x v="3"/>
    <n v="31"/>
    <n v="1984"/>
    <x v="3"/>
    <x v="3"/>
    <n v="19840831"/>
  </r>
  <r>
    <s v="81082753187"/>
    <s v="dolnośląskie"/>
    <s v="miasto"/>
    <n v="81"/>
    <x v="3"/>
    <n v="27"/>
    <n v="1981"/>
    <x v="3"/>
    <x v="15"/>
    <n v="19810827"/>
  </r>
  <r>
    <s v="64061448050"/>
    <s v="wielkopolskie"/>
    <s v="miasto"/>
    <n v="64"/>
    <x v="7"/>
    <n v="14"/>
    <n v="1964"/>
    <x v="7"/>
    <x v="6"/>
    <n v="19640614"/>
  </r>
  <r>
    <s v="96091382992"/>
    <s v="śląskie"/>
    <s v="miasto"/>
    <n v="96"/>
    <x v="5"/>
    <n v="13"/>
    <n v="1996"/>
    <x v="5"/>
    <x v="22"/>
    <n v="19960913"/>
  </r>
  <r>
    <s v="84041663297"/>
    <s v="mazowieckie"/>
    <s v="miasto"/>
    <n v="84"/>
    <x v="2"/>
    <n v="16"/>
    <n v="1984"/>
    <x v="2"/>
    <x v="13"/>
    <n v="19840416"/>
  </r>
  <r>
    <s v="94113074555"/>
    <s v="podkarpackie"/>
    <s v="miasto"/>
    <n v="94"/>
    <x v="9"/>
    <n v="30"/>
    <n v="1994"/>
    <x v="9"/>
    <x v="26"/>
    <n v="19941130"/>
  </r>
  <r>
    <s v="53100155150"/>
    <s v="podkarpackie"/>
    <s v="wieś"/>
    <n v="53"/>
    <x v="1"/>
    <n v="1"/>
    <n v="1953"/>
    <x v="1"/>
    <x v="1"/>
    <n v="19531001"/>
  </r>
  <r>
    <s v="81102995678"/>
    <s v="podkarpackie"/>
    <s v="wieś"/>
    <n v="81"/>
    <x v="1"/>
    <n v="29"/>
    <n v="1981"/>
    <x v="1"/>
    <x v="21"/>
    <n v="19811029"/>
  </r>
  <r>
    <s v="93042060965"/>
    <s v="kujawsko-pomorskie"/>
    <s v="wieś"/>
    <n v="93"/>
    <x v="2"/>
    <n v="20"/>
    <n v="1993"/>
    <x v="2"/>
    <x v="28"/>
    <n v="19930420"/>
  </r>
  <r>
    <s v="86012915370"/>
    <s v="wielkopolskie"/>
    <s v="wieś"/>
    <n v="86"/>
    <x v="8"/>
    <n v="29"/>
    <n v="1986"/>
    <x v="8"/>
    <x v="21"/>
    <n v="19860129"/>
  </r>
  <r>
    <s v="95011238564"/>
    <s v="lubelskie"/>
    <s v="miasto"/>
    <n v="95"/>
    <x v="8"/>
    <n v="12"/>
    <n v="1995"/>
    <x v="8"/>
    <x v="0"/>
    <n v="19950112"/>
  </r>
  <r>
    <s v="63060590812"/>
    <s v="łódzkie"/>
    <s v="wieś"/>
    <n v="63"/>
    <x v="7"/>
    <n v="5"/>
    <n v="1963"/>
    <x v="7"/>
    <x v="25"/>
    <n v="19630605"/>
  </r>
  <r>
    <s v="73052262582"/>
    <s v="mazowieckie"/>
    <s v="wieś"/>
    <n v="73"/>
    <x v="4"/>
    <n v="22"/>
    <n v="1973"/>
    <x v="4"/>
    <x v="30"/>
    <n v="19730522"/>
  </r>
  <r>
    <s v="57022439574"/>
    <s v="lubuskie"/>
    <s v="wieś"/>
    <n v="57"/>
    <x v="10"/>
    <n v="24"/>
    <n v="1957"/>
    <x v="10"/>
    <x v="11"/>
    <n v="19570224"/>
  </r>
  <r>
    <s v="97060505297"/>
    <s v="kujawsko-pomorskie"/>
    <s v="miasto"/>
    <n v="97"/>
    <x v="7"/>
    <n v="5"/>
    <n v="1997"/>
    <x v="7"/>
    <x v="25"/>
    <n v="19970605"/>
  </r>
  <r>
    <s v="99112776026"/>
    <s v="kujawsko-pomorskie"/>
    <s v="wieś"/>
    <n v="99"/>
    <x v="9"/>
    <n v="27"/>
    <n v="1999"/>
    <x v="9"/>
    <x v="15"/>
    <n v="19991127"/>
  </r>
  <r>
    <s v="84061020261"/>
    <s v="podkarpackie"/>
    <s v="wieś"/>
    <n v="84"/>
    <x v="7"/>
    <n v="10"/>
    <n v="1984"/>
    <x v="7"/>
    <x v="8"/>
    <n v="19840610"/>
  </r>
  <r>
    <s v="77040155423"/>
    <s v="opolskie"/>
    <s v="miasto"/>
    <n v="77"/>
    <x v="2"/>
    <n v="1"/>
    <n v="1977"/>
    <x v="2"/>
    <x v="1"/>
    <n v="19770401"/>
  </r>
  <r>
    <s v="84091296111"/>
    <s v="lubelskie"/>
    <s v="miasto"/>
    <n v="84"/>
    <x v="5"/>
    <n v="12"/>
    <n v="1984"/>
    <x v="5"/>
    <x v="0"/>
    <n v="19840912"/>
  </r>
  <r>
    <s v="55022627630"/>
    <s v="łódzkie"/>
    <s v="miasto"/>
    <n v="55"/>
    <x v="10"/>
    <n v="26"/>
    <n v="1955"/>
    <x v="10"/>
    <x v="14"/>
    <n v="19550226"/>
  </r>
  <r>
    <s v="69082217922"/>
    <s v="opolskie"/>
    <s v="miasto"/>
    <n v="69"/>
    <x v="3"/>
    <n v="22"/>
    <n v="1969"/>
    <x v="3"/>
    <x v="30"/>
    <n v="19690822"/>
  </r>
  <r>
    <s v="99022773687"/>
    <s v="śląskie"/>
    <s v="miasto"/>
    <n v="99"/>
    <x v="10"/>
    <n v="27"/>
    <n v="1999"/>
    <x v="10"/>
    <x v="15"/>
    <n v="19990227"/>
  </r>
  <r>
    <s v="97082737087"/>
    <s v="łódzkie"/>
    <s v="miasto"/>
    <n v="97"/>
    <x v="3"/>
    <n v="27"/>
    <n v="1997"/>
    <x v="3"/>
    <x v="15"/>
    <n v="19970827"/>
  </r>
  <r>
    <s v="54010610047"/>
    <s v="śląskie"/>
    <s v="miasto"/>
    <n v="54"/>
    <x v="8"/>
    <n v="6"/>
    <n v="1954"/>
    <x v="8"/>
    <x v="17"/>
    <n v="19540106"/>
  </r>
  <r>
    <s v="91020578578"/>
    <s v="opolskie"/>
    <s v="miasto"/>
    <n v="91"/>
    <x v="10"/>
    <n v="5"/>
    <n v="1991"/>
    <x v="10"/>
    <x v="25"/>
    <n v="19910205"/>
  </r>
  <r>
    <s v="70012817695"/>
    <s v="łódzkie"/>
    <s v="wieś"/>
    <n v="70"/>
    <x v="8"/>
    <n v="28"/>
    <n v="1970"/>
    <x v="8"/>
    <x v="4"/>
    <n v="19700128"/>
  </r>
  <r>
    <s v="70122997690"/>
    <s v="warmińsko-mazurskie"/>
    <s v="wieś"/>
    <n v="70"/>
    <x v="6"/>
    <n v="29"/>
    <n v="1970"/>
    <x v="6"/>
    <x v="21"/>
    <n v="19701229"/>
  </r>
  <r>
    <s v="78102548326"/>
    <s v="lubuskie"/>
    <s v="miasto"/>
    <n v="78"/>
    <x v="1"/>
    <n v="25"/>
    <n v="1978"/>
    <x v="1"/>
    <x v="19"/>
    <n v="19781025"/>
  </r>
  <r>
    <s v="99120273519"/>
    <s v="kujawsko-pomorskie"/>
    <s v="wieś"/>
    <n v="99"/>
    <x v="6"/>
    <n v="2"/>
    <n v="1999"/>
    <x v="6"/>
    <x v="16"/>
    <n v="19991202"/>
  </r>
  <r>
    <s v="84122479674"/>
    <s v="małopolskie"/>
    <s v="miasto"/>
    <n v="84"/>
    <x v="6"/>
    <n v="24"/>
    <n v="1984"/>
    <x v="6"/>
    <x v="11"/>
    <n v="19841224"/>
  </r>
  <r>
    <s v="98051749735"/>
    <s v="lubelskie"/>
    <s v="wieś"/>
    <n v="98"/>
    <x v="4"/>
    <n v="17"/>
    <n v="1998"/>
    <x v="4"/>
    <x v="9"/>
    <n v="19980517"/>
  </r>
  <r>
    <s v="11072711776"/>
    <s v="opolskie"/>
    <s v="miasto"/>
    <n v="11"/>
    <x v="0"/>
    <n v="27"/>
    <n v="1911"/>
    <x v="0"/>
    <x v="15"/>
    <n v="19110727"/>
  </r>
  <r>
    <s v="00291348241"/>
    <s v="kujawsko-pomorskie"/>
    <s v="wieś"/>
    <n v="0"/>
    <x v="12"/>
    <n v="13"/>
    <n v="2000"/>
    <x v="5"/>
    <x v="22"/>
    <n v="20002913"/>
  </r>
  <r>
    <s v="03252361185"/>
    <s v="warmińsko-mazurskie"/>
    <s v="miasto"/>
    <n v="3"/>
    <x v="13"/>
    <n v="23"/>
    <n v="2003"/>
    <x v="4"/>
    <x v="2"/>
    <n v="20032523"/>
  </r>
  <r>
    <s v="07282315604"/>
    <s v="mazowieckie"/>
    <s v="wieś"/>
    <n v="7"/>
    <x v="14"/>
    <n v="23"/>
    <n v="2007"/>
    <x v="3"/>
    <x v="2"/>
    <n v="20072823"/>
  </r>
  <r>
    <s v="03241701451"/>
    <s v="wielkopolskie"/>
    <s v="miasto"/>
    <n v="3"/>
    <x v="15"/>
    <n v="17"/>
    <n v="2003"/>
    <x v="2"/>
    <x v="9"/>
    <n v="20032417"/>
  </r>
  <r>
    <s v="03212680950"/>
    <s v="śląskie"/>
    <s v="miasto"/>
    <n v="3"/>
    <x v="16"/>
    <n v="26"/>
    <n v="2003"/>
    <x v="8"/>
    <x v="14"/>
    <n v="20032126"/>
  </r>
  <r>
    <s v="08301978174"/>
    <s v="pomorskie"/>
    <s v="miasto"/>
    <n v="8"/>
    <x v="17"/>
    <n v="19"/>
    <n v="2008"/>
    <x v="1"/>
    <x v="24"/>
    <n v="20083019"/>
  </r>
  <r>
    <s v="04291228949"/>
    <s v="wielkopolskie"/>
    <s v="miasto"/>
    <n v="4"/>
    <x v="12"/>
    <n v="12"/>
    <n v="2004"/>
    <x v="5"/>
    <x v="0"/>
    <n v="20042912"/>
  </r>
  <r>
    <s v="20290586763"/>
    <s v="podlaskie"/>
    <s v="wieś"/>
    <n v="20"/>
    <x v="12"/>
    <n v="5"/>
    <n v="2020"/>
    <x v="5"/>
    <x v="25"/>
    <n v="20202905"/>
  </r>
  <r>
    <s v="13302617719"/>
    <s v="podlaskie"/>
    <s v="miasto"/>
    <n v="13"/>
    <x v="17"/>
    <n v="26"/>
    <n v="2013"/>
    <x v="1"/>
    <x v="14"/>
    <n v="20133026"/>
  </r>
  <r>
    <s v="09210404682"/>
    <s v="dolnośląskie"/>
    <s v="miasto"/>
    <n v="9"/>
    <x v="16"/>
    <n v="4"/>
    <n v="2009"/>
    <x v="8"/>
    <x v="23"/>
    <n v="20092104"/>
  </r>
  <r>
    <s v="00211828297"/>
    <s v="dolnośląskie"/>
    <s v="wieś"/>
    <n v="0"/>
    <x v="16"/>
    <n v="18"/>
    <n v="2000"/>
    <x v="8"/>
    <x v="18"/>
    <n v="20002118"/>
  </r>
  <r>
    <s v="02251268240"/>
    <s v="małopolskie"/>
    <s v="wieś"/>
    <n v="2"/>
    <x v="13"/>
    <n v="12"/>
    <n v="2002"/>
    <x v="4"/>
    <x v="0"/>
    <n v="20022512"/>
  </r>
  <r>
    <s v="03231107164"/>
    <s v="dolnośląskie"/>
    <s v="wieś"/>
    <n v="3"/>
    <x v="18"/>
    <n v="11"/>
    <n v="2003"/>
    <x v="11"/>
    <x v="10"/>
    <n v="20032311"/>
  </r>
  <r>
    <s v="04240363642"/>
    <s v="zachodniopomorskie"/>
    <s v="miasto"/>
    <n v="4"/>
    <x v="15"/>
    <n v="3"/>
    <n v="2004"/>
    <x v="2"/>
    <x v="29"/>
    <n v="20042403"/>
  </r>
  <r>
    <s v="03291272002"/>
    <s v="pomorskie"/>
    <s v="wieś"/>
    <n v="3"/>
    <x v="12"/>
    <n v="12"/>
    <n v="2003"/>
    <x v="5"/>
    <x v="0"/>
    <n v="20032912"/>
  </r>
  <r>
    <s v="22281507519"/>
    <s v="lubelskie"/>
    <s v="miasto"/>
    <n v="22"/>
    <x v="14"/>
    <n v="15"/>
    <n v="2022"/>
    <x v="3"/>
    <x v="20"/>
    <n v="20222815"/>
  </r>
  <r>
    <s v="02262482800"/>
    <s v="wielkopolskie"/>
    <s v="miasto"/>
    <n v="2"/>
    <x v="19"/>
    <n v="24"/>
    <n v="2002"/>
    <x v="7"/>
    <x v="11"/>
    <n v="20022624"/>
  </r>
  <r>
    <s v="08211004273"/>
    <s v="pomorskie"/>
    <s v="miasto"/>
    <n v="8"/>
    <x v="16"/>
    <n v="10"/>
    <n v="2008"/>
    <x v="8"/>
    <x v="8"/>
    <n v="20082110"/>
  </r>
  <r>
    <s v="21210948180"/>
    <s v="mazowieckie"/>
    <s v="miasto"/>
    <n v="21"/>
    <x v="16"/>
    <n v="9"/>
    <n v="2021"/>
    <x v="8"/>
    <x v="12"/>
    <n v="20212109"/>
  </r>
  <r>
    <s v="20240625971"/>
    <s v="opolskie"/>
    <s v="wieś"/>
    <n v="20"/>
    <x v="15"/>
    <n v="6"/>
    <n v="2020"/>
    <x v="2"/>
    <x v="17"/>
    <n v="20202406"/>
  </r>
  <r>
    <s v="01221128012"/>
    <s v="kujawsko-pomorskie"/>
    <s v="miasto"/>
    <n v="1"/>
    <x v="20"/>
    <n v="11"/>
    <n v="2001"/>
    <x v="10"/>
    <x v="10"/>
    <n v="20012211"/>
  </r>
  <r>
    <s v="21213196313"/>
    <s v="łódzkie"/>
    <s v="miasto"/>
    <n v="21"/>
    <x v="16"/>
    <n v="31"/>
    <n v="2021"/>
    <x v="8"/>
    <x v="3"/>
    <n v="20212131"/>
  </r>
  <r>
    <s v="12221688202"/>
    <s v="świętokrzyskie"/>
    <s v="miasto"/>
    <n v="12"/>
    <x v="20"/>
    <n v="16"/>
    <n v="2012"/>
    <x v="10"/>
    <x v="13"/>
    <n v="20122216"/>
  </r>
  <r>
    <s v="00292767397"/>
    <s v="opolskie"/>
    <s v="miasto"/>
    <n v="0"/>
    <x v="12"/>
    <n v="27"/>
    <n v="2000"/>
    <x v="5"/>
    <x v="15"/>
    <n v="20002927"/>
  </r>
  <r>
    <s v="09280834761"/>
    <s v="podkarpackie"/>
    <s v="wieś"/>
    <n v="9"/>
    <x v="14"/>
    <n v="8"/>
    <n v="2009"/>
    <x v="3"/>
    <x v="7"/>
    <n v="20092808"/>
  </r>
  <r>
    <s v="07230141800"/>
    <s v="warmińsko-mazurskie"/>
    <s v="wieś"/>
    <n v="7"/>
    <x v="18"/>
    <n v="1"/>
    <n v="2007"/>
    <x v="11"/>
    <x v="1"/>
    <n v="20072301"/>
  </r>
  <r>
    <s v="13242783936"/>
    <s v="warmińsko-mazurskie"/>
    <s v="miasto"/>
    <n v="13"/>
    <x v="15"/>
    <n v="27"/>
    <n v="2013"/>
    <x v="2"/>
    <x v="15"/>
    <n v="20132427"/>
  </r>
  <r>
    <s v="19301615406"/>
    <s v="mazowieckie"/>
    <s v="miasto"/>
    <n v="19"/>
    <x v="17"/>
    <n v="16"/>
    <n v="2019"/>
    <x v="1"/>
    <x v="13"/>
    <n v="20193016"/>
  </r>
  <r>
    <s v="21322259118"/>
    <s v="zachodniopomorskie"/>
    <s v="wieś"/>
    <n v="21"/>
    <x v="21"/>
    <n v="22"/>
    <n v="2021"/>
    <x v="6"/>
    <x v="30"/>
    <n v="20213222"/>
  </r>
  <r>
    <s v="22320106198"/>
    <s v="zachodniopomorskie"/>
    <s v="miasto"/>
    <n v="22"/>
    <x v="21"/>
    <n v="1"/>
    <n v="2022"/>
    <x v="6"/>
    <x v="1"/>
    <n v="20223201"/>
  </r>
  <r>
    <s v="03231838149"/>
    <s v="podkarpackie"/>
    <s v="wieś"/>
    <n v="3"/>
    <x v="18"/>
    <n v="18"/>
    <n v="2003"/>
    <x v="11"/>
    <x v="18"/>
    <n v="20032318"/>
  </r>
  <r>
    <s v="16210190729"/>
    <s v="lubuskie"/>
    <s v="miasto"/>
    <n v="16"/>
    <x v="16"/>
    <n v="1"/>
    <n v="2016"/>
    <x v="8"/>
    <x v="1"/>
    <n v="20162101"/>
  </r>
  <r>
    <s v="18321437030"/>
    <s v="pomorskie"/>
    <s v="miasto"/>
    <n v="18"/>
    <x v="21"/>
    <n v="14"/>
    <n v="2018"/>
    <x v="6"/>
    <x v="6"/>
    <n v="20183214"/>
  </r>
  <r>
    <s v="16261642886"/>
    <s v="warmińsko-mazurskie"/>
    <s v="wieś"/>
    <n v="16"/>
    <x v="19"/>
    <n v="16"/>
    <n v="2016"/>
    <x v="7"/>
    <x v="13"/>
    <n v="20162616"/>
  </r>
  <r>
    <s v="07270267124"/>
    <s v="mazowieckie"/>
    <s v="wieś"/>
    <n v="7"/>
    <x v="22"/>
    <n v="2"/>
    <n v="2007"/>
    <x v="0"/>
    <x v="16"/>
    <n v="20072702"/>
  </r>
  <r>
    <s v="12230371272"/>
    <s v="dolnośląskie"/>
    <s v="miasto"/>
    <n v="12"/>
    <x v="18"/>
    <n v="3"/>
    <n v="2012"/>
    <x v="11"/>
    <x v="29"/>
    <n v="20122303"/>
  </r>
  <r>
    <s v="19312291217"/>
    <s v="zachodniopomorskie"/>
    <s v="miasto"/>
    <n v="19"/>
    <x v="23"/>
    <n v="22"/>
    <n v="2019"/>
    <x v="9"/>
    <x v="30"/>
    <n v="20193122"/>
  </r>
  <r>
    <s v="01300894454"/>
    <s v="łódzkie"/>
    <s v="miasto"/>
    <n v="1"/>
    <x v="17"/>
    <n v="8"/>
    <n v="2001"/>
    <x v="1"/>
    <x v="7"/>
    <n v="20013008"/>
  </r>
  <r>
    <s v="19211127459"/>
    <s v="lubelskie"/>
    <s v="wieś"/>
    <n v="19"/>
    <x v="16"/>
    <n v="11"/>
    <n v="2019"/>
    <x v="8"/>
    <x v="10"/>
    <n v="20192111"/>
  </r>
  <r>
    <s v="22242651466"/>
    <s v="wielkopolskie"/>
    <s v="wieś"/>
    <n v="22"/>
    <x v="15"/>
    <n v="26"/>
    <n v="2022"/>
    <x v="2"/>
    <x v="14"/>
    <n v="20222426"/>
  </r>
  <r>
    <s v="22231156695"/>
    <s v="lubuskie"/>
    <s v="miasto"/>
    <n v="22"/>
    <x v="18"/>
    <n v="11"/>
    <n v="2022"/>
    <x v="11"/>
    <x v="10"/>
    <n v="20222311"/>
  </r>
  <r>
    <s v="07262771994"/>
    <s v="dolnośląskie"/>
    <s v="wieś"/>
    <n v="7"/>
    <x v="19"/>
    <n v="27"/>
    <n v="2007"/>
    <x v="7"/>
    <x v="15"/>
    <n v="20072627"/>
  </r>
  <r>
    <s v="10242164211"/>
    <s v="opolskie"/>
    <s v="miasto"/>
    <n v="10"/>
    <x v="15"/>
    <n v="21"/>
    <n v="2010"/>
    <x v="2"/>
    <x v="27"/>
    <n v="20102421"/>
  </r>
  <r>
    <s v="02222614214"/>
    <s v="kujawsko-pomorskie"/>
    <s v="wieś"/>
    <n v="2"/>
    <x v="20"/>
    <n v="26"/>
    <n v="2002"/>
    <x v="10"/>
    <x v="14"/>
    <n v="20022226"/>
  </r>
  <r>
    <s v="14282288777"/>
    <s v="lubuskie"/>
    <s v="wieś"/>
    <n v="14"/>
    <x v="14"/>
    <n v="22"/>
    <n v="2014"/>
    <x v="3"/>
    <x v="30"/>
    <n v="20142822"/>
  </r>
  <r>
    <s v="18230257567"/>
    <s v="pomorskie"/>
    <s v="miasto"/>
    <n v="18"/>
    <x v="18"/>
    <n v="2"/>
    <n v="2018"/>
    <x v="11"/>
    <x v="16"/>
    <n v="20182302"/>
  </r>
  <r>
    <s v="09310318685"/>
    <s v="zachodniopomorskie"/>
    <s v="miasto"/>
    <n v="9"/>
    <x v="23"/>
    <n v="3"/>
    <n v="2009"/>
    <x v="9"/>
    <x v="29"/>
    <n v="20093103"/>
  </r>
  <r>
    <s v="14291341548"/>
    <s v="śląskie"/>
    <s v="wieś"/>
    <n v="14"/>
    <x v="12"/>
    <n v="13"/>
    <n v="2014"/>
    <x v="5"/>
    <x v="22"/>
    <n v="20142913"/>
  </r>
  <r>
    <s v="05220871506"/>
    <s v="wielkopolskie"/>
    <s v="miasto"/>
    <n v="5"/>
    <x v="20"/>
    <n v="8"/>
    <n v="2005"/>
    <x v="10"/>
    <x v="7"/>
    <n v="20052208"/>
  </r>
  <r>
    <s v="01291595985"/>
    <s v="podlaskie"/>
    <s v="miasto"/>
    <n v="1"/>
    <x v="12"/>
    <n v="15"/>
    <n v="2001"/>
    <x v="5"/>
    <x v="20"/>
    <n v="20012915"/>
  </r>
  <r>
    <s v="03221082073"/>
    <s v="mazowieckie"/>
    <s v="wieś"/>
    <n v="3"/>
    <x v="20"/>
    <n v="10"/>
    <n v="2003"/>
    <x v="10"/>
    <x v="8"/>
    <n v="20032210"/>
  </r>
  <r>
    <s v="13281615591"/>
    <s v="podlaskie"/>
    <s v="wieś"/>
    <n v="13"/>
    <x v="14"/>
    <n v="16"/>
    <n v="2013"/>
    <x v="3"/>
    <x v="13"/>
    <n v="20132816"/>
  </r>
  <r>
    <s v="22260628520"/>
    <s v="łódzkie"/>
    <s v="miasto"/>
    <n v="22"/>
    <x v="19"/>
    <n v="6"/>
    <n v="2022"/>
    <x v="7"/>
    <x v="17"/>
    <n v="20222606"/>
  </r>
  <r>
    <s v="16262990056"/>
    <s v="pomorskie"/>
    <s v="wieś"/>
    <n v="16"/>
    <x v="19"/>
    <n v="29"/>
    <n v="2016"/>
    <x v="7"/>
    <x v="21"/>
    <n v="20162629"/>
  </r>
  <r>
    <s v="03262578326"/>
    <s v="świętokrzyskie"/>
    <s v="wieś"/>
    <n v="3"/>
    <x v="19"/>
    <n v="25"/>
    <n v="2003"/>
    <x v="7"/>
    <x v="19"/>
    <n v="20032625"/>
  </r>
  <r>
    <s v="02283166327"/>
    <s v="kujawsko-pomorskie"/>
    <s v="miasto"/>
    <n v="2"/>
    <x v="14"/>
    <n v="31"/>
    <n v="2002"/>
    <x v="3"/>
    <x v="3"/>
    <n v="20022831"/>
  </r>
  <r>
    <s v="07221636355"/>
    <s v="łódzkie"/>
    <s v="wieś"/>
    <n v="7"/>
    <x v="20"/>
    <n v="16"/>
    <n v="2007"/>
    <x v="10"/>
    <x v="13"/>
    <n v="20072216"/>
  </r>
  <r>
    <s v="03221064390"/>
    <s v="łódzkie"/>
    <s v="wieś"/>
    <n v="3"/>
    <x v="20"/>
    <n v="10"/>
    <n v="2003"/>
    <x v="10"/>
    <x v="8"/>
    <n v="20032210"/>
  </r>
  <r>
    <s v="11260890223"/>
    <s v="małopolskie"/>
    <s v="wieś"/>
    <n v="11"/>
    <x v="19"/>
    <n v="8"/>
    <n v="2011"/>
    <x v="7"/>
    <x v="7"/>
    <n v="20112608"/>
  </r>
  <r>
    <s v="14241199184"/>
    <s v="świętokrzyskie"/>
    <s v="wieś"/>
    <n v="14"/>
    <x v="15"/>
    <n v="11"/>
    <n v="2014"/>
    <x v="2"/>
    <x v="10"/>
    <n v="20142411"/>
  </r>
  <r>
    <s v="12241226916"/>
    <s v="łódzkie"/>
    <s v="wieś"/>
    <n v="12"/>
    <x v="15"/>
    <n v="12"/>
    <n v="2012"/>
    <x v="2"/>
    <x v="0"/>
    <n v="20122412"/>
  </r>
  <r>
    <s v="04213122199"/>
    <s v="dolnośląskie"/>
    <s v="miasto"/>
    <n v="4"/>
    <x v="16"/>
    <n v="31"/>
    <n v="2004"/>
    <x v="8"/>
    <x v="3"/>
    <n v="20042131"/>
  </r>
  <r>
    <s v="10240797842"/>
    <s v="lubelskie"/>
    <s v="wieś"/>
    <n v="10"/>
    <x v="15"/>
    <n v="7"/>
    <n v="2010"/>
    <x v="2"/>
    <x v="5"/>
    <n v="20102407"/>
  </r>
  <r>
    <s v="19251159416"/>
    <s v="opolskie"/>
    <s v="miasto"/>
    <n v="19"/>
    <x v="13"/>
    <n v="11"/>
    <n v="2019"/>
    <x v="4"/>
    <x v="10"/>
    <n v="20192511"/>
  </r>
  <r>
    <s v="02210829651"/>
    <s v="podlaskie"/>
    <s v="wieś"/>
    <n v="2"/>
    <x v="16"/>
    <n v="8"/>
    <n v="2002"/>
    <x v="8"/>
    <x v="7"/>
    <n v="20022108"/>
  </r>
  <r>
    <s v="16320390840"/>
    <s v="łódzkie"/>
    <s v="wieś"/>
    <n v="16"/>
    <x v="21"/>
    <n v="3"/>
    <n v="2016"/>
    <x v="6"/>
    <x v="29"/>
    <n v="20163203"/>
  </r>
  <r>
    <s v="22290574762"/>
    <s v="podlaskie"/>
    <s v="wieś"/>
    <n v="22"/>
    <x v="12"/>
    <n v="5"/>
    <n v="2022"/>
    <x v="5"/>
    <x v="25"/>
    <n v="20222905"/>
  </r>
  <r>
    <s v="15272803226"/>
    <s v="opolskie"/>
    <s v="wieś"/>
    <n v="15"/>
    <x v="22"/>
    <n v="28"/>
    <n v="2015"/>
    <x v="0"/>
    <x v="4"/>
    <n v="20152728"/>
  </r>
  <r>
    <s v="22301213239"/>
    <s v="śląskie"/>
    <s v="wieś"/>
    <n v="22"/>
    <x v="17"/>
    <n v="12"/>
    <n v="2022"/>
    <x v="1"/>
    <x v="0"/>
    <n v="20223012"/>
  </r>
  <r>
    <s v="12293034558"/>
    <s v="zachodniopomorskie"/>
    <s v="miasto"/>
    <n v="12"/>
    <x v="12"/>
    <n v="30"/>
    <n v="2012"/>
    <x v="5"/>
    <x v="26"/>
    <n v="20122930"/>
  </r>
  <r>
    <s v="11220493866"/>
    <s v="zachodniopomorskie"/>
    <s v="miasto"/>
    <n v="11"/>
    <x v="20"/>
    <n v="4"/>
    <n v="2011"/>
    <x v="10"/>
    <x v="23"/>
    <n v="20112204"/>
  </r>
  <r>
    <s v="06321656678"/>
    <s v="śląskie"/>
    <s v="wieś"/>
    <n v="6"/>
    <x v="21"/>
    <n v="16"/>
    <n v="2006"/>
    <x v="6"/>
    <x v="13"/>
    <n v="20063216"/>
  </r>
  <r>
    <s v="08271854737"/>
    <s v="lubelskie"/>
    <s v="wieś"/>
    <n v="8"/>
    <x v="22"/>
    <n v="18"/>
    <n v="2008"/>
    <x v="0"/>
    <x v="18"/>
    <n v="20082718"/>
  </r>
  <r>
    <s v="12220169142"/>
    <s v="opolskie"/>
    <s v="miasto"/>
    <n v="12"/>
    <x v="20"/>
    <n v="1"/>
    <n v="2012"/>
    <x v="10"/>
    <x v="1"/>
    <n v="20122201"/>
  </r>
  <r>
    <s v="18271849295"/>
    <s v="mazowieckie"/>
    <s v="miasto"/>
    <n v="18"/>
    <x v="22"/>
    <n v="18"/>
    <n v="2018"/>
    <x v="0"/>
    <x v="18"/>
    <n v="20182718"/>
  </r>
  <r>
    <s v="06210843055"/>
    <s v="podlaskie"/>
    <s v="miasto"/>
    <n v="6"/>
    <x v="16"/>
    <n v="8"/>
    <n v="2006"/>
    <x v="8"/>
    <x v="7"/>
    <n v="20062108"/>
  </r>
  <r>
    <s v="08241312032"/>
    <s v="dolnośląskie"/>
    <s v="wieś"/>
    <n v="8"/>
    <x v="15"/>
    <n v="13"/>
    <n v="2008"/>
    <x v="2"/>
    <x v="22"/>
    <n v="20082413"/>
  </r>
  <r>
    <s v="15321101996"/>
    <s v="lubelskie"/>
    <s v="wieś"/>
    <n v="15"/>
    <x v="21"/>
    <n v="11"/>
    <n v="2015"/>
    <x v="6"/>
    <x v="10"/>
    <n v="20153211"/>
  </r>
  <r>
    <s v="09230321604"/>
    <s v="śląskie"/>
    <s v="wieś"/>
    <n v="9"/>
    <x v="18"/>
    <n v="3"/>
    <n v="2009"/>
    <x v="11"/>
    <x v="29"/>
    <n v="20092303"/>
  </r>
  <r>
    <s v="09282257544"/>
    <s v="zachodniopomorskie"/>
    <s v="wieś"/>
    <n v="9"/>
    <x v="14"/>
    <n v="22"/>
    <n v="2009"/>
    <x v="3"/>
    <x v="30"/>
    <n v="20092822"/>
  </r>
  <r>
    <s v="12272278496"/>
    <s v="podkarpackie"/>
    <s v="wieś"/>
    <n v="12"/>
    <x v="22"/>
    <n v="22"/>
    <n v="2012"/>
    <x v="0"/>
    <x v="30"/>
    <n v="20122722"/>
  </r>
  <r>
    <s v="06261714801"/>
    <s v="zachodniopomorskie"/>
    <s v="miasto"/>
    <n v="6"/>
    <x v="19"/>
    <n v="17"/>
    <n v="2006"/>
    <x v="7"/>
    <x v="9"/>
    <n v="20062617"/>
  </r>
  <r>
    <s v="12290662086"/>
    <s v="mazowieckie"/>
    <s v="miasto"/>
    <n v="12"/>
    <x v="12"/>
    <n v="6"/>
    <n v="2012"/>
    <x v="5"/>
    <x v="17"/>
    <n v="20122906"/>
  </r>
  <r>
    <s v="13222347822"/>
    <s v="mazowieckie"/>
    <s v="miasto"/>
    <n v="13"/>
    <x v="20"/>
    <n v="23"/>
    <n v="2013"/>
    <x v="10"/>
    <x v="2"/>
    <n v="20132223"/>
  </r>
  <r>
    <s v="17292749872"/>
    <s v="lubelskie"/>
    <s v="wieś"/>
    <n v="17"/>
    <x v="12"/>
    <n v="27"/>
    <n v="2017"/>
    <x v="5"/>
    <x v="15"/>
    <n v="20172927"/>
  </r>
  <r>
    <s v="19302110146"/>
    <s v="opolskie"/>
    <s v="wieś"/>
    <n v="19"/>
    <x v="17"/>
    <n v="21"/>
    <n v="2019"/>
    <x v="1"/>
    <x v="27"/>
    <n v="20193021"/>
  </r>
  <r>
    <s v="13240361611"/>
    <s v="świętokrzyskie"/>
    <s v="miasto"/>
    <n v="13"/>
    <x v="15"/>
    <n v="3"/>
    <n v="2013"/>
    <x v="2"/>
    <x v="29"/>
    <n v="20132403"/>
  </r>
  <r>
    <s v="15240354042"/>
    <s v="opolskie"/>
    <s v="miasto"/>
    <n v="15"/>
    <x v="15"/>
    <n v="3"/>
    <n v="2015"/>
    <x v="2"/>
    <x v="29"/>
    <n v="20152403"/>
  </r>
  <r>
    <s v="13301915474"/>
    <s v="zachodniopomorskie"/>
    <s v="miasto"/>
    <n v="13"/>
    <x v="17"/>
    <n v="19"/>
    <n v="2013"/>
    <x v="1"/>
    <x v="24"/>
    <n v="20133019"/>
  </r>
  <r>
    <s v="19262778871"/>
    <s v="dolnośląskie"/>
    <s v="miasto"/>
    <n v="19"/>
    <x v="19"/>
    <n v="27"/>
    <n v="2019"/>
    <x v="7"/>
    <x v="15"/>
    <n v="20192627"/>
  </r>
  <r>
    <s v="13280978334"/>
    <s v="małopolskie"/>
    <s v="wieś"/>
    <n v="13"/>
    <x v="14"/>
    <n v="9"/>
    <n v="2013"/>
    <x v="3"/>
    <x v="12"/>
    <n v="20132809"/>
  </r>
  <r>
    <s v="14302824284"/>
    <s v="dolnośląskie"/>
    <s v="miasto"/>
    <n v="14"/>
    <x v="17"/>
    <n v="28"/>
    <n v="2014"/>
    <x v="1"/>
    <x v="4"/>
    <n v="20143028"/>
  </r>
  <r>
    <s v="11272805824"/>
    <s v="lubelskie"/>
    <s v="wieś"/>
    <n v="11"/>
    <x v="22"/>
    <n v="28"/>
    <n v="2011"/>
    <x v="0"/>
    <x v="4"/>
    <n v="20112728"/>
  </r>
  <r>
    <s v="05291879913"/>
    <s v="łódzkie"/>
    <s v="miasto"/>
    <n v="5"/>
    <x v="12"/>
    <n v="18"/>
    <n v="2005"/>
    <x v="5"/>
    <x v="18"/>
    <n v="20052918"/>
  </r>
  <r>
    <s v="14212729259"/>
    <s v="łódzkie"/>
    <s v="wieś"/>
    <n v="14"/>
    <x v="16"/>
    <n v="27"/>
    <n v="2014"/>
    <x v="8"/>
    <x v="15"/>
    <n v="20142127"/>
  </r>
  <r>
    <s v="03210117463"/>
    <s v="łódzkie"/>
    <s v="miasto"/>
    <n v="3"/>
    <x v="16"/>
    <n v="1"/>
    <n v="2003"/>
    <x v="8"/>
    <x v="1"/>
    <n v="20032101"/>
  </r>
  <r>
    <s v="14291498509"/>
    <s v="wielkopolskie"/>
    <s v="miasto"/>
    <n v="14"/>
    <x v="12"/>
    <n v="14"/>
    <n v="2014"/>
    <x v="5"/>
    <x v="6"/>
    <n v="20142914"/>
  </r>
  <r>
    <s v="12300620789"/>
    <s v="warmińsko-mazurskie"/>
    <s v="miasto"/>
    <n v="12"/>
    <x v="17"/>
    <n v="6"/>
    <n v="2012"/>
    <x v="1"/>
    <x v="17"/>
    <n v="20123006"/>
  </r>
  <r>
    <s v="16230803856"/>
    <s v="śląskie"/>
    <s v="miasto"/>
    <n v="16"/>
    <x v="18"/>
    <n v="8"/>
    <n v="2016"/>
    <x v="11"/>
    <x v="7"/>
    <n v="20162308"/>
  </r>
  <r>
    <s v="01220719112"/>
    <s v="śląskie"/>
    <s v="miasto"/>
    <n v="1"/>
    <x v="20"/>
    <n v="7"/>
    <n v="2001"/>
    <x v="10"/>
    <x v="5"/>
    <n v="20012207"/>
  </r>
  <r>
    <s v="19220908124"/>
    <s v="dolnośląskie"/>
    <s v="wieś"/>
    <n v="19"/>
    <x v="20"/>
    <n v="9"/>
    <n v="2019"/>
    <x v="10"/>
    <x v="12"/>
    <n v="20192209"/>
  </r>
  <r>
    <s v="07240788697"/>
    <s v="lubelskie"/>
    <s v="wieś"/>
    <n v="7"/>
    <x v="15"/>
    <n v="7"/>
    <n v="2007"/>
    <x v="2"/>
    <x v="5"/>
    <n v="20072407"/>
  </r>
  <r>
    <s v="04292335426"/>
    <s v="kujawsko-pomorskie"/>
    <s v="miasto"/>
    <n v="4"/>
    <x v="12"/>
    <n v="23"/>
    <n v="2004"/>
    <x v="5"/>
    <x v="2"/>
    <n v="20042923"/>
  </r>
  <r>
    <s v="17311142206"/>
    <s v="lubelskie"/>
    <s v="wieś"/>
    <n v="17"/>
    <x v="23"/>
    <n v="11"/>
    <n v="2017"/>
    <x v="9"/>
    <x v="10"/>
    <n v="20173111"/>
  </r>
  <r>
    <s v="16321147489"/>
    <s v="opolskie"/>
    <s v="wieś"/>
    <n v="16"/>
    <x v="21"/>
    <n v="11"/>
    <n v="2016"/>
    <x v="6"/>
    <x v="10"/>
    <n v="20163211"/>
  </r>
  <r>
    <s v="06292135242"/>
    <s v="łódzkie"/>
    <s v="miasto"/>
    <n v="6"/>
    <x v="12"/>
    <n v="21"/>
    <n v="2006"/>
    <x v="5"/>
    <x v="27"/>
    <n v="20062921"/>
  </r>
  <r>
    <s v="05230870575"/>
    <s v="podkarpackie"/>
    <s v="miasto"/>
    <n v="5"/>
    <x v="18"/>
    <n v="8"/>
    <n v="2005"/>
    <x v="11"/>
    <x v="7"/>
    <n v="20052308"/>
  </r>
  <r>
    <s v="18271449174"/>
    <s v="świętokrzyskie"/>
    <s v="wieś"/>
    <n v="18"/>
    <x v="22"/>
    <n v="14"/>
    <n v="2018"/>
    <x v="0"/>
    <x v="6"/>
    <n v="20182714"/>
  </r>
  <r>
    <s v="06321258252"/>
    <s v="pomorskie"/>
    <s v="wieś"/>
    <n v="6"/>
    <x v="21"/>
    <n v="12"/>
    <n v="2006"/>
    <x v="6"/>
    <x v="0"/>
    <n v="20063212"/>
  </r>
  <r>
    <s v="18262630525"/>
    <s v="lubuskie"/>
    <s v="miasto"/>
    <n v="18"/>
    <x v="19"/>
    <n v="26"/>
    <n v="2018"/>
    <x v="7"/>
    <x v="14"/>
    <n v="20182626"/>
  </r>
  <r>
    <s v="07261242695"/>
    <s v="świętokrzyskie"/>
    <s v="wieś"/>
    <n v="7"/>
    <x v="19"/>
    <n v="12"/>
    <n v="2007"/>
    <x v="7"/>
    <x v="0"/>
    <n v="20072612"/>
  </r>
  <r>
    <s v="08300675577"/>
    <s v="wielkopolskie"/>
    <s v="wieś"/>
    <n v="8"/>
    <x v="17"/>
    <n v="6"/>
    <n v="2008"/>
    <x v="1"/>
    <x v="17"/>
    <n v="20083006"/>
  </r>
  <r>
    <s v="08221193888"/>
    <s v="lubelskie"/>
    <s v="miasto"/>
    <n v="8"/>
    <x v="20"/>
    <n v="11"/>
    <n v="2008"/>
    <x v="10"/>
    <x v="10"/>
    <n v="20082211"/>
  </r>
  <r>
    <s v="05220192948"/>
    <s v="lubelskie"/>
    <s v="wieś"/>
    <n v="5"/>
    <x v="20"/>
    <n v="1"/>
    <n v="2005"/>
    <x v="10"/>
    <x v="1"/>
    <n v="20052201"/>
  </r>
  <r>
    <s v="11222023223"/>
    <s v="warmińsko-mazurskie"/>
    <s v="wieś"/>
    <n v="11"/>
    <x v="20"/>
    <n v="20"/>
    <n v="2011"/>
    <x v="10"/>
    <x v="28"/>
    <n v="20112220"/>
  </r>
  <r>
    <s v="04302302640"/>
    <s v="kujawsko-pomorskie"/>
    <s v="wieś"/>
    <n v="4"/>
    <x v="17"/>
    <n v="23"/>
    <n v="2004"/>
    <x v="1"/>
    <x v="2"/>
    <n v="20043023"/>
  </r>
  <r>
    <s v="19303024725"/>
    <s v="zachodniopomorskie"/>
    <s v="miasto"/>
    <n v="19"/>
    <x v="17"/>
    <n v="30"/>
    <n v="2019"/>
    <x v="1"/>
    <x v="26"/>
    <n v="20193030"/>
  </r>
  <r>
    <s v="16291352676"/>
    <s v="zachodniopomorskie"/>
    <s v="miasto"/>
    <n v="16"/>
    <x v="12"/>
    <n v="13"/>
    <n v="2016"/>
    <x v="5"/>
    <x v="22"/>
    <n v="20162913"/>
  </r>
  <r>
    <s v="05251729665"/>
    <s v="kujawsko-pomorskie"/>
    <s v="miasto"/>
    <n v="5"/>
    <x v="13"/>
    <n v="17"/>
    <n v="2005"/>
    <x v="4"/>
    <x v="9"/>
    <n v="20052517"/>
  </r>
  <r>
    <s v="05263016560"/>
    <s v="dolnośląskie"/>
    <s v="miasto"/>
    <n v="5"/>
    <x v="19"/>
    <n v="30"/>
    <n v="2005"/>
    <x v="7"/>
    <x v="26"/>
    <n v="20052630"/>
  </r>
  <r>
    <s v="00213181006"/>
    <s v="mazowieckie"/>
    <s v="miasto"/>
    <n v="0"/>
    <x v="16"/>
    <n v="31"/>
    <n v="2000"/>
    <x v="8"/>
    <x v="3"/>
    <n v="20002131"/>
  </r>
  <r>
    <s v="05292216513"/>
    <s v="kujawsko-pomorskie"/>
    <s v="wieś"/>
    <n v="5"/>
    <x v="12"/>
    <n v="22"/>
    <n v="2005"/>
    <x v="5"/>
    <x v="30"/>
    <n v="20052922"/>
  </r>
  <r>
    <s v="16251548464"/>
    <s v="pomorskie"/>
    <s v="wieś"/>
    <n v="16"/>
    <x v="13"/>
    <n v="15"/>
    <n v="2016"/>
    <x v="4"/>
    <x v="20"/>
    <n v="20162515"/>
  </r>
  <r>
    <s v="10292707398"/>
    <s v="mazowieckie"/>
    <s v="miasto"/>
    <n v="10"/>
    <x v="12"/>
    <n v="27"/>
    <n v="2010"/>
    <x v="5"/>
    <x v="15"/>
    <n v="20102927"/>
  </r>
  <r>
    <s v="14231316500"/>
    <s v="mazowieckie"/>
    <s v="miasto"/>
    <n v="14"/>
    <x v="18"/>
    <n v="13"/>
    <n v="2014"/>
    <x v="11"/>
    <x v="22"/>
    <n v="20142313"/>
  </r>
  <r>
    <s v="21222678682"/>
    <s v="podlaskie"/>
    <s v="wieś"/>
    <n v="21"/>
    <x v="20"/>
    <n v="26"/>
    <n v="2021"/>
    <x v="10"/>
    <x v="14"/>
    <n v="20212226"/>
  </r>
  <r>
    <s v="12292215862"/>
    <s v="opolskie"/>
    <s v="miasto"/>
    <n v="12"/>
    <x v="12"/>
    <n v="22"/>
    <n v="2012"/>
    <x v="5"/>
    <x v="30"/>
    <n v="20122922"/>
  </r>
  <r>
    <s v="07282982598"/>
    <s v="mazowieckie"/>
    <s v="miasto"/>
    <n v="7"/>
    <x v="14"/>
    <n v="29"/>
    <n v="2007"/>
    <x v="3"/>
    <x v="21"/>
    <n v="20072829"/>
  </r>
  <r>
    <s v="09220591189"/>
    <s v="łódzkie"/>
    <s v="miasto"/>
    <n v="9"/>
    <x v="20"/>
    <n v="5"/>
    <n v="2009"/>
    <x v="10"/>
    <x v="25"/>
    <n v="20092205"/>
  </r>
  <r>
    <s v="06292261558"/>
    <s v="kujawsko-pomorskie"/>
    <s v="wieś"/>
    <n v="6"/>
    <x v="12"/>
    <n v="22"/>
    <n v="2006"/>
    <x v="5"/>
    <x v="30"/>
    <n v="20062922"/>
  </r>
  <r>
    <s v="11312331944"/>
    <s v="wielkopolskie"/>
    <s v="wieś"/>
    <n v="11"/>
    <x v="23"/>
    <n v="23"/>
    <n v="2011"/>
    <x v="9"/>
    <x v="2"/>
    <n v="20113123"/>
  </r>
  <r>
    <s v="09240629666"/>
    <s v="podlaskie"/>
    <s v="wieś"/>
    <n v="9"/>
    <x v="15"/>
    <n v="6"/>
    <n v="2009"/>
    <x v="2"/>
    <x v="17"/>
    <n v="20092406"/>
  </r>
  <r>
    <s v="00312160294"/>
    <s v="podkarpackie"/>
    <s v="miasto"/>
    <n v="0"/>
    <x v="23"/>
    <n v="21"/>
    <n v="2000"/>
    <x v="9"/>
    <x v="27"/>
    <n v="20003121"/>
  </r>
  <r>
    <s v="08281110832"/>
    <s v="dolnośląskie"/>
    <s v="wieś"/>
    <n v="8"/>
    <x v="14"/>
    <n v="11"/>
    <n v="2008"/>
    <x v="3"/>
    <x v="10"/>
    <n v="20082811"/>
  </r>
  <r>
    <s v="05221259161"/>
    <s v="opolskie"/>
    <s v="miasto"/>
    <n v="5"/>
    <x v="20"/>
    <n v="12"/>
    <n v="2005"/>
    <x v="10"/>
    <x v="0"/>
    <n v="20052212"/>
  </r>
  <r>
    <s v="16212479677"/>
    <s v="śląskie"/>
    <s v="wieś"/>
    <n v="16"/>
    <x v="16"/>
    <n v="24"/>
    <n v="2016"/>
    <x v="8"/>
    <x v="11"/>
    <n v="20162124"/>
  </r>
  <r>
    <s v="15300618013"/>
    <s v="dolnośląskie"/>
    <s v="wieś"/>
    <n v="15"/>
    <x v="17"/>
    <n v="6"/>
    <n v="2015"/>
    <x v="1"/>
    <x v="17"/>
    <n v="20153006"/>
  </r>
  <r>
    <s v="15291801395"/>
    <s v="pomorskie"/>
    <s v="wieś"/>
    <n v="15"/>
    <x v="12"/>
    <n v="18"/>
    <n v="2015"/>
    <x v="5"/>
    <x v="18"/>
    <n v="20152918"/>
  </r>
  <r>
    <s v="19301521378"/>
    <s v="łódzkie"/>
    <s v="miasto"/>
    <n v="19"/>
    <x v="17"/>
    <n v="15"/>
    <n v="2019"/>
    <x v="1"/>
    <x v="20"/>
    <n v="20193015"/>
  </r>
  <r>
    <s v="03211413360"/>
    <s v="warmińsko-mazurskie"/>
    <s v="wieś"/>
    <n v="3"/>
    <x v="16"/>
    <n v="14"/>
    <n v="2003"/>
    <x v="8"/>
    <x v="6"/>
    <n v="20032114"/>
  </r>
  <r>
    <s v="06242125787"/>
    <s v="śląskie"/>
    <s v="wieś"/>
    <n v="6"/>
    <x v="15"/>
    <n v="21"/>
    <n v="2006"/>
    <x v="2"/>
    <x v="27"/>
    <n v="20062421"/>
  </r>
  <r>
    <s v="03252816289"/>
    <s v="opolskie"/>
    <s v="wieś"/>
    <n v="3"/>
    <x v="13"/>
    <n v="28"/>
    <n v="2003"/>
    <x v="4"/>
    <x v="4"/>
    <n v="20032528"/>
  </r>
  <r>
    <s v="16292924229"/>
    <s v="warmińsko-mazurskie"/>
    <s v="wieś"/>
    <n v="16"/>
    <x v="12"/>
    <n v="29"/>
    <n v="2016"/>
    <x v="5"/>
    <x v="21"/>
    <n v="20162929"/>
  </r>
  <r>
    <s v="00272757774"/>
    <s v="wielkopolskie"/>
    <s v="miasto"/>
    <n v="0"/>
    <x v="22"/>
    <n v="27"/>
    <n v="2000"/>
    <x v="0"/>
    <x v="15"/>
    <n v="20002727"/>
  </r>
  <r>
    <s v="06252143218"/>
    <s v="warmińsko-mazurskie"/>
    <s v="miasto"/>
    <n v="6"/>
    <x v="13"/>
    <n v="21"/>
    <n v="2006"/>
    <x v="4"/>
    <x v="27"/>
    <n v="20062521"/>
  </r>
  <r>
    <s v="12241783008"/>
    <s v="warmińsko-mazurskie"/>
    <s v="miasto"/>
    <n v="12"/>
    <x v="15"/>
    <n v="17"/>
    <n v="2012"/>
    <x v="2"/>
    <x v="9"/>
    <n v="20122417"/>
  </r>
  <r>
    <s v="17250119602"/>
    <s v="łódzkie"/>
    <s v="miasto"/>
    <n v="17"/>
    <x v="13"/>
    <n v="1"/>
    <n v="2017"/>
    <x v="4"/>
    <x v="1"/>
    <n v="20172501"/>
  </r>
  <r>
    <s v="15312624240"/>
    <s v="pomorskie"/>
    <s v="miasto"/>
    <n v="15"/>
    <x v="23"/>
    <n v="26"/>
    <n v="2015"/>
    <x v="9"/>
    <x v="14"/>
    <n v="20153126"/>
  </r>
  <r>
    <s v="11261383104"/>
    <s v="podlaskie"/>
    <s v="wieś"/>
    <n v="11"/>
    <x v="19"/>
    <n v="13"/>
    <n v="2011"/>
    <x v="7"/>
    <x v="22"/>
    <n v="20112613"/>
  </r>
  <r>
    <s v="11270859559"/>
    <s v="mazowieckie"/>
    <s v="wieś"/>
    <n v="11"/>
    <x v="22"/>
    <n v="8"/>
    <n v="2011"/>
    <x v="0"/>
    <x v="7"/>
    <n v="20112708"/>
  </r>
  <r>
    <s v="13251052847"/>
    <s v="podkarpackie"/>
    <s v="wieś"/>
    <n v="13"/>
    <x v="13"/>
    <n v="10"/>
    <n v="2013"/>
    <x v="4"/>
    <x v="8"/>
    <n v="20132510"/>
  </r>
  <r>
    <s v="16251477472"/>
    <s v="dolnośląskie"/>
    <s v="wieś"/>
    <n v="16"/>
    <x v="13"/>
    <n v="14"/>
    <n v="2016"/>
    <x v="4"/>
    <x v="6"/>
    <n v="20162514"/>
  </r>
  <r>
    <s v="21270269818"/>
    <s v="warmińsko-mazurskie"/>
    <s v="miasto"/>
    <n v="21"/>
    <x v="22"/>
    <n v="2"/>
    <n v="2021"/>
    <x v="0"/>
    <x v="16"/>
    <n v="20212702"/>
  </r>
  <r>
    <s v="07233171240"/>
    <s v="wielkopolskie"/>
    <s v="miasto"/>
    <n v="7"/>
    <x v="18"/>
    <n v="31"/>
    <n v="2007"/>
    <x v="11"/>
    <x v="3"/>
    <n v="20072331"/>
  </r>
  <r>
    <s v="06240685911"/>
    <s v="podlaskie"/>
    <s v="wieś"/>
    <n v="6"/>
    <x v="15"/>
    <n v="6"/>
    <n v="2006"/>
    <x v="2"/>
    <x v="17"/>
    <n v="20062406"/>
  </r>
  <r>
    <s v="08230748288"/>
    <s v="lubuskie"/>
    <s v="wieś"/>
    <n v="8"/>
    <x v="18"/>
    <n v="7"/>
    <n v="2008"/>
    <x v="11"/>
    <x v="5"/>
    <n v="20082307"/>
  </r>
  <r>
    <s v="10272638467"/>
    <s v="łódzkie"/>
    <s v="wieś"/>
    <n v="10"/>
    <x v="22"/>
    <n v="26"/>
    <n v="2010"/>
    <x v="0"/>
    <x v="14"/>
    <n v="20102726"/>
  </r>
  <r>
    <s v="07221031648"/>
    <s v="kujawsko-pomorskie"/>
    <s v="miasto"/>
    <n v="7"/>
    <x v="20"/>
    <n v="10"/>
    <n v="2007"/>
    <x v="10"/>
    <x v="8"/>
    <n v="20072210"/>
  </r>
  <r>
    <s v="02300270619"/>
    <s v="lubuskie"/>
    <s v="wieś"/>
    <n v="2"/>
    <x v="17"/>
    <n v="2"/>
    <n v="2002"/>
    <x v="1"/>
    <x v="16"/>
    <n v="20023002"/>
  </r>
  <r>
    <s v="02320180006"/>
    <s v="pomorskie"/>
    <s v="wieś"/>
    <n v="2"/>
    <x v="21"/>
    <n v="1"/>
    <n v="2002"/>
    <x v="6"/>
    <x v="1"/>
    <n v="20023201"/>
  </r>
  <r>
    <s v="10231388673"/>
    <s v="opolskie"/>
    <s v="wieś"/>
    <n v="10"/>
    <x v="18"/>
    <n v="13"/>
    <n v="2010"/>
    <x v="11"/>
    <x v="22"/>
    <n v="20102313"/>
  </r>
  <r>
    <s v="01211693203"/>
    <s v="pomorskie"/>
    <s v="miasto"/>
    <n v="1"/>
    <x v="16"/>
    <n v="16"/>
    <n v="2001"/>
    <x v="8"/>
    <x v="13"/>
    <n v="20012116"/>
  </r>
  <r>
    <s v="19221918386"/>
    <s v="zachodniopomorskie"/>
    <s v="wieś"/>
    <n v="19"/>
    <x v="20"/>
    <n v="19"/>
    <n v="2019"/>
    <x v="10"/>
    <x v="24"/>
    <n v="20192219"/>
  </r>
  <r>
    <s v="21242102774"/>
    <s v="wielkopolskie"/>
    <s v="wieś"/>
    <n v="21"/>
    <x v="15"/>
    <n v="21"/>
    <n v="2021"/>
    <x v="2"/>
    <x v="27"/>
    <n v="20212421"/>
  </r>
  <r>
    <s v="21220329306"/>
    <s v="warmińsko-mazurskie"/>
    <s v="wieś"/>
    <n v="21"/>
    <x v="20"/>
    <n v="3"/>
    <n v="2021"/>
    <x v="10"/>
    <x v="29"/>
    <n v="20212203"/>
  </r>
  <r>
    <s v="02301356646"/>
    <s v="świętokrzyskie"/>
    <s v="wieś"/>
    <n v="2"/>
    <x v="17"/>
    <n v="13"/>
    <n v="2002"/>
    <x v="1"/>
    <x v="22"/>
    <n v="20023013"/>
  </r>
  <r>
    <s v="00322554973"/>
    <s v="wielkopolskie"/>
    <s v="wieś"/>
    <n v="0"/>
    <x v="21"/>
    <n v="25"/>
    <n v="2000"/>
    <x v="6"/>
    <x v="19"/>
    <n v="20003225"/>
  </r>
  <r>
    <s v="13281180844"/>
    <s v="podkarpackie"/>
    <s v="wieś"/>
    <n v="13"/>
    <x v="14"/>
    <n v="11"/>
    <n v="2013"/>
    <x v="3"/>
    <x v="10"/>
    <n v="20132811"/>
  </r>
  <r>
    <s v="08291177821"/>
    <s v="podlaskie"/>
    <s v="wieś"/>
    <n v="8"/>
    <x v="12"/>
    <n v="11"/>
    <n v="2008"/>
    <x v="5"/>
    <x v="10"/>
    <n v="20082911"/>
  </r>
  <r>
    <s v="09211086504"/>
    <s v="lubelskie"/>
    <s v="miasto"/>
    <n v="9"/>
    <x v="16"/>
    <n v="10"/>
    <n v="2009"/>
    <x v="8"/>
    <x v="8"/>
    <n v="20092110"/>
  </r>
  <r>
    <s v="04322699630"/>
    <s v="mazowieckie"/>
    <s v="wieś"/>
    <n v="4"/>
    <x v="21"/>
    <n v="26"/>
    <n v="2004"/>
    <x v="6"/>
    <x v="14"/>
    <n v="20043226"/>
  </r>
  <r>
    <s v="21291945252"/>
    <s v="świętokrzyskie"/>
    <s v="wieś"/>
    <n v="21"/>
    <x v="12"/>
    <n v="19"/>
    <n v="2021"/>
    <x v="5"/>
    <x v="24"/>
    <n v="20212919"/>
  </r>
  <r>
    <s v="12272287597"/>
    <s v="zachodniopomorskie"/>
    <s v="miasto"/>
    <n v="12"/>
    <x v="22"/>
    <n v="22"/>
    <n v="2012"/>
    <x v="0"/>
    <x v="30"/>
    <n v="20122722"/>
  </r>
  <r>
    <s v="10271077511"/>
    <s v="świętokrzyskie"/>
    <s v="wieś"/>
    <n v="10"/>
    <x v="22"/>
    <n v="10"/>
    <n v="2010"/>
    <x v="0"/>
    <x v="8"/>
    <n v="20102710"/>
  </r>
  <r>
    <s v="13281776603"/>
    <s v="małopolskie"/>
    <s v="wieś"/>
    <n v="13"/>
    <x v="14"/>
    <n v="17"/>
    <n v="2013"/>
    <x v="3"/>
    <x v="9"/>
    <n v="20132817"/>
  </r>
  <r>
    <s v="08321477132"/>
    <s v="warmińsko-mazurskie"/>
    <s v="miasto"/>
    <n v="8"/>
    <x v="21"/>
    <n v="14"/>
    <n v="2008"/>
    <x v="6"/>
    <x v="6"/>
    <n v="20083214"/>
  </r>
  <r>
    <s v="03241142483"/>
    <s v="warmińsko-mazurskie"/>
    <s v="wieś"/>
    <n v="3"/>
    <x v="15"/>
    <n v="11"/>
    <n v="2003"/>
    <x v="2"/>
    <x v="10"/>
    <n v="20032411"/>
  </r>
  <r>
    <s v="06261817733"/>
    <s v="śląskie"/>
    <s v="wieś"/>
    <n v="6"/>
    <x v="19"/>
    <n v="18"/>
    <n v="2006"/>
    <x v="7"/>
    <x v="18"/>
    <n v="20062618"/>
  </r>
  <r>
    <s v="01322621562"/>
    <s v="lubuskie"/>
    <s v="wieś"/>
    <n v="1"/>
    <x v="21"/>
    <n v="26"/>
    <n v="2001"/>
    <x v="6"/>
    <x v="14"/>
    <n v="20013226"/>
  </r>
  <r>
    <s v="02212245123"/>
    <s v="pomorskie"/>
    <s v="miasto"/>
    <n v="2"/>
    <x v="16"/>
    <n v="22"/>
    <n v="2002"/>
    <x v="8"/>
    <x v="30"/>
    <n v="20022122"/>
  </r>
  <r>
    <s v="16240578128"/>
    <s v="lubelskie"/>
    <s v="wieś"/>
    <n v="16"/>
    <x v="15"/>
    <n v="5"/>
    <n v="2016"/>
    <x v="2"/>
    <x v="25"/>
    <n v="20162405"/>
  </r>
  <r>
    <s v="03260343573"/>
    <s v="wielkopolskie"/>
    <s v="miasto"/>
    <n v="3"/>
    <x v="19"/>
    <n v="3"/>
    <n v="2003"/>
    <x v="7"/>
    <x v="29"/>
    <n v="20032603"/>
  </r>
  <r>
    <s v="01220297225"/>
    <s v="pomorskie"/>
    <s v="wieś"/>
    <n v="1"/>
    <x v="20"/>
    <n v="2"/>
    <n v="2001"/>
    <x v="10"/>
    <x v="16"/>
    <n v="20012202"/>
  </r>
  <r>
    <s v="06210896367"/>
    <s v="lubuskie"/>
    <s v="miasto"/>
    <n v="6"/>
    <x v="16"/>
    <n v="8"/>
    <n v="2006"/>
    <x v="8"/>
    <x v="7"/>
    <n v="20062108"/>
  </r>
  <r>
    <s v="11321724913"/>
    <s v="lubelskie"/>
    <s v="miasto"/>
    <n v="11"/>
    <x v="21"/>
    <n v="17"/>
    <n v="2011"/>
    <x v="6"/>
    <x v="9"/>
    <n v="20113217"/>
  </r>
  <r>
    <s v="08291544285"/>
    <s v="pomorskie"/>
    <s v="wieś"/>
    <n v="8"/>
    <x v="12"/>
    <n v="15"/>
    <n v="2008"/>
    <x v="5"/>
    <x v="20"/>
    <n v="20082915"/>
  </r>
  <r>
    <s v="17311176384"/>
    <s v="podkarpackie"/>
    <s v="wieś"/>
    <n v="17"/>
    <x v="23"/>
    <n v="11"/>
    <n v="2017"/>
    <x v="9"/>
    <x v="10"/>
    <n v="20173111"/>
  </r>
  <r>
    <s v="04220185460"/>
    <s v="mazowieckie"/>
    <s v="miasto"/>
    <n v="4"/>
    <x v="20"/>
    <n v="1"/>
    <n v="2004"/>
    <x v="10"/>
    <x v="1"/>
    <n v="20042201"/>
  </r>
  <r>
    <s v="22241050839"/>
    <s v="lubuskie"/>
    <s v="wieś"/>
    <n v="22"/>
    <x v="15"/>
    <n v="10"/>
    <n v="2022"/>
    <x v="2"/>
    <x v="8"/>
    <n v="20222410"/>
  </r>
  <r>
    <s v="13291881753"/>
    <s v="małopolskie"/>
    <s v="wieś"/>
    <n v="13"/>
    <x v="12"/>
    <n v="18"/>
    <n v="2013"/>
    <x v="5"/>
    <x v="18"/>
    <n v="20132918"/>
  </r>
  <r>
    <s v="14292742539"/>
    <s v="lubuskie"/>
    <s v="miasto"/>
    <n v="14"/>
    <x v="12"/>
    <n v="27"/>
    <n v="2014"/>
    <x v="5"/>
    <x v="15"/>
    <n v="20142927"/>
  </r>
  <r>
    <s v="20252400425"/>
    <s v="małopolskie"/>
    <s v="wieś"/>
    <n v="20"/>
    <x v="13"/>
    <n v="24"/>
    <n v="2020"/>
    <x v="4"/>
    <x v="11"/>
    <n v="20202524"/>
  </r>
  <r>
    <s v="08250619858"/>
    <s v="kujawsko-pomorskie"/>
    <s v="wieś"/>
    <n v="8"/>
    <x v="13"/>
    <n v="6"/>
    <n v="2008"/>
    <x v="4"/>
    <x v="17"/>
    <n v="20082506"/>
  </r>
  <r>
    <s v="05290342425"/>
    <s v="małopolskie"/>
    <s v="miasto"/>
    <n v="5"/>
    <x v="12"/>
    <n v="3"/>
    <n v="2005"/>
    <x v="5"/>
    <x v="29"/>
    <n v="20052903"/>
  </r>
  <r>
    <s v="08251519232"/>
    <s v="małopolskie"/>
    <s v="miasto"/>
    <n v="8"/>
    <x v="13"/>
    <n v="15"/>
    <n v="2008"/>
    <x v="4"/>
    <x v="20"/>
    <n v="20082515"/>
  </r>
  <r>
    <s v="01242346721"/>
    <s v="pomorskie"/>
    <s v="wieś"/>
    <n v="1"/>
    <x v="15"/>
    <n v="23"/>
    <n v="2001"/>
    <x v="2"/>
    <x v="2"/>
    <n v="20012423"/>
  </r>
  <r>
    <s v="19221946062"/>
    <s v="pomorskie"/>
    <s v="miasto"/>
    <n v="19"/>
    <x v="20"/>
    <n v="19"/>
    <n v="2019"/>
    <x v="10"/>
    <x v="24"/>
    <n v="20192219"/>
  </r>
  <r>
    <s v="02242206231"/>
    <s v="opolskie"/>
    <s v="wieś"/>
    <n v="2"/>
    <x v="15"/>
    <n v="22"/>
    <n v="2002"/>
    <x v="2"/>
    <x v="30"/>
    <n v="20022422"/>
  </r>
  <r>
    <s v="15220366922"/>
    <s v="zachodniopomorskie"/>
    <s v="wieś"/>
    <n v="15"/>
    <x v="20"/>
    <n v="3"/>
    <n v="2015"/>
    <x v="10"/>
    <x v="29"/>
    <n v="20152203"/>
  </r>
  <r>
    <s v="05270147233"/>
    <s v="śląskie"/>
    <s v="wieś"/>
    <n v="5"/>
    <x v="22"/>
    <n v="1"/>
    <n v="2005"/>
    <x v="0"/>
    <x v="1"/>
    <n v="20052701"/>
  </r>
  <r>
    <s v="07212419974"/>
    <s v="mazowieckie"/>
    <s v="miasto"/>
    <n v="7"/>
    <x v="16"/>
    <n v="24"/>
    <n v="2007"/>
    <x v="8"/>
    <x v="11"/>
    <n v="20072124"/>
  </r>
  <r>
    <s v="06210742569"/>
    <s v="lubuskie"/>
    <s v="wieś"/>
    <n v="6"/>
    <x v="16"/>
    <n v="7"/>
    <n v="2006"/>
    <x v="8"/>
    <x v="5"/>
    <n v="20062107"/>
  </r>
  <r>
    <s v="11230540910"/>
    <s v="podkarpackie"/>
    <s v="miasto"/>
    <n v="11"/>
    <x v="18"/>
    <n v="5"/>
    <n v="2011"/>
    <x v="11"/>
    <x v="25"/>
    <n v="20112305"/>
  </r>
  <r>
    <s v="09300144173"/>
    <s v="lubuskie"/>
    <s v="miasto"/>
    <n v="9"/>
    <x v="17"/>
    <n v="1"/>
    <n v="2009"/>
    <x v="1"/>
    <x v="1"/>
    <n v="20093001"/>
  </r>
  <r>
    <s v="11213025230"/>
    <s v="zachodniopomorskie"/>
    <s v="wieś"/>
    <n v="11"/>
    <x v="16"/>
    <n v="30"/>
    <n v="2011"/>
    <x v="8"/>
    <x v="26"/>
    <n v="20112130"/>
  </r>
  <r>
    <s v="11320429338"/>
    <s v="podlaskie"/>
    <s v="miasto"/>
    <n v="11"/>
    <x v="21"/>
    <n v="4"/>
    <n v="2011"/>
    <x v="6"/>
    <x v="23"/>
    <n v="20113204"/>
  </r>
  <r>
    <s v="20312520250"/>
    <s v="pomorskie"/>
    <s v="wieś"/>
    <n v="20"/>
    <x v="23"/>
    <n v="25"/>
    <n v="2020"/>
    <x v="9"/>
    <x v="19"/>
    <n v="20203125"/>
  </r>
  <r>
    <s v="14280583423"/>
    <s v="podlaskie"/>
    <s v="wieś"/>
    <n v="14"/>
    <x v="14"/>
    <n v="5"/>
    <n v="2014"/>
    <x v="3"/>
    <x v="25"/>
    <n v="20142805"/>
  </r>
  <r>
    <s v="03221032757"/>
    <s v="podkarpackie"/>
    <s v="wieś"/>
    <n v="3"/>
    <x v="20"/>
    <n v="10"/>
    <n v="2003"/>
    <x v="10"/>
    <x v="8"/>
    <n v="20032210"/>
  </r>
  <r>
    <s v="16291603888"/>
    <s v="mazowieckie"/>
    <s v="miasto"/>
    <n v="16"/>
    <x v="12"/>
    <n v="16"/>
    <n v="2016"/>
    <x v="5"/>
    <x v="13"/>
    <n v="20162916"/>
  </r>
  <r>
    <s v="00291838700"/>
    <s v="śląskie"/>
    <s v="wieś"/>
    <n v="0"/>
    <x v="12"/>
    <n v="18"/>
    <n v="2000"/>
    <x v="5"/>
    <x v="18"/>
    <n v="20002918"/>
  </r>
  <r>
    <s v="11302022001"/>
    <s v="pomorskie"/>
    <s v="wieś"/>
    <n v="11"/>
    <x v="17"/>
    <n v="20"/>
    <n v="2011"/>
    <x v="1"/>
    <x v="28"/>
    <n v="20113020"/>
  </r>
  <r>
    <s v="04272000276"/>
    <s v="lubuskie"/>
    <s v="miasto"/>
    <n v="4"/>
    <x v="22"/>
    <n v="20"/>
    <n v="2004"/>
    <x v="0"/>
    <x v="28"/>
    <n v="20042720"/>
  </r>
  <r>
    <s v="00262862624"/>
    <s v="podlaskie"/>
    <s v="wieś"/>
    <n v="0"/>
    <x v="19"/>
    <n v="28"/>
    <n v="2000"/>
    <x v="7"/>
    <x v="4"/>
    <n v="20002628"/>
  </r>
  <r>
    <s v="07263089155"/>
    <s v="dolnośląskie"/>
    <s v="wieś"/>
    <n v="7"/>
    <x v="19"/>
    <n v="30"/>
    <n v="2007"/>
    <x v="7"/>
    <x v="26"/>
    <n v="20072630"/>
  </r>
  <r>
    <s v="02210196742"/>
    <s v="mazowieckie"/>
    <s v="miasto"/>
    <n v="2"/>
    <x v="16"/>
    <n v="1"/>
    <n v="2002"/>
    <x v="8"/>
    <x v="1"/>
    <n v="20022101"/>
  </r>
  <r>
    <s v="11301805012"/>
    <s v="śląskie"/>
    <s v="wieś"/>
    <n v="11"/>
    <x v="17"/>
    <n v="18"/>
    <n v="2011"/>
    <x v="1"/>
    <x v="18"/>
    <n v="20113018"/>
  </r>
  <r>
    <s v="10292551560"/>
    <s v="lubuskie"/>
    <s v="wieś"/>
    <n v="10"/>
    <x v="12"/>
    <n v="25"/>
    <n v="2010"/>
    <x v="5"/>
    <x v="19"/>
    <n v="20102925"/>
  </r>
  <r>
    <s v="19302646924"/>
    <s v="wielkopolskie"/>
    <s v="miasto"/>
    <n v="19"/>
    <x v="17"/>
    <n v="26"/>
    <n v="2019"/>
    <x v="1"/>
    <x v="14"/>
    <n v="20193026"/>
  </r>
  <r>
    <s v="02290618927"/>
    <s v="wielkopolskie"/>
    <s v="miasto"/>
    <n v="2"/>
    <x v="12"/>
    <n v="6"/>
    <n v="2002"/>
    <x v="5"/>
    <x v="17"/>
    <n v="20022906"/>
  </r>
  <r>
    <s v="01302670779"/>
    <s v="pomorskie"/>
    <s v="miasto"/>
    <n v="1"/>
    <x v="17"/>
    <n v="26"/>
    <n v="2001"/>
    <x v="1"/>
    <x v="14"/>
    <n v="20013026"/>
  </r>
  <r>
    <s v="19302687224"/>
    <s v="podkarpackie"/>
    <s v="miasto"/>
    <n v="19"/>
    <x v="17"/>
    <n v="26"/>
    <n v="2019"/>
    <x v="1"/>
    <x v="14"/>
    <n v="20193026"/>
  </r>
  <r>
    <s v="12260688504"/>
    <s v="wielkopolskie"/>
    <s v="miasto"/>
    <n v="12"/>
    <x v="19"/>
    <n v="6"/>
    <n v="2012"/>
    <x v="7"/>
    <x v="17"/>
    <n v="20122606"/>
  </r>
  <r>
    <s v="00241654994"/>
    <s v="dolnośląskie"/>
    <s v="wieś"/>
    <n v="0"/>
    <x v="15"/>
    <n v="16"/>
    <n v="2000"/>
    <x v="2"/>
    <x v="13"/>
    <n v="20002416"/>
  </r>
  <r>
    <s v="00291433332"/>
    <s v="pomorskie"/>
    <s v="wieś"/>
    <n v="0"/>
    <x v="12"/>
    <n v="14"/>
    <n v="2000"/>
    <x v="5"/>
    <x v="6"/>
    <n v="20002914"/>
  </r>
  <r>
    <s v="09281659309"/>
    <s v="łódzkie"/>
    <s v="wieś"/>
    <n v="9"/>
    <x v="14"/>
    <n v="16"/>
    <n v="2009"/>
    <x v="3"/>
    <x v="13"/>
    <n v="20092816"/>
  </r>
  <r>
    <s v="05271072857"/>
    <s v="śląskie"/>
    <s v="wieś"/>
    <n v="5"/>
    <x v="22"/>
    <n v="10"/>
    <n v="2005"/>
    <x v="0"/>
    <x v="8"/>
    <n v="20052710"/>
  </r>
  <r>
    <s v="20222616272"/>
    <s v="łódzkie"/>
    <s v="wieś"/>
    <n v="20"/>
    <x v="20"/>
    <n v="26"/>
    <n v="2020"/>
    <x v="10"/>
    <x v="14"/>
    <n v="20202226"/>
  </r>
  <r>
    <s v="08261654831"/>
    <s v="kujawsko-pomorskie"/>
    <s v="miasto"/>
    <n v="8"/>
    <x v="19"/>
    <n v="16"/>
    <n v="2008"/>
    <x v="7"/>
    <x v="13"/>
    <n v="20082616"/>
  </r>
  <r>
    <s v="19231080301"/>
    <s v="śląskie"/>
    <s v="miasto"/>
    <n v="19"/>
    <x v="18"/>
    <n v="10"/>
    <n v="2019"/>
    <x v="11"/>
    <x v="8"/>
    <n v="20192310"/>
  </r>
  <r>
    <s v="09301626432"/>
    <s v="lubelskie"/>
    <s v="miasto"/>
    <n v="9"/>
    <x v="17"/>
    <n v="16"/>
    <n v="2009"/>
    <x v="1"/>
    <x v="13"/>
    <n v="20093016"/>
  </r>
  <r>
    <s v="12292632894"/>
    <s v="zachodniopomorskie"/>
    <s v="wieś"/>
    <n v="12"/>
    <x v="12"/>
    <n v="26"/>
    <n v="2012"/>
    <x v="5"/>
    <x v="14"/>
    <n v="20122926"/>
  </r>
  <r>
    <s v="00220197337"/>
    <s v="małopolskie"/>
    <s v="miasto"/>
    <n v="0"/>
    <x v="20"/>
    <n v="1"/>
    <n v="2000"/>
    <x v="10"/>
    <x v="1"/>
    <n v="20002201"/>
  </r>
  <r>
    <s v="08322760361"/>
    <s v="kujawsko-pomorskie"/>
    <s v="miasto"/>
    <n v="8"/>
    <x v="21"/>
    <n v="27"/>
    <n v="2008"/>
    <x v="6"/>
    <x v="15"/>
    <n v="20083227"/>
  </r>
  <r>
    <s v="09210120492"/>
    <s v="kujawsko-pomorskie"/>
    <s v="wieś"/>
    <n v="9"/>
    <x v="16"/>
    <n v="1"/>
    <n v="2009"/>
    <x v="8"/>
    <x v="1"/>
    <n v="20092101"/>
  </r>
  <r>
    <s v="21221398701"/>
    <s v="łódzkie"/>
    <s v="miasto"/>
    <n v="21"/>
    <x v="20"/>
    <n v="13"/>
    <n v="2021"/>
    <x v="10"/>
    <x v="22"/>
    <n v="20212213"/>
  </r>
  <r>
    <s v="04240223735"/>
    <s v="pomorskie"/>
    <s v="wieś"/>
    <n v="4"/>
    <x v="15"/>
    <n v="2"/>
    <n v="2004"/>
    <x v="2"/>
    <x v="16"/>
    <n v="20042402"/>
  </r>
  <r>
    <s v="12312469426"/>
    <s v="podkarpackie"/>
    <s v="miasto"/>
    <n v="12"/>
    <x v="23"/>
    <n v="24"/>
    <n v="2012"/>
    <x v="9"/>
    <x v="11"/>
    <n v="20123124"/>
  </r>
  <r>
    <s v="09281542067"/>
    <s v="zachodniopomorskie"/>
    <s v="miasto"/>
    <n v="9"/>
    <x v="14"/>
    <n v="15"/>
    <n v="2009"/>
    <x v="3"/>
    <x v="20"/>
    <n v="20092815"/>
  </r>
  <r>
    <s v="15253008956"/>
    <s v="zachodniopomorskie"/>
    <s v="miasto"/>
    <n v="15"/>
    <x v="13"/>
    <n v="30"/>
    <n v="2015"/>
    <x v="4"/>
    <x v="26"/>
    <n v="20152530"/>
  </r>
  <r>
    <s v="10220968532"/>
    <s v="mazowieckie"/>
    <s v="wieś"/>
    <n v="10"/>
    <x v="20"/>
    <n v="9"/>
    <n v="2010"/>
    <x v="10"/>
    <x v="12"/>
    <n v="20102209"/>
  </r>
  <r>
    <s v="05231406151"/>
    <s v="pomorskie"/>
    <s v="wieś"/>
    <n v="5"/>
    <x v="18"/>
    <n v="14"/>
    <n v="2005"/>
    <x v="11"/>
    <x v="6"/>
    <n v="20052314"/>
  </r>
  <r>
    <s v="04312426006"/>
    <s v="lubelskie"/>
    <s v="miasto"/>
    <n v="4"/>
    <x v="23"/>
    <n v="24"/>
    <n v="2004"/>
    <x v="9"/>
    <x v="11"/>
    <n v="20043124"/>
  </r>
  <r>
    <s v="22290577994"/>
    <s v="małopolskie"/>
    <s v="miasto"/>
    <n v="22"/>
    <x v="12"/>
    <n v="5"/>
    <n v="2022"/>
    <x v="5"/>
    <x v="25"/>
    <n v="20222905"/>
  </r>
  <r>
    <s v="19280922601"/>
    <s v="zachodniopomorskie"/>
    <s v="wieś"/>
    <n v="19"/>
    <x v="14"/>
    <n v="9"/>
    <n v="2019"/>
    <x v="3"/>
    <x v="12"/>
    <n v="20192809"/>
  </r>
  <r>
    <s v="11251095756"/>
    <s v="dolnośląskie"/>
    <s v="miasto"/>
    <n v="11"/>
    <x v="13"/>
    <n v="10"/>
    <n v="2011"/>
    <x v="4"/>
    <x v="8"/>
    <n v="20112510"/>
  </r>
  <r>
    <s v="06220429652"/>
    <s v="mazowieckie"/>
    <s v="wieś"/>
    <n v="6"/>
    <x v="20"/>
    <n v="4"/>
    <n v="2006"/>
    <x v="10"/>
    <x v="23"/>
    <n v="20062204"/>
  </r>
  <r>
    <s v="07282107661"/>
    <s v="zachodniopomorskie"/>
    <s v="wieś"/>
    <n v="7"/>
    <x v="14"/>
    <n v="21"/>
    <n v="2007"/>
    <x v="3"/>
    <x v="27"/>
    <n v="20072821"/>
  </r>
  <r>
    <s v="00321275130"/>
    <s v="śląskie"/>
    <s v="miasto"/>
    <n v="0"/>
    <x v="21"/>
    <n v="12"/>
    <n v="2000"/>
    <x v="6"/>
    <x v="0"/>
    <n v="20003212"/>
  </r>
  <r>
    <s v="17230169162"/>
    <s v="wielkopolskie"/>
    <s v="wieś"/>
    <n v="17"/>
    <x v="18"/>
    <n v="1"/>
    <n v="2017"/>
    <x v="11"/>
    <x v="1"/>
    <n v="20172301"/>
  </r>
  <r>
    <s v="10252988317"/>
    <s v="śląskie"/>
    <s v="wieś"/>
    <n v="10"/>
    <x v="13"/>
    <n v="29"/>
    <n v="2010"/>
    <x v="4"/>
    <x v="21"/>
    <n v="20102529"/>
  </r>
  <r>
    <s v="11221946127"/>
    <s v="warmińsko-mazurskie"/>
    <s v="miasto"/>
    <n v="11"/>
    <x v="20"/>
    <n v="19"/>
    <n v="2011"/>
    <x v="10"/>
    <x v="24"/>
    <n v="20112219"/>
  </r>
  <r>
    <s v="01262279216"/>
    <s v="podlaskie"/>
    <s v="wieś"/>
    <n v="1"/>
    <x v="19"/>
    <n v="22"/>
    <n v="2001"/>
    <x v="7"/>
    <x v="30"/>
    <n v="20012622"/>
  </r>
  <r>
    <s v="08232997710"/>
    <s v="podlaskie"/>
    <s v="miasto"/>
    <n v="8"/>
    <x v="18"/>
    <n v="29"/>
    <n v="2008"/>
    <x v="11"/>
    <x v="21"/>
    <n v="20082329"/>
  </r>
  <r>
    <s v="15252065891"/>
    <s v="zachodniopomorskie"/>
    <s v="wieś"/>
    <n v="15"/>
    <x v="13"/>
    <n v="20"/>
    <n v="2015"/>
    <x v="4"/>
    <x v="28"/>
    <n v="20152520"/>
  </r>
  <r>
    <s v="12270628460"/>
    <s v="lubelskie"/>
    <s v="miasto"/>
    <n v="12"/>
    <x v="22"/>
    <n v="6"/>
    <n v="2012"/>
    <x v="0"/>
    <x v="17"/>
    <n v="20122706"/>
  </r>
  <r>
    <s v="06292817353"/>
    <s v="zachodniopomorskie"/>
    <s v="wieś"/>
    <n v="6"/>
    <x v="12"/>
    <n v="28"/>
    <n v="2006"/>
    <x v="5"/>
    <x v="4"/>
    <n v="20062928"/>
  </r>
  <r>
    <s v="20251246970"/>
    <s v="wielkopolskie"/>
    <s v="miasto"/>
    <n v="20"/>
    <x v="13"/>
    <n v="12"/>
    <n v="2020"/>
    <x v="4"/>
    <x v="0"/>
    <n v="20202512"/>
  </r>
  <r>
    <s v="15240174587"/>
    <s v="małopolskie"/>
    <s v="wieś"/>
    <n v="15"/>
    <x v="15"/>
    <n v="1"/>
    <n v="2015"/>
    <x v="2"/>
    <x v="1"/>
    <n v="20152401"/>
  </r>
  <r>
    <s v="12220617492"/>
    <s v="wielkopolskie"/>
    <s v="wieś"/>
    <n v="12"/>
    <x v="20"/>
    <n v="6"/>
    <n v="2012"/>
    <x v="10"/>
    <x v="17"/>
    <n v="20122206"/>
  </r>
  <r>
    <s v="01233090512"/>
    <s v="mazowieckie"/>
    <s v="wieś"/>
    <n v="1"/>
    <x v="18"/>
    <n v="30"/>
    <n v="2001"/>
    <x v="11"/>
    <x v="26"/>
    <n v="20012330"/>
  </r>
  <r>
    <s v="03311712479"/>
    <s v="warmińsko-mazurskie"/>
    <s v="miasto"/>
    <n v="3"/>
    <x v="23"/>
    <n v="17"/>
    <n v="2003"/>
    <x v="9"/>
    <x v="9"/>
    <n v="20033117"/>
  </r>
  <r>
    <s v="05261564690"/>
    <s v="świętokrzyskie"/>
    <s v="wieś"/>
    <n v="5"/>
    <x v="19"/>
    <n v="15"/>
    <n v="2005"/>
    <x v="7"/>
    <x v="20"/>
    <n v="20052615"/>
  </r>
  <r>
    <s v="19312698724"/>
    <s v="wielkopolskie"/>
    <s v="wieś"/>
    <n v="19"/>
    <x v="23"/>
    <n v="26"/>
    <n v="2019"/>
    <x v="9"/>
    <x v="14"/>
    <n v="20193126"/>
  </r>
  <r>
    <s v="16291742480"/>
    <s v="łódzkie"/>
    <s v="miasto"/>
    <n v="16"/>
    <x v="12"/>
    <n v="17"/>
    <n v="2016"/>
    <x v="5"/>
    <x v="9"/>
    <n v="20162917"/>
  </r>
  <r>
    <s v="09241367008"/>
    <s v="kujawsko-pomorskie"/>
    <s v="miasto"/>
    <n v="9"/>
    <x v="15"/>
    <n v="13"/>
    <n v="2009"/>
    <x v="2"/>
    <x v="22"/>
    <n v="20092413"/>
  </r>
  <r>
    <s v="06271769888"/>
    <s v="opolskie"/>
    <s v="wieś"/>
    <n v="6"/>
    <x v="22"/>
    <n v="17"/>
    <n v="2006"/>
    <x v="0"/>
    <x v="9"/>
    <n v="20062717"/>
  </r>
  <r>
    <s v="18230851693"/>
    <s v="opolskie"/>
    <s v="miasto"/>
    <n v="18"/>
    <x v="18"/>
    <n v="8"/>
    <n v="2018"/>
    <x v="11"/>
    <x v="7"/>
    <n v="20182308"/>
  </r>
  <r>
    <s v="17251583819"/>
    <s v="pomorskie"/>
    <s v="miasto"/>
    <n v="17"/>
    <x v="13"/>
    <n v="15"/>
    <n v="2017"/>
    <x v="4"/>
    <x v="20"/>
    <n v="20172515"/>
  </r>
  <r>
    <s v="19222247988"/>
    <s v="opolskie"/>
    <s v="miasto"/>
    <n v="19"/>
    <x v="20"/>
    <n v="22"/>
    <n v="2019"/>
    <x v="10"/>
    <x v="30"/>
    <n v="20192222"/>
  </r>
  <r>
    <s v="21291587975"/>
    <s v="pomorskie"/>
    <s v="miasto"/>
    <n v="21"/>
    <x v="12"/>
    <n v="15"/>
    <n v="2021"/>
    <x v="5"/>
    <x v="20"/>
    <n v="20212915"/>
  </r>
  <r>
    <s v="20251580243"/>
    <s v="opolskie"/>
    <s v="miasto"/>
    <n v="20"/>
    <x v="13"/>
    <n v="15"/>
    <n v="2020"/>
    <x v="4"/>
    <x v="20"/>
    <n v="20202515"/>
  </r>
  <r>
    <s v="15210368107"/>
    <s v="kujawsko-pomorskie"/>
    <s v="wieś"/>
    <n v="15"/>
    <x v="16"/>
    <n v="3"/>
    <n v="2015"/>
    <x v="8"/>
    <x v="29"/>
    <n v="20152103"/>
  </r>
  <r>
    <s v="19212365544"/>
    <s v="opolskie"/>
    <s v="wieś"/>
    <n v="19"/>
    <x v="16"/>
    <n v="23"/>
    <n v="2019"/>
    <x v="8"/>
    <x v="2"/>
    <n v="20192123"/>
  </r>
  <r>
    <s v="03212825508"/>
    <s v="zachodniopomorskie"/>
    <s v="miasto"/>
    <n v="3"/>
    <x v="16"/>
    <n v="28"/>
    <n v="2003"/>
    <x v="8"/>
    <x v="4"/>
    <n v="20032128"/>
  </r>
  <r>
    <s v="08231950989"/>
    <s v="dolnośląskie"/>
    <s v="miasto"/>
    <n v="8"/>
    <x v="18"/>
    <n v="19"/>
    <n v="2008"/>
    <x v="11"/>
    <x v="24"/>
    <n v="20082319"/>
  </r>
  <r>
    <s v="18290225326"/>
    <s v="dolnośląskie"/>
    <s v="wieś"/>
    <n v="18"/>
    <x v="12"/>
    <n v="2"/>
    <n v="2018"/>
    <x v="5"/>
    <x v="16"/>
    <n v="20182902"/>
  </r>
  <r>
    <s v="14270954859"/>
    <s v="małopolskie"/>
    <s v="miasto"/>
    <n v="14"/>
    <x v="22"/>
    <n v="9"/>
    <n v="2014"/>
    <x v="0"/>
    <x v="12"/>
    <n v="20142709"/>
  </r>
  <r>
    <s v="21320534080"/>
    <s v="zachodniopomorskie"/>
    <s v="wieś"/>
    <n v="21"/>
    <x v="21"/>
    <n v="5"/>
    <n v="2021"/>
    <x v="6"/>
    <x v="25"/>
    <n v="20213205"/>
  </r>
  <r>
    <s v="15280299664"/>
    <s v="podlaskie"/>
    <s v="miasto"/>
    <n v="15"/>
    <x v="14"/>
    <n v="2"/>
    <n v="2015"/>
    <x v="3"/>
    <x v="16"/>
    <n v="20152802"/>
  </r>
  <r>
    <s v="08231643490"/>
    <s v="warmińsko-mazurskie"/>
    <s v="wieś"/>
    <n v="8"/>
    <x v="18"/>
    <n v="16"/>
    <n v="2008"/>
    <x v="11"/>
    <x v="13"/>
    <n v="20082316"/>
  </r>
  <r>
    <s v="04272996258"/>
    <s v="podkarpackie"/>
    <s v="miasto"/>
    <n v="4"/>
    <x v="22"/>
    <n v="29"/>
    <n v="2004"/>
    <x v="0"/>
    <x v="21"/>
    <n v="20042729"/>
  </r>
  <r>
    <s v="06290719237"/>
    <s v="łódzkie"/>
    <s v="wieś"/>
    <n v="6"/>
    <x v="12"/>
    <n v="7"/>
    <n v="2006"/>
    <x v="5"/>
    <x v="5"/>
    <n v="20062907"/>
  </r>
  <r>
    <s v="00301200651"/>
    <s v="śląskie"/>
    <s v="wieś"/>
    <n v="0"/>
    <x v="17"/>
    <n v="12"/>
    <n v="2000"/>
    <x v="1"/>
    <x v="0"/>
    <n v="20003012"/>
  </r>
  <r>
    <s v="18211262029"/>
    <s v="mazowieckie"/>
    <s v="miasto"/>
    <n v="18"/>
    <x v="16"/>
    <n v="12"/>
    <n v="2018"/>
    <x v="8"/>
    <x v="0"/>
    <n v="20182112"/>
  </r>
  <r>
    <s v="05282383166"/>
    <s v="mazowieckie"/>
    <s v="wieś"/>
    <n v="5"/>
    <x v="14"/>
    <n v="23"/>
    <n v="2005"/>
    <x v="3"/>
    <x v="2"/>
    <n v="20052823"/>
  </r>
  <r>
    <s v="18241417767"/>
    <s v="wielkopolskie"/>
    <s v="wieś"/>
    <n v="18"/>
    <x v="15"/>
    <n v="14"/>
    <n v="2018"/>
    <x v="2"/>
    <x v="6"/>
    <n v="20182414"/>
  </r>
  <r>
    <s v="16312049086"/>
    <s v="dolnośląskie"/>
    <s v="miasto"/>
    <n v="16"/>
    <x v="23"/>
    <n v="20"/>
    <n v="2016"/>
    <x v="9"/>
    <x v="28"/>
    <n v="20163120"/>
  </r>
  <r>
    <s v="09321581591"/>
    <s v="małopolskie"/>
    <s v="wieś"/>
    <n v="9"/>
    <x v="21"/>
    <n v="15"/>
    <n v="2009"/>
    <x v="6"/>
    <x v="20"/>
    <n v="20093215"/>
  </r>
  <r>
    <s v="08271795313"/>
    <s v="lubelskie"/>
    <s v="miasto"/>
    <n v="8"/>
    <x v="22"/>
    <n v="17"/>
    <n v="2008"/>
    <x v="0"/>
    <x v="9"/>
    <n v="20082717"/>
  </r>
  <r>
    <s v="10311034407"/>
    <s v="małopolskie"/>
    <s v="miasto"/>
    <n v="10"/>
    <x v="23"/>
    <n v="10"/>
    <n v="2010"/>
    <x v="9"/>
    <x v="8"/>
    <n v="20103110"/>
  </r>
  <r>
    <s v="14281264761"/>
    <s v="łódzkie"/>
    <s v="wieś"/>
    <n v="14"/>
    <x v="14"/>
    <n v="12"/>
    <n v="2014"/>
    <x v="3"/>
    <x v="0"/>
    <n v="20142812"/>
  </r>
  <r>
    <s v="03241511191"/>
    <s v="mazowieckie"/>
    <s v="miasto"/>
    <n v="3"/>
    <x v="15"/>
    <n v="15"/>
    <n v="2003"/>
    <x v="2"/>
    <x v="20"/>
    <n v="20032415"/>
  </r>
  <r>
    <s v="02272037384"/>
    <s v="wielkopolskie"/>
    <s v="wieś"/>
    <n v="2"/>
    <x v="22"/>
    <n v="20"/>
    <n v="2002"/>
    <x v="0"/>
    <x v="28"/>
    <n v="20022720"/>
  </r>
  <r>
    <s v="17282315085"/>
    <s v="mazowieckie"/>
    <s v="wieś"/>
    <n v="17"/>
    <x v="14"/>
    <n v="23"/>
    <n v="2017"/>
    <x v="3"/>
    <x v="2"/>
    <n v="20172823"/>
  </r>
  <r>
    <s v="03241893396"/>
    <s v="pomorskie"/>
    <s v="miasto"/>
    <n v="3"/>
    <x v="15"/>
    <n v="18"/>
    <n v="2003"/>
    <x v="2"/>
    <x v="18"/>
    <n v="20032418"/>
  </r>
  <r>
    <s v="10210725761"/>
    <s v="małopolskie"/>
    <s v="miasto"/>
    <n v="10"/>
    <x v="16"/>
    <n v="7"/>
    <n v="2010"/>
    <x v="8"/>
    <x v="5"/>
    <n v="20102107"/>
  </r>
  <r>
    <s v="12310765821"/>
    <s v="łódzkie"/>
    <s v="wieś"/>
    <n v="12"/>
    <x v="23"/>
    <n v="7"/>
    <n v="2012"/>
    <x v="9"/>
    <x v="5"/>
    <n v="20123107"/>
  </r>
  <r>
    <s v="14262881374"/>
    <s v="lubelskie"/>
    <s v="miasto"/>
    <n v="14"/>
    <x v="19"/>
    <n v="28"/>
    <n v="2014"/>
    <x v="7"/>
    <x v="4"/>
    <n v="20142628"/>
  </r>
  <r>
    <s v="16221452829"/>
    <s v="zachodniopomorskie"/>
    <s v="miasto"/>
    <n v="16"/>
    <x v="20"/>
    <n v="14"/>
    <n v="2016"/>
    <x v="10"/>
    <x v="6"/>
    <n v="20162214"/>
  </r>
  <r>
    <s v="06240977898"/>
    <s v="warmińsko-mazurskie"/>
    <s v="wieś"/>
    <n v="6"/>
    <x v="15"/>
    <n v="9"/>
    <n v="2006"/>
    <x v="2"/>
    <x v="12"/>
    <n v="20062409"/>
  </r>
  <r>
    <s v="20231233552"/>
    <s v="małopolskie"/>
    <s v="wieś"/>
    <n v="20"/>
    <x v="18"/>
    <n v="12"/>
    <n v="2020"/>
    <x v="11"/>
    <x v="0"/>
    <n v="20202312"/>
  </r>
  <r>
    <s v="02260903279"/>
    <s v="wielkopolskie"/>
    <s v="miasto"/>
    <n v="2"/>
    <x v="19"/>
    <n v="9"/>
    <n v="2002"/>
    <x v="7"/>
    <x v="12"/>
    <n v="20022609"/>
  </r>
  <r>
    <s v="15300457836"/>
    <s v="zachodniopomorskie"/>
    <s v="miasto"/>
    <n v="15"/>
    <x v="17"/>
    <n v="4"/>
    <n v="2015"/>
    <x v="1"/>
    <x v="23"/>
    <n v="20153004"/>
  </r>
  <r>
    <s v="12241643573"/>
    <s v="świętokrzyskie"/>
    <s v="wieś"/>
    <n v="12"/>
    <x v="15"/>
    <n v="16"/>
    <n v="2012"/>
    <x v="2"/>
    <x v="13"/>
    <n v="20122416"/>
  </r>
  <r>
    <s v="13222492508"/>
    <s v="śląskie"/>
    <s v="miasto"/>
    <n v="13"/>
    <x v="20"/>
    <n v="24"/>
    <n v="2013"/>
    <x v="10"/>
    <x v="11"/>
    <n v="20132224"/>
  </r>
  <r>
    <s v="20303175236"/>
    <s v="lubuskie"/>
    <s v="wieś"/>
    <n v="20"/>
    <x v="17"/>
    <n v="31"/>
    <n v="2020"/>
    <x v="1"/>
    <x v="3"/>
    <n v="20203031"/>
  </r>
  <r>
    <s v="14271835467"/>
    <s v="wielkopolskie"/>
    <s v="wieś"/>
    <n v="14"/>
    <x v="22"/>
    <n v="18"/>
    <n v="2014"/>
    <x v="0"/>
    <x v="18"/>
    <n v="20142718"/>
  </r>
  <r>
    <s v="06220350891"/>
    <s v="świętokrzyskie"/>
    <s v="wieś"/>
    <n v="6"/>
    <x v="20"/>
    <n v="3"/>
    <n v="2006"/>
    <x v="10"/>
    <x v="29"/>
    <n v="20062203"/>
  </r>
  <r>
    <s v="07231617603"/>
    <s v="mazowieckie"/>
    <s v="wieś"/>
    <n v="7"/>
    <x v="18"/>
    <n v="16"/>
    <n v="2007"/>
    <x v="11"/>
    <x v="13"/>
    <n v="20072316"/>
  </r>
  <r>
    <s v="07282120738"/>
    <s v="wielkopolskie"/>
    <s v="wieś"/>
    <n v="7"/>
    <x v="14"/>
    <n v="21"/>
    <n v="2007"/>
    <x v="3"/>
    <x v="27"/>
    <n v="20072821"/>
  </r>
  <r>
    <s v="13242793243"/>
    <s v="podkarpackie"/>
    <s v="miasto"/>
    <n v="13"/>
    <x v="15"/>
    <n v="27"/>
    <n v="2013"/>
    <x v="2"/>
    <x v="15"/>
    <n v="20132427"/>
  </r>
  <r>
    <s v="22270105250"/>
    <s v="łódzkie"/>
    <s v="miasto"/>
    <n v="22"/>
    <x v="22"/>
    <n v="1"/>
    <n v="2022"/>
    <x v="0"/>
    <x v="1"/>
    <n v="20222701"/>
  </r>
  <r>
    <s v="15220359519"/>
    <s v="zachodniopomorskie"/>
    <s v="miasto"/>
    <n v="15"/>
    <x v="20"/>
    <n v="3"/>
    <n v="2015"/>
    <x v="10"/>
    <x v="29"/>
    <n v="20152203"/>
  </r>
  <r>
    <s v="16323024481"/>
    <s v="podlaskie"/>
    <s v="miasto"/>
    <n v="16"/>
    <x v="21"/>
    <n v="30"/>
    <n v="2016"/>
    <x v="6"/>
    <x v="26"/>
    <n v="20163230"/>
  </r>
  <r>
    <s v="17212907508"/>
    <s v="podlaskie"/>
    <s v="wieś"/>
    <n v="17"/>
    <x v="16"/>
    <n v="29"/>
    <n v="2017"/>
    <x v="8"/>
    <x v="21"/>
    <n v="20172129"/>
  </r>
  <r>
    <s v="06280926629"/>
    <s v="świętokrzyskie"/>
    <s v="miasto"/>
    <n v="6"/>
    <x v="14"/>
    <n v="9"/>
    <n v="2006"/>
    <x v="3"/>
    <x v="12"/>
    <n v="20062809"/>
  </r>
  <r>
    <s v="20301201520"/>
    <s v="podkarpackie"/>
    <s v="miasto"/>
    <n v="20"/>
    <x v="17"/>
    <n v="12"/>
    <n v="2020"/>
    <x v="1"/>
    <x v="0"/>
    <n v="20203012"/>
  </r>
  <r>
    <s v="01300883719"/>
    <s v="zachodniopomorskie"/>
    <s v="miasto"/>
    <n v="1"/>
    <x v="17"/>
    <n v="8"/>
    <n v="2001"/>
    <x v="1"/>
    <x v="7"/>
    <n v="20013008"/>
  </r>
  <r>
    <s v="21292867504"/>
    <s v="zachodniopomorskie"/>
    <s v="miasto"/>
    <n v="21"/>
    <x v="12"/>
    <n v="28"/>
    <n v="2021"/>
    <x v="5"/>
    <x v="4"/>
    <n v="20212928"/>
  </r>
  <r>
    <s v="09310931990"/>
    <s v="opolskie"/>
    <s v="miasto"/>
    <n v="9"/>
    <x v="23"/>
    <n v="9"/>
    <n v="2009"/>
    <x v="9"/>
    <x v="12"/>
    <n v="20093109"/>
  </r>
  <r>
    <s v="00301923628"/>
    <s v="śląskie"/>
    <s v="miasto"/>
    <n v="0"/>
    <x v="17"/>
    <n v="19"/>
    <n v="2000"/>
    <x v="1"/>
    <x v="24"/>
    <n v="20003019"/>
  </r>
  <r>
    <s v="01241320263"/>
    <s v="podkarpackie"/>
    <s v="miasto"/>
    <n v="1"/>
    <x v="15"/>
    <n v="13"/>
    <n v="2001"/>
    <x v="2"/>
    <x v="22"/>
    <n v="20012413"/>
  </r>
  <r>
    <s v="20242260107"/>
    <s v="świętokrzyskie"/>
    <s v="wieś"/>
    <n v="20"/>
    <x v="15"/>
    <n v="22"/>
    <n v="2020"/>
    <x v="2"/>
    <x v="30"/>
    <n v="20202422"/>
  </r>
  <r>
    <s v="00231165855"/>
    <s v="świętokrzyskie"/>
    <s v="wieś"/>
    <n v="0"/>
    <x v="18"/>
    <n v="11"/>
    <n v="2000"/>
    <x v="11"/>
    <x v="10"/>
    <n v="20002311"/>
  </r>
  <r>
    <s v="15272639593"/>
    <s v="podkarpackie"/>
    <s v="wieś"/>
    <n v="15"/>
    <x v="22"/>
    <n v="26"/>
    <n v="2015"/>
    <x v="0"/>
    <x v="14"/>
    <n v="20152726"/>
  </r>
  <r>
    <s v="22302366035"/>
    <s v="zachodniopomorskie"/>
    <s v="wieś"/>
    <n v="22"/>
    <x v="17"/>
    <n v="23"/>
    <n v="2022"/>
    <x v="1"/>
    <x v="2"/>
    <n v="20223023"/>
  </r>
  <r>
    <s v="17241573501"/>
    <s v="małopolskie"/>
    <s v="miasto"/>
    <n v="17"/>
    <x v="15"/>
    <n v="15"/>
    <n v="2017"/>
    <x v="2"/>
    <x v="20"/>
    <n v="20172415"/>
  </r>
  <r>
    <s v="11272916382"/>
    <s v="małopolskie"/>
    <s v="miasto"/>
    <n v="11"/>
    <x v="22"/>
    <n v="29"/>
    <n v="2011"/>
    <x v="0"/>
    <x v="21"/>
    <n v="20112729"/>
  </r>
  <r>
    <s v="15323100788"/>
    <s v="podlaskie"/>
    <s v="wieś"/>
    <n v="15"/>
    <x v="21"/>
    <n v="31"/>
    <n v="2015"/>
    <x v="6"/>
    <x v="3"/>
    <n v="20153231"/>
  </r>
  <r>
    <s v="09262218954"/>
    <s v="pomorskie"/>
    <s v="wieś"/>
    <n v="9"/>
    <x v="19"/>
    <n v="22"/>
    <n v="2009"/>
    <x v="7"/>
    <x v="30"/>
    <n v="20092622"/>
  </r>
  <r>
    <s v="16282427578"/>
    <s v="kujawsko-pomorskie"/>
    <s v="wieś"/>
    <n v="16"/>
    <x v="14"/>
    <n v="24"/>
    <n v="2016"/>
    <x v="3"/>
    <x v="11"/>
    <n v="20162824"/>
  </r>
  <r>
    <s v="08321684273"/>
    <s v="podlaskie"/>
    <s v="wieś"/>
    <n v="8"/>
    <x v="21"/>
    <n v="16"/>
    <n v="2008"/>
    <x v="6"/>
    <x v="13"/>
    <n v="20083216"/>
  </r>
  <r>
    <s v="04322129955"/>
    <s v="świętokrzyskie"/>
    <s v="wieś"/>
    <n v="4"/>
    <x v="21"/>
    <n v="21"/>
    <n v="2004"/>
    <x v="6"/>
    <x v="27"/>
    <n v="20043221"/>
  </r>
  <r>
    <s v="10301730326"/>
    <s v="pomorskie"/>
    <s v="wieś"/>
    <n v="10"/>
    <x v="17"/>
    <n v="17"/>
    <n v="2010"/>
    <x v="1"/>
    <x v="9"/>
    <n v="20103017"/>
  </r>
  <r>
    <s v="09271604865"/>
    <s v="opolskie"/>
    <s v="miasto"/>
    <n v="9"/>
    <x v="22"/>
    <n v="16"/>
    <n v="2009"/>
    <x v="0"/>
    <x v="13"/>
    <n v="20092716"/>
  </r>
  <r>
    <s v="18320126005"/>
    <s v="podkarpackie"/>
    <s v="miasto"/>
    <n v="18"/>
    <x v="21"/>
    <n v="1"/>
    <n v="2018"/>
    <x v="6"/>
    <x v="1"/>
    <n v="20183201"/>
  </r>
  <r>
    <s v="10262232318"/>
    <s v="pomorskie"/>
    <s v="wieś"/>
    <n v="10"/>
    <x v="19"/>
    <n v="22"/>
    <n v="2010"/>
    <x v="7"/>
    <x v="30"/>
    <n v="20102622"/>
  </r>
  <r>
    <s v="21303122839"/>
    <s v="świętokrzyskie"/>
    <s v="miasto"/>
    <n v="21"/>
    <x v="17"/>
    <n v="31"/>
    <n v="2021"/>
    <x v="1"/>
    <x v="3"/>
    <n v="20213031"/>
  </r>
  <r>
    <s v="10293014169"/>
    <s v="dolnośląskie"/>
    <s v="wieś"/>
    <n v="10"/>
    <x v="12"/>
    <n v="30"/>
    <n v="2010"/>
    <x v="5"/>
    <x v="26"/>
    <n v="20102930"/>
  </r>
  <r>
    <s v="17212237652"/>
    <s v="kujawsko-pomorskie"/>
    <s v="miasto"/>
    <n v="17"/>
    <x v="16"/>
    <n v="22"/>
    <n v="2017"/>
    <x v="8"/>
    <x v="30"/>
    <n v="20172122"/>
  </r>
  <r>
    <s v="20260451486"/>
    <s v="śląskie"/>
    <s v="miasto"/>
    <n v="20"/>
    <x v="19"/>
    <n v="4"/>
    <n v="2020"/>
    <x v="7"/>
    <x v="23"/>
    <n v="20202604"/>
  </r>
  <r>
    <s v="17302231740"/>
    <s v="śląskie"/>
    <s v="wieś"/>
    <n v="17"/>
    <x v="17"/>
    <n v="22"/>
    <n v="2017"/>
    <x v="1"/>
    <x v="30"/>
    <n v="20173022"/>
  </r>
  <r>
    <s v="02320253199"/>
    <s v="wielkopolskie"/>
    <s v="wieś"/>
    <n v="2"/>
    <x v="21"/>
    <n v="2"/>
    <n v="2002"/>
    <x v="6"/>
    <x v="16"/>
    <n v="20023202"/>
  </r>
  <r>
    <s v="18260366309"/>
    <s v="śląskie"/>
    <s v="miasto"/>
    <n v="18"/>
    <x v="19"/>
    <n v="3"/>
    <n v="2018"/>
    <x v="7"/>
    <x v="29"/>
    <n v="20182603"/>
  </r>
  <r>
    <s v="04222956169"/>
    <s v="śląskie"/>
    <s v="wieś"/>
    <n v="4"/>
    <x v="20"/>
    <n v="29"/>
    <n v="2004"/>
    <x v="10"/>
    <x v="21"/>
    <n v="20042229"/>
  </r>
  <r>
    <s v="05261270230"/>
    <s v="podlaskie"/>
    <s v="wieś"/>
    <n v="5"/>
    <x v="19"/>
    <n v="12"/>
    <n v="2005"/>
    <x v="7"/>
    <x v="0"/>
    <n v="20052612"/>
  </r>
  <r>
    <s v="15320635728"/>
    <s v="małopolskie"/>
    <s v="wieś"/>
    <n v="15"/>
    <x v="21"/>
    <n v="6"/>
    <n v="2015"/>
    <x v="6"/>
    <x v="17"/>
    <n v="20153206"/>
  </r>
  <r>
    <s v="14292679651"/>
    <s v="małopolskie"/>
    <s v="miasto"/>
    <n v="14"/>
    <x v="12"/>
    <n v="26"/>
    <n v="2014"/>
    <x v="5"/>
    <x v="14"/>
    <n v="20142926"/>
  </r>
  <r>
    <s v="18261827999"/>
    <s v="kujawsko-pomorskie"/>
    <s v="wieś"/>
    <n v="18"/>
    <x v="19"/>
    <n v="18"/>
    <n v="2018"/>
    <x v="7"/>
    <x v="18"/>
    <n v="20182618"/>
  </r>
  <r>
    <s v="11282868178"/>
    <s v="łódzkie"/>
    <s v="miasto"/>
    <n v="11"/>
    <x v="14"/>
    <n v="28"/>
    <n v="2011"/>
    <x v="3"/>
    <x v="4"/>
    <n v="20112828"/>
  </r>
  <r>
    <s v="21270839187"/>
    <s v="podlaskie"/>
    <s v="miasto"/>
    <n v="21"/>
    <x v="22"/>
    <n v="8"/>
    <n v="2021"/>
    <x v="0"/>
    <x v="7"/>
    <n v="20212708"/>
  </r>
  <r>
    <s v="07271839036"/>
    <s v="lubelskie"/>
    <s v="wieś"/>
    <n v="7"/>
    <x v="22"/>
    <n v="18"/>
    <n v="2007"/>
    <x v="0"/>
    <x v="18"/>
    <n v="20072718"/>
  </r>
  <r>
    <s v="05281893493"/>
    <s v="dolnośląskie"/>
    <s v="miasto"/>
    <n v="5"/>
    <x v="14"/>
    <n v="18"/>
    <n v="2005"/>
    <x v="3"/>
    <x v="18"/>
    <n v="20052818"/>
  </r>
  <r>
    <s v="09252839228"/>
    <s v="lubelskie"/>
    <s v="wieś"/>
    <n v="9"/>
    <x v="13"/>
    <n v="28"/>
    <n v="2009"/>
    <x v="4"/>
    <x v="4"/>
    <n v="20092528"/>
  </r>
  <r>
    <s v="18320215404"/>
    <s v="kujawsko-pomorskie"/>
    <s v="wieś"/>
    <n v="18"/>
    <x v="21"/>
    <n v="2"/>
    <n v="2018"/>
    <x v="6"/>
    <x v="16"/>
    <n v="20183202"/>
  </r>
  <r>
    <s v="04280932334"/>
    <s v="warmińsko-mazurskie"/>
    <s v="miasto"/>
    <n v="4"/>
    <x v="14"/>
    <n v="9"/>
    <n v="2004"/>
    <x v="3"/>
    <x v="12"/>
    <n v="20042809"/>
  </r>
  <r>
    <s v="02220934077"/>
    <s v="świętokrzyskie"/>
    <s v="miasto"/>
    <n v="2"/>
    <x v="20"/>
    <n v="9"/>
    <n v="2002"/>
    <x v="10"/>
    <x v="12"/>
    <n v="20022209"/>
  </r>
  <r>
    <s v="02210131268"/>
    <s v="wielkopolskie"/>
    <s v="miasto"/>
    <n v="2"/>
    <x v="16"/>
    <n v="1"/>
    <n v="2002"/>
    <x v="8"/>
    <x v="1"/>
    <n v="20022101"/>
  </r>
  <r>
    <s v="09241160465"/>
    <s v="lubuskie"/>
    <s v="miasto"/>
    <n v="9"/>
    <x v="15"/>
    <n v="11"/>
    <n v="2009"/>
    <x v="2"/>
    <x v="10"/>
    <n v="20092411"/>
  </r>
  <r>
    <s v="21220692011"/>
    <s v="kujawsko-pomorskie"/>
    <s v="wieś"/>
    <n v="21"/>
    <x v="20"/>
    <n v="6"/>
    <n v="2021"/>
    <x v="10"/>
    <x v="17"/>
    <n v="20212206"/>
  </r>
  <r>
    <s v="13312872144"/>
    <s v="świętokrzyskie"/>
    <s v="miasto"/>
    <n v="13"/>
    <x v="23"/>
    <n v="28"/>
    <n v="2013"/>
    <x v="9"/>
    <x v="4"/>
    <n v="20133128"/>
  </r>
  <r>
    <s v="13262230102"/>
    <s v="pomorskie"/>
    <s v="miasto"/>
    <n v="13"/>
    <x v="19"/>
    <n v="22"/>
    <n v="2013"/>
    <x v="7"/>
    <x v="30"/>
    <n v="20132622"/>
  </r>
  <r>
    <s v="21220724187"/>
    <s v="świętokrzyskie"/>
    <s v="wieś"/>
    <n v="21"/>
    <x v="20"/>
    <n v="7"/>
    <n v="2021"/>
    <x v="10"/>
    <x v="5"/>
    <n v="20212207"/>
  </r>
  <r>
    <s v="06261743427"/>
    <s v="lubelskie"/>
    <s v="miasto"/>
    <n v="6"/>
    <x v="19"/>
    <n v="17"/>
    <n v="2006"/>
    <x v="7"/>
    <x v="9"/>
    <n v="20062617"/>
  </r>
  <r>
    <s v="14222620834"/>
    <s v="wielkopolskie"/>
    <s v="wieś"/>
    <n v="14"/>
    <x v="20"/>
    <n v="26"/>
    <n v="2014"/>
    <x v="10"/>
    <x v="14"/>
    <n v="20142226"/>
  </r>
  <r>
    <s v="19321241795"/>
    <s v="lubuskie"/>
    <s v="miasto"/>
    <n v="19"/>
    <x v="21"/>
    <n v="12"/>
    <n v="2019"/>
    <x v="6"/>
    <x v="0"/>
    <n v="20193212"/>
  </r>
  <r>
    <s v="08231904735"/>
    <s v="małopolskie"/>
    <s v="wieś"/>
    <n v="8"/>
    <x v="18"/>
    <n v="19"/>
    <n v="2008"/>
    <x v="11"/>
    <x v="24"/>
    <n v="20082319"/>
  </r>
  <r>
    <s v="15291262613"/>
    <s v="wielkopolskie"/>
    <s v="miasto"/>
    <n v="15"/>
    <x v="12"/>
    <n v="12"/>
    <n v="2015"/>
    <x v="5"/>
    <x v="0"/>
    <n v="20152912"/>
  </r>
  <r>
    <s v="08260445829"/>
    <s v="opolskie"/>
    <s v="miasto"/>
    <n v="8"/>
    <x v="19"/>
    <n v="4"/>
    <n v="2008"/>
    <x v="7"/>
    <x v="23"/>
    <n v="20082604"/>
  </r>
  <r>
    <s v="08240292689"/>
    <s v="lubelskie"/>
    <s v="miasto"/>
    <n v="8"/>
    <x v="15"/>
    <n v="2"/>
    <n v="2008"/>
    <x v="2"/>
    <x v="16"/>
    <n v="20082402"/>
  </r>
  <r>
    <s v="19231091923"/>
    <s v="opolskie"/>
    <s v="wieś"/>
    <n v="19"/>
    <x v="18"/>
    <n v="10"/>
    <n v="2019"/>
    <x v="11"/>
    <x v="8"/>
    <n v="20192310"/>
  </r>
  <r>
    <s v="14281202570"/>
    <s v="lubuskie"/>
    <s v="miasto"/>
    <n v="14"/>
    <x v="14"/>
    <n v="12"/>
    <n v="2014"/>
    <x v="3"/>
    <x v="0"/>
    <n v="20142812"/>
  </r>
  <r>
    <s v="07280297711"/>
    <s v="świętokrzyskie"/>
    <s v="wieś"/>
    <n v="7"/>
    <x v="14"/>
    <n v="2"/>
    <n v="2007"/>
    <x v="3"/>
    <x v="16"/>
    <n v="20072802"/>
  </r>
  <r>
    <s v="06262554167"/>
    <s v="zachodniopomorskie"/>
    <s v="miasto"/>
    <n v="6"/>
    <x v="19"/>
    <n v="25"/>
    <n v="2006"/>
    <x v="7"/>
    <x v="19"/>
    <n v="20062625"/>
  </r>
  <r>
    <s v="15242764690"/>
    <s v="świętokrzyskie"/>
    <s v="miasto"/>
    <n v="15"/>
    <x v="15"/>
    <n v="27"/>
    <n v="2015"/>
    <x v="2"/>
    <x v="15"/>
    <n v="20152427"/>
  </r>
  <r>
    <s v="14262226577"/>
    <s v="małopolskie"/>
    <s v="miasto"/>
    <n v="14"/>
    <x v="19"/>
    <n v="22"/>
    <n v="2014"/>
    <x v="7"/>
    <x v="30"/>
    <n v="20142622"/>
  </r>
  <r>
    <s v="01212988892"/>
    <s v="warmińsko-mazurskie"/>
    <s v="wieś"/>
    <n v="1"/>
    <x v="16"/>
    <n v="29"/>
    <n v="2001"/>
    <x v="8"/>
    <x v="21"/>
    <n v="20012129"/>
  </r>
  <r>
    <s v="21210221072"/>
    <s v="pomorskie"/>
    <s v="wieś"/>
    <n v="21"/>
    <x v="16"/>
    <n v="2"/>
    <n v="2021"/>
    <x v="8"/>
    <x v="16"/>
    <n v="20212102"/>
  </r>
  <r>
    <s v="21230117469"/>
    <s v="kujawsko-pomorskie"/>
    <s v="miasto"/>
    <n v="21"/>
    <x v="18"/>
    <n v="1"/>
    <n v="2021"/>
    <x v="11"/>
    <x v="1"/>
    <n v="20212301"/>
  </r>
  <r>
    <s v="02241272826"/>
    <s v="podlaskie"/>
    <s v="miasto"/>
    <n v="2"/>
    <x v="15"/>
    <n v="12"/>
    <n v="2002"/>
    <x v="2"/>
    <x v="0"/>
    <n v="20022412"/>
  </r>
  <r>
    <s v="06310554648"/>
    <s v="dolnośląskie"/>
    <s v="wieś"/>
    <n v="6"/>
    <x v="23"/>
    <n v="5"/>
    <n v="2006"/>
    <x v="9"/>
    <x v="25"/>
    <n v="20063105"/>
  </r>
  <r>
    <s v="18210957250"/>
    <s v="łódzkie"/>
    <s v="miasto"/>
    <n v="18"/>
    <x v="16"/>
    <n v="9"/>
    <n v="2018"/>
    <x v="8"/>
    <x v="12"/>
    <n v="20182109"/>
  </r>
  <r>
    <s v="21243075794"/>
    <s v="małopolskie"/>
    <s v="wieś"/>
    <n v="21"/>
    <x v="15"/>
    <n v="30"/>
    <n v="2021"/>
    <x v="2"/>
    <x v="26"/>
    <n v="20212430"/>
  </r>
  <r>
    <s v="00251281221"/>
    <s v="mazowieckie"/>
    <s v="miasto"/>
    <n v="0"/>
    <x v="13"/>
    <n v="12"/>
    <n v="2000"/>
    <x v="4"/>
    <x v="0"/>
    <n v="20002512"/>
  </r>
  <r>
    <s v="00270484214"/>
    <s v="lubelskie"/>
    <s v="miasto"/>
    <n v="0"/>
    <x v="22"/>
    <n v="4"/>
    <n v="2000"/>
    <x v="0"/>
    <x v="23"/>
    <n v="20002704"/>
  </r>
  <r>
    <s v="06211342089"/>
    <s v="śląskie"/>
    <s v="wieś"/>
    <n v="6"/>
    <x v="16"/>
    <n v="13"/>
    <n v="2006"/>
    <x v="8"/>
    <x v="22"/>
    <n v="20062113"/>
  </r>
  <r>
    <s v="22280655817"/>
    <s v="kujawsko-pomorskie"/>
    <s v="wieś"/>
    <n v="22"/>
    <x v="14"/>
    <n v="6"/>
    <n v="2022"/>
    <x v="3"/>
    <x v="17"/>
    <n v="20222806"/>
  </r>
  <r>
    <s v="11241593178"/>
    <s v="świętokrzyskie"/>
    <s v="miasto"/>
    <n v="11"/>
    <x v="15"/>
    <n v="15"/>
    <n v="2011"/>
    <x v="2"/>
    <x v="20"/>
    <n v="20112415"/>
  </r>
  <r>
    <s v="18222264663"/>
    <s v="warmińsko-mazurskie"/>
    <s v="wieś"/>
    <n v="18"/>
    <x v="20"/>
    <n v="22"/>
    <n v="2018"/>
    <x v="10"/>
    <x v="30"/>
    <n v="20182222"/>
  </r>
  <r>
    <s v="04311914014"/>
    <s v="lubelskie"/>
    <s v="wieś"/>
    <n v="4"/>
    <x v="23"/>
    <n v="19"/>
    <n v="2004"/>
    <x v="9"/>
    <x v="24"/>
    <n v="20043119"/>
  </r>
  <r>
    <s v="06260135821"/>
    <s v="zachodniopomorskie"/>
    <s v="miasto"/>
    <n v="6"/>
    <x v="19"/>
    <n v="1"/>
    <n v="2006"/>
    <x v="7"/>
    <x v="1"/>
    <n v="20062601"/>
  </r>
  <r>
    <s v="06220424817"/>
    <s v="mazowieckie"/>
    <s v="miasto"/>
    <n v="6"/>
    <x v="20"/>
    <n v="4"/>
    <n v="2006"/>
    <x v="10"/>
    <x v="23"/>
    <n v="20062204"/>
  </r>
  <r>
    <s v="22261251874"/>
    <s v="śląskie"/>
    <s v="wieś"/>
    <n v="22"/>
    <x v="19"/>
    <n v="12"/>
    <n v="2022"/>
    <x v="7"/>
    <x v="0"/>
    <n v="20222612"/>
  </r>
  <r>
    <s v="19291516772"/>
    <s v="mazowieckie"/>
    <s v="miasto"/>
    <n v="19"/>
    <x v="12"/>
    <n v="15"/>
    <n v="2019"/>
    <x v="5"/>
    <x v="20"/>
    <n v="20192915"/>
  </r>
  <r>
    <s v="01310378922"/>
    <s v="pomorskie"/>
    <s v="wieś"/>
    <n v="1"/>
    <x v="23"/>
    <n v="3"/>
    <n v="2001"/>
    <x v="9"/>
    <x v="29"/>
    <n v="20013103"/>
  </r>
  <r>
    <s v="16232416838"/>
    <s v="podkarpackie"/>
    <s v="miasto"/>
    <n v="16"/>
    <x v="18"/>
    <n v="24"/>
    <n v="2016"/>
    <x v="11"/>
    <x v="11"/>
    <n v="20162324"/>
  </r>
  <r>
    <s v="02240727679"/>
    <s v="łódzkie"/>
    <s v="miasto"/>
    <n v="2"/>
    <x v="15"/>
    <n v="7"/>
    <n v="2002"/>
    <x v="2"/>
    <x v="5"/>
    <n v="20022407"/>
  </r>
  <r>
    <s v="06270487288"/>
    <s v="świętokrzyskie"/>
    <s v="wieś"/>
    <n v="6"/>
    <x v="22"/>
    <n v="4"/>
    <n v="2006"/>
    <x v="0"/>
    <x v="23"/>
    <n v="20062704"/>
  </r>
  <r>
    <s v="04241869475"/>
    <s v="lubuskie"/>
    <s v="wieś"/>
    <n v="4"/>
    <x v="15"/>
    <n v="18"/>
    <n v="2004"/>
    <x v="2"/>
    <x v="18"/>
    <n v="20042418"/>
  </r>
  <r>
    <s v="17320457399"/>
    <s v="podlaskie"/>
    <s v="miasto"/>
    <n v="17"/>
    <x v="21"/>
    <n v="4"/>
    <n v="2017"/>
    <x v="6"/>
    <x v="23"/>
    <n v="20173204"/>
  </r>
  <r>
    <m/>
    <m/>
    <m/>
    <m/>
    <x v="24"/>
    <m/>
    <m/>
    <x v="12"/>
    <x v="31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1">
  <r>
    <s v="93071285223"/>
    <s v="zachodniopomorskie"/>
    <s v="wieś"/>
    <n v="93"/>
    <x v="0"/>
    <n v="12"/>
    <n v="1993"/>
    <x v="0"/>
    <n v="12"/>
    <n v="19930712"/>
    <s v="12.07.1993"/>
  </r>
  <r>
    <s v="71100161818"/>
    <s v="pomorskie"/>
    <s v="miasto"/>
    <n v="71"/>
    <x v="1"/>
    <n v="1"/>
    <n v="1971"/>
    <x v="1"/>
    <n v="1"/>
    <n v="19711001"/>
    <s v="01.10.1971"/>
  </r>
  <r>
    <s v="81042322710"/>
    <s v="świętokrzyskie"/>
    <s v="miasto"/>
    <n v="81"/>
    <x v="2"/>
    <n v="23"/>
    <n v="1981"/>
    <x v="2"/>
    <n v="23"/>
    <n v="19810423"/>
    <s v="23.04.1981"/>
  </r>
  <r>
    <s v="72083133476"/>
    <s v="lubuskie"/>
    <s v="wieś"/>
    <n v="72"/>
    <x v="3"/>
    <n v="31"/>
    <n v="1972"/>
    <x v="3"/>
    <n v="31"/>
    <n v="19720831"/>
    <s v="31.08.1972"/>
  </r>
  <r>
    <s v="50072800150"/>
    <s v="małopolskie"/>
    <s v="miasto"/>
    <n v="50"/>
    <x v="0"/>
    <n v="28"/>
    <n v="1950"/>
    <x v="0"/>
    <n v="28"/>
    <n v="19500728"/>
    <s v="28.07.1950"/>
  </r>
  <r>
    <s v="93050716944"/>
    <s v="lubelskie"/>
    <s v="miasto"/>
    <n v="93"/>
    <x v="4"/>
    <n v="7"/>
    <n v="1993"/>
    <x v="4"/>
    <n v="7"/>
    <n v="19930507"/>
    <s v="07.05.1993"/>
  </r>
  <r>
    <s v="72081479033"/>
    <s v="małopolskie"/>
    <s v="miasto"/>
    <n v="72"/>
    <x v="3"/>
    <n v="14"/>
    <n v="1972"/>
    <x v="3"/>
    <n v="14"/>
    <n v="19720814"/>
    <s v="14.08.1972"/>
  </r>
  <r>
    <s v="95090874952"/>
    <s v="lubuskie"/>
    <s v="miasto"/>
    <n v="95"/>
    <x v="5"/>
    <n v="8"/>
    <n v="1995"/>
    <x v="5"/>
    <n v="8"/>
    <n v="19950908"/>
    <s v="08.09.1995"/>
  </r>
  <r>
    <s v="61121070211"/>
    <s v="zachodniopomorskie"/>
    <s v="wieś"/>
    <n v="61"/>
    <x v="6"/>
    <n v="10"/>
    <n v="1961"/>
    <x v="6"/>
    <n v="10"/>
    <n v="19611210"/>
    <s v="10.12.1961"/>
  </r>
  <r>
    <s v="81051730520"/>
    <s v="lubelskie"/>
    <s v="miasto"/>
    <n v="81"/>
    <x v="4"/>
    <n v="17"/>
    <n v="1981"/>
    <x v="4"/>
    <n v="17"/>
    <n v="19810517"/>
    <s v="17.05.1981"/>
  </r>
  <r>
    <s v="95061702620"/>
    <s v="pomorskie"/>
    <s v="miasto"/>
    <n v="95"/>
    <x v="7"/>
    <n v="17"/>
    <n v="1995"/>
    <x v="7"/>
    <n v="17"/>
    <n v="19950617"/>
    <s v="17.06.1995"/>
  </r>
  <r>
    <s v="50080851678"/>
    <s v="śląskie"/>
    <s v="miasto"/>
    <n v="50"/>
    <x v="3"/>
    <n v="8"/>
    <n v="1950"/>
    <x v="3"/>
    <n v="8"/>
    <n v="19500808"/>
    <s v="08.08.1950"/>
  </r>
  <r>
    <s v="79092865583"/>
    <s v="warmińsko-mazurskie"/>
    <s v="miasto"/>
    <n v="79"/>
    <x v="5"/>
    <n v="28"/>
    <n v="1979"/>
    <x v="5"/>
    <n v="28"/>
    <n v="19790928"/>
    <s v="28.09.1979"/>
  </r>
  <r>
    <s v="66091136037"/>
    <s v="mazowieckie"/>
    <s v="miasto"/>
    <n v="66"/>
    <x v="5"/>
    <n v="11"/>
    <n v="1966"/>
    <x v="5"/>
    <n v="11"/>
    <n v="19660911"/>
    <s v="11.09.1966"/>
  </r>
  <r>
    <s v="84081042483"/>
    <s v="warmińsko-mazurskie"/>
    <s v="wieś"/>
    <n v="84"/>
    <x v="3"/>
    <n v="10"/>
    <n v="1984"/>
    <x v="3"/>
    <n v="10"/>
    <n v="19840810"/>
    <s v="10.08.1984"/>
  </r>
  <r>
    <s v="76012491819"/>
    <s v="śląskie"/>
    <s v="miasto"/>
    <n v="76"/>
    <x v="8"/>
    <n v="24"/>
    <n v="1976"/>
    <x v="8"/>
    <n v="24"/>
    <n v="19760124"/>
    <s v="24.01.1976"/>
  </r>
  <r>
    <s v="60112365499"/>
    <s v="lubelskie"/>
    <s v="miasto"/>
    <n v="60"/>
    <x v="9"/>
    <n v="23"/>
    <n v="1960"/>
    <x v="9"/>
    <n v="23"/>
    <n v="19601123"/>
    <s v="23.11.1960"/>
  </r>
  <r>
    <s v="95100981335"/>
    <s v="pomorskie"/>
    <s v="miasto"/>
    <n v="95"/>
    <x v="1"/>
    <n v="9"/>
    <n v="1995"/>
    <x v="1"/>
    <n v="9"/>
    <n v="19951009"/>
    <s v="09.10.1995"/>
  </r>
  <r>
    <s v="91111640340"/>
    <s v="podlaskie"/>
    <s v="miasto"/>
    <n v="91"/>
    <x v="9"/>
    <n v="16"/>
    <n v="1991"/>
    <x v="9"/>
    <n v="16"/>
    <n v="19911116"/>
    <s v="16.11.1991"/>
  </r>
  <r>
    <s v="74012678094"/>
    <s v="podkarpackie"/>
    <s v="wieś"/>
    <n v="74"/>
    <x v="8"/>
    <n v="26"/>
    <n v="1974"/>
    <x v="8"/>
    <n v="26"/>
    <n v="19740126"/>
    <s v="26.01.1974"/>
  </r>
  <r>
    <s v="83041036704"/>
    <s v="wielkopolskie"/>
    <s v="miasto"/>
    <n v="83"/>
    <x v="2"/>
    <n v="10"/>
    <n v="1983"/>
    <x v="2"/>
    <n v="10"/>
    <n v="19830410"/>
    <s v="10.04.1983"/>
  </r>
  <r>
    <s v="61122682262"/>
    <s v="opolskie"/>
    <s v="wieś"/>
    <n v="61"/>
    <x v="6"/>
    <n v="26"/>
    <n v="1961"/>
    <x v="6"/>
    <n v="26"/>
    <n v="19611226"/>
    <s v="26.12.1961"/>
  </r>
  <r>
    <s v="91120411609"/>
    <s v="kujawsko-pomorskie"/>
    <s v="wieś"/>
    <n v="91"/>
    <x v="6"/>
    <n v="4"/>
    <n v="1991"/>
    <x v="6"/>
    <n v="4"/>
    <n v="19911204"/>
    <s v="04.12.1991"/>
  </r>
  <r>
    <s v="72082694471"/>
    <s v="łódzkie"/>
    <s v="wieś"/>
    <n v="72"/>
    <x v="3"/>
    <n v="26"/>
    <n v="1972"/>
    <x v="3"/>
    <n v="26"/>
    <n v="19720826"/>
    <s v="26.08.1972"/>
  </r>
  <r>
    <s v="97122899159"/>
    <s v="lubelskie"/>
    <s v="wieś"/>
    <n v="97"/>
    <x v="6"/>
    <n v="28"/>
    <n v="1997"/>
    <x v="6"/>
    <n v="28"/>
    <n v="19971228"/>
    <s v="28.12.1997"/>
  </r>
  <r>
    <s v="56071053131"/>
    <s v="dolnośląskie"/>
    <s v="miasto"/>
    <n v="56"/>
    <x v="0"/>
    <n v="10"/>
    <n v="1956"/>
    <x v="0"/>
    <n v="10"/>
    <n v="19560710"/>
    <s v="10.07.1956"/>
  </r>
  <r>
    <s v="83020158890"/>
    <s v="zachodniopomorskie"/>
    <s v="wieś"/>
    <n v="83"/>
    <x v="10"/>
    <n v="1"/>
    <n v="1983"/>
    <x v="10"/>
    <n v="1"/>
    <n v="19830201"/>
    <s v="01.02.1983"/>
  </r>
  <r>
    <s v="86040879028"/>
    <s v="podlaskie"/>
    <s v="wieś"/>
    <n v="86"/>
    <x v="2"/>
    <n v="8"/>
    <n v="1986"/>
    <x v="2"/>
    <n v="8"/>
    <n v="19860408"/>
    <s v="08.04.1986"/>
  </r>
  <r>
    <s v="56102724748"/>
    <s v="zachodniopomorskie"/>
    <s v="wieś"/>
    <n v="56"/>
    <x v="1"/>
    <n v="27"/>
    <n v="1956"/>
    <x v="1"/>
    <n v="27"/>
    <n v="19561027"/>
    <s v="27.10.1956"/>
  </r>
  <r>
    <s v="57011144311"/>
    <s v="lubelskie"/>
    <s v="miasto"/>
    <n v="57"/>
    <x v="8"/>
    <n v="11"/>
    <n v="1957"/>
    <x v="8"/>
    <n v="11"/>
    <n v="19570111"/>
    <s v="11.01.1957"/>
  </r>
  <r>
    <s v="88040991416"/>
    <s v="warmińsko-mazurskie"/>
    <s v="wieś"/>
    <n v="88"/>
    <x v="2"/>
    <n v="9"/>
    <n v="1988"/>
    <x v="2"/>
    <n v="9"/>
    <n v="19880409"/>
    <s v="09.04.1988"/>
  </r>
  <r>
    <s v="86112649382"/>
    <s v="małopolskie"/>
    <s v="miasto"/>
    <n v="86"/>
    <x v="9"/>
    <n v="26"/>
    <n v="1986"/>
    <x v="9"/>
    <n v="26"/>
    <n v="19861126"/>
    <s v="26.11.1986"/>
  </r>
  <r>
    <s v="71010805927"/>
    <s v="łódzkie"/>
    <s v="miasto"/>
    <n v="71"/>
    <x v="8"/>
    <n v="8"/>
    <n v="1971"/>
    <x v="8"/>
    <n v="8"/>
    <n v="19710108"/>
    <s v="08.01.1971"/>
  </r>
  <r>
    <s v="94062395770"/>
    <s v="mazowieckie"/>
    <s v="miasto"/>
    <n v="94"/>
    <x v="7"/>
    <n v="23"/>
    <n v="1994"/>
    <x v="7"/>
    <n v="23"/>
    <n v="19940623"/>
    <s v="23.06.1994"/>
  </r>
  <r>
    <s v="61120262307"/>
    <s v="wielkopolskie"/>
    <s v="miasto"/>
    <n v="61"/>
    <x v="6"/>
    <n v="2"/>
    <n v="1961"/>
    <x v="6"/>
    <n v="2"/>
    <n v="19611202"/>
    <s v="02.12.1961"/>
  </r>
  <r>
    <s v="81061212645"/>
    <s v="mazowieckie"/>
    <s v="miasto"/>
    <n v="81"/>
    <x v="7"/>
    <n v="12"/>
    <n v="1981"/>
    <x v="7"/>
    <n v="12"/>
    <n v="19810612"/>
    <s v="12.06.1981"/>
  </r>
  <r>
    <s v="82030696103"/>
    <s v="warmińsko-mazurskie"/>
    <s v="miasto"/>
    <n v="82"/>
    <x v="11"/>
    <n v="6"/>
    <n v="1982"/>
    <x v="11"/>
    <n v="6"/>
    <n v="19820306"/>
    <s v="06.03.1982"/>
  </r>
  <r>
    <s v="94022848630"/>
    <s v="podlaskie"/>
    <s v="miasto"/>
    <n v="94"/>
    <x v="10"/>
    <n v="28"/>
    <n v="1994"/>
    <x v="10"/>
    <n v="28"/>
    <n v="19940228"/>
    <s v="28.02.1994"/>
  </r>
  <r>
    <s v="99020135465"/>
    <s v="łódzkie"/>
    <s v="miasto"/>
    <n v="99"/>
    <x v="10"/>
    <n v="1"/>
    <n v="1999"/>
    <x v="10"/>
    <n v="1"/>
    <n v="19990201"/>
    <s v="01.02.1999"/>
  </r>
  <r>
    <s v="82080288567"/>
    <s v="łódzkie"/>
    <s v="wieś"/>
    <n v="82"/>
    <x v="3"/>
    <n v="2"/>
    <n v="1982"/>
    <x v="3"/>
    <n v="2"/>
    <n v="19820802"/>
    <s v="02.08.1982"/>
  </r>
  <r>
    <s v="66020115140"/>
    <s v="łódzkie"/>
    <s v="miasto"/>
    <n v="66"/>
    <x v="10"/>
    <n v="1"/>
    <n v="1966"/>
    <x v="10"/>
    <n v="1"/>
    <n v="19660201"/>
    <s v="01.02.1966"/>
  </r>
  <r>
    <s v="86032868618"/>
    <s v="opolskie"/>
    <s v="wieś"/>
    <n v="86"/>
    <x v="11"/>
    <n v="28"/>
    <n v="1986"/>
    <x v="11"/>
    <n v="28"/>
    <n v="19860328"/>
    <s v="28.03.1986"/>
  </r>
  <r>
    <s v="83111806237"/>
    <s v="warmińsko-mazurskie"/>
    <s v="miasto"/>
    <n v="83"/>
    <x v="9"/>
    <n v="18"/>
    <n v="1983"/>
    <x v="9"/>
    <n v="18"/>
    <n v="19831118"/>
    <s v="18.11.1983"/>
  </r>
  <r>
    <s v="67092597948"/>
    <s v="podlaskie"/>
    <s v="miasto"/>
    <n v="67"/>
    <x v="5"/>
    <n v="25"/>
    <n v="1967"/>
    <x v="5"/>
    <n v="25"/>
    <n v="19670925"/>
    <s v="25.09.1967"/>
  </r>
  <r>
    <s v="55032362187"/>
    <s v="łódzkie"/>
    <s v="wieś"/>
    <n v="55"/>
    <x v="11"/>
    <n v="23"/>
    <n v="1955"/>
    <x v="11"/>
    <n v="23"/>
    <n v="19550323"/>
    <s v="23.03.1955"/>
  </r>
  <r>
    <s v="68111551073"/>
    <s v="opolskie"/>
    <s v="wieś"/>
    <n v="68"/>
    <x v="9"/>
    <n v="15"/>
    <n v="1968"/>
    <x v="9"/>
    <n v="15"/>
    <n v="19681115"/>
    <s v="15.11.1968"/>
  </r>
  <r>
    <s v="72050199081"/>
    <s v="łódzkie"/>
    <s v="wieś"/>
    <n v="72"/>
    <x v="4"/>
    <n v="1"/>
    <n v="1972"/>
    <x v="4"/>
    <n v="1"/>
    <n v="19720501"/>
    <s v="01.05.1972"/>
  </r>
  <r>
    <s v="89110619812"/>
    <s v="opolskie"/>
    <s v="wieś"/>
    <n v="89"/>
    <x v="9"/>
    <n v="6"/>
    <n v="1989"/>
    <x v="9"/>
    <n v="6"/>
    <n v="19891106"/>
    <s v="06.11.1989"/>
  </r>
  <r>
    <s v="92062939635"/>
    <s v="podlaskie"/>
    <s v="miasto"/>
    <n v="92"/>
    <x v="7"/>
    <n v="29"/>
    <n v="1992"/>
    <x v="7"/>
    <n v="29"/>
    <n v="19920629"/>
    <s v="29.06.1992"/>
  </r>
  <r>
    <s v="96022721818"/>
    <s v="opolskie"/>
    <s v="miasto"/>
    <n v="96"/>
    <x v="10"/>
    <n v="27"/>
    <n v="1996"/>
    <x v="10"/>
    <n v="27"/>
    <n v="19960227"/>
    <s v="27.02.1996"/>
  </r>
  <r>
    <s v="67082759149"/>
    <s v="warmińsko-mazurskie"/>
    <s v="miasto"/>
    <n v="67"/>
    <x v="3"/>
    <n v="27"/>
    <n v="1967"/>
    <x v="3"/>
    <n v="27"/>
    <n v="19670827"/>
    <s v="27.08.1967"/>
  </r>
  <r>
    <s v="53041338908"/>
    <s v="mazowieckie"/>
    <s v="miasto"/>
    <n v="53"/>
    <x v="2"/>
    <n v="13"/>
    <n v="1953"/>
    <x v="2"/>
    <n v="13"/>
    <n v="19530413"/>
    <s v="13.04.1953"/>
  </r>
  <r>
    <s v="85070464356"/>
    <s v="podkarpackie"/>
    <s v="miasto"/>
    <n v="85"/>
    <x v="0"/>
    <n v="4"/>
    <n v="1985"/>
    <x v="0"/>
    <n v="4"/>
    <n v="19850704"/>
    <s v="04.07.1985"/>
  </r>
  <r>
    <s v="67110443901"/>
    <s v="zachodniopomorskie"/>
    <s v="wieś"/>
    <n v="67"/>
    <x v="9"/>
    <n v="4"/>
    <n v="1967"/>
    <x v="9"/>
    <n v="4"/>
    <n v="19671104"/>
    <s v="04.11.1967"/>
  </r>
  <r>
    <s v="76112956896"/>
    <s v="wielkopolskie"/>
    <s v="wieś"/>
    <n v="76"/>
    <x v="9"/>
    <n v="29"/>
    <n v="1976"/>
    <x v="9"/>
    <n v="29"/>
    <n v="19761129"/>
    <s v="29.11.1976"/>
  </r>
  <r>
    <s v="78072344438"/>
    <s v="świętokrzyskie"/>
    <s v="miasto"/>
    <n v="78"/>
    <x v="0"/>
    <n v="23"/>
    <n v="1978"/>
    <x v="0"/>
    <n v="23"/>
    <n v="19780723"/>
    <s v="23.07.1978"/>
  </r>
  <r>
    <s v="50092746764"/>
    <s v="mazowieckie"/>
    <s v="miasto"/>
    <n v="50"/>
    <x v="5"/>
    <n v="27"/>
    <n v="1950"/>
    <x v="5"/>
    <n v="27"/>
    <n v="19500927"/>
    <s v="27.09.1950"/>
  </r>
  <r>
    <s v="67090933304"/>
    <s v="lubelskie"/>
    <s v="wieś"/>
    <n v="67"/>
    <x v="5"/>
    <n v="9"/>
    <n v="1967"/>
    <x v="5"/>
    <n v="9"/>
    <n v="19670909"/>
    <s v="09.09.1967"/>
  </r>
  <r>
    <s v="94070783248"/>
    <s v="zachodniopomorskie"/>
    <s v="miasto"/>
    <n v="94"/>
    <x v="0"/>
    <n v="7"/>
    <n v="1994"/>
    <x v="0"/>
    <n v="7"/>
    <n v="19940707"/>
    <s v="07.07.1994"/>
  </r>
  <r>
    <s v="78031408458"/>
    <s v="mazowieckie"/>
    <s v="wieś"/>
    <n v="78"/>
    <x v="11"/>
    <n v="14"/>
    <n v="1978"/>
    <x v="11"/>
    <n v="14"/>
    <n v="19780314"/>
    <s v="14.03.1978"/>
  </r>
  <r>
    <s v="75111802177"/>
    <s v="małopolskie"/>
    <s v="wieś"/>
    <n v="75"/>
    <x v="9"/>
    <n v="18"/>
    <n v="1975"/>
    <x v="9"/>
    <n v="18"/>
    <n v="19751118"/>
    <s v="18.11.1975"/>
  </r>
  <r>
    <s v="84011772408"/>
    <s v="dolnośląskie"/>
    <s v="wieś"/>
    <n v="84"/>
    <x v="8"/>
    <n v="17"/>
    <n v="1984"/>
    <x v="8"/>
    <n v="17"/>
    <n v="19840117"/>
    <s v="17.01.1984"/>
  </r>
  <r>
    <s v="73101944548"/>
    <s v="lubuskie"/>
    <s v="miasto"/>
    <n v="73"/>
    <x v="1"/>
    <n v="19"/>
    <n v="1973"/>
    <x v="1"/>
    <n v="19"/>
    <n v="19731019"/>
    <s v="19.10.1973"/>
  </r>
  <r>
    <s v="98112560941"/>
    <s v="dolnośląskie"/>
    <s v="miasto"/>
    <n v="98"/>
    <x v="9"/>
    <n v="25"/>
    <n v="1998"/>
    <x v="9"/>
    <n v="25"/>
    <n v="19981125"/>
    <s v="25.11.1998"/>
  </r>
  <r>
    <s v="80020544623"/>
    <s v="podlaskie"/>
    <s v="wieś"/>
    <n v="80"/>
    <x v="10"/>
    <n v="5"/>
    <n v="1980"/>
    <x v="10"/>
    <n v="5"/>
    <n v="19800205"/>
    <s v="05.02.1980"/>
  </r>
  <r>
    <s v="78090623276"/>
    <s v="opolskie"/>
    <s v="wieś"/>
    <n v="78"/>
    <x v="5"/>
    <n v="6"/>
    <n v="1978"/>
    <x v="5"/>
    <n v="6"/>
    <n v="19780906"/>
    <s v="06.09.1978"/>
  </r>
  <r>
    <s v="85100461779"/>
    <s v="lubuskie"/>
    <s v="wieś"/>
    <n v="85"/>
    <x v="1"/>
    <n v="4"/>
    <n v="1985"/>
    <x v="1"/>
    <n v="4"/>
    <n v="19851004"/>
    <s v="04.10.1985"/>
  </r>
  <r>
    <s v="62103049429"/>
    <s v="opolskie"/>
    <s v="miasto"/>
    <n v="62"/>
    <x v="1"/>
    <n v="30"/>
    <n v="1962"/>
    <x v="1"/>
    <n v="30"/>
    <n v="19621030"/>
    <s v="30.10.1962"/>
  </r>
  <r>
    <s v="64092166116"/>
    <s v="dolnośląskie"/>
    <s v="miasto"/>
    <n v="64"/>
    <x v="5"/>
    <n v="21"/>
    <n v="1964"/>
    <x v="5"/>
    <n v="21"/>
    <n v="19640921"/>
    <s v="21.09.1964"/>
  </r>
  <r>
    <s v="72112844735"/>
    <s v="łódzkie"/>
    <s v="wieś"/>
    <n v="72"/>
    <x v="9"/>
    <n v="28"/>
    <n v="1972"/>
    <x v="9"/>
    <n v="28"/>
    <n v="19721128"/>
    <s v="28.11.1972"/>
  </r>
  <r>
    <s v="90071102655"/>
    <s v="podkarpackie"/>
    <s v="miasto"/>
    <n v="90"/>
    <x v="0"/>
    <n v="11"/>
    <n v="1990"/>
    <x v="0"/>
    <n v="11"/>
    <n v="19900711"/>
    <s v="11.07.1990"/>
  </r>
  <r>
    <s v="80100724608"/>
    <s v="lubelskie"/>
    <s v="wieś"/>
    <n v="80"/>
    <x v="1"/>
    <n v="7"/>
    <n v="1980"/>
    <x v="1"/>
    <n v="7"/>
    <n v="19801007"/>
    <s v="07.10.1980"/>
  </r>
  <r>
    <s v="67111696971"/>
    <s v="łódzkie"/>
    <s v="wieś"/>
    <n v="67"/>
    <x v="9"/>
    <n v="16"/>
    <n v="1967"/>
    <x v="9"/>
    <n v="16"/>
    <n v="19671116"/>
    <s v="16.11.1967"/>
  </r>
  <r>
    <s v="87100455842"/>
    <s v="małopolskie"/>
    <s v="wieś"/>
    <n v="87"/>
    <x v="1"/>
    <n v="4"/>
    <n v="1987"/>
    <x v="1"/>
    <n v="4"/>
    <n v="19871004"/>
    <s v="04.10.1987"/>
  </r>
  <r>
    <s v="64090118269"/>
    <s v="dolnośląskie"/>
    <s v="wieś"/>
    <n v="64"/>
    <x v="5"/>
    <n v="1"/>
    <n v="1964"/>
    <x v="5"/>
    <n v="1"/>
    <n v="19640901"/>
    <s v="01.09.1964"/>
  </r>
  <r>
    <s v="61061727275"/>
    <s v="zachodniopomorskie"/>
    <s v="wieś"/>
    <n v="61"/>
    <x v="7"/>
    <n v="17"/>
    <n v="1961"/>
    <x v="7"/>
    <n v="17"/>
    <n v="19610617"/>
    <s v="17.06.1961"/>
  </r>
  <r>
    <s v="66121567550"/>
    <s v="małopolskie"/>
    <s v="miasto"/>
    <n v="66"/>
    <x v="6"/>
    <n v="15"/>
    <n v="1966"/>
    <x v="6"/>
    <n v="15"/>
    <n v="19661215"/>
    <s v="15.12.1966"/>
  </r>
  <r>
    <s v="92102923299"/>
    <s v="podlaskie"/>
    <s v="wieś"/>
    <n v="92"/>
    <x v="1"/>
    <n v="29"/>
    <n v="1992"/>
    <x v="1"/>
    <n v="29"/>
    <n v="19921029"/>
    <s v="29.10.1992"/>
  </r>
  <r>
    <s v="97011978576"/>
    <s v="zachodniopomorskie"/>
    <s v="wieś"/>
    <n v="97"/>
    <x v="8"/>
    <n v="19"/>
    <n v="1997"/>
    <x v="8"/>
    <n v="19"/>
    <n v="19970119"/>
    <s v="19.01.1997"/>
  </r>
  <r>
    <s v="75042006365"/>
    <s v="podlaskie"/>
    <s v="miasto"/>
    <n v="75"/>
    <x v="2"/>
    <n v="20"/>
    <n v="1975"/>
    <x v="2"/>
    <n v="20"/>
    <n v="19750420"/>
    <s v="20.04.1975"/>
  </r>
  <r>
    <s v="51100113466"/>
    <s v="podkarpackie"/>
    <s v="wieś"/>
    <n v="51"/>
    <x v="1"/>
    <n v="1"/>
    <n v="1951"/>
    <x v="1"/>
    <n v="1"/>
    <n v="19511001"/>
    <s v="01.10.1951"/>
  </r>
  <r>
    <s v="72073013618"/>
    <s v="podkarpackie"/>
    <s v="wieś"/>
    <n v="72"/>
    <x v="0"/>
    <n v="30"/>
    <n v="1972"/>
    <x v="0"/>
    <n v="30"/>
    <n v="19720730"/>
    <s v="30.07.1972"/>
  </r>
  <r>
    <s v="95071506935"/>
    <s v="pomorskie"/>
    <s v="wieś"/>
    <n v="95"/>
    <x v="0"/>
    <n v="15"/>
    <n v="1995"/>
    <x v="0"/>
    <n v="15"/>
    <n v="19950715"/>
    <s v="15.07.1995"/>
  </r>
  <r>
    <s v="64082706270"/>
    <s v="małopolskie"/>
    <s v="wieś"/>
    <n v="64"/>
    <x v="3"/>
    <n v="27"/>
    <n v="1964"/>
    <x v="3"/>
    <n v="27"/>
    <n v="19640827"/>
    <s v="27.08.1964"/>
  </r>
  <r>
    <s v="74102033752"/>
    <s v="pomorskie"/>
    <s v="wieś"/>
    <n v="74"/>
    <x v="1"/>
    <n v="20"/>
    <n v="1974"/>
    <x v="1"/>
    <n v="20"/>
    <n v="19741020"/>
    <s v="20.10.1974"/>
  </r>
  <r>
    <s v="57081355125"/>
    <s v="podlaskie"/>
    <s v="miasto"/>
    <n v="57"/>
    <x v="3"/>
    <n v="13"/>
    <n v="1957"/>
    <x v="3"/>
    <n v="13"/>
    <n v="19570813"/>
    <s v="13.08.1957"/>
  </r>
  <r>
    <s v="63091825499"/>
    <s v="lubuskie"/>
    <s v="wieś"/>
    <n v="63"/>
    <x v="5"/>
    <n v="18"/>
    <n v="1963"/>
    <x v="5"/>
    <n v="18"/>
    <n v="19630918"/>
    <s v="18.09.1963"/>
  </r>
  <r>
    <s v="90040264315"/>
    <s v="wielkopolskie"/>
    <s v="wieś"/>
    <n v="90"/>
    <x v="2"/>
    <n v="2"/>
    <n v="1990"/>
    <x v="2"/>
    <n v="2"/>
    <n v="19900402"/>
    <s v="02.04.1990"/>
  </r>
  <r>
    <s v="93021005602"/>
    <s v="opolskie"/>
    <s v="wieś"/>
    <n v="93"/>
    <x v="10"/>
    <n v="10"/>
    <n v="1993"/>
    <x v="10"/>
    <n v="10"/>
    <n v="19930210"/>
    <s v="10.02.1993"/>
  </r>
  <r>
    <s v="71060935904"/>
    <s v="dolnośląskie"/>
    <s v="wieś"/>
    <n v="71"/>
    <x v="7"/>
    <n v="9"/>
    <n v="1971"/>
    <x v="7"/>
    <n v="9"/>
    <n v="19710609"/>
    <s v="09.06.1971"/>
  </r>
  <r>
    <s v="66042814865"/>
    <s v="kujawsko-pomorskie"/>
    <s v="wieś"/>
    <n v="66"/>
    <x v="2"/>
    <n v="28"/>
    <n v="1966"/>
    <x v="2"/>
    <n v="28"/>
    <n v="19660428"/>
    <s v="28.04.1966"/>
  </r>
  <r>
    <s v="97080217897"/>
    <s v="zachodniopomorskie"/>
    <s v="wieś"/>
    <n v="97"/>
    <x v="3"/>
    <n v="2"/>
    <n v="1997"/>
    <x v="3"/>
    <n v="2"/>
    <n v="19970802"/>
    <s v="02.08.1997"/>
  </r>
  <r>
    <s v="81053035807"/>
    <s v="wielkopolskie"/>
    <s v="miasto"/>
    <n v="81"/>
    <x v="4"/>
    <n v="30"/>
    <n v="1981"/>
    <x v="4"/>
    <n v="30"/>
    <n v="19810530"/>
    <s v="30.05.1981"/>
  </r>
  <r>
    <s v="91022423029"/>
    <s v="mazowieckie"/>
    <s v="miasto"/>
    <n v="91"/>
    <x v="10"/>
    <n v="24"/>
    <n v="1991"/>
    <x v="10"/>
    <n v="24"/>
    <n v="19910224"/>
    <s v="24.02.1991"/>
  </r>
  <r>
    <s v="75090195129"/>
    <s v="podkarpackie"/>
    <s v="miasto"/>
    <n v="75"/>
    <x v="5"/>
    <n v="1"/>
    <n v="1975"/>
    <x v="5"/>
    <n v="1"/>
    <n v="19750901"/>
    <s v="01.09.1975"/>
  </r>
  <r>
    <s v="84070107438"/>
    <s v="pomorskie"/>
    <s v="miasto"/>
    <n v="84"/>
    <x v="0"/>
    <n v="1"/>
    <n v="1984"/>
    <x v="0"/>
    <n v="1"/>
    <n v="19840701"/>
    <s v="01.07.1984"/>
  </r>
  <r>
    <s v="66043085280"/>
    <s v="kujawsko-pomorskie"/>
    <s v="wieś"/>
    <n v="66"/>
    <x v="2"/>
    <n v="30"/>
    <n v="1966"/>
    <x v="2"/>
    <n v="30"/>
    <n v="19660430"/>
    <s v="30.04.1966"/>
  </r>
  <r>
    <s v="50121269604"/>
    <s v="opolskie"/>
    <s v="miasto"/>
    <n v="50"/>
    <x v="6"/>
    <n v="12"/>
    <n v="1950"/>
    <x v="6"/>
    <n v="12"/>
    <n v="19501212"/>
    <s v="12.12.1950"/>
  </r>
  <r>
    <s v="85122146708"/>
    <s v="podlaskie"/>
    <s v="miasto"/>
    <n v="85"/>
    <x v="6"/>
    <n v="21"/>
    <n v="1985"/>
    <x v="6"/>
    <n v="21"/>
    <n v="19851221"/>
    <s v="21.12.1985"/>
  </r>
  <r>
    <s v="90010495521"/>
    <s v="mazowieckie"/>
    <s v="miasto"/>
    <n v="90"/>
    <x v="8"/>
    <n v="4"/>
    <n v="1990"/>
    <x v="8"/>
    <n v="4"/>
    <n v="19900104"/>
    <s v="04.01.1990"/>
  </r>
  <r>
    <s v="72100728249"/>
    <s v="małopolskie"/>
    <s v="miasto"/>
    <n v="72"/>
    <x v="1"/>
    <n v="7"/>
    <n v="1972"/>
    <x v="1"/>
    <n v="7"/>
    <n v="19721007"/>
    <s v="07.10.1972"/>
  </r>
  <r>
    <s v="54082626522"/>
    <s v="kujawsko-pomorskie"/>
    <s v="miasto"/>
    <n v="54"/>
    <x v="3"/>
    <n v="26"/>
    <n v="1954"/>
    <x v="3"/>
    <n v="26"/>
    <n v="19540826"/>
    <s v="26.08.1954"/>
  </r>
  <r>
    <s v="60082633448"/>
    <s v="lubuskie"/>
    <s v="wieś"/>
    <n v="60"/>
    <x v="3"/>
    <n v="26"/>
    <n v="1960"/>
    <x v="3"/>
    <n v="26"/>
    <n v="19600826"/>
    <s v="26.08.1960"/>
  </r>
  <r>
    <s v="57091615958"/>
    <s v="mazowieckie"/>
    <s v="miasto"/>
    <n v="57"/>
    <x v="5"/>
    <n v="16"/>
    <n v="1957"/>
    <x v="5"/>
    <n v="16"/>
    <n v="19570916"/>
    <s v="16.09.1957"/>
  </r>
  <r>
    <s v="87111052780"/>
    <s v="dolnośląskie"/>
    <s v="miasto"/>
    <n v="87"/>
    <x v="9"/>
    <n v="10"/>
    <n v="1987"/>
    <x v="9"/>
    <n v="10"/>
    <n v="19871110"/>
    <s v="10.11.1987"/>
  </r>
  <r>
    <s v="50040740697"/>
    <s v="śląskie"/>
    <s v="miasto"/>
    <n v="50"/>
    <x v="2"/>
    <n v="7"/>
    <n v="1950"/>
    <x v="2"/>
    <n v="7"/>
    <n v="19500407"/>
    <s v="07.04.1950"/>
  </r>
  <r>
    <s v="68101095387"/>
    <s v="lubuskie"/>
    <s v="wieś"/>
    <n v="68"/>
    <x v="1"/>
    <n v="10"/>
    <n v="1968"/>
    <x v="1"/>
    <n v="10"/>
    <n v="19681010"/>
    <s v="10.10.1968"/>
  </r>
  <r>
    <s v="62033049740"/>
    <s v="świętokrzyskie"/>
    <s v="miasto"/>
    <n v="62"/>
    <x v="11"/>
    <n v="30"/>
    <n v="1962"/>
    <x v="11"/>
    <n v="30"/>
    <n v="19620330"/>
    <s v="30.03.1962"/>
  </r>
  <r>
    <s v="79072780929"/>
    <s v="dolnośląskie"/>
    <s v="miasto"/>
    <n v="79"/>
    <x v="0"/>
    <n v="27"/>
    <n v="1979"/>
    <x v="0"/>
    <n v="27"/>
    <n v="19790727"/>
    <s v="27.07.1979"/>
  </r>
  <r>
    <s v="94051017843"/>
    <s v="podkarpackie"/>
    <s v="miasto"/>
    <n v="94"/>
    <x v="4"/>
    <n v="10"/>
    <n v="1994"/>
    <x v="4"/>
    <n v="10"/>
    <n v="19940510"/>
    <s v="10.05.1994"/>
  </r>
  <r>
    <s v="98010553667"/>
    <s v="opolskie"/>
    <s v="miasto"/>
    <n v="98"/>
    <x v="8"/>
    <n v="5"/>
    <n v="1998"/>
    <x v="8"/>
    <n v="5"/>
    <n v="19980105"/>
    <s v="05.01.1998"/>
  </r>
  <r>
    <s v="98052401375"/>
    <s v="świętokrzyskie"/>
    <s v="wieś"/>
    <n v="98"/>
    <x v="4"/>
    <n v="24"/>
    <n v="1998"/>
    <x v="4"/>
    <n v="24"/>
    <n v="19980524"/>
    <s v="24.05.1998"/>
  </r>
  <r>
    <s v="86072999428"/>
    <s v="podkarpackie"/>
    <s v="wieś"/>
    <n v="86"/>
    <x v="0"/>
    <n v="29"/>
    <n v="1986"/>
    <x v="0"/>
    <n v="29"/>
    <n v="19860729"/>
    <s v="29.07.1986"/>
  </r>
  <r>
    <s v="76061601553"/>
    <s v="śląskie"/>
    <s v="wieś"/>
    <n v="76"/>
    <x v="7"/>
    <n v="16"/>
    <n v="1976"/>
    <x v="7"/>
    <n v="16"/>
    <n v="19760616"/>
    <s v="16.06.1976"/>
  </r>
  <r>
    <s v="69011748389"/>
    <s v="zachodniopomorskie"/>
    <s v="wieś"/>
    <n v="69"/>
    <x v="8"/>
    <n v="17"/>
    <n v="1969"/>
    <x v="8"/>
    <n v="17"/>
    <n v="19690117"/>
    <s v="17.01.1969"/>
  </r>
  <r>
    <s v="72053198339"/>
    <s v="małopolskie"/>
    <s v="wieś"/>
    <n v="72"/>
    <x v="4"/>
    <n v="31"/>
    <n v="1972"/>
    <x v="4"/>
    <n v="31"/>
    <n v="19720531"/>
    <s v="31.05.1972"/>
  </r>
  <r>
    <s v="92111126939"/>
    <s v="lubelskie"/>
    <s v="miasto"/>
    <n v="92"/>
    <x v="9"/>
    <n v="11"/>
    <n v="1992"/>
    <x v="9"/>
    <n v="11"/>
    <n v="19921111"/>
    <s v="11.11.1992"/>
  </r>
  <r>
    <s v="56122609544"/>
    <s v="pomorskie"/>
    <s v="miasto"/>
    <n v="56"/>
    <x v="6"/>
    <n v="26"/>
    <n v="1956"/>
    <x v="6"/>
    <n v="26"/>
    <n v="19561226"/>
    <s v="26.12.1956"/>
  </r>
  <r>
    <s v="78022120507"/>
    <s v="kujawsko-pomorskie"/>
    <s v="miasto"/>
    <n v="78"/>
    <x v="10"/>
    <n v="21"/>
    <n v="1978"/>
    <x v="10"/>
    <n v="21"/>
    <n v="19780221"/>
    <s v="21.02.1978"/>
  </r>
  <r>
    <s v="93062318824"/>
    <s v="wielkopolskie"/>
    <s v="wieś"/>
    <n v="93"/>
    <x v="7"/>
    <n v="23"/>
    <n v="1993"/>
    <x v="7"/>
    <n v="23"/>
    <n v="19930623"/>
    <s v="23.06.1993"/>
  </r>
  <r>
    <s v="68111201527"/>
    <s v="mazowieckie"/>
    <s v="wieś"/>
    <n v="68"/>
    <x v="9"/>
    <n v="12"/>
    <n v="1968"/>
    <x v="9"/>
    <n v="12"/>
    <n v="19681112"/>
    <s v="12.11.1968"/>
  </r>
  <r>
    <s v="78071480489"/>
    <s v="lubuskie"/>
    <s v="miasto"/>
    <n v="78"/>
    <x v="0"/>
    <n v="14"/>
    <n v="1978"/>
    <x v="0"/>
    <n v="14"/>
    <n v="19780714"/>
    <s v="14.07.1978"/>
  </r>
  <r>
    <s v="76051975909"/>
    <s v="wielkopolskie"/>
    <s v="wieś"/>
    <n v="76"/>
    <x v="4"/>
    <n v="19"/>
    <n v="1976"/>
    <x v="4"/>
    <n v="19"/>
    <n v="19760519"/>
    <s v="19.05.1976"/>
  </r>
  <r>
    <s v="64062904454"/>
    <s v="zachodniopomorskie"/>
    <s v="miasto"/>
    <n v="64"/>
    <x v="7"/>
    <n v="29"/>
    <n v="1964"/>
    <x v="7"/>
    <n v="29"/>
    <n v="19640629"/>
    <s v="29.06.1964"/>
  </r>
  <r>
    <s v="88040681139"/>
    <s v="kujawsko-pomorskie"/>
    <s v="wieś"/>
    <n v="88"/>
    <x v="2"/>
    <n v="6"/>
    <n v="1988"/>
    <x v="2"/>
    <n v="6"/>
    <n v="19880406"/>
    <s v="06.04.1988"/>
  </r>
  <r>
    <s v="82102913532"/>
    <s v="łódzkie"/>
    <s v="wieś"/>
    <n v="82"/>
    <x v="1"/>
    <n v="29"/>
    <n v="1982"/>
    <x v="1"/>
    <n v="29"/>
    <n v="19821029"/>
    <s v="29.10.1982"/>
  </r>
  <r>
    <s v="80111550241"/>
    <s v="podkarpackie"/>
    <s v="miasto"/>
    <n v="80"/>
    <x v="9"/>
    <n v="15"/>
    <n v="1980"/>
    <x v="9"/>
    <n v="15"/>
    <n v="19801115"/>
    <s v="15.11.1980"/>
  </r>
  <r>
    <s v="73042186560"/>
    <s v="lubelskie"/>
    <s v="miasto"/>
    <n v="73"/>
    <x v="2"/>
    <n v="21"/>
    <n v="1973"/>
    <x v="2"/>
    <n v="21"/>
    <n v="19730421"/>
    <s v="21.04.1973"/>
  </r>
  <r>
    <s v="71111622249"/>
    <s v="mazowieckie"/>
    <s v="wieś"/>
    <n v="71"/>
    <x v="9"/>
    <n v="16"/>
    <n v="1971"/>
    <x v="9"/>
    <n v="16"/>
    <n v="19711116"/>
    <s v="16.11.1971"/>
  </r>
  <r>
    <s v="52042431764"/>
    <s v="zachodniopomorskie"/>
    <s v="miasto"/>
    <n v="52"/>
    <x v="2"/>
    <n v="24"/>
    <n v="1952"/>
    <x v="2"/>
    <n v="24"/>
    <n v="19520424"/>
    <s v="24.04.1952"/>
  </r>
  <r>
    <s v="94110574874"/>
    <s v="opolskie"/>
    <s v="wieś"/>
    <n v="94"/>
    <x v="9"/>
    <n v="5"/>
    <n v="1994"/>
    <x v="9"/>
    <n v="5"/>
    <n v="19941105"/>
    <s v="05.11.1994"/>
  </r>
  <r>
    <s v="97070314418"/>
    <s v="świętokrzyskie"/>
    <s v="wieś"/>
    <n v="97"/>
    <x v="0"/>
    <n v="3"/>
    <n v="1997"/>
    <x v="0"/>
    <n v="3"/>
    <n v="19970703"/>
    <s v="03.07.1997"/>
  </r>
  <r>
    <s v="68020157834"/>
    <s v="zachodniopomorskie"/>
    <s v="wieś"/>
    <n v="68"/>
    <x v="10"/>
    <n v="1"/>
    <n v="1968"/>
    <x v="10"/>
    <n v="1"/>
    <n v="19680201"/>
    <s v="01.02.1968"/>
  </r>
  <r>
    <s v="61032343220"/>
    <s v="lubelskie"/>
    <s v="miasto"/>
    <n v="61"/>
    <x v="11"/>
    <n v="23"/>
    <n v="1961"/>
    <x v="11"/>
    <n v="23"/>
    <n v="19610323"/>
    <s v="23.03.1961"/>
  </r>
  <r>
    <s v="89051851742"/>
    <s v="podkarpackie"/>
    <s v="miasto"/>
    <n v="89"/>
    <x v="4"/>
    <n v="18"/>
    <n v="1989"/>
    <x v="4"/>
    <n v="18"/>
    <n v="19890518"/>
    <s v="18.05.1989"/>
  </r>
  <r>
    <s v="97090739563"/>
    <s v="łódzkie"/>
    <s v="wieś"/>
    <n v="97"/>
    <x v="5"/>
    <n v="7"/>
    <n v="1997"/>
    <x v="5"/>
    <n v="7"/>
    <n v="19970907"/>
    <s v="07.09.1997"/>
  </r>
  <r>
    <s v="61080507803"/>
    <s v="świętokrzyskie"/>
    <s v="miasto"/>
    <n v="61"/>
    <x v="3"/>
    <n v="5"/>
    <n v="1961"/>
    <x v="3"/>
    <n v="5"/>
    <n v="19610805"/>
    <s v="05.08.1961"/>
  </r>
  <r>
    <s v="66022228110"/>
    <s v="kujawsko-pomorskie"/>
    <s v="miasto"/>
    <n v="66"/>
    <x v="10"/>
    <n v="22"/>
    <n v="1966"/>
    <x v="10"/>
    <n v="22"/>
    <n v="19660222"/>
    <s v="22.02.1966"/>
  </r>
  <r>
    <s v="53120902549"/>
    <s v="podlaskie"/>
    <s v="wieś"/>
    <n v="53"/>
    <x v="6"/>
    <n v="9"/>
    <n v="1953"/>
    <x v="6"/>
    <n v="9"/>
    <n v="19531209"/>
    <s v="09.12.1953"/>
  </r>
  <r>
    <s v="84010544767"/>
    <s v="zachodniopomorskie"/>
    <s v="wieś"/>
    <n v="84"/>
    <x v="8"/>
    <n v="5"/>
    <n v="1984"/>
    <x v="8"/>
    <n v="5"/>
    <n v="19840105"/>
    <s v="05.01.1984"/>
  </r>
  <r>
    <s v="94111642336"/>
    <s v="mazowieckie"/>
    <s v="miasto"/>
    <n v="94"/>
    <x v="9"/>
    <n v="16"/>
    <n v="1994"/>
    <x v="9"/>
    <n v="16"/>
    <n v="19941116"/>
    <s v="16.11.1994"/>
  </r>
  <r>
    <s v="83080941885"/>
    <s v="małopolskie"/>
    <s v="wieś"/>
    <n v="83"/>
    <x v="3"/>
    <n v="9"/>
    <n v="1983"/>
    <x v="3"/>
    <n v="9"/>
    <n v="19830809"/>
    <s v="09.08.1983"/>
  </r>
  <r>
    <s v="99020631770"/>
    <s v="lubuskie"/>
    <s v="wieś"/>
    <n v="99"/>
    <x v="10"/>
    <n v="6"/>
    <n v="1999"/>
    <x v="10"/>
    <n v="6"/>
    <n v="19990206"/>
    <s v="06.02.1999"/>
  </r>
  <r>
    <s v="99111303315"/>
    <s v="opolskie"/>
    <s v="miasto"/>
    <n v="99"/>
    <x v="9"/>
    <n v="13"/>
    <n v="1999"/>
    <x v="9"/>
    <n v="13"/>
    <n v="19991113"/>
    <s v="13.11.1999"/>
  </r>
  <r>
    <s v="51092524844"/>
    <s v="dolnośląskie"/>
    <s v="wieś"/>
    <n v="51"/>
    <x v="5"/>
    <n v="25"/>
    <n v="1951"/>
    <x v="5"/>
    <n v="25"/>
    <n v="19510925"/>
    <s v="25.09.1951"/>
  </r>
  <r>
    <s v="56021402794"/>
    <s v="małopolskie"/>
    <s v="wieś"/>
    <n v="56"/>
    <x v="10"/>
    <n v="14"/>
    <n v="1956"/>
    <x v="10"/>
    <n v="14"/>
    <n v="19560214"/>
    <s v="14.02.1956"/>
  </r>
  <r>
    <s v="61052346386"/>
    <s v="mazowieckie"/>
    <s v="wieś"/>
    <n v="61"/>
    <x v="4"/>
    <n v="23"/>
    <n v="1961"/>
    <x v="4"/>
    <n v="23"/>
    <n v="19610523"/>
    <s v="23.05.1961"/>
  </r>
  <r>
    <s v="51122893889"/>
    <s v="mazowieckie"/>
    <s v="wieś"/>
    <n v="51"/>
    <x v="6"/>
    <n v="28"/>
    <n v="1951"/>
    <x v="6"/>
    <n v="28"/>
    <n v="19511228"/>
    <s v="28.12.1951"/>
  </r>
  <r>
    <s v="71063060230"/>
    <s v="łódzkie"/>
    <s v="wieś"/>
    <n v="71"/>
    <x v="7"/>
    <n v="30"/>
    <n v="1971"/>
    <x v="7"/>
    <n v="30"/>
    <n v="19710630"/>
    <s v="30.06.1971"/>
  </r>
  <r>
    <s v="74072279383"/>
    <s v="pomorskie"/>
    <s v="miasto"/>
    <n v="74"/>
    <x v="0"/>
    <n v="22"/>
    <n v="1974"/>
    <x v="0"/>
    <n v="22"/>
    <n v="19740722"/>
    <s v="22.07.1974"/>
  </r>
  <r>
    <s v="91091481535"/>
    <s v="lubelskie"/>
    <s v="wieś"/>
    <n v="91"/>
    <x v="5"/>
    <n v="14"/>
    <n v="1991"/>
    <x v="5"/>
    <n v="14"/>
    <n v="19910914"/>
    <s v="14.09.1991"/>
  </r>
  <r>
    <s v="57122300244"/>
    <s v="małopolskie"/>
    <s v="miasto"/>
    <n v="57"/>
    <x v="6"/>
    <n v="23"/>
    <n v="1957"/>
    <x v="6"/>
    <n v="23"/>
    <n v="19571223"/>
    <s v="23.12.1957"/>
  </r>
  <r>
    <s v="99041479098"/>
    <s v="świętokrzyskie"/>
    <s v="miasto"/>
    <n v="99"/>
    <x v="2"/>
    <n v="14"/>
    <n v="1999"/>
    <x v="2"/>
    <n v="14"/>
    <n v="19990414"/>
    <s v="14.04.1999"/>
  </r>
  <r>
    <s v="67100309631"/>
    <s v="kujawsko-pomorskie"/>
    <s v="wieś"/>
    <n v="67"/>
    <x v="1"/>
    <n v="3"/>
    <n v="1967"/>
    <x v="1"/>
    <n v="3"/>
    <n v="19671003"/>
    <s v="03.10.1967"/>
  </r>
  <r>
    <s v="82062058218"/>
    <s v="opolskie"/>
    <s v="wieś"/>
    <n v="82"/>
    <x v="7"/>
    <n v="20"/>
    <n v="1982"/>
    <x v="7"/>
    <n v="20"/>
    <n v="19820620"/>
    <s v="20.06.1982"/>
  </r>
  <r>
    <s v="57122013287"/>
    <s v="śląskie"/>
    <s v="wieś"/>
    <n v="57"/>
    <x v="6"/>
    <n v="20"/>
    <n v="1957"/>
    <x v="6"/>
    <n v="20"/>
    <n v="19571220"/>
    <s v="20.12.1957"/>
  </r>
  <r>
    <s v="67112146802"/>
    <s v="wielkopolskie"/>
    <s v="miasto"/>
    <n v="67"/>
    <x v="9"/>
    <n v="21"/>
    <n v="1967"/>
    <x v="9"/>
    <n v="21"/>
    <n v="19671121"/>
    <s v="21.11.1967"/>
  </r>
  <r>
    <s v="87090221803"/>
    <s v="małopolskie"/>
    <s v="wieś"/>
    <n v="87"/>
    <x v="5"/>
    <n v="2"/>
    <n v="1987"/>
    <x v="5"/>
    <n v="2"/>
    <n v="19870902"/>
    <s v="02.09.1987"/>
  </r>
  <r>
    <s v="61032430030"/>
    <s v="świętokrzyskie"/>
    <s v="miasto"/>
    <n v="61"/>
    <x v="11"/>
    <n v="24"/>
    <n v="1961"/>
    <x v="11"/>
    <n v="24"/>
    <n v="19610324"/>
    <s v="24.03.1961"/>
  </r>
  <r>
    <s v="64080716404"/>
    <s v="pomorskie"/>
    <s v="miasto"/>
    <n v="64"/>
    <x v="3"/>
    <n v="7"/>
    <n v="1964"/>
    <x v="3"/>
    <n v="7"/>
    <n v="19640807"/>
    <s v="07.08.1964"/>
  </r>
  <r>
    <s v="59062796578"/>
    <s v="małopolskie"/>
    <s v="miasto"/>
    <n v="59"/>
    <x v="7"/>
    <n v="27"/>
    <n v="1959"/>
    <x v="7"/>
    <n v="27"/>
    <n v="19590627"/>
    <s v="27.06.1959"/>
  </r>
  <r>
    <s v="65040627947"/>
    <s v="dolnośląskie"/>
    <s v="miasto"/>
    <n v="65"/>
    <x v="2"/>
    <n v="6"/>
    <n v="1965"/>
    <x v="2"/>
    <n v="6"/>
    <n v="19650406"/>
    <s v="06.04.1965"/>
  </r>
  <r>
    <s v="94122638353"/>
    <s v="mazowieckie"/>
    <s v="miasto"/>
    <n v="94"/>
    <x v="6"/>
    <n v="26"/>
    <n v="1994"/>
    <x v="6"/>
    <n v="26"/>
    <n v="19941226"/>
    <s v="26.12.1994"/>
  </r>
  <r>
    <s v="58091381319"/>
    <s v="dolnośląskie"/>
    <s v="wieś"/>
    <n v="58"/>
    <x v="5"/>
    <n v="13"/>
    <n v="1958"/>
    <x v="5"/>
    <n v="13"/>
    <n v="19580913"/>
    <s v="13.09.1958"/>
  </r>
  <r>
    <s v="73112332640"/>
    <s v="świętokrzyskie"/>
    <s v="wieś"/>
    <n v="73"/>
    <x v="9"/>
    <n v="23"/>
    <n v="1973"/>
    <x v="9"/>
    <n v="23"/>
    <n v="19731123"/>
    <s v="23.11.1973"/>
  </r>
  <r>
    <s v="61052868334"/>
    <s v="wielkopolskie"/>
    <s v="wieś"/>
    <n v="61"/>
    <x v="4"/>
    <n v="28"/>
    <n v="1961"/>
    <x v="4"/>
    <n v="28"/>
    <n v="19610528"/>
    <s v="28.05.1961"/>
  </r>
  <r>
    <s v="71021611182"/>
    <s v="kujawsko-pomorskie"/>
    <s v="miasto"/>
    <n v="71"/>
    <x v="10"/>
    <n v="16"/>
    <n v="1971"/>
    <x v="10"/>
    <n v="16"/>
    <n v="19710216"/>
    <s v="16.02.1971"/>
  </r>
  <r>
    <s v="56082234284"/>
    <s v="podkarpackie"/>
    <s v="miasto"/>
    <n v="56"/>
    <x v="3"/>
    <n v="22"/>
    <n v="1956"/>
    <x v="3"/>
    <n v="22"/>
    <n v="19560822"/>
    <s v="22.08.1956"/>
  </r>
  <r>
    <s v="99101200505"/>
    <s v="łódzkie"/>
    <s v="miasto"/>
    <n v="99"/>
    <x v="1"/>
    <n v="12"/>
    <n v="1999"/>
    <x v="1"/>
    <n v="12"/>
    <n v="19991012"/>
    <s v="12.10.1999"/>
  </r>
  <r>
    <s v="52101785894"/>
    <s v="kujawsko-pomorskie"/>
    <s v="miasto"/>
    <n v="52"/>
    <x v="1"/>
    <n v="17"/>
    <n v="1952"/>
    <x v="1"/>
    <n v="17"/>
    <n v="19521017"/>
    <s v="17.10.1952"/>
  </r>
  <r>
    <s v="86091601548"/>
    <s v="śląskie"/>
    <s v="miasto"/>
    <n v="86"/>
    <x v="5"/>
    <n v="16"/>
    <n v="1986"/>
    <x v="5"/>
    <n v="16"/>
    <n v="19860916"/>
    <s v="16.09.1986"/>
  </r>
  <r>
    <s v="58071981807"/>
    <s v="lubelskie"/>
    <s v="wieś"/>
    <n v="58"/>
    <x v="0"/>
    <n v="19"/>
    <n v="1958"/>
    <x v="0"/>
    <n v="19"/>
    <n v="19580719"/>
    <s v="19.07.1958"/>
  </r>
  <r>
    <s v="95030424298"/>
    <s v="wielkopolskie"/>
    <s v="miasto"/>
    <n v="95"/>
    <x v="11"/>
    <n v="4"/>
    <n v="1995"/>
    <x v="11"/>
    <n v="4"/>
    <n v="19950304"/>
    <s v="04.03.1995"/>
  </r>
  <r>
    <s v="91110362072"/>
    <s v="mazowieckie"/>
    <s v="miasto"/>
    <n v="91"/>
    <x v="9"/>
    <n v="3"/>
    <n v="1991"/>
    <x v="9"/>
    <n v="3"/>
    <n v="19911103"/>
    <s v="03.11.1991"/>
  </r>
  <r>
    <s v="56010667456"/>
    <s v="wielkopolskie"/>
    <s v="miasto"/>
    <n v="56"/>
    <x v="8"/>
    <n v="6"/>
    <n v="1956"/>
    <x v="8"/>
    <n v="6"/>
    <n v="19560106"/>
    <s v="06.01.1956"/>
  </r>
  <r>
    <s v="75062741479"/>
    <s v="kujawsko-pomorskie"/>
    <s v="wieś"/>
    <n v="75"/>
    <x v="7"/>
    <n v="27"/>
    <n v="1975"/>
    <x v="7"/>
    <n v="27"/>
    <n v="19750627"/>
    <s v="27.06.1975"/>
  </r>
  <r>
    <s v="94111155399"/>
    <s v="opolskie"/>
    <s v="wieś"/>
    <n v="94"/>
    <x v="9"/>
    <n v="11"/>
    <n v="1994"/>
    <x v="9"/>
    <n v="11"/>
    <n v="19941111"/>
    <s v="11.11.1994"/>
  </r>
  <r>
    <s v="81021537391"/>
    <s v="warmińsko-mazurskie"/>
    <s v="miasto"/>
    <n v="81"/>
    <x v="10"/>
    <n v="15"/>
    <n v="1981"/>
    <x v="10"/>
    <n v="15"/>
    <n v="19810215"/>
    <s v="15.02.1981"/>
  </r>
  <r>
    <s v="90103167461"/>
    <s v="śląskie"/>
    <s v="miasto"/>
    <n v="90"/>
    <x v="1"/>
    <n v="31"/>
    <n v="1990"/>
    <x v="1"/>
    <n v="31"/>
    <n v="19901031"/>
    <s v="31.10.1990"/>
  </r>
  <r>
    <s v="72033126578"/>
    <s v="śląskie"/>
    <s v="miasto"/>
    <n v="72"/>
    <x v="11"/>
    <n v="31"/>
    <n v="1972"/>
    <x v="11"/>
    <n v="31"/>
    <n v="19720331"/>
    <s v="31.03.1972"/>
  </r>
  <r>
    <s v="90010474418"/>
    <s v="wielkopolskie"/>
    <s v="miasto"/>
    <n v="90"/>
    <x v="8"/>
    <n v="4"/>
    <n v="1990"/>
    <x v="8"/>
    <n v="4"/>
    <n v="19900104"/>
    <s v="04.01.1990"/>
  </r>
  <r>
    <s v="93101150990"/>
    <s v="świętokrzyskie"/>
    <s v="wieś"/>
    <n v="93"/>
    <x v="1"/>
    <n v="11"/>
    <n v="1993"/>
    <x v="1"/>
    <n v="11"/>
    <n v="19931011"/>
    <s v="11.10.1993"/>
  </r>
  <r>
    <s v="96091515974"/>
    <s v="dolnośląskie"/>
    <s v="wieś"/>
    <n v="96"/>
    <x v="5"/>
    <n v="15"/>
    <n v="1996"/>
    <x v="5"/>
    <n v="15"/>
    <n v="19960915"/>
    <s v="15.09.1996"/>
  </r>
  <r>
    <s v="65011096293"/>
    <s v="podkarpackie"/>
    <s v="wieś"/>
    <n v="65"/>
    <x v="8"/>
    <n v="10"/>
    <n v="1965"/>
    <x v="8"/>
    <n v="10"/>
    <n v="19650110"/>
    <s v="10.01.1965"/>
  </r>
  <r>
    <s v="53123191577"/>
    <s v="małopolskie"/>
    <s v="miasto"/>
    <n v="53"/>
    <x v="6"/>
    <n v="31"/>
    <n v="1953"/>
    <x v="6"/>
    <n v="31"/>
    <n v="19531231"/>
    <s v="31.12.1953"/>
  </r>
  <r>
    <s v="73060298351"/>
    <s v="podlaskie"/>
    <s v="miasto"/>
    <n v="73"/>
    <x v="7"/>
    <n v="2"/>
    <n v="1973"/>
    <x v="7"/>
    <n v="2"/>
    <n v="19730602"/>
    <s v="02.06.1973"/>
  </r>
  <r>
    <s v="77121944265"/>
    <s v="podlaskie"/>
    <s v="wieś"/>
    <n v="77"/>
    <x v="6"/>
    <n v="19"/>
    <n v="1977"/>
    <x v="6"/>
    <n v="19"/>
    <n v="19771219"/>
    <s v="19.12.1977"/>
  </r>
  <r>
    <s v="68031048828"/>
    <s v="świętokrzyskie"/>
    <s v="wieś"/>
    <n v="68"/>
    <x v="11"/>
    <n v="10"/>
    <n v="1968"/>
    <x v="11"/>
    <n v="10"/>
    <n v="19680310"/>
    <s v="10.03.1968"/>
  </r>
  <r>
    <s v="98100693644"/>
    <s v="wielkopolskie"/>
    <s v="miasto"/>
    <n v="98"/>
    <x v="1"/>
    <n v="6"/>
    <n v="1998"/>
    <x v="1"/>
    <n v="6"/>
    <n v="19981006"/>
    <s v="06.10.1998"/>
  </r>
  <r>
    <s v="76072914871"/>
    <s v="warmińsko-mazurskie"/>
    <s v="wieś"/>
    <n v="76"/>
    <x v="0"/>
    <n v="29"/>
    <n v="1976"/>
    <x v="0"/>
    <n v="29"/>
    <n v="19760729"/>
    <s v="29.07.1976"/>
  </r>
  <r>
    <s v="55041429471"/>
    <s v="podkarpackie"/>
    <s v="wieś"/>
    <n v="55"/>
    <x v="2"/>
    <n v="14"/>
    <n v="1955"/>
    <x v="2"/>
    <n v="14"/>
    <n v="19550414"/>
    <s v="14.04.1955"/>
  </r>
  <r>
    <s v="96010658900"/>
    <s v="mazowieckie"/>
    <s v="wieś"/>
    <n v="96"/>
    <x v="8"/>
    <n v="6"/>
    <n v="1996"/>
    <x v="8"/>
    <n v="6"/>
    <n v="19960106"/>
    <s v="06.01.1996"/>
  </r>
  <r>
    <s v="84032372784"/>
    <s v="podlaskie"/>
    <s v="miasto"/>
    <n v="84"/>
    <x v="11"/>
    <n v="23"/>
    <n v="1984"/>
    <x v="11"/>
    <n v="23"/>
    <n v="19840323"/>
    <s v="23.03.1984"/>
  </r>
  <r>
    <s v="50101409189"/>
    <s v="lubelskie"/>
    <s v="wieś"/>
    <n v="50"/>
    <x v="1"/>
    <n v="14"/>
    <n v="1950"/>
    <x v="1"/>
    <n v="14"/>
    <n v="19501014"/>
    <s v="14.10.1950"/>
  </r>
  <r>
    <s v="54122295170"/>
    <s v="łódzkie"/>
    <s v="miasto"/>
    <n v="54"/>
    <x v="6"/>
    <n v="22"/>
    <n v="1954"/>
    <x v="6"/>
    <n v="22"/>
    <n v="19541222"/>
    <s v="22.12.1954"/>
  </r>
  <r>
    <s v="67092404057"/>
    <s v="warmińsko-mazurskie"/>
    <s v="wieś"/>
    <n v="67"/>
    <x v="5"/>
    <n v="24"/>
    <n v="1967"/>
    <x v="5"/>
    <n v="24"/>
    <n v="19670924"/>
    <s v="24.09.1967"/>
  </r>
  <r>
    <s v="67022391071"/>
    <s v="świętokrzyskie"/>
    <s v="wieś"/>
    <n v="67"/>
    <x v="10"/>
    <n v="23"/>
    <n v="1967"/>
    <x v="10"/>
    <n v="23"/>
    <n v="19670223"/>
    <s v="23.02.1967"/>
  </r>
  <r>
    <s v="97041948136"/>
    <s v="podlaskie"/>
    <s v="miasto"/>
    <n v="97"/>
    <x v="2"/>
    <n v="19"/>
    <n v="1997"/>
    <x v="2"/>
    <n v="19"/>
    <n v="19970419"/>
    <s v="19.04.1997"/>
  </r>
  <r>
    <s v="99011275523"/>
    <s v="mazowieckie"/>
    <s v="miasto"/>
    <n v="99"/>
    <x v="8"/>
    <n v="12"/>
    <n v="1999"/>
    <x v="8"/>
    <n v="12"/>
    <n v="19990112"/>
    <s v="12.01.1999"/>
  </r>
  <r>
    <s v="57071222781"/>
    <s v="śląskie"/>
    <s v="miasto"/>
    <n v="57"/>
    <x v="0"/>
    <n v="12"/>
    <n v="1957"/>
    <x v="0"/>
    <n v="12"/>
    <n v="19570712"/>
    <s v="12.07.1957"/>
  </r>
  <r>
    <s v="93012973237"/>
    <s v="opolskie"/>
    <s v="miasto"/>
    <n v="93"/>
    <x v="8"/>
    <n v="29"/>
    <n v="1993"/>
    <x v="8"/>
    <n v="29"/>
    <n v="19930129"/>
    <s v="29.01.1993"/>
  </r>
  <r>
    <s v="59082791780"/>
    <s v="małopolskie"/>
    <s v="wieś"/>
    <n v="59"/>
    <x v="3"/>
    <n v="27"/>
    <n v="1959"/>
    <x v="3"/>
    <n v="27"/>
    <n v="19590827"/>
    <s v="27.08.1959"/>
  </r>
  <r>
    <s v="81091693078"/>
    <s v="dolnośląskie"/>
    <s v="wieś"/>
    <n v="81"/>
    <x v="5"/>
    <n v="16"/>
    <n v="1981"/>
    <x v="5"/>
    <n v="16"/>
    <n v="19810916"/>
    <s v="16.09.1981"/>
  </r>
  <r>
    <s v="71022845751"/>
    <s v="podlaskie"/>
    <s v="wieś"/>
    <n v="71"/>
    <x v="10"/>
    <n v="28"/>
    <n v="1971"/>
    <x v="10"/>
    <n v="28"/>
    <n v="19710228"/>
    <s v="28.02.1971"/>
  </r>
  <r>
    <s v="74123045345"/>
    <s v="małopolskie"/>
    <s v="miasto"/>
    <n v="74"/>
    <x v="6"/>
    <n v="30"/>
    <n v="1974"/>
    <x v="6"/>
    <n v="30"/>
    <n v="19741230"/>
    <s v="30.12.1974"/>
  </r>
  <r>
    <s v="88060484406"/>
    <s v="dolnośląskie"/>
    <s v="miasto"/>
    <n v="88"/>
    <x v="7"/>
    <n v="4"/>
    <n v="1988"/>
    <x v="7"/>
    <n v="4"/>
    <n v="19880604"/>
    <s v="04.06.1988"/>
  </r>
  <r>
    <s v="85012784393"/>
    <s v="dolnośląskie"/>
    <s v="miasto"/>
    <n v="85"/>
    <x v="8"/>
    <n v="27"/>
    <n v="1985"/>
    <x v="8"/>
    <n v="27"/>
    <n v="19850127"/>
    <s v="27.01.1985"/>
  </r>
  <r>
    <s v="94112166637"/>
    <s v="warmińsko-mazurskie"/>
    <s v="wieś"/>
    <n v="94"/>
    <x v="9"/>
    <n v="21"/>
    <n v="1994"/>
    <x v="9"/>
    <n v="21"/>
    <n v="19941121"/>
    <s v="21.11.1994"/>
  </r>
  <r>
    <s v="68091657019"/>
    <s v="warmińsko-mazurskie"/>
    <s v="wieś"/>
    <n v="68"/>
    <x v="5"/>
    <n v="16"/>
    <n v="1968"/>
    <x v="5"/>
    <n v="16"/>
    <n v="19680916"/>
    <s v="16.09.1968"/>
  </r>
  <r>
    <s v="54081341844"/>
    <s v="podlaskie"/>
    <s v="miasto"/>
    <n v="54"/>
    <x v="3"/>
    <n v="13"/>
    <n v="1954"/>
    <x v="3"/>
    <n v="13"/>
    <n v="19540813"/>
    <s v="13.08.1954"/>
  </r>
  <r>
    <s v="60012310953"/>
    <s v="podlaskie"/>
    <s v="wieś"/>
    <n v="60"/>
    <x v="8"/>
    <n v="23"/>
    <n v="1960"/>
    <x v="8"/>
    <n v="23"/>
    <n v="19600123"/>
    <s v="23.01.1960"/>
  </r>
  <r>
    <s v="61042978869"/>
    <s v="podlaskie"/>
    <s v="wieś"/>
    <n v="61"/>
    <x v="2"/>
    <n v="29"/>
    <n v="1961"/>
    <x v="2"/>
    <n v="29"/>
    <n v="19610429"/>
    <s v="29.04.1961"/>
  </r>
  <r>
    <s v="67122575465"/>
    <s v="śląskie"/>
    <s v="wieś"/>
    <n v="67"/>
    <x v="6"/>
    <n v="25"/>
    <n v="1967"/>
    <x v="6"/>
    <n v="25"/>
    <n v="19671225"/>
    <s v="25.12.1967"/>
  </r>
  <r>
    <s v="85060561687"/>
    <s v="pomorskie"/>
    <s v="miasto"/>
    <n v="85"/>
    <x v="7"/>
    <n v="5"/>
    <n v="1985"/>
    <x v="7"/>
    <n v="5"/>
    <n v="19850605"/>
    <s v="05.06.1985"/>
  </r>
  <r>
    <s v="62030546646"/>
    <s v="opolskie"/>
    <s v="miasto"/>
    <n v="62"/>
    <x v="11"/>
    <n v="5"/>
    <n v="1962"/>
    <x v="11"/>
    <n v="5"/>
    <n v="19620305"/>
    <s v="05.03.1962"/>
  </r>
  <r>
    <s v="87071650974"/>
    <s v="małopolskie"/>
    <s v="miasto"/>
    <n v="87"/>
    <x v="0"/>
    <n v="16"/>
    <n v="1987"/>
    <x v="0"/>
    <n v="16"/>
    <n v="19870716"/>
    <s v="16.07.1987"/>
  </r>
  <r>
    <s v="80051365079"/>
    <s v="małopolskie"/>
    <s v="miasto"/>
    <n v="80"/>
    <x v="4"/>
    <n v="13"/>
    <n v="1980"/>
    <x v="4"/>
    <n v="13"/>
    <n v="19800513"/>
    <s v="13.05.1980"/>
  </r>
  <r>
    <s v="63031207831"/>
    <s v="małopolskie"/>
    <s v="miasto"/>
    <n v="63"/>
    <x v="11"/>
    <n v="12"/>
    <n v="1963"/>
    <x v="11"/>
    <n v="12"/>
    <n v="19630312"/>
    <s v="12.03.1963"/>
  </r>
  <r>
    <s v="99112776026"/>
    <s v="kujawsko-pomorskie"/>
    <s v="wieś"/>
    <n v="99"/>
    <x v="9"/>
    <n v="27"/>
    <n v="1999"/>
    <x v="9"/>
    <n v="27"/>
    <n v="19991127"/>
    <s v="27.11.1999"/>
  </r>
  <r>
    <s v="90071387764"/>
    <s v="warmińsko-mazurskie"/>
    <s v="wieś"/>
    <n v="90"/>
    <x v="0"/>
    <n v="13"/>
    <n v="1990"/>
    <x v="0"/>
    <n v="13"/>
    <n v="19900713"/>
    <s v="13.07.1990"/>
  </r>
  <r>
    <s v="79100121607"/>
    <s v="podkarpackie"/>
    <s v="miasto"/>
    <n v="79"/>
    <x v="1"/>
    <n v="1"/>
    <n v="1979"/>
    <x v="1"/>
    <n v="1"/>
    <n v="19791001"/>
    <s v="01.10.1979"/>
  </r>
  <r>
    <s v="67021697321"/>
    <s v="lubuskie"/>
    <s v="miasto"/>
    <n v="67"/>
    <x v="10"/>
    <n v="16"/>
    <n v="1967"/>
    <x v="10"/>
    <n v="16"/>
    <n v="19670216"/>
    <s v="16.02.1967"/>
  </r>
  <r>
    <s v="80122931244"/>
    <s v="dolnośląskie"/>
    <s v="wieś"/>
    <n v="80"/>
    <x v="6"/>
    <n v="29"/>
    <n v="1980"/>
    <x v="6"/>
    <n v="29"/>
    <n v="19801229"/>
    <s v="29.12.1980"/>
  </r>
  <r>
    <s v="68021561579"/>
    <s v="świętokrzyskie"/>
    <s v="miasto"/>
    <n v="68"/>
    <x v="10"/>
    <n v="15"/>
    <n v="1968"/>
    <x v="10"/>
    <n v="15"/>
    <n v="19680215"/>
    <s v="15.02.1968"/>
  </r>
  <r>
    <s v="57051700113"/>
    <s v="wielkopolskie"/>
    <s v="wieś"/>
    <n v="57"/>
    <x v="4"/>
    <n v="17"/>
    <n v="1957"/>
    <x v="4"/>
    <n v="17"/>
    <n v="19570517"/>
    <s v="17.05.1957"/>
  </r>
  <r>
    <s v="96111212067"/>
    <s v="śląskie"/>
    <s v="miasto"/>
    <n v="96"/>
    <x v="9"/>
    <n v="12"/>
    <n v="1996"/>
    <x v="9"/>
    <n v="12"/>
    <n v="19961112"/>
    <s v="12.11.1996"/>
  </r>
  <r>
    <s v="89031099317"/>
    <s v="podkarpackie"/>
    <s v="miasto"/>
    <n v="89"/>
    <x v="11"/>
    <n v="10"/>
    <n v="1989"/>
    <x v="11"/>
    <n v="10"/>
    <n v="19890310"/>
    <s v="10.03.1989"/>
  </r>
  <r>
    <s v="82091382834"/>
    <s v="łódzkie"/>
    <s v="wieś"/>
    <n v="82"/>
    <x v="5"/>
    <n v="13"/>
    <n v="1982"/>
    <x v="5"/>
    <n v="13"/>
    <n v="19820913"/>
    <s v="13.09.1982"/>
  </r>
  <r>
    <s v="51122005161"/>
    <s v="świętokrzyskie"/>
    <s v="wieś"/>
    <n v="51"/>
    <x v="6"/>
    <n v="20"/>
    <n v="1951"/>
    <x v="6"/>
    <n v="20"/>
    <n v="19511220"/>
    <s v="20.12.1951"/>
  </r>
  <r>
    <s v="65081827241"/>
    <s v="małopolskie"/>
    <s v="miasto"/>
    <n v="65"/>
    <x v="3"/>
    <n v="18"/>
    <n v="1965"/>
    <x v="3"/>
    <n v="18"/>
    <n v="19650818"/>
    <s v="18.08.1965"/>
  </r>
  <r>
    <s v="52073149353"/>
    <s v="podlaskie"/>
    <s v="wieś"/>
    <n v="52"/>
    <x v="0"/>
    <n v="31"/>
    <n v="1952"/>
    <x v="0"/>
    <n v="31"/>
    <n v="19520731"/>
    <s v="31.07.1952"/>
  </r>
  <r>
    <s v="52072768764"/>
    <s v="lubuskie"/>
    <s v="miasto"/>
    <n v="52"/>
    <x v="0"/>
    <n v="27"/>
    <n v="1952"/>
    <x v="0"/>
    <n v="27"/>
    <n v="19520727"/>
    <s v="27.07.1952"/>
  </r>
  <r>
    <s v="73050819755"/>
    <s v="wielkopolskie"/>
    <s v="wieś"/>
    <n v="73"/>
    <x v="4"/>
    <n v="8"/>
    <n v="1973"/>
    <x v="4"/>
    <n v="8"/>
    <n v="19730508"/>
    <s v="08.05.1973"/>
  </r>
  <r>
    <s v="61041842387"/>
    <s v="łódzkie"/>
    <s v="miasto"/>
    <n v="61"/>
    <x v="2"/>
    <n v="18"/>
    <n v="1961"/>
    <x v="2"/>
    <n v="18"/>
    <n v="19610418"/>
    <s v="18.04.1961"/>
  </r>
  <r>
    <s v="66072012686"/>
    <s v="lubuskie"/>
    <s v="wieś"/>
    <n v="66"/>
    <x v="0"/>
    <n v="20"/>
    <n v="1966"/>
    <x v="0"/>
    <n v="20"/>
    <n v="19660720"/>
    <s v="20.07.1966"/>
  </r>
  <r>
    <s v="52011513628"/>
    <s v="zachodniopomorskie"/>
    <s v="wieś"/>
    <n v="52"/>
    <x v="8"/>
    <n v="15"/>
    <n v="1952"/>
    <x v="8"/>
    <n v="15"/>
    <n v="19520115"/>
    <s v="15.01.1952"/>
  </r>
  <r>
    <s v="90030794936"/>
    <s v="opolskie"/>
    <s v="miasto"/>
    <n v="90"/>
    <x v="11"/>
    <n v="7"/>
    <n v="1990"/>
    <x v="11"/>
    <n v="7"/>
    <n v="19900307"/>
    <s v="07.03.1990"/>
  </r>
  <r>
    <s v="79011981318"/>
    <s v="kujawsko-pomorskie"/>
    <s v="wieś"/>
    <n v="79"/>
    <x v="8"/>
    <n v="19"/>
    <n v="1979"/>
    <x v="8"/>
    <n v="19"/>
    <n v="19790119"/>
    <s v="19.01.1979"/>
  </r>
  <r>
    <s v="93082049658"/>
    <s v="mazowieckie"/>
    <s v="wieś"/>
    <n v="93"/>
    <x v="3"/>
    <n v="20"/>
    <n v="1993"/>
    <x v="3"/>
    <n v="20"/>
    <n v="19930820"/>
    <s v="20.08.1993"/>
  </r>
  <r>
    <s v="95020539612"/>
    <s v="wielkopolskie"/>
    <s v="miasto"/>
    <n v="95"/>
    <x v="10"/>
    <n v="5"/>
    <n v="1995"/>
    <x v="10"/>
    <n v="5"/>
    <n v="19950205"/>
    <s v="05.02.1995"/>
  </r>
  <r>
    <s v="62121026899"/>
    <s v="śląskie"/>
    <s v="wieś"/>
    <n v="62"/>
    <x v="6"/>
    <n v="10"/>
    <n v="1962"/>
    <x v="6"/>
    <n v="10"/>
    <n v="19621210"/>
    <s v="10.12.1962"/>
  </r>
  <r>
    <s v="98070529271"/>
    <s v="lubuskie"/>
    <s v="miasto"/>
    <n v="98"/>
    <x v="0"/>
    <n v="5"/>
    <n v="1998"/>
    <x v="0"/>
    <n v="5"/>
    <n v="19980705"/>
    <s v="05.07.1998"/>
  </r>
  <r>
    <s v="93030531536"/>
    <s v="zachodniopomorskie"/>
    <s v="wieś"/>
    <n v="93"/>
    <x v="11"/>
    <n v="5"/>
    <n v="1993"/>
    <x v="11"/>
    <n v="5"/>
    <n v="19930305"/>
    <s v="05.03.1993"/>
  </r>
  <r>
    <s v="89051997242"/>
    <s v="podkarpackie"/>
    <s v="miasto"/>
    <n v="89"/>
    <x v="4"/>
    <n v="19"/>
    <n v="1989"/>
    <x v="4"/>
    <n v="19"/>
    <n v="19890519"/>
    <s v="19.05.1989"/>
  </r>
  <r>
    <s v="98031592126"/>
    <s v="śląskie"/>
    <s v="miasto"/>
    <n v="98"/>
    <x v="11"/>
    <n v="15"/>
    <n v="1998"/>
    <x v="11"/>
    <n v="15"/>
    <n v="19980315"/>
    <s v="15.03.1998"/>
  </r>
  <r>
    <s v="96032495400"/>
    <s v="małopolskie"/>
    <s v="wieś"/>
    <n v="96"/>
    <x v="11"/>
    <n v="24"/>
    <n v="1996"/>
    <x v="11"/>
    <n v="24"/>
    <n v="19960324"/>
    <s v="24.03.1996"/>
  </r>
  <r>
    <s v="76060407716"/>
    <s v="warmińsko-mazurskie"/>
    <s v="wieś"/>
    <n v="76"/>
    <x v="7"/>
    <n v="4"/>
    <n v="1976"/>
    <x v="7"/>
    <n v="4"/>
    <n v="19760604"/>
    <s v="04.06.1976"/>
  </r>
  <r>
    <s v="86102363786"/>
    <s v="świętokrzyskie"/>
    <s v="miasto"/>
    <n v="86"/>
    <x v="1"/>
    <n v="23"/>
    <n v="1986"/>
    <x v="1"/>
    <n v="23"/>
    <n v="19861023"/>
    <s v="23.10.1986"/>
  </r>
  <r>
    <s v="50011021644"/>
    <s v="łódzkie"/>
    <s v="miasto"/>
    <n v="50"/>
    <x v="8"/>
    <n v="10"/>
    <n v="1950"/>
    <x v="8"/>
    <n v="10"/>
    <n v="19500110"/>
    <s v="10.01.1950"/>
  </r>
  <r>
    <s v="79020918057"/>
    <s v="śląskie"/>
    <s v="miasto"/>
    <n v="79"/>
    <x v="10"/>
    <n v="9"/>
    <n v="1979"/>
    <x v="10"/>
    <n v="9"/>
    <n v="19790209"/>
    <s v="09.02.1979"/>
  </r>
  <r>
    <s v="78022471528"/>
    <s v="mazowieckie"/>
    <s v="miasto"/>
    <n v="78"/>
    <x v="10"/>
    <n v="24"/>
    <n v="1978"/>
    <x v="10"/>
    <n v="24"/>
    <n v="19780224"/>
    <s v="24.02.1978"/>
  </r>
  <r>
    <s v="63121010668"/>
    <s v="podlaskie"/>
    <s v="wieś"/>
    <n v="63"/>
    <x v="6"/>
    <n v="10"/>
    <n v="1963"/>
    <x v="6"/>
    <n v="10"/>
    <n v="19631210"/>
    <s v="10.12.1963"/>
  </r>
  <r>
    <s v="56080833942"/>
    <s v="łódzkie"/>
    <s v="wieś"/>
    <n v="56"/>
    <x v="3"/>
    <n v="8"/>
    <n v="1956"/>
    <x v="3"/>
    <n v="8"/>
    <n v="19560808"/>
    <s v="08.08.1956"/>
  </r>
  <r>
    <s v="66101082660"/>
    <s v="opolskie"/>
    <s v="wieś"/>
    <n v="66"/>
    <x v="1"/>
    <n v="10"/>
    <n v="1966"/>
    <x v="1"/>
    <n v="10"/>
    <n v="19661010"/>
    <s v="10.10.1966"/>
  </r>
  <r>
    <s v="65052373250"/>
    <s v="mazowieckie"/>
    <s v="miasto"/>
    <n v="65"/>
    <x v="4"/>
    <n v="23"/>
    <n v="1965"/>
    <x v="4"/>
    <n v="23"/>
    <n v="19650523"/>
    <s v="23.05.1965"/>
  </r>
  <r>
    <s v="54061841533"/>
    <s v="małopolskie"/>
    <s v="miasto"/>
    <n v="54"/>
    <x v="7"/>
    <n v="18"/>
    <n v="1954"/>
    <x v="7"/>
    <n v="18"/>
    <n v="19540618"/>
    <s v="18.06.1954"/>
  </r>
  <r>
    <s v="90042297346"/>
    <s v="lubuskie"/>
    <s v="miasto"/>
    <n v="90"/>
    <x v="2"/>
    <n v="22"/>
    <n v="1990"/>
    <x v="2"/>
    <n v="22"/>
    <n v="19900422"/>
    <s v="22.04.1990"/>
  </r>
  <r>
    <s v="58012291873"/>
    <s v="świętokrzyskie"/>
    <s v="miasto"/>
    <n v="58"/>
    <x v="8"/>
    <n v="22"/>
    <n v="1958"/>
    <x v="8"/>
    <n v="22"/>
    <n v="19580122"/>
    <s v="22.01.1958"/>
  </r>
  <r>
    <s v="88020290896"/>
    <s v="podkarpackie"/>
    <s v="wieś"/>
    <n v="88"/>
    <x v="10"/>
    <n v="2"/>
    <n v="1988"/>
    <x v="10"/>
    <n v="2"/>
    <n v="19880202"/>
    <s v="02.02.1988"/>
  </r>
  <r>
    <s v="74072307837"/>
    <s v="łódzkie"/>
    <s v="miasto"/>
    <n v="74"/>
    <x v="0"/>
    <n v="23"/>
    <n v="1974"/>
    <x v="0"/>
    <n v="23"/>
    <n v="19740723"/>
    <s v="23.07.1974"/>
  </r>
  <r>
    <s v="72122724900"/>
    <s v="łódzkie"/>
    <s v="miasto"/>
    <n v="72"/>
    <x v="6"/>
    <n v="27"/>
    <n v="1972"/>
    <x v="6"/>
    <n v="27"/>
    <n v="19721227"/>
    <s v="27.12.1972"/>
  </r>
  <r>
    <s v="76081823199"/>
    <s v="wielkopolskie"/>
    <s v="miasto"/>
    <n v="76"/>
    <x v="3"/>
    <n v="18"/>
    <n v="1976"/>
    <x v="3"/>
    <n v="18"/>
    <n v="19760818"/>
    <s v="18.08.1976"/>
  </r>
  <r>
    <s v="79042502241"/>
    <s v="lubelskie"/>
    <s v="miasto"/>
    <n v="79"/>
    <x v="2"/>
    <n v="25"/>
    <n v="1979"/>
    <x v="2"/>
    <n v="25"/>
    <n v="19790425"/>
    <s v="25.04.1979"/>
  </r>
  <r>
    <s v="57071748146"/>
    <s v="świętokrzyskie"/>
    <s v="wieś"/>
    <n v="57"/>
    <x v="0"/>
    <n v="17"/>
    <n v="1957"/>
    <x v="0"/>
    <n v="17"/>
    <n v="19570717"/>
    <s v="17.07.1957"/>
  </r>
  <r>
    <s v="69042830493"/>
    <s v="pomorskie"/>
    <s v="wieś"/>
    <n v="69"/>
    <x v="2"/>
    <n v="28"/>
    <n v="1969"/>
    <x v="2"/>
    <n v="28"/>
    <n v="19690428"/>
    <s v="28.04.1969"/>
  </r>
  <r>
    <s v="51122805709"/>
    <s v="małopolskie"/>
    <s v="wieś"/>
    <n v="51"/>
    <x v="6"/>
    <n v="28"/>
    <n v="1951"/>
    <x v="6"/>
    <n v="28"/>
    <n v="19511228"/>
    <s v="28.12.1951"/>
  </r>
  <r>
    <s v="60100601215"/>
    <s v="podlaskie"/>
    <s v="miasto"/>
    <n v="60"/>
    <x v="1"/>
    <n v="6"/>
    <n v="1960"/>
    <x v="1"/>
    <n v="6"/>
    <n v="19601006"/>
    <s v="06.10.1960"/>
  </r>
  <r>
    <s v="71032673014"/>
    <s v="podkarpackie"/>
    <s v="miasto"/>
    <n v="71"/>
    <x v="11"/>
    <n v="26"/>
    <n v="1971"/>
    <x v="11"/>
    <n v="26"/>
    <n v="19710326"/>
    <s v="26.03.1971"/>
  </r>
  <r>
    <s v="65020176692"/>
    <s v="lubuskie"/>
    <s v="wieś"/>
    <n v="65"/>
    <x v="10"/>
    <n v="1"/>
    <n v="1965"/>
    <x v="10"/>
    <n v="1"/>
    <n v="19650201"/>
    <s v="01.02.1965"/>
  </r>
  <r>
    <s v="96030717845"/>
    <s v="śląskie"/>
    <s v="wieś"/>
    <n v="96"/>
    <x v="11"/>
    <n v="7"/>
    <n v="1996"/>
    <x v="11"/>
    <n v="7"/>
    <n v="19960307"/>
    <s v="07.03.1996"/>
  </r>
  <r>
    <s v="58072435114"/>
    <s v="śląskie"/>
    <s v="miasto"/>
    <n v="58"/>
    <x v="0"/>
    <n v="24"/>
    <n v="1958"/>
    <x v="0"/>
    <n v="24"/>
    <n v="19580724"/>
    <s v="24.07.1958"/>
  </r>
  <r>
    <s v="76121983603"/>
    <s v="łódzkie"/>
    <s v="miasto"/>
    <n v="76"/>
    <x v="6"/>
    <n v="19"/>
    <n v="1976"/>
    <x v="6"/>
    <n v="19"/>
    <n v="19761219"/>
    <s v="19.12.1976"/>
  </r>
  <r>
    <s v="63102281616"/>
    <s v="opolskie"/>
    <s v="wieś"/>
    <n v="63"/>
    <x v="1"/>
    <n v="22"/>
    <n v="1963"/>
    <x v="1"/>
    <n v="22"/>
    <n v="19631022"/>
    <s v="22.10.1963"/>
  </r>
  <r>
    <s v="60102044179"/>
    <s v="podkarpackie"/>
    <s v="miasto"/>
    <n v="60"/>
    <x v="1"/>
    <n v="20"/>
    <n v="1960"/>
    <x v="1"/>
    <n v="20"/>
    <n v="19601020"/>
    <s v="20.10.1960"/>
  </r>
  <r>
    <s v="79110638474"/>
    <s v="kujawsko-pomorskie"/>
    <s v="wieś"/>
    <n v="79"/>
    <x v="9"/>
    <n v="6"/>
    <n v="1979"/>
    <x v="9"/>
    <n v="6"/>
    <n v="19791106"/>
    <s v="06.11.1979"/>
  </r>
  <r>
    <s v="56031331390"/>
    <s v="lubuskie"/>
    <s v="wieś"/>
    <n v="56"/>
    <x v="11"/>
    <n v="13"/>
    <n v="1956"/>
    <x v="11"/>
    <n v="13"/>
    <n v="19560313"/>
    <s v="13.03.1956"/>
  </r>
  <r>
    <s v="88031966519"/>
    <s v="lubuskie"/>
    <s v="miasto"/>
    <n v="88"/>
    <x v="11"/>
    <n v="19"/>
    <n v="1988"/>
    <x v="11"/>
    <n v="19"/>
    <n v="19880319"/>
    <s v="19.03.1988"/>
  </r>
  <r>
    <s v="60100214787"/>
    <s v="wielkopolskie"/>
    <s v="wieś"/>
    <n v="60"/>
    <x v="1"/>
    <n v="2"/>
    <n v="1960"/>
    <x v="1"/>
    <n v="2"/>
    <n v="19601002"/>
    <s v="02.10.1960"/>
  </r>
  <r>
    <s v="70080400450"/>
    <s v="wielkopolskie"/>
    <s v="miasto"/>
    <n v="70"/>
    <x v="3"/>
    <n v="4"/>
    <n v="1970"/>
    <x v="3"/>
    <n v="4"/>
    <n v="19700804"/>
    <s v="04.08.1970"/>
  </r>
  <r>
    <s v="71111962853"/>
    <s v="dolnośląskie"/>
    <s v="wieś"/>
    <n v="71"/>
    <x v="9"/>
    <n v="19"/>
    <n v="1971"/>
    <x v="9"/>
    <n v="19"/>
    <n v="19711119"/>
    <s v="19.11.1971"/>
  </r>
  <r>
    <s v="77041828005"/>
    <s v="wielkopolskie"/>
    <s v="wieś"/>
    <n v="77"/>
    <x v="2"/>
    <n v="18"/>
    <n v="1977"/>
    <x v="2"/>
    <n v="18"/>
    <n v="19770418"/>
    <s v="18.04.1977"/>
  </r>
  <r>
    <s v="61082401051"/>
    <s v="wielkopolskie"/>
    <s v="miasto"/>
    <n v="61"/>
    <x v="3"/>
    <n v="24"/>
    <n v="1961"/>
    <x v="3"/>
    <n v="24"/>
    <n v="19610824"/>
    <s v="24.08.1961"/>
  </r>
  <r>
    <s v="53080346768"/>
    <s v="mazowieckie"/>
    <s v="wieś"/>
    <n v="53"/>
    <x v="3"/>
    <n v="3"/>
    <n v="1953"/>
    <x v="3"/>
    <n v="3"/>
    <n v="19530803"/>
    <s v="03.08.1953"/>
  </r>
  <r>
    <s v="81092123347"/>
    <s v="dolnośląskie"/>
    <s v="miasto"/>
    <n v="81"/>
    <x v="5"/>
    <n v="21"/>
    <n v="1981"/>
    <x v="5"/>
    <n v="21"/>
    <n v="19810921"/>
    <s v="21.09.1981"/>
  </r>
  <r>
    <s v="83102006475"/>
    <s v="mazowieckie"/>
    <s v="wieś"/>
    <n v="83"/>
    <x v="1"/>
    <n v="20"/>
    <n v="1983"/>
    <x v="1"/>
    <n v="20"/>
    <n v="19831020"/>
    <s v="20.10.1983"/>
  </r>
  <r>
    <s v="57080789431"/>
    <s v="lubelskie"/>
    <s v="miasto"/>
    <n v="57"/>
    <x v="3"/>
    <n v="7"/>
    <n v="1957"/>
    <x v="3"/>
    <n v="7"/>
    <n v="19570807"/>
    <s v="07.08.1957"/>
  </r>
  <r>
    <s v="96092868033"/>
    <s v="opolskie"/>
    <s v="wieś"/>
    <n v="96"/>
    <x v="5"/>
    <n v="28"/>
    <n v="1996"/>
    <x v="5"/>
    <n v="28"/>
    <n v="19960928"/>
    <s v="28.09.1996"/>
  </r>
  <r>
    <s v="61040869008"/>
    <s v="kujawsko-pomorskie"/>
    <s v="wieś"/>
    <n v="61"/>
    <x v="2"/>
    <n v="8"/>
    <n v="1961"/>
    <x v="2"/>
    <n v="8"/>
    <n v="19610408"/>
    <s v="08.04.1961"/>
  </r>
  <r>
    <s v="56112420867"/>
    <s v="mazowieckie"/>
    <s v="miasto"/>
    <n v="56"/>
    <x v="9"/>
    <n v="24"/>
    <n v="1956"/>
    <x v="9"/>
    <n v="24"/>
    <n v="19561124"/>
    <s v="24.11.1956"/>
  </r>
  <r>
    <s v="73033131926"/>
    <s v="świętokrzyskie"/>
    <s v="miasto"/>
    <n v="73"/>
    <x v="11"/>
    <n v="31"/>
    <n v="1973"/>
    <x v="11"/>
    <n v="31"/>
    <n v="19730331"/>
    <s v="31.03.1973"/>
  </r>
  <r>
    <s v="59071140867"/>
    <s v="wielkopolskie"/>
    <s v="wieś"/>
    <n v="59"/>
    <x v="0"/>
    <n v="11"/>
    <n v="1959"/>
    <x v="0"/>
    <n v="11"/>
    <n v="19590711"/>
    <s v="11.07.1959"/>
  </r>
  <r>
    <s v="53062600392"/>
    <s v="śląskie"/>
    <s v="miasto"/>
    <n v="53"/>
    <x v="7"/>
    <n v="26"/>
    <n v="1953"/>
    <x v="7"/>
    <n v="26"/>
    <n v="19530626"/>
    <s v="26.06.1953"/>
  </r>
  <r>
    <s v="94091797482"/>
    <s v="pomorskie"/>
    <s v="miasto"/>
    <n v="94"/>
    <x v="5"/>
    <n v="17"/>
    <n v="1994"/>
    <x v="5"/>
    <n v="17"/>
    <n v="19940917"/>
    <s v="17.09.1994"/>
  </r>
  <r>
    <s v="66082438007"/>
    <s v="kujawsko-pomorskie"/>
    <s v="miasto"/>
    <n v="66"/>
    <x v="3"/>
    <n v="24"/>
    <n v="1966"/>
    <x v="3"/>
    <n v="24"/>
    <n v="19660824"/>
    <s v="24.08.1966"/>
  </r>
  <r>
    <s v="70120434153"/>
    <s v="kujawsko-pomorskie"/>
    <s v="wieś"/>
    <n v="70"/>
    <x v="6"/>
    <n v="4"/>
    <n v="1970"/>
    <x v="6"/>
    <n v="4"/>
    <n v="19701204"/>
    <s v="04.12.1970"/>
  </r>
  <r>
    <s v="99072313297"/>
    <s v="opolskie"/>
    <s v="miasto"/>
    <n v="99"/>
    <x v="0"/>
    <n v="23"/>
    <n v="1999"/>
    <x v="0"/>
    <n v="23"/>
    <n v="19990723"/>
    <s v="23.07.1999"/>
  </r>
  <r>
    <s v="52032165031"/>
    <s v="opolskie"/>
    <s v="wieś"/>
    <n v="52"/>
    <x v="11"/>
    <n v="21"/>
    <n v="1952"/>
    <x v="11"/>
    <n v="21"/>
    <n v="19520321"/>
    <s v="21.03.1952"/>
  </r>
  <r>
    <s v="89101149319"/>
    <s v="zachodniopomorskie"/>
    <s v="miasto"/>
    <n v="89"/>
    <x v="1"/>
    <n v="11"/>
    <n v="1989"/>
    <x v="1"/>
    <n v="11"/>
    <n v="19891011"/>
    <s v="11.10.1989"/>
  </r>
  <r>
    <s v="79083070972"/>
    <s v="podlaskie"/>
    <s v="miasto"/>
    <n v="79"/>
    <x v="3"/>
    <n v="30"/>
    <n v="1979"/>
    <x v="3"/>
    <n v="30"/>
    <n v="19790830"/>
    <s v="30.08.1979"/>
  </r>
  <r>
    <s v="93021544752"/>
    <s v="pomorskie"/>
    <s v="wieś"/>
    <n v="93"/>
    <x v="10"/>
    <n v="15"/>
    <n v="1993"/>
    <x v="10"/>
    <n v="15"/>
    <n v="19930215"/>
    <s v="15.02.1993"/>
  </r>
  <r>
    <s v="92112431197"/>
    <s v="opolskie"/>
    <s v="wieś"/>
    <n v="92"/>
    <x v="9"/>
    <n v="24"/>
    <n v="1992"/>
    <x v="9"/>
    <n v="24"/>
    <n v="19921124"/>
    <s v="24.11.1992"/>
  </r>
  <r>
    <s v="51121146926"/>
    <s v="dolnośląskie"/>
    <s v="miasto"/>
    <n v="51"/>
    <x v="6"/>
    <n v="11"/>
    <n v="1951"/>
    <x v="6"/>
    <n v="11"/>
    <n v="19511211"/>
    <s v="11.12.1951"/>
  </r>
  <r>
    <s v="85111499028"/>
    <s v="podkarpackie"/>
    <s v="miasto"/>
    <n v="85"/>
    <x v="9"/>
    <n v="14"/>
    <n v="1985"/>
    <x v="9"/>
    <n v="14"/>
    <n v="19851114"/>
    <s v="14.11.1985"/>
  </r>
  <r>
    <s v="98012042048"/>
    <s v="dolnośląskie"/>
    <s v="wieś"/>
    <n v="98"/>
    <x v="8"/>
    <n v="20"/>
    <n v="1998"/>
    <x v="8"/>
    <n v="20"/>
    <n v="19980120"/>
    <s v="20.01.1998"/>
  </r>
  <r>
    <s v="72071093829"/>
    <s v="podkarpackie"/>
    <s v="wieś"/>
    <n v="72"/>
    <x v="0"/>
    <n v="10"/>
    <n v="1972"/>
    <x v="0"/>
    <n v="10"/>
    <n v="19720710"/>
    <s v="10.07.1972"/>
  </r>
  <r>
    <s v="69040958571"/>
    <s v="lubelskie"/>
    <s v="wieś"/>
    <n v="69"/>
    <x v="2"/>
    <n v="9"/>
    <n v="1969"/>
    <x v="2"/>
    <n v="9"/>
    <n v="19690409"/>
    <s v="09.04.1969"/>
  </r>
  <r>
    <s v="69090471617"/>
    <s v="pomorskie"/>
    <s v="wieś"/>
    <n v="69"/>
    <x v="5"/>
    <n v="4"/>
    <n v="1969"/>
    <x v="5"/>
    <n v="4"/>
    <n v="19690904"/>
    <s v="04.09.1969"/>
  </r>
  <r>
    <s v="50062151338"/>
    <s v="łódzkie"/>
    <s v="wieś"/>
    <n v="50"/>
    <x v="7"/>
    <n v="21"/>
    <n v="1950"/>
    <x v="7"/>
    <n v="21"/>
    <n v="19500621"/>
    <s v="21.06.1950"/>
  </r>
  <r>
    <s v="96123037605"/>
    <s v="podlaskie"/>
    <s v="miasto"/>
    <n v="96"/>
    <x v="6"/>
    <n v="30"/>
    <n v="1996"/>
    <x v="6"/>
    <n v="30"/>
    <n v="19961230"/>
    <s v="30.12.1996"/>
  </r>
  <r>
    <s v="50040731114"/>
    <s v="śląskie"/>
    <s v="wieś"/>
    <n v="50"/>
    <x v="2"/>
    <n v="7"/>
    <n v="1950"/>
    <x v="2"/>
    <n v="7"/>
    <n v="19500407"/>
    <s v="07.04.1950"/>
  </r>
  <r>
    <s v="86063067804"/>
    <s v="łódzkie"/>
    <s v="wieś"/>
    <n v="86"/>
    <x v="7"/>
    <n v="30"/>
    <n v="1986"/>
    <x v="7"/>
    <n v="30"/>
    <n v="19860630"/>
    <s v="30.06.1986"/>
  </r>
  <r>
    <s v="64070523768"/>
    <s v="opolskie"/>
    <s v="wieś"/>
    <n v="64"/>
    <x v="0"/>
    <n v="5"/>
    <n v="1964"/>
    <x v="0"/>
    <n v="5"/>
    <n v="19640705"/>
    <s v="05.07.1964"/>
  </r>
  <r>
    <s v="61111487140"/>
    <s v="warmińsko-mazurskie"/>
    <s v="wieś"/>
    <n v="61"/>
    <x v="9"/>
    <n v="14"/>
    <n v="1961"/>
    <x v="9"/>
    <n v="14"/>
    <n v="19611114"/>
    <s v="14.11.1961"/>
  </r>
  <r>
    <s v="55081402366"/>
    <s v="pomorskie"/>
    <s v="miasto"/>
    <n v="55"/>
    <x v="3"/>
    <n v="14"/>
    <n v="1955"/>
    <x v="3"/>
    <n v="14"/>
    <n v="19550814"/>
    <s v="14.08.1955"/>
  </r>
  <r>
    <s v="68101484688"/>
    <s v="pomorskie"/>
    <s v="miasto"/>
    <n v="68"/>
    <x v="1"/>
    <n v="14"/>
    <n v="1968"/>
    <x v="1"/>
    <n v="14"/>
    <n v="19681014"/>
    <s v="14.10.1968"/>
  </r>
  <r>
    <s v="96072101624"/>
    <s v="opolskie"/>
    <s v="miasto"/>
    <n v="96"/>
    <x v="0"/>
    <n v="21"/>
    <n v="1996"/>
    <x v="0"/>
    <n v="21"/>
    <n v="19960721"/>
    <s v="21.07.1996"/>
  </r>
  <r>
    <s v="53111372836"/>
    <s v="lubuskie"/>
    <s v="miasto"/>
    <n v="53"/>
    <x v="9"/>
    <n v="13"/>
    <n v="1953"/>
    <x v="9"/>
    <n v="13"/>
    <n v="19531113"/>
    <s v="13.11.1953"/>
  </r>
  <r>
    <s v="66050423060"/>
    <s v="pomorskie"/>
    <s v="miasto"/>
    <n v="66"/>
    <x v="4"/>
    <n v="4"/>
    <n v="1966"/>
    <x v="4"/>
    <n v="4"/>
    <n v="19660504"/>
    <s v="04.05.1966"/>
  </r>
  <r>
    <s v="50112572104"/>
    <s v="lubuskie"/>
    <s v="miasto"/>
    <n v="50"/>
    <x v="9"/>
    <n v="25"/>
    <n v="1950"/>
    <x v="9"/>
    <n v="25"/>
    <n v="19501125"/>
    <s v="25.11.1950"/>
  </r>
  <r>
    <s v="66041509607"/>
    <s v="opolskie"/>
    <s v="wieś"/>
    <n v="66"/>
    <x v="2"/>
    <n v="15"/>
    <n v="1966"/>
    <x v="2"/>
    <n v="15"/>
    <n v="19660415"/>
    <s v="15.04.1966"/>
  </r>
  <r>
    <s v="54111160315"/>
    <s v="małopolskie"/>
    <s v="wieś"/>
    <n v="54"/>
    <x v="9"/>
    <n v="11"/>
    <n v="1954"/>
    <x v="9"/>
    <n v="11"/>
    <n v="19541111"/>
    <s v="11.11.1954"/>
  </r>
  <r>
    <s v="56040228672"/>
    <s v="podlaskie"/>
    <s v="miasto"/>
    <n v="56"/>
    <x v="2"/>
    <n v="2"/>
    <n v="1956"/>
    <x v="2"/>
    <n v="2"/>
    <n v="19560402"/>
    <s v="02.04.1956"/>
  </r>
  <r>
    <s v="78111431918"/>
    <s v="śląskie"/>
    <s v="wieś"/>
    <n v="78"/>
    <x v="9"/>
    <n v="14"/>
    <n v="1978"/>
    <x v="9"/>
    <n v="14"/>
    <n v="19781114"/>
    <s v="14.11.1978"/>
  </r>
  <r>
    <s v="73070626456"/>
    <s v="świętokrzyskie"/>
    <s v="miasto"/>
    <n v="73"/>
    <x v="0"/>
    <n v="6"/>
    <n v="1973"/>
    <x v="0"/>
    <n v="6"/>
    <n v="19730706"/>
    <s v="06.07.1973"/>
  </r>
  <r>
    <s v="61042433348"/>
    <s v="podlaskie"/>
    <s v="miasto"/>
    <n v="61"/>
    <x v="2"/>
    <n v="24"/>
    <n v="1961"/>
    <x v="2"/>
    <n v="24"/>
    <n v="19610424"/>
    <s v="24.04.1961"/>
  </r>
  <r>
    <s v="81050869595"/>
    <s v="łódzkie"/>
    <s v="wieś"/>
    <n v="81"/>
    <x v="4"/>
    <n v="8"/>
    <n v="1981"/>
    <x v="4"/>
    <n v="8"/>
    <n v="19810508"/>
    <s v="08.05.1981"/>
  </r>
  <r>
    <s v="58091890613"/>
    <s v="małopolskie"/>
    <s v="wieś"/>
    <n v="58"/>
    <x v="5"/>
    <n v="18"/>
    <n v="1958"/>
    <x v="5"/>
    <n v="18"/>
    <n v="19580918"/>
    <s v="18.09.1958"/>
  </r>
  <r>
    <s v="66082232755"/>
    <s v="pomorskie"/>
    <s v="miasto"/>
    <n v="66"/>
    <x v="3"/>
    <n v="22"/>
    <n v="1966"/>
    <x v="3"/>
    <n v="22"/>
    <n v="19660822"/>
    <s v="22.08.1966"/>
  </r>
  <r>
    <s v="69020508231"/>
    <s v="opolskie"/>
    <s v="miasto"/>
    <n v="69"/>
    <x v="10"/>
    <n v="5"/>
    <n v="1969"/>
    <x v="10"/>
    <n v="5"/>
    <n v="19690205"/>
    <s v="05.02.1969"/>
  </r>
  <r>
    <s v="57111407330"/>
    <s v="lubelskie"/>
    <s v="wieś"/>
    <n v="57"/>
    <x v="9"/>
    <n v="14"/>
    <n v="1957"/>
    <x v="9"/>
    <n v="14"/>
    <n v="19571114"/>
    <s v="14.11.1957"/>
  </r>
  <r>
    <s v="52110758050"/>
    <s v="warmińsko-mazurskie"/>
    <s v="wieś"/>
    <n v="52"/>
    <x v="9"/>
    <n v="7"/>
    <n v="1952"/>
    <x v="9"/>
    <n v="7"/>
    <n v="19521107"/>
    <s v="07.11.1952"/>
  </r>
  <r>
    <s v="93011246172"/>
    <s v="łódzkie"/>
    <s v="wieś"/>
    <n v="93"/>
    <x v="8"/>
    <n v="12"/>
    <n v="1993"/>
    <x v="8"/>
    <n v="12"/>
    <n v="19930112"/>
    <s v="12.01.1993"/>
  </r>
  <r>
    <s v="96121936753"/>
    <s v="warmińsko-mazurskie"/>
    <s v="miasto"/>
    <n v="96"/>
    <x v="6"/>
    <n v="19"/>
    <n v="1996"/>
    <x v="6"/>
    <n v="19"/>
    <n v="19961219"/>
    <s v="19.12.1996"/>
  </r>
  <r>
    <s v="79061604939"/>
    <s v="opolskie"/>
    <s v="miasto"/>
    <n v="79"/>
    <x v="7"/>
    <n v="16"/>
    <n v="1979"/>
    <x v="7"/>
    <n v="16"/>
    <n v="19790616"/>
    <s v="16.06.1979"/>
  </r>
  <r>
    <s v="90082985672"/>
    <s v="pomorskie"/>
    <s v="wieś"/>
    <n v="90"/>
    <x v="3"/>
    <n v="29"/>
    <n v="1990"/>
    <x v="3"/>
    <n v="29"/>
    <n v="19900829"/>
    <s v="29.08.1990"/>
  </r>
  <r>
    <s v="86010806854"/>
    <s v="łódzkie"/>
    <s v="wieś"/>
    <n v="86"/>
    <x v="8"/>
    <n v="8"/>
    <n v="1986"/>
    <x v="8"/>
    <n v="8"/>
    <n v="19860108"/>
    <s v="08.01.1986"/>
  </r>
  <r>
    <s v="60051494601"/>
    <s v="mazowieckie"/>
    <s v="wieś"/>
    <n v="60"/>
    <x v="4"/>
    <n v="14"/>
    <n v="1960"/>
    <x v="4"/>
    <n v="14"/>
    <n v="19600514"/>
    <s v="14.05.1960"/>
  </r>
  <r>
    <s v="78012615541"/>
    <s v="mazowieckie"/>
    <s v="miasto"/>
    <n v="78"/>
    <x v="8"/>
    <n v="26"/>
    <n v="1978"/>
    <x v="8"/>
    <n v="26"/>
    <n v="19780126"/>
    <s v="26.01.1978"/>
  </r>
  <r>
    <s v="85120295381"/>
    <s v="dolnośląskie"/>
    <s v="miasto"/>
    <n v="85"/>
    <x v="6"/>
    <n v="2"/>
    <n v="1985"/>
    <x v="6"/>
    <n v="2"/>
    <n v="19851202"/>
    <s v="02.12.1985"/>
  </r>
  <r>
    <s v="52042558504"/>
    <s v="łódzkie"/>
    <s v="wieś"/>
    <n v="52"/>
    <x v="2"/>
    <n v="25"/>
    <n v="1952"/>
    <x v="2"/>
    <n v="25"/>
    <n v="19520425"/>
    <s v="25.04.1952"/>
  </r>
  <r>
    <s v="60091893541"/>
    <s v="lubelskie"/>
    <s v="wieś"/>
    <n v="60"/>
    <x v="5"/>
    <n v="18"/>
    <n v="1960"/>
    <x v="5"/>
    <n v="18"/>
    <n v="19600918"/>
    <s v="18.09.1960"/>
  </r>
  <r>
    <s v="80021593459"/>
    <s v="lubelskie"/>
    <s v="wieś"/>
    <n v="80"/>
    <x v="10"/>
    <n v="15"/>
    <n v="1980"/>
    <x v="10"/>
    <n v="15"/>
    <n v="19800215"/>
    <s v="15.02.1980"/>
  </r>
  <r>
    <s v="62011939184"/>
    <s v="lubelskie"/>
    <s v="miasto"/>
    <n v="62"/>
    <x v="8"/>
    <n v="19"/>
    <n v="1962"/>
    <x v="8"/>
    <n v="19"/>
    <n v="19620119"/>
    <s v="19.01.1962"/>
  </r>
  <r>
    <s v="78092814382"/>
    <s v="łódzkie"/>
    <s v="wieś"/>
    <n v="78"/>
    <x v="5"/>
    <n v="28"/>
    <n v="1978"/>
    <x v="5"/>
    <n v="28"/>
    <n v="19780928"/>
    <s v="28.09.1978"/>
  </r>
  <r>
    <s v="69060539204"/>
    <s v="zachodniopomorskie"/>
    <s v="wieś"/>
    <n v="69"/>
    <x v="7"/>
    <n v="5"/>
    <n v="1969"/>
    <x v="7"/>
    <n v="5"/>
    <n v="19690605"/>
    <s v="05.06.1969"/>
  </r>
  <r>
    <s v="54012029489"/>
    <s v="mazowieckie"/>
    <s v="wieś"/>
    <n v="54"/>
    <x v="8"/>
    <n v="20"/>
    <n v="1954"/>
    <x v="8"/>
    <n v="20"/>
    <n v="19540120"/>
    <s v="20.01.1954"/>
  </r>
  <r>
    <s v="71120775567"/>
    <s v="śląskie"/>
    <s v="miasto"/>
    <n v="71"/>
    <x v="6"/>
    <n v="7"/>
    <n v="1971"/>
    <x v="6"/>
    <n v="7"/>
    <n v="19711207"/>
    <s v="07.12.1971"/>
  </r>
  <r>
    <s v="97082550396"/>
    <s v="mazowieckie"/>
    <s v="wieś"/>
    <n v="97"/>
    <x v="3"/>
    <n v="25"/>
    <n v="1997"/>
    <x v="3"/>
    <n v="25"/>
    <n v="19970825"/>
    <s v="25.08.1997"/>
  </r>
  <r>
    <s v="83092045281"/>
    <s v="wielkopolskie"/>
    <s v="wieś"/>
    <n v="83"/>
    <x v="5"/>
    <n v="20"/>
    <n v="1983"/>
    <x v="5"/>
    <n v="20"/>
    <n v="19830920"/>
    <s v="20.09.1983"/>
  </r>
  <r>
    <s v="63011212011"/>
    <s v="łódzkie"/>
    <s v="miasto"/>
    <n v="63"/>
    <x v="8"/>
    <n v="12"/>
    <n v="1963"/>
    <x v="8"/>
    <n v="12"/>
    <n v="19630112"/>
    <s v="12.01.1963"/>
  </r>
  <r>
    <s v="55040378486"/>
    <s v="opolskie"/>
    <s v="wieś"/>
    <n v="55"/>
    <x v="2"/>
    <n v="3"/>
    <n v="1955"/>
    <x v="2"/>
    <n v="3"/>
    <n v="19550403"/>
    <s v="03.04.1955"/>
  </r>
  <r>
    <s v="93042345873"/>
    <s v="śląskie"/>
    <s v="miasto"/>
    <n v="93"/>
    <x v="2"/>
    <n v="23"/>
    <n v="1993"/>
    <x v="2"/>
    <n v="23"/>
    <n v="19930423"/>
    <s v="23.04.1993"/>
  </r>
  <r>
    <s v="54050436032"/>
    <s v="świętokrzyskie"/>
    <s v="wieś"/>
    <n v="54"/>
    <x v="4"/>
    <n v="4"/>
    <n v="1954"/>
    <x v="4"/>
    <n v="4"/>
    <n v="19540504"/>
    <s v="04.05.1954"/>
  </r>
  <r>
    <s v="87110483314"/>
    <s v="dolnośląskie"/>
    <s v="miasto"/>
    <n v="87"/>
    <x v="9"/>
    <n v="4"/>
    <n v="1987"/>
    <x v="9"/>
    <n v="4"/>
    <n v="19871104"/>
    <s v="04.11.1987"/>
  </r>
  <r>
    <s v="56100225593"/>
    <s v="kujawsko-pomorskie"/>
    <s v="miasto"/>
    <n v="56"/>
    <x v="1"/>
    <n v="2"/>
    <n v="1956"/>
    <x v="1"/>
    <n v="2"/>
    <n v="19561002"/>
    <s v="02.10.1956"/>
  </r>
  <r>
    <s v="87081751737"/>
    <s v="łódzkie"/>
    <s v="wieś"/>
    <n v="87"/>
    <x v="3"/>
    <n v="17"/>
    <n v="1987"/>
    <x v="3"/>
    <n v="17"/>
    <n v="19870817"/>
    <s v="17.08.1987"/>
  </r>
  <r>
    <s v="65030177359"/>
    <s v="łódzkie"/>
    <s v="wieś"/>
    <n v="65"/>
    <x v="11"/>
    <n v="1"/>
    <n v="1965"/>
    <x v="11"/>
    <n v="1"/>
    <n v="19650301"/>
    <s v="01.03.1965"/>
  </r>
  <r>
    <s v="98101496192"/>
    <s v="warmińsko-mazurskie"/>
    <s v="miasto"/>
    <n v="98"/>
    <x v="1"/>
    <n v="14"/>
    <n v="1998"/>
    <x v="1"/>
    <n v="14"/>
    <n v="19981014"/>
    <s v="14.10.1998"/>
  </r>
  <r>
    <s v="81071437597"/>
    <s v="wielkopolskie"/>
    <s v="wieś"/>
    <n v="81"/>
    <x v="0"/>
    <n v="14"/>
    <n v="1981"/>
    <x v="0"/>
    <n v="14"/>
    <n v="19810714"/>
    <s v="14.07.1981"/>
  </r>
  <r>
    <s v="82042883285"/>
    <s v="łódzkie"/>
    <s v="wieś"/>
    <n v="82"/>
    <x v="2"/>
    <n v="28"/>
    <n v="1982"/>
    <x v="2"/>
    <n v="28"/>
    <n v="19820428"/>
    <s v="28.04.1982"/>
  </r>
  <r>
    <s v="76100518516"/>
    <s v="wielkopolskie"/>
    <s v="wieś"/>
    <n v="76"/>
    <x v="1"/>
    <n v="5"/>
    <n v="1976"/>
    <x v="1"/>
    <n v="5"/>
    <n v="19761005"/>
    <s v="05.10.1976"/>
  </r>
  <r>
    <s v="76021655411"/>
    <s v="warmińsko-mazurskie"/>
    <s v="miasto"/>
    <n v="76"/>
    <x v="10"/>
    <n v="16"/>
    <n v="1976"/>
    <x v="10"/>
    <n v="16"/>
    <n v="19760216"/>
    <s v="16.02.1976"/>
  </r>
  <r>
    <s v="99083108912"/>
    <s v="podkarpackie"/>
    <s v="miasto"/>
    <n v="99"/>
    <x v="3"/>
    <n v="31"/>
    <n v="1999"/>
    <x v="3"/>
    <n v="31"/>
    <n v="19990831"/>
    <s v="31.08.1999"/>
  </r>
  <r>
    <s v="53041446074"/>
    <s v="pomorskie"/>
    <s v="miasto"/>
    <n v="53"/>
    <x v="2"/>
    <n v="14"/>
    <n v="1953"/>
    <x v="2"/>
    <n v="14"/>
    <n v="19530414"/>
    <s v="14.04.1953"/>
  </r>
  <r>
    <s v="82040651244"/>
    <s v="łódzkie"/>
    <s v="wieś"/>
    <n v="82"/>
    <x v="2"/>
    <n v="6"/>
    <n v="1982"/>
    <x v="2"/>
    <n v="6"/>
    <n v="19820406"/>
    <s v="06.04.1982"/>
  </r>
  <r>
    <s v="98062819672"/>
    <s v="wielkopolskie"/>
    <s v="wieś"/>
    <n v="98"/>
    <x v="7"/>
    <n v="28"/>
    <n v="1998"/>
    <x v="7"/>
    <n v="28"/>
    <n v="19980628"/>
    <s v="28.06.1998"/>
  </r>
  <r>
    <s v="71082464877"/>
    <s v="warmińsko-mazurskie"/>
    <s v="wieś"/>
    <n v="71"/>
    <x v="3"/>
    <n v="24"/>
    <n v="1971"/>
    <x v="3"/>
    <n v="24"/>
    <n v="19710824"/>
    <s v="24.08.1971"/>
  </r>
  <r>
    <s v="98121450028"/>
    <s v="warmińsko-mazurskie"/>
    <s v="wieś"/>
    <n v="98"/>
    <x v="6"/>
    <n v="14"/>
    <n v="1998"/>
    <x v="6"/>
    <n v="14"/>
    <n v="19981214"/>
    <s v="14.12.1998"/>
  </r>
  <r>
    <s v="68111216570"/>
    <s v="lubelskie"/>
    <s v="wieś"/>
    <n v="68"/>
    <x v="9"/>
    <n v="12"/>
    <n v="1968"/>
    <x v="9"/>
    <n v="12"/>
    <n v="19681112"/>
    <s v="12.11.1968"/>
  </r>
  <r>
    <s v="96112579475"/>
    <s v="małopolskie"/>
    <s v="miasto"/>
    <n v="96"/>
    <x v="9"/>
    <n v="25"/>
    <n v="1996"/>
    <x v="9"/>
    <n v="25"/>
    <n v="19961125"/>
    <s v="25.11.1996"/>
  </r>
  <r>
    <s v="62062966269"/>
    <s v="świętokrzyskie"/>
    <s v="wieś"/>
    <n v="62"/>
    <x v="7"/>
    <n v="29"/>
    <n v="1962"/>
    <x v="7"/>
    <n v="29"/>
    <n v="19620629"/>
    <s v="29.06.1962"/>
  </r>
  <r>
    <s v="98012031044"/>
    <s v="warmińsko-mazurskie"/>
    <s v="wieś"/>
    <n v="98"/>
    <x v="8"/>
    <n v="20"/>
    <n v="1998"/>
    <x v="8"/>
    <n v="20"/>
    <n v="19980120"/>
    <s v="20.01.1998"/>
  </r>
  <r>
    <s v="81061664770"/>
    <s v="świętokrzyskie"/>
    <s v="miasto"/>
    <n v="81"/>
    <x v="7"/>
    <n v="16"/>
    <n v="1981"/>
    <x v="7"/>
    <n v="16"/>
    <n v="19810616"/>
    <s v="16.06.1981"/>
  </r>
  <r>
    <s v="71092819494"/>
    <s v="podlaskie"/>
    <s v="miasto"/>
    <n v="71"/>
    <x v="5"/>
    <n v="28"/>
    <n v="1971"/>
    <x v="5"/>
    <n v="28"/>
    <n v="19710928"/>
    <s v="28.09.1971"/>
  </r>
  <r>
    <s v="86121687339"/>
    <s v="warmińsko-mazurskie"/>
    <s v="miasto"/>
    <n v="86"/>
    <x v="6"/>
    <n v="16"/>
    <n v="1986"/>
    <x v="6"/>
    <n v="16"/>
    <n v="19861216"/>
    <s v="16.12.1986"/>
  </r>
  <r>
    <s v="57121694261"/>
    <s v="kujawsko-pomorskie"/>
    <s v="wieś"/>
    <n v="57"/>
    <x v="6"/>
    <n v="16"/>
    <n v="1957"/>
    <x v="6"/>
    <n v="16"/>
    <n v="19571216"/>
    <s v="16.12.1957"/>
  </r>
  <r>
    <s v="60020736888"/>
    <s v="świętokrzyskie"/>
    <s v="wieś"/>
    <n v="60"/>
    <x v="10"/>
    <n v="7"/>
    <n v="1960"/>
    <x v="10"/>
    <n v="7"/>
    <n v="19600207"/>
    <s v="07.02.1960"/>
  </r>
  <r>
    <s v="75020499295"/>
    <s v="warmińsko-mazurskie"/>
    <s v="wieś"/>
    <n v="75"/>
    <x v="10"/>
    <n v="4"/>
    <n v="1975"/>
    <x v="10"/>
    <n v="4"/>
    <n v="19750204"/>
    <s v="04.02.1975"/>
  </r>
  <r>
    <s v="77111555550"/>
    <s v="kujawsko-pomorskie"/>
    <s v="wieś"/>
    <n v="77"/>
    <x v="9"/>
    <n v="15"/>
    <n v="1977"/>
    <x v="9"/>
    <n v="15"/>
    <n v="19771115"/>
    <s v="15.11.1977"/>
  </r>
  <r>
    <s v="58021758370"/>
    <s v="wielkopolskie"/>
    <s v="wieś"/>
    <n v="58"/>
    <x v="10"/>
    <n v="17"/>
    <n v="1958"/>
    <x v="10"/>
    <n v="17"/>
    <n v="19580217"/>
    <s v="17.02.1958"/>
  </r>
  <r>
    <s v="76082740538"/>
    <s v="mazowieckie"/>
    <s v="wieś"/>
    <n v="76"/>
    <x v="3"/>
    <n v="27"/>
    <n v="1976"/>
    <x v="3"/>
    <n v="27"/>
    <n v="19760827"/>
    <s v="27.08.1976"/>
  </r>
  <r>
    <s v="98060701454"/>
    <s v="świętokrzyskie"/>
    <s v="wieś"/>
    <n v="98"/>
    <x v="7"/>
    <n v="7"/>
    <n v="1998"/>
    <x v="7"/>
    <n v="7"/>
    <n v="19980607"/>
    <s v="07.06.1998"/>
  </r>
  <r>
    <s v="50111946757"/>
    <s v="pomorskie"/>
    <s v="miasto"/>
    <n v="50"/>
    <x v="9"/>
    <n v="19"/>
    <n v="1950"/>
    <x v="9"/>
    <n v="19"/>
    <n v="19501119"/>
    <s v="19.11.1950"/>
  </r>
  <r>
    <s v="64011943574"/>
    <s v="pomorskie"/>
    <s v="miasto"/>
    <n v="64"/>
    <x v="8"/>
    <n v="19"/>
    <n v="1964"/>
    <x v="8"/>
    <n v="19"/>
    <n v="19640119"/>
    <s v="19.01.1964"/>
  </r>
  <r>
    <s v="64111978557"/>
    <s v="lubelskie"/>
    <s v="miasto"/>
    <n v="64"/>
    <x v="9"/>
    <n v="19"/>
    <n v="1964"/>
    <x v="9"/>
    <n v="19"/>
    <n v="19641119"/>
    <s v="19.11.1964"/>
  </r>
  <r>
    <s v="67090828323"/>
    <s v="podlaskie"/>
    <s v="miasto"/>
    <n v="67"/>
    <x v="5"/>
    <n v="8"/>
    <n v="1967"/>
    <x v="5"/>
    <n v="8"/>
    <n v="19670908"/>
    <s v="08.09.1967"/>
  </r>
  <r>
    <s v="55011731764"/>
    <s v="zachodniopomorskie"/>
    <s v="miasto"/>
    <n v="55"/>
    <x v="8"/>
    <n v="17"/>
    <n v="1955"/>
    <x v="8"/>
    <n v="17"/>
    <n v="19550117"/>
    <s v="17.01.1955"/>
  </r>
  <r>
    <s v="76090406305"/>
    <s v="wielkopolskie"/>
    <s v="wieś"/>
    <n v="76"/>
    <x v="5"/>
    <n v="4"/>
    <n v="1976"/>
    <x v="5"/>
    <n v="4"/>
    <n v="19760904"/>
    <s v="04.09.1976"/>
  </r>
  <r>
    <s v="80020819576"/>
    <s v="łódzkie"/>
    <s v="miasto"/>
    <n v="80"/>
    <x v="10"/>
    <n v="8"/>
    <n v="1980"/>
    <x v="10"/>
    <n v="8"/>
    <n v="19800208"/>
    <s v="08.02.1980"/>
  </r>
  <r>
    <s v="73020122872"/>
    <s v="opolskie"/>
    <s v="miasto"/>
    <n v="73"/>
    <x v="10"/>
    <n v="1"/>
    <n v="1973"/>
    <x v="10"/>
    <n v="1"/>
    <n v="19730201"/>
    <s v="01.02.1973"/>
  </r>
  <r>
    <s v="67030428862"/>
    <s v="dolnośląskie"/>
    <s v="wieś"/>
    <n v="67"/>
    <x v="11"/>
    <n v="4"/>
    <n v="1967"/>
    <x v="11"/>
    <n v="4"/>
    <n v="19670304"/>
    <s v="04.03.1967"/>
  </r>
  <r>
    <s v="93021206362"/>
    <s v="lubuskie"/>
    <s v="wieś"/>
    <n v="93"/>
    <x v="10"/>
    <n v="12"/>
    <n v="1993"/>
    <x v="10"/>
    <n v="12"/>
    <n v="19930212"/>
    <s v="12.02.1993"/>
  </r>
  <r>
    <s v="89050505963"/>
    <s v="pomorskie"/>
    <s v="wieś"/>
    <n v="89"/>
    <x v="4"/>
    <n v="5"/>
    <n v="1989"/>
    <x v="4"/>
    <n v="5"/>
    <n v="19890505"/>
    <s v="05.05.1989"/>
  </r>
  <r>
    <s v="73101493325"/>
    <s v="wielkopolskie"/>
    <s v="wieś"/>
    <n v="73"/>
    <x v="1"/>
    <n v="14"/>
    <n v="1973"/>
    <x v="1"/>
    <n v="14"/>
    <n v="19731014"/>
    <s v="14.10.1973"/>
  </r>
  <r>
    <s v="85071473760"/>
    <s v="zachodniopomorskie"/>
    <s v="miasto"/>
    <n v="85"/>
    <x v="0"/>
    <n v="14"/>
    <n v="1985"/>
    <x v="0"/>
    <n v="14"/>
    <n v="19850714"/>
    <s v="14.07.1985"/>
  </r>
  <r>
    <s v="65071424836"/>
    <s v="pomorskie"/>
    <s v="miasto"/>
    <n v="65"/>
    <x v="0"/>
    <n v="14"/>
    <n v="1965"/>
    <x v="0"/>
    <n v="14"/>
    <n v="19650714"/>
    <s v="14.07.1965"/>
  </r>
  <r>
    <s v="61021342298"/>
    <s v="dolnośląskie"/>
    <s v="wieś"/>
    <n v="61"/>
    <x v="10"/>
    <n v="13"/>
    <n v="1961"/>
    <x v="10"/>
    <n v="13"/>
    <n v="19610213"/>
    <s v="13.02.1961"/>
  </r>
  <r>
    <s v="84121422192"/>
    <s v="lubelskie"/>
    <s v="wieś"/>
    <n v="84"/>
    <x v="6"/>
    <n v="14"/>
    <n v="1984"/>
    <x v="6"/>
    <n v="14"/>
    <n v="19841214"/>
    <s v="14.12.1984"/>
  </r>
  <r>
    <s v="74092255071"/>
    <s v="podlaskie"/>
    <s v="wieś"/>
    <n v="74"/>
    <x v="5"/>
    <n v="22"/>
    <n v="1974"/>
    <x v="5"/>
    <n v="22"/>
    <n v="19740922"/>
    <s v="22.09.1974"/>
  </r>
  <r>
    <s v="53052765728"/>
    <s v="opolskie"/>
    <s v="wieś"/>
    <n v="53"/>
    <x v="4"/>
    <n v="27"/>
    <n v="1953"/>
    <x v="4"/>
    <n v="27"/>
    <n v="19530527"/>
    <s v="27.05.1953"/>
  </r>
  <r>
    <s v="97042931845"/>
    <s v="małopolskie"/>
    <s v="miasto"/>
    <n v="97"/>
    <x v="2"/>
    <n v="29"/>
    <n v="1997"/>
    <x v="2"/>
    <n v="29"/>
    <n v="19970429"/>
    <s v="29.04.1997"/>
  </r>
  <r>
    <s v="78062520080"/>
    <s v="świętokrzyskie"/>
    <s v="wieś"/>
    <n v="78"/>
    <x v="7"/>
    <n v="25"/>
    <n v="1978"/>
    <x v="7"/>
    <n v="25"/>
    <n v="19780625"/>
    <s v="25.06.1978"/>
  </r>
  <r>
    <s v="65111959825"/>
    <s v="śląskie"/>
    <s v="wieś"/>
    <n v="65"/>
    <x v="9"/>
    <n v="19"/>
    <n v="1965"/>
    <x v="9"/>
    <n v="19"/>
    <n v="19651119"/>
    <s v="19.11.1965"/>
  </r>
  <r>
    <s v="50011440807"/>
    <s v="zachodniopomorskie"/>
    <s v="wieś"/>
    <n v="50"/>
    <x v="8"/>
    <n v="14"/>
    <n v="1950"/>
    <x v="8"/>
    <n v="14"/>
    <n v="19500114"/>
    <s v="14.01.1950"/>
  </r>
  <r>
    <s v="83111092722"/>
    <s v="śląskie"/>
    <s v="miasto"/>
    <n v="83"/>
    <x v="9"/>
    <n v="10"/>
    <n v="1983"/>
    <x v="9"/>
    <n v="10"/>
    <n v="19831110"/>
    <s v="10.11.1983"/>
  </r>
  <r>
    <s v="75122143973"/>
    <s v="opolskie"/>
    <s v="miasto"/>
    <n v="75"/>
    <x v="6"/>
    <n v="21"/>
    <n v="1975"/>
    <x v="6"/>
    <n v="21"/>
    <n v="19751221"/>
    <s v="21.12.1975"/>
  </r>
  <r>
    <s v="65100549251"/>
    <s v="pomorskie"/>
    <s v="wieś"/>
    <n v="65"/>
    <x v="1"/>
    <n v="5"/>
    <n v="1965"/>
    <x v="1"/>
    <n v="5"/>
    <n v="19651005"/>
    <s v="05.10.1965"/>
  </r>
  <r>
    <s v="70021990226"/>
    <s v="małopolskie"/>
    <s v="miasto"/>
    <n v="70"/>
    <x v="10"/>
    <n v="19"/>
    <n v="1970"/>
    <x v="10"/>
    <n v="19"/>
    <n v="19700219"/>
    <s v="19.02.1970"/>
  </r>
  <r>
    <s v="79053025344"/>
    <s v="podkarpackie"/>
    <s v="wieś"/>
    <n v="79"/>
    <x v="4"/>
    <n v="30"/>
    <n v="1979"/>
    <x v="4"/>
    <n v="30"/>
    <n v="19790530"/>
    <s v="30.05.1979"/>
  </r>
  <r>
    <s v="98100739519"/>
    <s v="dolnośląskie"/>
    <s v="wieś"/>
    <n v="98"/>
    <x v="1"/>
    <n v="7"/>
    <n v="1998"/>
    <x v="1"/>
    <n v="7"/>
    <n v="19981007"/>
    <s v="07.10.1998"/>
  </r>
  <r>
    <s v="61040445673"/>
    <s v="podlaskie"/>
    <s v="wieś"/>
    <n v="61"/>
    <x v="2"/>
    <n v="4"/>
    <n v="1961"/>
    <x v="2"/>
    <n v="4"/>
    <n v="19610404"/>
    <s v="04.04.1961"/>
  </r>
  <r>
    <s v="54120956644"/>
    <s v="mazowieckie"/>
    <s v="wieś"/>
    <n v="54"/>
    <x v="6"/>
    <n v="9"/>
    <n v="1954"/>
    <x v="6"/>
    <n v="9"/>
    <n v="19541209"/>
    <s v="09.12.1954"/>
  </r>
  <r>
    <s v="87011726224"/>
    <s v="mazowieckie"/>
    <s v="miasto"/>
    <n v="87"/>
    <x v="8"/>
    <n v="17"/>
    <n v="1987"/>
    <x v="8"/>
    <n v="17"/>
    <n v="19870117"/>
    <s v="17.01.1987"/>
  </r>
  <r>
    <s v="89122110541"/>
    <s v="świętokrzyskie"/>
    <s v="wieś"/>
    <n v="89"/>
    <x v="6"/>
    <n v="21"/>
    <n v="1989"/>
    <x v="6"/>
    <n v="21"/>
    <n v="19891221"/>
    <s v="21.12.1989"/>
  </r>
  <r>
    <s v="63102562292"/>
    <s v="podkarpackie"/>
    <s v="wieś"/>
    <n v="63"/>
    <x v="1"/>
    <n v="25"/>
    <n v="1963"/>
    <x v="1"/>
    <n v="25"/>
    <n v="19631025"/>
    <s v="25.10.1963"/>
  </r>
  <r>
    <s v="91101758446"/>
    <s v="dolnośląskie"/>
    <s v="miasto"/>
    <n v="91"/>
    <x v="1"/>
    <n v="17"/>
    <n v="1991"/>
    <x v="1"/>
    <n v="17"/>
    <n v="19911017"/>
    <s v="17.10.1991"/>
  </r>
  <r>
    <s v="73041277610"/>
    <s v="podlaskie"/>
    <s v="miasto"/>
    <n v="73"/>
    <x v="2"/>
    <n v="12"/>
    <n v="1973"/>
    <x v="2"/>
    <n v="12"/>
    <n v="19730412"/>
    <s v="12.04.1973"/>
  </r>
  <r>
    <s v="63101233720"/>
    <s v="łódzkie"/>
    <s v="wieś"/>
    <n v="63"/>
    <x v="1"/>
    <n v="12"/>
    <n v="1963"/>
    <x v="1"/>
    <n v="12"/>
    <n v="19631012"/>
    <s v="12.10.1963"/>
  </r>
  <r>
    <s v="84021497980"/>
    <s v="lubelskie"/>
    <s v="miasto"/>
    <n v="84"/>
    <x v="10"/>
    <n v="14"/>
    <n v="1984"/>
    <x v="10"/>
    <n v="14"/>
    <n v="19840214"/>
    <s v="14.02.1984"/>
  </r>
  <r>
    <s v="87051320026"/>
    <s v="pomorskie"/>
    <s v="wieś"/>
    <n v="87"/>
    <x v="4"/>
    <n v="13"/>
    <n v="1987"/>
    <x v="4"/>
    <n v="13"/>
    <n v="19870513"/>
    <s v="13.05.1987"/>
  </r>
  <r>
    <s v="87122216434"/>
    <s v="opolskie"/>
    <s v="wieś"/>
    <n v="87"/>
    <x v="6"/>
    <n v="22"/>
    <n v="1987"/>
    <x v="6"/>
    <n v="22"/>
    <n v="19871222"/>
    <s v="22.12.1987"/>
  </r>
  <r>
    <s v="63062929199"/>
    <s v="warmińsko-mazurskie"/>
    <s v="wieś"/>
    <n v="63"/>
    <x v="7"/>
    <n v="29"/>
    <n v="1963"/>
    <x v="7"/>
    <n v="29"/>
    <n v="19630629"/>
    <s v="29.06.1963"/>
  </r>
  <r>
    <s v="99011281256"/>
    <s v="łódzkie"/>
    <s v="miasto"/>
    <n v="99"/>
    <x v="8"/>
    <n v="12"/>
    <n v="1999"/>
    <x v="8"/>
    <n v="12"/>
    <n v="19990112"/>
    <s v="12.01.1999"/>
  </r>
  <r>
    <s v="72110750487"/>
    <s v="łódzkie"/>
    <s v="miasto"/>
    <n v="72"/>
    <x v="9"/>
    <n v="7"/>
    <n v="1972"/>
    <x v="9"/>
    <n v="7"/>
    <n v="19721107"/>
    <s v="07.11.1972"/>
  </r>
  <r>
    <s v="70052334215"/>
    <s v="wielkopolskie"/>
    <s v="miasto"/>
    <n v="70"/>
    <x v="4"/>
    <n v="23"/>
    <n v="1970"/>
    <x v="4"/>
    <n v="23"/>
    <n v="19700523"/>
    <s v="23.05.1970"/>
  </r>
  <r>
    <s v="53080638348"/>
    <s v="warmińsko-mazurskie"/>
    <s v="miasto"/>
    <n v="53"/>
    <x v="3"/>
    <n v="6"/>
    <n v="1953"/>
    <x v="3"/>
    <n v="6"/>
    <n v="19530806"/>
    <s v="06.08.1953"/>
  </r>
  <r>
    <s v="63092655936"/>
    <s v="mazowieckie"/>
    <s v="miasto"/>
    <n v="63"/>
    <x v="5"/>
    <n v="26"/>
    <n v="1963"/>
    <x v="5"/>
    <n v="26"/>
    <n v="19630926"/>
    <s v="26.09.1963"/>
  </r>
  <r>
    <s v="80012365708"/>
    <s v="podkarpackie"/>
    <s v="wieś"/>
    <n v="80"/>
    <x v="8"/>
    <n v="23"/>
    <n v="1980"/>
    <x v="8"/>
    <n v="23"/>
    <n v="19800123"/>
    <s v="23.01.1980"/>
  </r>
  <r>
    <s v="88092831629"/>
    <s v="pomorskie"/>
    <s v="wieś"/>
    <n v="88"/>
    <x v="5"/>
    <n v="28"/>
    <n v="1988"/>
    <x v="5"/>
    <n v="28"/>
    <n v="19880928"/>
    <s v="28.09.1988"/>
  </r>
  <r>
    <s v="63062036462"/>
    <s v="kujawsko-pomorskie"/>
    <s v="miasto"/>
    <n v="63"/>
    <x v="7"/>
    <n v="20"/>
    <n v="1963"/>
    <x v="7"/>
    <n v="20"/>
    <n v="19630620"/>
    <s v="20.06.1963"/>
  </r>
  <r>
    <s v="62020662873"/>
    <s v="podkarpackie"/>
    <s v="wieś"/>
    <n v="62"/>
    <x v="10"/>
    <n v="6"/>
    <n v="1962"/>
    <x v="10"/>
    <n v="6"/>
    <n v="19620206"/>
    <s v="06.02.1962"/>
  </r>
  <r>
    <s v="85120753924"/>
    <s v="dolnośląskie"/>
    <s v="miasto"/>
    <n v="85"/>
    <x v="6"/>
    <n v="7"/>
    <n v="1985"/>
    <x v="6"/>
    <n v="7"/>
    <n v="19851207"/>
    <s v="07.12.1985"/>
  </r>
  <r>
    <s v="57072490011"/>
    <s v="opolskie"/>
    <s v="wieś"/>
    <n v="57"/>
    <x v="0"/>
    <n v="24"/>
    <n v="1957"/>
    <x v="0"/>
    <n v="24"/>
    <n v="19570724"/>
    <s v="24.07.1957"/>
  </r>
  <r>
    <s v="82020297372"/>
    <s v="dolnośląskie"/>
    <s v="miasto"/>
    <n v="82"/>
    <x v="10"/>
    <n v="2"/>
    <n v="1982"/>
    <x v="10"/>
    <n v="2"/>
    <n v="19820202"/>
    <s v="02.02.1982"/>
  </r>
  <r>
    <s v="93113022209"/>
    <s v="śląskie"/>
    <s v="wieś"/>
    <n v="93"/>
    <x v="9"/>
    <n v="30"/>
    <n v="1993"/>
    <x v="9"/>
    <n v="30"/>
    <n v="19931130"/>
    <s v="30.11.1993"/>
  </r>
  <r>
    <s v="80032957947"/>
    <s v="zachodniopomorskie"/>
    <s v="wieś"/>
    <n v="80"/>
    <x v="11"/>
    <n v="29"/>
    <n v="1980"/>
    <x v="11"/>
    <n v="29"/>
    <n v="19800329"/>
    <s v="29.03.1980"/>
  </r>
  <r>
    <s v="97061666537"/>
    <s v="śląskie"/>
    <s v="wieś"/>
    <n v="97"/>
    <x v="7"/>
    <n v="16"/>
    <n v="1997"/>
    <x v="7"/>
    <n v="16"/>
    <n v="19970616"/>
    <s v="16.06.1997"/>
  </r>
  <r>
    <s v="99042282211"/>
    <s v="śląskie"/>
    <s v="wieś"/>
    <n v="99"/>
    <x v="2"/>
    <n v="22"/>
    <n v="1999"/>
    <x v="2"/>
    <n v="22"/>
    <n v="19990422"/>
    <s v="22.04.1999"/>
  </r>
  <r>
    <s v="90122294917"/>
    <s v="świętokrzyskie"/>
    <s v="wieś"/>
    <n v="90"/>
    <x v="6"/>
    <n v="22"/>
    <n v="1990"/>
    <x v="6"/>
    <n v="22"/>
    <n v="19901222"/>
    <s v="22.12.1990"/>
  </r>
  <r>
    <s v="98042035638"/>
    <s v="zachodniopomorskie"/>
    <s v="wieś"/>
    <n v="98"/>
    <x v="2"/>
    <n v="20"/>
    <n v="1998"/>
    <x v="2"/>
    <n v="20"/>
    <n v="19980420"/>
    <s v="20.04.1998"/>
  </r>
  <r>
    <s v="63090624679"/>
    <s v="śląskie"/>
    <s v="wieś"/>
    <n v="63"/>
    <x v="5"/>
    <n v="6"/>
    <n v="1963"/>
    <x v="5"/>
    <n v="6"/>
    <n v="19630906"/>
    <s v="06.09.1963"/>
  </r>
  <r>
    <s v="56041608154"/>
    <s v="podlaskie"/>
    <s v="wieś"/>
    <n v="56"/>
    <x v="2"/>
    <n v="16"/>
    <n v="1956"/>
    <x v="2"/>
    <n v="16"/>
    <n v="19560416"/>
    <s v="16.04.1956"/>
  </r>
  <r>
    <s v="61061367026"/>
    <s v="śląskie"/>
    <s v="wieś"/>
    <n v="61"/>
    <x v="7"/>
    <n v="13"/>
    <n v="1961"/>
    <x v="7"/>
    <n v="13"/>
    <n v="19610613"/>
    <s v="13.06.1961"/>
  </r>
  <r>
    <s v="65030283393"/>
    <s v="wielkopolskie"/>
    <s v="miasto"/>
    <n v="65"/>
    <x v="11"/>
    <n v="2"/>
    <n v="1965"/>
    <x v="11"/>
    <n v="2"/>
    <n v="19650302"/>
    <s v="02.03.1965"/>
  </r>
  <r>
    <s v="92012998491"/>
    <s v="warmińsko-mazurskie"/>
    <s v="wieś"/>
    <n v="92"/>
    <x v="8"/>
    <n v="29"/>
    <n v="1992"/>
    <x v="8"/>
    <n v="29"/>
    <n v="19920129"/>
    <s v="29.01.1992"/>
  </r>
  <r>
    <s v="98021347510"/>
    <s v="podkarpackie"/>
    <s v="miasto"/>
    <n v="98"/>
    <x v="10"/>
    <n v="13"/>
    <n v="1998"/>
    <x v="10"/>
    <n v="13"/>
    <n v="19980213"/>
    <s v="13.02.1998"/>
  </r>
  <r>
    <s v="61020732218"/>
    <s v="lubelskie"/>
    <s v="miasto"/>
    <n v="61"/>
    <x v="10"/>
    <n v="7"/>
    <n v="1961"/>
    <x v="10"/>
    <n v="7"/>
    <n v="19610207"/>
    <s v="07.02.1961"/>
  </r>
  <r>
    <s v="51100859081"/>
    <s v="śląskie"/>
    <s v="miasto"/>
    <n v="51"/>
    <x v="1"/>
    <n v="8"/>
    <n v="1951"/>
    <x v="1"/>
    <n v="8"/>
    <n v="19511008"/>
    <s v="08.10.1951"/>
  </r>
  <r>
    <s v="58092388216"/>
    <s v="warmińsko-mazurskie"/>
    <s v="wieś"/>
    <n v="58"/>
    <x v="5"/>
    <n v="23"/>
    <n v="1958"/>
    <x v="5"/>
    <n v="23"/>
    <n v="19580923"/>
    <s v="23.09.1958"/>
  </r>
  <r>
    <s v="58081857013"/>
    <s v="podkarpackie"/>
    <s v="wieś"/>
    <n v="58"/>
    <x v="3"/>
    <n v="18"/>
    <n v="1958"/>
    <x v="3"/>
    <n v="18"/>
    <n v="19580818"/>
    <s v="18.08.1958"/>
  </r>
  <r>
    <s v="51112066114"/>
    <s v="opolskie"/>
    <s v="wieś"/>
    <n v="51"/>
    <x v="9"/>
    <n v="20"/>
    <n v="1951"/>
    <x v="9"/>
    <n v="20"/>
    <n v="19511120"/>
    <s v="20.11.1951"/>
  </r>
  <r>
    <s v="89010145123"/>
    <s v="podkarpackie"/>
    <s v="wieś"/>
    <n v="89"/>
    <x v="8"/>
    <n v="1"/>
    <n v="1989"/>
    <x v="8"/>
    <n v="1"/>
    <n v="19890101"/>
    <s v="01.01.1989"/>
  </r>
  <r>
    <s v="84021137424"/>
    <s v="podlaskie"/>
    <s v="miasto"/>
    <n v="84"/>
    <x v="10"/>
    <n v="11"/>
    <n v="1984"/>
    <x v="10"/>
    <n v="11"/>
    <n v="19840211"/>
    <s v="11.02.1984"/>
  </r>
  <r>
    <s v="66071191281"/>
    <s v="małopolskie"/>
    <s v="miasto"/>
    <n v="66"/>
    <x v="0"/>
    <n v="11"/>
    <n v="1966"/>
    <x v="0"/>
    <n v="11"/>
    <n v="19660711"/>
    <s v="11.07.1966"/>
  </r>
  <r>
    <s v="64110521169"/>
    <s v="małopolskie"/>
    <s v="miasto"/>
    <n v="64"/>
    <x v="9"/>
    <n v="5"/>
    <n v="1964"/>
    <x v="9"/>
    <n v="5"/>
    <n v="19641105"/>
    <s v="05.11.1964"/>
  </r>
  <r>
    <s v="80090724666"/>
    <s v="świętokrzyskie"/>
    <s v="miasto"/>
    <n v="80"/>
    <x v="5"/>
    <n v="7"/>
    <n v="1980"/>
    <x v="5"/>
    <n v="7"/>
    <n v="19800907"/>
    <s v="07.09.1980"/>
  </r>
  <r>
    <s v="60081098044"/>
    <s v="opolskie"/>
    <s v="wieś"/>
    <n v="60"/>
    <x v="3"/>
    <n v="10"/>
    <n v="1960"/>
    <x v="3"/>
    <n v="10"/>
    <n v="19600810"/>
    <s v="10.08.1960"/>
  </r>
  <r>
    <s v="81060672345"/>
    <s v="pomorskie"/>
    <s v="miasto"/>
    <n v="81"/>
    <x v="7"/>
    <n v="6"/>
    <n v="1981"/>
    <x v="7"/>
    <n v="6"/>
    <n v="19810606"/>
    <s v="06.06.1981"/>
  </r>
  <r>
    <s v="72041188498"/>
    <s v="łódzkie"/>
    <s v="wieś"/>
    <n v="72"/>
    <x v="2"/>
    <n v="11"/>
    <n v="1972"/>
    <x v="2"/>
    <n v="11"/>
    <n v="19720411"/>
    <s v="11.04.1972"/>
  </r>
  <r>
    <s v="93050237328"/>
    <s v="podkarpackie"/>
    <s v="miasto"/>
    <n v="93"/>
    <x v="4"/>
    <n v="2"/>
    <n v="1993"/>
    <x v="4"/>
    <n v="2"/>
    <n v="19930502"/>
    <s v="02.05.1993"/>
  </r>
  <r>
    <s v="57111030969"/>
    <s v="pomorskie"/>
    <s v="miasto"/>
    <n v="57"/>
    <x v="9"/>
    <n v="10"/>
    <n v="1957"/>
    <x v="9"/>
    <n v="10"/>
    <n v="19571110"/>
    <s v="10.11.1957"/>
  </r>
  <r>
    <s v="95120189926"/>
    <s v="świętokrzyskie"/>
    <s v="miasto"/>
    <n v="95"/>
    <x v="6"/>
    <n v="1"/>
    <n v="1995"/>
    <x v="6"/>
    <n v="1"/>
    <n v="19951201"/>
    <s v="01.12.1995"/>
  </r>
  <r>
    <s v="50030558617"/>
    <s v="świętokrzyskie"/>
    <s v="miasto"/>
    <n v="50"/>
    <x v="11"/>
    <n v="5"/>
    <n v="1950"/>
    <x v="11"/>
    <n v="5"/>
    <n v="19500305"/>
    <s v="05.03.1950"/>
  </r>
  <r>
    <s v="99030787526"/>
    <s v="warmińsko-mazurskie"/>
    <s v="miasto"/>
    <n v="99"/>
    <x v="11"/>
    <n v="7"/>
    <n v="1999"/>
    <x v="11"/>
    <n v="7"/>
    <n v="19990307"/>
    <s v="07.03.1999"/>
  </r>
  <r>
    <s v="86012893795"/>
    <s v="pomorskie"/>
    <s v="miasto"/>
    <n v="86"/>
    <x v="8"/>
    <n v="28"/>
    <n v="1986"/>
    <x v="8"/>
    <n v="28"/>
    <n v="19860128"/>
    <s v="28.01.1986"/>
  </r>
  <r>
    <s v="77070917279"/>
    <s v="wielkopolskie"/>
    <s v="wieś"/>
    <n v="77"/>
    <x v="0"/>
    <n v="9"/>
    <n v="1977"/>
    <x v="0"/>
    <n v="9"/>
    <n v="19770709"/>
    <s v="09.07.1977"/>
  </r>
  <r>
    <s v="81110769382"/>
    <s v="zachodniopomorskie"/>
    <s v="wieś"/>
    <n v="81"/>
    <x v="9"/>
    <n v="7"/>
    <n v="1981"/>
    <x v="9"/>
    <n v="7"/>
    <n v="19811107"/>
    <s v="07.11.1981"/>
  </r>
  <r>
    <s v="77111159976"/>
    <s v="świętokrzyskie"/>
    <s v="wieś"/>
    <n v="77"/>
    <x v="9"/>
    <n v="11"/>
    <n v="1977"/>
    <x v="9"/>
    <n v="11"/>
    <n v="19771111"/>
    <s v="11.11.1977"/>
  </r>
  <r>
    <s v="70100187141"/>
    <s v="mazowieckie"/>
    <s v="wieś"/>
    <n v="70"/>
    <x v="1"/>
    <n v="1"/>
    <n v="1970"/>
    <x v="1"/>
    <n v="1"/>
    <n v="19701001"/>
    <s v="01.10.1970"/>
  </r>
  <r>
    <s v="65021500043"/>
    <s v="podkarpackie"/>
    <s v="miasto"/>
    <n v="65"/>
    <x v="10"/>
    <n v="15"/>
    <n v="1965"/>
    <x v="10"/>
    <n v="15"/>
    <n v="19650215"/>
    <s v="15.02.1965"/>
  </r>
  <r>
    <s v="85060885312"/>
    <s v="dolnośląskie"/>
    <s v="wieś"/>
    <n v="85"/>
    <x v="7"/>
    <n v="8"/>
    <n v="1985"/>
    <x v="7"/>
    <n v="8"/>
    <n v="19850608"/>
    <s v="08.06.1985"/>
  </r>
  <r>
    <s v="71050660586"/>
    <s v="pomorskie"/>
    <s v="miasto"/>
    <n v="71"/>
    <x v="4"/>
    <n v="6"/>
    <n v="1971"/>
    <x v="4"/>
    <n v="6"/>
    <n v="19710506"/>
    <s v="06.05.1971"/>
  </r>
  <r>
    <s v="59071738598"/>
    <s v="lubelskie"/>
    <s v="miasto"/>
    <n v="59"/>
    <x v="0"/>
    <n v="17"/>
    <n v="1959"/>
    <x v="0"/>
    <n v="17"/>
    <n v="19590717"/>
    <s v="17.07.1959"/>
  </r>
  <r>
    <s v="95032440571"/>
    <s v="łódzkie"/>
    <s v="miasto"/>
    <n v="95"/>
    <x v="11"/>
    <n v="24"/>
    <n v="1995"/>
    <x v="11"/>
    <n v="24"/>
    <n v="19950324"/>
    <s v="24.03.1995"/>
  </r>
  <r>
    <s v="89061704744"/>
    <s v="małopolskie"/>
    <s v="wieś"/>
    <n v="89"/>
    <x v="7"/>
    <n v="17"/>
    <n v="1989"/>
    <x v="7"/>
    <n v="17"/>
    <n v="19890617"/>
    <s v="17.06.1989"/>
  </r>
  <r>
    <s v="51080898629"/>
    <s v="opolskie"/>
    <s v="wieś"/>
    <n v="51"/>
    <x v="3"/>
    <n v="8"/>
    <n v="1951"/>
    <x v="3"/>
    <n v="8"/>
    <n v="19510808"/>
    <s v="08.08.1951"/>
  </r>
  <r>
    <s v="57022141905"/>
    <s v="łódzkie"/>
    <s v="wieś"/>
    <n v="57"/>
    <x v="10"/>
    <n v="21"/>
    <n v="1957"/>
    <x v="10"/>
    <n v="21"/>
    <n v="19570221"/>
    <s v="21.02.1957"/>
  </r>
  <r>
    <s v="83040146750"/>
    <s v="wielkopolskie"/>
    <s v="wieś"/>
    <n v="83"/>
    <x v="2"/>
    <n v="1"/>
    <n v="1983"/>
    <x v="2"/>
    <n v="1"/>
    <n v="19830401"/>
    <s v="01.04.1983"/>
  </r>
  <r>
    <s v="94073040289"/>
    <s v="opolskie"/>
    <s v="miasto"/>
    <n v="94"/>
    <x v="0"/>
    <n v="30"/>
    <n v="1994"/>
    <x v="0"/>
    <n v="30"/>
    <n v="19940730"/>
    <s v="30.07.1994"/>
  </r>
  <r>
    <s v="85082674482"/>
    <s v="dolnośląskie"/>
    <s v="miasto"/>
    <n v="85"/>
    <x v="3"/>
    <n v="26"/>
    <n v="1985"/>
    <x v="3"/>
    <n v="26"/>
    <n v="19850826"/>
    <s v="26.08.1985"/>
  </r>
  <r>
    <s v="68071192873"/>
    <s v="lubuskie"/>
    <s v="miasto"/>
    <n v="68"/>
    <x v="0"/>
    <n v="11"/>
    <n v="1968"/>
    <x v="0"/>
    <n v="11"/>
    <n v="19680711"/>
    <s v="11.07.1968"/>
  </r>
  <r>
    <s v="66122411933"/>
    <s v="lubuskie"/>
    <s v="wieś"/>
    <n v="66"/>
    <x v="6"/>
    <n v="24"/>
    <n v="1966"/>
    <x v="6"/>
    <n v="24"/>
    <n v="19661224"/>
    <s v="24.12.1966"/>
  </r>
  <r>
    <s v="83112543531"/>
    <s v="warmińsko-mazurskie"/>
    <s v="wieś"/>
    <n v="83"/>
    <x v="9"/>
    <n v="25"/>
    <n v="1983"/>
    <x v="9"/>
    <n v="25"/>
    <n v="19831125"/>
    <s v="25.11.1983"/>
  </r>
  <r>
    <s v="72032940355"/>
    <s v="dolnośląskie"/>
    <s v="wieś"/>
    <n v="72"/>
    <x v="11"/>
    <n v="29"/>
    <n v="1972"/>
    <x v="11"/>
    <n v="29"/>
    <n v="19720329"/>
    <s v="29.03.1972"/>
  </r>
  <r>
    <s v="99041426748"/>
    <s v="śląskie"/>
    <s v="miasto"/>
    <n v="99"/>
    <x v="2"/>
    <n v="14"/>
    <n v="1999"/>
    <x v="2"/>
    <n v="14"/>
    <n v="19990414"/>
    <s v="14.04.1999"/>
  </r>
  <r>
    <s v="99082013556"/>
    <s v="zachodniopomorskie"/>
    <s v="wieś"/>
    <n v="99"/>
    <x v="3"/>
    <n v="20"/>
    <n v="1999"/>
    <x v="3"/>
    <n v="20"/>
    <n v="19990820"/>
    <s v="20.08.1999"/>
  </r>
  <r>
    <s v="62123067166"/>
    <s v="wielkopolskie"/>
    <s v="miasto"/>
    <n v="62"/>
    <x v="6"/>
    <n v="30"/>
    <n v="1962"/>
    <x v="6"/>
    <n v="30"/>
    <n v="19621230"/>
    <s v="30.12.1962"/>
  </r>
  <r>
    <s v="65031764132"/>
    <s v="lubelskie"/>
    <s v="wieś"/>
    <n v="65"/>
    <x v="11"/>
    <n v="17"/>
    <n v="1965"/>
    <x v="11"/>
    <n v="17"/>
    <n v="19650317"/>
    <s v="17.03.1965"/>
  </r>
  <r>
    <s v="66031525363"/>
    <s v="lubuskie"/>
    <s v="miasto"/>
    <n v="66"/>
    <x v="11"/>
    <n v="15"/>
    <n v="1966"/>
    <x v="11"/>
    <n v="15"/>
    <n v="19660315"/>
    <s v="15.03.1966"/>
  </r>
  <r>
    <s v="84121279350"/>
    <s v="opolskie"/>
    <s v="wieś"/>
    <n v="84"/>
    <x v="6"/>
    <n v="12"/>
    <n v="1984"/>
    <x v="6"/>
    <n v="12"/>
    <n v="19841212"/>
    <s v="12.12.1984"/>
  </r>
  <r>
    <s v="56060275416"/>
    <s v="lubuskie"/>
    <s v="miasto"/>
    <n v="56"/>
    <x v="7"/>
    <n v="2"/>
    <n v="1956"/>
    <x v="7"/>
    <n v="2"/>
    <n v="19560602"/>
    <s v="02.06.1956"/>
  </r>
  <r>
    <s v="88060298577"/>
    <s v="mazowieckie"/>
    <s v="wieś"/>
    <n v="88"/>
    <x v="7"/>
    <n v="2"/>
    <n v="1988"/>
    <x v="7"/>
    <n v="2"/>
    <n v="19880602"/>
    <s v="02.06.1988"/>
  </r>
  <r>
    <s v="93071613624"/>
    <s v="łódzkie"/>
    <s v="miasto"/>
    <n v="93"/>
    <x v="0"/>
    <n v="16"/>
    <n v="1993"/>
    <x v="0"/>
    <n v="16"/>
    <n v="19930716"/>
    <s v="16.07.1993"/>
  </r>
  <r>
    <s v="56032245658"/>
    <s v="małopolskie"/>
    <s v="wieś"/>
    <n v="56"/>
    <x v="11"/>
    <n v="22"/>
    <n v="1956"/>
    <x v="11"/>
    <n v="22"/>
    <n v="19560322"/>
    <s v="22.03.1956"/>
  </r>
  <r>
    <s v="64081190522"/>
    <s v="świętokrzyskie"/>
    <s v="wieś"/>
    <n v="64"/>
    <x v="3"/>
    <n v="11"/>
    <n v="1964"/>
    <x v="3"/>
    <n v="11"/>
    <n v="19640811"/>
    <s v="11.08.1964"/>
  </r>
  <r>
    <s v="62040616607"/>
    <s v="lubelskie"/>
    <s v="wieś"/>
    <n v="62"/>
    <x v="2"/>
    <n v="6"/>
    <n v="1962"/>
    <x v="2"/>
    <n v="6"/>
    <n v="19620406"/>
    <s v="06.04.1962"/>
  </r>
  <r>
    <s v="87032142416"/>
    <s v="podlaskie"/>
    <s v="wieś"/>
    <n v="87"/>
    <x v="11"/>
    <n v="21"/>
    <n v="1987"/>
    <x v="11"/>
    <n v="21"/>
    <n v="19870321"/>
    <s v="21.03.1987"/>
  </r>
  <r>
    <s v="73101455554"/>
    <s v="świętokrzyskie"/>
    <s v="wieś"/>
    <n v="73"/>
    <x v="1"/>
    <n v="14"/>
    <n v="1973"/>
    <x v="1"/>
    <n v="14"/>
    <n v="19731014"/>
    <s v="14.10.1973"/>
  </r>
  <r>
    <s v="56111282482"/>
    <s v="łódzkie"/>
    <s v="miasto"/>
    <n v="56"/>
    <x v="9"/>
    <n v="12"/>
    <n v="1956"/>
    <x v="9"/>
    <n v="12"/>
    <n v="19561112"/>
    <s v="12.11.1956"/>
  </r>
  <r>
    <s v="83032688282"/>
    <s v="lubuskie"/>
    <s v="wieś"/>
    <n v="83"/>
    <x v="11"/>
    <n v="26"/>
    <n v="1983"/>
    <x v="11"/>
    <n v="26"/>
    <n v="19830326"/>
    <s v="26.03.1983"/>
  </r>
  <r>
    <s v="88051092544"/>
    <s v="małopolskie"/>
    <s v="wieś"/>
    <n v="88"/>
    <x v="4"/>
    <n v="10"/>
    <n v="1988"/>
    <x v="4"/>
    <n v="10"/>
    <n v="19880510"/>
    <s v="10.05.1988"/>
  </r>
  <r>
    <s v="50012665757"/>
    <s v="podlaskie"/>
    <s v="wieś"/>
    <n v="50"/>
    <x v="8"/>
    <n v="26"/>
    <n v="1950"/>
    <x v="8"/>
    <n v="26"/>
    <n v="19500126"/>
    <s v="26.01.1950"/>
  </r>
  <r>
    <s v="96040206342"/>
    <s v="małopolskie"/>
    <s v="miasto"/>
    <n v="96"/>
    <x v="2"/>
    <n v="2"/>
    <n v="1996"/>
    <x v="2"/>
    <n v="2"/>
    <n v="19960402"/>
    <s v="02.04.1996"/>
  </r>
  <r>
    <s v="91041069954"/>
    <s v="świętokrzyskie"/>
    <s v="wieś"/>
    <n v="91"/>
    <x v="2"/>
    <n v="10"/>
    <n v="1991"/>
    <x v="2"/>
    <n v="10"/>
    <n v="19910410"/>
    <s v="10.04.1991"/>
  </r>
  <r>
    <s v="75061743946"/>
    <s v="podlaskie"/>
    <s v="miasto"/>
    <n v="75"/>
    <x v="7"/>
    <n v="17"/>
    <n v="1975"/>
    <x v="7"/>
    <n v="17"/>
    <n v="19750617"/>
    <s v="17.06.1975"/>
  </r>
  <r>
    <s v="52020449840"/>
    <s v="lubuskie"/>
    <s v="wieś"/>
    <n v="52"/>
    <x v="10"/>
    <n v="4"/>
    <n v="1952"/>
    <x v="10"/>
    <n v="4"/>
    <n v="19520204"/>
    <s v="04.02.1952"/>
  </r>
  <r>
    <s v="94021767981"/>
    <s v="podkarpackie"/>
    <s v="wieś"/>
    <n v="94"/>
    <x v="10"/>
    <n v="17"/>
    <n v="1994"/>
    <x v="10"/>
    <n v="17"/>
    <n v="19940217"/>
    <s v="17.02.1994"/>
  </r>
  <r>
    <s v="54061438140"/>
    <s v="lubuskie"/>
    <s v="miasto"/>
    <n v="54"/>
    <x v="7"/>
    <n v="14"/>
    <n v="1954"/>
    <x v="7"/>
    <n v="14"/>
    <n v="19540614"/>
    <s v="14.06.1954"/>
  </r>
  <r>
    <s v="60012636109"/>
    <s v="małopolskie"/>
    <s v="miasto"/>
    <n v="60"/>
    <x v="8"/>
    <n v="26"/>
    <n v="1960"/>
    <x v="8"/>
    <n v="26"/>
    <n v="19600126"/>
    <s v="26.01.1960"/>
  </r>
  <r>
    <s v="64031328634"/>
    <s v="podlaskie"/>
    <s v="miasto"/>
    <n v="64"/>
    <x v="11"/>
    <n v="13"/>
    <n v="1964"/>
    <x v="11"/>
    <n v="13"/>
    <n v="19640313"/>
    <s v="13.03.1964"/>
  </r>
  <r>
    <s v="76032562353"/>
    <s v="dolnośląskie"/>
    <s v="miasto"/>
    <n v="76"/>
    <x v="11"/>
    <n v="25"/>
    <n v="1976"/>
    <x v="11"/>
    <n v="25"/>
    <n v="19760325"/>
    <s v="25.03.1976"/>
  </r>
  <r>
    <s v="94042289916"/>
    <s v="śląskie"/>
    <s v="wieś"/>
    <n v="94"/>
    <x v="2"/>
    <n v="22"/>
    <n v="1994"/>
    <x v="2"/>
    <n v="22"/>
    <n v="19940422"/>
    <s v="22.04.1994"/>
  </r>
  <r>
    <s v="72011235869"/>
    <s v="wielkopolskie"/>
    <s v="miasto"/>
    <n v="72"/>
    <x v="8"/>
    <n v="12"/>
    <n v="1972"/>
    <x v="8"/>
    <n v="12"/>
    <n v="19720112"/>
    <s v="12.01.1972"/>
  </r>
  <r>
    <s v="55101622897"/>
    <s v="warmińsko-mazurskie"/>
    <s v="miasto"/>
    <n v="55"/>
    <x v="1"/>
    <n v="16"/>
    <n v="1955"/>
    <x v="1"/>
    <n v="16"/>
    <n v="19551016"/>
    <s v="16.10.1955"/>
  </r>
  <r>
    <s v="63061591096"/>
    <s v="pomorskie"/>
    <s v="miasto"/>
    <n v="63"/>
    <x v="7"/>
    <n v="15"/>
    <n v="1963"/>
    <x v="7"/>
    <n v="15"/>
    <n v="19630615"/>
    <s v="15.06.1963"/>
  </r>
  <r>
    <s v="66092086287"/>
    <s v="podkarpackie"/>
    <s v="miasto"/>
    <n v="66"/>
    <x v="5"/>
    <n v="20"/>
    <n v="1966"/>
    <x v="5"/>
    <n v="20"/>
    <n v="19660920"/>
    <s v="20.09.1966"/>
  </r>
  <r>
    <s v="79120351848"/>
    <s v="podkarpackie"/>
    <s v="miasto"/>
    <n v="79"/>
    <x v="6"/>
    <n v="3"/>
    <n v="1979"/>
    <x v="6"/>
    <n v="3"/>
    <n v="19791203"/>
    <s v="03.12.1979"/>
  </r>
  <r>
    <s v="75032029066"/>
    <s v="opolskie"/>
    <s v="miasto"/>
    <n v="75"/>
    <x v="11"/>
    <n v="20"/>
    <n v="1975"/>
    <x v="11"/>
    <n v="20"/>
    <n v="19750320"/>
    <s v="20.03.1975"/>
  </r>
  <r>
    <s v="64120631351"/>
    <s v="opolskie"/>
    <s v="wieś"/>
    <n v="64"/>
    <x v="6"/>
    <n v="6"/>
    <n v="1964"/>
    <x v="6"/>
    <n v="6"/>
    <n v="19641206"/>
    <s v="06.12.1964"/>
  </r>
  <r>
    <s v="73072842436"/>
    <s v="małopolskie"/>
    <s v="miasto"/>
    <n v="73"/>
    <x v="0"/>
    <n v="28"/>
    <n v="1973"/>
    <x v="0"/>
    <n v="28"/>
    <n v="19730728"/>
    <s v="28.07.1973"/>
  </r>
  <r>
    <s v="81032163367"/>
    <s v="opolskie"/>
    <s v="miasto"/>
    <n v="81"/>
    <x v="11"/>
    <n v="21"/>
    <n v="1981"/>
    <x v="11"/>
    <n v="21"/>
    <n v="19810321"/>
    <s v="21.03.1981"/>
  </r>
  <r>
    <s v="99120273519"/>
    <s v="kujawsko-pomorskie"/>
    <s v="wieś"/>
    <n v="99"/>
    <x v="6"/>
    <n v="2"/>
    <n v="1999"/>
    <x v="6"/>
    <n v="2"/>
    <n v="19991202"/>
    <s v="02.12.1999"/>
  </r>
  <r>
    <s v="57040596570"/>
    <s v="świętokrzyskie"/>
    <s v="miasto"/>
    <n v="57"/>
    <x v="2"/>
    <n v="5"/>
    <n v="1957"/>
    <x v="2"/>
    <n v="5"/>
    <n v="19570405"/>
    <s v="05.04.1957"/>
  </r>
  <r>
    <s v="99051386795"/>
    <s v="podlaskie"/>
    <s v="miasto"/>
    <n v="99"/>
    <x v="4"/>
    <n v="13"/>
    <n v="1999"/>
    <x v="4"/>
    <n v="13"/>
    <n v="19990513"/>
    <s v="13.05.1999"/>
  </r>
  <r>
    <s v="73031813176"/>
    <s v="śląskie"/>
    <s v="wieś"/>
    <n v="73"/>
    <x v="11"/>
    <n v="18"/>
    <n v="1973"/>
    <x v="11"/>
    <n v="18"/>
    <n v="19730318"/>
    <s v="18.03.1973"/>
  </r>
  <r>
    <s v="86061566312"/>
    <s v="pomorskie"/>
    <s v="miasto"/>
    <n v="86"/>
    <x v="7"/>
    <n v="15"/>
    <n v="1986"/>
    <x v="7"/>
    <n v="15"/>
    <n v="19860615"/>
    <s v="15.06.1986"/>
  </r>
  <r>
    <s v="53090698026"/>
    <s v="śląskie"/>
    <s v="wieś"/>
    <n v="53"/>
    <x v="5"/>
    <n v="6"/>
    <n v="1953"/>
    <x v="5"/>
    <n v="6"/>
    <n v="19530906"/>
    <s v="06.09.1953"/>
  </r>
  <r>
    <s v="75021357613"/>
    <s v="zachodniopomorskie"/>
    <s v="wieś"/>
    <n v="75"/>
    <x v="10"/>
    <n v="13"/>
    <n v="1975"/>
    <x v="10"/>
    <n v="13"/>
    <n v="19750213"/>
    <s v="13.02.1975"/>
  </r>
  <r>
    <s v="72123107126"/>
    <s v="pomorskie"/>
    <s v="miasto"/>
    <n v="72"/>
    <x v="6"/>
    <n v="31"/>
    <n v="1972"/>
    <x v="6"/>
    <n v="31"/>
    <n v="19721231"/>
    <s v="31.12.1972"/>
  </r>
  <r>
    <s v="79070698840"/>
    <s v="podkarpackie"/>
    <s v="miasto"/>
    <n v="79"/>
    <x v="0"/>
    <n v="6"/>
    <n v="1979"/>
    <x v="0"/>
    <n v="6"/>
    <n v="19790706"/>
    <s v="06.07.1979"/>
  </r>
  <r>
    <s v="99121640071"/>
    <s v="mazowieckie"/>
    <s v="miasto"/>
    <n v="99"/>
    <x v="6"/>
    <n v="16"/>
    <n v="1999"/>
    <x v="6"/>
    <n v="16"/>
    <n v="19991216"/>
    <s v="16.12.1999"/>
  </r>
  <r>
    <s v="62040855749"/>
    <s v="świętokrzyskie"/>
    <s v="wieś"/>
    <n v="62"/>
    <x v="2"/>
    <n v="8"/>
    <n v="1962"/>
    <x v="2"/>
    <n v="8"/>
    <n v="19620408"/>
    <s v="08.04.1962"/>
  </r>
  <r>
    <s v="77050752195"/>
    <s v="podlaskie"/>
    <s v="miasto"/>
    <n v="77"/>
    <x v="4"/>
    <n v="7"/>
    <n v="1977"/>
    <x v="4"/>
    <n v="7"/>
    <n v="19770507"/>
    <s v="07.05.1977"/>
  </r>
  <r>
    <s v="61011848526"/>
    <s v="lubelskie"/>
    <s v="miasto"/>
    <n v="61"/>
    <x v="8"/>
    <n v="18"/>
    <n v="1961"/>
    <x v="8"/>
    <n v="18"/>
    <n v="19610118"/>
    <s v="18.01.1961"/>
  </r>
  <r>
    <s v="67090716369"/>
    <s v="lubelskie"/>
    <s v="wieś"/>
    <n v="67"/>
    <x v="5"/>
    <n v="7"/>
    <n v="1967"/>
    <x v="5"/>
    <n v="7"/>
    <n v="19670907"/>
    <s v="07.09.1967"/>
  </r>
  <r>
    <s v="69121808746"/>
    <s v="łódzkie"/>
    <s v="wieś"/>
    <n v="69"/>
    <x v="6"/>
    <n v="18"/>
    <n v="1969"/>
    <x v="6"/>
    <n v="18"/>
    <n v="19691218"/>
    <s v="18.12.1969"/>
  </r>
  <r>
    <s v="95022144672"/>
    <s v="śląskie"/>
    <s v="miasto"/>
    <n v="95"/>
    <x v="10"/>
    <n v="21"/>
    <n v="1995"/>
    <x v="10"/>
    <n v="21"/>
    <n v="19950221"/>
    <s v="21.02.1995"/>
  </r>
  <r>
    <s v="50122386122"/>
    <s v="lubelskie"/>
    <s v="miasto"/>
    <n v="50"/>
    <x v="6"/>
    <n v="23"/>
    <n v="1950"/>
    <x v="6"/>
    <n v="23"/>
    <n v="19501223"/>
    <s v="23.12.1950"/>
  </r>
  <r>
    <s v="64040818515"/>
    <s v="dolnośląskie"/>
    <s v="wieś"/>
    <n v="64"/>
    <x v="2"/>
    <n v="8"/>
    <n v="1964"/>
    <x v="2"/>
    <n v="8"/>
    <n v="19640408"/>
    <s v="08.04.1964"/>
  </r>
  <r>
    <s v="74110420436"/>
    <s v="kujawsko-pomorskie"/>
    <s v="wieś"/>
    <n v="74"/>
    <x v="9"/>
    <n v="4"/>
    <n v="1974"/>
    <x v="9"/>
    <n v="4"/>
    <n v="19741104"/>
    <s v="04.11.1974"/>
  </r>
  <r>
    <s v="95070175648"/>
    <s v="podlaskie"/>
    <s v="wieś"/>
    <n v="95"/>
    <x v="0"/>
    <n v="1"/>
    <n v="1995"/>
    <x v="0"/>
    <n v="1"/>
    <n v="19950701"/>
    <s v="01.07.1995"/>
  </r>
  <r>
    <s v="51040710541"/>
    <s v="świętokrzyskie"/>
    <s v="miasto"/>
    <n v="51"/>
    <x v="2"/>
    <n v="7"/>
    <n v="1951"/>
    <x v="2"/>
    <n v="7"/>
    <n v="19510407"/>
    <s v="07.04.1951"/>
  </r>
  <r>
    <s v="68050307393"/>
    <s v="mazowieckie"/>
    <s v="wieś"/>
    <n v="68"/>
    <x v="4"/>
    <n v="3"/>
    <n v="1968"/>
    <x v="4"/>
    <n v="3"/>
    <n v="19680503"/>
    <s v="03.05.1968"/>
  </r>
  <r>
    <s v="78012414409"/>
    <s v="podlaskie"/>
    <s v="wieś"/>
    <n v="78"/>
    <x v="8"/>
    <n v="24"/>
    <n v="1978"/>
    <x v="8"/>
    <n v="24"/>
    <n v="19780124"/>
    <s v="24.01.1978"/>
  </r>
  <r>
    <s v="85080239649"/>
    <s v="kujawsko-pomorskie"/>
    <s v="wieś"/>
    <n v="85"/>
    <x v="3"/>
    <n v="2"/>
    <n v="1985"/>
    <x v="3"/>
    <n v="2"/>
    <n v="19850802"/>
    <s v="02.08.1985"/>
  </r>
  <r>
    <s v="80111845565"/>
    <s v="zachodniopomorskie"/>
    <s v="wieś"/>
    <n v="80"/>
    <x v="9"/>
    <n v="18"/>
    <n v="1980"/>
    <x v="9"/>
    <n v="18"/>
    <n v="19801118"/>
    <s v="18.11.1980"/>
  </r>
  <r>
    <s v="64060295028"/>
    <s v="opolskie"/>
    <s v="wieś"/>
    <n v="64"/>
    <x v="7"/>
    <n v="2"/>
    <n v="1964"/>
    <x v="7"/>
    <n v="2"/>
    <n v="19640602"/>
    <s v="02.06.1964"/>
  </r>
  <r>
    <s v="66112444217"/>
    <s v="małopolskie"/>
    <s v="miasto"/>
    <n v="66"/>
    <x v="9"/>
    <n v="24"/>
    <n v="1966"/>
    <x v="9"/>
    <n v="24"/>
    <n v="19661124"/>
    <s v="24.11.1966"/>
  </r>
  <r>
    <s v="95010531354"/>
    <s v="śląskie"/>
    <s v="miasto"/>
    <n v="95"/>
    <x v="8"/>
    <n v="5"/>
    <n v="1995"/>
    <x v="8"/>
    <n v="5"/>
    <n v="19950105"/>
    <s v="05.01.1995"/>
  </r>
  <r>
    <s v="66091626497"/>
    <s v="lubuskie"/>
    <s v="miasto"/>
    <n v="66"/>
    <x v="5"/>
    <n v="16"/>
    <n v="1966"/>
    <x v="5"/>
    <n v="16"/>
    <n v="19660916"/>
    <s v="16.09.1966"/>
  </r>
  <r>
    <s v="60101353265"/>
    <s v="warmińsko-mazurskie"/>
    <s v="wieś"/>
    <n v="60"/>
    <x v="1"/>
    <n v="13"/>
    <n v="1960"/>
    <x v="1"/>
    <n v="13"/>
    <n v="19601013"/>
    <s v="13.10.1960"/>
  </r>
  <r>
    <s v="73112234065"/>
    <s v="warmińsko-mazurskie"/>
    <s v="wieś"/>
    <n v="73"/>
    <x v="9"/>
    <n v="22"/>
    <n v="1973"/>
    <x v="9"/>
    <n v="22"/>
    <n v="19731122"/>
    <s v="22.11.1973"/>
  </r>
  <r>
    <s v="77100455058"/>
    <s v="świętokrzyskie"/>
    <s v="miasto"/>
    <n v="77"/>
    <x v="1"/>
    <n v="4"/>
    <n v="1977"/>
    <x v="1"/>
    <n v="4"/>
    <n v="19771004"/>
    <s v="04.10.1977"/>
  </r>
  <r>
    <s v="98091693687"/>
    <s v="małopolskie"/>
    <s v="miasto"/>
    <n v="98"/>
    <x v="5"/>
    <n v="16"/>
    <n v="1998"/>
    <x v="5"/>
    <n v="16"/>
    <n v="19980916"/>
    <s v="16.09.1998"/>
  </r>
  <r>
    <s v="67091449031"/>
    <s v="wielkopolskie"/>
    <s v="miasto"/>
    <n v="67"/>
    <x v="5"/>
    <n v="14"/>
    <n v="1967"/>
    <x v="5"/>
    <n v="14"/>
    <n v="19670914"/>
    <s v="14.09.1967"/>
  </r>
  <r>
    <s v="75052421464"/>
    <s v="pomorskie"/>
    <s v="miasto"/>
    <n v="75"/>
    <x v="4"/>
    <n v="24"/>
    <n v="1975"/>
    <x v="4"/>
    <n v="24"/>
    <n v="19750524"/>
    <s v="24.05.1975"/>
  </r>
  <r>
    <s v="93042060965"/>
    <s v="kujawsko-pomorskie"/>
    <s v="wieś"/>
    <n v="93"/>
    <x v="2"/>
    <n v="20"/>
    <n v="1993"/>
    <x v="2"/>
    <n v="20"/>
    <n v="19930420"/>
    <s v="20.04.1993"/>
  </r>
  <r>
    <s v="58011437395"/>
    <s v="dolnośląskie"/>
    <s v="miasto"/>
    <n v="58"/>
    <x v="8"/>
    <n v="14"/>
    <n v="1958"/>
    <x v="8"/>
    <n v="14"/>
    <n v="19580114"/>
    <s v="14.01.1958"/>
  </r>
  <r>
    <s v="61010924043"/>
    <s v="opolskie"/>
    <s v="wieś"/>
    <n v="61"/>
    <x v="8"/>
    <n v="9"/>
    <n v="1961"/>
    <x v="8"/>
    <n v="9"/>
    <n v="19610109"/>
    <s v="09.01.1961"/>
  </r>
  <r>
    <s v="59020116778"/>
    <s v="dolnośląskie"/>
    <s v="wieś"/>
    <n v="59"/>
    <x v="10"/>
    <n v="1"/>
    <n v="1959"/>
    <x v="10"/>
    <n v="1"/>
    <n v="19590201"/>
    <s v="01.02.1959"/>
  </r>
  <r>
    <s v="85012006521"/>
    <s v="lubelskie"/>
    <s v="miasto"/>
    <n v="85"/>
    <x v="8"/>
    <n v="20"/>
    <n v="1985"/>
    <x v="8"/>
    <n v="20"/>
    <n v="19850120"/>
    <s v="20.01.1985"/>
  </r>
  <r>
    <s v="89021336354"/>
    <s v="podlaskie"/>
    <s v="miasto"/>
    <n v="89"/>
    <x v="10"/>
    <n v="13"/>
    <n v="1989"/>
    <x v="10"/>
    <n v="13"/>
    <n v="19890213"/>
    <s v="13.02.1989"/>
  </r>
  <r>
    <s v="65092409201"/>
    <s v="podkarpackie"/>
    <s v="wieś"/>
    <n v="65"/>
    <x v="5"/>
    <n v="24"/>
    <n v="1965"/>
    <x v="5"/>
    <n v="24"/>
    <n v="19650924"/>
    <s v="24.09.1965"/>
  </r>
  <r>
    <s v="69072352000"/>
    <s v="warmińsko-mazurskie"/>
    <s v="miasto"/>
    <n v="69"/>
    <x v="0"/>
    <n v="23"/>
    <n v="1969"/>
    <x v="0"/>
    <n v="23"/>
    <n v="19690723"/>
    <s v="23.07.1969"/>
  </r>
  <r>
    <s v="80101429434"/>
    <s v="małopolskie"/>
    <s v="wieś"/>
    <n v="80"/>
    <x v="1"/>
    <n v="14"/>
    <n v="1980"/>
    <x v="1"/>
    <n v="14"/>
    <n v="19801014"/>
    <s v="14.10.1980"/>
  </r>
  <r>
    <s v="74041163095"/>
    <s v="kujawsko-pomorskie"/>
    <s v="miasto"/>
    <n v="74"/>
    <x v="2"/>
    <n v="11"/>
    <n v="1974"/>
    <x v="2"/>
    <n v="11"/>
    <n v="19740411"/>
    <s v="11.04.1974"/>
  </r>
  <r>
    <s v="95030310836"/>
    <s v="śląskie"/>
    <s v="miasto"/>
    <n v="95"/>
    <x v="11"/>
    <n v="3"/>
    <n v="1995"/>
    <x v="11"/>
    <n v="3"/>
    <n v="19950303"/>
    <s v="03.03.1995"/>
  </r>
  <r>
    <s v="84083110241"/>
    <s v="małopolskie"/>
    <s v="miasto"/>
    <n v="84"/>
    <x v="3"/>
    <n v="31"/>
    <n v="1984"/>
    <x v="3"/>
    <n v="31"/>
    <n v="19840831"/>
    <s v="31.08.1984"/>
  </r>
  <r>
    <s v="81082753187"/>
    <s v="dolnośląskie"/>
    <s v="miasto"/>
    <n v="81"/>
    <x v="3"/>
    <n v="27"/>
    <n v="1981"/>
    <x v="3"/>
    <n v="27"/>
    <n v="19810827"/>
    <s v="27.08.1981"/>
  </r>
  <r>
    <s v="64061448050"/>
    <s v="wielkopolskie"/>
    <s v="miasto"/>
    <n v="64"/>
    <x v="7"/>
    <n v="14"/>
    <n v="1964"/>
    <x v="7"/>
    <n v="14"/>
    <n v="19640614"/>
    <s v="14.06.1964"/>
  </r>
  <r>
    <s v="96091382992"/>
    <s v="śląskie"/>
    <s v="miasto"/>
    <n v="96"/>
    <x v="5"/>
    <n v="13"/>
    <n v="1996"/>
    <x v="5"/>
    <n v="13"/>
    <n v="19960913"/>
    <s v="13.09.1996"/>
  </r>
  <r>
    <s v="84041663297"/>
    <s v="mazowieckie"/>
    <s v="miasto"/>
    <n v="84"/>
    <x v="2"/>
    <n v="16"/>
    <n v="1984"/>
    <x v="2"/>
    <n v="16"/>
    <n v="19840416"/>
    <s v="16.04.1984"/>
  </r>
  <r>
    <s v="94113074555"/>
    <s v="podkarpackie"/>
    <s v="miasto"/>
    <n v="94"/>
    <x v="9"/>
    <n v="30"/>
    <n v="1994"/>
    <x v="9"/>
    <n v="30"/>
    <n v="19941130"/>
    <s v="30.11.1994"/>
  </r>
  <r>
    <s v="53100155150"/>
    <s v="podkarpackie"/>
    <s v="wieś"/>
    <n v="53"/>
    <x v="1"/>
    <n v="1"/>
    <n v="1953"/>
    <x v="1"/>
    <n v="1"/>
    <n v="19531001"/>
    <s v="01.10.1953"/>
  </r>
  <r>
    <s v="81102995678"/>
    <s v="podkarpackie"/>
    <s v="wieś"/>
    <n v="81"/>
    <x v="1"/>
    <n v="29"/>
    <n v="1981"/>
    <x v="1"/>
    <n v="29"/>
    <n v="19811029"/>
    <s v="29.10.1981"/>
  </r>
  <r>
    <s v="91020385192"/>
    <s v="kujawsko-pomorskie"/>
    <s v="miasto"/>
    <n v="91"/>
    <x v="10"/>
    <n v="3"/>
    <n v="1991"/>
    <x v="10"/>
    <n v="3"/>
    <n v="19910203"/>
    <s v="03.02.1991"/>
  </r>
  <r>
    <s v="86012915370"/>
    <s v="wielkopolskie"/>
    <s v="wieś"/>
    <n v="86"/>
    <x v="8"/>
    <n v="29"/>
    <n v="1986"/>
    <x v="8"/>
    <n v="29"/>
    <n v="19860129"/>
    <s v="29.01.1986"/>
  </r>
  <r>
    <s v="95011238564"/>
    <s v="lubelskie"/>
    <s v="miasto"/>
    <n v="95"/>
    <x v="8"/>
    <n v="12"/>
    <n v="1995"/>
    <x v="8"/>
    <n v="12"/>
    <n v="19950112"/>
    <s v="12.01.1995"/>
  </r>
  <r>
    <s v="63060590812"/>
    <s v="łódzkie"/>
    <s v="wieś"/>
    <n v="63"/>
    <x v="7"/>
    <n v="5"/>
    <n v="1963"/>
    <x v="7"/>
    <n v="5"/>
    <n v="19630605"/>
    <s v="05.06.1963"/>
  </r>
  <r>
    <s v="73052262582"/>
    <s v="mazowieckie"/>
    <s v="wieś"/>
    <n v="73"/>
    <x v="4"/>
    <n v="22"/>
    <n v="1973"/>
    <x v="4"/>
    <n v="22"/>
    <n v="19730522"/>
    <s v="22.05.1973"/>
  </r>
  <r>
    <s v="57022439574"/>
    <s v="lubuskie"/>
    <s v="wieś"/>
    <n v="57"/>
    <x v="10"/>
    <n v="24"/>
    <n v="1957"/>
    <x v="10"/>
    <n v="24"/>
    <n v="19570224"/>
    <s v="24.02.1957"/>
  </r>
  <r>
    <s v="50091782701"/>
    <s v="kujawsko-pomorskie"/>
    <s v="miasto"/>
    <n v="50"/>
    <x v="5"/>
    <n v="17"/>
    <n v="1950"/>
    <x v="5"/>
    <n v="17"/>
    <n v="19500917"/>
    <s v="17.09.1950"/>
  </r>
  <r>
    <s v="68052065082"/>
    <s v="kujawsko-pomorskie"/>
    <s v="wieś"/>
    <n v="68"/>
    <x v="4"/>
    <n v="20"/>
    <n v="1968"/>
    <x v="4"/>
    <n v="20"/>
    <n v="19680520"/>
    <s v="20.05.1968"/>
  </r>
  <r>
    <s v="84061020261"/>
    <s v="podkarpackie"/>
    <s v="wieś"/>
    <n v="84"/>
    <x v="7"/>
    <n v="10"/>
    <n v="1984"/>
    <x v="7"/>
    <n v="10"/>
    <n v="19840610"/>
    <s v="10.06.1984"/>
  </r>
  <r>
    <s v="77040155423"/>
    <s v="opolskie"/>
    <s v="miasto"/>
    <n v="77"/>
    <x v="2"/>
    <n v="1"/>
    <n v="1977"/>
    <x v="2"/>
    <n v="1"/>
    <n v="19770401"/>
    <s v="01.04.1977"/>
  </r>
  <r>
    <s v="84091296111"/>
    <s v="lubelskie"/>
    <s v="miasto"/>
    <n v="84"/>
    <x v="5"/>
    <n v="12"/>
    <n v="1984"/>
    <x v="5"/>
    <n v="12"/>
    <n v="19840912"/>
    <s v="12.09.1984"/>
  </r>
  <r>
    <s v="55022627630"/>
    <s v="łódzkie"/>
    <s v="miasto"/>
    <n v="55"/>
    <x v="10"/>
    <n v="26"/>
    <n v="1955"/>
    <x v="10"/>
    <n v="26"/>
    <n v="19550226"/>
    <s v="26.02.1955"/>
  </r>
  <r>
    <s v="69082217922"/>
    <s v="opolskie"/>
    <s v="miasto"/>
    <n v="69"/>
    <x v="3"/>
    <n v="22"/>
    <n v="1969"/>
    <x v="3"/>
    <n v="22"/>
    <n v="19690822"/>
    <s v="22.08.1969"/>
  </r>
  <r>
    <s v="99022773687"/>
    <s v="śląskie"/>
    <s v="miasto"/>
    <n v="99"/>
    <x v="10"/>
    <n v="27"/>
    <n v="1999"/>
    <x v="10"/>
    <n v="27"/>
    <n v="19990227"/>
    <s v="27.02.1999"/>
  </r>
  <r>
    <s v="97082737087"/>
    <s v="łódzkie"/>
    <s v="miasto"/>
    <n v="97"/>
    <x v="3"/>
    <n v="27"/>
    <n v="1997"/>
    <x v="3"/>
    <n v="27"/>
    <n v="19970827"/>
    <s v="27.08.1997"/>
  </r>
  <r>
    <s v="54010610047"/>
    <s v="śląskie"/>
    <s v="miasto"/>
    <n v="54"/>
    <x v="8"/>
    <n v="6"/>
    <n v="1954"/>
    <x v="8"/>
    <n v="6"/>
    <n v="19540106"/>
    <s v="06.01.1954"/>
  </r>
  <r>
    <s v="91020578578"/>
    <s v="opolskie"/>
    <s v="miasto"/>
    <n v="91"/>
    <x v="10"/>
    <n v="5"/>
    <n v="1991"/>
    <x v="10"/>
    <n v="5"/>
    <n v="19910205"/>
    <s v="05.02.1991"/>
  </r>
  <r>
    <s v="70012817695"/>
    <s v="łódzkie"/>
    <s v="wieś"/>
    <n v="70"/>
    <x v="8"/>
    <n v="28"/>
    <n v="1970"/>
    <x v="8"/>
    <n v="28"/>
    <n v="19700128"/>
    <s v="28.01.1970"/>
  </r>
  <r>
    <s v="70122997690"/>
    <s v="warmińsko-mazurskie"/>
    <s v="wieś"/>
    <n v="70"/>
    <x v="6"/>
    <n v="29"/>
    <n v="1970"/>
    <x v="6"/>
    <n v="29"/>
    <n v="19701229"/>
    <s v="29.12.1970"/>
  </r>
  <r>
    <s v="78102548326"/>
    <s v="lubuskie"/>
    <s v="miasto"/>
    <n v="78"/>
    <x v="1"/>
    <n v="25"/>
    <n v="1978"/>
    <x v="1"/>
    <n v="25"/>
    <n v="19781025"/>
    <s v="25.10.1978"/>
  </r>
  <r>
    <s v="97060505297"/>
    <s v="kujawsko-pomorskie"/>
    <s v="miasto"/>
    <n v="97"/>
    <x v="7"/>
    <n v="5"/>
    <n v="1997"/>
    <x v="7"/>
    <n v="5"/>
    <n v="19970605"/>
    <s v="05.06.1997"/>
  </r>
  <r>
    <s v="84122479674"/>
    <s v="małopolskie"/>
    <s v="miasto"/>
    <n v="84"/>
    <x v="6"/>
    <n v="24"/>
    <n v="1984"/>
    <x v="6"/>
    <n v="24"/>
    <n v="19841224"/>
    <s v="24.12.1984"/>
  </r>
  <r>
    <s v="98051749735"/>
    <s v="lubelskie"/>
    <s v="wieś"/>
    <n v="98"/>
    <x v="4"/>
    <n v="17"/>
    <n v="1998"/>
    <x v="4"/>
    <n v="17"/>
    <n v="19980517"/>
    <s v="17.05.1998"/>
  </r>
  <r>
    <s v="11072711776"/>
    <s v="opolskie"/>
    <s v="miasto"/>
    <n v="11"/>
    <x v="0"/>
    <n v="27"/>
    <n v="1911"/>
    <x v="0"/>
    <n v="27"/>
    <n v="19110727"/>
    <s v="27.07.1911"/>
  </r>
  <r>
    <s v="05251729665"/>
    <s v="kujawsko-pomorskie"/>
    <s v="miasto"/>
    <n v="5"/>
    <x v="12"/>
    <n v="17"/>
    <n v="2005"/>
    <x v="4"/>
    <n v="17"/>
    <n v="20052517"/>
    <s v="17.25.2005"/>
  </r>
  <r>
    <s v="03252361185"/>
    <s v="warmińsko-mazurskie"/>
    <s v="miasto"/>
    <n v="3"/>
    <x v="12"/>
    <n v="23"/>
    <n v="2003"/>
    <x v="4"/>
    <n v="23"/>
    <n v="20032523"/>
    <s v="23.25.2003"/>
  </r>
  <r>
    <s v="07282315604"/>
    <s v="mazowieckie"/>
    <s v="wieś"/>
    <n v="7"/>
    <x v="13"/>
    <n v="23"/>
    <n v="2007"/>
    <x v="3"/>
    <n v="23"/>
    <n v="20072823"/>
    <s v="23.28.2007"/>
  </r>
  <r>
    <s v="03241701451"/>
    <s v="wielkopolskie"/>
    <s v="miasto"/>
    <n v="3"/>
    <x v="14"/>
    <n v="17"/>
    <n v="2003"/>
    <x v="2"/>
    <n v="17"/>
    <n v="20032417"/>
    <s v="17.24.2003"/>
  </r>
  <r>
    <s v="03212680950"/>
    <s v="śląskie"/>
    <s v="miasto"/>
    <n v="3"/>
    <x v="15"/>
    <n v="26"/>
    <n v="2003"/>
    <x v="8"/>
    <n v="26"/>
    <n v="20032126"/>
    <s v="26.21.2003"/>
  </r>
  <r>
    <s v="08301978174"/>
    <s v="pomorskie"/>
    <s v="miasto"/>
    <n v="8"/>
    <x v="16"/>
    <n v="19"/>
    <n v="2008"/>
    <x v="1"/>
    <n v="19"/>
    <n v="20083019"/>
    <s v="19.30.2008"/>
  </r>
  <r>
    <s v="04291228949"/>
    <s v="wielkopolskie"/>
    <s v="miasto"/>
    <n v="4"/>
    <x v="17"/>
    <n v="12"/>
    <n v="2004"/>
    <x v="5"/>
    <n v="12"/>
    <n v="20042912"/>
    <s v="12.29.2004"/>
  </r>
  <r>
    <s v="20290586763"/>
    <s v="podlaskie"/>
    <s v="wieś"/>
    <n v="20"/>
    <x v="17"/>
    <n v="5"/>
    <n v="2020"/>
    <x v="5"/>
    <n v="5"/>
    <n v="20202905"/>
    <s v="05.29.2020"/>
  </r>
  <r>
    <s v="13302617719"/>
    <s v="podlaskie"/>
    <s v="miasto"/>
    <n v="13"/>
    <x v="16"/>
    <n v="26"/>
    <n v="2013"/>
    <x v="1"/>
    <n v="26"/>
    <n v="20133026"/>
    <s v="26.30.2013"/>
  </r>
  <r>
    <s v="09210404682"/>
    <s v="dolnośląskie"/>
    <s v="miasto"/>
    <n v="9"/>
    <x v="15"/>
    <n v="4"/>
    <n v="2009"/>
    <x v="8"/>
    <n v="4"/>
    <n v="20092104"/>
    <s v="04.21.2009"/>
  </r>
  <r>
    <s v="00211828297"/>
    <s v="dolnośląskie"/>
    <s v="wieś"/>
    <n v="0"/>
    <x v="15"/>
    <n v="18"/>
    <n v="2000"/>
    <x v="8"/>
    <n v="18"/>
    <n v="20002118"/>
    <s v="18.21.2000"/>
  </r>
  <r>
    <s v="02251268240"/>
    <s v="małopolskie"/>
    <s v="wieś"/>
    <n v="2"/>
    <x v="12"/>
    <n v="12"/>
    <n v="2002"/>
    <x v="4"/>
    <n v="12"/>
    <n v="20022512"/>
    <s v="12.25.2002"/>
  </r>
  <r>
    <s v="03231107164"/>
    <s v="dolnośląskie"/>
    <s v="wieś"/>
    <n v="3"/>
    <x v="18"/>
    <n v="11"/>
    <n v="2003"/>
    <x v="11"/>
    <n v="11"/>
    <n v="20032311"/>
    <s v="11.23.2003"/>
  </r>
  <r>
    <s v="04240363642"/>
    <s v="zachodniopomorskie"/>
    <s v="miasto"/>
    <n v="4"/>
    <x v="14"/>
    <n v="3"/>
    <n v="2004"/>
    <x v="2"/>
    <n v="3"/>
    <n v="20042403"/>
    <s v="03.24.2004"/>
  </r>
  <r>
    <s v="03291272002"/>
    <s v="pomorskie"/>
    <s v="wieś"/>
    <n v="3"/>
    <x v="17"/>
    <n v="12"/>
    <n v="2003"/>
    <x v="5"/>
    <n v="12"/>
    <n v="20032912"/>
    <s v="12.29.2003"/>
  </r>
  <r>
    <s v="22281507519"/>
    <s v="lubelskie"/>
    <s v="miasto"/>
    <n v="22"/>
    <x v="13"/>
    <n v="15"/>
    <n v="2022"/>
    <x v="3"/>
    <n v="15"/>
    <n v="20222815"/>
    <s v="15.28.2022"/>
  </r>
  <r>
    <s v="02262482800"/>
    <s v="wielkopolskie"/>
    <s v="miasto"/>
    <n v="2"/>
    <x v="19"/>
    <n v="24"/>
    <n v="2002"/>
    <x v="7"/>
    <n v="24"/>
    <n v="20022624"/>
    <s v="24.26.2002"/>
  </r>
  <r>
    <s v="08211004273"/>
    <s v="pomorskie"/>
    <s v="miasto"/>
    <n v="8"/>
    <x v="15"/>
    <n v="10"/>
    <n v="2008"/>
    <x v="8"/>
    <n v="10"/>
    <n v="20082110"/>
    <s v="10.21.2008"/>
  </r>
  <r>
    <s v="21210948180"/>
    <s v="mazowieckie"/>
    <s v="miasto"/>
    <n v="21"/>
    <x v="15"/>
    <n v="9"/>
    <n v="2021"/>
    <x v="8"/>
    <n v="9"/>
    <n v="20212109"/>
    <s v="09.21.2021"/>
  </r>
  <r>
    <s v="20240625971"/>
    <s v="opolskie"/>
    <s v="wieś"/>
    <n v="20"/>
    <x v="14"/>
    <n v="6"/>
    <n v="2020"/>
    <x v="2"/>
    <n v="6"/>
    <n v="20202406"/>
    <s v="06.24.2020"/>
  </r>
  <r>
    <s v="04302302640"/>
    <s v="kujawsko-pomorskie"/>
    <s v="wieś"/>
    <n v="4"/>
    <x v="16"/>
    <n v="23"/>
    <n v="2004"/>
    <x v="1"/>
    <n v="23"/>
    <n v="20043023"/>
    <s v="23.30.2004"/>
  </r>
  <r>
    <s v="21213196313"/>
    <s v="łódzkie"/>
    <s v="miasto"/>
    <n v="21"/>
    <x v="15"/>
    <n v="31"/>
    <n v="2021"/>
    <x v="8"/>
    <n v="31"/>
    <n v="20212131"/>
    <s v="31.21.2021"/>
  </r>
  <r>
    <s v="12221688202"/>
    <s v="świętokrzyskie"/>
    <s v="miasto"/>
    <n v="12"/>
    <x v="20"/>
    <n v="16"/>
    <n v="2012"/>
    <x v="10"/>
    <n v="16"/>
    <n v="20122216"/>
    <s v="16.22.2012"/>
  </r>
  <r>
    <s v="00292767397"/>
    <s v="opolskie"/>
    <s v="miasto"/>
    <n v="0"/>
    <x v="17"/>
    <n v="27"/>
    <n v="2000"/>
    <x v="5"/>
    <n v="27"/>
    <n v="20002927"/>
    <s v="27.29.2000"/>
  </r>
  <r>
    <s v="09280834761"/>
    <s v="podkarpackie"/>
    <s v="wieś"/>
    <n v="9"/>
    <x v="13"/>
    <n v="8"/>
    <n v="2009"/>
    <x v="3"/>
    <n v="8"/>
    <n v="20092808"/>
    <s v="08.28.2009"/>
  </r>
  <r>
    <s v="07230141800"/>
    <s v="warmińsko-mazurskie"/>
    <s v="wieś"/>
    <n v="7"/>
    <x v="18"/>
    <n v="1"/>
    <n v="2007"/>
    <x v="11"/>
    <n v="1"/>
    <n v="20072301"/>
    <s v="01.23.2007"/>
  </r>
  <r>
    <s v="13242783936"/>
    <s v="warmińsko-mazurskie"/>
    <s v="miasto"/>
    <n v="13"/>
    <x v="14"/>
    <n v="27"/>
    <n v="2013"/>
    <x v="2"/>
    <n v="27"/>
    <n v="20132427"/>
    <s v="27.24.2013"/>
  </r>
  <r>
    <s v="19301615406"/>
    <s v="mazowieckie"/>
    <s v="miasto"/>
    <n v="19"/>
    <x v="16"/>
    <n v="16"/>
    <n v="2019"/>
    <x v="1"/>
    <n v="16"/>
    <n v="20193016"/>
    <s v="16.30.2019"/>
  </r>
  <r>
    <s v="21322259118"/>
    <s v="zachodniopomorskie"/>
    <s v="wieś"/>
    <n v="21"/>
    <x v="21"/>
    <n v="22"/>
    <n v="2021"/>
    <x v="6"/>
    <n v="22"/>
    <n v="20213222"/>
    <s v="22.32.2021"/>
  </r>
  <r>
    <s v="22320106198"/>
    <s v="zachodniopomorskie"/>
    <s v="miasto"/>
    <n v="22"/>
    <x v="21"/>
    <n v="1"/>
    <n v="2022"/>
    <x v="6"/>
    <n v="1"/>
    <n v="20223201"/>
    <s v="01.32.2022"/>
  </r>
  <r>
    <s v="03231838149"/>
    <s v="podkarpackie"/>
    <s v="wieś"/>
    <n v="3"/>
    <x v="18"/>
    <n v="18"/>
    <n v="2003"/>
    <x v="11"/>
    <n v="18"/>
    <n v="20032318"/>
    <s v="18.23.2003"/>
  </r>
  <r>
    <s v="16210190729"/>
    <s v="lubuskie"/>
    <s v="miasto"/>
    <n v="16"/>
    <x v="15"/>
    <n v="1"/>
    <n v="2016"/>
    <x v="8"/>
    <n v="1"/>
    <n v="20162101"/>
    <s v="01.21.2016"/>
  </r>
  <r>
    <s v="18321437030"/>
    <s v="pomorskie"/>
    <s v="miasto"/>
    <n v="18"/>
    <x v="21"/>
    <n v="14"/>
    <n v="2018"/>
    <x v="6"/>
    <n v="14"/>
    <n v="20183214"/>
    <s v="14.32.2018"/>
  </r>
  <r>
    <s v="16261642886"/>
    <s v="warmińsko-mazurskie"/>
    <s v="wieś"/>
    <n v="16"/>
    <x v="19"/>
    <n v="16"/>
    <n v="2016"/>
    <x v="7"/>
    <n v="16"/>
    <n v="20162616"/>
    <s v="16.26.2016"/>
  </r>
  <r>
    <s v="07270267124"/>
    <s v="mazowieckie"/>
    <s v="wieś"/>
    <n v="7"/>
    <x v="22"/>
    <n v="2"/>
    <n v="2007"/>
    <x v="0"/>
    <n v="2"/>
    <n v="20072702"/>
    <s v="02.27.2007"/>
  </r>
  <r>
    <s v="12230371272"/>
    <s v="dolnośląskie"/>
    <s v="miasto"/>
    <n v="12"/>
    <x v="18"/>
    <n v="3"/>
    <n v="2012"/>
    <x v="11"/>
    <n v="3"/>
    <n v="20122303"/>
    <s v="03.23.2012"/>
  </r>
  <r>
    <s v="19312291217"/>
    <s v="zachodniopomorskie"/>
    <s v="miasto"/>
    <n v="19"/>
    <x v="23"/>
    <n v="22"/>
    <n v="2019"/>
    <x v="9"/>
    <n v="22"/>
    <n v="20193122"/>
    <s v="22.31.2019"/>
  </r>
  <r>
    <s v="01300894454"/>
    <s v="łódzkie"/>
    <s v="miasto"/>
    <n v="1"/>
    <x v="16"/>
    <n v="8"/>
    <n v="2001"/>
    <x v="1"/>
    <n v="8"/>
    <n v="20013008"/>
    <s v="08.30.2001"/>
  </r>
  <r>
    <s v="19211127459"/>
    <s v="lubelskie"/>
    <s v="wieś"/>
    <n v="19"/>
    <x v="15"/>
    <n v="11"/>
    <n v="2019"/>
    <x v="8"/>
    <n v="11"/>
    <n v="20192111"/>
    <s v="11.21.2019"/>
  </r>
  <r>
    <s v="22242651466"/>
    <s v="wielkopolskie"/>
    <s v="wieś"/>
    <n v="22"/>
    <x v="14"/>
    <n v="26"/>
    <n v="2022"/>
    <x v="2"/>
    <n v="26"/>
    <n v="20222426"/>
    <s v="26.24.2022"/>
  </r>
  <r>
    <s v="22231156695"/>
    <s v="lubuskie"/>
    <s v="miasto"/>
    <n v="22"/>
    <x v="18"/>
    <n v="11"/>
    <n v="2022"/>
    <x v="11"/>
    <n v="11"/>
    <n v="20222311"/>
    <s v="11.23.2022"/>
  </r>
  <r>
    <s v="07262771994"/>
    <s v="dolnośląskie"/>
    <s v="wieś"/>
    <n v="7"/>
    <x v="19"/>
    <n v="27"/>
    <n v="2007"/>
    <x v="7"/>
    <n v="27"/>
    <n v="20072627"/>
    <s v="27.26.2007"/>
  </r>
  <r>
    <s v="10242164211"/>
    <s v="opolskie"/>
    <s v="miasto"/>
    <n v="10"/>
    <x v="14"/>
    <n v="21"/>
    <n v="2010"/>
    <x v="2"/>
    <n v="21"/>
    <n v="20102421"/>
    <s v="21.24.2010"/>
  </r>
  <r>
    <s v="05292216513"/>
    <s v="kujawsko-pomorskie"/>
    <s v="wieś"/>
    <n v="5"/>
    <x v="17"/>
    <n v="22"/>
    <n v="2005"/>
    <x v="5"/>
    <n v="22"/>
    <n v="20052922"/>
    <s v="22.29.2005"/>
  </r>
  <r>
    <s v="14282288777"/>
    <s v="lubuskie"/>
    <s v="wieś"/>
    <n v="14"/>
    <x v="13"/>
    <n v="22"/>
    <n v="2014"/>
    <x v="3"/>
    <n v="22"/>
    <n v="20142822"/>
    <s v="22.28.2014"/>
  </r>
  <r>
    <s v="18230257567"/>
    <s v="pomorskie"/>
    <s v="miasto"/>
    <n v="18"/>
    <x v="18"/>
    <n v="2"/>
    <n v="2018"/>
    <x v="11"/>
    <n v="2"/>
    <n v="20182302"/>
    <s v="02.23.2018"/>
  </r>
  <r>
    <s v="09310318685"/>
    <s v="zachodniopomorskie"/>
    <s v="miasto"/>
    <n v="9"/>
    <x v="23"/>
    <n v="3"/>
    <n v="2009"/>
    <x v="9"/>
    <n v="3"/>
    <n v="20093103"/>
    <s v="03.31.2009"/>
  </r>
  <r>
    <s v="14291341548"/>
    <s v="śląskie"/>
    <s v="wieś"/>
    <n v="14"/>
    <x v="17"/>
    <n v="13"/>
    <n v="2014"/>
    <x v="5"/>
    <n v="13"/>
    <n v="20142913"/>
    <s v="13.29.2014"/>
  </r>
  <r>
    <s v="05220871506"/>
    <s v="wielkopolskie"/>
    <s v="miasto"/>
    <n v="5"/>
    <x v="20"/>
    <n v="8"/>
    <n v="2005"/>
    <x v="10"/>
    <n v="8"/>
    <n v="20052208"/>
    <s v="08.22.2005"/>
  </r>
  <r>
    <s v="01291595985"/>
    <s v="podlaskie"/>
    <s v="miasto"/>
    <n v="1"/>
    <x v="17"/>
    <n v="15"/>
    <n v="2001"/>
    <x v="5"/>
    <n v="15"/>
    <n v="20012915"/>
    <s v="15.29.2001"/>
  </r>
  <r>
    <s v="03221082073"/>
    <s v="mazowieckie"/>
    <s v="wieś"/>
    <n v="3"/>
    <x v="20"/>
    <n v="10"/>
    <n v="2003"/>
    <x v="10"/>
    <n v="10"/>
    <n v="20032210"/>
    <s v="10.22.2003"/>
  </r>
  <r>
    <s v="13281615591"/>
    <s v="podlaskie"/>
    <s v="wieś"/>
    <n v="13"/>
    <x v="13"/>
    <n v="16"/>
    <n v="2013"/>
    <x v="3"/>
    <n v="16"/>
    <n v="20132816"/>
    <s v="16.28.2013"/>
  </r>
  <r>
    <s v="22260628520"/>
    <s v="łódzkie"/>
    <s v="miasto"/>
    <n v="22"/>
    <x v="19"/>
    <n v="6"/>
    <n v="2022"/>
    <x v="7"/>
    <n v="6"/>
    <n v="20222606"/>
    <s v="06.26.2022"/>
  </r>
  <r>
    <s v="16262990056"/>
    <s v="pomorskie"/>
    <s v="wieś"/>
    <n v="16"/>
    <x v="19"/>
    <n v="29"/>
    <n v="2016"/>
    <x v="7"/>
    <n v="29"/>
    <n v="20162629"/>
    <s v="29.26.2016"/>
  </r>
  <r>
    <s v="03262578326"/>
    <s v="świętokrzyskie"/>
    <s v="wieś"/>
    <n v="3"/>
    <x v="19"/>
    <n v="25"/>
    <n v="2003"/>
    <x v="7"/>
    <n v="25"/>
    <n v="20032625"/>
    <s v="25.26.2003"/>
  </r>
  <r>
    <s v="08261654831"/>
    <s v="kujawsko-pomorskie"/>
    <s v="miasto"/>
    <n v="8"/>
    <x v="19"/>
    <n v="16"/>
    <n v="2008"/>
    <x v="7"/>
    <n v="16"/>
    <n v="20082616"/>
    <s v="16.26.2008"/>
  </r>
  <r>
    <s v="07221636355"/>
    <s v="łódzkie"/>
    <s v="wieś"/>
    <n v="7"/>
    <x v="20"/>
    <n v="16"/>
    <n v="2007"/>
    <x v="10"/>
    <n v="16"/>
    <n v="20072216"/>
    <s v="16.22.2007"/>
  </r>
  <r>
    <s v="03221064390"/>
    <s v="łódzkie"/>
    <s v="wieś"/>
    <n v="3"/>
    <x v="20"/>
    <n v="10"/>
    <n v="2003"/>
    <x v="10"/>
    <n v="10"/>
    <n v="20032210"/>
    <s v="10.22.2003"/>
  </r>
  <r>
    <s v="11260890223"/>
    <s v="małopolskie"/>
    <s v="wieś"/>
    <n v="11"/>
    <x v="19"/>
    <n v="8"/>
    <n v="2011"/>
    <x v="7"/>
    <n v="8"/>
    <n v="20112608"/>
    <s v="08.26.2011"/>
  </r>
  <r>
    <s v="14241199184"/>
    <s v="świętokrzyskie"/>
    <s v="wieś"/>
    <n v="14"/>
    <x v="14"/>
    <n v="11"/>
    <n v="2014"/>
    <x v="2"/>
    <n v="11"/>
    <n v="20142411"/>
    <s v="11.24.2014"/>
  </r>
  <r>
    <s v="12241226916"/>
    <s v="łódzkie"/>
    <s v="wieś"/>
    <n v="12"/>
    <x v="14"/>
    <n v="12"/>
    <n v="2012"/>
    <x v="2"/>
    <n v="12"/>
    <n v="20122412"/>
    <s v="12.24.2012"/>
  </r>
  <r>
    <s v="04213122199"/>
    <s v="dolnośląskie"/>
    <s v="miasto"/>
    <n v="4"/>
    <x v="15"/>
    <n v="31"/>
    <n v="2004"/>
    <x v="8"/>
    <n v="31"/>
    <n v="20042131"/>
    <s v="31.21.2004"/>
  </r>
  <r>
    <s v="10240797842"/>
    <s v="lubelskie"/>
    <s v="wieś"/>
    <n v="10"/>
    <x v="14"/>
    <n v="7"/>
    <n v="2010"/>
    <x v="2"/>
    <n v="7"/>
    <n v="20102407"/>
    <s v="07.24.2010"/>
  </r>
  <r>
    <s v="19251159416"/>
    <s v="opolskie"/>
    <s v="miasto"/>
    <n v="19"/>
    <x v="12"/>
    <n v="11"/>
    <n v="2019"/>
    <x v="4"/>
    <n v="11"/>
    <n v="20192511"/>
    <s v="11.25.2019"/>
  </r>
  <r>
    <s v="02210829651"/>
    <s v="podlaskie"/>
    <s v="wieś"/>
    <n v="2"/>
    <x v="15"/>
    <n v="8"/>
    <n v="2002"/>
    <x v="8"/>
    <n v="8"/>
    <n v="20022108"/>
    <s v="08.21.2002"/>
  </r>
  <r>
    <s v="16320390840"/>
    <s v="łódzkie"/>
    <s v="wieś"/>
    <n v="16"/>
    <x v="21"/>
    <n v="3"/>
    <n v="2016"/>
    <x v="6"/>
    <n v="3"/>
    <n v="20163203"/>
    <s v="03.32.2016"/>
  </r>
  <r>
    <s v="22290574762"/>
    <s v="podlaskie"/>
    <s v="wieś"/>
    <n v="22"/>
    <x v="17"/>
    <n v="5"/>
    <n v="2022"/>
    <x v="5"/>
    <n v="5"/>
    <n v="20222905"/>
    <s v="05.29.2022"/>
  </r>
  <r>
    <s v="15272803226"/>
    <s v="opolskie"/>
    <s v="wieś"/>
    <n v="15"/>
    <x v="22"/>
    <n v="28"/>
    <n v="2015"/>
    <x v="0"/>
    <n v="28"/>
    <n v="20152728"/>
    <s v="28.27.2015"/>
  </r>
  <r>
    <s v="22301213239"/>
    <s v="śląskie"/>
    <s v="wieś"/>
    <n v="22"/>
    <x v="16"/>
    <n v="12"/>
    <n v="2022"/>
    <x v="1"/>
    <n v="12"/>
    <n v="20223012"/>
    <s v="12.30.2022"/>
  </r>
  <r>
    <s v="12293034558"/>
    <s v="zachodniopomorskie"/>
    <s v="miasto"/>
    <n v="12"/>
    <x v="17"/>
    <n v="30"/>
    <n v="2012"/>
    <x v="5"/>
    <n v="30"/>
    <n v="20122930"/>
    <s v="30.29.2012"/>
  </r>
  <r>
    <s v="11220493866"/>
    <s v="zachodniopomorskie"/>
    <s v="miasto"/>
    <n v="11"/>
    <x v="20"/>
    <n v="4"/>
    <n v="2011"/>
    <x v="10"/>
    <n v="4"/>
    <n v="20112204"/>
    <s v="04.22.2011"/>
  </r>
  <r>
    <s v="06321656678"/>
    <s v="śląskie"/>
    <s v="wieś"/>
    <n v="6"/>
    <x v="21"/>
    <n v="16"/>
    <n v="2006"/>
    <x v="6"/>
    <n v="16"/>
    <n v="20063216"/>
    <s v="16.32.2006"/>
  </r>
  <r>
    <s v="08271854737"/>
    <s v="lubelskie"/>
    <s v="wieś"/>
    <n v="8"/>
    <x v="22"/>
    <n v="18"/>
    <n v="2008"/>
    <x v="0"/>
    <n v="18"/>
    <n v="20082718"/>
    <s v="18.27.2008"/>
  </r>
  <r>
    <s v="12220169142"/>
    <s v="opolskie"/>
    <s v="miasto"/>
    <n v="12"/>
    <x v="20"/>
    <n v="1"/>
    <n v="2012"/>
    <x v="10"/>
    <n v="1"/>
    <n v="20122201"/>
    <s v="01.22.2012"/>
  </r>
  <r>
    <s v="18271849295"/>
    <s v="mazowieckie"/>
    <s v="miasto"/>
    <n v="18"/>
    <x v="22"/>
    <n v="18"/>
    <n v="2018"/>
    <x v="0"/>
    <n v="18"/>
    <n v="20182718"/>
    <s v="18.27.2018"/>
  </r>
  <r>
    <s v="06210843055"/>
    <s v="podlaskie"/>
    <s v="miasto"/>
    <n v="6"/>
    <x v="15"/>
    <n v="8"/>
    <n v="2006"/>
    <x v="8"/>
    <n v="8"/>
    <n v="20062108"/>
    <s v="08.21.2006"/>
  </r>
  <r>
    <s v="08241312032"/>
    <s v="dolnośląskie"/>
    <s v="wieś"/>
    <n v="8"/>
    <x v="14"/>
    <n v="13"/>
    <n v="2008"/>
    <x v="2"/>
    <n v="13"/>
    <n v="20082413"/>
    <s v="13.24.2008"/>
  </r>
  <r>
    <s v="15321101996"/>
    <s v="lubelskie"/>
    <s v="wieś"/>
    <n v="15"/>
    <x v="21"/>
    <n v="11"/>
    <n v="2015"/>
    <x v="6"/>
    <n v="11"/>
    <n v="20153211"/>
    <s v="11.32.2015"/>
  </r>
  <r>
    <s v="09230321604"/>
    <s v="śląskie"/>
    <s v="wieś"/>
    <n v="9"/>
    <x v="18"/>
    <n v="3"/>
    <n v="2009"/>
    <x v="11"/>
    <n v="3"/>
    <n v="20092303"/>
    <s v="03.23.2009"/>
  </r>
  <r>
    <s v="09282257544"/>
    <s v="zachodniopomorskie"/>
    <s v="wieś"/>
    <n v="9"/>
    <x v="13"/>
    <n v="22"/>
    <n v="2009"/>
    <x v="3"/>
    <n v="22"/>
    <n v="20092822"/>
    <s v="22.28.2009"/>
  </r>
  <r>
    <s v="12272278496"/>
    <s v="podkarpackie"/>
    <s v="wieś"/>
    <n v="12"/>
    <x v="22"/>
    <n v="22"/>
    <n v="2012"/>
    <x v="0"/>
    <n v="22"/>
    <n v="20122722"/>
    <s v="22.27.2012"/>
  </r>
  <r>
    <s v="06261714801"/>
    <s v="zachodniopomorskie"/>
    <s v="miasto"/>
    <n v="6"/>
    <x v="19"/>
    <n v="17"/>
    <n v="2006"/>
    <x v="7"/>
    <n v="17"/>
    <n v="20062617"/>
    <s v="17.26.2006"/>
  </r>
  <r>
    <s v="12290662086"/>
    <s v="mazowieckie"/>
    <s v="miasto"/>
    <n v="12"/>
    <x v="17"/>
    <n v="6"/>
    <n v="2012"/>
    <x v="5"/>
    <n v="6"/>
    <n v="20122906"/>
    <s v="06.29.2012"/>
  </r>
  <r>
    <s v="13222347822"/>
    <s v="mazowieckie"/>
    <s v="miasto"/>
    <n v="13"/>
    <x v="20"/>
    <n v="23"/>
    <n v="2013"/>
    <x v="10"/>
    <n v="23"/>
    <n v="20132223"/>
    <s v="23.22.2013"/>
  </r>
  <r>
    <s v="17292749872"/>
    <s v="lubelskie"/>
    <s v="wieś"/>
    <n v="17"/>
    <x v="17"/>
    <n v="27"/>
    <n v="2017"/>
    <x v="5"/>
    <n v="27"/>
    <n v="20172927"/>
    <s v="27.29.2017"/>
  </r>
  <r>
    <s v="19302110146"/>
    <s v="opolskie"/>
    <s v="wieś"/>
    <n v="19"/>
    <x v="16"/>
    <n v="21"/>
    <n v="2019"/>
    <x v="1"/>
    <n v="21"/>
    <n v="20193021"/>
    <s v="21.30.2019"/>
  </r>
  <r>
    <s v="13240361611"/>
    <s v="świętokrzyskie"/>
    <s v="miasto"/>
    <n v="13"/>
    <x v="14"/>
    <n v="3"/>
    <n v="2013"/>
    <x v="2"/>
    <n v="3"/>
    <n v="20132403"/>
    <s v="03.24.2013"/>
  </r>
  <r>
    <s v="15240354042"/>
    <s v="opolskie"/>
    <s v="miasto"/>
    <n v="15"/>
    <x v="14"/>
    <n v="3"/>
    <n v="2015"/>
    <x v="2"/>
    <n v="3"/>
    <n v="20152403"/>
    <s v="03.24.2015"/>
  </r>
  <r>
    <s v="13301915474"/>
    <s v="zachodniopomorskie"/>
    <s v="miasto"/>
    <n v="13"/>
    <x v="16"/>
    <n v="19"/>
    <n v="2013"/>
    <x v="1"/>
    <n v="19"/>
    <n v="20133019"/>
    <s v="19.30.2013"/>
  </r>
  <r>
    <s v="19262778871"/>
    <s v="dolnośląskie"/>
    <s v="miasto"/>
    <n v="19"/>
    <x v="19"/>
    <n v="27"/>
    <n v="2019"/>
    <x v="7"/>
    <n v="27"/>
    <n v="20192627"/>
    <s v="27.26.2019"/>
  </r>
  <r>
    <s v="13280978334"/>
    <s v="małopolskie"/>
    <s v="wieś"/>
    <n v="13"/>
    <x v="13"/>
    <n v="9"/>
    <n v="2013"/>
    <x v="3"/>
    <n v="9"/>
    <n v="20132809"/>
    <s v="09.28.2013"/>
  </r>
  <r>
    <s v="14302824284"/>
    <s v="dolnośląskie"/>
    <s v="miasto"/>
    <n v="14"/>
    <x v="16"/>
    <n v="28"/>
    <n v="2014"/>
    <x v="1"/>
    <n v="28"/>
    <n v="20143028"/>
    <s v="28.30.2014"/>
  </r>
  <r>
    <s v="11272805824"/>
    <s v="lubelskie"/>
    <s v="wieś"/>
    <n v="11"/>
    <x v="22"/>
    <n v="28"/>
    <n v="2011"/>
    <x v="0"/>
    <n v="28"/>
    <n v="20112728"/>
    <s v="28.27.2011"/>
  </r>
  <r>
    <s v="05291879913"/>
    <s v="łódzkie"/>
    <s v="miasto"/>
    <n v="5"/>
    <x v="17"/>
    <n v="18"/>
    <n v="2005"/>
    <x v="5"/>
    <n v="18"/>
    <n v="20052918"/>
    <s v="18.29.2005"/>
  </r>
  <r>
    <s v="14212729259"/>
    <s v="łódzkie"/>
    <s v="wieś"/>
    <n v="14"/>
    <x v="15"/>
    <n v="27"/>
    <n v="2014"/>
    <x v="8"/>
    <n v="27"/>
    <n v="20142127"/>
    <s v="27.21.2014"/>
  </r>
  <r>
    <s v="03210117463"/>
    <s v="łódzkie"/>
    <s v="miasto"/>
    <n v="3"/>
    <x v="15"/>
    <n v="1"/>
    <n v="2003"/>
    <x v="8"/>
    <n v="1"/>
    <n v="20032101"/>
    <s v="01.21.2003"/>
  </r>
  <r>
    <s v="14291498509"/>
    <s v="wielkopolskie"/>
    <s v="miasto"/>
    <n v="14"/>
    <x v="17"/>
    <n v="14"/>
    <n v="2014"/>
    <x v="5"/>
    <n v="14"/>
    <n v="20142914"/>
    <s v="14.29.2014"/>
  </r>
  <r>
    <s v="12300620789"/>
    <s v="warmińsko-mazurskie"/>
    <s v="miasto"/>
    <n v="12"/>
    <x v="16"/>
    <n v="6"/>
    <n v="2012"/>
    <x v="1"/>
    <n v="6"/>
    <n v="20123006"/>
    <s v="06.30.2012"/>
  </r>
  <r>
    <s v="16230803856"/>
    <s v="śląskie"/>
    <s v="miasto"/>
    <n v="16"/>
    <x v="18"/>
    <n v="8"/>
    <n v="2016"/>
    <x v="11"/>
    <n v="8"/>
    <n v="20162308"/>
    <s v="08.23.2016"/>
  </r>
  <r>
    <s v="01220719112"/>
    <s v="śląskie"/>
    <s v="miasto"/>
    <n v="1"/>
    <x v="20"/>
    <n v="7"/>
    <n v="2001"/>
    <x v="10"/>
    <n v="7"/>
    <n v="20012207"/>
    <s v="07.22.2001"/>
  </r>
  <r>
    <s v="19220908124"/>
    <s v="dolnośląskie"/>
    <s v="wieś"/>
    <n v="19"/>
    <x v="20"/>
    <n v="9"/>
    <n v="2019"/>
    <x v="10"/>
    <n v="9"/>
    <n v="20192209"/>
    <s v="09.22.2019"/>
  </r>
  <r>
    <s v="07240788697"/>
    <s v="lubelskie"/>
    <s v="wieś"/>
    <n v="7"/>
    <x v="14"/>
    <n v="7"/>
    <n v="2007"/>
    <x v="2"/>
    <n v="7"/>
    <n v="20072407"/>
    <s v="07.24.2007"/>
  </r>
  <r>
    <s v="06292261558"/>
    <s v="kujawsko-pomorskie"/>
    <s v="wieś"/>
    <n v="6"/>
    <x v="17"/>
    <n v="22"/>
    <n v="2006"/>
    <x v="5"/>
    <n v="22"/>
    <n v="20062922"/>
    <s v="22.29.2006"/>
  </r>
  <r>
    <s v="17311142206"/>
    <s v="lubelskie"/>
    <s v="wieś"/>
    <n v="17"/>
    <x v="23"/>
    <n v="11"/>
    <n v="2017"/>
    <x v="9"/>
    <n v="11"/>
    <n v="20173111"/>
    <s v="11.31.2017"/>
  </r>
  <r>
    <s v="16321147489"/>
    <s v="opolskie"/>
    <s v="wieś"/>
    <n v="16"/>
    <x v="21"/>
    <n v="11"/>
    <n v="2016"/>
    <x v="6"/>
    <n v="11"/>
    <n v="20163211"/>
    <s v="11.32.2016"/>
  </r>
  <r>
    <s v="06292135242"/>
    <s v="łódzkie"/>
    <s v="miasto"/>
    <n v="6"/>
    <x v="17"/>
    <n v="21"/>
    <n v="2006"/>
    <x v="5"/>
    <n v="21"/>
    <n v="20062921"/>
    <s v="21.29.2006"/>
  </r>
  <r>
    <s v="05230870575"/>
    <s v="podkarpackie"/>
    <s v="miasto"/>
    <n v="5"/>
    <x v="18"/>
    <n v="8"/>
    <n v="2005"/>
    <x v="11"/>
    <n v="8"/>
    <n v="20052308"/>
    <s v="08.23.2005"/>
  </r>
  <r>
    <s v="18271449174"/>
    <s v="świętokrzyskie"/>
    <s v="wieś"/>
    <n v="18"/>
    <x v="22"/>
    <n v="14"/>
    <n v="2018"/>
    <x v="0"/>
    <n v="14"/>
    <n v="20182714"/>
    <s v="14.27.2018"/>
  </r>
  <r>
    <s v="06321258252"/>
    <s v="pomorskie"/>
    <s v="wieś"/>
    <n v="6"/>
    <x v="21"/>
    <n v="12"/>
    <n v="2006"/>
    <x v="6"/>
    <n v="12"/>
    <n v="20063212"/>
    <s v="12.32.2006"/>
  </r>
  <r>
    <s v="18262630525"/>
    <s v="lubuskie"/>
    <s v="miasto"/>
    <n v="18"/>
    <x v="19"/>
    <n v="26"/>
    <n v="2018"/>
    <x v="7"/>
    <n v="26"/>
    <n v="20182626"/>
    <s v="26.26.2018"/>
  </r>
  <r>
    <s v="07261242695"/>
    <s v="świętokrzyskie"/>
    <s v="wieś"/>
    <n v="7"/>
    <x v="19"/>
    <n v="12"/>
    <n v="2007"/>
    <x v="7"/>
    <n v="12"/>
    <n v="20072612"/>
    <s v="12.26.2007"/>
  </r>
  <r>
    <s v="08300675577"/>
    <s v="wielkopolskie"/>
    <s v="wieś"/>
    <n v="8"/>
    <x v="16"/>
    <n v="6"/>
    <n v="2008"/>
    <x v="1"/>
    <n v="6"/>
    <n v="20083006"/>
    <s v="06.30.2008"/>
  </r>
  <r>
    <s v="08221193888"/>
    <s v="lubelskie"/>
    <s v="miasto"/>
    <n v="8"/>
    <x v="20"/>
    <n v="11"/>
    <n v="2008"/>
    <x v="10"/>
    <n v="11"/>
    <n v="20082211"/>
    <s v="11.22.2008"/>
  </r>
  <r>
    <s v="05220192948"/>
    <s v="lubelskie"/>
    <s v="wieś"/>
    <n v="5"/>
    <x v="20"/>
    <n v="1"/>
    <n v="2005"/>
    <x v="10"/>
    <n v="1"/>
    <n v="20052201"/>
    <s v="01.22.2005"/>
  </r>
  <r>
    <s v="11222023223"/>
    <s v="warmińsko-mazurskie"/>
    <s v="wieś"/>
    <n v="11"/>
    <x v="20"/>
    <n v="20"/>
    <n v="2011"/>
    <x v="10"/>
    <n v="20"/>
    <n v="20112220"/>
    <s v="20.22.2011"/>
  </r>
  <r>
    <s v="18320215404"/>
    <s v="kujawsko-pomorskie"/>
    <s v="wieś"/>
    <n v="18"/>
    <x v="21"/>
    <n v="2"/>
    <n v="2018"/>
    <x v="6"/>
    <n v="2"/>
    <n v="20183202"/>
    <s v="02.32.2018"/>
  </r>
  <r>
    <s v="19303024725"/>
    <s v="zachodniopomorskie"/>
    <s v="miasto"/>
    <n v="19"/>
    <x v="16"/>
    <n v="30"/>
    <n v="2019"/>
    <x v="1"/>
    <n v="30"/>
    <n v="20193030"/>
    <s v="30.30.2019"/>
  </r>
  <r>
    <s v="16291352676"/>
    <s v="zachodniopomorskie"/>
    <s v="miasto"/>
    <n v="16"/>
    <x v="17"/>
    <n v="13"/>
    <n v="2016"/>
    <x v="5"/>
    <n v="13"/>
    <n v="20162913"/>
    <s v="13.29.2016"/>
  </r>
  <r>
    <s v="08250619858"/>
    <s v="kujawsko-pomorskie"/>
    <s v="wieś"/>
    <n v="8"/>
    <x v="12"/>
    <n v="6"/>
    <n v="2008"/>
    <x v="4"/>
    <n v="6"/>
    <n v="20082506"/>
    <s v="06.25.2008"/>
  </r>
  <r>
    <s v="05263016560"/>
    <s v="dolnośląskie"/>
    <s v="miasto"/>
    <n v="5"/>
    <x v="19"/>
    <n v="30"/>
    <n v="2005"/>
    <x v="7"/>
    <n v="30"/>
    <n v="20052630"/>
    <s v="30.26.2005"/>
  </r>
  <r>
    <s v="00213181006"/>
    <s v="mazowieckie"/>
    <s v="miasto"/>
    <n v="0"/>
    <x v="15"/>
    <n v="31"/>
    <n v="2000"/>
    <x v="8"/>
    <n v="31"/>
    <n v="20002131"/>
    <s v="31.21.2000"/>
  </r>
  <r>
    <s v="08322760361"/>
    <s v="kujawsko-pomorskie"/>
    <s v="miasto"/>
    <n v="8"/>
    <x v="21"/>
    <n v="27"/>
    <n v="2008"/>
    <x v="6"/>
    <n v="27"/>
    <n v="20083227"/>
    <s v="27.32.2008"/>
  </r>
  <r>
    <s v="16251548464"/>
    <s v="pomorskie"/>
    <s v="wieś"/>
    <n v="16"/>
    <x v="12"/>
    <n v="15"/>
    <n v="2016"/>
    <x v="4"/>
    <n v="15"/>
    <n v="20162515"/>
    <s v="15.25.2016"/>
  </r>
  <r>
    <s v="10292707398"/>
    <s v="mazowieckie"/>
    <s v="miasto"/>
    <n v="10"/>
    <x v="17"/>
    <n v="27"/>
    <n v="2010"/>
    <x v="5"/>
    <n v="27"/>
    <n v="20102927"/>
    <s v="27.29.2010"/>
  </r>
  <r>
    <s v="14231316500"/>
    <s v="mazowieckie"/>
    <s v="miasto"/>
    <n v="14"/>
    <x v="18"/>
    <n v="13"/>
    <n v="2014"/>
    <x v="11"/>
    <n v="13"/>
    <n v="20142313"/>
    <s v="13.23.2014"/>
  </r>
  <r>
    <s v="21222678682"/>
    <s v="podlaskie"/>
    <s v="wieś"/>
    <n v="21"/>
    <x v="20"/>
    <n v="26"/>
    <n v="2021"/>
    <x v="10"/>
    <n v="26"/>
    <n v="20212226"/>
    <s v="26.22.2021"/>
  </r>
  <r>
    <s v="12292215862"/>
    <s v="opolskie"/>
    <s v="miasto"/>
    <n v="12"/>
    <x v="17"/>
    <n v="22"/>
    <n v="2012"/>
    <x v="5"/>
    <n v="22"/>
    <n v="20122922"/>
    <s v="22.29.2012"/>
  </r>
  <r>
    <s v="07282982598"/>
    <s v="mazowieckie"/>
    <s v="miasto"/>
    <n v="7"/>
    <x v="13"/>
    <n v="29"/>
    <n v="2007"/>
    <x v="3"/>
    <n v="29"/>
    <n v="20072829"/>
    <s v="29.28.2007"/>
  </r>
  <r>
    <s v="09220591189"/>
    <s v="łódzkie"/>
    <s v="miasto"/>
    <n v="9"/>
    <x v="20"/>
    <n v="5"/>
    <n v="2009"/>
    <x v="10"/>
    <n v="5"/>
    <n v="20092205"/>
    <s v="05.22.2009"/>
  </r>
  <r>
    <s v="21230117469"/>
    <s v="kujawsko-pomorskie"/>
    <s v="miasto"/>
    <n v="21"/>
    <x v="18"/>
    <n v="1"/>
    <n v="2021"/>
    <x v="11"/>
    <n v="1"/>
    <n v="20212301"/>
    <s v="01.23.2021"/>
  </r>
  <r>
    <s v="11312331944"/>
    <s v="wielkopolskie"/>
    <s v="wieś"/>
    <n v="11"/>
    <x v="23"/>
    <n v="23"/>
    <n v="2011"/>
    <x v="9"/>
    <n v="23"/>
    <n v="20113123"/>
    <s v="23.31.2011"/>
  </r>
  <r>
    <s v="09240629666"/>
    <s v="podlaskie"/>
    <s v="wieś"/>
    <n v="9"/>
    <x v="14"/>
    <n v="6"/>
    <n v="2009"/>
    <x v="2"/>
    <n v="6"/>
    <n v="20092406"/>
    <s v="06.24.2009"/>
  </r>
  <r>
    <s v="00312160294"/>
    <s v="podkarpackie"/>
    <s v="miasto"/>
    <n v="0"/>
    <x v="23"/>
    <n v="21"/>
    <n v="2000"/>
    <x v="9"/>
    <n v="21"/>
    <n v="20003121"/>
    <s v="21.31.2000"/>
  </r>
  <r>
    <s v="08281110832"/>
    <s v="dolnośląskie"/>
    <s v="wieś"/>
    <n v="8"/>
    <x v="13"/>
    <n v="11"/>
    <n v="2008"/>
    <x v="3"/>
    <n v="11"/>
    <n v="20082811"/>
    <s v="11.28.2008"/>
  </r>
  <r>
    <s v="05221259161"/>
    <s v="opolskie"/>
    <s v="miasto"/>
    <n v="5"/>
    <x v="20"/>
    <n v="12"/>
    <n v="2005"/>
    <x v="10"/>
    <n v="12"/>
    <n v="20052212"/>
    <s v="12.22.2005"/>
  </r>
  <r>
    <s v="16212479677"/>
    <s v="śląskie"/>
    <s v="wieś"/>
    <n v="16"/>
    <x v="15"/>
    <n v="24"/>
    <n v="2016"/>
    <x v="8"/>
    <n v="24"/>
    <n v="20162124"/>
    <s v="24.21.2016"/>
  </r>
  <r>
    <s v="15300618013"/>
    <s v="dolnośląskie"/>
    <s v="wieś"/>
    <n v="15"/>
    <x v="16"/>
    <n v="6"/>
    <n v="2015"/>
    <x v="1"/>
    <n v="6"/>
    <n v="20153006"/>
    <s v="06.30.2015"/>
  </r>
  <r>
    <s v="15291801395"/>
    <s v="pomorskie"/>
    <s v="wieś"/>
    <n v="15"/>
    <x v="17"/>
    <n v="18"/>
    <n v="2015"/>
    <x v="5"/>
    <n v="18"/>
    <n v="20152918"/>
    <s v="18.29.2015"/>
  </r>
  <r>
    <s v="19301521378"/>
    <s v="łódzkie"/>
    <s v="miasto"/>
    <n v="19"/>
    <x v="16"/>
    <n v="15"/>
    <n v="2019"/>
    <x v="1"/>
    <n v="15"/>
    <n v="20193015"/>
    <s v="15.30.2019"/>
  </r>
  <r>
    <s v="03211413360"/>
    <s v="warmińsko-mazurskie"/>
    <s v="wieś"/>
    <n v="3"/>
    <x v="15"/>
    <n v="14"/>
    <n v="2003"/>
    <x v="8"/>
    <n v="14"/>
    <n v="20032114"/>
    <s v="14.21.2003"/>
  </r>
  <r>
    <s v="06242125787"/>
    <s v="śląskie"/>
    <s v="wieś"/>
    <n v="6"/>
    <x v="14"/>
    <n v="21"/>
    <n v="2006"/>
    <x v="2"/>
    <n v="21"/>
    <n v="20062421"/>
    <s v="21.24.2006"/>
  </r>
  <r>
    <s v="03252816289"/>
    <s v="opolskie"/>
    <s v="wieś"/>
    <n v="3"/>
    <x v="12"/>
    <n v="28"/>
    <n v="2003"/>
    <x v="4"/>
    <n v="28"/>
    <n v="20032528"/>
    <s v="28.25.2003"/>
  </r>
  <r>
    <s v="16292924229"/>
    <s v="warmińsko-mazurskie"/>
    <s v="wieś"/>
    <n v="16"/>
    <x v="17"/>
    <n v="29"/>
    <n v="2016"/>
    <x v="5"/>
    <n v="29"/>
    <n v="20162929"/>
    <s v="29.29.2016"/>
  </r>
  <r>
    <s v="00272757774"/>
    <s v="wielkopolskie"/>
    <s v="miasto"/>
    <n v="0"/>
    <x v="22"/>
    <n v="27"/>
    <n v="2000"/>
    <x v="0"/>
    <n v="27"/>
    <n v="20002727"/>
    <s v="27.27.2000"/>
  </r>
  <r>
    <s v="06252143218"/>
    <s v="warmińsko-mazurskie"/>
    <s v="miasto"/>
    <n v="6"/>
    <x v="12"/>
    <n v="21"/>
    <n v="2006"/>
    <x v="4"/>
    <n v="21"/>
    <n v="20062521"/>
    <s v="21.25.2006"/>
  </r>
  <r>
    <s v="12241783008"/>
    <s v="warmińsko-mazurskie"/>
    <s v="miasto"/>
    <n v="12"/>
    <x v="14"/>
    <n v="17"/>
    <n v="2012"/>
    <x v="2"/>
    <n v="17"/>
    <n v="20122417"/>
    <s v="17.24.2012"/>
  </r>
  <r>
    <s v="17250119602"/>
    <s v="łódzkie"/>
    <s v="miasto"/>
    <n v="17"/>
    <x v="12"/>
    <n v="1"/>
    <n v="2017"/>
    <x v="4"/>
    <n v="1"/>
    <n v="20172501"/>
    <s v="01.25.2017"/>
  </r>
  <r>
    <s v="15312624240"/>
    <s v="pomorskie"/>
    <s v="miasto"/>
    <n v="15"/>
    <x v="23"/>
    <n v="26"/>
    <n v="2015"/>
    <x v="9"/>
    <n v="26"/>
    <n v="20153126"/>
    <s v="26.31.2015"/>
  </r>
  <r>
    <s v="11261383104"/>
    <s v="podlaskie"/>
    <s v="wieś"/>
    <n v="11"/>
    <x v="19"/>
    <n v="13"/>
    <n v="2011"/>
    <x v="7"/>
    <n v="13"/>
    <n v="20112613"/>
    <s v="13.26.2011"/>
  </r>
  <r>
    <s v="11270859559"/>
    <s v="mazowieckie"/>
    <s v="wieś"/>
    <n v="11"/>
    <x v="22"/>
    <n v="8"/>
    <n v="2011"/>
    <x v="0"/>
    <n v="8"/>
    <n v="20112708"/>
    <s v="08.27.2011"/>
  </r>
  <r>
    <s v="13251052847"/>
    <s v="podkarpackie"/>
    <s v="wieś"/>
    <n v="13"/>
    <x v="12"/>
    <n v="10"/>
    <n v="2013"/>
    <x v="4"/>
    <n v="10"/>
    <n v="20132510"/>
    <s v="10.25.2013"/>
  </r>
  <r>
    <s v="16251477472"/>
    <s v="dolnośląskie"/>
    <s v="wieś"/>
    <n v="16"/>
    <x v="12"/>
    <n v="14"/>
    <n v="2016"/>
    <x v="4"/>
    <n v="14"/>
    <n v="20162514"/>
    <s v="14.25.2016"/>
  </r>
  <r>
    <s v="21270269818"/>
    <s v="warmińsko-mazurskie"/>
    <s v="miasto"/>
    <n v="21"/>
    <x v="22"/>
    <n v="2"/>
    <n v="2021"/>
    <x v="0"/>
    <n v="2"/>
    <n v="20212702"/>
    <s v="02.27.2021"/>
  </r>
  <r>
    <s v="07233171240"/>
    <s v="wielkopolskie"/>
    <s v="miasto"/>
    <n v="7"/>
    <x v="18"/>
    <n v="31"/>
    <n v="2007"/>
    <x v="11"/>
    <n v="31"/>
    <n v="20072331"/>
    <s v="31.23.2007"/>
  </r>
  <r>
    <s v="06240685911"/>
    <s v="podlaskie"/>
    <s v="wieś"/>
    <n v="6"/>
    <x v="14"/>
    <n v="6"/>
    <n v="2006"/>
    <x v="2"/>
    <n v="6"/>
    <n v="20062406"/>
    <s v="06.24.2006"/>
  </r>
  <r>
    <s v="08230748288"/>
    <s v="lubuskie"/>
    <s v="wieś"/>
    <n v="8"/>
    <x v="18"/>
    <n v="7"/>
    <n v="2008"/>
    <x v="11"/>
    <n v="7"/>
    <n v="20082307"/>
    <s v="07.23.2008"/>
  </r>
  <r>
    <s v="10272638467"/>
    <s v="łódzkie"/>
    <s v="wieś"/>
    <n v="10"/>
    <x v="22"/>
    <n v="26"/>
    <n v="2010"/>
    <x v="0"/>
    <n v="26"/>
    <n v="20102726"/>
    <s v="26.27.2010"/>
  </r>
  <r>
    <s v="02222614214"/>
    <s v="kujawsko-pomorskie"/>
    <s v="wieś"/>
    <n v="2"/>
    <x v="20"/>
    <n v="26"/>
    <n v="2002"/>
    <x v="10"/>
    <n v="26"/>
    <n v="20022226"/>
    <s v="26.22.2002"/>
  </r>
  <r>
    <s v="02300270619"/>
    <s v="lubuskie"/>
    <s v="wieś"/>
    <n v="2"/>
    <x v="16"/>
    <n v="2"/>
    <n v="2002"/>
    <x v="1"/>
    <n v="2"/>
    <n v="20023002"/>
    <s v="02.30.2002"/>
  </r>
  <r>
    <s v="02320180006"/>
    <s v="pomorskie"/>
    <s v="wieś"/>
    <n v="2"/>
    <x v="21"/>
    <n v="1"/>
    <n v="2002"/>
    <x v="6"/>
    <n v="1"/>
    <n v="20023201"/>
    <s v="01.32.2002"/>
  </r>
  <r>
    <s v="10231388673"/>
    <s v="opolskie"/>
    <s v="wieś"/>
    <n v="10"/>
    <x v="18"/>
    <n v="13"/>
    <n v="2010"/>
    <x v="11"/>
    <n v="13"/>
    <n v="20102313"/>
    <s v="13.23.2010"/>
  </r>
  <r>
    <s v="01211693203"/>
    <s v="pomorskie"/>
    <s v="miasto"/>
    <n v="1"/>
    <x v="15"/>
    <n v="16"/>
    <n v="2001"/>
    <x v="8"/>
    <n v="16"/>
    <n v="20012116"/>
    <s v="16.21.2001"/>
  </r>
  <r>
    <s v="19221918386"/>
    <s v="zachodniopomorskie"/>
    <s v="wieś"/>
    <n v="19"/>
    <x v="20"/>
    <n v="19"/>
    <n v="2019"/>
    <x v="10"/>
    <n v="19"/>
    <n v="20192219"/>
    <s v="19.22.2019"/>
  </r>
  <r>
    <s v="21242102774"/>
    <s v="wielkopolskie"/>
    <s v="wieś"/>
    <n v="21"/>
    <x v="14"/>
    <n v="21"/>
    <n v="2021"/>
    <x v="2"/>
    <n v="21"/>
    <n v="20212421"/>
    <s v="21.24.2021"/>
  </r>
  <r>
    <s v="21220329306"/>
    <s v="warmińsko-mazurskie"/>
    <s v="wieś"/>
    <n v="21"/>
    <x v="20"/>
    <n v="3"/>
    <n v="2021"/>
    <x v="10"/>
    <n v="3"/>
    <n v="20212203"/>
    <s v="03.22.2021"/>
  </r>
  <r>
    <s v="02301356646"/>
    <s v="świętokrzyskie"/>
    <s v="wieś"/>
    <n v="2"/>
    <x v="16"/>
    <n v="13"/>
    <n v="2002"/>
    <x v="1"/>
    <n v="13"/>
    <n v="20023013"/>
    <s v="13.30.2002"/>
  </r>
  <r>
    <s v="00322554973"/>
    <s v="wielkopolskie"/>
    <s v="wieś"/>
    <n v="0"/>
    <x v="21"/>
    <n v="25"/>
    <n v="2000"/>
    <x v="6"/>
    <n v="25"/>
    <n v="20003225"/>
    <s v="25.32.2000"/>
  </r>
  <r>
    <s v="13281180844"/>
    <s v="podkarpackie"/>
    <s v="wieś"/>
    <n v="13"/>
    <x v="13"/>
    <n v="11"/>
    <n v="2013"/>
    <x v="3"/>
    <n v="11"/>
    <n v="20132811"/>
    <s v="11.28.2013"/>
  </r>
  <r>
    <s v="08291177821"/>
    <s v="podlaskie"/>
    <s v="wieś"/>
    <n v="8"/>
    <x v="17"/>
    <n v="11"/>
    <n v="2008"/>
    <x v="5"/>
    <n v="11"/>
    <n v="20082911"/>
    <s v="11.29.2008"/>
  </r>
  <r>
    <s v="09211086504"/>
    <s v="lubelskie"/>
    <s v="miasto"/>
    <n v="9"/>
    <x v="15"/>
    <n v="10"/>
    <n v="2009"/>
    <x v="8"/>
    <n v="10"/>
    <n v="20092110"/>
    <s v="10.21.2009"/>
  </r>
  <r>
    <s v="04322699630"/>
    <s v="mazowieckie"/>
    <s v="wieś"/>
    <n v="4"/>
    <x v="21"/>
    <n v="26"/>
    <n v="2004"/>
    <x v="6"/>
    <n v="26"/>
    <n v="20043226"/>
    <s v="26.32.2004"/>
  </r>
  <r>
    <s v="21291945252"/>
    <s v="świętokrzyskie"/>
    <s v="wieś"/>
    <n v="21"/>
    <x v="17"/>
    <n v="19"/>
    <n v="2021"/>
    <x v="5"/>
    <n v="19"/>
    <n v="20212919"/>
    <s v="19.29.2021"/>
  </r>
  <r>
    <s v="12272287597"/>
    <s v="zachodniopomorskie"/>
    <s v="miasto"/>
    <n v="12"/>
    <x v="22"/>
    <n v="22"/>
    <n v="2012"/>
    <x v="0"/>
    <n v="22"/>
    <n v="20122722"/>
    <s v="22.27.2012"/>
  </r>
  <r>
    <s v="10271077511"/>
    <s v="świętokrzyskie"/>
    <s v="wieś"/>
    <n v="10"/>
    <x v="22"/>
    <n v="10"/>
    <n v="2010"/>
    <x v="0"/>
    <n v="10"/>
    <n v="20102710"/>
    <s v="10.27.2010"/>
  </r>
  <r>
    <s v="13281776603"/>
    <s v="małopolskie"/>
    <s v="wieś"/>
    <n v="13"/>
    <x v="13"/>
    <n v="17"/>
    <n v="2013"/>
    <x v="3"/>
    <n v="17"/>
    <n v="20132817"/>
    <s v="17.28.2013"/>
  </r>
  <r>
    <s v="08321477132"/>
    <s v="warmińsko-mazurskie"/>
    <s v="miasto"/>
    <n v="8"/>
    <x v="21"/>
    <n v="14"/>
    <n v="2008"/>
    <x v="6"/>
    <n v="14"/>
    <n v="20083214"/>
    <s v="14.32.2008"/>
  </r>
  <r>
    <s v="03241142483"/>
    <s v="warmińsko-mazurskie"/>
    <s v="wieś"/>
    <n v="3"/>
    <x v="14"/>
    <n v="11"/>
    <n v="2003"/>
    <x v="2"/>
    <n v="11"/>
    <n v="20032411"/>
    <s v="11.24.2003"/>
  </r>
  <r>
    <s v="06261817733"/>
    <s v="śląskie"/>
    <s v="wieś"/>
    <n v="6"/>
    <x v="19"/>
    <n v="18"/>
    <n v="2006"/>
    <x v="7"/>
    <n v="18"/>
    <n v="20062618"/>
    <s v="18.26.2006"/>
  </r>
  <r>
    <s v="01322621562"/>
    <s v="lubuskie"/>
    <s v="wieś"/>
    <n v="1"/>
    <x v="21"/>
    <n v="26"/>
    <n v="2001"/>
    <x v="6"/>
    <n v="26"/>
    <n v="20013226"/>
    <s v="26.32.2001"/>
  </r>
  <r>
    <s v="02212245123"/>
    <s v="pomorskie"/>
    <s v="miasto"/>
    <n v="2"/>
    <x v="15"/>
    <n v="22"/>
    <n v="2002"/>
    <x v="8"/>
    <n v="22"/>
    <n v="20022122"/>
    <s v="22.21.2002"/>
  </r>
  <r>
    <s v="16240578128"/>
    <s v="lubelskie"/>
    <s v="wieś"/>
    <n v="16"/>
    <x v="14"/>
    <n v="5"/>
    <n v="2016"/>
    <x v="2"/>
    <n v="5"/>
    <n v="20162405"/>
    <s v="05.24.2016"/>
  </r>
  <r>
    <s v="03260343573"/>
    <s v="wielkopolskie"/>
    <s v="miasto"/>
    <n v="3"/>
    <x v="19"/>
    <n v="3"/>
    <n v="2003"/>
    <x v="7"/>
    <n v="3"/>
    <n v="20032603"/>
    <s v="03.26.2003"/>
  </r>
  <r>
    <s v="01220297225"/>
    <s v="pomorskie"/>
    <s v="wieś"/>
    <n v="1"/>
    <x v="20"/>
    <n v="2"/>
    <n v="2001"/>
    <x v="10"/>
    <n v="2"/>
    <n v="20012202"/>
    <s v="02.22.2001"/>
  </r>
  <r>
    <s v="06210896367"/>
    <s v="lubuskie"/>
    <s v="miasto"/>
    <n v="6"/>
    <x v="15"/>
    <n v="8"/>
    <n v="2006"/>
    <x v="8"/>
    <n v="8"/>
    <n v="20062108"/>
    <s v="08.21.2006"/>
  </r>
  <r>
    <s v="11321724913"/>
    <s v="lubelskie"/>
    <s v="miasto"/>
    <n v="11"/>
    <x v="21"/>
    <n v="17"/>
    <n v="2011"/>
    <x v="6"/>
    <n v="17"/>
    <n v="20113217"/>
    <s v="17.32.2011"/>
  </r>
  <r>
    <s v="08291544285"/>
    <s v="pomorskie"/>
    <s v="wieś"/>
    <n v="8"/>
    <x v="17"/>
    <n v="15"/>
    <n v="2008"/>
    <x v="5"/>
    <n v="15"/>
    <n v="20082915"/>
    <s v="15.29.2008"/>
  </r>
  <r>
    <s v="17311176384"/>
    <s v="podkarpackie"/>
    <s v="wieś"/>
    <n v="17"/>
    <x v="23"/>
    <n v="11"/>
    <n v="2017"/>
    <x v="9"/>
    <n v="11"/>
    <n v="20173111"/>
    <s v="11.31.2017"/>
  </r>
  <r>
    <s v="04220185460"/>
    <s v="mazowieckie"/>
    <s v="miasto"/>
    <n v="4"/>
    <x v="20"/>
    <n v="1"/>
    <n v="2004"/>
    <x v="10"/>
    <n v="1"/>
    <n v="20042201"/>
    <s v="01.22.2004"/>
  </r>
  <r>
    <s v="22241050839"/>
    <s v="lubuskie"/>
    <s v="wieś"/>
    <n v="22"/>
    <x v="14"/>
    <n v="10"/>
    <n v="2022"/>
    <x v="2"/>
    <n v="10"/>
    <n v="20222410"/>
    <s v="10.24.2022"/>
  </r>
  <r>
    <s v="13291881753"/>
    <s v="małopolskie"/>
    <s v="wieś"/>
    <n v="13"/>
    <x v="17"/>
    <n v="18"/>
    <n v="2013"/>
    <x v="5"/>
    <n v="18"/>
    <n v="20132918"/>
    <s v="18.29.2013"/>
  </r>
  <r>
    <s v="14292742539"/>
    <s v="lubuskie"/>
    <s v="miasto"/>
    <n v="14"/>
    <x v="17"/>
    <n v="27"/>
    <n v="2014"/>
    <x v="5"/>
    <n v="27"/>
    <n v="20142927"/>
    <s v="27.29.2014"/>
  </r>
  <r>
    <s v="20252400425"/>
    <s v="małopolskie"/>
    <s v="wieś"/>
    <n v="20"/>
    <x v="12"/>
    <n v="24"/>
    <n v="2020"/>
    <x v="4"/>
    <n v="24"/>
    <n v="20202524"/>
    <s v="24.25.2020"/>
  </r>
  <r>
    <s v="01221128012"/>
    <s v="kujawsko-pomorskie"/>
    <s v="miasto"/>
    <n v="1"/>
    <x v="20"/>
    <n v="11"/>
    <n v="2001"/>
    <x v="10"/>
    <n v="11"/>
    <n v="20012211"/>
    <s v="11.22.2001"/>
  </r>
  <r>
    <s v="05290342425"/>
    <s v="małopolskie"/>
    <s v="miasto"/>
    <n v="5"/>
    <x v="17"/>
    <n v="3"/>
    <n v="2005"/>
    <x v="5"/>
    <n v="3"/>
    <n v="20052903"/>
    <s v="03.29.2005"/>
  </r>
  <r>
    <s v="08251519232"/>
    <s v="małopolskie"/>
    <s v="miasto"/>
    <n v="8"/>
    <x v="12"/>
    <n v="15"/>
    <n v="2008"/>
    <x v="4"/>
    <n v="15"/>
    <n v="20082515"/>
    <s v="15.25.2008"/>
  </r>
  <r>
    <s v="01242346721"/>
    <s v="pomorskie"/>
    <s v="wieś"/>
    <n v="1"/>
    <x v="14"/>
    <n v="23"/>
    <n v="2001"/>
    <x v="2"/>
    <n v="23"/>
    <n v="20012423"/>
    <s v="23.24.2001"/>
  </r>
  <r>
    <s v="19221946062"/>
    <s v="pomorskie"/>
    <s v="miasto"/>
    <n v="19"/>
    <x v="20"/>
    <n v="19"/>
    <n v="2019"/>
    <x v="10"/>
    <n v="19"/>
    <n v="20192219"/>
    <s v="19.22.2019"/>
  </r>
  <r>
    <s v="02242206231"/>
    <s v="opolskie"/>
    <s v="wieś"/>
    <n v="2"/>
    <x v="14"/>
    <n v="22"/>
    <n v="2002"/>
    <x v="2"/>
    <n v="22"/>
    <n v="20022422"/>
    <s v="22.24.2002"/>
  </r>
  <r>
    <s v="15220366922"/>
    <s v="zachodniopomorskie"/>
    <s v="wieś"/>
    <n v="15"/>
    <x v="20"/>
    <n v="3"/>
    <n v="2015"/>
    <x v="10"/>
    <n v="3"/>
    <n v="20152203"/>
    <s v="03.22.2015"/>
  </r>
  <r>
    <s v="05270147233"/>
    <s v="śląskie"/>
    <s v="wieś"/>
    <n v="5"/>
    <x v="22"/>
    <n v="1"/>
    <n v="2005"/>
    <x v="0"/>
    <n v="1"/>
    <n v="20052701"/>
    <s v="01.27.2005"/>
  </r>
  <r>
    <s v="07212419974"/>
    <s v="mazowieckie"/>
    <s v="miasto"/>
    <n v="7"/>
    <x v="15"/>
    <n v="24"/>
    <n v="2007"/>
    <x v="8"/>
    <n v="24"/>
    <n v="20072124"/>
    <s v="24.21.2007"/>
  </r>
  <r>
    <s v="06210742569"/>
    <s v="lubuskie"/>
    <s v="wieś"/>
    <n v="6"/>
    <x v="15"/>
    <n v="7"/>
    <n v="2006"/>
    <x v="8"/>
    <n v="7"/>
    <n v="20062107"/>
    <s v="07.21.2006"/>
  </r>
  <r>
    <s v="11230540910"/>
    <s v="podkarpackie"/>
    <s v="miasto"/>
    <n v="11"/>
    <x v="18"/>
    <n v="5"/>
    <n v="2011"/>
    <x v="11"/>
    <n v="5"/>
    <n v="20112305"/>
    <s v="05.23.2011"/>
  </r>
  <r>
    <s v="09300144173"/>
    <s v="lubuskie"/>
    <s v="miasto"/>
    <n v="9"/>
    <x v="16"/>
    <n v="1"/>
    <n v="2009"/>
    <x v="1"/>
    <n v="1"/>
    <n v="20093001"/>
    <s v="01.30.2009"/>
  </r>
  <r>
    <s v="11213025230"/>
    <s v="zachodniopomorskie"/>
    <s v="wieś"/>
    <n v="11"/>
    <x v="15"/>
    <n v="30"/>
    <n v="2011"/>
    <x v="8"/>
    <n v="30"/>
    <n v="20112130"/>
    <s v="30.21.2011"/>
  </r>
  <r>
    <s v="11320429338"/>
    <s v="podlaskie"/>
    <s v="miasto"/>
    <n v="11"/>
    <x v="21"/>
    <n v="4"/>
    <n v="2011"/>
    <x v="6"/>
    <n v="4"/>
    <n v="20113204"/>
    <s v="04.32.2011"/>
  </r>
  <r>
    <s v="20312520250"/>
    <s v="pomorskie"/>
    <s v="wieś"/>
    <n v="20"/>
    <x v="23"/>
    <n v="25"/>
    <n v="2020"/>
    <x v="9"/>
    <n v="25"/>
    <n v="20203125"/>
    <s v="25.31.2020"/>
  </r>
  <r>
    <s v="14280583423"/>
    <s v="podlaskie"/>
    <s v="wieś"/>
    <n v="14"/>
    <x v="13"/>
    <n v="5"/>
    <n v="2014"/>
    <x v="3"/>
    <n v="5"/>
    <n v="20142805"/>
    <s v="05.28.2014"/>
  </r>
  <r>
    <s v="03221032757"/>
    <s v="podkarpackie"/>
    <s v="wieś"/>
    <n v="3"/>
    <x v="20"/>
    <n v="10"/>
    <n v="2003"/>
    <x v="10"/>
    <n v="10"/>
    <n v="20032210"/>
    <s v="10.22.2003"/>
  </r>
  <r>
    <s v="16291603888"/>
    <s v="mazowieckie"/>
    <s v="miasto"/>
    <n v="16"/>
    <x v="17"/>
    <n v="16"/>
    <n v="2016"/>
    <x v="5"/>
    <n v="16"/>
    <n v="20162916"/>
    <s v="16.29.2016"/>
  </r>
  <r>
    <s v="00291838700"/>
    <s v="śląskie"/>
    <s v="wieś"/>
    <n v="0"/>
    <x v="17"/>
    <n v="18"/>
    <n v="2000"/>
    <x v="5"/>
    <n v="18"/>
    <n v="20002918"/>
    <s v="18.29.2000"/>
  </r>
  <r>
    <s v="11302022001"/>
    <s v="pomorskie"/>
    <s v="wieś"/>
    <n v="11"/>
    <x v="16"/>
    <n v="20"/>
    <n v="2011"/>
    <x v="1"/>
    <n v="20"/>
    <n v="20113020"/>
    <s v="20.30.2011"/>
  </r>
  <r>
    <s v="04272000276"/>
    <s v="lubuskie"/>
    <s v="miasto"/>
    <n v="4"/>
    <x v="22"/>
    <n v="20"/>
    <n v="2004"/>
    <x v="0"/>
    <n v="20"/>
    <n v="20042720"/>
    <s v="20.27.2004"/>
  </r>
  <r>
    <s v="00262862624"/>
    <s v="podlaskie"/>
    <s v="wieś"/>
    <n v="0"/>
    <x v="19"/>
    <n v="28"/>
    <n v="2000"/>
    <x v="7"/>
    <n v="28"/>
    <n v="20002628"/>
    <s v="28.26.2000"/>
  </r>
  <r>
    <s v="07263089155"/>
    <s v="dolnośląskie"/>
    <s v="wieś"/>
    <n v="7"/>
    <x v="19"/>
    <n v="30"/>
    <n v="2007"/>
    <x v="7"/>
    <n v="30"/>
    <n v="20072630"/>
    <s v="30.26.2007"/>
  </r>
  <r>
    <s v="02210196742"/>
    <s v="mazowieckie"/>
    <s v="miasto"/>
    <n v="2"/>
    <x v="15"/>
    <n v="1"/>
    <n v="2002"/>
    <x v="8"/>
    <n v="1"/>
    <n v="20022101"/>
    <s v="01.21.2002"/>
  </r>
  <r>
    <s v="11301805012"/>
    <s v="śląskie"/>
    <s v="wieś"/>
    <n v="11"/>
    <x v="16"/>
    <n v="18"/>
    <n v="2011"/>
    <x v="1"/>
    <n v="18"/>
    <n v="20113018"/>
    <s v="18.30.2011"/>
  </r>
  <r>
    <s v="10292551560"/>
    <s v="lubuskie"/>
    <s v="wieś"/>
    <n v="10"/>
    <x v="17"/>
    <n v="25"/>
    <n v="2010"/>
    <x v="5"/>
    <n v="25"/>
    <n v="20102925"/>
    <s v="25.29.2010"/>
  </r>
  <r>
    <s v="19302646924"/>
    <s v="wielkopolskie"/>
    <s v="miasto"/>
    <n v="19"/>
    <x v="16"/>
    <n v="26"/>
    <n v="2019"/>
    <x v="1"/>
    <n v="26"/>
    <n v="20193026"/>
    <s v="26.30.2019"/>
  </r>
  <r>
    <s v="02290618927"/>
    <s v="wielkopolskie"/>
    <s v="miasto"/>
    <n v="2"/>
    <x v="17"/>
    <n v="6"/>
    <n v="2002"/>
    <x v="5"/>
    <n v="6"/>
    <n v="20022906"/>
    <s v="06.29.2002"/>
  </r>
  <r>
    <s v="01302670779"/>
    <s v="pomorskie"/>
    <s v="miasto"/>
    <n v="1"/>
    <x v="16"/>
    <n v="26"/>
    <n v="2001"/>
    <x v="1"/>
    <n v="26"/>
    <n v="20013026"/>
    <s v="26.30.2001"/>
  </r>
  <r>
    <s v="19302687224"/>
    <s v="podkarpackie"/>
    <s v="miasto"/>
    <n v="19"/>
    <x v="16"/>
    <n v="26"/>
    <n v="2019"/>
    <x v="1"/>
    <n v="26"/>
    <n v="20193026"/>
    <s v="26.30.2019"/>
  </r>
  <r>
    <s v="12260688504"/>
    <s v="wielkopolskie"/>
    <s v="miasto"/>
    <n v="12"/>
    <x v="19"/>
    <n v="6"/>
    <n v="2012"/>
    <x v="7"/>
    <n v="6"/>
    <n v="20122606"/>
    <s v="06.26.2012"/>
  </r>
  <r>
    <s v="00241654994"/>
    <s v="dolnośląskie"/>
    <s v="wieś"/>
    <n v="0"/>
    <x v="14"/>
    <n v="16"/>
    <n v="2000"/>
    <x v="2"/>
    <n v="16"/>
    <n v="20002416"/>
    <s v="16.24.2000"/>
  </r>
  <r>
    <s v="00291433332"/>
    <s v="pomorskie"/>
    <s v="wieś"/>
    <n v="0"/>
    <x v="17"/>
    <n v="14"/>
    <n v="2000"/>
    <x v="5"/>
    <n v="14"/>
    <n v="20002914"/>
    <s v="14.29.2000"/>
  </r>
  <r>
    <s v="09281659309"/>
    <s v="łódzkie"/>
    <s v="wieś"/>
    <n v="9"/>
    <x v="13"/>
    <n v="16"/>
    <n v="2009"/>
    <x v="3"/>
    <n v="16"/>
    <n v="20092816"/>
    <s v="16.28.2009"/>
  </r>
  <r>
    <s v="05271072857"/>
    <s v="śląskie"/>
    <s v="wieś"/>
    <n v="5"/>
    <x v="22"/>
    <n v="10"/>
    <n v="2005"/>
    <x v="0"/>
    <n v="10"/>
    <n v="20052710"/>
    <s v="10.27.2005"/>
  </r>
  <r>
    <s v="20222616272"/>
    <s v="łódzkie"/>
    <s v="wieś"/>
    <n v="20"/>
    <x v="20"/>
    <n v="26"/>
    <n v="2020"/>
    <x v="10"/>
    <n v="26"/>
    <n v="20202226"/>
    <s v="26.22.2020"/>
  </r>
  <r>
    <s v="02283166327"/>
    <s v="kujawsko-pomorskie"/>
    <s v="miasto"/>
    <n v="2"/>
    <x v="13"/>
    <n v="31"/>
    <n v="2002"/>
    <x v="3"/>
    <n v="31"/>
    <n v="20022831"/>
    <s v="31.28.2002"/>
  </r>
  <r>
    <s v="19231080301"/>
    <s v="śląskie"/>
    <s v="miasto"/>
    <n v="19"/>
    <x v="18"/>
    <n v="10"/>
    <n v="2019"/>
    <x v="11"/>
    <n v="10"/>
    <n v="20192310"/>
    <s v="10.23.2019"/>
  </r>
  <r>
    <s v="09301626432"/>
    <s v="lubelskie"/>
    <s v="miasto"/>
    <n v="9"/>
    <x v="16"/>
    <n v="16"/>
    <n v="2009"/>
    <x v="1"/>
    <n v="16"/>
    <n v="20093016"/>
    <s v="16.30.2009"/>
  </r>
  <r>
    <s v="12292632894"/>
    <s v="zachodniopomorskie"/>
    <s v="wieś"/>
    <n v="12"/>
    <x v="17"/>
    <n v="26"/>
    <n v="2012"/>
    <x v="5"/>
    <n v="26"/>
    <n v="20122926"/>
    <s v="26.29.2012"/>
  </r>
  <r>
    <s v="00220197337"/>
    <s v="małopolskie"/>
    <s v="miasto"/>
    <n v="0"/>
    <x v="20"/>
    <n v="1"/>
    <n v="2000"/>
    <x v="10"/>
    <n v="1"/>
    <n v="20002201"/>
    <s v="01.22.2000"/>
  </r>
  <r>
    <s v="18261827999"/>
    <s v="kujawsko-pomorskie"/>
    <s v="wieś"/>
    <n v="18"/>
    <x v="19"/>
    <n v="18"/>
    <n v="2018"/>
    <x v="7"/>
    <n v="18"/>
    <n v="20182618"/>
    <s v="18.26.2018"/>
  </r>
  <r>
    <s v="22280655817"/>
    <s v="kujawsko-pomorskie"/>
    <s v="wieś"/>
    <n v="22"/>
    <x v="13"/>
    <n v="6"/>
    <n v="2022"/>
    <x v="3"/>
    <n v="6"/>
    <n v="20222806"/>
    <s v="06.28.2022"/>
  </r>
  <r>
    <s v="21221398701"/>
    <s v="łódzkie"/>
    <s v="miasto"/>
    <n v="21"/>
    <x v="20"/>
    <n v="13"/>
    <n v="2021"/>
    <x v="10"/>
    <n v="13"/>
    <n v="20212213"/>
    <s v="13.22.2021"/>
  </r>
  <r>
    <s v="04240223735"/>
    <s v="pomorskie"/>
    <s v="wieś"/>
    <n v="4"/>
    <x v="14"/>
    <n v="2"/>
    <n v="2004"/>
    <x v="2"/>
    <n v="2"/>
    <n v="20042402"/>
    <s v="02.24.2004"/>
  </r>
  <r>
    <s v="12312469426"/>
    <s v="podkarpackie"/>
    <s v="miasto"/>
    <n v="12"/>
    <x v="23"/>
    <n v="24"/>
    <n v="2012"/>
    <x v="9"/>
    <n v="24"/>
    <n v="20123124"/>
    <s v="24.31.2012"/>
  </r>
  <r>
    <s v="09281542067"/>
    <s v="zachodniopomorskie"/>
    <s v="miasto"/>
    <n v="9"/>
    <x v="13"/>
    <n v="15"/>
    <n v="2009"/>
    <x v="3"/>
    <n v="15"/>
    <n v="20092815"/>
    <s v="15.28.2009"/>
  </r>
  <r>
    <s v="15253008956"/>
    <s v="zachodniopomorskie"/>
    <s v="miasto"/>
    <n v="15"/>
    <x v="12"/>
    <n v="30"/>
    <n v="2015"/>
    <x v="4"/>
    <n v="30"/>
    <n v="20152530"/>
    <s v="30.25.2015"/>
  </r>
  <r>
    <s v="10220968532"/>
    <s v="mazowieckie"/>
    <s v="wieś"/>
    <n v="10"/>
    <x v="20"/>
    <n v="9"/>
    <n v="2010"/>
    <x v="10"/>
    <n v="9"/>
    <n v="20102209"/>
    <s v="09.22.2010"/>
  </r>
  <r>
    <s v="05231406151"/>
    <s v="pomorskie"/>
    <s v="wieś"/>
    <n v="5"/>
    <x v="18"/>
    <n v="14"/>
    <n v="2005"/>
    <x v="11"/>
    <n v="14"/>
    <n v="20052314"/>
    <s v="14.23.2005"/>
  </r>
  <r>
    <s v="04312426006"/>
    <s v="lubelskie"/>
    <s v="miasto"/>
    <n v="4"/>
    <x v="23"/>
    <n v="24"/>
    <n v="2004"/>
    <x v="9"/>
    <n v="24"/>
    <n v="20043124"/>
    <s v="24.31.2004"/>
  </r>
  <r>
    <s v="22290577994"/>
    <s v="małopolskie"/>
    <s v="miasto"/>
    <n v="22"/>
    <x v="17"/>
    <n v="5"/>
    <n v="2022"/>
    <x v="5"/>
    <n v="5"/>
    <n v="20222905"/>
    <s v="05.29.2022"/>
  </r>
  <r>
    <s v="19280922601"/>
    <s v="zachodniopomorskie"/>
    <s v="wieś"/>
    <n v="19"/>
    <x v="13"/>
    <n v="9"/>
    <n v="2019"/>
    <x v="3"/>
    <n v="9"/>
    <n v="20192809"/>
    <s v="09.28.2019"/>
  </r>
  <r>
    <s v="11251095756"/>
    <s v="dolnośląskie"/>
    <s v="miasto"/>
    <n v="11"/>
    <x v="12"/>
    <n v="10"/>
    <n v="2011"/>
    <x v="4"/>
    <n v="10"/>
    <n v="20112510"/>
    <s v="10.25.2011"/>
  </r>
  <r>
    <s v="06220429652"/>
    <s v="mazowieckie"/>
    <s v="wieś"/>
    <n v="6"/>
    <x v="20"/>
    <n v="4"/>
    <n v="2006"/>
    <x v="10"/>
    <n v="4"/>
    <n v="20062204"/>
    <s v="04.22.2006"/>
  </r>
  <r>
    <s v="07282107661"/>
    <s v="zachodniopomorskie"/>
    <s v="wieś"/>
    <n v="7"/>
    <x v="13"/>
    <n v="21"/>
    <n v="2007"/>
    <x v="3"/>
    <n v="21"/>
    <n v="20072821"/>
    <s v="21.28.2007"/>
  </r>
  <r>
    <s v="00321275130"/>
    <s v="śląskie"/>
    <s v="miasto"/>
    <n v="0"/>
    <x v="21"/>
    <n v="12"/>
    <n v="2000"/>
    <x v="6"/>
    <n v="12"/>
    <n v="20003212"/>
    <s v="12.32.2000"/>
  </r>
  <r>
    <s v="17230169162"/>
    <s v="wielkopolskie"/>
    <s v="wieś"/>
    <n v="17"/>
    <x v="18"/>
    <n v="1"/>
    <n v="2017"/>
    <x v="11"/>
    <n v="1"/>
    <n v="20172301"/>
    <s v="01.23.2017"/>
  </r>
  <r>
    <s v="10252988317"/>
    <s v="śląskie"/>
    <s v="wieś"/>
    <n v="10"/>
    <x v="12"/>
    <n v="29"/>
    <n v="2010"/>
    <x v="4"/>
    <n v="29"/>
    <n v="20102529"/>
    <s v="29.25.2010"/>
  </r>
  <r>
    <s v="11221946127"/>
    <s v="warmińsko-mazurskie"/>
    <s v="miasto"/>
    <n v="11"/>
    <x v="20"/>
    <n v="19"/>
    <n v="2011"/>
    <x v="10"/>
    <n v="19"/>
    <n v="20112219"/>
    <s v="19.22.2011"/>
  </r>
  <r>
    <s v="01262279216"/>
    <s v="podlaskie"/>
    <s v="wieś"/>
    <n v="1"/>
    <x v="19"/>
    <n v="22"/>
    <n v="2001"/>
    <x v="7"/>
    <n v="22"/>
    <n v="20012622"/>
    <s v="22.26.2001"/>
  </r>
  <r>
    <s v="08232997710"/>
    <s v="podlaskie"/>
    <s v="miasto"/>
    <n v="8"/>
    <x v="18"/>
    <n v="29"/>
    <n v="2008"/>
    <x v="11"/>
    <n v="29"/>
    <n v="20082329"/>
    <s v="29.23.2008"/>
  </r>
  <r>
    <s v="15252065891"/>
    <s v="zachodniopomorskie"/>
    <s v="wieś"/>
    <n v="15"/>
    <x v="12"/>
    <n v="20"/>
    <n v="2015"/>
    <x v="4"/>
    <n v="20"/>
    <n v="20152520"/>
    <s v="20.25.2015"/>
  </r>
  <r>
    <s v="12270628460"/>
    <s v="lubelskie"/>
    <s v="miasto"/>
    <n v="12"/>
    <x v="22"/>
    <n v="6"/>
    <n v="2012"/>
    <x v="0"/>
    <n v="6"/>
    <n v="20122706"/>
    <s v="06.27.2012"/>
  </r>
  <r>
    <s v="06292817353"/>
    <s v="zachodniopomorskie"/>
    <s v="wieś"/>
    <n v="6"/>
    <x v="17"/>
    <n v="28"/>
    <n v="2006"/>
    <x v="5"/>
    <n v="28"/>
    <n v="20062928"/>
    <s v="28.29.2006"/>
  </r>
  <r>
    <s v="20251246970"/>
    <s v="wielkopolskie"/>
    <s v="miasto"/>
    <n v="20"/>
    <x v="12"/>
    <n v="12"/>
    <n v="2020"/>
    <x v="4"/>
    <n v="12"/>
    <n v="20202512"/>
    <s v="12.25.2020"/>
  </r>
  <r>
    <s v="15240174587"/>
    <s v="małopolskie"/>
    <s v="wieś"/>
    <n v="15"/>
    <x v="14"/>
    <n v="1"/>
    <n v="2015"/>
    <x v="2"/>
    <n v="1"/>
    <n v="20152401"/>
    <s v="01.24.2015"/>
  </r>
  <r>
    <s v="12220617492"/>
    <s v="wielkopolskie"/>
    <s v="wieś"/>
    <n v="12"/>
    <x v="20"/>
    <n v="6"/>
    <n v="2012"/>
    <x v="10"/>
    <n v="6"/>
    <n v="20122206"/>
    <s v="06.22.2012"/>
  </r>
  <r>
    <s v="01233090512"/>
    <s v="mazowieckie"/>
    <s v="wieś"/>
    <n v="1"/>
    <x v="18"/>
    <n v="30"/>
    <n v="2001"/>
    <x v="11"/>
    <n v="30"/>
    <n v="20012330"/>
    <s v="30.23.2001"/>
  </r>
  <r>
    <s v="03311712479"/>
    <s v="warmińsko-mazurskie"/>
    <s v="miasto"/>
    <n v="3"/>
    <x v="23"/>
    <n v="17"/>
    <n v="2003"/>
    <x v="9"/>
    <n v="17"/>
    <n v="20033117"/>
    <s v="17.31.2003"/>
  </r>
  <r>
    <s v="05261564690"/>
    <s v="świętokrzyskie"/>
    <s v="wieś"/>
    <n v="5"/>
    <x v="19"/>
    <n v="15"/>
    <n v="2005"/>
    <x v="7"/>
    <n v="15"/>
    <n v="20052615"/>
    <s v="15.26.2005"/>
  </r>
  <r>
    <s v="19312698724"/>
    <s v="wielkopolskie"/>
    <s v="wieś"/>
    <n v="19"/>
    <x v="23"/>
    <n v="26"/>
    <n v="2019"/>
    <x v="9"/>
    <n v="26"/>
    <n v="20193126"/>
    <s v="26.31.2019"/>
  </r>
  <r>
    <s v="16291742480"/>
    <s v="łódzkie"/>
    <s v="miasto"/>
    <n v="16"/>
    <x v="17"/>
    <n v="17"/>
    <n v="2016"/>
    <x v="5"/>
    <n v="17"/>
    <n v="20162917"/>
    <s v="17.29.2016"/>
  </r>
  <r>
    <s v="07221031648"/>
    <s v="kujawsko-pomorskie"/>
    <s v="miasto"/>
    <n v="7"/>
    <x v="20"/>
    <n v="10"/>
    <n v="2007"/>
    <x v="10"/>
    <n v="10"/>
    <n v="20072210"/>
    <s v="10.22.2007"/>
  </r>
  <r>
    <s v="06271769888"/>
    <s v="opolskie"/>
    <s v="wieś"/>
    <n v="6"/>
    <x v="22"/>
    <n v="17"/>
    <n v="2006"/>
    <x v="0"/>
    <n v="17"/>
    <n v="20062717"/>
    <s v="17.27.2006"/>
  </r>
  <r>
    <s v="18230851693"/>
    <s v="opolskie"/>
    <s v="miasto"/>
    <n v="18"/>
    <x v="18"/>
    <n v="8"/>
    <n v="2018"/>
    <x v="11"/>
    <n v="8"/>
    <n v="20182308"/>
    <s v="08.23.2018"/>
  </r>
  <r>
    <s v="17251583819"/>
    <s v="pomorskie"/>
    <s v="miasto"/>
    <n v="17"/>
    <x v="12"/>
    <n v="15"/>
    <n v="2017"/>
    <x v="4"/>
    <n v="15"/>
    <n v="20172515"/>
    <s v="15.25.2017"/>
  </r>
  <r>
    <s v="19222247988"/>
    <s v="opolskie"/>
    <s v="miasto"/>
    <n v="19"/>
    <x v="20"/>
    <n v="22"/>
    <n v="2019"/>
    <x v="10"/>
    <n v="22"/>
    <n v="20192222"/>
    <s v="22.22.2019"/>
  </r>
  <r>
    <s v="21291587975"/>
    <s v="pomorskie"/>
    <s v="miasto"/>
    <n v="21"/>
    <x v="17"/>
    <n v="15"/>
    <n v="2021"/>
    <x v="5"/>
    <n v="15"/>
    <n v="20212915"/>
    <s v="15.29.2021"/>
  </r>
  <r>
    <s v="20251580243"/>
    <s v="opolskie"/>
    <s v="miasto"/>
    <n v="20"/>
    <x v="12"/>
    <n v="15"/>
    <n v="2020"/>
    <x v="4"/>
    <n v="15"/>
    <n v="20202515"/>
    <s v="15.25.2020"/>
  </r>
  <r>
    <s v="04292335426"/>
    <s v="kujawsko-pomorskie"/>
    <s v="miasto"/>
    <n v="4"/>
    <x v="17"/>
    <n v="23"/>
    <n v="2004"/>
    <x v="5"/>
    <n v="23"/>
    <n v="20042923"/>
    <s v="23.29.2004"/>
  </r>
  <r>
    <s v="19212365544"/>
    <s v="opolskie"/>
    <s v="wieś"/>
    <n v="19"/>
    <x v="15"/>
    <n v="23"/>
    <n v="2019"/>
    <x v="8"/>
    <n v="23"/>
    <n v="20192123"/>
    <s v="23.21.2019"/>
  </r>
  <r>
    <s v="03212825508"/>
    <s v="zachodniopomorskie"/>
    <s v="miasto"/>
    <n v="3"/>
    <x v="15"/>
    <n v="28"/>
    <n v="2003"/>
    <x v="8"/>
    <n v="28"/>
    <n v="20032128"/>
    <s v="28.21.2003"/>
  </r>
  <r>
    <s v="08231950989"/>
    <s v="dolnośląskie"/>
    <s v="miasto"/>
    <n v="8"/>
    <x v="18"/>
    <n v="19"/>
    <n v="2008"/>
    <x v="11"/>
    <n v="19"/>
    <n v="20082319"/>
    <s v="19.23.2008"/>
  </r>
  <r>
    <s v="18290225326"/>
    <s v="dolnośląskie"/>
    <s v="wieś"/>
    <n v="18"/>
    <x v="17"/>
    <n v="2"/>
    <n v="2018"/>
    <x v="5"/>
    <n v="2"/>
    <n v="20182902"/>
    <s v="02.29.2018"/>
  </r>
  <r>
    <s v="14270954859"/>
    <s v="małopolskie"/>
    <s v="miasto"/>
    <n v="14"/>
    <x v="22"/>
    <n v="9"/>
    <n v="2014"/>
    <x v="0"/>
    <n v="9"/>
    <n v="20142709"/>
    <s v="09.27.2014"/>
  </r>
  <r>
    <s v="21320534080"/>
    <s v="zachodniopomorskie"/>
    <s v="wieś"/>
    <n v="21"/>
    <x v="21"/>
    <n v="5"/>
    <n v="2021"/>
    <x v="6"/>
    <n v="5"/>
    <n v="20213205"/>
    <s v="05.32.2021"/>
  </r>
  <r>
    <s v="15280299664"/>
    <s v="podlaskie"/>
    <s v="miasto"/>
    <n v="15"/>
    <x v="13"/>
    <n v="2"/>
    <n v="2015"/>
    <x v="3"/>
    <n v="2"/>
    <n v="20152802"/>
    <s v="02.28.2015"/>
  </r>
  <r>
    <s v="08231643490"/>
    <s v="warmińsko-mazurskie"/>
    <s v="wieś"/>
    <n v="8"/>
    <x v="18"/>
    <n v="16"/>
    <n v="2008"/>
    <x v="11"/>
    <n v="16"/>
    <n v="20082316"/>
    <s v="16.23.2008"/>
  </r>
  <r>
    <s v="04272996258"/>
    <s v="podkarpackie"/>
    <s v="miasto"/>
    <n v="4"/>
    <x v="22"/>
    <n v="29"/>
    <n v="2004"/>
    <x v="0"/>
    <n v="29"/>
    <n v="20042729"/>
    <s v="29.27.2004"/>
  </r>
  <r>
    <s v="06290719237"/>
    <s v="łódzkie"/>
    <s v="wieś"/>
    <n v="6"/>
    <x v="17"/>
    <n v="7"/>
    <n v="2006"/>
    <x v="5"/>
    <n v="7"/>
    <n v="20062907"/>
    <s v="07.29.2006"/>
  </r>
  <r>
    <s v="00301200651"/>
    <s v="śląskie"/>
    <s v="wieś"/>
    <n v="0"/>
    <x v="16"/>
    <n v="12"/>
    <n v="2000"/>
    <x v="1"/>
    <n v="12"/>
    <n v="20003012"/>
    <s v="12.30.2000"/>
  </r>
  <r>
    <s v="18211262029"/>
    <s v="mazowieckie"/>
    <s v="miasto"/>
    <n v="18"/>
    <x v="15"/>
    <n v="12"/>
    <n v="2018"/>
    <x v="8"/>
    <n v="12"/>
    <n v="20182112"/>
    <s v="12.21.2018"/>
  </r>
  <r>
    <s v="05282383166"/>
    <s v="mazowieckie"/>
    <s v="wieś"/>
    <n v="5"/>
    <x v="13"/>
    <n v="23"/>
    <n v="2005"/>
    <x v="3"/>
    <n v="23"/>
    <n v="20052823"/>
    <s v="23.28.2005"/>
  </r>
  <r>
    <s v="18241417767"/>
    <s v="wielkopolskie"/>
    <s v="wieś"/>
    <n v="18"/>
    <x v="14"/>
    <n v="14"/>
    <n v="2018"/>
    <x v="2"/>
    <n v="14"/>
    <n v="20182414"/>
    <s v="14.24.2018"/>
  </r>
  <r>
    <s v="16312049086"/>
    <s v="dolnośląskie"/>
    <s v="miasto"/>
    <n v="16"/>
    <x v="23"/>
    <n v="20"/>
    <n v="2016"/>
    <x v="9"/>
    <n v="20"/>
    <n v="20163120"/>
    <s v="20.31.2016"/>
  </r>
  <r>
    <s v="09321581591"/>
    <s v="małopolskie"/>
    <s v="wieś"/>
    <n v="9"/>
    <x v="21"/>
    <n v="15"/>
    <n v="2009"/>
    <x v="6"/>
    <n v="15"/>
    <n v="20093215"/>
    <s v="15.32.2009"/>
  </r>
  <r>
    <s v="08271795313"/>
    <s v="lubelskie"/>
    <s v="miasto"/>
    <n v="8"/>
    <x v="22"/>
    <n v="17"/>
    <n v="2008"/>
    <x v="0"/>
    <n v="17"/>
    <n v="20082717"/>
    <s v="17.27.2008"/>
  </r>
  <r>
    <s v="10311034407"/>
    <s v="małopolskie"/>
    <s v="miasto"/>
    <n v="10"/>
    <x v="23"/>
    <n v="10"/>
    <n v="2010"/>
    <x v="9"/>
    <n v="10"/>
    <n v="20103110"/>
    <s v="10.31.2010"/>
  </r>
  <r>
    <s v="14281264761"/>
    <s v="łódzkie"/>
    <s v="wieś"/>
    <n v="14"/>
    <x v="13"/>
    <n v="12"/>
    <n v="2014"/>
    <x v="3"/>
    <n v="12"/>
    <n v="20142812"/>
    <s v="12.28.2014"/>
  </r>
  <r>
    <s v="03241511191"/>
    <s v="mazowieckie"/>
    <s v="miasto"/>
    <n v="3"/>
    <x v="14"/>
    <n v="15"/>
    <n v="2003"/>
    <x v="2"/>
    <n v="15"/>
    <n v="20032415"/>
    <s v="15.24.2003"/>
  </r>
  <r>
    <s v="02272037384"/>
    <s v="wielkopolskie"/>
    <s v="wieś"/>
    <n v="2"/>
    <x v="22"/>
    <n v="20"/>
    <n v="2002"/>
    <x v="0"/>
    <n v="20"/>
    <n v="20022720"/>
    <s v="20.27.2002"/>
  </r>
  <r>
    <s v="17282315085"/>
    <s v="mazowieckie"/>
    <s v="wieś"/>
    <n v="17"/>
    <x v="13"/>
    <n v="23"/>
    <n v="2017"/>
    <x v="3"/>
    <n v="23"/>
    <n v="20172823"/>
    <s v="23.28.2017"/>
  </r>
  <r>
    <s v="03241893396"/>
    <s v="pomorskie"/>
    <s v="miasto"/>
    <n v="3"/>
    <x v="14"/>
    <n v="18"/>
    <n v="2003"/>
    <x v="2"/>
    <n v="18"/>
    <n v="20032418"/>
    <s v="18.24.2003"/>
  </r>
  <r>
    <s v="10210725761"/>
    <s v="małopolskie"/>
    <s v="miasto"/>
    <n v="10"/>
    <x v="15"/>
    <n v="7"/>
    <n v="2010"/>
    <x v="8"/>
    <n v="7"/>
    <n v="20102107"/>
    <s v="07.21.2010"/>
  </r>
  <r>
    <s v="12310765821"/>
    <s v="łódzkie"/>
    <s v="wieś"/>
    <n v="12"/>
    <x v="23"/>
    <n v="7"/>
    <n v="2012"/>
    <x v="9"/>
    <n v="7"/>
    <n v="20123107"/>
    <s v="07.31.2012"/>
  </r>
  <r>
    <s v="14262881374"/>
    <s v="lubelskie"/>
    <s v="miasto"/>
    <n v="14"/>
    <x v="19"/>
    <n v="28"/>
    <n v="2014"/>
    <x v="7"/>
    <n v="28"/>
    <n v="20142628"/>
    <s v="28.26.2014"/>
  </r>
  <r>
    <s v="16221452829"/>
    <s v="zachodniopomorskie"/>
    <s v="miasto"/>
    <n v="16"/>
    <x v="20"/>
    <n v="14"/>
    <n v="2016"/>
    <x v="10"/>
    <n v="14"/>
    <n v="20162214"/>
    <s v="14.22.2016"/>
  </r>
  <r>
    <s v="06240977898"/>
    <s v="warmińsko-mazurskie"/>
    <s v="wieś"/>
    <n v="6"/>
    <x v="14"/>
    <n v="9"/>
    <n v="2006"/>
    <x v="2"/>
    <n v="9"/>
    <n v="20062409"/>
    <s v="09.24.2006"/>
  </r>
  <r>
    <s v="20231233552"/>
    <s v="małopolskie"/>
    <s v="wieś"/>
    <n v="20"/>
    <x v="18"/>
    <n v="12"/>
    <n v="2020"/>
    <x v="11"/>
    <n v="12"/>
    <n v="20202312"/>
    <s v="12.23.2020"/>
  </r>
  <r>
    <s v="02260903279"/>
    <s v="wielkopolskie"/>
    <s v="miasto"/>
    <n v="2"/>
    <x v="19"/>
    <n v="9"/>
    <n v="2002"/>
    <x v="7"/>
    <n v="9"/>
    <n v="20022609"/>
    <s v="09.26.2002"/>
  </r>
  <r>
    <s v="15300457836"/>
    <s v="zachodniopomorskie"/>
    <s v="miasto"/>
    <n v="15"/>
    <x v="16"/>
    <n v="4"/>
    <n v="2015"/>
    <x v="1"/>
    <n v="4"/>
    <n v="20153004"/>
    <s v="04.30.2015"/>
  </r>
  <r>
    <s v="12241643573"/>
    <s v="świętokrzyskie"/>
    <s v="wieś"/>
    <n v="12"/>
    <x v="14"/>
    <n v="16"/>
    <n v="2012"/>
    <x v="2"/>
    <n v="16"/>
    <n v="20122416"/>
    <s v="16.24.2012"/>
  </r>
  <r>
    <s v="13222492508"/>
    <s v="śląskie"/>
    <s v="miasto"/>
    <n v="13"/>
    <x v="20"/>
    <n v="24"/>
    <n v="2013"/>
    <x v="10"/>
    <n v="24"/>
    <n v="20132224"/>
    <s v="24.22.2013"/>
  </r>
  <r>
    <s v="20303175236"/>
    <s v="lubuskie"/>
    <s v="wieś"/>
    <n v="20"/>
    <x v="16"/>
    <n v="31"/>
    <n v="2020"/>
    <x v="1"/>
    <n v="31"/>
    <n v="20203031"/>
    <s v="31.30.2020"/>
  </r>
  <r>
    <s v="14271835467"/>
    <s v="wielkopolskie"/>
    <s v="wieś"/>
    <n v="14"/>
    <x v="22"/>
    <n v="18"/>
    <n v="2014"/>
    <x v="0"/>
    <n v="18"/>
    <n v="20142718"/>
    <s v="18.27.2014"/>
  </r>
  <r>
    <s v="06220350891"/>
    <s v="świętokrzyskie"/>
    <s v="wieś"/>
    <n v="6"/>
    <x v="20"/>
    <n v="3"/>
    <n v="2006"/>
    <x v="10"/>
    <n v="3"/>
    <n v="20062203"/>
    <s v="03.22.2006"/>
  </r>
  <r>
    <s v="07231617603"/>
    <s v="mazowieckie"/>
    <s v="wieś"/>
    <n v="7"/>
    <x v="18"/>
    <n v="16"/>
    <n v="2007"/>
    <x v="11"/>
    <n v="16"/>
    <n v="20072316"/>
    <s v="16.23.2007"/>
  </r>
  <r>
    <s v="07282120738"/>
    <s v="wielkopolskie"/>
    <s v="wieś"/>
    <n v="7"/>
    <x v="13"/>
    <n v="21"/>
    <n v="2007"/>
    <x v="3"/>
    <n v="21"/>
    <n v="20072821"/>
    <s v="21.28.2007"/>
  </r>
  <r>
    <s v="13242793243"/>
    <s v="podkarpackie"/>
    <s v="miasto"/>
    <n v="13"/>
    <x v="14"/>
    <n v="27"/>
    <n v="2013"/>
    <x v="2"/>
    <n v="27"/>
    <n v="20132427"/>
    <s v="27.24.2013"/>
  </r>
  <r>
    <s v="22270105250"/>
    <s v="łódzkie"/>
    <s v="miasto"/>
    <n v="22"/>
    <x v="22"/>
    <n v="1"/>
    <n v="2022"/>
    <x v="0"/>
    <n v="1"/>
    <n v="20222701"/>
    <s v="01.27.2022"/>
  </r>
  <r>
    <s v="15220359519"/>
    <s v="zachodniopomorskie"/>
    <s v="miasto"/>
    <n v="15"/>
    <x v="20"/>
    <n v="3"/>
    <n v="2015"/>
    <x v="10"/>
    <n v="3"/>
    <n v="20152203"/>
    <s v="03.22.2015"/>
  </r>
  <r>
    <s v="16323024481"/>
    <s v="podlaskie"/>
    <s v="miasto"/>
    <n v="16"/>
    <x v="21"/>
    <n v="30"/>
    <n v="2016"/>
    <x v="6"/>
    <n v="30"/>
    <n v="20163230"/>
    <s v="30.32.2016"/>
  </r>
  <r>
    <s v="17212907508"/>
    <s v="podlaskie"/>
    <s v="wieś"/>
    <n v="17"/>
    <x v="15"/>
    <n v="29"/>
    <n v="2017"/>
    <x v="8"/>
    <n v="29"/>
    <n v="20172129"/>
    <s v="29.21.2017"/>
  </r>
  <r>
    <s v="06280926629"/>
    <s v="świętokrzyskie"/>
    <s v="miasto"/>
    <n v="6"/>
    <x v="13"/>
    <n v="9"/>
    <n v="2006"/>
    <x v="3"/>
    <n v="9"/>
    <n v="20062809"/>
    <s v="09.28.2006"/>
  </r>
  <r>
    <s v="20301201520"/>
    <s v="podkarpackie"/>
    <s v="miasto"/>
    <n v="20"/>
    <x v="16"/>
    <n v="12"/>
    <n v="2020"/>
    <x v="1"/>
    <n v="12"/>
    <n v="20203012"/>
    <s v="12.30.2020"/>
  </r>
  <r>
    <s v="01300883719"/>
    <s v="zachodniopomorskie"/>
    <s v="miasto"/>
    <n v="1"/>
    <x v="16"/>
    <n v="8"/>
    <n v="2001"/>
    <x v="1"/>
    <n v="8"/>
    <n v="20013008"/>
    <s v="08.30.2001"/>
  </r>
  <r>
    <s v="21292867504"/>
    <s v="zachodniopomorskie"/>
    <s v="miasto"/>
    <n v="21"/>
    <x v="17"/>
    <n v="28"/>
    <n v="2021"/>
    <x v="5"/>
    <n v="28"/>
    <n v="20212928"/>
    <s v="28.29.2021"/>
  </r>
  <r>
    <s v="09310931990"/>
    <s v="opolskie"/>
    <s v="miasto"/>
    <n v="9"/>
    <x v="23"/>
    <n v="9"/>
    <n v="2009"/>
    <x v="9"/>
    <n v="9"/>
    <n v="20093109"/>
    <s v="09.31.2009"/>
  </r>
  <r>
    <s v="00301923628"/>
    <s v="śląskie"/>
    <s v="miasto"/>
    <n v="0"/>
    <x v="16"/>
    <n v="19"/>
    <n v="2000"/>
    <x v="1"/>
    <n v="19"/>
    <n v="20003019"/>
    <s v="19.30.2000"/>
  </r>
  <r>
    <s v="01241320263"/>
    <s v="podkarpackie"/>
    <s v="miasto"/>
    <n v="1"/>
    <x v="14"/>
    <n v="13"/>
    <n v="2001"/>
    <x v="2"/>
    <n v="13"/>
    <n v="20012413"/>
    <s v="13.24.2001"/>
  </r>
  <r>
    <s v="20242260107"/>
    <s v="świętokrzyskie"/>
    <s v="wieś"/>
    <n v="20"/>
    <x v="14"/>
    <n v="22"/>
    <n v="2020"/>
    <x v="2"/>
    <n v="22"/>
    <n v="20202422"/>
    <s v="22.24.2020"/>
  </r>
  <r>
    <s v="00231165855"/>
    <s v="świętokrzyskie"/>
    <s v="wieś"/>
    <n v="0"/>
    <x v="18"/>
    <n v="11"/>
    <n v="2000"/>
    <x v="11"/>
    <n v="11"/>
    <n v="20002311"/>
    <s v="11.23.2000"/>
  </r>
  <r>
    <s v="15272639593"/>
    <s v="podkarpackie"/>
    <s v="wieś"/>
    <n v="15"/>
    <x v="22"/>
    <n v="26"/>
    <n v="2015"/>
    <x v="0"/>
    <n v="26"/>
    <n v="20152726"/>
    <s v="26.27.2015"/>
  </r>
  <r>
    <s v="22302366035"/>
    <s v="zachodniopomorskie"/>
    <s v="wieś"/>
    <n v="22"/>
    <x v="16"/>
    <n v="23"/>
    <n v="2022"/>
    <x v="1"/>
    <n v="23"/>
    <n v="20223023"/>
    <s v="23.30.2022"/>
  </r>
  <r>
    <s v="17241573501"/>
    <s v="małopolskie"/>
    <s v="miasto"/>
    <n v="17"/>
    <x v="14"/>
    <n v="15"/>
    <n v="2017"/>
    <x v="2"/>
    <n v="15"/>
    <n v="20172415"/>
    <s v="15.24.2017"/>
  </r>
  <r>
    <s v="11272916382"/>
    <s v="małopolskie"/>
    <s v="miasto"/>
    <n v="11"/>
    <x v="22"/>
    <n v="29"/>
    <n v="2011"/>
    <x v="0"/>
    <n v="29"/>
    <n v="20112729"/>
    <s v="29.27.2011"/>
  </r>
  <r>
    <s v="15323100788"/>
    <s v="podlaskie"/>
    <s v="wieś"/>
    <n v="15"/>
    <x v="21"/>
    <n v="31"/>
    <n v="2015"/>
    <x v="6"/>
    <n v="31"/>
    <n v="20153231"/>
    <s v="31.32.2015"/>
  </r>
  <r>
    <s v="09262218954"/>
    <s v="pomorskie"/>
    <s v="wieś"/>
    <n v="9"/>
    <x v="19"/>
    <n v="22"/>
    <n v="2009"/>
    <x v="7"/>
    <n v="22"/>
    <n v="20092622"/>
    <s v="22.26.2009"/>
  </r>
  <r>
    <s v="21220692011"/>
    <s v="kujawsko-pomorskie"/>
    <s v="wieś"/>
    <n v="21"/>
    <x v="20"/>
    <n v="6"/>
    <n v="2021"/>
    <x v="10"/>
    <n v="6"/>
    <n v="20212206"/>
    <s v="06.22.2021"/>
  </r>
  <r>
    <s v="08321684273"/>
    <s v="podlaskie"/>
    <s v="wieś"/>
    <n v="8"/>
    <x v="21"/>
    <n v="16"/>
    <n v="2008"/>
    <x v="6"/>
    <n v="16"/>
    <n v="20083216"/>
    <s v="16.32.2008"/>
  </r>
  <r>
    <s v="04322129955"/>
    <s v="świętokrzyskie"/>
    <s v="wieś"/>
    <n v="4"/>
    <x v="21"/>
    <n v="21"/>
    <n v="2004"/>
    <x v="6"/>
    <n v="21"/>
    <n v="20043221"/>
    <s v="21.32.2004"/>
  </r>
  <r>
    <s v="10301730326"/>
    <s v="pomorskie"/>
    <s v="wieś"/>
    <n v="10"/>
    <x v="16"/>
    <n v="17"/>
    <n v="2010"/>
    <x v="1"/>
    <n v="17"/>
    <n v="20103017"/>
    <s v="17.30.2010"/>
  </r>
  <r>
    <s v="09271604865"/>
    <s v="opolskie"/>
    <s v="miasto"/>
    <n v="9"/>
    <x v="22"/>
    <n v="16"/>
    <n v="2009"/>
    <x v="0"/>
    <n v="16"/>
    <n v="20092716"/>
    <s v="16.27.2009"/>
  </r>
  <r>
    <s v="18320126005"/>
    <s v="podkarpackie"/>
    <s v="miasto"/>
    <n v="18"/>
    <x v="21"/>
    <n v="1"/>
    <n v="2018"/>
    <x v="6"/>
    <n v="1"/>
    <n v="20183201"/>
    <s v="01.32.2018"/>
  </r>
  <r>
    <s v="10262232318"/>
    <s v="pomorskie"/>
    <s v="wieś"/>
    <n v="10"/>
    <x v="19"/>
    <n v="22"/>
    <n v="2010"/>
    <x v="7"/>
    <n v="22"/>
    <n v="20102622"/>
    <s v="22.26.2010"/>
  </r>
  <r>
    <s v="21303122839"/>
    <s v="świętokrzyskie"/>
    <s v="miasto"/>
    <n v="21"/>
    <x v="16"/>
    <n v="31"/>
    <n v="2021"/>
    <x v="1"/>
    <n v="31"/>
    <n v="20213031"/>
    <s v="31.30.2021"/>
  </r>
  <r>
    <s v="10293014169"/>
    <s v="dolnośląskie"/>
    <s v="wieś"/>
    <n v="10"/>
    <x v="17"/>
    <n v="30"/>
    <n v="2010"/>
    <x v="5"/>
    <n v="30"/>
    <n v="20102930"/>
    <s v="30.29.2010"/>
  </r>
  <r>
    <s v="09210120492"/>
    <s v="kujawsko-pomorskie"/>
    <s v="wieś"/>
    <n v="9"/>
    <x v="15"/>
    <n v="1"/>
    <n v="2009"/>
    <x v="8"/>
    <n v="1"/>
    <n v="20092101"/>
    <s v="01.21.2009"/>
  </r>
  <r>
    <s v="20260451486"/>
    <s v="śląskie"/>
    <s v="miasto"/>
    <n v="20"/>
    <x v="19"/>
    <n v="4"/>
    <n v="2020"/>
    <x v="7"/>
    <n v="4"/>
    <n v="20202604"/>
    <s v="04.26.2020"/>
  </r>
  <r>
    <s v="17302231740"/>
    <s v="śląskie"/>
    <s v="wieś"/>
    <n v="17"/>
    <x v="16"/>
    <n v="22"/>
    <n v="2017"/>
    <x v="1"/>
    <n v="22"/>
    <n v="20173022"/>
    <s v="22.30.2017"/>
  </r>
  <r>
    <s v="02320253199"/>
    <s v="wielkopolskie"/>
    <s v="wieś"/>
    <n v="2"/>
    <x v="21"/>
    <n v="2"/>
    <n v="2002"/>
    <x v="6"/>
    <n v="2"/>
    <n v="20023202"/>
    <s v="02.32.2002"/>
  </r>
  <r>
    <s v="18260366309"/>
    <s v="śląskie"/>
    <s v="miasto"/>
    <n v="18"/>
    <x v="19"/>
    <n v="3"/>
    <n v="2018"/>
    <x v="7"/>
    <n v="3"/>
    <n v="20182603"/>
    <s v="03.26.2018"/>
  </r>
  <r>
    <s v="04222956169"/>
    <s v="śląskie"/>
    <s v="wieś"/>
    <n v="4"/>
    <x v="20"/>
    <n v="29"/>
    <n v="2004"/>
    <x v="10"/>
    <n v="29"/>
    <n v="20042229"/>
    <s v="29.22.2004"/>
  </r>
  <r>
    <s v="05261270230"/>
    <s v="podlaskie"/>
    <s v="wieś"/>
    <n v="5"/>
    <x v="19"/>
    <n v="12"/>
    <n v="2005"/>
    <x v="7"/>
    <n v="12"/>
    <n v="20052612"/>
    <s v="12.26.2005"/>
  </r>
  <r>
    <s v="15320635728"/>
    <s v="małopolskie"/>
    <s v="wieś"/>
    <n v="15"/>
    <x v="21"/>
    <n v="6"/>
    <n v="2015"/>
    <x v="6"/>
    <n v="6"/>
    <n v="20153206"/>
    <s v="06.32.2015"/>
  </r>
  <r>
    <s v="14292679651"/>
    <s v="małopolskie"/>
    <s v="miasto"/>
    <n v="14"/>
    <x v="17"/>
    <n v="26"/>
    <n v="2014"/>
    <x v="5"/>
    <n v="26"/>
    <n v="20142926"/>
    <s v="26.29.2014"/>
  </r>
  <r>
    <s v="15210368107"/>
    <s v="kujawsko-pomorskie"/>
    <s v="wieś"/>
    <n v="15"/>
    <x v="15"/>
    <n v="3"/>
    <n v="2015"/>
    <x v="8"/>
    <n v="3"/>
    <n v="20152103"/>
    <s v="03.21.2015"/>
  </r>
  <r>
    <s v="11282868178"/>
    <s v="łódzkie"/>
    <s v="miasto"/>
    <n v="11"/>
    <x v="13"/>
    <n v="28"/>
    <n v="2011"/>
    <x v="3"/>
    <n v="28"/>
    <n v="20112828"/>
    <s v="28.28.2011"/>
  </r>
  <r>
    <s v="21270839187"/>
    <s v="podlaskie"/>
    <s v="miasto"/>
    <n v="21"/>
    <x v="22"/>
    <n v="8"/>
    <n v="2021"/>
    <x v="0"/>
    <n v="8"/>
    <n v="20212708"/>
    <s v="08.27.2021"/>
  </r>
  <r>
    <s v="07271839036"/>
    <s v="lubelskie"/>
    <s v="wieś"/>
    <n v="7"/>
    <x v="22"/>
    <n v="18"/>
    <n v="2007"/>
    <x v="0"/>
    <n v="18"/>
    <n v="20072718"/>
    <s v="18.27.2007"/>
  </r>
  <r>
    <s v="05281893493"/>
    <s v="dolnośląskie"/>
    <s v="miasto"/>
    <n v="5"/>
    <x v="13"/>
    <n v="18"/>
    <n v="2005"/>
    <x v="3"/>
    <n v="18"/>
    <n v="20052818"/>
    <s v="18.28.2005"/>
  </r>
  <r>
    <s v="09252839228"/>
    <s v="lubelskie"/>
    <s v="wieś"/>
    <n v="9"/>
    <x v="12"/>
    <n v="28"/>
    <n v="2009"/>
    <x v="4"/>
    <n v="28"/>
    <n v="20092528"/>
    <s v="28.25.2009"/>
  </r>
  <r>
    <s v="00291348241"/>
    <s v="kujawsko-pomorskie"/>
    <s v="wieś"/>
    <n v="0"/>
    <x v="17"/>
    <n v="13"/>
    <n v="2000"/>
    <x v="5"/>
    <n v="13"/>
    <n v="20002913"/>
    <s v="13.29.2000"/>
  </r>
  <r>
    <s v="04280932334"/>
    <s v="warmińsko-mazurskie"/>
    <s v="miasto"/>
    <n v="4"/>
    <x v="13"/>
    <n v="9"/>
    <n v="2004"/>
    <x v="3"/>
    <n v="9"/>
    <n v="20042809"/>
    <s v="09.28.2004"/>
  </r>
  <r>
    <s v="02220934077"/>
    <s v="świętokrzyskie"/>
    <s v="miasto"/>
    <n v="2"/>
    <x v="20"/>
    <n v="9"/>
    <n v="2002"/>
    <x v="10"/>
    <n v="9"/>
    <n v="20022209"/>
    <s v="09.22.2002"/>
  </r>
  <r>
    <s v="02210131268"/>
    <s v="wielkopolskie"/>
    <s v="miasto"/>
    <n v="2"/>
    <x v="15"/>
    <n v="1"/>
    <n v="2002"/>
    <x v="8"/>
    <n v="1"/>
    <n v="20022101"/>
    <s v="01.21.2002"/>
  </r>
  <r>
    <s v="09241160465"/>
    <s v="lubuskie"/>
    <s v="miasto"/>
    <n v="9"/>
    <x v="14"/>
    <n v="11"/>
    <n v="2009"/>
    <x v="2"/>
    <n v="11"/>
    <n v="20092411"/>
    <s v="11.24.2009"/>
  </r>
  <r>
    <s v="09241367008"/>
    <s v="kujawsko-pomorskie"/>
    <s v="miasto"/>
    <n v="9"/>
    <x v="14"/>
    <n v="13"/>
    <n v="2009"/>
    <x v="2"/>
    <n v="13"/>
    <n v="20092413"/>
    <s v="13.24.2009"/>
  </r>
  <r>
    <s v="13312872144"/>
    <s v="świętokrzyskie"/>
    <s v="miasto"/>
    <n v="13"/>
    <x v="23"/>
    <n v="28"/>
    <n v="2013"/>
    <x v="9"/>
    <n v="28"/>
    <n v="20133128"/>
    <s v="28.31.2013"/>
  </r>
  <r>
    <s v="13262230102"/>
    <s v="pomorskie"/>
    <s v="miasto"/>
    <n v="13"/>
    <x v="19"/>
    <n v="22"/>
    <n v="2013"/>
    <x v="7"/>
    <n v="22"/>
    <n v="20132622"/>
    <s v="22.26.2013"/>
  </r>
  <r>
    <s v="21220724187"/>
    <s v="świętokrzyskie"/>
    <s v="wieś"/>
    <n v="21"/>
    <x v="20"/>
    <n v="7"/>
    <n v="2021"/>
    <x v="10"/>
    <n v="7"/>
    <n v="20212207"/>
    <s v="07.22.2021"/>
  </r>
  <r>
    <s v="06261743427"/>
    <s v="lubelskie"/>
    <s v="miasto"/>
    <n v="6"/>
    <x v="19"/>
    <n v="17"/>
    <n v="2006"/>
    <x v="7"/>
    <n v="17"/>
    <n v="20062617"/>
    <s v="17.26.2006"/>
  </r>
  <r>
    <s v="14222620834"/>
    <s v="wielkopolskie"/>
    <s v="wieś"/>
    <n v="14"/>
    <x v="20"/>
    <n v="26"/>
    <n v="2014"/>
    <x v="10"/>
    <n v="26"/>
    <n v="20142226"/>
    <s v="26.22.2014"/>
  </r>
  <r>
    <s v="19321241795"/>
    <s v="lubuskie"/>
    <s v="miasto"/>
    <n v="19"/>
    <x v="21"/>
    <n v="12"/>
    <n v="2019"/>
    <x v="6"/>
    <n v="12"/>
    <n v="20193212"/>
    <s v="12.32.2019"/>
  </r>
  <r>
    <s v="08231904735"/>
    <s v="małopolskie"/>
    <s v="wieś"/>
    <n v="8"/>
    <x v="18"/>
    <n v="19"/>
    <n v="2008"/>
    <x v="11"/>
    <n v="19"/>
    <n v="20082319"/>
    <s v="19.23.2008"/>
  </r>
  <r>
    <s v="15291262613"/>
    <s v="wielkopolskie"/>
    <s v="miasto"/>
    <n v="15"/>
    <x v="17"/>
    <n v="12"/>
    <n v="2015"/>
    <x v="5"/>
    <n v="12"/>
    <n v="20152912"/>
    <s v="12.29.2015"/>
  </r>
  <r>
    <s v="08260445829"/>
    <s v="opolskie"/>
    <s v="miasto"/>
    <n v="8"/>
    <x v="19"/>
    <n v="4"/>
    <n v="2008"/>
    <x v="7"/>
    <n v="4"/>
    <n v="20082604"/>
    <s v="04.26.2008"/>
  </r>
  <r>
    <s v="08240292689"/>
    <s v="lubelskie"/>
    <s v="miasto"/>
    <n v="8"/>
    <x v="14"/>
    <n v="2"/>
    <n v="2008"/>
    <x v="2"/>
    <n v="2"/>
    <n v="20082402"/>
    <s v="02.24.2008"/>
  </r>
  <r>
    <s v="19231091923"/>
    <s v="opolskie"/>
    <s v="wieś"/>
    <n v="19"/>
    <x v="18"/>
    <n v="10"/>
    <n v="2019"/>
    <x v="11"/>
    <n v="10"/>
    <n v="20192310"/>
    <s v="10.23.2019"/>
  </r>
  <r>
    <s v="14281202570"/>
    <s v="lubuskie"/>
    <s v="miasto"/>
    <n v="14"/>
    <x v="13"/>
    <n v="12"/>
    <n v="2014"/>
    <x v="3"/>
    <n v="12"/>
    <n v="20142812"/>
    <s v="12.28.2014"/>
  </r>
  <r>
    <s v="07280297711"/>
    <s v="świętokrzyskie"/>
    <s v="wieś"/>
    <n v="7"/>
    <x v="13"/>
    <n v="2"/>
    <n v="2007"/>
    <x v="3"/>
    <n v="2"/>
    <n v="20072802"/>
    <s v="02.28.2007"/>
  </r>
  <r>
    <s v="06262554167"/>
    <s v="zachodniopomorskie"/>
    <s v="miasto"/>
    <n v="6"/>
    <x v="19"/>
    <n v="25"/>
    <n v="2006"/>
    <x v="7"/>
    <n v="25"/>
    <n v="20062625"/>
    <s v="25.26.2006"/>
  </r>
  <r>
    <s v="15242764690"/>
    <s v="świętokrzyskie"/>
    <s v="miasto"/>
    <n v="15"/>
    <x v="14"/>
    <n v="27"/>
    <n v="2015"/>
    <x v="2"/>
    <n v="27"/>
    <n v="20152427"/>
    <s v="27.24.2015"/>
  </r>
  <r>
    <s v="14262226577"/>
    <s v="małopolskie"/>
    <s v="miasto"/>
    <n v="14"/>
    <x v="19"/>
    <n v="22"/>
    <n v="2014"/>
    <x v="7"/>
    <n v="22"/>
    <n v="20142622"/>
    <s v="22.26.2014"/>
  </r>
  <r>
    <s v="01212988892"/>
    <s v="warmińsko-mazurskie"/>
    <s v="wieś"/>
    <n v="1"/>
    <x v="15"/>
    <n v="29"/>
    <n v="2001"/>
    <x v="8"/>
    <n v="29"/>
    <n v="20012129"/>
    <s v="29.21.2001"/>
  </r>
  <r>
    <s v="21210221072"/>
    <s v="pomorskie"/>
    <s v="wieś"/>
    <n v="21"/>
    <x v="15"/>
    <n v="2"/>
    <n v="2021"/>
    <x v="8"/>
    <n v="2"/>
    <n v="20212102"/>
    <s v="02.21.2021"/>
  </r>
  <r>
    <s v="16282427578"/>
    <s v="kujawsko-pomorskie"/>
    <s v="wieś"/>
    <n v="16"/>
    <x v="13"/>
    <n v="24"/>
    <n v="2016"/>
    <x v="3"/>
    <n v="24"/>
    <n v="20162824"/>
    <s v="24.28.2016"/>
  </r>
  <r>
    <s v="02241272826"/>
    <s v="podlaskie"/>
    <s v="miasto"/>
    <n v="2"/>
    <x v="14"/>
    <n v="12"/>
    <n v="2002"/>
    <x v="2"/>
    <n v="12"/>
    <n v="20022412"/>
    <s v="12.24.2002"/>
  </r>
  <r>
    <s v="06310554648"/>
    <s v="dolnośląskie"/>
    <s v="wieś"/>
    <n v="6"/>
    <x v="23"/>
    <n v="5"/>
    <n v="2006"/>
    <x v="9"/>
    <n v="5"/>
    <n v="20063105"/>
    <s v="05.31.2006"/>
  </r>
  <r>
    <s v="18210957250"/>
    <s v="łódzkie"/>
    <s v="miasto"/>
    <n v="18"/>
    <x v="15"/>
    <n v="9"/>
    <n v="2018"/>
    <x v="8"/>
    <n v="9"/>
    <n v="20182109"/>
    <s v="09.21.2018"/>
  </r>
  <r>
    <s v="21243075794"/>
    <s v="małopolskie"/>
    <s v="wieś"/>
    <n v="21"/>
    <x v="14"/>
    <n v="30"/>
    <n v="2021"/>
    <x v="2"/>
    <n v="30"/>
    <n v="20212430"/>
    <s v="30.24.2021"/>
  </r>
  <r>
    <s v="00251281221"/>
    <s v="mazowieckie"/>
    <s v="miasto"/>
    <n v="0"/>
    <x v="12"/>
    <n v="12"/>
    <n v="2000"/>
    <x v="4"/>
    <n v="12"/>
    <n v="20002512"/>
    <s v="12.25.2000"/>
  </r>
  <r>
    <s v="00270484214"/>
    <s v="lubelskie"/>
    <s v="miasto"/>
    <n v="0"/>
    <x v="22"/>
    <n v="4"/>
    <n v="2000"/>
    <x v="0"/>
    <n v="4"/>
    <n v="20002704"/>
    <s v="04.27.2000"/>
  </r>
  <r>
    <s v="06211342089"/>
    <s v="śląskie"/>
    <s v="wieś"/>
    <n v="6"/>
    <x v="15"/>
    <n v="13"/>
    <n v="2006"/>
    <x v="8"/>
    <n v="13"/>
    <n v="20062113"/>
    <s v="13.21.2006"/>
  </r>
  <r>
    <s v="17212237652"/>
    <s v="kujawsko-pomorskie"/>
    <s v="miasto"/>
    <n v="17"/>
    <x v="15"/>
    <n v="22"/>
    <n v="2017"/>
    <x v="8"/>
    <n v="22"/>
    <n v="20172122"/>
    <s v="22.21.2017"/>
  </r>
  <r>
    <s v="11241593178"/>
    <s v="świętokrzyskie"/>
    <s v="miasto"/>
    <n v="11"/>
    <x v="14"/>
    <n v="15"/>
    <n v="2011"/>
    <x v="2"/>
    <n v="15"/>
    <n v="20112415"/>
    <s v="15.24.2011"/>
  </r>
  <r>
    <s v="18222264663"/>
    <s v="warmińsko-mazurskie"/>
    <s v="wieś"/>
    <n v="18"/>
    <x v="20"/>
    <n v="22"/>
    <n v="2018"/>
    <x v="10"/>
    <n v="22"/>
    <n v="20182222"/>
    <s v="22.22.2018"/>
  </r>
  <r>
    <s v="04311914014"/>
    <s v="lubelskie"/>
    <s v="wieś"/>
    <n v="4"/>
    <x v="23"/>
    <n v="19"/>
    <n v="2004"/>
    <x v="9"/>
    <n v="19"/>
    <n v="20043119"/>
    <s v="19.31.2004"/>
  </r>
  <r>
    <s v="06260135821"/>
    <s v="zachodniopomorskie"/>
    <s v="miasto"/>
    <n v="6"/>
    <x v="19"/>
    <n v="1"/>
    <n v="2006"/>
    <x v="7"/>
    <n v="1"/>
    <n v="20062601"/>
    <s v="01.26.2006"/>
  </r>
  <r>
    <s v="06220424817"/>
    <s v="mazowieckie"/>
    <s v="miasto"/>
    <n v="6"/>
    <x v="20"/>
    <n v="4"/>
    <n v="2006"/>
    <x v="10"/>
    <n v="4"/>
    <n v="20062204"/>
    <s v="04.22.2006"/>
  </r>
  <r>
    <s v="22261251874"/>
    <s v="śląskie"/>
    <s v="wieś"/>
    <n v="22"/>
    <x v="19"/>
    <n v="12"/>
    <n v="2022"/>
    <x v="7"/>
    <n v="12"/>
    <n v="20222612"/>
    <s v="12.26.2022"/>
  </r>
  <r>
    <s v="19291516772"/>
    <s v="mazowieckie"/>
    <s v="miasto"/>
    <n v="19"/>
    <x v="17"/>
    <n v="15"/>
    <n v="2019"/>
    <x v="5"/>
    <n v="15"/>
    <n v="20192915"/>
    <s v="15.29.2019"/>
  </r>
  <r>
    <s v="01310378922"/>
    <s v="pomorskie"/>
    <s v="wieś"/>
    <n v="1"/>
    <x v="23"/>
    <n v="3"/>
    <n v="2001"/>
    <x v="9"/>
    <n v="3"/>
    <n v="20013103"/>
    <s v="03.31.2001"/>
  </r>
  <r>
    <s v="16232416838"/>
    <s v="podkarpackie"/>
    <s v="miasto"/>
    <n v="16"/>
    <x v="18"/>
    <n v="24"/>
    <n v="2016"/>
    <x v="11"/>
    <n v="24"/>
    <n v="20162324"/>
    <s v="24.23.2016"/>
  </r>
  <r>
    <s v="02240727679"/>
    <s v="łódzkie"/>
    <s v="miasto"/>
    <n v="2"/>
    <x v="14"/>
    <n v="7"/>
    <n v="2002"/>
    <x v="2"/>
    <n v="7"/>
    <n v="20022407"/>
    <s v="07.24.2002"/>
  </r>
  <r>
    <s v="06270487288"/>
    <s v="świętokrzyskie"/>
    <s v="wieś"/>
    <n v="6"/>
    <x v="22"/>
    <n v="4"/>
    <n v="2006"/>
    <x v="0"/>
    <n v="4"/>
    <n v="20062704"/>
    <s v="04.27.2006"/>
  </r>
  <r>
    <s v="04241869475"/>
    <s v="lubuskie"/>
    <s v="wieś"/>
    <n v="4"/>
    <x v="14"/>
    <n v="18"/>
    <n v="2004"/>
    <x v="2"/>
    <n v="18"/>
    <n v="20042418"/>
    <s v="18.24.2004"/>
  </r>
  <r>
    <s v="17320457399"/>
    <s v="podlaskie"/>
    <s v="miasto"/>
    <n v="17"/>
    <x v="21"/>
    <n v="4"/>
    <n v="2017"/>
    <x v="6"/>
    <n v="4"/>
    <n v="20173204"/>
    <s v="04.32.2017"/>
  </r>
  <r>
    <m/>
    <m/>
    <m/>
    <m/>
    <x v="24"/>
    <m/>
    <m/>
    <x v="12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1">
  <r>
    <s v="93071285223"/>
    <x v="0"/>
    <s v="wieś"/>
    <n v="93"/>
    <n v="7"/>
    <n v="12"/>
    <n v="1993"/>
    <n v="7"/>
    <n v="12"/>
    <n v="19930712"/>
    <s v="12.07.1993"/>
    <d v="1929-07-01T00:00:00"/>
    <n v="29"/>
  </r>
  <r>
    <s v="71100161818"/>
    <x v="1"/>
    <s v="miasto"/>
    <n v="71"/>
    <n v="10"/>
    <n v="1"/>
    <n v="1971"/>
    <n v="10"/>
    <n v="1"/>
    <n v="19711001"/>
    <s v="01.10.1971"/>
    <d v="1951-04-12T00:00:00"/>
    <n v="51"/>
  </r>
  <r>
    <s v="81042322710"/>
    <x v="2"/>
    <s v="miasto"/>
    <n v="81"/>
    <n v="4"/>
    <n v="23"/>
    <n v="1981"/>
    <n v="4"/>
    <n v="23"/>
    <n v="19810423"/>
    <s v="23.04.1981"/>
    <d v="1941-09-19T00:00:00"/>
    <n v="41"/>
  </r>
  <r>
    <s v="72083133476"/>
    <x v="3"/>
    <s v="wieś"/>
    <n v="72"/>
    <n v="8"/>
    <n v="31"/>
    <n v="1972"/>
    <n v="8"/>
    <n v="31"/>
    <n v="19720831"/>
    <s v="31.08.1972"/>
    <d v="1950-05-12T00:00:00"/>
    <n v="50"/>
  </r>
  <r>
    <s v="50072800150"/>
    <x v="4"/>
    <s v="miasto"/>
    <n v="50"/>
    <n v="7"/>
    <n v="28"/>
    <n v="1950"/>
    <n v="7"/>
    <n v="28"/>
    <n v="19500728"/>
    <s v="28.07.1950"/>
    <d v="1972-06-15T00:00:00"/>
    <n v="72"/>
  </r>
  <r>
    <s v="93050716944"/>
    <x v="5"/>
    <s v="miasto"/>
    <n v="93"/>
    <n v="5"/>
    <n v="7"/>
    <n v="1993"/>
    <n v="5"/>
    <n v="7"/>
    <n v="19930507"/>
    <s v="07.05.1993"/>
    <d v="1929-09-05T00:00:00"/>
    <n v="29"/>
  </r>
  <r>
    <s v="72081479033"/>
    <x v="4"/>
    <s v="miasto"/>
    <n v="72"/>
    <n v="8"/>
    <n v="14"/>
    <n v="1972"/>
    <n v="8"/>
    <n v="14"/>
    <n v="19720814"/>
    <s v="14.08.1972"/>
    <d v="1950-05-29T00:00:00"/>
    <n v="50"/>
  </r>
  <r>
    <s v="95090874952"/>
    <x v="3"/>
    <s v="miasto"/>
    <n v="95"/>
    <n v="9"/>
    <n v="8"/>
    <n v="1995"/>
    <n v="9"/>
    <n v="8"/>
    <n v="19950908"/>
    <s v="08.09.1995"/>
    <d v="1927-05-05T00:00:00"/>
    <n v="27"/>
  </r>
  <r>
    <s v="61121070211"/>
    <x v="0"/>
    <s v="wieś"/>
    <n v="61"/>
    <n v="12"/>
    <n v="10"/>
    <n v="1961"/>
    <n v="12"/>
    <n v="10"/>
    <n v="19611210"/>
    <s v="10.12.1961"/>
    <d v="1961-01-31T00:00:00"/>
    <n v="61"/>
  </r>
  <r>
    <s v="81051730520"/>
    <x v="5"/>
    <s v="miasto"/>
    <n v="81"/>
    <n v="5"/>
    <n v="17"/>
    <n v="1981"/>
    <n v="5"/>
    <n v="17"/>
    <n v="19810517"/>
    <s v="17.05.1981"/>
    <d v="1941-08-26T00:00:00"/>
    <n v="41"/>
  </r>
  <r>
    <s v="95061702620"/>
    <x v="1"/>
    <s v="miasto"/>
    <n v="95"/>
    <n v="6"/>
    <n v="17"/>
    <n v="1995"/>
    <n v="6"/>
    <n v="17"/>
    <n v="19950617"/>
    <s v="17.06.1995"/>
    <d v="1927-07-27T00:00:00"/>
    <n v="27"/>
  </r>
  <r>
    <s v="50080851678"/>
    <x v="6"/>
    <s v="miasto"/>
    <n v="50"/>
    <n v="8"/>
    <n v="8"/>
    <n v="1950"/>
    <n v="8"/>
    <n v="8"/>
    <n v="19500808"/>
    <s v="08.08.1950"/>
    <d v="1972-06-04T00:00:00"/>
    <n v="72"/>
  </r>
  <r>
    <s v="79092865583"/>
    <x v="7"/>
    <s v="miasto"/>
    <n v="79"/>
    <n v="9"/>
    <n v="28"/>
    <n v="1979"/>
    <n v="9"/>
    <n v="28"/>
    <n v="19790928"/>
    <s v="28.09.1979"/>
    <d v="1943-04-15T00:00:00"/>
    <n v="43"/>
  </r>
  <r>
    <s v="66091136037"/>
    <x v="8"/>
    <s v="miasto"/>
    <n v="66"/>
    <n v="9"/>
    <n v="11"/>
    <n v="1966"/>
    <n v="9"/>
    <n v="11"/>
    <n v="19660911"/>
    <s v="11.09.1966"/>
    <d v="1956-05-01T00:00:00"/>
    <n v="56"/>
  </r>
  <r>
    <s v="84081042483"/>
    <x v="7"/>
    <s v="wieś"/>
    <n v="84"/>
    <n v="8"/>
    <n v="10"/>
    <n v="1984"/>
    <n v="8"/>
    <n v="10"/>
    <n v="19840810"/>
    <s v="10.08.1984"/>
    <d v="1938-06-02T00:00:00"/>
    <n v="38"/>
  </r>
  <r>
    <s v="76012491819"/>
    <x v="6"/>
    <s v="miasto"/>
    <n v="76"/>
    <n v="1"/>
    <n v="24"/>
    <n v="1976"/>
    <n v="1"/>
    <n v="24"/>
    <n v="19760124"/>
    <s v="24.01.1976"/>
    <d v="1946-12-18T00:00:00"/>
    <n v="46"/>
  </r>
  <r>
    <s v="60112365499"/>
    <x v="5"/>
    <s v="miasto"/>
    <n v="60"/>
    <n v="11"/>
    <n v="23"/>
    <n v="1960"/>
    <n v="11"/>
    <n v="23"/>
    <n v="19601123"/>
    <s v="23.11.1960"/>
    <d v="1962-02-17T00:00:00"/>
    <n v="62"/>
  </r>
  <r>
    <s v="95100981335"/>
    <x v="1"/>
    <s v="miasto"/>
    <n v="95"/>
    <n v="10"/>
    <n v="9"/>
    <n v="1995"/>
    <n v="10"/>
    <n v="9"/>
    <n v="19951009"/>
    <s v="09.10.1995"/>
    <d v="1927-04-04T00:00:00"/>
    <n v="27"/>
  </r>
  <r>
    <s v="91111640340"/>
    <x v="9"/>
    <s v="miasto"/>
    <n v="91"/>
    <n v="11"/>
    <n v="16"/>
    <n v="1991"/>
    <n v="11"/>
    <n v="16"/>
    <n v="19911116"/>
    <s v="16.11.1991"/>
    <d v="1931-02-25T00:00:00"/>
    <n v="31"/>
  </r>
  <r>
    <s v="74012678094"/>
    <x v="10"/>
    <s v="wieś"/>
    <n v="74"/>
    <n v="1"/>
    <n v="26"/>
    <n v="1974"/>
    <n v="1"/>
    <n v="26"/>
    <n v="19740126"/>
    <s v="26.01.1974"/>
    <d v="1948-12-15T00:00:00"/>
    <n v="48"/>
  </r>
  <r>
    <s v="83041036704"/>
    <x v="11"/>
    <s v="miasto"/>
    <n v="83"/>
    <n v="4"/>
    <n v="10"/>
    <n v="1983"/>
    <n v="4"/>
    <n v="10"/>
    <n v="19830410"/>
    <s v="10.04.1983"/>
    <d v="1939-10-03T00:00:00"/>
    <n v="39"/>
  </r>
  <r>
    <s v="61122682262"/>
    <x v="12"/>
    <s v="wieś"/>
    <n v="61"/>
    <n v="12"/>
    <n v="26"/>
    <n v="1961"/>
    <n v="12"/>
    <n v="26"/>
    <n v="19611226"/>
    <s v="26.12.1961"/>
    <d v="1961-01-15T00:00:00"/>
    <n v="61"/>
  </r>
  <r>
    <s v="91120411609"/>
    <x v="13"/>
    <s v="wieś"/>
    <n v="91"/>
    <n v="12"/>
    <n v="4"/>
    <n v="1991"/>
    <n v="12"/>
    <n v="4"/>
    <n v="19911204"/>
    <s v="04.12.1991"/>
    <d v="1931-02-07T00:00:00"/>
    <n v="31"/>
  </r>
  <r>
    <s v="72082694471"/>
    <x v="14"/>
    <s v="wieś"/>
    <n v="72"/>
    <n v="8"/>
    <n v="26"/>
    <n v="1972"/>
    <n v="8"/>
    <n v="26"/>
    <n v="19720826"/>
    <s v="26.08.1972"/>
    <d v="1950-05-17T00:00:00"/>
    <n v="50"/>
  </r>
  <r>
    <s v="97122899159"/>
    <x v="5"/>
    <s v="wieś"/>
    <n v="97"/>
    <n v="12"/>
    <n v="28"/>
    <n v="1997"/>
    <n v="12"/>
    <n v="28"/>
    <n v="19971228"/>
    <s v="28.12.1997"/>
    <d v="1925-01-13T00:00:00"/>
    <n v="25"/>
  </r>
  <r>
    <s v="56071053131"/>
    <x v="15"/>
    <s v="miasto"/>
    <n v="56"/>
    <n v="7"/>
    <n v="10"/>
    <n v="1956"/>
    <n v="7"/>
    <n v="10"/>
    <n v="19560710"/>
    <s v="10.07.1956"/>
    <d v="1966-07-03T00:00:00"/>
    <n v="66"/>
  </r>
  <r>
    <s v="83020158890"/>
    <x v="0"/>
    <s v="wieś"/>
    <n v="83"/>
    <n v="2"/>
    <n v="1"/>
    <n v="1983"/>
    <n v="2"/>
    <n v="1"/>
    <n v="19830201"/>
    <s v="01.02.1983"/>
    <d v="1939-12-10T00:00:00"/>
    <n v="39"/>
  </r>
  <r>
    <s v="86040879028"/>
    <x v="9"/>
    <s v="wieś"/>
    <n v="86"/>
    <n v="4"/>
    <n v="8"/>
    <n v="1986"/>
    <n v="4"/>
    <n v="8"/>
    <n v="19860408"/>
    <s v="08.04.1986"/>
    <d v="1936-10-04T00:00:00"/>
    <n v="36"/>
  </r>
  <r>
    <s v="56102724748"/>
    <x v="0"/>
    <s v="wieś"/>
    <n v="56"/>
    <n v="10"/>
    <n v="27"/>
    <n v="1956"/>
    <n v="10"/>
    <n v="27"/>
    <n v="19561027"/>
    <s v="27.10.1956"/>
    <d v="1966-03-16T00:00:00"/>
    <n v="66"/>
  </r>
  <r>
    <s v="57011144311"/>
    <x v="5"/>
    <s v="miasto"/>
    <n v="57"/>
    <n v="1"/>
    <n v="11"/>
    <n v="1957"/>
    <n v="1"/>
    <n v="11"/>
    <n v="19570111"/>
    <s v="11.01.1957"/>
    <d v="1965-12-30T00:00:00"/>
    <n v="65"/>
  </r>
  <r>
    <s v="88040991416"/>
    <x v="7"/>
    <s v="wieś"/>
    <n v="88"/>
    <n v="4"/>
    <n v="9"/>
    <n v="1988"/>
    <n v="4"/>
    <n v="9"/>
    <n v="19880409"/>
    <s v="09.04.1988"/>
    <d v="1934-10-03T00:00:00"/>
    <n v="34"/>
  </r>
  <r>
    <s v="86112649382"/>
    <x v="4"/>
    <s v="miasto"/>
    <n v="86"/>
    <n v="11"/>
    <n v="26"/>
    <n v="1986"/>
    <n v="11"/>
    <n v="26"/>
    <n v="19861126"/>
    <s v="26.11.1986"/>
    <d v="1936-02-15T00:00:00"/>
    <n v="36"/>
  </r>
  <r>
    <s v="71010805927"/>
    <x v="14"/>
    <s v="miasto"/>
    <n v="71"/>
    <n v="1"/>
    <n v="8"/>
    <n v="1971"/>
    <n v="1"/>
    <n v="8"/>
    <n v="19710108"/>
    <s v="08.01.1971"/>
    <d v="1952-01-03T00:00:00"/>
    <n v="52"/>
  </r>
  <r>
    <s v="94062395770"/>
    <x v="8"/>
    <s v="miasto"/>
    <n v="94"/>
    <n v="6"/>
    <n v="23"/>
    <n v="1994"/>
    <n v="6"/>
    <n v="23"/>
    <n v="19940623"/>
    <s v="23.06.1994"/>
    <d v="1928-07-20T00:00:00"/>
    <n v="28"/>
  </r>
  <r>
    <s v="61120262307"/>
    <x v="11"/>
    <s v="miasto"/>
    <n v="61"/>
    <n v="12"/>
    <n v="2"/>
    <n v="1961"/>
    <n v="12"/>
    <n v="2"/>
    <n v="19611202"/>
    <s v="02.12.1961"/>
    <d v="1961-02-08T00:00:00"/>
    <n v="61"/>
  </r>
  <r>
    <s v="81061212645"/>
    <x v="8"/>
    <s v="miasto"/>
    <n v="81"/>
    <n v="6"/>
    <n v="12"/>
    <n v="1981"/>
    <n v="6"/>
    <n v="12"/>
    <n v="19810612"/>
    <s v="12.06.1981"/>
    <d v="1941-07-31T00:00:00"/>
    <n v="41"/>
  </r>
  <r>
    <s v="82030696103"/>
    <x v="7"/>
    <s v="miasto"/>
    <n v="82"/>
    <n v="3"/>
    <n v="6"/>
    <n v="1982"/>
    <n v="3"/>
    <n v="6"/>
    <n v="19820306"/>
    <s v="06.03.1982"/>
    <d v="1940-11-06T00:00:00"/>
    <n v="40"/>
  </r>
  <r>
    <s v="94022848630"/>
    <x v="9"/>
    <s v="miasto"/>
    <n v="94"/>
    <n v="2"/>
    <n v="28"/>
    <n v="1994"/>
    <n v="2"/>
    <n v="28"/>
    <n v="19940228"/>
    <s v="28.02.1994"/>
    <d v="1928-11-12T00:00:00"/>
    <n v="28"/>
  </r>
  <r>
    <s v="99020135465"/>
    <x v="14"/>
    <s v="miasto"/>
    <n v="99"/>
    <n v="2"/>
    <n v="1"/>
    <n v="1999"/>
    <n v="2"/>
    <n v="1"/>
    <n v="19990201"/>
    <s v="01.02.1999"/>
    <d v="1923-12-10T00:00:00"/>
    <n v="23"/>
  </r>
  <r>
    <s v="82080288567"/>
    <x v="14"/>
    <s v="wieś"/>
    <n v="82"/>
    <n v="8"/>
    <n v="2"/>
    <n v="1982"/>
    <n v="8"/>
    <n v="2"/>
    <n v="19820802"/>
    <s v="02.08.1982"/>
    <d v="1940-06-10T00:00:00"/>
    <n v="40"/>
  </r>
  <r>
    <s v="66020115140"/>
    <x v="14"/>
    <s v="miasto"/>
    <n v="66"/>
    <n v="2"/>
    <n v="1"/>
    <n v="1966"/>
    <n v="2"/>
    <n v="1"/>
    <n v="19660201"/>
    <s v="01.02.1966"/>
    <d v="1956-12-09T00:00:00"/>
    <n v="56"/>
  </r>
  <r>
    <s v="86032868618"/>
    <x v="12"/>
    <s v="wieś"/>
    <n v="86"/>
    <n v="3"/>
    <n v="28"/>
    <n v="1986"/>
    <n v="3"/>
    <n v="28"/>
    <n v="19860328"/>
    <s v="28.03.1986"/>
    <d v="1936-10-15T00:00:00"/>
    <n v="36"/>
  </r>
  <r>
    <s v="83111806237"/>
    <x v="7"/>
    <s v="miasto"/>
    <n v="83"/>
    <n v="11"/>
    <n v="18"/>
    <n v="1983"/>
    <n v="11"/>
    <n v="18"/>
    <n v="19831118"/>
    <s v="18.11.1983"/>
    <d v="1939-02-23T00:00:00"/>
    <n v="39"/>
  </r>
  <r>
    <s v="67092597948"/>
    <x v="9"/>
    <s v="miasto"/>
    <n v="67"/>
    <n v="9"/>
    <n v="25"/>
    <n v="1967"/>
    <n v="9"/>
    <n v="25"/>
    <n v="19670925"/>
    <s v="25.09.1967"/>
    <d v="1955-04-18T00:00:00"/>
    <n v="55"/>
  </r>
  <r>
    <s v="55032362187"/>
    <x v="14"/>
    <s v="wieś"/>
    <n v="55"/>
    <n v="3"/>
    <n v="23"/>
    <n v="1955"/>
    <n v="3"/>
    <n v="23"/>
    <n v="19550323"/>
    <s v="23.03.1955"/>
    <d v="1967-10-21T00:00:00"/>
    <n v="67"/>
  </r>
  <r>
    <s v="68111551073"/>
    <x v="12"/>
    <s v="wieś"/>
    <n v="68"/>
    <n v="11"/>
    <n v="15"/>
    <n v="1968"/>
    <n v="11"/>
    <n v="15"/>
    <n v="19681115"/>
    <s v="15.11.1968"/>
    <d v="1954-02-25T00:00:00"/>
    <n v="54"/>
  </r>
  <r>
    <s v="72050199081"/>
    <x v="14"/>
    <s v="wieś"/>
    <n v="72"/>
    <n v="5"/>
    <n v="1"/>
    <n v="1972"/>
    <n v="5"/>
    <n v="1"/>
    <n v="19720501"/>
    <s v="01.05.1972"/>
    <d v="1950-09-11T00:00:00"/>
    <n v="50"/>
  </r>
  <r>
    <s v="89110619812"/>
    <x v="12"/>
    <s v="wieś"/>
    <n v="89"/>
    <n v="11"/>
    <n v="6"/>
    <n v="1989"/>
    <n v="11"/>
    <n v="6"/>
    <n v="19891106"/>
    <s v="06.11.1989"/>
    <d v="1933-03-06T00:00:00"/>
    <n v="33"/>
  </r>
  <r>
    <s v="92062939635"/>
    <x v="9"/>
    <s v="miasto"/>
    <n v="92"/>
    <n v="6"/>
    <n v="29"/>
    <n v="1992"/>
    <n v="6"/>
    <n v="29"/>
    <n v="19920629"/>
    <s v="29.06.1992"/>
    <d v="1930-07-14T00:00:00"/>
    <n v="30"/>
  </r>
  <r>
    <s v="96022721818"/>
    <x v="12"/>
    <s v="miasto"/>
    <n v="96"/>
    <n v="2"/>
    <n v="27"/>
    <n v="1996"/>
    <n v="2"/>
    <n v="27"/>
    <n v="19960227"/>
    <s v="27.02.1996"/>
    <d v="1926-11-14T00:00:00"/>
    <n v="26"/>
  </r>
  <r>
    <s v="67082759149"/>
    <x v="7"/>
    <s v="miasto"/>
    <n v="67"/>
    <n v="8"/>
    <n v="27"/>
    <n v="1967"/>
    <n v="8"/>
    <n v="27"/>
    <n v="19670827"/>
    <s v="27.08.1967"/>
    <d v="1955-05-17T00:00:00"/>
    <n v="55"/>
  </r>
  <r>
    <s v="53041338908"/>
    <x v="8"/>
    <s v="miasto"/>
    <n v="53"/>
    <n v="4"/>
    <n v="13"/>
    <n v="1953"/>
    <n v="4"/>
    <n v="13"/>
    <n v="19530413"/>
    <s v="13.04.1953"/>
    <d v="1969-09-29T00:00:00"/>
    <n v="69"/>
  </r>
  <r>
    <s v="85070464356"/>
    <x v="10"/>
    <s v="miasto"/>
    <n v="85"/>
    <n v="7"/>
    <n v="4"/>
    <n v="1985"/>
    <n v="7"/>
    <n v="4"/>
    <n v="19850704"/>
    <s v="04.07.1985"/>
    <d v="1937-07-09T00:00:00"/>
    <n v="37"/>
  </r>
  <r>
    <s v="67110443901"/>
    <x v="0"/>
    <s v="wieś"/>
    <n v="67"/>
    <n v="11"/>
    <n v="4"/>
    <n v="1967"/>
    <n v="11"/>
    <n v="4"/>
    <n v="19671104"/>
    <s v="04.11.1967"/>
    <d v="1955-03-09T00:00:00"/>
    <n v="55"/>
  </r>
  <r>
    <s v="76112956896"/>
    <x v="11"/>
    <s v="wieś"/>
    <n v="76"/>
    <n v="11"/>
    <n v="29"/>
    <n v="1976"/>
    <n v="11"/>
    <n v="29"/>
    <n v="19761129"/>
    <s v="29.11.1976"/>
    <d v="1946-02-11T00:00:00"/>
    <n v="46"/>
  </r>
  <r>
    <s v="78072344438"/>
    <x v="2"/>
    <s v="miasto"/>
    <n v="78"/>
    <n v="7"/>
    <n v="23"/>
    <n v="1978"/>
    <n v="7"/>
    <n v="23"/>
    <n v="19780723"/>
    <s v="23.07.1978"/>
    <d v="1944-06-20T00:00:00"/>
    <n v="44"/>
  </r>
  <r>
    <s v="50092746764"/>
    <x v="8"/>
    <s v="miasto"/>
    <n v="50"/>
    <n v="9"/>
    <n v="27"/>
    <n v="1950"/>
    <n v="9"/>
    <n v="27"/>
    <n v="19500927"/>
    <s v="27.09.1950"/>
    <d v="1972-04-15T00:00:00"/>
    <n v="72"/>
  </r>
  <r>
    <s v="67090933304"/>
    <x v="5"/>
    <s v="wieś"/>
    <n v="67"/>
    <n v="9"/>
    <n v="9"/>
    <n v="1967"/>
    <n v="9"/>
    <n v="9"/>
    <n v="19670909"/>
    <s v="09.09.1967"/>
    <d v="1955-05-04T00:00:00"/>
    <n v="55"/>
  </r>
  <r>
    <s v="94070783248"/>
    <x v="0"/>
    <s v="miasto"/>
    <n v="94"/>
    <n v="7"/>
    <n v="7"/>
    <n v="1994"/>
    <n v="7"/>
    <n v="7"/>
    <n v="19940707"/>
    <s v="07.07.1994"/>
    <d v="1928-07-06T00:00:00"/>
    <n v="28"/>
  </r>
  <r>
    <s v="78031408458"/>
    <x v="8"/>
    <s v="wieś"/>
    <n v="78"/>
    <n v="3"/>
    <n v="14"/>
    <n v="1978"/>
    <n v="3"/>
    <n v="14"/>
    <n v="19780314"/>
    <s v="14.03.1978"/>
    <d v="1944-10-29T00:00:00"/>
    <n v="44"/>
  </r>
  <r>
    <s v="75111802177"/>
    <x v="4"/>
    <s v="wieś"/>
    <n v="75"/>
    <n v="11"/>
    <n v="18"/>
    <n v="1975"/>
    <n v="11"/>
    <n v="18"/>
    <n v="19751118"/>
    <s v="18.11.1975"/>
    <d v="1947-02-23T00:00:00"/>
    <n v="47"/>
  </r>
  <r>
    <s v="84011772408"/>
    <x v="15"/>
    <s v="wieś"/>
    <n v="84"/>
    <n v="1"/>
    <n v="17"/>
    <n v="1984"/>
    <n v="1"/>
    <n v="17"/>
    <n v="19840117"/>
    <s v="17.01.1984"/>
    <d v="1938-12-25T00:00:00"/>
    <n v="38"/>
  </r>
  <r>
    <s v="73101944548"/>
    <x v="3"/>
    <s v="miasto"/>
    <n v="73"/>
    <n v="10"/>
    <n v="19"/>
    <n v="1973"/>
    <n v="10"/>
    <n v="19"/>
    <n v="19731019"/>
    <s v="19.10.1973"/>
    <d v="1949-03-24T00:00:00"/>
    <n v="49"/>
  </r>
  <r>
    <s v="98112560941"/>
    <x v="15"/>
    <s v="miasto"/>
    <n v="98"/>
    <n v="11"/>
    <n v="25"/>
    <n v="1998"/>
    <n v="11"/>
    <n v="25"/>
    <n v="19981125"/>
    <s v="25.11.1998"/>
    <d v="1924-02-16T00:00:00"/>
    <n v="24"/>
  </r>
  <r>
    <s v="80020544623"/>
    <x v="9"/>
    <s v="wieś"/>
    <n v="80"/>
    <n v="2"/>
    <n v="5"/>
    <n v="1980"/>
    <n v="2"/>
    <n v="5"/>
    <n v="19800205"/>
    <s v="05.02.1980"/>
    <d v="1942-12-06T00:00:00"/>
    <n v="42"/>
  </r>
  <r>
    <s v="78090623276"/>
    <x v="12"/>
    <s v="wieś"/>
    <n v="78"/>
    <n v="9"/>
    <n v="6"/>
    <n v="1978"/>
    <n v="9"/>
    <n v="6"/>
    <n v="19780906"/>
    <s v="06.09.1978"/>
    <d v="1944-05-06T00:00:00"/>
    <n v="44"/>
  </r>
  <r>
    <s v="85100461779"/>
    <x v="3"/>
    <s v="wieś"/>
    <n v="85"/>
    <n v="10"/>
    <n v="4"/>
    <n v="1985"/>
    <n v="10"/>
    <n v="4"/>
    <n v="19851004"/>
    <s v="04.10.1985"/>
    <d v="1937-04-08T00:00:00"/>
    <n v="37"/>
  </r>
  <r>
    <s v="62103049429"/>
    <x v="12"/>
    <s v="miasto"/>
    <n v="62"/>
    <n v="10"/>
    <n v="30"/>
    <n v="1962"/>
    <n v="10"/>
    <n v="30"/>
    <n v="19621030"/>
    <s v="30.10.1962"/>
    <d v="1960-03-13T00:00:00"/>
    <n v="60"/>
  </r>
  <r>
    <s v="64092166116"/>
    <x v="15"/>
    <s v="miasto"/>
    <n v="64"/>
    <n v="9"/>
    <n v="21"/>
    <n v="1964"/>
    <n v="9"/>
    <n v="21"/>
    <n v="19640921"/>
    <s v="21.09.1964"/>
    <d v="1958-04-21T00:00:00"/>
    <n v="58"/>
  </r>
  <r>
    <s v="72112844735"/>
    <x v="14"/>
    <s v="wieś"/>
    <n v="72"/>
    <n v="11"/>
    <n v="28"/>
    <n v="1972"/>
    <n v="11"/>
    <n v="28"/>
    <n v="19721128"/>
    <s v="28.11.1972"/>
    <d v="1950-02-12T00:00:00"/>
    <n v="50"/>
  </r>
  <r>
    <s v="90071102655"/>
    <x v="10"/>
    <s v="miasto"/>
    <n v="90"/>
    <n v="7"/>
    <n v="11"/>
    <n v="1990"/>
    <n v="7"/>
    <n v="11"/>
    <n v="19900711"/>
    <s v="11.07.1990"/>
    <d v="1932-07-02T00:00:00"/>
    <n v="32"/>
  </r>
  <r>
    <s v="80100724608"/>
    <x v="5"/>
    <s v="wieś"/>
    <n v="80"/>
    <n v="10"/>
    <n v="7"/>
    <n v="1980"/>
    <n v="10"/>
    <n v="7"/>
    <n v="19801007"/>
    <s v="07.10.1980"/>
    <d v="1942-04-05T00:00:00"/>
    <n v="42"/>
  </r>
  <r>
    <s v="67111696971"/>
    <x v="14"/>
    <s v="wieś"/>
    <n v="67"/>
    <n v="11"/>
    <n v="16"/>
    <n v="1967"/>
    <n v="11"/>
    <n v="16"/>
    <n v="19671116"/>
    <s v="16.11.1967"/>
    <d v="1955-02-25T00:00:00"/>
    <n v="55"/>
  </r>
  <r>
    <s v="87100455842"/>
    <x v="4"/>
    <s v="wieś"/>
    <n v="87"/>
    <n v="10"/>
    <n v="4"/>
    <n v="1987"/>
    <n v="10"/>
    <n v="4"/>
    <n v="19871004"/>
    <s v="04.10.1987"/>
    <d v="1935-04-09T00:00:00"/>
    <n v="35"/>
  </r>
  <r>
    <s v="64090118269"/>
    <x v="15"/>
    <s v="wieś"/>
    <n v="64"/>
    <n v="9"/>
    <n v="1"/>
    <n v="1964"/>
    <n v="9"/>
    <n v="1"/>
    <n v="19640901"/>
    <s v="01.09.1964"/>
    <d v="1958-05-11T00:00:00"/>
    <n v="58"/>
  </r>
  <r>
    <s v="61061727275"/>
    <x v="0"/>
    <s v="wieś"/>
    <n v="61"/>
    <n v="6"/>
    <n v="17"/>
    <n v="1961"/>
    <n v="6"/>
    <n v="17"/>
    <n v="19610617"/>
    <s v="17.06.1961"/>
    <d v="1961-07-26T00:00:00"/>
    <n v="61"/>
  </r>
  <r>
    <s v="66121567550"/>
    <x v="4"/>
    <s v="miasto"/>
    <n v="66"/>
    <n v="12"/>
    <n v="15"/>
    <n v="1966"/>
    <n v="12"/>
    <n v="15"/>
    <n v="19661215"/>
    <s v="15.12.1966"/>
    <d v="1956-01-27T00:00:00"/>
    <n v="56"/>
  </r>
  <r>
    <s v="92102923299"/>
    <x v="9"/>
    <s v="wieś"/>
    <n v="92"/>
    <n v="10"/>
    <n v="29"/>
    <n v="1992"/>
    <n v="10"/>
    <n v="29"/>
    <n v="19921029"/>
    <s v="29.10.1992"/>
    <d v="1930-03-14T00:00:00"/>
    <n v="30"/>
  </r>
  <r>
    <s v="97011978576"/>
    <x v="0"/>
    <s v="wieś"/>
    <n v="97"/>
    <n v="1"/>
    <n v="19"/>
    <n v="1997"/>
    <n v="1"/>
    <n v="19"/>
    <n v="19970119"/>
    <s v="19.01.1997"/>
    <d v="1925-12-22T00:00:00"/>
    <n v="25"/>
  </r>
  <r>
    <s v="75042006365"/>
    <x v="9"/>
    <s v="miasto"/>
    <n v="75"/>
    <n v="4"/>
    <n v="20"/>
    <n v="1975"/>
    <n v="4"/>
    <n v="20"/>
    <n v="19750420"/>
    <s v="20.04.1975"/>
    <d v="1947-09-23T00:00:00"/>
    <n v="47"/>
  </r>
  <r>
    <s v="51100113466"/>
    <x v="10"/>
    <s v="wieś"/>
    <n v="51"/>
    <n v="10"/>
    <n v="1"/>
    <n v="1951"/>
    <n v="10"/>
    <n v="1"/>
    <n v="19511001"/>
    <s v="01.10.1951"/>
    <d v="1971-04-12T00:00:00"/>
    <n v="71"/>
  </r>
  <r>
    <s v="72073013618"/>
    <x v="10"/>
    <s v="wieś"/>
    <n v="72"/>
    <n v="7"/>
    <n v="30"/>
    <n v="1972"/>
    <n v="7"/>
    <n v="30"/>
    <n v="19720730"/>
    <s v="30.07.1972"/>
    <d v="1950-06-13T00:00:00"/>
    <n v="50"/>
  </r>
  <r>
    <s v="95071506935"/>
    <x v="1"/>
    <s v="wieś"/>
    <n v="95"/>
    <n v="7"/>
    <n v="15"/>
    <n v="1995"/>
    <n v="7"/>
    <n v="15"/>
    <n v="19950715"/>
    <s v="15.07.1995"/>
    <d v="1927-06-29T00:00:00"/>
    <n v="27"/>
  </r>
  <r>
    <s v="64082706270"/>
    <x v="4"/>
    <s v="wieś"/>
    <n v="64"/>
    <n v="8"/>
    <n v="27"/>
    <n v="1964"/>
    <n v="8"/>
    <n v="27"/>
    <n v="19640827"/>
    <s v="27.08.1964"/>
    <d v="1958-05-16T00:00:00"/>
    <n v="58"/>
  </r>
  <r>
    <s v="74102033752"/>
    <x v="1"/>
    <s v="wieś"/>
    <n v="74"/>
    <n v="10"/>
    <n v="20"/>
    <n v="1974"/>
    <n v="10"/>
    <n v="20"/>
    <n v="19741020"/>
    <s v="20.10.1974"/>
    <d v="1948-03-23T00:00:00"/>
    <n v="48"/>
  </r>
  <r>
    <s v="57081355125"/>
    <x v="9"/>
    <s v="miasto"/>
    <n v="57"/>
    <n v="8"/>
    <n v="13"/>
    <n v="1957"/>
    <n v="8"/>
    <n v="13"/>
    <n v="19570813"/>
    <s v="13.08.1957"/>
    <d v="1965-05-30T00:00:00"/>
    <n v="65"/>
  </r>
  <r>
    <s v="63091825499"/>
    <x v="3"/>
    <s v="wieś"/>
    <n v="63"/>
    <n v="9"/>
    <n v="18"/>
    <n v="1963"/>
    <n v="9"/>
    <n v="18"/>
    <n v="19630918"/>
    <s v="18.09.1963"/>
    <d v="1959-04-25T00:00:00"/>
    <n v="59"/>
  </r>
  <r>
    <s v="90040264315"/>
    <x v="11"/>
    <s v="wieś"/>
    <n v="90"/>
    <n v="4"/>
    <n v="2"/>
    <n v="1990"/>
    <n v="4"/>
    <n v="2"/>
    <n v="19900402"/>
    <s v="02.04.1990"/>
    <d v="1932-10-10T00:00:00"/>
    <n v="32"/>
  </r>
  <r>
    <s v="93021005602"/>
    <x v="12"/>
    <s v="wieś"/>
    <n v="93"/>
    <n v="2"/>
    <n v="10"/>
    <n v="1993"/>
    <n v="2"/>
    <n v="10"/>
    <n v="19930210"/>
    <s v="10.02.1993"/>
    <d v="1929-11-30T00:00:00"/>
    <n v="29"/>
  </r>
  <r>
    <s v="71060935904"/>
    <x v="15"/>
    <s v="wieś"/>
    <n v="71"/>
    <n v="6"/>
    <n v="9"/>
    <n v="1971"/>
    <n v="6"/>
    <n v="9"/>
    <n v="19710609"/>
    <s v="09.06.1971"/>
    <d v="1951-08-04T00:00:00"/>
    <n v="51"/>
  </r>
  <r>
    <s v="66042814865"/>
    <x v="13"/>
    <s v="wieś"/>
    <n v="66"/>
    <n v="4"/>
    <n v="28"/>
    <n v="1966"/>
    <n v="4"/>
    <n v="28"/>
    <n v="19660428"/>
    <s v="28.04.1966"/>
    <d v="1956-09-14T00:00:00"/>
    <n v="56"/>
  </r>
  <r>
    <s v="97080217897"/>
    <x v="0"/>
    <s v="wieś"/>
    <n v="97"/>
    <n v="8"/>
    <n v="2"/>
    <n v="1997"/>
    <n v="8"/>
    <n v="2"/>
    <n v="19970802"/>
    <s v="02.08.1997"/>
    <d v="1925-06-10T00:00:00"/>
    <n v="25"/>
  </r>
  <r>
    <s v="81053035807"/>
    <x v="11"/>
    <s v="miasto"/>
    <n v="81"/>
    <n v="5"/>
    <n v="30"/>
    <n v="1981"/>
    <n v="5"/>
    <n v="30"/>
    <n v="19810530"/>
    <s v="30.05.1981"/>
    <d v="1941-08-13T00:00:00"/>
    <n v="41"/>
  </r>
  <r>
    <s v="91022423029"/>
    <x v="8"/>
    <s v="miasto"/>
    <n v="91"/>
    <n v="2"/>
    <n v="24"/>
    <n v="1991"/>
    <n v="2"/>
    <n v="24"/>
    <n v="19910224"/>
    <s v="24.02.1991"/>
    <d v="1931-11-17T00:00:00"/>
    <n v="31"/>
  </r>
  <r>
    <s v="75090195129"/>
    <x v="10"/>
    <s v="miasto"/>
    <n v="75"/>
    <n v="9"/>
    <n v="1"/>
    <n v="1975"/>
    <n v="9"/>
    <n v="1"/>
    <n v="19750901"/>
    <s v="01.09.1975"/>
    <d v="1947-05-12T00:00:00"/>
    <n v="47"/>
  </r>
  <r>
    <s v="84070107438"/>
    <x v="1"/>
    <s v="miasto"/>
    <n v="84"/>
    <n v="7"/>
    <n v="1"/>
    <n v="1984"/>
    <n v="7"/>
    <n v="1"/>
    <n v="19840701"/>
    <s v="01.07.1984"/>
    <d v="1938-07-12T00:00:00"/>
    <n v="38"/>
  </r>
  <r>
    <s v="66043085280"/>
    <x v="13"/>
    <s v="wieś"/>
    <n v="66"/>
    <n v="4"/>
    <n v="30"/>
    <n v="1966"/>
    <n v="4"/>
    <n v="30"/>
    <n v="19660430"/>
    <s v="30.04.1966"/>
    <d v="1956-09-12T00:00:00"/>
    <n v="56"/>
  </r>
  <r>
    <s v="50121269604"/>
    <x v="12"/>
    <s v="miasto"/>
    <n v="50"/>
    <n v="12"/>
    <n v="12"/>
    <n v="1950"/>
    <n v="12"/>
    <n v="12"/>
    <n v="19501212"/>
    <s v="12.12.1950"/>
    <d v="1972-01-30T00:00:00"/>
    <n v="72"/>
  </r>
  <r>
    <s v="85122146708"/>
    <x v="9"/>
    <s v="miasto"/>
    <n v="85"/>
    <n v="12"/>
    <n v="21"/>
    <n v="1985"/>
    <n v="12"/>
    <n v="21"/>
    <n v="19851221"/>
    <s v="21.12.1985"/>
    <d v="1937-01-20T00:00:00"/>
    <n v="37"/>
  </r>
  <r>
    <s v="90010495521"/>
    <x v="8"/>
    <s v="miasto"/>
    <n v="90"/>
    <n v="1"/>
    <n v="4"/>
    <n v="1990"/>
    <n v="1"/>
    <n v="4"/>
    <n v="19900104"/>
    <s v="04.01.1990"/>
    <d v="1933-01-06T00:00:00"/>
    <n v="33"/>
  </r>
  <r>
    <s v="72100728249"/>
    <x v="4"/>
    <s v="miasto"/>
    <n v="72"/>
    <n v="10"/>
    <n v="7"/>
    <n v="1972"/>
    <n v="10"/>
    <n v="7"/>
    <n v="19721007"/>
    <s v="07.10.1972"/>
    <d v="1950-04-05T00:00:00"/>
    <n v="50"/>
  </r>
  <r>
    <s v="54082626522"/>
    <x v="13"/>
    <s v="miasto"/>
    <n v="54"/>
    <n v="8"/>
    <n v="26"/>
    <n v="1954"/>
    <n v="8"/>
    <n v="26"/>
    <n v="19540826"/>
    <s v="26.08.1954"/>
    <d v="1968-05-17T00:00:00"/>
    <n v="68"/>
  </r>
  <r>
    <s v="60082633448"/>
    <x v="3"/>
    <s v="wieś"/>
    <n v="60"/>
    <n v="8"/>
    <n v="26"/>
    <n v="1960"/>
    <n v="8"/>
    <n v="26"/>
    <n v="19600826"/>
    <s v="26.08.1960"/>
    <d v="1962-05-17T00:00:00"/>
    <n v="62"/>
  </r>
  <r>
    <s v="57091615958"/>
    <x v="8"/>
    <s v="miasto"/>
    <n v="57"/>
    <n v="9"/>
    <n v="16"/>
    <n v="1957"/>
    <n v="9"/>
    <n v="16"/>
    <n v="19570916"/>
    <s v="16.09.1957"/>
    <d v="1965-04-26T00:00:00"/>
    <n v="65"/>
  </r>
  <r>
    <s v="87111052780"/>
    <x v="15"/>
    <s v="miasto"/>
    <n v="87"/>
    <n v="11"/>
    <n v="10"/>
    <n v="1987"/>
    <n v="11"/>
    <n v="10"/>
    <n v="19871110"/>
    <s v="10.11.1987"/>
    <d v="1935-03-03T00:00:00"/>
    <n v="35"/>
  </r>
  <r>
    <s v="50040740697"/>
    <x v="6"/>
    <s v="miasto"/>
    <n v="50"/>
    <n v="4"/>
    <n v="7"/>
    <n v="1950"/>
    <n v="4"/>
    <n v="7"/>
    <n v="19500407"/>
    <s v="07.04.1950"/>
    <d v="1972-10-05T00:00:00"/>
    <n v="72"/>
  </r>
  <r>
    <s v="68101095387"/>
    <x v="3"/>
    <s v="wieś"/>
    <n v="68"/>
    <n v="10"/>
    <n v="10"/>
    <n v="1968"/>
    <n v="10"/>
    <n v="10"/>
    <n v="19681010"/>
    <s v="10.10.1968"/>
    <d v="1954-04-02T00:00:00"/>
    <n v="54"/>
  </r>
  <r>
    <s v="62033049740"/>
    <x v="2"/>
    <s v="miasto"/>
    <n v="62"/>
    <n v="3"/>
    <n v="30"/>
    <n v="1962"/>
    <n v="3"/>
    <n v="30"/>
    <n v="19620330"/>
    <s v="30.03.1962"/>
    <d v="1960-10-13T00:00:00"/>
    <n v="60"/>
  </r>
  <r>
    <s v="79072780929"/>
    <x v="15"/>
    <s v="miasto"/>
    <n v="79"/>
    <n v="7"/>
    <n v="27"/>
    <n v="1979"/>
    <n v="7"/>
    <n v="27"/>
    <n v="19790727"/>
    <s v="27.07.1979"/>
    <d v="1943-06-17T00:00:00"/>
    <n v="43"/>
  </r>
  <r>
    <s v="94051017843"/>
    <x v="10"/>
    <s v="miasto"/>
    <n v="94"/>
    <n v="5"/>
    <n v="10"/>
    <n v="1994"/>
    <n v="5"/>
    <n v="10"/>
    <n v="19940510"/>
    <s v="10.05.1994"/>
    <d v="1928-09-02T00:00:00"/>
    <n v="28"/>
  </r>
  <r>
    <s v="98010553667"/>
    <x v="12"/>
    <s v="miasto"/>
    <n v="98"/>
    <n v="1"/>
    <n v="5"/>
    <n v="1998"/>
    <n v="1"/>
    <n v="5"/>
    <n v="19980105"/>
    <s v="05.01.1998"/>
    <d v="1925-01-05T00:00:00"/>
    <n v="25"/>
  </r>
  <r>
    <s v="98052401375"/>
    <x v="2"/>
    <s v="wieś"/>
    <n v="98"/>
    <n v="5"/>
    <n v="24"/>
    <n v="1998"/>
    <n v="5"/>
    <n v="24"/>
    <n v="19980524"/>
    <s v="24.05.1998"/>
    <d v="1924-08-19T00:00:00"/>
    <n v="24"/>
  </r>
  <r>
    <s v="86072999428"/>
    <x v="10"/>
    <s v="wieś"/>
    <n v="86"/>
    <n v="7"/>
    <n v="29"/>
    <n v="1986"/>
    <n v="7"/>
    <n v="29"/>
    <n v="19860729"/>
    <s v="29.07.1986"/>
    <d v="1936-06-14T00:00:00"/>
    <n v="36"/>
  </r>
  <r>
    <s v="76061601553"/>
    <x v="6"/>
    <s v="wieś"/>
    <n v="76"/>
    <n v="6"/>
    <n v="16"/>
    <n v="1976"/>
    <n v="6"/>
    <n v="16"/>
    <n v="19760616"/>
    <s v="16.06.1976"/>
    <d v="1946-07-27T00:00:00"/>
    <n v="46"/>
  </r>
  <r>
    <s v="69011748389"/>
    <x v="0"/>
    <s v="wieś"/>
    <n v="69"/>
    <n v="1"/>
    <n v="17"/>
    <n v="1969"/>
    <n v="1"/>
    <n v="17"/>
    <n v="19690117"/>
    <s v="17.01.1969"/>
    <d v="1953-12-24T00:00:00"/>
    <n v="53"/>
  </r>
  <r>
    <s v="72053198339"/>
    <x v="4"/>
    <s v="wieś"/>
    <n v="72"/>
    <n v="5"/>
    <n v="31"/>
    <n v="1972"/>
    <n v="5"/>
    <n v="31"/>
    <n v="19720531"/>
    <s v="31.05.1972"/>
    <d v="1950-08-12T00:00:00"/>
    <n v="50"/>
  </r>
  <r>
    <s v="92111126939"/>
    <x v="5"/>
    <s v="miasto"/>
    <n v="92"/>
    <n v="11"/>
    <n v="11"/>
    <n v="1992"/>
    <n v="11"/>
    <n v="11"/>
    <n v="19921111"/>
    <s v="11.11.1992"/>
    <d v="1930-03-01T00:00:00"/>
    <n v="30"/>
  </r>
  <r>
    <s v="56122609544"/>
    <x v="1"/>
    <s v="miasto"/>
    <n v="56"/>
    <n v="12"/>
    <n v="26"/>
    <n v="1956"/>
    <n v="12"/>
    <n v="26"/>
    <n v="19561226"/>
    <s v="26.12.1956"/>
    <d v="1966-01-15T00:00:00"/>
    <n v="66"/>
  </r>
  <r>
    <s v="78022120507"/>
    <x v="13"/>
    <s v="miasto"/>
    <n v="78"/>
    <n v="2"/>
    <n v="21"/>
    <n v="1978"/>
    <n v="2"/>
    <n v="21"/>
    <n v="19780221"/>
    <s v="21.02.1978"/>
    <d v="1944-11-19T00:00:00"/>
    <n v="44"/>
  </r>
  <r>
    <s v="93062318824"/>
    <x v="11"/>
    <s v="wieś"/>
    <n v="93"/>
    <n v="6"/>
    <n v="23"/>
    <n v="1993"/>
    <n v="6"/>
    <n v="23"/>
    <n v="19930623"/>
    <s v="23.06.1993"/>
    <d v="1929-07-20T00:00:00"/>
    <n v="29"/>
  </r>
  <r>
    <s v="68111201527"/>
    <x v="8"/>
    <s v="wieś"/>
    <n v="68"/>
    <n v="11"/>
    <n v="12"/>
    <n v="1968"/>
    <n v="11"/>
    <n v="12"/>
    <n v="19681112"/>
    <s v="12.11.1968"/>
    <d v="1954-02-28T00:00:00"/>
    <n v="54"/>
  </r>
  <r>
    <s v="78071480489"/>
    <x v="3"/>
    <s v="miasto"/>
    <n v="78"/>
    <n v="7"/>
    <n v="14"/>
    <n v="1978"/>
    <n v="7"/>
    <n v="14"/>
    <n v="19780714"/>
    <s v="14.07.1978"/>
    <d v="1944-06-29T00:00:00"/>
    <n v="44"/>
  </r>
  <r>
    <s v="76051975909"/>
    <x v="11"/>
    <s v="wieś"/>
    <n v="76"/>
    <n v="5"/>
    <n v="19"/>
    <n v="1976"/>
    <n v="5"/>
    <n v="19"/>
    <n v="19760519"/>
    <s v="19.05.1976"/>
    <d v="1946-08-24T00:00:00"/>
    <n v="46"/>
  </r>
  <r>
    <s v="64062904454"/>
    <x v="0"/>
    <s v="miasto"/>
    <n v="64"/>
    <n v="6"/>
    <n v="29"/>
    <n v="1964"/>
    <n v="6"/>
    <n v="29"/>
    <n v="19640629"/>
    <s v="29.06.1964"/>
    <d v="1958-07-14T00:00:00"/>
    <n v="58"/>
  </r>
  <r>
    <s v="88040681139"/>
    <x v="13"/>
    <s v="wieś"/>
    <n v="88"/>
    <n v="4"/>
    <n v="6"/>
    <n v="1988"/>
    <n v="4"/>
    <n v="6"/>
    <n v="19880406"/>
    <s v="06.04.1988"/>
    <d v="1934-10-06T00:00:00"/>
    <n v="34"/>
  </r>
  <r>
    <s v="82102913532"/>
    <x v="14"/>
    <s v="wieś"/>
    <n v="82"/>
    <n v="10"/>
    <n v="29"/>
    <n v="1982"/>
    <n v="10"/>
    <n v="29"/>
    <n v="19821029"/>
    <s v="29.10.1982"/>
    <d v="1940-03-14T00:00:00"/>
    <n v="40"/>
  </r>
  <r>
    <s v="80111550241"/>
    <x v="10"/>
    <s v="miasto"/>
    <n v="80"/>
    <n v="11"/>
    <n v="15"/>
    <n v="1980"/>
    <n v="11"/>
    <n v="15"/>
    <n v="19801115"/>
    <s v="15.11.1980"/>
    <d v="1942-02-25T00:00:00"/>
    <n v="42"/>
  </r>
  <r>
    <s v="73042186560"/>
    <x v="5"/>
    <s v="miasto"/>
    <n v="73"/>
    <n v="4"/>
    <n v="21"/>
    <n v="1973"/>
    <n v="4"/>
    <n v="21"/>
    <n v="19730421"/>
    <s v="21.04.1973"/>
    <d v="1949-09-21T00:00:00"/>
    <n v="49"/>
  </r>
  <r>
    <s v="71111622249"/>
    <x v="8"/>
    <s v="wieś"/>
    <n v="71"/>
    <n v="11"/>
    <n v="16"/>
    <n v="1971"/>
    <n v="11"/>
    <n v="16"/>
    <n v="19711116"/>
    <s v="16.11.1971"/>
    <d v="1951-02-25T00:00:00"/>
    <n v="51"/>
  </r>
  <r>
    <s v="52042431764"/>
    <x v="0"/>
    <s v="miasto"/>
    <n v="52"/>
    <n v="4"/>
    <n v="24"/>
    <n v="1952"/>
    <n v="4"/>
    <n v="24"/>
    <n v="19520424"/>
    <s v="24.04.1952"/>
    <d v="1970-09-18T00:00:00"/>
    <n v="70"/>
  </r>
  <r>
    <s v="94110574874"/>
    <x v="12"/>
    <s v="wieś"/>
    <n v="94"/>
    <n v="11"/>
    <n v="5"/>
    <n v="1994"/>
    <n v="11"/>
    <n v="5"/>
    <n v="19941105"/>
    <s v="05.11.1994"/>
    <d v="1928-03-07T00:00:00"/>
    <n v="28"/>
  </r>
  <r>
    <s v="97070314418"/>
    <x v="2"/>
    <s v="wieś"/>
    <n v="97"/>
    <n v="7"/>
    <n v="3"/>
    <n v="1997"/>
    <n v="7"/>
    <n v="3"/>
    <n v="19970703"/>
    <s v="03.07.1997"/>
    <d v="1925-07-10T00:00:00"/>
    <n v="25"/>
  </r>
  <r>
    <s v="68020157834"/>
    <x v="0"/>
    <s v="wieś"/>
    <n v="68"/>
    <n v="2"/>
    <n v="1"/>
    <n v="1968"/>
    <n v="2"/>
    <n v="1"/>
    <n v="19680201"/>
    <s v="01.02.1968"/>
    <d v="1954-12-10T00:00:00"/>
    <n v="54"/>
  </r>
  <r>
    <s v="61032343220"/>
    <x v="5"/>
    <s v="miasto"/>
    <n v="61"/>
    <n v="3"/>
    <n v="23"/>
    <n v="1961"/>
    <n v="3"/>
    <n v="23"/>
    <n v="19610323"/>
    <s v="23.03.1961"/>
    <d v="1961-10-20T00:00:00"/>
    <n v="61"/>
  </r>
  <r>
    <s v="89051851742"/>
    <x v="10"/>
    <s v="miasto"/>
    <n v="89"/>
    <n v="5"/>
    <n v="18"/>
    <n v="1989"/>
    <n v="5"/>
    <n v="18"/>
    <n v="19890518"/>
    <s v="18.05.1989"/>
    <d v="1933-08-25T00:00:00"/>
    <n v="33"/>
  </r>
  <r>
    <s v="97090739563"/>
    <x v="14"/>
    <s v="wieś"/>
    <n v="97"/>
    <n v="9"/>
    <n v="7"/>
    <n v="1997"/>
    <n v="9"/>
    <n v="7"/>
    <n v="19970907"/>
    <s v="07.09.1997"/>
    <d v="1925-05-05T00:00:00"/>
    <n v="25"/>
  </r>
  <r>
    <s v="61080507803"/>
    <x v="2"/>
    <s v="miasto"/>
    <n v="61"/>
    <n v="8"/>
    <n v="5"/>
    <n v="1961"/>
    <n v="8"/>
    <n v="5"/>
    <n v="19610805"/>
    <s v="05.08.1961"/>
    <d v="1961-06-07T00:00:00"/>
    <n v="61"/>
  </r>
  <r>
    <s v="66022228110"/>
    <x v="13"/>
    <s v="miasto"/>
    <n v="66"/>
    <n v="2"/>
    <n v="22"/>
    <n v="1966"/>
    <n v="2"/>
    <n v="22"/>
    <n v="19660222"/>
    <s v="22.02.1966"/>
    <d v="1956-11-18T00:00:00"/>
    <n v="56"/>
  </r>
  <r>
    <s v="53120902549"/>
    <x v="9"/>
    <s v="wieś"/>
    <n v="53"/>
    <n v="12"/>
    <n v="9"/>
    <n v="1953"/>
    <n v="12"/>
    <n v="9"/>
    <n v="19531209"/>
    <s v="09.12.1953"/>
    <d v="1969-02-01T00:00:00"/>
    <n v="69"/>
  </r>
  <r>
    <s v="84010544767"/>
    <x v="0"/>
    <s v="wieś"/>
    <n v="84"/>
    <n v="1"/>
    <n v="5"/>
    <n v="1984"/>
    <n v="1"/>
    <n v="5"/>
    <n v="19840105"/>
    <s v="05.01.1984"/>
    <d v="1939-01-06T00:00:00"/>
    <n v="39"/>
  </r>
  <r>
    <s v="94111642336"/>
    <x v="8"/>
    <s v="miasto"/>
    <n v="94"/>
    <n v="11"/>
    <n v="16"/>
    <n v="1994"/>
    <n v="11"/>
    <n v="16"/>
    <n v="19941116"/>
    <s v="16.11.1994"/>
    <d v="1928-02-25T00:00:00"/>
    <n v="28"/>
  </r>
  <r>
    <s v="83080941885"/>
    <x v="4"/>
    <s v="wieś"/>
    <n v="83"/>
    <n v="8"/>
    <n v="9"/>
    <n v="1983"/>
    <n v="8"/>
    <n v="9"/>
    <n v="19830809"/>
    <s v="09.08.1983"/>
    <d v="1939-06-04T00:00:00"/>
    <n v="39"/>
  </r>
  <r>
    <s v="99020631770"/>
    <x v="3"/>
    <s v="wieś"/>
    <n v="99"/>
    <n v="2"/>
    <n v="6"/>
    <n v="1999"/>
    <n v="2"/>
    <n v="6"/>
    <n v="19990206"/>
    <s v="06.02.1999"/>
    <d v="1923-12-05T00:00:00"/>
    <n v="23"/>
  </r>
  <r>
    <s v="99111303315"/>
    <x v="12"/>
    <s v="miasto"/>
    <n v="99"/>
    <n v="11"/>
    <n v="13"/>
    <n v="1999"/>
    <n v="11"/>
    <n v="13"/>
    <n v="19991113"/>
    <s v="13.11.1999"/>
    <d v="1923-02-28T00:00:00"/>
    <n v="23"/>
  </r>
  <r>
    <s v="51092524844"/>
    <x v="15"/>
    <s v="wieś"/>
    <n v="51"/>
    <n v="9"/>
    <n v="25"/>
    <n v="1951"/>
    <n v="9"/>
    <n v="25"/>
    <n v="19510925"/>
    <s v="25.09.1951"/>
    <d v="1971-04-18T00:00:00"/>
    <n v="71"/>
  </r>
  <r>
    <s v="56021402794"/>
    <x v="4"/>
    <s v="wieś"/>
    <n v="56"/>
    <n v="2"/>
    <n v="14"/>
    <n v="1956"/>
    <n v="2"/>
    <n v="14"/>
    <n v="19560214"/>
    <s v="14.02.1956"/>
    <d v="1966-11-27T00:00:00"/>
    <n v="66"/>
  </r>
  <r>
    <s v="61052346386"/>
    <x v="8"/>
    <s v="wieś"/>
    <n v="61"/>
    <n v="5"/>
    <n v="23"/>
    <n v="1961"/>
    <n v="5"/>
    <n v="23"/>
    <n v="19610523"/>
    <s v="23.05.1961"/>
    <d v="1961-08-20T00:00:00"/>
    <n v="61"/>
  </r>
  <r>
    <s v="51122893889"/>
    <x v="8"/>
    <s v="wieś"/>
    <n v="51"/>
    <n v="12"/>
    <n v="28"/>
    <n v="1951"/>
    <n v="12"/>
    <n v="28"/>
    <n v="19511228"/>
    <s v="28.12.1951"/>
    <d v="1971-01-14T00:00:00"/>
    <n v="71"/>
  </r>
  <r>
    <s v="71063060230"/>
    <x v="14"/>
    <s v="wieś"/>
    <n v="71"/>
    <n v="6"/>
    <n v="30"/>
    <n v="1971"/>
    <n v="6"/>
    <n v="30"/>
    <n v="19710630"/>
    <s v="30.06.1971"/>
    <d v="1951-07-14T00:00:00"/>
    <n v="51"/>
  </r>
  <r>
    <s v="74072279383"/>
    <x v="1"/>
    <s v="miasto"/>
    <n v="74"/>
    <n v="7"/>
    <n v="22"/>
    <n v="1974"/>
    <n v="7"/>
    <n v="22"/>
    <n v="19740722"/>
    <s v="22.07.1974"/>
    <d v="1948-06-21T00:00:00"/>
    <n v="48"/>
  </r>
  <r>
    <s v="91091481535"/>
    <x v="5"/>
    <s v="wieś"/>
    <n v="91"/>
    <n v="9"/>
    <n v="14"/>
    <n v="1991"/>
    <n v="9"/>
    <n v="14"/>
    <n v="19910914"/>
    <s v="14.09.1991"/>
    <d v="1931-04-29T00:00:00"/>
    <n v="31"/>
  </r>
  <r>
    <s v="57122300244"/>
    <x v="4"/>
    <s v="miasto"/>
    <n v="57"/>
    <n v="12"/>
    <n v="23"/>
    <n v="1957"/>
    <n v="12"/>
    <n v="23"/>
    <n v="19571223"/>
    <s v="23.12.1957"/>
    <d v="1965-01-18T00:00:00"/>
    <n v="65"/>
  </r>
  <r>
    <s v="99041479098"/>
    <x v="2"/>
    <s v="miasto"/>
    <n v="99"/>
    <n v="4"/>
    <n v="14"/>
    <n v="1999"/>
    <n v="4"/>
    <n v="14"/>
    <n v="19990414"/>
    <s v="14.04.1999"/>
    <d v="1923-09-29T00:00:00"/>
    <n v="23"/>
  </r>
  <r>
    <s v="67100309631"/>
    <x v="13"/>
    <s v="wieś"/>
    <n v="67"/>
    <n v="10"/>
    <n v="3"/>
    <n v="1967"/>
    <n v="10"/>
    <n v="3"/>
    <n v="19671003"/>
    <s v="03.10.1967"/>
    <d v="1955-04-10T00:00:00"/>
    <n v="55"/>
  </r>
  <r>
    <s v="82062058218"/>
    <x v="12"/>
    <s v="wieś"/>
    <n v="82"/>
    <n v="6"/>
    <n v="20"/>
    <n v="1982"/>
    <n v="6"/>
    <n v="20"/>
    <n v="19820620"/>
    <s v="20.06.1982"/>
    <d v="1940-07-23T00:00:00"/>
    <n v="40"/>
  </r>
  <r>
    <s v="57122013287"/>
    <x v="6"/>
    <s v="wieś"/>
    <n v="57"/>
    <n v="12"/>
    <n v="20"/>
    <n v="1957"/>
    <n v="12"/>
    <n v="20"/>
    <n v="19571220"/>
    <s v="20.12.1957"/>
    <d v="1965-01-21T00:00:00"/>
    <n v="65"/>
  </r>
  <r>
    <s v="67112146802"/>
    <x v="11"/>
    <s v="miasto"/>
    <n v="67"/>
    <n v="11"/>
    <n v="21"/>
    <n v="1967"/>
    <n v="11"/>
    <n v="21"/>
    <n v="19671121"/>
    <s v="21.11.1967"/>
    <d v="1955-02-20T00:00:00"/>
    <n v="55"/>
  </r>
  <r>
    <s v="87090221803"/>
    <x v="4"/>
    <s v="wieś"/>
    <n v="87"/>
    <n v="9"/>
    <n v="2"/>
    <n v="1987"/>
    <n v="9"/>
    <n v="2"/>
    <n v="19870902"/>
    <s v="02.09.1987"/>
    <d v="1935-05-11T00:00:00"/>
    <n v="35"/>
  </r>
  <r>
    <s v="61032430030"/>
    <x v="2"/>
    <s v="miasto"/>
    <n v="61"/>
    <n v="3"/>
    <n v="24"/>
    <n v="1961"/>
    <n v="3"/>
    <n v="24"/>
    <n v="19610324"/>
    <s v="24.03.1961"/>
    <d v="1961-10-19T00:00:00"/>
    <n v="61"/>
  </r>
  <r>
    <s v="64080716404"/>
    <x v="1"/>
    <s v="miasto"/>
    <n v="64"/>
    <n v="8"/>
    <n v="7"/>
    <n v="1964"/>
    <n v="8"/>
    <n v="7"/>
    <n v="19640807"/>
    <s v="07.08.1964"/>
    <d v="1958-06-05T00:00:00"/>
    <n v="58"/>
  </r>
  <r>
    <s v="59062796578"/>
    <x v="4"/>
    <s v="miasto"/>
    <n v="59"/>
    <n v="6"/>
    <n v="27"/>
    <n v="1959"/>
    <n v="6"/>
    <n v="27"/>
    <n v="19590627"/>
    <s v="27.06.1959"/>
    <d v="1963-07-17T00:00:00"/>
    <n v="63"/>
  </r>
  <r>
    <s v="65040627947"/>
    <x v="15"/>
    <s v="miasto"/>
    <n v="65"/>
    <n v="4"/>
    <n v="6"/>
    <n v="1965"/>
    <n v="4"/>
    <n v="6"/>
    <n v="19650406"/>
    <s v="06.04.1965"/>
    <d v="1957-10-06T00:00:00"/>
    <n v="57"/>
  </r>
  <r>
    <s v="94122638353"/>
    <x v="8"/>
    <s v="miasto"/>
    <n v="94"/>
    <n v="12"/>
    <n v="26"/>
    <n v="1994"/>
    <n v="12"/>
    <n v="26"/>
    <n v="19941226"/>
    <s v="26.12.1994"/>
    <d v="1928-01-16T00:00:00"/>
    <n v="28"/>
  </r>
  <r>
    <s v="58091381319"/>
    <x v="15"/>
    <s v="wieś"/>
    <n v="58"/>
    <n v="9"/>
    <n v="13"/>
    <n v="1958"/>
    <n v="9"/>
    <n v="13"/>
    <n v="19580913"/>
    <s v="13.09.1958"/>
    <d v="1964-04-29T00:00:00"/>
    <n v="64"/>
  </r>
  <r>
    <s v="73112332640"/>
    <x v="2"/>
    <s v="wieś"/>
    <n v="73"/>
    <n v="11"/>
    <n v="23"/>
    <n v="1973"/>
    <n v="11"/>
    <n v="23"/>
    <n v="19731123"/>
    <s v="23.11.1973"/>
    <d v="1949-02-17T00:00:00"/>
    <n v="49"/>
  </r>
  <r>
    <s v="61052868334"/>
    <x v="11"/>
    <s v="wieś"/>
    <n v="61"/>
    <n v="5"/>
    <n v="28"/>
    <n v="1961"/>
    <n v="5"/>
    <n v="28"/>
    <n v="19610528"/>
    <s v="28.05.1961"/>
    <d v="1961-08-15T00:00:00"/>
    <n v="61"/>
  </r>
  <r>
    <s v="71021611182"/>
    <x v="13"/>
    <s v="miasto"/>
    <n v="71"/>
    <n v="2"/>
    <n v="16"/>
    <n v="1971"/>
    <n v="2"/>
    <n v="16"/>
    <n v="19710216"/>
    <s v="16.02.1971"/>
    <d v="1951-11-25T00:00:00"/>
    <n v="51"/>
  </r>
  <r>
    <s v="56082234284"/>
    <x v="10"/>
    <s v="miasto"/>
    <n v="56"/>
    <n v="8"/>
    <n v="22"/>
    <n v="1956"/>
    <n v="8"/>
    <n v="22"/>
    <n v="19560822"/>
    <s v="22.08.1956"/>
    <d v="1966-05-21T00:00:00"/>
    <n v="66"/>
  </r>
  <r>
    <s v="99101200505"/>
    <x v="14"/>
    <s v="miasto"/>
    <n v="99"/>
    <n v="10"/>
    <n v="12"/>
    <n v="1999"/>
    <n v="10"/>
    <n v="12"/>
    <n v="19991012"/>
    <s v="12.10.1999"/>
    <d v="1923-04-01T00:00:00"/>
    <n v="23"/>
  </r>
  <r>
    <s v="52101785894"/>
    <x v="13"/>
    <s v="miasto"/>
    <n v="52"/>
    <n v="10"/>
    <n v="17"/>
    <n v="1952"/>
    <n v="10"/>
    <n v="17"/>
    <n v="19521017"/>
    <s v="17.10.1952"/>
    <d v="1970-03-26T00:00:00"/>
    <n v="70"/>
  </r>
  <r>
    <s v="86091601548"/>
    <x v="6"/>
    <s v="miasto"/>
    <n v="86"/>
    <n v="9"/>
    <n v="16"/>
    <n v="1986"/>
    <n v="9"/>
    <n v="16"/>
    <n v="19860916"/>
    <s v="16.09.1986"/>
    <d v="1936-04-26T00:00:00"/>
    <n v="36"/>
  </r>
  <r>
    <s v="58071981807"/>
    <x v="5"/>
    <s v="wieś"/>
    <n v="58"/>
    <n v="7"/>
    <n v="19"/>
    <n v="1958"/>
    <n v="7"/>
    <n v="19"/>
    <n v="19580719"/>
    <s v="19.07.1958"/>
    <d v="1964-06-24T00:00:00"/>
    <n v="64"/>
  </r>
  <r>
    <s v="95030424298"/>
    <x v="11"/>
    <s v="miasto"/>
    <n v="95"/>
    <n v="3"/>
    <n v="4"/>
    <n v="1995"/>
    <n v="3"/>
    <n v="4"/>
    <n v="19950304"/>
    <s v="04.03.1995"/>
    <d v="1927-11-09T00:00:00"/>
    <n v="27"/>
  </r>
  <r>
    <s v="91110362072"/>
    <x v="8"/>
    <s v="miasto"/>
    <n v="91"/>
    <n v="11"/>
    <n v="3"/>
    <n v="1991"/>
    <n v="11"/>
    <n v="3"/>
    <n v="19911103"/>
    <s v="03.11.1991"/>
    <d v="1931-03-10T00:00:00"/>
    <n v="31"/>
  </r>
  <r>
    <s v="56010667456"/>
    <x v="11"/>
    <s v="miasto"/>
    <n v="56"/>
    <n v="1"/>
    <n v="6"/>
    <n v="1956"/>
    <n v="1"/>
    <n v="6"/>
    <n v="19560106"/>
    <s v="06.01.1956"/>
    <d v="1967-01-05T00:00:00"/>
    <n v="67"/>
  </r>
  <r>
    <s v="75062741479"/>
    <x v="13"/>
    <s v="wieś"/>
    <n v="75"/>
    <n v="6"/>
    <n v="27"/>
    <n v="1975"/>
    <n v="6"/>
    <n v="27"/>
    <n v="19750627"/>
    <s v="27.06.1975"/>
    <d v="1947-07-17T00:00:00"/>
    <n v="47"/>
  </r>
  <r>
    <s v="94111155399"/>
    <x v="12"/>
    <s v="wieś"/>
    <n v="94"/>
    <n v="11"/>
    <n v="11"/>
    <n v="1994"/>
    <n v="11"/>
    <n v="11"/>
    <n v="19941111"/>
    <s v="11.11.1994"/>
    <d v="1928-03-01T00:00:00"/>
    <n v="28"/>
  </r>
  <r>
    <s v="81021537391"/>
    <x v="7"/>
    <s v="miasto"/>
    <n v="81"/>
    <n v="2"/>
    <n v="15"/>
    <n v="1981"/>
    <n v="2"/>
    <n v="15"/>
    <n v="19810215"/>
    <s v="15.02.1981"/>
    <d v="1941-11-25T00:00:00"/>
    <n v="41"/>
  </r>
  <r>
    <s v="90103167461"/>
    <x v="6"/>
    <s v="miasto"/>
    <n v="90"/>
    <n v="10"/>
    <n v="31"/>
    <n v="1990"/>
    <n v="10"/>
    <n v="31"/>
    <n v="19901031"/>
    <s v="31.10.1990"/>
    <d v="1932-03-12T00:00:00"/>
    <n v="32"/>
  </r>
  <r>
    <s v="72033126578"/>
    <x v="6"/>
    <s v="miasto"/>
    <n v="72"/>
    <n v="3"/>
    <n v="31"/>
    <n v="1972"/>
    <n v="3"/>
    <n v="31"/>
    <n v="19720331"/>
    <s v="31.03.1972"/>
    <d v="1950-10-12T00:00:00"/>
    <n v="50"/>
  </r>
  <r>
    <s v="90010474418"/>
    <x v="11"/>
    <s v="miasto"/>
    <n v="90"/>
    <n v="1"/>
    <n v="4"/>
    <n v="1990"/>
    <n v="1"/>
    <n v="4"/>
    <n v="19900104"/>
    <s v="04.01.1990"/>
    <d v="1933-01-06T00:00:00"/>
    <n v="33"/>
  </r>
  <r>
    <s v="93101150990"/>
    <x v="2"/>
    <s v="wieś"/>
    <n v="93"/>
    <n v="10"/>
    <n v="11"/>
    <n v="1993"/>
    <n v="10"/>
    <n v="11"/>
    <n v="19931011"/>
    <s v="11.10.1993"/>
    <d v="1929-04-01T00:00:00"/>
    <n v="29"/>
  </r>
  <r>
    <s v="96091515974"/>
    <x v="15"/>
    <s v="wieś"/>
    <n v="96"/>
    <n v="9"/>
    <n v="15"/>
    <n v="1996"/>
    <n v="9"/>
    <n v="15"/>
    <n v="19960915"/>
    <s v="15.09.1996"/>
    <d v="1926-04-27T00:00:00"/>
    <n v="26"/>
  </r>
  <r>
    <s v="65011096293"/>
    <x v="10"/>
    <s v="wieś"/>
    <n v="65"/>
    <n v="1"/>
    <n v="10"/>
    <n v="1965"/>
    <n v="1"/>
    <n v="10"/>
    <n v="19650110"/>
    <s v="10.01.1965"/>
    <d v="1957-12-31T00:00:00"/>
    <n v="57"/>
  </r>
  <r>
    <s v="53123191577"/>
    <x v="4"/>
    <s v="miasto"/>
    <n v="53"/>
    <n v="12"/>
    <n v="31"/>
    <n v="1953"/>
    <n v="12"/>
    <n v="31"/>
    <n v="19531231"/>
    <s v="31.12.1953"/>
    <d v="1969-01-10T00:00:00"/>
    <n v="69"/>
  </r>
  <r>
    <s v="73060298351"/>
    <x v="9"/>
    <s v="miasto"/>
    <n v="73"/>
    <n v="6"/>
    <n v="2"/>
    <n v="1973"/>
    <n v="6"/>
    <n v="2"/>
    <n v="19730602"/>
    <s v="02.06.1973"/>
    <d v="1949-08-10T00:00:00"/>
    <n v="49"/>
  </r>
  <r>
    <s v="77121944265"/>
    <x v="9"/>
    <s v="wieś"/>
    <n v="77"/>
    <n v="12"/>
    <n v="19"/>
    <n v="1977"/>
    <n v="12"/>
    <n v="19"/>
    <n v="19771219"/>
    <s v="19.12.1977"/>
    <d v="1945-01-22T00:00:00"/>
    <n v="45"/>
  </r>
  <r>
    <s v="68031048828"/>
    <x v="2"/>
    <s v="wieś"/>
    <n v="68"/>
    <n v="3"/>
    <n v="10"/>
    <n v="1968"/>
    <n v="3"/>
    <n v="10"/>
    <n v="19680310"/>
    <s v="10.03.1968"/>
    <d v="1954-11-02T00:00:00"/>
    <n v="54"/>
  </r>
  <r>
    <s v="98100693644"/>
    <x v="11"/>
    <s v="miasto"/>
    <n v="98"/>
    <n v="10"/>
    <n v="6"/>
    <n v="1998"/>
    <n v="10"/>
    <n v="6"/>
    <n v="19981006"/>
    <s v="06.10.1998"/>
    <d v="1924-04-06T00:00:00"/>
    <n v="24"/>
  </r>
  <r>
    <s v="76072914871"/>
    <x v="7"/>
    <s v="wieś"/>
    <n v="76"/>
    <n v="7"/>
    <n v="29"/>
    <n v="1976"/>
    <n v="7"/>
    <n v="29"/>
    <n v="19760729"/>
    <s v="29.07.1976"/>
    <d v="1946-06-14T00:00:00"/>
    <n v="46"/>
  </r>
  <r>
    <s v="55041429471"/>
    <x v="10"/>
    <s v="wieś"/>
    <n v="55"/>
    <n v="4"/>
    <n v="14"/>
    <n v="1955"/>
    <n v="4"/>
    <n v="14"/>
    <n v="19550414"/>
    <s v="14.04.1955"/>
    <d v="1967-09-29T00:00:00"/>
    <n v="67"/>
  </r>
  <r>
    <s v="96010658900"/>
    <x v="8"/>
    <s v="wieś"/>
    <n v="96"/>
    <n v="1"/>
    <n v="6"/>
    <n v="1996"/>
    <n v="1"/>
    <n v="6"/>
    <n v="19960106"/>
    <s v="06.01.1996"/>
    <d v="1927-01-05T00:00:00"/>
    <n v="27"/>
  </r>
  <r>
    <s v="84032372784"/>
    <x v="9"/>
    <s v="miasto"/>
    <n v="84"/>
    <n v="3"/>
    <n v="23"/>
    <n v="1984"/>
    <n v="3"/>
    <n v="23"/>
    <n v="19840323"/>
    <s v="23.03.1984"/>
    <d v="1938-10-20T00:00:00"/>
    <n v="38"/>
  </r>
  <r>
    <s v="50101409189"/>
    <x v="5"/>
    <s v="wieś"/>
    <n v="50"/>
    <n v="10"/>
    <n v="14"/>
    <n v="1950"/>
    <n v="10"/>
    <n v="14"/>
    <n v="19501014"/>
    <s v="14.10.1950"/>
    <d v="1972-03-29T00:00:00"/>
    <n v="72"/>
  </r>
  <r>
    <s v="54122295170"/>
    <x v="14"/>
    <s v="miasto"/>
    <n v="54"/>
    <n v="12"/>
    <n v="22"/>
    <n v="1954"/>
    <n v="12"/>
    <n v="22"/>
    <n v="19541222"/>
    <s v="22.12.1954"/>
    <d v="1968-01-20T00:00:00"/>
    <n v="68"/>
  </r>
  <r>
    <s v="67092404057"/>
    <x v="7"/>
    <s v="wieś"/>
    <n v="67"/>
    <n v="9"/>
    <n v="24"/>
    <n v="1967"/>
    <n v="9"/>
    <n v="24"/>
    <n v="19670924"/>
    <s v="24.09.1967"/>
    <d v="1955-04-19T00:00:00"/>
    <n v="55"/>
  </r>
  <r>
    <s v="67022391071"/>
    <x v="2"/>
    <s v="wieś"/>
    <n v="67"/>
    <n v="2"/>
    <n v="23"/>
    <n v="1967"/>
    <n v="2"/>
    <n v="23"/>
    <n v="19670223"/>
    <s v="23.02.1967"/>
    <d v="1955-11-18T00:00:00"/>
    <n v="55"/>
  </r>
  <r>
    <s v="97041948136"/>
    <x v="9"/>
    <s v="miasto"/>
    <n v="97"/>
    <n v="4"/>
    <n v="19"/>
    <n v="1997"/>
    <n v="4"/>
    <n v="19"/>
    <n v="19970419"/>
    <s v="19.04.1997"/>
    <d v="1925-09-23T00:00:00"/>
    <n v="25"/>
  </r>
  <r>
    <s v="99011275523"/>
    <x v="8"/>
    <s v="miasto"/>
    <n v="99"/>
    <n v="1"/>
    <n v="12"/>
    <n v="1999"/>
    <n v="1"/>
    <n v="12"/>
    <n v="19990112"/>
    <s v="12.01.1999"/>
    <d v="1923-12-30T00:00:00"/>
    <n v="23"/>
  </r>
  <r>
    <s v="57071222781"/>
    <x v="6"/>
    <s v="miasto"/>
    <n v="57"/>
    <n v="7"/>
    <n v="12"/>
    <n v="1957"/>
    <n v="7"/>
    <n v="12"/>
    <n v="19570712"/>
    <s v="12.07.1957"/>
    <d v="1965-07-01T00:00:00"/>
    <n v="65"/>
  </r>
  <r>
    <s v="93012973237"/>
    <x v="12"/>
    <s v="miasto"/>
    <n v="93"/>
    <n v="1"/>
    <n v="29"/>
    <n v="1993"/>
    <n v="1"/>
    <n v="29"/>
    <n v="19930129"/>
    <s v="29.01.1993"/>
    <d v="1929-12-12T00:00:00"/>
    <n v="29"/>
  </r>
  <r>
    <s v="59082791780"/>
    <x v="4"/>
    <s v="wieś"/>
    <n v="59"/>
    <n v="8"/>
    <n v="27"/>
    <n v="1959"/>
    <n v="8"/>
    <n v="27"/>
    <n v="19590827"/>
    <s v="27.08.1959"/>
    <d v="1963-05-17T00:00:00"/>
    <n v="63"/>
  </r>
  <r>
    <s v="81091693078"/>
    <x v="15"/>
    <s v="wieś"/>
    <n v="81"/>
    <n v="9"/>
    <n v="16"/>
    <n v="1981"/>
    <n v="9"/>
    <n v="16"/>
    <n v="19810916"/>
    <s v="16.09.1981"/>
    <d v="1941-04-26T00:00:00"/>
    <n v="41"/>
  </r>
  <r>
    <s v="71022845751"/>
    <x v="9"/>
    <s v="wieś"/>
    <n v="71"/>
    <n v="2"/>
    <n v="28"/>
    <n v="1971"/>
    <n v="2"/>
    <n v="28"/>
    <n v="19710228"/>
    <s v="28.02.1971"/>
    <d v="1951-11-13T00:00:00"/>
    <n v="51"/>
  </r>
  <r>
    <s v="74123045345"/>
    <x v="4"/>
    <s v="miasto"/>
    <n v="74"/>
    <n v="12"/>
    <n v="30"/>
    <n v="1974"/>
    <n v="12"/>
    <n v="30"/>
    <n v="19741230"/>
    <s v="30.12.1974"/>
    <d v="1948-01-12T00:00:00"/>
    <n v="48"/>
  </r>
  <r>
    <s v="88060484406"/>
    <x v="15"/>
    <s v="miasto"/>
    <n v="88"/>
    <n v="6"/>
    <n v="4"/>
    <n v="1988"/>
    <n v="6"/>
    <n v="4"/>
    <n v="19880604"/>
    <s v="04.06.1988"/>
    <d v="1934-08-08T00:00:00"/>
    <n v="34"/>
  </r>
  <r>
    <s v="85012784393"/>
    <x v="15"/>
    <s v="miasto"/>
    <n v="85"/>
    <n v="1"/>
    <n v="27"/>
    <n v="1985"/>
    <n v="1"/>
    <n v="27"/>
    <n v="19850127"/>
    <s v="27.01.1985"/>
    <d v="1937-12-14T00:00:00"/>
    <n v="37"/>
  </r>
  <r>
    <s v="94112166637"/>
    <x v="7"/>
    <s v="wieś"/>
    <n v="94"/>
    <n v="11"/>
    <n v="21"/>
    <n v="1994"/>
    <n v="11"/>
    <n v="21"/>
    <n v="19941121"/>
    <s v="21.11.1994"/>
    <d v="1928-02-20T00:00:00"/>
    <n v="28"/>
  </r>
  <r>
    <s v="68091657019"/>
    <x v="7"/>
    <s v="wieś"/>
    <n v="68"/>
    <n v="9"/>
    <n v="16"/>
    <n v="1968"/>
    <n v="9"/>
    <n v="16"/>
    <n v="19680916"/>
    <s v="16.09.1968"/>
    <d v="1954-04-26T00:00:00"/>
    <n v="54"/>
  </r>
  <r>
    <s v="54081341844"/>
    <x v="9"/>
    <s v="miasto"/>
    <n v="54"/>
    <n v="8"/>
    <n v="13"/>
    <n v="1954"/>
    <n v="8"/>
    <n v="13"/>
    <n v="19540813"/>
    <s v="13.08.1954"/>
    <d v="1968-05-30T00:00:00"/>
    <n v="68"/>
  </r>
  <r>
    <s v="60012310953"/>
    <x v="9"/>
    <s v="wieś"/>
    <n v="60"/>
    <n v="1"/>
    <n v="23"/>
    <n v="1960"/>
    <n v="1"/>
    <n v="23"/>
    <n v="19600123"/>
    <s v="23.01.1960"/>
    <d v="1962-12-19T00:00:00"/>
    <n v="62"/>
  </r>
  <r>
    <s v="61042978869"/>
    <x v="9"/>
    <s v="wieś"/>
    <n v="61"/>
    <n v="4"/>
    <n v="29"/>
    <n v="1961"/>
    <n v="4"/>
    <n v="29"/>
    <n v="19610429"/>
    <s v="29.04.1961"/>
    <d v="1961-09-13T00:00:00"/>
    <n v="61"/>
  </r>
  <r>
    <s v="67122575465"/>
    <x v="6"/>
    <s v="wieś"/>
    <n v="67"/>
    <n v="12"/>
    <n v="25"/>
    <n v="1967"/>
    <n v="12"/>
    <n v="25"/>
    <n v="19671225"/>
    <s v="25.12.1967"/>
    <d v="1955-01-17T00:00:00"/>
    <n v="55"/>
  </r>
  <r>
    <s v="85060561687"/>
    <x v="1"/>
    <s v="miasto"/>
    <n v="85"/>
    <n v="6"/>
    <n v="5"/>
    <n v="1985"/>
    <n v="6"/>
    <n v="5"/>
    <n v="19850605"/>
    <s v="05.06.1985"/>
    <d v="1937-08-07T00:00:00"/>
    <n v="37"/>
  </r>
  <r>
    <s v="62030546646"/>
    <x v="12"/>
    <s v="miasto"/>
    <n v="62"/>
    <n v="3"/>
    <n v="5"/>
    <n v="1962"/>
    <n v="3"/>
    <n v="5"/>
    <n v="19620305"/>
    <s v="05.03.1962"/>
    <d v="1960-11-07T00:00:00"/>
    <n v="60"/>
  </r>
  <r>
    <s v="87071650974"/>
    <x v="4"/>
    <s v="miasto"/>
    <n v="87"/>
    <n v="7"/>
    <n v="16"/>
    <n v="1987"/>
    <n v="7"/>
    <n v="16"/>
    <n v="19870716"/>
    <s v="16.07.1987"/>
    <d v="1935-06-28T00:00:00"/>
    <n v="35"/>
  </r>
  <r>
    <s v="80051365079"/>
    <x v="4"/>
    <s v="miasto"/>
    <n v="80"/>
    <n v="5"/>
    <n v="13"/>
    <n v="1980"/>
    <n v="5"/>
    <n v="13"/>
    <n v="19800513"/>
    <s v="13.05.1980"/>
    <d v="1942-08-30T00:00:00"/>
    <n v="42"/>
  </r>
  <r>
    <s v="63031207831"/>
    <x v="4"/>
    <s v="miasto"/>
    <n v="63"/>
    <n v="3"/>
    <n v="12"/>
    <n v="1963"/>
    <n v="3"/>
    <n v="12"/>
    <n v="19630312"/>
    <s v="12.03.1963"/>
    <d v="1959-11-01T00:00:00"/>
    <n v="59"/>
  </r>
  <r>
    <s v="99112776026"/>
    <x v="13"/>
    <s v="wieś"/>
    <n v="99"/>
    <n v="11"/>
    <n v="27"/>
    <n v="1999"/>
    <n v="11"/>
    <n v="27"/>
    <n v="19991127"/>
    <s v="27.11.1999"/>
    <d v="1923-02-14T00:00:00"/>
    <n v="23"/>
  </r>
  <r>
    <s v="90071387764"/>
    <x v="7"/>
    <s v="wieś"/>
    <n v="90"/>
    <n v="7"/>
    <n v="13"/>
    <n v="1990"/>
    <n v="7"/>
    <n v="13"/>
    <n v="19900713"/>
    <s v="13.07.1990"/>
    <d v="1932-06-30T00:00:00"/>
    <n v="32"/>
  </r>
  <r>
    <s v="79100121607"/>
    <x v="10"/>
    <s v="miasto"/>
    <n v="79"/>
    <n v="10"/>
    <n v="1"/>
    <n v="1979"/>
    <n v="10"/>
    <n v="1"/>
    <n v="19791001"/>
    <s v="01.10.1979"/>
    <d v="1943-04-12T00:00:00"/>
    <n v="43"/>
  </r>
  <r>
    <s v="67021697321"/>
    <x v="3"/>
    <s v="miasto"/>
    <n v="67"/>
    <n v="2"/>
    <n v="16"/>
    <n v="1967"/>
    <n v="2"/>
    <n v="16"/>
    <n v="19670216"/>
    <s v="16.02.1967"/>
    <d v="1955-11-25T00:00:00"/>
    <n v="55"/>
  </r>
  <r>
    <s v="80122931244"/>
    <x v="15"/>
    <s v="wieś"/>
    <n v="80"/>
    <n v="12"/>
    <n v="29"/>
    <n v="1980"/>
    <n v="12"/>
    <n v="29"/>
    <n v="19801229"/>
    <s v="29.12.1980"/>
    <d v="1942-01-12T00:00:00"/>
    <n v="42"/>
  </r>
  <r>
    <s v="68021561579"/>
    <x v="2"/>
    <s v="miasto"/>
    <n v="68"/>
    <n v="2"/>
    <n v="15"/>
    <n v="1968"/>
    <n v="2"/>
    <n v="15"/>
    <n v="19680215"/>
    <s v="15.02.1968"/>
    <d v="1954-11-26T00:00:00"/>
    <n v="54"/>
  </r>
  <r>
    <s v="57051700113"/>
    <x v="11"/>
    <s v="wieś"/>
    <n v="57"/>
    <n v="5"/>
    <n v="17"/>
    <n v="1957"/>
    <n v="5"/>
    <n v="17"/>
    <n v="19570517"/>
    <s v="17.05.1957"/>
    <d v="1965-08-26T00:00:00"/>
    <n v="65"/>
  </r>
  <r>
    <s v="96111212067"/>
    <x v="6"/>
    <s v="miasto"/>
    <n v="96"/>
    <n v="11"/>
    <n v="12"/>
    <n v="1996"/>
    <n v="11"/>
    <n v="12"/>
    <n v="19961112"/>
    <s v="12.11.1996"/>
    <d v="1926-02-28T00:00:00"/>
    <n v="26"/>
  </r>
  <r>
    <s v="89031099317"/>
    <x v="10"/>
    <s v="miasto"/>
    <n v="89"/>
    <n v="3"/>
    <n v="10"/>
    <n v="1989"/>
    <n v="3"/>
    <n v="10"/>
    <n v="19890310"/>
    <s v="10.03.1989"/>
    <d v="1933-11-02T00:00:00"/>
    <n v="33"/>
  </r>
  <r>
    <s v="82091382834"/>
    <x v="14"/>
    <s v="wieś"/>
    <n v="82"/>
    <n v="9"/>
    <n v="13"/>
    <n v="1982"/>
    <n v="9"/>
    <n v="13"/>
    <n v="19820913"/>
    <s v="13.09.1982"/>
    <d v="1940-04-29T00:00:00"/>
    <n v="40"/>
  </r>
  <r>
    <s v="51122005161"/>
    <x v="2"/>
    <s v="wieś"/>
    <n v="51"/>
    <n v="12"/>
    <n v="20"/>
    <n v="1951"/>
    <n v="12"/>
    <n v="20"/>
    <n v="19511220"/>
    <s v="20.12.1951"/>
    <d v="1971-01-22T00:00:00"/>
    <n v="71"/>
  </r>
  <r>
    <s v="65081827241"/>
    <x v="4"/>
    <s v="miasto"/>
    <n v="65"/>
    <n v="8"/>
    <n v="18"/>
    <n v="1965"/>
    <n v="8"/>
    <n v="18"/>
    <n v="19650818"/>
    <s v="18.08.1965"/>
    <d v="1957-05-25T00:00:00"/>
    <n v="57"/>
  </r>
  <r>
    <s v="52073149353"/>
    <x v="9"/>
    <s v="wieś"/>
    <n v="52"/>
    <n v="7"/>
    <n v="31"/>
    <n v="1952"/>
    <n v="7"/>
    <n v="31"/>
    <n v="19520731"/>
    <s v="31.07.1952"/>
    <d v="1970-06-12T00:00:00"/>
    <n v="70"/>
  </r>
  <r>
    <s v="52072768764"/>
    <x v="3"/>
    <s v="miasto"/>
    <n v="52"/>
    <n v="7"/>
    <n v="27"/>
    <n v="1952"/>
    <n v="7"/>
    <n v="27"/>
    <n v="19520727"/>
    <s v="27.07.1952"/>
    <d v="1970-06-16T00:00:00"/>
    <n v="70"/>
  </r>
  <r>
    <s v="73050819755"/>
    <x v="11"/>
    <s v="wieś"/>
    <n v="73"/>
    <n v="5"/>
    <n v="8"/>
    <n v="1973"/>
    <n v="5"/>
    <n v="8"/>
    <n v="19730508"/>
    <s v="08.05.1973"/>
    <d v="1949-09-04T00:00:00"/>
    <n v="49"/>
  </r>
  <r>
    <s v="61041842387"/>
    <x v="14"/>
    <s v="miasto"/>
    <n v="61"/>
    <n v="4"/>
    <n v="18"/>
    <n v="1961"/>
    <n v="4"/>
    <n v="18"/>
    <n v="19610418"/>
    <s v="18.04.1961"/>
    <d v="1961-09-24T00:00:00"/>
    <n v="61"/>
  </r>
  <r>
    <s v="66072012686"/>
    <x v="3"/>
    <s v="wieś"/>
    <n v="66"/>
    <n v="7"/>
    <n v="20"/>
    <n v="1966"/>
    <n v="7"/>
    <n v="20"/>
    <n v="19660720"/>
    <s v="20.07.1966"/>
    <d v="1956-06-23T00:00:00"/>
    <n v="56"/>
  </r>
  <r>
    <s v="52011513628"/>
    <x v="0"/>
    <s v="wieś"/>
    <n v="52"/>
    <n v="1"/>
    <n v="15"/>
    <n v="1952"/>
    <n v="1"/>
    <n v="15"/>
    <n v="19520115"/>
    <s v="15.01.1952"/>
    <d v="1970-12-27T00:00:00"/>
    <n v="70"/>
  </r>
  <r>
    <s v="90030794936"/>
    <x v="12"/>
    <s v="miasto"/>
    <n v="90"/>
    <n v="3"/>
    <n v="7"/>
    <n v="1990"/>
    <n v="3"/>
    <n v="7"/>
    <n v="19900307"/>
    <s v="07.03.1990"/>
    <d v="1932-11-05T00:00:00"/>
    <n v="32"/>
  </r>
  <r>
    <s v="79011981318"/>
    <x v="13"/>
    <s v="wieś"/>
    <n v="79"/>
    <n v="1"/>
    <n v="19"/>
    <n v="1979"/>
    <n v="1"/>
    <n v="19"/>
    <n v="19790119"/>
    <s v="19.01.1979"/>
    <d v="1943-12-23T00:00:00"/>
    <n v="43"/>
  </r>
  <r>
    <s v="93082049658"/>
    <x v="8"/>
    <s v="wieś"/>
    <n v="93"/>
    <n v="8"/>
    <n v="20"/>
    <n v="1993"/>
    <n v="8"/>
    <n v="20"/>
    <n v="19930820"/>
    <s v="20.08.1993"/>
    <d v="1929-05-23T00:00:00"/>
    <n v="29"/>
  </r>
  <r>
    <s v="95020539612"/>
    <x v="11"/>
    <s v="miasto"/>
    <n v="95"/>
    <n v="2"/>
    <n v="5"/>
    <n v="1995"/>
    <n v="2"/>
    <n v="5"/>
    <n v="19950205"/>
    <s v="05.02.1995"/>
    <d v="1927-12-06T00:00:00"/>
    <n v="27"/>
  </r>
  <r>
    <s v="62121026899"/>
    <x v="6"/>
    <s v="wieś"/>
    <n v="62"/>
    <n v="12"/>
    <n v="10"/>
    <n v="1962"/>
    <n v="12"/>
    <n v="10"/>
    <n v="19621210"/>
    <s v="10.12.1962"/>
    <d v="1960-02-01T00:00:00"/>
    <n v="60"/>
  </r>
  <r>
    <s v="98070529271"/>
    <x v="3"/>
    <s v="miasto"/>
    <n v="98"/>
    <n v="7"/>
    <n v="5"/>
    <n v="1998"/>
    <n v="7"/>
    <n v="5"/>
    <n v="19980705"/>
    <s v="05.07.1998"/>
    <d v="1924-07-08T00:00:00"/>
    <n v="24"/>
  </r>
  <r>
    <s v="93030531536"/>
    <x v="0"/>
    <s v="wieś"/>
    <n v="93"/>
    <n v="3"/>
    <n v="5"/>
    <n v="1993"/>
    <n v="3"/>
    <n v="5"/>
    <n v="19930305"/>
    <s v="05.03.1993"/>
    <d v="1929-11-07T00:00:00"/>
    <n v="29"/>
  </r>
  <r>
    <s v="89051997242"/>
    <x v="10"/>
    <s v="miasto"/>
    <n v="89"/>
    <n v="5"/>
    <n v="19"/>
    <n v="1989"/>
    <n v="5"/>
    <n v="19"/>
    <n v="19890519"/>
    <s v="19.05.1989"/>
    <d v="1933-08-24T00:00:00"/>
    <n v="33"/>
  </r>
  <r>
    <s v="98031592126"/>
    <x v="6"/>
    <s v="miasto"/>
    <n v="98"/>
    <n v="3"/>
    <n v="15"/>
    <n v="1998"/>
    <n v="3"/>
    <n v="15"/>
    <n v="19980315"/>
    <s v="15.03.1998"/>
    <d v="1924-10-28T00:00:00"/>
    <n v="24"/>
  </r>
  <r>
    <s v="96032495400"/>
    <x v="4"/>
    <s v="wieś"/>
    <n v="96"/>
    <n v="3"/>
    <n v="24"/>
    <n v="1996"/>
    <n v="3"/>
    <n v="24"/>
    <n v="19960324"/>
    <s v="24.03.1996"/>
    <d v="1926-10-19T00:00:00"/>
    <n v="26"/>
  </r>
  <r>
    <s v="76060407716"/>
    <x v="7"/>
    <s v="wieś"/>
    <n v="76"/>
    <n v="6"/>
    <n v="4"/>
    <n v="1976"/>
    <n v="6"/>
    <n v="4"/>
    <n v="19760604"/>
    <s v="04.06.1976"/>
    <d v="1946-08-08T00:00:00"/>
    <n v="46"/>
  </r>
  <r>
    <s v="86102363786"/>
    <x v="2"/>
    <s v="miasto"/>
    <n v="86"/>
    <n v="10"/>
    <n v="23"/>
    <n v="1986"/>
    <n v="10"/>
    <n v="23"/>
    <n v="19861023"/>
    <s v="23.10.1986"/>
    <d v="1936-03-20T00:00:00"/>
    <n v="36"/>
  </r>
  <r>
    <s v="50011021644"/>
    <x v="14"/>
    <s v="miasto"/>
    <n v="50"/>
    <n v="1"/>
    <n v="10"/>
    <n v="1950"/>
    <n v="1"/>
    <n v="10"/>
    <n v="19500110"/>
    <s v="10.01.1950"/>
    <d v="1972-12-31T00:00:00"/>
    <n v="72"/>
  </r>
  <r>
    <s v="79020918057"/>
    <x v="6"/>
    <s v="miasto"/>
    <n v="79"/>
    <n v="2"/>
    <n v="9"/>
    <n v="1979"/>
    <n v="2"/>
    <n v="9"/>
    <n v="19790209"/>
    <s v="09.02.1979"/>
    <d v="1943-12-02T00:00:00"/>
    <n v="43"/>
  </r>
  <r>
    <s v="78022471528"/>
    <x v="8"/>
    <s v="miasto"/>
    <n v="78"/>
    <n v="2"/>
    <n v="24"/>
    <n v="1978"/>
    <n v="2"/>
    <n v="24"/>
    <n v="19780224"/>
    <s v="24.02.1978"/>
    <d v="1944-11-16T00:00:00"/>
    <n v="44"/>
  </r>
  <r>
    <s v="63121010668"/>
    <x v="9"/>
    <s v="wieś"/>
    <n v="63"/>
    <n v="12"/>
    <n v="10"/>
    <n v="1963"/>
    <n v="12"/>
    <n v="10"/>
    <n v="19631210"/>
    <s v="10.12.1963"/>
    <d v="1959-02-01T00:00:00"/>
    <n v="59"/>
  </r>
  <r>
    <s v="56080833942"/>
    <x v="14"/>
    <s v="wieś"/>
    <n v="56"/>
    <n v="8"/>
    <n v="8"/>
    <n v="1956"/>
    <n v="8"/>
    <n v="8"/>
    <n v="19560808"/>
    <s v="08.08.1956"/>
    <d v="1966-06-04T00:00:00"/>
    <n v="66"/>
  </r>
  <r>
    <s v="66101082660"/>
    <x v="12"/>
    <s v="wieś"/>
    <n v="66"/>
    <n v="10"/>
    <n v="10"/>
    <n v="1966"/>
    <n v="10"/>
    <n v="10"/>
    <n v="19661010"/>
    <s v="10.10.1966"/>
    <d v="1956-04-02T00:00:00"/>
    <n v="56"/>
  </r>
  <r>
    <s v="65052373250"/>
    <x v="8"/>
    <s v="miasto"/>
    <n v="65"/>
    <n v="5"/>
    <n v="23"/>
    <n v="1965"/>
    <n v="5"/>
    <n v="23"/>
    <n v="19650523"/>
    <s v="23.05.1965"/>
    <d v="1957-08-20T00:00:00"/>
    <n v="57"/>
  </r>
  <r>
    <s v="54061841533"/>
    <x v="4"/>
    <s v="miasto"/>
    <n v="54"/>
    <n v="6"/>
    <n v="18"/>
    <n v="1954"/>
    <n v="6"/>
    <n v="18"/>
    <n v="19540618"/>
    <s v="18.06.1954"/>
    <d v="1968-07-25T00:00:00"/>
    <n v="68"/>
  </r>
  <r>
    <s v="90042297346"/>
    <x v="3"/>
    <s v="miasto"/>
    <n v="90"/>
    <n v="4"/>
    <n v="22"/>
    <n v="1990"/>
    <n v="4"/>
    <n v="22"/>
    <n v="19900422"/>
    <s v="22.04.1990"/>
    <d v="1932-09-20T00:00:00"/>
    <n v="32"/>
  </r>
  <r>
    <s v="58012291873"/>
    <x v="2"/>
    <s v="miasto"/>
    <n v="58"/>
    <n v="1"/>
    <n v="22"/>
    <n v="1958"/>
    <n v="1"/>
    <n v="22"/>
    <n v="19580122"/>
    <s v="22.01.1958"/>
    <d v="1964-12-19T00:00:00"/>
    <n v="64"/>
  </r>
  <r>
    <s v="88020290896"/>
    <x v="10"/>
    <s v="wieś"/>
    <n v="88"/>
    <n v="2"/>
    <n v="2"/>
    <n v="1988"/>
    <n v="2"/>
    <n v="2"/>
    <n v="19880202"/>
    <s v="02.02.1988"/>
    <d v="1934-12-09T00:00:00"/>
    <n v="34"/>
  </r>
  <r>
    <s v="74072307837"/>
    <x v="14"/>
    <s v="miasto"/>
    <n v="74"/>
    <n v="7"/>
    <n v="23"/>
    <n v="1974"/>
    <n v="7"/>
    <n v="23"/>
    <n v="19740723"/>
    <s v="23.07.1974"/>
    <d v="1948-06-20T00:00:00"/>
    <n v="48"/>
  </r>
  <r>
    <s v="72122724900"/>
    <x v="14"/>
    <s v="miasto"/>
    <n v="72"/>
    <n v="12"/>
    <n v="27"/>
    <n v="1972"/>
    <n v="12"/>
    <n v="27"/>
    <n v="19721227"/>
    <s v="27.12.1972"/>
    <d v="1950-01-14T00:00:00"/>
    <n v="50"/>
  </r>
  <r>
    <s v="76081823199"/>
    <x v="11"/>
    <s v="miasto"/>
    <n v="76"/>
    <n v="8"/>
    <n v="18"/>
    <n v="1976"/>
    <n v="8"/>
    <n v="18"/>
    <n v="19760818"/>
    <s v="18.08.1976"/>
    <d v="1946-05-25T00:00:00"/>
    <n v="46"/>
  </r>
  <r>
    <s v="79042502241"/>
    <x v="5"/>
    <s v="miasto"/>
    <n v="79"/>
    <n v="4"/>
    <n v="25"/>
    <n v="1979"/>
    <n v="4"/>
    <n v="25"/>
    <n v="19790425"/>
    <s v="25.04.1979"/>
    <d v="1943-09-18T00:00:00"/>
    <n v="43"/>
  </r>
  <r>
    <s v="57071748146"/>
    <x v="2"/>
    <s v="wieś"/>
    <n v="57"/>
    <n v="7"/>
    <n v="17"/>
    <n v="1957"/>
    <n v="7"/>
    <n v="17"/>
    <n v="19570717"/>
    <s v="17.07.1957"/>
    <d v="1965-06-26T00:00:00"/>
    <n v="65"/>
  </r>
  <r>
    <s v="69042830493"/>
    <x v="1"/>
    <s v="wieś"/>
    <n v="69"/>
    <n v="4"/>
    <n v="28"/>
    <n v="1969"/>
    <n v="4"/>
    <n v="28"/>
    <n v="19690428"/>
    <s v="28.04.1969"/>
    <d v="1953-09-14T00:00:00"/>
    <n v="53"/>
  </r>
  <r>
    <s v="51122805709"/>
    <x v="4"/>
    <s v="wieś"/>
    <n v="51"/>
    <n v="12"/>
    <n v="28"/>
    <n v="1951"/>
    <n v="12"/>
    <n v="28"/>
    <n v="19511228"/>
    <s v="28.12.1951"/>
    <d v="1971-01-14T00:00:00"/>
    <n v="71"/>
  </r>
  <r>
    <s v="60100601215"/>
    <x v="9"/>
    <s v="miasto"/>
    <n v="60"/>
    <n v="10"/>
    <n v="6"/>
    <n v="1960"/>
    <n v="10"/>
    <n v="6"/>
    <n v="19601006"/>
    <s v="06.10.1960"/>
    <d v="1962-04-06T00:00:00"/>
    <n v="62"/>
  </r>
  <r>
    <s v="71032673014"/>
    <x v="10"/>
    <s v="miasto"/>
    <n v="71"/>
    <n v="3"/>
    <n v="26"/>
    <n v="1971"/>
    <n v="3"/>
    <n v="26"/>
    <n v="19710326"/>
    <s v="26.03.1971"/>
    <d v="1951-10-18T00:00:00"/>
    <n v="51"/>
  </r>
  <r>
    <s v="65020176692"/>
    <x v="3"/>
    <s v="wieś"/>
    <n v="65"/>
    <n v="2"/>
    <n v="1"/>
    <n v="1965"/>
    <n v="2"/>
    <n v="1"/>
    <n v="19650201"/>
    <s v="01.02.1965"/>
    <d v="1957-12-09T00:00:00"/>
    <n v="57"/>
  </r>
  <r>
    <s v="96030717845"/>
    <x v="6"/>
    <s v="wieś"/>
    <n v="96"/>
    <n v="3"/>
    <n v="7"/>
    <n v="1996"/>
    <n v="3"/>
    <n v="7"/>
    <n v="19960307"/>
    <s v="07.03.1996"/>
    <d v="1926-11-05T00:00:00"/>
    <n v="26"/>
  </r>
  <r>
    <s v="58072435114"/>
    <x v="6"/>
    <s v="miasto"/>
    <n v="58"/>
    <n v="7"/>
    <n v="24"/>
    <n v="1958"/>
    <n v="7"/>
    <n v="24"/>
    <n v="19580724"/>
    <s v="24.07.1958"/>
    <d v="1964-06-19T00:00:00"/>
    <n v="64"/>
  </r>
  <r>
    <s v="76121983603"/>
    <x v="14"/>
    <s v="miasto"/>
    <n v="76"/>
    <n v="12"/>
    <n v="19"/>
    <n v="1976"/>
    <n v="12"/>
    <n v="19"/>
    <n v="19761219"/>
    <s v="19.12.1976"/>
    <d v="1946-01-22T00:00:00"/>
    <n v="46"/>
  </r>
  <r>
    <s v="63102281616"/>
    <x v="12"/>
    <s v="wieś"/>
    <n v="63"/>
    <n v="10"/>
    <n v="22"/>
    <n v="1963"/>
    <n v="10"/>
    <n v="22"/>
    <n v="19631022"/>
    <s v="22.10.1963"/>
    <d v="1959-03-22T00:00:00"/>
    <n v="59"/>
  </r>
  <r>
    <s v="60102044179"/>
    <x v="10"/>
    <s v="miasto"/>
    <n v="60"/>
    <n v="10"/>
    <n v="20"/>
    <n v="1960"/>
    <n v="10"/>
    <n v="20"/>
    <n v="19601020"/>
    <s v="20.10.1960"/>
    <d v="1962-03-23T00:00:00"/>
    <n v="62"/>
  </r>
  <r>
    <s v="79110638474"/>
    <x v="13"/>
    <s v="wieś"/>
    <n v="79"/>
    <n v="11"/>
    <n v="6"/>
    <n v="1979"/>
    <n v="11"/>
    <n v="6"/>
    <n v="19791106"/>
    <s v="06.11.1979"/>
    <d v="1943-03-07T00:00:00"/>
    <n v="43"/>
  </r>
  <r>
    <s v="56031331390"/>
    <x v="3"/>
    <s v="wieś"/>
    <n v="56"/>
    <n v="3"/>
    <n v="13"/>
    <n v="1956"/>
    <n v="3"/>
    <n v="13"/>
    <n v="19560313"/>
    <s v="13.03.1956"/>
    <d v="1966-10-30T00:00:00"/>
    <n v="66"/>
  </r>
  <r>
    <s v="88031966519"/>
    <x v="3"/>
    <s v="miasto"/>
    <n v="88"/>
    <n v="3"/>
    <n v="19"/>
    <n v="1988"/>
    <n v="3"/>
    <n v="19"/>
    <n v="19880319"/>
    <s v="19.03.1988"/>
    <d v="1934-10-24T00:00:00"/>
    <n v="34"/>
  </r>
  <r>
    <s v="60100214787"/>
    <x v="11"/>
    <s v="wieś"/>
    <n v="60"/>
    <n v="10"/>
    <n v="2"/>
    <n v="1960"/>
    <n v="10"/>
    <n v="2"/>
    <n v="19601002"/>
    <s v="02.10.1960"/>
    <d v="1962-04-10T00:00:00"/>
    <n v="62"/>
  </r>
  <r>
    <s v="70080400450"/>
    <x v="11"/>
    <s v="miasto"/>
    <n v="70"/>
    <n v="8"/>
    <n v="4"/>
    <n v="1970"/>
    <n v="8"/>
    <n v="4"/>
    <n v="19700804"/>
    <s v="04.08.1970"/>
    <d v="1952-06-08T00:00:00"/>
    <n v="52"/>
  </r>
  <r>
    <s v="71111962853"/>
    <x v="15"/>
    <s v="wieś"/>
    <n v="71"/>
    <n v="11"/>
    <n v="19"/>
    <n v="1971"/>
    <n v="11"/>
    <n v="19"/>
    <n v="19711119"/>
    <s v="19.11.1971"/>
    <d v="1951-02-22T00:00:00"/>
    <n v="51"/>
  </r>
  <r>
    <s v="77041828005"/>
    <x v="11"/>
    <s v="wieś"/>
    <n v="77"/>
    <n v="4"/>
    <n v="18"/>
    <n v="1977"/>
    <n v="4"/>
    <n v="18"/>
    <n v="19770418"/>
    <s v="18.04.1977"/>
    <d v="1945-09-24T00:00:00"/>
    <n v="45"/>
  </r>
  <r>
    <s v="61082401051"/>
    <x v="11"/>
    <s v="miasto"/>
    <n v="61"/>
    <n v="8"/>
    <n v="24"/>
    <n v="1961"/>
    <n v="8"/>
    <n v="24"/>
    <n v="19610824"/>
    <s v="24.08.1961"/>
    <d v="1961-05-19T00:00:00"/>
    <n v="61"/>
  </r>
  <r>
    <s v="53080346768"/>
    <x v="8"/>
    <s v="wieś"/>
    <n v="53"/>
    <n v="8"/>
    <n v="3"/>
    <n v="1953"/>
    <n v="8"/>
    <n v="3"/>
    <n v="19530803"/>
    <s v="03.08.1953"/>
    <d v="1969-06-09T00:00:00"/>
    <n v="69"/>
  </r>
  <r>
    <s v="81092123347"/>
    <x v="15"/>
    <s v="miasto"/>
    <n v="81"/>
    <n v="9"/>
    <n v="21"/>
    <n v="1981"/>
    <n v="9"/>
    <n v="21"/>
    <n v="19810921"/>
    <s v="21.09.1981"/>
    <d v="1941-04-21T00:00:00"/>
    <n v="41"/>
  </r>
  <r>
    <s v="83102006475"/>
    <x v="8"/>
    <s v="wieś"/>
    <n v="83"/>
    <n v="10"/>
    <n v="20"/>
    <n v="1983"/>
    <n v="10"/>
    <n v="20"/>
    <n v="19831020"/>
    <s v="20.10.1983"/>
    <d v="1939-03-24T00:00:00"/>
    <n v="39"/>
  </r>
  <r>
    <s v="57080789431"/>
    <x v="5"/>
    <s v="miasto"/>
    <n v="57"/>
    <n v="8"/>
    <n v="7"/>
    <n v="1957"/>
    <n v="8"/>
    <n v="7"/>
    <n v="19570807"/>
    <s v="07.08.1957"/>
    <d v="1965-06-05T00:00:00"/>
    <n v="65"/>
  </r>
  <r>
    <s v="96092868033"/>
    <x v="12"/>
    <s v="wieś"/>
    <n v="96"/>
    <n v="9"/>
    <n v="28"/>
    <n v="1996"/>
    <n v="9"/>
    <n v="28"/>
    <n v="19960928"/>
    <s v="28.09.1996"/>
    <d v="1926-04-14T00:00:00"/>
    <n v="26"/>
  </r>
  <r>
    <s v="61040869008"/>
    <x v="13"/>
    <s v="wieś"/>
    <n v="61"/>
    <n v="4"/>
    <n v="8"/>
    <n v="1961"/>
    <n v="4"/>
    <n v="8"/>
    <n v="19610408"/>
    <s v="08.04.1961"/>
    <d v="1961-10-04T00:00:00"/>
    <n v="61"/>
  </r>
  <r>
    <s v="56112420867"/>
    <x v="8"/>
    <s v="miasto"/>
    <n v="56"/>
    <n v="11"/>
    <n v="24"/>
    <n v="1956"/>
    <n v="11"/>
    <n v="24"/>
    <n v="19561124"/>
    <s v="24.11.1956"/>
    <d v="1966-02-16T00:00:00"/>
    <n v="66"/>
  </r>
  <r>
    <s v="73033131926"/>
    <x v="2"/>
    <s v="miasto"/>
    <n v="73"/>
    <n v="3"/>
    <n v="31"/>
    <n v="1973"/>
    <n v="3"/>
    <n v="31"/>
    <n v="19730331"/>
    <s v="31.03.1973"/>
    <d v="1949-10-12T00:00:00"/>
    <n v="49"/>
  </r>
  <r>
    <s v="59071140867"/>
    <x v="11"/>
    <s v="wieś"/>
    <n v="59"/>
    <n v="7"/>
    <n v="11"/>
    <n v="1959"/>
    <n v="7"/>
    <n v="11"/>
    <n v="19590711"/>
    <s v="11.07.1959"/>
    <d v="1963-07-03T00:00:00"/>
    <n v="63"/>
  </r>
  <r>
    <s v="53062600392"/>
    <x v="6"/>
    <s v="miasto"/>
    <n v="53"/>
    <n v="6"/>
    <n v="26"/>
    <n v="1953"/>
    <n v="6"/>
    <n v="26"/>
    <n v="19530626"/>
    <s v="26.06.1953"/>
    <d v="1969-07-17T00:00:00"/>
    <n v="69"/>
  </r>
  <r>
    <s v="94091797482"/>
    <x v="1"/>
    <s v="miasto"/>
    <n v="94"/>
    <n v="9"/>
    <n v="17"/>
    <n v="1994"/>
    <n v="9"/>
    <n v="17"/>
    <n v="19940917"/>
    <s v="17.09.1994"/>
    <d v="1928-04-25T00:00:00"/>
    <n v="28"/>
  </r>
  <r>
    <s v="66082438007"/>
    <x v="13"/>
    <s v="miasto"/>
    <n v="66"/>
    <n v="8"/>
    <n v="24"/>
    <n v="1966"/>
    <n v="8"/>
    <n v="24"/>
    <n v="19660824"/>
    <s v="24.08.1966"/>
    <d v="1956-05-19T00:00:00"/>
    <n v="56"/>
  </r>
  <r>
    <s v="70120434153"/>
    <x v="13"/>
    <s v="wieś"/>
    <n v="70"/>
    <n v="12"/>
    <n v="4"/>
    <n v="1970"/>
    <n v="12"/>
    <n v="4"/>
    <n v="19701204"/>
    <s v="04.12.1970"/>
    <d v="1952-02-07T00:00:00"/>
    <n v="52"/>
  </r>
  <r>
    <s v="99072313297"/>
    <x v="12"/>
    <s v="miasto"/>
    <n v="99"/>
    <n v="7"/>
    <n v="23"/>
    <n v="1999"/>
    <n v="7"/>
    <n v="23"/>
    <n v="19990723"/>
    <s v="23.07.1999"/>
    <d v="1923-06-21T00:00:00"/>
    <n v="23"/>
  </r>
  <r>
    <s v="52032165031"/>
    <x v="12"/>
    <s v="wieś"/>
    <n v="52"/>
    <n v="3"/>
    <n v="21"/>
    <n v="1952"/>
    <n v="3"/>
    <n v="21"/>
    <n v="19520321"/>
    <s v="21.03.1952"/>
    <d v="1970-10-22T00:00:00"/>
    <n v="70"/>
  </r>
  <r>
    <s v="89101149319"/>
    <x v="0"/>
    <s v="miasto"/>
    <n v="89"/>
    <n v="10"/>
    <n v="11"/>
    <n v="1989"/>
    <n v="10"/>
    <n v="11"/>
    <n v="19891011"/>
    <s v="11.10.1989"/>
    <d v="1933-04-01T00:00:00"/>
    <n v="33"/>
  </r>
  <r>
    <s v="79083070972"/>
    <x v="9"/>
    <s v="miasto"/>
    <n v="79"/>
    <n v="8"/>
    <n v="30"/>
    <n v="1979"/>
    <n v="8"/>
    <n v="30"/>
    <n v="19790830"/>
    <s v="30.08.1979"/>
    <d v="1943-05-14T00:00:00"/>
    <n v="43"/>
  </r>
  <r>
    <s v="93021544752"/>
    <x v="1"/>
    <s v="wieś"/>
    <n v="93"/>
    <n v="2"/>
    <n v="15"/>
    <n v="1993"/>
    <n v="2"/>
    <n v="15"/>
    <n v="19930215"/>
    <s v="15.02.1993"/>
    <d v="1929-11-25T00:00:00"/>
    <n v="29"/>
  </r>
  <r>
    <s v="92112431197"/>
    <x v="12"/>
    <s v="wieś"/>
    <n v="92"/>
    <n v="11"/>
    <n v="24"/>
    <n v="1992"/>
    <n v="11"/>
    <n v="24"/>
    <n v="19921124"/>
    <s v="24.11.1992"/>
    <d v="1930-02-16T00:00:00"/>
    <n v="30"/>
  </r>
  <r>
    <s v="51121146926"/>
    <x v="15"/>
    <s v="miasto"/>
    <n v="51"/>
    <n v="12"/>
    <n v="11"/>
    <n v="1951"/>
    <n v="12"/>
    <n v="11"/>
    <n v="19511211"/>
    <s v="11.12.1951"/>
    <d v="1971-01-31T00:00:00"/>
    <n v="71"/>
  </r>
  <r>
    <s v="85111499028"/>
    <x v="10"/>
    <s v="miasto"/>
    <n v="85"/>
    <n v="11"/>
    <n v="14"/>
    <n v="1985"/>
    <n v="11"/>
    <n v="14"/>
    <n v="19851114"/>
    <s v="14.11.1985"/>
    <d v="1937-02-26T00:00:00"/>
    <n v="37"/>
  </r>
  <r>
    <s v="98012042048"/>
    <x v="15"/>
    <s v="wieś"/>
    <n v="98"/>
    <n v="1"/>
    <n v="20"/>
    <n v="1998"/>
    <n v="1"/>
    <n v="20"/>
    <n v="19980120"/>
    <s v="20.01.1998"/>
    <d v="1924-12-21T00:00:00"/>
    <n v="24"/>
  </r>
  <r>
    <s v="72071093829"/>
    <x v="10"/>
    <s v="wieś"/>
    <n v="72"/>
    <n v="7"/>
    <n v="10"/>
    <n v="1972"/>
    <n v="7"/>
    <n v="10"/>
    <n v="19720710"/>
    <s v="10.07.1972"/>
    <d v="1950-07-03T00:00:00"/>
    <n v="50"/>
  </r>
  <r>
    <s v="69040958571"/>
    <x v="5"/>
    <s v="wieś"/>
    <n v="69"/>
    <n v="4"/>
    <n v="9"/>
    <n v="1969"/>
    <n v="4"/>
    <n v="9"/>
    <n v="19690409"/>
    <s v="09.04.1969"/>
    <d v="1953-10-03T00:00:00"/>
    <n v="53"/>
  </r>
  <r>
    <s v="69090471617"/>
    <x v="1"/>
    <s v="wieś"/>
    <n v="69"/>
    <n v="9"/>
    <n v="4"/>
    <n v="1969"/>
    <n v="9"/>
    <n v="4"/>
    <n v="19690904"/>
    <s v="04.09.1969"/>
    <d v="1953-05-08T00:00:00"/>
    <n v="53"/>
  </r>
  <r>
    <s v="50062151338"/>
    <x v="14"/>
    <s v="wieś"/>
    <n v="50"/>
    <n v="6"/>
    <n v="21"/>
    <n v="1950"/>
    <n v="6"/>
    <n v="21"/>
    <n v="19500621"/>
    <s v="21.06.1950"/>
    <d v="1972-07-22T00:00:00"/>
    <n v="72"/>
  </r>
  <r>
    <s v="96123037605"/>
    <x v="9"/>
    <s v="miasto"/>
    <n v="96"/>
    <n v="12"/>
    <n v="30"/>
    <n v="1996"/>
    <n v="12"/>
    <n v="30"/>
    <n v="19961230"/>
    <s v="30.12.1996"/>
    <d v="1926-01-11T00:00:00"/>
    <n v="26"/>
  </r>
  <r>
    <s v="50040731114"/>
    <x v="6"/>
    <s v="wieś"/>
    <n v="50"/>
    <n v="4"/>
    <n v="7"/>
    <n v="1950"/>
    <n v="4"/>
    <n v="7"/>
    <n v="19500407"/>
    <s v="07.04.1950"/>
    <d v="1972-10-05T00:00:00"/>
    <n v="72"/>
  </r>
  <r>
    <s v="86063067804"/>
    <x v="14"/>
    <s v="wieś"/>
    <n v="86"/>
    <n v="6"/>
    <n v="30"/>
    <n v="1986"/>
    <n v="6"/>
    <n v="30"/>
    <n v="19860630"/>
    <s v="30.06.1986"/>
    <d v="1936-07-13T00:00:00"/>
    <n v="36"/>
  </r>
  <r>
    <s v="64070523768"/>
    <x v="12"/>
    <s v="wieś"/>
    <n v="64"/>
    <n v="7"/>
    <n v="5"/>
    <n v="1964"/>
    <n v="7"/>
    <n v="5"/>
    <n v="19640705"/>
    <s v="05.07.1964"/>
    <d v="1958-07-08T00:00:00"/>
    <n v="58"/>
  </r>
  <r>
    <s v="61111487140"/>
    <x v="7"/>
    <s v="wieś"/>
    <n v="61"/>
    <n v="11"/>
    <n v="14"/>
    <n v="1961"/>
    <n v="11"/>
    <n v="14"/>
    <n v="19611114"/>
    <s v="14.11.1961"/>
    <d v="1961-02-26T00:00:00"/>
    <n v="61"/>
  </r>
  <r>
    <s v="55081402366"/>
    <x v="1"/>
    <s v="miasto"/>
    <n v="55"/>
    <n v="8"/>
    <n v="14"/>
    <n v="1955"/>
    <n v="8"/>
    <n v="14"/>
    <n v="19550814"/>
    <s v="14.08.1955"/>
    <d v="1967-05-30T00:00:00"/>
    <n v="67"/>
  </r>
  <r>
    <s v="68101484688"/>
    <x v="1"/>
    <s v="miasto"/>
    <n v="68"/>
    <n v="10"/>
    <n v="14"/>
    <n v="1968"/>
    <n v="10"/>
    <n v="14"/>
    <n v="19681014"/>
    <s v="14.10.1968"/>
    <d v="1954-03-29T00:00:00"/>
    <n v="54"/>
  </r>
  <r>
    <s v="96072101624"/>
    <x v="12"/>
    <s v="miasto"/>
    <n v="96"/>
    <n v="7"/>
    <n v="21"/>
    <n v="1996"/>
    <n v="7"/>
    <n v="21"/>
    <n v="19960721"/>
    <s v="21.07.1996"/>
    <d v="1926-06-22T00:00:00"/>
    <n v="26"/>
  </r>
  <r>
    <s v="53111372836"/>
    <x v="3"/>
    <s v="miasto"/>
    <n v="53"/>
    <n v="11"/>
    <n v="13"/>
    <n v="1953"/>
    <n v="11"/>
    <n v="13"/>
    <n v="19531113"/>
    <s v="13.11.1953"/>
    <d v="1969-02-27T00:00:00"/>
    <n v="69"/>
  </r>
  <r>
    <s v="66050423060"/>
    <x v="1"/>
    <s v="miasto"/>
    <n v="66"/>
    <n v="5"/>
    <n v="4"/>
    <n v="1966"/>
    <n v="5"/>
    <n v="4"/>
    <n v="19660504"/>
    <s v="04.05.1966"/>
    <d v="1956-09-08T00:00:00"/>
    <n v="56"/>
  </r>
  <r>
    <s v="50112572104"/>
    <x v="3"/>
    <s v="miasto"/>
    <n v="50"/>
    <n v="11"/>
    <n v="25"/>
    <n v="1950"/>
    <n v="11"/>
    <n v="25"/>
    <n v="19501125"/>
    <s v="25.11.1950"/>
    <d v="1972-02-16T00:00:00"/>
    <n v="72"/>
  </r>
  <r>
    <s v="66041509607"/>
    <x v="12"/>
    <s v="wieś"/>
    <n v="66"/>
    <n v="4"/>
    <n v="15"/>
    <n v="1966"/>
    <n v="4"/>
    <n v="15"/>
    <n v="19660415"/>
    <s v="15.04.1966"/>
    <d v="1956-09-27T00:00:00"/>
    <n v="56"/>
  </r>
  <r>
    <s v="54111160315"/>
    <x v="4"/>
    <s v="wieś"/>
    <n v="54"/>
    <n v="11"/>
    <n v="11"/>
    <n v="1954"/>
    <n v="11"/>
    <n v="11"/>
    <n v="19541111"/>
    <s v="11.11.1954"/>
    <d v="1968-03-01T00:00:00"/>
    <n v="68"/>
  </r>
  <r>
    <s v="56040228672"/>
    <x v="9"/>
    <s v="miasto"/>
    <n v="56"/>
    <n v="4"/>
    <n v="2"/>
    <n v="1956"/>
    <n v="4"/>
    <n v="2"/>
    <n v="19560402"/>
    <s v="02.04.1956"/>
    <d v="1966-10-10T00:00:00"/>
    <n v="66"/>
  </r>
  <r>
    <s v="78111431918"/>
    <x v="6"/>
    <s v="wieś"/>
    <n v="78"/>
    <n v="11"/>
    <n v="14"/>
    <n v="1978"/>
    <n v="11"/>
    <n v="14"/>
    <n v="19781114"/>
    <s v="14.11.1978"/>
    <d v="1944-02-27T00:00:00"/>
    <n v="44"/>
  </r>
  <r>
    <s v="73070626456"/>
    <x v="2"/>
    <s v="miasto"/>
    <n v="73"/>
    <n v="7"/>
    <n v="6"/>
    <n v="1973"/>
    <n v="7"/>
    <n v="6"/>
    <n v="19730706"/>
    <s v="06.07.1973"/>
    <d v="1949-07-07T00:00:00"/>
    <n v="49"/>
  </r>
  <r>
    <s v="61042433348"/>
    <x v="9"/>
    <s v="miasto"/>
    <n v="61"/>
    <n v="4"/>
    <n v="24"/>
    <n v="1961"/>
    <n v="4"/>
    <n v="24"/>
    <n v="19610424"/>
    <s v="24.04.1961"/>
    <d v="1961-09-18T00:00:00"/>
    <n v="61"/>
  </r>
  <r>
    <s v="81050869595"/>
    <x v="14"/>
    <s v="wieś"/>
    <n v="81"/>
    <n v="5"/>
    <n v="8"/>
    <n v="1981"/>
    <n v="5"/>
    <n v="8"/>
    <n v="19810508"/>
    <s v="08.05.1981"/>
    <d v="1941-09-04T00:00:00"/>
    <n v="41"/>
  </r>
  <r>
    <s v="58091890613"/>
    <x v="4"/>
    <s v="wieś"/>
    <n v="58"/>
    <n v="9"/>
    <n v="18"/>
    <n v="1958"/>
    <n v="9"/>
    <n v="18"/>
    <n v="19580918"/>
    <s v="18.09.1958"/>
    <d v="1964-04-24T00:00:00"/>
    <n v="64"/>
  </r>
  <r>
    <s v="66082232755"/>
    <x v="1"/>
    <s v="miasto"/>
    <n v="66"/>
    <n v="8"/>
    <n v="22"/>
    <n v="1966"/>
    <n v="8"/>
    <n v="22"/>
    <n v="19660822"/>
    <s v="22.08.1966"/>
    <d v="1956-05-21T00:00:00"/>
    <n v="56"/>
  </r>
  <r>
    <s v="69020508231"/>
    <x v="12"/>
    <s v="miasto"/>
    <n v="69"/>
    <n v="2"/>
    <n v="5"/>
    <n v="1969"/>
    <n v="2"/>
    <n v="5"/>
    <n v="19690205"/>
    <s v="05.02.1969"/>
    <d v="1953-12-05T00:00:00"/>
    <n v="53"/>
  </r>
  <r>
    <s v="57111407330"/>
    <x v="5"/>
    <s v="wieś"/>
    <n v="57"/>
    <n v="11"/>
    <n v="14"/>
    <n v="1957"/>
    <n v="11"/>
    <n v="14"/>
    <n v="19571114"/>
    <s v="14.11.1957"/>
    <d v="1965-02-26T00:00:00"/>
    <n v="65"/>
  </r>
  <r>
    <s v="52110758050"/>
    <x v="7"/>
    <s v="wieś"/>
    <n v="52"/>
    <n v="11"/>
    <n v="7"/>
    <n v="1952"/>
    <n v="11"/>
    <n v="7"/>
    <n v="19521107"/>
    <s v="07.11.1952"/>
    <d v="1970-03-05T00:00:00"/>
    <n v="70"/>
  </r>
  <r>
    <s v="93011246172"/>
    <x v="14"/>
    <s v="wieś"/>
    <n v="93"/>
    <n v="1"/>
    <n v="12"/>
    <n v="1993"/>
    <n v="1"/>
    <n v="12"/>
    <n v="19930112"/>
    <s v="12.01.1993"/>
    <d v="1929-12-29T00:00:00"/>
    <n v="29"/>
  </r>
  <r>
    <s v="96121936753"/>
    <x v="7"/>
    <s v="miasto"/>
    <n v="96"/>
    <n v="12"/>
    <n v="19"/>
    <n v="1996"/>
    <n v="12"/>
    <n v="19"/>
    <n v="19961219"/>
    <s v="19.12.1996"/>
    <d v="1926-01-22T00:00:00"/>
    <n v="26"/>
  </r>
  <r>
    <s v="79061604939"/>
    <x v="12"/>
    <s v="miasto"/>
    <n v="79"/>
    <n v="6"/>
    <n v="16"/>
    <n v="1979"/>
    <n v="6"/>
    <n v="16"/>
    <n v="19790616"/>
    <s v="16.06.1979"/>
    <d v="1943-07-28T00:00:00"/>
    <n v="43"/>
  </r>
  <r>
    <s v="90082985672"/>
    <x v="1"/>
    <s v="wieś"/>
    <n v="90"/>
    <n v="8"/>
    <n v="29"/>
    <n v="1990"/>
    <n v="8"/>
    <n v="29"/>
    <n v="19900829"/>
    <s v="29.08.1990"/>
    <d v="1932-05-14T00:00:00"/>
    <n v="32"/>
  </r>
  <r>
    <s v="86010806854"/>
    <x v="14"/>
    <s v="wieś"/>
    <n v="86"/>
    <n v="1"/>
    <n v="8"/>
    <n v="1986"/>
    <n v="1"/>
    <n v="8"/>
    <n v="19860108"/>
    <s v="08.01.1986"/>
    <d v="1937-01-02T00:00:00"/>
    <n v="37"/>
  </r>
  <r>
    <s v="60051494601"/>
    <x v="8"/>
    <s v="wieś"/>
    <n v="60"/>
    <n v="5"/>
    <n v="14"/>
    <n v="1960"/>
    <n v="5"/>
    <n v="14"/>
    <n v="19600514"/>
    <s v="14.05.1960"/>
    <d v="1962-08-29T00:00:00"/>
    <n v="62"/>
  </r>
  <r>
    <s v="78012615541"/>
    <x v="8"/>
    <s v="miasto"/>
    <n v="78"/>
    <n v="1"/>
    <n v="26"/>
    <n v="1978"/>
    <n v="1"/>
    <n v="26"/>
    <n v="19780126"/>
    <s v="26.01.1978"/>
    <d v="1944-12-15T00:00:00"/>
    <n v="44"/>
  </r>
  <r>
    <s v="85120295381"/>
    <x v="15"/>
    <s v="miasto"/>
    <n v="85"/>
    <n v="12"/>
    <n v="2"/>
    <n v="1985"/>
    <n v="12"/>
    <n v="2"/>
    <n v="19851202"/>
    <s v="02.12.1985"/>
    <d v="1937-02-08T00:00:00"/>
    <n v="37"/>
  </r>
  <r>
    <s v="52042558504"/>
    <x v="14"/>
    <s v="wieś"/>
    <n v="52"/>
    <n v="4"/>
    <n v="25"/>
    <n v="1952"/>
    <n v="4"/>
    <n v="25"/>
    <n v="19520425"/>
    <s v="25.04.1952"/>
    <d v="1970-09-17T00:00:00"/>
    <n v="70"/>
  </r>
  <r>
    <s v="60091893541"/>
    <x v="5"/>
    <s v="wieś"/>
    <n v="60"/>
    <n v="9"/>
    <n v="18"/>
    <n v="1960"/>
    <n v="9"/>
    <n v="18"/>
    <n v="19600918"/>
    <s v="18.09.1960"/>
    <d v="1962-04-24T00:00:00"/>
    <n v="62"/>
  </r>
  <r>
    <s v="80021593459"/>
    <x v="5"/>
    <s v="wieś"/>
    <n v="80"/>
    <n v="2"/>
    <n v="15"/>
    <n v="1980"/>
    <n v="2"/>
    <n v="15"/>
    <n v="19800215"/>
    <s v="15.02.1980"/>
    <d v="1942-11-26T00:00:00"/>
    <n v="42"/>
  </r>
  <r>
    <s v="62011939184"/>
    <x v="5"/>
    <s v="miasto"/>
    <n v="62"/>
    <n v="1"/>
    <n v="19"/>
    <n v="1962"/>
    <n v="1"/>
    <n v="19"/>
    <n v="19620119"/>
    <s v="19.01.1962"/>
    <d v="1960-12-22T00:00:00"/>
    <n v="60"/>
  </r>
  <r>
    <s v="78092814382"/>
    <x v="14"/>
    <s v="wieś"/>
    <n v="78"/>
    <n v="9"/>
    <n v="28"/>
    <n v="1978"/>
    <n v="9"/>
    <n v="28"/>
    <n v="19780928"/>
    <s v="28.09.1978"/>
    <d v="1944-04-14T00:00:00"/>
    <n v="44"/>
  </r>
  <r>
    <s v="69060539204"/>
    <x v="0"/>
    <s v="wieś"/>
    <n v="69"/>
    <n v="6"/>
    <n v="5"/>
    <n v="1969"/>
    <n v="6"/>
    <n v="5"/>
    <n v="19690605"/>
    <s v="05.06.1969"/>
    <d v="1953-08-07T00:00:00"/>
    <n v="53"/>
  </r>
  <r>
    <s v="54012029489"/>
    <x v="8"/>
    <s v="wieś"/>
    <n v="54"/>
    <n v="1"/>
    <n v="20"/>
    <n v="1954"/>
    <n v="1"/>
    <n v="20"/>
    <n v="19540120"/>
    <s v="20.01.1954"/>
    <d v="1968-12-21T00:00:00"/>
    <n v="68"/>
  </r>
  <r>
    <s v="71120775567"/>
    <x v="6"/>
    <s v="miasto"/>
    <n v="71"/>
    <n v="12"/>
    <n v="7"/>
    <n v="1971"/>
    <n v="12"/>
    <n v="7"/>
    <n v="19711207"/>
    <s v="07.12.1971"/>
    <d v="1951-02-04T00:00:00"/>
    <n v="51"/>
  </r>
  <r>
    <s v="97082550396"/>
    <x v="8"/>
    <s v="wieś"/>
    <n v="97"/>
    <n v="8"/>
    <n v="25"/>
    <n v="1997"/>
    <n v="8"/>
    <n v="25"/>
    <n v="19970825"/>
    <s v="25.08.1997"/>
    <d v="1925-05-18T00:00:00"/>
    <n v="25"/>
  </r>
  <r>
    <s v="83092045281"/>
    <x v="11"/>
    <s v="wieś"/>
    <n v="83"/>
    <n v="9"/>
    <n v="20"/>
    <n v="1983"/>
    <n v="9"/>
    <n v="20"/>
    <n v="19830920"/>
    <s v="20.09.1983"/>
    <d v="1939-04-23T00:00:00"/>
    <n v="39"/>
  </r>
  <r>
    <s v="63011212011"/>
    <x v="14"/>
    <s v="miasto"/>
    <n v="63"/>
    <n v="1"/>
    <n v="12"/>
    <n v="1963"/>
    <n v="1"/>
    <n v="12"/>
    <n v="19630112"/>
    <s v="12.01.1963"/>
    <d v="1959-12-30T00:00:00"/>
    <n v="59"/>
  </r>
  <r>
    <s v="55040378486"/>
    <x v="12"/>
    <s v="wieś"/>
    <n v="55"/>
    <n v="4"/>
    <n v="3"/>
    <n v="1955"/>
    <n v="4"/>
    <n v="3"/>
    <n v="19550403"/>
    <s v="03.04.1955"/>
    <d v="1967-10-10T00:00:00"/>
    <n v="67"/>
  </r>
  <r>
    <s v="93042345873"/>
    <x v="6"/>
    <s v="miasto"/>
    <n v="93"/>
    <n v="4"/>
    <n v="23"/>
    <n v="1993"/>
    <n v="4"/>
    <n v="23"/>
    <n v="19930423"/>
    <s v="23.04.1993"/>
    <d v="1929-09-19T00:00:00"/>
    <n v="29"/>
  </r>
  <r>
    <s v="54050436032"/>
    <x v="2"/>
    <s v="wieś"/>
    <n v="54"/>
    <n v="5"/>
    <n v="4"/>
    <n v="1954"/>
    <n v="5"/>
    <n v="4"/>
    <n v="19540504"/>
    <s v="04.05.1954"/>
    <d v="1968-09-08T00:00:00"/>
    <n v="68"/>
  </r>
  <r>
    <s v="87110483314"/>
    <x v="15"/>
    <s v="miasto"/>
    <n v="87"/>
    <n v="11"/>
    <n v="4"/>
    <n v="1987"/>
    <n v="11"/>
    <n v="4"/>
    <n v="19871104"/>
    <s v="04.11.1987"/>
    <d v="1935-03-09T00:00:00"/>
    <n v="35"/>
  </r>
  <r>
    <s v="56100225593"/>
    <x v="13"/>
    <s v="miasto"/>
    <n v="56"/>
    <n v="10"/>
    <n v="2"/>
    <n v="1956"/>
    <n v="10"/>
    <n v="2"/>
    <n v="19561002"/>
    <s v="02.10.1956"/>
    <d v="1966-04-10T00:00:00"/>
    <n v="66"/>
  </r>
  <r>
    <s v="87081751737"/>
    <x v="14"/>
    <s v="wieś"/>
    <n v="87"/>
    <n v="8"/>
    <n v="17"/>
    <n v="1987"/>
    <n v="8"/>
    <n v="17"/>
    <n v="19870817"/>
    <s v="17.08.1987"/>
    <d v="1935-05-27T00:00:00"/>
    <n v="35"/>
  </r>
  <r>
    <s v="65030177359"/>
    <x v="14"/>
    <s v="wieś"/>
    <n v="65"/>
    <n v="3"/>
    <n v="1"/>
    <n v="1965"/>
    <n v="3"/>
    <n v="1"/>
    <n v="19650301"/>
    <s v="01.03.1965"/>
    <d v="1957-11-11T00:00:00"/>
    <n v="57"/>
  </r>
  <r>
    <s v="98101496192"/>
    <x v="7"/>
    <s v="miasto"/>
    <n v="98"/>
    <n v="10"/>
    <n v="14"/>
    <n v="1998"/>
    <n v="10"/>
    <n v="14"/>
    <n v="19981014"/>
    <s v="14.10.1998"/>
    <d v="1924-03-29T00:00:00"/>
    <n v="24"/>
  </r>
  <r>
    <s v="81071437597"/>
    <x v="11"/>
    <s v="wieś"/>
    <n v="81"/>
    <n v="7"/>
    <n v="14"/>
    <n v="1981"/>
    <n v="7"/>
    <n v="14"/>
    <n v="19810714"/>
    <s v="14.07.1981"/>
    <d v="1941-06-29T00:00:00"/>
    <n v="41"/>
  </r>
  <r>
    <s v="82042883285"/>
    <x v="14"/>
    <s v="wieś"/>
    <n v="82"/>
    <n v="4"/>
    <n v="28"/>
    <n v="1982"/>
    <n v="4"/>
    <n v="28"/>
    <n v="19820428"/>
    <s v="28.04.1982"/>
    <d v="1940-09-14T00:00:00"/>
    <n v="40"/>
  </r>
  <r>
    <s v="76100518516"/>
    <x v="11"/>
    <s v="wieś"/>
    <n v="76"/>
    <n v="10"/>
    <n v="5"/>
    <n v="1976"/>
    <n v="10"/>
    <n v="5"/>
    <n v="19761005"/>
    <s v="05.10.1976"/>
    <d v="1946-04-07T00:00:00"/>
    <n v="46"/>
  </r>
  <r>
    <s v="76021655411"/>
    <x v="7"/>
    <s v="miasto"/>
    <n v="76"/>
    <n v="2"/>
    <n v="16"/>
    <n v="1976"/>
    <n v="2"/>
    <n v="16"/>
    <n v="19760216"/>
    <s v="16.02.1976"/>
    <d v="1946-11-25T00:00:00"/>
    <n v="46"/>
  </r>
  <r>
    <s v="99083108912"/>
    <x v="10"/>
    <s v="miasto"/>
    <n v="99"/>
    <n v="8"/>
    <n v="31"/>
    <n v="1999"/>
    <n v="8"/>
    <n v="31"/>
    <n v="19990831"/>
    <s v="31.08.1999"/>
    <d v="1923-05-13T00:00:00"/>
    <n v="23"/>
  </r>
  <r>
    <s v="53041446074"/>
    <x v="1"/>
    <s v="miasto"/>
    <n v="53"/>
    <n v="4"/>
    <n v="14"/>
    <n v="1953"/>
    <n v="4"/>
    <n v="14"/>
    <n v="19530414"/>
    <s v="14.04.1953"/>
    <d v="1969-09-28T00:00:00"/>
    <n v="69"/>
  </r>
  <r>
    <s v="82040651244"/>
    <x v="14"/>
    <s v="wieś"/>
    <n v="82"/>
    <n v="4"/>
    <n v="6"/>
    <n v="1982"/>
    <n v="4"/>
    <n v="6"/>
    <n v="19820406"/>
    <s v="06.04.1982"/>
    <d v="1940-10-06T00:00:00"/>
    <n v="40"/>
  </r>
  <r>
    <s v="98062819672"/>
    <x v="11"/>
    <s v="wieś"/>
    <n v="98"/>
    <n v="6"/>
    <n v="28"/>
    <n v="1998"/>
    <n v="6"/>
    <n v="28"/>
    <n v="19980628"/>
    <s v="28.06.1998"/>
    <d v="1924-07-15T00:00:00"/>
    <n v="24"/>
  </r>
  <r>
    <s v="71082464877"/>
    <x v="7"/>
    <s v="wieś"/>
    <n v="71"/>
    <n v="8"/>
    <n v="24"/>
    <n v="1971"/>
    <n v="8"/>
    <n v="24"/>
    <n v="19710824"/>
    <s v="24.08.1971"/>
    <d v="1951-05-20T00:00:00"/>
    <n v="51"/>
  </r>
  <r>
    <s v="98121450028"/>
    <x v="7"/>
    <s v="wieś"/>
    <n v="98"/>
    <n v="12"/>
    <n v="14"/>
    <n v="1998"/>
    <n v="12"/>
    <n v="14"/>
    <n v="19981214"/>
    <s v="14.12.1998"/>
    <d v="1924-01-28T00:00:00"/>
    <n v="24"/>
  </r>
  <r>
    <s v="68111216570"/>
    <x v="5"/>
    <s v="wieś"/>
    <n v="68"/>
    <n v="11"/>
    <n v="12"/>
    <n v="1968"/>
    <n v="11"/>
    <n v="12"/>
    <n v="19681112"/>
    <s v="12.11.1968"/>
    <d v="1954-02-28T00:00:00"/>
    <n v="54"/>
  </r>
  <r>
    <s v="96112579475"/>
    <x v="4"/>
    <s v="miasto"/>
    <n v="96"/>
    <n v="11"/>
    <n v="25"/>
    <n v="1996"/>
    <n v="11"/>
    <n v="25"/>
    <n v="19961125"/>
    <s v="25.11.1996"/>
    <d v="1926-02-15T00:00:00"/>
    <n v="26"/>
  </r>
  <r>
    <s v="62062966269"/>
    <x v="2"/>
    <s v="wieś"/>
    <n v="62"/>
    <n v="6"/>
    <n v="29"/>
    <n v="1962"/>
    <n v="6"/>
    <n v="29"/>
    <n v="19620629"/>
    <s v="29.06.1962"/>
    <d v="1960-07-14T00:00:00"/>
    <n v="60"/>
  </r>
  <r>
    <s v="98012031044"/>
    <x v="7"/>
    <s v="wieś"/>
    <n v="98"/>
    <n v="1"/>
    <n v="20"/>
    <n v="1998"/>
    <n v="1"/>
    <n v="20"/>
    <n v="19980120"/>
    <s v="20.01.1998"/>
    <d v="1924-12-21T00:00:00"/>
    <n v="24"/>
  </r>
  <r>
    <s v="81061664770"/>
    <x v="2"/>
    <s v="miasto"/>
    <n v="81"/>
    <n v="6"/>
    <n v="16"/>
    <n v="1981"/>
    <n v="6"/>
    <n v="16"/>
    <n v="19810616"/>
    <s v="16.06.1981"/>
    <d v="1941-07-27T00:00:00"/>
    <n v="41"/>
  </r>
  <r>
    <s v="71092819494"/>
    <x v="9"/>
    <s v="miasto"/>
    <n v="71"/>
    <n v="9"/>
    <n v="28"/>
    <n v="1971"/>
    <n v="9"/>
    <n v="28"/>
    <n v="19710928"/>
    <s v="28.09.1971"/>
    <d v="1951-04-15T00:00:00"/>
    <n v="51"/>
  </r>
  <r>
    <s v="86121687339"/>
    <x v="7"/>
    <s v="miasto"/>
    <n v="86"/>
    <n v="12"/>
    <n v="16"/>
    <n v="1986"/>
    <n v="12"/>
    <n v="16"/>
    <n v="19861216"/>
    <s v="16.12.1986"/>
    <d v="1936-01-26T00:00:00"/>
    <n v="36"/>
  </r>
  <r>
    <s v="57121694261"/>
    <x v="13"/>
    <s v="wieś"/>
    <n v="57"/>
    <n v="12"/>
    <n v="16"/>
    <n v="1957"/>
    <n v="12"/>
    <n v="16"/>
    <n v="19571216"/>
    <s v="16.12.1957"/>
    <d v="1965-01-25T00:00:00"/>
    <n v="65"/>
  </r>
  <r>
    <s v="60020736888"/>
    <x v="2"/>
    <s v="wieś"/>
    <n v="60"/>
    <n v="2"/>
    <n v="7"/>
    <n v="1960"/>
    <n v="2"/>
    <n v="7"/>
    <n v="19600207"/>
    <s v="07.02.1960"/>
    <d v="1962-12-04T00:00:00"/>
    <n v="62"/>
  </r>
  <r>
    <s v="75020499295"/>
    <x v="7"/>
    <s v="wieś"/>
    <n v="75"/>
    <n v="2"/>
    <n v="4"/>
    <n v="1975"/>
    <n v="2"/>
    <n v="4"/>
    <n v="19750204"/>
    <s v="04.02.1975"/>
    <d v="1947-12-07T00:00:00"/>
    <n v="47"/>
  </r>
  <r>
    <s v="77111555550"/>
    <x v="13"/>
    <s v="wieś"/>
    <n v="77"/>
    <n v="11"/>
    <n v="15"/>
    <n v="1977"/>
    <n v="11"/>
    <n v="15"/>
    <n v="19771115"/>
    <s v="15.11.1977"/>
    <d v="1945-02-25T00:00:00"/>
    <n v="45"/>
  </r>
  <r>
    <s v="58021758370"/>
    <x v="11"/>
    <s v="wieś"/>
    <n v="58"/>
    <n v="2"/>
    <n v="17"/>
    <n v="1958"/>
    <n v="2"/>
    <n v="17"/>
    <n v="19580217"/>
    <s v="17.02.1958"/>
    <d v="1964-11-23T00:00:00"/>
    <n v="64"/>
  </r>
  <r>
    <s v="76082740538"/>
    <x v="8"/>
    <s v="wieś"/>
    <n v="76"/>
    <n v="8"/>
    <n v="27"/>
    <n v="1976"/>
    <n v="8"/>
    <n v="27"/>
    <n v="19760827"/>
    <s v="27.08.1976"/>
    <d v="1946-05-16T00:00:00"/>
    <n v="46"/>
  </r>
  <r>
    <s v="98060701454"/>
    <x v="2"/>
    <s v="wieś"/>
    <n v="98"/>
    <n v="6"/>
    <n v="7"/>
    <n v="1998"/>
    <n v="6"/>
    <n v="7"/>
    <n v="19980607"/>
    <s v="07.06.1998"/>
    <d v="1924-08-05T00:00:00"/>
    <n v="24"/>
  </r>
  <r>
    <s v="50111946757"/>
    <x v="1"/>
    <s v="miasto"/>
    <n v="50"/>
    <n v="11"/>
    <n v="19"/>
    <n v="1950"/>
    <n v="11"/>
    <n v="19"/>
    <n v="19501119"/>
    <s v="19.11.1950"/>
    <d v="1972-02-22T00:00:00"/>
    <n v="72"/>
  </r>
  <r>
    <s v="64011943574"/>
    <x v="1"/>
    <s v="miasto"/>
    <n v="64"/>
    <n v="1"/>
    <n v="19"/>
    <n v="1964"/>
    <n v="1"/>
    <n v="19"/>
    <n v="19640119"/>
    <s v="19.01.1964"/>
    <d v="1958-12-23T00:00:00"/>
    <n v="58"/>
  </r>
  <r>
    <s v="64111978557"/>
    <x v="5"/>
    <s v="miasto"/>
    <n v="64"/>
    <n v="11"/>
    <n v="19"/>
    <n v="1964"/>
    <n v="11"/>
    <n v="19"/>
    <n v="19641119"/>
    <s v="19.11.1964"/>
    <d v="1958-02-21T00:00:00"/>
    <n v="58"/>
  </r>
  <r>
    <s v="67090828323"/>
    <x v="9"/>
    <s v="miasto"/>
    <n v="67"/>
    <n v="9"/>
    <n v="8"/>
    <n v="1967"/>
    <n v="9"/>
    <n v="8"/>
    <n v="19670908"/>
    <s v="08.09.1967"/>
    <d v="1955-05-05T00:00:00"/>
    <n v="55"/>
  </r>
  <r>
    <s v="55011731764"/>
    <x v="0"/>
    <s v="miasto"/>
    <n v="55"/>
    <n v="1"/>
    <n v="17"/>
    <n v="1955"/>
    <n v="1"/>
    <n v="17"/>
    <n v="19550117"/>
    <s v="17.01.1955"/>
    <d v="1967-12-25T00:00:00"/>
    <n v="67"/>
  </r>
  <r>
    <s v="76090406305"/>
    <x v="11"/>
    <s v="wieś"/>
    <n v="76"/>
    <n v="9"/>
    <n v="4"/>
    <n v="1976"/>
    <n v="9"/>
    <n v="4"/>
    <n v="19760904"/>
    <s v="04.09.1976"/>
    <d v="1946-05-08T00:00:00"/>
    <n v="46"/>
  </r>
  <r>
    <s v="80020819576"/>
    <x v="14"/>
    <s v="miasto"/>
    <n v="80"/>
    <n v="2"/>
    <n v="8"/>
    <n v="1980"/>
    <n v="2"/>
    <n v="8"/>
    <n v="19800208"/>
    <s v="08.02.1980"/>
    <d v="1942-12-03T00:00:00"/>
    <n v="42"/>
  </r>
  <r>
    <s v="73020122872"/>
    <x v="12"/>
    <s v="miasto"/>
    <n v="73"/>
    <n v="2"/>
    <n v="1"/>
    <n v="1973"/>
    <n v="2"/>
    <n v="1"/>
    <n v="19730201"/>
    <s v="01.02.1973"/>
    <d v="1949-12-09T00:00:00"/>
    <n v="49"/>
  </r>
  <r>
    <s v="67030428862"/>
    <x v="15"/>
    <s v="wieś"/>
    <n v="67"/>
    <n v="3"/>
    <n v="4"/>
    <n v="1967"/>
    <n v="3"/>
    <n v="4"/>
    <n v="19670304"/>
    <s v="04.03.1967"/>
    <d v="1955-11-09T00:00:00"/>
    <n v="55"/>
  </r>
  <r>
    <s v="93021206362"/>
    <x v="3"/>
    <s v="wieś"/>
    <n v="93"/>
    <n v="2"/>
    <n v="12"/>
    <n v="1993"/>
    <n v="2"/>
    <n v="12"/>
    <n v="19930212"/>
    <s v="12.02.1993"/>
    <d v="1929-11-28T00:00:00"/>
    <n v="29"/>
  </r>
  <r>
    <s v="89050505963"/>
    <x v="1"/>
    <s v="wieś"/>
    <n v="89"/>
    <n v="5"/>
    <n v="5"/>
    <n v="1989"/>
    <n v="5"/>
    <n v="5"/>
    <n v="19890505"/>
    <s v="05.05.1989"/>
    <d v="1933-09-07T00:00:00"/>
    <n v="33"/>
  </r>
  <r>
    <s v="73101493325"/>
    <x v="11"/>
    <s v="wieś"/>
    <n v="73"/>
    <n v="10"/>
    <n v="14"/>
    <n v="1973"/>
    <n v="10"/>
    <n v="14"/>
    <n v="19731014"/>
    <s v="14.10.1973"/>
    <d v="1949-03-29T00:00:00"/>
    <n v="49"/>
  </r>
  <r>
    <s v="85071473760"/>
    <x v="0"/>
    <s v="miasto"/>
    <n v="85"/>
    <n v="7"/>
    <n v="14"/>
    <n v="1985"/>
    <n v="7"/>
    <n v="14"/>
    <n v="19850714"/>
    <s v="14.07.1985"/>
    <d v="1937-06-29T00:00:00"/>
    <n v="37"/>
  </r>
  <r>
    <s v="65071424836"/>
    <x v="1"/>
    <s v="miasto"/>
    <n v="65"/>
    <n v="7"/>
    <n v="14"/>
    <n v="1965"/>
    <n v="7"/>
    <n v="14"/>
    <n v="19650714"/>
    <s v="14.07.1965"/>
    <d v="1957-06-29T00:00:00"/>
    <n v="57"/>
  </r>
  <r>
    <s v="61021342298"/>
    <x v="15"/>
    <s v="wieś"/>
    <n v="61"/>
    <n v="2"/>
    <n v="13"/>
    <n v="1961"/>
    <n v="2"/>
    <n v="13"/>
    <n v="19610213"/>
    <s v="13.02.1961"/>
    <d v="1961-11-27T00:00:00"/>
    <n v="61"/>
  </r>
  <r>
    <s v="84121422192"/>
    <x v="5"/>
    <s v="wieś"/>
    <n v="84"/>
    <n v="12"/>
    <n v="14"/>
    <n v="1984"/>
    <n v="12"/>
    <n v="14"/>
    <n v="19841214"/>
    <s v="14.12.1984"/>
    <d v="1938-01-27T00:00:00"/>
    <n v="38"/>
  </r>
  <r>
    <s v="74092255071"/>
    <x v="9"/>
    <s v="wieś"/>
    <n v="74"/>
    <n v="9"/>
    <n v="22"/>
    <n v="1974"/>
    <n v="9"/>
    <n v="22"/>
    <n v="19740922"/>
    <s v="22.09.1974"/>
    <d v="1948-04-20T00:00:00"/>
    <n v="48"/>
  </r>
  <r>
    <s v="53052765728"/>
    <x v="12"/>
    <s v="wieś"/>
    <n v="53"/>
    <n v="5"/>
    <n v="27"/>
    <n v="1953"/>
    <n v="5"/>
    <n v="27"/>
    <n v="19530527"/>
    <s v="27.05.1953"/>
    <d v="1969-08-16T00:00:00"/>
    <n v="69"/>
  </r>
  <r>
    <s v="97042931845"/>
    <x v="4"/>
    <s v="miasto"/>
    <n v="97"/>
    <n v="4"/>
    <n v="29"/>
    <n v="1997"/>
    <n v="4"/>
    <n v="29"/>
    <n v="19970429"/>
    <s v="29.04.1997"/>
    <d v="1925-09-13T00:00:00"/>
    <n v="25"/>
  </r>
  <r>
    <s v="78062520080"/>
    <x v="2"/>
    <s v="wieś"/>
    <n v="78"/>
    <n v="6"/>
    <n v="25"/>
    <n v="1978"/>
    <n v="6"/>
    <n v="25"/>
    <n v="19780625"/>
    <s v="25.06.1978"/>
    <d v="1944-07-18T00:00:00"/>
    <n v="44"/>
  </r>
  <r>
    <s v="65111959825"/>
    <x v="6"/>
    <s v="wieś"/>
    <n v="65"/>
    <n v="11"/>
    <n v="19"/>
    <n v="1965"/>
    <n v="11"/>
    <n v="19"/>
    <n v="19651119"/>
    <s v="19.11.1965"/>
    <d v="1957-02-21T00:00:00"/>
    <n v="57"/>
  </r>
  <r>
    <s v="50011440807"/>
    <x v="0"/>
    <s v="wieś"/>
    <n v="50"/>
    <n v="1"/>
    <n v="14"/>
    <n v="1950"/>
    <n v="1"/>
    <n v="14"/>
    <n v="19500114"/>
    <s v="14.01.1950"/>
    <d v="1972-12-27T00:00:00"/>
    <n v="72"/>
  </r>
  <r>
    <s v="83111092722"/>
    <x v="6"/>
    <s v="miasto"/>
    <n v="83"/>
    <n v="11"/>
    <n v="10"/>
    <n v="1983"/>
    <n v="11"/>
    <n v="10"/>
    <n v="19831110"/>
    <s v="10.11.1983"/>
    <d v="1939-03-03T00:00:00"/>
    <n v="39"/>
  </r>
  <r>
    <s v="75122143973"/>
    <x v="12"/>
    <s v="miasto"/>
    <n v="75"/>
    <n v="12"/>
    <n v="21"/>
    <n v="1975"/>
    <n v="12"/>
    <n v="21"/>
    <n v="19751221"/>
    <s v="21.12.1975"/>
    <d v="1947-01-21T00:00:00"/>
    <n v="47"/>
  </r>
  <r>
    <s v="65100549251"/>
    <x v="1"/>
    <s v="wieś"/>
    <n v="65"/>
    <n v="10"/>
    <n v="5"/>
    <n v="1965"/>
    <n v="10"/>
    <n v="5"/>
    <n v="19651005"/>
    <s v="05.10.1965"/>
    <d v="1957-04-07T00:00:00"/>
    <n v="57"/>
  </r>
  <r>
    <s v="70021990226"/>
    <x v="4"/>
    <s v="miasto"/>
    <n v="70"/>
    <n v="2"/>
    <n v="19"/>
    <n v="1970"/>
    <n v="2"/>
    <n v="19"/>
    <n v="19700219"/>
    <s v="19.02.1970"/>
    <d v="1952-11-21T00:00:00"/>
    <n v="52"/>
  </r>
  <r>
    <s v="79053025344"/>
    <x v="10"/>
    <s v="wieś"/>
    <n v="79"/>
    <n v="5"/>
    <n v="30"/>
    <n v="1979"/>
    <n v="5"/>
    <n v="30"/>
    <n v="19790530"/>
    <s v="30.05.1979"/>
    <d v="1943-08-14T00:00:00"/>
    <n v="43"/>
  </r>
  <r>
    <s v="98100739519"/>
    <x v="15"/>
    <s v="wieś"/>
    <n v="98"/>
    <n v="10"/>
    <n v="7"/>
    <n v="1998"/>
    <n v="10"/>
    <n v="7"/>
    <n v="19981007"/>
    <s v="07.10.1998"/>
    <d v="1924-04-05T00:00:00"/>
    <n v="24"/>
  </r>
  <r>
    <s v="61040445673"/>
    <x v="9"/>
    <s v="wieś"/>
    <n v="61"/>
    <n v="4"/>
    <n v="4"/>
    <n v="1961"/>
    <n v="4"/>
    <n v="4"/>
    <n v="19610404"/>
    <s v="04.04.1961"/>
    <d v="1961-10-08T00:00:00"/>
    <n v="61"/>
  </r>
  <r>
    <s v="54120956644"/>
    <x v="8"/>
    <s v="wieś"/>
    <n v="54"/>
    <n v="12"/>
    <n v="9"/>
    <n v="1954"/>
    <n v="12"/>
    <n v="9"/>
    <n v="19541209"/>
    <s v="09.12.1954"/>
    <d v="1968-02-02T00:00:00"/>
    <n v="68"/>
  </r>
  <r>
    <s v="87011726224"/>
    <x v="8"/>
    <s v="miasto"/>
    <n v="87"/>
    <n v="1"/>
    <n v="17"/>
    <n v="1987"/>
    <n v="1"/>
    <n v="17"/>
    <n v="19870117"/>
    <s v="17.01.1987"/>
    <d v="1935-12-25T00:00:00"/>
    <n v="35"/>
  </r>
  <r>
    <s v="89122110541"/>
    <x v="2"/>
    <s v="wieś"/>
    <n v="89"/>
    <n v="12"/>
    <n v="21"/>
    <n v="1989"/>
    <n v="12"/>
    <n v="21"/>
    <n v="19891221"/>
    <s v="21.12.1989"/>
    <d v="1933-01-20T00:00:00"/>
    <n v="33"/>
  </r>
  <r>
    <s v="63102562292"/>
    <x v="10"/>
    <s v="wieś"/>
    <n v="63"/>
    <n v="10"/>
    <n v="25"/>
    <n v="1963"/>
    <n v="10"/>
    <n v="25"/>
    <n v="19631025"/>
    <s v="25.10.1963"/>
    <d v="1959-03-19T00:00:00"/>
    <n v="59"/>
  </r>
  <r>
    <s v="91101758446"/>
    <x v="15"/>
    <s v="miasto"/>
    <n v="91"/>
    <n v="10"/>
    <n v="17"/>
    <n v="1991"/>
    <n v="10"/>
    <n v="17"/>
    <n v="19911017"/>
    <s v="17.10.1991"/>
    <d v="1931-03-27T00:00:00"/>
    <n v="31"/>
  </r>
  <r>
    <s v="73041277610"/>
    <x v="9"/>
    <s v="miasto"/>
    <n v="73"/>
    <n v="4"/>
    <n v="12"/>
    <n v="1973"/>
    <n v="4"/>
    <n v="12"/>
    <n v="19730412"/>
    <s v="12.04.1973"/>
    <d v="1949-09-30T00:00:00"/>
    <n v="49"/>
  </r>
  <r>
    <s v="63101233720"/>
    <x v="14"/>
    <s v="wieś"/>
    <n v="63"/>
    <n v="10"/>
    <n v="12"/>
    <n v="1963"/>
    <n v="10"/>
    <n v="12"/>
    <n v="19631012"/>
    <s v="12.10.1963"/>
    <d v="1959-04-01T00:00:00"/>
    <n v="59"/>
  </r>
  <r>
    <s v="84021497980"/>
    <x v="5"/>
    <s v="miasto"/>
    <n v="84"/>
    <n v="2"/>
    <n v="14"/>
    <n v="1984"/>
    <n v="2"/>
    <n v="14"/>
    <n v="19840214"/>
    <s v="14.02.1984"/>
    <d v="1938-11-27T00:00:00"/>
    <n v="38"/>
  </r>
  <r>
    <s v="87051320026"/>
    <x v="1"/>
    <s v="wieś"/>
    <n v="87"/>
    <n v="5"/>
    <n v="13"/>
    <n v="1987"/>
    <n v="5"/>
    <n v="13"/>
    <n v="19870513"/>
    <s v="13.05.1987"/>
    <d v="1935-08-31T00:00:00"/>
    <n v="35"/>
  </r>
  <r>
    <s v="87122216434"/>
    <x v="12"/>
    <s v="wieś"/>
    <n v="87"/>
    <n v="12"/>
    <n v="22"/>
    <n v="1987"/>
    <n v="12"/>
    <n v="22"/>
    <n v="19871222"/>
    <s v="22.12.1987"/>
    <d v="1935-01-20T00:00:00"/>
    <n v="35"/>
  </r>
  <r>
    <s v="63062929199"/>
    <x v="7"/>
    <s v="wieś"/>
    <n v="63"/>
    <n v="6"/>
    <n v="29"/>
    <n v="1963"/>
    <n v="6"/>
    <n v="29"/>
    <n v="19630629"/>
    <s v="29.06.1963"/>
    <d v="1959-07-15T00:00:00"/>
    <n v="59"/>
  </r>
  <r>
    <s v="99011281256"/>
    <x v="14"/>
    <s v="miasto"/>
    <n v="99"/>
    <n v="1"/>
    <n v="12"/>
    <n v="1999"/>
    <n v="1"/>
    <n v="12"/>
    <n v="19990112"/>
    <s v="12.01.1999"/>
    <d v="1923-12-30T00:00:00"/>
    <n v="23"/>
  </r>
  <r>
    <s v="72110750487"/>
    <x v="14"/>
    <s v="miasto"/>
    <n v="72"/>
    <n v="11"/>
    <n v="7"/>
    <n v="1972"/>
    <n v="11"/>
    <n v="7"/>
    <n v="19721107"/>
    <s v="07.11.1972"/>
    <d v="1950-03-05T00:00:00"/>
    <n v="50"/>
  </r>
  <r>
    <s v="70052334215"/>
    <x v="11"/>
    <s v="miasto"/>
    <n v="70"/>
    <n v="5"/>
    <n v="23"/>
    <n v="1970"/>
    <n v="5"/>
    <n v="23"/>
    <n v="19700523"/>
    <s v="23.05.1970"/>
    <d v="1952-08-20T00:00:00"/>
    <n v="52"/>
  </r>
  <r>
    <s v="53080638348"/>
    <x v="7"/>
    <s v="miasto"/>
    <n v="53"/>
    <n v="8"/>
    <n v="6"/>
    <n v="1953"/>
    <n v="8"/>
    <n v="6"/>
    <n v="19530806"/>
    <s v="06.08.1953"/>
    <d v="1969-06-06T00:00:00"/>
    <n v="69"/>
  </r>
  <r>
    <s v="63092655936"/>
    <x v="8"/>
    <s v="miasto"/>
    <n v="63"/>
    <n v="9"/>
    <n v="26"/>
    <n v="1963"/>
    <n v="9"/>
    <n v="26"/>
    <n v="19630926"/>
    <s v="26.09.1963"/>
    <d v="1959-04-17T00:00:00"/>
    <n v="59"/>
  </r>
  <r>
    <s v="80012365708"/>
    <x v="10"/>
    <s v="wieś"/>
    <n v="80"/>
    <n v="1"/>
    <n v="23"/>
    <n v="1980"/>
    <n v="1"/>
    <n v="23"/>
    <n v="19800123"/>
    <s v="23.01.1980"/>
    <d v="1942-12-19T00:00:00"/>
    <n v="42"/>
  </r>
  <r>
    <s v="88092831629"/>
    <x v="1"/>
    <s v="wieś"/>
    <n v="88"/>
    <n v="9"/>
    <n v="28"/>
    <n v="1988"/>
    <n v="9"/>
    <n v="28"/>
    <n v="19880928"/>
    <s v="28.09.1988"/>
    <d v="1934-04-14T00:00:00"/>
    <n v="34"/>
  </r>
  <r>
    <s v="63062036462"/>
    <x v="13"/>
    <s v="miasto"/>
    <n v="63"/>
    <n v="6"/>
    <n v="20"/>
    <n v="1963"/>
    <n v="6"/>
    <n v="20"/>
    <n v="19630620"/>
    <s v="20.06.1963"/>
    <d v="1959-07-24T00:00:00"/>
    <n v="59"/>
  </r>
  <r>
    <s v="62020662873"/>
    <x v="10"/>
    <s v="wieś"/>
    <n v="62"/>
    <n v="2"/>
    <n v="6"/>
    <n v="1962"/>
    <n v="2"/>
    <n v="6"/>
    <n v="19620206"/>
    <s v="06.02.1962"/>
    <d v="1960-12-04T00:00:00"/>
    <n v="60"/>
  </r>
  <r>
    <s v="85120753924"/>
    <x v="15"/>
    <s v="miasto"/>
    <n v="85"/>
    <n v="12"/>
    <n v="7"/>
    <n v="1985"/>
    <n v="12"/>
    <n v="7"/>
    <n v="19851207"/>
    <s v="07.12.1985"/>
    <d v="1937-02-03T00:00:00"/>
    <n v="37"/>
  </r>
  <r>
    <s v="57072490011"/>
    <x v="12"/>
    <s v="wieś"/>
    <n v="57"/>
    <n v="7"/>
    <n v="24"/>
    <n v="1957"/>
    <n v="7"/>
    <n v="24"/>
    <n v="19570724"/>
    <s v="24.07.1957"/>
    <d v="1965-06-19T00:00:00"/>
    <n v="65"/>
  </r>
  <r>
    <s v="82020297372"/>
    <x v="15"/>
    <s v="miasto"/>
    <n v="82"/>
    <n v="2"/>
    <n v="2"/>
    <n v="1982"/>
    <n v="2"/>
    <n v="2"/>
    <n v="19820202"/>
    <s v="02.02.1982"/>
    <d v="1940-12-08T00:00:00"/>
    <n v="40"/>
  </r>
  <r>
    <s v="93113022209"/>
    <x v="6"/>
    <s v="wieś"/>
    <n v="93"/>
    <n v="11"/>
    <n v="30"/>
    <n v="1993"/>
    <n v="11"/>
    <n v="30"/>
    <n v="19931130"/>
    <s v="30.11.1993"/>
    <d v="1929-02-10T00:00:00"/>
    <n v="29"/>
  </r>
  <r>
    <s v="80032957947"/>
    <x v="0"/>
    <s v="wieś"/>
    <n v="80"/>
    <n v="3"/>
    <n v="29"/>
    <n v="1980"/>
    <n v="3"/>
    <n v="29"/>
    <n v="19800329"/>
    <s v="29.03.1980"/>
    <d v="1942-10-14T00:00:00"/>
    <n v="42"/>
  </r>
  <r>
    <s v="97061666537"/>
    <x v="6"/>
    <s v="wieś"/>
    <n v="97"/>
    <n v="6"/>
    <n v="16"/>
    <n v="1997"/>
    <n v="6"/>
    <n v="16"/>
    <n v="19970616"/>
    <s v="16.06.1997"/>
    <d v="1925-07-27T00:00:00"/>
    <n v="25"/>
  </r>
  <r>
    <s v="99042282211"/>
    <x v="6"/>
    <s v="wieś"/>
    <n v="99"/>
    <n v="4"/>
    <n v="22"/>
    <n v="1999"/>
    <n v="4"/>
    <n v="22"/>
    <n v="19990422"/>
    <s v="22.04.1999"/>
    <d v="1923-09-21T00:00:00"/>
    <n v="23"/>
  </r>
  <r>
    <s v="90122294917"/>
    <x v="2"/>
    <s v="wieś"/>
    <n v="90"/>
    <n v="12"/>
    <n v="22"/>
    <n v="1990"/>
    <n v="12"/>
    <n v="22"/>
    <n v="19901222"/>
    <s v="22.12.1990"/>
    <d v="1932-01-20T00:00:00"/>
    <n v="32"/>
  </r>
  <r>
    <s v="98042035638"/>
    <x v="0"/>
    <s v="wieś"/>
    <n v="98"/>
    <n v="4"/>
    <n v="20"/>
    <n v="1998"/>
    <n v="4"/>
    <n v="20"/>
    <n v="19980420"/>
    <s v="20.04.1998"/>
    <d v="1924-09-22T00:00:00"/>
    <n v="24"/>
  </r>
  <r>
    <s v="63090624679"/>
    <x v="6"/>
    <s v="wieś"/>
    <n v="63"/>
    <n v="9"/>
    <n v="6"/>
    <n v="1963"/>
    <n v="9"/>
    <n v="6"/>
    <n v="19630906"/>
    <s v="06.09.1963"/>
    <d v="1959-05-07T00:00:00"/>
    <n v="59"/>
  </r>
  <r>
    <s v="56041608154"/>
    <x v="9"/>
    <s v="wieś"/>
    <n v="56"/>
    <n v="4"/>
    <n v="16"/>
    <n v="1956"/>
    <n v="4"/>
    <n v="16"/>
    <n v="19560416"/>
    <s v="16.04.1956"/>
    <d v="1966-09-26T00:00:00"/>
    <n v="66"/>
  </r>
  <r>
    <s v="61061367026"/>
    <x v="6"/>
    <s v="wieś"/>
    <n v="61"/>
    <n v="6"/>
    <n v="13"/>
    <n v="1961"/>
    <n v="6"/>
    <n v="13"/>
    <n v="19610613"/>
    <s v="13.06.1961"/>
    <d v="1961-07-30T00:00:00"/>
    <n v="61"/>
  </r>
  <r>
    <s v="65030283393"/>
    <x v="11"/>
    <s v="miasto"/>
    <n v="65"/>
    <n v="3"/>
    <n v="2"/>
    <n v="1965"/>
    <n v="3"/>
    <n v="2"/>
    <n v="19650302"/>
    <s v="02.03.1965"/>
    <d v="1957-11-10T00:00:00"/>
    <n v="57"/>
  </r>
  <r>
    <s v="92012998491"/>
    <x v="7"/>
    <s v="wieś"/>
    <n v="92"/>
    <n v="1"/>
    <n v="29"/>
    <n v="1992"/>
    <n v="1"/>
    <n v="29"/>
    <n v="19920129"/>
    <s v="29.01.1992"/>
    <d v="1930-12-13T00:00:00"/>
    <n v="30"/>
  </r>
  <r>
    <s v="98021347510"/>
    <x v="10"/>
    <s v="miasto"/>
    <n v="98"/>
    <n v="2"/>
    <n v="13"/>
    <n v="1998"/>
    <n v="2"/>
    <n v="13"/>
    <n v="19980213"/>
    <s v="13.02.1998"/>
    <d v="1924-11-27T00:00:00"/>
    <n v="24"/>
  </r>
  <r>
    <s v="61020732218"/>
    <x v="5"/>
    <s v="miasto"/>
    <n v="61"/>
    <n v="2"/>
    <n v="7"/>
    <n v="1961"/>
    <n v="2"/>
    <n v="7"/>
    <n v="19610207"/>
    <s v="07.02.1961"/>
    <d v="1961-12-03T00:00:00"/>
    <n v="61"/>
  </r>
  <r>
    <s v="51100859081"/>
    <x v="6"/>
    <s v="miasto"/>
    <n v="51"/>
    <n v="10"/>
    <n v="8"/>
    <n v="1951"/>
    <n v="10"/>
    <n v="8"/>
    <n v="19511008"/>
    <s v="08.10.1951"/>
    <d v="1971-04-05T00:00:00"/>
    <n v="71"/>
  </r>
  <r>
    <s v="58092388216"/>
    <x v="7"/>
    <s v="wieś"/>
    <n v="58"/>
    <n v="9"/>
    <n v="23"/>
    <n v="1958"/>
    <n v="9"/>
    <n v="23"/>
    <n v="19580923"/>
    <s v="23.09.1958"/>
    <d v="1964-04-19T00:00:00"/>
    <n v="64"/>
  </r>
  <r>
    <s v="58081857013"/>
    <x v="10"/>
    <s v="wieś"/>
    <n v="58"/>
    <n v="8"/>
    <n v="18"/>
    <n v="1958"/>
    <n v="8"/>
    <n v="18"/>
    <n v="19580818"/>
    <s v="18.08.1958"/>
    <d v="1964-05-25T00:00:00"/>
    <n v="64"/>
  </r>
  <r>
    <s v="51112066114"/>
    <x v="12"/>
    <s v="wieś"/>
    <n v="51"/>
    <n v="11"/>
    <n v="20"/>
    <n v="1951"/>
    <n v="11"/>
    <n v="20"/>
    <n v="19511120"/>
    <s v="20.11.1951"/>
    <d v="1971-02-21T00:00:00"/>
    <n v="71"/>
  </r>
  <r>
    <s v="89010145123"/>
    <x v="10"/>
    <s v="wieś"/>
    <n v="89"/>
    <n v="1"/>
    <n v="1"/>
    <n v="1989"/>
    <n v="1"/>
    <n v="1"/>
    <n v="19890101"/>
    <s v="01.01.1989"/>
    <d v="1934-01-09T00:00:00"/>
    <n v="34"/>
  </r>
  <r>
    <s v="84021137424"/>
    <x v="9"/>
    <s v="miasto"/>
    <n v="84"/>
    <n v="2"/>
    <n v="11"/>
    <n v="1984"/>
    <n v="2"/>
    <n v="11"/>
    <n v="19840211"/>
    <s v="11.02.1984"/>
    <d v="1938-11-30T00:00:00"/>
    <n v="38"/>
  </r>
  <r>
    <s v="66071191281"/>
    <x v="4"/>
    <s v="miasto"/>
    <n v="66"/>
    <n v="7"/>
    <n v="11"/>
    <n v="1966"/>
    <n v="7"/>
    <n v="11"/>
    <n v="19660711"/>
    <s v="11.07.1966"/>
    <d v="1956-07-02T00:00:00"/>
    <n v="56"/>
  </r>
  <r>
    <s v="64110521169"/>
    <x v="4"/>
    <s v="miasto"/>
    <n v="64"/>
    <n v="11"/>
    <n v="5"/>
    <n v="1964"/>
    <n v="11"/>
    <n v="5"/>
    <n v="19641105"/>
    <s v="05.11.1964"/>
    <d v="1958-03-07T00:00:00"/>
    <n v="58"/>
  </r>
  <r>
    <s v="80090724666"/>
    <x v="2"/>
    <s v="miasto"/>
    <n v="80"/>
    <n v="9"/>
    <n v="7"/>
    <n v="1980"/>
    <n v="9"/>
    <n v="7"/>
    <n v="19800907"/>
    <s v="07.09.1980"/>
    <d v="1942-05-05T00:00:00"/>
    <n v="42"/>
  </r>
  <r>
    <s v="60081098044"/>
    <x v="12"/>
    <s v="wieś"/>
    <n v="60"/>
    <n v="8"/>
    <n v="10"/>
    <n v="1960"/>
    <n v="8"/>
    <n v="10"/>
    <n v="19600810"/>
    <s v="10.08.1960"/>
    <d v="1962-06-02T00:00:00"/>
    <n v="62"/>
  </r>
  <r>
    <s v="81060672345"/>
    <x v="1"/>
    <s v="miasto"/>
    <n v="81"/>
    <n v="6"/>
    <n v="6"/>
    <n v="1981"/>
    <n v="6"/>
    <n v="6"/>
    <n v="19810606"/>
    <s v="06.06.1981"/>
    <d v="1941-08-06T00:00:00"/>
    <n v="41"/>
  </r>
  <r>
    <s v="72041188498"/>
    <x v="14"/>
    <s v="wieś"/>
    <n v="72"/>
    <n v="4"/>
    <n v="11"/>
    <n v="1972"/>
    <n v="4"/>
    <n v="11"/>
    <n v="19720411"/>
    <s v="11.04.1972"/>
    <d v="1950-10-01T00:00:00"/>
    <n v="50"/>
  </r>
  <r>
    <s v="93050237328"/>
    <x v="10"/>
    <s v="miasto"/>
    <n v="93"/>
    <n v="5"/>
    <n v="2"/>
    <n v="1993"/>
    <n v="5"/>
    <n v="2"/>
    <n v="19930502"/>
    <s v="02.05.1993"/>
    <d v="1929-09-10T00:00:00"/>
    <n v="29"/>
  </r>
  <r>
    <s v="57111030969"/>
    <x v="1"/>
    <s v="miasto"/>
    <n v="57"/>
    <n v="11"/>
    <n v="10"/>
    <n v="1957"/>
    <n v="11"/>
    <n v="10"/>
    <n v="19571110"/>
    <s v="10.11.1957"/>
    <d v="1965-03-02T00:00:00"/>
    <n v="65"/>
  </r>
  <r>
    <s v="95120189926"/>
    <x v="2"/>
    <s v="miasto"/>
    <n v="95"/>
    <n v="12"/>
    <n v="1"/>
    <n v="1995"/>
    <n v="12"/>
    <n v="1"/>
    <n v="19951201"/>
    <s v="01.12.1995"/>
    <d v="1927-02-10T00:00:00"/>
    <n v="27"/>
  </r>
  <r>
    <s v="50030558617"/>
    <x v="2"/>
    <s v="miasto"/>
    <n v="50"/>
    <n v="3"/>
    <n v="5"/>
    <n v="1950"/>
    <n v="3"/>
    <n v="5"/>
    <n v="19500305"/>
    <s v="05.03.1950"/>
    <d v="1972-11-07T00:00:00"/>
    <n v="72"/>
  </r>
  <r>
    <s v="99030787526"/>
    <x v="7"/>
    <s v="miasto"/>
    <n v="99"/>
    <n v="3"/>
    <n v="7"/>
    <n v="1999"/>
    <n v="3"/>
    <n v="7"/>
    <n v="19990307"/>
    <s v="07.03.1999"/>
    <d v="1923-11-06T00:00:00"/>
    <n v="23"/>
  </r>
  <r>
    <s v="86012893795"/>
    <x v="1"/>
    <s v="miasto"/>
    <n v="86"/>
    <n v="1"/>
    <n v="28"/>
    <n v="1986"/>
    <n v="1"/>
    <n v="28"/>
    <n v="19860128"/>
    <s v="28.01.1986"/>
    <d v="1936-12-13T00:00:00"/>
    <n v="36"/>
  </r>
  <r>
    <s v="77070917279"/>
    <x v="11"/>
    <s v="wieś"/>
    <n v="77"/>
    <n v="7"/>
    <n v="9"/>
    <n v="1977"/>
    <n v="7"/>
    <n v="9"/>
    <n v="19770709"/>
    <s v="09.07.1977"/>
    <d v="1945-07-04T00:00:00"/>
    <n v="45"/>
  </r>
  <r>
    <s v="81110769382"/>
    <x v="0"/>
    <s v="wieś"/>
    <n v="81"/>
    <n v="11"/>
    <n v="7"/>
    <n v="1981"/>
    <n v="11"/>
    <n v="7"/>
    <n v="19811107"/>
    <s v="07.11.1981"/>
    <d v="1941-03-05T00:00:00"/>
    <n v="41"/>
  </r>
  <r>
    <s v="77111159976"/>
    <x v="2"/>
    <s v="wieś"/>
    <n v="77"/>
    <n v="11"/>
    <n v="11"/>
    <n v="1977"/>
    <n v="11"/>
    <n v="11"/>
    <n v="19771111"/>
    <s v="11.11.1977"/>
    <d v="1945-03-01T00:00:00"/>
    <n v="45"/>
  </r>
  <r>
    <s v="70100187141"/>
    <x v="8"/>
    <s v="wieś"/>
    <n v="70"/>
    <n v="10"/>
    <n v="1"/>
    <n v="1970"/>
    <n v="10"/>
    <n v="1"/>
    <n v="19701001"/>
    <s v="01.10.1970"/>
    <d v="1952-04-11T00:00:00"/>
    <n v="52"/>
  </r>
  <r>
    <s v="65021500043"/>
    <x v="10"/>
    <s v="miasto"/>
    <n v="65"/>
    <n v="2"/>
    <n v="15"/>
    <n v="1965"/>
    <n v="2"/>
    <n v="15"/>
    <n v="19650215"/>
    <s v="15.02.1965"/>
    <d v="1957-11-25T00:00:00"/>
    <n v="57"/>
  </r>
  <r>
    <s v="85060885312"/>
    <x v="15"/>
    <s v="wieś"/>
    <n v="85"/>
    <n v="6"/>
    <n v="8"/>
    <n v="1985"/>
    <n v="6"/>
    <n v="8"/>
    <n v="19850608"/>
    <s v="08.06.1985"/>
    <d v="1937-08-04T00:00:00"/>
    <n v="37"/>
  </r>
  <r>
    <s v="71050660586"/>
    <x v="1"/>
    <s v="miasto"/>
    <n v="71"/>
    <n v="5"/>
    <n v="6"/>
    <n v="1971"/>
    <n v="5"/>
    <n v="6"/>
    <n v="19710506"/>
    <s v="06.05.1971"/>
    <d v="1951-09-07T00:00:00"/>
    <n v="51"/>
  </r>
  <r>
    <s v="59071738598"/>
    <x v="5"/>
    <s v="miasto"/>
    <n v="59"/>
    <n v="7"/>
    <n v="17"/>
    <n v="1959"/>
    <n v="7"/>
    <n v="17"/>
    <n v="19590717"/>
    <s v="17.07.1959"/>
    <d v="1963-06-27T00:00:00"/>
    <n v="63"/>
  </r>
  <r>
    <s v="95032440571"/>
    <x v="14"/>
    <s v="miasto"/>
    <n v="95"/>
    <n v="3"/>
    <n v="24"/>
    <n v="1995"/>
    <n v="3"/>
    <n v="24"/>
    <n v="19950324"/>
    <s v="24.03.1995"/>
    <d v="1927-10-20T00:00:00"/>
    <n v="27"/>
  </r>
  <r>
    <s v="89061704744"/>
    <x v="4"/>
    <s v="wieś"/>
    <n v="89"/>
    <n v="6"/>
    <n v="17"/>
    <n v="1989"/>
    <n v="6"/>
    <n v="17"/>
    <n v="19890617"/>
    <s v="17.06.1989"/>
    <d v="1933-07-26T00:00:00"/>
    <n v="33"/>
  </r>
  <r>
    <s v="51080898629"/>
    <x v="12"/>
    <s v="wieś"/>
    <n v="51"/>
    <n v="8"/>
    <n v="8"/>
    <n v="1951"/>
    <n v="8"/>
    <n v="8"/>
    <n v="19510808"/>
    <s v="08.08.1951"/>
    <d v="1971-06-05T00:00:00"/>
    <n v="71"/>
  </r>
  <r>
    <s v="57022141905"/>
    <x v="14"/>
    <s v="wieś"/>
    <n v="57"/>
    <n v="2"/>
    <n v="21"/>
    <n v="1957"/>
    <n v="2"/>
    <n v="21"/>
    <n v="19570221"/>
    <s v="21.02.1957"/>
    <d v="1965-11-19T00:00:00"/>
    <n v="65"/>
  </r>
  <r>
    <s v="83040146750"/>
    <x v="11"/>
    <s v="wieś"/>
    <n v="83"/>
    <n v="4"/>
    <n v="1"/>
    <n v="1983"/>
    <n v="4"/>
    <n v="1"/>
    <n v="19830401"/>
    <s v="01.04.1983"/>
    <d v="1939-10-12T00:00:00"/>
    <n v="39"/>
  </r>
  <r>
    <s v="94073040289"/>
    <x v="12"/>
    <s v="miasto"/>
    <n v="94"/>
    <n v="7"/>
    <n v="30"/>
    <n v="1994"/>
    <n v="7"/>
    <n v="30"/>
    <n v="19940730"/>
    <s v="30.07.1994"/>
    <d v="1928-06-13T00:00:00"/>
    <n v="28"/>
  </r>
  <r>
    <s v="85082674482"/>
    <x v="15"/>
    <s v="miasto"/>
    <n v="85"/>
    <n v="8"/>
    <n v="26"/>
    <n v="1985"/>
    <n v="8"/>
    <n v="26"/>
    <n v="19850826"/>
    <s v="26.08.1985"/>
    <d v="1937-05-17T00:00:00"/>
    <n v="37"/>
  </r>
  <r>
    <s v="68071192873"/>
    <x v="3"/>
    <s v="miasto"/>
    <n v="68"/>
    <n v="7"/>
    <n v="11"/>
    <n v="1968"/>
    <n v="7"/>
    <n v="11"/>
    <n v="19680711"/>
    <s v="11.07.1968"/>
    <d v="1954-07-02T00:00:00"/>
    <n v="54"/>
  </r>
  <r>
    <s v="66122411933"/>
    <x v="3"/>
    <s v="wieś"/>
    <n v="66"/>
    <n v="12"/>
    <n v="24"/>
    <n v="1966"/>
    <n v="12"/>
    <n v="24"/>
    <n v="19661224"/>
    <s v="24.12.1966"/>
    <d v="1956-01-18T00:00:00"/>
    <n v="56"/>
  </r>
  <r>
    <s v="83112543531"/>
    <x v="7"/>
    <s v="wieś"/>
    <n v="83"/>
    <n v="11"/>
    <n v="25"/>
    <n v="1983"/>
    <n v="11"/>
    <n v="25"/>
    <n v="19831125"/>
    <s v="25.11.1983"/>
    <d v="1939-02-16T00:00:00"/>
    <n v="39"/>
  </r>
  <r>
    <s v="72032940355"/>
    <x v="15"/>
    <s v="wieś"/>
    <n v="72"/>
    <n v="3"/>
    <n v="29"/>
    <n v="1972"/>
    <n v="3"/>
    <n v="29"/>
    <n v="19720329"/>
    <s v="29.03.1972"/>
    <d v="1950-10-14T00:00:00"/>
    <n v="50"/>
  </r>
  <r>
    <s v="99041426748"/>
    <x v="6"/>
    <s v="miasto"/>
    <n v="99"/>
    <n v="4"/>
    <n v="14"/>
    <n v="1999"/>
    <n v="4"/>
    <n v="14"/>
    <n v="19990414"/>
    <s v="14.04.1999"/>
    <d v="1923-09-29T00:00:00"/>
    <n v="23"/>
  </r>
  <r>
    <s v="99082013556"/>
    <x v="0"/>
    <s v="wieś"/>
    <n v="99"/>
    <n v="8"/>
    <n v="20"/>
    <n v="1999"/>
    <n v="8"/>
    <n v="20"/>
    <n v="19990820"/>
    <s v="20.08.1999"/>
    <d v="1923-05-24T00:00:00"/>
    <n v="23"/>
  </r>
  <r>
    <s v="62123067166"/>
    <x v="11"/>
    <s v="miasto"/>
    <n v="62"/>
    <n v="12"/>
    <n v="30"/>
    <n v="1962"/>
    <n v="12"/>
    <n v="30"/>
    <n v="19621230"/>
    <s v="30.12.1962"/>
    <d v="1960-01-12T00:00:00"/>
    <n v="60"/>
  </r>
  <r>
    <s v="65031764132"/>
    <x v="5"/>
    <s v="wieś"/>
    <n v="65"/>
    <n v="3"/>
    <n v="17"/>
    <n v="1965"/>
    <n v="3"/>
    <n v="17"/>
    <n v="19650317"/>
    <s v="17.03.1965"/>
    <d v="1957-10-26T00:00:00"/>
    <n v="57"/>
  </r>
  <r>
    <s v="66031525363"/>
    <x v="3"/>
    <s v="miasto"/>
    <n v="66"/>
    <n v="3"/>
    <n v="15"/>
    <n v="1966"/>
    <n v="3"/>
    <n v="15"/>
    <n v="19660315"/>
    <s v="15.03.1966"/>
    <d v="1956-10-28T00:00:00"/>
    <n v="56"/>
  </r>
  <r>
    <s v="84121279350"/>
    <x v="12"/>
    <s v="wieś"/>
    <n v="84"/>
    <n v="12"/>
    <n v="12"/>
    <n v="1984"/>
    <n v="12"/>
    <n v="12"/>
    <n v="19841212"/>
    <s v="12.12.1984"/>
    <d v="1938-01-29T00:00:00"/>
    <n v="38"/>
  </r>
  <r>
    <s v="56060275416"/>
    <x v="3"/>
    <s v="miasto"/>
    <n v="56"/>
    <n v="6"/>
    <n v="2"/>
    <n v="1956"/>
    <n v="6"/>
    <n v="2"/>
    <n v="19560602"/>
    <s v="02.06.1956"/>
    <d v="1966-08-10T00:00:00"/>
    <n v="66"/>
  </r>
  <r>
    <s v="88060298577"/>
    <x v="8"/>
    <s v="wieś"/>
    <n v="88"/>
    <n v="6"/>
    <n v="2"/>
    <n v="1988"/>
    <n v="6"/>
    <n v="2"/>
    <n v="19880602"/>
    <s v="02.06.1988"/>
    <d v="1934-08-10T00:00:00"/>
    <n v="34"/>
  </r>
  <r>
    <s v="93071613624"/>
    <x v="14"/>
    <s v="miasto"/>
    <n v="93"/>
    <n v="7"/>
    <n v="16"/>
    <n v="1993"/>
    <n v="7"/>
    <n v="16"/>
    <n v="19930716"/>
    <s v="16.07.1993"/>
    <d v="1929-06-27T00:00:00"/>
    <n v="29"/>
  </r>
  <r>
    <s v="56032245658"/>
    <x v="4"/>
    <s v="wieś"/>
    <n v="56"/>
    <n v="3"/>
    <n v="22"/>
    <n v="1956"/>
    <n v="3"/>
    <n v="22"/>
    <n v="19560322"/>
    <s v="22.03.1956"/>
    <d v="1966-10-21T00:00:00"/>
    <n v="66"/>
  </r>
  <r>
    <s v="64081190522"/>
    <x v="2"/>
    <s v="wieś"/>
    <n v="64"/>
    <n v="8"/>
    <n v="11"/>
    <n v="1964"/>
    <n v="8"/>
    <n v="11"/>
    <n v="19640811"/>
    <s v="11.08.1964"/>
    <d v="1958-06-01T00:00:00"/>
    <n v="58"/>
  </r>
  <r>
    <s v="62040616607"/>
    <x v="5"/>
    <s v="wieś"/>
    <n v="62"/>
    <n v="4"/>
    <n v="6"/>
    <n v="1962"/>
    <n v="4"/>
    <n v="6"/>
    <n v="19620406"/>
    <s v="06.04.1962"/>
    <d v="1960-10-06T00:00:00"/>
    <n v="60"/>
  </r>
  <r>
    <s v="87032142416"/>
    <x v="9"/>
    <s v="wieś"/>
    <n v="87"/>
    <n v="3"/>
    <n v="21"/>
    <n v="1987"/>
    <n v="3"/>
    <n v="21"/>
    <n v="19870321"/>
    <s v="21.03.1987"/>
    <d v="1935-10-23T00:00:00"/>
    <n v="35"/>
  </r>
  <r>
    <s v="73101455554"/>
    <x v="2"/>
    <s v="wieś"/>
    <n v="73"/>
    <n v="10"/>
    <n v="14"/>
    <n v="1973"/>
    <n v="10"/>
    <n v="14"/>
    <n v="19731014"/>
    <s v="14.10.1973"/>
    <d v="1949-03-29T00:00:00"/>
    <n v="49"/>
  </r>
  <r>
    <s v="56111282482"/>
    <x v="14"/>
    <s v="miasto"/>
    <n v="56"/>
    <n v="11"/>
    <n v="12"/>
    <n v="1956"/>
    <n v="11"/>
    <n v="12"/>
    <n v="19561112"/>
    <s v="12.11.1956"/>
    <d v="1966-02-28T00:00:00"/>
    <n v="66"/>
  </r>
  <r>
    <s v="83032688282"/>
    <x v="3"/>
    <s v="wieś"/>
    <n v="83"/>
    <n v="3"/>
    <n v="26"/>
    <n v="1983"/>
    <n v="3"/>
    <n v="26"/>
    <n v="19830326"/>
    <s v="26.03.1983"/>
    <d v="1939-10-18T00:00:00"/>
    <n v="39"/>
  </r>
  <r>
    <s v="88051092544"/>
    <x v="4"/>
    <s v="wieś"/>
    <n v="88"/>
    <n v="5"/>
    <n v="10"/>
    <n v="1988"/>
    <n v="5"/>
    <n v="10"/>
    <n v="19880510"/>
    <s v="10.05.1988"/>
    <d v="1934-09-02T00:00:00"/>
    <n v="34"/>
  </r>
  <r>
    <s v="50012665757"/>
    <x v="9"/>
    <s v="wieś"/>
    <n v="50"/>
    <n v="1"/>
    <n v="26"/>
    <n v="1950"/>
    <n v="1"/>
    <n v="26"/>
    <n v="19500126"/>
    <s v="26.01.1950"/>
    <d v="1972-12-15T00:00:00"/>
    <n v="72"/>
  </r>
  <r>
    <s v="96040206342"/>
    <x v="4"/>
    <s v="miasto"/>
    <n v="96"/>
    <n v="4"/>
    <n v="2"/>
    <n v="1996"/>
    <n v="4"/>
    <n v="2"/>
    <n v="19960402"/>
    <s v="02.04.1996"/>
    <d v="1926-10-10T00:00:00"/>
    <n v="26"/>
  </r>
  <r>
    <s v="91041069954"/>
    <x v="2"/>
    <s v="wieś"/>
    <n v="91"/>
    <n v="4"/>
    <n v="10"/>
    <n v="1991"/>
    <n v="4"/>
    <n v="10"/>
    <n v="19910410"/>
    <s v="10.04.1991"/>
    <d v="1931-10-03T00:00:00"/>
    <n v="31"/>
  </r>
  <r>
    <s v="75061743946"/>
    <x v="9"/>
    <s v="miasto"/>
    <n v="75"/>
    <n v="6"/>
    <n v="17"/>
    <n v="1975"/>
    <n v="6"/>
    <n v="17"/>
    <n v="19750617"/>
    <s v="17.06.1975"/>
    <d v="1947-07-27T00:00:00"/>
    <n v="47"/>
  </r>
  <r>
    <s v="52020449840"/>
    <x v="3"/>
    <s v="wieś"/>
    <n v="52"/>
    <n v="2"/>
    <n v="4"/>
    <n v="1952"/>
    <n v="2"/>
    <n v="4"/>
    <n v="19520204"/>
    <s v="04.02.1952"/>
    <d v="1970-12-07T00:00:00"/>
    <n v="70"/>
  </r>
  <r>
    <s v="94021767981"/>
    <x v="10"/>
    <s v="wieś"/>
    <n v="94"/>
    <n v="2"/>
    <n v="17"/>
    <n v="1994"/>
    <n v="2"/>
    <n v="17"/>
    <n v="19940217"/>
    <s v="17.02.1994"/>
    <d v="1928-11-23T00:00:00"/>
    <n v="28"/>
  </r>
  <r>
    <s v="54061438140"/>
    <x v="3"/>
    <s v="miasto"/>
    <n v="54"/>
    <n v="6"/>
    <n v="14"/>
    <n v="1954"/>
    <n v="6"/>
    <n v="14"/>
    <n v="19540614"/>
    <s v="14.06.1954"/>
    <d v="1968-07-29T00:00:00"/>
    <n v="68"/>
  </r>
  <r>
    <s v="60012636109"/>
    <x v="4"/>
    <s v="miasto"/>
    <n v="60"/>
    <n v="1"/>
    <n v="26"/>
    <n v="1960"/>
    <n v="1"/>
    <n v="26"/>
    <n v="19600126"/>
    <s v="26.01.1960"/>
    <d v="1962-12-16T00:00:00"/>
    <n v="62"/>
  </r>
  <r>
    <s v="64031328634"/>
    <x v="9"/>
    <s v="miasto"/>
    <n v="64"/>
    <n v="3"/>
    <n v="13"/>
    <n v="1964"/>
    <n v="3"/>
    <n v="13"/>
    <n v="19640313"/>
    <s v="13.03.1964"/>
    <d v="1958-10-30T00:00:00"/>
    <n v="58"/>
  </r>
  <r>
    <s v="76032562353"/>
    <x v="15"/>
    <s v="miasto"/>
    <n v="76"/>
    <n v="3"/>
    <n v="25"/>
    <n v="1976"/>
    <n v="3"/>
    <n v="25"/>
    <n v="19760325"/>
    <s v="25.03.1976"/>
    <d v="1946-10-18T00:00:00"/>
    <n v="46"/>
  </r>
  <r>
    <s v="94042289916"/>
    <x v="6"/>
    <s v="wieś"/>
    <n v="94"/>
    <n v="4"/>
    <n v="22"/>
    <n v="1994"/>
    <n v="4"/>
    <n v="22"/>
    <n v="19940422"/>
    <s v="22.04.1994"/>
    <d v="1928-09-20T00:00:00"/>
    <n v="28"/>
  </r>
  <r>
    <s v="72011235869"/>
    <x v="11"/>
    <s v="miasto"/>
    <n v="72"/>
    <n v="1"/>
    <n v="12"/>
    <n v="1972"/>
    <n v="1"/>
    <n v="12"/>
    <n v="19720112"/>
    <s v="12.01.1972"/>
    <d v="1950-12-30T00:00:00"/>
    <n v="50"/>
  </r>
  <r>
    <s v="55101622897"/>
    <x v="7"/>
    <s v="miasto"/>
    <n v="55"/>
    <n v="10"/>
    <n v="16"/>
    <n v="1955"/>
    <n v="10"/>
    <n v="16"/>
    <n v="19551016"/>
    <s v="16.10.1955"/>
    <d v="1967-03-28T00:00:00"/>
    <n v="67"/>
  </r>
  <r>
    <s v="63061591096"/>
    <x v="1"/>
    <s v="miasto"/>
    <n v="63"/>
    <n v="6"/>
    <n v="15"/>
    <n v="1963"/>
    <n v="6"/>
    <n v="15"/>
    <n v="19630615"/>
    <s v="15.06.1963"/>
    <d v="1959-07-29T00:00:00"/>
    <n v="59"/>
  </r>
  <r>
    <s v="66092086287"/>
    <x v="10"/>
    <s v="miasto"/>
    <n v="66"/>
    <n v="9"/>
    <n v="20"/>
    <n v="1966"/>
    <n v="9"/>
    <n v="20"/>
    <n v="19660920"/>
    <s v="20.09.1966"/>
    <d v="1956-04-22T00:00:00"/>
    <n v="56"/>
  </r>
  <r>
    <s v="79120351848"/>
    <x v="10"/>
    <s v="miasto"/>
    <n v="79"/>
    <n v="12"/>
    <n v="3"/>
    <n v="1979"/>
    <n v="12"/>
    <n v="3"/>
    <n v="19791203"/>
    <s v="03.12.1979"/>
    <d v="1943-02-08T00:00:00"/>
    <n v="43"/>
  </r>
  <r>
    <s v="75032029066"/>
    <x v="12"/>
    <s v="miasto"/>
    <n v="75"/>
    <n v="3"/>
    <n v="20"/>
    <n v="1975"/>
    <n v="3"/>
    <n v="20"/>
    <n v="19750320"/>
    <s v="20.03.1975"/>
    <d v="1947-10-24T00:00:00"/>
    <n v="47"/>
  </r>
  <r>
    <s v="64120631351"/>
    <x v="12"/>
    <s v="wieś"/>
    <n v="64"/>
    <n v="12"/>
    <n v="6"/>
    <n v="1964"/>
    <n v="12"/>
    <n v="6"/>
    <n v="19641206"/>
    <s v="06.12.1964"/>
    <d v="1958-02-04T00:00:00"/>
    <n v="58"/>
  </r>
  <r>
    <s v="73072842436"/>
    <x v="4"/>
    <s v="miasto"/>
    <n v="73"/>
    <n v="7"/>
    <n v="28"/>
    <n v="1973"/>
    <n v="7"/>
    <n v="28"/>
    <n v="19730728"/>
    <s v="28.07.1973"/>
    <d v="1949-06-15T00:00:00"/>
    <n v="49"/>
  </r>
  <r>
    <s v="81032163367"/>
    <x v="12"/>
    <s v="miasto"/>
    <n v="81"/>
    <n v="3"/>
    <n v="21"/>
    <n v="1981"/>
    <n v="3"/>
    <n v="21"/>
    <n v="19810321"/>
    <s v="21.03.1981"/>
    <d v="1941-10-22T00:00:00"/>
    <n v="41"/>
  </r>
  <r>
    <s v="99120273519"/>
    <x v="13"/>
    <s v="wieś"/>
    <n v="99"/>
    <n v="12"/>
    <n v="2"/>
    <n v="1999"/>
    <n v="12"/>
    <n v="2"/>
    <n v="19991202"/>
    <s v="02.12.1999"/>
    <d v="1923-02-09T00:00:00"/>
    <n v="23"/>
  </r>
  <r>
    <s v="57040596570"/>
    <x v="2"/>
    <s v="miasto"/>
    <n v="57"/>
    <n v="4"/>
    <n v="5"/>
    <n v="1957"/>
    <n v="4"/>
    <n v="5"/>
    <n v="19570405"/>
    <s v="05.04.1957"/>
    <d v="1965-10-07T00:00:00"/>
    <n v="65"/>
  </r>
  <r>
    <s v="99051386795"/>
    <x v="9"/>
    <s v="miasto"/>
    <n v="99"/>
    <n v="5"/>
    <n v="13"/>
    <n v="1999"/>
    <n v="5"/>
    <n v="13"/>
    <n v="19990513"/>
    <s v="13.05.1999"/>
    <d v="1923-08-31T00:00:00"/>
    <n v="23"/>
  </r>
  <r>
    <s v="73031813176"/>
    <x v="6"/>
    <s v="wieś"/>
    <n v="73"/>
    <n v="3"/>
    <n v="18"/>
    <n v="1973"/>
    <n v="3"/>
    <n v="18"/>
    <n v="19730318"/>
    <s v="18.03.1973"/>
    <d v="1949-10-25T00:00:00"/>
    <n v="49"/>
  </r>
  <r>
    <s v="86061566312"/>
    <x v="1"/>
    <s v="miasto"/>
    <n v="86"/>
    <n v="6"/>
    <n v="15"/>
    <n v="1986"/>
    <n v="6"/>
    <n v="15"/>
    <n v="19860615"/>
    <s v="15.06.1986"/>
    <d v="1936-07-28T00:00:00"/>
    <n v="36"/>
  </r>
  <r>
    <s v="53090698026"/>
    <x v="6"/>
    <s v="wieś"/>
    <n v="53"/>
    <n v="9"/>
    <n v="6"/>
    <n v="1953"/>
    <n v="9"/>
    <n v="6"/>
    <n v="19530906"/>
    <s v="06.09.1953"/>
    <d v="1969-05-06T00:00:00"/>
    <n v="69"/>
  </r>
  <r>
    <s v="75021357613"/>
    <x v="0"/>
    <s v="wieś"/>
    <n v="75"/>
    <n v="2"/>
    <n v="13"/>
    <n v="1975"/>
    <n v="2"/>
    <n v="13"/>
    <n v="19750213"/>
    <s v="13.02.1975"/>
    <d v="1947-11-28T00:00:00"/>
    <n v="47"/>
  </r>
  <r>
    <s v="72123107126"/>
    <x v="1"/>
    <s v="miasto"/>
    <n v="72"/>
    <n v="12"/>
    <n v="31"/>
    <n v="1972"/>
    <n v="12"/>
    <n v="31"/>
    <n v="19721231"/>
    <s v="31.12.1972"/>
    <d v="1950-01-10T00:00:00"/>
    <n v="50"/>
  </r>
  <r>
    <s v="79070698840"/>
    <x v="10"/>
    <s v="miasto"/>
    <n v="79"/>
    <n v="7"/>
    <n v="6"/>
    <n v="1979"/>
    <n v="7"/>
    <n v="6"/>
    <n v="19790706"/>
    <s v="06.07.1979"/>
    <d v="1943-07-08T00:00:00"/>
    <n v="43"/>
  </r>
  <r>
    <s v="99121640071"/>
    <x v="8"/>
    <s v="miasto"/>
    <n v="99"/>
    <n v="12"/>
    <n v="16"/>
    <n v="1999"/>
    <n v="12"/>
    <n v="16"/>
    <n v="19991216"/>
    <s v="16.12.1999"/>
    <d v="1923-01-26T00:00:00"/>
    <n v="23"/>
  </r>
  <r>
    <s v="62040855749"/>
    <x v="2"/>
    <s v="wieś"/>
    <n v="62"/>
    <n v="4"/>
    <n v="8"/>
    <n v="1962"/>
    <n v="4"/>
    <n v="8"/>
    <n v="19620408"/>
    <s v="08.04.1962"/>
    <d v="1960-10-04T00:00:00"/>
    <n v="60"/>
  </r>
  <r>
    <s v="77050752195"/>
    <x v="9"/>
    <s v="miasto"/>
    <n v="77"/>
    <n v="5"/>
    <n v="7"/>
    <n v="1977"/>
    <n v="5"/>
    <n v="7"/>
    <n v="19770507"/>
    <s v="07.05.1977"/>
    <d v="1945-09-05T00:00:00"/>
    <n v="45"/>
  </r>
  <r>
    <s v="61011848526"/>
    <x v="5"/>
    <s v="miasto"/>
    <n v="61"/>
    <n v="1"/>
    <n v="18"/>
    <n v="1961"/>
    <n v="1"/>
    <n v="18"/>
    <n v="19610118"/>
    <s v="18.01.1961"/>
    <d v="1961-12-23T00:00:00"/>
    <n v="61"/>
  </r>
  <r>
    <s v="67090716369"/>
    <x v="5"/>
    <s v="wieś"/>
    <n v="67"/>
    <n v="9"/>
    <n v="7"/>
    <n v="1967"/>
    <n v="9"/>
    <n v="7"/>
    <n v="19670907"/>
    <s v="07.09.1967"/>
    <d v="1955-05-06T00:00:00"/>
    <n v="55"/>
  </r>
  <r>
    <s v="69121808746"/>
    <x v="14"/>
    <s v="wieś"/>
    <n v="69"/>
    <n v="12"/>
    <n v="18"/>
    <n v="1969"/>
    <n v="12"/>
    <n v="18"/>
    <n v="19691218"/>
    <s v="18.12.1969"/>
    <d v="1953-01-23T00:00:00"/>
    <n v="53"/>
  </r>
  <r>
    <s v="95022144672"/>
    <x v="6"/>
    <s v="miasto"/>
    <n v="95"/>
    <n v="2"/>
    <n v="21"/>
    <n v="1995"/>
    <n v="2"/>
    <n v="21"/>
    <n v="19950221"/>
    <s v="21.02.1995"/>
    <d v="1927-11-20T00:00:00"/>
    <n v="27"/>
  </r>
  <r>
    <s v="50122386122"/>
    <x v="5"/>
    <s v="miasto"/>
    <n v="50"/>
    <n v="12"/>
    <n v="23"/>
    <n v="1950"/>
    <n v="12"/>
    <n v="23"/>
    <n v="19501223"/>
    <s v="23.12.1950"/>
    <d v="1972-01-19T00:00:00"/>
    <n v="72"/>
  </r>
  <r>
    <s v="64040818515"/>
    <x v="15"/>
    <s v="wieś"/>
    <n v="64"/>
    <n v="4"/>
    <n v="8"/>
    <n v="1964"/>
    <n v="4"/>
    <n v="8"/>
    <n v="19640408"/>
    <s v="08.04.1964"/>
    <d v="1958-10-04T00:00:00"/>
    <n v="58"/>
  </r>
  <r>
    <s v="74110420436"/>
    <x v="13"/>
    <s v="wieś"/>
    <n v="74"/>
    <n v="11"/>
    <n v="4"/>
    <n v="1974"/>
    <n v="11"/>
    <n v="4"/>
    <n v="19741104"/>
    <s v="04.11.1974"/>
    <d v="1948-03-08T00:00:00"/>
    <n v="48"/>
  </r>
  <r>
    <s v="95070175648"/>
    <x v="9"/>
    <s v="wieś"/>
    <n v="95"/>
    <n v="7"/>
    <n v="1"/>
    <n v="1995"/>
    <n v="7"/>
    <n v="1"/>
    <n v="19950701"/>
    <s v="01.07.1995"/>
    <d v="1927-07-13T00:00:00"/>
    <n v="27"/>
  </r>
  <r>
    <s v="51040710541"/>
    <x v="2"/>
    <s v="miasto"/>
    <n v="51"/>
    <n v="4"/>
    <n v="7"/>
    <n v="1951"/>
    <n v="4"/>
    <n v="7"/>
    <n v="19510407"/>
    <s v="07.04.1951"/>
    <d v="1971-10-06T00:00:00"/>
    <n v="71"/>
  </r>
  <r>
    <s v="68050307393"/>
    <x v="8"/>
    <s v="wieś"/>
    <n v="68"/>
    <n v="5"/>
    <n v="3"/>
    <n v="1968"/>
    <n v="5"/>
    <n v="3"/>
    <n v="19680503"/>
    <s v="03.05.1968"/>
    <d v="1954-09-09T00:00:00"/>
    <n v="54"/>
  </r>
  <r>
    <s v="78012414409"/>
    <x v="9"/>
    <s v="wieś"/>
    <n v="78"/>
    <n v="1"/>
    <n v="24"/>
    <n v="1978"/>
    <n v="1"/>
    <n v="24"/>
    <n v="19780124"/>
    <s v="24.01.1978"/>
    <d v="1944-12-17T00:00:00"/>
    <n v="44"/>
  </r>
  <r>
    <s v="85080239649"/>
    <x v="13"/>
    <s v="wieś"/>
    <n v="85"/>
    <n v="8"/>
    <n v="2"/>
    <n v="1985"/>
    <n v="8"/>
    <n v="2"/>
    <n v="19850802"/>
    <s v="02.08.1985"/>
    <d v="1937-06-10T00:00:00"/>
    <n v="37"/>
  </r>
  <r>
    <s v="80111845565"/>
    <x v="0"/>
    <s v="wieś"/>
    <n v="80"/>
    <n v="11"/>
    <n v="18"/>
    <n v="1980"/>
    <n v="11"/>
    <n v="18"/>
    <n v="19801118"/>
    <s v="18.11.1980"/>
    <d v="1942-02-22T00:00:00"/>
    <n v="42"/>
  </r>
  <r>
    <s v="64060295028"/>
    <x v="12"/>
    <s v="wieś"/>
    <n v="64"/>
    <n v="6"/>
    <n v="2"/>
    <n v="1964"/>
    <n v="6"/>
    <n v="2"/>
    <n v="19640602"/>
    <s v="02.06.1964"/>
    <d v="1958-08-10T00:00:00"/>
    <n v="58"/>
  </r>
  <r>
    <s v="66112444217"/>
    <x v="4"/>
    <s v="miasto"/>
    <n v="66"/>
    <n v="11"/>
    <n v="24"/>
    <n v="1966"/>
    <n v="11"/>
    <n v="24"/>
    <n v="19661124"/>
    <s v="24.11.1966"/>
    <d v="1956-02-17T00:00:00"/>
    <n v="56"/>
  </r>
  <r>
    <s v="95010531354"/>
    <x v="6"/>
    <s v="miasto"/>
    <n v="95"/>
    <n v="1"/>
    <n v="5"/>
    <n v="1995"/>
    <n v="1"/>
    <n v="5"/>
    <n v="19950105"/>
    <s v="05.01.1995"/>
    <d v="1928-01-06T00:00:00"/>
    <n v="28"/>
  </r>
  <r>
    <s v="66091626497"/>
    <x v="3"/>
    <s v="miasto"/>
    <n v="66"/>
    <n v="9"/>
    <n v="16"/>
    <n v="1966"/>
    <n v="9"/>
    <n v="16"/>
    <n v="19660916"/>
    <s v="16.09.1966"/>
    <d v="1956-04-26T00:00:00"/>
    <n v="56"/>
  </r>
  <r>
    <s v="60101353265"/>
    <x v="7"/>
    <s v="wieś"/>
    <n v="60"/>
    <n v="10"/>
    <n v="13"/>
    <n v="1960"/>
    <n v="10"/>
    <n v="13"/>
    <n v="19601013"/>
    <s v="13.10.1960"/>
    <d v="1962-03-30T00:00:00"/>
    <n v="62"/>
  </r>
  <r>
    <s v="73112234065"/>
    <x v="7"/>
    <s v="wieś"/>
    <n v="73"/>
    <n v="11"/>
    <n v="22"/>
    <n v="1973"/>
    <n v="11"/>
    <n v="22"/>
    <n v="19731122"/>
    <s v="22.11.1973"/>
    <d v="1949-02-18T00:00:00"/>
    <n v="49"/>
  </r>
  <r>
    <s v="77100455058"/>
    <x v="2"/>
    <s v="miasto"/>
    <n v="77"/>
    <n v="10"/>
    <n v="4"/>
    <n v="1977"/>
    <n v="10"/>
    <n v="4"/>
    <n v="19771004"/>
    <s v="04.10.1977"/>
    <d v="1945-04-08T00:00:00"/>
    <n v="45"/>
  </r>
  <r>
    <s v="98091693687"/>
    <x v="4"/>
    <s v="miasto"/>
    <n v="98"/>
    <n v="9"/>
    <n v="16"/>
    <n v="1998"/>
    <n v="9"/>
    <n v="16"/>
    <n v="19980916"/>
    <s v="16.09.1998"/>
    <d v="1924-04-26T00:00:00"/>
    <n v="24"/>
  </r>
  <r>
    <s v="67091449031"/>
    <x v="11"/>
    <s v="miasto"/>
    <n v="67"/>
    <n v="9"/>
    <n v="14"/>
    <n v="1967"/>
    <n v="9"/>
    <n v="14"/>
    <n v="19670914"/>
    <s v="14.09.1967"/>
    <d v="1955-04-29T00:00:00"/>
    <n v="55"/>
  </r>
  <r>
    <s v="75052421464"/>
    <x v="1"/>
    <s v="miasto"/>
    <n v="75"/>
    <n v="5"/>
    <n v="24"/>
    <n v="1975"/>
    <n v="5"/>
    <n v="24"/>
    <n v="19750524"/>
    <s v="24.05.1975"/>
    <d v="1947-08-20T00:00:00"/>
    <n v="47"/>
  </r>
  <r>
    <s v="93042060965"/>
    <x v="13"/>
    <s v="wieś"/>
    <n v="93"/>
    <n v="4"/>
    <n v="20"/>
    <n v="1993"/>
    <n v="4"/>
    <n v="20"/>
    <n v="19930420"/>
    <s v="20.04.1993"/>
    <d v="1929-09-22T00:00:00"/>
    <n v="29"/>
  </r>
  <r>
    <s v="58011437395"/>
    <x v="15"/>
    <s v="miasto"/>
    <n v="58"/>
    <n v="1"/>
    <n v="14"/>
    <n v="1958"/>
    <n v="1"/>
    <n v="14"/>
    <n v="19580114"/>
    <s v="14.01.1958"/>
    <d v="1964-12-27T00:00:00"/>
    <n v="64"/>
  </r>
  <r>
    <s v="61010924043"/>
    <x v="12"/>
    <s v="wieś"/>
    <n v="61"/>
    <n v="1"/>
    <n v="9"/>
    <n v="1961"/>
    <n v="1"/>
    <n v="9"/>
    <n v="19610109"/>
    <s v="09.01.1961"/>
    <d v="1962-01-01T00:00:00"/>
    <n v="62"/>
  </r>
  <r>
    <s v="59020116778"/>
    <x v="15"/>
    <s v="wieś"/>
    <n v="59"/>
    <n v="2"/>
    <n v="1"/>
    <n v="1959"/>
    <n v="2"/>
    <n v="1"/>
    <n v="19590201"/>
    <s v="01.02.1959"/>
    <d v="1963-12-10T00:00:00"/>
    <n v="63"/>
  </r>
  <r>
    <s v="85012006521"/>
    <x v="5"/>
    <s v="miasto"/>
    <n v="85"/>
    <n v="1"/>
    <n v="20"/>
    <n v="1985"/>
    <n v="1"/>
    <n v="20"/>
    <n v="19850120"/>
    <s v="20.01.1985"/>
    <d v="1937-12-21T00:00:00"/>
    <n v="37"/>
  </r>
  <r>
    <s v="89021336354"/>
    <x v="9"/>
    <s v="miasto"/>
    <n v="89"/>
    <n v="2"/>
    <n v="13"/>
    <n v="1989"/>
    <n v="2"/>
    <n v="13"/>
    <n v="19890213"/>
    <s v="13.02.1989"/>
    <d v="1933-11-27T00:00:00"/>
    <n v="33"/>
  </r>
  <r>
    <s v="65092409201"/>
    <x v="10"/>
    <s v="wieś"/>
    <n v="65"/>
    <n v="9"/>
    <n v="24"/>
    <n v="1965"/>
    <n v="9"/>
    <n v="24"/>
    <n v="19650924"/>
    <s v="24.09.1965"/>
    <d v="1957-04-18T00:00:00"/>
    <n v="57"/>
  </r>
  <r>
    <s v="69072352000"/>
    <x v="7"/>
    <s v="miasto"/>
    <n v="69"/>
    <n v="7"/>
    <n v="23"/>
    <n v="1969"/>
    <n v="7"/>
    <n v="23"/>
    <n v="19690723"/>
    <s v="23.07.1969"/>
    <d v="1953-06-20T00:00:00"/>
    <n v="53"/>
  </r>
  <r>
    <s v="80101429434"/>
    <x v="4"/>
    <s v="wieś"/>
    <n v="80"/>
    <n v="10"/>
    <n v="14"/>
    <n v="1980"/>
    <n v="10"/>
    <n v="14"/>
    <n v="19801014"/>
    <s v="14.10.1980"/>
    <d v="1942-03-29T00:00:00"/>
    <n v="42"/>
  </r>
  <r>
    <s v="74041163095"/>
    <x v="13"/>
    <s v="miasto"/>
    <n v="74"/>
    <n v="4"/>
    <n v="11"/>
    <n v="1974"/>
    <n v="4"/>
    <n v="11"/>
    <n v="19740411"/>
    <s v="11.04.1974"/>
    <d v="1948-10-01T00:00:00"/>
    <n v="48"/>
  </r>
  <r>
    <s v="95030310836"/>
    <x v="6"/>
    <s v="miasto"/>
    <n v="95"/>
    <n v="3"/>
    <n v="3"/>
    <n v="1995"/>
    <n v="3"/>
    <n v="3"/>
    <n v="19950303"/>
    <s v="03.03.1995"/>
    <d v="1927-11-10T00:00:00"/>
    <n v="27"/>
  </r>
  <r>
    <s v="84083110241"/>
    <x v="4"/>
    <s v="miasto"/>
    <n v="84"/>
    <n v="8"/>
    <n v="31"/>
    <n v="1984"/>
    <n v="8"/>
    <n v="31"/>
    <n v="19840831"/>
    <s v="31.08.1984"/>
    <d v="1938-05-12T00:00:00"/>
    <n v="38"/>
  </r>
  <r>
    <s v="81082753187"/>
    <x v="15"/>
    <s v="miasto"/>
    <n v="81"/>
    <n v="8"/>
    <n v="27"/>
    <n v="1981"/>
    <n v="8"/>
    <n v="27"/>
    <n v="19810827"/>
    <s v="27.08.1981"/>
    <d v="1941-05-16T00:00:00"/>
    <n v="41"/>
  </r>
  <r>
    <s v="64061448050"/>
    <x v="11"/>
    <s v="miasto"/>
    <n v="64"/>
    <n v="6"/>
    <n v="14"/>
    <n v="1964"/>
    <n v="6"/>
    <n v="14"/>
    <n v="19640614"/>
    <s v="14.06.1964"/>
    <d v="1958-07-29T00:00:00"/>
    <n v="58"/>
  </r>
  <r>
    <s v="96091382992"/>
    <x v="6"/>
    <s v="miasto"/>
    <n v="96"/>
    <n v="9"/>
    <n v="13"/>
    <n v="1996"/>
    <n v="9"/>
    <n v="13"/>
    <n v="19960913"/>
    <s v="13.09.1996"/>
    <d v="1926-04-29T00:00:00"/>
    <n v="26"/>
  </r>
  <r>
    <s v="84041663297"/>
    <x v="8"/>
    <s v="miasto"/>
    <n v="84"/>
    <n v="4"/>
    <n v="16"/>
    <n v="1984"/>
    <n v="4"/>
    <n v="16"/>
    <n v="19840416"/>
    <s v="16.04.1984"/>
    <d v="1938-09-26T00:00:00"/>
    <n v="38"/>
  </r>
  <r>
    <s v="94113074555"/>
    <x v="10"/>
    <s v="miasto"/>
    <n v="94"/>
    <n v="11"/>
    <n v="30"/>
    <n v="1994"/>
    <n v="11"/>
    <n v="30"/>
    <n v="19941130"/>
    <s v="30.11.1994"/>
    <d v="1928-02-11T00:00:00"/>
    <n v="28"/>
  </r>
  <r>
    <s v="53100155150"/>
    <x v="10"/>
    <s v="wieś"/>
    <n v="53"/>
    <n v="10"/>
    <n v="1"/>
    <n v="1953"/>
    <n v="10"/>
    <n v="1"/>
    <n v="19531001"/>
    <s v="01.10.1953"/>
    <d v="1969-04-11T00:00:00"/>
    <n v="69"/>
  </r>
  <r>
    <s v="81102995678"/>
    <x v="10"/>
    <s v="wieś"/>
    <n v="81"/>
    <n v="10"/>
    <n v="29"/>
    <n v="1981"/>
    <n v="10"/>
    <n v="29"/>
    <n v="19811029"/>
    <s v="29.10.1981"/>
    <d v="1941-03-14T00:00:00"/>
    <n v="41"/>
  </r>
  <r>
    <s v="91020385192"/>
    <x v="13"/>
    <s v="miasto"/>
    <n v="91"/>
    <n v="2"/>
    <n v="3"/>
    <n v="1991"/>
    <n v="2"/>
    <n v="3"/>
    <n v="19910203"/>
    <s v="03.02.1991"/>
    <d v="1931-12-08T00:00:00"/>
    <n v="31"/>
  </r>
  <r>
    <s v="86012915370"/>
    <x v="11"/>
    <s v="wieś"/>
    <n v="86"/>
    <n v="1"/>
    <n v="29"/>
    <n v="1986"/>
    <n v="1"/>
    <n v="29"/>
    <n v="19860129"/>
    <s v="29.01.1986"/>
    <d v="1936-12-12T00:00:00"/>
    <n v="36"/>
  </r>
  <r>
    <s v="95011238564"/>
    <x v="5"/>
    <s v="miasto"/>
    <n v="95"/>
    <n v="1"/>
    <n v="12"/>
    <n v="1995"/>
    <n v="1"/>
    <n v="12"/>
    <n v="19950112"/>
    <s v="12.01.1995"/>
    <d v="1927-12-30T00:00:00"/>
    <n v="27"/>
  </r>
  <r>
    <s v="63060590812"/>
    <x v="14"/>
    <s v="wieś"/>
    <n v="63"/>
    <n v="6"/>
    <n v="5"/>
    <n v="1963"/>
    <n v="6"/>
    <n v="5"/>
    <n v="19630605"/>
    <s v="05.06.1963"/>
    <d v="1959-08-08T00:00:00"/>
    <n v="59"/>
  </r>
  <r>
    <s v="73052262582"/>
    <x v="8"/>
    <s v="wieś"/>
    <n v="73"/>
    <n v="5"/>
    <n v="22"/>
    <n v="1973"/>
    <n v="5"/>
    <n v="22"/>
    <n v="19730522"/>
    <s v="22.05.1973"/>
    <d v="1949-08-21T00:00:00"/>
    <n v="49"/>
  </r>
  <r>
    <s v="57022439574"/>
    <x v="3"/>
    <s v="wieś"/>
    <n v="57"/>
    <n v="2"/>
    <n v="24"/>
    <n v="1957"/>
    <n v="2"/>
    <n v="24"/>
    <n v="19570224"/>
    <s v="24.02.1957"/>
    <d v="1965-11-16T00:00:00"/>
    <n v="65"/>
  </r>
  <r>
    <s v="50091782701"/>
    <x v="13"/>
    <s v="miasto"/>
    <n v="50"/>
    <n v="9"/>
    <n v="17"/>
    <n v="1950"/>
    <n v="9"/>
    <n v="17"/>
    <n v="19500917"/>
    <s v="17.09.1950"/>
    <d v="1972-04-25T00:00:00"/>
    <n v="72"/>
  </r>
  <r>
    <s v="68052065082"/>
    <x v="13"/>
    <s v="wieś"/>
    <n v="68"/>
    <n v="5"/>
    <n v="20"/>
    <n v="1968"/>
    <n v="5"/>
    <n v="20"/>
    <n v="19680520"/>
    <s v="20.05.1968"/>
    <d v="1954-08-23T00:00:00"/>
    <n v="54"/>
  </r>
  <r>
    <s v="84061020261"/>
    <x v="10"/>
    <s v="wieś"/>
    <n v="84"/>
    <n v="6"/>
    <n v="10"/>
    <n v="1984"/>
    <n v="6"/>
    <n v="10"/>
    <n v="19840610"/>
    <s v="10.06.1984"/>
    <d v="1938-08-02T00:00:00"/>
    <n v="38"/>
  </r>
  <r>
    <s v="77040155423"/>
    <x v="12"/>
    <s v="miasto"/>
    <n v="77"/>
    <n v="4"/>
    <n v="1"/>
    <n v="1977"/>
    <n v="4"/>
    <n v="1"/>
    <n v="19770401"/>
    <s v="01.04.1977"/>
    <d v="1945-10-11T00:00:00"/>
    <n v="45"/>
  </r>
  <r>
    <s v="84091296111"/>
    <x v="5"/>
    <s v="miasto"/>
    <n v="84"/>
    <n v="9"/>
    <n v="12"/>
    <n v="1984"/>
    <n v="9"/>
    <n v="12"/>
    <n v="19840912"/>
    <s v="12.09.1984"/>
    <d v="1938-04-30T00:00:00"/>
    <n v="38"/>
  </r>
  <r>
    <s v="55022627630"/>
    <x v="14"/>
    <s v="miasto"/>
    <n v="55"/>
    <n v="2"/>
    <n v="26"/>
    <n v="1955"/>
    <n v="2"/>
    <n v="26"/>
    <n v="19550226"/>
    <s v="26.02.1955"/>
    <d v="1967-11-15T00:00:00"/>
    <n v="67"/>
  </r>
  <r>
    <s v="69082217922"/>
    <x v="12"/>
    <s v="miasto"/>
    <n v="69"/>
    <n v="8"/>
    <n v="22"/>
    <n v="1969"/>
    <n v="8"/>
    <n v="22"/>
    <n v="19690822"/>
    <s v="22.08.1969"/>
    <d v="1953-05-21T00:00:00"/>
    <n v="53"/>
  </r>
  <r>
    <s v="99022773687"/>
    <x v="6"/>
    <s v="miasto"/>
    <n v="99"/>
    <n v="2"/>
    <n v="27"/>
    <n v="1999"/>
    <n v="2"/>
    <n v="27"/>
    <n v="19990227"/>
    <s v="27.02.1999"/>
    <d v="1923-11-14T00:00:00"/>
    <n v="23"/>
  </r>
  <r>
    <s v="97082737087"/>
    <x v="14"/>
    <s v="miasto"/>
    <n v="97"/>
    <n v="8"/>
    <n v="27"/>
    <n v="1997"/>
    <n v="8"/>
    <n v="27"/>
    <n v="19970827"/>
    <s v="27.08.1997"/>
    <d v="1925-05-16T00:00:00"/>
    <n v="25"/>
  </r>
  <r>
    <s v="54010610047"/>
    <x v="6"/>
    <s v="miasto"/>
    <n v="54"/>
    <n v="1"/>
    <n v="6"/>
    <n v="1954"/>
    <n v="1"/>
    <n v="6"/>
    <n v="19540106"/>
    <s v="06.01.1954"/>
    <d v="1969-01-04T00:00:00"/>
    <n v="69"/>
  </r>
  <r>
    <s v="91020578578"/>
    <x v="12"/>
    <s v="miasto"/>
    <n v="91"/>
    <n v="2"/>
    <n v="5"/>
    <n v="1991"/>
    <n v="2"/>
    <n v="5"/>
    <n v="19910205"/>
    <s v="05.02.1991"/>
    <d v="1931-12-06T00:00:00"/>
    <n v="31"/>
  </r>
  <r>
    <s v="70012817695"/>
    <x v="14"/>
    <s v="wieś"/>
    <n v="70"/>
    <n v="1"/>
    <n v="28"/>
    <n v="1970"/>
    <n v="1"/>
    <n v="28"/>
    <n v="19700128"/>
    <s v="28.01.1970"/>
    <d v="1952-12-13T00:00:00"/>
    <n v="52"/>
  </r>
  <r>
    <s v="70122997690"/>
    <x v="7"/>
    <s v="wieś"/>
    <n v="70"/>
    <n v="12"/>
    <n v="29"/>
    <n v="1970"/>
    <n v="12"/>
    <n v="29"/>
    <n v="19701229"/>
    <s v="29.12.1970"/>
    <d v="1952-01-13T00:00:00"/>
    <n v="52"/>
  </r>
  <r>
    <s v="78102548326"/>
    <x v="3"/>
    <s v="miasto"/>
    <n v="78"/>
    <n v="10"/>
    <n v="25"/>
    <n v="1978"/>
    <n v="10"/>
    <n v="25"/>
    <n v="19781025"/>
    <s v="25.10.1978"/>
    <d v="1944-03-18T00:00:00"/>
    <n v="44"/>
  </r>
  <r>
    <s v="97060505297"/>
    <x v="13"/>
    <s v="miasto"/>
    <n v="97"/>
    <n v="6"/>
    <n v="5"/>
    <n v="1997"/>
    <n v="6"/>
    <n v="5"/>
    <n v="19970605"/>
    <s v="05.06.1997"/>
    <d v="1925-08-07T00:00:00"/>
    <n v="25"/>
  </r>
  <r>
    <s v="84122479674"/>
    <x v="4"/>
    <s v="miasto"/>
    <n v="84"/>
    <n v="12"/>
    <n v="24"/>
    <n v="1984"/>
    <n v="12"/>
    <n v="24"/>
    <n v="19841224"/>
    <s v="24.12.1984"/>
    <d v="1938-01-17T00:00:00"/>
    <n v="38"/>
  </r>
  <r>
    <s v="98051749735"/>
    <x v="5"/>
    <s v="wieś"/>
    <n v="98"/>
    <n v="5"/>
    <n v="17"/>
    <n v="1998"/>
    <n v="5"/>
    <n v="17"/>
    <n v="19980517"/>
    <s v="17.05.1998"/>
    <d v="1924-08-26T00:00:00"/>
    <n v="24"/>
  </r>
  <r>
    <s v="11072711776"/>
    <x v="12"/>
    <s v="miasto"/>
    <n v="11"/>
    <n v="7"/>
    <n v="27"/>
    <n v="1911"/>
    <n v="7"/>
    <n v="27"/>
    <n v="19110727"/>
    <s v="27.07.1911"/>
    <d v="2011-06-17T00:00:00"/>
    <n v="111"/>
  </r>
  <r>
    <s v="05251729665"/>
    <x v="13"/>
    <s v="miasto"/>
    <n v="5"/>
    <n v="25"/>
    <n v="17"/>
    <n v="2005"/>
    <n v="5"/>
    <n v="17"/>
    <n v="20050517"/>
    <s v="17.05.2005"/>
    <d v="1917-08-26T00:00:00"/>
    <n v="17"/>
  </r>
  <r>
    <s v="03252361185"/>
    <x v="7"/>
    <s v="miasto"/>
    <n v="3"/>
    <n v="25"/>
    <n v="23"/>
    <n v="2003"/>
    <n v="5"/>
    <n v="23"/>
    <n v="20030523"/>
    <s v="23.05.2003"/>
    <d v="1919-08-21T00:00:00"/>
    <n v="19"/>
  </r>
  <r>
    <s v="07282315604"/>
    <x v="8"/>
    <s v="wieś"/>
    <n v="7"/>
    <n v="28"/>
    <n v="23"/>
    <n v="2007"/>
    <n v="8"/>
    <n v="23"/>
    <n v="20070823"/>
    <s v="23.08.2007"/>
    <d v="1915-05-21T00:00:00"/>
    <n v="15"/>
  </r>
  <r>
    <s v="03241701451"/>
    <x v="11"/>
    <s v="miasto"/>
    <n v="3"/>
    <n v="24"/>
    <n v="17"/>
    <n v="2003"/>
    <n v="4"/>
    <n v="17"/>
    <n v="20030417"/>
    <s v="17.04.2003"/>
    <d v="1919-09-26T00:00:00"/>
    <n v="19"/>
  </r>
  <r>
    <s v="03212680950"/>
    <x v="6"/>
    <s v="miasto"/>
    <n v="3"/>
    <n v="21"/>
    <n v="26"/>
    <n v="2003"/>
    <n v="1"/>
    <n v="26"/>
    <n v="20030126"/>
    <s v="26.01.2003"/>
    <d v="1919-12-16T00:00:00"/>
    <n v="19"/>
  </r>
  <r>
    <s v="08301978174"/>
    <x v="1"/>
    <s v="miasto"/>
    <n v="8"/>
    <n v="30"/>
    <n v="19"/>
    <n v="2008"/>
    <n v="10"/>
    <n v="19"/>
    <n v="20081019"/>
    <s v="19.10.2008"/>
    <d v="1914-03-24T00:00:00"/>
    <n v="14"/>
  </r>
  <r>
    <s v="04291228949"/>
    <x v="11"/>
    <s v="miasto"/>
    <n v="4"/>
    <n v="29"/>
    <n v="12"/>
    <n v="2004"/>
    <n v="9"/>
    <n v="12"/>
    <n v="20040912"/>
    <s v="12.09.2004"/>
    <d v="1918-04-30T00:00:00"/>
    <n v="18"/>
  </r>
  <r>
    <s v="20290586763"/>
    <x v="9"/>
    <s v="wieś"/>
    <n v="20"/>
    <n v="29"/>
    <n v="5"/>
    <n v="2020"/>
    <n v="9"/>
    <n v="5"/>
    <n v="20200905"/>
    <s v="05.09.2020"/>
    <d v="1902-05-07T00:00:00"/>
    <n v="2"/>
  </r>
  <r>
    <s v="13302617719"/>
    <x v="9"/>
    <s v="miasto"/>
    <n v="13"/>
    <n v="30"/>
    <n v="26"/>
    <n v="2013"/>
    <n v="10"/>
    <n v="26"/>
    <n v="20131026"/>
    <s v="26.10.2013"/>
    <d v="1909-03-17T00:00:00"/>
    <n v="9"/>
  </r>
  <r>
    <s v="09210404682"/>
    <x v="15"/>
    <s v="miasto"/>
    <n v="9"/>
    <n v="21"/>
    <n v="4"/>
    <n v="2009"/>
    <n v="1"/>
    <n v="4"/>
    <n v="20090104"/>
    <s v="04.01.2009"/>
    <d v="1914-01-06T00:00:00"/>
    <n v="14"/>
  </r>
  <r>
    <s v="00211828297"/>
    <x v="15"/>
    <s v="wieś"/>
    <n v="0"/>
    <n v="21"/>
    <n v="18"/>
    <n v="2000"/>
    <n v="1"/>
    <n v="18"/>
    <n v="20000118"/>
    <s v="18.01.2000"/>
    <d v="1922-12-24T00:00:00"/>
    <n v="22"/>
  </r>
  <r>
    <s v="02251268240"/>
    <x v="4"/>
    <s v="wieś"/>
    <n v="2"/>
    <n v="25"/>
    <n v="12"/>
    <n v="2002"/>
    <n v="5"/>
    <n v="12"/>
    <n v="20020512"/>
    <s v="12.05.2002"/>
    <d v="1920-08-31T00:00:00"/>
    <n v="20"/>
  </r>
  <r>
    <s v="03231107164"/>
    <x v="15"/>
    <s v="wieś"/>
    <n v="3"/>
    <n v="23"/>
    <n v="11"/>
    <n v="2003"/>
    <n v="3"/>
    <n v="11"/>
    <n v="20030311"/>
    <s v="11.03.2003"/>
    <d v="1919-11-02T00:00:00"/>
    <n v="19"/>
  </r>
  <r>
    <s v="04240363642"/>
    <x v="0"/>
    <s v="miasto"/>
    <n v="4"/>
    <n v="24"/>
    <n v="3"/>
    <n v="2004"/>
    <n v="4"/>
    <n v="3"/>
    <n v="20040403"/>
    <s v="03.04.2004"/>
    <d v="1918-10-09T00:00:00"/>
    <n v="18"/>
  </r>
  <r>
    <s v="03291272002"/>
    <x v="1"/>
    <s v="wieś"/>
    <n v="3"/>
    <n v="29"/>
    <n v="12"/>
    <n v="2003"/>
    <n v="9"/>
    <n v="12"/>
    <n v="20030912"/>
    <s v="12.09.2003"/>
    <d v="1919-05-01T00:00:00"/>
    <n v="19"/>
  </r>
  <r>
    <s v="22281507519"/>
    <x v="5"/>
    <s v="miasto"/>
    <n v="22"/>
    <n v="28"/>
    <n v="15"/>
    <n v="2022"/>
    <n v="8"/>
    <n v="15"/>
    <n v="20220815"/>
    <s v="15.08.2022"/>
    <d v="1900-05-28T00:00:00"/>
    <n v="0"/>
  </r>
  <r>
    <s v="02262482800"/>
    <x v="11"/>
    <s v="miasto"/>
    <n v="2"/>
    <n v="26"/>
    <n v="24"/>
    <n v="2002"/>
    <n v="6"/>
    <n v="24"/>
    <n v="20020624"/>
    <s v="24.06.2002"/>
    <d v="1920-07-19T00:00:00"/>
    <n v="20"/>
  </r>
  <r>
    <s v="08211004273"/>
    <x v="1"/>
    <s v="miasto"/>
    <n v="8"/>
    <n v="21"/>
    <n v="10"/>
    <n v="2008"/>
    <n v="1"/>
    <n v="10"/>
    <n v="20080110"/>
    <s v="10.01.2008"/>
    <d v="1915-01-01T00:00:00"/>
    <n v="15"/>
  </r>
  <r>
    <s v="21210948180"/>
    <x v="8"/>
    <s v="miasto"/>
    <n v="21"/>
    <n v="21"/>
    <n v="9"/>
    <n v="2021"/>
    <n v="1"/>
    <n v="9"/>
    <n v="20210109"/>
    <s v="09.01.2021"/>
    <d v="1902-01-01T00:00:00"/>
    <n v="2"/>
  </r>
  <r>
    <s v="20240625971"/>
    <x v="12"/>
    <s v="wieś"/>
    <n v="20"/>
    <n v="24"/>
    <n v="6"/>
    <n v="2020"/>
    <n v="4"/>
    <n v="6"/>
    <n v="20200406"/>
    <s v="06.04.2020"/>
    <d v="1902-10-06T00:00:00"/>
    <n v="2"/>
  </r>
  <r>
    <s v="04302302640"/>
    <x v="13"/>
    <s v="wieś"/>
    <n v="4"/>
    <n v="30"/>
    <n v="23"/>
    <n v="2004"/>
    <n v="10"/>
    <n v="23"/>
    <n v="20041023"/>
    <s v="23.10.2004"/>
    <d v="1918-03-20T00:00:00"/>
    <n v="18"/>
  </r>
  <r>
    <s v="21213196313"/>
    <x v="14"/>
    <s v="miasto"/>
    <n v="21"/>
    <n v="21"/>
    <n v="31"/>
    <n v="2021"/>
    <n v="1"/>
    <n v="31"/>
    <n v="20210131"/>
    <s v="31.01.2021"/>
    <d v="1901-12-10T00:00:00"/>
    <n v="1"/>
  </r>
  <r>
    <s v="12221688202"/>
    <x v="2"/>
    <s v="miasto"/>
    <n v="12"/>
    <n v="22"/>
    <n v="16"/>
    <n v="2012"/>
    <n v="2"/>
    <n v="16"/>
    <n v="20120216"/>
    <s v="16.02.2012"/>
    <d v="1910-11-25T00:00:00"/>
    <n v="10"/>
  </r>
  <r>
    <s v="00292767397"/>
    <x v="12"/>
    <s v="miasto"/>
    <n v="0"/>
    <n v="29"/>
    <n v="27"/>
    <n v="2000"/>
    <n v="9"/>
    <n v="27"/>
    <n v="20000927"/>
    <s v="27.09.2000"/>
    <d v="1922-04-15T00:00:00"/>
    <n v="22"/>
  </r>
  <r>
    <s v="09280834761"/>
    <x v="10"/>
    <s v="wieś"/>
    <n v="9"/>
    <n v="28"/>
    <n v="8"/>
    <n v="2009"/>
    <n v="8"/>
    <n v="8"/>
    <n v="20090808"/>
    <s v="08.08.2009"/>
    <d v="1913-06-04T00:00:00"/>
    <n v="13"/>
  </r>
  <r>
    <s v="07230141800"/>
    <x v="7"/>
    <s v="wieś"/>
    <n v="7"/>
    <n v="23"/>
    <n v="1"/>
    <n v="2007"/>
    <n v="3"/>
    <n v="1"/>
    <n v="20070301"/>
    <s v="01.03.2007"/>
    <d v="1915-11-12T00:00:00"/>
    <n v="15"/>
  </r>
  <r>
    <s v="13242783936"/>
    <x v="7"/>
    <s v="miasto"/>
    <n v="13"/>
    <n v="24"/>
    <n v="27"/>
    <n v="2013"/>
    <n v="4"/>
    <n v="27"/>
    <n v="20130427"/>
    <s v="27.04.2013"/>
    <d v="1909-09-15T00:00:00"/>
    <n v="9"/>
  </r>
  <r>
    <s v="19301615406"/>
    <x v="8"/>
    <s v="miasto"/>
    <n v="19"/>
    <n v="30"/>
    <n v="16"/>
    <n v="2019"/>
    <n v="10"/>
    <n v="16"/>
    <n v="20191016"/>
    <s v="16.10.2019"/>
    <d v="1903-03-28T00:00:00"/>
    <n v="3"/>
  </r>
  <r>
    <s v="21322259118"/>
    <x v="0"/>
    <s v="wieś"/>
    <n v="21"/>
    <n v="32"/>
    <n v="22"/>
    <n v="2021"/>
    <n v="12"/>
    <n v="22"/>
    <n v="20211222"/>
    <s v="22.12.2021"/>
    <d v="1901-01-19T00:00:00"/>
    <n v="1"/>
  </r>
  <r>
    <s v="22320106198"/>
    <x v="0"/>
    <s v="miasto"/>
    <n v="22"/>
    <n v="32"/>
    <n v="1"/>
    <n v="2022"/>
    <n v="12"/>
    <n v="1"/>
    <n v="20221201"/>
    <s v="01.12.2022"/>
    <d v="1900-02-09T00:00:00"/>
    <n v="0"/>
  </r>
  <r>
    <s v="03231838149"/>
    <x v="10"/>
    <s v="wieś"/>
    <n v="3"/>
    <n v="23"/>
    <n v="18"/>
    <n v="2003"/>
    <n v="3"/>
    <n v="18"/>
    <n v="20030318"/>
    <s v="18.03.2003"/>
    <d v="1919-10-26T00:00:00"/>
    <n v="19"/>
  </r>
  <r>
    <s v="16210190729"/>
    <x v="3"/>
    <s v="miasto"/>
    <n v="16"/>
    <n v="21"/>
    <n v="1"/>
    <n v="2016"/>
    <n v="1"/>
    <n v="1"/>
    <n v="20160101"/>
    <s v="01.01.2016"/>
    <d v="1907-01-10T00:00:00"/>
    <n v="7"/>
  </r>
  <r>
    <s v="18321437030"/>
    <x v="1"/>
    <s v="miasto"/>
    <n v="18"/>
    <n v="32"/>
    <n v="14"/>
    <n v="2018"/>
    <n v="12"/>
    <n v="14"/>
    <n v="20181214"/>
    <s v="14.12.2018"/>
    <d v="1904-01-28T00:00:00"/>
    <n v="4"/>
  </r>
  <r>
    <s v="16261642886"/>
    <x v="7"/>
    <s v="wieś"/>
    <n v="16"/>
    <n v="26"/>
    <n v="16"/>
    <n v="2016"/>
    <n v="6"/>
    <n v="16"/>
    <n v="20160616"/>
    <s v="16.06.2016"/>
    <d v="1906-07-27T00:00:00"/>
    <n v="6"/>
  </r>
  <r>
    <s v="07270267124"/>
    <x v="8"/>
    <s v="wieś"/>
    <n v="7"/>
    <n v="27"/>
    <n v="2"/>
    <n v="2007"/>
    <n v="7"/>
    <n v="2"/>
    <n v="20070702"/>
    <s v="02.07.2007"/>
    <d v="1915-07-12T00:00:00"/>
    <n v="15"/>
  </r>
  <r>
    <s v="12230371272"/>
    <x v="15"/>
    <s v="miasto"/>
    <n v="12"/>
    <n v="23"/>
    <n v="3"/>
    <n v="2012"/>
    <n v="3"/>
    <n v="3"/>
    <n v="20120303"/>
    <s v="03.03.2012"/>
    <d v="1910-11-09T00:00:00"/>
    <n v="10"/>
  </r>
  <r>
    <s v="19312291217"/>
    <x v="0"/>
    <s v="miasto"/>
    <n v="19"/>
    <n v="31"/>
    <n v="22"/>
    <n v="2019"/>
    <n v="11"/>
    <n v="22"/>
    <n v="20191122"/>
    <s v="22.11.2019"/>
    <d v="1903-02-19T00:00:00"/>
    <n v="3"/>
  </r>
  <r>
    <s v="01300894454"/>
    <x v="14"/>
    <s v="miasto"/>
    <n v="1"/>
    <n v="30"/>
    <n v="8"/>
    <n v="2001"/>
    <n v="10"/>
    <n v="8"/>
    <n v="20011008"/>
    <s v="08.10.2001"/>
    <d v="1921-04-04T00:00:00"/>
    <n v="21"/>
  </r>
  <r>
    <s v="19211127459"/>
    <x v="5"/>
    <s v="wieś"/>
    <n v="19"/>
    <n v="21"/>
    <n v="11"/>
    <n v="2019"/>
    <n v="1"/>
    <n v="11"/>
    <n v="20190111"/>
    <s v="11.01.2019"/>
    <d v="1903-12-31T00:00:00"/>
    <n v="3"/>
  </r>
  <r>
    <s v="22242651466"/>
    <x v="11"/>
    <s v="wieś"/>
    <n v="22"/>
    <n v="24"/>
    <n v="26"/>
    <n v="2022"/>
    <n v="4"/>
    <n v="26"/>
    <n v="20220426"/>
    <s v="26.04.2022"/>
    <d v="1900-09-16T00:00:00"/>
    <n v="0"/>
  </r>
  <r>
    <s v="22231156695"/>
    <x v="3"/>
    <s v="miasto"/>
    <n v="22"/>
    <n v="23"/>
    <n v="11"/>
    <n v="2022"/>
    <n v="3"/>
    <n v="11"/>
    <n v="20220311"/>
    <s v="11.03.2022"/>
    <d v="1900-11-01T00:00:00"/>
    <n v="0"/>
  </r>
  <r>
    <s v="07262771994"/>
    <x v="15"/>
    <s v="wieś"/>
    <n v="7"/>
    <n v="26"/>
    <n v="27"/>
    <n v="2007"/>
    <n v="6"/>
    <n v="27"/>
    <n v="20070627"/>
    <s v="27.06.2007"/>
    <d v="1915-07-17T00:00:00"/>
    <n v="15"/>
  </r>
  <r>
    <s v="10242164211"/>
    <x v="12"/>
    <s v="miasto"/>
    <n v="10"/>
    <n v="24"/>
    <n v="21"/>
    <n v="2010"/>
    <n v="4"/>
    <n v="21"/>
    <n v="20100421"/>
    <s v="21.04.2010"/>
    <d v="1912-09-21T00:00:00"/>
    <n v="12"/>
  </r>
  <r>
    <s v="05292216513"/>
    <x v="13"/>
    <s v="wieś"/>
    <n v="5"/>
    <n v="29"/>
    <n v="22"/>
    <n v="2005"/>
    <n v="9"/>
    <n v="22"/>
    <n v="20050922"/>
    <s v="22.09.2005"/>
    <d v="1917-04-20T00:00:00"/>
    <n v="17"/>
  </r>
  <r>
    <s v="14282288777"/>
    <x v="3"/>
    <s v="wieś"/>
    <n v="14"/>
    <n v="28"/>
    <n v="22"/>
    <n v="2014"/>
    <n v="8"/>
    <n v="22"/>
    <n v="20140822"/>
    <s v="22.08.2014"/>
    <d v="1908-05-21T00:00:00"/>
    <n v="8"/>
  </r>
  <r>
    <s v="18230257567"/>
    <x v="1"/>
    <s v="miasto"/>
    <n v="18"/>
    <n v="23"/>
    <n v="2"/>
    <n v="2018"/>
    <n v="3"/>
    <n v="2"/>
    <n v="20180302"/>
    <s v="02.03.2018"/>
    <d v="1904-11-10T00:00:00"/>
    <n v="4"/>
  </r>
  <r>
    <s v="09310318685"/>
    <x v="0"/>
    <s v="miasto"/>
    <n v="9"/>
    <n v="31"/>
    <n v="3"/>
    <n v="2009"/>
    <n v="11"/>
    <n v="3"/>
    <n v="20091103"/>
    <s v="03.11.2009"/>
    <d v="1913-03-09T00:00:00"/>
    <n v="13"/>
  </r>
  <r>
    <s v="14291341548"/>
    <x v="6"/>
    <s v="wieś"/>
    <n v="14"/>
    <n v="29"/>
    <n v="13"/>
    <n v="2014"/>
    <n v="9"/>
    <n v="13"/>
    <n v="20140913"/>
    <s v="13.09.2014"/>
    <d v="1908-04-29T00:00:00"/>
    <n v="8"/>
  </r>
  <r>
    <s v="05220871506"/>
    <x v="11"/>
    <s v="miasto"/>
    <n v="5"/>
    <n v="22"/>
    <n v="8"/>
    <n v="2005"/>
    <n v="2"/>
    <n v="8"/>
    <n v="20050208"/>
    <s v="08.02.2005"/>
    <d v="1917-12-02T00:00:00"/>
    <n v="17"/>
  </r>
  <r>
    <s v="01291595985"/>
    <x v="9"/>
    <s v="miasto"/>
    <n v="1"/>
    <n v="29"/>
    <n v="15"/>
    <n v="2001"/>
    <n v="9"/>
    <n v="15"/>
    <n v="20010915"/>
    <s v="15.09.2001"/>
    <d v="1921-04-27T00:00:00"/>
    <n v="21"/>
  </r>
  <r>
    <s v="03221082073"/>
    <x v="8"/>
    <s v="wieś"/>
    <n v="3"/>
    <n v="22"/>
    <n v="10"/>
    <n v="2003"/>
    <n v="2"/>
    <n v="10"/>
    <n v="20030210"/>
    <s v="10.02.2003"/>
    <d v="1919-12-01T00:00:00"/>
    <n v="19"/>
  </r>
  <r>
    <s v="13281615591"/>
    <x v="9"/>
    <s v="wieś"/>
    <n v="13"/>
    <n v="28"/>
    <n v="16"/>
    <n v="2013"/>
    <n v="8"/>
    <n v="16"/>
    <n v="20130816"/>
    <s v="16.08.2013"/>
    <d v="1909-05-27T00:00:00"/>
    <n v="9"/>
  </r>
  <r>
    <s v="22260628520"/>
    <x v="14"/>
    <s v="miasto"/>
    <n v="22"/>
    <n v="26"/>
    <n v="6"/>
    <n v="2022"/>
    <n v="6"/>
    <n v="6"/>
    <n v="20220606"/>
    <s v="06.06.2022"/>
    <d v="1900-08-06T00:00:00"/>
    <n v="0"/>
  </r>
  <r>
    <s v="16262990056"/>
    <x v="1"/>
    <s v="wieś"/>
    <n v="16"/>
    <n v="26"/>
    <n v="29"/>
    <n v="2016"/>
    <n v="6"/>
    <n v="29"/>
    <n v="20160629"/>
    <s v="29.06.2016"/>
    <d v="1906-07-14T00:00:00"/>
    <n v="6"/>
  </r>
  <r>
    <s v="03262578326"/>
    <x v="2"/>
    <s v="wieś"/>
    <n v="3"/>
    <n v="26"/>
    <n v="25"/>
    <n v="2003"/>
    <n v="6"/>
    <n v="25"/>
    <n v="20030625"/>
    <s v="25.06.2003"/>
    <d v="1919-07-19T00:00:00"/>
    <n v="19"/>
  </r>
  <r>
    <s v="08261654831"/>
    <x v="13"/>
    <s v="miasto"/>
    <n v="8"/>
    <n v="26"/>
    <n v="16"/>
    <n v="2008"/>
    <n v="6"/>
    <n v="16"/>
    <n v="20080616"/>
    <s v="16.06.2008"/>
    <d v="1914-07-27T00:00:00"/>
    <n v="14"/>
  </r>
  <r>
    <s v="07221636355"/>
    <x v="14"/>
    <s v="wieś"/>
    <n v="7"/>
    <n v="22"/>
    <n v="16"/>
    <n v="2007"/>
    <n v="2"/>
    <n v="16"/>
    <n v="20070216"/>
    <s v="16.02.2007"/>
    <d v="1915-11-25T00:00:00"/>
    <n v="15"/>
  </r>
  <r>
    <s v="03221064390"/>
    <x v="14"/>
    <s v="wieś"/>
    <n v="3"/>
    <n v="22"/>
    <n v="10"/>
    <n v="2003"/>
    <n v="2"/>
    <n v="10"/>
    <n v="20030210"/>
    <s v="10.02.2003"/>
    <d v="1919-12-01T00:00:00"/>
    <n v="19"/>
  </r>
  <r>
    <s v="11260890223"/>
    <x v="4"/>
    <s v="wieś"/>
    <n v="11"/>
    <n v="26"/>
    <n v="8"/>
    <n v="2011"/>
    <n v="6"/>
    <n v="8"/>
    <n v="20110608"/>
    <s v="08.06.2011"/>
    <d v="1911-08-05T00:00:00"/>
    <n v="11"/>
  </r>
  <r>
    <s v="14241199184"/>
    <x v="2"/>
    <s v="wieś"/>
    <n v="14"/>
    <n v="24"/>
    <n v="11"/>
    <n v="2014"/>
    <n v="4"/>
    <n v="11"/>
    <n v="20140411"/>
    <s v="11.04.2014"/>
    <d v="1908-10-01T00:00:00"/>
    <n v="8"/>
  </r>
  <r>
    <s v="12241226916"/>
    <x v="14"/>
    <s v="wieś"/>
    <n v="12"/>
    <n v="24"/>
    <n v="12"/>
    <n v="2012"/>
    <n v="4"/>
    <n v="12"/>
    <n v="20120412"/>
    <s v="12.04.2012"/>
    <d v="1910-09-30T00:00:00"/>
    <n v="10"/>
  </r>
  <r>
    <s v="04213122199"/>
    <x v="15"/>
    <s v="miasto"/>
    <n v="4"/>
    <n v="21"/>
    <n v="31"/>
    <n v="2004"/>
    <n v="1"/>
    <n v="31"/>
    <n v="20040131"/>
    <s v="31.01.2004"/>
    <d v="1918-12-11T00:00:00"/>
    <n v="18"/>
  </r>
  <r>
    <s v="10240797842"/>
    <x v="5"/>
    <s v="wieś"/>
    <n v="10"/>
    <n v="24"/>
    <n v="7"/>
    <n v="2010"/>
    <n v="4"/>
    <n v="7"/>
    <n v="20100407"/>
    <s v="07.04.2010"/>
    <d v="1912-10-05T00:00:00"/>
    <n v="12"/>
  </r>
  <r>
    <s v="19251159416"/>
    <x v="12"/>
    <s v="miasto"/>
    <n v="19"/>
    <n v="25"/>
    <n v="11"/>
    <n v="2019"/>
    <n v="5"/>
    <n v="11"/>
    <n v="20190511"/>
    <s v="11.05.2019"/>
    <d v="1903-09-02T00:00:00"/>
    <n v="3"/>
  </r>
  <r>
    <s v="02210829651"/>
    <x v="9"/>
    <s v="wieś"/>
    <n v="2"/>
    <n v="21"/>
    <n v="8"/>
    <n v="2002"/>
    <n v="1"/>
    <n v="8"/>
    <n v="20020108"/>
    <s v="08.01.2002"/>
    <d v="1921-01-02T00:00:00"/>
    <n v="21"/>
  </r>
  <r>
    <s v="16320390840"/>
    <x v="14"/>
    <s v="wieś"/>
    <n v="16"/>
    <n v="32"/>
    <n v="3"/>
    <n v="2016"/>
    <n v="12"/>
    <n v="3"/>
    <n v="20161203"/>
    <s v="03.12.2016"/>
    <d v="1906-02-07T00:00:00"/>
    <n v="6"/>
  </r>
  <r>
    <s v="22290574762"/>
    <x v="9"/>
    <s v="wieś"/>
    <n v="22"/>
    <n v="29"/>
    <n v="5"/>
    <n v="2022"/>
    <n v="9"/>
    <n v="5"/>
    <n v="20220905"/>
    <s v="05.09.2022"/>
    <d v="1900-05-07T00:00:00"/>
    <n v="0"/>
  </r>
  <r>
    <s v="15272803226"/>
    <x v="12"/>
    <s v="wieś"/>
    <n v="15"/>
    <n v="27"/>
    <n v="28"/>
    <n v="2015"/>
    <n v="7"/>
    <n v="28"/>
    <n v="20150728"/>
    <s v="28.07.2015"/>
    <d v="1907-06-16T00:00:00"/>
    <n v="7"/>
  </r>
  <r>
    <s v="22301213239"/>
    <x v="6"/>
    <s v="wieś"/>
    <n v="22"/>
    <n v="30"/>
    <n v="12"/>
    <n v="2022"/>
    <n v="10"/>
    <n v="12"/>
    <n v="20221012"/>
    <s v="12.10.2022"/>
    <d v="1900-03-31T00:00:00"/>
    <n v="0"/>
  </r>
  <r>
    <s v="12293034558"/>
    <x v="0"/>
    <s v="miasto"/>
    <n v="12"/>
    <n v="29"/>
    <n v="30"/>
    <n v="2012"/>
    <n v="9"/>
    <n v="30"/>
    <n v="20120930"/>
    <s v="30.09.2012"/>
    <d v="1910-04-12T00:00:00"/>
    <n v="10"/>
  </r>
  <r>
    <s v="11220493866"/>
    <x v="0"/>
    <s v="miasto"/>
    <n v="11"/>
    <n v="22"/>
    <n v="4"/>
    <n v="2011"/>
    <n v="2"/>
    <n v="4"/>
    <n v="20110204"/>
    <s v="04.02.2011"/>
    <d v="1911-12-07T00:00:00"/>
    <n v="11"/>
  </r>
  <r>
    <s v="06321656678"/>
    <x v="6"/>
    <s v="wieś"/>
    <n v="6"/>
    <n v="32"/>
    <n v="16"/>
    <n v="2006"/>
    <n v="12"/>
    <n v="16"/>
    <n v="20061216"/>
    <s v="16.12.2006"/>
    <d v="1916-01-26T00:00:00"/>
    <n v="16"/>
  </r>
  <r>
    <s v="08271854737"/>
    <x v="5"/>
    <s v="wieś"/>
    <n v="8"/>
    <n v="27"/>
    <n v="18"/>
    <n v="2008"/>
    <n v="7"/>
    <n v="18"/>
    <n v="20080718"/>
    <s v="18.07.2008"/>
    <d v="1914-06-25T00:00:00"/>
    <n v="14"/>
  </r>
  <r>
    <s v="12220169142"/>
    <x v="12"/>
    <s v="miasto"/>
    <n v="12"/>
    <n v="22"/>
    <n v="1"/>
    <n v="2012"/>
    <n v="2"/>
    <n v="1"/>
    <n v="20120201"/>
    <s v="01.02.2012"/>
    <d v="1910-12-10T00:00:00"/>
    <n v="10"/>
  </r>
  <r>
    <s v="18271849295"/>
    <x v="8"/>
    <s v="miasto"/>
    <n v="18"/>
    <n v="27"/>
    <n v="18"/>
    <n v="2018"/>
    <n v="7"/>
    <n v="18"/>
    <n v="20180718"/>
    <s v="18.07.2018"/>
    <d v="1904-06-25T00:00:00"/>
    <n v="4"/>
  </r>
  <r>
    <s v="06210843055"/>
    <x v="9"/>
    <s v="miasto"/>
    <n v="6"/>
    <n v="21"/>
    <n v="8"/>
    <n v="2006"/>
    <n v="1"/>
    <n v="8"/>
    <n v="20060108"/>
    <s v="08.01.2006"/>
    <d v="1917-01-02T00:00:00"/>
    <n v="17"/>
  </r>
  <r>
    <s v="08241312032"/>
    <x v="15"/>
    <s v="wieś"/>
    <n v="8"/>
    <n v="24"/>
    <n v="13"/>
    <n v="2008"/>
    <n v="4"/>
    <n v="13"/>
    <n v="20080413"/>
    <s v="13.04.2008"/>
    <d v="1914-09-29T00:00:00"/>
    <n v="14"/>
  </r>
  <r>
    <s v="15321101996"/>
    <x v="5"/>
    <s v="wieś"/>
    <n v="15"/>
    <n v="32"/>
    <n v="11"/>
    <n v="2015"/>
    <n v="12"/>
    <n v="11"/>
    <n v="20151211"/>
    <s v="11.12.2015"/>
    <d v="1907-01-31T00:00:00"/>
    <n v="7"/>
  </r>
  <r>
    <s v="09230321604"/>
    <x v="6"/>
    <s v="wieś"/>
    <n v="9"/>
    <n v="23"/>
    <n v="3"/>
    <n v="2009"/>
    <n v="3"/>
    <n v="3"/>
    <n v="20090303"/>
    <s v="03.03.2009"/>
    <d v="1913-11-09T00:00:00"/>
    <n v="13"/>
  </r>
  <r>
    <s v="09282257544"/>
    <x v="0"/>
    <s v="wieś"/>
    <n v="9"/>
    <n v="28"/>
    <n v="22"/>
    <n v="2009"/>
    <n v="8"/>
    <n v="22"/>
    <n v="20090822"/>
    <s v="22.08.2009"/>
    <d v="1913-05-21T00:00:00"/>
    <n v="13"/>
  </r>
  <r>
    <s v="12272278496"/>
    <x v="10"/>
    <s v="wieś"/>
    <n v="12"/>
    <n v="27"/>
    <n v="22"/>
    <n v="2012"/>
    <n v="7"/>
    <n v="22"/>
    <n v="20120722"/>
    <s v="22.07.2012"/>
    <d v="1910-06-21T00:00:00"/>
    <n v="10"/>
  </r>
  <r>
    <s v="06261714801"/>
    <x v="0"/>
    <s v="miasto"/>
    <n v="6"/>
    <n v="26"/>
    <n v="17"/>
    <n v="2006"/>
    <n v="6"/>
    <n v="17"/>
    <n v="20060617"/>
    <s v="17.06.2006"/>
    <d v="1916-07-26T00:00:00"/>
    <n v="16"/>
  </r>
  <r>
    <s v="12290662086"/>
    <x v="8"/>
    <s v="miasto"/>
    <n v="12"/>
    <n v="29"/>
    <n v="6"/>
    <n v="2012"/>
    <n v="9"/>
    <n v="6"/>
    <n v="20120906"/>
    <s v="06.09.2012"/>
    <d v="1910-05-06T00:00:00"/>
    <n v="10"/>
  </r>
  <r>
    <s v="13222347822"/>
    <x v="8"/>
    <s v="miasto"/>
    <n v="13"/>
    <n v="22"/>
    <n v="23"/>
    <n v="2013"/>
    <n v="2"/>
    <n v="23"/>
    <n v="20130223"/>
    <s v="23.02.2013"/>
    <d v="1909-11-17T00:00:00"/>
    <n v="9"/>
  </r>
  <r>
    <s v="17292749872"/>
    <x v="5"/>
    <s v="wieś"/>
    <n v="17"/>
    <n v="29"/>
    <n v="27"/>
    <n v="2017"/>
    <n v="9"/>
    <n v="27"/>
    <n v="20170927"/>
    <s v="27.09.2017"/>
    <d v="1905-04-15T00:00:00"/>
    <n v="5"/>
  </r>
  <r>
    <s v="19302110146"/>
    <x v="12"/>
    <s v="wieś"/>
    <n v="19"/>
    <n v="30"/>
    <n v="21"/>
    <n v="2019"/>
    <n v="10"/>
    <n v="21"/>
    <n v="20191021"/>
    <s v="21.10.2019"/>
    <d v="1903-03-23T00:00:00"/>
    <n v="3"/>
  </r>
  <r>
    <s v="13240361611"/>
    <x v="2"/>
    <s v="miasto"/>
    <n v="13"/>
    <n v="24"/>
    <n v="3"/>
    <n v="2013"/>
    <n v="4"/>
    <n v="3"/>
    <n v="20130403"/>
    <s v="03.04.2013"/>
    <d v="1909-10-09T00:00:00"/>
    <n v="9"/>
  </r>
  <r>
    <s v="15240354042"/>
    <x v="12"/>
    <s v="miasto"/>
    <n v="15"/>
    <n v="24"/>
    <n v="3"/>
    <n v="2015"/>
    <n v="4"/>
    <n v="3"/>
    <n v="20150403"/>
    <s v="03.04.2015"/>
    <d v="1907-10-10T00:00:00"/>
    <n v="7"/>
  </r>
  <r>
    <s v="13301915474"/>
    <x v="0"/>
    <s v="miasto"/>
    <n v="13"/>
    <n v="30"/>
    <n v="19"/>
    <n v="2013"/>
    <n v="10"/>
    <n v="19"/>
    <n v="20131019"/>
    <s v="19.10.2013"/>
    <d v="1909-03-24T00:00:00"/>
    <n v="9"/>
  </r>
  <r>
    <s v="19262778871"/>
    <x v="15"/>
    <s v="miasto"/>
    <n v="19"/>
    <n v="26"/>
    <n v="27"/>
    <n v="2019"/>
    <n v="6"/>
    <n v="27"/>
    <n v="20190627"/>
    <s v="27.06.2019"/>
    <d v="1903-07-17T00:00:00"/>
    <n v="3"/>
  </r>
  <r>
    <s v="13280978334"/>
    <x v="4"/>
    <s v="wieś"/>
    <n v="13"/>
    <n v="28"/>
    <n v="9"/>
    <n v="2013"/>
    <n v="8"/>
    <n v="9"/>
    <n v="20130809"/>
    <s v="09.08.2013"/>
    <d v="1909-06-03T00:00:00"/>
    <n v="9"/>
  </r>
  <r>
    <s v="14302824284"/>
    <x v="15"/>
    <s v="miasto"/>
    <n v="14"/>
    <n v="30"/>
    <n v="28"/>
    <n v="2014"/>
    <n v="10"/>
    <n v="28"/>
    <n v="20141028"/>
    <s v="28.10.2014"/>
    <d v="1908-03-15T00:00:00"/>
    <n v="8"/>
  </r>
  <r>
    <s v="11272805824"/>
    <x v="5"/>
    <s v="wieś"/>
    <n v="11"/>
    <n v="27"/>
    <n v="28"/>
    <n v="2011"/>
    <n v="7"/>
    <n v="28"/>
    <n v="20110728"/>
    <s v="28.07.2011"/>
    <d v="1911-06-16T00:00:00"/>
    <n v="11"/>
  </r>
  <r>
    <s v="05291879913"/>
    <x v="14"/>
    <s v="miasto"/>
    <n v="5"/>
    <n v="29"/>
    <n v="18"/>
    <n v="2005"/>
    <n v="9"/>
    <n v="18"/>
    <n v="20050918"/>
    <s v="18.09.2005"/>
    <d v="1917-04-24T00:00:00"/>
    <n v="17"/>
  </r>
  <r>
    <s v="14212729259"/>
    <x v="14"/>
    <s v="wieś"/>
    <n v="14"/>
    <n v="21"/>
    <n v="27"/>
    <n v="2014"/>
    <n v="1"/>
    <n v="27"/>
    <n v="20140127"/>
    <s v="27.01.2014"/>
    <d v="1908-12-14T00:00:00"/>
    <n v="8"/>
  </r>
  <r>
    <s v="03210117463"/>
    <x v="14"/>
    <s v="miasto"/>
    <n v="3"/>
    <n v="21"/>
    <n v="1"/>
    <n v="2003"/>
    <n v="1"/>
    <n v="1"/>
    <n v="20030101"/>
    <s v="01.01.2003"/>
    <d v="1920-01-10T00:00:00"/>
    <n v="20"/>
  </r>
  <r>
    <s v="14291498509"/>
    <x v="11"/>
    <s v="miasto"/>
    <n v="14"/>
    <n v="29"/>
    <n v="14"/>
    <n v="2014"/>
    <n v="9"/>
    <n v="14"/>
    <n v="20140914"/>
    <s v="14.09.2014"/>
    <d v="1908-04-28T00:00:00"/>
    <n v="8"/>
  </r>
  <r>
    <s v="12300620789"/>
    <x v="7"/>
    <s v="miasto"/>
    <n v="12"/>
    <n v="30"/>
    <n v="6"/>
    <n v="2012"/>
    <n v="10"/>
    <n v="6"/>
    <n v="20121006"/>
    <s v="06.10.2012"/>
    <d v="1910-04-06T00:00:00"/>
    <n v="10"/>
  </r>
  <r>
    <s v="16230803856"/>
    <x v="6"/>
    <s v="miasto"/>
    <n v="16"/>
    <n v="23"/>
    <n v="8"/>
    <n v="2016"/>
    <n v="3"/>
    <n v="8"/>
    <n v="20160308"/>
    <s v="08.03.2016"/>
    <d v="1906-11-04T00:00:00"/>
    <n v="6"/>
  </r>
  <r>
    <s v="01220719112"/>
    <x v="6"/>
    <s v="miasto"/>
    <n v="1"/>
    <n v="22"/>
    <n v="7"/>
    <n v="2001"/>
    <n v="2"/>
    <n v="7"/>
    <n v="20010207"/>
    <s v="07.02.2001"/>
    <d v="1921-12-03T00:00:00"/>
    <n v="21"/>
  </r>
  <r>
    <s v="19220908124"/>
    <x v="15"/>
    <s v="wieś"/>
    <n v="19"/>
    <n v="22"/>
    <n v="9"/>
    <n v="2019"/>
    <n v="2"/>
    <n v="9"/>
    <n v="20190209"/>
    <s v="09.02.2019"/>
    <d v="1903-12-02T00:00:00"/>
    <n v="3"/>
  </r>
  <r>
    <s v="07240788697"/>
    <x v="5"/>
    <s v="wieś"/>
    <n v="7"/>
    <n v="24"/>
    <n v="7"/>
    <n v="2007"/>
    <n v="4"/>
    <n v="7"/>
    <n v="20070407"/>
    <s v="07.04.2007"/>
    <d v="1915-10-06T00:00:00"/>
    <n v="15"/>
  </r>
  <r>
    <s v="06292261558"/>
    <x v="13"/>
    <s v="wieś"/>
    <n v="6"/>
    <n v="29"/>
    <n v="22"/>
    <n v="2006"/>
    <n v="9"/>
    <n v="22"/>
    <n v="20060922"/>
    <s v="22.09.2006"/>
    <d v="1916-04-20T00:00:00"/>
    <n v="16"/>
  </r>
  <r>
    <s v="17311142206"/>
    <x v="5"/>
    <s v="wieś"/>
    <n v="17"/>
    <n v="31"/>
    <n v="11"/>
    <n v="2017"/>
    <n v="11"/>
    <n v="11"/>
    <n v="20171111"/>
    <s v="11.11.2017"/>
    <d v="1905-03-01T00:00:00"/>
    <n v="5"/>
  </r>
  <r>
    <s v="16321147489"/>
    <x v="12"/>
    <s v="wieś"/>
    <n v="16"/>
    <n v="32"/>
    <n v="11"/>
    <n v="2016"/>
    <n v="12"/>
    <n v="11"/>
    <n v="20161211"/>
    <s v="11.12.2016"/>
    <d v="1906-01-30T00:00:00"/>
    <n v="6"/>
  </r>
  <r>
    <s v="06292135242"/>
    <x v="14"/>
    <s v="miasto"/>
    <n v="6"/>
    <n v="29"/>
    <n v="21"/>
    <n v="2006"/>
    <n v="9"/>
    <n v="21"/>
    <n v="20060921"/>
    <s v="21.09.2006"/>
    <d v="1916-04-21T00:00:00"/>
    <n v="16"/>
  </r>
  <r>
    <s v="05230870575"/>
    <x v="10"/>
    <s v="miasto"/>
    <n v="5"/>
    <n v="23"/>
    <n v="8"/>
    <n v="2005"/>
    <n v="3"/>
    <n v="8"/>
    <n v="20050308"/>
    <s v="08.03.2005"/>
    <d v="1917-11-04T00:00:00"/>
    <n v="17"/>
  </r>
  <r>
    <s v="18271449174"/>
    <x v="2"/>
    <s v="wieś"/>
    <n v="18"/>
    <n v="27"/>
    <n v="14"/>
    <n v="2018"/>
    <n v="7"/>
    <n v="14"/>
    <n v="20180714"/>
    <s v="14.07.2018"/>
    <d v="1904-06-29T00:00:00"/>
    <n v="4"/>
  </r>
  <r>
    <s v="06321258252"/>
    <x v="1"/>
    <s v="wieś"/>
    <n v="6"/>
    <n v="32"/>
    <n v="12"/>
    <n v="2006"/>
    <n v="12"/>
    <n v="12"/>
    <n v="20061212"/>
    <s v="12.12.2006"/>
    <d v="1916-01-30T00:00:00"/>
    <n v="16"/>
  </r>
  <r>
    <s v="18262630525"/>
    <x v="3"/>
    <s v="miasto"/>
    <n v="18"/>
    <n v="26"/>
    <n v="26"/>
    <n v="2018"/>
    <n v="6"/>
    <n v="26"/>
    <n v="20180626"/>
    <s v="26.06.2018"/>
    <d v="1904-07-17T00:00:00"/>
    <n v="4"/>
  </r>
  <r>
    <s v="07261242695"/>
    <x v="2"/>
    <s v="wieś"/>
    <n v="7"/>
    <n v="26"/>
    <n v="12"/>
    <n v="2007"/>
    <n v="6"/>
    <n v="12"/>
    <n v="20070612"/>
    <s v="12.06.2007"/>
    <d v="1915-08-01T00:00:00"/>
    <n v="15"/>
  </r>
  <r>
    <s v="08300675577"/>
    <x v="11"/>
    <s v="wieś"/>
    <n v="8"/>
    <n v="30"/>
    <n v="6"/>
    <n v="2008"/>
    <n v="10"/>
    <n v="6"/>
    <n v="20081006"/>
    <s v="06.10.2008"/>
    <d v="1914-04-06T00:00:00"/>
    <n v="14"/>
  </r>
  <r>
    <s v="08221193888"/>
    <x v="5"/>
    <s v="miasto"/>
    <n v="8"/>
    <n v="22"/>
    <n v="11"/>
    <n v="2008"/>
    <n v="2"/>
    <n v="11"/>
    <n v="20080211"/>
    <s v="11.02.2008"/>
    <d v="1914-11-30T00:00:00"/>
    <n v="14"/>
  </r>
  <r>
    <s v="05220192948"/>
    <x v="5"/>
    <s v="wieś"/>
    <n v="5"/>
    <n v="22"/>
    <n v="1"/>
    <n v="2005"/>
    <n v="2"/>
    <n v="1"/>
    <n v="20050201"/>
    <s v="01.02.2005"/>
    <d v="1917-12-09T00:00:00"/>
    <n v="17"/>
  </r>
  <r>
    <s v="11222023223"/>
    <x v="7"/>
    <s v="wieś"/>
    <n v="11"/>
    <n v="22"/>
    <n v="20"/>
    <n v="2011"/>
    <n v="2"/>
    <n v="20"/>
    <n v="20110220"/>
    <s v="20.02.2011"/>
    <d v="1911-11-21T00:00:00"/>
    <n v="11"/>
  </r>
  <r>
    <s v="18320215404"/>
    <x v="13"/>
    <s v="wieś"/>
    <n v="18"/>
    <n v="32"/>
    <n v="2"/>
    <n v="2018"/>
    <n v="12"/>
    <n v="2"/>
    <n v="20181202"/>
    <s v="02.12.2018"/>
    <d v="1904-02-09T00:00:00"/>
    <n v="4"/>
  </r>
  <r>
    <s v="19303024725"/>
    <x v="0"/>
    <s v="miasto"/>
    <n v="19"/>
    <n v="30"/>
    <n v="30"/>
    <n v="2019"/>
    <n v="10"/>
    <n v="30"/>
    <n v="20191030"/>
    <s v="30.10.2019"/>
    <d v="1903-03-14T00:00:00"/>
    <n v="3"/>
  </r>
  <r>
    <s v="16291352676"/>
    <x v="0"/>
    <s v="miasto"/>
    <n v="16"/>
    <n v="29"/>
    <n v="13"/>
    <n v="2016"/>
    <n v="9"/>
    <n v="13"/>
    <n v="20160913"/>
    <s v="13.09.2016"/>
    <d v="1906-04-29T00:00:00"/>
    <n v="6"/>
  </r>
  <r>
    <s v="08250619858"/>
    <x v="13"/>
    <s v="wieś"/>
    <n v="8"/>
    <n v="25"/>
    <n v="6"/>
    <n v="2008"/>
    <n v="5"/>
    <n v="6"/>
    <n v="20080506"/>
    <s v="06.05.2008"/>
    <d v="1914-09-06T00:00:00"/>
    <n v="14"/>
  </r>
  <r>
    <s v="05263016560"/>
    <x v="15"/>
    <s v="miasto"/>
    <n v="5"/>
    <n v="26"/>
    <n v="30"/>
    <n v="2005"/>
    <n v="6"/>
    <n v="30"/>
    <n v="20050630"/>
    <s v="30.06.2005"/>
    <d v="1917-07-13T00:00:00"/>
    <n v="17"/>
  </r>
  <r>
    <s v="00213181006"/>
    <x v="8"/>
    <s v="miasto"/>
    <n v="0"/>
    <n v="21"/>
    <n v="31"/>
    <n v="2000"/>
    <n v="1"/>
    <n v="31"/>
    <n v="20000131"/>
    <s v="31.01.2000"/>
    <d v="1922-12-11T00:00:00"/>
    <n v="22"/>
  </r>
  <r>
    <s v="08322760361"/>
    <x v="13"/>
    <s v="miasto"/>
    <n v="8"/>
    <n v="32"/>
    <n v="27"/>
    <n v="2008"/>
    <n v="12"/>
    <n v="27"/>
    <n v="20081227"/>
    <s v="27.12.2008"/>
    <d v="1914-01-14T00:00:00"/>
    <n v="14"/>
  </r>
  <r>
    <s v="16251548464"/>
    <x v="1"/>
    <s v="wieś"/>
    <n v="16"/>
    <n v="25"/>
    <n v="15"/>
    <n v="2016"/>
    <n v="5"/>
    <n v="15"/>
    <n v="20160515"/>
    <s v="15.05.2016"/>
    <d v="1906-08-28T00:00:00"/>
    <n v="6"/>
  </r>
  <r>
    <s v="10292707398"/>
    <x v="8"/>
    <s v="miasto"/>
    <n v="10"/>
    <n v="29"/>
    <n v="27"/>
    <n v="2010"/>
    <n v="9"/>
    <n v="27"/>
    <n v="20100927"/>
    <s v="27.09.2010"/>
    <d v="1912-04-15T00:00:00"/>
    <n v="12"/>
  </r>
  <r>
    <s v="14231316500"/>
    <x v="8"/>
    <s v="miasto"/>
    <n v="14"/>
    <n v="23"/>
    <n v="13"/>
    <n v="2014"/>
    <n v="3"/>
    <n v="13"/>
    <n v="20140313"/>
    <s v="13.03.2014"/>
    <d v="1908-10-30T00:00:00"/>
    <n v="8"/>
  </r>
  <r>
    <s v="21222678682"/>
    <x v="9"/>
    <s v="wieś"/>
    <n v="21"/>
    <n v="22"/>
    <n v="26"/>
    <n v="2021"/>
    <n v="2"/>
    <n v="26"/>
    <n v="20210226"/>
    <s v="26.02.2021"/>
    <d v="1901-11-14T00:00:00"/>
    <n v="1"/>
  </r>
  <r>
    <s v="12292215862"/>
    <x v="12"/>
    <s v="miasto"/>
    <n v="12"/>
    <n v="29"/>
    <n v="22"/>
    <n v="2012"/>
    <n v="9"/>
    <n v="22"/>
    <n v="20120922"/>
    <s v="22.09.2012"/>
    <d v="1910-04-20T00:00:00"/>
    <n v="10"/>
  </r>
  <r>
    <s v="07282982598"/>
    <x v="8"/>
    <s v="miasto"/>
    <n v="7"/>
    <n v="28"/>
    <n v="29"/>
    <n v="2007"/>
    <n v="8"/>
    <n v="29"/>
    <n v="20070829"/>
    <s v="29.08.2007"/>
    <d v="1915-05-15T00:00:00"/>
    <n v="15"/>
  </r>
  <r>
    <s v="09220591189"/>
    <x v="14"/>
    <s v="miasto"/>
    <n v="9"/>
    <n v="22"/>
    <n v="5"/>
    <n v="2009"/>
    <n v="2"/>
    <n v="5"/>
    <n v="20090205"/>
    <s v="05.02.2009"/>
    <d v="1913-12-05T00:00:00"/>
    <n v="13"/>
  </r>
  <r>
    <s v="21230117469"/>
    <x v="13"/>
    <s v="miasto"/>
    <n v="21"/>
    <n v="23"/>
    <n v="1"/>
    <n v="2021"/>
    <n v="3"/>
    <n v="1"/>
    <n v="20210301"/>
    <s v="01.03.2021"/>
    <d v="1901-11-11T00:00:00"/>
    <n v="1"/>
  </r>
  <r>
    <s v="11312331944"/>
    <x v="11"/>
    <s v="wieś"/>
    <n v="11"/>
    <n v="31"/>
    <n v="23"/>
    <n v="2011"/>
    <n v="11"/>
    <n v="23"/>
    <n v="20111123"/>
    <s v="23.11.2011"/>
    <d v="1911-02-18T00:00:00"/>
    <n v="11"/>
  </r>
  <r>
    <s v="09240629666"/>
    <x v="9"/>
    <s v="wieś"/>
    <n v="9"/>
    <n v="24"/>
    <n v="6"/>
    <n v="2009"/>
    <n v="4"/>
    <n v="6"/>
    <n v="20090406"/>
    <s v="06.04.2009"/>
    <d v="1913-10-06T00:00:00"/>
    <n v="13"/>
  </r>
  <r>
    <s v="00312160294"/>
    <x v="10"/>
    <s v="miasto"/>
    <n v="0"/>
    <n v="31"/>
    <n v="21"/>
    <n v="2000"/>
    <n v="11"/>
    <n v="21"/>
    <n v="20001121"/>
    <s v="21.11.2000"/>
    <d v="1922-02-19T00:00:00"/>
    <n v="22"/>
  </r>
  <r>
    <s v="08281110832"/>
    <x v="15"/>
    <s v="wieś"/>
    <n v="8"/>
    <n v="28"/>
    <n v="11"/>
    <n v="2008"/>
    <n v="8"/>
    <n v="11"/>
    <n v="20080811"/>
    <s v="11.08.2008"/>
    <d v="1914-06-01T00:00:00"/>
    <n v="14"/>
  </r>
  <r>
    <s v="05221259161"/>
    <x v="12"/>
    <s v="miasto"/>
    <n v="5"/>
    <n v="22"/>
    <n v="12"/>
    <n v="2005"/>
    <n v="2"/>
    <n v="12"/>
    <n v="20050212"/>
    <s v="12.02.2005"/>
    <d v="1917-11-28T00:00:00"/>
    <n v="17"/>
  </r>
  <r>
    <s v="16212479677"/>
    <x v="6"/>
    <s v="wieś"/>
    <n v="16"/>
    <n v="21"/>
    <n v="24"/>
    <n v="2016"/>
    <n v="1"/>
    <n v="24"/>
    <n v="20160124"/>
    <s v="24.01.2016"/>
    <d v="1906-12-18T00:00:00"/>
    <n v="6"/>
  </r>
  <r>
    <s v="15300618013"/>
    <x v="15"/>
    <s v="wieś"/>
    <n v="15"/>
    <n v="30"/>
    <n v="6"/>
    <n v="2015"/>
    <n v="10"/>
    <n v="6"/>
    <n v="20151006"/>
    <s v="06.10.2015"/>
    <d v="1907-04-07T00:00:00"/>
    <n v="7"/>
  </r>
  <r>
    <s v="15291801395"/>
    <x v="1"/>
    <s v="wieś"/>
    <n v="15"/>
    <n v="29"/>
    <n v="18"/>
    <n v="2015"/>
    <n v="9"/>
    <n v="18"/>
    <n v="20150918"/>
    <s v="18.09.2015"/>
    <d v="1907-04-25T00:00:00"/>
    <n v="7"/>
  </r>
  <r>
    <s v="19301521378"/>
    <x v="14"/>
    <s v="miasto"/>
    <n v="19"/>
    <n v="30"/>
    <n v="15"/>
    <n v="2019"/>
    <n v="10"/>
    <n v="15"/>
    <n v="20191015"/>
    <s v="15.10.2019"/>
    <d v="1903-03-29T00:00:00"/>
    <n v="3"/>
  </r>
  <r>
    <s v="03211413360"/>
    <x v="7"/>
    <s v="wieś"/>
    <n v="3"/>
    <n v="21"/>
    <n v="14"/>
    <n v="2003"/>
    <n v="1"/>
    <n v="14"/>
    <n v="20030114"/>
    <s v="14.01.2003"/>
    <d v="1919-12-28T00:00:00"/>
    <n v="19"/>
  </r>
  <r>
    <s v="06242125787"/>
    <x v="6"/>
    <s v="wieś"/>
    <n v="6"/>
    <n v="24"/>
    <n v="21"/>
    <n v="2006"/>
    <n v="4"/>
    <n v="21"/>
    <n v="20060421"/>
    <s v="21.04.2006"/>
    <d v="1916-09-21T00:00:00"/>
    <n v="16"/>
  </r>
  <r>
    <s v="03252816289"/>
    <x v="12"/>
    <s v="wieś"/>
    <n v="3"/>
    <n v="25"/>
    <n v="28"/>
    <n v="2003"/>
    <n v="5"/>
    <n v="28"/>
    <n v="20030528"/>
    <s v="28.05.2003"/>
    <d v="1919-08-16T00:00:00"/>
    <n v="19"/>
  </r>
  <r>
    <s v="16292924229"/>
    <x v="7"/>
    <s v="wieś"/>
    <n v="16"/>
    <n v="29"/>
    <n v="29"/>
    <n v="2016"/>
    <n v="9"/>
    <n v="29"/>
    <n v="20160929"/>
    <s v="29.09.2016"/>
    <d v="1906-04-13T00:00:00"/>
    <n v="6"/>
  </r>
  <r>
    <s v="00272757774"/>
    <x v="11"/>
    <s v="miasto"/>
    <n v="0"/>
    <n v="27"/>
    <n v="27"/>
    <n v="2000"/>
    <n v="7"/>
    <n v="27"/>
    <n v="20000727"/>
    <s v="27.07.2000"/>
    <d v="1922-06-16T00:00:00"/>
    <n v="22"/>
  </r>
  <r>
    <s v="06252143218"/>
    <x v="7"/>
    <s v="miasto"/>
    <n v="6"/>
    <n v="25"/>
    <n v="21"/>
    <n v="2006"/>
    <n v="5"/>
    <n v="21"/>
    <n v="20060521"/>
    <s v="21.05.2006"/>
    <d v="1916-08-22T00:00:00"/>
    <n v="16"/>
  </r>
  <r>
    <s v="12241783008"/>
    <x v="7"/>
    <s v="miasto"/>
    <n v="12"/>
    <n v="24"/>
    <n v="17"/>
    <n v="2012"/>
    <n v="4"/>
    <n v="17"/>
    <n v="20120417"/>
    <s v="17.04.2012"/>
    <d v="1910-09-25T00:00:00"/>
    <n v="10"/>
  </r>
  <r>
    <s v="17250119602"/>
    <x v="14"/>
    <s v="miasto"/>
    <n v="17"/>
    <n v="25"/>
    <n v="1"/>
    <n v="2017"/>
    <n v="5"/>
    <n v="1"/>
    <n v="20170501"/>
    <s v="01.05.2017"/>
    <d v="1905-09-11T00:00:00"/>
    <n v="5"/>
  </r>
  <r>
    <s v="15312624240"/>
    <x v="1"/>
    <s v="miasto"/>
    <n v="15"/>
    <n v="31"/>
    <n v="26"/>
    <n v="2015"/>
    <n v="11"/>
    <n v="26"/>
    <n v="20151126"/>
    <s v="26.11.2015"/>
    <d v="1907-02-15T00:00:00"/>
    <n v="7"/>
  </r>
  <r>
    <s v="11261383104"/>
    <x v="9"/>
    <s v="wieś"/>
    <n v="11"/>
    <n v="26"/>
    <n v="13"/>
    <n v="2011"/>
    <n v="6"/>
    <n v="13"/>
    <n v="20110613"/>
    <s v="13.06.2011"/>
    <d v="1911-07-31T00:00:00"/>
    <n v="11"/>
  </r>
  <r>
    <s v="11270859559"/>
    <x v="8"/>
    <s v="wieś"/>
    <n v="11"/>
    <n v="27"/>
    <n v="8"/>
    <n v="2011"/>
    <n v="7"/>
    <n v="8"/>
    <n v="20110708"/>
    <s v="08.07.2011"/>
    <d v="1911-07-06T00:00:00"/>
    <n v="11"/>
  </r>
  <r>
    <s v="13251052847"/>
    <x v="10"/>
    <s v="wieś"/>
    <n v="13"/>
    <n v="25"/>
    <n v="10"/>
    <n v="2013"/>
    <n v="5"/>
    <n v="10"/>
    <n v="20130510"/>
    <s v="10.05.2013"/>
    <d v="1909-09-02T00:00:00"/>
    <n v="9"/>
  </r>
  <r>
    <s v="16251477472"/>
    <x v="15"/>
    <s v="wieś"/>
    <n v="16"/>
    <n v="25"/>
    <n v="14"/>
    <n v="2016"/>
    <n v="5"/>
    <n v="14"/>
    <n v="20160514"/>
    <s v="14.05.2016"/>
    <d v="1906-08-29T00:00:00"/>
    <n v="6"/>
  </r>
  <r>
    <s v="21270269818"/>
    <x v="7"/>
    <s v="miasto"/>
    <n v="21"/>
    <n v="27"/>
    <n v="2"/>
    <n v="2021"/>
    <n v="7"/>
    <n v="2"/>
    <n v="20210702"/>
    <s v="02.07.2021"/>
    <d v="1901-07-11T00:00:00"/>
    <n v="1"/>
  </r>
  <r>
    <s v="07233171240"/>
    <x v="11"/>
    <s v="miasto"/>
    <n v="7"/>
    <n v="23"/>
    <n v="31"/>
    <n v="2007"/>
    <n v="3"/>
    <n v="31"/>
    <n v="20070331"/>
    <s v="31.03.2007"/>
    <d v="1915-10-13T00:00:00"/>
    <n v="15"/>
  </r>
  <r>
    <s v="06240685911"/>
    <x v="9"/>
    <s v="wieś"/>
    <n v="6"/>
    <n v="24"/>
    <n v="6"/>
    <n v="2006"/>
    <n v="4"/>
    <n v="6"/>
    <n v="20060406"/>
    <s v="06.04.2006"/>
    <d v="1916-10-06T00:00:00"/>
    <n v="16"/>
  </r>
  <r>
    <s v="08230748288"/>
    <x v="3"/>
    <s v="wieś"/>
    <n v="8"/>
    <n v="23"/>
    <n v="7"/>
    <n v="2008"/>
    <n v="3"/>
    <n v="7"/>
    <n v="20080307"/>
    <s v="07.03.2008"/>
    <d v="1914-11-05T00:00:00"/>
    <n v="14"/>
  </r>
  <r>
    <s v="10272638467"/>
    <x v="14"/>
    <s v="wieś"/>
    <n v="10"/>
    <n v="27"/>
    <n v="26"/>
    <n v="2010"/>
    <n v="7"/>
    <n v="26"/>
    <n v="20100726"/>
    <s v="26.07.2010"/>
    <d v="1912-06-17T00:00:00"/>
    <n v="12"/>
  </r>
  <r>
    <s v="02222614214"/>
    <x v="13"/>
    <s v="wieś"/>
    <n v="2"/>
    <n v="22"/>
    <n v="26"/>
    <n v="2002"/>
    <n v="2"/>
    <n v="26"/>
    <n v="20020226"/>
    <s v="26.02.2002"/>
    <d v="1920-11-14T00:00:00"/>
    <n v="20"/>
  </r>
  <r>
    <s v="02300270619"/>
    <x v="3"/>
    <s v="wieś"/>
    <n v="2"/>
    <n v="30"/>
    <n v="2"/>
    <n v="2002"/>
    <n v="10"/>
    <n v="2"/>
    <n v="20021002"/>
    <s v="02.10.2002"/>
    <d v="1920-04-10T00:00:00"/>
    <n v="20"/>
  </r>
  <r>
    <s v="02320180006"/>
    <x v="1"/>
    <s v="wieś"/>
    <n v="2"/>
    <n v="32"/>
    <n v="1"/>
    <n v="2002"/>
    <n v="12"/>
    <n v="1"/>
    <n v="20021201"/>
    <s v="01.12.2002"/>
    <d v="1920-02-10T00:00:00"/>
    <n v="20"/>
  </r>
  <r>
    <s v="10231388673"/>
    <x v="12"/>
    <s v="wieś"/>
    <n v="10"/>
    <n v="23"/>
    <n v="13"/>
    <n v="2010"/>
    <n v="3"/>
    <n v="13"/>
    <n v="20100313"/>
    <s v="13.03.2010"/>
    <d v="1912-10-30T00:00:00"/>
    <n v="12"/>
  </r>
  <r>
    <s v="01211693203"/>
    <x v="1"/>
    <s v="miasto"/>
    <n v="1"/>
    <n v="21"/>
    <n v="16"/>
    <n v="2001"/>
    <n v="1"/>
    <n v="16"/>
    <n v="20010116"/>
    <s v="16.01.2001"/>
    <d v="1921-12-25T00:00:00"/>
    <n v="21"/>
  </r>
  <r>
    <s v="19221918386"/>
    <x v="0"/>
    <s v="wieś"/>
    <n v="19"/>
    <n v="22"/>
    <n v="19"/>
    <n v="2019"/>
    <n v="2"/>
    <n v="19"/>
    <n v="20190219"/>
    <s v="19.02.2019"/>
    <d v="1903-11-22T00:00:00"/>
    <n v="3"/>
  </r>
  <r>
    <s v="21242102774"/>
    <x v="11"/>
    <s v="wieś"/>
    <n v="21"/>
    <n v="24"/>
    <n v="21"/>
    <n v="2021"/>
    <n v="4"/>
    <n v="21"/>
    <n v="20210421"/>
    <s v="21.04.2021"/>
    <d v="1901-09-21T00:00:00"/>
    <n v="1"/>
  </r>
  <r>
    <s v="21220329306"/>
    <x v="7"/>
    <s v="wieś"/>
    <n v="21"/>
    <n v="22"/>
    <n v="3"/>
    <n v="2021"/>
    <n v="2"/>
    <n v="3"/>
    <n v="20210203"/>
    <s v="03.02.2021"/>
    <d v="1901-12-07T00:00:00"/>
    <n v="1"/>
  </r>
  <r>
    <s v="02301356646"/>
    <x v="2"/>
    <s v="wieś"/>
    <n v="2"/>
    <n v="30"/>
    <n v="13"/>
    <n v="2002"/>
    <n v="10"/>
    <n v="13"/>
    <n v="20021013"/>
    <s v="13.10.2002"/>
    <d v="1920-03-30T00:00:00"/>
    <n v="20"/>
  </r>
  <r>
    <s v="00322554973"/>
    <x v="11"/>
    <s v="wieś"/>
    <n v="0"/>
    <n v="32"/>
    <n v="25"/>
    <n v="2000"/>
    <n v="12"/>
    <n v="25"/>
    <n v="20001225"/>
    <s v="25.12.2000"/>
    <d v="1922-01-16T00:00:00"/>
    <n v="22"/>
  </r>
  <r>
    <s v="13281180844"/>
    <x v="10"/>
    <s v="wieś"/>
    <n v="13"/>
    <n v="28"/>
    <n v="11"/>
    <n v="2013"/>
    <n v="8"/>
    <n v="11"/>
    <n v="20130811"/>
    <s v="11.08.2013"/>
    <d v="1909-06-01T00:00:00"/>
    <n v="9"/>
  </r>
  <r>
    <s v="08291177821"/>
    <x v="9"/>
    <s v="wieś"/>
    <n v="8"/>
    <n v="29"/>
    <n v="11"/>
    <n v="2008"/>
    <n v="9"/>
    <n v="11"/>
    <n v="20080911"/>
    <s v="11.09.2008"/>
    <d v="1914-05-01T00:00:00"/>
    <n v="14"/>
  </r>
  <r>
    <s v="09211086504"/>
    <x v="5"/>
    <s v="miasto"/>
    <n v="9"/>
    <n v="21"/>
    <n v="10"/>
    <n v="2009"/>
    <n v="1"/>
    <n v="10"/>
    <n v="20090110"/>
    <s v="10.01.2009"/>
    <d v="1913-12-31T00:00:00"/>
    <n v="13"/>
  </r>
  <r>
    <s v="04322699630"/>
    <x v="8"/>
    <s v="wieś"/>
    <n v="4"/>
    <n v="32"/>
    <n v="26"/>
    <n v="2004"/>
    <n v="12"/>
    <n v="26"/>
    <n v="20041226"/>
    <s v="26.12.2004"/>
    <d v="1918-01-15T00:00:00"/>
    <n v="18"/>
  </r>
  <r>
    <s v="21291945252"/>
    <x v="2"/>
    <s v="wieś"/>
    <n v="21"/>
    <n v="29"/>
    <n v="19"/>
    <n v="2021"/>
    <n v="9"/>
    <n v="19"/>
    <n v="20210919"/>
    <s v="19.09.2021"/>
    <d v="1901-04-23T00:00:00"/>
    <n v="1"/>
  </r>
  <r>
    <s v="12272287597"/>
    <x v="0"/>
    <s v="miasto"/>
    <n v="12"/>
    <n v="27"/>
    <n v="22"/>
    <n v="2012"/>
    <n v="7"/>
    <n v="22"/>
    <n v="20120722"/>
    <s v="22.07.2012"/>
    <d v="1910-06-21T00:00:00"/>
    <n v="10"/>
  </r>
  <r>
    <s v="10271077511"/>
    <x v="2"/>
    <s v="wieś"/>
    <n v="10"/>
    <n v="27"/>
    <n v="10"/>
    <n v="2010"/>
    <n v="7"/>
    <n v="10"/>
    <n v="20100710"/>
    <s v="10.07.2010"/>
    <d v="1912-07-03T00:00:00"/>
    <n v="12"/>
  </r>
  <r>
    <s v="13281776603"/>
    <x v="4"/>
    <s v="wieś"/>
    <n v="13"/>
    <n v="28"/>
    <n v="17"/>
    <n v="2013"/>
    <n v="8"/>
    <n v="17"/>
    <n v="20130817"/>
    <s v="17.08.2013"/>
    <d v="1909-05-26T00:00:00"/>
    <n v="9"/>
  </r>
  <r>
    <s v="08321477132"/>
    <x v="7"/>
    <s v="miasto"/>
    <n v="8"/>
    <n v="32"/>
    <n v="14"/>
    <n v="2008"/>
    <n v="12"/>
    <n v="14"/>
    <n v="20081214"/>
    <s v="14.12.2008"/>
    <d v="1914-01-27T00:00:00"/>
    <n v="14"/>
  </r>
  <r>
    <s v="03241142483"/>
    <x v="7"/>
    <s v="wieś"/>
    <n v="3"/>
    <n v="24"/>
    <n v="11"/>
    <n v="2003"/>
    <n v="4"/>
    <n v="11"/>
    <n v="20030411"/>
    <s v="11.04.2003"/>
    <d v="1919-10-02T00:00:00"/>
    <n v="19"/>
  </r>
  <r>
    <s v="06261817733"/>
    <x v="6"/>
    <s v="wieś"/>
    <n v="6"/>
    <n v="26"/>
    <n v="18"/>
    <n v="2006"/>
    <n v="6"/>
    <n v="18"/>
    <n v="20060618"/>
    <s v="18.06.2006"/>
    <d v="1916-07-25T00:00:00"/>
    <n v="16"/>
  </r>
  <r>
    <s v="01322621562"/>
    <x v="3"/>
    <s v="wieś"/>
    <n v="1"/>
    <n v="32"/>
    <n v="26"/>
    <n v="2001"/>
    <n v="12"/>
    <n v="26"/>
    <n v="20011226"/>
    <s v="26.12.2001"/>
    <d v="1921-01-15T00:00:00"/>
    <n v="21"/>
  </r>
  <r>
    <s v="02212245123"/>
    <x v="1"/>
    <s v="miasto"/>
    <n v="2"/>
    <n v="21"/>
    <n v="22"/>
    <n v="2002"/>
    <n v="1"/>
    <n v="22"/>
    <n v="20020122"/>
    <s v="22.01.2002"/>
    <d v="1920-12-19T00:00:00"/>
    <n v="20"/>
  </r>
  <r>
    <s v="16240578128"/>
    <x v="5"/>
    <s v="wieś"/>
    <n v="16"/>
    <n v="24"/>
    <n v="5"/>
    <n v="2016"/>
    <n v="4"/>
    <n v="5"/>
    <n v="20160405"/>
    <s v="05.04.2016"/>
    <d v="1906-10-07T00:00:00"/>
    <n v="6"/>
  </r>
  <r>
    <s v="03260343573"/>
    <x v="11"/>
    <s v="miasto"/>
    <n v="3"/>
    <n v="26"/>
    <n v="3"/>
    <n v="2003"/>
    <n v="6"/>
    <n v="3"/>
    <n v="20030603"/>
    <s v="03.06.2003"/>
    <d v="1919-08-10T00:00:00"/>
    <n v="19"/>
  </r>
  <r>
    <s v="01220297225"/>
    <x v="1"/>
    <s v="wieś"/>
    <n v="1"/>
    <n v="22"/>
    <n v="2"/>
    <n v="2001"/>
    <n v="2"/>
    <n v="2"/>
    <n v="20010202"/>
    <s v="02.02.2001"/>
    <d v="1921-12-08T00:00:00"/>
    <n v="21"/>
  </r>
  <r>
    <s v="06210896367"/>
    <x v="3"/>
    <s v="miasto"/>
    <n v="6"/>
    <n v="21"/>
    <n v="8"/>
    <n v="2006"/>
    <n v="1"/>
    <n v="8"/>
    <n v="20060108"/>
    <s v="08.01.2006"/>
    <d v="1917-01-02T00:00:00"/>
    <n v="17"/>
  </r>
  <r>
    <s v="11321724913"/>
    <x v="5"/>
    <s v="miasto"/>
    <n v="11"/>
    <n v="32"/>
    <n v="17"/>
    <n v="2011"/>
    <n v="12"/>
    <n v="17"/>
    <n v="20111217"/>
    <s v="17.12.2011"/>
    <d v="1911-01-25T00:00:00"/>
    <n v="11"/>
  </r>
  <r>
    <s v="08291544285"/>
    <x v="1"/>
    <s v="wieś"/>
    <n v="8"/>
    <n v="29"/>
    <n v="15"/>
    <n v="2008"/>
    <n v="9"/>
    <n v="15"/>
    <n v="20080915"/>
    <s v="15.09.2008"/>
    <d v="1914-04-27T00:00:00"/>
    <n v="14"/>
  </r>
  <r>
    <s v="17311176384"/>
    <x v="10"/>
    <s v="wieś"/>
    <n v="17"/>
    <n v="31"/>
    <n v="11"/>
    <n v="2017"/>
    <n v="11"/>
    <n v="11"/>
    <n v="20171111"/>
    <s v="11.11.2017"/>
    <d v="1905-03-01T00:00:00"/>
    <n v="5"/>
  </r>
  <r>
    <s v="04220185460"/>
    <x v="8"/>
    <s v="miasto"/>
    <n v="4"/>
    <n v="22"/>
    <n v="1"/>
    <n v="2004"/>
    <n v="2"/>
    <n v="1"/>
    <n v="20040201"/>
    <s v="01.02.2004"/>
    <d v="1918-12-10T00:00:00"/>
    <n v="18"/>
  </r>
  <r>
    <s v="22241050839"/>
    <x v="3"/>
    <s v="wieś"/>
    <n v="22"/>
    <n v="24"/>
    <n v="10"/>
    <n v="2022"/>
    <n v="4"/>
    <n v="10"/>
    <n v="20220410"/>
    <s v="10.04.2022"/>
    <d v="1900-10-02T00:00:00"/>
    <n v="0"/>
  </r>
  <r>
    <s v="13291881753"/>
    <x v="4"/>
    <s v="wieś"/>
    <n v="13"/>
    <n v="29"/>
    <n v="18"/>
    <n v="2013"/>
    <n v="9"/>
    <n v="18"/>
    <n v="20130918"/>
    <s v="18.09.2013"/>
    <d v="1909-04-24T00:00:00"/>
    <n v="9"/>
  </r>
  <r>
    <s v="14292742539"/>
    <x v="3"/>
    <s v="miasto"/>
    <n v="14"/>
    <n v="29"/>
    <n v="27"/>
    <n v="2014"/>
    <n v="9"/>
    <n v="27"/>
    <n v="20140927"/>
    <s v="27.09.2014"/>
    <d v="1908-04-15T00:00:00"/>
    <n v="8"/>
  </r>
  <r>
    <s v="20252400425"/>
    <x v="4"/>
    <s v="wieś"/>
    <n v="20"/>
    <n v="25"/>
    <n v="24"/>
    <n v="2020"/>
    <n v="5"/>
    <n v="24"/>
    <n v="20200524"/>
    <s v="24.05.2020"/>
    <d v="1902-08-19T00:00:00"/>
    <n v="2"/>
  </r>
  <r>
    <s v="01221128012"/>
    <x v="13"/>
    <s v="miasto"/>
    <n v="1"/>
    <n v="22"/>
    <n v="11"/>
    <n v="2001"/>
    <n v="2"/>
    <n v="11"/>
    <n v="20010211"/>
    <s v="11.02.2001"/>
    <d v="1921-11-29T00:00:00"/>
    <n v="21"/>
  </r>
  <r>
    <s v="05290342425"/>
    <x v="4"/>
    <s v="miasto"/>
    <n v="5"/>
    <n v="29"/>
    <n v="3"/>
    <n v="2005"/>
    <n v="9"/>
    <n v="3"/>
    <n v="20050903"/>
    <s v="03.09.2005"/>
    <d v="1917-05-09T00:00:00"/>
    <n v="17"/>
  </r>
  <r>
    <s v="08251519232"/>
    <x v="4"/>
    <s v="miasto"/>
    <n v="8"/>
    <n v="25"/>
    <n v="15"/>
    <n v="2008"/>
    <n v="5"/>
    <n v="15"/>
    <n v="20080515"/>
    <s v="15.05.2008"/>
    <d v="1914-08-28T00:00:00"/>
    <n v="14"/>
  </r>
  <r>
    <s v="01242346721"/>
    <x v="1"/>
    <s v="wieś"/>
    <n v="1"/>
    <n v="24"/>
    <n v="23"/>
    <n v="2001"/>
    <n v="4"/>
    <n v="23"/>
    <n v="20010423"/>
    <s v="23.04.2001"/>
    <d v="1921-09-19T00:00:00"/>
    <n v="21"/>
  </r>
  <r>
    <s v="19221946062"/>
    <x v="1"/>
    <s v="miasto"/>
    <n v="19"/>
    <n v="22"/>
    <n v="19"/>
    <n v="2019"/>
    <n v="2"/>
    <n v="19"/>
    <n v="20190219"/>
    <s v="19.02.2019"/>
    <d v="1903-11-22T00:00:00"/>
    <n v="3"/>
  </r>
  <r>
    <s v="02242206231"/>
    <x v="12"/>
    <s v="wieś"/>
    <n v="2"/>
    <n v="24"/>
    <n v="22"/>
    <n v="2002"/>
    <n v="4"/>
    <n v="22"/>
    <n v="20020422"/>
    <s v="22.04.2002"/>
    <d v="1920-09-20T00:00:00"/>
    <n v="20"/>
  </r>
  <r>
    <s v="15220366922"/>
    <x v="0"/>
    <s v="wieś"/>
    <n v="15"/>
    <n v="22"/>
    <n v="3"/>
    <n v="2015"/>
    <n v="2"/>
    <n v="3"/>
    <n v="20150203"/>
    <s v="03.02.2015"/>
    <d v="1907-12-08T00:00:00"/>
    <n v="7"/>
  </r>
  <r>
    <s v="05270147233"/>
    <x v="6"/>
    <s v="wieś"/>
    <n v="5"/>
    <n v="27"/>
    <n v="1"/>
    <n v="2005"/>
    <n v="7"/>
    <n v="1"/>
    <n v="20050701"/>
    <s v="01.07.2005"/>
    <d v="1917-07-12T00:00:00"/>
    <n v="17"/>
  </r>
  <r>
    <s v="07212419974"/>
    <x v="8"/>
    <s v="miasto"/>
    <n v="7"/>
    <n v="21"/>
    <n v="24"/>
    <n v="2007"/>
    <n v="1"/>
    <n v="24"/>
    <n v="20070124"/>
    <s v="24.01.2007"/>
    <d v="1915-12-18T00:00:00"/>
    <n v="15"/>
  </r>
  <r>
    <s v="06210742569"/>
    <x v="3"/>
    <s v="wieś"/>
    <n v="6"/>
    <n v="21"/>
    <n v="7"/>
    <n v="2006"/>
    <n v="1"/>
    <n v="7"/>
    <n v="20060107"/>
    <s v="07.01.2006"/>
    <d v="1917-01-03T00:00:00"/>
    <n v="17"/>
  </r>
  <r>
    <s v="11230540910"/>
    <x v="10"/>
    <s v="miasto"/>
    <n v="11"/>
    <n v="23"/>
    <n v="5"/>
    <n v="2011"/>
    <n v="3"/>
    <n v="5"/>
    <n v="20110305"/>
    <s v="05.03.2011"/>
    <d v="1911-11-08T00:00:00"/>
    <n v="11"/>
  </r>
  <r>
    <s v="09300144173"/>
    <x v="3"/>
    <s v="miasto"/>
    <n v="9"/>
    <n v="30"/>
    <n v="1"/>
    <n v="2009"/>
    <n v="10"/>
    <n v="1"/>
    <n v="20091001"/>
    <s v="01.10.2009"/>
    <d v="1913-04-11T00:00:00"/>
    <n v="13"/>
  </r>
  <r>
    <s v="11213025230"/>
    <x v="0"/>
    <s v="wieś"/>
    <n v="11"/>
    <n v="21"/>
    <n v="30"/>
    <n v="2011"/>
    <n v="1"/>
    <n v="30"/>
    <n v="20110130"/>
    <s v="30.01.2011"/>
    <d v="1911-12-12T00:00:00"/>
    <n v="11"/>
  </r>
  <r>
    <s v="11320429338"/>
    <x v="9"/>
    <s v="miasto"/>
    <n v="11"/>
    <n v="32"/>
    <n v="4"/>
    <n v="2011"/>
    <n v="12"/>
    <n v="4"/>
    <n v="20111204"/>
    <s v="04.12.2011"/>
    <d v="1911-02-07T00:00:00"/>
    <n v="11"/>
  </r>
  <r>
    <s v="20312520250"/>
    <x v="1"/>
    <s v="wieś"/>
    <n v="20"/>
    <n v="31"/>
    <n v="25"/>
    <n v="2020"/>
    <n v="11"/>
    <n v="25"/>
    <n v="20201125"/>
    <s v="25.11.2020"/>
    <d v="1902-02-15T00:00:00"/>
    <n v="2"/>
  </r>
  <r>
    <s v="14280583423"/>
    <x v="9"/>
    <s v="wieś"/>
    <n v="14"/>
    <n v="28"/>
    <n v="5"/>
    <n v="2014"/>
    <n v="8"/>
    <n v="5"/>
    <n v="20140805"/>
    <s v="05.08.2014"/>
    <d v="1908-06-07T00:00:00"/>
    <n v="8"/>
  </r>
  <r>
    <s v="03221032757"/>
    <x v="10"/>
    <s v="wieś"/>
    <n v="3"/>
    <n v="22"/>
    <n v="10"/>
    <n v="2003"/>
    <n v="2"/>
    <n v="10"/>
    <n v="20030210"/>
    <s v="10.02.2003"/>
    <d v="1919-12-01T00:00:00"/>
    <n v="19"/>
  </r>
  <r>
    <s v="16291603888"/>
    <x v="8"/>
    <s v="miasto"/>
    <n v="16"/>
    <n v="29"/>
    <n v="16"/>
    <n v="2016"/>
    <n v="9"/>
    <n v="16"/>
    <n v="20160916"/>
    <s v="16.09.2016"/>
    <d v="1906-04-26T00:00:00"/>
    <n v="6"/>
  </r>
  <r>
    <s v="00291838700"/>
    <x v="6"/>
    <s v="wieś"/>
    <n v="0"/>
    <n v="29"/>
    <n v="18"/>
    <n v="2000"/>
    <n v="9"/>
    <n v="18"/>
    <n v="20000918"/>
    <s v="18.09.2000"/>
    <d v="1922-04-24T00:00:00"/>
    <n v="22"/>
  </r>
  <r>
    <s v="11302022001"/>
    <x v="1"/>
    <s v="wieś"/>
    <n v="11"/>
    <n v="30"/>
    <n v="20"/>
    <n v="2011"/>
    <n v="10"/>
    <n v="20"/>
    <n v="20111020"/>
    <s v="20.10.2011"/>
    <d v="1911-03-24T00:00:00"/>
    <n v="11"/>
  </r>
  <r>
    <s v="04272000276"/>
    <x v="3"/>
    <s v="miasto"/>
    <n v="4"/>
    <n v="27"/>
    <n v="20"/>
    <n v="2004"/>
    <n v="7"/>
    <n v="20"/>
    <n v="20040720"/>
    <s v="20.07.2004"/>
    <d v="1918-06-23T00:00:00"/>
    <n v="18"/>
  </r>
  <r>
    <s v="00262862624"/>
    <x v="9"/>
    <s v="wieś"/>
    <n v="0"/>
    <n v="26"/>
    <n v="28"/>
    <n v="2000"/>
    <n v="6"/>
    <n v="28"/>
    <n v="20000628"/>
    <s v="28.06.2000"/>
    <d v="1922-07-15T00:00:00"/>
    <n v="22"/>
  </r>
  <r>
    <s v="07263089155"/>
    <x v="15"/>
    <s v="wieś"/>
    <n v="7"/>
    <n v="26"/>
    <n v="30"/>
    <n v="2007"/>
    <n v="6"/>
    <n v="30"/>
    <n v="20070630"/>
    <s v="30.06.2007"/>
    <d v="1915-07-14T00:00:00"/>
    <n v="15"/>
  </r>
  <r>
    <s v="02210196742"/>
    <x v="8"/>
    <s v="miasto"/>
    <n v="2"/>
    <n v="21"/>
    <n v="1"/>
    <n v="2002"/>
    <n v="1"/>
    <n v="1"/>
    <n v="20020101"/>
    <s v="01.01.2002"/>
    <d v="1921-01-09T00:00:00"/>
    <n v="21"/>
  </r>
  <r>
    <s v="11301805012"/>
    <x v="6"/>
    <s v="wieś"/>
    <n v="11"/>
    <n v="30"/>
    <n v="18"/>
    <n v="2011"/>
    <n v="10"/>
    <n v="18"/>
    <n v="20111018"/>
    <s v="18.10.2011"/>
    <d v="1911-03-26T00:00:00"/>
    <n v="11"/>
  </r>
  <r>
    <s v="10292551560"/>
    <x v="3"/>
    <s v="wieś"/>
    <n v="10"/>
    <n v="29"/>
    <n v="25"/>
    <n v="2010"/>
    <n v="9"/>
    <n v="25"/>
    <n v="20100925"/>
    <s v="25.09.2010"/>
    <d v="1912-04-17T00:00:00"/>
    <n v="12"/>
  </r>
  <r>
    <s v="19302646924"/>
    <x v="11"/>
    <s v="miasto"/>
    <n v="19"/>
    <n v="30"/>
    <n v="26"/>
    <n v="2019"/>
    <n v="10"/>
    <n v="26"/>
    <n v="20191026"/>
    <s v="26.10.2019"/>
    <d v="1903-03-18T00:00:00"/>
    <n v="3"/>
  </r>
  <r>
    <s v="02290618927"/>
    <x v="11"/>
    <s v="miasto"/>
    <n v="2"/>
    <n v="29"/>
    <n v="6"/>
    <n v="2002"/>
    <n v="9"/>
    <n v="6"/>
    <n v="20020906"/>
    <s v="06.09.2002"/>
    <d v="1920-05-06T00:00:00"/>
    <n v="20"/>
  </r>
  <r>
    <s v="01302670779"/>
    <x v="1"/>
    <s v="miasto"/>
    <n v="1"/>
    <n v="30"/>
    <n v="26"/>
    <n v="2001"/>
    <n v="10"/>
    <n v="26"/>
    <n v="20011026"/>
    <s v="26.10.2001"/>
    <d v="1921-03-17T00:00:00"/>
    <n v="21"/>
  </r>
  <r>
    <s v="19302687224"/>
    <x v="10"/>
    <s v="miasto"/>
    <n v="19"/>
    <n v="30"/>
    <n v="26"/>
    <n v="2019"/>
    <n v="10"/>
    <n v="26"/>
    <n v="20191026"/>
    <s v="26.10.2019"/>
    <d v="1903-03-18T00:00:00"/>
    <n v="3"/>
  </r>
  <r>
    <s v="12260688504"/>
    <x v="11"/>
    <s v="miasto"/>
    <n v="12"/>
    <n v="26"/>
    <n v="6"/>
    <n v="2012"/>
    <n v="6"/>
    <n v="6"/>
    <n v="20120606"/>
    <s v="06.06.2012"/>
    <d v="1910-08-06T00:00:00"/>
    <n v="10"/>
  </r>
  <r>
    <s v="00241654994"/>
    <x v="15"/>
    <s v="wieś"/>
    <n v="0"/>
    <n v="24"/>
    <n v="16"/>
    <n v="2000"/>
    <n v="4"/>
    <n v="16"/>
    <n v="20000416"/>
    <s v="16.04.2000"/>
    <d v="1922-09-26T00:00:00"/>
    <n v="22"/>
  </r>
  <r>
    <s v="00291433332"/>
    <x v="1"/>
    <s v="wieś"/>
    <n v="0"/>
    <n v="29"/>
    <n v="14"/>
    <n v="2000"/>
    <n v="9"/>
    <n v="14"/>
    <n v="20000914"/>
    <s v="14.09.2000"/>
    <d v="1922-04-28T00:00:00"/>
    <n v="22"/>
  </r>
  <r>
    <s v="09281659309"/>
    <x v="14"/>
    <s v="wieś"/>
    <n v="9"/>
    <n v="28"/>
    <n v="16"/>
    <n v="2009"/>
    <n v="8"/>
    <n v="16"/>
    <n v="20090816"/>
    <s v="16.08.2009"/>
    <d v="1913-05-27T00:00:00"/>
    <n v="13"/>
  </r>
  <r>
    <s v="05271072857"/>
    <x v="6"/>
    <s v="wieś"/>
    <n v="5"/>
    <n v="27"/>
    <n v="10"/>
    <n v="2005"/>
    <n v="7"/>
    <n v="10"/>
    <n v="20050710"/>
    <s v="10.07.2005"/>
    <d v="1917-07-03T00:00:00"/>
    <n v="17"/>
  </r>
  <r>
    <s v="20222616272"/>
    <x v="14"/>
    <s v="wieś"/>
    <n v="20"/>
    <n v="22"/>
    <n v="26"/>
    <n v="2020"/>
    <n v="2"/>
    <n v="26"/>
    <n v="20200226"/>
    <s v="26.02.2020"/>
    <d v="1902-11-15T00:00:00"/>
    <n v="2"/>
  </r>
  <r>
    <s v="02283166327"/>
    <x v="13"/>
    <s v="miasto"/>
    <n v="2"/>
    <n v="28"/>
    <n v="31"/>
    <n v="2002"/>
    <n v="8"/>
    <n v="31"/>
    <n v="20020831"/>
    <s v="31.08.2002"/>
    <d v="1920-05-12T00:00:00"/>
    <n v="20"/>
  </r>
  <r>
    <s v="19231080301"/>
    <x v="6"/>
    <s v="miasto"/>
    <n v="19"/>
    <n v="23"/>
    <n v="10"/>
    <n v="2019"/>
    <n v="3"/>
    <n v="10"/>
    <n v="20190310"/>
    <s v="10.03.2019"/>
    <d v="1903-11-03T00:00:00"/>
    <n v="3"/>
  </r>
  <r>
    <s v="09301626432"/>
    <x v="5"/>
    <s v="miasto"/>
    <n v="9"/>
    <n v="30"/>
    <n v="16"/>
    <n v="2009"/>
    <n v="10"/>
    <n v="16"/>
    <n v="20091016"/>
    <s v="16.10.2009"/>
    <d v="1913-03-27T00:00:00"/>
    <n v="13"/>
  </r>
  <r>
    <s v="12292632894"/>
    <x v="0"/>
    <s v="wieś"/>
    <n v="12"/>
    <n v="29"/>
    <n v="26"/>
    <n v="2012"/>
    <n v="9"/>
    <n v="26"/>
    <n v="20120926"/>
    <s v="26.09.2012"/>
    <d v="1910-04-16T00:00:00"/>
    <n v="10"/>
  </r>
  <r>
    <s v="00220197337"/>
    <x v="4"/>
    <s v="miasto"/>
    <n v="0"/>
    <n v="22"/>
    <n v="1"/>
    <n v="2000"/>
    <n v="2"/>
    <n v="1"/>
    <n v="20000201"/>
    <s v="01.02.2000"/>
    <d v="1922-12-10T00:00:00"/>
    <n v="22"/>
  </r>
  <r>
    <s v="18261827999"/>
    <x v="13"/>
    <s v="wieś"/>
    <n v="18"/>
    <n v="26"/>
    <n v="18"/>
    <n v="2018"/>
    <n v="6"/>
    <n v="18"/>
    <n v="20180618"/>
    <s v="18.06.2018"/>
    <d v="1904-07-25T00:00:00"/>
    <n v="4"/>
  </r>
  <r>
    <s v="22280655817"/>
    <x v="13"/>
    <s v="wieś"/>
    <n v="22"/>
    <n v="28"/>
    <n v="6"/>
    <n v="2022"/>
    <n v="8"/>
    <n v="6"/>
    <n v="20220806"/>
    <s v="06.08.2022"/>
    <d v="1900-06-06T00:00:00"/>
    <n v="0"/>
  </r>
  <r>
    <s v="21221398701"/>
    <x v="14"/>
    <s v="miasto"/>
    <n v="21"/>
    <n v="22"/>
    <n v="13"/>
    <n v="2021"/>
    <n v="2"/>
    <n v="13"/>
    <n v="20210213"/>
    <s v="13.02.2021"/>
    <d v="1901-11-27T00:00:00"/>
    <n v="1"/>
  </r>
  <r>
    <s v="04240223735"/>
    <x v="1"/>
    <s v="wieś"/>
    <n v="4"/>
    <n v="24"/>
    <n v="2"/>
    <n v="2004"/>
    <n v="4"/>
    <n v="2"/>
    <n v="20040402"/>
    <s v="02.04.2004"/>
    <d v="1918-10-10T00:00:00"/>
    <n v="18"/>
  </r>
  <r>
    <s v="12312469426"/>
    <x v="10"/>
    <s v="miasto"/>
    <n v="12"/>
    <n v="31"/>
    <n v="24"/>
    <n v="2012"/>
    <n v="11"/>
    <n v="24"/>
    <n v="20121124"/>
    <s v="24.11.2012"/>
    <d v="1910-02-16T00:00:00"/>
    <n v="10"/>
  </r>
  <r>
    <s v="09281542067"/>
    <x v="0"/>
    <s v="miasto"/>
    <n v="9"/>
    <n v="28"/>
    <n v="15"/>
    <n v="2009"/>
    <n v="8"/>
    <n v="15"/>
    <n v="20090815"/>
    <s v="15.08.2009"/>
    <d v="1913-05-28T00:00:00"/>
    <n v="13"/>
  </r>
  <r>
    <s v="15253008956"/>
    <x v="0"/>
    <s v="miasto"/>
    <n v="15"/>
    <n v="25"/>
    <n v="30"/>
    <n v="2015"/>
    <n v="5"/>
    <n v="30"/>
    <n v="20150530"/>
    <s v="30.05.2015"/>
    <d v="1907-08-14T00:00:00"/>
    <n v="7"/>
  </r>
  <r>
    <s v="10220968532"/>
    <x v="8"/>
    <s v="wieś"/>
    <n v="10"/>
    <n v="22"/>
    <n v="9"/>
    <n v="2010"/>
    <n v="2"/>
    <n v="9"/>
    <n v="20100209"/>
    <s v="09.02.2010"/>
    <d v="1912-12-01T00:00:00"/>
    <n v="12"/>
  </r>
  <r>
    <s v="05231406151"/>
    <x v="1"/>
    <s v="wieś"/>
    <n v="5"/>
    <n v="23"/>
    <n v="14"/>
    <n v="2005"/>
    <n v="3"/>
    <n v="14"/>
    <n v="20050314"/>
    <s v="14.03.2005"/>
    <d v="1917-10-29T00:00:00"/>
    <n v="17"/>
  </r>
  <r>
    <s v="04312426006"/>
    <x v="5"/>
    <s v="miasto"/>
    <n v="4"/>
    <n v="31"/>
    <n v="24"/>
    <n v="2004"/>
    <n v="11"/>
    <n v="24"/>
    <n v="20041124"/>
    <s v="24.11.2004"/>
    <d v="1918-02-16T00:00:00"/>
    <n v="18"/>
  </r>
  <r>
    <s v="22290577994"/>
    <x v="4"/>
    <s v="miasto"/>
    <n v="22"/>
    <n v="29"/>
    <n v="5"/>
    <n v="2022"/>
    <n v="9"/>
    <n v="5"/>
    <n v="20220905"/>
    <s v="05.09.2022"/>
    <d v="1900-05-07T00:00:00"/>
    <n v="0"/>
  </r>
  <r>
    <s v="19280922601"/>
    <x v="0"/>
    <s v="wieś"/>
    <n v="19"/>
    <n v="28"/>
    <n v="9"/>
    <n v="2019"/>
    <n v="8"/>
    <n v="9"/>
    <n v="20190809"/>
    <s v="09.08.2019"/>
    <d v="1903-06-04T00:00:00"/>
    <n v="3"/>
  </r>
  <r>
    <s v="11251095756"/>
    <x v="15"/>
    <s v="miasto"/>
    <n v="11"/>
    <n v="25"/>
    <n v="10"/>
    <n v="2011"/>
    <n v="5"/>
    <n v="10"/>
    <n v="20110510"/>
    <s v="10.05.2011"/>
    <d v="1911-09-03T00:00:00"/>
    <n v="11"/>
  </r>
  <r>
    <s v="06220429652"/>
    <x v="8"/>
    <s v="wieś"/>
    <n v="6"/>
    <n v="22"/>
    <n v="4"/>
    <n v="2006"/>
    <n v="2"/>
    <n v="4"/>
    <n v="20060204"/>
    <s v="04.02.2006"/>
    <d v="1916-12-06T00:00:00"/>
    <n v="16"/>
  </r>
  <r>
    <s v="07282107661"/>
    <x v="0"/>
    <s v="wieś"/>
    <n v="7"/>
    <n v="28"/>
    <n v="21"/>
    <n v="2007"/>
    <n v="8"/>
    <n v="21"/>
    <n v="20070821"/>
    <s v="21.08.2007"/>
    <d v="1915-05-23T00:00:00"/>
    <n v="15"/>
  </r>
  <r>
    <s v="00321275130"/>
    <x v="6"/>
    <s v="miasto"/>
    <n v="0"/>
    <n v="32"/>
    <n v="12"/>
    <n v="2000"/>
    <n v="12"/>
    <n v="12"/>
    <n v="20001212"/>
    <s v="12.12.2000"/>
    <d v="1922-01-29T00:00:00"/>
    <n v="22"/>
  </r>
  <r>
    <s v="17230169162"/>
    <x v="11"/>
    <s v="wieś"/>
    <n v="17"/>
    <n v="23"/>
    <n v="1"/>
    <n v="2017"/>
    <n v="3"/>
    <n v="1"/>
    <n v="20170301"/>
    <s v="01.03.2017"/>
    <d v="1905-11-11T00:00:00"/>
    <n v="5"/>
  </r>
  <r>
    <s v="10252988317"/>
    <x v="6"/>
    <s v="wieś"/>
    <n v="10"/>
    <n v="25"/>
    <n v="29"/>
    <n v="2010"/>
    <n v="5"/>
    <n v="29"/>
    <n v="20100529"/>
    <s v="29.05.2010"/>
    <d v="1912-08-14T00:00:00"/>
    <n v="12"/>
  </r>
  <r>
    <s v="11221946127"/>
    <x v="7"/>
    <s v="miasto"/>
    <n v="11"/>
    <n v="22"/>
    <n v="19"/>
    <n v="2011"/>
    <n v="2"/>
    <n v="19"/>
    <n v="20110219"/>
    <s v="19.02.2011"/>
    <d v="1911-11-22T00:00:00"/>
    <n v="11"/>
  </r>
  <r>
    <s v="01262279216"/>
    <x v="9"/>
    <s v="wieś"/>
    <n v="1"/>
    <n v="26"/>
    <n v="22"/>
    <n v="2001"/>
    <n v="6"/>
    <n v="22"/>
    <n v="20010622"/>
    <s v="22.06.2001"/>
    <d v="1921-07-21T00:00:00"/>
    <n v="21"/>
  </r>
  <r>
    <s v="08232997710"/>
    <x v="9"/>
    <s v="miasto"/>
    <n v="8"/>
    <n v="23"/>
    <n v="29"/>
    <n v="2008"/>
    <n v="3"/>
    <n v="29"/>
    <n v="20080329"/>
    <s v="29.03.2008"/>
    <d v="1914-10-14T00:00:00"/>
    <n v="14"/>
  </r>
  <r>
    <s v="15252065891"/>
    <x v="0"/>
    <s v="wieś"/>
    <n v="15"/>
    <n v="25"/>
    <n v="20"/>
    <n v="2015"/>
    <n v="5"/>
    <n v="20"/>
    <n v="20150520"/>
    <s v="20.05.2015"/>
    <d v="1907-08-24T00:00:00"/>
    <n v="7"/>
  </r>
  <r>
    <s v="12270628460"/>
    <x v="5"/>
    <s v="miasto"/>
    <n v="12"/>
    <n v="27"/>
    <n v="6"/>
    <n v="2012"/>
    <n v="7"/>
    <n v="6"/>
    <n v="20120706"/>
    <s v="06.07.2012"/>
    <d v="1910-07-07T00:00:00"/>
    <n v="10"/>
  </r>
  <r>
    <s v="06292817353"/>
    <x v="0"/>
    <s v="wieś"/>
    <n v="6"/>
    <n v="29"/>
    <n v="28"/>
    <n v="2006"/>
    <n v="9"/>
    <n v="28"/>
    <n v="20060928"/>
    <s v="28.09.2006"/>
    <d v="1916-04-14T00:00:00"/>
    <n v="16"/>
  </r>
  <r>
    <s v="20251246970"/>
    <x v="11"/>
    <s v="miasto"/>
    <n v="20"/>
    <n v="25"/>
    <n v="12"/>
    <n v="2020"/>
    <n v="5"/>
    <n v="12"/>
    <n v="20200512"/>
    <s v="12.05.2020"/>
    <d v="1902-08-31T00:00:00"/>
    <n v="2"/>
  </r>
  <r>
    <s v="15240174587"/>
    <x v="4"/>
    <s v="wieś"/>
    <n v="15"/>
    <n v="24"/>
    <n v="1"/>
    <n v="2015"/>
    <n v="4"/>
    <n v="1"/>
    <n v="20150401"/>
    <s v="01.04.2015"/>
    <d v="1907-10-12T00:00:00"/>
    <n v="7"/>
  </r>
  <r>
    <s v="12220617492"/>
    <x v="11"/>
    <s v="wieś"/>
    <n v="12"/>
    <n v="22"/>
    <n v="6"/>
    <n v="2012"/>
    <n v="2"/>
    <n v="6"/>
    <n v="20120206"/>
    <s v="06.02.2012"/>
    <d v="1910-12-05T00:00:00"/>
    <n v="10"/>
  </r>
  <r>
    <s v="01233090512"/>
    <x v="8"/>
    <s v="wieś"/>
    <n v="1"/>
    <n v="23"/>
    <n v="30"/>
    <n v="2001"/>
    <n v="3"/>
    <n v="30"/>
    <n v="20010330"/>
    <s v="30.03.2001"/>
    <d v="1921-10-13T00:00:00"/>
    <n v="21"/>
  </r>
  <r>
    <s v="03311712479"/>
    <x v="7"/>
    <s v="miasto"/>
    <n v="3"/>
    <n v="31"/>
    <n v="17"/>
    <n v="2003"/>
    <n v="11"/>
    <n v="17"/>
    <n v="20031117"/>
    <s v="17.11.2003"/>
    <d v="1919-02-24T00:00:00"/>
    <n v="19"/>
  </r>
  <r>
    <s v="05261564690"/>
    <x v="2"/>
    <s v="wieś"/>
    <n v="5"/>
    <n v="26"/>
    <n v="15"/>
    <n v="2005"/>
    <n v="6"/>
    <n v="15"/>
    <n v="20050615"/>
    <s v="15.06.2005"/>
    <d v="1917-07-28T00:00:00"/>
    <n v="17"/>
  </r>
  <r>
    <s v="19312698724"/>
    <x v="11"/>
    <s v="wieś"/>
    <n v="19"/>
    <n v="31"/>
    <n v="26"/>
    <n v="2019"/>
    <n v="11"/>
    <n v="26"/>
    <n v="20191126"/>
    <s v="26.11.2019"/>
    <d v="1903-02-15T00:00:00"/>
    <n v="3"/>
  </r>
  <r>
    <s v="16291742480"/>
    <x v="14"/>
    <s v="miasto"/>
    <n v="16"/>
    <n v="29"/>
    <n v="17"/>
    <n v="2016"/>
    <n v="9"/>
    <n v="17"/>
    <n v="20160917"/>
    <s v="17.09.2016"/>
    <d v="1906-04-25T00:00:00"/>
    <n v="6"/>
  </r>
  <r>
    <s v="07221031648"/>
    <x v="13"/>
    <s v="miasto"/>
    <n v="7"/>
    <n v="22"/>
    <n v="10"/>
    <n v="2007"/>
    <n v="2"/>
    <n v="10"/>
    <n v="20070210"/>
    <s v="10.02.2007"/>
    <d v="1915-12-01T00:00:00"/>
    <n v="15"/>
  </r>
  <r>
    <s v="06271769888"/>
    <x v="12"/>
    <s v="wieś"/>
    <n v="6"/>
    <n v="27"/>
    <n v="17"/>
    <n v="2006"/>
    <n v="7"/>
    <n v="17"/>
    <n v="20060717"/>
    <s v="17.07.2006"/>
    <d v="1916-06-26T00:00:00"/>
    <n v="16"/>
  </r>
  <r>
    <s v="18230851693"/>
    <x v="12"/>
    <s v="miasto"/>
    <n v="18"/>
    <n v="23"/>
    <n v="8"/>
    <n v="2018"/>
    <n v="3"/>
    <n v="8"/>
    <n v="20180308"/>
    <s v="08.03.2018"/>
    <d v="1904-11-04T00:00:00"/>
    <n v="4"/>
  </r>
  <r>
    <s v="17251583819"/>
    <x v="1"/>
    <s v="miasto"/>
    <n v="17"/>
    <n v="25"/>
    <n v="15"/>
    <n v="2017"/>
    <n v="5"/>
    <n v="15"/>
    <n v="20170515"/>
    <s v="15.05.2017"/>
    <d v="1905-08-28T00:00:00"/>
    <n v="5"/>
  </r>
  <r>
    <s v="19222247988"/>
    <x v="12"/>
    <s v="miasto"/>
    <n v="19"/>
    <n v="22"/>
    <n v="22"/>
    <n v="2019"/>
    <n v="2"/>
    <n v="22"/>
    <n v="20190222"/>
    <s v="22.02.2019"/>
    <d v="1903-11-19T00:00:00"/>
    <n v="3"/>
  </r>
  <r>
    <s v="21291587975"/>
    <x v="1"/>
    <s v="miasto"/>
    <n v="21"/>
    <n v="29"/>
    <n v="15"/>
    <n v="2021"/>
    <n v="9"/>
    <n v="15"/>
    <n v="20210915"/>
    <s v="15.09.2021"/>
    <d v="1901-04-27T00:00:00"/>
    <n v="1"/>
  </r>
  <r>
    <s v="20251580243"/>
    <x v="12"/>
    <s v="miasto"/>
    <n v="20"/>
    <n v="25"/>
    <n v="15"/>
    <n v="2020"/>
    <n v="5"/>
    <n v="15"/>
    <n v="20200515"/>
    <s v="15.05.2020"/>
    <d v="1902-08-28T00:00:00"/>
    <n v="2"/>
  </r>
  <r>
    <s v="04292335426"/>
    <x v="13"/>
    <s v="miasto"/>
    <n v="4"/>
    <n v="29"/>
    <n v="23"/>
    <n v="2004"/>
    <n v="9"/>
    <n v="23"/>
    <n v="20040923"/>
    <s v="23.09.2004"/>
    <d v="1918-04-19T00:00:00"/>
    <n v="18"/>
  </r>
  <r>
    <s v="19212365544"/>
    <x v="12"/>
    <s v="wieś"/>
    <n v="19"/>
    <n v="21"/>
    <n v="23"/>
    <n v="2019"/>
    <n v="1"/>
    <n v="23"/>
    <n v="20190123"/>
    <s v="23.01.2019"/>
    <d v="1903-12-19T00:00:00"/>
    <n v="3"/>
  </r>
  <r>
    <s v="03212825508"/>
    <x v="0"/>
    <s v="miasto"/>
    <n v="3"/>
    <n v="21"/>
    <n v="28"/>
    <n v="2003"/>
    <n v="1"/>
    <n v="28"/>
    <n v="20030128"/>
    <s v="28.01.2003"/>
    <d v="1919-12-14T00:00:00"/>
    <n v="19"/>
  </r>
  <r>
    <s v="08231950989"/>
    <x v="15"/>
    <s v="miasto"/>
    <n v="8"/>
    <n v="23"/>
    <n v="19"/>
    <n v="2008"/>
    <n v="3"/>
    <n v="19"/>
    <n v="20080319"/>
    <s v="19.03.2008"/>
    <d v="1914-10-24T00:00:00"/>
    <n v="14"/>
  </r>
  <r>
    <s v="18290225326"/>
    <x v="15"/>
    <s v="wieś"/>
    <n v="18"/>
    <n v="29"/>
    <n v="2"/>
    <n v="2018"/>
    <n v="9"/>
    <n v="2"/>
    <n v="20180902"/>
    <s v="02.09.2018"/>
    <d v="1904-05-10T00:00:00"/>
    <n v="4"/>
  </r>
  <r>
    <s v="14270954859"/>
    <x v="4"/>
    <s v="miasto"/>
    <n v="14"/>
    <n v="27"/>
    <n v="9"/>
    <n v="2014"/>
    <n v="7"/>
    <n v="9"/>
    <n v="20140709"/>
    <s v="09.07.2014"/>
    <d v="1908-07-04T00:00:00"/>
    <n v="8"/>
  </r>
  <r>
    <s v="21320534080"/>
    <x v="0"/>
    <s v="wieś"/>
    <n v="21"/>
    <n v="32"/>
    <n v="5"/>
    <n v="2021"/>
    <n v="12"/>
    <n v="5"/>
    <n v="20211205"/>
    <s v="05.12.2021"/>
    <d v="1901-02-05T00:00:00"/>
    <n v="1"/>
  </r>
  <r>
    <s v="15280299664"/>
    <x v="9"/>
    <s v="miasto"/>
    <n v="15"/>
    <n v="28"/>
    <n v="2"/>
    <n v="2015"/>
    <n v="8"/>
    <n v="2"/>
    <n v="20150802"/>
    <s v="02.08.2015"/>
    <d v="1907-06-11T00:00:00"/>
    <n v="7"/>
  </r>
  <r>
    <s v="08231643490"/>
    <x v="7"/>
    <s v="wieś"/>
    <n v="8"/>
    <n v="23"/>
    <n v="16"/>
    <n v="2008"/>
    <n v="3"/>
    <n v="16"/>
    <n v="20080316"/>
    <s v="16.03.2008"/>
    <d v="1914-10-27T00:00:00"/>
    <n v="14"/>
  </r>
  <r>
    <s v="04272996258"/>
    <x v="10"/>
    <s v="miasto"/>
    <n v="4"/>
    <n v="27"/>
    <n v="29"/>
    <n v="2004"/>
    <n v="7"/>
    <n v="29"/>
    <n v="20040729"/>
    <s v="29.07.2004"/>
    <d v="1918-06-14T00:00:00"/>
    <n v="18"/>
  </r>
  <r>
    <s v="06290719237"/>
    <x v="14"/>
    <s v="wieś"/>
    <n v="6"/>
    <n v="29"/>
    <n v="7"/>
    <n v="2006"/>
    <n v="9"/>
    <n v="7"/>
    <n v="20060907"/>
    <s v="07.09.2006"/>
    <d v="1916-05-05T00:00:00"/>
    <n v="16"/>
  </r>
  <r>
    <s v="00301200651"/>
    <x v="6"/>
    <s v="wieś"/>
    <n v="0"/>
    <n v="30"/>
    <n v="12"/>
    <n v="2000"/>
    <n v="10"/>
    <n v="12"/>
    <n v="20001012"/>
    <s v="12.10.2000"/>
    <d v="1922-03-31T00:00:00"/>
    <n v="22"/>
  </r>
  <r>
    <s v="18211262029"/>
    <x v="8"/>
    <s v="miasto"/>
    <n v="18"/>
    <n v="21"/>
    <n v="12"/>
    <n v="2018"/>
    <n v="1"/>
    <n v="12"/>
    <n v="20180112"/>
    <s v="12.01.2018"/>
    <d v="1904-12-29T00:00:00"/>
    <n v="4"/>
  </r>
  <r>
    <s v="05282383166"/>
    <x v="8"/>
    <s v="wieś"/>
    <n v="5"/>
    <n v="28"/>
    <n v="23"/>
    <n v="2005"/>
    <n v="8"/>
    <n v="23"/>
    <n v="20050823"/>
    <s v="23.08.2005"/>
    <d v="1917-05-20T00:00:00"/>
    <n v="17"/>
  </r>
  <r>
    <s v="18241417767"/>
    <x v="11"/>
    <s v="wieś"/>
    <n v="18"/>
    <n v="24"/>
    <n v="14"/>
    <n v="2018"/>
    <n v="4"/>
    <n v="14"/>
    <n v="20180414"/>
    <s v="14.04.2018"/>
    <d v="1904-09-28T00:00:00"/>
    <n v="4"/>
  </r>
  <r>
    <s v="16312049086"/>
    <x v="15"/>
    <s v="miasto"/>
    <n v="16"/>
    <n v="31"/>
    <n v="20"/>
    <n v="2016"/>
    <n v="11"/>
    <n v="20"/>
    <n v="20161120"/>
    <s v="20.11.2016"/>
    <d v="1906-02-20T00:00:00"/>
    <n v="6"/>
  </r>
  <r>
    <s v="09321581591"/>
    <x v="4"/>
    <s v="wieś"/>
    <n v="9"/>
    <n v="32"/>
    <n v="15"/>
    <n v="2009"/>
    <n v="12"/>
    <n v="15"/>
    <n v="20091215"/>
    <s v="15.12.2009"/>
    <d v="1913-01-26T00:00:00"/>
    <n v="13"/>
  </r>
  <r>
    <s v="08271795313"/>
    <x v="5"/>
    <s v="miasto"/>
    <n v="8"/>
    <n v="27"/>
    <n v="17"/>
    <n v="2008"/>
    <n v="7"/>
    <n v="17"/>
    <n v="20080717"/>
    <s v="17.07.2008"/>
    <d v="1914-06-26T00:00:00"/>
    <n v="14"/>
  </r>
  <r>
    <s v="10311034407"/>
    <x v="4"/>
    <s v="miasto"/>
    <n v="10"/>
    <n v="31"/>
    <n v="10"/>
    <n v="2010"/>
    <n v="11"/>
    <n v="10"/>
    <n v="20101110"/>
    <s v="10.11.2010"/>
    <d v="1912-03-02T00:00:00"/>
    <n v="12"/>
  </r>
  <r>
    <s v="14281264761"/>
    <x v="14"/>
    <s v="wieś"/>
    <n v="14"/>
    <n v="28"/>
    <n v="12"/>
    <n v="2014"/>
    <n v="8"/>
    <n v="12"/>
    <n v="20140812"/>
    <s v="12.08.2014"/>
    <d v="1908-05-31T00:00:00"/>
    <n v="8"/>
  </r>
  <r>
    <s v="03241511191"/>
    <x v="8"/>
    <s v="miasto"/>
    <n v="3"/>
    <n v="24"/>
    <n v="15"/>
    <n v="2003"/>
    <n v="4"/>
    <n v="15"/>
    <n v="20030415"/>
    <s v="15.04.2003"/>
    <d v="1919-09-28T00:00:00"/>
    <n v="19"/>
  </r>
  <r>
    <s v="02272037384"/>
    <x v="11"/>
    <s v="wieś"/>
    <n v="2"/>
    <n v="27"/>
    <n v="20"/>
    <n v="2002"/>
    <n v="7"/>
    <n v="20"/>
    <n v="20020720"/>
    <s v="20.07.2002"/>
    <d v="1920-06-23T00:00:00"/>
    <n v="20"/>
  </r>
  <r>
    <s v="17282315085"/>
    <x v="8"/>
    <s v="wieś"/>
    <n v="17"/>
    <n v="28"/>
    <n v="23"/>
    <n v="2017"/>
    <n v="8"/>
    <n v="23"/>
    <n v="20170823"/>
    <s v="23.08.2017"/>
    <d v="1905-05-20T00:00:00"/>
    <n v="5"/>
  </r>
  <r>
    <s v="03241893396"/>
    <x v="1"/>
    <s v="miasto"/>
    <n v="3"/>
    <n v="24"/>
    <n v="18"/>
    <n v="2003"/>
    <n v="4"/>
    <n v="18"/>
    <n v="20030418"/>
    <s v="18.04.2003"/>
    <d v="1919-09-25T00:00:00"/>
    <n v="19"/>
  </r>
  <r>
    <s v="10210725761"/>
    <x v="4"/>
    <s v="miasto"/>
    <n v="10"/>
    <n v="21"/>
    <n v="7"/>
    <n v="2010"/>
    <n v="1"/>
    <n v="7"/>
    <n v="20100107"/>
    <s v="07.01.2010"/>
    <d v="1913-01-03T00:00:00"/>
    <n v="13"/>
  </r>
  <r>
    <s v="12310765821"/>
    <x v="14"/>
    <s v="wieś"/>
    <n v="12"/>
    <n v="31"/>
    <n v="7"/>
    <n v="2012"/>
    <n v="11"/>
    <n v="7"/>
    <n v="20121107"/>
    <s v="07.11.2012"/>
    <d v="1910-03-05T00:00:00"/>
    <n v="10"/>
  </r>
  <r>
    <s v="14262881374"/>
    <x v="5"/>
    <s v="miasto"/>
    <n v="14"/>
    <n v="26"/>
    <n v="28"/>
    <n v="2014"/>
    <n v="6"/>
    <n v="28"/>
    <n v="20140628"/>
    <s v="28.06.2014"/>
    <d v="1908-07-15T00:00:00"/>
    <n v="8"/>
  </r>
  <r>
    <s v="16221452829"/>
    <x v="0"/>
    <s v="miasto"/>
    <n v="16"/>
    <n v="22"/>
    <n v="14"/>
    <n v="2016"/>
    <n v="2"/>
    <n v="14"/>
    <n v="20160214"/>
    <s v="14.02.2016"/>
    <d v="1906-11-27T00:00:00"/>
    <n v="6"/>
  </r>
  <r>
    <s v="06240977898"/>
    <x v="7"/>
    <s v="wieś"/>
    <n v="6"/>
    <n v="24"/>
    <n v="9"/>
    <n v="2006"/>
    <n v="4"/>
    <n v="9"/>
    <n v="20060409"/>
    <s v="09.04.2006"/>
    <d v="1916-10-03T00:00:00"/>
    <n v="16"/>
  </r>
  <r>
    <s v="20231233552"/>
    <x v="4"/>
    <s v="wieś"/>
    <n v="20"/>
    <n v="23"/>
    <n v="12"/>
    <n v="2020"/>
    <n v="3"/>
    <n v="12"/>
    <n v="20200312"/>
    <s v="12.03.2020"/>
    <d v="1902-10-31T00:00:00"/>
    <n v="2"/>
  </r>
  <r>
    <s v="02260903279"/>
    <x v="11"/>
    <s v="miasto"/>
    <n v="2"/>
    <n v="26"/>
    <n v="9"/>
    <n v="2002"/>
    <n v="6"/>
    <n v="9"/>
    <n v="20020609"/>
    <s v="09.06.2002"/>
    <d v="1920-08-03T00:00:00"/>
    <n v="20"/>
  </r>
  <r>
    <s v="15300457836"/>
    <x v="0"/>
    <s v="miasto"/>
    <n v="15"/>
    <n v="30"/>
    <n v="4"/>
    <n v="2015"/>
    <n v="10"/>
    <n v="4"/>
    <n v="20151004"/>
    <s v="04.10.2015"/>
    <d v="1907-04-09T00:00:00"/>
    <n v="7"/>
  </r>
  <r>
    <s v="12241643573"/>
    <x v="2"/>
    <s v="wieś"/>
    <n v="12"/>
    <n v="24"/>
    <n v="16"/>
    <n v="2012"/>
    <n v="4"/>
    <n v="16"/>
    <n v="20120416"/>
    <s v="16.04.2012"/>
    <d v="1910-09-26T00:00:00"/>
    <n v="10"/>
  </r>
  <r>
    <s v="13222492508"/>
    <x v="6"/>
    <s v="miasto"/>
    <n v="13"/>
    <n v="22"/>
    <n v="24"/>
    <n v="2013"/>
    <n v="2"/>
    <n v="24"/>
    <n v="20130224"/>
    <s v="24.02.2013"/>
    <d v="1909-11-16T00:00:00"/>
    <n v="9"/>
  </r>
  <r>
    <s v="20303175236"/>
    <x v="3"/>
    <s v="wieś"/>
    <n v="20"/>
    <n v="30"/>
    <n v="31"/>
    <n v="2020"/>
    <n v="10"/>
    <n v="31"/>
    <n v="20201031"/>
    <s v="31.10.2020"/>
    <d v="1902-03-12T00:00:00"/>
    <n v="2"/>
  </r>
  <r>
    <s v="14271835467"/>
    <x v="11"/>
    <s v="wieś"/>
    <n v="14"/>
    <n v="27"/>
    <n v="18"/>
    <n v="2014"/>
    <n v="7"/>
    <n v="18"/>
    <n v="20140718"/>
    <s v="18.07.2014"/>
    <d v="1908-06-25T00:00:00"/>
    <n v="8"/>
  </r>
  <r>
    <s v="06220350891"/>
    <x v="2"/>
    <s v="wieś"/>
    <n v="6"/>
    <n v="22"/>
    <n v="3"/>
    <n v="2006"/>
    <n v="2"/>
    <n v="3"/>
    <n v="20060203"/>
    <s v="03.02.2006"/>
    <d v="1916-12-07T00:00:00"/>
    <n v="16"/>
  </r>
  <r>
    <s v="07231617603"/>
    <x v="8"/>
    <s v="wieś"/>
    <n v="7"/>
    <n v="23"/>
    <n v="16"/>
    <n v="2007"/>
    <n v="3"/>
    <n v="16"/>
    <n v="20070316"/>
    <s v="16.03.2007"/>
    <d v="1915-10-28T00:00:00"/>
    <n v="15"/>
  </r>
  <r>
    <s v="07282120738"/>
    <x v="11"/>
    <s v="wieś"/>
    <n v="7"/>
    <n v="28"/>
    <n v="21"/>
    <n v="2007"/>
    <n v="8"/>
    <n v="21"/>
    <n v="20070821"/>
    <s v="21.08.2007"/>
    <d v="1915-05-23T00:00:00"/>
    <n v="15"/>
  </r>
  <r>
    <s v="13242793243"/>
    <x v="10"/>
    <s v="miasto"/>
    <n v="13"/>
    <n v="24"/>
    <n v="27"/>
    <n v="2013"/>
    <n v="4"/>
    <n v="27"/>
    <n v="20130427"/>
    <s v="27.04.2013"/>
    <d v="1909-09-15T00:00:00"/>
    <n v="9"/>
  </r>
  <r>
    <s v="22270105250"/>
    <x v="14"/>
    <s v="miasto"/>
    <n v="22"/>
    <n v="27"/>
    <n v="1"/>
    <n v="2022"/>
    <n v="7"/>
    <n v="1"/>
    <n v="20220701"/>
    <s v="01.07.2022"/>
    <d v="1900-07-12T00:00:00"/>
    <n v="0"/>
  </r>
  <r>
    <s v="15220359519"/>
    <x v="0"/>
    <s v="miasto"/>
    <n v="15"/>
    <n v="22"/>
    <n v="3"/>
    <n v="2015"/>
    <n v="2"/>
    <n v="3"/>
    <n v="20150203"/>
    <s v="03.02.2015"/>
    <d v="1907-12-08T00:00:00"/>
    <n v="7"/>
  </r>
  <r>
    <s v="16323024481"/>
    <x v="9"/>
    <s v="miasto"/>
    <n v="16"/>
    <n v="32"/>
    <n v="30"/>
    <n v="2016"/>
    <n v="12"/>
    <n v="30"/>
    <n v="20161230"/>
    <s v="30.12.2016"/>
    <d v="1906-01-11T00:00:00"/>
    <n v="6"/>
  </r>
  <r>
    <s v="17212907508"/>
    <x v="9"/>
    <s v="wieś"/>
    <n v="17"/>
    <n v="21"/>
    <n v="29"/>
    <n v="2017"/>
    <n v="1"/>
    <n v="29"/>
    <n v="20170129"/>
    <s v="29.01.2017"/>
    <d v="1905-12-12T00:00:00"/>
    <n v="5"/>
  </r>
  <r>
    <s v="06280926629"/>
    <x v="2"/>
    <s v="miasto"/>
    <n v="6"/>
    <n v="28"/>
    <n v="9"/>
    <n v="2006"/>
    <n v="8"/>
    <n v="9"/>
    <n v="20060809"/>
    <s v="09.08.2006"/>
    <d v="1916-06-03T00:00:00"/>
    <n v="16"/>
  </r>
  <r>
    <s v="20301201520"/>
    <x v="10"/>
    <s v="miasto"/>
    <n v="20"/>
    <n v="30"/>
    <n v="12"/>
    <n v="2020"/>
    <n v="10"/>
    <n v="12"/>
    <n v="20201012"/>
    <s v="12.10.2020"/>
    <d v="1902-03-31T00:00:00"/>
    <n v="2"/>
  </r>
  <r>
    <s v="01300883719"/>
    <x v="0"/>
    <s v="miasto"/>
    <n v="1"/>
    <n v="30"/>
    <n v="8"/>
    <n v="2001"/>
    <n v="10"/>
    <n v="8"/>
    <n v="20011008"/>
    <s v="08.10.2001"/>
    <d v="1921-04-04T00:00:00"/>
    <n v="21"/>
  </r>
  <r>
    <s v="21292867504"/>
    <x v="0"/>
    <s v="miasto"/>
    <n v="21"/>
    <n v="29"/>
    <n v="28"/>
    <n v="2021"/>
    <n v="9"/>
    <n v="28"/>
    <n v="20210928"/>
    <s v="28.09.2021"/>
    <d v="1901-04-14T00:00:00"/>
    <n v="1"/>
  </r>
  <r>
    <s v="09310931990"/>
    <x v="12"/>
    <s v="miasto"/>
    <n v="9"/>
    <n v="31"/>
    <n v="9"/>
    <n v="2009"/>
    <n v="11"/>
    <n v="9"/>
    <n v="20091109"/>
    <s v="09.11.2009"/>
    <d v="1913-03-03T00:00:00"/>
    <n v="13"/>
  </r>
  <r>
    <s v="00301923628"/>
    <x v="6"/>
    <s v="miasto"/>
    <n v="0"/>
    <n v="30"/>
    <n v="19"/>
    <n v="2000"/>
    <n v="10"/>
    <n v="19"/>
    <n v="20001019"/>
    <s v="19.10.2000"/>
    <d v="1922-03-24T00:00:00"/>
    <n v="22"/>
  </r>
  <r>
    <s v="01241320263"/>
    <x v="10"/>
    <s v="miasto"/>
    <n v="1"/>
    <n v="24"/>
    <n v="13"/>
    <n v="2001"/>
    <n v="4"/>
    <n v="13"/>
    <n v="20010413"/>
    <s v="13.04.2001"/>
    <d v="1921-09-29T00:00:00"/>
    <n v="21"/>
  </r>
  <r>
    <s v="20242260107"/>
    <x v="2"/>
    <s v="wieś"/>
    <n v="20"/>
    <n v="24"/>
    <n v="22"/>
    <n v="2020"/>
    <n v="4"/>
    <n v="22"/>
    <n v="20200422"/>
    <s v="22.04.2020"/>
    <d v="1902-09-20T00:00:00"/>
    <n v="2"/>
  </r>
  <r>
    <s v="00231165855"/>
    <x v="2"/>
    <s v="wieś"/>
    <n v="0"/>
    <n v="23"/>
    <n v="11"/>
    <n v="2000"/>
    <n v="3"/>
    <n v="11"/>
    <n v="20000311"/>
    <s v="11.03.2000"/>
    <d v="1922-11-01T00:00:00"/>
    <n v="22"/>
  </r>
  <r>
    <s v="15272639593"/>
    <x v="10"/>
    <s v="wieś"/>
    <n v="15"/>
    <n v="27"/>
    <n v="26"/>
    <n v="2015"/>
    <n v="7"/>
    <n v="26"/>
    <n v="20150726"/>
    <s v="26.07.2015"/>
    <d v="1907-06-18T00:00:00"/>
    <n v="7"/>
  </r>
  <r>
    <s v="22302366035"/>
    <x v="0"/>
    <s v="wieś"/>
    <n v="22"/>
    <n v="30"/>
    <n v="23"/>
    <n v="2022"/>
    <n v="10"/>
    <n v="23"/>
    <n v="20221023"/>
    <s v="23.10.2022"/>
    <d v="1900-03-20T00:00:00"/>
    <n v="0"/>
  </r>
  <r>
    <s v="17241573501"/>
    <x v="4"/>
    <s v="miasto"/>
    <n v="17"/>
    <n v="24"/>
    <n v="15"/>
    <n v="2017"/>
    <n v="4"/>
    <n v="15"/>
    <n v="20170415"/>
    <s v="15.04.2017"/>
    <d v="1905-09-27T00:00:00"/>
    <n v="5"/>
  </r>
  <r>
    <s v="11272916382"/>
    <x v="4"/>
    <s v="miasto"/>
    <n v="11"/>
    <n v="27"/>
    <n v="29"/>
    <n v="2011"/>
    <n v="7"/>
    <n v="29"/>
    <n v="20110729"/>
    <s v="29.07.2011"/>
    <d v="1911-06-15T00:00:00"/>
    <n v="11"/>
  </r>
  <r>
    <s v="15323100788"/>
    <x v="9"/>
    <s v="wieś"/>
    <n v="15"/>
    <n v="32"/>
    <n v="31"/>
    <n v="2015"/>
    <n v="12"/>
    <n v="31"/>
    <n v="20151231"/>
    <s v="31.12.2015"/>
    <d v="1907-01-11T00:00:00"/>
    <n v="7"/>
  </r>
  <r>
    <s v="09262218954"/>
    <x v="1"/>
    <s v="wieś"/>
    <n v="9"/>
    <n v="26"/>
    <n v="22"/>
    <n v="2009"/>
    <n v="6"/>
    <n v="22"/>
    <n v="20090622"/>
    <s v="22.06.2009"/>
    <d v="1913-07-21T00:00:00"/>
    <n v="13"/>
  </r>
  <r>
    <s v="21220692011"/>
    <x v="13"/>
    <s v="wieś"/>
    <n v="21"/>
    <n v="22"/>
    <n v="6"/>
    <n v="2021"/>
    <n v="2"/>
    <n v="6"/>
    <n v="20210206"/>
    <s v="06.02.2021"/>
    <d v="1901-12-04T00:00:00"/>
    <n v="1"/>
  </r>
  <r>
    <s v="08321684273"/>
    <x v="9"/>
    <s v="wieś"/>
    <n v="8"/>
    <n v="32"/>
    <n v="16"/>
    <n v="2008"/>
    <n v="12"/>
    <n v="16"/>
    <n v="20081216"/>
    <s v="16.12.2008"/>
    <d v="1914-01-25T00:00:00"/>
    <n v="14"/>
  </r>
  <r>
    <s v="04322129955"/>
    <x v="2"/>
    <s v="wieś"/>
    <n v="4"/>
    <n v="32"/>
    <n v="21"/>
    <n v="2004"/>
    <n v="12"/>
    <n v="21"/>
    <n v="20041221"/>
    <s v="21.12.2004"/>
    <d v="1918-01-20T00:00:00"/>
    <n v="18"/>
  </r>
  <r>
    <s v="10301730326"/>
    <x v="1"/>
    <s v="wieś"/>
    <n v="10"/>
    <n v="30"/>
    <n v="17"/>
    <n v="2010"/>
    <n v="10"/>
    <n v="17"/>
    <n v="20101017"/>
    <s v="17.10.2010"/>
    <d v="1912-03-26T00:00:00"/>
    <n v="12"/>
  </r>
  <r>
    <s v="09271604865"/>
    <x v="12"/>
    <s v="miasto"/>
    <n v="9"/>
    <n v="27"/>
    <n v="16"/>
    <n v="2009"/>
    <n v="7"/>
    <n v="16"/>
    <n v="20090716"/>
    <s v="16.07.2009"/>
    <d v="1913-06-27T00:00:00"/>
    <n v="13"/>
  </r>
  <r>
    <s v="18320126005"/>
    <x v="10"/>
    <s v="miasto"/>
    <n v="18"/>
    <n v="32"/>
    <n v="1"/>
    <n v="2018"/>
    <n v="12"/>
    <n v="1"/>
    <n v="20181201"/>
    <s v="01.12.2018"/>
    <d v="1904-02-10T00:00:00"/>
    <n v="4"/>
  </r>
  <r>
    <s v="10262232318"/>
    <x v="1"/>
    <s v="wieś"/>
    <n v="10"/>
    <n v="26"/>
    <n v="22"/>
    <n v="2010"/>
    <n v="6"/>
    <n v="22"/>
    <n v="20100622"/>
    <s v="22.06.2010"/>
    <d v="1912-07-21T00:00:00"/>
    <n v="12"/>
  </r>
  <r>
    <s v="21303122839"/>
    <x v="2"/>
    <s v="miasto"/>
    <n v="21"/>
    <n v="30"/>
    <n v="31"/>
    <n v="2021"/>
    <n v="10"/>
    <n v="31"/>
    <n v="20211031"/>
    <s v="31.10.2021"/>
    <d v="1901-03-12T00:00:00"/>
    <n v="1"/>
  </r>
  <r>
    <s v="10293014169"/>
    <x v="15"/>
    <s v="wieś"/>
    <n v="10"/>
    <n v="29"/>
    <n v="30"/>
    <n v="2010"/>
    <n v="9"/>
    <n v="30"/>
    <n v="20100930"/>
    <s v="30.09.2010"/>
    <d v="1912-04-12T00:00:00"/>
    <n v="12"/>
  </r>
  <r>
    <s v="09210120492"/>
    <x v="13"/>
    <s v="wieś"/>
    <n v="9"/>
    <n v="21"/>
    <n v="1"/>
    <n v="2009"/>
    <n v="1"/>
    <n v="1"/>
    <n v="20090101"/>
    <s v="01.01.2009"/>
    <d v="1914-01-09T00:00:00"/>
    <n v="14"/>
  </r>
  <r>
    <s v="20260451486"/>
    <x v="6"/>
    <s v="miasto"/>
    <n v="20"/>
    <n v="26"/>
    <n v="4"/>
    <n v="2020"/>
    <n v="6"/>
    <n v="4"/>
    <n v="20200604"/>
    <s v="04.06.2020"/>
    <d v="1902-08-08T00:00:00"/>
    <n v="2"/>
  </r>
  <r>
    <s v="17302231740"/>
    <x v="6"/>
    <s v="wieś"/>
    <n v="17"/>
    <n v="30"/>
    <n v="22"/>
    <n v="2017"/>
    <n v="10"/>
    <n v="22"/>
    <n v="20171022"/>
    <s v="22.10.2017"/>
    <d v="1905-03-21T00:00:00"/>
    <n v="5"/>
  </r>
  <r>
    <s v="02320253199"/>
    <x v="11"/>
    <s v="wieś"/>
    <n v="2"/>
    <n v="32"/>
    <n v="2"/>
    <n v="2002"/>
    <n v="12"/>
    <n v="2"/>
    <n v="20021202"/>
    <s v="02.12.2002"/>
    <d v="1920-02-09T00:00:00"/>
    <n v="20"/>
  </r>
  <r>
    <s v="18260366309"/>
    <x v="6"/>
    <s v="miasto"/>
    <n v="18"/>
    <n v="26"/>
    <n v="3"/>
    <n v="2018"/>
    <n v="6"/>
    <n v="3"/>
    <n v="20180603"/>
    <s v="03.06.2018"/>
    <d v="1904-08-09T00:00:00"/>
    <n v="4"/>
  </r>
  <r>
    <s v="04222956169"/>
    <x v="6"/>
    <s v="wieś"/>
    <n v="4"/>
    <n v="22"/>
    <n v="29"/>
    <n v="2004"/>
    <n v="2"/>
    <n v="29"/>
    <n v="20040229"/>
    <s v="29.02.2004"/>
    <d v="1918-11-12T00:00:00"/>
    <n v="18"/>
  </r>
  <r>
    <s v="05261270230"/>
    <x v="9"/>
    <s v="wieś"/>
    <n v="5"/>
    <n v="26"/>
    <n v="12"/>
    <n v="2005"/>
    <n v="6"/>
    <n v="12"/>
    <n v="20050612"/>
    <s v="12.06.2005"/>
    <d v="1917-07-31T00:00:00"/>
    <n v="17"/>
  </r>
  <r>
    <s v="15320635728"/>
    <x v="4"/>
    <s v="wieś"/>
    <n v="15"/>
    <n v="32"/>
    <n v="6"/>
    <n v="2015"/>
    <n v="12"/>
    <n v="6"/>
    <n v="20151206"/>
    <s v="06.12.2015"/>
    <d v="1907-02-05T00:00:00"/>
    <n v="7"/>
  </r>
  <r>
    <s v="14292679651"/>
    <x v="4"/>
    <s v="miasto"/>
    <n v="14"/>
    <n v="29"/>
    <n v="26"/>
    <n v="2014"/>
    <n v="9"/>
    <n v="26"/>
    <n v="20140926"/>
    <s v="26.09.2014"/>
    <d v="1908-04-16T00:00:00"/>
    <n v="8"/>
  </r>
  <r>
    <s v="15210368107"/>
    <x v="13"/>
    <s v="wieś"/>
    <n v="15"/>
    <n v="21"/>
    <n v="3"/>
    <n v="2015"/>
    <n v="1"/>
    <n v="3"/>
    <n v="20150103"/>
    <s v="03.01.2015"/>
    <d v="1908-01-08T00:00:00"/>
    <n v="8"/>
  </r>
  <r>
    <s v="11282868178"/>
    <x v="14"/>
    <s v="miasto"/>
    <n v="11"/>
    <n v="28"/>
    <n v="28"/>
    <n v="2011"/>
    <n v="8"/>
    <n v="28"/>
    <n v="20110828"/>
    <s v="28.08.2011"/>
    <d v="1911-05-16T00:00:00"/>
    <n v="11"/>
  </r>
  <r>
    <s v="21270839187"/>
    <x v="9"/>
    <s v="miasto"/>
    <n v="21"/>
    <n v="27"/>
    <n v="8"/>
    <n v="2021"/>
    <n v="7"/>
    <n v="8"/>
    <n v="20210708"/>
    <s v="08.07.2021"/>
    <d v="1901-07-05T00:00:00"/>
    <n v="1"/>
  </r>
  <r>
    <s v="07271839036"/>
    <x v="5"/>
    <s v="wieś"/>
    <n v="7"/>
    <n v="27"/>
    <n v="18"/>
    <n v="2007"/>
    <n v="7"/>
    <n v="18"/>
    <n v="20070718"/>
    <s v="18.07.2007"/>
    <d v="1915-06-26T00:00:00"/>
    <n v="15"/>
  </r>
  <r>
    <s v="05281893493"/>
    <x v="15"/>
    <s v="miasto"/>
    <n v="5"/>
    <n v="28"/>
    <n v="18"/>
    <n v="2005"/>
    <n v="8"/>
    <n v="18"/>
    <n v="20050818"/>
    <s v="18.08.2005"/>
    <d v="1917-05-25T00:00:00"/>
    <n v="17"/>
  </r>
  <r>
    <s v="09252839228"/>
    <x v="5"/>
    <s v="wieś"/>
    <n v="9"/>
    <n v="25"/>
    <n v="28"/>
    <n v="2009"/>
    <n v="5"/>
    <n v="28"/>
    <n v="20090528"/>
    <s v="28.05.2009"/>
    <d v="1913-08-15T00:00:00"/>
    <n v="13"/>
  </r>
  <r>
    <s v="00291348241"/>
    <x v="13"/>
    <s v="wieś"/>
    <n v="0"/>
    <n v="29"/>
    <n v="13"/>
    <n v="2000"/>
    <n v="9"/>
    <n v="13"/>
    <n v="20000913"/>
    <s v="13.09.2000"/>
    <d v="1922-04-29T00:00:00"/>
    <n v="22"/>
  </r>
  <r>
    <s v="04280932334"/>
    <x v="7"/>
    <s v="miasto"/>
    <n v="4"/>
    <n v="28"/>
    <n v="9"/>
    <n v="2004"/>
    <n v="8"/>
    <n v="9"/>
    <n v="20040809"/>
    <s v="09.08.2004"/>
    <d v="1918-06-03T00:00:00"/>
    <n v="18"/>
  </r>
  <r>
    <s v="02220934077"/>
    <x v="2"/>
    <s v="miasto"/>
    <n v="2"/>
    <n v="22"/>
    <n v="9"/>
    <n v="2002"/>
    <n v="2"/>
    <n v="9"/>
    <n v="20020209"/>
    <s v="09.02.2002"/>
    <d v="1920-12-01T00:00:00"/>
    <n v="20"/>
  </r>
  <r>
    <s v="02210131268"/>
    <x v="11"/>
    <s v="miasto"/>
    <n v="2"/>
    <n v="21"/>
    <n v="1"/>
    <n v="2002"/>
    <n v="1"/>
    <n v="1"/>
    <n v="20020101"/>
    <s v="01.01.2002"/>
    <d v="1921-01-09T00:00:00"/>
    <n v="21"/>
  </r>
  <r>
    <s v="09241160465"/>
    <x v="3"/>
    <s v="miasto"/>
    <n v="9"/>
    <n v="24"/>
    <n v="11"/>
    <n v="2009"/>
    <n v="4"/>
    <n v="11"/>
    <n v="20090411"/>
    <s v="11.04.2009"/>
    <d v="1913-10-01T00:00:00"/>
    <n v="13"/>
  </r>
  <r>
    <s v="09241367008"/>
    <x v="13"/>
    <s v="miasto"/>
    <n v="9"/>
    <n v="24"/>
    <n v="13"/>
    <n v="2009"/>
    <n v="4"/>
    <n v="13"/>
    <n v="20090413"/>
    <s v="13.04.2009"/>
    <d v="1913-09-29T00:00:00"/>
    <n v="13"/>
  </r>
  <r>
    <s v="13312872144"/>
    <x v="2"/>
    <s v="miasto"/>
    <n v="13"/>
    <n v="31"/>
    <n v="28"/>
    <n v="2013"/>
    <n v="11"/>
    <n v="28"/>
    <n v="20131128"/>
    <s v="28.11.2013"/>
    <d v="1909-02-12T00:00:00"/>
    <n v="9"/>
  </r>
  <r>
    <s v="13262230102"/>
    <x v="1"/>
    <s v="miasto"/>
    <n v="13"/>
    <n v="26"/>
    <n v="22"/>
    <n v="2013"/>
    <n v="6"/>
    <n v="22"/>
    <n v="20130622"/>
    <s v="22.06.2013"/>
    <d v="1909-07-21T00:00:00"/>
    <n v="9"/>
  </r>
  <r>
    <s v="21220724187"/>
    <x v="2"/>
    <s v="wieś"/>
    <n v="21"/>
    <n v="22"/>
    <n v="7"/>
    <n v="2021"/>
    <n v="2"/>
    <n v="7"/>
    <n v="20210207"/>
    <s v="07.02.2021"/>
    <d v="1901-12-03T00:00:00"/>
    <n v="1"/>
  </r>
  <r>
    <s v="06261743427"/>
    <x v="5"/>
    <s v="miasto"/>
    <n v="6"/>
    <n v="26"/>
    <n v="17"/>
    <n v="2006"/>
    <n v="6"/>
    <n v="17"/>
    <n v="20060617"/>
    <s v="17.06.2006"/>
    <d v="1916-07-26T00:00:00"/>
    <n v="16"/>
  </r>
  <r>
    <s v="14222620834"/>
    <x v="11"/>
    <s v="wieś"/>
    <n v="14"/>
    <n v="22"/>
    <n v="26"/>
    <n v="2014"/>
    <n v="2"/>
    <n v="26"/>
    <n v="20140226"/>
    <s v="26.02.2014"/>
    <d v="1908-11-14T00:00:00"/>
    <n v="8"/>
  </r>
  <r>
    <s v="19321241795"/>
    <x v="3"/>
    <s v="miasto"/>
    <n v="19"/>
    <n v="32"/>
    <n v="12"/>
    <n v="2019"/>
    <n v="12"/>
    <n v="12"/>
    <n v="20191212"/>
    <s v="12.12.2019"/>
    <d v="1903-01-30T00:00:00"/>
    <n v="3"/>
  </r>
  <r>
    <s v="08231904735"/>
    <x v="4"/>
    <s v="wieś"/>
    <n v="8"/>
    <n v="23"/>
    <n v="19"/>
    <n v="2008"/>
    <n v="3"/>
    <n v="19"/>
    <n v="20080319"/>
    <s v="19.03.2008"/>
    <d v="1914-10-24T00:00:00"/>
    <n v="14"/>
  </r>
  <r>
    <s v="15291262613"/>
    <x v="11"/>
    <s v="miasto"/>
    <n v="15"/>
    <n v="29"/>
    <n v="12"/>
    <n v="2015"/>
    <n v="9"/>
    <n v="12"/>
    <n v="20150912"/>
    <s v="12.09.2015"/>
    <d v="1907-05-01T00:00:00"/>
    <n v="7"/>
  </r>
  <r>
    <s v="08260445829"/>
    <x v="12"/>
    <s v="miasto"/>
    <n v="8"/>
    <n v="26"/>
    <n v="4"/>
    <n v="2008"/>
    <n v="6"/>
    <n v="4"/>
    <n v="20080604"/>
    <s v="04.06.2008"/>
    <d v="1914-08-08T00:00:00"/>
    <n v="14"/>
  </r>
  <r>
    <s v="08240292689"/>
    <x v="5"/>
    <s v="miasto"/>
    <n v="8"/>
    <n v="24"/>
    <n v="2"/>
    <n v="2008"/>
    <n v="4"/>
    <n v="2"/>
    <n v="20080402"/>
    <s v="02.04.2008"/>
    <d v="1914-10-10T00:00:00"/>
    <n v="14"/>
  </r>
  <r>
    <s v="19231091923"/>
    <x v="12"/>
    <s v="wieś"/>
    <n v="19"/>
    <n v="23"/>
    <n v="10"/>
    <n v="2019"/>
    <n v="3"/>
    <n v="10"/>
    <n v="20190310"/>
    <s v="10.03.2019"/>
    <d v="1903-11-03T00:00:00"/>
    <n v="3"/>
  </r>
  <r>
    <s v="14281202570"/>
    <x v="3"/>
    <s v="miasto"/>
    <n v="14"/>
    <n v="28"/>
    <n v="12"/>
    <n v="2014"/>
    <n v="8"/>
    <n v="12"/>
    <n v="20140812"/>
    <s v="12.08.2014"/>
    <d v="1908-05-31T00:00:00"/>
    <n v="8"/>
  </r>
  <r>
    <s v="07280297711"/>
    <x v="2"/>
    <s v="wieś"/>
    <n v="7"/>
    <n v="28"/>
    <n v="2"/>
    <n v="2007"/>
    <n v="8"/>
    <n v="2"/>
    <n v="20070802"/>
    <s v="02.08.2007"/>
    <d v="1915-06-11T00:00:00"/>
    <n v="15"/>
  </r>
  <r>
    <s v="06262554167"/>
    <x v="0"/>
    <s v="miasto"/>
    <n v="6"/>
    <n v="26"/>
    <n v="25"/>
    <n v="2006"/>
    <n v="6"/>
    <n v="25"/>
    <n v="20060625"/>
    <s v="25.06.2006"/>
    <d v="1916-07-18T00:00:00"/>
    <n v="16"/>
  </r>
  <r>
    <s v="15242764690"/>
    <x v="2"/>
    <s v="miasto"/>
    <n v="15"/>
    <n v="24"/>
    <n v="27"/>
    <n v="2015"/>
    <n v="4"/>
    <n v="27"/>
    <n v="20150427"/>
    <s v="27.04.2015"/>
    <d v="1907-09-16T00:00:00"/>
    <n v="7"/>
  </r>
  <r>
    <s v="14262226577"/>
    <x v="4"/>
    <s v="miasto"/>
    <n v="14"/>
    <n v="26"/>
    <n v="22"/>
    <n v="2014"/>
    <n v="6"/>
    <n v="22"/>
    <n v="20140622"/>
    <s v="22.06.2014"/>
    <d v="1908-07-21T00:00:00"/>
    <n v="8"/>
  </r>
  <r>
    <s v="01212988892"/>
    <x v="7"/>
    <s v="wieś"/>
    <n v="1"/>
    <n v="21"/>
    <n v="29"/>
    <n v="2001"/>
    <n v="1"/>
    <n v="29"/>
    <n v="20010129"/>
    <s v="29.01.2001"/>
    <d v="1921-12-12T00:00:00"/>
    <n v="21"/>
  </r>
  <r>
    <s v="21210221072"/>
    <x v="1"/>
    <s v="wieś"/>
    <n v="21"/>
    <n v="21"/>
    <n v="2"/>
    <n v="2021"/>
    <n v="1"/>
    <n v="2"/>
    <n v="20210102"/>
    <s v="02.01.2021"/>
    <d v="1902-01-08T00:00:00"/>
    <n v="2"/>
  </r>
  <r>
    <s v="16282427578"/>
    <x v="13"/>
    <s v="wieś"/>
    <n v="16"/>
    <n v="28"/>
    <n v="24"/>
    <n v="2016"/>
    <n v="8"/>
    <n v="24"/>
    <n v="20160824"/>
    <s v="24.08.2016"/>
    <d v="1906-05-19T00:00:00"/>
    <n v="6"/>
  </r>
  <r>
    <s v="02241272826"/>
    <x v="9"/>
    <s v="miasto"/>
    <n v="2"/>
    <n v="24"/>
    <n v="12"/>
    <n v="2002"/>
    <n v="4"/>
    <n v="12"/>
    <n v="20020412"/>
    <s v="12.04.2002"/>
    <d v="1920-09-30T00:00:00"/>
    <n v="20"/>
  </r>
  <r>
    <s v="06310554648"/>
    <x v="15"/>
    <s v="wieś"/>
    <n v="6"/>
    <n v="31"/>
    <n v="5"/>
    <n v="2006"/>
    <n v="11"/>
    <n v="5"/>
    <n v="20061105"/>
    <s v="05.11.2006"/>
    <d v="1916-03-07T00:00:00"/>
    <n v="16"/>
  </r>
  <r>
    <s v="18210957250"/>
    <x v="14"/>
    <s v="miasto"/>
    <n v="18"/>
    <n v="21"/>
    <n v="9"/>
    <n v="2018"/>
    <n v="1"/>
    <n v="9"/>
    <n v="20180109"/>
    <s v="09.01.2018"/>
    <d v="1905-01-01T00:00:00"/>
    <n v="5"/>
  </r>
  <r>
    <s v="21243075794"/>
    <x v="4"/>
    <s v="wieś"/>
    <n v="21"/>
    <n v="24"/>
    <n v="30"/>
    <n v="2021"/>
    <n v="4"/>
    <n v="30"/>
    <n v="20210430"/>
    <s v="30.04.2021"/>
    <d v="1901-09-12T00:00:00"/>
    <n v="1"/>
  </r>
  <r>
    <s v="00251281221"/>
    <x v="8"/>
    <s v="miasto"/>
    <n v="0"/>
    <n v="25"/>
    <n v="12"/>
    <n v="2000"/>
    <n v="5"/>
    <n v="12"/>
    <n v="20000512"/>
    <s v="12.05.2000"/>
    <d v="1922-08-31T00:00:00"/>
    <n v="22"/>
  </r>
  <r>
    <s v="00270484214"/>
    <x v="5"/>
    <s v="miasto"/>
    <n v="0"/>
    <n v="27"/>
    <n v="4"/>
    <n v="2000"/>
    <n v="7"/>
    <n v="4"/>
    <n v="20000704"/>
    <s v="04.07.2000"/>
    <d v="1922-07-09T00:00:00"/>
    <n v="22"/>
  </r>
  <r>
    <s v="06211342089"/>
    <x v="6"/>
    <s v="wieś"/>
    <n v="6"/>
    <n v="21"/>
    <n v="13"/>
    <n v="2006"/>
    <n v="1"/>
    <n v="13"/>
    <n v="20060113"/>
    <s v="13.01.2006"/>
    <d v="1916-12-28T00:00:00"/>
    <n v="16"/>
  </r>
  <r>
    <s v="17212237652"/>
    <x v="13"/>
    <s v="miasto"/>
    <n v="17"/>
    <n v="21"/>
    <n v="22"/>
    <n v="2017"/>
    <n v="1"/>
    <n v="22"/>
    <n v="20170122"/>
    <s v="22.01.2017"/>
    <d v="1905-12-19T00:00:00"/>
    <n v="5"/>
  </r>
  <r>
    <s v="11241593178"/>
    <x v="2"/>
    <s v="miasto"/>
    <n v="11"/>
    <n v="24"/>
    <n v="15"/>
    <n v="2011"/>
    <n v="4"/>
    <n v="15"/>
    <n v="20110415"/>
    <s v="15.04.2011"/>
    <d v="1911-09-28T00:00:00"/>
    <n v="11"/>
  </r>
  <r>
    <s v="18222264663"/>
    <x v="7"/>
    <s v="wieś"/>
    <n v="18"/>
    <n v="22"/>
    <n v="22"/>
    <n v="2018"/>
    <n v="2"/>
    <n v="22"/>
    <n v="20180222"/>
    <s v="22.02.2018"/>
    <d v="1904-11-18T00:00:00"/>
    <n v="4"/>
  </r>
  <r>
    <s v="04311914014"/>
    <x v="5"/>
    <s v="wieś"/>
    <n v="4"/>
    <n v="31"/>
    <n v="19"/>
    <n v="2004"/>
    <n v="11"/>
    <n v="19"/>
    <n v="20041119"/>
    <s v="19.11.2004"/>
    <d v="1918-02-21T00:00:00"/>
    <n v="18"/>
  </r>
  <r>
    <s v="06260135821"/>
    <x v="0"/>
    <s v="miasto"/>
    <n v="6"/>
    <n v="26"/>
    <n v="1"/>
    <n v="2006"/>
    <n v="6"/>
    <n v="1"/>
    <n v="20060601"/>
    <s v="01.06.2006"/>
    <d v="1916-08-11T00:00:00"/>
    <n v="16"/>
  </r>
  <r>
    <s v="06220424817"/>
    <x v="8"/>
    <s v="miasto"/>
    <n v="6"/>
    <n v="22"/>
    <n v="4"/>
    <n v="2006"/>
    <n v="2"/>
    <n v="4"/>
    <n v="20060204"/>
    <s v="04.02.2006"/>
    <d v="1916-12-06T00:00:00"/>
    <n v="16"/>
  </r>
  <r>
    <s v="22261251874"/>
    <x v="6"/>
    <s v="wieś"/>
    <n v="22"/>
    <n v="26"/>
    <n v="12"/>
    <n v="2022"/>
    <n v="6"/>
    <n v="12"/>
    <n v="20220612"/>
    <s v="12.06.2022"/>
    <d v="1900-07-31T00:00:00"/>
    <n v="0"/>
  </r>
  <r>
    <s v="19291516772"/>
    <x v="8"/>
    <s v="miasto"/>
    <n v="19"/>
    <n v="29"/>
    <n v="15"/>
    <n v="2019"/>
    <n v="9"/>
    <n v="15"/>
    <n v="20190915"/>
    <s v="15.09.2019"/>
    <d v="1903-04-28T00:00:00"/>
    <n v="3"/>
  </r>
  <r>
    <s v="01310378922"/>
    <x v="1"/>
    <s v="wieś"/>
    <n v="1"/>
    <n v="31"/>
    <n v="3"/>
    <n v="2001"/>
    <n v="11"/>
    <n v="3"/>
    <n v="20011103"/>
    <s v="03.11.2001"/>
    <d v="1921-03-09T00:00:00"/>
    <n v="21"/>
  </r>
  <r>
    <s v="16232416838"/>
    <x v="10"/>
    <s v="miasto"/>
    <n v="16"/>
    <n v="23"/>
    <n v="24"/>
    <n v="2016"/>
    <n v="3"/>
    <n v="24"/>
    <n v="20160324"/>
    <s v="24.03.2016"/>
    <d v="1906-10-19T00:00:00"/>
    <n v="6"/>
  </r>
  <r>
    <s v="02240727679"/>
    <x v="14"/>
    <s v="miasto"/>
    <n v="2"/>
    <n v="24"/>
    <n v="7"/>
    <n v="2002"/>
    <n v="4"/>
    <n v="7"/>
    <n v="20020407"/>
    <s v="07.04.2002"/>
    <d v="1920-10-05T00:00:00"/>
    <n v="20"/>
  </r>
  <r>
    <s v="06270487288"/>
    <x v="2"/>
    <s v="wieś"/>
    <n v="6"/>
    <n v="27"/>
    <n v="4"/>
    <n v="2006"/>
    <n v="7"/>
    <n v="4"/>
    <n v="20060704"/>
    <s v="04.07.2006"/>
    <d v="1916-07-09T00:00:00"/>
    <n v="16"/>
  </r>
  <r>
    <s v="04241869475"/>
    <x v="3"/>
    <s v="wieś"/>
    <n v="4"/>
    <n v="24"/>
    <n v="18"/>
    <n v="2004"/>
    <n v="4"/>
    <n v="18"/>
    <n v="20040418"/>
    <s v="18.04.2004"/>
    <d v="1918-09-24T00:00:00"/>
    <n v="18"/>
  </r>
  <r>
    <s v="17320457399"/>
    <x v="9"/>
    <s v="miasto"/>
    <n v="17"/>
    <n v="32"/>
    <n v="4"/>
    <n v="2017"/>
    <n v="12"/>
    <n v="4"/>
    <n v="20171204"/>
    <s v="04.12.2017"/>
    <d v="1905-02-06T00:00:00"/>
    <n v="5"/>
  </r>
  <r>
    <m/>
    <x v="1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6" rowHeaderCaption="Województwo">
  <location ref="A3:D8" firstHeaderRow="1" firstDataRow="2" firstDataCol="1"/>
  <pivotFields count="3">
    <pivotField dataField="1" showAll="0"/>
    <pivotField axis="axisRow" showAll="0">
      <items count="17">
        <item h="1" x="15"/>
        <item h="1" x="13"/>
        <item h="1" x="5"/>
        <item h="1" x="3"/>
        <item h="1" x="14"/>
        <item h="1" x="4"/>
        <item h="1" x="8"/>
        <item h="1" x="12"/>
        <item h="1" x="10"/>
        <item h="1" x="9"/>
        <item x="1"/>
        <item h="1" x="6"/>
        <item h="1" x="2"/>
        <item x="7"/>
        <item h="1" x="11"/>
        <item x="0"/>
        <item t="default"/>
      </items>
    </pivotField>
    <pivotField axis="axisCol" showAll="0">
      <items count="3">
        <item n="Ilość z miasta" x="1"/>
        <item n="Ilość ze wsi" x="0"/>
        <item t="default"/>
      </items>
    </pivotField>
  </pivotFields>
  <rowFields count="1">
    <field x="1"/>
  </rowFields>
  <rowItems count="4">
    <i>
      <x v="10"/>
    </i>
    <i>
      <x v="13"/>
    </i>
    <i>
      <x v="1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Liczba z pesel" fld="0" subtotal="count" baseField="1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3" cacheId="1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21" firstHeaderRow="1" firstDataRow="1" firstDataCol="1"/>
  <pivotFields count="13">
    <pivotField showAll="0"/>
    <pivotField axis="axisRow" showAll="0" sortType="descending">
      <items count="18">
        <item x="15"/>
        <item x="13"/>
        <item x="5"/>
        <item x="3"/>
        <item x="14"/>
        <item x="4"/>
        <item x="8"/>
        <item x="12"/>
        <item x="10"/>
        <item x="9"/>
        <item x="1"/>
        <item x="6"/>
        <item x="2"/>
        <item x="7"/>
        <item x="11"/>
        <item x="0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8">
    <i>
      <x v="3"/>
    </i>
    <i>
      <x v="5"/>
    </i>
    <i>
      <x v="7"/>
    </i>
    <i>
      <x v="4"/>
    </i>
    <i>
      <x v="12"/>
    </i>
    <i>
      <x v="2"/>
    </i>
    <i>
      <x v="8"/>
    </i>
    <i>
      <x v="9"/>
    </i>
    <i>
      <x/>
    </i>
    <i>
      <x v="1"/>
    </i>
    <i>
      <x v="13"/>
    </i>
    <i>
      <x v="11"/>
    </i>
    <i>
      <x v="14"/>
    </i>
    <i>
      <x v="6"/>
    </i>
    <i>
      <x v="10"/>
    </i>
    <i>
      <x v="15"/>
    </i>
    <i>
      <x v="16"/>
    </i>
    <i t="grand">
      <x/>
    </i>
  </rowItems>
  <colItems count="1">
    <i/>
  </colItems>
  <dataFields count="1">
    <dataField name="Średnia z ile lat" fld="12" subtotal="average" baseField="1" baseItem="0"/>
  </dataFields>
  <formats count="9">
    <format dxfId="17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6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5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4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3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2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1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9">
      <pivotArea collapsedLevelsAreSubtotals="1" fieldPosition="0">
        <references count="1"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2" cacheId="9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Miesiąc">
  <location ref="A3:B17" firstHeaderRow="1" firstDataRow="1" firstDataCol="1"/>
  <pivotFields count="11">
    <pivotField dataField="1" showAll="0"/>
    <pivotField showAll="0"/>
    <pivotField showAll="0"/>
    <pivotField showAll="0"/>
    <pivotField showAll="0">
      <items count="26">
        <item x="8"/>
        <item x="10"/>
        <item x="11"/>
        <item x="2"/>
        <item x="4"/>
        <item x="7"/>
        <item x="0"/>
        <item x="3"/>
        <item x="5"/>
        <item x="1"/>
        <item x="9"/>
        <item x="6"/>
        <item x="15"/>
        <item x="20"/>
        <item x="18"/>
        <item x="14"/>
        <item x="12"/>
        <item x="19"/>
        <item x="22"/>
        <item x="13"/>
        <item x="17"/>
        <item x="16"/>
        <item x="23"/>
        <item x="21"/>
        <item x="24"/>
        <item t="default"/>
      </items>
    </pivotField>
    <pivotField showAll="0"/>
    <pivotField showAll="0"/>
    <pivotField axis="axisRow" showAll="0">
      <items count="14">
        <item x="8"/>
        <item x="10"/>
        <item x="11"/>
        <item x="2"/>
        <item x="4"/>
        <item x="7"/>
        <item x="0"/>
        <item x="3"/>
        <item x="5"/>
        <item x="1"/>
        <item x="9"/>
        <item x="6"/>
        <item x="12"/>
        <item t="default"/>
      </items>
    </pivotField>
    <pivotField showAll="0"/>
    <pivotField showAll="0"/>
    <pivotField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Liczba osób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przestawna1" cacheId="5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64" firstHeaderRow="1" firstDataRow="1" firstDataCol="1"/>
  <pivotFields count="10">
    <pivotField dataField="1" showAll="0"/>
    <pivotField showAll="0"/>
    <pivotField showAll="0"/>
    <pivotField showAll="0"/>
    <pivotField showAll="0">
      <items count="26">
        <item x="8"/>
        <item x="10"/>
        <item x="11"/>
        <item x="2"/>
        <item x="4"/>
        <item x="7"/>
        <item x="0"/>
        <item x="3"/>
        <item x="5"/>
        <item x="1"/>
        <item x="9"/>
        <item x="6"/>
        <item x="16"/>
        <item x="20"/>
        <item x="18"/>
        <item x="15"/>
        <item x="13"/>
        <item x="19"/>
        <item x="22"/>
        <item x="14"/>
        <item x="12"/>
        <item x="17"/>
        <item x="23"/>
        <item x="21"/>
        <item x="24"/>
        <item t="default"/>
      </items>
    </pivotField>
    <pivotField showAll="0"/>
    <pivotField showAll="0"/>
    <pivotField axis="axisRow" showAll="0">
      <items count="14">
        <item x="8"/>
        <item h="1" x="10"/>
        <item h="1" x="11"/>
        <item h="1" x="2"/>
        <item h="1" x="4"/>
        <item h="1" x="7"/>
        <item h="1" x="0"/>
        <item h="1" x="3"/>
        <item h="1" x="5"/>
        <item h="1" x="1"/>
        <item h="1" x="9"/>
        <item x="6"/>
        <item h="1" x="12"/>
        <item t="default"/>
      </items>
    </pivotField>
    <pivotField axis="axisRow" showAll="0">
      <items count="33">
        <item x="1"/>
        <item x="16"/>
        <item x="29"/>
        <item x="23"/>
        <item x="25"/>
        <item x="17"/>
        <item x="5"/>
        <item x="7"/>
        <item x="12"/>
        <item x="8"/>
        <item x="10"/>
        <item x="0"/>
        <item x="22"/>
        <item x="6"/>
        <item x="20"/>
        <item x="13"/>
        <item x="9"/>
        <item x="18"/>
        <item x="24"/>
        <item x="28"/>
        <item x="27"/>
        <item x="30"/>
        <item x="2"/>
        <item x="11"/>
        <item x="19"/>
        <item x="14"/>
        <item x="15"/>
        <item x="4"/>
        <item x="21"/>
        <item x="26"/>
        <item x="3"/>
        <item x="31"/>
        <item t="default"/>
      </items>
    </pivotField>
    <pivotField showAll="0"/>
  </pivotFields>
  <rowFields count="2">
    <field x="7"/>
    <field x="8"/>
  </rowFields>
  <rowItems count="6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Items count="1">
    <i/>
  </colItems>
  <dataFields count="1">
    <dataField name="Liczba z pes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ip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ip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ip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ips" connectionId="8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ips" connectionId="7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ips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ips" connectionId="5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ips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sqref="A1:C1048576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93071285223</v>
      </c>
      <c r="B2" t="s">
        <v>3</v>
      </c>
      <c r="C2" t="s">
        <v>4</v>
      </c>
    </row>
    <row r="3" spans="1:3" x14ac:dyDescent="0.25">
      <c r="A3">
        <v>71100161818</v>
      </c>
      <c r="B3" t="s">
        <v>5</v>
      </c>
      <c r="C3" t="s">
        <v>6</v>
      </c>
    </row>
    <row r="4" spans="1:3" x14ac:dyDescent="0.25">
      <c r="A4">
        <v>81042322710</v>
      </c>
      <c r="B4" t="s">
        <v>7</v>
      </c>
      <c r="C4" t="s">
        <v>6</v>
      </c>
    </row>
    <row r="5" spans="1:3" x14ac:dyDescent="0.25">
      <c r="A5">
        <v>72083133476</v>
      </c>
      <c r="B5" t="s">
        <v>8</v>
      </c>
      <c r="C5" t="s">
        <v>4</v>
      </c>
    </row>
    <row r="6" spans="1:3" x14ac:dyDescent="0.25">
      <c r="A6">
        <v>50072800150</v>
      </c>
      <c r="B6" t="s">
        <v>9</v>
      </c>
      <c r="C6" t="s">
        <v>6</v>
      </c>
    </row>
    <row r="7" spans="1:3" x14ac:dyDescent="0.25">
      <c r="A7">
        <v>93050716944</v>
      </c>
      <c r="B7" t="s">
        <v>10</v>
      </c>
      <c r="C7" t="s">
        <v>6</v>
      </c>
    </row>
    <row r="8" spans="1:3" x14ac:dyDescent="0.25">
      <c r="A8">
        <v>72081479033</v>
      </c>
      <c r="B8" t="s">
        <v>9</v>
      </c>
      <c r="C8" t="s">
        <v>6</v>
      </c>
    </row>
    <row r="9" spans="1:3" x14ac:dyDescent="0.25">
      <c r="A9">
        <v>95090874952</v>
      </c>
      <c r="B9" t="s">
        <v>8</v>
      </c>
      <c r="C9" t="s">
        <v>6</v>
      </c>
    </row>
    <row r="10" spans="1:3" x14ac:dyDescent="0.25">
      <c r="A10">
        <v>61121070211</v>
      </c>
      <c r="B10" t="s">
        <v>3</v>
      </c>
      <c r="C10" t="s">
        <v>4</v>
      </c>
    </row>
    <row r="11" spans="1:3" x14ac:dyDescent="0.25">
      <c r="A11">
        <v>81051730520</v>
      </c>
      <c r="B11" t="s">
        <v>10</v>
      </c>
      <c r="C11" t="s">
        <v>6</v>
      </c>
    </row>
    <row r="12" spans="1:3" x14ac:dyDescent="0.25">
      <c r="A12">
        <v>95061702620</v>
      </c>
      <c r="B12" t="s">
        <v>5</v>
      </c>
      <c r="C12" t="s">
        <v>6</v>
      </c>
    </row>
    <row r="13" spans="1:3" x14ac:dyDescent="0.25">
      <c r="A13">
        <v>50080851678</v>
      </c>
      <c r="B13" t="s">
        <v>11</v>
      </c>
      <c r="C13" t="s">
        <v>6</v>
      </c>
    </row>
    <row r="14" spans="1:3" x14ac:dyDescent="0.25">
      <c r="A14">
        <v>79092865583</v>
      </c>
      <c r="B14" t="s">
        <v>12</v>
      </c>
      <c r="C14" t="s">
        <v>6</v>
      </c>
    </row>
    <row r="15" spans="1:3" x14ac:dyDescent="0.25">
      <c r="A15">
        <v>66091136037</v>
      </c>
      <c r="B15" t="s">
        <v>13</v>
      </c>
      <c r="C15" t="s">
        <v>6</v>
      </c>
    </row>
    <row r="16" spans="1:3" x14ac:dyDescent="0.25">
      <c r="A16">
        <v>84081042483</v>
      </c>
      <c r="B16" t="s">
        <v>12</v>
      </c>
      <c r="C16" t="s">
        <v>4</v>
      </c>
    </row>
    <row r="17" spans="1:3" x14ac:dyDescent="0.25">
      <c r="A17">
        <v>76012491819</v>
      </c>
      <c r="B17" t="s">
        <v>11</v>
      </c>
      <c r="C17" t="s">
        <v>6</v>
      </c>
    </row>
    <row r="18" spans="1:3" x14ac:dyDescent="0.25">
      <c r="A18">
        <v>60112365499</v>
      </c>
      <c r="B18" t="s">
        <v>10</v>
      </c>
      <c r="C18" t="s">
        <v>6</v>
      </c>
    </row>
    <row r="19" spans="1:3" x14ac:dyDescent="0.25">
      <c r="A19">
        <v>95100981335</v>
      </c>
      <c r="B19" t="s">
        <v>5</v>
      </c>
      <c r="C19" t="s">
        <v>6</v>
      </c>
    </row>
    <row r="20" spans="1:3" x14ac:dyDescent="0.25">
      <c r="A20">
        <v>91111640340</v>
      </c>
      <c r="B20" t="s">
        <v>14</v>
      </c>
      <c r="C20" t="s">
        <v>6</v>
      </c>
    </row>
    <row r="21" spans="1:3" x14ac:dyDescent="0.25">
      <c r="A21">
        <v>74012678094</v>
      </c>
      <c r="B21" t="s">
        <v>15</v>
      </c>
      <c r="C21" t="s">
        <v>4</v>
      </c>
    </row>
    <row r="22" spans="1:3" x14ac:dyDescent="0.25">
      <c r="A22">
        <v>83041036704</v>
      </c>
      <c r="B22" t="s">
        <v>16</v>
      </c>
      <c r="C22" t="s">
        <v>6</v>
      </c>
    </row>
    <row r="23" spans="1:3" x14ac:dyDescent="0.25">
      <c r="A23">
        <v>61122682262</v>
      </c>
      <c r="B23" t="s">
        <v>17</v>
      </c>
      <c r="C23" t="s">
        <v>4</v>
      </c>
    </row>
    <row r="24" spans="1:3" x14ac:dyDescent="0.25">
      <c r="A24">
        <v>91120411609</v>
      </c>
      <c r="B24" t="s">
        <v>18</v>
      </c>
      <c r="C24" t="s">
        <v>4</v>
      </c>
    </row>
    <row r="25" spans="1:3" x14ac:dyDescent="0.25">
      <c r="A25">
        <v>72082694471</v>
      </c>
      <c r="B25" t="s">
        <v>19</v>
      </c>
      <c r="C25" t="s">
        <v>4</v>
      </c>
    </row>
    <row r="26" spans="1:3" x14ac:dyDescent="0.25">
      <c r="A26">
        <v>97122899159</v>
      </c>
      <c r="B26" t="s">
        <v>10</v>
      </c>
      <c r="C26" t="s">
        <v>4</v>
      </c>
    </row>
    <row r="27" spans="1:3" x14ac:dyDescent="0.25">
      <c r="A27">
        <v>56071053131</v>
      </c>
      <c r="B27" t="s">
        <v>20</v>
      </c>
      <c r="C27" t="s">
        <v>6</v>
      </c>
    </row>
    <row r="28" spans="1:3" x14ac:dyDescent="0.25">
      <c r="A28">
        <v>83020158890</v>
      </c>
      <c r="B28" t="s">
        <v>3</v>
      </c>
      <c r="C28" t="s">
        <v>4</v>
      </c>
    </row>
    <row r="29" spans="1:3" x14ac:dyDescent="0.25">
      <c r="A29">
        <v>86040879028</v>
      </c>
      <c r="B29" t="s">
        <v>14</v>
      </c>
      <c r="C29" t="s">
        <v>4</v>
      </c>
    </row>
    <row r="30" spans="1:3" x14ac:dyDescent="0.25">
      <c r="A30">
        <v>56102724748</v>
      </c>
      <c r="B30" t="s">
        <v>3</v>
      </c>
      <c r="C30" t="s">
        <v>4</v>
      </c>
    </row>
    <row r="31" spans="1:3" x14ac:dyDescent="0.25">
      <c r="A31">
        <v>57011144311</v>
      </c>
      <c r="B31" t="s">
        <v>10</v>
      </c>
      <c r="C31" t="s">
        <v>6</v>
      </c>
    </row>
    <row r="32" spans="1:3" x14ac:dyDescent="0.25">
      <c r="A32">
        <v>88040991416</v>
      </c>
      <c r="B32" t="s">
        <v>12</v>
      </c>
      <c r="C32" t="s">
        <v>4</v>
      </c>
    </row>
    <row r="33" spans="1:3" x14ac:dyDescent="0.25">
      <c r="A33">
        <v>86112649382</v>
      </c>
      <c r="B33" t="s">
        <v>9</v>
      </c>
      <c r="C33" t="s">
        <v>6</v>
      </c>
    </row>
    <row r="34" spans="1:3" x14ac:dyDescent="0.25">
      <c r="A34">
        <v>71010805927</v>
      </c>
      <c r="B34" t="s">
        <v>19</v>
      </c>
      <c r="C34" t="s">
        <v>6</v>
      </c>
    </row>
    <row r="35" spans="1:3" x14ac:dyDescent="0.25">
      <c r="A35">
        <v>94062395770</v>
      </c>
      <c r="B35" t="s">
        <v>13</v>
      </c>
      <c r="C35" t="s">
        <v>6</v>
      </c>
    </row>
    <row r="36" spans="1:3" x14ac:dyDescent="0.25">
      <c r="A36">
        <v>61120262307</v>
      </c>
      <c r="B36" t="s">
        <v>16</v>
      </c>
      <c r="C36" t="s">
        <v>6</v>
      </c>
    </row>
    <row r="37" spans="1:3" x14ac:dyDescent="0.25">
      <c r="A37">
        <v>81061212645</v>
      </c>
      <c r="B37" t="s">
        <v>13</v>
      </c>
      <c r="C37" t="s">
        <v>6</v>
      </c>
    </row>
    <row r="38" spans="1:3" x14ac:dyDescent="0.25">
      <c r="A38">
        <v>82030696103</v>
      </c>
      <c r="B38" t="s">
        <v>12</v>
      </c>
      <c r="C38" t="s">
        <v>6</v>
      </c>
    </row>
    <row r="39" spans="1:3" x14ac:dyDescent="0.25">
      <c r="A39">
        <v>94022848630</v>
      </c>
      <c r="B39" t="s">
        <v>14</v>
      </c>
      <c r="C39" t="s">
        <v>6</v>
      </c>
    </row>
    <row r="40" spans="1:3" x14ac:dyDescent="0.25">
      <c r="A40">
        <v>99020135465</v>
      </c>
      <c r="B40" t="s">
        <v>19</v>
      </c>
      <c r="C40" t="s">
        <v>6</v>
      </c>
    </row>
    <row r="41" spans="1:3" x14ac:dyDescent="0.25">
      <c r="A41">
        <v>82080288567</v>
      </c>
      <c r="B41" t="s">
        <v>19</v>
      </c>
      <c r="C41" t="s">
        <v>4</v>
      </c>
    </row>
    <row r="42" spans="1:3" x14ac:dyDescent="0.25">
      <c r="A42">
        <v>66020115140</v>
      </c>
      <c r="B42" t="s">
        <v>19</v>
      </c>
      <c r="C42" t="s">
        <v>6</v>
      </c>
    </row>
    <row r="43" spans="1:3" x14ac:dyDescent="0.25">
      <c r="A43">
        <v>86032868618</v>
      </c>
      <c r="B43" t="s">
        <v>17</v>
      </c>
      <c r="C43" t="s">
        <v>4</v>
      </c>
    </row>
    <row r="44" spans="1:3" x14ac:dyDescent="0.25">
      <c r="A44">
        <v>83111806237</v>
      </c>
      <c r="B44" t="s">
        <v>12</v>
      </c>
      <c r="C44" t="s">
        <v>6</v>
      </c>
    </row>
    <row r="45" spans="1:3" x14ac:dyDescent="0.25">
      <c r="A45">
        <v>67092597948</v>
      </c>
      <c r="B45" t="s">
        <v>14</v>
      </c>
      <c r="C45" t="s">
        <v>6</v>
      </c>
    </row>
    <row r="46" spans="1:3" x14ac:dyDescent="0.25">
      <c r="A46">
        <v>55032362187</v>
      </c>
      <c r="B46" t="s">
        <v>19</v>
      </c>
      <c r="C46" t="s">
        <v>4</v>
      </c>
    </row>
    <row r="47" spans="1:3" x14ac:dyDescent="0.25">
      <c r="A47">
        <v>68111551073</v>
      </c>
      <c r="B47" t="s">
        <v>17</v>
      </c>
      <c r="C47" t="s">
        <v>4</v>
      </c>
    </row>
    <row r="48" spans="1:3" x14ac:dyDescent="0.25">
      <c r="A48">
        <v>72050199081</v>
      </c>
      <c r="B48" t="s">
        <v>19</v>
      </c>
      <c r="C48" t="s">
        <v>4</v>
      </c>
    </row>
    <row r="49" spans="1:3" x14ac:dyDescent="0.25">
      <c r="A49">
        <v>89110619812</v>
      </c>
      <c r="B49" t="s">
        <v>17</v>
      </c>
      <c r="C49" t="s">
        <v>4</v>
      </c>
    </row>
    <row r="50" spans="1:3" x14ac:dyDescent="0.25">
      <c r="A50">
        <v>92062939635</v>
      </c>
      <c r="B50" t="s">
        <v>14</v>
      </c>
      <c r="C50" t="s">
        <v>6</v>
      </c>
    </row>
    <row r="51" spans="1:3" x14ac:dyDescent="0.25">
      <c r="A51">
        <v>96022721818</v>
      </c>
      <c r="B51" t="s">
        <v>17</v>
      </c>
      <c r="C51" t="s">
        <v>6</v>
      </c>
    </row>
    <row r="52" spans="1:3" x14ac:dyDescent="0.25">
      <c r="A52">
        <v>67082759149</v>
      </c>
      <c r="B52" t="s">
        <v>12</v>
      </c>
      <c r="C52" t="s">
        <v>6</v>
      </c>
    </row>
    <row r="53" spans="1:3" x14ac:dyDescent="0.25">
      <c r="A53">
        <v>53041338908</v>
      </c>
      <c r="B53" t="s">
        <v>13</v>
      </c>
      <c r="C53" t="s">
        <v>6</v>
      </c>
    </row>
    <row r="54" spans="1:3" x14ac:dyDescent="0.25">
      <c r="A54">
        <v>85070464356</v>
      </c>
      <c r="B54" t="s">
        <v>15</v>
      </c>
      <c r="C54" t="s">
        <v>6</v>
      </c>
    </row>
    <row r="55" spans="1:3" x14ac:dyDescent="0.25">
      <c r="A55">
        <v>67110443901</v>
      </c>
      <c r="B55" t="s">
        <v>3</v>
      </c>
      <c r="C55" t="s">
        <v>4</v>
      </c>
    </row>
    <row r="56" spans="1:3" x14ac:dyDescent="0.25">
      <c r="A56">
        <v>76112956896</v>
      </c>
      <c r="B56" t="s">
        <v>16</v>
      </c>
      <c r="C56" t="s">
        <v>4</v>
      </c>
    </row>
    <row r="57" spans="1:3" x14ac:dyDescent="0.25">
      <c r="A57">
        <v>78072344438</v>
      </c>
      <c r="B57" t="s">
        <v>7</v>
      </c>
      <c r="C57" t="s">
        <v>6</v>
      </c>
    </row>
    <row r="58" spans="1:3" x14ac:dyDescent="0.25">
      <c r="A58">
        <v>50092746764</v>
      </c>
      <c r="B58" t="s">
        <v>13</v>
      </c>
      <c r="C58" t="s">
        <v>6</v>
      </c>
    </row>
    <row r="59" spans="1:3" x14ac:dyDescent="0.25">
      <c r="A59">
        <v>67090933304</v>
      </c>
      <c r="B59" t="s">
        <v>10</v>
      </c>
      <c r="C59" t="s">
        <v>4</v>
      </c>
    </row>
    <row r="60" spans="1:3" x14ac:dyDescent="0.25">
      <c r="A60">
        <v>94070783248</v>
      </c>
      <c r="B60" t="s">
        <v>3</v>
      </c>
      <c r="C60" t="s">
        <v>6</v>
      </c>
    </row>
    <row r="61" spans="1:3" x14ac:dyDescent="0.25">
      <c r="A61">
        <v>78031408458</v>
      </c>
      <c r="B61" t="s">
        <v>13</v>
      </c>
      <c r="C61" t="s">
        <v>4</v>
      </c>
    </row>
    <row r="62" spans="1:3" x14ac:dyDescent="0.25">
      <c r="A62">
        <v>75111802177</v>
      </c>
      <c r="B62" t="s">
        <v>9</v>
      </c>
      <c r="C62" t="s">
        <v>4</v>
      </c>
    </row>
    <row r="63" spans="1:3" x14ac:dyDescent="0.25">
      <c r="A63">
        <v>84011772408</v>
      </c>
      <c r="B63" t="s">
        <v>20</v>
      </c>
      <c r="C63" t="s">
        <v>4</v>
      </c>
    </row>
    <row r="64" spans="1:3" x14ac:dyDescent="0.25">
      <c r="A64">
        <v>73101944548</v>
      </c>
      <c r="B64" t="s">
        <v>8</v>
      </c>
      <c r="C64" t="s">
        <v>6</v>
      </c>
    </row>
    <row r="65" spans="1:3" x14ac:dyDescent="0.25">
      <c r="A65">
        <v>98112560941</v>
      </c>
      <c r="B65" t="s">
        <v>20</v>
      </c>
      <c r="C65" t="s">
        <v>6</v>
      </c>
    </row>
    <row r="66" spans="1:3" x14ac:dyDescent="0.25">
      <c r="A66">
        <v>80020544623</v>
      </c>
      <c r="B66" t="s">
        <v>14</v>
      </c>
      <c r="C66" t="s">
        <v>4</v>
      </c>
    </row>
    <row r="67" spans="1:3" x14ac:dyDescent="0.25">
      <c r="A67">
        <v>78090623276</v>
      </c>
      <c r="B67" t="s">
        <v>17</v>
      </c>
      <c r="C67" t="s">
        <v>4</v>
      </c>
    </row>
    <row r="68" spans="1:3" x14ac:dyDescent="0.25">
      <c r="A68">
        <v>85100461779</v>
      </c>
      <c r="B68" t="s">
        <v>8</v>
      </c>
      <c r="C68" t="s">
        <v>4</v>
      </c>
    </row>
    <row r="69" spans="1:3" x14ac:dyDescent="0.25">
      <c r="A69">
        <v>62103049429</v>
      </c>
      <c r="B69" t="s">
        <v>17</v>
      </c>
      <c r="C69" t="s">
        <v>6</v>
      </c>
    </row>
    <row r="70" spans="1:3" x14ac:dyDescent="0.25">
      <c r="A70">
        <v>64092166116</v>
      </c>
      <c r="B70" t="s">
        <v>20</v>
      </c>
      <c r="C70" t="s">
        <v>6</v>
      </c>
    </row>
    <row r="71" spans="1:3" x14ac:dyDescent="0.25">
      <c r="A71">
        <v>72112844735</v>
      </c>
      <c r="B71" t="s">
        <v>19</v>
      </c>
      <c r="C71" t="s">
        <v>4</v>
      </c>
    </row>
    <row r="72" spans="1:3" x14ac:dyDescent="0.25">
      <c r="A72">
        <v>90071102655</v>
      </c>
      <c r="B72" t="s">
        <v>15</v>
      </c>
      <c r="C72" t="s">
        <v>6</v>
      </c>
    </row>
    <row r="73" spans="1:3" x14ac:dyDescent="0.25">
      <c r="A73">
        <v>80100724608</v>
      </c>
      <c r="B73" t="s">
        <v>10</v>
      </c>
      <c r="C73" t="s">
        <v>4</v>
      </c>
    </row>
    <row r="74" spans="1:3" x14ac:dyDescent="0.25">
      <c r="A74">
        <v>67111696971</v>
      </c>
      <c r="B74" t="s">
        <v>19</v>
      </c>
      <c r="C74" t="s">
        <v>4</v>
      </c>
    </row>
    <row r="75" spans="1:3" x14ac:dyDescent="0.25">
      <c r="A75">
        <v>87100455842</v>
      </c>
      <c r="B75" t="s">
        <v>9</v>
      </c>
      <c r="C75" t="s">
        <v>4</v>
      </c>
    </row>
    <row r="76" spans="1:3" x14ac:dyDescent="0.25">
      <c r="A76">
        <v>64090118269</v>
      </c>
      <c r="B76" t="s">
        <v>20</v>
      </c>
      <c r="C76" t="s">
        <v>4</v>
      </c>
    </row>
    <row r="77" spans="1:3" x14ac:dyDescent="0.25">
      <c r="A77">
        <v>61061727275</v>
      </c>
      <c r="B77" t="s">
        <v>3</v>
      </c>
      <c r="C77" t="s">
        <v>4</v>
      </c>
    </row>
    <row r="78" spans="1:3" x14ac:dyDescent="0.25">
      <c r="A78">
        <v>66121567550</v>
      </c>
      <c r="B78" t="s">
        <v>9</v>
      </c>
      <c r="C78" t="s">
        <v>6</v>
      </c>
    </row>
    <row r="79" spans="1:3" x14ac:dyDescent="0.25">
      <c r="A79">
        <v>92102923299</v>
      </c>
      <c r="B79" t="s">
        <v>14</v>
      </c>
      <c r="C79" t="s">
        <v>4</v>
      </c>
    </row>
    <row r="80" spans="1:3" x14ac:dyDescent="0.25">
      <c r="A80">
        <v>97011978576</v>
      </c>
      <c r="B80" t="s">
        <v>3</v>
      </c>
      <c r="C80" t="s">
        <v>4</v>
      </c>
    </row>
    <row r="81" spans="1:3" x14ac:dyDescent="0.25">
      <c r="A81">
        <v>75042006365</v>
      </c>
      <c r="B81" t="s">
        <v>14</v>
      </c>
      <c r="C81" t="s">
        <v>6</v>
      </c>
    </row>
    <row r="82" spans="1:3" x14ac:dyDescent="0.25">
      <c r="A82">
        <v>51100113466</v>
      </c>
      <c r="B82" t="s">
        <v>15</v>
      </c>
      <c r="C82" t="s">
        <v>4</v>
      </c>
    </row>
    <row r="83" spans="1:3" x14ac:dyDescent="0.25">
      <c r="A83">
        <v>72073013618</v>
      </c>
      <c r="B83" t="s">
        <v>15</v>
      </c>
      <c r="C83" t="s">
        <v>4</v>
      </c>
    </row>
    <row r="84" spans="1:3" x14ac:dyDescent="0.25">
      <c r="A84">
        <v>95071506935</v>
      </c>
      <c r="B84" t="s">
        <v>5</v>
      </c>
      <c r="C84" t="s">
        <v>4</v>
      </c>
    </row>
    <row r="85" spans="1:3" x14ac:dyDescent="0.25">
      <c r="A85">
        <v>64082706270</v>
      </c>
      <c r="B85" t="s">
        <v>9</v>
      </c>
      <c r="C85" t="s">
        <v>4</v>
      </c>
    </row>
    <row r="86" spans="1:3" x14ac:dyDescent="0.25">
      <c r="A86">
        <v>74102033752</v>
      </c>
      <c r="B86" t="s">
        <v>5</v>
      </c>
      <c r="C86" t="s">
        <v>4</v>
      </c>
    </row>
    <row r="87" spans="1:3" x14ac:dyDescent="0.25">
      <c r="A87">
        <v>57081355125</v>
      </c>
      <c r="B87" t="s">
        <v>14</v>
      </c>
      <c r="C87" t="s">
        <v>6</v>
      </c>
    </row>
    <row r="88" spans="1:3" x14ac:dyDescent="0.25">
      <c r="A88">
        <v>63091825499</v>
      </c>
      <c r="B88" t="s">
        <v>8</v>
      </c>
      <c r="C88" t="s">
        <v>4</v>
      </c>
    </row>
    <row r="89" spans="1:3" x14ac:dyDescent="0.25">
      <c r="A89">
        <v>90040264315</v>
      </c>
      <c r="B89" t="s">
        <v>16</v>
      </c>
      <c r="C89" t="s">
        <v>4</v>
      </c>
    </row>
    <row r="90" spans="1:3" x14ac:dyDescent="0.25">
      <c r="A90">
        <v>93021005602</v>
      </c>
      <c r="B90" t="s">
        <v>17</v>
      </c>
      <c r="C90" t="s">
        <v>4</v>
      </c>
    </row>
    <row r="91" spans="1:3" x14ac:dyDescent="0.25">
      <c r="A91">
        <v>71060935904</v>
      </c>
      <c r="B91" t="s">
        <v>20</v>
      </c>
      <c r="C91" t="s">
        <v>4</v>
      </c>
    </row>
    <row r="92" spans="1:3" x14ac:dyDescent="0.25">
      <c r="A92">
        <v>66042814865</v>
      </c>
      <c r="B92" t="s">
        <v>18</v>
      </c>
      <c r="C92" t="s">
        <v>4</v>
      </c>
    </row>
    <row r="93" spans="1:3" x14ac:dyDescent="0.25">
      <c r="A93">
        <v>97080217897</v>
      </c>
      <c r="B93" t="s">
        <v>3</v>
      </c>
      <c r="C93" t="s">
        <v>4</v>
      </c>
    </row>
    <row r="94" spans="1:3" x14ac:dyDescent="0.25">
      <c r="A94">
        <v>81053035807</v>
      </c>
      <c r="B94" t="s">
        <v>16</v>
      </c>
      <c r="C94" t="s">
        <v>6</v>
      </c>
    </row>
    <row r="95" spans="1:3" x14ac:dyDescent="0.25">
      <c r="A95">
        <v>91022423029</v>
      </c>
      <c r="B95" t="s">
        <v>13</v>
      </c>
      <c r="C95" t="s">
        <v>6</v>
      </c>
    </row>
    <row r="96" spans="1:3" x14ac:dyDescent="0.25">
      <c r="A96">
        <v>75090195129</v>
      </c>
      <c r="B96" t="s">
        <v>15</v>
      </c>
      <c r="C96" t="s">
        <v>6</v>
      </c>
    </row>
    <row r="97" spans="1:3" x14ac:dyDescent="0.25">
      <c r="A97">
        <v>84070107438</v>
      </c>
      <c r="B97" t="s">
        <v>5</v>
      </c>
      <c r="C97" t="s">
        <v>6</v>
      </c>
    </row>
    <row r="98" spans="1:3" x14ac:dyDescent="0.25">
      <c r="A98">
        <v>66043085280</v>
      </c>
      <c r="B98" t="s">
        <v>18</v>
      </c>
      <c r="C98" t="s">
        <v>4</v>
      </c>
    </row>
    <row r="99" spans="1:3" x14ac:dyDescent="0.25">
      <c r="A99">
        <v>50121269604</v>
      </c>
      <c r="B99" t="s">
        <v>17</v>
      </c>
      <c r="C99" t="s">
        <v>6</v>
      </c>
    </row>
    <row r="100" spans="1:3" x14ac:dyDescent="0.25">
      <c r="A100">
        <v>85122146708</v>
      </c>
      <c r="B100" t="s">
        <v>14</v>
      </c>
      <c r="C100" t="s">
        <v>6</v>
      </c>
    </row>
    <row r="101" spans="1:3" x14ac:dyDescent="0.25">
      <c r="A101">
        <v>90010495521</v>
      </c>
      <c r="B101" t="s">
        <v>13</v>
      </c>
      <c r="C101" t="s">
        <v>6</v>
      </c>
    </row>
    <row r="102" spans="1:3" x14ac:dyDescent="0.25">
      <c r="A102">
        <v>72100728249</v>
      </c>
      <c r="B102" t="s">
        <v>9</v>
      </c>
      <c r="C102" t="s">
        <v>6</v>
      </c>
    </row>
    <row r="103" spans="1:3" x14ac:dyDescent="0.25">
      <c r="A103">
        <v>54082626522</v>
      </c>
      <c r="B103" t="s">
        <v>18</v>
      </c>
      <c r="C103" t="s">
        <v>6</v>
      </c>
    </row>
    <row r="104" spans="1:3" x14ac:dyDescent="0.25">
      <c r="A104">
        <v>60082633448</v>
      </c>
      <c r="B104" t="s">
        <v>8</v>
      </c>
      <c r="C104" t="s">
        <v>4</v>
      </c>
    </row>
    <row r="105" spans="1:3" x14ac:dyDescent="0.25">
      <c r="A105">
        <v>57091615958</v>
      </c>
      <c r="B105" t="s">
        <v>13</v>
      </c>
      <c r="C105" t="s">
        <v>6</v>
      </c>
    </row>
    <row r="106" spans="1:3" x14ac:dyDescent="0.25">
      <c r="A106">
        <v>87111052780</v>
      </c>
      <c r="B106" t="s">
        <v>20</v>
      </c>
      <c r="C106" t="s">
        <v>6</v>
      </c>
    </row>
    <row r="107" spans="1:3" x14ac:dyDescent="0.25">
      <c r="A107">
        <v>50040740697</v>
      </c>
      <c r="B107" t="s">
        <v>11</v>
      </c>
      <c r="C107" t="s">
        <v>6</v>
      </c>
    </row>
    <row r="108" spans="1:3" x14ac:dyDescent="0.25">
      <c r="A108">
        <v>68101095387</v>
      </c>
      <c r="B108" t="s">
        <v>8</v>
      </c>
      <c r="C108" t="s">
        <v>4</v>
      </c>
    </row>
    <row r="109" spans="1:3" x14ac:dyDescent="0.25">
      <c r="A109">
        <v>62033049740</v>
      </c>
      <c r="B109" t="s">
        <v>7</v>
      </c>
      <c r="C109" t="s">
        <v>6</v>
      </c>
    </row>
    <row r="110" spans="1:3" x14ac:dyDescent="0.25">
      <c r="A110">
        <v>79072780929</v>
      </c>
      <c r="B110" t="s">
        <v>20</v>
      </c>
      <c r="C110" t="s">
        <v>6</v>
      </c>
    </row>
    <row r="111" spans="1:3" x14ac:dyDescent="0.25">
      <c r="A111">
        <v>94051017843</v>
      </c>
      <c r="B111" t="s">
        <v>15</v>
      </c>
      <c r="C111" t="s">
        <v>6</v>
      </c>
    </row>
    <row r="112" spans="1:3" x14ac:dyDescent="0.25">
      <c r="A112">
        <v>98010553667</v>
      </c>
      <c r="B112" t="s">
        <v>17</v>
      </c>
      <c r="C112" t="s">
        <v>6</v>
      </c>
    </row>
    <row r="113" spans="1:3" x14ac:dyDescent="0.25">
      <c r="A113">
        <v>98052401375</v>
      </c>
      <c r="B113" t="s">
        <v>7</v>
      </c>
      <c r="C113" t="s">
        <v>4</v>
      </c>
    </row>
    <row r="114" spans="1:3" x14ac:dyDescent="0.25">
      <c r="A114">
        <v>86072999428</v>
      </c>
      <c r="B114" t="s">
        <v>15</v>
      </c>
      <c r="C114" t="s">
        <v>4</v>
      </c>
    </row>
    <row r="115" spans="1:3" x14ac:dyDescent="0.25">
      <c r="A115">
        <v>76061601553</v>
      </c>
      <c r="B115" t="s">
        <v>11</v>
      </c>
      <c r="C115" t="s">
        <v>4</v>
      </c>
    </row>
    <row r="116" spans="1:3" x14ac:dyDescent="0.25">
      <c r="A116">
        <v>69011748389</v>
      </c>
      <c r="B116" t="s">
        <v>3</v>
      </c>
      <c r="C116" t="s">
        <v>4</v>
      </c>
    </row>
    <row r="117" spans="1:3" x14ac:dyDescent="0.25">
      <c r="A117">
        <v>72053198339</v>
      </c>
      <c r="B117" t="s">
        <v>9</v>
      </c>
      <c r="C117" t="s">
        <v>4</v>
      </c>
    </row>
    <row r="118" spans="1:3" x14ac:dyDescent="0.25">
      <c r="A118">
        <v>92111126939</v>
      </c>
      <c r="B118" t="s">
        <v>10</v>
      </c>
      <c r="C118" t="s">
        <v>6</v>
      </c>
    </row>
    <row r="119" spans="1:3" x14ac:dyDescent="0.25">
      <c r="A119">
        <v>56122609544</v>
      </c>
      <c r="B119" t="s">
        <v>5</v>
      </c>
      <c r="C119" t="s">
        <v>6</v>
      </c>
    </row>
    <row r="120" spans="1:3" x14ac:dyDescent="0.25">
      <c r="A120">
        <v>78022120507</v>
      </c>
      <c r="B120" t="s">
        <v>18</v>
      </c>
      <c r="C120" t="s">
        <v>6</v>
      </c>
    </row>
    <row r="121" spans="1:3" x14ac:dyDescent="0.25">
      <c r="A121">
        <v>93062318824</v>
      </c>
      <c r="B121" t="s">
        <v>16</v>
      </c>
      <c r="C121" t="s">
        <v>4</v>
      </c>
    </row>
    <row r="122" spans="1:3" x14ac:dyDescent="0.25">
      <c r="A122">
        <v>68111201527</v>
      </c>
      <c r="B122" t="s">
        <v>13</v>
      </c>
      <c r="C122" t="s">
        <v>4</v>
      </c>
    </row>
    <row r="123" spans="1:3" x14ac:dyDescent="0.25">
      <c r="A123">
        <v>78071480489</v>
      </c>
      <c r="B123" t="s">
        <v>8</v>
      </c>
      <c r="C123" t="s">
        <v>6</v>
      </c>
    </row>
    <row r="124" spans="1:3" x14ac:dyDescent="0.25">
      <c r="A124">
        <v>76051975909</v>
      </c>
      <c r="B124" t="s">
        <v>16</v>
      </c>
      <c r="C124" t="s">
        <v>4</v>
      </c>
    </row>
    <row r="125" spans="1:3" x14ac:dyDescent="0.25">
      <c r="A125">
        <v>64062904454</v>
      </c>
      <c r="B125" t="s">
        <v>3</v>
      </c>
      <c r="C125" t="s">
        <v>6</v>
      </c>
    </row>
    <row r="126" spans="1:3" x14ac:dyDescent="0.25">
      <c r="A126">
        <v>88040681139</v>
      </c>
      <c r="B126" t="s">
        <v>18</v>
      </c>
      <c r="C126" t="s">
        <v>4</v>
      </c>
    </row>
    <row r="127" spans="1:3" x14ac:dyDescent="0.25">
      <c r="A127">
        <v>82102913532</v>
      </c>
      <c r="B127" t="s">
        <v>19</v>
      </c>
      <c r="C127" t="s">
        <v>4</v>
      </c>
    </row>
    <row r="128" spans="1:3" x14ac:dyDescent="0.25">
      <c r="A128">
        <v>80111550241</v>
      </c>
      <c r="B128" t="s">
        <v>15</v>
      </c>
      <c r="C128" t="s">
        <v>6</v>
      </c>
    </row>
    <row r="129" spans="1:3" x14ac:dyDescent="0.25">
      <c r="A129">
        <v>73042186560</v>
      </c>
      <c r="B129" t="s">
        <v>10</v>
      </c>
      <c r="C129" t="s">
        <v>6</v>
      </c>
    </row>
    <row r="130" spans="1:3" x14ac:dyDescent="0.25">
      <c r="A130">
        <v>71111622249</v>
      </c>
      <c r="B130" t="s">
        <v>13</v>
      </c>
      <c r="C130" t="s">
        <v>4</v>
      </c>
    </row>
    <row r="131" spans="1:3" x14ac:dyDescent="0.25">
      <c r="A131">
        <v>52042431764</v>
      </c>
      <c r="B131" t="s">
        <v>3</v>
      </c>
      <c r="C131" t="s">
        <v>6</v>
      </c>
    </row>
    <row r="132" spans="1:3" x14ac:dyDescent="0.25">
      <c r="A132">
        <v>94110574874</v>
      </c>
      <c r="B132" t="s">
        <v>17</v>
      </c>
      <c r="C132" t="s">
        <v>4</v>
      </c>
    </row>
    <row r="133" spans="1:3" x14ac:dyDescent="0.25">
      <c r="A133">
        <v>97070314418</v>
      </c>
      <c r="B133" t="s">
        <v>7</v>
      </c>
      <c r="C133" t="s">
        <v>4</v>
      </c>
    </row>
    <row r="134" spans="1:3" x14ac:dyDescent="0.25">
      <c r="A134">
        <v>68020157834</v>
      </c>
      <c r="B134" t="s">
        <v>3</v>
      </c>
      <c r="C134" t="s">
        <v>4</v>
      </c>
    </row>
    <row r="135" spans="1:3" x14ac:dyDescent="0.25">
      <c r="A135">
        <v>61032343220</v>
      </c>
      <c r="B135" t="s">
        <v>10</v>
      </c>
      <c r="C135" t="s">
        <v>6</v>
      </c>
    </row>
    <row r="136" spans="1:3" x14ac:dyDescent="0.25">
      <c r="A136">
        <v>89051851742</v>
      </c>
      <c r="B136" t="s">
        <v>15</v>
      </c>
      <c r="C136" t="s">
        <v>6</v>
      </c>
    </row>
    <row r="137" spans="1:3" x14ac:dyDescent="0.25">
      <c r="A137">
        <v>97090739563</v>
      </c>
      <c r="B137" t="s">
        <v>19</v>
      </c>
      <c r="C137" t="s">
        <v>4</v>
      </c>
    </row>
    <row r="138" spans="1:3" x14ac:dyDescent="0.25">
      <c r="A138">
        <v>61080507803</v>
      </c>
      <c r="B138" t="s">
        <v>7</v>
      </c>
      <c r="C138" t="s">
        <v>6</v>
      </c>
    </row>
    <row r="139" spans="1:3" x14ac:dyDescent="0.25">
      <c r="A139">
        <v>66022228110</v>
      </c>
      <c r="B139" t="s">
        <v>18</v>
      </c>
      <c r="C139" t="s">
        <v>6</v>
      </c>
    </row>
    <row r="140" spans="1:3" x14ac:dyDescent="0.25">
      <c r="A140">
        <v>53120902549</v>
      </c>
      <c r="B140" t="s">
        <v>14</v>
      </c>
      <c r="C140" t="s">
        <v>4</v>
      </c>
    </row>
    <row r="141" spans="1:3" x14ac:dyDescent="0.25">
      <c r="A141">
        <v>84010544767</v>
      </c>
      <c r="B141" t="s">
        <v>3</v>
      </c>
      <c r="C141" t="s">
        <v>4</v>
      </c>
    </row>
    <row r="142" spans="1:3" x14ac:dyDescent="0.25">
      <c r="A142">
        <v>94111642336</v>
      </c>
      <c r="B142" t="s">
        <v>13</v>
      </c>
      <c r="C142" t="s">
        <v>6</v>
      </c>
    </row>
    <row r="143" spans="1:3" x14ac:dyDescent="0.25">
      <c r="A143">
        <v>83080941885</v>
      </c>
      <c r="B143" t="s">
        <v>9</v>
      </c>
      <c r="C143" t="s">
        <v>4</v>
      </c>
    </row>
    <row r="144" spans="1:3" x14ac:dyDescent="0.25">
      <c r="A144">
        <v>99020631770</v>
      </c>
      <c r="B144" t="s">
        <v>8</v>
      </c>
      <c r="C144" t="s">
        <v>4</v>
      </c>
    </row>
    <row r="145" spans="1:3" x14ac:dyDescent="0.25">
      <c r="A145">
        <v>99111303315</v>
      </c>
      <c r="B145" t="s">
        <v>17</v>
      </c>
      <c r="C145" t="s">
        <v>6</v>
      </c>
    </row>
    <row r="146" spans="1:3" x14ac:dyDescent="0.25">
      <c r="A146">
        <v>51092524844</v>
      </c>
      <c r="B146" t="s">
        <v>20</v>
      </c>
      <c r="C146" t="s">
        <v>4</v>
      </c>
    </row>
    <row r="147" spans="1:3" x14ac:dyDescent="0.25">
      <c r="A147">
        <v>56021402794</v>
      </c>
      <c r="B147" t="s">
        <v>9</v>
      </c>
      <c r="C147" t="s">
        <v>4</v>
      </c>
    </row>
    <row r="148" spans="1:3" x14ac:dyDescent="0.25">
      <c r="A148">
        <v>61052346386</v>
      </c>
      <c r="B148" t="s">
        <v>13</v>
      </c>
      <c r="C148" t="s">
        <v>4</v>
      </c>
    </row>
    <row r="149" spans="1:3" x14ac:dyDescent="0.25">
      <c r="A149">
        <v>51122893889</v>
      </c>
      <c r="B149" t="s">
        <v>13</v>
      </c>
      <c r="C149" t="s">
        <v>4</v>
      </c>
    </row>
    <row r="150" spans="1:3" x14ac:dyDescent="0.25">
      <c r="A150">
        <v>71063060230</v>
      </c>
      <c r="B150" t="s">
        <v>19</v>
      </c>
      <c r="C150" t="s">
        <v>4</v>
      </c>
    </row>
    <row r="151" spans="1:3" x14ac:dyDescent="0.25">
      <c r="A151">
        <v>74072279383</v>
      </c>
      <c r="B151" t="s">
        <v>5</v>
      </c>
      <c r="C151" t="s">
        <v>6</v>
      </c>
    </row>
    <row r="152" spans="1:3" x14ac:dyDescent="0.25">
      <c r="A152">
        <v>91091481535</v>
      </c>
      <c r="B152" t="s">
        <v>10</v>
      </c>
      <c r="C152" t="s">
        <v>4</v>
      </c>
    </row>
    <row r="153" spans="1:3" x14ac:dyDescent="0.25">
      <c r="A153">
        <v>57122300244</v>
      </c>
      <c r="B153" t="s">
        <v>9</v>
      </c>
      <c r="C153" t="s">
        <v>6</v>
      </c>
    </row>
    <row r="154" spans="1:3" x14ac:dyDescent="0.25">
      <c r="A154">
        <v>99041479098</v>
      </c>
      <c r="B154" t="s">
        <v>7</v>
      </c>
      <c r="C154" t="s">
        <v>6</v>
      </c>
    </row>
    <row r="155" spans="1:3" x14ac:dyDescent="0.25">
      <c r="A155">
        <v>67100309631</v>
      </c>
      <c r="B155" t="s">
        <v>18</v>
      </c>
      <c r="C155" t="s">
        <v>4</v>
      </c>
    </row>
    <row r="156" spans="1:3" x14ac:dyDescent="0.25">
      <c r="A156">
        <v>82062058218</v>
      </c>
      <c r="B156" t="s">
        <v>17</v>
      </c>
      <c r="C156" t="s">
        <v>4</v>
      </c>
    </row>
    <row r="157" spans="1:3" x14ac:dyDescent="0.25">
      <c r="A157">
        <v>57122013287</v>
      </c>
      <c r="B157" t="s">
        <v>11</v>
      </c>
      <c r="C157" t="s">
        <v>4</v>
      </c>
    </row>
    <row r="158" spans="1:3" x14ac:dyDescent="0.25">
      <c r="A158">
        <v>67112146802</v>
      </c>
      <c r="B158" t="s">
        <v>16</v>
      </c>
      <c r="C158" t="s">
        <v>6</v>
      </c>
    </row>
    <row r="159" spans="1:3" x14ac:dyDescent="0.25">
      <c r="A159">
        <v>87090221803</v>
      </c>
      <c r="B159" t="s">
        <v>9</v>
      </c>
      <c r="C159" t="s">
        <v>4</v>
      </c>
    </row>
    <row r="160" spans="1:3" x14ac:dyDescent="0.25">
      <c r="A160">
        <v>61032430030</v>
      </c>
      <c r="B160" t="s">
        <v>7</v>
      </c>
      <c r="C160" t="s">
        <v>6</v>
      </c>
    </row>
    <row r="161" spans="1:3" x14ac:dyDescent="0.25">
      <c r="A161">
        <v>64080716404</v>
      </c>
      <c r="B161" t="s">
        <v>5</v>
      </c>
      <c r="C161" t="s">
        <v>6</v>
      </c>
    </row>
    <row r="162" spans="1:3" x14ac:dyDescent="0.25">
      <c r="A162">
        <v>59062796578</v>
      </c>
      <c r="B162" t="s">
        <v>9</v>
      </c>
      <c r="C162" t="s">
        <v>6</v>
      </c>
    </row>
    <row r="163" spans="1:3" x14ac:dyDescent="0.25">
      <c r="A163">
        <v>65040627947</v>
      </c>
      <c r="B163" t="s">
        <v>20</v>
      </c>
      <c r="C163" t="s">
        <v>6</v>
      </c>
    </row>
    <row r="164" spans="1:3" x14ac:dyDescent="0.25">
      <c r="A164">
        <v>94122638353</v>
      </c>
      <c r="B164" t="s">
        <v>13</v>
      </c>
      <c r="C164" t="s">
        <v>6</v>
      </c>
    </row>
    <row r="165" spans="1:3" x14ac:dyDescent="0.25">
      <c r="A165">
        <v>58091381319</v>
      </c>
      <c r="B165" t="s">
        <v>20</v>
      </c>
      <c r="C165" t="s">
        <v>4</v>
      </c>
    </row>
    <row r="166" spans="1:3" x14ac:dyDescent="0.25">
      <c r="A166">
        <v>73112332640</v>
      </c>
      <c r="B166" t="s">
        <v>7</v>
      </c>
      <c r="C166" t="s">
        <v>4</v>
      </c>
    </row>
    <row r="167" spans="1:3" x14ac:dyDescent="0.25">
      <c r="A167">
        <v>61052868334</v>
      </c>
      <c r="B167" t="s">
        <v>16</v>
      </c>
      <c r="C167" t="s">
        <v>4</v>
      </c>
    </row>
    <row r="168" spans="1:3" x14ac:dyDescent="0.25">
      <c r="A168">
        <v>71021611182</v>
      </c>
      <c r="B168" t="s">
        <v>18</v>
      </c>
      <c r="C168" t="s">
        <v>6</v>
      </c>
    </row>
    <row r="169" spans="1:3" x14ac:dyDescent="0.25">
      <c r="A169">
        <v>56082234284</v>
      </c>
      <c r="B169" t="s">
        <v>15</v>
      </c>
      <c r="C169" t="s">
        <v>6</v>
      </c>
    </row>
    <row r="170" spans="1:3" x14ac:dyDescent="0.25">
      <c r="A170">
        <v>99101200505</v>
      </c>
      <c r="B170" t="s">
        <v>19</v>
      </c>
      <c r="C170" t="s">
        <v>6</v>
      </c>
    </row>
    <row r="171" spans="1:3" x14ac:dyDescent="0.25">
      <c r="A171">
        <v>52101785894</v>
      </c>
      <c r="B171" t="s">
        <v>18</v>
      </c>
      <c r="C171" t="s">
        <v>6</v>
      </c>
    </row>
    <row r="172" spans="1:3" x14ac:dyDescent="0.25">
      <c r="A172">
        <v>86091601548</v>
      </c>
      <c r="B172" t="s">
        <v>11</v>
      </c>
      <c r="C172" t="s">
        <v>6</v>
      </c>
    </row>
    <row r="173" spans="1:3" x14ac:dyDescent="0.25">
      <c r="A173">
        <v>58071981807</v>
      </c>
      <c r="B173" t="s">
        <v>10</v>
      </c>
      <c r="C173" t="s">
        <v>4</v>
      </c>
    </row>
    <row r="174" spans="1:3" x14ac:dyDescent="0.25">
      <c r="A174">
        <v>95030424298</v>
      </c>
      <c r="B174" t="s">
        <v>16</v>
      </c>
      <c r="C174" t="s">
        <v>6</v>
      </c>
    </row>
    <row r="175" spans="1:3" x14ac:dyDescent="0.25">
      <c r="A175">
        <v>91110362072</v>
      </c>
      <c r="B175" t="s">
        <v>13</v>
      </c>
      <c r="C175" t="s">
        <v>6</v>
      </c>
    </row>
    <row r="176" spans="1:3" x14ac:dyDescent="0.25">
      <c r="A176">
        <v>56010667456</v>
      </c>
      <c r="B176" t="s">
        <v>16</v>
      </c>
      <c r="C176" t="s">
        <v>6</v>
      </c>
    </row>
    <row r="177" spans="1:3" x14ac:dyDescent="0.25">
      <c r="A177">
        <v>75062741479</v>
      </c>
      <c r="B177" t="s">
        <v>18</v>
      </c>
      <c r="C177" t="s">
        <v>4</v>
      </c>
    </row>
    <row r="178" spans="1:3" x14ac:dyDescent="0.25">
      <c r="A178">
        <v>94111155399</v>
      </c>
      <c r="B178" t="s">
        <v>17</v>
      </c>
      <c r="C178" t="s">
        <v>4</v>
      </c>
    </row>
    <row r="179" spans="1:3" x14ac:dyDescent="0.25">
      <c r="A179">
        <v>81021537391</v>
      </c>
      <c r="B179" t="s">
        <v>12</v>
      </c>
      <c r="C179" t="s">
        <v>6</v>
      </c>
    </row>
    <row r="180" spans="1:3" x14ac:dyDescent="0.25">
      <c r="A180">
        <v>90103167461</v>
      </c>
      <c r="B180" t="s">
        <v>11</v>
      </c>
      <c r="C180" t="s">
        <v>6</v>
      </c>
    </row>
    <row r="181" spans="1:3" x14ac:dyDescent="0.25">
      <c r="A181">
        <v>72033126578</v>
      </c>
      <c r="B181" t="s">
        <v>11</v>
      </c>
      <c r="C181" t="s">
        <v>6</v>
      </c>
    </row>
    <row r="182" spans="1:3" x14ac:dyDescent="0.25">
      <c r="A182">
        <v>90010474418</v>
      </c>
      <c r="B182" t="s">
        <v>16</v>
      </c>
      <c r="C182" t="s">
        <v>6</v>
      </c>
    </row>
    <row r="183" spans="1:3" x14ac:dyDescent="0.25">
      <c r="A183">
        <v>93101150990</v>
      </c>
      <c r="B183" t="s">
        <v>7</v>
      </c>
      <c r="C183" t="s">
        <v>4</v>
      </c>
    </row>
    <row r="184" spans="1:3" x14ac:dyDescent="0.25">
      <c r="A184">
        <v>96091515974</v>
      </c>
      <c r="B184" t="s">
        <v>20</v>
      </c>
      <c r="C184" t="s">
        <v>4</v>
      </c>
    </row>
    <row r="185" spans="1:3" x14ac:dyDescent="0.25">
      <c r="A185">
        <v>65011096293</v>
      </c>
      <c r="B185" t="s">
        <v>15</v>
      </c>
      <c r="C185" t="s">
        <v>4</v>
      </c>
    </row>
    <row r="186" spans="1:3" x14ac:dyDescent="0.25">
      <c r="A186">
        <v>53123191577</v>
      </c>
      <c r="B186" t="s">
        <v>9</v>
      </c>
      <c r="C186" t="s">
        <v>6</v>
      </c>
    </row>
    <row r="187" spans="1:3" x14ac:dyDescent="0.25">
      <c r="A187">
        <v>73060298351</v>
      </c>
      <c r="B187" t="s">
        <v>14</v>
      </c>
      <c r="C187" t="s">
        <v>6</v>
      </c>
    </row>
    <row r="188" spans="1:3" x14ac:dyDescent="0.25">
      <c r="A188">
        <v>77121944265</v>
      </c>
      <c r="B188" t="s">
        <v>14</v>
      </c>
      <c r="C188" t="s">
        <v>4</v>
      </c>
    </row>
    <row r="189" spans="1:3" x14ac:dyDescent="0.25">
      <c r="A189">
        <v>68031048828</v>
      </c>
      <c r="B189" t="s">
        <v>7</v>
      </c>
      <c r="C189" t="s">
        <v>4</v>
      </c>
    </row>
    <row r="190" spans="1:3" x14ac:dyDescent="0.25">
      <c r="A190">
        <v>98100693644</v>
      </c>
      <c r="B190" t="s">
        <v>16</v>
      </c>
      <c r="C190" t="s">
        <v>6</v>
      </c>
    </row>
    <row r="191" spans="1:3" x14ac:dyDescent="0.25">
      <c r="A191">
        <v>76072914871</v>
      </c>
      <c r="B191" t="s">
        <v>12</v>
      </c>
      <c r="C191" t="s">
        <v>4</v>
      </c>
    </row>
    <row r="192" spans="1:3" x14ac:dyDescent="0.25">
      <c r="A192">
        <v>55041429471</v>
      </c>
      <c r="B192" t="s">
        <v>15</v>
      </c>
      <c r="C192" t="s">
        <v>4</v>
      </c>
    </row>
    <row r="193" spans="1:3" x14ac:dyDescent="0.25">
      <c r="A193">
        <v>96010658900</v>
      </c>
      <c r="B193" t="s">
        <v>13</v>
      </c>
      <c r="C193" t="s">
        <v>4</v>
      </c>
    </row>
    <row r="194" spans="1:3" x14ac:dyDescent="0.25">
      <c r="A194">
        <v>84032372784</v>
      </c>
      <c r="B194" t="s">
        <v>14</v>
      </c>
      <c r="C194" t="s">
        <v>6</v>
      </c>
    </row>
    <row r="195" spans="1:3" x14ac:dyDescent="0.25">
      <c r="A195">
        <v>50101409189</v>
      </c>
      <c r="B195" t="s">
        <v>10</v>
      </c>
      <c r="C195" t="s">
        <v>4</v>
      </c>
    </row>
    <row r="196" spans="1:3" x14ac:dyDescent="0.25">
      <c r="A196">
        <v>54122295170</v>
      </c>
      <c r="B196" t="s">
        <v>19</v>
      </c>
      <c r="C196" t="s">
        <v>6</v>
      </c>
    </row>
    <row r="197" spans="1:3" x14ac:dyDescent="0.25">
      <c r="A197">
        <v>67092404057</v>
      </c>
      <c r="B197" t="s">
        <v>12</v>
      </c>
      <c r="C197" t="s">
        <v>4</v>
      </c>
    </row>
    <row r="198" spans="1:3" x14ac:dyDescent="0.25">
      <c r="A198">
        <v>67022391071</v>
      </c>
      <c r="B198" t="s">
        <v>7</v>
      </c>
      <c r="C198" t="s">
        <v>4</v>
      </c>
    </row>
    <row r="199" spans="1:3" x14ac:dyDescent="0.25">
      <c r="A199">
        <v>97041948136</v>
      </c>
      <c r="B199" t="s">
        <v>14</v>
      </c>
      <c r="C199" t="s">
        <v>6</v>
      </c>
    </row>
    <row r="200" spans="1:3" x14ac:dyDescent="0.25">
      <c r="A200">
        <v>99011275523</v>
      </c>
      <c r="B200" t="s">
        <v>13</v>
      </c>
      <c r="C200" t="s">
        <v>6</v>
      </c>
    </row>
    <row r="201" spans="1:3" x14ac:dyDescent="0.25">
      <c r="A201">
        <v>57071222781</v>
      </c>
      <c r="B201" t="s">
        <v>11</v>
      </c>
      <c r="C201" t="s">
        <v>6</v>
      </c>
    </row>
    <row r="202" spans="1:3" x14ac:dyDescent="0.25">
      <c r="A202">
        <v>93012973237</v>
      </c>
      <c r="B202" t="s">
        <v>17</v>
      </c>
      <c r="C202" t="s">
        <v>6</v>
      </c>
    </row>
    <row r="203" spans="1:3" x14ac:dyDescent="0.25">
      <c r="A203">
        <v>59082791780</v>
      </c>
      <c r="B203" t="s">
        <v>9</v>
      </c>
      <c r="C203" t="s">
        <v>4</v>
      </c>
    </row>
    <row r="204" spans="1:3" x14ac:dyDescent="0.25">
      <c r="A204">
        <v>81091693078</v>
      </c>
      <c r="B204" t="s">
        <v>20</v>
      </c>
      <c r="C204" t="s">
        <v>4</v>
      </c>
    </row>
    <row r="205" spans="1:3" x14ac:dyDescent="0.25">
      <c r="A205">
        <v>71022845751</v>
      </c>
      <c r="B205" t="s">
        <v>14</v>
      </c>
      <c r="C205" t="s">
        <v>4</v>
      </c>
    </row>
    <row r="206" spans="1:3" x14ac:dyDescent="0.25">
      <c r="A206">
        <v>74123045345</v>
      </c>
      <c r="B206" t="s">
        <v>9</v>
      </c>
      <c r="C206" t="s">
        <v>6</v>
      </c>
    </row>
    <row r="207" spans="1:3" x14ac:dyDescent="0.25">
      <c r="A207">
        <v>88060484406</v>
      </c>
      <c r="B207" t="s">
        <v>20</v>
      </c>
      <c r="C207" t="s">
        <v>6</v>
      </c>
    </row>
    <row r="208" spans="1:3" x14ac:dyDescent="0.25">
      <c r="A208">
        <v>85012784393</v>
      </c>
      <c r="B208" t="s">
        <v>20</v>
      </c>
      <c r="C208" t="s">
        <v>6</v>
      </c>
    </row>
    <row r="209" spans="1:3" x14ac:dyDescent="0.25">
      <c r="A209">
        <v>94112166637</v>
      </c>
      <c r="B209" t="s">
        <v>12</v>
      </c>
      <c r="C209" t="s">
        <v>4</v>
      </c>
    </row>
    <row r="210" spans="1:3" x14ac:dyDescent="0.25">
      <c r="A210">
        <v>68091657019</v>
      </c>
      <c r="B210" t="s">
        <v>12</v>
      </c>
      <c r="C210" t="s">
        <v>4</v>
      </c>
    </row>
    <row r="211" spans="1:3" x14ac:dyDescent="0.25">
      <c r="A211">
        <v>54081341844</v>
      </c>
      <c r="B211" t="s">
        <v>14</v>
      </c>
      <c r="C211" t="s">
        <v>6</v>
      </c>
    </row>
    <row r="212" spans="1:3" x14ac:dyDescent="0.25">
      <c r="A212">
        <v>60012310953</v>
      </c>
      <c r="B212" t="s">
        <v>14</v>
      </c>
      <c r="C212" t="s">
        <v>4</v>
      </c>
    </row>
    <row r="213" spans="1:3" x14ac:dyDescent="0.25">
      <c r="A213">
        <v>61042978869</v>
      </c>
      <c r="B213" t="s">
        <v>14</v>
      </c>
      <c r="C213" t="s">
        <v>4</v>
      </c>
    </row>
    <row r="214" spans="1:3" x14ac:dyDescent="0.25">
      <c r="A214">
        <v>67122575465</v>
      </c>
      <c r="B214" t="s">
        <v>11</v>
      </c>
      <c r="C214" t="s">
        <v>4</v>
      </c>
    </row>
    <row r="215" spans="1:3" x14ac:dyDescent="0.25">
      <c r="A215">
        <v>85060561687</v>
      </c>
      <c r="B215" t="s">
        <v>5</v>
      </c>
      <c r="C215" t="s">
        <v>6</v>
      </c>
    </row>
    <row r="216" spans="1:3" x14ac:dyDescent="0.25">
      <c r="A216">
        <v>62030546646</v>
      </c>
      <c r="B216" t="s">
        <v>17</v>
      </c>
      <c r="C216" t="s">
        <v>6</v>
      </c>
    </row>
    <row r="217" spans="1:3" x14ac:dyDescent="0.25">
      <c r="A217">
        <v>87071650974</v>
      </c>
      <c r="B217" t="s">
        <v>9</v>
      </c>
      <c r="C217" t="s">
        <v>6</v>
      </c>
    </row>
    <row r="218" spans="1:3" x14ac:dyDescent="0.25">
      <c r="A218">
        <v>80051365079</v>
      </c>
      <c r="B218" t="s">
        <v>9</v>
      </c>
      <c r="C218" t="s">
        <v>6</v>
      </c>
    </row>
    <row r="219" spans="1:3" x14ac:dyDescent="0.25">
      <c r="A219">
        <v>63031207831</v>
      </c>
      <c r="B219" t="s">
        <v>9</v>
      </c>
      <c r="C219" t="s">
        <v>6</v>
      </c>
    </row>
    <row r="220" spans="1:3" x14ac:dyDescent="0.25">
      <c r="A220">
        <v>99112776026</v>
      </c>
      <c r="B220" t="s">
        <v>18</v>
      </c>
      <c r="C220" t="s">
        <v>4</v>
      </c>
    </row>
    <row r="221" spans="1:3" x14ac:dyDescent="0.25">
      <c r="A221">
        <v>90071387764</v>
      </c>
      <c r="B221" t="s">
        <v>12</v>
      </c>
      <c r="C221" t="s">
        <v>4</v>
      </c>
    </row>
    <row r="222" spans="1:3" x14ac:dyDescent="0.25">
      <c r="A222">
        <v>79100121607</v>
      </c>
      <c r="B222" t="s">
        <v>15</v>
      </c>
      <c r="C222" t="s">
        <v>6</v>
      </c>
    </row>
    <row r="223" spans="1:3" x14ac:dyDescent="0.25">
      <c r="A223">
        <v>67021697321</v>
      </c>
      <c r="B223" t="s">
        <v>8</v>
      </c>
      <c r="C223" t="s">
        <v>6</v>
      </c>
    </row>
    <row r="224" spans="1:3" x14ac:dyDescent="0.25">
      <c r="A224">
        <v>80122931244</v>
      </c>
      <c r="B224" t="s">
        <v>20</v>
      </c>
      <c r="C224" t="s">
        <v>4</v>
      </c>
    </row>
    <row r="225" spans="1:3" x14ac:dyDescent="0.25">
      <c r="A225">
        <v>68021561579</v>
      </c>
      <c r="B225" t="s">
        <v>7</v>
      </c>
      <c r="C225" t="s">
        <v>6</v>
      </c>
    </row>
    <row r="226" spans="1:3" x14ac:dyDescent="0.25">
      <c r="A226">
        <v>57051700113</v>
      </c>
      <c r="B226" t="s">
        <v>16</v>
      </c>
      <c r="C226" t="s">
        <v>4</v>
      </c>
    </row>
    <row r="227" spans="1:3" x14ac:dyDescent="0.25">
      <c r="A227">
        <v>96111212067</v>
      </c>
      <c r="B227" t="s">
        <v>11</v>
      </c>
      <c r="C227" t="s">
        <v>6</v>
      </c>
    </row>
    <row r="228" spans="1:3" x14ac:dyDescent="0.25">
      <c r="A228">
        <v>89031099317</v>
      </c>
      <c r="B228" t="s">
        <v>15</v>
      </c>
      <c r="C228" t="s">
        <v>6</v>
      </c>
    </row>
    <row r="229" spans="1:3" x14ac:dyDescent="0.25">
      <c r="A229">
        <v>82091382834</v>
      </c>
      <c r="B229" t="s">
        <v>19</v>
      </c>
      <c r="C229" t="s">
        <v>4</v>
      </c>
    </row>
    <row r="230" spans="1:3" x14ac:dyDescent="0.25">
      <c r="A230">
        <v>51122005161</v>
      </c>
      <c r="B230" t="s">
        <v>7</v>
      </c>
      <c r="C230" t="s">
        <v>4</v>
      </c>
    </row>
    <row r="231" spans="1:3" x14ac:dyDescent="0.25">
      <c r="A231">
        <v>65081827241</v>
      </c>
      <c r="B231" t="s">
        <v>9</v>
      </c>
      <c r="C231" t="s">
        <v>6</v>
      </c>
    </row>
    <row r="232" spans="1:3" x14ac:dyDescent="0.25">
      <c r="A232">
        <v>52073149353</v>
      </c>
      <c r="B232" t="s">
        <v>14</v>
      </c>
      <c r="C232" t="s">
        <v>4</v>
      </c>
    </row>
    <row r="233" spans="1:3" x14ac:dyDescent="0.25">
      <c r="A233">
        <v>52072768764</v>
      </c>
      <c r="B233" t="s">
        <v>8</v>
      </c>
      <c r="C233" t="s">
        <v>6</v>
      </c>
    </row>
    <row r="234" spans="1:3" x14ac:dyDescent="0.25">
      <c r="A234">
        <v>73050819755</v>
      </c>
      <c r="B234" t="s">
        <v>16</v>
      </c>
      <c r="C234" t="s">
        <v>4</v>
      </c>
    </row>
    <row r="235" spans="1:3" x14ac:dyDescent="0.25">
      <c r="A235">
        <v>61041842387</v>
      </c>
      <c r="B235" t="s">
        <v>19</v>
      </c>
      <c r="C235" t="s">
        <v>6</v>
      </c>
    </row>
    <row r="236" spans="1:3" x14ac:dyDescent="0.25">
      <c r="A236">
        <v>66072012686</v>
      </c>
      <c r="B236" t="s">
        <v>8</v>
      </c>
      <c r="C236" t="s">
        <v>4</v>
      </c>
    </row>
    <row r="237" spans="1:3" x14ac:dyDescent="0.25">
      <c r="A237">
        <v>52011513628</v>
      </c>
      <c r="B237" t="s">
        <v>3</v>
      </c>
      <c r="C237" t="s">
        <v>4</v>
      </c>
    </row>
    <row r="238" spans="1:3" x14ac:dyDescent="0.25">
      <c r="A238">
        <v>90030794936</v>
      </c>
      <c r="B238" t="s">
        <v>17</v>
      </c>
      <c r="C238" t="s">
        <v>6</v>
      </c>
    </row>
    <row r="239" spans="1:3" x14ac:dyDescent="0.25">
      <c r="A239">
        <v>79011981318</v>
      </c>
      <c r="B239" t="s">
        <v>18</v>
      </c>
      <c r="C239" t="s">
        <v>4</v>
      </c>
    </row>
    <row r="240" spans="1:3" x14ac:dyDescent="0.25">
      <c r="A240">
        <v>93082049658</v>
      </c>
      <c r="B240" t="s">
        <v>13</v>
      </c>
      <c r="C240" t="s">
        <v>4</v>
      </c>
    </row>
    <row r="241" spans="1:3" x14ac:dyDescent="0.25">
      <c r="A241">
        <v>95020539612</v>
      </c>
      <c r="B241" t="s">
        <v>16</v>
      </c>
      <c r="C241" t="s">
        <v>6</v>
      </c>
    </row>
    <row r="242" spans="1:3" x14ac:dyDescent="0.25">
      <c r="A242">
        <v>62121026899</v>
      </c>
      <c r="B242" t="s">
        <v>11</v>
      </c>
      <c r="C242" t="s">
        <v>4</v>
      </c>
    </row>
    <row r="243" spans="1:3" x14ac:dyDescent="0.25">
      <c r="A243">
        <v>98070529271</v>
      </c>
      <c r="B243" t="s">
        <v>8</v>
      </c>
      <c r="C243" t="s">
        <v>6</v>
      </c>
    </row>
    <row r="244" spans="1:3" x14ac:dyDescent="0.25">
      <c r="A244">
        <v>93030531536</v>
      </c>
      <c r="B244" t="s">
        <v>3</v>
      </c>
      <c r="C244" t="s">
        <v>4</v>
      </c>
    </row>
    <row r="245" spans="1:3" x14ac:dyDescent="0.25">
      <c r="A245">
        <v>89051997242</v>
      </c>
      <c r="B245" t="s">
        <v>15</v>
      </c>
      <c r="C245" t="s">
        <v>6</v>
      </c>
    </row>
    <row r="246" spans="1:3" x14ac:dyDescent="0.25">
      <c r="A246">
        <v>98031592126</v>
      </c>
      <c r="B246" t="s">
        <v>11</v>
      </c>
      <c r="C246" t="s">
        <v>6</v>
      </c>
    </row>
    <row r="247" spans="1:3" x14ac:dyDescent="0.25">
      <c r="A247">
        <v>96032495400</v>
      </c>
      <c r="B247" t="s">
        <v>9</v>
      </c>
      <c r="C247" t="s">
        <v>4</v>
      </c>
    </row>
    <row r="248" spans="1:3" x14ac:dyDescent="0.25">
      <c r="A248">
        <v>76060407716</v>
      </c>
      <c r="B248" t="s">
        <v>12</v>
      </c>
      <c r="C248" t="s">
        <v>4</v>
      </c>
    </row>
    <row r="249" spans="1:3" x14ac:dyDescent="0.25">
      <c r="A249">
        <v>86102363786</v>
      </c>
      <c r="B249" t="s">
        <v>7</v>
      </c>
      <c r="C249" t="s">
        <v>6</v>
      </c>
    </row>
    <row r="250" spans="1:3" x14ac:dyDescent="0.25">
      <c r="A250">
        <v>50011021644</v>
      </c>
      <c r="B250" t="s">
        <v>19</v>
      </c>
      <c r="C250" t="s">
        <v>6</v>
      </c>
    </row>
    <row r="251" spans="1:3" x14ac:dyDescent="0.25">
      <c r="A251">
        <v>79020918057</v>
      </c>
      <c r="B251" t="s">
        <v>11</v>
      </c>
      <c r="C251" t="s">
        <v>6</v>
      </c>
    </row>
    <row r="252" spans="1:3" x14ac:dyDescent="0.25">
      <c r="A252">
        <v>78022471528</v>
      </c>
      <c r="B252" t="s">
        <v>13</v>
      </c>
      <c r="C252" t="s">
        <v>6</v>
      </c>
    </row>
    <row r="253" spans="1:3" x14ac:dyDescent="0.25">
      <c r="A253">
        <v>63121010668</v>
      </c>
      <c r="B253" t="s">
        <v>14</v>
      </c>
      <c r="C253" t="s">
        <v>4</v>
      </c>
    </row>
    <row r="254" spans="1:3" x14ac:dyDescent="0.25">
      <c r="A254">
        <v>56080833942</v>
      </c>
      <c r="B254" t="s">
        <v>19</v>
      </c>
      <c r="C254" t="s">
        <v>4</v>
      </c>
    </row>
    <row r="255" spans="1:3" x14ac:dyDescent="0.25">
      <c r="A255">
        <v>66101082660</v>
      </c>
      <c r="B255" t="s">
        <v>17</v>
      </c>
      <c r="C255" t="s">
        <v>4</v>
      </c>
    </row>
    <row r="256" spans="1:3" x14ac:dyDescent="0.25">
      <c r="A256">
        <v>65052373250</v>
      </c>
      <c r="B256" t="s">
        <v>13</v>
      </c>
      <c r="C256" t="s">
        <v>6</v>
      </c>
    </row>
    <row r="257" spans="1:3" x14ac:dyDescent="0.25">
      <c r="A257">
        <v>54061841533</v>
      </c>
      <c r="B257" t="s">
        <v>9</v>
      </c>
      <c r="C257" t="s">
        <v>6</v>
      </c>
    </row>
    <row r="258" spans="1:3" x14ac:dyDescent="0.25">
      <c r="A258">
        <v>90042297346</v>
      </c>
      <c r="B258" t="s">
        <v>8</v>
      </c>
      <c r="C258" t="s">
        <v>6</v>
      </c>
    </row>
    <row r="259" spans="1:3" x14ac:dyDescent="0.25">
      <c r="A259">
        <v>58012291873</v>
      </c>
      <c r="B259" t="s">
        <v>7</v>
      </c>
      <c r="C259" t="s">
        <v>6</v>
      </c>
    </row>
    <row r="260" spans="1:3" x14ac:dyDescent="0.25">
      <c r="A260">
        <v>88020290896</v>
      </c>
      <c r="B260" t="s">
        <v>15</v>
      </c>
      <c r="C260" t="s">
        <v>4</v>
      </c>
    </row>
    <row r="261" spans="1:3" x14ac:dyDescent="0.25">
      <c r="A261">
        <v>74072307837</v>
      </c>
      <c r="B261" t="s">
        <v>19</v>
      </c>
      <c r="C261" t="s">
        <v>6</v>
      </c>
    </row>
    <row r="262" spans="1:3" x14ac:dyDescent="0.25">
      <c r="A262">
        <v>72122724900</v>
      </c>
      <c r="B262" t="s">
        <v>19</v>
      </c>
      <c r="C262" t="s">
        <v>6</v>
      </c>
    </row>
    <row r="263" spans="1:3" x14ac:dyDescent="0.25">
      <c r="A263">
        <v>76081823199</v>
      </c>
      <c r="B263" t="s">
        <v>16</v>
      </c>
      <c r="C263" t="s">
        <v>6</v>
      </c>
    </row>
    <row r="264" spans="1:3" x14ac:dyDescent="0.25">
      <c r="A264">
        <v>79042502241</v>
      </c>
      <c r="B264" t="s">
        <v>10</v>
      </c>
      <c r="C264" t="s">
        <v>6</v>
      </c>
    </row>
    <row r="265" spans="1:3" x14ac:dyDescent="0.25">
      <c r="A265">
        <v>57071748146</v>
      </c>
      <c r="B265" t="s">
        <v>7</v>
      </c>
      <c r="C265" t="s">
        <v>4</v>
      </c>
    </row>
    <row r="266" spans="1:3" x14ac:dyDescent="0.25">
      <c r="A266">
        <v>69042830493</v>
      </c>
      <c r="B266" t="s">
        <v>5</v>
      </c>
      <c r="C266" t="s">
        <v>4</v>
      </c>
    </row>
    <row r="267" spans="1:3" x14ac:dyDescent="0.25">
      <c r="A267">
        <v>51122805709</v>
      </c>
      <c r="B267" t="s">
        <v>9</v>
      </c>
      <c r="C267" t="s">
        <v>4</v>
      </c>
    </row>
    <row r="268" spans="1:3" x14ac:dyDescent="0.25">
      <c r="A268">
        <v>60100601215</v>
      </c>
      <c r="B268" t="s">
        <v>14</v>
      </c>
      <c r="C268" t="s">
        <v>6</v>
      </c>
    </row>
    <row r="269" spans="1:3" x14ac:dyDescent="0.25">
      <c r="A269">
        <v>71032673014</v>
      </c>
      <c r="B269" t="s">
        <v>15</v>
      </c>
      <c r="C269" t="s">
        <v>6</v>
      </c>
    </row>
    <row r="270" spans="1:3" x14ac:dyDescent="0.25">
      <c r="A270">
        <v>65020176692</v>
      </c>
      <c r="B270" t="s">
        <v>8</v>
      </c>
      <c r="C270" t="s">
        <v>4</v>
      </c>
    </row>
    <row r="271" spans="1:3" x14ac:dyDescent="0.25">
      <c r="A271">
        <v>96030717845</v>
      </c>
      <c r="B271" t="s">
        <v>11</v>
      </c>
      <c r="C271" t="s">
        <v>4</v>
      </c>
    </row>
    <row r="272" spans="1:3" x14ac:dyDescent="0.25">
      <c r="A272">
        <v>58072435114</v>
      </c>
      <c r="B272" t="s">
        <v>11</v>
      </c>
      <c r="C272" t="s">
        <v>6</v>
      </c>
    </row>
    <row r="273" spans="1:3" x14ac:dyDescent="0.25">
      <c r="A273">
        <v>76121983603</v>
      </c>
      <c r="B273" t="s">
        <v>19</v>
      </c>
      <c r="C273" t="s">
        <v>6</v>
      </c>
    </row>
    <row r="274" spans="1:3" x14ac:dyDescent="0.25">
      <c r="A274">
        <v>63102281616</v>
      </c>
      <c r="B274" t="s">
        <v>17</v>
      </c>
      <c r="C274" t="s">
        <v>4</v>
      </c>
    </row>
    <row r="275" spans="1:3" x14ac:dyDescent="0.25">
      <c r="A275">
        <v>60102044179</v>
      </c>
      <c r="B275" t="s">
        <v>15</v>
      </c>
      <c r="C275" t="s">
        <v>6</v>
      </c>
    </row>
    <row r="276" spans="1:3" x14ac:dyDescent="0.25">
      <c r="A276">
        <v>79110638474</v>
      </c>
      <c r="B276" t="s">
        <v>18</v>
      </c>
      <c r="C276" t="s">
        <v>4</v>
      </c>
    </row>
    <row r="277" spans="1:3" x14ac:dyDescent="0.25">
      <c r="A277">
        <v>56031331390</v>
      </c>
      <c r="B277" t="s">
        <v>8</v>
      </c>
      <c r="C277" t="s">
        <v>4</v>
      </c>
    </row>
    <row r="278" spans="1:3" x14ac:dyDescent="0.25">
      <c r="A278">
        <v>88031966519</v>
      </c>
      <c r="B278" t="s">
        <v>8</v>
      </c>
      <c r="C278" t="s">
        <v>6</v>
      </c>
    </row>
    <row r="279" spans="1:3" x14ac:dyDescent="0.25">
      <c r="A279">
        <v>60100214787</v>
      </c>
      <c r="B279" t="s">
        <v>16</v>
      </c>
      <c r="C279" t="s">
        <v>4</v>
      </c>
    </row>
    <row r="280" spans="1:3" x14ac:dyDescent="0.25">
      <c r="A280">
        <v>70080400450</v>
      </c>
      <c r="B280" t="s">
        <v>16</v>
      </c>
      <c r="C280" t="s">
        <v>6</v>
      </c>
    </row>
    <row r="281" spans="1:3" x14ac:dyDescent="0.25">
      <c r="A281">
        <v>71111962853</v>
      </c>
      <c r="B281" t="s">
        <v>20</v>
      </c>
      <c r="C281" t="s">
        <v>4</v>
      </c>
    </row>
    <row r="282" spans="1:3" x14ac:dyDescent="0.25">
      <c r="A282">
        <v>77041828005</v>
      </c>
      <c r="B282" t="s">
        <v>16</v>
      </c>
      <c r="C282" t="s">
        <v>4</v>
      </c>
    </row>
    <row r="283" spans="1:3" x14ac:dyDescent="0.25">
      <c r="A283">
        <v>61082401051</v>
      </c>
      <c r="B283" t="s">
        <v>16</v>
      </c>
      <c r="C283" t="s">
        <v>6</v>
      </c>
    </row>
    <row r="284" spans="1:3" x14ac:dyDescent="0.25">
      <c r="A284">
        <v>53080346768</v>
      </c>
      <c r="B284" t="s">
        <v>13</v>
      </c>
      <c r="C284" t="s">
        <v>4</v>
      </c>
    </row>
    <row r="285" spans="1:3" x14ac:dyDescent="0.25">
      <c r="A285">
        <v>81092123347</v>
      </c>
      <c r="B285" t="s">
        <v>20</v>
      </c>
      <c r="C285" t="s">
        <v>6</v>
      </c>
    </row>
    <row r="286" spans="1:3" x14ac:dyDescent="0.25">
      <c r="A286">
        <v>83102006475</v>
      </c>
      <c r="B286" t="s">
        <v>13</v>
      </c>
      <c r="C286" t="s">
        <v>4</v>
      </c>
    </row>
    <row r="287" spans="1:3" x14ac:dyDescent="0.25">
      <c r="A287">
        <v>57080789431</v>
      </c>
      <c r="B287" t="s">
        <v>10</v>
      </c>
      <c r="C287" t="s">
        <v>6</v>
      </c>
    </row>
    <row r="288" spans="1:3" x14ac:dyDescent="0.25">
      <c r="A288">
        <v>96092868033</v>
      </c>
      <c r="B288" t="s">
        <v>17</v>
      </c>
      <c r="C288" t="s">
        <v>4</v>
      </c>
    </row>
    <row r="289" spans="1:3" x14ac:dyDescent="0.25">
      <c r="A289">
        <v>61040869008</v>
      </c>
      <c r="B289" t="s">
        <v>18</v>
      </c>
      <c r="C289" t="s">
        <v>4</v>
      </c>
    </row>
    <row r="290" spans="1:3" x14ac:dyDescent="0.25">
      <c r="A290">
        <v>56112420867</v>
      </c>
      <c r="B290" t="s">
        <v>13</v>
      </c>
      <c r="C290" t="s">
        <v>6</v>
      </c>
    </row>
    <row r="291" spans="1:3" x14ac:dyDescent="0.25">
      <c r="A291">
        <v>73033131926</v>
      </c>
      <c r="B291" t="s">
        <v>7</v>
      </c>
      <c r="C291" t="s">
        <v>6</v>
      </c>
    </row>
    <row r="292" spans="1:3" x14ac:dyDescent="0.25">
      <c r="A292">
        <v>59071140867</v>
      </c>
      <c r="B292" t="s">
        <v>16</v>
      </c>
      <c r="C292" t="s">
        <v>4</v>
      </c>
    </row>
    <row r="293" spans="1:3" x14ac:dyDescent="0.25">
      <c r="A293">
        <v>53062600392</v>
      </c>
      <c r="B293" t="s">
        <v>11</v>
      </c>
      <c r="C293" t="s">
        <v>6</v>
      </c>
    </row>
    <row r="294" spans="1:3" x14ac:dyDescent="0.25">
      <c r="A294">
        <v>94091797482</v>
      </c>
      <c r="B294" t="s">
        <v>5</v>
      </c>
      <c r="C294" t="s">
        <v>6</v>
      </c>
    </row>
    <row r="295" spans="1:3" x14ac:dyDescent="0.25">
      <c r="A295">
        <v>66082438007</v>
      </c>
      <c r="B295" t="s">
        <v>18</v>
      </c>
      <c r="C295" t="s">
        <v>6</v>
      </c>
    </row>
    <row r="296" spans="1:3" x14ac:dyDescent="0.25">
      <c r="A296">
        <v>70120434153</v>
      </c>
      <c r="B296" t="s">
        <v>18</v>
      </c>
      <c r="C296" t="s">
        <v>4</v>
      </c>
    </row>
    <row r="297" spans="1:3" x14ac:dyDescent="0.25">
      <c r="A297">
        <v>99072313297</v>
      </c>
      <c r="B297" t="s">
        <v>17</v>
      </c>
      <c r="C297" t="s">
        <v>6</v>
      </c>
    </row>
    <row r="298" spans="1:3" x14ac:dyDescent="0.25">
      <c r="A298">
        <v>52032165031</v>
      </c>
      <c r="B298" t="s">
        <v>17</v>
      </c>
      <c r="C298" t="s">
        <v>4</v>
      </c>
    </row>
    <row r="299" spans="1:3" x14ac:dyDescent="0.25">
      <c r="A299">
        <v>89101149319</v>
      </c>
      <c r="B299" t="s">
        <v>3</v>
      </c>
      <c r="C299" t="s">
        <v>6</v>
      </c>
    </row>
    <row r="300" spans="1:3" x14ac:dyDescent="0.25">
      <c r="A300">
        <v>79083070972</v>
      </c>
      <c r="B300" t="s">
        <v>14</v>
      </c>
      <c r="C300" t="s">
        <v>6</v>
      </c>
    </row>
    <row r="301" spans="1:3" x14ac:dyDescent="0.25">
      <c r="A301">
        <v>93021544752</v>
      </c>
      <c r="B301" t="s">
        <v>5</v>
      </c>
      <c r="C301" t="s">
        <v>4</v>
      </c>
    </row>
    <row r="302" spans="1:3" x14ac:dyDescent="0.25">
      <c r="A302">
        <v>92112431197</v>
      </c>
      <c r="B302" t="s">
        <v>17</v>
      </c>
      <c r="C302" t="s">
        <v>4</v>
      </c>
    </row>
    <row r="303" spans="1:3" x14ac:dyDescent="0.25">
      <c r="A303">
        <v>51121146926</v>
      </c>
      <c r="B303" t="s">
        <v>20</v>
      </c>
      <c r="C303" t="s">
        <v>6</v>
      </c>
    </row>
    <row r="304" spans="1:3" x14ac:dyDescent="0.25">
      <c r="A304">
        <v>85111499028</v>
      </c>
      <c r="B304" t="s">
        <v>15</v>
      </c>
      <c r="C304" t="s">
        <v>6</v>
      </c>
    </row>
    <row r="305" spans="1:3" x14ac:dyDescent="0.25">
      <c r="A305">
        <v>98012042048</v>
      </c>
      <c r="B305" t="s">
        <v>20</v>
      </c>
      <c r="C305" t="s">
        <v>4</v>
      </c>
    </row>
    <row r="306" spans="1:3" x14ac:dyDescent="0.25">
      <c r="A306">
        <v>72071093829</v>
      </c>
      <c r="B306" t="s">
        <v>15</v>
      </c>
      <c r="C306" t="s">
        <v>4</v>
      </c>
    </row>
    <row r="307" spans="1:3" x14ac:dyDescent="0.25">
      <c r="A307">
        <v>69040958571</v>
      </c>
      <c r="B307" t="s">
        <v>10</v>
      </c>
      <c r="C307" t="s">
        <v>4</v>
      </c>
    </row>
    <row r="308" spans="1:3" x14ac:dyDescent="0.25">
      <c r="A308">
        <v>69090471617</v>
      </c>
      <c r="B308" t="s">
        <v>5</v>
      </c>
      <c r="C308" t="s">
        <v>4</v>
      </c>
    </row>
    <row r="309" spans="1:3" x14ac:dyDescent="0.25">
      <c r="A309">
        <v>50062151338</v>
      </c>
      <c r="B309" t="s">
        <v>19</v>
      </c>
      <c r="C309" t="s">
        <v>4</v>
      </c>
    </row>
    <row r="310" spans="1:3" x14ac:dyDescent="0.25">
      <c r="A310">
        <v>96123037605</v>
      </c>
      <c r="B310" t="s">
        <v>14</v>
      </c>
      <c r="C310" t="s">
        <v>6</v>
      </c>
    </row>
    <row r="311" spans="1:3" x14ac:dyDescent="0.25">
      <c r="A311">
        <v>50040731114</v>
      </c>
      <c r="B311" t="s">
        <v>11</v>
      </c>
      <c r="C311" t="s">
        <v>4</v>
      </c>
    </row>
    <row r="312" spans="1:3" x14ac:dyDescent="0.25">
      <c r="A312">
        <v>86063067804</v>
      </c>
      <c r="B312" t="s">
        <v>19</v>
      </c>
      <c r="C312" t="s">
        <v>4</v>
      </c>
    </row>
    <row r="313" spans="1:3" x14ac:dyDescent="0.25">
      <c r="A313">
        <v>64070523768</v>
      </c>
      <c r="B313" t="s">
        <v>17</v>
      </c>
      <c r="C313" t="s">
        <v>4</v>
      </c>
    </row>
    <row r="314" spans="1:3" x14ac:dyDescent="0.25">
      <c r="A314">
        <v>61111487140</v>
      </c>
      <c r="B314" t="s">
        <v>12</v>
      </c>
      <c r="C314" t="s">
        <v>4</v>
      </c>
    </row>
    <row r="315" spans="1:3" x14ac:dyDescent="0.25">
      <c r="A315">
        <v>55081402366</v>
      </c>
      <c r="B315" t="s">
        <v>5</v>
      </c>
      <c r="C315" t="s">
        <v>6</v>
      </c>
    </row>
    <row r="316" spans="1:3" x14ac:dyDescent="0.25">
      <c r="A316">
        <v>68101484688</v>
      </c>
      <c r="B316" t="s">
        <v>5</v>
      </c>
      <c r="C316" t="s">
        <v>6</v>
      </c>
    </row>
    <row r="317" spans="1:3" x14ac:dyDescent="0.25">
      <c r="A317">
        <v>96072101624</v>
      </c>
      <c r="B317" t="s">
        <v>17</v>
      </c>
      <c r="C317" t="s">
        <v>6</v>
      </c>
    </row>
    <row r="318" spans="1:3" x14ac:dyDescent="0.25">
      <c r="A318">
        <v>53111372836</v>
      </c>
      <c r="B318" t="s">
        <v>8</v>
      </c>
      <c r="C318" t="s">
        <v>6</v>
      </c>
    </row>
    <row r="319" spans="1:3" x14ac:dyDescent="0.25">
      <c r="A319">
        <v>66050423060</v>
      </c>
      <c r="B319" t="s">
        <v>5</v>
      </c>
      <c r="C319" t="s">
        <v>6</v>
      </c>
    </row>
    <row r="320" spans="1:3" x14ac:dyDescent="0.25">
      <c r="A320">
        <v>50112572104</v>
      </c>
      <c r="B320" t="s">
        <v>8</v>
      </c>
      <c r="C320" t="s">
        <v>6</v>
      </c>
    </row>
    <row r="321" spans="1:3" x14ac:dyDescent="0.25">
      <c r="A321">
        <v>66041509607</v>
      </c>
      <c r="B321" t="s">
        <v>17</v>
      </c>
      <c r="C321" t="s">
        <v>4</v>
      </c>
    </row>
    <row r="322" spans="1:3" x14ac:dyDescent="0.25">
      <c r="A322">
        <v>54111160315</v>
      </c>
      <c r="B322" t="s">
        <v>9</v>
      </c>
      <c r="C322" t="s">
        <v>4</v>
      </c>
    </row>
    <row r="323" spans="1:3" x14ac:dyDescent="0.25">
      <c r="A323">
        <v>56040228672</v>
      </c>
      <c r="B323" t="s">
        <v>14</v>
      </c>
      <c r="C323" t="s">
        <v>6</v>
      </c>
    </row>
    <row r="324" spans="1:3" x14ac:dyDescent="0.25">
      <c r="A324">
        <v>78111431918</v>
      </c>
      <c r="B324" t="s">
        <v>11</v>
      </c>
      <c r="C324" t="s">
        <v>4</v>
      </c>
    </row>
    <row r="325" spans="1:3" x14ac:dyDescent="0.25">
      <c r="A325">
        <v>73070626456</v>
      </c>
      <c r="B325" t="s">
        <v>7</v>
      </c>
      <c r="C325" t="s">
        <v>6</v>
      </c>
    </row>
    <row r="326" spans="1:3" x14ac:dyDescent="0.25">
      <c r="A326">
        <v>61042433348</v>
      </c>
      <c r="B326" t="s">
        <v>14</v>
      </c>
      <c r="C326" t="s">
        <v>6</v>
      </c>
    </row>
    <row r="327" spans="1:3" x14ac:dyDescent="0.25">
      <c r="A327">
        <v>81050869595</v>
      </c>
      <c r="B327" t="s">
        <v>19</v>
      </c>
      <c r="C327" t="s">
        <v>4</v>
      </c>
    </row>
    <row r="328" spans="1:3" x14ac:dyDescent="0.25">
      <c r="A328">
        <v>58091890613</v>
      </c>
      <c r="B328" t="s">
        <v>9</v>
      </c>
      <c r="C328" t="s">
        <v>4</v>
      </c>
    </row>
    <row r="329" spans="1:3" x14ac:dyDescent="0.25">
      <c r="A329">
        <v>66082232755</v>
      </c>
      <c r="B329" t="s">
        <v>5</v>
      </c>
      <c r="C329" t="s">
        <v>6</v>
      </c>
    </row>
    <row r="330" spans="1:3" x14ac:dyDescent="0.25">
      <c r="A330">
        <v>69020508231</v>
      </c>
      <c r="B330" t="s">
        <v>17</v>
      </c>
      <c r="C330" t="s">
        <v>6</v>
      </c>
    </row>
    <row r="331" spans="1:3" x14ac:dyDescent="0.25">
      <c r="A331">
        <v>57111407330</v>
      </c>
      <c r="B331" t="s">
        <v>10</v>
      </c>
      <c r="C331" t="s">
        <v>4</v>
      </c>
    </row>
    <row r="332" spans="1:3" x14ac:dyDescent="0.25">
      <c r="A332">
        <v>52110758050</v>
      </c>
      <c r="B332" t="s">
        <v>12</v>
      </c>
      <c r="C332" t="s">
        <v>4</v>
      </c>
    </row>
    <row r="333" spans="1:3" x14ac:dyDescent="0.25">
      <c r="A333">
        <v>93011246172</v>
      </c>
      <c r="B333" t="s">
        <v>19</v>
      </c>
      <c r="C333" t="s">
        <v>4</v>
      </c>
    </row>
    <row r="334" spans="1:3" x14ac:dyDescent="0.25">
      <c r="A334">
        <v>96121936753</v>
      </c>
      <c r="B334" t="s">
        <v>12</v>
      </c>
      <c r="C334" t="s">
        <v>6</v>
      </c>
    </row>
    <row r="335" spans="1:3" x14ac:dyDescent="0.25">
      <c r="A335">
        <v>79061604939</v>
      </c>
      <c r="B335" t="s">
        <v>17</v>
      </c>
      <c r="C335" t="s">
        <v>6</v>
      </c>
    </row>
    <row r="336" spans="1:3" x14ac:dyDescent="0.25">
      <c r="A336">
        <v>90082985672</v>
      </c>
      <c r="B336" t="s">
        <v>5</v>
      </c>
      <c r="C336" t="s">
        <v>4</v>
      </c>
    </row>
    <row r="337" spans="1:3" x14ac:dyDescent="0.25">
      <c r="A337">
        <v>86010806854</v>
      </c>
      <c r="B337" t="s">
        <v>19</v>
      </c>
      <c r="C337" t="s">
        <v>4</v>
      </c>
    </row>
    <row r="338" spans="1:3" x14ac:dyDescent="0.25">
      <c r="A338">
        <v>60051494601</v>
      </c>
      <c r="B338" t="s">
        <v>13</v>
      </c>
      <c r="C338" t="s">
        <v>4</v>
      </c>
    </row>
    <row r="339" spans="1:3" x14ac:dyDescent="0.25">
      <c r="A339">
        <v>78012615541</v>
      </c>
      <c r="B339" t="s">
        <v>13</v>
      </c>
      <c r="C339" t="s">
        <v>6</v>
      </c>
    </row>
    <row r="340" spans="1:3" x14ac:dyDescent="0.25">
      <c r="A340">
        <v>85120295381</v>
      </c>
      <c r="B340" t="s">
        <v>20</v>
      </c>
      <c r="C340" t="s">
        <v>6</v>
      </c>
    </row>
    <row r="341" spans="1:3" x14ac:dyDescent="0.25">
      <c r="A341">
        <v>52042558504</v>
      </c>
      <c r="B341" t="s">
        <v>19</v>
      </c>
      <c r="C341" t="s">
        <v>4</v>
      </c>
    </row>
    <row r="342" spans="1:3" x14ac:dyDescent="0.25">
      <c r="A342">
        <v>60091893541</v>
      </c>
      <c r="B342" t="s">
        <v>10</v>
      </c>
      <c r="C342" t="s">
        <v>4</v>
      </c>
    </row>
    <row r="343" spans="1:3" x14ac:dyDescent="0.25">
      <c r="A343">
        <v>80021593459</v>
      </c>
      <c r="B343" t="s">
        <v>10</v>
      </c>
      <c r="C343" t="s">
        <v>4</v>
      </c>
    </row>
    <row r="344" spans="1:3" x14ac:dyDescent="0.25">
      <c r="A344">
        <v>62011939184</v>
      </c>
      <c r="B344" t="s">
        <v>10</v>
      </c>
      <c r="C344" t="s">
        <v>6</v>
      </c>
    </row>
    <row r="345" spans="1:3" x14ac:dyDescent="0.25">
      <c r="A345">
        <v>78092814382</v>
      </c>
      <c r="B345" t="s">
        <v>19</v>
      </c>
      <c r="C345" t="s">
        <v>4</v>
      </c>
    </row>
    <row r="346" spans="1:3" x14ac:dyDescent="0.25">
      <c r="A346">
        <v>69060539204</v>
      </c>
      <c r="B346" t="s">
        <v>3</v>
      </c>
      <c r="C346" t="s">
        <v>4</v>
      </c>
    </row>
    <row r="347" spans="1:3" x14ac:dyDescent="0.25">
      <c r="A347">
        <v>54012029489</v>
      </c>
      <c r="B347" t="s">
        <v>13</v>
      </c>
      <c r="C347" t="s">
        <v>4</v>
      </c>
    </row>
    <row r="348" spans="1:3" x14ac:dyDescent="0.25">
      <c r="A348">
        <v>71120775567</v>
      </c>
      <c r="B348" t="s">
        <v>11</v>
      </c>
      <c r="C348" t="s">
        <v>6</v>
      </c>
    </row>
    <row r="349" spans="1:3" x14ac:dyDescent="0.25">
      <c r="A349">
        <v>97082550396</v>
      </c>
      <c r="B349" t="s">
        <v>13</v>
      </c>
      <c r="C349" t="s">
        <v>4</v>
      </c>
    </row>
    <row r="350" spans="1:3" x14ac:dyDescent="0.25">
      <c r="A350">
        <v>83092045281</v>
      </c>
      <c r="B350" t="s">
        <v>16</v>
      </c>
      <c r="C350" t="s">
        <v>4</v>
      </c>
    </row>
    <row r="351" spans="1:3" x14ac:dyDescent="0.25">
      <c r="A351">
        <v>63011212011</v>
      </c>
      <c r="B351" t="s">
        <v>19</v>
      </c>
      <c r="C351" t="s">
        <v>6</v>
      </c>
    </row>
    <row r="352" spans="1:3" x14ac:dyDescent="0.25">
      <c r="A352">
        <v>55040378486</v>
      </c>
      <c r="B352" t="s">
        <v>17</v>
      </c>
      <c r="C352" t="s">
        <v>4</v>
      </c>
    </row>
    <row r="353" spans="1:3" x14ac:dyDescent="0.25">
      <c r="A353">
        <v>93042345873</v>
      </c>
      <c r="B353" t="s">
        <v>11</v>
      </c>
      <c r="C353" t="s">
        <v>6</v>
      </c>
    </row>
    <row r="354" spans="1:3" x14ac:dyDescent="0.25">
      <c r="A354">
        <v>54050436032</v>
      </c>
      <c r="B354" t="s">
        <v>7</v>
      </c>
      <c r="C354" t="s">
        <v>4</v>
      </c>
    </row>
    <row r="355" spans="1:3" x14ac:dyDescent="0.25">
      <c r="A355">
        <v>87110483314</v>
      </c>
      <c r="B355" t="s">
        <v>20</v>
      </c>
      <c r="C355" t="s">
        <v>6</v>
      </c>
    </row>
    <row r="356" spans="1:3" x14ac:dyDescent="0.25">
      <c r="A356">
        <v>56100225593</v>
      </c>
      <c r="B356" t="s">
        <v>18</v>
      </c>
      <c r="C356" t="s">
        <v>6</v>
      </c>
    </row>
    <row r="357" spans="1:3" x14ac:dyDescent="0.25">
      <c r="A357">
        <v>87081751737</v>
      </c>
      <c r="B357" t="s">
        <v>19</v>
      </c>
      <c r="C357" t="s">
        <v>4</v>
      </c>
    </row>
    <row r="358" spans="1:3" x14ac:dyDescent="0.25">
      <c r="A358">
        <v>65030177359</v>
      </c>
      <c r="B358" t="s">
        <v>19</v>
      </c>
      <c r="C358" t="s">
        <v>4</v>
      </c>
    </row>
    <row r="359" spans="1:3" x14ac:dyDescent="0.25">
      <c r="A359">
        <v>98101496192</v>
      </c>
      <c r="B359" t="s">
        <v>12</v>
      </c>
      <c r="C359" t="s">
        <v>6</v>
      </c>
    </row>
    <row r="360" spans="1:3" x14ac:dyDescent="0.25">
      <c r="A360">
        <v>81071437597</v>
      </c>
      <c r="B360" t="s">
        <v>16</v>
      </c>
      <c r="C360" t="s">
        <v>4</v>
      </c>
    </row>
    <row r="361" spans="1:3" x14ac:dyDescent="0.25">
      <c r="A361">
        <v>82042883285</v>
      </c>
      <c r="B361" t="s">
        <v>19</v>
      </c>
      <c r="C361" t="s">
        <v>4</v>
      </c>
    </row>
    <row r="362" spans="1:3" x14ac:dyDescent="0.25">
      <c r="A362">
        <v>76100518516</v>
      </c>
      <c r="B362" t="s">
        <v>16</v>
      </c>
      <c r="C362" t="s">
        <v>4</v>
      </c>
    </row>
    <row r="363" spans="1:3" x14ac:dyDescent="0.25">
      <c r="A363">
        <v>76021655411</v>
      </c>
      <c r="B363" t="s">
        <v>12</v>
      </c>
      <c r="C363" t="s">
        <v>6</v>
      </c>
    </row>
    <row r="364" spans="1:3" x14ac:dyDescent="0.25">
      <c r="A364">
        <v>99083108912</v>
      </c>
      <c r="B364" t="s">
        <v>15</v>
      </c>
      <c r="C364" t="s">
        <v>6</v>
      </c>
    </row>
    <row r="365" spans="1:3" x14ac:dyDescent="0.25">
      <c r="A365">
        <v>53041446074</v>
      </c>
      <c r="B365" t="s">
        <v>5</v>
      </c>
      <c r="C365" t="s">
        <v>6</v>
      </c>
    </row>
    <row r="366" spans="1:3" x14ac:dyDescent="0.25">
      <c r="A366">
        <v>82040651244</v>
      </c>
      <c r="B366" t="s">
        <v>19</v>
      </c>
      <c r="C366" t="s">
        <v>4</v>
      </c>
    </row>
    <row r="367" spans="1:3" x14ac:dyDescent="0.25">
      <c r="A367">
        <v>98062819672</v>
      </c>
      <c r="B367" t="s">
        <v>16</v>
      </c>
      <c r="C367" t="s">
        <v>4</v>
      </c>
    </row>
    <row r="368" spans="1:3" x14ac:dyDescent="0.25">
      <c r="A368">
        <v>71082464877</v>
      </c>
      <c r="B368" t="s">
        <v>12</v>
      </c>
      <c r="C368" t="s">
        <v>4</v>
      </c>
    </row>
    <row r="369" spans="1:3" x14ac:dyDescent="0.25">
      <c r="A369">
        <v>98121450028</v>
      </c>
      <c r="B369" t="s">
        <v>12</v>
      </c>
      <c r="C369" t="s">
        <v>4</v>
      </c>
    </row>
    <row r="370" spans="1:3" x14ac:dyDescent="0.25">
      <c r="A370">
        <v>68111216570</v>
      </c>
      <c r="B370" t="s">
        <v>10</v>
      </c>
      <c r="C370" t="s">
        <v>4</v>
      </c>
    </row>
    <row r="371" spans="1:3" x14ac:dyDescent="0.25">
      <c r="A371">
        <v>96112579475</v>
      </c>
      <c r="B371" t="s">
        <v>9</v>
      </c>
      <c r="C371" t="s">
        <v>6</v>
      </c>
    </row>
    <row r="372" spans="1:3" x14ac:dyDescent="0.25">
      <c r="A372">
        <v>62062966269</v>
      </c>
      <c r="B372" t="s">
        <v>7</v>
      </c>
      <c r="C372" t="s">
        <v>4</v>
      </c>
    </row>
    <row r="373" spans="1:3" x14ac:dyDescent="0.25">
      <c r="A373">
        <v>98012031044</v>
      </c>
      <c r="B373" t="s">
        <v>12</v>
      </c>
      <c r="C373" t="s">
        <v>4</v>
      </c>
    </row>
    <row r="374" spans="1:3" x14ac:dyDescent="0.25">
      <c r="A374">
        <v>81061664770</v>
      </c>
      <c r="B374" t="s">
        <v>7</v>
      </c>
      <c r="C374" t="s">
        <v>6</v>
      </c>
    </row>
    <row r="375" spans="1:3" x14ac:dyDescent="0.25">
      <c r="A375">
        <v>71092819494</v>
      </c>
      <c r="B375" t="s">
        <v>14</v>
      </c>
      <c r="C375" t="s">
        <v>6</v>
      </c>
    </row>
    <row r="376" spans="1:3" x14ac:dyDescent="0.25">
      <c r="A376">
        <v>86121687339</v>
      </c>
      <c r="B376" t="s">
        <v>12</v>
      </c>
      <c r="C376" t="s">
        <v>6</v>
      </c>
    </row>
    <row r="377" spans="1:3" x14ac:dyDescent="0.25">
      <c r="A377">
        <v>57121694261</v>
      </c>
      <c r="B377" t="s">
        <v>18</v>
      </c>
      <c r="C377" t="s">
        <v>4</v>
      </c>
    </row>
    <row r="378" spans="1:3" x14ac:dyDescent="0.25">
      <c r="A378">
        <v>60020736888</v>
      </c>
      <c r="B378" t="s">
        <v>7</v>
      </c>
      <c r="C378" t="s">
        <v>4</v>
      </c>
    </row>
    <row r="379" spans="1:3" x14ac:dyDescent="0.25">
      <c r="A379">
        <v>75020499295</v>
      </c>
      <c r="B379" t="s">
        <v>12</v>
      </c>
      <c r="C379" t="s">
        <v>4</v>
      </c>
    </row>
    <row r="380" spans="1:3" x14ac:dyDescent="0.25">
      <c r="A380">
        <v>77111555550</v>
      </c>
      <c r="B380" t="s">
        <v>18</v>
      </c>
      <c r="C380" t="s">
        <v>4</v>
      </c>
    </row>
    <row r="381" spans="1:3" x14ac:dyDescent="0.25">
      <c r="A381">
        <v>58021758370</v>
      </c>
      <c r="B381" t="s">
        <v>16</v>
      </c>
      <c r="C381" t="s">
        <v>4</v>
      </c>
    </row>
    <row r="382" spans="1:3" x14ac:dyDescent="0.25">
      <c r="A382">
        <v>76082740538</v>
      </c>
      <c r="B382" t="s">
        <v>13</v>
      </c>
      <c r="C382" t="s">
        <v>4</v>
      </c>
    </row>
    <row r="383" spans="1:3" x14ac:dyDescent="0.25">
      <c r="A383">
        <v>98060701454</v>
      </c>
      <c r="B383" t="s">
        <v>7</v>
      </c>
      <c r="C383" t="s">
        <v>4</v>
      </c>
    </row>
    <row r="384" spans="1:3" x14ac:dyDescent="0.25">
      <c r="A384">
        <v>50111946757</v>
      </c>
      <c r="B384" t="s">
        <v>5</v>
      </c>
      <c r="C384" t="s">
        <v>6</v>
      </c>
    </row>
    <row r="385" spans="1:3" x14ac:dyDescent="0.25">
      <c r="A385">
        <v>64011943574</v>
      </c>
      <c r="B385" t="s">
        <v>5</v>
      </c>
      <c r="C385" t="s">
        <v>6</v>
      </c>
    </row>
    <row r="386" spans="1:3" x14ac:dyDescent="0.25">
      <c r="A386">
        <v>64111978557</v>
      </c>
      <c r="B386" t="s">
        <v>10</v>
      </c>
      <c r="C386" t="s">
        <v>6</v>
      </c>
    </row>
    <row r="387" spans="1:3" x14ac:dyDescent="0.25">
      <c r="A387">
        <v>67090828323</v>
      </c>
      <c r="B387" t="s">
        <v>14</v>
      </c>
      <c r="C387" t="s">
        <v>6</v>
      </c>
    </row>
    <row r="388" spans="1:3" x14ac:dyDescent="0.25">
      <c r="A388">
        <v>55011731764</v>
      </c>
      <c r="B388" t="s">
        <v>3</v>
      </c>
      <c r="C388" t="s">
        <v>6</v>
      </c>
    </row>
    <row r="389" spans="1:3" x14ac:dyDescent="0.25">
      <c r="A389">
        <v>76090406305</v>
      </c>
      <c r="B389" t="s">
        <v>16</v>
      </c>
      <c r="C389" t="s">
        <v>4</v>
      </c>
    </row>
    <row r="390" spans="1:3" x14ac:dyDescent="0.25">
      <c r="A390">
        <v>80020819576</v>
      </c>
      <c r="B390" t="s">
        <v>19</v>
      </c>
      <c r="C390" t="s">
        <v>6</v>
      </c>
    </row>
    <row r="391" spans="1:3" x14ac:dyDescent="0.25">
      <c r="A391">
        <v>73020122872</v>
      </c>
      <c r="B391" t="s">
        <v>17</v>
      </c>
      <c r="C391" t="s">
        <v>6</v>
      </c>
    </row>
    <row r="392" spans="1:3" x14ac:dyDescent="0.25">
      <c r="A392">
        <v>67030428862</v>
      </c>
      <c r="B392" t="s">
        <v>20</v>
      </c>
      <c r="C392" t="s">
        <v>4</v>
      </c>
    </row>
    <row r="393" spans="1:3" x14ac:dyDescent="0.25">
      <c r="A393">
        <v>93021206362</v>
      </c>
      <c r="B393" t="s">
        <v>8</v>
      </c>
      <c r="C393" t="s">
        <v>4</v>
      </c>
    </row>
    <row r="394" spans="1:3" x14ac:dyDescent="0.25">
      <c r="A394">
        <v>89050505963</v>
      </c>
      <c r="B394" t="s">
        <v>5</v>
      </c>
      <c r="C394" t="s">
        <v>4</v>
      </c>
    </row>
    <row r="395" spans="1:3" x14ac:dyDescent="0.25">
      <c r="A395">
        <v>73101493325</v>
      </c>
      <c r="B395" t="s">
        <v>16</v>
      </c>
      <c r="C395" t="s">
        <v>4</v>
      </c>
    </row>
    <row r="396" spans="1:3" x14ac:dyDescent="0.25">
      <c r="A396">
        <v>85071473760</v>
      </c>
      <c r="B396" t="s">
        <v>3</v>
      </c>
      <c r="C396" t="s">
        <v>6</v>
      </c>
    </row>
    <row r="397" spans="1:3" x14ac:dyDescent="0.25">
      <c r="A397">
        <v>65071424836</v>
      </c>
      <c r="B397" t="s">
        <v>5</v>
      </c>
      <c r="C397" t="s">
        <v>6</v>
      </c>
    </row>
    <row r="398" spans="1:3" x14ac:dyDescent="0.25">
      <c r="A398">
        <v>61021342298</v>
      </c>
      <c r="B398" t="s">
        <v>20</v>
      </c>
      <c r="C398" t="s">
        <v>4</v>
      </c>
    </row>
    <row r="399" spans="1:3" x14ac:dyDescent="0.25">
      <c r="A399">
        <v>84121422192</v>
      </c>
      <c r="B399" t="s">
        <v>10</v>
      </c>
      <c r="C399" t="s">
        <v>4</v>
      </c>
    </row>
    <row r="400" spans="1:3" x14ac:dyDescent="0.25">
      <c r="A400">
        <v>74092255071</v>
      </c>
      <c r="B400" t="s">
        <v>14</v>
      </c>
      <c r="C400" t="s">
        <v>4</v>
      </c>
    </row>
    <row r="401" spans="1:3" x14ac:dyDescent="0.25">
      <c r="A401">
        <v>53052765728</v>
      </c>
      <c r="B401" t="s">
        <v>17</v>
      </c>
      <c r="C401" t="s">
        <v>4</v>
      </c>
    </row>
    <row r="402" spans="1:3" x14ac:dyDescent="0.25">
      <c r="A402">
        <v>97042931845</v>
      </c>
      <c r="B402" t="s">
        <v>9</v>
      </c>
      <c r="C402" t="s">
        <v>6</v>
      </c>
    </row>
    <row r="403" spans="1:3" x14ac:dyDescent="0.25">
      <c r="A403">
        <v>78062520080</v>
      </c>
      <c r="B403" t="s">
        <v>7</v>
      </c>
      <c r="C403" t="s">
        <v>4</v>
      </c>
    </row>
    <row r="404" spans="1:3" x14ac:dyDescent="0.25">
      <c r="A404">
        <v>65111959825</v>
      </c>
      <c r="B404" t="s">
        <v>11</v>
      </c>
      <c r="C404" t="s">
        <v>4</v>
      </c>
    </row>
    <row r="405" spans="1:3" x14ac:dyDescent="0.25">
      <c r="A405">
        <v>50011440807</v>
      </c>
      <c r="B405" t="s">
        <v>3</v>
      </c>
      <c r="C405" t="s">
        <v>4</v>
      </c>
    </row>
    <row r="406" spans="1:3" x14ac:dyDescent="0.25">
      <c r="A406">
        <v>83111092722</v>
      </c>
      <c r="B406" t="s">
        <v>11</v>
      </c>
      <c r="C406" t="s">
        <v>6</v>
      </c>
    </row>
    <row r="407" spans="1:3" x14ac:dyDescent="0.25">
      <c r="A407">
        <v>75122143973</v>
      </c>
      <c r="B407" t="s">
        <v>17</v>
      </c>
      <c r="C407" t="s">
        <v>6</v>
      </c>
    </row>
    <row r="408" spans="1:3" x14ac:dyDescent="0.25">
      <c r="A408">
        <v>65100549251</v>
      </c>
      <c r="B408" t="s">
        <v>5</v>
      </c>
      <c r="C408" t="s">
        <v>4</v>
      </c>
    </row>
    <row r="409" spans="1:3" x14ac:dyDescent="0.25">
      <c r="A409">
        <v>70021990226</v>
      </c>
      <c r="B409" t="s">
        <v>9</v>
      </c>
      <c r="C409" t="s">
        <v>6</v>
      </c>
    </row>
    <row r="410" spans="1:3" x14ac:dyDescent="0.25">
      <c r="A410">
        <v>79053025344</v>
      </c>
      <c r="B410" t="s">
        <v>15</v>
      </c>
      <c r="C410" t="s">
        <v>4</v>
      </c>
    </row>
    <row r="411" spans="1:3" x14ac:dyDescent="0.25">
      <c r="A411">
        <v>98100739519</v>
      </c>
      <c r="B411" t="s">
        <v>20</v>
      </c>
      <c r="C411" t="s">
        <v>4</v>
      </c>
    </row>
    <row r="412" spans="1:3" x14ac:dyDescent="0.25">
      <c r="A412">
        <v>61040445673</v>
      </c>
      <c r="B412" t="s">
        <v>14</v>
      </c>
      <c r="C412" t="s">
        <v>4</v>
      </c>
    </row>
    <row r="413" spans="1:3" x14ac:dyDescent="0.25">
      <c r="A413">
        <v>54120956644</v>
      </c>
      <c r="B413" t="s">
        <v>13</v>
      </c>
      <c r="C413" t="s">
        <v>4</v>
      </c>
    </row>
    <row r="414" spans="1:3" x14ac:dyDescent="0.25">
      <c r="A414">
        <v>87011726224</v>
      </c>
      <c r="B414" t="s">
        <v>13</v>
      </c>
      <c r="C414" t="s">
        <v>6</v>
      </c>
    </row>
    <row r="415" spans="1:3" x14ac:dyDescent="0.25">
      <c r="A415">
        <v>89122110541</v>
      </c>
      <c r="B415" t="s">
        <v>7</v>
      </c>
      <c r="C415" t="s">
        <v>4</v>
      </c>
    </row>
    <row r="416" spans="1:3" x14ac:dyDescent="0.25">
      <c r="A416">
        <v>63102562292</v>
      </c>
      <c r="B416" t="s">
        <v>15</v>
      </c>
      <c r="C416" t="s">
        <v>4</v>
      </c>
    </row>
    <row r="417" spans="1:3" x14ac:dyDescent="0.25">
      <c r="A417">
        <v>91101758446</v>
      </c>
      <c r="B417" t="s">
        <v>20</v>
      </c>
      <c r="C417" t="s">
        <v>6</v>
      </c>
    </row>
    <row r="418" spans="1:3" x14ac:dyDescent="0.25">
      <c r="A418">
        <v>73041277610</v>
      </c>
      <c r="B418" t="s">
        <v>14</v>
      </c>
      <c r="C418" t="s">
        <v>6</v>
      </c>
    </row>
    <row r="419" spans="1:3" x14ac:dyDescent="0.25">
      <c r="A419">
        <v>63101233720</v>
      </c>
      <c r="B419" t="s">
        <v>19</v>
      </c>
      <c r="C419" t="s">
        <v>4</v>
      </c>
    </row>
    <row r="420" spans="1:3" x14ac:dyDescent="0.25">
      <c r="A420">
        <v>84021497980</v>
      </c>
      <c r="B420" t="s">
        <v>10</v>
      </c>
      <c r="C420" t="s">
        <v>6</v>
      </c>
    </row>
    <row r="421" spans="1:3" x14ac:dyDescent="0.25">
      <c r="A421">
        <v>87051320026</v>
      </c>
      <c r="B421" t="s">
        <v>5</v>
      </c>
      <c r="C421" t="s">
        <v>4</v>
      </c>
    </row>
    <row r="422" spans="1:3" x14ac:dyDescent="0.25">
      <c r="A422">
        <v>87122216434</v>
      </c>
      <c r="B422" t="s">
        <v>17</v>
      </c>
      <c r="C422" t="s">
        <v>4</v>
      </c>
    </row>
    <row r="423" spans="1:3" x14ac:dyDescent="0.25">
      <c r="A423">
        <v>63062929199</v>
      </c>
      <c r="B423" t="s">
        <v>12</v>
      </c>
      <c r="C423" t="s">
        <v>4</v>
      </c>
    </row>
    <row r="424" spans="1:3" x14ac:dyDescent="0.25">
      <c r="A424">
        <v>99011281256</v>
      </c>
      <c r="B424" t="s">
        <v>19</v>
      </c>
      <c r="C424" t="s">
        <v>6</v>
      </c>
    </row>
    <row r="425" spans="1:3" x14ac:dyDescent="0.25">
      <c r="A425">
        <v>72110750487</v>
      </c>
      <c r="B425" t="s">
        <v>19</v>
      </c>
      <c r="C425" t="s">
        <v>6</v>
      </c>
    </row>
    <row r="426" spans="1:3" x14ac:dyDescent="0.25">
      <c r="A426">
        <v>70052334215</v>
      </c>
      <c r="B426" t="s">
        <v>16</v>
      </c>
      <c r="C426" t="s">
        <v>6</v>
      </c>
    </row>
    <row r="427" spans="1:3" x14ac:dyDescent="0.25">
      <c r="A427">
        <v>53080638348</v>
      </c>
      <c r="B427" t="s">
        <v>12</v>
      </c>
      <c r="C427" t="s">
        <v>6</v>
      </c>
    </row>
    <row r="428" spans="1:3" x14ac:dyDescent="0.25">
      <c r="A428">
        <v>63092655936</v>
      </c>
      <c r="B428" t="s">
        <v>13</v>
      </c>
      <c r="C428" t="s">
        <v>6</v>
      </c>
    </row>
    <row r="429" spans="1:3" x14ac:dyDescent="0.25">
      <c r="A429">
        <v>80012365708</v>
      </c>
      <c r="B429" t="s">
        <v>15</v>
      </c>
      <c r="C429" t="s">
        <v>4</v>
      </c>
    </row>
    <row r="430" spans="1:3" x14ac:dyDescent="0.25">
      <c r="A430">
        <v>88092831629</v>
      </c>
      <c r="B430" t="s">
        <v>5</v>
      </c>
      <c r="C430" t="s">
        <v>4</v>
      </c>
    </row>
    <row r="431" spans="1:3" x14ac:dyDescent="0.25">
      <c r="A431">
        <v>63062036462</v>
      </c>
      <c r="B431" t="s">
        <v>18</v>
      </c>
      <c r="C431" t="s">
        <v>6</v>
      </c>
    </row>
    <row r="432" spans="1:3" x14ac:dyDescent="0.25">
      <c r="A432">
        <v>62020662873</v>
      </c>
      <c r="B432" t="s">
        <v>15</v>
      </c>
      <c r="C432" t="s">
        <v>4</v>
      </c>
    </row>
    <row r="433" spans="1:3" x14ac:dyDescent="0.25">
      <c r="A433">
        <v>85120753924</v>
      </c>
      <c r="B433" t="s">
        <v>20</v>
      </c>
      <c r="C433" t="s">
        <v>6</v>
      </c>
    </row>
    <row r="434" spans="1:3" x14ac:dyDescent="0.25">
      <c r="A434">
        <v>57072490011</v>
      </c>
      <c r="B434" t="s">
        <v>17</v>
      </c>
      <c r="C434" t="s">
        <v>4</v>
      </c>
    </row>
    <row r="435" spans="1:3" x14ac:dyDescent="0.25">
      <c r="A435">
        <v>82020297372</v>
      </c>
      <c r="B435" t="s">
        <v>20</v>
      </c>
      <c r="C435" t="s">
        <v>6</v>
      </c>
    </row>
    <row r="436" spans="1:3" x14ac:dyDescent="0.25">
      <c r="A436">
        <v>93113022209</v>
      </c>
      <c r="B436" t="s">
        <v>11</v>
      </c>
      <c r="C436" t="s">
        <v>4</v>
      </c>
    </row>
    <row r="437" spans="1:3" x14ac:dyDescent="0.25">
      <c r="A437">
        <v>80032957947</v>
      </c>
      <c r="B437" t="s">
        <v>3</v>
      </c>
      <c r="C437" t="s">
        <v>4</v>
      </c>
    </row>
    <row r="438" spans="1:3" x14ac:dyDescent="0.25">
      <c r="A438">
        <v>97061666537</v>
      </c>
      <c r="B438" t="s">
        <v>11</v>
      </c>
      <c r="C438" t="s">
        <v>4</v>
      </c>
    </row>
    <row r="439" spans="1:3" x14ac:dyDescent="0.25">
      <c r="A439">
        <v>99042282211</v>
      </c>
      <c r="B439" t="s">
        <v>11</v>
      </c>
      <c r="C439" t="s">
        <v>4</v>
      </c>
    </row>
    <row r="440" spans="1:3" x14ac:dyDescent="0.25">
      <c r="A440">
        <v>90122294917</v>
      </c>
      <c r="B440" t="s">
        <v>7</v>
      </c>
      <c r="C440" t="s">
        <v>4</v>
      </c>
    </row>
    <row r="441" spans="1:3" x14ac:dyDescent="0.25">
      <c r="A441">
        <v>98042035638</v>
      </c>
      <c r="B441" t="s">
        <v>3</v>
      </c>
      <c r="C441" t="s">
        <v>4</v>
      </c>
    </row>
    <row r="442" spans="1:3" x14ac:dyDescent="0.25">
      <c r="A442">
        <v>63090624679</v>
      </c>
      <c r="B442" t="s">
        <v>11</v>
      </c>
      <c r="C442" t="s">
        <v>4</v>
      </c>
    </row>
    <row r="443" spans="1:3" x14ac:dyDescent="0.25">
      <c r="A443">
        <v>56041608154</v>
      </c>
      <c r="B443" t="s">
        <v>14</v>
      </c>
      <c r="C443" t="s">
        <v>4</v>
      </c>
    </row>
    <row r="444" spans="1:3" x14ac:dyDescent="0.25">
      <c r="A444">
        <v>61061367026</v>
      </c>
      <c r="B444" t="s">
        <v>11</v>
      </c>
      <c r="C444" t="s">
        <v>4</v>
      </c>
    </row>
    <row r="445" spans="1:3" x14ac:dyDescent="0.25">
      <c r="A445">
        <v>65030283393</v>
      </c>
      <c r="B445" t="s">
        <v>16</v>
      </c>
      <c r="C445" t="s">
        <v>6</v>
      </c>
    </row>
    <row r="446" spans="1:3" x14ac:dyDescent="0.25">
      <c r="A446">
        <v>92012998491</v>
      </c>
      <c r="B446" t="s">
        <v>12</v>
      </c>
      <c r="C446" t="s">
        <v>4</v>
      </c>
    </row>
    <row r="447" spans="1:3" x14ac:dyDescent="0.25">
      <c r="A447">
        <v>98021347510</v>
      </c>
      <c r="B447" t="s">
        <v>15</v>
      </c>
      <c r="C447" t="s">
        <v>6</v>
      </c>
    </row>
    <row r="448" spans="1:3" x14ac:dyDescent="0.25">
      <c r="A448">
        <v>61020732218</v>
      </c>
      <c r="B448" t="s">
        <v>10</v>
      </c>
      <c r="C448" t="s">
        <v>6</v>
      </c>
    </row>
    <row r="449" spans="1:3" x14ac:dyDescent="0.25">
      <c r="A449">
        <v>51100859081</v>
      </c>
      <c r="B449" t="s">
        <v>11</v>
      </c>
      <c r="C449" t="s">
        <v>6</v>
      </c>
    </row>
    <row r="450" spans="1:3" x14ac:dyDescent="0.25">
      <c r="A450">
        <v>58092388216</v>
      </c>
      <c r="B450" t="s">
        <v>12</v>
      </c>
      <c r="C450" t="s">
        <v>4</v>
      </c>
    </row>
    <row r="451" spans="1:3" x14ac:dyDescent="0.25">
      <c r="A451">
        <v>58081857013</v>
      </c>
      <c r="B451" t="s">
        <v>15</v>
      </c>
      <c r="C451" t="s">
        <v>4</v>
      </c>
    </row>
    <row r="452" spans="1:3" x14ac:dyDescent="0.25">
      <c r="A452">
        <v>51112066114</v>
      </c>
      <c r="B452" t="s">
        <v>17</v>
      </c>
      <c r="C452" t="s">
        <v>4</v>
      </c>
    </row>
    <row r="453" spans="1:3" x14ac:dyDescent="0.25">
      <c r="A453">
        <v>89010145123</v>
      </c>
      <c r="B453" t="s">
        <v>15</v>
      </c>
      <c r="C453" t="s">
        <v>4</v>
      </c>
    </row>
    <row r="454" spans="1:3" x14ac:dyDescent="0.25">
      <c r="A454">
        <v>84021137424</v>
      </c>
      <c r="B454" t="s">
        <v>14</v>
      </c>
      <c r="C454" t="s">
        <v>6</v>
      </c>
    </row>
    <row r="455" spans="1:3" x14ac:dyDescent="0.25">
      <c r="A455">
        <v>66071191281</v>
      </c>
      <c r="B455" t="s">
        <v>9</v>
      </c>
      <c r="C455" t="s">
        <v>6</v>
      </c>
    </row>
    <row r="456" spans="1:3" x14ac:dyDescent="0.25">
      <c r="A456">
        <v>64110521169</v>
      </c>
      <c r="B456" t="s">
        <v>9</v>
      </c>
      <c r="C456" t="s">
        <v>6</v>
      </c>
    </row>
    <row r="457" spans="1:3" x14ac:dyDescent="0.25">
      <c r="A457">
        <v>80090724666</v>
      </c>
      <c r="B457" t="s">
        <v>7</v>
      </c>
      <c r="C457" t="s">
        <v>6</v>
      </c>
    </row>
    <row r="458" spans="1:3" x14ac:dyDescent="0.25">
      <c r="A458">
        <v>60081098044</v>
      </c>
      <c r="B458" t="s">
        <v>17</v>
      </c>
      <c r="C458" t="s">
        <v>4</v>
      </c>
    </row>
    <row r="459" spans="1:3" x14ac:dyDescent="0.25">
      <c r="A459">
        <v>81060672345</v>
      </c>
      <c r="B459" t="s">
        <v>5</v>
      </c>
      <c r="C459" t="s">
        <v>6</v>
      </c>
    </row>
    <row r="460" spans="1:3" x14ac:dyDescent="0.25">
      <c r="A460">
        <v>72041188498</v>
      </c>
      <c r="B460" t="s">
        <v>19</v>
      </c>
      <c r="C460" t="s">
        <v>4</v>
      </c>
    </row>
    <row r="461" spans="1:3" x14ac:dyDescent="0.25">
      <c r="A461">
        <v>93050237328</v>
      </c>
      <c r="B461" t="s">
        <v>15</v>
      </c>
      <c r="C461" t="s">
        <v>6</v>
      </c>
    </row>
    <row r="462" spans="1:3" x14ac:dyDescent="0.25">
      <c r="A462">
        <v>57111030969</v>
      </c>
      <c r="B462" t="s">
        <v>5</v>
      </c>
      <c r="C462" t="s">
        <v>6</v>
      </c>
    </row>
    <row r="463" spans="1:3" x14ac:dyDescent="0.25">
      <c r="A463">
        <v>95120189926</v>
      </c>
      <c r="B463" t="s">
        <v>7</v>
      </c>
      <c r="C463" t="s">
        <v>6</v>
      </c>
    </row>
    <row r="464" spans="1:3" x14ac:dyDescent="0.25">
      <c r="A464">
        <v>50030558617</v>
      </c>
      <c r="B464" t="s">
        <v>7</v>
      </c>
      <c r="C464" t="s">
        <v>6</v>
      </c>
    </row>
    <row r="465" spans="1:3" x14ac:dyDescent="0.25">
      <c r="A465">
        <v>99030787526</v>
      </c>
      <c r="B465" t="s">
        <v>12</v>
      </c>
      <c r="C465" t="s">
        <v>6</v>
      </c>
    </row>
    <row r="466" spans="1:3" x14ac:dyDescent="0.25">
      <c r="A466">
        <v>86012893795</v>
      </c>
      <c r="B466" t="s">
        <v>5</v>
      </c>
      <c r="C466" t="s">
        <v>6</v>
      </c>
    </row>
    <row r="467" spans="1:3" x14ac:dyDescent="0.25">
      <c r="A467">
        <v>77070917279</v>
      </c>
      <c r="B467" t="s">
        <v>16</v>
      </c>
      <c r="C467" t="s">
        <v>4</v>
      </c>
    </row>
    <row r="468" spans="1:3" x14ac:dyDescent="0.25">
      <c r="A468">
        <v>81110769382</v>
      </c>
      <c r="B468" t="s">
        <v>3</v>
      </c>
      <c r="C468" t="s">
        <v>4</v>
      </c>
    </row>
    <row r="469" spans="1:3" x14ac:dyDescent="0.25">
      <c r="A469">
        <v>77111159976</v>
      </c>
      <c r="B469" t="s">
        <v>7</v>
      </c>
      <c r="C469" t="s">
        <v>4</v>
      </c>
    </row>
    <row r="470" spans="1:3" x14ac:dyDescent="0.25">
      <c r="A470">
        <v>70100187141</v>
      </c>
      <c r="B470" t="s">
        <v>13</v>
      </c>
      <c r="C470" t="s">
        <v>4</v>
      </c>
    </row>
    <row r="471" spans="1:3" x14ac:dyDescent="0.25">
      <c r="A471">
        <v>65021500043</v>
      </c>
      <c r="B471" t="s">
        <v>15</v>
      </c>
      <c r="C471" t="s">
        <v>6</v>
      </c>
    </row>
    <row r="472" spans="1:3" x14ac:dyDescent="0.25">
      <c r="A472">
        <v>85060885312</v>
      </c>
      <c r="B472" t="s">
        <v>20</v>
      </c>
      <c r="C472" t="s">
        <v>4</v>
      </c>
    </row>
    <row r="473" spans="1:3" x14ac:dyDescent="0.25">
      <c r="A473">
        <v>71050660586</v>
      </c>
      <c r="B473" t="s">
        <v>5</v>
      </c>
      <c r="C473" t="s">
        <v>6</v>
      </c>
    </row>
    <row r="474" spans="1:3" x14ac:dyDescent="0.25">
      <c r="A474">
        <v>59071738598</v>
      </c>
      <c r="B474" t="s">
        <v>10</v>
      </c>
      <c r="C474" t="s">
        <v>6</v>
      </c>
    </row>
    <row r="475" spans="1:3" x14ac:dyDescent="0.25">
      <c r="A475">
        <v>95032440571</v>
      </c>
      <c r="B475" t="s">
        <v>19</v>
      </c>
      <c r="C475" t="s">
        <v>6</v>
      </c>
    </row>
    <row r="476" spans="1:3" x14ac:dyDescent="0.25">
      <c r="A476">
        <v>89061704744</v>
      </c>
      <c r="B476" t="s">
        <v>9</v>
      </c>
      <c r="C476" t="s">
        <v>4</v>
      </c>
    </row>
    <row r="477" spans="1:3" x14ac:dyDescent="0.25">
      <c r="A477">
        <v>51080898629</v>
      </c>
      <c r="B477" t="s">
        <v>17</v>
      </c>
      <c r="C477" t="s">
        <v>4</v>
      </c>
    </row>
    <row r="478" spans="1:3" x14ac:dyDescent="0.25">
      <c r="A478">
        <v>57022141905</v>
      </c>
      <c r="B478" t="s">
        <v>19</v>
      </c>
      <c r="C478" t="s">
        <v>4</v>
      </c>
    </row>
    <row r="479" spans="1:3" x14ac:dyDescent="0.25">
      <c r="A479">
        <v>83040146750</v>
      </c>
      <c r="B479" t="s">
        <v>16</v>
      </c>
      <c r="C479" t="s">
        <v>4</v>
      </c>
    </row>
    <row r="480" spans="1:3" x14ac:dyDescent="0.25">
      <c r="A480">
        <v>94073040289</v>
      </c>
      <c r="B480" t="s">
        <v>17</v>
      </c>
      <c r="C480" t="s">
        <v>6</v>
      </c>
    </row>
    <row r="481" spans="1:3" x14ac:dyDescent="0.25">
      <c r="A481">
        <v>85082674482</v>
      </c>
      <c r="B481" t="s">
        <v>20</v>
      </c>
      <c r="C481" t="s">
        <v>6</v>
      </c>
    </row>
    <row r="482" spans="1:3" x14ac:dyDescent="0.25">
      <c r="A482">
        <v>68071192873</v>
      </c>
      <c r="B482" t="s">
        <v>8</v>
      </c>
      <c r="C482" t="s">
        <v>6</v>
      </c>
    </row>
    <row r="483" spans="1:3" x14ac:dyDescent="0.25">
      <c r="A483">
        <v>66122411933</v>
      </c>
      <c r="B483" t="s">
        <v>8</v>
      </c>
      <c r="C483" t="s">
        <v>4</v>
      </c>
    </row>
    <row r="484" spans="1:3" x14ac:dyDescent="0.25">
      <c r="A484">
        <v>83112543531</v>
      </c>
      <c r="B484" t="s">
        <v>12</v>
      </c>
      <c r="C484" t="s">
        <v>4</v>
      </c>
    </row>
    <row r="485" spans="1:3" x14ac:dyDescent="0.25">
      <c r="A485">
        <v>72032940355</v>
      </c>
      <c r="B485" t="s">
        <v>20</v>
      </c>
      <c r="C485" t="s">
        <v>4</v>
      </c>
    </row>
    <row r="486" spans="1:3" x14ac:dyDescent="0.25">
      <c r="A486">
        <v>99041426748</v>
      </c>
      <c r="B486" t="s">
        <v>11</v>
      </c>
      <c r="C486" t="s">
        <v>6</v>
      </c>
    </row>
    <row r="487" spans="1:3" x14ac:dyDescent="0.25">
      <c r="A487">
        <v>99082013556</v>
      </c>
      <c r="B487" t="s">
        <v>3</v>
      </c>
      <c r="C487" t="s">
        <v>4</v>
      </c>
    </row>
    <row r="488" spans="1:3" x14ac:dyDescent="0.25">
      <c r="A488">
        <v>62123067166</v>
      </c>
      <c r="B488" t="s">
        <v>16</v>
      </c>
      <c r="C488" t="s">
        <v>6</v>
      </c>
    </row>
    <row r="489" spans="1:3" x14ac:dyDescent="0.25">
      <c r="A489">
        <v>65031764132</v>
      </c>
      <c r="B489" t="s">
        <v>10</v>
      </c>
      <c r="C489" t="s">
        <v>4</v>
      </c>
    </row>
    <row r="490" spans="1:3" x14ac:dyDescent="0.25">
      <c r="A490">
        <v>66031525363</v>
      </c>
      <c r="B490" t="s">
        <v>8</v>
      </c>
      <c r="C490" t="s">
        <v>6</v>
      </c>
    </row>
    <row r="491" spans="1:3" x14ac:dyDescent="0.25">
      <c r="A491">
        <v>84121279350</v>
      </c>
      <c r="B491" t="s">
        <v>17</v>
      </c>
      <c r="C491" t="s">
        <v>4</v>
      </c>
    </row>
    <row r="492" spans="1:3" x14ac:dyDescent="0.25">
      <c r="A492">
        <v>56060275416</v>
      </c>
      <c r="B492" t="s">
        <v>8</v>
      </c>
      <c r="C492" t="s">
        <v>6</v>
      </c>
    </row>
    <row r="493" spans="1:3" x14ac:dyDescent="0.25">
      <c r="A493">
        <v>88060298577</v>
      </c>
      <c r="B493" t="s">
        <v>13</v>
      </c>
      <c r="C493" t="s">
        <v>4</v>
      </c>
    </row>
    <row r="494" spans="1:3" x14ac:dyDescent="0.25">
      <c r="A494">
        <v>93071613624</v>
      </c>
      <c r="B494" t="s">
        <v>19</v>
      </c>
      <c r="C494" t="s">
        <v>6</v>
      </c>
    </row>
    <row r="495" spans="1:3" x14ac:dyDescent="0.25">
      <c r="A495">
        <v>56032245658</v>
      </c>
      <c r="B495" t="s">
        <v>9</v>
      </c>
      <c r="C495" t="s">
        <v>4</v>
      </c>
    </row>
    <row r="496" spans="1:3" x14ac:dyDescent="0.25">
      <c r="A496">
        <v>64081190522</v>
      </c>
      <c r="B496" t="s">
        <v>7</v>
      </c>
      <c r="C496" t="s">
        <v>4</v>
      </c>
    </row>
    <row r="497" spans="1:3" x14ac:dyDescent="0.25">
      <c r="A497">
        <v>62040616607</v>
      </c>
      <c r="B497" t="s">
        <v>10</v>
      </c>
      <c r="C497" t="s">
        <v>4</v>
      </c>
    </row>
    <row r="498" spans="1:3" x14ac:dyDescent="0.25">
      <c r="A498">
        <v>87032142416</v>
      </c>
      <c r="B498" t="s">
        <v>14</v>
      </c>
      <c r="C498" t="s">
        <v>4</v>
      </c>
    </row>
    <row r="499" spans="1:3" x14ac:dyDescent="0.25">
      <c r="A499">
        <v>73101455554</v>
      </c>
      <c r="B499" t="s">
        <v>7</v>
      </c>
      <c r="C499" t="s">
        <v>4</v>
      </c>
    </row>
    <row r="500" spans="1:3" x14ac:dyDescent="0.25">
      <c r="A500">
        <v>56111282482</v>
      </c>
      <c r="B500" t="s">
        <v>19</v>
      </c>
      <c r="C500" t="s">
        <v>6</v>
      </c>
    </row>
    <row r="501" spans="1:3" x14ac:dyDescent="0.25">
      <c r="A501">
        <v>83032688282</v>
      </c>
      <c r="B501" t="s">
        <v>8</v>
      </c>
      <c r="C501" t="s">
        <v>4</v>
      </c>
    </row>
    <row r="502" spans="1:3" x14ac:dyDescent="0.25">
      <c r="A502">
        <v>88051092544</v>
      </c>
      <c r="B502" t="s">
        <v>9</v>
      </c>
      <c r="C502" t="s">
        <v>4</v>
      </c>
    </row>
    <row r="503" spans="1:3" x14ac:dyDescent="0.25">
      <c r="A503">
        <v>50012665757</v>
      </c>
      <c r="B503" t="s">
        <v>14</v>
      </c>
      <c r="C503" t="s">
        <v>4</v>
      </c>
    </row>
    <row r="504" spans="1:3" x14ac:dyDescent="0.25">
      <c r="A504">
        <v>96040206342</v>
      </c>
      <c r="B504" t="s">
        <v>9</v>
      </c>
      <c r="C504" t="s">
        <v>6</v>
      </c>
    </row>
    <row r="505" spans="1:3" x14ac:dyDescent="0.25">
      <c r="A505">
        <v>91041069954</v>
      </c>
      <c r="B505" t="s">
        <v>7</v>
      </c>
      <c r="C505" t="s">
        <v>4</v>
      </c>
    </row>
    <row r="506" spans="1:3" x14ac:dyDescent="0.25">
      <c r="A506">
        <v>75061743946</v>
      </c>
      <c r="B506" t="s">
        <v>14</v>
      </c>
      <c r="C506" t="s">
        <v>6</v>
      </c>
    </row>
    <row r="507" spans="1:3" x14ac:dyDescent="0.25">
      <c r="A507">
        <v>52020449840</v>
      </c>
      <c r="B507" t="s">
        <v>8</v>
      </c>
      <c r="C507" t="s">
        <v>4</v>
      </c>
    </row>
    <row r="508" spans="1:3" x14ac:dyDescent="0.25">
      <c r="A508">
        <v>94021767981</v>
      </c>
      <c r="B508" t="s">
        <v>15</v>
      </c>
      <c r="C508" t="s">
        <v>4</v>
      </c>
    </row>
    <row r="509" spans="1:3" x14ac:dyDescent="0.25">
      <c r="A509">
        <v>54061438140</v>
      </c>
      <c r="B509" t="s">
        <v>8</v>
      </c>
      <c r="C509" t="s">
        <v>6</v>
      </c>
    </row>
    <row r="510" spans="1:3" x14ac:dyDescent="0.25">
      <c r="A510">
        <v>60012636109</v>
      </c>
      <c r="B510" t="s">
        <v>9</v>
      </c>
      <c r="C510" t="s">
        <v>6</v>
      </c>
    </row>
    <row r="511" spans="1:3" x14ac:dyDescent="0.25">
      <c r="A511">
        <v>64031328634</v>
      </c>
      <c r="B511" t="s">
        <v>14</v>
      </c>
      <c r="C511" t="s">
        <v>6</v>
      </c>
    </row>
    <row r="512" spans="1:3" x14ac:dyDescent="0.25">
      <c r="A512">
        <v>76032562353</v>
      </c>
      <c r="B512" t="s">
        <v>20</v>
      </c>
      <c r="C512" t="s">
        <v>6</v>
      </c>
    </row>
    <row r="513" spans="1:3" x14ac:dyDescent="0.25">
      <c r="A513">
        <v>94042289916</v>
      </c>
      <c r="B513" t="s">
        <v>11</v>
      </c>
      <c r="C513" t="s">
        <v>4</v>
      </c>
    </row>
    <row r="514" spans="1:3" x14ac:dyDescent="0.25">
      <c r="A514">
        <v>72011235869</v>
      </c>
      <c r="B514" t="s">
        <v>16</v>
      </c>
      <c r="C514" t="s">
        <v>6</v>
      </c>
    </row>
    <row r="515" spans="1:3" x14ac:dyDescent="0.25">
      <c r="A515">
        <v>55101622897</v>
      </c>
      <c r="B515" t="s">
        <v>12</v>
      </c>
      <c r="C515" t="s">
        <v>6</v>
      </c>
    </row>
    <row r="516" spans="1:3" x14ac:dyDescent="0.25">
      <c r="A516">
        <v>63061591096</v>
      </c>
      <c r="B516" t="s">
        <v>5</v>
      </c>
      <c r="C516" t="s">
        <v>6</v>
      </c>
    </row>
    <row r="517" spans="1:3" x14ac:dyDescent="0.25">
      <c r="A517">
        <v>66092086287</v>
      </c>
      <c r="B517" t="s">
        <v>15</v>
      </c>
      <c r="C517" t="s">
        <v>6</v>
      </c>
    </row>
    <row r="518" spans="1:3" x14ac:dyDescent="0.25">
      <c r="A518">
        <v>79120351848</v>
      </c>
      <c r="B518" t="s">
        <v>15</v>
      </c>
      <c r="C518" t="s">
        <v>6</v>
      </c>
    </row>
    <row r="519" spans="1:3" x14ac:dyDescent="0.25">
      <c r="A519">
        <v>75032029066</v>
      </c>
      <c r="B519" t="s">
        <v>17</v>
      </c>
      <c r="C519" t="s">
        <v>6</v>
      </c>
    </row>
    <row r="520" spans="1:3" x14ac:dyDescent="0.25">
      <c r="A520">
        <v>64120631351</v>
      </c>
      <c r="B520" t="s">
        <v>17</v>
      </c>
      <c r="C520" t="s">
        <v>4</v>
      </c>
    </row>
    <row r="521" spans="1:3" x14ac:dyDescent="0.25">
      <c r="A521">
        <v>73072842436</v>
      </c>
      <c r="B521" t="s">
        <v>9</v>
      </c>
      <c r="C521" t="s">
        <v>6</v>
      </c>
    </row>
    <row r="522" spans="1:3" x14ac:dyDescent="0.25">
      <c r="A522">
        <v>81032163367</v>
      </c>
      <c r="B522" t="s">
        <v>17</v>
      </c>
      <c r="C522" t="s">
        <v>6</v>
      </c>
    </row>
    <row r="523" spans="1:3" x14ac:dyDescent="0.25">
      <c r="A523">
        <v>99120273519</v>
      </c>
      <c r="B523" t="s">
        <v>18</v>
      </c>
      <c r="C523" t="s">
        <v>4</v>
      </c>
    </row>
    <row r="524" spans="1:3" x14ac:dyDescent="0.25">
      <c r="A524">
        <v>57040596570</v>
      </c>
      <c r="B524" t="s">
        <v>7</v>
      </c>
      <c r="C524" t="s">
        <v>6</v>
      </c>
    </row>
    <row r="525" spans="1:3" x14ac:dyDescent="0.25">
      <c r="A525">
        <v>99051386795</v>
      </c>
      <c r="B525" t="s">
        <v>14</v>
      </c>
      <c r="C525" t="s">
        <v>6</v>
      </c>
    </row>
    <row r="526" spans="1:3" x14ac:dyDescent="0.25">
      <c r="A526">
        <v>73031813176</v>
      </c>
      <c r="B526" t="s">
        <v>11</v>
      </c>
      <c r="C526" t="s">
        <v>4</v>
      </c>
    </row>
    <row r="527" spans="1:3" x14ac:dyDescent="0.25">
      <c r="A527">
        <v>86061566312</v>
      </c>
      <c r="B527" t="s">
        <v>5</v>
      </c>
      <c r="C527" t="s">
        <v>6</v>
      </c>
    </row>
    <row r="528" spans="1:3" x14ac:dyDescent="0.25">
      <c r="A528">
        <v>53090698026</v>
      </c>
      <c r="B528" t="s">
        <v>11</v>
      </c>
      <c r="C528" t="s">
        <v>4</v>
      </c>
    </row>
    <row r="529" spans="1:3" x14ac:dyDescent="0.25">
      <c r="A529">
        <v>75021357613</v>
      </c>
      <c r="B529" t="s">
        <v>3</v>
      </c>
      <c r="C529" t="s">
        <v>4</v>
      </c>
    </row>
    <row r="530" spans="1:3" x14ac:dyDescent="0.25">
      <c r="A530">
        <v>72123107126</v>
      </c>
      <c r="B530" t="s">
        <v>5</v>
      </c>
      <c r="C530" t="s">
        <v>6</v>
      </c>
    </row>
    <row r="531" spans="1:3" x14ac:dyDescent="0.25">
      <c r="A531">
        <v>79070698840</v>
      </c>
      <c r="B531" t="s">
        <v>15</v>
      </c>
      <c r="C531" t="s">
        <v>6</v>
      </c>
    </row>
    <row r="532" spans="1:3" x14ac:dyDescent="0.25">
      <c r="A532">
        <v>99121640071</v>
      </c>
      <c r="B532" t="s">
        <v>13</v>
      </c>
      <c r="C532" t="s">
        <v>6</v>
      </c>
    </row>
    <row r="533" spans="1:3" x14ac:dyDescent="0.25">
      <c r="A533">
        <v>62040855749</v>
      </c>
      <c r="B533" t="s">
        <v>7</v>
      </c>
      <c r="C533" t="s">
        <v>4</v>
      </c>
    </row>
    <row r="534" spans="1:3" x14ac:dyDescent="0.25">
      <c r="A534">
        <v>77050752195</v>
      </c>
      <c r="B534" t="s">
        <v>14</v>
      </c>
      <c r="C534" t="s">
        <v>6</v>
      </c>
    </row>
    <row r="535" spans="1:3" x14ac:dyDescent="0.25">
      <c r="A535">
        <v>61011848526</v>
      </c>
      <c r="B535" t="s">
        <v>10</v>
      </c>
      <c r="C535" t="s">
        <v>6</v>
      </c>
    </row>
    <row r="536" spans="1:3" x14ac:dyDescent="0.25">
      <c r="A536">
        <v>67090716369</v>
      </c>
      <c r="B536" t="s">
        <v>10</v>
      </c>
      <c r="C536" t="s">
        <v>4</v>
      </c>
    </row>
    <row r="537" spans="1:3" x14ac:dyDescent="0.25">
      <c r="A537">
        <v>69121808746</v>
      </c>
      <c r="B537" t="s">
        <v>19</v>
      </c>
      <c r="C537" t="s">
        <v>4</v>
      </c>
    </row>
    <row r="538" spans="1:3" x14ac:dyDescent="0.25">
      <c r="A538">
        <v>95022144672</v>
      </c>
      <c r="B538" t="s">
        <v>11</v>
      </c>
      <c r="C538" t="s">
        <v>6</v>
      </c>
    </row>
    <row r="539" spans="1:3" x14ac:dyDescent="0.25">
      <c r="A539">
        <v>50122386122</v>
      </c>
      <c r="B539" t="s">
        <v>10</v>
      </c>
      <c r="C539" t="s">
        <v>6</v>
      </c>
    </row>
    <row r="540" spans="1:3" x14ac:dyDescent="0.25">
      <c r="A540">
        <v>64040818515</v>
      </c>
      <c r="B540" t="s">
        <v>20</v>
      </c>
      <c r="C540" t="s">
        <v>4</v>
      </c>
    </row>
    <row r="541" spans="1:3" x14ac:dyDescent="0.25">
      <c r="A541">
        <v>74110420436</v>
      </c>
      <c r="B541" t="s">
        <v>18</v>
      </c>
      <c r="C541" t="s">
        <v>4</v>
      </c>
    </row>
    <row r="542" spans="1:3" x14ac:dyDescent="0.25">
      <c r="A542">
        <v>95070175648</v>
      </c>
      <c r="B542" t="s">
        <v>14</v>
      </c>
      <c r="C542" t="s">
        <v>4</v>
      </c>
    </row>
    <row r="543" spans="1:3" x14ac:dyDescent="0.25">
      <c r="A543">
        <v>51040710541</v>
      </c>
      <c r="B543" t="s">
        <v>7</v>
      </c>
      <c r="C543" t="s">
        <v>6</v>
      </c>
    </row>
    <row r="544" spans="1:3" x14ac:dyDescent="0.25">
      <c r="A544">
        <v>68050307393</v>
      </c>
      <c r="B544" t="s">
        <v>13</v>
      </c>
      <c r="C544" t="s">
        <v>4</v>
      </c>
    </row>
    <row r="545" spans="1:3" x14ac:dyDescent="0.25">
      <c r="A545">
        <v>78012414409</v>
      </c>
      <c r="B545" t="s">
        <v>14</v>
      </c>
      <c r="C545" t="s">
        <v>4</v>
      </c>
    </row>
    <row r="546" spans="1:3" x14ac:dyDescent="0.25">
      <c r="A546">
        <v>85080239649</v>
      </c>
      <c r="B546" t="s">
        <v>18</v>
      </c>
      <c r="C546" t="s">
        <v>4</v>
      </c>
    </row>
    <row r="547" spans="1:3" x14ac:dyDescent="0.25">
      <c r="A547">
        <v>80111845565</v>
      </c>
      <c r="B547" t="s">
        <v>3</v>
      </c>
      <c r="C547" t="s">
        <v>4</v>
      </c>
    </row>
    <row r="548" spans="1:3" x14ac:dyDescent="0.25">
      <c r="A548">
        <v>64060295028</v>
      </c>
      <c r="B548" t="s">
        <v>17</v>
      </c>
      <c r="C548" t="s">
        <v>4</v>
      </c>
    </row>
    <row r="549" spans="1:3" x14ac:dyDescent="0.25">
      <c r="A549">
        <v>66112444217</v>
      </c>
      <c r="B549" t="s">
        <v>9</v>
      </c>
      <c r="C549" t="s">
        <v>6</v>
      </c>
    </row>
    <row r="550" spans="1:3" x14ac:dyDescent="0.25">
      <c r="A550">
        <v>95010531354</v>
      </c>
      <c r="B550" t="s">
        <v>11</v>
      </c>
      <c r="C550" t="s">
        <v>6</v>
      </c>
    </row>
    <row r="551" spans="1:3" x14ac:dyDescent="0.25">
      <c r="A551">
        <v>66091626497</v>
      </c>
      <c r="B551" t="s">
        <v>8</v>
      </c>
      <c r="C551" t="s">
        <v>6</v>
      </c>
    </row>
    <row r="552" spans="1:3" x14ac:dyDescent="0.25">
      <c r="A552">
        <v>60101353265</v>
      </c>
      <c r="B552" t="s">
        <v>12</v>
      </c>
      <c r="C552" t="s">
        <v>4</v>
      </c>
    </row>
    <row r="553" spans="1:3" x14ac:dyDescent="0.25">
      <c r="A553">
        <v>73112234065</v>
      </c>
      <c r="B553" t="s">
        <v>12</v>
      </c>
      <c r="C553" t="s">
        <v>4</v>
      </c>
    </row>
    <row r="554" spans="1:3" x14ac:dyDescent="0.25">
      <c r="A554">
        <v>77100455058</v>
      </c>
      <c r="B554" t="s">
        <v>7</v>
      </c>
      <c r="C554" t="s">
        <v>6</v>
      </c>
    </row>
    <row r="555" spans="1:3" x14ac:dyDescent="0.25">
      <c r="A555">
        <v>98091693687</v>
      </c>
      <c r="B555" t="s">
        <v>9</v>
      </c>
      <c r="C555" t="s">
        <v>6</v>
      </c>
    </row>
    <row r="556" spans="1:3" x14ac:dyDescent="0.25">
      <c r="A556">
        <v>67091449031</v>
      </c>
      <c r="B556" t="s">
        <v>16</v>
      </c>
      <c r="C556" t="s">
        <v>6</v>
      </c>
    </row>
    <row r="557" spans="1:3" x14ac:dyDescent="0.25">
      <c r="A557">
        <v>75052421464</v>
      </c>
      <c r="B557" t="s">
        <v>5</v>
      </c>
      <c r="C557" t="s">
        <v>6</v>
      </c>
    </row>
    <row r="558" spans="1:3" x14ac:dyDescent="0.25">
      <c r="A558">
        <v>93042060965</v>
      </c>
      <c r="B558" t="s">
        <v>18</v>
      </c>
      <c r="C558" t="s">
        <v>4</v>
      </c>
    </row>
    <row r="559" spans="1:3" x14ac:dyDescent="0.25">
      <c r="A559">
        <v>58011437395</v>
      </c>
      <c r="B559" t="s">
        <v>20</v>
      </c>
      <c r="C559" t="s">
        <v>6</v>
      </c>
    </row>
    <row r="560" spans="1:3" x14ac:dyDescent="0.25">
      <c r="A560">
        <v>61010924043</v>
      </c>
      <c r="B560" t="s">
        <v>17</v>
      </c>
      <c r="C560" t="s">
        <v>4</v>
      </c>
    </row>
    <row r="561" spans="1:3" x14ac:dyDescent="0.25">
      <c r="A561">
        <v>59020116778</v>
      </c>
      <c r="B561" t="s">
        <v>20</v>
      </c>
      <c r="C561" t="s">
        <v>4</v>
      </c>
    </row>
    <row r="562" spans="1:3" x14ac:dyDescent="0.25">
      <c r="A562">
        <v>85012006521</v>
      </c>
      <c r="B562" t="s">
        <v>10</v>
      </c>
      <c r="C562" t="s">
        <v>6</v>
      </c>
    </row>
    <row r="563" spans="1:3" x14ac:dyDescent="0.25">
      <c r="A563">
        <v>89021336354</v>
      </c>
      <c r="B563" t="s">
        <v>14</v>
      </c>
      <c r="C563" t="s">
        <v>6</v>
      </c>
    </row>
    <row r="564" spans="1:3" x14ac:dyDescent="0.25">
      <c r="A564">
        <v>65092409201</v>
      </c>
      <c r="B564" t="s">
        <v>15</v>
      </c>
      <c r="C564" t="s">
        <v>4</v>
      </c>
    </row>
    <row r="565" spans="1:3" x14ac:dyDescent="0.25">
      <c r="A565">
        <v>69072352000</v>
      </c>
      <c r="B565" t="s">
        <v>12</v>
      </c>
      <c r="C565" t="s">
        <v>6</v>
      </c>
    </row>
    <row r="566" spans="1:3" x14ac:dyDescent="0.25">
      <c r="A566">
        <v>80101429434</v>
      </c>
      <c r="B566" t="s">
        <v>9</v>
      </c>
      <c r="C566" t="s">
        <v>4</v>
      </c>
    </row>
    <row r="567" spans="1:3" x14ac:dyDescent="0.25">
      <c r="A567">
        <v>74041163095</v>
      </c>
      <c r="B567" t="s">
        <v>18</v>
      </c>
      <c r="C567" t="s">
        <v>6</v>
      </c>
    </row>
    <row r="568" spans="1:3" x14ac:dyDescent="0.25">
      <c r="A568">
        <v>95030310836</v>
      </c>
      <c r="B568" t="s">
        <v>11</v>
      </c>
      <c r="C568" t="s">
        <v>6</v>
      </c>
    </row>
    <row r="569" spans="1:3" x14ac:dyDescent="0.25">
      <c r="A569">
        <v>84083110241</v>
      </c>
      <c r="B569" t="s">
        <v>9</v>
      </c>
      <c r="C569" t="s">
        <v>6</v>
      </c>
    </row>
    <row r="570" spans="1:3" x14ac:dyDescent="0.25">
      <c r="A570">
        <v>81082753187</v>
      </c>
      <c r="B570" t="s">
        <v>20</v>
      </c>
      <c r="C570" t="s">
        <v>6</v>
      </c>
    </row>
    <row r="571" spans="1:3" x14ac:dyDescent="0.25">
      <c r="A571">
        <v>64061448050</v>
      </c>
      <c r="B571" t="s">
        <v>16</v>
      </c>
      <c r="C571" t="s">
        <v>6</v>
      </c>
    </row>
    <row r="572" spans="1:3" x14ac:dyDescent="0.25">
      <c r="A572">
        <v>96091382992</v>
      </c>
      <c r="B572" t="s">
        <v>11</v>
      </c>
      <c r="C572" t="s">
        <v>6</v>
      </c>
    </row>
    <row r="573" spans="1:3" x14ac:dyDescent="0.25">
      <c r="A573">
        <v>84041663297</v>
      </c>
      <c r="B573" t="s">
        <v>13</v>
      </c>
      <c r="C573" t="s">
        <v>6</v>
      </c>
    </row>
    <row r="574" spans="1:3" x14ac:dyDescent="0.25">
      <c r="A574">
        <v>94113074555</v>
      </c>
      <c r="B574" t="s">
        <v>15</v>
      </c>
      <c r="C574" t="s">
        <v>6</v>
      </c>
    </row>
    <row r="575" spans="1:3" x14ac:dyDescent="0.25">
      <c r="A575">
        <v>53100155150</v>
      </c>
      <c r="B575" t="s">
        <v>15</v>
      </c>
      <c r="C575" t="s">
        <v>4</v>
      </c>
    </row>
    <row r="576" spans="1:3" x14ac:dyDescent="0.25">
      <c r="A576">
        <v>81102995678</v>
      </c>
      <c r="B576" t="s">
        <v>15</v>
      </c>
      <c r="C576" t="s">
        <v>4</v>
      </c>
    </row>
    <row r="577" spans="1:3" x14ac:dyDescent="0.25">
      <c r="A577">
        <v>91020385192</v>
      </c>
      <c r="B577" t="s">
        <v>18</v>
      </c>
      <c r="C577" t="s">
        <v>6</v>
      </c>
    </row>
    <row r="578" spans="1:3" x14ac:dyDescent="0.25">
      <c r="A578">
        <v>86012915370</v>
      </c>
      <c r="B578" t="s">
        <v>16</v>
      </c>
      <c r="C578" t="s">
        <v>4</v>
      </c>
    </row>
    <row r="579" spans="1:3" x14ac:dyDescent="0.25">
      <c r="A579">
        <v>95011238564</v>
      </c>
      <c r="B579" t="s">
        <v>10</v>
      </c>
      <c r="C579" t="s">
        <v>6</v>
      </c>
    </row>
    <row r="580" spans="1:3" x14ac:dyDescent="0.25">
      <c r="A580">
        <v>63060590812</v>
      </c>
      <c r="B580" t="s">
        <v>19</v>
      </c>
      <c r="C580" t="s">
        <v>4</v>
      </c>
    </row>
    <row r="581" spans="1:3" x14ac:dyDescent="0.25">
      <c r="A581">
        <v>73052262582</v>
      </c>
      <c r="B581" t="s">
        <v>13</v>
      </c>
      <c r="C581" t="s">
        <v>4</v>
      </c>
    </row>
    <row r="582" spans="1:3" x14ac:dyDescent="0.25">
      <c r="A582">
        <v>57022439574</v>
      </c>
      <c r="B582" t="s">
        <v>8</v>
      </c>
      <c r="C582" t="s">
        <v>4</v>
      </c>
    </row>
    <row r="583" spans="1:3" x14ac:dyDescent="0.25">
      <c r="A583">
        <v>50091782701</v>
      </c>
      <c r="B583" t="s">
        <v>18</v>
      </c>
      <c r="C583" t="s">
        <v>6</v>
      </c>
    </row>
    <row r="584" spans="1:3" x14ac:dyDescent="0.25">
      <c r="A584">
        <v>68052065082</v>
      </c>
      <c r="B584" t="s">
        <v>18</v>
      </c>
      <c r="C584" t="s">
        <v>4</v>
      </c>
    </row>
    <row r="585" spans="1:3" x14ac:dyDescent="0.25">
      <c r="A585">
        <v>84061020261</v>
      </c>
      <c r="B585" t="s">
        <v>15</v>
      </c>
      <c r="C585" t="s">
        <v>4</v>
      </c>
    </row>
    <row r="586" spans="1:3" x14ac:dyDescent="0.25">
      <c r="A586">
        <v>77040155423</v>
      </c>
      <c r="B586" t="s">
        <v>17</v>
      </c>
      <c r="C586" t="s">
        <v>6</v>
      </c>
    </row>
    <row r="587" spans="1:3" x14ac:dyDescent="0.25">
      <c r="A587">
        <v>84091296111</v>
      </c>
      <c r="B587" t="s">
        <v>10</v>
      </c>
      <c r="C587" t="s">
        <v>6</v>
      </c>
    </row>
    <row r="588" spans="1:3" x14ac:dyDescent="0.25">
      <c r="A588">
        <v>55022627630</v>
      </c>
      <c r="B588" t="s">
        <v>19</v>
      </c>
      <c r="C588" t="s">
        <v>6</v>
      </c>
    </row>
    <row r="589" spans="1:3" x14ac:dyDescent="0.25">
      <c r="A589">
        <v>69082217922</v>
      </c>
      <c r="B589" t="s">
        <v>17</v>
      </c>
      <c r="C589" t="s">
        <v>6</v>
      </c>
    </row>
    <row r="590" spans="1:3" x14ac:dyDescent="0.25">
      <c r="A590">
        <v>99022773687</v>
      </c>
      <c r="B590" t="s">
        <v>11</v>
      </c>
      <c r="C590" t="s">
        <v>6</v>
      </c>
    </row>
    <row r="591" spans="1:3" x14ac:dyDescent="0.25">
      <c r="A591">
        <v>97082737087</v>
      </c>
      <c r="B591" t="s">
        <v>19</v>
      </c>
      <c r="C591" t="s">
        <v>6</v>
      </c>
    </row>
    <row r="592" spans="1:3" x14ac:dyDescent="0.25">
      <c r="A592">
        <v>54010610047</v>
      </c>
      <c r="B592" t="s">
        <v>11</v>
      </c>
      <c r="C592" t="s">
        <v>6</v>
      </c>
    </row>
    <row r="593" spans="1:3" x14ac:dyDescent="0.25">
      <c r="A593">
        <v>91020578578</v>
      </c>
      <c r="B593" t="s">
        <v>17</v>
      </c>
      <c r="C593" t="s">
        <v>6</v>
      </c>
    </row>
    <row r="594" spans="1:3" x14ac:dyDescent="0.25">
      <c r="A594">
        <v>70012817695</v>
      </c>
      <c r="B594" t="s">
        <v>19</v>
      </c>
      <c r="C594" t="s">
        <v>4</v>
      </c>
    </row>
    <row r="595" spans="1:3" x14ac:dyDescent="0.25">
      <c r="A595">
        <v>70122997690</v>
      </c>
      <c r="B595" t="s">
        <v>12</v>
      </c>
      <c r="C595" t="s">
        <v>4</v>
      </c>
    </row>
    <row r="596" spans="1:3" x14ac:dyDescent="0.25">
      <c r="A596">
        <v>78102548326</v>
      </c>
      <c r="B596" t="s">
        <v>8</v>
      </c>
      <c r="C596" t="s">
        <v>6</v>
      </c>
    </row>
    <row r="597" spans="1:3" x14ac:dyDescent="0.25">
      <c r="A597">
        <v>97060505297</v>
      </c>
      <c r="B597" t="s">
        <v>18</v>
      </c>
      <c r="C597" t="s">
        <v>6</v>
      </c>
    </row>
    <row r="598" spans="1:3" x14ac:dyDescent="0.25">
      <c r="A598">
        <v>84122479674</v>
      </c>
      <c r="B598" t="s">
        <v>9</v>
      </c>
      <c r="C598" t="s">
        <v>6</v>
      </c>
    </row>
    <row r="599" spans="1:3" x14ac:dyDescent="0.25">
      <c r="A599">
        <v>98051749735</v>
      </c>
      <c r="B599" t="s">
        <v>10</v>
      </c>
      <c r="C599" t="s">
        <v>4</v>
      </c>
    </row>
    <row r="600" spans="1:3" x14ac:dyDescent="0.25">
      <c r="A600">
        <v>11072711776</v>
      </c>
      <c r="B600" t="s">
        <v>17</v>
      </c>
      <c r="C600" t="s">
        <v>6</v>
      </c>
    </row>
    <row r="601" spans="1:3" x14ac:dyDescent="0.25">
      <c r="A601">
        <v>5251729665</v>
      </c>
      <c r="B601" t="s">
        <v>18</v>
      </c>
      <c r="C601" t="s">
        <v>6</v>
      </c>
    </row>
    <row r="602" spans="1:3" x14ac:dyDescent="0.25">
      <c r="A602">
        <v>3252361185</v>
      </c>
      <c r="B602" t="s">
        <v>12</v>
      </c>
      <c r="C602" t="s">
        <v>6</v>
      </c>
    </row>
    <row r="603" spans="1:3" x14ac:dyDescent="0.25">
      <c r="A603">
        <v>7282315604</v>
      </c>
      <c r="B603" t="s">
        <v>13</v>
      </c>
      <c r="C603" t="s">
        <v>4</v>
      </c>
    </row>
    <row r="604" spans="1:3" x14ac:dyDescent="0.25">
      <c r="A604">
        <v>3241701451</v>
      </c>
      <c r="B604" t="s">
        <v>16</v>
      </c>
      <c r="C604" t="s">
        <v>6</v>
      </c>
    </row>
    <row r="605" spans="1:3" x14ac:dyDescent="0.25">
      <c r="A605">
        <v>3212680950</v>
      </c>
      <c r="B605" t="s">
        <v>11</v>
      </c>
      <c r="C605" t="s">
        <v>6</v>
      </c>
    </row>
    <row r="606" spans="1:3" x14ac:dyDescent="0.25">
      <c r="A606">
        <v>8301978174</v>
      </c>
      <c r="B606" t="s">
        <v>5</v>
      </c>
      <c r="C606" t="s">
        <v>6</v>
      </c>
    </row>
    <row r="607" spans="1:3" x14ac:dyDescent="0.25">
      <c r="A607">
        <v>4291228949</v>
      </c>
      <c r="B607" t="s">
        <v>16</v>
      </c>
      <c r="C607" t="s">
        <v>6</v>
      </c>
    </row>
    <row r="608" spans="1:3" x14ac:dyDescent="0.25">
      <c r="A608">
        <v>20290586763</v>
      </c>
      <c r="B608" t="s">
        <v>14</v>
      </c>
      <c r="C608" t="s">
        <v>4</v>
      </c>
    </row>
    <row r="609" spans="1:3" x14ac:dyDescent="0.25">
      <c r="A609">
        <v>13302617719</v>
      </c>
      <c r="B609" t="s">
        <v>14</v>
      </c>
      <c r="C609" t="s">
        <v>6</v>
      </c>
    </row>
    <row r="610" spans="1:3" x14ac:dyDescent="0.25">
      <c r="A610">
        <v>9210404682</v>
      </c>
      <c r="B610" t="s">
        <v>20</v>
      </c>
      <c r="C610" t="s">
        <v>6</v>
      </c>
    </row>
    <row r="611" spans="1:3" x14ac:dyDescent="0.25">
      <c r="A611">
        <v>211828297</v>
      </c>
      <c r="B611" t="s">
        <v>20</v>
      </c>
      <c r="C611" t="s">
        <v>4</v>
      </c>
    </row>
    <row r="612" spans="1:3" x14ac:dyDescent="0.25">
      <c r="A612">
        <v>2251268240</v>
      </c>
      <c r="B612" t="s">
        <v>9</v>
      </c>
      <c r="C612" t="s">
        <v>4</v>
      </c>
    </row>
    <row r="613" spans="1:3" x14ac:dyDescent="0.25">
      <c r="A613">
        <v>3231107164</v>
      </c>
      <c r="B613" t="s">
        <v>20</v>
      </c>
      <c r="C613" t="s">
        <v>4</v>
      </c>
    </row>
    <row r="614" spans="1:3" x14ac:dyDescent="0.25">
      <c r="A614">
        <v>4240363642</v>
      </c>
      <c r="B614" t="s">
        <v>3</v>
      </c>
      <c r="C614" t="s">
        <v>6</v>
      </c>
    </row>
    <row r="615" spans="1:3" x14ac:dyDescent="0.25">
      <c r="A615">
        <v>3291272002</v>
      </c>
      <c r="B615" t="s">
        <v>5</v>
      </c>
      <c r="C615" t="s">
        <v>4</v>
      </c>
    </row>
    <row r="616" spans="1:3" x14ac:dyDescent="0.25">
      <c r="A616">
        <v>22281507519</v>
      </c>
      <c r="B616" t="s">
        <v>10</v>
      </c>
      <c r="C616" t="s">
        <v>6</v>
      </c>
    </row>
    <row r="617" spans="1:3" x14ac:dyDescent="0.25">
      <c r="A617">
        <v>2262482800</v>
      </c>
      <c r="B617" t="s">
        <v>16</v>
      </c>
      <c r="C617" t="s">
        <v>6</v>
      </c>
    </row>
    <row r="618" spans="1:3" x14ac:dyDescent="0.25">
      <c r="A618">
        <v>8211004273</v>
      </c>
      <c r="B618" t="s">
        <v>5</v>
      </c>
      <c r="C618" t="s">
        <v>6</v>
      </c>
    </row>
    <row r="619" spans="1:3" x14ac:dyDescent="0.25">
      <c r="A619">
        <v>21210948180</v>
      </c>
      <c r="B619" t="s">
        <v>13</v>
      </c>
      <c r="C619" t="s">
        <v>6</v>
      </c>
    </row>
    <row r="620" spans="1:3" x14ac:dyDescent="0.25">
      <c r="A620">
        <v>20240625971</v>
      </c>
      <c r="B620" t="s">
        <v>17</v>
      </c>
      <c r="C620" t="s">
        <v>4</v>
      </c>
    </row>
    <row r="621" spans="1:3" x14ac:dyDescent="0.25">
      <c r="A621">
        <v>4302302640</v>
      </c>
      <c r="B621" t="s">
        <v>18</v>
      </c>
      <c r="C621" t="s">
        <v>4</v>
      </c>
    </row>
    <row r="622" spans="1:3" x14ac:dyDescent="0.25">
      <c r="A622">
        <v>21213196313</v>
      </c>
      <c r="B622" t="s">
        <v>19</v>
      </c>
      <c r="C622" t="s">
        <v>6</v>
      </c>
    </row>
    <row r="623" spans="1:3" x14ac:dyDescent="0.25">
      <c r="A623">
        <v>12221688202</v>
      </c>
      <c r="B623" t="s">
        <v>7</v>
      </c>
      <c r="C623" t="s">
        <v>6</v>
      </c>
    </row>
    <row r="624" spans="1:3" x14ac:dyDescent="0.25">
      <c r="A624">
        <v>292767397</v>
      </c>
      <c r="B624" t="s">
        <v>17</v>
      </c>
      <c r="C624" t="s">
        <v>6</v>
      </c>
    </row>
    <row r="625" spans="1:3" x14ac:dyDescent="0.25">
      <c r="A625">
        <v>9280834761</v>
      </c>
      <c r="B625" t="s">
        <v>15</v>
      </c>
      <c r="C625" t="s">
        <v>4</v>
      </c>
    </row>
    <row r="626" spans="1:3" x14ac:dyDescent="0.25">
      <c r="A626">
        <v>7230141800</v>
      </c>
      <c r="B626" t="s">
        <v>12</v>
      </c>
      <c r="C626" t="s">
        <v>4</v>
      </c>
    </row>
    <row r="627" spans="1:3" x14ac:dyDescent="0.25">
      <c r="A627">
        <v>13242783936</v>
      </c>
      <c r="B627" t="s">
        <v>12</v>
      </c>
      <c r="C627" t="s">
        <v>6</v>
      </c>
    </row>
    <row r="628" spans="1:3" x14ac:dyDescent="0.25">
      <c r="A628">
        <v>19301615406</v>
      </c>
      <c r="B628" t="s">
        <v>13</v>
      </c>
      <c r="C628" t="s">
        <v>6</v>
      </c>
    </row>
    <row r="629" spans="1:3" x14ac:dyDescent="0.25">
      <c r="A629">
        <v>21322259118</v>
      </c>
      <c r="B629" t="s">
        <v>3</v>
      </c>
      <c r="C629" t="s">
        <v>4</v>
      </c>
    </row>
    <row r="630" spans="1:3" x14ac:dyDescent="0.25">
      <c r="A630">
        <v>22320106198</v>
      </c>
      <c r="B630" t="s">
        <v>3</v>
      </c>
      <c r="C630" t="s">
        <v>6</v>
      </c>
    </row>
    <row r="631" spans="1:3" x14ac:dyDescent="0.25">
      <c r="A631">
        <v>3231838149</v>
      </c>
      <c r="B631" t="s">
        <v>15</v>
      </c>
      <c r="C631" t="s">
        <v>4</v>
      </c>
    </row>
    <row r="632" spans="1:3" x14ac:dyDescent="0.25">
      <c r="A632">
        <v>16210190729</v>
      </c>
      <c r="B632" t="s">
        <v>8</v>
      </c>
      <c r="C632" t="s">
        <v>6</v>
      </c>
    </row>
    <row r="633" spans="1:3" x14ac:dyDescent="0.25">
      <c r="A633">
        <v>18321437030</v>
      </c>
      <c r="B633" t="s">
        <v>5</v>
      </c>
      <c r="C633" t="s">
        <v>6</v>
      </c>
    </row>
    <row r="634" spans="1:3" x14ac:dyDescent="0.25">
      <c r="A634">
        <v>16261642886</v>
      </c>
      <c r="B634" t="s">
        <v>12</v>
      </c>
      <c r="C634" t="s">
        <v>4</v>
      </c>
    </row>
    <row r="635" spans="1:3" x14ac:dyDescent="0.25">
      <c r="A635">
        <v>7270267124</v>
      </c>
      <c r="B635" t="s">
        <v>13</v>
      </c>
      <c r="C635" t="s">
        <v>4</v>
      </c>
    </row>
    <row r="636" spans="1:3" x14ac:dyDescent="0.25">
      <c r="A636">
        <v>12230371272</v>
      </c>
      <c r="B636" t="s">
        <v>20</v>
      </c>
      <c r="C636" t="s">
        <v>6</v>
      </c>
    </row>
    <row r="637" spans="1:3" x14ac:dyDescent="0.25">
      <c r="A637">
        <v>19312291217</v>
      </c>
      <c r="B637" t="s">
        <v>3</v>
      </c>
      <c r="C637" t="s">
        <v>6</v>
      </c>
    </row>
    <row r="638" spans="1:3" x14ac:dyDescent="0.25">
      <c r="A638">
        <v>1300894454</v>
      </c>
      <c r="B638" t="s">
        <v>19</v>
      </c>
      <c r="C638" t="s">
        <v>6</v>
      </c>
    </row>
    <row r="639" spans="1:3" x14ac:dyDescent="0.25">
      <c r="A639">
        <v>19211127459</v>
      </c>
      <c r="B639" t="s">
        <v>10</v>
      </c>
      <c r="C639" t="s">
        <v>4</v>
      </c>
    </row>
    <row r="640" spans="1:3" x14ac:dyDescent="0.25">
      <c r="A640">
        <v>22242651466</v>
      </c>
      <c r="B640" t="s">
        <v>16</v>
      </c>
      <c r="C640" t="s">
        <v>4</v>
      </c>
    </row>
    <row r="641" spans="1:3" x14ac:dyDescent="0.25">
      <c r="A641">
        <v>22231156695</v>
      </c>
      <c r="B641" t="s">
        <v>8</v>
      </c>
      <c r="C641" t="s">
        <v>6</v>
      </c>
    </row>
    <row r="642" spans="1:3" x14ac:dyDescent="0.25">
      <c r="A642">
        <v>7262771994</v>
      </c>
      <c r="B642" t="s">
        <v>20</v>
      </c>
      <c r="C642" t="s">
        <v>4</v>
      </c>
    </row>
    <row r="643" spans="1:3" x14ac:dyDescent="0.25">
      <c r="A643">
        <v>10242164211</v>
      </c>
      <c r="B643" t="s">
        <v>17</v>
      </c>
      <c r="C643" t="s">
        <v>6</v>
      </c>
    </row>
    <row r="644" spans="1:3" x14ac:dyDescent="0.25">
      <c r="A644">
        <v>5292216513</v>
      </c>
      <c r="B644" t="s">
        <v>18</v>
      </c>
      <c r="C644" t="s">
        <v>4</v>
      </c>
    </row>
    <row r="645" spans="1:3" x14ac:dyDescent="0.25">
      <c r="A645">
        <v>14282288777</v>
      </c>
      <c r="B645" t="s">
        <v>8</v>
      </c>
      <c r="C645" t="s">
        <v>4</v>
      </c>
    </row>
    <row r="646" spans="1:3" x14ac:dyDescent="0.25">
      <c r="A646">
        <v>18230257567</v>
      </c>
      <c r="B646" t="s">
        <v>5</v>
      </c>
      <c r="C646" t="s">
        <v>6</v>
      </c>
    </row>
    <row r="647" spans="1:3" x14ac:dyDescent="0.25">
      <c r="A647">
        <v>9310318685</v>
      </c>
      <c r="B647" t="s">
        <v>3</v>
      </c>
      <c r="C647" t="s">
        <v>6</v>
      </c>
    </row>
    <row r="648" spans="1:3" x14ac:dyDescent="0.25">
      <c r="A648">
        <v>14291341548</v>
      </c>
      <c r="B648" t="s">
        <v>11</v>
      </c>
      <c r="C648" t="s">
        <v>4</v>
      </c>
    </row>
    <row r="649" spans="1:3" x14ac:dyDescent="0.25">
      <c r="A649">
        <v>5220871506</v>
      </c>
      <c r="B649" t="s">
        <v>16</v>
      </c>
      <c r="C649" t="s">
        <v>6</v>
      </c>
    </row>
    <row r="650" spans="1:3" x14ac:dyDescent="0.25">
      <c r="A650">
        <v>1291595985</v>
      </c>
      <c r="B650" t="s">
        <v>14</v>
      </c>
      <c r="C650" t="s">
        <v>6</v>
      </c>
    </row>
    <row r="651" spans="1:3" x14ac:dyDescent="0.25">
      <c r="A651">
        <v>3221082073</v>
      </c>
      <c r="B651" t="s">
        <v>13</v>
      </c>
      <c r="C651" t="s">
        <v>4</v>
      </c>
    </row>
    <row r="652" spans="1:3" x14ac:dyDescent="0.25">
      <c r="A652">
        <v>13281615591</v>
      </c>
      <c r="B652" t="s">
        <v>14</v>
      </c>
      <c r="C652" t="s">
        <v>4</v>
      </c>
    </row>
    <row r="653" spans="1:3" x14ac:dyDescent="0.25">
      <c r="A653">
        <v>22260628520</v>
      </c>
      <c r="B653" t="s">
        <v>19</v>
      </c>
      <c r="C653" t="s">
        <v>6</v>
      </c>
    </row>
    <row r="654" spans="1:3" x14ac:dyDescent="0.25">
      <c r="A654">
        <v>16262990056</v>
      </c>
      <c r="B654" t="s">
        <v>5</v>
      </c>
      <c r="C654" t="s">
        <v>4</v>
      </c>
    </row>
    <row r="655" spans="1:3" x14ac:dyDescent="0.25">
      <c r="A655">
        <v>3262578326</v>
      </c>
      <c r="B655" t="s">
        <v>7</v>
      </c>
      <c r="C655" t="s">
        <v>4</v>
      </c>
    </row>
    <row r="656" spans="1:3" x14ac:dyDescent="0.25">
      <c r="A656">
        <v>8261654831</v>
      </c>
      <c r="B656" t="s">
        <v>18</v>
      </c>
      <c r="C656" t="s">
        <v>6</v>
      </c>
    </row>
    <row r="657" spans="1:3" x14ac:dyDescent="0.25">
      <c r="A657">
        <v>7221636355</v>
      </c>
      <c r="B657" t="s">
        <v>19</v>
      </c>
      <c r="C657" t="s">
        <v>4</v>
      </c>
    </row>
    <row r="658" spans="1:3" x14ac:dyDescent="0.25">
      <c r="A658">
        <v>3221064390</v>
      </c>
      <c r="B658" t="s">
        <v>19</v>
      </c>
      <c r="C658" t="s">
        <v>4</v>
      </c>
    </row>
    <row r="659" spans="1:3" x14ac:dyDescent="0.25">
      <c r="A659">
        <v>11260890223</v>
      </c>
      <c r="B659" t="s">
        <v>9</v>
      </c>
      <c r="C659" t="s">
        <v>4</v>
      </c>
    </row>
    <row r="660" spans="1:3" x14ac:dyDescent="0.25">
      <c r="A660">
        <v>14241199184</v>
      </c>
      <c r="B660" t="s">
        <v>7</v>
      </c>
      <c r="C660" t="s">
        <v>4</v>
      </c>
    </row>
    <row r="661" spans="1:3" x14ac:dyDescent="0.25">
      <c r="A661">
        <v>12241226916</v>
      </c>
      <c r="B661" t="s">
        <v>19</v>
      </c>
      <c r="C661" t="s">
        <v>4</v>
      </c>
    </row>
    <row r="662" spans="1:3" x14ac:dyDescent="0.25">
      <c r="A662">
        <v>4213122199</v>
      </c>
      <c r="B662" t="s">
        <v>20</v>
      </c>
      <c r="C662" t="s">
        <v>6</v>
      </c>
    </row>
    <row r="663" spans="1:3" x14ac:dyDescent="0.25">
      <c r="A663">
        <v>10240797842</v>
      </c>
      <c r="B663" t="s">
        <v>10</v>
      </c>
      <c r="C663" t="s">
        <v>4</v>
      </c>
    </row>
    <row r="664" spans="1:3" x14ac:dyDescent="0.25">
      <c r="A664">
        <v>19251159416</v>
      </c>
      <c r="B664" t="s">
        <v>17</v>
      </c>
      <c r="C664" t="s">
        <v>6</v>
      </c>
    </row>
    <row r="665" spans="1:3" x14ac:dyDescent="0.25">
      <c r="A665">
        <v>2210829651</v>
      </c>
      <c r="B665" t="s">
        <v>14</v>
      </c>
      <c r="C665" t="s">
        <v>4</v>
      </c>
    </row>
    <row r="666" spans="1:3" x14ac:dyDescent="0.25">
      <c r="A666">
        <v>16320390840</v>
      </c>
      <c r="B666" t="s">
        <v>19</v>
      </c>
      <c r="C666" t="s">
        <v>4</v>
      </c>
    </row>
    <row r="667" spans="1:3" x14ac:dyDescent="0.25">
      <c r="A667">
        <v>22290574762</v>
      </c>
      <c r="B667" t="s">
        <v>14</v>
      </c>
      <c r="C667" t="s">
        <v>4</v>
      </c>
    </row>
    <row r="668" spans="1:3" x14ac:dyDescent="0.25">
      <c r="A668">
        <v>15272803226</v>
      </c>
      <c r="B668" t="s">
        <v>17</v>
      </c>
      <c r="C668" t="s">
        <v>4</v>
      </c>
    </row>
    <row r="669" spans="1:3" x14ac:dyDescent="0.25">
      <c r="A669">
        <v>22301213239</v>
      </c>
      <c r="B669" t="s">
        <v>11</v>
      </c>
      <c r="C669" t="s">
        <v>4</v>
      </c>
    </row>
    <row r="670" spans="1:3" x14ac:dyDescent="0.25">
      <c r="A670">
        <v>12293034558</v>
      </c>
      <c r="B670" t="s">
        <v>3</v>
      </c>
      <c r="C670" t="s">
        <v>6</v>
      </c>
    </row>
    <row r="671" spans="1:3" x14ac:dyDescent="0.25">
      <c r="A671">
        <v>11220493866</v>
      </c>
      <c r="B671" t="s">
        <v>3</v>
      </c>
      <c r="C671" t="s">
        <v>6</v>
      </c>
    </row>
    <row r="672" spans="1:3" x14ac:dyDescent="0.25">
      <c r="A672">
        <v>6321656678</v>
      </c>
      <c r="B672" t="s">
        <v>11</v>
      </c>
      <c r="C672" t="s">
        <v>4</v>
      </c>
    </row>
    <row r="673" spans="1:3" x14ac:dyDescent="0.25">
      <c r="A673">
        <v>8271854737</v>
      </c>
      <c r="B673" t="s">
        <v>10</v>
      </c>
      <c r="C673" t="s">
        <v>4</v>
      </c>
    </row>
    <row r="674" spans="1:3" x14ac:dyDescent="0.25">
      <c r="A674">
        <v>12220169142</v>
      </c>
      <c r="B674" t="s">
        <v>17</v>
      </c>
      <c r="C674" t="s">
        <v>6</v>
      </c>
    </row>
    <row r="675" spans="1:3" x14ac:dyDescent="0.25">
      <c r="A675">
        <v>18271849295</v>
      </c>
      <c r="B675" t="s">
        <v>13</v>
      </c>
      <c r="C675" t="s">
        <v>6</v>
      </c>
    </row>
    <row r="676" spans="1:3" x14ac:dyDescent="0.25">
      <c r="A676">
        <v>6210843055</v>
      </c>
      <c r="B676" t="s">
        <v>14</v>
      </c>
      <c r="C676" t="s">
        <v>6</v>
      </c>
    </row>
    <row r="677" spans="1:3" x14ac:dyDescent="0.25">
      <c r="A677">
        <v>8241312032</v>
      </c>
      <c r="B677" t="s">
        <v>20</v>
      </c>
      <c r="C677" t="s">
        <v>4</v>
      </c>
    </row>
    <row r="678" spans="1:3" x14ac:dyDescent="0.25">
      <c r="A678">
        <v>15321101996</v>
      </c>
      <c r="B678" t="s">
        <v>10</v>
      </c>
      <c r="C678" t="s">
        <v>4</v>
      </c>
    </row>
    <row r="679" spans="1:3" x14ac:dyDescent="0.25">
      <c r="A679">
        <v>9230321604</v>
      </c>
      <c r="B679" t="s">
        <v>11</v>
      </c>
      <c r="C679" t="s">
        <v>4</v>
      </c>
    </row>
    <row r="680" spans="1:3" x14ac:dyDescent="0.25">
      <c r="A680">
        <v>9282257544</v>
      </c>
      <c r="B680" t="s">
        <v>3</v>
      </c>
      <c r="C680" t="s">
        <v>4</v>
      </c>
    </row>
    <row r="681" spans="1:3" x14ac:dyDescent="0.25">
      <c r="A681">
        <v>12272278496</v>
      </c>
      <c r="B681" t="s">
        <v>15</v>
      </c>
      <c r="C681" t="s">
        <v>4</v>
      </c>
    </row>
    <row r="682" spans="1:3" x14ac:dyDescent="0.25">
      <c r="A682">
        <v>6261714801</v>
      </c>
      <c r="B682" t="s">
        <v>3</v>
      </c>
      <c r="C682" t="s">
        <v>6</v>
      </c>
    </row>
    <row r="683" spans="1:3" x14ac:dyDescent="0.25">
      <c r="A683">
        <v>12290662086</v>
      </c>
      <c r="B683" t="s">
        <v>13</v>
      </c>
      <c r="C683" t="s">
        <v>6</v>
      </c>
    </row>
    <row r="684" spans="1:3" x14ac:dyDescent="0.25">
      <c r="A684">
        <v>13222347822</v>
      </c>
      <c r="B684" t="s">
        <v>13</v>
      </c>
      <c r="C684" t="s">
        <v>6</v>
      </c>
    </row>
    <row r="685" spans="1:3" x14ac:dyDescent="0.25">
      <c r="A685">
        <v>17292749872</v>
      </c>
      <c r="B685" t="s">
        <v>10</v>
      </c>
      <c r="C685" t="s">
        <v>4</v>
      </c>
    </row>
    <row r="686" spans="1:3" x14ac:dyDescent="0.25">
      <c r="A686">
        <v>19302110146</v>
      </c>
      <c r="B686" t="s">
        <v>17</v>
      </c>
      <c r="C686" t="s">
        <v>4</v>
      </c>
    </row>
    <row r="687" spans="1:3" x14ac:dyDescent="0.25">
      <c r="A687">
        <v>13240361611</v>
      </c>
      <c r="B687" t="s">
        <v>7</v>
      </c>
      <c r="C687" t="s">
        <v>6</v>
      </c>
    </row>
    <row r="688" spans="1:3" x14ac:dyDescent="0.25">
      <c r="A688">
        <v>15240354042</v>
      </c>
      <c r="B688" t="s">
        <v>17</v>
      </c>
      <c r="C688" t="s">
        <v>6</v>
      </c>
    </row>
    <row r="689" spans="1:3" x14ac:dyDescent="0.25">
      <c r="A689">
        <v>13301915474</v>
      </c>
      <c r="B689" t="s">
        <v>3</v>
      </c>
      <c r="C689" t="s">
        <v>6</v>
      </c>
    </row>
    <row r="690" spans="1:3" x14ac:dyDescent="0.25">
      <c r="A690">
        <v>19262778871</v>
      </c>
      <c r="B690" t="s">
        <v>20</v>
      </c>
      <c r="C690" t="s">
        <v>6</v>
      </c>
    </row>
    <row r="691" spans="1:3" x14ac:dyDescent="0.25">
      <c r="A691">
        <v>13280978334</v>
      </c>
      <c r="B691" t="s">
        <v>9</v>
      </c>
      <c r="C691" t="s">
        <v>4</v>
      </c>
    </row>
    <row r="692" spans="1:3" x14ac:dyDescent="0.25">
      <c r="A692">
        <v>14302824284</v>
      </c>
      <c r="B692" t="s">
        <v>20</v>
      </c>
      <c r="C692" t="s">
        <v>6</v>
      </c>
    </row>
    <row r="693" spans="1:3" x14ac:dyDescent="0.25">
      <c r="A693">
        <v>11272805824</v>
      </c>
      <c r="B693" t="s">
        <v>10</v>
      </c>
      <c r="C693" t="s">
        <v>4</v>
      </c>
    </row>
    <row r="694" spans="1:3" x14ac:dyDescent="0.25">
      <c r="A694">
        <v>5291879913</v>
      </c>
      <c r="B694" t="s">
        <v>19</v>
      </c>
      <c r="C694" t="s">
        <v>6</v>
      </c>
    </row>
    <row r="695" spans="1:3" x14ac:dyDescent="0.25">
      <c r="A695">
        <v>14212729259</v>
      </c>
      <c r="B695" t="s">
        <v>19</v>
      </c>
      <c r="C695" t="s">
        <v>4</v>
      </c>
    </row>
    <row r="696" spans="1:3" x14ac:dyDescent="0.25">
      <c r="A696">
        <v>3210117463</v>
      </c>
      <c r="B696" t="s">
        <v>19</v>
      </c>
      <c r="C696" t="s">
        <v>6</v>
      </c>
    </row>
    <row r="697" spans="1:3" x14ac:dyDescent="0.25">
      <c r="A697">
        <v>14291498509</v>
      </c>
      <c r="B697" t="s">
        <v>16</v>
      </c>
      <c r="C697" t="s">
        <v>6</v>
      </c>
    </row>
    <row r="698" spans="1:3" x14ac:dyDescent="0.25">
      <c r="A698">
        <v>12300620789</v>
      </c>
      <c r="B698" t="s">
        <v>12</v>
      </c>
      <c r="C698" t="s">
        <v>6</v>
      </c>
    </row>
    <row r="699" spans="1:3" x14ac:dyDescent="0.25">
      <c r="A699">
        <v>16230803856</v>
      </c>
      <c r="B699" t="s">
        <v>11</v>
      </c>
      <c r="C699" t="s">
        <v>6</v>
      </c>
    </row>
    <row r="700" spans="1:3" x14ac:dyDescent="0.25">
      <c r="A700">
        <v>1220719112</v>
      </c>
      <c r="B700" t="s">
        <v>11</v>
      </c>
      <c r="C700" t="s">
        <v>6</v>
      </c>
    </row>
    <row r="701" spans="1:3" x14ac:dyDescent="0.25">
      <c r="A701">
        <v>19220908124</v>
      </c>
      <c r="B701" t="s">
        <v>20</v>
      </c>
      <c r="C701" t="s">
        <v>4</v>
      </c>
    </row>
    <row r="702" spans="1:3" x14ac:dyDescent="0.25">
      <c r="A702">
        <v>7240788697</v>
      </c>
      <c r="B702" t="s">
        <v>10</v>
      </c>
      <c r="C702" t="s">
        <v>4</v>
      </c>
    </row>
    <row r="703" spans="1:3" x14ac:dyDescent="0.25">
      <c r="A703">
        <v>6292261558</v>
      </c>
      <c r="B703" t="s">
        <v>18</v>
      </c>
      <c r="C703" t="s">
        <v>4</v>
      </c>
    </row>
    <row r="704" spans="1:3" x14ac:dyDescent="0.25">
      <c r="A704">
        <v>17311142206</v>
      </c>
      <c r="B704" t="s">
        <v>10</v>
      </c>
      <c r="C704" t="s">
        <v>4</v>
      </c>
    </row>
    <row r="705" spans="1:3" x14ac:dyDescent="0.25">
      <c r="A705">
        <v>16321147489</v>
      </c>
      <c r="B705" t="s">
        <v>17</v>
      </c>
      <c r="C705" t="s">
        <v>4</v>
      </c>
    </row>
    <row r="706" spans="1:3" x14ac:dyDescent="0.25">
      <c r="A706">
        <v>6292135242</v>
      </c>
      <c r="B706" t="s">
        <v>19</v>
      </c>
      <c r="C706" t="s">
        <v>6</v>
      </c>
    </row>
    <row r="707" spans="1:3" x14ac:dyDescent="0.25">
      <c r="A707">
        <v>5230870575</v>
      </c>
      <c r="B707" t="s">
        <v>15</v>
      </c>
      <c r="C707" t="s">
        <v>6</v>
      </c>
    </row>
    <row r="708" spans="1:3" x14ac:dyDescent="0.25">
      <c r="A708">
        <v>18271449174</v>
      </c>
      <c r="B708" t="s">
        <v>7</v>
      </c>
      <c r="C708" t="s">
        <v>4</v>
      </c>
    </row>
    <row r="709" spans="1:3" x14ac:dyDescent="0.25">
      <c r="A709">
        <v>6321258252</v>
      </c>
      <c r="B709" t="s">
        <v>5</v>
      </c>
      <c r="C709" t="s">
        <v>4</v>
      </c>
    </row>
    <row r="710" spans="1:3" x14ac:dyDescent="0.25">
      <c r="A710">
        <v>18262630525</v>
      </c>
      <c r="B710" t="s">
        <v>8</v>
      </c>
      <c r="C710" t="s">
        <v>6</v>
      </c>
    </row>
    <row r="711" spans="1:3" x14ac:dyDescent="0.25">
      <c r="A711">
        <v>7261242695</v>
      </c>
      <c r="B711" t="s">
        <v>7</v>
      </c>
      <c r="C711" t="s">
        <v>4</v>
      </c>
    </row>
    <row r="712" spans="1:3" x14ac:dyDescent="0.25">
      <c r="A712">
        <v>8300675577</v>
      </c>
      <c r="B712" t="s">
        <v>16</v>
      </c>
      <c r="C712" t="s">
        <v>4</v>
      </c>
    </row>
    <row r="713" spans="1:3" x14ac:dyDescent="0.25">
      <c r="A713">
        <v>8221193888</v>
      </c>
      <c r="B713" t="s">
        <v>10</v>
      </c>
      <c r="C713" t="s">
        <v>6</v>
      </c>
    </row>
    <row r="714" spans="1:3" x14ac:dyDescent="0.25">
      <c r="A714">
        <v>5220192948</v>
      </c>
      <c r="B714" t="s">
        <v>10</v>
      </c>
      <c r="C714" t="s">
        <v>4</v>
      </c>
    </row>
    <row r="715" spans="1:3" x14ac:dyDescent="0.25">
      <c r="A715">
        <v>11222023223</v>
      </c>
      <c r="B715" t="s">
        <v>12</v>
      </c>
      <c r="C715" t="s">
        <v>4</v>
      </c>
    </row>
    <row r="716" spans="1:3" x14ac:dyDescent="0.25">
      <c r="A716">
        <v>18320215404</v>
      </c>
      <c r="B716" t="s">
        <v>18</v>
      </c>
      <c r="C716" t="s">
        <v>4</v>
      </c>
    </row>
    <row r="717" spans="1:3" x14ac:dyDescent="0.25">
      <c r="A717">
        <v>19303024725</v>
      </c>
      <c r="B717" t="s">
        <v>3</v>
      </c>
      <c r="C717" t="s">
        <v>6</v>
      </c>
    </row>
    <row r="718" spans="1:3" x14ac:dyDescent="0.25">
      <c r="A718">
        <v>16291352676</v>
      </c>
      <c r="B718" t="s">
        <v>3</v>
      </c>
      <c r="C718" t="s">
        <v>6</v>
      </c>
    </row>
    <row r="719" spans="1:3" x14ac:dyDescent="0.25">
      <c r="A719">
        <v>8250619858</v>
      </c>
      <c r="B719" t="s">
        <v>18</v>
      </c>
      <c r="C719" t="s">
        <v>4</v>
      </c>
    </row>
    <row r="720" spans="1:3" x14ac:dyDescent="0.25">
      <c r="A720">
        <v>5263016560</v>
      </c>
      <c r="B720" t="s">
        <v>20</v>
      </c>
      <c r="C720" t="s">
        <v>6</v>
      </c>
    </row>
    <row r="721" spans="1:3" x14ac:dyDescent="0.25">
      <c r="A721">
        <v>213181006</v>
      </c>
      <c r="B721" t="s">
        <v>13</v>
      </c>
      <c r="C721" t="s">
        <v>6</v>
      </c>
    </row>
    <row r="722" spans="1:3" x14ac:dyDescent="0.25">
      <c r="A722">
        <v>8322760361</v>
      </c>
      <c r="B722" t="s">
        <v>18</v>
      </c>
      <c r="C722" t="s">
        <v>6</v>
      </c>
    </row>
    <row r="723" spans="1:3" x14ac:dyDescent="0.25">
      <c r="A723">
        <v>16251548464</v>
      </c>
      <c r="B723" t="s">
        <v>5</v>
      </c>
      <c r="C723" t="s">
        <v>4</v>
      </c>
    </row>
    <row r="724" spans="1:3" x14ac:dyDescent="0.25">
      <c r="A724">
        <v>10292707398</v>
      </c>
      <c r="B724" t="s">
        <v>13</v>
      </c>
      <c r="C724" t="s">
        <v>6</v>
      </c>
    </row>
    <row r="725" spans="1:3" x14ac:dyDescent="0.25">
      <c r="A725">
        <v>14231316500</v>
      </c>
      <c r="B725" t="s">
        <v>13</v>
      </c>
      <c r="C725" t="s">
        <v>6</v>
      </c>
    </row>
    <row r="726" spans="1:3" x14ac:dyDescent="0.25">
      <c r="A726">
        <v>21222678682</v>
      </c>
      <c r="B726" t="s">
        <v>14</v>
      </c>
      <c r="C726" t="s">
        <v>4</v>
      </c>
    </row>
    <row r="727" spans="1:3" x14ac:dyDescent="0.25">
      <c r="A727">
        <v>12292215862</v>
      </c>
      <c r="B727" t="s">
        <v>17</v>
      </c>
      <c r="C727" t="s">
        <v>6</v>
      </c>
    </row>
    <row r="728" spans="1:3" x14ac:dyDescent="0.25">
      <c r="A728">
        <v>7282982598</v>
      </c>
      <c r="B728" t="s">
        <v>13</v>
      </c>
      <c r="C728" t="s">
        <v>6</v>
      </c>
    </row>
    <row r="729" spans="1:3" x14ac:dyDescent="0.25">
      <c r="A729">
        <v>9220591189</v>
      </c>
      <c r="B729" t="s">
        <v>19</v>
      </c>
      <c r="C729" t="s">
        <v>6</v>
      </c>
    </row>
    <row r="730" spans="1:3" x14ac:dyDescent="0.25">
      <c r="A730">
        <v>21230117469</v>
      </c>
      <c r="B730" t="s">
        <v>18</v>
      </c>
      <c r="C730" t="s">
        <v>6</v>
      </c>
    </row>
    <row r="731" spans="1:3" x14ac:dyDescent="0.25">
      <c r="A731">
        <v>11312331944</v>
      </c>
      <c r="B731" t="s">
        <v>16</v>
      </c>
      <c r="C731" t="s">
        <v>4</v>
      </c>
    </row>
    <row r="732" spans="1:3" x14ac:dyDescent="0.25">
      <c r="A732">
        <v>9240629666</v>
      </c>
      <c r="B732" t="s">
        <v>14</v>
      </c>
      <c r="C732" t="s">
        <v>4</v>
      </c>
    </row>
    <row r="733" spans="1:3" x14ac:dyDescent="0.25">
      <c r="A733">
        <v>312160294</v>
      </c>
      <c r="B733" t="s">
        <v>15</v>
      </c>
      <c r="C733" t="s">
        <v>6</v>
      </c>
    </row>
    <row r="734" spans="1:3" x14ac:dyDescent="0.25">
      <c r="A734">
        <v>8281110832</v>
      </c>
      <c r="B734" t="s">
        <v>20</v>
      </c>
      <c r="C734" t="s">
        <v>4</v>
      </c>
    </row>
    <row r="735" spans="1:3" x14ac:dyDescent="0.25">
      <c r="A735">
        <v>5221259161</v>
      </c>
      <c r="B735" t="s">
        <v>17</v>
      </c>
      <c r="C735" t="s">
        <v>6</v>
      </c>
    </row>
    <row r="736" spans="1:3" x14ac:dyDescent="0.25">
      <c r="A736">
        <v>16212479677</v>
      </c>
      <c r="B736" t="s">
        <v>11</v>
      </c>
      <c r="C736" t="s">
        <v>4</v>
      </c>
    </row>
    <row r="737" spans="1:3" x14ac:dyDescent="0.25">
      <c r="A737">
        <v>15300618013</v>
      </c>
      <c r="B737" t="s">
        <v>20</v>
      </c>
      <c r="C737" t="s">
        <v>4</v>
      </c>
    </row>
    <row r="738" spans="1:3" x14ac:dyDescent="0.25">
      <c r="A738">
        <v>15291801395</v>
      </c>
      <c r="B738" t="s">
        <v>5</v>
      </c>
      <c r="C738" t="s">
        <v>4</v>
      </c>
    </row>
    <row r="739" spans="1:3" x14ac:dyDescent="0.25">
      <c r="A739">
        <v>19301521378</v>
      </c>
      <c r="B739" t="s">
        <v>19</v>
      </c>
      <c r="C739" t="s">
        <v>6</v>
      </c>
    </row>
    <row r="740" spans="1:3" x14ac:dyDescent="0.25">
      <c r="A740">
        <v>3211413360</v>
      </c>
      <c r="B740" t="s">
        <v>12</v>
      </c>
      <c r="C740" t="s">
        <v>4</v>
      </c>
    </row>
    <row r="741" spans="1:3" x14ac:dyDescent="0.25">
      <c r="A741">
        <v>6242125787</v>
      </c>
      <c r="B741" t="s">
        <v>11</v>
      </c>
      <c r="C741" t="s">
        <v>4</v>
      </c>
    </row>
    <row r="742" spans="1:3" x14ac:dyDescent="0.25">
      <c r="A742">
        <v>3252816289</v>
      </c>
      <c r="B742" t="s">
        <v>17</v>
      </c>
      <c r="C742" t="s">
        <v>4</v>
      </c>
    </row>
    <row r="743" spans="1:3" x14ac:dyDescent="0.25">
      <c r="A743">
        <v>16292924229</v>
      </c>
      <c r="B743" t="s">
        <v>12</v>
      </c>
      <c r="C743" t="s">
        <v>4</v>
      </c>
    </row>
    <row r="744" spans="1:3" x14ac:dyDescent="0.25">
      <c r="A744">
        <v>272757774</v>
      </c>
      <c r="B744" t="s">
        <v>16</v>
      </c>
      <c r="C744" t="s">
        <v>6</v>
      </c>
    </row>
    <row r="745" spans="1:3" x14ac:dyDescent="0.25">
      <c r="A745">
        <v>6252143218</v>
      </c>
      <c r="B745" t="s">
        <v>12</v>
      </c>
      <c r="C745" t="s">
        <v>6</v>
      </c>
    </row>
    <row r="746" spans="1:3" x14ac:dyDescent="0.25">
      <c r="A746">
        <v>12241783008</v>
      </c>
      <c r="B746" t="s">
        <v>12</v>
      </c>
      <c r="C746" t="s">
        <v>6</v>
      </c>
    </row>
    <row r="747" spans="1:3" x14ac:dyDescent="0.25">
      <c r="A747">
        <v>17250119602</v>
      </c>
      <c r="B747" t="s">
        <v>19</v>
      </c>
      <c r="C747" t="s">
        <v>6</v>
      </c>
    </row>
    <row r="748" spans="1:3" x14ac:dyDescent="0.25">
      <c r="A748">
        <v>15312624240</v>
      </c>
      <c r="B748" t="s">
        <v>5</v>
      </c>
      <c r="C748" t="s">
        <v>6</v>
      </c>
    </row>
    <row r="749" spans="1:3" x14ac:dyDescent="0.25">
      <c r="A749">
        <v>11261383104</v>
      </c>
      <c r="B749" t="s">
        <v>14</v>
      </c>
      <c r="C749" t="s">
        <v>4</v>
      </c>
    </row>
    <row r="750" spans="1:3" x14ac:dyDescent="0.25">
      <c r="A750">
        <v>11270859559</v>
      </c>
      <c r="B750" t="s">
        <v>13</v>
      </c>
      <c r="C750" t="s">
        <v>4</v>
      </c>
    </row>
    <row r="751" spans="1:3" x14ac:dyDescent="0.25">
      <c r="A751">
        <v>13251052847</v>
      </c>
      <c r="B751" t="s">
        <v>15</v>
      </c>
      <c r="C751" t="s">
        <v>4</v>
      </c>
    </row>
    <row r="752" spans="1:3" x14ac:dyDescent="0.25">
      <c r="A752">
        <v>16251477472</v>
      </c>
      <c r="B752" t="s">
        <v>20</v>
      </c>
      <c r="C752" t="s">
        <v>4</v>
      </c>
    </row>
    <row r="753" spans="1:3" x14ac:dyDescent="0.25">
      <c r="A753">
        <v>21270269818</v>
      </c>
      <c r="B753" t="s">
        <v>12</v>
      </c>
      <c r="C753" t="s">
        <v>6</v>
      </c>
    </row>
    <row r="754" spans="1:3" x14ac:dyDescent="0.25">
      <c r="A754">
        <v>7233171240</v>
      </c>
      <c r="B754" t="s">
        <v>16</v>
      </c>
      <c r="C754" t="s">
        <v>6</v>
      </c>
    </row>
    <row r="755" spans="1:3" x14ac:dyDescent="0.25">
      <c r="A755">
        <v>6240685911</v>
      </c>
      <c r="B755" t="s">
        <v>14</v>
      </c>
      <c r="C755" t="s">
        <v>4</v>
      </c>
    </row>
    <row r="756" spans="1:3" x14ac:dyDescent="0.25">
      <c r="A756">
        <v>8230748288</v>
      </c>
      <c r="B756" t="s">
        <v>8</v>
      </c>
      <c r="C756" t="s">
        <v>4</v>
      </c>
    </row>
    <row r="757" spans="1:3" x14ac:dyDescent="0.25">
      <c r="A757">
        <v>10272638467</v>
      </c>
      <c r="B757" t="s">
        <v>19</v>
      </c>
      <c r="C757" t="s">
        <v>4</v>
      </c>
    </row>
    <row r="758" spans="1:3" x14ac:dyDescent="0.25">
      <c r="A758">
        <v>2222614214</v>
      </c>
      <c r="B758" t="s">
        <v>18</v>
      </c>
      <c r="C758" t="s">
        <v>4</v>
      </c>
    </row>
    <row r="759" spans="1:3" x14ac:dyDescent="0.25">
      <c r="A759">
        <v>2300270619</v>
      </c>
      <c r="B759" t="s">
        <v>8</v>
      </c>
      <c r="C759" t="s">
        <v>4</v>
      </c>
    </row>
    <row r="760" spans="1:3" x14ac:dyDescent="0.25">
      <c r="A760">
        <v>2320180006</v>
      </c>
      <c r="B760" t="s">
        <v>5</v>
      </c>
      <c r="C760" t="s">
        <v>4</v>
      </c>
    </row>
    <row r="761" spans="1:3" x14ac:dyDescent="0.25">
      <c r="A761">
        <v>10231388673</v>
      </c>
      <c r="B761" t="s">
        <v>17</v>
      </c>
      <c r="C761" t="s">
        <v>4</v>
      </c>
    </row>
    <row r="762" spans="1:3" x14ac:dyDescent="0.25">
      <c r="A762">
        <v>1211693203</v>
      </c>
      <c r="B762" t="s">
        <v>5</v>
      </c>
      <c r="C762" t="s">
        <v>6</v>
      </c>
    </row>
    <row r="763" spans="1:3" x14ac:dyDescent="0.25">
      <c r="A763">
        <v>19221918386</v>
      </c>
      <c r="B763" t="s">
        <v>3</v>
      </c>
      <c r="C763" t="s">
        <v>4</v>
      </c>
    </row>
    <row r="764" spans="1:3" x14ac:dyDescent="0.25">
      <c r="A764">
        <v>21242102774</v>
      </c>
      <c r="B764" t="s">
        <v>16</v>
      </c>
      <c r="C764" t="s">
        <v>4</v>
      </c>
    </row>
    <row r="765" spans="1:3" x14ac:dyDescent="0.25">
      <c r="A765">
        <v>21220329306</v>
      </c>
      <c r="B765" t="s">
        <v>12</v>
      </c>
      <c r="C765" t="s">
        <v>4</v>
      </c>
    </row>
    <row r="766" spans="1:3" x14ac:dyDescent="0.25">
      <c r="A766">
        <v>2301356646</v>
      </c>
      <c r="B766" t="s">
        <v>7</v>
      </c>
      <c r="C766" t="s">
        <v>4</v>
      </c>
    </row>
    <row r="767" spans="1:3" x14ac:dyDescent="0.25">
      <c r="A767">
        <v>322554973</v>
      </c>
      <c r="B767" t="s">
        <v>16</v>
      </c>
      <c r="C767" t="s">
        <v>4</v>
      </c>
    </row>
    <row r="768" spans="1:3" x14ac:dyDescent="0.25">
      <c r="A768">
        <v>13281180844</v>
      </c>
      <c r="B768" t="s">
        <v>15</v>
      </c>
      <c r="C768" t="s">
        <v>4</v>
      </c>
    </row>
    <row r="769" spans="1:3" x14ac:dyDescent="0.25">
      <c r="A769">
        <v>8291177821</v>
      </c>
      <c r="B769" t="s">
        <v>14</v>
      </c>
      <c r="C769" t="s">
        <v>4</v>
      </c>
    </row>
    <row r="770" spans="1:3" x14ac:dyDescent="0.25">
      <c r="A770">
        <v>9211086504</v>
      </c>
      <c r="B770" t="s">
        <v>10</v>
      </c>
      <c r="C770" t="s">
        <v>6</v>
      </c>
    </row>
    <row r="771" spans="1:3" x14ac:dyDescent="0.25">
      <c r="A771">
        <v>4322699630</v>
      </c>
      <c r="B771" t="s">
        <v>13</v>
      </c>
      <c r="C771" t="s">
        <v>4</v>
      </c>
    </row>
    <row r="772" spans="1:3" x14ac:dyDescent="0.25">
      <c r="A772">
        <v>21291945252</v>
      </c>
      <c r="B772" t="s">
        <v>7</v>
      </c>
      <c r="C772" t="s">
        <v>4</v>
      </c>
    </row>
    <row r="773" spans="1:3" x14ac:dyDescent="0.25">
      <c r="A773">
        <v>12272287597</v>
      </c>
      <c r="B773" t="s">
        <v>3</v>
      </c>
      <c r="C773" t="s">
        <v>6</v>
      </c>
    </row>
    <row r="774" spans="1:3" x14ac:dyDescent="0.25">
      <c r="A774">
        <v>10271077511</v>
      </c>
      <c r="B774" t="s">
        <v>7</v>
      </c>
      <c r="C774" t="s">
        <v>4</v>
      </c>
    </row>
    <row r="775" spans="1:3" x14ac:dyDescent="0.25">
      <c r="A775">
        <v>13281776603</v>
      </c>
      <c r="B775" t="s">
        <v>9</v>
      </c>
      <c r="C775" t="s">
        <v>4</v>
      </c>
    </row>
    <row r="776" spans="1:3" x14ac:dyDescent="0.25">
      <c r="A776">
        <v>8321477132</v>
      </c>
      <c r="B776" t="s">
        <v>12</v>
      </c>
      <c r="C776" t="s">
        <v>6</v>
      </c>
    </row>
    <row r="777" spans="1:3" x14ac:dyDescent="0.25">
      <c r="A777">
        <v>3241142483</v>
      </c>
      <c r="B777" t="s">
        <v>12</v>
      </c>
      <c r="C777" t="s">
        <v>4</v>
      </c>
    </row>
    <row r="778" spans="1:3" x14ac:dyDescent="0.25">
      <c r="A778">
        <v>6261817733</v>
      </c>
      <c r="B778" t="s">
        <v>11</v>
      </c>
      <c r="C778" t="s">
        <v>4</v>
      </c>
    </row>
    <row r="779" spans="1:3" x14ac:dyDescent="0.25">
      <c r="A779">
        <v>1322621562</v>
      </c>
      <c r="B779" t="s">
        <v>8</v>
      </c>
      <c r="C779" t="s">
        <v>4</v>
      </c>
    </row>
    <row r="780" spans="1:3" x14ac:dyDescent="0.25">
      <c r="A780">
        <v>2212245123</v>
      </c>
      <c r="B780" t="s">
        <v>5</v>
      </c>
      <c r="C780" t="s">
        <v>6</v>
      </c>
    </row>
    <row r="781" spans="1:3" x14ac:dyDescent="0.25">
      <c r="A781">
        <v>16240578128</v>
      </c>
      <c r="B781" t="s">
        <v>10</v>
      </c>
      <c r="C781" t="s">
        <v>4</v>
      </c>
    </row>
    <row r="782" spans="1:3" x14ac:dyDescent="0.25">
      <c r="A782">
        <v>3260343573</v>
      </c>
      <c r="B782" t="s">
        <v>16</v>
      </c>
      <c r="C782" t="s">
        <v>6</v>
      </c>
    </row>
    <row r="783" spans="1:3" x14ac:dyDescent="0.25">
      <c r="A783">
        <v>1220297225</v>
      </c>
      <c r="B783" t="s">
        <v>5</v>
      </c>
      <c r="C783" t="s">
        <v>4</v>
      </c>
    </row>
    <row r="784" spans="1:3" x14ac:dyDescent="0.25">
      <c r="A784">
        <v>6210896367</v>
      </c>
      <c r="B784" t="s">
        <v>8</v>
      </c>
      <c r="C784" t="s">
        <v>6</v>
      </c>
    </row>
    <row r="785" spans="1:3" x14ac:dyDescent="0.25">
      <c r="A785">
        <v>11321724913</v>
      </c>
      <c r="B785" t="s">
        <v>10</v>
      </c>
      <c r="C785" t="s">
        <v>6</v>
      </c>
    </row>
    <row r="786" spans="1:3" x14ac:dyDescent="0.25">
      <c r="A786">
        <v>8291544285</v>
      </c>
      <c r="B786" t="s">
        <v>5</v>
      </c>
      <c r="C786" t="s">
        <v>4</v>
      </c>
    </row>
    <row r="787" spans="1:3" x14ac:dyDescent="0.25">
      <c r="A787">
        <v>17311176384</v>
      </c>
      <c r="B787" t="s">
        <v>15</v>
      </c>
      <c r="C787" t="s">
        <v>4</v>
      </c>
    </row>
    <row r="788" spans="1:3" x14ac:dyDescent="0.25">
      <c r="A788">
        <v>4220185460</v>
      </c>
      <c r="B788" t="s">
        <v>13</v>
      </c>
      <c r="C788" t="s">
        <v>6</v>
      </c>
    </row>
    <row r="789" spans="1:3" x14ac:dyDescent="0.25">
      <c r="A789">
        <v>22241050839</v>
      </c>
      <c r="B789" t="s">
        <v>8</v>
      </c>
      <c r="C789" t="s">
        <v>4</v>
      </c>
    </row>
    <row r="790" spans="1:3" x14ac:dyDescent="0.25">
      <c r="A790">
        <v>13291881753</v>
      </c>
      <c r="B790" t="s">
        <v>9</v>
      </c>
      <c r="C790" t="s">
        <v>4</v>
      </c>
    </row>
    <row r="791" spans="1:3" x14ac:dyDescent="0.25">
      <c r="A791">
        <v>14292742539</v>
      </c>
      <c r="B791" t="s">
        <v>8</v>
      </c>
      <c r="C791" t="s">
        <v>6</v>
      </c>
    </row>
    <row r="792" spans="1:3" x14ac:dyDescent="0.25">
      <c r="A792">
        <v>20252400425</v>
      </c>
      <c r="B792" t="s">
        <v>9</v>
      </c>
      <c r="C792" t="s">
        <v>4</v>
      </c>
    </row>
    <row r="793" spans="1:3" x14ac:dyDescent="0.25">
      <c r="A793">
        <v>1221128012</v>
      </c>
      <c r="B793" t="s">
        <v>18</v>
      </c>
      <c r="C793" t="s">
        <v>6</v>
      </c>
    </row>
    <row r="794" spans="1:3" x14ac:dyDescent="0.25">
      <c r="A794">
        <v>5290342425</v>
      </c>
      <c r="B794" t="s">
        <v>9</v>
      </c>
      <c r="C794" t="s">
        <v>6</v>
      </c>
    </row>
    <row r="795" spans="1:3" x14ac:dyDescent="0.25">
      <c r="A795">
        <v>8251519232</v>
      </c>
      <c r="B795" t="s">
        <v>9</v>
      </c>
      <c r="C795" t="s">
        <v>6</v>
      </c>
    </row>
    <row r="796" spans="1:3" x14ac:dyDescent="0.25">
      <c r="A796">
        <v>1242346721</v>
      </c>
      <c r="B796" t="s">
        <v>5</v>
      </c>
      <c r="C796" t="s">
        <v>4</v>
      </c>
    </row>
    <row r="797" spans="1:3" x14ac:dyDescent="0.25">
      <c r="A797">
        <v>19221946062</v>
      </c>
      <c r="B797" t="s">
        <v>5</v>
      </c>
      <c r="C797" t="s">
        <v>6</v>
      </c>
    </row>
    <row r="798" spans="1:3" x14ac:dyDescent="0.25">
      <c r="A798">
        <v>2242206231</v>
      </c>
      <c r="B798" t="s">
        <v>17</v>
      </c>
      <c r="C798" t="s">
        <v>4</v>
      </c>
    </row>
    <row r="799" spans="1:3" x14ac:dyDescent="0.25">
      <c r="A799">
        <v>15220366922</v>
      </c>
      <c r="B799" t="s">
        <v>3</v>
      </c>
      <c r="C799" t="s">
        <v>4</v>
      </c>
    </row>
    <row r="800" spans="1:3" x14ac:dyDescent="0.25">
      <c r="A800">
        <v>5270147233</v>
      </c>
      <c r="B800" t="s">
        <v>11</v>
      </c>
      <c r="C800" t="s">
        <v>4</v>
      </c>
    </row>
    <row r="801" spans="1:3" x14ac:dyDescent="0.25">
      <c r="A801">
        <v>7212419974</v>
      </c>
      <c r="B801" t="s">
        <v>13</v>
      </c>
      <c r="C801" t="s">
        <v>6</v>
      </c>
    </row>
    <row r="802" spans="1:3" x14ac:dyDescent="0.25">
      <c r="A802">
        <v>6210742569</v>
      </c>
      <c r="B802" t="s">
        <v>8</v>
      </c>
      <c r="C802" t="s">
        <v>4</v>
      </c>
    </row>
    <row r="803" spans="1:3" x14ac:dyDescent="0.25">
      <c r="A803">
        <v>11230540910</v>
      </c>
      <c r="B803" t="s">
        <v>15</v>
      </c>
      <c r="C803" t="s">
        <v>6</v>
      </c>
    </row>
    <row r="804" spans="1:3" x14ac:dyDescent="0.25">
      <c r="A804">
        <v>9300144173</v>
      </c>
      <c r="B804" t="s">
        <v>8</v>
      </c>
      <c r="C804" t="s">
        <v>6</v>
      </c>
    </row>
    <row r="805" spans="1:3" x14ac:dyDescent="0.25">
      <c r="A805">
        <v>11213025230</v>
      </c>
      <c r="B805" t="s">
        <v>3</v>
      </c>
      <c r="C805" t="s">
        <v>4</v>
      </c>
    </row>
    <row r="806" spans="1:3" x14ac:dyDescent="0.25">
      <c r="A806">
        <v>11320429338</v>
      </c>
      <c r="B806" t="s">
        <v>14</v>
      </c>
      <c r="C806" t="s">
        <v>6</v>
      </c>
    </row>
    <row r="807" spans="1:3" x14ac:dyDescent="0.25">
      <c r="A807">
        <v>20312520250</v>
      </c>
      <c r="B807" t="s">
        <v>5</v>
      </c>
      <c r="C807" t="s">
        <v>4</v>
      </c>
    </row>
    <row r="808" spans="1:3" x14ac:dyDescent="0.25">
      <c r="A808">
        <v>14280583423</v>
      </c>
      <c r="B808" t="s">
        <v>14</v>
      </c>
      <c r="C808" t="s">
        <v>4</v>
      </c>
    </row>
    <row r="809" spans="1:3" x14ac:dyDescent="0.25">
      <c r="A809">
        <v>3221032757</v>
      </c>
      <c r="B809" t="s">
        <v>15</v>
      </c>
      <c r="C809" t="s">
        <v>4</v>
      </c>
    </row>
    <row r="810" spans="1:3" x14ac:dyDescent="0.25">
      <c r="A810">
        <v>16291603888</v>
      </c>
      <c r="B810" t="s">
        <v>13</v>
      </c>
      <c r="C810" t="s">
        <v>6</v>
      </c>
    </row>
    <row r="811" spans="1:3" x14ac:dyDescent="0.25">
      <c r="A811">
        <v>291838700</v>
      </c>
      <c r="B811" t="s">
        <v>11</v>
      </c>
      <c r="C811" t="s">
        <v>4</v>
      </c>
    </row>
    <row r="812" spans="1:3" x14ac:dyDescent="0.25">
      <c r="A812">
        <v>11302022001</v>
      </c>
      <c r="B812" t="s">
        <v>5</v>
      </c>
      <c r="C812" t="s">
        <v>4</v>
      </c>
    </row>
    <row r="813" spans="1:3" x14ac:dyDescent="0.25">
      <c r="A813">
        <v>4272000276</v>
      </c>
      <c r="B813" t="s">
        <v>8</v>
      </c>
      <c r="C813" t="s">
        <v>6</v>
      </c>
    </row>
    <row r="814" spans="1:3" x14ac:dyDescent="0.25">
      <c r="A814">
        <v>262862624</v>
      </c>
      <c r="B814" t="s">
        <v>14</v>
      </c>
      <c r="C814" t="s">
        <v>4</v>
      </c>
    </row>
    <row r="815" spans="1:3" x14ac:dyDescent="0.25">
      <c r="A815">
        <v>7263089155</v>
      </c>
      <c r="B815" t="s">
        <v>20</v>
      </c>
      <c r="C815" t="s">
        <v>4</v>
      </c>
    </row>
    <row r="816" spans="1:3" x14ac:dyDescent="0.25">
      <c r="A816">
        <v>2210196742</v>
      </c>
      <c r="B816" t="s">
        <v>13</v>
      </c>
      <c r="C816" t="s">
        <v>6</v>
      </c>
    </row>
    <row r="817" spans="1:3" x14ac:dyDescent="0.25">
      <c r="A817">
        <v>11301805012</v>
      </c>
      <c r="B817" t="s">
        <v>11</v>
      </c>
      <c r="C817" t="s">
        <v>4</v>
      </c>
    </row>
    <row r="818" spans="1:3" x14ac:dyDescent="0.25">
      <c r="A818">
        <v>10292551560</v>
      </c>
      <c r="B818" t="s">
        <v>8</v>
      </c>
      <c r="C818" t="s">
        <v>4</v>
      </c>
    </row>
    <row r="819" spans="1:3" x14ac:dyDescent="0.25">
      <c r="A819">
        <v>19302646924</v>
      </c>
      <c r="B819" t="s">
        <v>16</v>
      </c>
      <c r="C819" t="s">
        <v>6</v>
      </c>
    </row>
    <row r="820" spans="1:3" x14ac:dyDescent="0.25">
      <c r="A820">
        <v>2290618927</v>
      </c>
      <c r="B820" t="s">
        <v>16</v>
      </c>
      <c r="C820" t="s">
        <v>6</v>
      </c>
    </row>
    <row r="821" spans="1:3" x14ac:dyDescent="0.25">
      <c r="A821">
        <v>1302670779</v>
      </c>
      <c r="B821" t="s">
        <v>5</v>
      </c>
      <c r="C821" t="s">
        <v>6</v>
      </c>
    </row>
    <row r="822" spans="1:3" x14ac:dyDescent="0.25">
      <c r="A822">
        <v>19302687224</v>
      </c>
      <c r="B822" t="s">
        <v>15</v>
      </c>
      <c r="C822" t="s">
        <v>6</v>
      </c>
    </row>
    <row r="823" spans="1:3" x14ac:dyDescent="0.25">
      <c r="A823">
        <v>12260688504</v>
      </c>
      <c r="B823" t="s">
        <v>16</v>
      </c>
      <c r="C823" t="s">
        <v>6</v>
      </c>
    </row>
    <row r="824" spans="1:3" x14ac:dyDescent="0.25">
      <c r="A824">
        <v>241654994</v>
      </c>
      <c r="B824" t="s">
        <v>20</v>
      </c>
      <c r="C824" t="s">
        <v>4</v>
      </c>
    </row>
    <row r="825" spans="1:3" x14ac:dyDescent="0.25">
      <c r="A825">
        <v>291433332</v>
      </c>
      <c r="B825" t="s">
        <v>5</v>
      </c>
      <c r="C825" t="s">
        <v>4</v>
      </c>
    </row>
    <row r="826" spans="1:3" x14ac:dyDescent="0.25">
      <c r="A826">
        <v>9281659309</v>
      </c>
      <c r="B826" t="s">
        <v>19</v>
      </c>
      <c r="C826" t="s">
        <v>4</v>
      </c>
    </row>
    <row r="827" spans="1:3" x14ac:dyDescent="0.25">
      <c r="A827">
        <v>5271072857</v>
      </c>
      <c r="B827" t="s">
        <v>11</v>
      </c>
      <c r="C827" t="s">
        <v>4</v>
      </c>
    </row>
    <row r="828" spans="1:3" x14ac:dyDescent="0.25">
      <c r="A828">
        <v>20222616272</v>
      </c>
      <c r="B828" t="s">
        <v>19</v>
      </c>
      <c r="C828" t="s">
        <v>4</v>
      </c>
    </row>
    <row r="829" spans="1:3" x14ac:dyDescent="0.25">
      <c r="A829">
        <v>2283166327</v>
      </c>
      <c r="B829" t="s">
        <v>18</v>
      </c>
      <c r="C829" t="s">
        <v>6</v>
      </c>
    </row>
    <row r="830" spans="1:3" x14ac:dyDescent="0.25">
      <c r="A830">
        <v>19231080301</v>
      </c>
      <c r="B830" t="s">
        <v>11</v>
      </c>
      <c r="C830" t="s">
        <v>6</v>
      </c>
    </row>
    <row r="831" spans="1:3" x14ac:dyDescent="0.25">
      <c r="A831">
        <v>9301626432</v>
      </c>
      <c r="B831" t="s">
        <v>10</v>
      </c>
      <c r="C831" t="s">
        <v>6</v>
      </c>
    </row>
    <row r="832" spans="1:3" x14ac:dyDescent="0.25">
      <c r="A832">
        <v>12292632894</v>
      </c>
      <c r="B832" t="s">
        <v>3</v>
      </c>
      <c r="C832" t="s">
        <v>4</v>
      </c>
    </row>
    <row r="833" spans="1:3" x14ac:dyDescent="0.25">
      <c r="A833">
        <v>220197337</v>
      </c>
      <c r="B833" t="s">
        <v>9</v>
      </c>
      <c r="C833" t="s">
        <v>6</v>
      </c>
    </row>
    <row r="834" spans="1:3" x14ac:dyDescent="0.25">
      <c r="A834">
        <v>18261827999</v>
      </c>
      <c r="B834" t="s">
        <v>18</v>
      </c>
      <c r="C834" t="s">
        <v>4</v>
      </c>
    </row>
    <row r="835" spans="1:3" x14ac:dyDescent="0.25">
      <c r="A835">
        <v>22280655817</v>
      </c>
      <c r="B835" t="s">
        <v>18</v>
      </c>
      <c r="C835" t="s">
        <v>4</v>
      </c>
    </row>
    <row r="836" spans="1:3" x14ac:dyDescent="0.25">
      <c r="A836">
        <v>21221398701</v>
      </c>
      <c r="B836" t="s">
        <v>19</v>
      </c>
      <c r="C836" t="s">
        <v>6</v>
      </c>
    </row>
    <row r="837" spans="1:3" x14ac:dyDescent="0.25">
      <c r="A837">
        <v>4240223735</v>
      </c>
      <c r="B837" t="s">
        <v>5</v>
      </c>
      <c r="C837" t="s">
        <v>4</v>
      </c>
    </row>
    <row r="838" spans="1:3" x14ac:dyDescent="0.25">
      <c r="A838">
        <v>12312469426</v>
      </c>
      <c r="B838" t="s">
        <v>15</v>
      </c>
      <c r="C838" t="s">
        <v>6</v>
      </c>
    </row>
    <row r="839" spans="1:3" x14ac:dyDescent="0.25">
      <c r="A839">
        <v>9281542067</v>
      </c>
      <c r="B839" t="s">
        <v>3</v>
      </c>
      <c r="C839" t="s">
        <v>6</v>
      </c>
    </row>
    <row r="840" spans="1:3" x14ac:dyDescent="0.25">
      <c r="A840">
        <v>15253008956</v>
      </c>
      <c r="B840" t="s">
        <v>3</v>
      </c>
      <c r="C840" t="s">
        <v>6</v>
      </c>
    </row>
    <row r="841" spans="1:3" x14ac:dyDescent="0.25">
      <c r="A841">
        <v>10220968532</v>
      </c>
      <c r="B841" t="s">
        <v>13</v>
      </c>
      <c r="C841" t="s">
        <v>4</v>
      </c>
    </row>
    <row r="842" spans="1:3" x14ac:dyDescent="0.25">
      <c r="A842">
        <v>5231406151</v>
      </c>
      <c r="B842" t="s">
        <v>5</v>
      </c>
      <c r="C842" t="s">
        <v>4</v>
      </c>
    </row>
    <row r="843" spans="1:3" x14ac:dyDescent="0.25">
      <c r="A843">
        <v>4312426006</v>
      </c>
      <c r="B843" t="s">
        <v>10</v>
      </c>
      <c r="C843" t="s">
        <v>6</v>
      </c>
    </row>
    <row r="844" spans="1:3" x14ac:dyDescent="0.25">
      <c r="A844">
        <v>22290577994</v>
      </c>
      <c r="B844" t="s">
        <v>9</v>
      </c>
      <c r="C844" t="s">
        <v>6</v>
      </c>
    </row>
    <row r="845" spans="1:3" x14ac:dyDescent="0.25">
      <c r="A845">
        <v>19280922601</v>
      </c>
      <c r="B845" t="s">
        <v>3</v>
      </c>
      <c r="C845" t="s">
        <v>4</v>
      </c>
    </row>
    <row r="846" spans="1:3" x14ac:dyDescent="0.25">
      <c r="A846">
        <v>11251095756</v>
      </c>
      <c r="B846" t="s">
        <v>20</v>
      </c>
      <c r="C846" t="s">
        <v>6</v>
      </c>
    </row>
    <row r="847" spans="1:3" x14ac:dyDescent="0.25">
      <c r="A847">
        <v>6220429652</v>
      </c>
      <c r="B847" t="s">
        <v>13</v>
      </c>
      <c r="C847" t="s">
        <v>4</v>
      </c>
    </row>
    <row r="848" spans="1:3" x14ac:dyDescent="0.25">
      <c r="A848">
        <v>7282107661</v>
      </c>
      <c r="B848" t="s">
        <v>3</v>
      </c>
      <c r="C848" t="s">
        <v>4</v>
      </c>
    </row>
    <row r="849" spans="1:3" x14ac:dyDescent="0.25">
      <c r="A849">
        <v>321275130</v>
      </c>
      <c r="B849" t="s">
        <v>11</v>
      </c>
      <c r="C849" t="s">
        <v>6</v>
      </c>
    </row>
    <row r="850" spans="1:3" x14ac:dyDescent="0.25">
      <c r="A850">
        <v>17230169162</v>
      </c>
      <c r="B850" t="s">
        <v>16</v>
      </c>
      <c r="C850" t="s">
        <v>4</v>
      </c>
    </row>
    <row r="851" spans="1:3" x14ac:dyDescent="0.25">
      <c r="A851">
        <v>10252988317</v>
      </c>
      <c r="B851" t="s">
        <v>11</v>
      </c>
      <c r="C851" t="s">
        <v>4</v>
      </c>
    </row>
    <row r="852" spans="1:3" x14ac:dyDescent="0.25">
      <c r="A852">
        <v>11221946127</v>
      </c>
      <c r="B852" t="s">
        <v>12</v>
      </c>
      <c r="C852" t="s">
        <v>6</v>
      </c>
    </row>
    <row r="853" spans="1:3" x14ac:dyDescent="0.25">
      <c r="A853">
        <v>1262279216</v>
      </c>
      <c r="B853" t="s">
        <v>14</v>
      </c>
      <c r="C853" t="s">
        <v>4</v>
      </c>
    </row>
    <row r="854" spans="1:3" x14ac:dyDescent="0.25">
      <c r="A854">
        <v>8232997710</v>
      </c>
      <c r="B854" t="s">
        <v>14</v>
      </c>
      <c r="C854" t="s">
        <v>6</v>
      </c>
    </row>
    <row r="855" spans="1:3" x14ac:dyDescent="0.25">
      <c r="A855">
        <v>15252065891</v>
      </c>
      <c r="B855" t="s">
        <v>3</v>
      </c>
      <c r="C855" t="s">
        <v>4</v>
      </c>
    </row>
    <row r="856" spans="1:3" x14ac:dyDescent="0.25">
      <c r="A856">
        <v>12270628460</v>
      </c>
      <c r="B856" t="s">
        <v>10</v>
      </c>
      <c r="C856" t="s">
        <v>6</v>
      </c>
    </row>
    <row r="857" spans="1:3" x14ac:dyDescent="0.25">
      <c r="A857">
        <v>6292817353</v>
      </c>
      <c r="B857" t="s">
        <v>3</v>
      </c>
      <c r="C857" t="s">
        <v>4</v>
      </c>
    </row>
    <row r="858" spans="1:3" x14ac:dyDescent="0.25">
      <c r="A858">
        <v>20251246970</v>
      </c>
      <c r="B858" t="s">
        <v>16</v>
      </c>
      <c r="C858" t="s">
        <v>6</v>
      </c>
    </row>
    <row r="859" spans="1:3" x14ac:dyDescent="0.25">
      <c r="A859">
        <v>15240174587</v>
      </c>
      <c r="B859" t="s">
        <v>9</v>
      </c>
      <c r="C859" t="s">
        <v>4</v>
      </c>
    </row>
    <row r="860" spans="1:3" x14ac:dyDescent="0.25">
      <c r="A860">
        <v>12220617492</v>
      </c>
      <c r="B860" t="s">
        <v>16</v>
      </c>
      <c r="C860" t="s">
        <v>4</v>
      </c>
    </row>
    <row r="861" spans="1:3" x14ac:dyDescent="0.25">
      <c r="A861">
        <v>1233090512</v>
      </c>
      <c r="B861" t="s">
        <v>13</v>
      </c>
      <c r="C861" t="s">
        <v>4</v>
      </c>
    </row>
    <row r="862" spans="1:3" x14ac:dyDescent="0.25">
      <c r="A862">
        <v>3311712479</v>
      </c>
      <c r="B862" t="s">
        <v>12</v>
      </c>
      <c r="C862" t="s">
        <v>6</v>
      </c>
    </row>
    <row r="863" spans="1:3" x14ac:dyDescent="0.25">
      <c r="A863">
        <v>5261564690</v>
      </c>
      <c r="B863" t="s">
        <v>7</v>
      </c>
      <c r="C863" t="s">
        <v>4</v>
      </c>
    </row>
    <row r="864" spans="1:3" x14ac:dyDescent="0.25">
      <c r="A864">
        <v>19312698724</v>
      </c>
      <c r="B864" t="s">
        <v>16</v>
      </c>
      <c r="C864" t="s">
        <v>4</v>
      </c>
    </row>
    <row r="865" spans="1:3" x14ac:dyDescent="0.25">
      <c r="A865">
        <v>16291742480</v>
      </c>
      <c r="B865" t="s">
        <v>19</v>
      </c>
      <c r="C865" t="s">
        <v>6</v>
      </c>
    </row>
    <row r="866" spans="1:3" x14ac:dyDescent="0.25">
      <c r="A866">
        <v>7221031648</v>
      </c>
      <c r="B866" t="s">
        <v>18</v>
      </c>
      <c r="C866" t="s">
        <v>6</v>
      </c>
    </row>
    <row r="867" spans="1:3" x14ac:dyDescent="0.25">
      <c r="A867">
        <v>6271769888</v>
      </c>
      <c r="B867" t="s">
        <v>17</v>
      </c>
      <c r="C867" t="s">
        <v>4</v>
      </c>
    </row>
    <row r="868" spans="1:3" x14ac:dyDescent="0.25">
      <c r="A868">
        <v>18230851693</v>
      </c>
      <c r="B868" t="s">
        <v>17</v>
      </c>
      <c r="C868" t="s">
        <v>6</v>
      </c>
    </row>
    <row r="869" spans="1:3" x14ac:dyDescent="0.25">
      <c r="A869">
        <v>17251583819</v>
      </c>
      <c r="B869" t="s">
        <v>5</v>
      </c>
      <c r="C869" t="s">
        <v>6</v>
      </c>
    </row>
    <row r="870" spans="1:3" x14ac:dyDescent="0.25">
      <c r="A870">
        <v>19222247988</v>
      </c>
      <c r="B870" t="s">
        <v>17</v>
      </c>
      <c r="C870" t="s">
        <v>6</v>
      </c>
    </row>
    <row r="871" spans="1:3" x14ac:dyDescent="0.25">
      <c r="A871">
        <v>21291587975</v>
      </c>
      <c r="B871" t="s">
        <v>5</v>
      </c>
      <c r="C871" t="s">
        <v>6</v>
      </c>
    </row>
    <row r="872" spans="1:3" x14ac:dyDescent="0.25">
      <c r="A872">
        <v>20251580243</v>
      </c>
      <c r="B872" t="s">
        <v>17</v>
      </c>
      <c r="C872" t="s">
        <v>6</v>
      </c>
    </row>
    <row r="873" spans="1:3" x14ac:dyDescent="0.25">
      <c r="A873">
        <v>4292335426</v>
      </c>
      <c r="B873" t="s">
        <v>18</v>
      </c>
      <c r="C873" t="s">
        <v>6</v>
      </c>
    </row>
    <row r="874" spans="1:3" x14ac:dyDescent="0.25">
      <c r="A874">
        <v>19212365544</v>
      </c>
      <c r="B874" t="s">
        <v>17</v>
      </c>
      <c r="C874" t="s">
        <v>4</v>
      </c>
    </row>
    <row r="875" spans="1:3" x14ac:dyDescent="0.25">
      <c r="A875">
        <v>3212825508</v>
      </c>
      <c r="B875" t="s">
        <v>3</v>
      </c>
      <c r="C875" t="s">
        <v>6</v>
      </c>
    </row>
    <row r="876" spans="1:3" x14ac:dyDescent="0.25">
      <c r="A876">
        <v>8231950989</v>
      </c>
      <c r="B876" t="s">
        <v>20</v>
      </c>
      <c r="C876" t="s">
        <v>6</v>
      </c>
    </row>
    <row r="877" spans="1:3" x14ac:dyDescent="0.25">
      <c r="A877">
        <v>18290225326</v>
      </c>
      <c r="B877" t="s">
        <v>20</v>
      </c>
      <c r="C877" t="s">
        <v>4</v>
      </c>
    </row>
    <row r="878" spans="1:3" x14ac:dyDescent="0.25">
      <c r="A878">
        <v>14270954859</v>
      </c>
      <c r="B878" t="s">
        <v>9</v>
      </c>
      <c r="C878" t="s">
        <v>6</v>
      </c>
    </row>
    <row r="879" spans="1:3" x14ac:dyDescent="0.25">
      <c r="A879">
        <v>21320534080</v>
      </c>
      <c r="B879" t="s">
        <v>3</v>
      </c>
      <c r="C879" t="s">
        <v>4</v>
      </c>
    </row>
    <row r="880" spans="1:3" x14ac:dyDescent="0.25">
      <c r="A880">
        <v>15280299664</v>
      </c>
      <c r="B880" t="s">
        <v>14</v>
      </c>
      <c r="C880" t="s">
        <v>6</v>
      </c>
    </row>
    <row r="881" spans="1:3" x14ac:dyDescent="0.25">
      <c r="A881">
        <v>8231643490</v>
      </c>
      <c r="B881" t="s">
        <v>12</v>
      </c>
      <c r="C881" t="s">
        <v>4</v>
      </c>
    </row>
    <row r="882" spans="1:3" x14ac:dyDescent="0.25">
      <c r="A882">
        <v>4272996258</v>
      </c>
      <c r="B882" t="s">
        <v>15</v>
      </c>
      <c r="C882" t="s">
        <v>6</v>
      </c>
    </row>
    <row r="883" spans="1:3" x14ac:dyDescent="0.25">
      <c r="A883">
        <v>6290719237</v>
      </c>
      <c r="B883" t="s">
        <v>19</v>
      </c>
      <c r="C883" t="s">
        <v>4</v>
      </c>
    </row>
    <row r="884" spans="1:3" x14ac:dyDescent="0.25">
      <c r="A884">
        <v>301200651</v>
      </c>
      <c r="B884" t="s">
        <v>11</v>
      </c>
      <c r="C884" t="s">
        <v>4</v>
      </c>
    </row>
    <row r="885" spans="1:3" x14ac:dyDescent="0.25">
      <c r="A885">
        <v>18211262029</v>
      </c>
      <c r="B885" t="s">
        <v>13</v>
      </c>
      <c r="C885" t="s">
        <v>6</v>
      </c>
    </row>
    <row r="886" spans="1:3" x14ac:dyDescent="0.25">
      <c r="A886">
        <v>5282383166</v>
      </c>
      <c r="B886" t="s">
        <v>13</v>
      </c>
      <c r="C886" t="s">
        <v>4</v>
      </c>
    </row>
    <row r="887" spans="1:3" x14ac:dyDescent="0.25">
      <c r="A887">
        <v>18241417767</v>
      </c>
      <c r="B887" t="s">
        <v>16</v>
      </c>
      <c r="C887" t="s">
        <v>4</v>
      </c>
    </row>
    <row r="888" spans="1:3" x14ac:dyDescent="0.25">
      <c r="A888">
        <v>16312049086</v>
      </c>
      <c r="B888" t="s">
        <v>20</v>
      </c>
      <c r="C888" t="s">
        <v>6</v>
      </c>
    </row>
    <row r="889" spans="1:3" x14ac:dyDescent="0.25">
      <c r="A889">
        <v>9321581591</v>
      </c>
      <c r="B889" t="s">
        <v>9</v>
      </c>
      <c r="C889" t="s">
        <v>4</v>
      </c>
    </row>
    <row r="890" spans="1:3" x14ac:dyDescent="0.25">
      <c r="A890">
        <v>8271795313</v>
      </c>
      <c r="B890" t="s">
        <v>10</v>
      </c>
      <c r="C890" t="s">
        <v>6</v>
      </c>
    </row>
    <row r="891" spans="1:3" x14ac:dyDescent="0.25">
      <c r="A891">
        <v>10311034407</v>
      </c>
      <c r="B891" t="s">
        <v>9</v>
      </c>
      <c r="C891" t="s">
        <v>6</v>
      </c>
    </row>
    <row r="892" spans="1:3" x14ac:dyDescent="0.25">
      <c r="A892">
        <v>14281264761</v>
      </c>
      <c r="B892" t="s">
        <v>19</v>
      </c>
      <c r="C892" t="s">
        <v>4</v>
      </c>
    </row>
    <row r="893" spans="1:3" x14ac:dyDescent="0.25">
      <c r="A893">
        <v>3241511191</v>
      </c>
      <c r="B893" t="s">
        <v>13</v>
      </c>
      <c r="C893" t="s">
        <v>6</v>
      </c>
    </row>
    <row r="894" spans="1:3" x14ac:dyDescent="0.25">
      <c r="A894">
        <v>2272037384</v>
      </c>
      <c r="B894" t="s">
        <v>16</v>
      </c>
      <c r="C894" t="s">
        <v>4</v>
      </c>
    </row>
    <row r="895" spans="1:3" x14ac:dyDescent="0.25">
      <c r="A895">
        <v>17282315085</v>
      </c>
      <c r="B895" t="s">
        <v>13</v>
      </c>
      <c r="C895" t="s">
        <v>4</v>
      </c>
    </row>
    <row r="896" spans="1:3" x14ac:dyDescent="0.25">
      <c r="A896">
        <v>3241893396</v>
      </c>
      <c r="B896" t="s">
        <v>5</v>
      </c>
      <c r="C896" t="s">
        <v>6</v>
      </c>
    </row>
    <row r="897" spans="1:3" x14ac:dyDescent="0.25">
      <c r="A897">
        <v>10210725761</v>
      </c>
      <c r="B897" t="s">
        <v>9</v>
      </c>
      <c r="C897" t="s">
        <v>6</v>
      </c>
    </row>
    <row r="898" spans="1:3" x14ac:dyDescent="0.25">
      <c r="A898">
        <v>12310765821</v>
      </c>
      <c r="B898" t="s">
        <v>19</v>
      </c>
      <c r="C898" t="s">
        <v>4</v>
      </c>
    </row>
    <row r="899" spans="1:3" x14ac:dyDescent="0.25">
      <c r="A899">
        <v>14262881374</v>
      </c>
      <c r="B899" t="s">
        <v>10</v>
      </c>
      <c r="C899" t="s">
        <v>6</v>
      </c>
    </row>
    <row r="900" spans="1:3" x14ac:dyDescent="0.25">
      <c r="A900">
        <v>16221452829</v>
      </c>
      <c r="B900" t="s">
        <v>3</v>
      </c>
      <c r="C900" t="s">
        <v>6</v>
      </c>
    </row>
    <row r="901" spans="1:3" x14ac:dyDescent="0.25">
      <c r="A901">
        <v>6240977898</v>
      </c>
      <c r="B901" t="s">
        <v>12</v>
      </c>
      <c r="C901" t="s">
        <v>4</v>
      </c>
    </row>
    <row r="902" spans="1:3" x14ac:dyDescent="0.25">
      <c r="A902">
        <v>20231233552</v>
      </c>
      <c r="B902" t="s">
        <v>9</v>
      </c>
      <c r="C902" t="s">
        <v>4</v>
      </c>
    </row>
    <row r="903" spans="1:3" x14ac:dyDescent="0.25">
      <c r="A903">
        <v>2260903279</v>
      </c>
      <c r="B903" t="s">
        <v>16</v>
      </c>
      <c r="C903" t="s">
        <v>6</v>
      </c>
    </row>
    <row r="904" spans="1:3" x14ac:dyDescent="0.25">
      <c r="A904">
        <v>15300457836</v>
      </c>
      <c r="B904" t="s">
        <v>3</v>
      </c>
      <c r="C904" t="s">
        <v>6</v>
      </c>
    </row>
    <row r="905" spans="1:3" x14ac:dyDescent="0.25">
      <c r="A905">
        <v>12241643573</v>
      </c>
      <c r="B905" t="s">
        <v>7</v>
      </c>
      <c r="C905" t="s">
        <v>4</v>
      </c>
    </row>
    <row r="906" spans="1:3" x14ac:dyDescent="0.25">
      <c r="A906">
        <v>13222492508</v>
      </c>
      <c r="B906" t="s">
        <v>11</v>
      </c>
      <c r="C906" t="s">
        <v>6</v>
      </c>
    </row>
    <row r="907" spans="1:3" x14ac:dyDescent="0.25">
      <c r="A907">
        <v>20303175236</v>
      </c>
      <c r="B907" t="s">
        <v>8</v>
      </c>
      <c r="C907" t="s">
        <v>4</v>
      </c>
    </row>
    <row r="908" spans="1:3" x14ac:dyDescent="0.25">
      <c r="A908">
        <v>14271835467</v>
      </c>
      <c r="B908" t="s">
        <v>16</v>
      </c>
      <c r="C908" t="s">
        <v>4</v>
      </c>
    </row>
    <row r="909" spans="1:3" x14ac:dyDescent="0.25">
      <c r="A909">
        <v>6220350891</v>
      </c>
      <c r="B909" t="s">
        <v>7</v>
      </c>
      <c r="C909" t="s">
        <v>4</v>
      </c>
    </row>
    <row r="910" spans="1:3" x14ac:dyDescent="0.25">
      <c r="A910">
        <v>7231617603</v>
      </c>
      <c r="B910" t="s">
        <v>13</v>
      </c>
      <c r="C910" t="s">
        <v>4</v>
      </c>
    </row>
    <row r="911" spans="1:3" x14ac:dyDescent="0.25">
      <c r="A911">
        <v>7282120738</v>
      </c>
      <c r="B911" t="s">
        <v>16</v>
      </c>
      <c r="C911" t="s">
        <v>4</v>
      </c>
    </row>
    <row r="912" spans="1:3" x14ac:dyDescent="0.25">
      <c r="A912">
        <v>13242793243</v>
      </c>
      <c r="B912" t="s">
        <v>15</v>
      </c>
      <c r="C912" t="s">
        <v>6</v>
      </c>
    </row>
    <row r="913" spans="1:3" x14ac:dyDescent="0.25">
      <c r="A913">
        <v>22270105250</v>
      </c>
      <c r="B913" t="s">
        <v>19</v>
      </c>
      <c r="C913" t="s">
        <v>6</v>
      </c>
    </row>
    <row r="914" spans="1:3" x14ac:dyDescent="0.25">
      <c r="A914">
        <v>15220359519</v>
      </c>
      <c r="B914" t="s">
        <v>3</v>
      </c>
      <c r="C914" t="s">
        <v>6</v>
      </c>
    </row>
    <row r="915" spans="1:3" x14ac:dyDescent="0.25">
      <c r="A915">
        <v>16323024481</v>
      </c>
      <c r="B915" t="s">
        <v>14</v>
      </c>
      <c r="C915" t="s">
        <v>6</v>
      </c>
    </row>
    <row r="916" spans="1:3" x14ac:dyDescent="0.25">
      <c r="A916">
        <v>17212907508</v>
      </c>
      <c r="B916" t="s">
        <v>14</v>
      </c>
      <c r="C916" t="s">
        <v>4</v>
      </c>
    </row>
    <row r="917" spans="1:3" x14ac:dyDescent="0.25">
      <c r="A917">
        <v>6280926629</v>
      </c>
      <c r="B917" t="s">
        <v>7</v>
      </c>
      <c r="C917" t="s">
        <v>6</v>
      </c>
    </row>
    <row r="918" spans="1:3" x14ac:dyDescent="0.25">
      <c r="A918">
        <v>20301201520</v>
      </c>
      <c r="B918" t="s">
        <v>15</v>
      </c>
      <c r="C918" t="s">
        <v>6</v>
      </c>
    </row>
    <row r="919" spans="1:3" x14ac:dyDescent="0.25">
      <c r="A919">
        <v>1300883719</v>
      </c>
      <c r="B919" t="s">
        <v>3</v>
      </c>
      <c r="C919" t="s">
        <v>6</v>
      </c>
    </row>
    <row r="920" spans="1:3" x14ac:dyDescent="0.25">
      <c r="A920">
        <v>21292867504</v>
      </c>
      <c r="B920" t="s">
        <v>3</v>
      </c>
      <c r="C920" t="s">
        <v>6</v>
      </c>
    </row>
    <row r="921" spans="1:3" x14ac:dyDescent="0.25">
      <c r="A921">
        <v>9310931990</v>
      </c>
      <c r="B921" t="s">
        <v>17</v>
      </c>
      <c r="C921" t="s">
        <v>6</v>
      </c>
    </row>
    <row r="922" spans="1:3" x14ac:dyDescent="0.25">
      <c r="A922">
        <v>301923628</v>
      </c>
      <c r="B922" t="s">
        <v>11</v>
      </c>
      <c r="C922" t="s">
        <v>6</v>
      </c>
    </row>
    <row r="923" spans="1:3" x14ac:dyDescent="0.25">
      <c r="A923">
        <v>1241320263</v>
      </c>
      <c r="B923" t="s">
        <v>15</v>
      </c>
      <c r="C923" t="s">
        <v>6</v>
      </c>
    </row>
    <row r="924" spans="1:3" x14ac:dyDescent="0.25">
      <c r="A924">
        <v>20242260107</v>
      </c>
      <c r="B924" t="s">
        <v>7</v>
      </c>
      <c r="C924" t="s">
        <v>4</v>
      </c>
    </row>
    <row r="925" spans="1:3" x14ac:dyDescent="0.25">
      <c r="A925">
        <v>231165855</v>
      </c>
      <c r="B925" t="s">
        <v>7</v>
      </c>
      <c r="C925" t="s">
        <v>4</v>
      </c>
    </row>
    <row r="926" spans="1:3" x14ac:dyDescent="0.25">
      <c r="A926">
        <v>15272639593</v>
      </c>
      <c r="B926" t="s">
        <v>15</v>
      </c>
      <c r="C926" t="s">
        <v>4</v>
      </c>
    </row>
    <row r="927" spans="1:3" x14ac:dyDescent="0.25">
      <c r="A927">
        <v>22302366035</v>
      </c>
      <c r="B927" t="s">
        <v>3</v>
      </c>
      <c r="C927" t="s">
        <v>4</v>
      </c>
    </row>
    <row r="928" spans="1:3" x14ac:dyDescent="0.25">
      <c r="A928">
        <v>17241573501</v>
      </c>
      <c r="B928" t="s">
        <v>9</v>
      </c>
      <c r="C928" t="s">
        <v>6</v>
      </c>
    </row>
    <row r="929" spans="1:3" x14ac:dyDescent="0.25">
      <c r="A929">
        <v>11272916382</v>
      </c>
      <c r="B929" t="s">
        <v>9</v>
      </c>
      <c r="C929" t="s">
        <v>6</v>
      </c>
    </row>
    <row r="930" spans="1:3" x14ac:dyDescent="0.25">
      <c r="A930">
        <v>15323100788</v>
      </c>
      <c r="B930" t="s">
        <v>14</v>
      </c>
      <c r="C930" t="s">
        <v>4</v>
      </c>
    </row>
    <row r="931" spans="1:3" x14ac:dyDescent="0.25">
      <c r="A931">
        <v>9262218954</v>
      </c>
      <c r="B931" t="s">
        <v>5</v>
      </c>
      <c r="C931" t="s">
        <v>4</v>
      </c>
    </row>
    <row r="932" spans="1:3" x14ac:dyDescent="0.25">
      <c r="A932">
        <v>21220692011</v>
      </c>
      <c r="B932" t="s">
        <v>18</v>
      </c>
      <c r="C932" t="s">
        <v>4</v>
      </c>
    </row>
    <row r="933" spans="1:3" x14ac:dyDescent="0.25">
      <c r="A933">
        <v>8321684273</v>
      </c>
      <c r="B933" t="s">
        <v>14</v>
      </c>
      <c r="C933" t="s">
        <v>4</v>
      </c>
    </row>
    <row r="934" spans="1:3" x14ac:dyDescent="0.25">
      <c r="A934">
        <v>4322129955</v>
      </c>
      <c r="B934" t="s">
        <v>7</v>
      </c>
      <c r="C934" t="s">
        <v>4</v>
      </c>
    </row>
    <row r="935" spans="1:3" x14ac:dyDescent="0.25">
      <c r="A935">
        <v>10301730326</v>
      </c>
      <c r="B935" t="s">
        <v>5</v>
      </c>
      <c r="C935" t="s">
        <v>4</v>
      </c>
    </row>
    <row r="936" spans="1:3" x14ac:dyDescent="0.25">
      <c r="A936">
        <v>9271604865</v>
      </c>
      <c r="B936" t="s">
        <v>17</v>
      </c>
      <c r="C936" t="s">
        <v>6</v>
      </c>
    </row>
    <row r="937" spans="1:3" x14ac:dyDescent="0.25">
      <c r="A937">
        <v>18320126005</v>
      </c>
      <c r="B937" t="s">
        <v>15</v>
      </c>
      <c r="C937" t="s">
        <v>6</v>
      </c>
    </row>
    <row r="938" spans="1:3" x14ac:dyDescent="0.25">
      <c r="A938">
        <v>10262232318</v>
      </c>
      <c r="B938" t="s">
        <v>5</v>
      </c>
      <c r="C938" t="s">
        <v>4</v>
      </c>
    </row>
    <row r="939" spans="1:3" x14ac:dyDescent="0.25">
      <c r="A939">
        <v>21303122839</v>
      </c>
      <c r="B939" t="s">
        <v>7</v>
      </c>
      <c r="C939" t="s">
        <v>6</v>
      </c>
    </row>
    <row r="940" spans="1:3" x14ac:dyDescent="0.25">
      <c r="A940">
        <v>10293014169</v>
      </c>
      <c r="B940" t="s">
        <v>20</v>
      </c>
      <c r="C940" t="s">
        <v>4</v>
      </c>
    </row>
    <row r="941" spans="1:3" x14ac:dyDescent="0.25">
      <c r="A941">
        <v>9210120492</v>
      </c>
      <c r="B941" t="s">
        <v>18</v>
      </c>
      <c r="C941" t="s">
        <v>4</v>
      </c>
    </row>
    <row r="942" spans="1:3" x14ac:dyDescent="0.25">
      <c r="A942">
        <v>20260451486</v>
      </c>
      <c r="B942" t="s">
        <v>11</v>
      </c>
      <c r="C942" t="s">
        <v>6</v>
      </c>
    </row>
    <row r="943" spans="1:3" x14ac:dyDescent="0.25">
      <c r="A943">
        <v>17302231740</v>
      </c>
      <c r="B943" t="s">
        <v>11</v>
      </c>
      <c r="C943" t="s">
        <v>4</v>
      </c>
    </row>
    <row r="944" spans="1:3" x14ac:dyDescent="0.25">
      <c r="A944">
        <v>2320253199</v>
      </c>
      <c r="B944" t="s">
        <v>16</v>
      </c>
      <c r="C944" t="s">
        <v>4</v>
      </c>
    </row>
    <row r="945" spans="1:3" x14ac:dyDescent="0.25">
      <c r="A945">
        <v>18260366309</v>
      </c>
      <c r="B945" t="s">
        <v>11</v>
      </c>
      <c r="C945" t="s">
        <v>6</v>
      </c>
    </row>
    <row r="946" spans="1:3" x14ac:dyDescent="0.25">
      <c r="A946">
        <v>4222956169</v>
      </c>
      <c r="B946" t="s">
        <v>11</v>
      </c>
      <c r="C946" t="s">
        <v>4</v>
      </c>
    </row>
    <row r="947" spans="1:3" x14ac:dyDescent="0.25">
      <c r="A947">
        <v>5261270230</v>
      </c>
      <c r="B947" t="s">
        <v>14</v>
      </c>
      <c r="C947" t="s">
        <v>4</v>
      </c>
    </row>
    <row r="948" spans="1:3" x14ac:dyDescent="0.25">
      <c r="A948">
        <v>15320635728</v>
      </c>
      <c r="B948" t="s">
        <v>9</v>
      </c>
      <c r="C948" t="s">
        <v>4</v>
      </c>
    </row>
    <row r="949" spans="1:3" x14ac:dyDescent="0.25">
      <c r="A949">
        <v>14292679651</v>
      </c>
      <c r="B949" t="s">
        <v>9</v>
      </c>
      <c r="C949" t="s">
        <v>6</v>
      </c>
    </row>
    <row r="950" spans="1:3" x14ac:dyDescent="0.25">
      <c r="A950">
        <v>15210368107</v>
      </c>
      <c r="B950" t="s">
        <v>18</v>
      </c>
      <c r="C950" t="s">
        <v>4</v>
      </c>
    </row>
    <row r="951" spans="1:3" x14ac:dyDescent="0.25">
      <c r="A951">
        <v>11282868178</v>
      </c>
      <c r="B951" t="s">
        <v>19</v>
      </c>
      <c r="C951" t="s">
        <v>6</v>
      </c>
    </row>
    <row r="952" spans="1:3" x14ac:dyDescent="0.25">
      <c r="A952">
        <v>21270839187</v>
      </c>
      <c r="B952" t="s">
        <v>14</v>
      </c>
      <c r="C952" t="s">
        <v>6</v>
      </c>
    </row>
    <row r="953" spans="1:3" x14ac:dyDescent="0.25">
      <c r="A953">
        <v>7271839036</v>
      </c>
      <c r="B953" t="s">
        <v>10</v>
      </c>
      <c r="C953" t="s">
        <v>4</v>
      </c>
    </row>
    <row r="954" spans="1:3" x14ac:dyDescent="0.25">
      <c r="A954">
        <v>5281893493</v>
      </c>
      <c r="B954" t="s">
        <v>20</v>
      </c>
      <c r="C954" t="s">
        <v>6</v>
      </c>
    </row>
    <row r="955" spans="1:3" x14ac:dyDescent="0.25">
      <c r="A955">
        <v>9252839228</v>
      </c>
      <c r="B955" t="s">
        <v>10</v>
      </c>
      <c r="C955" t="s">
        <v>4</v>
      </c>
    </row>
    <row r="956" spans="1:3" x14ac:dyDescent="0.25">
      <c r="A956">
        <v>291348241</v>
      </c>
      <c r="B956" t="s">
        <v>18</v>
      </c>
      <c r="C956" t="s">
        <v>4</v>
      </c>
    </row>
    <row r="957" spans="1:3" x14ac:dyDescent="0.25">
      <c r="A957">
        <v>4280932334</v>
      </c>
      <c r="B957" t="s">
        <v>12</v>
      </c>
      <c r="C957" t="s">
        <v>6</v>
      </c>
    </row>
    <row r="958" spans="1:3" x14ac:dyDescent="0.25">
      <c r="A958">
        <v>2220934077</v>
      </c>
      <c r="B958" t="s">
        <v>7</v>
      </c>
      <c r="C958" t="s">
        <v>6</v>
      </c>
    </row>
    <row r="959" spans="1:3" x14ac:dyDescent="0.25">
      <c r="A959">
        <v>2210131268</v>
      </c>
      <c r="B959" t="s">
        <v>16</v>
      </c>
      <c r="C959" t="s">
        <v>6</v>
      </c>
    </row>
    <row r="960" spans="1:3" x14ac:dyDescent="0.25">
      <c r="A960">
        <v>9241160465</v>
      </c>
      <c r="B960" t="s">
        <v>8</v>
      </c>
      <c r="C960" t="s">
        <v>6</v>
      </c>
    </row>
    <row r="961" spans="1:3" x14ac:dyDescent="0.25">
      <c r="A961">
        <v>9241367008</v>
      </c>
      <c r="B961" t="s">
        <v>18</v>
      </c>
      <c r="C961" t="s">
        <v>6</v>
      </c>
    </row>
    <row r="962" spans="1:3" x14ac:dyDescent="0.25">
      <c r="A962">
        <v>13312872144</v>
      </c>
      <c r="B962" t="s">
        <v>7</v>
      </c>
      <c r="C962" t="s">
        <v>6</v>
      </c>
    </row>
    <row r="963" spans="1:3" x14ac:dyDescent="0.25">
      <c r="A963">
        <v>13262230102</v>
      </c>
      <c r="B963" t="s">
        <v>5</v>
      </c>
      <c r="C963" t="s">
        <v>6</v>
      </c>
    </row>
    <row r="964" spans="1:3" x14ac:dyDescent="0.25">
      <c r="A964">
        <v>21220724187</v>
      </c>
      <c r="B964" t="s">
        <v>7</v>
      </c>
      <c r="C964" t="s">
        <v>4</v>
      </c>
    </row>
    <row r="965" spans="1:3" x14ac:dyDescent="0.25">
      <c r="A965">
        <v>6261743427</v>
      </c>
      <c r="B965" t="s">
        <v>10</v>
      </c>
      <c r="C965" t="s">
        <v>6</v>
      </c>
    </row>
    <row r="966" spans="1:3" x14ac:dyDescent="0.25">
      <c r="A966">
        <v>14222620834</v>
      </c>
      <c r="B966" t="s">
        <v>16</v>
      </c>
      <c r="C966" t="s">
        <v>4</v>
      </c>
    </row>
    <row r="967" spans="1:3" x14ac:dyDescent="0.25">
      <c r="A967">
        <v>19321241795</v>
      </c>
      <c r="B967" t="s">
        <v>8</v>
      </c>
      <c r="C967" t="s">
        <v>6</v>
      </c>
    </row>
    <row r="968" spans="1:3" x14ac:dyDescent="0.25">
      <c r="A968">
        <v>8231904735</v>
      </c>
      <c r="B968" t="s">
        <v>9</v>
      </c>
      <c r="C968" t="s">
        <v>4</v>
      </c>
    </row>
    <row r="969" spans="1:3" x14ac:dyDescent="0.25">
      <c r="A969">
        <v>15291262613</v>
      </c>
      <c r="B969" t="s">
        <v>16</v>
      </c>
      <c r="C969" t="s">
        <v>6</v>
      </c>
    </row>
    <row r="970" spans="1:3" x14ac:dyDescent="0.25">
      <c r="A970">
        <v>8260445829</v>
      </c>
      <c r="B970" t="s">
        <v>17</v>
      </c>
      <c r="C970" t="s">
        <v>6</v>
      </c>
    </row>
    <row r="971" spans="1:3" x14ac:dyDescent="0.25">
      <c r="A971">
        <v>8240292689</v>
      </c>
      <c r="B971" t="s">
        <v>10</v>
      </c>
      <c r="C971" t="s">
        <v>6</v>
      </c>
    </row>
    <row r="972" spans="1:3" x14ac:dyDescent="0.25">
      <c r="A972">
        <v>19231091923</v>
      </c>
      <c r="B972" t="s">
        <v>17</v>
      </c>
      <c r="C972" t="s">
        <v>4</v>
      </c>
    </row>
    <row r="973" spans="1:3" x14ac:dyDescent="0.25">
      <c r="A973">
        <v>14281202570</v>
      </c>
      <c r="B973" t="s">
        <v>8</v>
      </c>
      <c r="C973" t="s">
        <v>6</v>
      </c>
    </row>
    <row r="974" spans="1:3" x14ac:dyDescent="0.25">
      <c r="A974">
        <v>7280297711</v>
      </c>
      <c r="B974" t="s">
        <v>7</v>
      </c>
      <c r="C974" t="s">
        <v>4</v>
      </c>
    </row>
    <row r="975" spans="1:3" x14ac:dyDescent="0.25">
      <c r="A975">
        <v>6262554167</v>
      </c>
      <c r="B975" t="s">
        <v>3</v>
      </c>
      <c r="C975" t="s">
        <v>6</v>
      </c>
    </row>
    <row r="976" spans="1:3" x14ac:dyDescent="0.25">
      <c r="A976">
        <v>15242764690</v>
      </c>
      <c r="B976" t="s">
        <v>7</v>
      </c>
      <c r="C976" t="s">
        <v>6</v>
      </c>
    </row>
    <row r="977" spans="1:3" x14ac:dyDescent="0.25">
      <c r="A977">
        <v>14262226577</v>
      </c>
      <c r="B977" t="s">
        <v>9</v>
      </c>
      <c r="C977" t="s">
        <v>6</v>
      </c>
    </row>
    <row r="978" spans="1:3" x14ac:dyDescent="0.25">
      <c r="A978">
        <v>1212988892</v>
      </c>
      <c r="B978" t="s">
        <v>12</v>
      </c>
      <c r="C978" t="s">
        <v>4</v>
      </c>
    </row>
    <row r="979" spans="1:3" x14ac:dyDescent="0.25">
      <c r="A979">
        <v>21210221072</v>
      </c>
      <c r="B979" t="s">
        <v>5</v>
      </c>
      <c r="C979" t="s">
        <v>4</v>
      </c>
    </row>
    <row r="980" spans="1:3" x14ac:dyDescent="0.25">
      <c r="A980">
        <v>16282427578</v>
      </c>
      <c r="B980" t="s">
        <v>18</v>
      </c>
      <c r="C980" t="s">
        <v>4</v>
      </c>
    </row>
    <row r="981" spans="1:3" x14ac:dyDescent="0.25">
      <c r="A981">
        <v>2241272826</v>
      </c>
      <c r="B981" t="s">
        <v>14</v>
      </c>
      <c r="C981" t="s">
        <v>6</v>
      </c>
    </row>
    <row r="982" spans="1:3" x14ac:dyDescent="0.25">
      <c r="A982">
        <v>6310554648</v>
      </c>
      <c r="B982" t="s">
        <v>20</v>
      </c>
      <c r="C982" t="s">
        <v>4</v>
      </c>
    </row>
    <row r="983" spans="1:3" x14ac:dyDescent="0.25">
      <c r="A983">
        <v>18210957250</v>
      </c>
      <c r="B983" t="s">
        <v>19</v>
      </c>
      <c r="C983" t="s">
        <v>6</v>
      </c>
    </row>
    <row r="984" spans="1:3" x14ac:dyDescent="0.25">
      <c r="A984">
        <v>21243075794</v>
      </c>
      <c r="B984" t="s">
        <v>9</v>
      </c>
      <c r="C984" t="s">
        <v>4</v>
      </c>
    </row>
    <row r="985" spans="1:3" x14ac:dyDescent="0.25">
      <c r="A985">
        <v>251281221</v>
      </c>
      <c r="B985" t="s">
        <v>13</v>
      </c>
      <c r="C985" t="s">
        <v>6</v>
      </c>
    </row>
    <row r="986" spans="1:3" x14ac:dyDescent="0.25">
      <c r="A986">
        <v>270484214</v>
      </c>
      <c r="B986" t="s">
        <v>10</v>
      </c>
      <c r="C986" t="s">
        <v>6</v>
      </c>
    </row>
    <row r="987" spans="1:3" x14ac:dyDescent="0.25">
      <c r="A987">
        <v>6211342089</v>
      </c>
      <c r="B987" t="s">
        <v>11</v>
      </c>
      <c r="C987" t="s">
        <v>4</v>
      </c>
    </row>
    <row r="988" spans="1:3" x14ac:dyDescent="0.25">
      <c r="A988">
        <v>17212237652</v>
      </c>
      <c r="B988" t="s">
        <v>18</v>
      </c>
      <c r="C988" t="s">
        <v>6</v>
      </c>
    </row>
    <row r="989" spans="1:3" x14ac:dyDescent="0.25">
      <c r="A989">
        <v>11241593178</v>
      </c>
      <c r="B989" t="s">
        <v>7</v>
      </c>
      <c r="C989" t="s">
        <v>6</v>
      </c>
    </row>
    <row r="990" spans="1:3" x14ac:dyDescent="0.25">
      <c r="A990">
        <v>18222264663</v>
      </c>
      <c r="B990" t="s">
        <v>12</v>
      </c>
      <c r="C990" t="s">
        <v>4</v>
      </c>
    </row>
    <row r="991" spans="1:3" x14ac:dyDescent="0.25">
      <c r="A991">
        <v>4311914014</v>
      </c>
      <c r="B991" t="s">
        <v>10</v>
      </c>
      <c r="C991" t="s">
        <v>4</v>
      </c>
    </row>
    <row r="992" spans="1:3" x14ac:dyDescent="0.25">
      <c r="A992">
        <v>6260135821</v>
      </c>
      <c r="B992" t="s">
        <v>3</v>
      </c>
      <c r="C992" t="s">
        <v>6</v>
      </c>
    </row>
    <row r="993" spans="1:3" x14ac:dyDescent="0.25">
      <c r="A993">
        <v>6220424817</v>
      </c>
      <c r="B993" t="s">
        <v>13</v>
      </c>
      <c r="C993" t="s">
        <v>6</v>
      </c>
    </row>
    <row r="994" spans="1:3" x14ac:dyDescent="0.25">
      <c r="A994">
        <v>22261251874</v>
      </c>
      <c r="B994" t="s">
        <v>11</v>
      </c>
      <c r="C994" t="s">
        <v>4</v>
      </c>
    </row>
    <row r="995" spans="1:3" x14ac:dyDescent="0.25">
      <c r="A995">
        <v>19291516772</v>
      </c>
      <c r="B995" t="s">
        <v>13</v>
      </c>
      <c r="C995" t="s">
        <v>6</v>
      </c>
    </row>
    <row r="996" spans="1:3" x14ac:dyDescent="0.25">
      <c r="A996">
        <v>1310378922</v>
      </c>
      <c r="B996" t="s">
        <v>5</v>
      </c>
      <c r="C996" t="s">
        <v>4</v>
      </c>
    </row>
    <row r="997" spans="1:3" x14ac:dyDescent="0.25">
      <c r="A997">
        <v>16232416838</v>
      </c>
      <c r="B997" t="s">
        <v>15</v>
      </c>
      <c r="C997" t="s">
        <v>6</v>
      </c>
    </row>
    <row r="998" spans="1:3" x14ac:dyDescent="0.25">
      <c r="A998">
        <v>2240727679</v>
      </c>
      <c r="B998" t="s">
        <v>19</v>
      </c>
      <c r="C998" t="s">
        <v>6</v>
      </c>
    </row>
    <row r="999" spans="1:3" x14ac:dyDescent="0.25">
      <c r="A999">
        <v>6270487288</v>
      </c>
      <c r="B999" t="s">
        <v>7</v>
      </c>
      <c r="C999" t="s">
        <v>4</v>
      </c>
    </row>
    <row r="1000" spans="1:3" x14ac:dyDescent="0.25">
      <c r="A1000">
        <v>4241869475</v>
      </c>
      <c r="B1000" t="s">
        <v>8</v>
      </c>
      <c r="C1000" t="s">
        <v>4</v>
      </c>
    </row>
    <row r="1001" spans="1:3" x14ac:dyDescent="0.25">
      <c r="A1001">
        <v>17320457399</v>
      </c>
      <c r="B1001" t="s">
        <v>14</v>
      </c>
      <c r="C100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sqref="A1:C1001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93071285223</v>
      </c>
      <c r="B2" t="s">
        <v>3</v>
      </c>
      <c r="C2" t="s">
        <v>4</v>
      </c>
    </row>
    <row r="3" spans="1:3" x14ac:dyDescent="0.25">
      <c r="A3">
        <v>71100161818</v>
      </c>
      <c r="B3" t="s">
        <v>5</v>
      </c>
      <c r="C3" t="s">
        <v>6</v>
      </c>
    </row>
    <row r="4" spans="1:3" x14ac:dyDescent="0.25">
      <c r="A4">
        <v>81042322710</v>
      </c>
      <c r="B4" t="s">
        <v>7</v>
      </c>
      <c r="C4" t="s">
        <v>6</v>
      </c>
    </row>
    <row r="5" spans="1:3" x14ac:dyDescent="0.25">
      <c r="A5">
        <v>72083133476</v>
      </c>
      <c r="B5" t="s">
        <v>8</v>
      </c>
      <c r="C5" t="s">
        <v>4</v>
      </c>
    </row>
    <row r="6" spans="1:3" x14ac:dyDescent="0.25">
      <c r="A6">
        <v>50072800150</v>
      </c>
      <c r="B6" t="s">
        <v>9</v>
      </c>
      <c r="C6" t="s">
        <v>6</v>
      </c>
    </row>
    <row r="7" spans="1:3" x14ac:dyDescent="0.25">
      <c r="A7">
        <v>93050716944</v>
      </c>
      <c r="B7" t="s">
        <v>10</v>
      </c>
      <c r="C7" t="s">
        <v>6</v>
      </c>
    </row>
    <row r="8" spans="1:3" x14ac:dyDescent="0.25">
      <c r="A8">
        <v>72081479033</v>
      </c>
      <c r="B8" t="s">
        <v>9</v>
      </c>
      <c r="C8" t="s">
        <v>6</v>
      </c>
    </row>
    <row r="9" spans="1:3" x14ac:dyDescent="0.25">
      <c r="A9">
        <v>95090874952</v>
      </c>
      <c r="B9" t="s">
        <v>8</v>
      </c>
      <c r="C9" t="s">
        <v>6</v>
      </c>
    </row>
    <row r="10" spans="1:3" x14ac:dyDescent="0.25">
      <c r="A10">
        <v>61121070211</v>
      </c>
      <c r="B10" t="s">
        <v>3</v>
      </c>
      <c r="C10" t="s">
        <v>4</v>
      </c>
    </row>
    <row r="11" spans="1:3" x14ac:dyDescent="0.25">
      <c r="A11">
        <v>81051730520</v>
      </c>
      <c r="B11" t="s">
        <v>10</v>
      </c>
      <c r="C11" t="s">
        <v>6</v>
      </c>
    </row>
    <row r="12" spans="1:3" x14ac:dyDescent="0.25">
      <c r="A12">
        <v>95061702620</v>
      </c>
      <c r="B12" t="s">
        <v>5</v>
      </c>
      <c r="C12" t="s">
        <v>6</v>
      </c>
    </row>
    <row r="13" spans="1:3" x14ac:dyDescent="0.25">
      <c r="A13">
        <v>50080851678</v>
      </c>
      <c r="B13" t="s">
        <v>11</v>
      </c>
      <c r="C13" t="s">
        <v>6</v>
      </c>
    </row>
    <row r="14" spans="1:3" x14ac:dyDescent="0.25">
      <c r="A14">
        <v>79092865583</v>
      </c>
      <c r="B14" t="s">
        <v>12</v>
      </c>
      <c r="C14" t="s">
        <v>6</v>
      </c>
    </row>
    <row r="15" spans="1:3" x14ac:dyDescent="0.25">
      <c r="A15">
        <v>66091136037</v>
      </c>
      <c r="B15" t="s">
        <v>13</v>
      </c>
      <c r="C15" t="s">
        <v>6</v>
      </c>
    </row>
    <row r="16" spans="1:3" x14ac:dyDescent="0.25">
      <c r="A16">
        <v>84081042483</v>
      </c>
      <c r="B16" t="s">
        <v>12</v>
      </c>
      <c r="C16" t="s">
        <v>4</v>
      </c>
    </row>
    <row r="17" spans="1:3" x14ac:dyDescent="0.25">
      <c r="A17">
        <v>76012491819</v>
      </c>
      <c r="B17" t="s">
        <v>11</v>
      </c>
      <c r="C17" t="s">
        <v>6</v>
      </c>
    </row>
    <row r="18" spans="1:3" x14ac:dyDescent="0.25">
      <c r="A18">
        <v>60112365499</v>
      </c>
      <c r="B18" t="s">
        <v>10</v>
      </c>
      <c r="C18" t="s">
        <v>6</v>
      </c>
    </row>
    <row r="19" spans="1:3" x14ac:dyDescent="0.25">
      <c r="A19">
        <v>95100981335</v>
      </c>
      <c r="B19" t="s">
        <v>5</v>
      </c>
      <c r="C19" t="s">
        <v>6</v>
      </c>
    </row>
    <row r="20" spans="1:3" x14ac:dyDescent="0.25">
      <c r="A20">
        <v>91111640340</v>
      </c>
      <c r="B20" t="s">
        <v>14</v>
      </c>
      <c r="C20" t="s">
        <v>6</v>
      </c>
    </row>
    <row r="21" spans="1:3" x14ac:dyDescent="0.25">
      <c r="A21">
        <v>74012678094</v>
      </c>
      <c r="B21" t="s">
        <v>15</v>
      </c>
      <c r="C21" t="s">
        <v>4</v>
      </c>
    </row>
    <row r="22" spans="1:3" x14ac:dyDescent="0.25">
      <c r="A22">
        <v>83041036704</v>
      </c>
      <c r="B22" t="s">
        <v>16</v>
      </c>
      <c r="C22" t="s">
        <v>6</v>
      </c>
    </row>
    <row r="23" spans="1:3" x14ac:dyDescent="0.25">
      <c r="A23">
        <v>61122682262</v>
      </c>
      <c r="B23" t="s">
        <v>17</v>
      </c>
      <c r="C23" t="s">
        <v>4</v>
      </c>
    </row>
    <row r="24" spans="1:3" x14ac:dyDescent="0.25">
      <c r="A24">
        <v>91120411609</v>
      </c>
      <c r="B24" t="s">
        <v>18</v>
      </c>
      <c r="C24" t="s">
        <v>4</v>
      </c>
    </row>
    <row r="25" spans="1:3" x14ac:dyDescent="0.25">
      <c r="A25">
        <v>72082694471</v>
      </c>
      <c r="B25" t="s">
        <v>19</v>
      </c>
      <c r="C25" t="s">
        <v>4</v>
      </c>
    </row>
    <row r="26" spans="1:3" x14ac:dyDescent="0.25">
      <c r="A26">
        <v>97122899159</v>
      </c>
      <c r="B26" t="s">
        <v>10</v>
      </c>
      <c r="C26" t="s">
        <v>4</v>
      </c>
    </row>
    <row r="27" spans="1:3" x14ac:dyDescent="0.25">
      <c r="A27">
        <v>56071053131</v>
      </c>
      <c r="B27" t="s">
        <v>20</v>
      </c>
      <c r="C27" t="s">
        <v>6</v>
      </c>
    </row>
    <row r="28" spans="1:3" x14ac:dyDescent="0.25">
      <c r="A28">
        <v>83020158890</v>
      </c>
      <c r="B28" t="s">
        <v>3</v>
      </c>
      <c r="C28" t="s">
        <v>4</v>
      </c>
    </row>
    <row r="29" spans="1:3" x14ac:dyDescent="0.25">
      <c r="A29">
        <v>86040879028</v>
      </c>
      <c r="B29" t="s">
        <v>14</v>
      </c>
      <c r="C29" t="s">
        <v>4</v>
      </c>
    </row>
    <row r="30" spans="1:3" x14ac:dyDescent="0.25">
      <c r="A30">
        <v>56102724748</v>
      </c>
      <c r="B30" t="s">
        <v>3</v>
      </c>
      <c r="C30" t="s">
        <v>4</v>
      </c>
    </row>
    <row r="31" spans="1:3" x14ac:dyDescent="0.25">
      <c r="A31">
        <v>57011144311</v>
      </c>
      <c r="B31" t="s">
        <v>10</v>
      </c>
      <c r="C31" t="s">
        <v>6</v>
      </c>
    </row>
    <row r="32" spans="1:3" x14ac:dyDescent="0.25">
      <c r="A32">
        <v>88040991416</v>
      </c>
      <c r="B32" t="s">
        <v>12</v>
      </c>
      <c r="C32" t="s">
        <v>4</v>
      </c>
    </row>
    <row r="33" spans="1:3" x14ac:dyDescent="0.25">
      <c r="A33">
        <v>86112649382</v>
      </c>
      <c r="B33" t="s">
        <v>9</v>
      </c>
      <c r="C33" t="s">
        <v>6</v>
      </c>
    </row>
    <row r="34" spans="1:3" x14ac:dyDescent="0.25">
      <c r="A34">
        <v>71010805927</v>
      </c>
      <c r="B34" t="s">
        <v>19</v>
      </c>
      <c r="C34" t="s">
        <v>6</v>
      </c>
    </row>
    <row r="35" spans="1:3" x14ac:dyDescent="0.25">
      <c r="A35">
        <v>94062395770</v>
      </c>
      <c r="B35" t="s">
        <v>13</v>
      </c>
      <c r="C35" t="s">
        <v>6</v>
      </c>
    </row>
    <row r="36" spans="1:3" x14ac:dyDescent="0.25">
      <c r="A36">
        <v>61120262307</v>
      </c>
      <c r="B36" t="s">
        <v>16</v>
      </c>
      <c r="C36" t="s">
        <v>6</v>
      </c>
    </row>
    <row r="37" spans="1:3" x14ac:dyDescent="0.25">
      <c r="A37">
        <v>81061212645</v>
      </c>
      <c r="B37" t="s">
        <v>13</v>
      </c>
      <c r="C37" t="s">
        <v>6</v>
      </c>
    </row>
    <row r="38" spans="1:3" x14ac:dyDescent="0.25">
      <c r="A38">
        <v>82030696103</v>
      </c>
      <c r="B38" t="s">
        <v>12</v>
      </c>
      <c r="C38" t="s">
        <v>6</v>
      </c>
    </row>
    <row r="39" spans="1:3" x14ac:dyDescent="0.25">
      <c r="A39">
        <v>94022848630</v>
      </c>
      <c r="B39" t="s">
        <v>14</v>
      </c>
      <c r="C39" t="s">
        <v>6</v>
      </c>
    </row>
    <row r="40" spans="1:3" x14ac:dyDescent="0.25">
      <c r="A40">
        <v>99020135465</v>
      </c>
      <c r="B40" t="s">
        <v>19</v>
      </c>
      <c r="C40" t="s">
        <v>6</v>
      </c>
    </row>
    <row r="41" spans="1:3" x14ac:dyDescent="0.25">
      <c r="A41">
        <v>82080288567</v>
      </c>
      <c r="B41" t="s">
        <v>19</v>
      </c>
      <c r="C41" t="s">
        <v>4</v>
      </c>
    </row>
    <row r="42" spans="1:3" x14ac:dyDescent="0.25">
      <c r="A42">
        <v>66020115140</v>
      </c>
      <c r="B42" t="s">
        <v>19</v>
      </c>
      <c r="C42" t="s">
        <v>6</v>
      </c>
    </row>
    <row r="43" spans="1:3" x14ac:dyDescent="0.25">
      <c r="A43">
        <v>86032868618</v>
      </c>
      <c r="B43" t="s">
        <v>17</v>
      </c>
      <c r="C43" t="s">
        <v>4</v>
      </c>
    </row>
    <row r="44" spans="1:3" x14ac:dyDescent="0.25">
      <c r="A44">
        <v>83111806237</v>
      </c>
      <c r="B44" t="s">
        <v>12</v>
      </c>
      <c r="C44" t="s">
        <v>6</v>
      </c>
    </row>
    <row r="45" spans="1:3" x14ac:dyDescent="0.25">
      <c r="A45">
        <v>67092597948</v>
      </c>
      <c r="B45" t="s">
        <v>14</v>
      </c>
      <c r="C45" t="s">
        <v>6</v>
      </c>
    </row>
    <row r="46" spans="1:3" x14ac:dyDescent="0.25">
      <c r="A46">
        <v>55032362187</v>
      </c>
      <c r="B46" t="s">
        <v>19</v>
      </c>
      <c r="C46" t="s">
        <v>4</v>
      </c>
    </row>
    <row r="47" spans="1:3" x14ac:dyDescent="0.25">
      <c r="A47">
        <v>68111551073</v>
      </c>
      <c r="B47" t="s">
        <v>17</v>
      </c>
      <c r="C47" t="s">
        <v>4</v>
      </c>
    </row>
    <row r="48" spans="1:3" x14ac:dyDescent="0.25">
      <c r="A48">
        <v>72050199081</v>
      </c>
      <c r="B48" t="s">
        <v>19</v>
      </c>
      <c r="C48" t="s">
        <v>4</v>
      </c>
    </row>
    <row r="49" spans="1:3" x14ac:dyDescent="0.25">
      <c r="A49">
        <v>89110619812</v>
      </c>
      <c r="B49" t="s">
        <v>17</v>
      </c>
      <c r="C49" t="s">
        <v>4</v>
      </c>
    </row>
    <row r="50" spans="1:3" x14ac:dyDescent="0.25">
      <c r="A50">
        <v>92062939635</v>
      </c>
      <c r="B50" t="s">
        <v>14</v>
      </c>
      <c r="C50" t="s">
        <v>6</v>
      </c>
    </row>
    <row r="51" spans="1:3" x14ac:dyDescent="0.25">
      <c r="A51">
        <v>96022721818</v>
      </c>
      <c r="B51" t="s">
        <v>17</v>
      </c>
      <c r="C51" t="s">
        <v>6</v>
      </c>
    </row>
    <row r="52" spans="1:3" x14ac:dyDescent="0.25">
      <c r="A52">
        <v>67082759149</v>
      </c>
      <c r="B52" t="s">
        <v>12</v>
      </c>
      <c r="C52" t="s">
        <v>6</v>
      </c>
    </row>
    <row r="53" spans="1:3" x14ac:dyDescent="0.25">
      <c r="A53">
        <v>53041338908</v>
      </c>
      <c r="B53" t="s">
        <v>13</v>
      </c>
      <c r="C53" t="s">
        <v>6</v>
      </c>
    </row>
    <row r="54" spans="1:3" x14ac:dyDescent="0.25">
      <c r="A54">
        <v>85070464356</v>
      </c>
      <c r="B54" t="s">
        <v>15</v>
      </c>
      <c r="C54" t="s">
        <v>6</v>
      </c>
    </row>
    <row r="55" spans="1:3" x14ac:dyDescent="0.25">
      <c r="A55">
        <v>67110443901</v>
      </c>
      <c r="B55" t="s">
        <v>3</v>
      </c>
      <c r="C55" t="s">
        <v>4</v>
      </c>
    </row>
    <row r="56" spans="1:3" x14ac:dyDescent="0.25">
      <c r="A56">
        <v>76112956896</v>
      </c>
      <c r="B56" t="s">
        <v>16</v>
      </c>
      <c r="C56" t="s">
        <v>4</v>
      </c>
    </row>
    <row r="57" spans="1:3" x14ac:dyDescent="0.25">
      <c r="A57">
        <v>78072344438</v>
      </c>
      <c r="B57" t="s">
        <v>7</v>
      </c>
      <c r="C57" t="s">
        <v>6</v>
      </c>
    </row>
    <row r="58" spans="1:3" x14ac:dyDescent="0.25">
      <c r="A58">
        <v>50092746764</v>
      </c>
      <c r="B58" t="s">
        <v>13</v>
      </c>
      <c r="C58" t="s">
        <v>6</v>
      </c>
    </row>
    <row r="59" spans="1:3" x14ac:dyDescent="0.25">
      <c r="A59">
        <v>67090933304</v>
      </c>
      <c r="B59" t="s">
        <v>10</v>
      </c>
      <c r="C59" t="s">
        <v>4</v>
      </c>
    </row>
    <row r="60" spans="1:3" x14ac:dyDescent="0.25">
      <c r="A60">
        <v>94070783248</v>
      </c>
      <c r="B60" t="s">
        <v>3</v>
      </c>
      <c r="C60" t="s">
        <v>6</v>
      </c>
    </row>
    <row r="61" spans="1:3" x14ac:dyDescent="0.25">
      <c r="A61">
        <v>78031408458</v>
      </c>
      <c r="B61" t="s">
        <v>13</v>
      </c>
      <c r="C61" t="s">
        <v>4</v>
      </c>
    </row>
    <row r="62" spans="1:3" x14ac:dyDescent="0.25">
      <c r="A62">
        <v>75111802177</v>
      </c>
      <c r="B62" t="s">
        <v>9</v>
      </c>
      <c r="C62" t="s">
        <v>4</v>
      </c>
    </row>
    <row r="63" spans="1:3" x14ac:dyDescent="0.25">
      <c r="A63">
        <v>84011772408</v>
      </c>
      <c r="B63" t="s">
        <v>20</v>
      </c>
      <c r="C63" t="s">
        <v>4</v>
      </c>
    </row>
    <row r="64" spans="1:3" x14ac:dyDescent="0.25">
      <c r="A64">
        <v>73101944548</v>
      </c>
      <c r="B64" t="s">
        <v>8</v>
      </c>
      <c r="C64" t="s">
        <v>6</v>
      </c>
    </row>
    <row r="65" spans="1:3" x14ac:dyDescent="0.25">
      <c r="A65">
        <v>98112560941</v>
      </c>
      <c r="B65" t="s">
        <v>20</v>
      </c>
      <c r="C65" t="s">
        <v>6</v>
      </c>
    </row>
    <row r="66" spans="1:3" x14ac:dyDescent="0.25">
      <c r="A66">
        <v>80020544623</v>
      </c>
      <c r="B66" t="s">
        <v>14</v>
      </c>
      <c r="C66" t="s">
        <v>4</v>
      </c>
    </row>
    <row r="67" spans="1:3" x14ac:dyDescent="0.25">
      <c r="A67">
        <v>78090623276</v>
      </c>
      <c r="B67" t="s">
        <v>17</v>
      </c>
      <c r="C67" t="s">
        <v>4</v>
      </c>
    </row>
    <row r="68" spans="1:3" x14ac:dyDescent="0.25">
      <c r="A68">
        <v>85100461779</v>
      </c>
      <c r="B68" t="s">
        <v>8</v>
      </c>
      <c r="C68" t="s">
        <v>4</v>
      </c>
    </row>
    <row r="69" spans="1:3" x14ac:dyDescent="0.25">
      <c r="A69">
        <v>62103049429</v>
      </c>
      <c r="B69" t="s">
        <v>17</v>
      </c>
      <c r="C69" t="s">
        <v>6</v>
      </c>
    </row>
    <row r="70" spans="1:3" x14ac:dyDescent="0.25">
      <c r="A70">
        <v>64092166116</v>
      </c>
      <c r="B70" t="s">
        <v>20</v>
      </c>
      <c r="C70" t="s">
        <v>6</v>
      </c>
    </row>
    <row r="71" spans="1:3" x14ac:dyDescent="0.25">
      <c r="A71">
        <v>72112844735</v>
      </c>
      <c r="B71" t="s">
        <v>19</v>
      </c>
      <c r="C71" t="s">
        <v>4</v>
      </c>
    </row>
    <row r="72" spans="1:3" x14ac:dyDescent="0.25">
      <c r="A72">
        <v>90071102655</v>
      </c>
      <c r="B72" t="s">
        <v>15</v>
      </c>
      <c r="C72" t="s">
        <v>6</v>
      </c>
    </row>
    <row r="73" spans="1:3" x14ac:dyDescent="0.25">
      <c r="A73">
        <v>80100724608</v>
      </c>
      <c r="B73" t="s">
        <v>10</v>
      </c>
      <c r="C73" t="s">
        <v>4</v>
      </c>
    </row>
    <row r="74" spans="1:3" x14ac:dyDescent="0.25">
      <c r="A74">
        <v>67111696971</v>
      </c>
      <c r="B74" t="s">
        <v>19</v>
      </c>
      <c r="C74" t="s">
        <v>4</v>
      </c>
    </row>
    <row r="75" spans="1:3" x14ac:dyDescent="0.25">
      <c r="A75">
        <v>87100455842</v>
      </c>
      <c r="B75" t="s">
        <v>9</v>
      </c>
      <c r="C75" t="s">
        <v>4</v>
      </c>
    </row>
    <row r="76" spans="1:3" x14ac:dyDescent="0.25">
      <c r="A76">
        <v>64090118269</v>
      </c>
      <c r="B76" t="s">
        <v>20</v>
      </c>
      <c r="C76" t="s">
        <v>4</v>
      </c>
    </row>
    <row r="77" spans="1:3" x14ac:dyDescent="0.25">
      <c r="A77">
        <v>61061727275</v>
      </c>
      <c r="B77" t="s">
        <v>3</v>
      </c>
      <c r="C77" t="s">
        <v>4</v>
      </c>
    </row>
    <row r="78" spans="1:3" x14ac:dyDescent="0.25">
      <c r="A78">
        <v>66121567550</v>
      </c>
      <c r="B78" t="s">
        <v>9</v>
      </c>
      <c r="C78" t="s">
        <v>6</v>
      </c>
    </row>
    <row r="79" spans="1:3" x14ac:dyDescent="0.25">
      <c r="A79">
        <v>92102923299</v>
      </c>
      <c r="B79" t="s">
        <v>14</v>
      </c>
      <c r="C79" t="s">
        <v>4</v>
      </c>
    </row>
    <row r="80" spans="1:3" x14ac:dyDescent="0.25">
      <c r="A80">
        <v>97011978576</v>
      </c>
      <c r="B80" t="s">
        <v>3</v>
      </c>
      <c r="C80" t="s">
        <v>4</v>
      </c>
    </row>
    <row r="81" spans="1:3" x14ac:dyDescent="0.25">
      <c r="A81">
        <v>75042006365</v>
      </c>
      <c r="B81" t="s">
        <v>14</v>
      </c>
      <c r="C81" t="s">
        <v>6</v>
      </c>
    </row>
    <row r="82" spans="1:3" x14ac:dyDescent="0.25">
      <c r="A82">
        <v>51100113466</v>
      </c>
      <c r="B82" t="s">
        <v>15</v>
      </c>
      <c r="C82" t="s">
        <v>4</v>
      </c>
    </row>
    <row r="83" spans="1:3" x14ac:dyDescent="0.25">
      <c r="A83">
        <v>72073013618</v>
      </c>
      <c r="B83" t="s">
        <v>15</v>
      </c>
      <c r="C83" t="s">
        <v>4</v>
      </c>
    </row>
    <row r="84" spans="1:3" x14ac:dyDescent="0.25">
      <c r="A84">
        <v>95071506935</v>
      </c>
      <c r="B84" t="s">
        <v>5</v>
      </c>
      <c r="C84" t="s">
        <v>4</v>
      </c>
    </row>
    <row r="85" spans="1:3" x14ac:dyDescent="0.25">
      <c r="A85">
        <v>64082706270</v>
      </c>
      <c r="B85" t="s">
        <v>9</v>
      </c>
      <c r="C85" t="s">
        <v>4</v>
      </c>
    </row>
    <row r="86" spans="1:3" x14ac:dyDescent="0.25">
      <c r="A86">
        <v>74102033752</v>
      </c>
      <c r="B86" t="s">
        <v>5</v>
      </c>
      <c r="C86" t="s">
        <v>4</v>
      </c>
    </row>
    <row r="87" spans="1:3" x14ac:dyDescent="0.25">
      <c r="A87">
        <v>57081355125</v>
      </c>
      <c r="B87" t="s">
        <v>14</v>
      </c>
      <c r="C87" t="s">
        <v>6</v>
      </c>
    </row>
    <row r="88" spans="1:3" x14ac:dyDescent="0.25">
      <c r="A88">
        <v>63091825499</v>
      </c>
      <c r="B88" t="s">
        <v>8</v>
      </c>
      <c r="C88" t="s">
        <v>4</v>
      </c>
    </row>
    <row r="89" spans="1:3" x14ac:dyDescent="0.25">
      <c r="A89">
        <v>90040264315</v>
      </c>
      <c r="B89" t="s">
        <v>16</v>
      </c>
      <c r="C89" t="s">
        <v>4</v>
      </c>
    </row>
    <row r="90" spans="1:3" x14ac:dyDescent="0.25">
      <c r="A90">
        <v>93021005602</v>
      </c>
      <c r="B90" t="s">
        <v>17</v>
      </c>
      <c r="C90" t="s">
        <v>4</v>
      </c>
    </row>
    <row r="91" spans="1:3" x14ac:dyDescent="0.25">
      <c r="A91">
        <v>71060935904</v>
      </c>
      <c r="B91" t="s">
        <v>20</v>
      </c>
      <c r="C91" t="s">
        <v>4</v>
      </c>
    </row>
    <row r="92" spans="1:3" x14ac:dyDescent="0.25">
      <c r="A92">
        <v>66042814865</v>
      </c>
      <c r="B92" t="s">
        <v>18</v>
      </c>
      <c r="C92" t="s">
        <v>4</v>
      </c>
    </row>
    <row r="93" spans="1:3" x14ac:dyDescent="0.25">
      <c r="A93">
        <v>97080217897</v>
      </c>
      <c r="B93" t="s">
        <v>3</v>
      </c>
      <c r="C93" t="s">
        <v>4</v>
      </c>
    </row>
    <row r="94" spans="1:3" x14ac:dyDescent="0.25">
      <c r="A94">
        <v>81053035807</v>
      </c>
      <c r="B94" t="s">
        <v>16</v>
      </c>
      <c r="C94" t="s">
        <v>6</v>
      </c>
    </row>
    <row r="95" spans="1:3" x14ac:dyDescent="0.25">
      <c r="A95">
        <v>91022423029</v>
      </c>
      <c r="B95" t="s">
        <v>13</v>
      </c>
      <c r="C95" t="s">
        <v>6</v>
      </c>
    </row>
    <row r="96" spans="1:3" x14ac:dyDescent="0.25">
      <c r="A96">
        <v>75090195129</v>
      </c>
      <c r="B96" t="s">
        <v>15</v>
      </c>
      <c r="C96" t="s">
        <v>6</v>
      </c>
    </row>
    <row r="97" spans="1:3" x14ac:dyDescent="0.25">
      <c r="A97">
        <v>84070107438</v>
      </c>
      <c r="B97" t="s">
        <v>5</v>
      </c>
      <c r="C97" t="s">
        <v>6</v>
      </c>
    </row>
    <row r="98" spans="1:3" x14ac:dyDescent="0.25">
      <c r="A98">
        <v>66043085280</v>
      </c>
      <c r="B98" t="s">
        <v>18</v>
      </c>
      <c r="C98" t="s">
        <v>4</v>
      </c>
    </row>
    <row r="99" spans="1:3" x14ac:dyDescent="0.25">
      <c r="A99">
        <v>50121269604</v>
      </c>
      <c r="B99" t="s">
        <v>17</v>
      </c>
      <c r="C99" t="s">
        <v>6</v>
      </c>
    </row>
    <row r="100" spans="1:3" x14ac:dyDescent="0.25">
      <c r="A100">
        <v>85122146708</v>
      </c>
      <c r="B100" t="s">
        <v>14</v>
      </c>
      <c r="C100" t="s">
        <v>6</v>
      </c>
    </row>
    <row r="101" spans="1:3" x14ac:dyDescent="0.25">
      <c r="A101">
        <v>90010495521</v>
      </c>
      <c r="B101" t="s">
        <v>13</v>
      </c>
      <c r="C101" t="s">
        <v>6</v>
      </c>
    </row>
    <row r="102" spans="1:3" x14ac:dyDescent="0.25">
      <c r="A102">
        <v>72100728249</v>
      </c>
      <c r="B102" t="s">
        <v>9</v>
      </c>
      <c r="C102" t="s">
        <v>6</v>
      </c>
    </row>
    <row r="103" spans="1:3" x14ac:dyDescent="0.25">
      <c r="A103">
        <v>54082626522</v>
      </c>
      <c r="B103" t="s">
        <v>18</v>
      </c>
      <c r="C103" t="s">
        <v>6</v>
      </c>
    </row>
    <row r="104" spans="1:3" x14ac:dyDescent="0.25">
      <c r="A104">
        <v>60082633448</v>
      </c>
      <c r="B104" t="s">
        <v>8</v>
      </c>
      <c r="C104" t="s">
        <v>4</v>
      </c>
    </row>
    <row r="105" spans="1:3" x14ac:dyDescent="0.25">
      <c r="A105">
        <v>57091615958</v>
      </c>
      <c r="B105" t="s">
        <v>13</v>
      </c>
      <c r="C105" t="s">
        <v>6</v>
      </c>
    </row>
    <row r="106" spans="1:3" x14ac:dyDescent="0.25">
      <c r="A106">
        <v>87111052780</v>
      </c>
      <c r="B106" t="s">
        <v>20</v>
      </c>
      <c r="C106" t="s">
        <v>6</v>
      </c>
    </row>
    <row r="107" spans="1:3" x14ac:dyDescent="0.25">
      <c r="A107">
        <v>50040740697</v>
      </c>
      <c r="B107" t="s">
        <v>11</v>
      </c>
      <c r="C107" t="s">
        <v>6</v>
      </c>
    </row>
    <row r="108" spans="1:3" x14ac:dyDescent="0.25">
      <c r="A108">
        <v>68101095387</v>
      </c>
      <c r="B108" t="s">
        <v>8</v>
      </c>
      <c r="C108" t="s">
        <v>4</v>
      </c>
    </row>
    <row r="109" spans="1:3" x14ac:dyDescent="0.25">
      <c r="A109">
        <v>62033049740</v>
      </c>
      <c r="B109" t="s">
        <v>7</v>
      </c>
      <c r="C109" t="s">
        <v>6</v>
      </c>
    </row>
    <row r="110" spans="1:3" x14ac:dyDescent="0.25">
      <c r="A110">
        <v>79072780929</v>
      </c>
      <c r="B110" t="s">
        <v>20</v>
      </c>
      <c r="C110" t="s">
        <v>6</v>
      </c>
    </row>
    <row r="111" spans="1:3" x14ac:dyDescent="0.25">
      <c r="A111">
        <v>94051017843</v>
      </c>
      <c r="B111" t="s">
        <v>15</v>
      </c>
      <c r="C111" t="s">
        <v>6</v>
      </c>
    </row>
    <row r="112" spans="1:3" x14ac:dyDescent="0.25">
      <c r="A112">
        <v>98010553667</v>
      </c>
      <c r="B112" t="s">
        <v>17</v>
      </c>
      <c r="C112" t="s">
        <v>6</v>
      </c>
    </row>
    <row r="113" spans="1:3" x14ac:dyDescent="0.25">
      <c r="A113">
        <v>98052401375</v>
      </c>
      <c r="B113" t="s">
        <v>7</v>
      </c>
      <c r="C113" t="s">
        <v>4</v>
      </c>
    </row>
    <row r="114" spans="1:3" x14ac:dyDescent="0.25">
      <c r="A114">
        <v>86072999428</v>
      </c>
      <c r="B114" t="s">
        <v>15</v>
      </c>
      <c r="C114" t="s">
        <v>4</v>
      </c>
    </row>
    <row r="115" spans="1:3" x14ac:dyDescent="0.25">
      <c r="A115">
        <v>76061601553</v>
      </c>
      <c r="B115" t="s">
        <v>11</v>
      </c>
      <c r="C115" t="s">
        <v>4</v>
      </c>
    </row>
    <row r="116" spans="1:3" x14ac:dyDescent="0.25">
      <c r="A116">
        <v>69011748389</v>
      </c>
      <c r="B116" t="s">
        <v>3</v>
      </c>
      <c r="C116" t="s">
        <v>4</v>
      </c>
    </row>
    <row r="117" spans="1:3" x14ac:dyDescent="0.25">
      <c r="A117">
        <v>72053198339</v>
      </c>
      <c r="B117" t="s">
        <v>9</v>
      </c>
      <c r="C117" t="s">
        <v>4</v>
      </c>
    </row>
    <row r="118" spans="1:3" x14ac:dyDescent="0.25">
      <c r="A118">
        <v>92111126939</v>
      </c>
      <c r="B118" t="s">
        <v>10</v>
      </c>
      <c r="C118" t="s">
        <v>6</v>
      </c>
    </row>
    <row r="119" spans="1:3" x14ac:dyDescent="0.25">
      <c r="A119">
        <v>56122609544</v>
      </c>
      <c r="B119" t="s">
        <v>5</v>
      </c>
      <c r="C119" t="s">
        <v>6</v>
      </c>
    </row>
    <row r="120" spans="1:3" x14ac:dyDescent="0.25">
      <c r="A120">
        <v>78022120507</v>
      </c>
      <c r="B120" t="s">
        <v>18</v>
      </c>
      <c r="C120" t="s">
        <v>6</v>
      </c>
    </row>
    <row r="121" spans="1:3" x14ac:dyDescent="0.25">
      <c r="A121">
        <v>93062318824</v>
      </c>
      <c r="B121" t="s">
        <v>16</v>
      </c>
      <c r="C121" t="s">
        <v>4</v>
      </c>
    </row>
    <row r="122" spans="1:3" x14ac:dyDescent="0.25">
      <c r="A122">
        <v>68111201527</v>
      </c>
      <c r="B122" t="s">
        <v>13</v>
      </c>
      <c r="C122" t="s">
        <v>4</v>
      </c>
    </row>
    <row r="123" spans="1:3" x14ac:dyDescent="0.25">
      <c r="A123">
        <v>78071480489</v>
      </c>
      <c r="B123" t="s">
        <v>8</v>
      </c>
      <c r="C123" t="s">
        <v>6</v>
      </c>
    </row>
    <row r="124" spans="1:3" x14ac:dyDescent="0.25">
      <c r="A124">
        <v>76051975909</v>
      </c>
      <c r="B124" t="s">
        <v>16</v>
      </c>
      <c r="C124" t="s">
        <v>4</v>
      </c>
    </row>
    <row r="125" spans="1:3" x14ac:dyDescent="0.25">
      <c r="A125">
        <v>64062904454</v>
      </c>
      <c r="B125" t="s">
        <v>3</v>
      </c>
      <c r="C125" t="s">
        <v>6</v>
      </c>
    </row>
    <row r="126" spans="1:3" x14ac:dyDescent="0.25">
      <c r="A126">
        <v>88040681139</v>
      </c>
      <c r="B126" t="s">
        <v>18</v>
      </c>
      <c r="C126" t="s">
        <v>4</v>
      </c>
    </row>
    <row r="127" spans="1:3" x14ac:dyDescent="0.25">
      <c r="A127">
        <v>82102913532</v>
      </c>
      <c r="B127" t="s">
        <v>19</v>
      </c>
      <c r="C127" t="s">
        <v>4</v>
      </c>
    </row>
    <row r="128" spans="1:3" x14ac:dyDescent="0.25">
      <c r="A128">
        <v>80111550241</v>
      </c>
      <c r="B128" t="s">
        <v>15</v>
      </c>
      <c r="C128" t="s">
        <v>6</v>
      </c>
    </row>
    <row r="129" spans="1:3" x14ac:dyDescent="0.25">
      <c r="A129">
        <v>73042186560</v>
      </c>
      <c r="B129" t="s">
        <v>10</v>
      </c>
      <c r="C129" t="s">
        <v>6</v>
      </c>
    </row>
    <row r="130" spans="1:3" x14ac:dyDescent="0.25">
      <c r="A130">
        <v>71111622249</v>
      </c>
      <c r="B130" t="s">
        <v>13</v>
      </c>
      <c r="C130" t="s">
        <v>4</v>
      </c>
    </row>
    <row r="131" spans="1:3" x14ac:dyDescent="0.25">
      <c r="A131">
        <v>52042431764</v>
      </c>
      <c r="B131" t="s">
        <v>3</v>
      </c>
      <c r="C131" t="s">
        <v>6</v>
      </c>
    </row>
    <row r="132" spans="1:3" x14ac:dyDescent="0.25">
      <c r="A132">
        <v>94110574874</v>
      </c>
      <c r="B132" t="s">
        <v>17</v>
      </c>
      <c r="C132" t="s">
        <v>4</v>
      </c>
    </row>
    <row r="133" spans="1:3" x14ac:dyDescent="0.25">
      <c r="A133">
        <v>97070314418</v>
      </c>
      <c r="B133" t="s">
        <v>7</v>
      </c>
      <c r="C133" t="s">
        <v>4</v>
      </c>
    </row>
    <row r="134" spans="1:3" x14ac:dyDescent="0.25">
      <c r="A134">
        <v>68020157834</v>
      </c>
      <c r="B134" t="s">
        <v>3</v>
      </c>
      <c r="C134" t="s">
        <v>4</v>
      </c>
    </row>
    <row r="135" spans="1:3" x14ac:dyDescent="0.25">
      <c r="A135">
        <v>61032343220</v>
      </c>
      <c r="B135" t="s">
        <v>10</v>
      </c>
      <c r="C135" t="s">
        <v>6</v>
      </c>
    </row>
    <row r="136" spans="1:3" x14ac:dyDescent="0.25">
      <c r="A136">
        <v>89051851742</v>
      </c>
      <c r="B136" t="s">
        <v>15</v>
      </c>
      <c r="C136" t="s">
        <v>6</v>
      </c>
    </row>
    <row r="137" spans="1:3" x14ac:dyDescent="0.25">
      <c r="A137">
        <v>97090739563</v>
      </c>
      <c r="B137" t="s">
        <v>19</v>
      </c>
      <c r="C137" t="s">
        <v>4</v>
      </c>
    </row>
    <row r="138" spans="1:3" x14ac:dyDescent="0.25">
      <c r="A138">
        <v>61080507803</v>
      </c>
      <c r="B138" t="s">
        <v>7</v>
      </c>
      <c r="C138" t="s">
        <v>6</v>
      </c>
    </row>
    <row r="139" spans="1:3" x14ac:dyDescent="0.25">
      <c r="A139">
        <v>66022228110</v>
      </c>
      <c r="B139" t="s">
        <v>18</v>
      </c>
      <c r="C139" t="s">
        <v>6</v>
      </c>
    </row>
    <row r="140" spans="1:3" x14ac:dyDescent="0.25">
      <c r="A140">
        <v>53120902549</v>
      </c>
      <c r="B140" t="s">
        <v>14</v>
      </c>
      <c r="C140" t="s">
        <v>4</v>
      </c>
    </row>
    <row r="141" spans="1:3" x14ac:dyDescent="0.25">
      <c r="A141">
        <v>84010544767</v>
      </c>
      <c r="B141" t="s">
        <v>3</v>
      </c>
      <c r="C141" t="s">
        <v>4</v>
      </c>
    </row>
    <row r="142" spans="1:3" x14ac:dyDescent="0.25">
      <c r="A142">
        <v>94111642336</v>
      </c>
      <c r="B142" t="s">
        <v>13</v>
      </c>
      <c r="C142" t="s">
        <v>6</v>
      </c>
    </row>
    <row r="143" spans="1:3" x14ac:dyDescent="0.25">
      <c r="A143">
        <v>83080941885</v>
      </c>
      <c r="B143" t="s">
        <v>9</v>
      </c>
      <c r="C143" t="s">
        <v>4</v>
      </c>
    </row>
    <row r="144" spans="1:3" x14ac:dyDescent="0.25">
      <c r="A144">
        <v>99020631770</v>
      </c>
      <c r="B144" t="s">
        <v>8</v>
      </c>
      <c r="C144" t="s">
        <v>4</v>
      </c>
    </row>
    <row r="145" spans="1:3" x14ac:dyDescent="0.25">
      <c r="A145">
        <v>99111303315</v>
      </c>
      <c r="B145" t="s">
        <v>17</v>
      </c>
      <c r="C145" t="s">
        <v>6</v>
      </c>
    </row>
    <row r="146" spans="1:3" x14ac:dyDescent="0.25">
      <c r="A146">
        <v>51092524844</v>
      </c>
      <c r="B146" t="s">
        <v>20</v>
      </c>
      <c r="C146" t="s">
        <v>4</v>
      </c>
    </row>
    <row r="147" spans="1:3" x14ac:dyDescent="0.25">
      <c r="A147">
        <v>56021402794</v>
      </c>
      <c r="B147" t="s">
        <v>9</v>
      </c>
      <c r="C147" t="s">
        <v>4</v>
      </c>
    </row>
    <row r="148" spans="1:3" x14ac:dyDescent="0.25">
      <c r="A148">
        <v>61052346386</v>
      </c>
      <c r="B148" t="s">
        <v>13</v>
      </c>
      <c r="C148" t="s">
        <v>4</v>
      </c>
    </row>
    <row r="149" spans="1:3" x14ac:dyDescent="0.25">
      <c r="A149">
        <v>51122893889</v>
      </c>
      <c r="B149" t="s">
        <v>13</v>
      </c>
      <c r="C149" t="s">
        <v>4</v>
      </c>
    </row>
    <row r="150" spans="1:3" x14ac:dyDescent="0.25">
      <c r="A150">
        <v>71063060230</v>
      </c>
      <c r="B150" t="s">
        <v>19</v>
      </c>
      <c r="C150" t="s">
        <v>4</v>
      </c>
    </row>
    <row r="151" spans="1:3" x14ac:dyDescent="0.25">
      <c r="A151">
        <v>74072279383</v>
      </c>
      <c r="B151" t="s">
        <v>5</v>
      </c>
      <c r="C151" t="s">
        <v>6</v>
      </c>
    </row>
    <row r="152" spans="1:3" x14ac:dyDescent="0.25">
      <c r="A152">
        <v>91091481535</v>
      </c>
      <c r="B152" t="s">
        <v>10</v>
      </c>
      <c r="C152" t="s">
        <v>4</v>
      </c>
    </row>
    <row r="153" spans="1:3" x14ac:dyDescent="0.25">
      <c r="A153">
        <v>57122300244</v>
      </c>
      <c r="B153" t="s">
        <v>9</v>
      </c>
      <c r="C153" t="s">
        <v>6</v>
      </c>
    </row>
    <row r="154" spans="1:3" x14ac:dyDescent="0.25">
      <c r="A154">
        <v>99041479098</v>
      </c>
      <c r="B154" t="s">
        <v>7</v>
      </c>
      <c r="C154" t="s">
        <v>6</v>
      </c>
    </row>
    <row r="155" spans="1:3" x14ac:dyDescent="0.25">
      <c r="A155">
        <v>67100309631</v>
      </c>
      <c r="B155" t="s">
        <v>18</v>
      </c>
      <c r="C155" t="s">
        <v>4</v>
      </c>
    </row>
    <row r="156" spans="1:3" x14ac:dyDescent="0.25">
      <c r="A156">
        <v>82062058218</v>
      </c>
      <c r="B156" t="s">
        <v>17</v>
      </c>
      <c r="C156" t="s">
        <v>4</v>
      </c>
    </row>
    <row r="157" spans="1:3" x14ac:dyDescent="0.25">
      <c r="A157">
        <v>57122013287</v>
      </c>
      <c r="B157" t="s">
        <v>11</v>
      </c>
      <c r="C157" t="s">
        <v>4</v>
      </c>
    </row>
    <row r="158" spans="1:3" x14ac:dyDescent="0.25">
      <c r="A158">
        <v>67112146802</v>
      </c>
      <c r="B158" t="s">
        <v>16</v>
      </c>
      <c r="C158" t="s">
        <v>6</v>
      </c>
    </row>
    <row r="159" spans="1:3" x14ac:dyDescent="0.25">
      <c r="A159">
        <v>87090221803</v>
      </c>
      <c r="B159" t="s">
        <v>9</v>
      </c>
      <c r="C159" t="s">
        <v>4</v>
      </c>
    </row>
    <row r="160" spans="1:3" x14ac:dyDescent="0.25">
      <c r="A160">
        <v>61032430030</v>
      </c>
      <c r="B160" t="s">
        <v>7</v>
      </c>
      <c r="C160" t="s">
        <v>6</v>
      </c>
    </row>
    <row r="161" spans="1:3" x14ac:dyDescent="0.25">
      <c r="A161">
        <v>64080716404</v>
      </c>
      <c r="B161" t="s">
        <v>5</v>
      </c>
      <c r="C161" t="s">
        <v>6</v>
      </c>
    </row>
    <row r="162" spans="1:3" x14ac:dyDescent="0.25">
      <c r="A162">
        <v>59062796578</v>
      </c>
      <c r="B162" t="s">
        <v>9</v>
      </c>
      <c r="C162" t="s">
        <v>6</v>
      </c>
    </row>
    <row r="163" spans="1:3" x14ac:dyDescent="0.25">
      <c r="A163">
        <v>65040627947</v>
      </c>
      <c r="B163" t="s">
        <v>20</v>
      </c>
      <c r="C163" t="s">
        <v>6</v>
      </c>
    </row>
    <row r="164" spans="1:3" x14ac:dyDescent="0.25">
      <c r="A164">
        <v>94122638353</v>
      </c>
      <c r="B164" t="s">
        <v>13</v>
      </c>
      <c r="C164" t="s">
        <v>6</v>
      </c>
    </row>
    <row r="165" spans="1:3" x14ac:dyDescent="0.25">
      <c r="A165">
        <v>58091381319</v>
      </c>
      <c r="B165" t="s">
        <v>20</v>
      </c>
      <c r="C165" t="s">
        <v>4</v>
      </c>
    </row>
    <row r="166" spans="1:3" x14ac:dyDescent="0.25">
      <c r="A166">
        <v>73112332640</v>
      </c>
      <c r="B166" t="s">
        <v>7</v>
      </c>
      <c r="C166" t="s">
        <v>4</v>
      </c>
    </row>
    <row r="167" spans="1:3" x14ac:dyDescent="0.25">
      <c r="A167">
        <v>61052868334</v>
      </c>
      <c r="B167" t="s">
        <v>16</v>
      </c>
      <c r="C167" t="s">
        <v>4</v>
      </c>
    </row>
    <row r="168" spans="1:3" x14ac:dyDescent="0.25">
      <c r="A168">
        <v>71021611182</v>
      </c>
      <c r="B168" t="s">
        <v>18</v>
      </c>
      <c r="C168" t="s">
        <v>6</v>
      </c>
    </row>
    <row r="169" spans="1:3" x14ac:dyDescent="0.25">
      <c r="A169">
        <v>56082234284</v>
      </c>
      <c r="B169" t="s">
        <v>15</v>
      </c>
      <c r="C169" t="s">
        <v>6</v>
      </c>
    </row>
    <row r="170" spans="1:3" x14ac:dyDescent="0.25">
      <c r="A170">
        <v>99101200505</v>
      </c>
      <c r="B170" t="s">
        <v>19</v>
      </c>
      <c r="C170" t="s">
        <v>6</v>
      </c>
    </row>
    <row r="171" spans="1:3" x14ac:dyDescent="0.25">
      <c r="A171">
        <v>52101785894</v>
      </c>
      <c r="B171" t="s">
        <v>18</v>
      </c>
      <c r="C171" t="s">
        <v>6</v>
      </c>
    </row>
    <row r="172" spans="1:3" x14ac:dyDescent="0.25">
      <c r="A172">
        <v>86091601548</v>
      </c>
      <c r="B172" t="s">
        <v>11</v>
      </c>
      <c r="C172" t="s">
        <v>6</v>
      </c>
    </row>
    <row r="173" spans="1:3" x14ac:dyDescent="0.25">
      <c r="A173">
        <v>58071981807</v>
      </c>
      <c r="B173" t="s">
        <v>10</v>
      </c>
      <c r="C173" t="s">
        <v>4</v>
      </c>
    </row>
    <row r="174" spans="1:3" x14ac:dyDescent="0.25">
      <c r="A174">
        <v>95030424298</v>
      </c>
      <c r="B174" t="s">
        <v>16</v>
      </c>
      <c r="C174" t="s">
        <v>6</v>
      </c>
    </row>
    <row r="175" spans="1:3" x14ac:dyDescent="0.25">
      <c r="A175">
        <v>91110362072</v>
      </c>
      <c r="B175" t="s">
        <v>13</v>
      </c>
      <c r="C175" t="s">
        <v>6</v>
      </c>
    </row>
    <row r="176" spans="1:3" x14ac:dyDescent="0.25">
      <c r="A176">
        <v>56010667456</v>
      </c>
      <c r="B176" t="s">
        <v>16</v>
      </c>
      <c r="C176" t="s">
        <v>6</v>
      </c>
    </row>
    <row r="177" spans="1:3" x14ac:dyDescent="0.25">
      <c r="A177">
        <v>75062741479</v>
      </c>
      <c r="B177" t="s">
        <v>18</v>
      </c>
      <c r="C177" t="s">
        <v>4</v>
      </c>
    </row>
    <row r="178" spans="1:3" x14ac:dyDescent="0.25">
      <c r="A178">
        <v>94111155399</v>
      </c>
      <c r="B178" t="s">
        <v>17</v>
      </c>
      <c r="C178" t="s">
        <v>4</v>
      </c>
    </row>
    <row r="179" spans="1:3" x14ac:dyDescent="0.25">
      <c r="A179">
        <v>81021537391</v>
      </c>
      <c r="B179" t="s">
        <v>12</v>
      </c>
      <c r="C179" t="s">
        <v>6</v>
      </c>
    </row>
    <row r="180" spans="1:3" x14ac:dyDescent="0.25">
      <c r="A180">
        <v>90103167461</v>
      </c>
      <c r="B180" t="s">
        <v>11</v>
      </c>
      <c r="C180" t="s">
        <v>6</v>
      </c>
    </row>
    <row r="181" spans="1:3" x14ac:dyDescent="0.25">
      <c r="A181">
        <v>72033126578</v>
      </c>
      <c r="B181" t="s">
        <v>11</v>
      </c>
      <c r="C181" t="s">
        <v>6</v>
      </c>
    </row>
    <row r="182" spans="1:3" x14ac:dyDescent="0.25">
      <c r="A182">
        <v>90010474418</v>
      </c>
      <c r="B182" t="s">
        <v>16</v>
      </c>
      <c r="C182" t="s">
        <v>6</v>
      </c>
    </row>
    <row r="183" spans="1:3" x14ac:dyDescent="0.25">
      <c r="A183">
        <v>93101150990</v>
      </c>
      <c r="B183" t="s">
        <v>7</v>
      </c>
      <c r="C183" t="s">
        <v>4</v>
      </c>
    </row>
    <row r="184" spans="1:3" x14ac:dyDescent="0.25">
      <c r="A184">
        <v>96091515974</v>
      </c>
      <c r="B184" t="s">
        <v>20</v>
      </c>
      <c r="C184" t="s">
        <v>4</v>
      </c>
    </row>
    <row r="185" spans="1:3" x14ac:dyDescent="0.25">
      <c r="A185">
        <v>65011096293</v>
      </c>
      <c r="B185" t="s">
        <v>15</v>
      </c>
      <c r="C185" t="s">
        <v>4</v>
      </c>
    </row>
    <row r="186" spans="1:3" x14ac:dyDescent="0.25">
      <c r="A186">
        <v>53123191577</v>
      </c>
      <c r="B186" t="s">
        <v>9</v>
      </c>
      <c r="C186" t="s">
        <v>6</v>
      </c>
    </row>
    <row r="187" spans="1:3" x14ac:dyDescent="0.25">
      <c r="A187">
        <v>73060298351</v>
      </c>
      <c r="B187" t="s">
        <v>14</v>
      </c>
      <c r="C187" t="s">
        <v>6</v>
      </c>
    </row>
    <row r="188" spans="1:3" x14ac:dyDescent="0.25">
      <c r="A188">
        <v>77121944265</v>
      </c>
      <c r="B188" t="s">
        <v>14</v>
      </c>
      <c r="C188" t="s">
        <v>4</v>
      </c>
    </row>
    <row r="189" spans="1:3" x14ac:dyDescent="0.25">
      <c r="A189">
        <v>68031048828</v>
      </c>
      <c r="B189" t="s">
        <v>7</v>
      </c>
      <c r="C189" t="s">
        <v>4</v>
      </c>
    </row>
    <row r="190" spans="1:3" x14ac:dyDescent="0.25">
      <c r="A190">
        <v>98100693644</v>
      </c>
      <c r="B190" t="s">
        <v>16</v>
      </c>
      <c r="C190" t="s">
        <v>6</v>
      </c>
    </row>
    <row r="191" spans="1:3" x14ac:dyDescent="0.25">
      <c r="A191">
        <v>76072914871</v>
      </c>
      <c r="B191" t="s">
        <v>12</v>
      </c>
      <c r="C191" t="s">
        <v>4</v>
      </c>
    </row>
    <row r="192" spans="1:3" x14ac:dyDescent="0.25">
      <c r="A192">
        <v>55041429471</v>
      </c>
      <c r="B192" t="s">
        <v>15</v>
      </c>
      <c r="C192" t="s">
        <v>4</v>
      </c>
    </row>
    <row r="193" spans="1:3" x14ac:dyDescent="0.25">
      <c r="A193">
        <v>96010658900</v>
      </c>
      <c r="B193" t="s">
        <v>13</v>
      </c>
      <c r="C193" t="s">
        <v>4</v>
      </c>
    </row>
    <row r="194" spans="1:3" x14ac:dyDescent="0.25">
      <c r="A194">
        <v>84032372784</v>
      </c>
      <c r="B194" t="s">
        <v>14</v>
      </c>
      <c r="C194" t="s">
        <v>6</v>
      </c>
    </row>
    <row r="195" spans="1:3" x14ac:dyDescent="0.25">
      <c r="A195">
        <v>50101409189</v>
      </c>
      <c r="B195" t="s">
        <v>10</v>
      </c>
      <c r="C195" t="s">
        <v>4</v>
      </c>
    </row>
    <row r="196" spans="1:3" x14ac:dyDescent="0.25">
      <c r="A196">
        <v>54122295170</v>
      </c>
      <c r="B196" t="s">
        <v>19</v>
      </c>
      <c r="C196" t="s">
        <v>6</v>
      </c>
    </row>
    <row r="197" spans="1:3" x14ac:dyDescent="0.25">
      <c r="A197">
        <v>67092404057</v>
      </c>
      <c r="B197" t="s">
        <v>12</v>
      </c>
      <c r="C197" t="s">
        <v>4</v>
      </c>
    </row>
    <row r="198" spans="1:3" x14ac:dyDescent="0.25">
      <c r="A198">
        <v>67022391071</v>
      </c>
      <c r="B198" t="s">
        <v>7</v>
      </c>
      <c r="C198" t="s">
        <v>4</v>
      </c>
    </row>
    <row r="199" spans="1:3" x14ac:dyDescent="0.25">
      <c r="A199">
        <v>97041948136</v>
      </c>
      <c r="B199" t="s">
        <v>14</v>
      </c>
      <c r="C199" t="s">
        <v>6</v>
      </c>
    </row>
    <row r="200" spans="1:3" x14ac:dyDescent="0.25">
      <c r="A200">
        <v>99011275523</v>
      </c>
      <c r="B200" t="s">
        <v>13</v>
      </c>
      <c r="C200" t="s">
        <v>6</v>
      </c>
    </row>
    <row r="201" spans="1:3" x14ac:dyDescent="0.25">
      <c r="A201">
        <v>57071222781</v>
      </c>
      <c r="B201" t="s">
        <v>11</v>
      </c>
      <c r="C201" t="s">
        <v>6</v>
      </c>
    </row>
    <row r="202" spans="1:3" x14ac:dyDescent="0.25">
      <c r="A202">
        <v>93012973237</v>
      </c>
      <c r="B202" t="s">
        <v>17</v>
      </c>
      <c r="C202" t="s">
        <v>6</v>
      </c>
    </row>
    <row r="203" spans="1:3" x14ac:dyDescent="0.25">
      <c r="A203">
        <v>59082791780</v>
      </c>
      <c r="B203" t="s">
        <v>9</v>
      </c>
      <c r="C203" t="s">
        <v>4</v>
      </c>
    </row>
    <row r="204" spans="1:3" x14ac:dyDescent="0.25">
      <c r="A204">
        <v>81091693078</v>
      </c>
      <c r="B204" t="s">
        <v>20</v>
      </c>
      <c r="C204" t="s">
        <v>4</v>
      </c>
    </row>
    <row r="205" spans="1:3" x14ac:dyDescent="0.25">
      <c r="A205">
        <v>71022845751</v>
      </c>
      <c r="B205" t="s">
        <v>14</v>
      </c>
      <c r="C205" t="s">
        <v>4</v>
      </c>
    </row>
    <row r="206" spans="1:3" x14ac:dyDescent="0.25">
      <c r="A206">
        <v>74123045345</v>
      </c>
      <c r="B206" t="s">
        <v>9</v>
      </c>
      <c r="C206" t="s">
        <v>6</v>
      </c>
    </row>
    <row r="207" spans="1:3" x14ac:dyDescent="0.25">
      <c r="A207">
        <v>88060484406</v>
      </c>
      <c r="B207" t="s">
        <v>20</v>
      </c>
      <c r="C207" t="s">
        <v>6</v>
      </c>
    </row>
    <row r="208" spans="1:3" x14ac:dyDescent="0.25">
      <c r="A208">
        <v>85012784393</v>
      </c>
      <c r="B208" t="s">
        <v>20</v>
      </c>
      <c r="C208" t="s">
        <v>6</v>
      </c>
    </row>
    <row r="209" spans="1:3" x14ac:dyDescent="0.25">
      <c r="A209">
        <v>94112166637</v>
      </c>
      <c r="B209" t="s">
        <v>12</v>
      </c>
      <c r="C209" t="s">
        <v>4</v>
      </c>
    </row>
    <row r="210" spans="1:3" x14ac:dyDescent="0.25">
      <c r="A210">
        <v>68091657019</v>
      </c>
      <c r="B210" t="s">
        <v>12</v>
      </c>
      <c r="C210" t="s">
        <v>4</v>
      </c>
    </row>
    <row r="211" spans="1:3" x14ac:dyDescent="0.25">
      <c r="A211">
        <v>54081341844</v>
      </c>
      <c r="B211" t="s">
        <v>14</v>
      </c>
      <c r="C211" t="s">
        <v>6</v>
      </c>
    </row>
    <row r="212" spans="1:3" x14ac:dyDescent="0.25">
      <c r="A212">
        <v>60012310953</v>
      </c>
      <c r="B212" t="s">
        <v>14</v>
      </c>
      <c r="C212" t="s">
        <v>4</v>
      </c>
    </row>
    <row r="213" spans="1:3" x14ac:dyDescent="0.25">
      <c r="A213">
        <v>61042978869</v>
      </c>
      <c r="B213" t="s">
        <v>14</v>
      </c>
      <c r="C213" t="s">
        <v>4</v>
      </c>
    </row>
    <row r="214" spans="1:3" x14ac:dyDescent="0.25">
      <c r="A214">
        <v>67122575465</v>
      </c>
      <c r="B214" t="s">
        <v>11</v>
      </c>
      <c r="C214" t="s">
        <v>4</v>
      </c>
    </row>
    <row r="215" spans="1:3" x14ac:dyDescent="0.25">
      <c r="A215">
        <v>85060561687</v>
      </c>
      <c r="B215" t="s">
        <v>5</v>
      </c>
      <c r="C215" t="s">
        <v>6</v>
      </c>
    </row>
    <row r="216" spans="1:3" x14ac:dyDescent="0.25">
      <c r="A216">
        <v>62030546646</v>
      </c>
      <c r="B216" t="s">
        <v>17</v>
      </c>
      <c r="C216" t="s">
        <v>6</v>
      </c>
    </row>
    <row r="217" spans="1:3" x14ac:dyDescent="0.25">
      <c r="A217">
        <v>87071650974</v>
      </c>
      <c r="B217" t="s">
        <v>9</v>
      </c>
      <c r="C217" t="s">
        <v>6</v>
      </c>
    </row>
    <row r="218" spans="1:3" x14ac:dyDescent="0.25">
      <c r="A218">
        <v>80051365079</v>
      </c>
      <c r="B218" t="s">
        <v>9</v>
      </c>
      <c r="C218" t="s">
        <v>6</v>
      </c>
    </row>
    <row r="219" spans="1:3" x14ac:dyDescent="0.25">
      <c r="A219">
        <v>63031207831</v>
      </c>
      <c r="B219" t="s">
        <v>9</v>
      </c>
      <c r="C219" t="s">
        <v>6</v>
      </c>
    </row>
    <row r="220" spans="1:3" x14ac:dyDescent="0.25">
      <c r="A220">
        <v>99112776026</v>
      </c>
      <c r="B220" t="s">
        <v>18</v>
      </c>
      <c r="C220" t="s">
        <v>4</v>
      </c>
    </row>
    <row r="221" spans="1:3" x14ac:dyDescent="0.25">
      <c r="A221">
        <v>90071387764</v>
      </c>
      <c r="B221" t="s">
        <v>12</v>
      </c>
      <c r="C221" t="s">
        <v>4</v>
      </c>
    </row>
    <row r="222" spans="1:3" x14ac:dyDescent="0.25">
      <c r="A222">
        <v>79100121607</v>
      </c>
      <c r="B222" t="s">
        <v>15</v>
      </c>
      <c r="C222" t="s">
        <v>6</v>
      </c>
    </row>
    <row r="223" spans="1:3" x14ac:dyDescent="0.25">
      <c r="A223">
        <v>67021697321</v>
      </c>
      <c r="B223" t="s">
        <v>8</v>
      </c>
      <c r="C223" t="s">
        <v>6</v>
      </c>
    </row>
    <row r="224" spans="1:3" x14ac:dyDescent="0.25">
      <c r="A224">
        <v>80122931244</v>
      </c>
      <c r="B224" t="s">
        <v>20</v>
      </c>
      <c r="C224" t="s">
        <v>4</v>
      </c>
    </row>
    <row r="225" spans="1:3" x14ac:dyDescent="0.25">
      <c r="A225">
        <v>68021561579</v>
      </c>
      <c r="B225" t="s">
        <v>7</v>
      </c>
      <c r="C225" t="s">
        <v>6</v>
      </c>
    </row>
    <row r="226" spans="1:3" x14ac:dyDescent="0.25">
      <c r="A226">
        <v>57051700113</v>
      </c>
      <c r="B226" t="s">
        <v>16</v>
      </c>
      <c r="C226" t="s">
        <v>4</v>
      </c>
    </row>
    <row r="227" spans="1:3" x14ac:dyDescent="0.25">
      <c r="A227">
        <v>96111212067</v>
      </c>
      <c r="B227" t="s">
        <v>11</v>
      </c>
      <c r="C227" t="s">
        <v>6</v>
      </c>
    </row>
    <row r="228" spans="1:3" x14ac:dyDescent="0.25">
      <c r="A228">
        <v>89031099317</v>
      </c>
      <c r="B228" t="s">
        <v>15</v>
      </c>
      <c r="C228" t="s">
        <v>6</v>
      </c>
    </row>
    <row r="229" spans="1:3" x14ac:dyDescent="0.25">
      <c r="A229">
        <v>82091382834</v>
      </c>
      <c r="B229" t="s">
        <v>19</v>
      </c>
      <c r="C229" t="s">
        <v>4</v>
      </c>
    </row>
    <row r="230" spans="1:3" x14ac:dyDescent="0.25">
      <c r="A230">
        <v>51122005161</v>
      </c>
      <c r="B230" t="s">
        <v>7</v>
      </c>
      <c r="C230" t="s">
        <v>4</v>
      </c>
    </row>
    <row r="231" spans="1:3" x14ac:dyDescent="0.25">
      <c r="A231">
        <v>65081827241</v>
      </c>
      <c r="B231" t="s">
        <v>9</v>
      </c>
      <c r="C231" t="s">
        <v>6</v>
      </c>
    </row>
    <row r="232" spans="1:3" x14ac:dyDescent="0.25">
      <c r="A232">
        <v>52073149353</v>
      </c>
      <c r="B232" t="s">
        <v>14</v>
      </c>
      <c r="C232" t="s">
        <v>4</v>
      </c>
    </row>
    <row r="233" spans="1:3" x14ac:dyDescent="0.25">
      <c r="A233">
        <v>52072768764</v>
      </c>
      <c r="B233" t="s">
        <v>8</v>
      </c>
      <c r="C233" t="s">
        <v>6</v>
      </c>
    </row>
    <row r="234" spans="1:3" x14ac:dyDescent="0.25">
      <c r="A234">
        <v>73050819755</v>
      </c>
      <c r="B234" t="s">
        <v>16</v>
      </c>
      <c r="C234" t="s">
        <v>4</v>
      </c>
    </row>
    <row r="235" spans="1:3" x14ac:dyDescent="0.25">
      <c r="A235">
        <v>61041842387</v>
      </c>
      <c r="B235" t="s">
        <v>19</v>
      </c>
      <c r="C235" t="s">
        <v>6</v>
      </c>
    </row>
    <row r="236" spans="1:3" x14ac:dyDescent="0.25">
      <c r="A236">
        <v>66072012686</v>
      </c>
      <c r="B236" t="s">
        <v>8</v>
      </c>
      <c r="C236" t="s">
        <v>4</v>
      </c>
    </row>
    <row r="237" spans="1:3" x14ac:dyDescent="0.25">
      <c r="A237">
        <v>52011513628</v>
      </c>
      <c r="B237" t="s">
        <v>3</v>
      </c>
      <c r="C237" t="s">
        <v>4</v>
      </c>
    </row>
    <row r="238" spans="1:3" x14ac:dyDescent="0.25">
      <c r="A238">
        <v>90030794936</v>
      </c>
      <c r="B238" t="s">
        <v>17</v>
      </c>
      <c r="C238" t="s">
        <v>6</v>
      </c>
    </row>
    <row r="239" spans="1:3" x14ac:dyDescent="0.25">
      <c r="A239">
        <v>79011981318</v>
      </c>
      <c r="B239" t="s">
        <v>18</v>
      </c>
      <c r="C239" t="s">
        <v>4</v>
      </c>
    </row>
    <row r="240" spans="1:3" x14ac:dyDescent="0.25">
      <c r="A240">
        <v>93082049658</v>
      </c>
      <c r="B240" t="s">
        <v>13</v>
      </c>
      <c r="C240" t="s">
        <v>4</v>
      </c>
    </row>
    <row r="241" spans="1:3" x14ac:dyDescent="0.25">
      <c r="A241">
        <v>95020539612</v>
      </c>
      <c r="B241" t="s">
        <v>16</v>
      </c>
      <c r="C241" t="s">
        <v>6</v>
      </c>
    </row>
    <row r="242" spans="1:3" x14ac:dyDescent="0.25">
      <c r="A242">
        <v>62121026899</v>
      </c>
      <c r="B242" t="s">
        <v>11</v>
      </c>
      <c r="C242" t="s">
        <v>4</v>
      </c>
    </row>
    <row r="243" spans="1:3" x14ac:dyDescent="0.25">
      <c r="A243">
        <v>98070529271</v>
      </c>
      <c r="B243" t="s">
        <v>8</v>
      </c>
      <c r="C243" t="s">
        <v>6</v>
      </c>
    </row>
    <row r="244" spans="1:3" x14ac:dyDescent="0.25">
      <c r="A244">
        <v>93030531536</v>
      </c>
      <c r="B244" t="s">
        <v>3</v>
      </c>
      <c r="C244" t="s">
        <v>4</v>
      </c>
    </row>
    <row r="245" spans="1:3" x14ac:dyDescent="0.25">
      <c r="A245">
        <v>89051997242</v>
      </c>
      <c r="B245" t="s">
        <v>15</v>
      </c>
      <c r="C245" t="s">
        <v>6</v>
      </c>
    </row>
    <row r="246" spans="1:3" x14ac:dyDescent="0.25">
      <c r="A246">
        <v>98031592126</v>
      </c>
      <c r="B246" t="s">
        <v>11</v>
      </c>
      <c r="C246" t="s">
        <v>6</v>
      </c>
    </row>
    <row r="247" spans="1:3" x14ac:dyDescent="0.25">
      <c r="A247">
        <v>96032495400</v>
      </c>
      <c r="B247" t="s">
        <v>9</v>
      </c>
      <c r="C247" t="s">
        <v>4</v>
      </c>
    </row>
    <row r="248" spans="1:3" x14ac:dyDescent="0.25">
      <c r="A248">
        <v>76060407716</v>
      </c>
      <c r="B248" t="s">
        <v>12</v>
      </c>
      <c r="C248" t="s">
        <v>4</v>
      </c>
    </row>
    <row r="249" spans="1:3" x14ac:dyDescent="0.25">
      <c r="A249">
        <v>86102363786</v>
      </c>
      <c r="B249" t="s">
        <v>7</v>
      </c>
      <c r="C249" t="s">
        <v>6</v>
      </c>
    </row>
    <row r="250" spans="1:3" x14ac:dyDescent="0.25">
      <c r="A250">
        <v>50011021644</v>
      </c>
      <c r="B250" t="s">
        <v>19</v>
      </c>
      <c r="C250" t="s">
        <v>6</v>
      </c>
    </row>
    <row r="251" spans="1:3" x14ac:dyDescent="0.25">
      <c r="A251">
        <v>79020918057</v>
      </c>
      <c r="B251" t="s">
        <v>11</v>
      </c>
      <c r="C251" t="s">
        <v>6</v>
      </c>
    </row>
    <row r="252" spans="1:3" x14ac:dyDescent="0.25">
      <c r="A252">
        <v>78022471528</v>
      </c>
      <c r="B252" t="s">
        <v>13</v>
      </c>
      <c r="C252" t="s">
        <v>6</v>
      </c>
    </row>
    <row r="253" spans="1:3" x14ac:dyDescent="0.25">
      <c r="A253">
        <v>63121010668</v>
      </c>
      <c r="B253" t="s">
        <v>14</v>
      </c>
      <c r="C253" t="s">
        <v>4</v>
      </c>
    </row>
    <row r="254" spans="1:3" x14ac:dyDescent="0.25">
      <c r="A254">
        <v>56080833942</v>
      </c>
      <c r="B254" t="s">
        <v>19</v>
      </c>
      <c r="C254" t="s">
        <v>4</v>
      </c>
    </row>
    <row r="255" spans="1:3" x14ac:dyDescent="0.25">
      <c r="A255">
        <v>66101082660</v>
      </c>
      <c r="B255" t="s">
        <v>17</v>
      </c>
      <c r="C255" t="s">
        <v>4</v>
      </c>
    </row>
    <row r="256" spans="1:3" x14ac:dyDescent="0.25">
      <c r="A256">
        <v>65052373250</v>
      </c>
      <c r="B256" t="s">
        <v>13</v>
      </c>
      <c r="C256" t="s">
        <v>6</v>
      </c>
    </row>
    <row r="257" spans="1:3" x14ac:dyDescent="0.25">
      <c r="A257">
        <v>54061841533</v>
      </c>
      <c r="B257" t="s">
        <v>9</v>
      </c>
      <c r="C257" t="s">
        <v>6</v>
      </c>
    </row>
    <row r="258" spans="1:3" x14ac:dyDescent="0.25">
      <c r="A258">
        <v>90042297346</v>
      </c>
      <c r="B258" t="s">
        <v>8</v>
      </c>
      <c r="C258" t="s">
        <v>6</v>
      </c>
    </row>
    <row r="259" spans="1:3" x14ac:dyDescent="0.25">
      <c r="A259">
        <v>58012291873</v>
      </c>
      <c r="B259" t="s">
        <v>7</v>
      </c>
      <c r="C259" t="s">
        <v>6</v>
      </c>
    </row>
    <row r="260" spans="1:3" x14ac:dyDescent="0.25">
      <c r="A260">
        <v>88020290896</v>
      </c>
      <c r="B260" t="s">
        <v>15</v>
      </c>
      <c r="C260" t="s">
        <v>4</v>
      </c>
    </row>
    <row r="261" spans="1:3" x14ac:dyDescent="0.25">
      <c r="A261">
        <v>74072307837</v>
      </c>
      <c r="B261" t="s">
        <v>19</v>
      </c>
      <c r="C261" t="s">
        <v>6</v>
      </c>
    </row>
    <row r="262" spans="1:3" x14ac:dyDescent="0.25">
      <c r="A262">
        <v>72122724900</v>
      </c>
      <c r="B262" t="s">
        <v>19</v>
      </c>
      <c r="C262" t="s">
        <v>6</v>
      </c>
    </row>
    <row r="263" spans="1:3" x14ac:dyDescent="0.25">
      <c r="A263">
        <v>76081823199</v>
      </c>
      <c r="B263" t="s">
        <v>16</v>
      </c>
      <c r="C263" t="s">
        <v>6</v>
      </c>
    </row>
    <row r="264" spans="1:3" x14ac:dyDescent="0.25">
      <c r="A264">
        <v>79042502241</v>
      </c>
      <c r="B264" t="s">
        <v>10</v>
      </c>
      <c r="C264" t="s">
        <v>6</v>
      </c>
    </row>
    <row r="265" spans="1:3" x14ac:dyDescent="0.25">
      <c r="A265">
        <v>57071748146</v>
      </c>
      <c r="B265" t="s">
        <v>7</v>
      </c>
      <c r="C265" t="s">
        <v>4</v>
      </c>
    </row>
    <row r="266" spans="1:3" x14ac:dyDescent="0.25">
      <c r="A266">
        <v>69042830493</v>
      </c>
      <c r="B266" t="s">
        <v>5</v>
      </c>
      <c r="C266" t="s">
        <v>4</v>
      </c>
    </row>
    <row r="267" spans="1:3" x14ac:dyDescent="0.25">
      <c r="A267">
        <v>51122805709</v>
      </c>
      <c r="B267" t="s">
        <v>9</v>
      </c>
      <c r="C267" t="s">
        <v>4</v>
      </c>
    </row>
    <row r="268" spans="1:3" x14ac:dyDescent="0.25">
      <c r="A268">
        <v>60100601215</v>
      </c>
      <c r="B268" t="s">
        <v>14</v>
      </c>
      <c r="C268" t="s">
        <v>6</v>
      </c>
    </row>
    <row r="269" spans="1:3" x14ac:dyDescent="0.25">
      <c r="A269">
        <v>71032673014</v>
      </c>
      <c r="B269" t="s">
        <v>15</v>
      </c>
      <c r="C269" t="s">
        <v>6</v>
      </c>
    </row>
    <row r="270" spans="1:3" x14ac:dyDescent="0.25">
      <c r="A270">
        <v>65020176692</v>
      </c>
      <c r="B270" t="s">
        <v>8</v>
      </c>
      <c r="C270" t="s">
        <v>4</v>
      </c>
    </row>
    <row r="271" spans="1:3" x14ac:dyDescent="0.25">
      <c r="A271">
        <v>96030717845</v>
      </c>
      <c r="B271" t="s">
        <v>11</v>
      </c>
      <c r="C271" t="s">
        <v>4</v>
      </c>
    </row>
    <row r="272" spans="1:3" x14ac:dyDescent="0.25">
      <c r="A272">
        <v>58072435114</v>
      </c>
      <c r="B272" t="s">
        <v>11</v>
      </c>
      <c r="C272" t="s">
        <v>6</v>
      </c>
    </row>
    <row r="273" spans="1:3" x14ac:dyDescent="0.25">
      <c r="A273">
        <v>76121983603</v>
      </c>
      <c r="B273" t="s">
        <v>19</v>
      </c>
      <c r="C273" t="s">
        <v>6</v>
      </c>
    </row>
    <row r="274" spans="1:3" x14ac:dyDescent="0.25">
      <c r="A274">
        <v>63102281616</v>
      </c>
      <c r="B274" t="s">
        <v>17</v>
      </c>
      <c r="C274" t="s">
        <v>4</v>
      </c>
    </row>
    <row r="275" spans="1:3" x14ac:dyDescent="0.25">
      <c r="A275">
        <v>60102044179</v>
      </c>
      <c r="B275" t="s">
        <v>15</v>
      </c>
      <c r="C275" t="s">
        <v>6</v>
      </c>
    </row>
    <row r="276" spans="1:3" x14ac:dyDescent="0.25">
      <c r="A276">
        <v>79110638474</v>
      </c>
      <c r="B276" t="s">
        <v>18</v>
      </c>
      <c r="C276" t="s">
        <v>4</v>
      </c>
    </row>
    <row r="277" spans="1:3" x14ac:dyDescent="0.25">
      <c r="A277">
        <v>56031331390</v>
      </c>
      <c r="B277" t="s">
        <v>8</v>
      </c>
      <c r="C277" t="s">
        <v>4</v>
      </c>
    </row>
    <row r="278" spans="1:3" x14ac:dyDescent="0.25">
      <c r="A278">
        <v>88031966519</v>
      </c>
      <c r="B278" t="s">
        <v>8</v>
      </c>
      <c r="C278" t="s">
        <v>6</v>
      </c>
    </row>
    <row r="279" spans="1:3" x14ac:dyDescent="0.25">
      <c r="A279">
        <v>60100214787</v>
      </c>
      <c r="B279" t="s">
        <v>16</v>
      </c>
      <c r="C279" t="s">
        <v>4</v>
      </c>
    </row>
    <row r="280" spans="1:3" x14ac:dyDescent="0.25">
      <c r="A280">
        <v>70080400450</v>
      </c>
      <c r="B280" t="s">
        <v>16</v>
      </c>
      <c r="C280" t="s">
        <v>6</v>
      </c>
    </row>
    <row r="281" spans="1:3" x14ac:dyDescent="0.25">
      <c r="A281">
        <v>71111962853</v>
      </c>
      <c r="B281" t="s">
        <v>20</v>
      </c>
      <c r="C281" t="s">
        <v>4</v>
      </c>
    </row>
    <row r="282" spans="1:3" x14ac:dyDescent="0.25">
      <c r="A282">
        <v>77041828005</v>
      </c>
      <c r="B282" t="s">
        <v>16</v>
      </c>
      <c r="C282" t="s">
        <v>4</v>
      </c>
    </row>
    <row r="283" spans="1:3" x14ac:dyDescent="0.25">
      <c r="A283">
        <v>61082401051</v>
      </c>
      <c r="B283" t="s">
        <v>16</v>
      </c>
      <c r="C283" t="s">
        <v>6</v>
      </c>
    </row>
    <row r="284" spans="1:3" x14ac:dyDescent="0.25">
      <c r="A284">
        <v>53080346768</v>
      </c>
      <c r="B284" t="s">
        <v>13</v>
      </c>
      <c r="C284" t="s">
        <v>4</v>
      </c>
    </row>
    <row r="285" spans="1:3" x14ac:dyDescent="0.25">
      <c r="A285">
        <v>81092123347</v>
      </c>
      <c r="B285" t="s">
        <v>20</v>
      </c>
      <c r="C285" t="s">
        <v>6</v>
      </c>
    </row>
    <row r="286" spans="1:3" x14ac:dyDescent="0.25">
      <c r="A286">
        <v>83102006475</v>
      </c>
      <c r="B286" t="s">
        <v>13</v>
      </c>
      <c r="C286" t="s">
        <v>4</v>
      </c>
    </row>
    <row r="287" spans="1:3" x14ac:dyDescent="0.25">
      <c r="A287">
        <v>57080789431</v>
      </c>
      <c r="B287" t="s">
        <v>10</v>
      </c>
      <c r="C287" t="s">
        <v>6</v>
      </c>
    </row>
    <row r="288" spans="1:3" x14ac:dyDescent="0.25">
      <c r="A288">
        <v>96092868033</v>
      </c>
      <c r="B288" t="s">
        <v>17</v>
      </c>
      <c r="C288" t="s">
        <v>4</v>
      </c>
    </row>
    <row r="289" spans="1:3" x14ac:dyDescent="0.25">
      <c r="A289">
        <v>61040869008</v>
      </c>
      <c r="B289" t="s">
        <v>18</v>
      </c>
      <c r="C289" t="s">
        <v>4</v>
      </c>
    </row>
    <row r="290" spans="1:3" x14ac:dyDescent="0.25">
      <c r="A290">
        <v>56112420867</v>
      </c>
      <c r="B290" t="s">
        <v>13</v>
      </c>
      <c r="C290" t="s">
        <v>6</v>
      </c>
    </row>
    <row r="291" spans="1:3" x14ac:dyDescent="0.25">
      <c r="A291">
        <v>73033131926</v>
      </c>
      <c r="B291" t="s">
        <v>7</v>
      </c>
      <c r="C291" t="s">
        <v>6</v>
      </c>
    </row>
    <row r="292" spans="1:3" x14ac:dyDescent="0.25">
      <c r="A292">
        <v>59071140867</v>
      </c>
      <c r="B292" t="s">
        <v>16</v>
      </c>
      <c r="C292" t="s">
        <v>4</v>
      </c>
    </row>
    <row r="293" spans="1:3" x14ac:dyDescent="0.25">
      <c r="A293">
        <v>53062600392</v>
      </c>
      <c r="B293" t="s">
        <v>11</v>
      </c>
      <c r="C293" t="s">
        <v>6</v>
      </c>
    </row>
    <row r="294" spans="1:3" x14ac:dyDescent="0.25">
      <c r="A294">
        <v>94091797482</v>
      </c>
      <c r="B294" t="s">
        <v>5</v>
      </c>
      <c r="C294" t="s">
        <v>6</v>
      </c>
    </row>
    <row r="295" spans="1:3" x14ac:dyDescent="0.25">
      <c r="A295">
        <v>66082438007</v>
      </c>
      <c r="B295" t="s">
        <v>18</v>
      </c>
      <c r="C295" t="s">
        <v>6</v>
      </c>
    </row>
    <row r="296" spans="1:3" x14ac:dyDescent="0.25">
      <c r="A296">
        <v>70120434153</v>
      </c>
      <c r="B296" t="s">
        <v>18</v>
      </c>
      <c r="C296" t="s">
        <v>4</v>
      </c>
    </row>
    <row r="297" spans="1:3" x14ac:dyDescent="0.25">
      <c r="A297">
        <v>99072313297</v>
      </c>
      <c r="B297" t="s">
        <v>17</v>
      </c>
      <c r="C297" t="s">
        <v>6</v>
      </c>
    </row>
    <row r="298" spans="1:3" x14ac:dyDescent="0.25">
      <c r="A298">
        <v>52032165031</v>
      </c>
      <c r="B298" t="s">
        <v>17</v>
      </c>
      <c r="C298" t="s">
        <v>4</v>
      </c>
    </row>
    <row r="299" spans="1:3" x14ac:dyDescent="0.25">
      <c r="A299">
        <v>89101149319</v>
      </c>
      <c r="B299" t="s">
        <v>3</v>
      </c>
      <c r="C299" t="s">
        <v>6</v>
      </c>
    </row>
    <row r="300" spans="1:3" x14ac:dyDescent="0.25">
      <c r="A300">
        <v>79083070972</v>
      </c>
      <c r="B300" t="s">
        <v>14</v>
      </c>
      <c r="C300" t="s">
        <v>6</v>
      </c>
    </row>
    <row r="301" spans="1:3" x14ac:dyDescent="0.25">
      <c r="A301">
        <v>93021544752</v>
      </c>
      <c r="B301" t="s">
        <v>5</v>
      </c>
      <c r="C301" t="s">
        <v>4</v>
      </c>
    </row>
    <row r="302" spans="1:3" x14ac:dyDescent="0.25">
      <c r="A302">
        <v>92112431197</v>
      </c>
      <c r="B302" t="s">
        <v>17</v>
      </c>
      <c r="C302" t="s">
        <v>4</v>
      </c>
    </row>
    <row r="303" spans="1:3" x14ac:dyDescent="0.25">
      <c r="A303">
        <v>51121146926</v>
      </c>
      <c r="B303" t="s">
        <v>20</v>
      </c>
      <c r="C303" t="s">
        <v>6</v>
      </c>
    </row>
    <row r="304" spans="1:3" x14ac:dyDescent="0.25">
      <c r="A304">
        <v>85111499028</v>
      </c>
      <c r="B304" t="s">
        <v>15</v>
      </c>
      <c r="C304" t="s">
        <v>6</v>
      </c>
    </row>
    <row r="305" spans="1:3" x14ac:dyDescent="0.25">
      <c r="A305">
        <v>98012042048</v>
      </c>
      <c r="B305" t="s">
        <v>20</v>
      </c>
      <c r="C305" t="s">
        <v>4</v>
      </c>
    </row>
    <row r="306" spans="1:3" x14ac:dyDescent="0.25">
      <c r="A306">
        <v>72071093829</v>
      </c>
      <c r="B306" t="s">
        <v>15</v>
      </c>
      <c r="C306" t="s">
        <v>4</v>
      </c>
    </row>
    <row r="307" spans="1:3" x14ac:dyDescent="0.25">
      <c r="A307">
        <v>69040958571</v>
      </c>
      <c r="B307" t="s">
        <v>10</v>
      </c>
      <c r="C307" t="s">
        <v>4</v>
      </c>
    </row>
    <row r="308" spans="1:3" x14ac:dyDescent="0.25">
      <c r="A308">
        <v>69090471617</v>
      </c>
      <c r="B308" t="s">
        <v>5</v>
      </c>
      <c r="C308" t="s">
        <v>4</v>
      </c>
    </row>
    <row r="309" spans="1:3" x14ac:dyDescent="0.25">
      <c r="A309">
        <v>50062151338</v>
      </c>
      <c r="B309" t="s">
        <v>19</v>
      </c>
      <c r="C309" t="s">
        <v>4</v>
      </c>
    </row>
    <row r="310" spans="1:3" x14ac:dyDescent="0.25">
      <c r="A310">
        <v>96123037605</v>
      </c>
      <c r="B310" t="s">
        <v>14</v>
      </c>
      <c r="C310" t="s">
        <v>6</v>
      </c>
    </row>
    <row r="311" spans="1:3" x14ac:dyDescent="0.25">
      <c r="A311">
        <v>50040731114</v>
      </c>
      <c r="B311" t="s">
        <v>11</v>
      </c>
      <c r="C311" t="s">
        <v>4</v>
      </c>
    </row>
    <row r="312" spans="1:3" x14ac:dyDescent="0.25">
      <c r="A312">
        <v>86063067804</v>
      </c>
      <c r="B312" t="s">
        <v>19</v>
      </c>
      <c r="C312" t="s">
        <v>4</v>
      </c>
    </row>
    <row r="313" spans="1:3" x14ac:dyDescent="0.25">
      <c r="A313">
        <v>64070523768</v>
      </c>
      <c r="B313" t="s">
        <v>17</v>
      </c>
      <c r="C313" t="s">
        <v>4</v>
      </c>
    </row>
    <row r="314" spans="1:3" x14ac:dyDescent="0.25">
      <c r="A314">
        <v>61111487140</v>
      </c>
      <c r="B314" t="s">
        <v>12</v>
      </c>
      <c r="C314" t="s">
        <v>4</v>
      </c>
    </row>
    <row r="315" spans="1:3" x14ac:dyDescent="0.25">
      <c r="A315">
        <v>55081402366</v>
      </c>
      <c r="B315" t="s">
        <v>5</v>
      </c>
      <c r="C315" t="s">
        <v>6</v>
      </c>
    </row>
    <row r="316" spans="1:3" x14ac:dyDescent="0.25">
      <c r="A316">
        <v>68101484688</v>
      </c>
      <c r="B316" t="s">
        <v>5</v>
      </c>
      <c r="C316" t="s">
        <v>6</v>
      </c>
    </row>
    <row r="317" spans="1:3" x14ac:dyDescent="0.25">
      <c r="A317">
        <v>96072101624</v>
      </c>
      <c r="B317" t="s">
        <v>17</v>
      </c>
      <c r="C317" t="s">
        <v>6</v>
      </c>
    </row>
    <row r="318" spans="1:3" x14ac:dyDescent="0.25">
      <c r="A318">
        <v>53111372836</v>
      </c>
      <c r="B318" t="s">
        <v>8</v>
      </c>
      <c r="C318" t="s">
        <v>6</v>
      </c>
    </row>
    <row r="319" spans="1:3" x14ac:dyDescent="0.25">
      <c r="A319">
        <v>66050423060</v>
      </c>
      <c r="B319" t="s">
        <v>5</v>
      </c>
      <c r="C319" t="s">
        <v>6</v>
      </c>
    </row>
    <row r="320" spans="1:3" x14ac:dyDescent="0.25">
      <c r="A320">
        <v>50112572104</v>
      </c>
      <c r="B320" t="s">
        <v>8</v>
      </c>
      <c r="C320" t="s">
        <v>6</v>
      </c>
    </row>
    <row r="321" spans="1:3" x14ac:dyDescent="0.25">
      <c r="A321">
        <v>66041509607</v>
      </c>
      <c r="B321" t="s">
        <v>17</v>
      </c>
      <c r="C321" t="s">
        <v>4</v>
      </c>
    </row>
    <row r="322" spans="1:3" x14ac:dyDescent="0.25">
      <c r="A322">
        <v>54111160315</v>
      </c>
      <c r="B322" t="s">
        <v>9</v>
      </c>
      <c r="C322" t="s">
        <v>4</v>
      </c>
    </row>
    <row r="323" spans="1:3" x14ac:dyDescent="0.25">
      <c r="A323">
        <v>56040228672</v>
      </c>
      <c r="B323" t="s">
        <v>14</v>
      </c>
      <c r="C323" t="s">
        <v>6</v>
      </c>
    </row>
    <row r="324" spans="1:3" x14ac:dyDescent="0.25">
      <c r="A324">
        <v>78111431918</v>
      </c>
      <c r="B324" t="s">
        <v>11</v>
      </c>
      <c r="C324" t="s">
        <v>4</v>
      </c>
    </row>
    <row r="325" spans="1:3" x14ac:dyDescent="0.25">
      <c r="A325">
        <v>73070626456</v>
      </c>
      <c r="B325" t="s">
        <v>7</v>
      </c>
      <c r="C325" t="s">
        <v>6</v>
      </c>
    </row>
    <row r="326" spans="1:3" x14ac:dyDescent="0.25">
      <c r="A326">
        <v>61042433348</v>
      </c>
      <c r="B326" t="s">
        <v>14</v>
      </c>
      <c r="C326" t="s">
        <v>6</v>
      </c>
    </row>
    <row r="327" spans="1:3" x14ac:dyDescent="0.25">
      <c r="A327">
        <v>81050869595</v>
      </c>
      <c r="B327" t="s">
        <v>19</v>
      </c>
      <c r="C327" t="s">
        <v>4</v>
      </c>
    </row>
    <row r="328" spans="1:3" x14ac:dyDescent="0.25">
      <c r="A328">
        <v>58091890613</v>
      </c>
      <c r="B328" t="s">
        <v>9</v>
      </c>
      <c r="C328" t="s">
        <v>4</v>
      </c>
    </row>
    <row r="329" spans="1:3" x14ac:dyDescent="0.25">
      <c r="A329">
        <v>66082232755</v>
      </c>
      <c r="B329" t="s">
        <v>5</v>
      </c>
      <c r="C329" t="s">
        <v>6</v>
      </c>
    </row>
    <row r="330" spans="1:3" x14ac:dyDescent="0.25">
      <c r="A330">
        <v>69020508231</v>
      </c>
      <c r="B330" t="s">
        <v>17</v>
      </c>
      <c r="C330" t="s">
        <v>6</v>
      </c>
    </row>
    <row r="331" spans="1:3" x14ac:dyDescent="0.25">
      <c r="A331">
        <v>57111407330</v>
      </c>
      <c r="B331" t="s">
        <v>10</v>
      </c>
      <c r="C331" t="s">
        <v>4</v>
      </c>
    </row>
    <row r="332" spans="1:3" x14ac:dyDescent="0.25">
      <c r="A332">
        <v>52110758050</v>
      </c>
      <c r="B332" t="s">
        <v>12</v>
      </c>
      <c r="C332" t="s">
        <v>4</v>
      </c>
    </row>
    <row r="333" spans="1:3" x14ac:dyDescent="0.25">
      <c r="A333">
        <v>93011246172</v>
      </c>
      <c r="B333" t="s">
        <v>19</v>
      </c>
      <c r="C333" t="s">
        <v>4</v>
      </c>
    </row>
    <row r="334" spans="1:3" x14ac:dyDescent="0.25">
      <c r="A334">
        <v>96121936753</v>
      </c>
      <c r="B334" t="s">
        <v>12</v>
      </c>
      <c r="C334" t="s">
        <v>6</v>
      </c>
    </row>
    <row r="335" spans="1:3" x14ac:dyDescent="0.25">
      <c r="A335">
        <v>79061604939</v>
      </c>
      <c r="B335" t="s">
        <v>17</v>
      </c>
      <c r="C335" t="s">
        <v>6</v>
      </c>
    </row>
    <row r="336" spans="1:3" x14ac:dyDescent="0.25">
      <c r="A336">
        <v>90082985672</v>
      </c>
      <c r="B336" t="s">
        <v>5</v>
      </c>
      <c r="C336" t="s">
        <v>4</v>
      </c>
    </row>
    <row r="337" spans="1:3" x14ac:dyDescent="0.25">
      <c r="A337">
        <v>86010806854</v>
      </c>
      <c r="B337" t="s">
        <v>19</v>
      </c>
      <c r="C337" t="s">
        <v>4</v>
      </c>
    </row>
    <row r="338" spans="1:3" x14ac:dyDescent="0.25">
      <c r="A338">
        <v>60051494601</v>
      </c>
      <c r="B338" t="s">
        <v>13</v>
      </c>
      <c r="C338" t="s">
        <v>4</v>
      </c>
    </row>
    <row r="339" spans="1:3" x14ac:dyDescent="0.25">
      <c r="A339">
        <v>78012615541</v>
      </c>
      <c r="B339" t="s">
        <v>13</v>
      </c>
      <c r="C339" t="s">
        <v>6</v>
      </c>
    </row>
    <row r="340" spans="1:3" x14ac:dyDescent="0.25">
      <c r="A340">
        <v>85120295381</v>
      </c>
      <c r="B340" t="s">
        <v>20</v>
      </c>
      <c r="C340" t="s">
        <v>6</v>
      </c>
    </row>
    <row r="341" spans="1:3" x14ac:dyDescent="0.25">
      <c r="A341">
        <v>52042558504</v>
      </c>
      <c r="B341" t="s">
        <v>19</v>
      </c>
      <c r="C341" t="s">
        <v>4</v>
      </c>
    </row>
    <row r="342" spans="1:3" x14ac:dyDescent="0.25">
      <c r="A342">
        <v>60091893541</v>
      </c>
      <c r="B342" t="s">
        <v>10</v>
      </c>
      <c r="C342" t="s">
        <v>4</v>
      </c>
    </row>
    <row r="343" spans="1:3" x14ac:dyDescent="0.25">
      <c r="A343">
        <v>80021593459</v>
      </c>
      <c r="B343" t="s">
        <v>10</v>
      </c>
      <c r="C343" t="s">
        <v>4</v>
      </c>
    </row>
    <row r="344" spans="1:3" x14ac:dyDescent="0.25">
      <c r="A344">
        <v>62011939184</v>
      </c>
      <c r="B344" t="s">
        <v>10</v>
      </c>
      <c r="C344" t="s">
        <v>6</v>
      </c>
    </row>
    <row r="345" spans="1:3" x14ac:dyDescent="0.25">
      <c r="A345">
        <v>78092814382</v>
      </c>
      <c r="B345" t="s">
        <v>19</v>
      </c>
      <c r="C345" t="s">
        <v>4</v>
      </c>
    </row>
    <row r="346" spans="1:3" x14ac:dyDescent="0.25">
      <c r="A346">
        <v>69060539204</v>
      </c>
      <c r="B346" t="s">
        <v>3</v>
      </c>
      <c r="C346" t="s">
        <v>4</v>
      </c>
    </row>
    <row r="347" spans="1:3" x14ac:dyDescent="0.25">
      <c r="A347">
        <v>54012029489</v>
      </c>
      <c r="B347" t="s">
        <v>13</v>
      </c>
      <c r="C347" t="s">
        <v>4</v>
      </c>
    </row>
    <row r="348" spans="1:3" x14ac:dyDescent="0.25">
      <c r="A348">
        <v>71120775567</v>
      </c>
      <c r="B348" t="s">
        <v>11</v>
      </c>
      <c r="C348" t="s">
        <v>6</v>
      </c>
    </row>
    <row r="349" spans="1:3" x14ac:dyDescent="0.25">
      <c r="A349">
        <v>97082550396</v>
      </c>
      <c r="B349" t="s">
        <v>13</v>
      </c>
      <c r="C349" t="s">
        <v>4</v>
      </c>
    </row>
    <row r="350" spans="1:3" x14ac:dyDescent="0.25">
      <c r="A350">
        <v>83092045281</v>
      </c>
      <c r="B350" t="s">
        <v>16</v>
      </c>
      <c r="C350" t="s">
        <v>4</v>
      </c>
    </row>
    <row r="351" spans="1:3" x14ac:dyDescent="0.25">
      <c r="A351">
        <v>63011212011</v>
      </c>
      <c r="B351" t="s">
        <v>19</v>
      </c>
      <c r="C351" t="s">
        <v>6</v>
      </c>
    </row>
    <row r="352" spans="1:3" x14ac:dyDescent="0.25">
      <c r="A352">
        <v>55040378486</v>
      </c>
      <c r="B352" t="s">
        <v>17</v>
      </c>
      <c r="C352" t="s">
        <v>4</v>
      </c>
    </row>
    <row r="353" spans="1:3" x14ac:dyDescent="0.25">
      <c r="A353">
        <v>93042345873</v>
      </c>
      <c r="B353" t="s">
        <v>11</v>
      </c>
      <c r="C353" t="s">
        <v>6</v>
      </c>
    </row>
    <row r="354" spans="1:3" x14ac:dyDescent="0.25">
      <c r="A354">
        <v>54050436032</v>
      </c>
      <c r="B354" t="s">
        <v>7</v>
      </c>
      <c r="C354" t="s">
        <v>4</v>
      </c>
    </row>
    <row r="355" spans="1:3" x14ac:dyDescent="0.25">
      <c r="A355">
        <v>87110483314</v>
      </c>
      <c r="B355" t="s">
        <v>20</v>
      </c>
      <c r="C355" t="s">
        <v>6</v>
      </c>
    </row>
    <row r="356" spans="1:3" x14ac:dyDescent="0.25">
      <c r="A356">
        <v>56100225593</v>
      </c>
      <c r="B356" t="s">
        <v>18</v>
      </c>
      <c r="C356" t="s">
        <v>6</v>
      </c>
    </row>
    <row r="357" spans="1:3" x14ac:dyDescent="0.25">
      <c r="A357">
        <v>87081751737</v>
      </c>
      <c r="B357" t="s">
        <v>19</v>
      </c>
      <c r="C357" t="s">
        <v>4</v>
      </c>
    </row>
    <row r="358" spans="1:3" x14ac:dyDescent="0.25">
      <c r="A358">
        <v>65030177359</v>
      </c>
      <c r="B358" t="s">
        <v>19</v>
      </c>
      <c r="C358" t="s">
        <v>4</v>
      </c>
    </row>
    <row r="359" spans="1:3" x14ac:dyDescent="0.25">
      <c r="A359">
        <v>98101496192</v>
      </c>
      <c r="B359" t="s">
        <v>12</v>
      </c>
      <c r="C359" t="s">
        <v>6</v>
      </c>
    </row>
    <row r="360" spans="1:3" x14ac:dyDescent="0.25">
      <c r="A360">
        <v>81071437597</v>
      </c>
      <c r="B360" t="s">
        <v>16</v>
      </c>
      <c r="C360" t="s">
        <v>4</v>
      </c>
    </row>
    <row r="361" spans="1:3" x14ac:dyDescent="0.25">
      <c r="A361">
        <v>82042883285</v>
      </c>
      <c r="B361" t="s">
        <v>19</v>
      </c>
      <c r="C361" t="s">
        <v>4</v>
      </c>
    </row>
    <row r="362" spans="1:3" x14ac:dyDescent="0.25">
      <c r="A362">
        <v>76100518516</v>
      </c>
      <c r="B362" t="s">
        <v>16</v>
      </c>
      <c r="C362" t="s">
        <v>4</v>
      </c>
    </row>
    <row r="363" spans="1:3" x14ac:dyDescent="0.25">
      <c r="A363">
        <v>76021655411</v>
      </c>
      <c r="B363" t="s">
        <v>12</v>
      </c>
      <c r="C363" t="s">
        <v>6</v>
      </c>
    </row>
    <row r="364" spans="1:3" x14ac:dyDescent="0.25">
      <c r="A364">
        <v>99083108912</v>
      </c>
      <c r="B364" t="s">
        <v>15</v>
      </c>
      <c r="C364" t="s">
        <v>6</v>
      </c>
    </row>
    <row r="365" spans="1:3" x14ac:dyDescent="0.25">
      <c r="A365">
        <v>53041446074</v>
      </c>
      <c r="B365" t="s">
        <v>5</v>
      </c>
      <c r="C365" t="s">
        <v>6</v>
      </c>
    </row>
    <row r="366" spans="1:3" x14ac:dyDescent="0.25">
      <c r="A366">
        <v>82040651244</v>
      </c>
      <c r="B366" t="s">
        <v>19</v>
      </c>
      <c r="C366" t="s">
        <v>4</v>
      </c>
    </row>
    <row r="367" spans="1:3" x14ac:dyDescent="0.25">
      <c r="A367">
        <v>98062819672</v>
      </c>
      <c r="B367" t="s">
        <v>16</v>
      </c>
      <c r="C367" t="s">
        <v>4</v>
      </c>
    </row>
    <row r="368" spans="1:3" x14ac:dyDescent="0.25">
      <c r="A368">
        <v>71082464877</v>
      </c>
      <c r="B368" t="s">
        <v>12</v>
      </c>
      <c r="C368" t="s">
        <v>4</v>
      </c>
    </row>
    <row r="369" spans="1:3" x14ac:dyDescent="0.25">
      <c r="A369">
        <v>98121450028</v>
      </c>
      <c r="B369" t="s">
        <v>12</v>
      </c>
      <c r="C369" t="s">
        <v>4</v>
      </c>
    </row>
    <row r="370" spans="1:3" x14ac:dyDescent="0.25">
      <c r="A370">
        <v>68111216570</v>
      </c>
      <c r="B370" t="s">
        <v>10</v>
      </c>
      <c r="C370" t="s">
        <v>4</v>
      </c>
    </row>
    <row r="371" spans="1:3" x14ac:dyDescent="0.25">
      <c r="A371">
        <v>96112579475</v>
      </c>
      <c r="B371" t="s">
        <v>9</v>
      </c>
      <c r="C371" t="s">
        <v>6</v>
      </c>
    </row>
    <row r="372" spans="1:3" x14ac:dyDescent="0.25">
      <c r="A372">
        <v>62062966269</v>
      </c>
      <c r="B372" t="s">
        <v>7</v>
      </c>
      <c r="C372" t="s">
        <v>4</v>
      </c>
    </row>
    <row r="373" spans="1:3" x14ac:dyDescent="0.25">
      <c r="A373">
        <v>98012031044</v>
      </c>
      <c r="B373" t="s">
        <v>12</v>
      </c>
      <c r="C373" t="s">
        <v>4</v>
      </c>
    </row>
    <row r="374" spans="1:3" x14ac:dyDescent="0.25">
      <c r="A374">
        <v>81061664770</v>
      </c>
      <c r="B374" t="s">
        <v>7</v>
      </c>
      <c r="C374" t="s">
        <v>6</v>
      </c>
    </row>
    <row r="375" spans="1:3" x14ac:dyDescent="0.25">
      <c r="A375">
        <v>71092819494</v>
      </c>
      <c r="B375" t="s">
        <v>14</v>
      </c>
      <c r="C375" t="s">
        <v>6</v>
      </c>
    </row>
    <row r="376" spans="1:3" x14ac:dyDescent="0.25">
      <c r="A376">
        <v>86121687339</v>
      </c>
      <c r="B376" t="s">
        <v>12</v>
      </c>
      <c r="C376" t="s">
        <v>6</v>
      </c>
    </row>
    <row r="377" spans="1:3" x14ac:dyDescent="0.25">
      <c r="A377">
        <v>57121694261</v>
      </c>
      <c r="B377" t="s">
        <v>18</v>
      </c>
      <c r="C377" t="s">
        <v>4</v>
      </c>
    </row>
    <row r="378" spans="1:3" x14ac:dyDescent="0.25">
      <c r="A378">
        <v>60020736888</v>
      </c>
      <c r="B378" t="s">
        <v>7</v>
      </c>
      <c r="C378" t="s">
        <v>4</v>
      </c>
    </row>
    <row r="379" spans="1:3" x14ac:dyDescent="0.25">
      <c r="A379">
        <v>75020499295</v>
      </c>
      <c r="B379" t="s">
        <v>12</v>
      </c>
      <c r="C379" t="s">
        <v>4</v>
      </c>
    </row>
    <row r="380" spans="1:3" x14ac:dyDescent="0.25">
      <c r="A380">
        <v>77111555550</v>
      </c>
      <c r="B380" t="s">
        <v>18</v>
      </c>
      <c r="C380" t="s">
        <v>4</v>
      </c>
    </row>
    <row r="381" spans="1:3" x14ac:dyDescent="0.25">
      <c r="A381">
        <v>58021758370</v>
      </c>
      <c r="B381" t="s">
        <v>16</v>
      </c>
      <c r="C381" t="s">
        <v>4</v>
      </c>
    </row>
    <row r="382" spans="1:3" x14ac:dyDescent="0.25">
      <c r="A382">
        <v>76082740538</v>
      </c>
      <c r="B382" t="s">
        <v>13</v>
      </c>
      <c r="C382" t="s">
        <v>4</v>
      </c>
    </row>
    <row r="383" spans="1:3" x14ac:dyDescent="0.25">
      <c r="A383">
        <v>98060701454</v>
      </c>
      <c r="B383" t="s">
        <v>7</v>
      </c>
      <c r="C383" t="s">
        <v>4</v>
      </c>
    </row>
    <row r="384" spans="1:3" x14ac:dyDescent="0.25">
      <c r="A384">
        <v>50111946757</v>
      </c>
      <c r="B384" t="s">
        <v>5</v>
      </c>
      <c r="C384" t="s">
        <v>6</v>
      </c>
    </row>
    <row r="385" spans="1:3" x14ac:dyDescent="0.25">
      <c r="A385">
        <v>64011943574</v>
      </c>
      <c r="B385" t="s">
        <v>5</v>
      </c>
      <c r="C385" t="s">
        <v>6</v>
      </c>
    </row>
    <row r="386" spans="1:3" x14ac:dyDescent="0.25">
      <c r="A386">
        <v>64111978557</v>
      </c>
      <c r="B386" t="s">
        <v>10</v>
      </c>
      <c r="C386" t="s">
        <v>6</v>
      </c>
    </row>
    <row r="387" spans="1:3" x14ac:dyDescent="0.25">
      <c r="A387">
        <v>67090828323</v>
      </c>
      <c r="B387" t="s">
        <v>14</v>
      </c>
      <c r="C387" t="s">
        <v>6</v>
      </c>
    </row>
    <row r="388" spans="1:3" x14ac:dyDescent="0.25">
      <c r="A388">
        <v>55011731764</v>
      </c>
      <c r="B388" t="s">
        <v>3</v>
      </c>
      <c r="C388" t="s">
        <v>6</v>
      </c>
    </row>
    <row r="389" spans="1:3" x14ac:dyDescent="0.25">
      <c r="A389">
        <v>76090406305</v>
      </c>
      <c r="B389" t="s">
        <v>16</v>
      </c>
      <c r="C389" t="s">
        <v>4</v>
      </c>
    </row>
    <row r="390" spans="1:3" x14ac:dyDescent="0.25">
      <c r="A390">
        <v>80020819576</v>
      </c>
      <c r="B390" t="s">
        <v>19</v>
      </c>
      <c r="C390" t="s">
        <v>6</v>
      </c>
    </row>
    <row r="391" spans="1:3" x14ac:dyDescent="0.25">
      <c r="A391">
        <v>73020122872</v>
      </c>
      <c r="B391" t="s">
        <v>17</v>
      </c>
      <c r="C391" t="s">
        <v>6</v>
      </c>
    </row>
    <row r="392" spans="1:3" x14ac:dyDescent="0.25">
      <c r="A392">
        <v>67030428862</v>
      </c>
      <c r="B392" t="s">
        <v>20</v>
      </c>
      <c r="C392" t="s">
        <v>4</v>
      </c>
    </row>
    <row r="393" spans="1:3" x14ac:dyDescent="0.25">
      <c r="A393">
        <v>93021206362</v>
      </c>
      <c r="B393" t="s">
        <v>8</v>
      </c>
      <c r="C393" t="s">
        <v>4</v>
      </c>
    </row>
    <row r="394" spans="1:3" x14ac:dyDescent="0.25">
      <c r="A394">
        <v>89050505963</v>
      </c>
      <c r="B394" t="s">
        <v>5</v>
      </c>
      <c r="C394" t="s">
        <v>4</v>
      </c>
    </row>
    <row r="395" spans="1:3" x14ac:dyDescent="0.25">
      <c r="A395">
        <v>73101493325</v>
      </c>
      <c r="B395" t="s">
        <v>16</v>
      </c>
      <c r="C395" t="s">
        <v>4</v>
      </c>
    </row>
    <row r="396" spans="1:3" x14ac:dyDescent="0.25">
      <c r="A396">
        <v>85071473760</v>
      </c>
      <c r="B396" t="s">
        <v>3</v>
      </c>
      <c r="C396" t="s">
        <v>6</v>
      </c>
    </row>
    <row r="397" spans="1:3" x14ac:dyDescent="0.25">
      <c r="A397">
        <v>65071424836</v>
      </c>
      <c r="B397" t="s">
        <v>5</v>
      </c>
      <c r="C397" t="s">
        <v>6</v>
      </c>
    </row>
    <row r="398" spans="1:3" x14ac:dyDescent="0.25">
      <c r="A398">
        <v>61021342298</v>
      </c>
      <c r="B398" t="s">
        <v>20</v>
      </c>
      <c r="C398" t="s">
        <v>4</v>
      </c>
    </row>
    <row r="399" spans="1:3" x14ac:dyDescent="0.25">
      <c r="A399">
        <v>84121422192</v>
      </c>
      <c r="B399" t="s">
        <v>10</v>
      </c>
      <c r="C399" t="s">
        <v>4</v>
      </c>
    </row>
    <row r="400" spans="1:3" x14ac:dyDescent="0.25">
      <c r="A400">
        <v>74092255071</v>
      </c>
      <c r="B400" t="s">
        <v>14</v>
      </c>
      <c r="C400" t="s">
        <v>4</v>
      </c>
    </row>
    <row r="401" spans="1:3" x14ac:dyDescent="0.25">
      <c r="A401">
        <v>53052765728</v>
      </c>
      <c r="B401" t="s">
        <v>17</v>
      </c>
      <c r="C401" t="s">
        <v>4</v>
      </c>
    </row>
    <row r="402" spans="1:3" x14ac:dyDescent="0.25">
      <c r="A402">
        <v>97042931845</v>
      </c>
      <c r="B402" t="s">
        <v>9</v>
      </c>
      <c r="C402" t="s">
        <v>6</v>
      </c>
    </row>
    <row r="403" spans="1:3" x14ac:dyDescent="0.25">
      <c r="A403">
        <v>78062520080</v>
      </c>
      <c r="B403" t="s">
        <v>7</v>
      </c>
      <c r="C403" t="s">
        <v>4</v>
      </c>
    </row>
    <row r="404" spans="1:3" x14ac:dyDescent="0.25">
      <c r="A404">
        <v>65111959825</v>
      </c>
      <c r="B404" t="s">
        <v>11</v>
      </c>
      <c r="C404" t="s">
        <v>4</v>
      </c>
    </row>
    <row r="405" spans="1:3" x14ac:dyDescent="0.25">
      <c r="A405">
        <v>50011440807</v>
      </c>
      <c r="B405" t="s">
        <v>3</v>
      </c>
      <c r="C405" t="s">
        <v>4</v>
      </c>
    </row>
    <row r="406" spans="1:3" x14ac:dyDescent="0.25">
      <c r="A406">
        <v>83111092722</v>
      </c>
      <c r="B406" t="s">
        <v>11</v>
      </c>
      <c r="C406" t="s">
        <v>6</v>
      </c>
    </row>
    <row r="407" spans="1:3" x14ac:dyDescent="0.25">
      <c r="A407">
        <v>75122143973</v>
      </c>
      <c r="B407" t="s">
        <v>17</v>
      </c>
      <c r="C407" t="s">
        <v>6</v>
      </c>
    </row>
    <row r="408" spans="1:3" x14ac:dyDescent="0.25">
      <c r="A408">
        <v>65100549251</v>
      </c>
      <c r="B408" t="s">
        <v>5</v>
      </c>
      <c r="C408" t="s">
        <v>4</v>
      </c>
    </row>
    <row r="409" spans="1:3" x14ac:dyDescent="0.25">
      <c r="A409">
        <v>70021990226</v>
      </c>
      <c r="B409" t="s">
        <v>9</v>
      </c>
      <c r="C409" t="s">
        <v>6</v>
      </c>
    </row>
    <row r="410" spans="1:3" x14ac:dyDescent="0.25">
      <c r="A410">
        <v>79053025344</v>
      </c>
      <c r="B410" t="s">
        <v>15</v>
      </c>
      <c r="C410" t="s">
        <v>4</v>
      </c>
    </row>
    <row r="411" spans="1:3" x14ac:dyDescent="0.25">
      <c r="A411">
        <v>98100739519</v>
      </c>
      <c r="B411" t="s">
        <v>20</v>
      </c>
      <c r="C411" t="s">
        <v>4</v>
      </c>
    </row>
    <row r="412" spans="1:3" x14ac:dyDescent="0.25">
      <c r="A412">
        <v>61040445673</v>
      </c>
      <c r="B412" t="s">
        <v>14</v>
      </c>
      <c r="C412" t="s">
        <v>4</v>
      </c>
    </row>
    <row r="413" spans="1:3" x14ac:dyDescent="0.25">
      <c r="A413">
        <v>54120956644</v>
      </c>
      <c r="B413" t="s">
        <v>13</v>
      </c>
      <c r="C413" t="s">
        <v>4</v>
      </c>
    </row>
    <row r="414" spans="1:3" x14ac:dyDescent="0.25">
      <c r="A414">
        <v>87011726224</v>
      </c>
      <c r="B414" t="s">
        <v>13</v>
      </c>
      <c r="C414" t="s">
        <v>6</v>
      </c>
    </row>
    <row r="415" spans="1:3" x14ac:dyDescent="0.25">
      <c r="A415">
        <v>89122110541</v>
      </c>
      <c r="B415" t="s">
        <v>7</v>
      </c>
      <c r="C415" t="s">
        <v>4</v>
      </c>
    </row>
    <row r="416" spans="1:3" x14ac:dyDescent="0.25">
      <c r="A416">
        <v>63102562292</v>
      </c>
      <c r="B416" t="s">
        <v>15</v>
      </c>
      <c r="C416" t="s">
        <v>4</v>
      </c>
    </row>
    <row r="417" spans="1:3" x14ac:dyDescent="0.25">
      <c r="A417">
        <v>91101758446</v>
      </c>
      <c r="B417" t="s">
        <v>20</v>
      </c>
      <c r="C417" t="s">
        <v>6</v>
      </c>
    </row>
    <row r="418" spans="1:3" x14ac:dyDescent="0.25">
      <c r="A418">
        <v>73041277610</v>
      </c>
      <c r="B418" t="s">
        <v>14</v>
      </c>
      <c r="C418" t="s">
        <v>6</v>
      </c>
    </row>
    <row r="419" spans="1:3" x14ac:dyDescent="0.25">
      <c r="A419">
        <v>63101233720</v>
      </c>
      <c r="B419" t="s">
        <v>19</v>
      </c>
      <c r="C419" t="s">
        <v>4</v>
      </c>
    </row>
    <row r="420" spans="1:3" x14ac:dyDescent="0.25">
      <c r="A420">
        <v>84021497980</v>
      </c>
      <c r="B420" t="s">
        <v>10</v>
      </c>
      <c r="C420" t="s">
        <v>6</v>
      </c>
    </row>
    <row r="421" spans="1:3" x14ac:dyDescent="0.25">
      <c r="A421">
        <v>87051320026</v>
      </c>
      <c r="B421" t="s">
        <v>5</v>
      </c>
      <c r="C421" t="s">
        <v>4</v>
      </c>
    </row>
    <row r="422" spans="1:3" x14ac:dyDescent="0.25">
      <c r="A422">
        <v>87122216434</v>
      </c>
      <c r="B422" t="s">
        <v>17</v>
      </c>
      <c r="C422" t="s">
        <v>4</v>
      </c>
    </row>
    <row r="423" spans="1:3" x14ac:dyDescent="0.25">
      <c r="A423">
        <v>63062929199</v>
      </c>
      <c r="B423" t="s">
        <v>12</v>
      </c>
      <c r="C423" t="s">
        <v>4</v>
      </c>
    </row>
    <row r="424" spans="1:3" x14ac:dyDescent="0.25">
      <c r="A424">
        <v>99011281256</v>
      </c>
      <c r="B424" t="s">
        <v>19</v>
      </c>
      <c r="C424" t="s">
        <v>6</v>
      </c>
    </row>
    <row r="425" spans="1:3" x14ac:dyDescent="0.25">
      <c r="A425">
        <v>72110750487</v>
      </c>
      <c r="B425" t="s">
        <v>19</v>
      </c>
      <c r="C425" t="s">
        <v>6</v>
      </c>
    </row>
    <row r="426" spans="1:3" x14ac:dyDescent="0.25">
      <c r="A426">
        <v>70052334215</v>
      </c>
      <c r="B426" t="s">
        <v>16</v>
      </c>
      <c r="C426" t="s">
        <v>6</v>
      </c>
    </row>
    <row r="427" spans="1:3" x14ac:dyDescent="0.25">
      <c r="A427">
        <v>53080638348</v>
      </c>
      <c r="B427" t="s">
        <v>12</v>
      </c>
      <c r="C427" t="s">
        <v>6</v>
      </c>
    </row>
    <row r="428" spans="1:3" x14ac:dyDescent="0.25">
      <c r="A428">
        <v>63092655936</v>
      </c>
      <c r="B428" t="s">
        <v>13</v>
      </c>
      <c r="C428" t="s">
        <v>6</v>
      </c>
    </row>
    <row r="429" spans="1:3" x14ac:dyDescent="0.25">
      <c r="A429">
        <v>80012365708</v>
      </c>
      <c r="B429" t="s">
        <v>15</v>
      </c>
      <c r="C429" t="s">
        <v>4</v>
      </c>
    </row>
    <row r="430" spans="1:3" x14ac:dyDescent="0.25">
      <c r="A430">
        <v>88092831629</v>
      </c>
      <c r="B430" t="s">
        <v>5</v>
      </c>
      <c r="C430" t="s">
        <v>4</v>
      </c>
    </row>
    <row r="431" spans="1:3" x14ac:dyDescent="0.25">
      <c r="A431">
        <v>63062036462</v>
      </c>
      <c r="B431" t="s">
        <v>18</v>
      </c>
      <c r="C431" t="s">
        <v>6</v>
      </c>
    </row>
    <row r="432" spans="1:3" x14ac:dyDescent="0.25">
      <c r="A432">
        <v>62020662873</v>
      </c>
      <c r="B432" t="s">
        <v>15</v>
      </c>
      <c r="C432" t="s">
        <v>4</v>
      </c>
    </row>
    <row r="433" spans="1:3" x14ac:dyDescent="0.25">
      <c r="A433">
        <v>85120753924</v>
      </c>
      <c r="B433" t="s">
        <v>20</v>
      </c>
      <c r="C433" t="s">
        <v>6</v>
      </c>
    </row>
    <row r="434" spans="1:3" x14ac:dyDescent="0.25">
      <c r="A434">
        <v>57072490011</v>
      </c>
      <c r="B434" t="s">
        <v>17</v>
      </c>
      <c r="C434" t="s">
        <v>4</v>
      </c>
    </row>
    <row r="435" spans="1:3" x14ac:dyDescent="0.25">
      <c r="A435">
        <v>82020297372</v>
      </c>
      <c r="B435" t="s">
        <v>20</v>
      </c>
      <c r="C435" t="s">
        <v>6</v>
      </c>
    </row>
    <row r="436" spans="1:3" x14ac:dyDescent="0.25">
      <c r="A436">
        <v>93113022209</v>
      </c>
      <c r="B436" t="s">
        <v>11</v>
      </c>
      <c r="C436" t="s">
        <v>4</v>
      </c>
    </row>
    <row r="437" spans="1:3" x14ac:dyDescent="0.25">
      <c r="A437">
        <v>80032957947</v>
      </c>
      <c r="B437" t="s">
        <v>3</v>
      </c>
      <c r="C437" t="s">
        <v>4</v>
      </c>
    </row>
    <row r="438" spans="1:3" x14ac:dyDescent="0.25">
      <c r="A438">
        <v>97061666537</v>
      </c>
      <c r="B438" t="s">
        <v>11</v>
      </c>
      <c r="C438" t="s">
        <v>4</v>
      </c>
    </row>
    <row r="439" spans="1:3" x14ac:dyDescent="0.25">
      <c r="A439">
        <v>99042282211</v>
      </c>
      <c r="B439" t="s">
        <v>11</v>
      </c>
      <c r="C439" t="s">
        <v>4</v>
      </c>
    </row>
    <row r="440" spans="1:3" x14ac:dyDescent="0.25">
      <c r="A440">
        <v>90122294917</v>
      </c>
      <c r="B440" t="s">
        <v>7</v>
      </c>
      <c r="C440" t="s">
        <v>4</v>
      </c>
    </row>
    <row r="441" spans="1:3" x14ac:dyDescent="0.25">
      <c r="A441">
        <v>98042035638</v>
      </c>
      <c r="B441" t="s">
        <v>3</v>
      </c>
      <c r="C441" t="s">
        <v>4</v>
      </c>
    </row>
    <row r="442" spans="1:3" x14ac:dyDescent="0.25">
      <c r="A442">
        <v>63090624679</v>
      </c>
      <c r="B442" t="s">
        <v>11</v>
      </c>
      <c r="C442" t="s">
        <v>4</v>
      </c>
    </row>
    <row r="443" spans="1:3" x14ac:dyDescent="0.25">
      <c r="A443">
        <v>56041608154</v>
      </c>
      <c r="B443" t="s">
        <v>14</v>
      </c>
      <c r="C443" t="s">
        <v>4</v>
      </c>
    </row>
    <row r="444" spans="1:3" x14ac:dyDescent="0.25">
      <c r="A444">
        <v>61061367026</v>
      </c>
      <c r="B444" t="s">
        <v>11</v>
      </c>
      <c r="C444" t="s">
        <v>4</v>
      </c>
    </row>
    <row r="445" spans="1:3" x14ac:dyDescent="0.25">
      <c r="A445">
        <v>65030283393</v>
      </c>
      <c r="B445" t="s">
        <v>16</v>
      </c>
      <c r="C445" t="s">
        <v>6</v>
      </c>
    </row>
    <row r="446" spans="1:3" x14ac:dyDescent="0.25">
      <c r="A446">
        <v>92012998491</v>
      </c>
      <c r="B446" t="s">
        <v>12</v>
      </c>
      <c r="C446" t="s">
        <v>4</v>
      </c>
    </row>
    <row r="447" spans="1:3" x14ac:dyDescent="0.25">
      <c r="A447">
        <v>98021347510</v>
      </c>
      <c r="B447" t="s">
        <v>15</v>
      </c>
      <c r="C447" t="s">
        <v>6</v>
      </c>
    </row>
    <row r="448" spans="1:3" x14ac:dyDescent="0.25">
      <c r="A448">
        <v>61020732218</v>
      </c>
      <c r="B448" t="s">
        <v>10</v>
      </c>
      <c r="C448" t="s">
        <v>6</v>
      </c>
    </row>
    <row r="449" spans="1:3" x14ac:dyDescent="0.25">
      <c r="A449">
        <v>51100859081</v>
      </c>
      <c r="B449" t="s">
        <v>11</v>
      </c>
      <c r="C449" t="s">
        <v>6</v>
      </c>
    </row>
    <row r="450" spans="1:3" x14ac:dyDescent="0.25">
      <c r="A450">
        <v>58092388216</v>
      </c>
      <c r="B450" t="s">
        <v>12</v>
      </c>
      <c r="C450" t="s">
        <v>4</v>
      </c>
    </row>
    <row r="451" spans="1:3" x14ac:dyDescent="0.25">
      <c r="A451">
        <v>58081857013</v>
      </c>
      <c r="B451" t="s">
        <v>15</v>
      </c>
      <c r="C451" t="s">
        <v>4</v>
      </c>
    </row>
    <row r="452" spans="1:3" x14ac:dyDescent="0.25">
      <c r="A452">
        <v>51112066114</v>
      </c>
      <c r="B452" t="s">
        <v>17</v>
      </c>
      <c r="C452" t="s">
        <v>4</v>
      </c>
    </row>
    <row r="453" spans="1:3" x14ac:dyDescent="0.25">
      <c r="A453">
        <v>89010145123</v>
      </c>
      <c r="B453" t="s">
        <v>15</v>
      </c>
      <c r="C453" t="s">
        <v>4</v>
      </c>
    </row>
    <row r="454" spans="1:3" x14ac:dyDescent="0.25">
      <c r="A454">
        <v>84021137424</v>
      </c>
      <c r="B454" t="s">
        <v>14</v>
      </c>
      <c r="C454" t="s">
        <v>6</v>
      </c>
    </row>
    <row r="455" spans="1:3" x14ac:dyDescent="0.25">
      <c r="A455">
        <v>66071191281</v>
      </c>
      <c r="B455" t="s">
        <v>9</v>
      </c>
      <c r="C455" t="s">
        <v>6</v>
      </c>
    </row>
    <row r="456" spans="1:3" x14ac:dyDescent="0.25">
      <c r="A456">
        <v>64110521169</v>
      </c>
      <c r="B456" t="s">
        <v>9</v>
      </c>
      <c r="C456" t="s">
        <v>6</v>
      </c>
    </row>
    <row r="457" spans="1:3" x14ac:dyDescent="0.25">
      <c r="A457">
        <v>80090724666</v>
      </c>
      <c r="B457" t="s">
        <v>7</v>
      </c>
      <c r="C457" t="s">
        <v>6</v>
      </c>
    </row>
    <row r="458" spans="1:3" x14ac:dyDescent="0.25">
      <c r="A458">
        <v>60081098044</v>
      </c>
      <c r="B458" t="s">
        <v>17</v>
      </c>
      <c r="C458" t="s">
        <v>4</v>
      </c>
    </row>
    <row r="459" spans="1:3" x14ac:dyDescent="0.25">
      <c r="A459">
        <v>81060672345</v>
      </c>
      <c r="B459" t="s">
        <v>5</v>
      </c>
      <c r="C459" t="s">
        <v>6</v>
      </c>
    </row>
    <row r="460" spans="1:3" x14ac:dyDescent="0.25">
      <c r="A460">
        <v>72041188498</v>
      </c>
      <c r="B460" t="s">
        <v>19</v>
      </c>
      <c r="C460" t="s">
        <v>4</v>
      </c>
    </row>
    <row r="461" spans="1:3" x14ac:dyDescent="0.25">
      <c r="A461">
        <v>93050237328</v>
      </c>
      <c r="B461" t="s">
        <v>15</v>
      </c>
      <c r="C461" t="s">
        <v>6</v>
      </c>
    </row>
    <row r="462" spans="1:3" x14ac:dyDescent="0.25">
      <c r="A462">
        <v>57111030969</v>
      </c>
      <c r="B462" t="s">
        <v>5</v>
      </c>
      <c r="C462" t="s">
        <v>6</v>
      </c>
    </row>
    <row r="463" spans="1:3" x14ac:dyDescent="0.25">
      <c r="A463">
        <v>95120189926</v>
      </c>
      <c r="B463" t="s">
        <v>7</v>
      </c>
      <c r="C463" t="s">
        <v>6</v>
      </c>
    </row>
    <row r="464" spans="1:3" x14ac:dyDescent="0.25">
      <c r="A464">
        <v>50030558617</v>
      </c>
      <c r="B464" t="s">
        <v>7</v>
      </c>
      <c r="C464" t="s">
        <v>6</v>
      </c>
    </row>
    <row r="465" spans="1:3" x14ac:dyDescent="0.25">
      <c r="A465">
        <v>99030787526</v>
      </c>
      <c r="B465" t="s">
        <v>12</v>
      </c>
      <c r="C465" t="s">
        <v>6</v>
      </c>
    </row>
    <row r="466" spans="1:3" x14ac:dyDescent="0.25">
      <c r="A466">
        <v>86012893795</v>
      </c>
      <c r="B466" t="s">
        <v>5</v>
      </c>
      <c r="C466" t="s">
        <v>6</v>
      </c>
    </row>
    <row r="467" spans="1:3" x14ac:dyDescent="0.25">
      <c r="A467">
        <v>77070917279</v>
      </c>
      <c r="B467" t="s">
        <v>16</v>
      </c>
      <c r="C467" t="s">
        <v>4</v>
      </c>
    </row>
    <row r="468" spans="1:3" x14ac:dyDescent="0.25">
      <c r="A468">
        <v>81110769382</v>
      </c>
      <c r="B468" t="s">
        <v>3</v>
      </c>
      <c r="C468" t="s">
        <v>4</v>
      </c>
    </row>
    <row r="469" spans="1:3" x14ac:dyDescent="0.25">
      <c r="A469">
        <v>77111159976</v>
      </c>
      <c r="B469" t="s">
        <v>7</v>
      </c>
      <c r="C469" t="s">
        <v>4</v>
      </c>
    </row>
    <row r="470" spans="1:3" x14ac:dyDescent="0.25">
      <c r="A470">
        <v>70100187141</v>
      </c>
      <c r="B470" t="s">
        <v>13</v>
      </c>
      <c r="C470" t="s">
        <v>4</v>
      </c>
    </row>
    <row r="471" spans="1:3" x14ac:dyDescent="0.25">
      <c r="A471">
        <v>65021500043</v>
      </c>
      <c r="B471" t="s">
        <v>15</v>
      </c>
      <c r="C471" t="s">
        <v>6</v>
      </c>
    </row>
    <row r="472" spans="1:3" x14ac:dyDescent="0.25">
      <c r="A472">
        <v>85060885312</v>
      </c>
      <c r="B472" t="s">
        <v>20</v>
      </c>
      <c r="C472" t="s">
        <v>4</v>
      </c>
    </row>
    <row r="473" spans="1:3" x14ac:dyDescent="0.25">
      <c r="A473">
        <v>71050660586</v>
      </c>
      <c r="B473" t="s">
        <v>5</v>
      </c>
      <c r="C473" t="s">
        <v>6</v>
      </c>
    </row>
    <row r="474" spans="1:3" x14ac:dyDescent="0.25">
      <c r="A474">
        <v>59071738598</v>
      </c>
      <c r="B474" t="s">
        <v>10</v>
      </c>
      <c r="C474" t="s">
        <v>6</v>
      </c>
    </row>
    <row r="475" spans="1:3" x14ac:dyDescent="0.25">
      <c r="A475">
        <v>95032440571</v>
      </c>
      <c r="B475" t="s">
        <v>19</v>
      </c>
      <c r="C475" t="s">
        <v>6</v>
      </c>
    </row>
    <row r="476" spans="1:3" x14ac:dyDescent="0.25">
      <c r="A476">
        <v>89061704744</v>
      </c>
      <c r="B476" t="s">
        <v>9</v>
      </c>
      <c r="C476" t="s">
        <v>4</v>
      </c>
    </row>
    <row r="477" spans="1:3" x14ac:dyDescent="0.25">
      <c r="A477">
        <v>51080898629</v>
      </c>
      <c r="B477" t="s">
        <v>17</v>
      </c>
      <c r="C477" t="s">
        <v>4</v>
      </c>
    </row>
    <row r="478" spans="1:3" x14ac:dyDescent="0.25">
      <c r="A478">
        <v>57022141905</v>
      </c>
      <c r="B478" t="s">
        <v>19</v>
      </c>
      <c r="C478" t="s">
        <v>4</v>
      </c>
    </row>
    <row r="479" spans="1:3" x14ac:dyDescent="0.25">
      <c r="A479">
        <v>83040146750</v>
      </c>
      <c r="B479" t="s">
        <v>16</v>
      </c>
      <c r="C479" t="s">
        <v>4</v>
      </c>
    </row>
    <row r="480" spans="1:3" x14ac:dyDescent="0.25">
      <c r="A480">
        <v>94073040289</v>
      </c>
      <c r="B480" t="s">
        <v>17</v>
      </c>
      <c r="C480" t="s">
        <v>6</v>
      </c>
    </row>
    <row r="481" spans="1:3" x14ac:dyDescent="0.25">
      <c r="A481">
        <v>85082674482</v>
      </c>
      <c r="B481" t="s">
        <v>20</v>
      </c>
      <c r="C481" t="s">
        <v>6</v>
      </c>
    </row>
    <row r="482" spans="1:3" x14ac:dyDescent="0.25">
      <c r="A482">
        <v>68071192873</v>
      </c>
      <c r="B482" t="s">
        <v>8</v>
      </c>
      <c r="C482" t="s">
        <v>6</v>
      </c>
    </row>
    <row r="483" spans="1:3" x14ac:dyDescent="0.25">
      <c r="A483">
        <v>66122411933</v>
      </c>
      <c r="B483" t="s">
        <v>8</v>
      </c>
      <c r="C483" t="s">
        <v>4</v>
      </c>
    </row>
    <row r="484" spans="1:3" x14ac:dyDescent="0.25">
      <c r="A484">
        <v>83112543531</v>
      </c>
      <c r="B484" t="s">
        <v>12</v>
      </c>
      <c r="C484" t="s">
        <v>4</v>
      </c>
    </row>
    <row r="485" spans="1:3" x14ac:dyDescent="0.25">
      <c r="A485">
        <v>72032940355</v>
      </c>
      <c r="B485" t="s">
        <v>20</v>
      </c>
      <c r="C485" t="s">
        <v>4</v>
      </c>
    </row>
    <row r="486" spans="1:3" x14ac:dyDescent="0.25">
      <c r="A486">
        <v>99041426748</v>
      </c>
      <c r="B486" t="s">
        <v>11</v>
      </c>
      <c r="C486" t="s">
        <v>6</v>
      </c>
    </row>
    <row r="487" spans="1:3" x14ac:dyDescent="0.25">
      <c r="A487">
        <v>99082013556</v>
      </c>
      <c r="B487" t="s">
        <v>3</v>
      </c>
      <c r="C487" t="s">
        <v>4</v>
      </c>
    </row>
    <row r="488" spans="1:3" x14ac:dyDescent="0.25">
      <c r="A488">
        <v>62123067166</v>
      </c>
      <c r="B488" t="s">
        <v>16</v>
      </c>
      <c r="C488" t="s">
        <v>6</v>
      </c>
    </row>
    <row r="489" spans="1:3" x14ac:dyDescent="0.25">
      <c r="A489">
        <v>65031764132</v>
      </c>
      <c r="B489" t="s">
        <v>10</v>
      </c>
      <c r="C489" t="s">
        <v>4</v>
      </c>
    </row>
    <row r="490" spans="1:3" x14ac:dyDescent="0.25">
      <c r="A490">
        <v>66031525363</v>
      </c>
      <c r="B490" t="s">
        <v>8</v>
      </c>
      <c r="C490" t="s">
        <v>6</v>
      </c>
    </row>
    <row r="491" spans="1:3" x14ac:dyDescent="0.25">
      <c r="A491">
        <v>84121279350</v>
      </c>
      <c r="B491" t="s">
        <v>17</v>
      </c>
      <c r="C491" t="s">
        <v>4</v>
      </c>
    </row>
    <row r="492" spans="1:3" x14ac:dyDescent="0.25">
      <c r="A492">
        <v>56060275416</v>
      </c>
      <c r="B492" t="s">
        <v>8</v>
      </c>
      <c r="C492" t="s">
        <v>6</v>
      </c>
    </row>
    <row r="493" spans="1:3" x14ac:dyDescent="0.25">
      <c r="A493">
        <v>88060298577</v>
      </c>
      <c r="B493" t="s">
        <v>13</v>
      </c>
      <c r="C493" t="s">
        <v>4</v>
      </c>
    </row>
    <row r="494" spans="1:3" x14ac:dyDescent="0.25">
      <c r="A494">
        <v>93071613624</v>
      </c>
      <c r="B494" t="s">
        <v>19</v>
      </c>
      <c r="C494" t="s">
        <v>6</v>
      </c>
    </row>
    <row r="495" spans="1:3" x14ac:dyDescent="0.25">
      <c r="A495">
        <v>56032245658</v>
      </c>
      <c r="B495" t="s">
        <v>9</v>
      </c>
      <c r="C495" t="s">
        <v>4</v>
      </c>
    </row>
    <row r="496" spans="1:3" x14ac:dyDescent="0.25">
      <c r="A496">
        <v>64081190522</v>
      </c>
      <c r="B496" t="s">
        <v>7</v>
      </c>
      <c r="C496" t="s">
        <v>4</v>
      </c>
    </row>
    <row r="497" spans="1:3" x14ac:dyDescent="0.25">
      <c r="A497">
        <v>62040616607</v>
      </c>
      <c r="B497" t="s">
        <v>10</v>
      </c>
      <c r="C497" t="s">
        <v>4</v>
      </c>
    </row>
    <row r="498" spans="1:3" x14ac:dyDescent="0.25">
      <c r="A498">
        <v>87032142416</v>
      </c>
      <c r="B498" t="s">
        <v>14</v>
      </c>
      <c r="C498" t="s">
        <v>4</v>
      </c>
    </row>
    <row r="499" spans="1:3" x14ac:dyDescent="0.25">
      <c r="A499">
        <v>73101455554</v>
      </c>
      <c r="B499" t="s">
        <v>7</v>
      </c>
      <c r="C499" t="s">
        <v>4</v>
      </c>
    </row>
    <row r="500" spans="1:3" x14ac:dyDescent="0.25">
      <c r="A500">
        <v>56111282482</v>
      </c>
      <c r="B500" t="s">
        <v>19</v>
      </c>
      <c r="C500" t="s">
        <v>6</v>
      </c>
    </row>
    <row r="501" spans="1:3" x14ac:dyDescent="0.25">
      <c r="A501">
        <v>83032688282</v>
      </c>
      <c r="B501" t="s">
        <v>8</v>
      </c>
      <c r="C501" t="s">
        <v>4</v>
      </c>
    </row>
    <row r="502" spans="1:3" x14ac:dyDescent="0.25">
      <c r="A502">
        <v>88051092544</v>
      </c>
      <c r="B502" t="s">
        <v>9</v>
      </c>
      <c r="C502" t="s">
        <v>4</v>
      </c>
    </row>
    <row r="503" spans="1:3" x14ac:dyDescent="0.25">
      <c r="A503">
        <v>50012665757</v>
      </c>
      <c r="B503" t="s">
        <v>14</v>
      </c>
      <c r="C503" t="s">
        <v>4</v>
      </c>
    </row>
    <row r="504" spans="1:3" x14ac:dyDescent="0.25">
      <c r="A504">
        <v>96040206342</v>
      </c>
      <c r="B504" t="s">
        <v>9</v>
      </c>
      <c r="C504" t="s">
        <v>6</v>
      </c>
    </row>
    <row r="505" spans="1:3" x14ac:dyDescent="0.25">
      <c r="A505">
        <v>91041069954</v>
      </c>
      <c r="B505" t="s">
        <v>7</v>
      </c>
      <c r="C505" t="s">
        <v>4</v>
      </c>
    </row>
    <row r="506" spans="1:3" x14ac:dyDescent="0.25">
      <c r="A506">
        <v>75061743946</v>
      </c>
      <c r="B506" t="s">
        <v>14</v>
      </c>
      <c r="C506" t="s">
        <v>6</v>
      </c>
    </row>
    <row r="507" spans="1:3" x14ac:dyDescent="0.25">
      <c r="A507">
        <v>52020449840</v>
      </c>
      <c r="B507" t="s">
        <v>8</v>
      </c>
      <c r="C507" t="s">
        <v>4</v>
      </c>
    </row>
    <row r="508" spans="1:3" x14ac:dyDescent="0.25">
      <c r="A508">
        <v>94021767981</v>
      </c>
      <c r="B508" t="s">
        <v>15</v>
      </c>
      <c r="C508" t="s">
        <v>4</v>
      </c>
    </row>
    <row r="509" spans="1:3" x14ac:dyDescent="0.25">
      <c r="A509">
        <v>54061438140</v>
      </c>
      <c r="B509" t="s">
        <v>8</v>
      </c>
      <c r="C509" t="s">
        <v>6</v>
      </c>
    </row>
    <row r="510" spans="1:3" x14ac:dyDescent="0.25">
      <c r="A510">
        <v>60012636109</v>
      </c>
      <c r="B510" t="s">
        <v>9</v>
      </c>
      <c r="C510" t="s">
        <v>6</v>
      </c>
    </row>
    <row r="511" spans="1:3" x14ac:dyDescent="0.25">
      <c r="A511">
        <v>64031328634</v>
      </c>
      <c r="B511" t="s">
        <v>14</v>
      </c>
      <c r="C511" t="s">
        <v>6</v>
      </c>
    </row>
    <row r="512" spans="1:3" x14ac:dyDescent="0.25">
      <c r="A512">
        <v>76032562353</v>
      </c>
      <c r="B512" t="s">
        <v>20</v>
      </c>
      <c r="C512" t="s">
        <v>6</v>
      </c>
    </row>
    <row r="513" spans="1:3" x14ac:dyDescent="0.25">
      <c r="A513">
        <v>94042289916</v>
      </c>
      <c r="B513" t="s">
        <v>11</v>
      </c>
      <c r="C513" t="s">
        <v>4</v>
      </c>
    </row>
    <row r="514" spans="1:3" x14ac:dyDescent="0.25">
      <c r="A514">
        <v>72011235869</v>
      </c>
      <c r="B514" t="s">
        <v>16</v>
      </c>
      <c r="C514" t="s">
        <v>6</v>
      </c>
    </row>
    <row r="515" spans="1:3" x14ac:dyDescent="0.25">
      <c r="A515">
        <v>55101622897</v>
      </c>
      <c r="B515" t="s">
        <v>12</v>
      </c>
      <c r="C515" t="s">
        <v>6</v>
      </c>
    </row>
    <row r="516" spans="1:3" x14ac:dyDescent="0.25">
      <c r="A516">
        <v>63061591096</v>
      </c>
      <c r="B516" t="s">
        <v>5</v>
      </c>
      <c r="C516" t="s">
        <v>6</v>
      </c>
    </row>
    <row r="517" spans="1:3" x14ac:dyDescent="0.25">
      <c r="A517">
        <v>66092086287</v>
      </c>
      <c r="B517" t="s">
        <v>15</v>
      </c>
      <c r="C517" t="s">
        <v>6</v>
      </c>
    </row>
    <row r="518" spans="1:3" x14ac:dyDescent="0.25">
      <c r="A518">
        <v>79120351848</v>
      </c>
      <c r="B518" t="s">
        <v>15</v>
      </c>
      <c r="C518" t="s">
        <v>6</v>
      </c>
    </row>
    <row r="519" spans="1:3" x14ac:dyDescent="0.25">
      <c r="A519">
        <v>75032029066</v>
      </c>
      <c r="B519" t="s">
        <v>17</v>
      </c>
      <c r="C519" t="s">
        <v>6</v>
      </c>
    </row>
    <row r="520" spans="1:3" x14ac:dyDescent="0.25">
      <c r="A520">
        <v>64120631351</v>
      </c>
      <c r="B520" t="s">
        <v>17</v>
      </c>
      <c r="C520" t="s">
        <v>4</v>
      </c>
    </row>
    <row r="521" spans="1:3" x14ac:dyDescent="0.25">
      <c r="A521">
        <v>73072842436</v>
      </c>
      <c r="B521" t="s">
        <v>9</v>
      </c>
      <c r="C521" t="s">
        <v>6</v>
      </c>
    </row>
    <row r="522" spans="1:3" x14ac:dyDescent="0.25">
      <c r="A522">
        <v>81032163367</v>
      </c>
      <c r="B522" t="s">
        <v>17</v>
      </c>
      <c r="C522" t="s">
        <v>6</v>
      </c>
    </row>
    <row r="523" spans="1:3" x14ac:dyDescent="0.25">
      <c r="A523">
        <v>99120273519</v>
      </c>
      <c r="B523" t="s">
        <v>18</v>
      </c>
      <c r="C523" t="s">
        <v>4</v>
      </c>
    </row>
    <row r="524" spans="1:3" x14ac:dyDescent="0.25">
      <c r="A524">
        <v>57040596570</v>
      </c>
      <c r="B524" t="s">
        <v>7</v>
      </c>
      <c r="C524" t="s">
        <v>6</v>
      </c>
    </row>
    <row r="525" spans="1:3" x14ac:dyDescent="0.25">
      <c r="A525">
        <v>99051386795</v>
      </c>
      <c r="B525" t="s">
        <v>14</v>
      </c>
      <c r="C525" t="s">
        <v>6</v>
      </c>
    </row>
    <row r="526" spans="1:3" x14ac:dyDescent="0.25">
      <c r="A526">
        <v>73031813176</v>
      </c>
      <c r="B526" t="s">
        <v>11</v>
      </c>
      <c r="C526" t="s">
        <v>4</v>
      </c>
    </row>
    <row r="527" spans="1:3" x14ac:dyDescent="0.25">
      <c r="A527">
        <v>86061566312</v>
      </c>
      <c r="B527" t="s">
        <v>5</v>
      </c>
      <c r="C527" t="s">
        <v>6</v>
      </c>
    </row>
    <row r="528" spans="1:3" x14ac:dyDescent="0.25">
      <c r="A528">
        <v>53090698026</v>
      </c>
      <c r="B528" t="s">
        <v>11</v>
      </c>
      <c r="C528" t="s">
        <v>4</v>
      </c>
    </row>
    <row r="529" spans="1:3" x14ac:dyDescent="0.25">
      <c r="A529">
        <v>75021357613</v>
      </c>
      <c r="B529" t="s">
        <v>3</v>
      </c>
      <c r="C529" t="s">
        <v>4</v>
      </c>
    </row>
    <row r="530" spans="1:3" x14ac:dyDescent="0.25">
      <c r="A530">
        <v>72123107126</v>
      </c>
      <c r="B530" t="s">
        <v>5</v>
      </c>
      <c r="C530" t="s">
        <v>6</v>
      </c>
    </row>
    <row r="531" spans="1:3" x14ac:dyDescent="0.25">
      <c r="A531">
        <v>79070698840</v>
      </c>
      <c r="B531" t="s">
        <v>15</v>
      </c>
      <c r="C531" t="s">
        <v>6</v>
      </c>
    </row>
    <row r="532" spans="1:3" x14ac:dyDescent="0.25">
      <c r="A532">
        <v>99121640071</v>
      </c>
      <c r="B532" t="s">
        <v>13</v>
      </c>
      <c r="C532" t="s">
        <v>6</v>
      </c>
    </row>
    <row r="533" spans="1:3" x14ac:dyDescent="0.25">
      <c r="A533">
        <v>62040855749</v>
      </c>
      <c r="B533" t="s">
        <v>7</v>
      </c>
      <c r="C533" t="s">
        <v>4</v>
      </c>
    </row>
    <row r="534" spans="1:3" x14ac:dyDescent="0.25">
      <c r="A534">
        <v>77050752195</v>
      </c>
      <c r="B534" t="s">
        <v>14</v>
      </c>
      <c r="C534" t="s">
        <v>6</v>
      </c>
    </row>
    <row r="535" spans="1:3" x14ac:dyDescent="0.25">
      <c r="A535">
        <v>61011848526</v>
      </c>
      <c r="B535" t="s">
        <v>10</v>
      </c>
      <c r="C535" t="s">
        <v>6</v>
      </c>
    </row>
    <row r="536" spans="1:3" x14ac:dyDescent="0.25">
      <c r="A536">
        <v>67090716369</v>
      </c>
      <c r="B536" t="s">
        <v>10</v>
      </c>
      <c r="C536" t="s">
        <v>4</v>
      </c>
    </row>
    <row r="537" spans="1:3" x14ac:dyDescent="0.25">
      <c r="A537">
        <v>69121808746</v>
      </c>
      <c r="B537" t="s">
        <v>19</v>
      </c>
      <c r="C537" t="s">
        <v>4</v>
      </c>
    </row>
    <row r="538" spans="1:3" x14ac:dyDescent="0.25">
      <c r="A538">
        <v>95022144672</v>
      </c>
      <c r="B538" t="s">
        <v>11</v>
      </c>
      <c r="C538" t="s">
        <v>6</v>
      </c>
    </row>
    <row r="539" spans="1:3" x14ac:dyDescent="0.25">
      <c r="A539">
        <v>50122386122</v>
      </c>
      <c r="B539" t="s">
        <v>10</v>
      </c>
      <c r="C539" t="s">
        <v>6</v>
      </c>
    </row>
    <row r="540" spans="1:3" x14ac:dyDescent="0.25">
      <c r="A540">
        <v>64040818515</v>
      </c>
      <c r="B540" t="s">
        <v>20</v>
      </c>
      <c r="C540" t="s">
        <v>4</v>
      </c>
    </row>
    <row r="541" spans="1:3" x14ac:dyDescent="0.25">
      <c r="A541">
        <v>74110420436</v>
      </c>
      <c r="B541" t="s">
        <v>18</v>
      </c>
      <c r="C541" t="s">
        <v>4</v>
      </c>
    </row>
    <row r="542" spans="1:3" x14ac:dyDescent="0.25">
      <c r="A542">
        <v>95070175648</v>
      </c>
      <c r="B542" t="s">
        <v>14</v>
      </c>
      <c r="C542" t="s">
        <v>4</v>
      </c>
    </row>
    <row r="543" spans="1:3" x14ac:dyDescent="0.25">
      <c r="A543">
        <v>51040710541</v>
      </c>
      <c r="B543" t="s">
        <v>7</v>
      </c>
      <c r="C543" t="s">
        <v>6</v>
      </c>
    </row>
    <row r="544" spans="1:3" x14ac:dyDescent="0.25">
      <c r="A544">
        <v>68050307393</v>
      </c>
      <c r="B544" t="s">
        <v>13</v>
      </c>
      <c r="C544" t="s">
        <v>4</v>
      </c>
    </row>
    <row r="545" spans="1:3" x14ac:dyDescent="0.25">
      <c r="A545">
        <v>78012414409</v>
      </c>
      <c r="B545" t="s">
        <v>14</v>
      </c>
      <c r="C545" t="s">
        <v>4</v>
      </c>
    </row>
    <row r="546" spans="1:3" x14ac:dyDescent="0.25">
      <c r="A546">
        <v>85080239649</v>
      </c>
      <c r="B546" t="s">
        <v>18</v>
      </c>
      <c r="C546" t="s">
        <v>4</v>
      </c>
    </row>
    <row r="547" spans="1:3" x14ac:dyDescent="0.25">
      <c r="A547">
        <v>80111845565</v>
      </c>
      <c r="B547" t="s">
        <v>3</v>
      </c>
      <c r="C547" t="s">
        <v>4</v>
      </c>
    </row>
    <row r="548" spans="1:3" x14ac:dyDescent="0.25">
      <c r="A548">
        <v>64060295028</v>
      </c>
      <c r="B548" t="s">
        <v>17</v>
      </c>
      <c r="C548" t="s">
        <v>4</v>
      </c>
    </row>
    <row r="549" spans="1:3" x14ac:dyDescent="0.25">
      <c r="A549">
        <v>66112444217</v>
      </c>
      <c r="B549" t="s">
        <v>9</v>
      </c>
      <c r="C549" t="s">
        <v>6</v>
      </c>
    </row>
    <row r="550" spans="1:3" x14ac:dyDescent="0.25">
      <c r="A550">
        <v>95010531354</v>
      </c>
      <c r="B550" t="s">
        <v>11</v>
      </c>
      <c r="C550" t="s">
        <v>6</v>
      </c>
    </row>
    <row r="551" spans="1:3" x14ac:dyDescent="0.25">
      <c r="A551">
        <v>66091626497</v>
      </c>
      <c r="B551" t="s">
        <v>8</v>
      </c>
      <c r="C551" t="s">
        <v>6</v>
      </c>
    </row>
    <row r="552" spans="1:3" x14ac:dyDescent="0.25">
      <c r="A552">
        <v>60101353265</v>
      </c>
      <c r="B552" t="s">
        <v>12</v>
      </c>
      <c r="C552" t="s">
        <v>4</v>
      </c>
    </row>
    <row r="553" spans="1:3" x14ac:dyDescent="0.25">
      <c r="A553">
        <v>73112234065</v>
      </c>
      <c r="B553" t="s">
        <v>12</v>
      </c>
      <c r="C553" t="s">
        <v>4</v>
      </c>
    </row>
    <row r="554" spans="1:3" x14ac:dyDescent="0.25">
      <c r="A554">
        <v>77100455058</v>
      </c>
      <c r="B554" t="s">
        <v>7</v>
      </c>
      <c r="C554" t="s">
        <v>6</v>
      </c>
    </row>
    <row r="555" spans="1:3" x14ac:dyDescent="0.25">
      <c r="A555">
        <v>98091693687</v>
      </c>
      <c r="B555" t="s">
        <v>9</v>
      </c>
      <c r="C555" t="s">
        <v>6</v>
      </c>
    </row>
    <row r="556" spans="1:3" x14ac:dyDescent="0.25">
      <c r="A556">
        <v>67091449031</v>
      </c>
      <c r="B556" t="s">
        <v>16</v>
      </c>
      <c r="C556" t="s">
        <v>6</v>
      </c>
    </row>
    <row r="557" spans="1:3" x14ac:dyDescent="0.25">
      <c r="A557">
        <v>75052421464</v>
      </c>
      <c r="B557" t="s">
        <v>5</v>
      </c>
      <c r="C557" t="s">
        <v>6</v>
      </c>
    </row>
    <row r="558" spans="1:3" x14ac:dyDescent="0.25">
      <c r="A558">
        <v>93042060965</v>
      </c>
      <c r="B558" t="s">
        <v>18</v>
      </c>
      <c r="C558" t="s">
        <v>4</v>
      </c>
    </row>
    <row r="559" spans="1:3" x14ac:dyDescent="0.25">
      <c r="A559">
        <v>58011437395</v>
      </c>
      <c r="B559" t="s">
        <v>20</v>
      </c>
      <c r="C559" t="s">
        <v>6</v>
      </c>
    </row>
    <row r="560" spans="1:3" x14ac:dyDescent="0.25">
      <c r="A560">
        <v>61010924043</v>
      </c>
      <c r="B560" t="s">
        <v>17</v>
      </c>
      <c r="C560" t="s">
        <v>4</v>
      </c>
    </row>
    <row r="561" spans="1:3" x14ac:dyDescent="0.25">
      <c r="A561">
        <v>59020116778</v>
      </c>
      <c r="B561" t="s">
        <v>20</v>
      </c>
      <c r="C561" t="s">
        <v>4</v>
      </c>
    </row>
    <row r="562" spans="1:3" x14ac:dyDescent="0.25">
      <c r="A562">
        <v>85012006521</v>
      </c>
      <c r="B562" t="s">
        <v>10</v>
      </c>
      <c r="C562" t="s">
        <v>6</v>
      </c>
    </row>
    <row r="563" spans="1:3" x14ac:dyDescent="0.25">
      <c r="A563">
        <v>89021336354</v>
      </c>
      <c r="B563" t="s">
        <v>14</v>
      </c>
      <c r="C563" t="s">
        <v>6</v>
      </c>
    </row>
    <row r="564" spans="1:3" x14ac:dyDescent="0.25">
      <c r="A564">
        <v>65092409201</v>
      </c>
      <c r="B564" t="s">
        <v>15</v>
      </c>
      <c r="C564" t="s">
        <v>4</v>
      </c>
    </row>
    <row r="565" spans="1:3" x14ac:dyDescent="0.25">
      <c r="A565">
        <v>69072352000</v>
      </c>
      <c r="B565" t="s">
        <v>12</v>
      </c>
      <c r="C565" t="s">
        <v>6</v>
      </c>
    </row>
    <row r="566" spans="1:3" x14ac:dyDescent="0.25">
      <c r="A566">
        <v>80101429434</v>
      </c>
      <c r="B566" t="s">
        <v>9</v>
      </c>
      <c r="C566" t="s">
        <v>4</v>
      </c>
    </row>
    <row r="567" spans="1:3" x14ac:dyDescent="0.25">
      <c r="A567">
        <v>74041163095</v>
      </c>
      <c r="B567" t="s">
        <v>18</v>
      </c>
      <c r="C567" t="s">
        <v>6</v>
      </c>
    </row>
    <row r="568" spans="1:3" x14ac:dyDescent="0.25">
      <c r="A568">
        <v>95030310836</v>
      </c>
      <c r="B568" t="s">
        <v>11</v>
      </c>
      <c r="C568" t="s">
        <v>6</v>
      </c>
    </row>
    <row r="569" spans="1:3" x14ac:dyDescent="0.25">
      <c r="A569">
        <v>84083110241</v>
      </c>
      <c r="B569" t="s">
        <v>9</v>
      </c>
      <c r="C569" t="s">
        <v>6</v>
      </c>
    </row>
    <row r="570" spans="1:3" x14ac:dyDescent="0.25">
      <c r="A570">
        <v>81082753187</v>
      </c>
      <c r="B570" t="s">
        <v>20</v>
      </c>
      <c r="C570" t="s">
        <v>6</v>
      </c>
    </row>
    <row r="571" spans="1:3" x14ac:dyDescent="0.25">
      <c r="A571">
        <v>64061448050</v>
      </c>
      <c r="B571" t="s">
        <v>16</v>
      </c>
      <c r="C571" t="s">
        <v>6</v>
      </c>
    </row>
    <row r="572" spans="1:3" x14ac:dyDescent="0.25">
      <c r="A572">
        <v>96091382992</v>
      </c>
      <c r="B572" t="s">
        <v>11</v>
      </c>
      <c r="C572" t="s">
        <v>6</v>
      </c>
    </row>
    <row r="573" spans="1:3" x14ac:dyDescent="0.25">
      <c r="A573">
        <v>84041663297</v>
      </c>
      <c r="B573" t="s">
        <v>13</v>
      </c>
      <c r="C573" t="s">
        <v>6</v>
      </c>
    </row>
    <row r="574" spans="1:3" x14ac:dyDescent="0.25">
      <c r="A574">
        <v>94113074555</v>
      </c>
      <c r="B574" t="s">
        <v>15</v>
      </c>
      <c r="C574" t="s">
        <v>6</v>
      </c>
    </row>
    <row r="575" spans="1:3" x14ac:dyDescent="0.25">
      <c r="A575">
        <v>53100155150</v>
      </c>
      <c r="B575" t="s">
        <v>15</v>
      </c>
      <c r="C575" t="s">
        <v>4</v>
      </c>
    </row>
    <row r="576" spans="1:3" x14ac:dyDescent="0.25">
      <c r="A576">
        <v>81102995678</v>
      </c>
      <c r="B576" t="s">
        <v>15</v>
      </c>
      <c r="C576" t="s">
        <v>4</v>
      </c>
    </row>
    <row r="577" spans="1:3" x14ac:dyDescent="0.25">
      <c r="A577">
        <v>91020385192</v>
      </c>
      <c r="B577" t="s">
        <v>18</v>
      </c>
      <c r="C577" t="s">
        <v>6</v>
      </c>
    </row>
    <row r="578" spans="1:3" x14ac:dyDescent="0.25">
      <c r="A578">
        <v>86012915370</v>
      </c>
      <c r="B578" t="s">
        <v>16</v>
      </c>
      <c r="C578" t="s">
        <v>4</v>
      </c>
    </row>
    <row r="579" spans="1:3" x14ac:dyDescent="0.25">
      <c r="A579">
        <v>95011238564</v>
      </c>
      <c r="B579" t="s">
        <v>10</v>
      </c>
      <c r="C579" t="s">
        <v>6</v>
      </c>
    </row>
    <row r="580" spans="1:3" x14ac:dyDescent="0.25">
      <c r="A580">
        <v>63060590812</v>
      </c>
      <c r="B580" t="s">
        <v>19</v>
      </c>
      <c r="C580" t="s">
        <v>4</v>
      </c>
    </row>
    <row r="581" spans="1:3" x14ac:dyDescent="0.25">
      <c r="A581">
        <v>73052262582</v>
      </c>
      <c r="B581" t="s">
        <v>13</v>
      </c>
      <c r="C581" t="s">
        <v>4</v>
      </c>
    </row>
    <row r="582" spans="1:3" x14ac:dyDescent="0.25">
      <c r="A582">
        <v>57022439574</v>
      </c>
      <c r="B582" t="s">
        <v>8</v>
      </c>
      <c r="C582" t="s">
        <v>4</v>
      </c>
    </row>
    <row r="583" spans="1:3" x14ac:dyDescent="0.25">
      <c r="A583">
        <v>50091782701</v>
      </c>
      <c r="B583" t="s">
        <v>18</v>
      </c>
      <c r="C583" t="s">
        <v>6</v>
      </c>
    </row>
    <row r="584" spans="1:3" x14ac:dyDescent="0.25">
      <c r="A584">
        <v>68052065082</v>
      </c>
      <c r="B584" t="s">
        <v>18</v>
      </c>
      <c r="C584" t="s">
        <v>4</v>
      </c>
    </row>
    <row r="585" spans="1:3" x14ac:dyDescent="0.25">
      <c r="A585">
        <v>84061020261</v>
      </c>
      <c r="B585" t="s">
        <v>15</v>
      </c>
      <c r="C585" t="s">
        <v>4</v>
      </c>
    </row>
    <row r="586" spans="1:3" x14ac:dyDescent="0.25">
      <c r="A586">
        <v>77040155423</v>
      </c>
      <c r="B586" t="s">
        <v>17</v>
      </c>
      <c r="C586" t="s">
        <v>6</v>
      </c>
    </row>
    <row r="587" spans="1:3" x14ac:dyDescent="0.25">
      <c r="A587">
        <v>84091296111</v>
      </c>
      <c r="B587" t="s">
        <v>10</v>
      </c>
      <c r="C587" t="s">
        <v>6</v>
      </c>
    </row>
    <row r="588" spans="1:3" x14ac:dyDescent="0.25">
      <c r="A588">
        <v>55022627630</v>
      </c>
      <c r="B588" t="s">
        <v>19</v>
      </c>
      <c r="C588" t="s">
        <v>6</v>
      </c>
    </row>
    <row r="589" spans="1:3" x14ac:dyDescent="0.25">
      <c r="A589">
        <v>69082217922</v>
      </c>
      <c r="B589" t="s">
        <v>17</v>
      </c>
      <c r="C589" t="s">
        <v>6</v>
      </c>
    </row>
    <row r="590" spans="1:3" x14ac:dyDescent="0.25">
      <c r="A590">
        <v>99022773687</v>
      </c>
      <c r="B590" t="s">
        <v>11</v>
      </c>
      <c r="C590" t="s">
        <v>6</v>
      </c>
    </row>
    <row r="591" spans="1:3" x14ac:dyDescent="0.25">
      <c r="A591">
        <v>97082737087</v>
      </c>
      <c r="B591" t="s">
        <v>19</v>
      </c>
      <c r="C591" t="s">
        <v>6</v>
      </c>
    </row>
    <row r="592" spans="1:3" x14ac:dyDescent="0.25">
      <c r="A592">
        <v>54010610047</v>
      </c>
      <c r="B592" t="s">
        <v>11</v>
      </c>
      <c r="C592" t="s">
        <v>6</v>
      </c>
    </row>
    <row r="593" spans="1:3" x14ac:dyDescent="0.25">
      <c r="A593">
        <v>91020578578</v>
      </c>
      <c r="B593" t="s">
        <v>17</v>
      </c>
      <c r="C593" t="s">
        <v>6</v>
      </c>
    </row>
    <row r="594" spans="1:3" x14ac:dyDescent="0.25">
      <c r="A594">
        <v>70012817695</v>
      </c>
      <c r="B594" t="s">
        <v>19</v>
      </c>
      <c r="C594" t="s">
        <v>4</v>
      </c>
    </row>
    <row r="595" spans="1:3" x14ac:dyDescent="0.25">
      <c r="A595">
        <v>70122997690</v>
      </c>
      <c r="B595" t="s">
        <v>12</v>
      </c>
      <c r="C595" t="s">
        <v>4</v>
      </c>
    </row>
    <row r="596" spans="1:3" x14ac:dyDescent="0.25">
      <c r="A596">
        <v>78102548326</v>
      </c>
      <c r="B596" t="s">
        <v>8</v>
      </c>
      <c r="C596" t="s">
        <v>6</v>
      </c>
    </row>
    <row r="597" spans="1:3" x14ac:dyDescent="0.25">
      <c r="A597">
        <v>97060505297</v>
      </c>
      <c r="B597" t="s">
        <v>18</v>
      </c>
      <c r="C597" t="s">
        <v>6</v>
      </c>
    </row>
    <row r="598" spans="1:3" x14ac:dyDescent="0.25">
      <c r="A598">
        <v>84122479674</v>
      </c>
      <c r="B598" t="s">
        <v>9</v>
      </c>
      <c r="C598" t="s">
        <v>6</v>
      </c>
    </row>
    <row r="599" spans="1:3" x14ac:dyDescent="0.25">
      <c r="A599">
        <v>98051749735</v>
      </c>
      <c r="B599" t="s">
        <v>10</v>
      </c>
      <c r="C599" t="s">
        <v>4</v>
      </c>
    </row>
    <row r="600" spans="1:3" x14ac:dyDescent="0.25">
      <c r="A600">
        <v>11072711776</v>
      </c>
      <c r="B600" t="s">
        <v>17</v>
      </c>
      <c r="C600" t="s">
        <v>6</v>
      </c>
    </row>
    <row r="601" spans="1:3" x14ac:dyDescent="0.25">
      <c r="A601">
        <v>5251729665</v>
      </c>
      <c r="B601" t="s">
        <v>18</v>
      </c>
      <c r="C601" t="s">
        <v>6</v>
      </c>
    </row>
    <row r="602" spans="1:3" x14ac:dyDescent="0.25">
      <c r="A602">
        <v>3252361185</v>
      </c>
      <c r="B602" t="s">
        <v>12</v>
      </c>
      <c r="C602" t="s">
        <v>6</v>
      </c>
    </row>
    <row r="603" spans="1:3" x14ac:dyDescent="0.25">
      <c r="A603">
        <v>7282315604</v>
      </c>
      <c r="B603" t="s">
        <v>13</v>
      </c>
      <c r="C603" t="s">
        <v>4</v>
      </c>
    </row>
    <row r="604" spans="1:3" x14ac:dyDescent="0.25">
      <c r="A604">
        <v>3241701451</v>
      </c>
      <c r="B604" t="s">
        <v>16</v>
      </c>
      <c r="C604" t="s">
        <v>6</v>
      </c>
    </row>
    <row r="605" spans="1:3" x14ac:dyDescent="0.25">
      <c r="A605">
        <v>3212680950</v>
      </c>
      <c r="B605" t="s">
        <v>11</v>
      </c>
      <c r="C605" t="s">
        <v>6</v>
      </c>
    </row>
    <row r="606" spans="1:3" x14ac:dyDescent="0.25">
      <c r="A606">
        <v>8301978174</v>
      </c>
      <c r="B606" t="s">
        <v>5</v>
      </c>
      <c r="C606" t="s">
        <v>6</v>
      </c>
    </row>
    <row r="607" spans="1:3" x14ac:dyDescent="0.25">
      <c r="A607">
        <v>4291228949</v>
      </c>
      <c r="B607" t="s">
        <v>16</v>
      </c>
      <c r="C607" t="s">
        <v>6</v>
      </c>
    </row>
    <row r="608" spans="1:3" x14ac:dyDescent="0.25">
      <c r="A608">
        <v>20290586763</v>
      </c>
      <c r="B608" t="s">
        <v>14</v>
      </c>
      <c r="C608" t="s">
        <v>4</v>
      </c>
    </row>
    <row r="609" spans="1:3" x14ac:dyDescent="0.25">
      <c r="A609">
        <v>13302617719</v>
      </c>
      <c r="B609" t="s">
        <v>14</v>
      </c>
      <c r="C609" t="s">
        <v>6</v>
      </c>
    </row>
    <row r="610" spans="1:3" x14ac:dyDescent="0.25">
      <c r="A610">
        <v>9210404682</v>
      </c>
      <c r="B610" t="s">
        <v>20</v>
      </c>
      <c r="C610" t="s">
        <v>6</v>
      </c>
    </row>
    <row r="611" spans="1:3" x14ac:dyDescent="0.25">
      <c r="A611">
        <v>211828297</v>
      </c>
      <c r="B611" t="s">
        <v>20</v>
      </c>
      <c r="C611" t="s">
        <v>4</v>
      </c>
    </row>
    <row r="612" spans="1:3" x14ac:dyDescent="0.25">
      <c r="A612">
        <v>2251268240</v>
      </c>
      <c r="B612" t="s">
        <v>9</v>
      </c>
      <c r="C612" t="s">
        <v>4</v>
      </c>
    </row>
    <row r="613" spans="1:3" x14ac:dyDescent="0.25">
      <c r="A613">
        <v>3231107164</v>
      </c>
      <c r="B613" t="s">
        <v>20</v>
      </c>
      <c r="C613" t="s">
        <v>4</v>
      </c>
    </row>
    <row r="614" spans="1:3" x14ac:dyDescent="0.25">
      <c r="A614">
        <v>4240363642</v>
      </c>
      <c r="B614" t="s">
        <v>3</v>
      </c>
      <c r="C614" t="s">
        <v>6</v>
      </c>
    </row>
    <row r="615" spans="1:3" x14ac:dyDescent="0.25">
      <c r="A615">
        <v>3291272002</v>
      </c>
      <c r="B615" t="s">
        <v>5</v>
      </c>
      <c r="C615" t="s">
        <v>4</v>
      </c>
    </row>
    <row r="616" spans="1:3" x14ac:dyDescent="0.25">
      <c r="A616">
        <v>22281507519</v>
      </c>
      <c r="B616" t="s">
        <v>10</v>
      </c>
      <c r="C616" t="s">
        <v>6</v>
      </c>
    </row>
    <row r="617" spans="1:3" x14ac:dyDescent="0.25">
      <c r="A617">
        <v>2262482800</v>
      </c>
      <c r="B617" t="s">
        <v>16</v>
      </c>
      <c r="C617" t="s">
        <v>6</v>
      </c>
    </row>
    <row r="618" spans="1:3" x14ac:dyDescent="0.25">
      <c r="A618">
        <v>8211004273</v>
      </c>
      <c r="B618" t="s">
        <v>5</v>
      </c>
      <c r="C618" t="s">
        <v>6</v>
      </c>
    </row>
    <row r="619" spans="1:3" x14ac:dyDescent="0.25">
      <c r="A619">
        <v>21210948180</v>
      </c>
      <c r="B619" t="s">
        <v>13</v>
      </c>
      <c r="C619" t="s">
        <v>6</v>
      </c>
    </row>
    <row r="620" spans="1:3" x14ac:dyDescent="0.25">
      <c r="A620">
        <v>20240625971</v>
      </c>
      <c r="B620" t="s">
        <v>17</v>
      </c>
      <c r="C620" t="s">
        <v>4</v>
      </c>
    </row>
    <row r="621" spans="1:3" x14ac:dyDescent="0.25">
      <c r="A621">
        <v>4302302640</v>
      </c>
      <c r="B621" t="s">
        <v>18</v>
      </c>
      <c r="C621" t="s">
        <v>4</v>
      </c>
    </row>
    <row r="622" spans="1:3" x14ac:dyDescent="0.25">
      <c r="A622">
        <v>21213196313</v>
      </c>
      <c r="B622" t="s">
        <v>19</v>
      </c>
      <c r="C622" t="s">
        <v>6</v>
      </c>
    </row>
    <row r="623" spans="1:3" x14ac:dyDescent="0.25">
      <c r="A623">
        <v>12221688202</v>
      </c>
      <c r="B623" t="s">
        <v>7</v>
      </c>
      <c r="C623" t="s">
        <v>6</v>
      </c>
    </row>
    <row r="624" spans="1:3" x14ac:dyDescent="0.25">
      <c r="A624">
        <v>292767397</v>
      </c>
      <c r="B624" t="s">
        <v>17</v>
      </c>
      <c r="C624" t="s">
        <v>6</v>
      </c>
    </row>
    <row r="625" spans="1:3" x14ac:dyDescent="0.25">
      <c r="A625">
        <v>9280834761</v>
      </c>
      <c r="B625" t="s">
        <v>15</v>
      </c>
      <c r="C625" t="s">
        <v>4</v>
      </c>
    </row>
    <row r="626" spans="1:3" x14ac:dyDescent="0.25">
      <c r="A626">
        <v>7230141800</v>
      </c>
      <c r="B626" t="s">
        <v>12</v>
      </c>
      <c r="C626" t="s">
        <v>4</v>
      </c>
    </row>
    <row r="627" spans="1:3" x14ac:dyDescent="0.25">
      <c r="A627">
        <v>13242783936</v>
      </c>
      <c r="B627" t="s">
        <v>12</v>
      </c>
      <c r="C627" t="s">
        <v>6</v>
      </c>
    </row>
    <row r="628" spans="1:3" x14ac:dyDescent="0.25">
      <c r="A628">
        <v>19301615406</v>
      </c>
      <c r="B628" t="s">
        <v>13</v>
      </c>
      <c r="C628" t="s">
        <v>6</v>
      </c>
    </row>
    <row r="629" spans="1:3" x14ac:dyDescent="0.25">
      <c r="A629">
        <v>21322259118</v>
      </c>
      <c r="B629" t="s">
        <v>3</v>
      </c>
      <c r="C629" t="s">
        <v>4</v>
      </c>
    </row>
    <row r="630" spans="1:3" x14ac:dyDescent="0.25">
      <c r="A630">
        <v>22320106198</v>
      </c>
      <c r="B630" t="s">
        <v>3</v>
      </c>
      <c r="C630" t="s">
        <v>6</v>
      </c>
    </row>
    <row r="631" spans="1:3" x14ac:dyDescent="0.25">
      <c r="A631">
        <v>3231838149</v>
      </c>
      <c r="B631" t="s">
        <v>15</v>
      </c>
      <c r="C631" t="s">
        <v>4</v>
      </c>
    </row>
    <row r="632" spans="1:3" x14ac:dyDescent="0.25">
      <c r="A632">
        <v>16210190729</v>
      </c>
      <c r="B632" t="s">
        <v>8</v>
      </c>
      <c r="C632" t="s">
        <v>6</v>
      </c>
    </row>
    <row r="633" spans="1:3" x14ac:dyDescent="0.25">
      <c r="A633">
        <v>18321437030</v>
      </c>
      <c r="B633" t="s">
        <v>5</v>
      </c>
      <c r="C633" t="s">
        <v>6</v>
      </c>
    </row>
    <row r="634" spans="1:3" x14ac:dyDescent="0.25">
      <c r="A634">
        <v>16261642886</v>
      </c>
      <c r="B634" t="s">
        <v>12</v>
      </c>
      <c r="C634" t="s">
        <v>4</v>
      </c>
    </row>
    <row r="635" spans="1:3" x14ac:dyDescent="0.25">
      <c r="A635">
        <v>7270267124</v>
      </c>
      <c r="B635" t="s">
        <v>13</v>
      </c>
      <c r="C635" t="s">
        <v>4</v>
      </c>
    </row>
    <row r="636" spans="1:3" x14ac:dyDescent="0.25">
      <c r="A636">
        <v>12230371272</v>
      </c>
      <c r="B636" t="s">
        <v>20</v>
      </c>
      <c r="C636" t="s">
        <v>6</v>
      </c>
    </row>
    <row r="637" spans="1:3" x14ac:dyDescent="0.25">
      <c r="A637">
        <v>19312291217</v>
      </c>
      <c r="B637" t="s">
        <v>3</v>
      </c>
      <c r="C637" t="s">
        <v>6</v>
      </c>
    </row>
    <row r="638" spans="1:3" x14ac:dyDescent="0.25">
      <c r="A638">
        <v>1300894454</v>
      </c>
      <c r="B638" t="s">
        <v>19</v>
      </c>
      <c r="C638" t="s">
        <v>6</v>
      </c>
    </row>
    <row r="639" spans="1:3" x14ac:dyDescent="0.25">
      <c r="A639">
        <v>19211127459</v>
      </c>
      <c r="B639" t="s">
        <v>10</v>
      </c>
      <c r="C639" t="s">
        <v>4</v>
      </c>
    </row>
    <row r="640" spans="1:3" x14ac:dyDescent="0.25">
      <c r="A640">
        <v>22242651466</v>
      </c>
      <c r="B640" t="s">
        <v>16</v>
      </c>
      <c r="C640" t="s">
        <v>4</v>
      </c>
    </row>
    <row r="641" spans="1:3" x14ac:dyDescent="0.25">
      <c r="A641">
        <v>22231156695</v>
      </c>
      <c r="B641" t="s">
        <v>8</v>
      </c>
      <c r="C641" t="s">
        <v>6</v>
      </c>
    </row>
    <row r="642" spans="1:3" x14ac:dyDescent="0.25">
      <c r="A642">
        <v>7262771994</v>
      </c>
      <c r="B642" t="s">
        <v>20</v>
      </c>
      <c r="C642" t="s">
        <v>4</v>
      </c>
    </row>
    <row r="643" spans="1:3" x14ac:dyDescent="0.25">
      <c r="A643">
        <v>10242164211</v>
      </c>
      <c r="B643" t="s">
        <v>17</v>
      </c>
      <c r="C643" t="s">
        <v>6</v>
      </c>
    </row>
    <row r="644" spans="1:3" x14ac:dyDescent="0.25">
      <c r="A644">
        <v>5292216513</v>
      </c>
      <c r="B644" t="s">
        <v>18</v>
      </c>
      <c r="C644" t="s">
        <v>4</v>
      </c>
    </row>
    <row r="645" spans="1:3" x14ac:dyDescent="0.25">
      <c r="A645">
        <v>14282288777</v>
      </c>
      <c r="B645" t="s">
        <v>8</v>
      </c>
      <c r="C645" t="s">
        <v>4</v>
      </c>
    </row>
    <row r="646" spans="1:3" x14ac:dyDescent="0.25">
      <c r="A646">
        <v>18230257567</v>
      </c>
      <c r="B646" t="s">
        <v>5</v>
      </c>
      <c r="C646" t="s">
        <v>6</v>
      </c>
    </row>
    <row r="647" spans="1:3" x14ac:dyDescent="0.25">
      <c r="A647">
        <v>9310318685</v>
      </c>
      <c r="B647" t="s">
        <v>3</v>
      </c>
      <c r="C647" t="s">
        <v>6</v>
      </c>
    </row>
    <row r="648" spans="1:3" x14ac:dyDescent="0.25">
      <c r="A648">
        <v>14291341548</v>
      </c>
      <c r="B648" t="s">
        <v>11</v>
      </c>
      <c r="C648" t="s">
        <v>4</v>
      </c>
    </row>
    <row r="649" spans="1:3" x14ac:dyDescent="0.25">
      <c r="A649">
        <v>5220871506</v>
      </c>
      <c r="B649" t="s">
        <v>16</v>
      </c>
      <c r="C649" t="s">
        <v>6</v>
      </c>
    </row>
    <row r="650" spans="1:3" x14ac:dyDescent="0.25">
      <c r="A650">
        <v>1291595985</v>
      </c>
      <c r="B650" t="s">
        <v>14</v>
      </c>
      <c r="C650" t="s">
        <v>6</v>
      </c>
    </row>
    <row r="651" spans="1:3" x14ac:dyDescent="0.25">
      <c r="A651">
        <v>3221082073</v>
      </c>
      <c r="B651" t="s">
        <v>13</v>
      </c>
      <c r="C651" t="s">
        <v>4</v>
      </c>
    </row>
    <row r="652" spans="1:3" x14ac:dyDescent="0.25">
      <c r="A652">
        <v>13281615591</v>
      </c>
      <c r="B652" t="s">
        <v>14</v>
      </c>
      <c r="C652" t="s">
        <v>4</v>
      </c>
    </row>
    <row r="653" spans="1:3" x14ac:dyDescent="0.25">
      <c r="A653">
        <v>22260628520</v>
      </c>
      <c r="B653" t="s">
        <v>19</v>
      </c>
      <c r="C653" t="s">
        <v>6</v>
      </c>
    </row>
    <row r="654" spans="1:3" x14ac:dyDescent="0.25">
      <c r="A654">
        <v>16262990056</v>
      </c>
      <c r="B654" t="s">
        <v>5</v>
      </c>
      <c r="C654" t="s">
        <v>4</v>
      </c>
    </row>
    <row r="655" spans="1:3" x14ac:dyDescent="0.25">
      <c r="A655">
        <v>3262578326</v>
      </c>
      <c r="B655" t="s">
        <v>7</v>
      </c>
      <c r="C655" t="s">
        <v>4</v>
      </c>
    </row>
    <row r="656" spans="1:3" x14ac:dyDescent="0.25">
      <c r="A656">
        <v>8261654831</v>
      </c>
      <c r="B656" t="s">
        <v>18</v>
      </c>
      <c r="C656" t="s">
        <v>6</v>
      </c>
    </row>
    <row r="657" spans="1:3" x14ac:dyDescent="0.25">
      <c r="A657">
        <v>7221636355</v>
      </c>
      <c r="B657" t="s">
        <v>19</v>
      </c>
      <c r="C657" t="s">
        <v>4</v>
      </c>
    </row>
    <row r="658" spans="1:3" x14ac:dyDescent="0.25">
      <c r="A658">
        <v>3221064390</v>
      </c>
      <c r="B658" t="s">
        <v>19</v>
      </c>
      <c r="C658" t="s">
        <v>4</v>
      </c>
    </row>
    <row r="659" spans="1:3" x14ac:dyDescent="0.25">
      <c r="A659">
        <v>11260890223</v>
      </c>
      <c r="B659" t="s">
        <v>9</v>
      </c>
      <c r="C659" t="s">
        <v>4</v>
      </c>
    </row>
    <row r="660" spans="1:3" x14ac:dyDescent="0.25">
      <c r="A660">
        <v>14241199184</v>
      </c>
      <c r="B660" t="s">
        <v>7</v>
      </c>
      <c r="C660" t="s">
        <v>4</v>
      </c>
    </row>
    <row r="661" spans="1:3" x14ac:dyDescent="0.25">
      <c r="A661">
        <v>12241226916</v>
      </c>
      <c r="B661" t="s">
        <v>19</v>
      </c>
      <c r="C661" t="s">
        <v>4</v>
      </c>
    </row>
    <row r="662" spans="1:3" x14ac:dyDescent="0.25">
      <c r="A662">
        <v>4213122199</v>
      </c>
      <c r="B662" t="s">
        <v>20</v>
      </c>
      <c r="C662" t="s">
        <v>6</v>
      </c>
    </row>
    <row r="663" spans="1:3" x14ac:dyDescent="0.25">
      <c r="A663">
        <v>10240797842</v>
      </c>
      <c r="B663" t="s">
        <v>10</v>
      </c>
      <c r="C663" t="s">
        <v>4</v>
      </c>
    </row>
    <row r="664" spans="1:3" x14ac:dyDescent="0.25">
      <c r="A664">
        <v>19251159416</v>
      </c>
      <c r="B664" t="s">
        <v>17</v>
      </c>
      <c r="C664" t="s">
        <v>6</v>
      </c>
    </row>
    <row r="665" spans="1:3" x14ac:dyDescent="0.25">
      <c r="A665">
        <v>2210829651</v>
      </c>
      <c r="B665" t="s">
        <v>14</v>
      </c>
      <c r="C665" t="s">
        <v>4</v>
      </c>
    </row>
    <row r="666" spans="1:3" x14ac:dyDescent="0.25">
      <c r="A666">
        <v>16320390840</v>
      </c>
      <c r="B666" t="s">
        <v>19</v>
      </c>
      <c r="C666" t="s">
        <v>4</v>
      </c>
    </row>
    <row r="667" spans="1:3" x14ac:dyDescent="0.25">
      <c r="A667">
        <v>22290574762</v>
      </c>
      <c r="B667" t="s">
        <v>14</v>
      </c>
      <c r="C667" t="s">
        <v>4</v>
      </c>
    </row>
    <row r="668" spans="1:3" x14ac:dyDescent="0.25">
      <c r="A668">
        <v>15272803226</v>
      </c>
      <c r="B668" t="s">
        <v>17</v>
      </c>
      <c r="C668" t="s">
        <v>4</v>
      </c>
    </row>
    <row r="669" spans="1:3" x14ac:dyDescent="0.25">
      <c r="A669">
        <v>22301213239</v>
      </c>
      <c r="B669" t="s">
        <v>11</v>
      </c>
      <c r="C669" t="s">
        <v>4</v>
      </c>
    </row>
    <row r="670" spans="1:3" x14ac:dyDescent="0.25">
      <c r="A670">
        <v>12293034558</v>
      </c>
      <c r="B670" t="s">
        <v>3</v>
      </c>
      <c r="C670" t="s">
        <v>6</v>
      </c>
    </row>
    <row r="671" spans="1:3" x14ac:dyDescent="0.25">
      <c r="A671">
        <v>11220493866</v>
      </c>
      <c r="B671" t="s">
        <v>3</v>
      </c>
      <c r="C671" t="s">
        <v>6</v>
      </c>
    </row>
    <row r="672" spans="1:3" x14ac:dyDescent="0.25">
      <c r="A672">
        <v>6321656678</v>
      </c>
      <c r="B672" t="s">
        <v>11</v>
      </c>
      <c r="C672" t="s">
        <v>4</v>
      </c>
    </row>
    <row r="673" spans="1:3" x14ac:dyDescent="0.25">
      <c r="A673">
        <v>8271854737</v>
      </c>
      <c r="B673" t="s">
        <v>10</v>
      </c>
      <c r="C673" t="s">
        <v>4</v>
      </c>
    </row>
    <row r="674" spans="1:3" x14ac:dyDescent="0.25">
      <c r="A674">
        <v>12220169142</v>
      </c>
      <c r="B674" t="s">
        <v>17</v>
      </c>
      <c r="C674" t="s">
        <v>6</v>
      </c>
    </row>
    <row r="675" spans="1:3" x14ac:dyDescent="0.25">
      <c r="A675">
        <v>18271849295</v>
      </c>
      <c r="B675" t="s">
        <v>13</v>
      </c>
      <c r="C675" t="s">
        <v>6</v>
      </c>
    </row>
    <row r="676" spans="1:3" x14ac:dyDescent="0.25">
      <c r="A676">
        <v>6210843055</v>
      </c>
      <c r="B676" t="s">
        <v>14</v>
      </c>
      <c r="C676" t="s">
        <v>6</v>
      </c>
    </row>
    <row r="677" spans="1:3" x14ac:dyDescent="0.25">
      <c r="A677">
        <v>8241312032</v>
      </c>
      <c r="B677" t="s">
        <v>20</v>
      </c>
      <c r="C677" t="s">
        <v>4</v>
      </c>
    </row>
    <row r="678" spans="1:3" x14ac:dyDescent="0.25">
      <c r="A678">
        <v>15321101996</v>
      </c>
      <c r="B678" t="s">
        <v>10</v>
      </c>
      <c r="C678" t="s">
        <v>4</v>
      </c>
    </row>
    <row r="679" spans="1:3" x14ac:dyDescent="0.25">
      <c r="A679">
        <v>9230321604</v>
      </c>
      <c r="B679" t="s">
        <v>11</v>
      </c>
      <c r="C679" t="s">
        <v>4</v>
      </c>
    </row>
    <row r="680" spans="1:3" x14ac:dyDescent="0.25">
      <c r="A680">
        <v>9282257544</v>
      </c>
      <c r="B680" t="s">
        <v>3</v>
      </c>
      <c r="C680" t="s">
        <v>4</v>
      </c>
    </row>
    <row r="681" spans="1:3" x14ac:dyDescent="0.25">
      <c r="A681">
        <v>12272278496</v>
      </c>
      <c r="B681" t="s">
        <v>15</v>
      </c>
      <c r="C681" t="s">
        <v>4</v>
      </c>
    </row>
    <row r="682" spans="1:3" x14ac:dyDescent="0.25">
      <c r="A682">
        <v>6261714801</v>
      </c>
      <c r="B682" t="s">
        <v>3</v>
      </c>
      <c r="C682" t="s">
        <v>6</v>
      </c>
    </row>
    <row r="683" spans="1:3" x14ac:dyDescent="0.25">
      <c r="A683">
        <v>12290662086</v>
      </c>
      <c r="B683" t="s">
        <v>13</v>
      </c>
      <c r="C683" t="s">
        <v>6</v>
      </c>
    </row>
    <row r="684" spans="1:3" x14ac:dyDescent="0.25">
      <c r="A684">
        <v>13222347822</v>
      </c>
      <c r="B684" t="s">
        <v>13</v>
      </c>
      <c r="C684" t="s">
        <v>6</v>
      </c>
    </row>
    <row r="685" spans="1:3" x14ac:dyDescent="0.25">
      <c r="A685">
        <v>17292749872</v>
      </c>
      <c r="B685" t="s">
        <v>10</v>
      </c>
      <c r="C685" t="s">
        <v>4</v>
      </c>
    </row>
    <row r="686" spans="1:3" x14ac:dyDescent="0.25">
      <c r="A686">
        <v>19302110146</v>
      </c>
      <c r="B686" t="s">
        <v>17</v>
      </c>
      <c r="C686" t="s">
        <v>4</v>
      </c>
    </row>
    <row r="687" spans="1:3" x14ac:dyDescent="0.25">
      <c r="A687">
        <v>13240361611</v>
      </c>
      <c r="B687" t="s">
        <v>7</v>
      </c>
      <c r="C687" t="s">
        <v>6</v>
      </c>
    </row>
    <row r="688" spans="1:3" x14ac:dyDescent="0.25">
      <c r="A688">
        <v>15240354042</v>
      </c>
      <c r="B688" t="s">
        <v>17</v>
      </c>
      <c r="C688" t="s">
        <v>6</v>
      </c>
    </row>
    <row r="689" spans="1:3" x14ac:dyDescent="0.25">
      <c r="A689">
        <v>13301915474</v>
      </c>
      <c r="B689" t="s">
        <v>3</v>
      </c>
      <c r="C689" t="s">
        <v>6</v>
      </c>
    </row>
    <row r="690" spans="1:3" x14ac:dyDescent="0.25">
      <c r="A690">
        <v>19262778871</v>
      </c>
      <c r="B690" t="s">
        <v>20</v>
      </c>
      <c r="C690" t="s">
        <v>6</v>
      </c>
    </row>
    <row r="691" spans="1:3" x14ac:dyDescent="0.25">
      <c r="A691">
        <v>13280978334</v>
      </c>
      <c r="B691" t="s">
        <v>9</v>
      </c>
      <c r="C691" t="s">
        <v>4</v>
      </c>
    </row>
    <row r="692" spans="1:3" x14ac:dyDescent="0.25">
      <c r="A692">
        <v>14302824284</v>
      </c>
      <c r="B692" t="s">
        <v>20</v>
      </c>
      <c r="C692" t="s">
        <v>6</v>
      </c>
    </row>
    <row r="693" spans="1:3" x14ac:dyDescent="0.25">
      <c r="A693">
        <v>11272805824</v>
      </c>
      <c r="B693" t="s">
        <v>10</v>
      </c>
      <c r="C693" t="s">
        <v>4</v>
      </c>
    </row>
    <row r="694" spans="1:3" x14ac:dyDescent="0.25">
      <c r="A694">
        <v>5291879913</v>
      </c>
      <c r="B694" t="s">
        <v>19</v>
      </c>
      <c r="C694" t="s">
        <v>6</v>
      </c>
    </row>
    <row r="695" spans="1:3" x14ac:dyDescent="0.25">
      <c r="A695">
        <v>14212729259</v>
      </c>
      <c r="B695" t="s">
        <v>19</v>
      </c>
      <c r="C695" t="s">
        <v>4</v>
      </c>
    </row>
    <row r="696" spans="1:3" x14ac:dyDescent="0.25">
      <c r="A696">
        <v>3210117463</v>
      </c>
      <c r="B696" t="s">
        <v>19</v>
      </c>
      <c r="C696" t="s">
        <v>6</v>
      </c>
    </row>
    <row r="697" spans="1:3" x14ac:dyDescent="0.25">
      <c r="A697">
        <v>14291498509</v>
      </c>
      <c r="B697" t="s">
        <v>16</v>
      </c>
      <c r="C697" t="s">
        <v>6</v>
      </c>
    </row>
    <row r="698" spans="1:3" x14ac:dyDescent="0.25">
      <c r="A698">
        <v>12300620789</v>
      </c>
      <c r="B698" t="s">
        <v>12</v>
      </c>
      <c r="C698" t="s">
        <v>6</v>
      </c>
    </row>
    <row r="699" spans="1:3" x14ac:dyDescent="0.25">
      <c r="A699">
        <v>16230803856</v>
      </c>
      <c r="B699" t="s">
        <v>11</v>
      </c>
      <c r="C699" t="s">
        <v>6</v>
      </c>
    </row>
    <row r="700" spans="1:3" x14ac:dyDescent="0.25">
      <c r="A700">
        <v>1220719112</v>
      </c>
      <c r="B700" t="s">
        <v>11</v>
      </c>
      <c r="C700" t="s">
        <v>6</v>
      </c>
    </row>
    <row r="701" spans="1:3" x14ac:dyDescent="0.25">
      <c r="A701">
        <v>19220908124</v>
      </c>
      <c r="B701" t="s">
        <v>20</v>
      </c>
      <c r="C701" t="s">
        <v>4</v>
      </c>
    </row>
    <row r="702" spans="1:3" x14ac:dyDescent="0.25">
      <c r="A702">
        <v>7240788697</v>
      </c>
      <c r="B702" t="s">
        <v>10</v>
      </c>
      <c r="C702" t="s">
        <v>4</v>
      </c>
    </row>
    <row r="703" spans="1:3" x14ac:dyDescent="0.25">
      <c r="A703">
        <v>6292261558</v>
      </c>
      <c r="B703" t="s">
        <v>18</v>
      </c>
      <c r="C703" t="s">
        <v>4</v>
      </c>
    </row>
    <row r="704" spans="1:3" x14ac:dyDescent="0.25">
      <c r="A704">
        <v>17311142206</v>
      </c>
      <c r="B704" t="s">
        <v>10</v>
      </c>
      <c r="C704" t="s">
        <v>4</v>
      </c>
    </row>
    <row r="705" spans="1:3" x14ac:dyDescent="0.25">
      <c r="A705">
        <v>16321147489</v>
      </c>
      <c r="B705" t="s">
        <v>17</v>
      </c>
      <c r="C705" t="s">
        <v>4</v>
      </c>
    </row>
    <row r="706" spans="1:3" x14ac:dyDescent="0.25">
      <c r="A706">
        <v>6292135242</v>
      </c>
      <c r="B706" t="s">
        <v>19</v>
      </c>
      <c r="C706" t="s">
        <v>6</v>
      </c>
    </row>
    <row r="707" spans="1:3" x14ac:dyDescent="0.25">
      <c r="A707">
        <v>5230870575</v>
      </c>
      <c r="B707" t="s">
        <v>15</v>
      </c>
      <c r="C707" t="s">
        <v>6</v>
      </c>
    </row>
    <row r="708" spans="1:3" x14ac:dyDescent="0.25">
      <c r="A708">
        <v>18271449174</v>
      </c>
      <c r="B708" t="s">
        <v>7</v>
      </c>
      <c r="C708" t="s">
        <v>4</v>
      </c>
    </row>
    <row r="709" spans="1:3" x14ac:dyDescent="0.25">
      <c r="A709">
        <v>6321258252</v>
      </c>
      <c r="B709" t="s">
        <v>5</v>
      </c>
      <c r="C709" t="s">
        <v>4</v>
      </c>
    </row>
    <row r="710" spans="1:3" x14ac:dyDescent="0.25">
      <c r="A710">
        <v>18262630525</v>
      </c>
      <c r="B710" t="s">
        <v>8</v>
      </c>
      <c r="C710" t="s">
        <v>6</v>
      </c>
    </row>
    <row r="711" spans="1:3" x14ac:dyDescent="0.25">
      <c r="A711">
        <v>7261242695</v>
      </c>
      <c r="B711" t="s">
        <v>7</v>
      </c>
      <c r="C711" t="s">
        <v>4</v>
      </c>
    </row>
    <row r="712" spans="1:3" x14ac:dyDescent="0.25">
      <c r="A712">
        <v>8300675577</v>
      </c>
      <c r="B712" t="s">
        <v>16</v>
      </c>
      <c r="C712" t="s">
        <v>4</v>
      </c>
    </row>
    <row r="713" spans="1:3" x14ac:dyDescent="0.25">
      <c r="A713">
        <v>8221193888</v>
      </c>
      <c r="B713" t="s">
        <v>10</v>
      </c>
      <c r="C713" t="s">
        <v>6</v>
      </c>
    </row>
    <row r="714" spans="1:3" x14ac:dyDescent="0.25">
      <c r="A714">
        <v>5220192948</v>
      </c>
      <c r="B714" t="s">
        <v>10</v>
      </c>
      <c r="C714" t="s">
        <v>4</v>
      </c>
    </row>
    <row r="715" spans="1:3" x14ac:dyDescent="0.25">
      <c r="A715">
        <v>11222023223</v>
      </c>
      <c r="B715" t="s">
        <v>12</v>
      </c>
      <c r="C715" t="s">
        <v>4</v>
      </c>
    </row>
    <row r="716" spans="1:3" x14ac:dyDescent="0.25">
      <c r="A716">
        <v>18320215404</v>
      </c>
      <c r="B716" t="s">
        <v>18</v>
      </c>
      <c r="C716" t="s">
        <v>4</v>
      </c>
    </row>
    <row r="717" spans="1:3" x14ac:dyDescent="0.25">
      <c r="A717">
        <v>19303024725</v>
      </c>
      <c r="B717" t="s">
        <v>3</v>
      </c>
      <c r="C717" t="s">
        <v>6</v>
      </c>
    </row>
    <row r="718" spans="1:3" x14ac:dyDescent="0.25">
      <c r="A718">
        <v>16291352676</v>
      </c>
      <c r="B718" t="s">
        <v>3</v>
      </c>
      <c r="C718" t="s">
        <v>6</v>
      </c>
    </row>
    <row r="719" spans="1:3" x14ac:dyDescent="0.25">
      <c r="A719">
        <v>8250619858</v>
      </c>
      <c r="B719" t="s">
        <v>18</v>
      </c>
      <c r="C719" t="s">
        <v>4</v>
      </c>
    </row>
    <row r="720" spans="1:3" x14ac:dyDescent="0.25">
      <c r="A720">
        <v>5263016560</v>
      </c>
      <c r="B720" t="s">
        <v>20</v>
      </c>
      <c r="C720" t="s">
        <v>6</v>
      </c>
    </row>
    <row r="721" spans="1:3" x14ac:dyDescent="0.25">
      <c r="A721">
        <v>213181006</v>
      </c>
      <c r="B721" t="s">
        <v>13</v>
      </c>
      <c r="C721" t="s">
        <v>6</v>
      </c>
    </row>
    <row r="722" spans="1:3" x14ac:dyDescent="0.25">
      <c r="A722">
        <v>8322760361</v>
      </c>
      <c r="B722" t="s">
        <v>18</v>
      </c>
      <c r="C722" t="s">
        <v>6</v>
      </c>
    </row>
    <row r="723" spans="1:3" x14ac:dyDescent="0.25">
      <c r="A723">
        <v>16251548464</v>
      </c>
      <c r="B723" t="s">
        <v>5</v>
      </c>
      <c r="C723" t="s">
        <v>4</v>
      </c>
    </row>
    <row r="724" spans="1:3" x14ac:dyDescent="0.25">
      <c r="A724">
        <v>10292707398</v>
      </c>
      <c r="B724" t="s">
        <v>13</v>
      </c>
      <c r="C724" t="s">
        <v>6</v>
      </c>
    </row>
    <row r="725" spans="1:3" x14ac:dyDescent="0.25">
      <c r="A725">
        <v>14231316500</v>
      </c>
      <c r="B725" t="s">
        <v>13</v>
      </c>
      <c r="C725" t="s">
        <v>6</v>
      </c>
    </row>
    <row r="726" spans="1:3" x14ac:dyDescent="0.25">
      <c r="A726">
        <v>21222678682</v>
      </c>
      <c r="B726" t="s">
        <v>14</v>
      </c>
      <c r="C726" t="s">
        <v>4</v>
      </c>
    </row>
    <row r="727" spans="1:3" x14ac:dyDescent="0.25">
      <c r="A727">
        <v>12292215862</v>
      </c>
      <c r="B727" t="s">
        <v>17</v>
      </c>
      <c r="C727" t="s">
        <v>6</v>
      </c>
    </row>
    <row r="728" spans="1:3" x14ac:dyDescent="0.25">
      <c r="A728">
        <v>7282982598</v>
      </c>
      <c r="B728" t="s">
        <v>13</v>
      </c>
      <c r="C728" t="s">
        <v>6</v>
      </c>
    </row>
    <row r="729" spans="1:3" x14ac:dyDescent="0.25">
      <c r="A729">
        <v>9220591189</v>
      </c>
      <c r="B729" t="s">
        <v>19</v>
      </c>
      <c r="C729" t="s">
        <v>6</v>
      </c>
    </row>
    <row r="730" spans="1:3" x14ac:dyDescent="0.25">
      <c r="A730">
        <v>21230117469</v>
      </c>
      <c r="B730" t="s">
        <v>18</v>
      </c>
      <c r="C730" t="s">
        <v>6</v>
      </c>
    </row>
    <row r="731" spans="1:3" x14ac:dyDescent="0.25">
      <c r="A731">
        <v>11312331944</v>
      </c>
      <c r="B731" t="s">
        <v>16</v>
      </c>
      <c r="C731" t="s">
        <v>4</v>
      </c>
    </row>
    <row r="732" spans="1:3" x14ac:dyDescent="0.25">
      <c r="A732">
        <v>9240629666</v>
      </c>
      <c r="B732" t="s">
        <v>14</v>
      </c>
      <c r="C732" t="s">
        <v>4</v>
      </c>
    </row>
    <row r="733" spans="1:3" x14ac:dyDescent="0.25">
      <c r="A733">
        <v>312160294</v>
      </c>
      <c r="B733" t="s">
        <v>15</v>
      </c>
      <c r="C733" t="s">
        <v>6</v>
      </c>
    </row>
    <row r="734" spans="1:3" x14ac:dyDescent="0.25">
      <c r="A734">
        <v>8281110832</v>
      </c>
      <c r="B734" t="s">
        <v>20</v>
      </c>
      <c r="C734" t="s">
        <v>4</v>
      </c>
    </row>
    <row r="735" spans="1:3" x14ac:dyDescent="0.25">
      <c r="A735">
        <v>5221259161</v>
      </c>
      <c r="B735" t="s">
        <v>17</v>
      </c>
      <c r="C735" t="s">
        <v>6</v>
      </c>
    </row>
    <row r="736" spans="1:3" x14ac:dyDescent="0.25">
      <c r="A736">
        <v>16212479677</v>
      </c>
      <c r="B736" t="s">
        <v>11</v>
      </c>
      <c r="C736" t="s">
        <v>4</v>
      </c>
    </row>
    <row r="737" spans="1:3" x14ac:dyDescent="0.25">
      <c r="A737">
        <v>15300618013</v>
      </c>
      <c r="B737" t="s">
        <v>20</v>
      </c>
      <c r="C737" t="s">
        <v>4</v>
      </c>
    </row>
    <row r="738" spans="1:3" x14ac:dyDescent="0.25">
      <c r="A738">
        <v>15291801395</v>
      </c>
      <c r="B738" t="s">
        <v>5</v>
      </c>
      <c r="C738" t="s">
        <v>4</v>
      </c>
    </row>
    <row r="739" spans="1:3" x14ac:dyDescent="0.25">
      <c r="A739">
        <v>19301521378</v>
      </c>
      <c r="B739" t="s">
        <v>19</v>
      </c>
      <c r="C739" t="s">
        <v>6</v>
      </c>
    </row>
    <row r="740" spans="1:3" x14ac:dyDescent="0.25">
      <c r="A740">
        <v>3211413360</v>
      </c>
      <c r="B740" t="s">
        <v>12</v>
      </c>
      <c r="C740" t="s">
        <v>4</v>
      </c>
    </row>
    <row r="741" spans="1:3" x14ac:dyDescent="0.25">
      <c r="A741">
        <v>6242125787</v>
      </c>
      <c r="B741" t="s">
        <v>11</v>
      </c>
      <c r="C741" t="s">
        <v>4</v>
      </c>
    </row>
    <row r="742" spans="1:3" x14ac:dyDescent="0.25">
      <c r="A742">
        <v>3252816289</v>
      </c>
      <c r="B742" t="s">
        <v>17</v>
      </c>
      <c r="C742" t="s">
        <v>4</v>
      </c>
    </row>
    <row r="743" spans="1:3" x14ac:dyDescent="0.25">
      <c r="A743">
        <v>16292924229</v>
      </c>
      <c r="B743" t="s">
        <v>12</v>
      </c>
      <c r="C743" t="s">
        <v>4</v>
      </c>
    </row>
    <row r="744" spans="1:3" x14ac:dyDescent="0.25">
      <c r="A744">
        <v>272757774</v>
      </c>
      <c r="B744" t="s">
        <v>16</v>
      </c>
      <c r="C744" t="s">
        <v>6</v>
      </c>
    </row>
    <row r="745" spans="1:3" x14ac:dyDescent="0.25">
      <c r="A745">
        <v>6252143218</v>
      </c>
      <c r="B745" t="s">
        <v>12</v>
      </c>
      <c r="C745" t="s">
        <v>6</v>
      </c>
    </row>
    <row r="746" spans="1:3" x14ac:dyDescent="0.25">
      <c r="A746">
        <v>12241783008</v>
      </c>
      <c r="B746" t="s">
        <v>12</v>
      </c>
      <c r="C746" t="s">
        <v>6</v>
      </c>
    </row>
    <row r="747" spans="1:3" x14ac:dyDescent="0.25">
      <c r="A747">
        <v>17250119602</v>
      </c>
      <c r="B747" t="s">
        <v>19</v>
      </c>
      <c r="C747" t="s">
        <v>6</v>
      </c>
    </row>
    <row r="748" spans="1:3" x14ac:dyDescent="0.25">
      <c r="A748">
        <v>15312624240</v>
      </c>
      <c r="B748" t="s">
        <v>5</v>
      </c>
      <c r="C748" t="s">
        <v>6</v>
      </c>
    </row>
    <row r="749" spans="1:3" x14ac:dyDescent="0.25">
      <c r="A749">
        <v>11261383104</v>
      </c>
      <c r="B749" t="s">
        <v>14</v>
      </c>
      <c r="C749" t="s">
        <v>4</v>
      </c>
    </row>
    <row r="750" spans="1:3" x14ac:dyDescent="0.25">
      <c r="A750">
        <v>11270859559</v>
      </c>
      <c r="B750" t="s">
        <v>13</v>
      </c>
      <c r="C750" t="s">
        <v>4</v>
      </c>
    </row>
    <row r="751" spans="1:3" x14ac:dyDescent="0.25">
      <c r="A751">
        <v>13251052847</v>
      </c>
      <c r="B751" t="s">
        <v>15</v>
      </c>
      <c r="C751" t="s">
        <v>4</v>
      </c>
    </row>
    <row r="752" spans="1:3" x14ac:dyDescent="0.25">
      <c r="A752">
        <v>16251477472</v>
      </c>
      <c r="B752" t="s">
        <v>20</v>
      </c>
      <c r="C752" t="s">
        <v>4</v>
      </c>
    </row>
    <row r="753" spans="1:3" x14ac:dyDescent="0.25">
      <c r="A753">
        <v>21270269818</v>
      </c>
      <c r="B753" t="s">
        <v>12</v>
      </c>
      <c r="C753" t="s">
        <v>6</v>
      </c>
    </row>
    <row r="754" spans="1:3" x14ac:dyDescent="0.25">
      <c r="A754">
        <v>7233171240</v>
      </c>
      <c r="B754" t="s">
        <v>16</v>
      </c>
      <c r="C754" t="s">
        <v>6</v>
      </c>
    </row>
    <row r="755" spans="1:3" x14ac:dyDescent="0.25">
      <c r="A755">
        <v>6240685911</v>
      </c>
      <c r="B755" t="s">
        <v>14</v>
      </c>
      <c r="C755" t="s">
        <v>4</v>
      </c>
    </row>
    <row r="756" spans="1:3" x14ac:dyDescent="0.25">
      <c r="A756">
        <v>8230748288</v>
      </c>
      <c r="B756" t="s">
        <v>8</v>
      </c>
      <c r="C756" t="s">
        <v>4</v>
      </c>
    </row>
    <row r="757" spans="1:3" x14ac:dyDescent="0.25">
      <c r="A757">
        <v>10272638467</v>
      </c>
      <c r="B757" t="s">
        <v>19</v>
      </c>
      <c r="C757" t="s">
        <v>4</v>
      </c>
    </row>
    <row r="758" spans="1:3" x14ac:dyDescent="0.25">
      <c r="A758">
        <v>2222614214</v>
      </c>
      <c r="B758" t="s">
        <v>18</v>
      </c>
      <c r="C758" t="s">
        <v>4</v>
      </c>
    </row>
    <row r="759" spans="1:3" x14ac:dyDescent="0.25">
      <c r="A759">
        <v>2300270619</v>
      </c>
      <c r="B759" t="s">
        <v>8</v>
      </c>
      <c r="C759" t="s">
        <v>4</v>
      </c>
    </row>
    <row r="760" spans="1:3" x14ac:dyDescent="0.25">
      <c r="A760">
        <v>2320180006</v>
      </c>
      <c r="B760" t="s">
        <v>5</v>
      </c>
      <c r="C760" t="s">
        <v>4</v>
      </c>
    </row>
    <row r="761" spans="1:3" x14ac:dyDescent="0.25">
      <c r="A761">
        <v>10231388673</v>
      </c>
      <c r="B761" t="s">
        <v>17</v>
      </c>
      <c r="C761" t="s">
        <v>4</v>
      </c>
    </row>
    <row r="762" spans="1:3" x14ac:dyDescent="0.25">
      <c r="A762">
        <v>1211693203</v>
      </c>
      <c r="B762" t="s">
        <v>5</v>
      </c>
      <c r="C762" t="s">
        <v>6</v>
      </c>
    </row>
    <row r="763" spans="1:3" x14ac:dyDescent="0.25">
      <c r="A763">
        <v>19221918386</v>
      </c>
      <c r="B763" t="s">
        <v>3</v>
      </c>
      <c r="C763" t="s">
        <v>4</v>
      </c>
    </row>
    <row r="764" spans="1:3" x14ac:dyDescent="0.25">
      <c r="A764">
        <v>21242102774</v>
      </c>
      <c r="B764" t="s">
        <v>16</v>
      </c>
      <c r="C764" t="s">
        <v>4</v>
      </c>
    </row>
    <row r="765" spans="1:3" x14ac:dyDescent="0.25">
      <c r="A765">
        <v>21220329306</v>
      </c>
      <c r="B765" t="s">
        <v>12</v>
      </c>
      <c r="C765" t="s">
        <v>4</v>
      </c>
    </row>
    <row r="766" spans="1:3" x14ac:dyDescent="0.25">
      <c r="A766">
        <v>2301356646</v>
      </c>
      <c r="B766" t="s">
        <v>7</v>
      </c>
      <c r="C766" t="s">
        <v>4</v>
      </c>
    </row>
    <row r="767" spans="1:3" x14ac:dyDescent="0.25">
      <c r="A767">
        <v>322554973</v>
      </c>
      <c r="B767" t="s">
        <v>16</v>
      </c>
      <c r="C767" t="s">
        <v>4</v>
      </c>
    </row>
    <row r="768" spans="1:3" x14ac:dyDescent="0.25">
      <c r="A768">
        <v>13281180844</v>
      </c>
      <c r="B768" t="s">
        <v>15</v>
      </c>
      <c r="C768" t="s">
        <v>4</v>
      </c>
    </row>
    <row r="769" spans="1:3" x14ac:dyDescent="0.25">
      <c r="A769">
        <v>8291177821</v>
      </c>
      <c r="B769" t="s">
        <v>14</v>
      </c>
      <c r="C769" t="s">
        <v>4</v>
      </c>
    </row>
    <row r="770" spans="1:3" x14ac:dyDescent="0.25">
      <c r="A770">
        <v>9211086504</v>
      </c>
      <c r="B770" t="s">
        <v>10</v>
      </c>
      <c r="C770" t="s">
        <v>6</v>
      </c>
    </row>
    <row r="771" spans="1:3" x14ac:dyDescent="0.25">
      <c r="A771">
        <v>4322699630</v>
      </c>
      <c r="B771" t="s">
        <v>13</v>
      </c>
      <c r="C771" t="s">
        <v>4</v>
      </c>
    </row>
    <row r="772" spans="1:3" x14ac:dyDescent="0.25">
      <c r="A772">
        <v>21291945252</v>
      </c>
      <c r="B772" t="s">
        <v>7</v>
      </c>
      <c r="C772" t="s">
        <v>4</v>
      </c>
    </row>
    <row r="773" spans="1:3" x14ac:dyDescent="0.25">
      <c r="A773">
        <v>12272287597</v>
      </c>
      <c r="B773" t="s">
        <v>3</v>
      </c>
      <c r="C773" t="s">
        <v>6</v>
      </c>
    </row>
    <row r="774" spans="1:3" x14ac:dyDescent="0.25">
      <c r="A774">
        <v>10271077511</v>
      </c>
      <c r="B774" t="s">
        <v>7</v>
      </c>
      <c r="C774" t="s">
        <v>4</v>
      </c>
    </row>
    <row r="775" spans="1:3" x14ac:dyDescent="0.25">
      <c r="A775">
        <v>13281776603</v>
      </c>
      <c r="B775" t="s">
        <v>9</v>
      </c>
      <c r="C775" t="s">
        <v>4</v>
      </c>
    </row>
    <row r="776" spans="1:3" x14ac:dyDescent="0.25">
      <c r="A776">
        <v>8321477132</v>
      </c>
      <c r="B776" t="s">
        <v>12</v>
      </c>
      <c r="C776" t="s">
        <v>6</v>
      </c>
    </row>
    <row r="777" spans="1:3" x14ac:dyDescent="0.25">
      <c r="A777">
        <v>3241142483</v>
      </c>
      <c r="B777" t="s">
        <v>12</v>
      </c>
      <c r="C777" t="s">
        <v>4</v>
      </c>
    </row>
    <row r="778" spans="1:3" x14ac:dyDescent="0.25">
      <c r="A778">
        <v>6261817733</v>
      </c>
      <c r="B778" t="s">
        <v>11</v>
      </c>
      <c r="C778" t="s">
        <v>4</v>
      </c>
    </row>
    <row r="779" spans="1:3" x14ac:dyDescent="0.25">
      <c r="A779">
        <v>1322621562</v>
      </c>
      <c r="B779" t="s">
        <v>8</v>
      </c>
      <c r="C779" t="s">
        <v>4</v>
      </c>
    </row>
    <row r="780" spans="1:3" x14ac:dyDescent="0.25">
      <c r="A780">
        <v>2212245123</v>
      </c>
      <c r="B780" t="s">
        <v>5</v>
      </c>
      <c r="C780" t="s">
        <v>6</v>
      </c>
    </row>
    <row r="781" spans="1:3" x14ac:dyDescent="0.25">
      <c r="A781">
        <v>16240578128</v>
      </c>
      <c r="B781" t="s">
        <v>10</v>
      </c>
      <c r="C781" t="s">
        <v>4</v>
      </c>
    </row>
    <row r="782" spans="1:3" x14ac:dyDescent="0.25">
      <c r="A782">
        <v>3260343573</v>
      </c>
      <c r="B782" t="s">
        <v>16</v>
      </c>
      <c r="C782" t="s">
        <v>6</v>
      </c>
    </row>
    <row r="783" spans="1:3" x14ac:dyDescent="0.25">
      <c r="A783">
        <v>1220297225</v>
      </c>
      <c r="B783" t="s">
        <v>5</v>
      </c>
      <c r="C783" t="s">
        <v>4</v>
      </c>
    </row>
    <row r="784" spans="1:3" x14ac:dyDescent="0.25">
      <c r="A784">
        <v>6210896367</v>
      </c>
      <c r="B784" t="s">
        <v>8</v>
      </c>
      <c r="C784" t="s">
        <v>6</v>
      </c>
    </row>
    <row r="785" spans="1:3" x14ac:dyDescent="0.25">
      <c r="A785">
        <v>11321724913</v>
      </c>
      <c r="B785" t="s">
        <v>10</v>
      </c>
      <c r="C785" t="s">
        <v>6</v>
      </c>
    </row>
    <row r="786" spans="1:3" x14ac:dyDescent="0.25">
      <c r="A786">
        <v>8291544285</v>
      </c>
      <c r="B786" t="s">
        <v>5</v>
      </c>
      <c r="C786" t="s">
        <v>4</v>
      </c>
    </row>
    <row r="787" spans="1:3" x14ac:dyDescent="0.25">
      <c r="A787">
        <v>17311176384</v>
      </c>
      <c r="B787" t="s">
        <v>15</v>
      </c>
      <c r="C787" t="s">
        <v>4</v>
      </c>
    </row>
    <row r="788" spans="1:3" x14ac:dyDescent="0.25">
      <c r="A788">
        <v>4220185460</v>
      </c>
      <c r="B788" t="s">
        <v>13</v>
      </c>
      <c r="C788" t="s">
        <v>6</v>
      </c>
    </row>
    <row r="789" spans="1:3" x14ac:dyDescent="0.25">
      <c r="A789">
        <v>22241050839</v>
      </c>
      <c r="B789" t="s">
        <v>8</v>
      </c>
      <c r="C789" t="s">
        <v>4</v>
      </c>
    </row>
    <row r="790" spans="1:3" x14ac:dyDescent="0.25">
      <c r="A790">
        <v>13291881753</v>
      </c>
      <c r="B790" t="s">
        <v>9</v>
      </c>
      <c r="C790" t="s">
        <v>4</v>
      </c>
    </row>
    <row r="791" spans="1:3" x14ac:dyDescent="0.25">
      <c r="A791">
        <v>14292742539</v>
      </c>
      <c r="B791" t="s">
        <v>8</v>
      </c>
      <c r="C791" t="s">
        <v>6</v>
      </c>
    </row>
    <row r="792" spans="1:3" x14ac:dyDescent="0.25">
      <c r="A792">
        <v>20252400425</v>
      </c>
      <c r="B792" t="s">
        <v>9</v>
      </c>
      <c r="C792" t="s">
        <v>4</v>
      </c>
    </row>
    <row r="793" spans="1:3" x14ac:dyDescent="0.25">
      <c r="A793">
        <v>1221128012</v>
      </c>
      <c r="B793" t="s">
        <v>18</v>
      </c>
      <c r="C793" t="s">
        <v>6</v>
      </c>
    </row>
    <row r="794" spans="1:3" x14ac:dyDescent="0.25">
      <c r="A794">
        <v>5290342425</v>
      </c>
      <c r="B794" t="s">
        <v>9</v>
      </c>
      <c r="C794" t="s">
        <v>6</v>
      </c>
    </row>
    <row r="795" spans="1:3" x14ac:dyDescent="0.25">
      <c r="A795">
        <v>8251519232</v>
      </c>
      <c r="B795" t="s">
        <v>9</v>
      </c>
      <c r="C795" t="s">
        <v>6</v>
      </c>
    </row>
    <row r="796" spans="1:3" x14ac:dyDescent="0.25">
      <c r="A796">
        <v>1242346721</v>
      </c>
      <c r="B796" t="s">
        <v>5</v>
      </c>
      <c r="C796" t="s">
        <v>4</v>
      </c>
    </row>
    <row r="797" spans="1:3" x14ac:dyDescent="0.25">
      <c r="A797">
        <v>19221946062</v>
      </c>
      <c r="B797" t="s">
        <v>5</v>
      </c>
      <c r="C797" t="s">
        <v>6</v>
      </c>
    </row>
    <row r="798" spans="1:3" x14ac:dyDescent="0.25">
      <c r="A798">
        <v>2242206231</v>
      </c>
      <c r="B798" t="s">
        <v>17</v>
      </c>
      <c r="C798" t="s">
        <v>4</v>
      </c>
    </row>
    <row r="799" spans="1:3" x14ac:dyDescent="0.25">
      <c r="A799">
        <v>15220366922</v>
      </c>
      <c r="B799" t="s">
        <v>3</v>
      </c>
      <c r="C799" t="s">
        <v>4</v>
      </c>
    </row>
    <row r="800" spans="1:3" x14ac:dyDescent="0.25">
      <c r="A800">
        <v>5270147233</v>
      </c>
      <c r="B800" t="s">
        <v>11</v>
      </c>
      <c r="C800" t="s">
        <v>4</v>
      </c>
    </row>
    <row r="801" spans="1:3" x14ac:dyDescent="0.25">
      <c r="A801">
        <v>7212419974</v>
      </c>
      <c r="B801" t="s">
        <v>13</v>
      </c>
      <c r="C801" t="s">
        <v>6</v>
      </c>
    </row>
    <row r="802" spans="1:3" x14ac:dyDescent="0.25">
      <c r="A802">
        <v>6210742569</v>
      </c>
      <c r="B802" t="s">
        <v>8</v>
      </c>
      <c r="C802" t="s">
        <v>4</v>
      </c>
    </row>
    <row r="803" spans="1:3" x14ac:dyDescent="0.25">
      <c r="A803">
        <v>11230540910</v>
      </c>
      <c r="B803" t="s">
        <v>15</v>
      </c>
      <c r="C803" t="s">
        <v>6</v>
      </c>
    </row>
    <row r="804" spans="1:3" x14ac:dyDescent="0.25">
      <c r="A804">
        <v>9300144173</v>
      </c>
      <c r="B804" t="s">
        <v>8</v>
      </c>
      <c r="C804" t="s">
        <v>6</v>
      </c>
    </row>
    <row r="805" spans="1:3" x14ac:dyDescent="0.25">
      <c r="A805">
        <v>11213025230</v>
      </c>
      <c r="B805" t="s">
        <v>3</v>
      </c>
      <c r="C805" t="s">
        <v>4</v>
      </c>
    </row>
    <row r="806" spans="1:3" x14ac:dyDescent="0.25">
      <c r="A806">
        <v>11320429338</v>
      </c>
      <c r="B806" t="s">
        <v>14</v>
      </c>
      <c r="C806" t="s">
        <v>6</v>
      </c>
    </row>
    <row r="807" spans="1:3" x14ac:dyDescent="0.25">
      <c r="A807">
        <v>20312520250</v>
      </c>
      <c r="B807" t="s">
        <v>5</v>
      </c>
      <c r="C807" t="s">
        <v>4</v>
      </c>
    </row>
    <row r="808" spans="1:3" x14ac:dyDescent="0.25">
      <c r="A808">
        <v>14280583423</v>
      </c>
      <c r="B808" t="s">
        <v>14</v>
      </c>
      <c r="C808" t="s">
        <v>4</v>
      </c>
    </row>
    <row r="809" spans="1:3" x14ac:dyDescent="0.25">
      <c r="A809">
        <v>3221032757</v>
      </c>
      <c r="B809" t="s">
        <v>15</v>
      </c>
      <c r="C809" t="s">
        <v>4</v>
      </c>
    </row>
    <row r="810" spans="1:3" x14ac:dyDescent="0.25">
      <c r="A810">
        <v>16291603888</v>
      </c>
      <c r="B810" t="s">
        <v>13</v>
      </c>
      <c r="C810" t="s">
        <v>6</v>
      </c>
    </row>
    <row r="811" spans="1:3" x14ac:dyDescent="0.25">
      <c r="A811">
        <v>291838700</v>
      </c>
      <c r="B811" t="s">
        <v>11</v>
      </c>
      <c r="C811" t="s">
        <v>4</v>
      </c>
    </row>
    <row r="812" spans="1:3" x14ac:dyDescent="0.25">
      <c r="A812">
        <v>11302022001</v>
      </c>
      <c r="B812" t="s">
        <v>5</v>
      </c>
      <c r="C812" t="s">
        <v>4</v>
      </c>
    </row>
    <row r="813" spans="1:3" x14ac:dyDescent="0.25">
      <c r="A813">
        <v>4272000276</v>
      </c>
      <c r="B813" t="s">
        <v>8</v>
      </c>
      <c r="C813" t="s">
        <v>6</v>
      </c>
    </row>
    <row r="814" spans="1:3" x14ac:dyDescent="0.25">
      <c r="A814">
        <v>262862624</v>
      </c>
      <c r="B814" t="s">
        <v>14</v>
      </c>
      <c r="C814" t="s">
        <v>4</v>
      </c>
    </row>
    <row r="815" spans="1:3" x14ac:dyDescent="0.25">
      <c r="A815">
        <v>7263089155</v>
      </c>
      <c r="B815" t="s">
        <v>20</v>
      </c>
      <c r="C815" t="s">
        <v>4</v>
      </c>
    </row>
    <row r="816" spans="1:3" x14ac:dyDescent="0.25">
      <c r="A816">
        <v>2210196742</v>
      </c>
      <c r="B816" t="s">
        <v>13</v>
      </c>
      <c r="C816" t="s">
        <v>6</v>
      </c>
    </row>
    <row r="817" spans="1:3" x14ac:dyDescent="0.25">
      <c r="A817">
        <v>11301805012</v>
      </c>
      <c r="B817" t="s">
        <v>11</v>
      </c>
      <c r="C817" t="s">
        <v>4</v>
      </c>
    </row>
    <row r="818" spans="1:3" x14ac:dyDescent="0.25">
      <c r="A818">
        <v>10292551560</v>
      </c>
      <c r="B818" t="s">
        <v>8</v>
      </c>
      <c r="C818" t="s">
        <v>4</v>
      </c>
    </row>
    <row r="819" spans="1:3" x14ac:dyDescent="0.25">
      <c r="A819">
        <v>19302646924</v>
      </c>
      <c r="B819" t="s">
        <v>16</v>
      </c>
      <c r="C819" t="s">
        <v>6</v>
      </c>
    </row>
    <row r="820" spans="1:3" x14ac:dyDescent="0.25">
      <c r="A820">
        <v>2290618927</v>
      </c>
      <c r="B820" t="s">
        <v>16</v>
      </c>
      <c r="C820" t="s">
        <v>6</v>
      </c>
    </row>
    <row r="821" spans="1:3" x14ac:dyDescent="0.25">
      <c r="A821">
        <v>1302670779</v>
      </c>
      <c r="B821" t="s">
        <v>5</v>
      </c>
      <c r="C821" t="s">
        <v>6</v>
      </c>
    </row>
    <row r="822" spans="1:3" x14ac:dyDescent="0.25">
      <c r="A822">
        <v>19302687224</v>
      </c>
      <c r="B822" t="s">
        <v>15</v>
      </c>
      <c r="C822" t="s">
        <v>6</v>
      </c>
    </row>
    <row r="823" spans="1:3" x14ac:dyDescent="0.25">
      <c r="A823">
        <v>12260688504</v>
      </c>
      <c r="B823" t="s">
        <v>16</v>
      </c>
      <c r="C823" t="s">
        <v>6</v>
      </c>
    </row>
    <row r="824" spans="1:3" x14ac:dyDescent="0.25">
      <c r="A824">
        <v>241654994</v>
      </c>
      <c r="B824" t="s">
        <v>20</v>
      </c>
      <c r="C824" t="s">
        <v>4</v>
      </c>
    </row>
    <row r="825" spans="1:3" x14ac:dyDescent="0.25">
      <c r="A825">
        <v>291433332</v>
      </c>
      <c r="B825" t="s">
        <v>5</v>
      </c>
      <c r="C825" t="s">
        <v>4</v>
      </c>
    </row>
    <row r="826" spans="1:3" x14ac:dyDescent="0.25">
      <c r="A826">
        <v>9281659309</v>
      </c>
      <c r="B826" t="s">
        <v>19</v>
      </c>
      <c r="C826" t="s">
        <v>4</v>
      </c>
    </row>
    <row r="827" spans="1:3" x14ac:dyDescent="0.25">
      <c r="A827">
        <v>5271072857</v>
      </c>
      <c r="B827" t="s">
        <v>11</v>
      </c>
      <c r="C827" t="s">
        <v>4</v>
      </c>
    </row>
    <row r="828" spans="1:3" x14ac:dyDescent="0.25">
      <c r="A828">
        <v>20222616272</v>
      </c>
      <c r="B828" t="s">
        <v>19</v>
      </c>
      <c r="C828" t="s">
        <v>4</v>
      </c>
    </row>
    <row r="829" spans="1:3" x14ac:dyDescent="0.25">
      <c r="A829">
        <v>2283166327</v>
      </c>
      <c r="B829" t="s">
        <v>18</v>
      </c>
      <c r="C829" t="s">
        <v>6</v>
      </c>
    </row>
    <row r="830" spans="1:3" x14ac:dyDescent="0.25">
      <c r="A830">
        <v>19231080301</v>
      </c>
      <c r="B830" t="s">
        <v>11</v>
      </c>
      <c r="C830" t="s">
        <v>6</v>
      </c>
    </row>
    <row r="831" spans="1:3" x14ac:dyDescent="0.25">
      <c r="A831">
        <v>9301626432</v>
      </c>
      <c r="B831" t="s">
        <v>10</v>
      </c>
      <c r="C831" t="s">
        <v>6</v>
      </c>
    </row>
    <row r="832" spans="1:3" x14ac:dyDescent="0.25">
      <c r="A832">
        <v>12292632894</v>
      </c>
      <c r="B832" t="s">
        <v>3</v>
      </c>
      <c r="C832" t="s">
        <v>4</v>
      </c>
    </row>
    <row r="833" spans="1:3" x14ac:dyDescent="0.25">
      <c r="A833">
        <v>220197337</v>
      </c>
      <c r="B833" t="s">
        <v>9</v>
      </c>
      <c r="C833" t="s">
        <v>6</v>
      </c>
    </row>
    <row r="834" spans="1:3" x14ac:dyDescent="0.25">
      <c r="A834">
        <v>18261827999</v>
      </c>
      <c r="B834" t="s">
        <v>18</v>
      </c>
      <c r="C834" t="s">
        <v>4</v>
      </c>
    </row>
    <row r="835" spans="1:3" x14ac:dyDescent="0.25">
      <c r="A835">
        <v>22280655817</v>
      </c>
      <c r="B835" t="s">
        <v>18</v>
      </c>
      <c r="C835" t="s">
        <v>4</v>
      </c>
    </row>
    <row r="836" spans="1:3" x14ac:dyDescent="0.25">
      <c r="A836">
        <v>21221398701</v>
      </c>
      <c r="B836" t="s">
        <v>19</v>
      </c>
      <c r="C836" t="s">
        <v>6</v>
      </c>
    </row>
    <row r="837" spans="1:3" x14ac:dyDescent="0.25">
      <c r="A837">
        <v>4240223735</v>
      </c>
      <c r="B837" t="s">
        <v>5</v>
      </c>
      <c r="C837" t="s">
        <v>4</v>
      </c>
    </row>
    <row r="838" spans="1:3" x14ac:dyDescent="0.25">
      <c r="A838">
        <v>12312469426</v>
      </c>
      <c r="B838" t="s">
        <v>15</v>
      </c>
      <c r="C838" t="s">
        <v>6</v>
      </c>
    </row>
    <row r="839" spans="1:3" x14ac:dyDescent="0.25">
      <c r="A839">
        <v>9281542067</v>
      </c>
      <c r="B839" t="s">
        <v>3</v>
      </c>
      <c r="C839" t="s">
        <v>6</v>
      </c>
    </row>
    <row r="840" spans="1:3" x14ac:dyDescent="0.25">
      <c r="A840">
        <v>15253008956</v>
      </c>
      <c r="B840" t="s">
        <v>3</v>
      </c>
      <c r="C840" t="s">
        <v>6</v>
      </c>
    </row>
    <row r="841" spans="1:3" x14ac:dyDescent="0.25">
      <c r="A841">
        <v>10220968532</v>
      </c>
      <c r="B841" t="s">
        <v>13</v>
      </c>
      <c r="C841" t="s">
        <v>4</v>
      </c>
    </row>
    <row r="842" spans="1:3" x14ac:dyDescent="0.25">
      <c r="A842">
        <v>5231406151</v>
      </c>
      <c r="B842" t="s">
        <v>5</v>
      </c>
      <c r="C842" t="s">
        <v>4</v>
      </c>
    </row>
    <row r="843" spans="1:3" x14ac:dyDescent="0.25">
      <c r="A843">
        <v>4312426006</v>
      </c>
      <c r="B843" t="s">
        <v>10</v>
      </c>
      <c r="C843" t="s">
        <v>6</v>
      </c>
    </row>
    <row r="844" spans="1:3" x14ac:dyDescent="0.25">
      <c r="A844">
        <v>22290577994</v>
      </c>
      <c r="B844" t="s">
        <v>9</v>
      </c>
      <c r="C844" t="s">
        <v>6</v>
      </c>
    </row>
    <row r="845" spans="1:3" x14ac:dyDescent="0.25">
      <c r="A845">
        <v>19280922601</v>
      </c>
      <c r="B845" t="s">
        <v>3</v>
      </c>
      <c r="C845" t="s">
        <v>4</v>
      </c>
    </row>
    <row r="846" spans="1:3" x14ac:dyDescent="0.25">
      <c r="A846">
        <v>11251095756</v>
      </c>
      <c r="B846" t="s">
        <v>20</v>
      </c>
      <c r="C846" t="s">
        <v>6</v>
      </c>
    </row>
    <row r="847" spans="1:3" x14ac:dyDescent="0.25">
      <c r="A847">
        <v>6220429652</v>
      </c>
      <c r="B847" t="s">
        <v>13</v>
      </c>
      <c r="C847" t="s">
        <v>4</v>
      </c>
    </row>
    <row r="848" spans="1:3" x14ac:dyDescent="0.25">
      <c r="A848">
        <v>7282107661</v>
      </c>
      <c r="B848" t="s">
        <v>3</v>
      </c>
      <c r="C848" t="s">
        <v>4</v>
      </c>
    </row>
    <row r="849" spans="1:3" x14ac:dyDescent="0.25">
      <c r="A849">
        <v>321275130</v>
      </c>
      <c r="B849" t="s">
        <v>11</v>
      </c>
      <c r="C849" t="s">
        <v>6</v>
      </c>
    </row>
    <row r="850" spans="1:3" x14ac:dyDescent="0.25">
      <c r="A850">
        <v>17230169162</v>
      </c>
      <c r="B850" t="s">
        <v>16</v>
      </c>
      <c r="C850" t="s">
        <v>4</v>
      </c>
    </row>
    <row r="851" spans="1:3" x14ac:dyDescent="0.25">
      <c r="A851">
        <v>10252988317</v>
      </c>
      <c r="B851" t="s">
        <v>11</v>
      </c>
      <c r="C851" t="s">
        <v>4</v>
      </c>
    </row>
    <row r="852" spans="1:3" x14ac:dyDescent="0.25">
      <c r="A852">
        <v>11221946127</v>
      </c>
      <c r="B852" t="s">
        <v>12</v>
      </c>
      <c r="C852" t="s">
        <v>6</v>
      </c>
    </row>
    <row r="853" spans="1:3" x14ac:dyDescent="0.25">
      <c r="A853">
        <v>1262279216</v>
      </c>
      <c r="B853" t="s">
        <v>14</v>
      </c>
      <c r="C853" t="s">
        <v>4</v>
      </c>
    </row>
    <row r="854" spans="1:3" x14ac:dyDescent="0.25">
      <c r="A854">
        <v>8232997710</v>
      </c>
      <c r="B854" t="s">
        <v>14</v>
      </c>
      <c r="C854" t="s">
        <v>6</v>
      </c>
    </row>
    <row r="855" spans="1:3" x14ac:dyDescent="0.25">
      <c r="A855">
        <v>15252065891</v>
      </c>
      <c r="B855" t="s">
        <v>3</v>
      </c>
      <c r="C855" t="s">
        <v>4</v>
      </c>
    </row>
    <row r="856" spans="1:3" x14ac:dyDescent="0.25">
      <c r="A856">
        <v>12270628460</v>
      </c>
      <c r="B856" t="s">
        <v>10</v>
      </c>
      <c r="C856" t="s">
        <v>6</v>
      </c>
    </row>
    <row r="857" spans="1:3" x14ac:dyDescent="0.25">
      <c r="A857">
        <v>6292817353</v>
      </c>
      <c r="B857" t="s">
        <v>3</v>
      </c>
      <c r="C857" t="s">
        <v>4</v>
      </c>
    </row>
    <row r="858" spans="1:3" x14ac:dyDescent="0.25">
      <c r="A858">
        <v>20251246970</v>
      </c>
      <c r="B858" t="s">
        <v>16</v>
      </c>
      <c r="C858" t="s">
        <v>6</v>
      </c>
    </row>
    <row r="859" spans="1:3" x14ac:dyDescent="0.25">
      <c r="A859">
        <v>15240174587</v>
      </c>
      <c r="B859" t="s">
        <v>9</v>
      </c>
      <c r="C859" t="s">
        <v>4</v>
      </c>
    </row>
    <row r="860" spans="1:3" x14ac:dyDescent="0.25">
      <c r="A860">
        <v>12220617492</v>
      </c>
      <c r="B860" t="s">
        <v>16</v>
      </c>
      <c r="C860" t="s">
        <v>4</v>
      </c>
    </row>
    <row r="861" spans="1:3" x14ac:dyDescent="0.25">
      <c r="A861">
        <v>1233090512</v>
      </c>
      <c r="B861" t="s">
        <v>13</v>
      </c>
      <c r="C861" t="s">
        <v>4</v>
      </c>
    </row>
    <row r="862" spans="1:3" x14ac:dyDescent="0.25">
      <c r="A862">
        <v>3311712479</v>
      </c>
      <c r="B862" t="s">
        <v>12</v>
      </c>
      <c r="C862" t="s">
        <v>6</v>
      </c>
    </row>
    <row r="863" spans="1:3" x14ac:dyDescent="0.25">
      <c r="A863">
        <v>5261564690</v>
      </c>
      <c r="B863" t="s">
        <v>7</v>
      </c>
      <c r="C863" t="s">
        <v>4</v>
      </c>
    </row>
    <row r="864" spans="1:3" x14ac:dyDescent="0.25">
      <c r="A864">
        <v>19312698724</v>
      </c>
      <c r="B864" t="s">
        <v>16</v>
      </c>
      <c r="C864" t="s">
        <v>4</v>
      </c>
    </row>
    <row r="865" spans="1:3" x14ac:dyDescent="0.25">
      <c r="A865">
        <v>16291742480</v>
      </c>
      <c r="B865" t="s">
        <v>19</v>
      </c>
      <c r="C865" t="s">
        <v>6</v>
      </c>
    </row>
    <row r="866" spans="1:3" x14ac:dyDescent="0.25">
      <c r="A866">
        <v>7221031648</v>
      </c>
      <c r="B866" t="s">
        <v>18</v>
      </c>
      <c r="C866" t="s">
        <v>6</v>
      </c>
    </row>
    <row r="867" spans="1:3" x14ac:dyDescent="0.25">
      <c r="A867">
        <v>6271769888</v>
      </c>
      <c r="B867" t="s">
        <v>17</v>
      </c>
      <c r="C867" t="s">
        <v>4</v>
      </c>
    </row>
    <row r="868" spans="1:3" x14ac:dyDescent="0.25">
      <c r="A868">
        <v>18230851693</v>
      </c>
      <c r="B868" t="s">
        <v>17</v>
      </c>
      <c r="C868" t="s">
        <v>6</v>
      </c>
    </row>
    <row r="869" spans="1:3" x14ac:dyDescent="0.25">
      <c r="A869">
        <v>17251583819</v>
      </c>
      <c r="B869" t="s">
        <v>5</v>
      </c>
      <c r="C869" t="s">
        <v>6</v>
      </c>
    </row>
    <row r="870" spans="1:3" x14ac:dyDescent="0.25">
      <c r="A870">
        <v>19222247988</v>
      </c>
      <c r="B870" t="s">
        <v>17</v>
      </c>
      <c r="C870" t="s">
        <v>6</v>
      </c>
    </row>
    <row r="871" spans="1:3" x14ac:dyDescent="0.25">
      <c r="A871">
        <v>21291587975</v>
      </c>
      <c r="B871" t="s">
        <v>5</v>
      </c>
      <c r="C871" t="s">
        <v>6</v>
      </c>
    </row>
    <row r="872" spans="1:3" x14ac:dyDescent="0.25">
      <c r="A872">
        <v>20251580243</v>
      </c>
      <c r="B872" t="s">
        <v>17</v>
      </c>
      <c r="C872" t="s">
        <v>6</v>
      </c>
    </row>
    <row r="873" spans="1:3" x14ac:dyDescent="0.25">
      <c r="A873">
        <v>4292335426</v>
      </c>
      <c r="B873" t="s">
        <v>18</v>
      </c>
      <c r="C873" t="s">
        <v>6</v>
      </c>
    </row>
    <row r="874" spans="1:3" x14ac:dyDescent="0.25">
      <c r="A874">
        <v>19212365544</v>
      </c>
      <c r="B874" t="s">
        <v>17</v>
      </c>
      <c r="C874" t="s">
        <v>4</v>
      </c>
    </row>
    <row r="875" spans="1:3" x14ac:dyDescent="0.25">
      <c r="A875">
        <v>3212825508</v>
      </c>
      <c r="B875" t="s">
        <v>3</v>
      </c>
      <c r="C875" t="s">
        <v>6</v>
      </c>
    </row>
    <row r="876" spans="1:3" x14ac:dyDescent="0.25">
      <c r="A876">
        <v>8231950989</v>
      </c>
      <c r="B876" t="s">
        <v>20</v>
      </c>
      <c r="C876" t="s">
        <v>6</v>
      </c>
    </row>
    <row r="877" spans="1:3" x14ac:dyDescent="0.25">
      <c r="A877">
        <v>18290225326</v>
      </c>
      <c r="B877" t="s">
        <v>20</v>
      </c>
      <c r="C877" t="s">
        <v>4</v>
      </c>
    </row>
    <row r="878" spans="1:3" x14ac:dyDescent="0.25">
      <c r="A878">
        <v>14270954859</v>
      </c>
      <c r="B878" t="s">
        <v>9</v>
      </c>
      <c r="C878" t="s">
        <v>6</v>
      </c>
    </row>
    <row r="879" spans="1:3" x14ac:dyDescent="0.25">
      <c r="A879">
        <v>21320534080</v>
      </c>
      <c r="B879" t="s">
        <v>3</v>
      </c>
      <c r="C879" t="s">
        <v>4</v>
      </c>
    </row>
    <row r="880" spans="1:3" x14ac:dyDescent="0.25">
      <c r="A880">
        <v>15280299664</v>
      </c>
      <c r="B880" t="s">
        <v>14</v>
      </c>
      <c r="C880" t="s">
        <v>6</v>
      </c>
    </row>
    <row r="881" spans="1:3" x14ac:dyDescent="0.25">
      <c r="A881">
        <v>8231643490</v>
      </c>
      <c r="B881" t="s">
        <v>12</v>
      </c>
      <c r="C881" t="s">
        <v>4</v>
      </c>
    </row>
    <row r="882" spans="1:3" x14ac:dyDescent="0.25">
      <c r="A882">
        <v>4272996258</v>
      </c>
      <c r="B882" t="s">
        <v>15</v>
      </c>
      <c r="C882" t="s">
        <v>6</v>
      </c>
    </row>
    <row r="883" spans="1:3" x14ac:dyDescent="0.25">
      <c r="A883">
        <v>6290719237</v>
      </c>
      <c r="B883" t="s">
        <v>19</v>
      </c>
      <c r="C883" t="s">
        <v>4</v>
      </c>
    </row>
    <row r="884" spans="1:3" x14ac:dyDescent="0.25">
      <c r="A884">
        <v>301200651</v>
      </c>
      <c r="B884" t="s">
        <v>11</v>
      </c>
      <c r="C884" t="s">
        <v>4</v>
      </c>
    </row>
    <row r="885" spans="1:3" x14ac:dyDescent="0.25">
      <c r="A885">
        <v>18211262029</v>
      </c>
      <c r="B885" t="s">
        <v>13</v>
      </c>
      <c r="C885" t="s">
        <v>6</v>
      </c>
    </row>
    <row r="886" spans="1:3" x14ac:dyDescent="0.25">
      <c r="A886">
        <v>5282383166</v>
      </c>
      <c r="B886" t="s">
        <v>13</v>
      </c>
      <c r="C886" t="s">
        <v>4</v>
      </c>
    </row>
    <row r="887" spans="1:3" x14ac:dyDescent="0.25">
      <c r="A887">
        <v>18241417767</v>
      </c>
      <c r="B887" t="s">
        <v>16</v>
      </c>
      <c r="C887" t="s">
        <v>4</v>
      </c>
    </row>
    <row r="888" spans="1:3" x14ac:dyDescent="0.25">
      <c r="A888">
        <v>16312049086</v>
      </c>
      <c r="B888" t="s">
        <v>20</v>
      </c>
      <c r="C888" t="s">
        <v>6</v>
      </c>
    </row>
    <row r="889" spans="1:3" x14ac:dyDescent="0.25">
      <c r="A889">
        <v>9321581591</v>
      </c>
      <c r="B889" t="s">
        <v>9</v>
      </c>
      <c r="C889" t="s">
        <v>4</v>
      </c>
    </row>
    <row r="890" spans="1:3" x14ac:dyDescent="0.25">
      <c r="A890">
        <v>8271795313</v>
      </c>
      <c r="B890" t="s">
        <v>10</v>
      </c>
      <c r="C890" t="s">
        <v>6</v>
      </c>
    </row>
    <row r="891" spans="1:3" x14ac:dyDescent="0.25">
      <c r="A891">
        <v>10311034407</v>
      </c>
      <c r="B891" t="s">
        <v>9</v>
      </c>
      <c r="C891" t="s">
        <v>6</v>
      </c>
    </row>
    <row r="892" spans="1:3" x14ac:dyDescent="0.25">
      <c r="A892">
        <v>14281264761</v>
      </c>
      <c r="B892" t="s">
        <v>19</v>
      </c>
      <c r="C892" t="s">
        <v>4</v>
      </c>
    </row>
    <row r="893" spans="1:3" x14ac:dyDescent="0.25">
      <c r="A893">
        <v>3241511191</v>
      </c>
      <c r="B893" t="s">
        <v>13</v>
      </c>
      <c r="C893" t="s">
        <v>6</v>
      </c>
    </row>
    <row r="894" spans="1:3" x14ac:dyDescent="0.25">
      <c r="A894">
        <v>2272037384</v>
      </c>
      <c r="B894" t="s">
        <v>16</v>
      </c>
      <c r="C894" t="s">
        <v>4</v>
      </c>
    </row>
    <row r="895" spans="1:3" x14ac:dyDescent="0.25">
      <c r="A895">
        <v>17282315085</v>
      </c>
      <c r="B895" t="s">
        <v>13</v>
      </c>
      <c r="C895" t="s">
        <v>4</v>
      </c>
    </row>
    <row r="896" spans="1:3" x14ac:dyDescent="0.25">
      <c r="A896">
        <v>3241893396</v>
      </c>
      <c r="B896" t="s">
        <v>5</v>
      </c>
      <c r="C896" t="s">
        <v>6</v>
      </c>
    </row>
    <row r="897" spans="1:3" x14ac:dyDescent="0.25">
      <c r="A897">
        <v>10210725761</v>
      </c>
      <c r="B897" t="s">
        <v>9</v>
      </c>
      <c r="C897" t="s">
        <v>6</v>
      </c>
    </row>
    <row r="898" spans="1:3" x14ac:dyDescent="0.25">
      <c r="A898">
        <v>12310765821</v>
      </c>
      <c r="B898" t="s">
        <v>19</v>
      </c>
      <c r="C898" t="s">
        <v>4</v>
      </c>
    </row>
    <row r="899" spans="1:3" x14ac:dyDescent="0.25">
      <c r="A899">
        <v>14262881374</v>
      </c>
      <c r="B899" t="s">
        <v>10</v>
      </c>
      <c r="C899" t="s">
        <v>6</v>
      </c>
    </row>
    <row r="900" spans="1:3" x14ac:dyDescent="0.25">
      <c r="A900">
        <v>16221452829</v>
      </c>
      <c r="B900" t="s">
        <v>3</v>
      </c>
      <c r="C900" t="s">
        <v>6</v>
      </c>
    </row>
    <row r="901" spans="1:3" x14ac:dyDescent="0.25">
      <c r="A901">
        <v>6240977898</v>
      </c>
      <c r="B901" t="s">
        <v>12</v>
      </c>
      <c r="C901" t="s">
        <v>4</v>
      </c>
    </row>
    <row r="902" spans="1:3" x14ac:dyDescent="0.25">
      <c r="A902">
        <v>20231233552</v>
      </c>
      <c r="B902" t="s">
        <v>9</v>
      </c>
      <c r="C902" t="s">
        <v>4</v>
      </c>
    </row>
    <row r="903" spans="1:3" x14ac:dyDescent="0.25">
      <c r="A903">
        <v>2260903279</v>
      </c>
      <c r="B903" t="s">
        <v>16</v>
      </c>
      <c r="C903" t="s">
        <v>6</v>
      </c>
    </row>
    <row r="904" spans="1:3" x14ac:dyDescent="0.25">
      <c r="A904">
        <v>15300457836</v>
      </c>
      <c r="B904" t="s">
        <v>3</v>
      </c>
      <c r="C904" t="s">
        <v>6</v>
      </c>
    </row>
    <row r="905" spans="1:3" x14ac:dyDescent="0.25">
      <c r="A905">
        <v>12241643573</v>
      </c>
      <c r="B905" t="s">
        <v>7</v>
      </c>
      <c r="C905" t="s">
        <v>4</v>
      </c>
    </row>
    <row r="906" spans="1:3" x14ac:dyDescent="0.25">
      <c r="A906">
        <v>13222492508</v>
      </c>
      <c r="B906" t="s">
        <v>11</v>
      </c>
      <c r="C906" t="s">
        <v>6</v>
      </c>
    </row>
    <row r="907" spans="1:3" x14ac:dyDescent="0.25">
      <c r="A907">
        <v>20303175236</v>
      </c>
      <c r="B907" t="s">
        <v>8</v>
      </c>
      <c r="C907" t="s">
        <v>4</v>
      </c>
    </row>
    <row r="908" spans="1:3" x14ac:dyDescent="0.25">
      <c r="A908">
        <v>14271835467</v>
      </c>
      <c r="B908" t="s">
        <v>16</v>
      </c>
      <c r="C908" t="s">
        <v>4</v>
      </c>
    </row>
    <row r="909" spans="1:3" x14ac:dyDescent="0.25">
      <c r="A909">
        <v>6220350891</v>
      </c>
      <c r="B909" t="s">
        <v>7</v>
      </c>
      <c r="C909" t="s">
        <v>4</v>
      </c>
    </row>
    <row r="910" spans="1:3" x14ac:dyDescent="0.25">
      <c r="A910">
        <v>7231617603</v>
      </c>
      <c r="B910" t="s">
        <v>13</v>
      </c>
      <c r="C910" t="s">
        <v>4</v>
      </c>
    </row>
    <row r="911" spans="1:3" x14ac:dyDescent="0.25">
      <c r="A911">
        <v>7282120738</v>
      </c>
      <c r="B911" t="s">
        <v>16</v>
      </c>
      <c r="C911" t="s">
        <v>4</v>
      </c>
    </row>
    <row r="912" spans="1:3" x14ac:dyDescent="0.25">
      <c r="A912">
        <v>13242793243</v>
      </c>
      <c r="B912" t="s">
        <v>15</v>
      </c>
      <c r="C912" t="s">
        <v>6</v>
      </c>
    </row>
    <row r="913" spans="1:3" x14ac:dyDescent="0.25">
      <c r="A913">
        <v>22270105250</v>
      </c>
      <c r="B913" t="s">
        <v>19</v>
      </c>
      <c r="C913" t="s">
        <v>6</v>
      </c>
    </row>
    <row r="914" spans="1:3" x14ac:dyDescent="0.25">
      <c r="A914">
        <v>15220359519</v>
      </c>
      <c r="B914" t="s">
        <v>3</v>
      </c>
      <c r="C914" t="s">
        <v>6</v>
      </c>
    </row>
    <row r="915" spans="1:3" x14ac:dyDescent="0.25">
      <c r="A915">
        <v>16323024481</v>
      </c>
      <c r="B915" t="s">
        <v>14</v>
      </c>
      <c r="C915" t="s">
        <v>6</v>
      </c>
    </row>
    <row r="916" spans="1:3" x14ac:dyDescent="0.25">
      <c r="A916">
        <v>17212907508</v>
      </c>
      <c r="B916" t="s">
        <v>14</v>
      </c>
      <c r="C916" t="s">
        <v>4</v>
      </c>
    </row>
    <row r="917" spans="1:3" x14ac:dyDescent="0.25">
      <c r="A917">
        <v>6280926629</v>
      </c>
      <c r="B917" t="s">
        <v>7</v>
      </c>
      <c r="C917" t="s">
        <v>6</v>
      </c>
    </row>
    <row r="918" spans="1:3" x14ac:dyDescent="0.25">
      <c r="A918">
        <v>20301201520</v>
      </c>
      <c r="B918" t="s">
        <v>15</v>
      </c>
      <c r="C918" t="s">
        <v>6</v>
      </c>
    </row>
    <row r="919" spans="1:3" x14ac:dyDescent="0.25">
      <c r="A919">
        <v>1300883719</v>
      </c>
      <c r="B919" t="s">
        <v>3</v>
      </c>
      <c r="C919" t="s">
        <v>6</v>
      </c>
    </row>
    <row r="920" spans="1:3" x14ac:dyDescent="0.25">
      <c r="A920">
        <v>21292867504</v>
      </c>
      <c r="B920" t="s">
        <v>3</v>
      </c>
      <c r="C920" t="s">
        <v>6</v>
      </c>
    </row>
    <row r="921" spans="1:3" x14ac:dyDescent="0.25">
      <c r="A921">
        <v>9310931990</v>
      </c>
      <c r="B921" t="s">
        <v>17</v>
      </c>
      <c r="C921" t="s">
        <v>6</v>
      </c>
    </row>
    <row r="922" spans="1:3" x14ac:dyDescent="0.25">
      <c r="A922">
        <v>301923628</v>
      </c>
      <c r="B922" t="s">
        <v>11</v>
      </c>
      <c r="C922" t="s">
        <v>6</v>
      </c>
    </row>
    <row r="923" spans="1:3" x14ac:dyDescent="0.25">
      <c r="A923">
        <v>1241320263</v>
      </c>
      <c r="B923" t="s">
        <v>15</v>
      </c>
      <c r="C923" t="s">
        <v>6</v>
      </c>
    </row>
    <row r="924" spans="1:3" x14ac:dyDescent="0.25">
      <c r="A924">
        <v>20242260107</v>
      </c>
      <c r="B924" t="s">
        <v>7</v>
      </c>
      <c r="C924" t="s">
        <v>4</v>
      </c>
    </row>
    <row r="925" spans="1:3" x14ac:dyDescent="0.25">
      <c r="A925">
        <v>231165855</v>
      </c>
      <c r="B925" t="s">
        <v>7</v>
      </c>
      <c r="C925" t="s">
        <v>4</v>
      </c>
    </row>
    <row r="926" spans="1:3" x14ac:dyDescent="0.25">
      <c r="A926">
        <v>15272639593</v>
      </c>
      <c r="B926" t="s">
        <v>15</v>
      </c>
      <c r="C926" t="s">
        <v>4</v>
      </c>
    </row>
    <row r="927" spans="1:3" x14ac:dyDescent="0.25">
      <c r="A927">
        <v>22302366035</v>
      </c>
      <c r="B927" t="s">
        <v>3</v>
      </c>
      <c r="C927" t="s">
        <v>4</v>
      </c>
    </row>
    <row r="928" spans="1:3" x14ac:dyDescent="0.25">
      <c r="A928">
        <v>17241573501</v>
      </c>
      <c r="B928" t="s">
        <v>9</v>
      </c>
      <c r="C928" t="s">
        <v>6</v>
      </c>
    </row>
    <row r="929" spans="1:3" x14ac:dyDescent="0.25">
      <c r="A929">
        <v>11272916382</v>
      </c>
      <c r="B929" t="s">
        <v>9</v>
      </c>
      <c r="C929" t="s">
        <v>6</v>
      </c>
    </row>
    <row r="930" spans="1:3" x14ac:dyDescent="0.25">
      <c r="A930">
        <v>15323100788</v>
      </c>
      <c r="B930" t="s">
        <v>14</v>
      </c>
      <c r="C930" t="s">
        <v>4</v>
      </c>
    </row>
    <row r="931" spans="1:3" x14ac:dyDescent="0.25">
      <c r="A931">
        <v>9262218954</v>
      </c>
      <c r="B931" t="s">
        <v>5</v>
      </c>
      <c r="C931" t="s">
        <v>4</v>
      </c>
    </row>
    <row r="932" spans="1:3" x14ac:dyDescent="0.25">
      <c r="A932">
        <v>21220692011</v>
      </c>
      <c r="B932" t="s">
        <v>18</v>
      </c>
      <c r="C932" t="s">
        <v>4</v>
      </c>
    </row>
    <row r="933" spans="1:3" x14ac:dyDescent="0.25">
      <c r="A933">
        <v>8321684273</v>
      </c>
      <c r="B933" t="s">
        <v>14</v>
      </c>
      <c r="C933" t="s">
        <v>4</v>
      </c>
    </row>
    <row r="934" spans="1:3" x14ac:dyDescent="0.25">
      <c r="A934">
        <v>4322129955</v>
      </c>
      <c r="B934" t="s">
        <v>7</v>
      </c>
      <c r="C934" t="s">
        <v>4</v>
      </c>
    </row>
    <row r="935" spans="1:3" x14ac:dyDescent="0.25">
      <c r="A935">
        <v>10301730326</v>
      </c>
      <c r="B935" t="s">
        <v>5</v>
      </c>
      <c r="C935" t="s">
        <v>4</v>
      </c>
    </row>
    <row r="936" spans="1:3" x14ac:dyDescent="0.25">
      <c r="A936">
        <v>9271604865</v>
      </c>
      <c r="B936" t="s">
        <v>17</v>
      </c>
      <c r="C936" t="s">
        <v>6</v>
      </c>
    </row>
    <row r="937" spans="1:3" x14ac:dyDescent="0.25">
      <c r="A937">
        <v>18320126005</v>
      </c>
      <c r="B937" t="s">
        <v>15</v>
      </c>
      <c r="C937" t="s">
        <v>6</v>
      </c>
    </row>
    <row r="938" spans="1:3" x14ac:dyDescent="0.25">
      <c r="A938">
        <v>10262232318</v>
      </c>
      <c r="B938" t="s">
        <v>5</v>
      </c>
      <c r="C938" t="s">
        <v>4</v>
      </c>
    </row>
    <row r="939" spans="1:3" x14ac:dyDescent="0.25">
      <c r="A939">
        <v>21303122839</v>
      </c>
      <c r="B939" t="s">
        <v>7</v>
      </c>
      <c r="C939" t="s">
        <v>6</v>
      </c>
    </row>
    <row r="940" spans="1:3" x14ac:dyDescent="0.25">
      <c r="A940">
        <v>10293014169</v>
      </c>
      <c r="B940" t="s">
        <v>20</v>
      </c>
      <c r="C940" t="s">
        <v>4</v>
      </c>
    </row>
    <row r="941" spans="1:3" x14ac:dyDescent="0.25">
      <c r="A941">
        <v>9210120492</v>
      </c>
      <c r="B941" t="s">
        <v>18</v>
      </c>
      <c r="C941" t="s">
        <v>4</v>
      </c>
    </row>
    <row r="942" spans="1:3" x14ac:dyDescent="0.25">
      <c r="A942">
        <v>20260451486</v>
      </c>
      <c r="B942" t="s">
        <v>11</v>
      </c>
      <c r="C942" t="s">
        <v>6</v>
      </c>
    </row>
    <row r="943" spans="1:3" x14ac:dyDescent="0.25">
      <c r="A943">
        <v>17302231740</v>
      </c>
      <c r="B943" t="s">
        <v>11</v>
      </c>
      <c r="C943" t="s">
        <v>4</v>
      </c>
    </row>
    <row r="944" spans="1:3" x14ac:dyDescent="0.25">
      <c r="A944">
        <v>2320253199</v>
      </c>
      <c r="B944" t="s">
        <v>16</v>
      </c>
      <c r="C944" t="s">
        <v>4</v>
      </c>
    </row>
    <row r="945" spans="1:3" x14ac:dyDescent="0.25">
      <c r="A945">
        <v>18260366309</v>
      </c>
      <c r="B945" t="s">
        <v>11</v>
      </c>
      <c r="C945" t="s">
        <v>6</v>
      </c>
    </row>
    <row r="946" spans="1:3" x14ac:dyDescent="0.25">
      <c r="A946">
        <v>4222956169</v>
      </c>
      <c r="B946" t="s">
        <v>11</v>
      </c>
      <c r="C946" t="s">
        <v>4</v>
      </c>
    </row>
    <row r="947" spans="1:3" x14ac:dyDescent="0.25">
      <c r="A947">
        <v>5261270230</v>
      </c>
      <c r="B947" t="s">
        <v>14</v>
      </c>
      <c r="C947" t="s">
        <v>4</v>
      </c>
    </row>
    <row r="948" spans="1:3" x14ac:dyDescent="0.25">
      <c r="A948">
        <v>15320635728</v>
      </c>
      <c r="B948" t="s">
        <v>9</v>
      </c>
      <c r="C948" t="s">
        <v>4</v>
      </c>
    </row>
    <row r="949" spans="1:3" x14ac:dyDescent="0.25">
      <c r="A949">
        <v>14292679651</v>
      </c>
      <c r="B949" t="s">
        <v>9</v>
      </c>
      <c r="C949" t="s">
        <v>6</v>
      </c>
    </row>
    <row r="950" spans="1:3" x14ac:dyDescent="0.25">
      <c r="A950">
        <v>15210368107</v>
      </c>
      <c r="B950" t="s">
        <v>18</v>
      </c>
      <c r="C950" t="s">
        <v>4</v>
      </c>
    </row>
    <row r="951" spans="1:3" x14ac:dyDescent="0.25">
      <c r="A951">
        <v>11282868178</v>
      </c>
      <c r="B951" t="s">
        <v>19</v>
      </c>
      <c r="C951" t="s">
        <v>6</v>
      </c>
    </row>
    <row r="952" spans="1:3" x14ac:dyDescent="0.25">
      <c r="A952">
        <v>21270839187</v>
      </c>
      <c r="B952" t="s">
        <v>14</v>
      </c>
      <c r="C952" t="s">
        <v>6</v>
      </c>
    </row>
    <row r="953" spans="1:3" x14ac:dyDescent="0.25">
      <c r="A953">
        <v>7271839036</v>
      </c>
      <c r="B953" t="s">
        <v>10</v>
      </c>
      <c r="C953" t="s">
        <v>4</v>
      </c>
    </row>
    <row r="954" spans="1:3" x14ac:dyDescent="0.25">
      <c r="A954">
        <v>5281893493</v>
      </c>
      <c r="B954" t="s">
        <v>20</v>
      </c>
      <c r="C954" t="s">
        <v>6</v>
      </c>
    </row>
    <row r="955" spans="1:3" x14ac:dyDescent="0.25">
      <c r="A955">
        <v>9252839228</v>
      </c>
      <c r="B955" t="s">
        <v>10</v>
      </c>
      <c r="C955" t="s">
        <v>4</v>
      </c>
    </row>
    <row r="956" spans="1:3" x14ac:dyDescent="0.25">
      <c r="A956">
        <v>291348241</v>
      </c>
      <c r="B956" t="s">
        <v>18</v>
      </c>
      <c r="C956" t="s">
        <v>4</v>
      </c>
    </row>
    <row r="957" spans="1:3" x14ac:dyDescent="0.25">
      <c r="A957">
        <v>4280932334</v>
      </c>
      <c r="B957" t="s">
        <v>12</v>
      </c>
      <c r="C957" t="s">
        <v>6</v>
      </c>
    </row>
    <row r="958" spans="1:3" x14ac:dyDescent="0.25">
      <c r="A958">
        <v>2220934077</v>
      </c>
      <c r="B958" t="s">
        <v>7</v>
      </c>
      <c r="C958" t="s">
        <v>6</v>
      </c>
    </row>
    <row r="959" spans="1:3" x14ac:dyDescent="0.25">
      <c r="A959">
        <v>2210131268</v>
      </c>
      <c r="B959" t="s">
        <v>16</v>
      </c>
      <c r="C959" t="s">
        <v>6</v>
      </c>
    </row>
    <row r="960" spans="1:3" x14ac:dyDescent="0.25">
      <c r="A960">
        <v>9241160465</v>
      </c>
      <c r="B960" t="s">
        <v>8</v>
      </c>
      <c r="C960" t="s">
        <v>6</v>
      </c>
    </row>
    <row r="961" spans="1:3" x14ac:dyDescent="0.25">
      <c r="A961">
        <v>9241367008</v>
      </c>
      <c r="B961" t="s">
        <v>18</v>
      </c>
      <c r="C961" t="s">
        <v>6</v>
      </c>
    </row>
    <row r="962" spans="1:3" x14ac:dyDescent="0.25">
      <c r="A962">
        <v>13312872144</v>
      </c>
      <c r="B962" t="s">
        <v>7</v>
      </c>
      <c r="C962" t="s">
        <v>6</v>
      </c>
    </row>
    <row r="963" spans="1:3" x14ac:dyDescent="0.25">
      <c r="A963">
        <v>13262230102</v>
      </c>
      <c r="B963" t="s">
        <v>5</v>
      </c>
      <c r="C963" t="s">
        <v>6</v>
      </c>
    </row>
    <row r="964" spans="1:3" x14ac:dyDescent="0.25">
      <c r="A964">
        <v>21220724187</v>
      </c>
      <c r="B964" t="s">
        <v>7</v>
      </c>
      <c r="C964" t="s">
        <v>4</v>
      </c>
    </row>
    <row r="965" spans="1:3" x14ac:dyDescent="0.25">
      <c r="A965">
        <v>6261743427</v>
      </c>
      <c r="B965" t="s">
        <v>10</v>
      </c>
      <c r="C965" t="s">
        <v>6</v>
      </c>
    </row>
    <row r="966" spans="1:3" x14ac:dyDescent="0.25">
      <c r="A966">
        <v>14222620834</v>
      </c>
      <c r="B966" t="s">
        <v>16</v>
      </c>
      <c r="C966" t="s">
        <v>4</v>
      </c>
    </row>
    <row r="967" spans="1:3" x14ac:dyDescent="0.25">
      <c r="A967">
        <v>19321241795</v>
      </c>
      <c r="B967" t="s">
        <v>8</v>
      </c>
      <c r="C967" t="s">
        <v>6</v>
      </c>
    </row>
    <row r="968" spans="1:3" x14ac:dyDescent="0.25">
      <c r="A968">
        <v>8231904735</v>
      </c>
      <c r="B968" t="s">
        <v>9</v>
      </c>
      <c r="C968" t="s">
        <v>4</v>
      </c>
    </row>
    <row r="969" spans="1:3" x14ac:dyDescent="0.25">
      <c r="A969">
        <v>15291262613</v>
      </c>
      <c r="B969" t="s">
        <v>16</v>
      </c>
      <c r="C969" t="s">
        <v>6</v>
      </c>
    </row>
    <row r="970" spans="1:3" x14ac:dyDescent="0.25">
      <c r="A970">
        <v>8260445829</v>
      </c>
      <c r="B970" t="s">
        <v>17</v>
      </c>
      <c r="C970" t="s">
        <v>6</v>
      </c>
    </row>
    <row r="971" spans="1:3" x14ac:dyDescent="0.25">
      <c r="A971">
        <v>8240292689</v>
      </c>
      <c r="B971" t="s">
        <v>10</v>
      </c>
      <c r="C971" t="s">
        <v>6</v>
      </c>
    </row>
    <row r="972" spans="1:3" x14ac:dyDescent="0.25">
      <c r="A972">
        <v>19231091923</v>
      </c>
      <c r="B972" t="s">
        <v>17</v>
      </c>
      <c r="C972" t="s">
        <v>4</v>
      </c>
    </row>
    <row r="973" spans="1:3" x14ac:dyDescent="0.25">
      <c r="A973">
        <v>14281202570</v>
      </c>
      <c r="B973" t="s">
        <v>8</v>
      </c>
      <c r="C973" t="s">
        <v>6</v>
      </c>
    </row>
    <row r="974" spans="1:3" x14ac:dyDescent="0.25">
      <c r="A974">
        <v>7280297711</v>
      </c>
      <c r="B974" t="s">
        <v>7</v>
      </c>
      <c r="C974" t="s">
        <v>4</v>
      </c>
    </row>
    <row r="975" spans="1:3" x14ac:dyDescent="0.25">
      <c r="A975">
        <v>6262554167</v>
      </c>
      <c r="B975" t="s">
        <v>3</v>
      </c>
      <c r="C975" t="s">
        <v>6</v>
      </c>
    </row>
    <row r="976" spans="1:3" x14ac:dyDescent="0.25">
      <c r="A976">
        <v>15242764690</v>
      </c>
      <c r="B976" t="s">
        <v>7</v>
      </c>
      <c r="C976" t="s">
        <v>6</v>
      </c>
    </row>
    <row r="977" spans="1:3" x14ac:dyDescent="0.25">
      <c r="A977">
        <v>14262226577</v>
      </c>
      <c r="B977" t="s">
        <v>9</v>
      </c>
      <c r="C977" t="s">
        <v>6</v>
      </c>
    </row>
    <row r="978" spans="1:3" x14ac:dyDescent="0.25">
      <c r="A978">
        <v>1212988892</v>
      </c>
      <c r="B978" t="s">
        <v>12</v>
      </c>
      <c r="C978" t="s">
        <v>4</v>
      </c>
    </row>
    <row r="979" spans="1:3" x14ac:dyDescent="0.25">
      <c r="A979">
        <v>21210221072</v>
      </c>
      <c r="B979" t="s">
        <v>5</v>
      </c>
      <c r="C979" t="s">
        <v>4</v>
      </c>
    </row>
    <row r="980" spans="1:3" x14ac:dyDescent="0.25">
      <c r="A980">
        <v>16282427578</v>
      </c>
      <c r="B980" t="s">
        <v>18</v>
      </c>
      <c r="C980" t="s">
        <v>4</v>
      </c>
    </row>
    <row r="981" spans="1:3" x14ac:dyDescent="0.25">
      <c r="A981">
        <v>2241272826</v>
      </c>
      <c r="B981" t="s">
        <v>14</v>
      </c>
      <c r="C981" t="s">
        <v>6</v>
      </c>
    </row>
    <row r="982" spans="1:3" x14ac:dyDescent="0.25">
      <c r="A982">
        <v>6310554648</v>
      </c>
      <c r="B982" t="s">
        <v>20</v>
      </c>
      <c r="C982" t="s">
        <v>4</v>
      </c>
    </row>
    <row r="983" spans="1:3" x14ac:dyDescent="0.25">
      <c r="A983">
        <v>18210957250</v>
      </c>
      <c r="B983" t="s">
        <v>19</v>
      </c>
      <c r="C983" t="s">
        <v>6</v>
      </c>
    </row>
    <row r="984" spans="1:3" x14ac:dyDescent="0.25">
      <c r="A984">
        <v>21243075794</v>
      </c>
      <c r="B984" t="s">
        <v>9</v>
      </c>
      <c r="C984" t="s">
        <v>4</v>
      </c>
    </row>
    <row r="985" spans="1:3" x14ac:dyDescent="0.25">
      <c r="A985">
        <v>251281221</v>
      </c>
      <c r="B985" t="s">
        <v>13</v>
      </c>
      <c r="C985" t="s">
        <v>6</v>
      </c>
    </row>
    <row r="986" spans="1:3" x14ac:dyDescent="0.25">
      <c r="A986">
        <v>270484214</v>
      </c>
      <c r="B986" t="s">
        <v>10</v>
      </c>
      <c r="C986" t="s">
        <v>6</v>
      </c>
    </row>
    <row r="987" spans="1:3" x14ac:dyDescent="0.25">
      <c r="A987">
        <v>6211342089</v>
      </c>
      <c r="B987" t="s">
        <v>11</v>
      </c>
      <c r="C987" t="s">
        <v>4</v>
      </c>
    </row>
    <row r="988" spans="1:3" x14ac:dyDescent="0.25">
      <c r="A988">
        <v>17212237652</v>
      </c>
      <c r="B988" t="s">
        <v>18</v>
      </c>
      <c r="C988" t="s">
        <v>6</v>
      </c>
    </row>
    <row r="989" spans="1:3" x14ac:dyDescent="0.25">
      <c r="A989">
        <v>11241593178</v>
      </c>
      <c r="B989" t="s">
        <v>7</v>
      </c>
      <c r="C989" t="s">
        <v>6</v>
      </c>
    </row>
    <row r="990" spans="1:3" x14ac:dyDescent="0.25">
      <c r="A990">
        <v>18222264663</v>
      </c>
      <c r="B990" t="s">
        <v>12</v>
      </c>
      <c r="C990" t="s">
        <v>4</v>
      </c>
    </row>
    <row r="991" spans="1:3" x14ac:dyDescent="0.25">
      <c r="A991">
        <v>4311914014</v>
      </c>
      <c r="B991" t="s">
        <v>10</v>
      </c>
      <c r="C991" t="s">
        <v>4</v>
      </c>
    </row>
    <row r="992" spans="1:3" x14ac:dyDescent="0.25">
      <c r="A992">
        <v>6260135821</v>
      </c>
      <c r="B992" t="s">
        <v>3</v>
      </c>
      <c r="C992" t="s">
        <v>6</v>
      </c>
    </row>
    <row r="993" spans="1:3" x14ac:dyDescent="0.25">
      <c r="A993">
        <v>6220424817</v>
      </c>
      <c r="B993" t="s">
        <v>13</v>
      </c>
      <c r="C993" t="s">
        <v>6</v>
      </c>
    </row>
    <row r="994" spans="1:3" x14ac:dyDescent="0.25">
      <c r="A994">
        <v>22261251874</v>
      </c>
      <c r="B994" t="s">
        <v>11</v>
      </c>
      <c r="C994" t="s">
        <v>4</v>
      </c>
    </row>
    <row r="995" spans="1:3" x14ac:dyDescent="0.25">
      <c r="A995">
        <v>19291516772</v>
      </c>
      <c r="B995" t="s">
        <v>13</v>
      </c>
      <c r="C995" t="s">
        <v>6</v>
      </c>
    </row>
    <row r="996" spans="1:3" x14ac:dyDescent="0.25">
      <c r="A996">
        <v>1310378922</v>
      </c>
      <c r="B996" t="s">
        <v>5</v>
      </c>
      <c r="C996" t="s">
        <v>4</v>
      </c>
    </row>
    <row r="997" spans="1:3" x14ac:dyDescent="0.25">
      <c r="A997">
        <v>16232416838</v>
      </c>
      <c r="B997" t="s">
        <v>15</v>
      </c>
      <c r="C997" t="s">
        <v>6</v>
      </c>
    </row>
    <row r="998" spans="1:3" x14ac:dyDescent="0.25">
      <c r="A998">
        <v>2240727679</v>
      </c>
      <c r="B998" t="s">
        <v>19</v>
      </c>
      <c r="C998" t="s">
        <v>6</v>
      </c>
    </row>
    <row r="999" spans="1:3" x14ac:dyDescent="0.25">
      <c r="A999">
        <v>6270487288</v>
      </c>
      <c r="B999" t="s">
        <v>7</v>
      </c>
      <c r="C999" t="s">
        <v>4</v>
      </c>
    </row>
    <row r="1000" spans="1:3" x14ac:dyDescent="0.25">
      <c r="A1000">
        <v>4241869475</v>
      </c>
      <c r="B1000" t="s">
        <v>8</v>
      </c>
      <c r="C1000" t="s">
        <v>4</v>
      </c>
    </row>
    <row r="1001" spans="1:3" x14ac:dyDescent="0.25">
      <c r="A1001">
        <v>17320457399</v>
      </c>
      <c r="B1001" t="s">
        <v>14</v>
      </c>
      <c r="C100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12" sqref="D12"/>
    </sheetView>
  </sheetViews>
  <sheetFormatPr defaultRowHeight="15" x14ac:dyDescent="0.25"/>
  <cols>
    <col min="1" max="1" width="20.7109375" bestFit="1" customWidth="1"/>
    <col min="2" max="2" width="17.7109375" bestFit="1" customWidth="1"/>
    <col min="3" max="3" width="10.85546875" bestFit="1" customWidth="1"/>
    <col min="4" max="4" width="14.28515625" bestFit="1" customWidth="1"/>
  </cols>
  <sheetData>
    <row r="3" spans="1:4" x14ac:dyDescent="0.25">
      <c r="A3" s="1" t="s">
        <v>23</v>
      </c>
      <c r="B3" s="1" t="s">
        <v>21</v>
      </c>
    </row>
    <row r="4" spans="1:4" x14ac:dyDescent="0.25">
      <c r="A4" s="1" t="s">
        <v>24</v>
      </c>
      <c r="B4" t="s">
        <v>25</v>
      </c>
      <c r="C4" t="s">
        <v>26</v>
      </c>
      <c r="D4" t="s">
        <v>22</v>
      </c>
    </row>
    <row r="5" spans="1:4" x14ac:dyDescent="0.25">
      <c r="A5" s="2" t="s">
        <v>5</v>
      </c>
      <c r="B5" s="3">
        <v>38</v>
      </c>
      <c r="C5" s="3">
        <v>29</v>
      </c>
      <c r="D5" s="3">
        <v>67</v>
      </c>
    </row>
    <row r="6" spans="1:4" x14ac:dyDescent="0.25">
      <c r="A6" s="2" t="s">
        <v>12</v>
      </c>
      <c r="B6" s="3">
        <v>23</v>
      </c>
      <c r="C6" s="3">
        <v>32</v>
      </c>
      <c r="D6" s="3">
        <v>55</v>
      </c>
    </row>
    <row r="7" spans="1:4" x14ac:dyDescent="0.25">
      <c r="A7" s="2" t="s">
        <v>3</v>
      </c>
      <c r="B7" s="3">
        <v>27</v>
      </c>
      <c r="C7" s="3">
        <v>33</v>
      </c>
      <c r="D7" s="3">
        <v>60</v>
      </c>
    </row>
    <row r="8" spans="1:4" x14ac:dyDescent="0.25">
      <c r="A8" s="2" t="s">
        <v>22</v>
      </c>
      <c r="B8" s="3">
        <v>88</v>
      </c>
      <c r="C8" s="3">
        <v>94</v>
      </c>
      <c r="D8" s="3">
        <v>182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sqref="A1:K1048576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  <col min="4" max="6" width="9.140625" style="3"/>
    <col min="7" max="7" width="16.7109375" style="3" customWidth="1"/>
    <col min="10" max="10" width="12.7109375" bestFit="1" customWidth="1"/>
    <col min="11" max="11" width="12.85546875" customWidth="1"/>
  </cols>
  <sheetData>
    <row r="1" spans="1:11" x14ac:dyDescent="0.25">
      <c r="A1" s="4" t="s">
        <v>0</v>
      </c>
      <c r="B1" t="s">
        <v>1</v>
      </c>
      <c r="C1" t="s">
        <v>2</v>
      </c>
      <c r="D1" s="3" t="s">
        <v>27</v>
      </c>
      <c r="E1" s="3" t="s">
        <v>1028</v>
      </c>
      <c r="F1" s="3" t="s">
        <v>1029</v>
      </c>
      <c r="G1" s="3" t="s">
        <v>27</v>
      </c>
      <c r="H1" s="3" t="s">
        <v>1028</v>
      </c>
      <c r="I1" s="3" t="s">
        <v>1029</v>
      </c>
      <c r="J1" s="3" t="s">
        <v>1030</v>
      </c>
      <c r="K1" s="3" t="s">
        <v>1041</v>
      </c>
    </row>
    <row r="2" spans="1:11" x14ac:dyDescent="0.25">
      <c r="A2" s="4" t="s">
        <v>28</v>
      </c>
      <c r="B2" t="s">
        <v>3</v>
      </c>
      <c r="C2" t="s">
        <v>4</v>
      </c>
      <c r="D2" s="3">
        <f>MID(A2,1,2)*1</f>
        <v>93</v>
      </c>
      <c r="E2" s="4">
        <f>MID(A2,3,2)*1</f>
        <v>7</v>
      </c>
      <c r="F2" s="4">
        <f>MID(A2,5,2)*1</f>
        <v>12</v>
      </c>
      <c r="G2" s="3">
        <f>IF(E2&gt;=20,2000,1900) + D2</f>
        <v>1993</v>
      </c>
      <c r="H2">
        <f>IF(E2&gt;=20,E2-20,E2)</f>
        <v>7</v>
      </c>
      <c r="I2" s="4">
        <f>F2</f>
        <v>12</v>
      </c>
      <c r="J2">
        <f>CONCATENATE(G2,IF(LEN(E2)=1,CONCATENATE("0",E2),E2),IF(LEN(F2)=1,CONCATENATE("0",F2),F2))*1</f>
        <v>19930712</v>
      </c>
      <c r="K2" t="str">
        <f>CONCATENATE(RIGHT(J2,2),".",MID(J2,5,2),".",LEFT(J2,4))</f>
        <v>12.07.1993</v>
      </c>
    </row>
    <row r="3" spans="1:11" x14ac:dyDescent="0.25">
      <c r="A3" s="4" t="s">
        <v>29</v>
      </c>
      <c r="B3" t="s">
        <v>5</v>
      </c>
      <c r="C3" t="s">
        <v>6</v>
      </c>
      <c r="D3" s="3">
        <f t="shared" ref="D3:D66" si="0">MID(A3,1,2)*1</f>
        <v>71</v>
      </c>
      <c r="E3" s="4">
        <f t="shared" ref="E3:E66" si="1">MID(A3,3,2)*1</f>
        <v>10</v>
      </c>
      <c r="F3" s="4">
        <f t="shared" ref="F3:F66" si="2">MID(A3,5,2)*1</f>
        <v>1</v>
      </c>
      <c r="G3" s="3">
        <f>IF(E3&gt;=20,2000,1900) + D3</f>
        <v>1971</v>
      </c>
      <c r="H3">
        <f t="shared" ref="H3:H66" si="3">IF(E3&gt;=20,E3-20,E3)</f>
        <v>10</v>
      </c>
      <c r="I3" s="4">
        <f t="shared" ref="I3:I66" si="4">F3</f>
        <v>1</v>
      </c>
      <c r="J3">
        <f t="shared" ref="J3:J66" si="5">CONCATENATE(G3,IF(LEN(E3)=1,CONCATENATE("0",E3),E3),IF(LEN(F3)=1,CONCATENATE("0",F3),F3))*1</f>
        <v>19711001</v>
      </c>
      <c r="K3" t="str">
        <f t="shared" ref="K3:K66" si="6">CONCATENATE(RIGHT(J3,2),".",MID(J3,5,2),".",LEFT(J3,4))</f>
        <v>01.10.1971</v>
      </c>
    </row>
    <row r="4" spans="1:11" x14ac:dyDescent="0.25">
      <c r="A4" s="4" t="s">
        <v>30</v>
      </c>
      <c r="B4" t="s">
        <v>7</v>
      </c>
      <c r="C4" t="s">
        <v>6</v>
      </c>
      <c r="D4" s="3">
        <f t="shared" si="0"/>
        <v>81</v>
      </c>
      <c r="E4" s="4">
        <f t="shared" si="1"/>
        <v>4</v>
      </c>
      <c r="F4" s="4">
        <f t="shared" si="2"/>
        <v>23</v>
      </c>
      <c r="G4" s="3">
        <f>IF(E4&gt;=20,2000,1900) + D4</f>
        <v>1981</v>
      </c>
      <c r="H4">
        <f t="shared" si="3"/>
        <v>4</v>
      </c>
      <c r="I4" s="4">
        <f t="shared" si="4"/>
        <v>23</v>
      </c>
      <c r="J4">
        <f t="shared" si="5"/>
        <v>19810423</v>
      </c>
      <c r="K4" t="str">
        <f t="shared" si="6"/>
        <v>23.04.1981</v>
      </c>
    </row>
    <row r="5" spans="1:11" x14ac:dyDescent="0.25">
      <c r="A5" s="4" t="s">
        <v>31</v>
      </c>
      <c r="B5" t="s">
        <v>8</v>
      </c>
      <c r="C5" t="s">
        <v>4</v>
      </c>
      <c r="D5" s="3">
        <f t="shared" si="0"/>
        <v>72</v>
      </c>
      <c r="E5" s="4">
        <f t="shared" si="1"/>
        <v>8</v>
      </c>
      <c r="F5" s="4">
        <f t="shared" si="2"/>
        <v>31</v>
      </c>
      <c r="G5" s="3">
        <f>IF(E5&gt;=20,2000,1900) + D5</f>
        <v>1972</v>
      </c>
      <c r="H5">
        <f t="shared" si="3"/>
        <v>8</v>
      </c>
      <c r="I5" s="4">
        <f t="shared" si="4"/>
        <v>31</v>
      </c>
      <c r="J5">
        <f t="shared" si="5"/>
        <v>19720831</v>
      </c>
      <c r="K5" t="str">
        <f t="shared" si="6"/>
        <v>31.08.1972</v>
      </c>
    </row>
    <row r="6" spans="1:11" x14ac:dyDescent="0.25">
      <c r="A6" s="4" t="s">
        <v>32</v>
      </c>
      <c r="B6" t="s">
        <v>9</v>
      </c>
      <c r="C6" t="s">
        <v>6</v>
      </c>
      <c r="D6" s="3">
        <f t="shared" si="0"/>
        <v>50</v>
      </c>
      <c r="E6" s="4">
        <f t="shared" si="1"/>
        <v>7</v>
      </c>
      <c r="F6" s="4">
        <f t="shared" si="2"/>
        <v>28</v>
      </c>
      <c r="G6" s="3">
        <f>IF(E6&gt;=20,2000,1900) + D6</f>
        <v>1950</v>
      </c>
      <c r="H6">
        <f t="shared" si="3"/>
        <v>7</v>
      </c>
      <c r="I6" s="4">
        <f t="shared" si="4"/>
        <v>28</v>
      </c>
      <c r="J6">
        <f t="shared" si="5"/>
        <v>19500728</v>
      </c>
      <c r="K6" t="str">
        <f t="shared" si="6"/>
        <v>28.07.1950</v>
      </c>
    </row>
    <row r="7" spans="1:11" x14ac:dyDescent="0.25">
      <c r="A7" s="4" t="s">
        <v>33</v>
      </c>
      <c r="B7" t="s">
        <v>10</v>
      </c>
      <c r="C7" t="s">
        <v>6</v>
      </c>
      <c r="D7" s="3">
        <f t="shared" si="0"/>
        <v>93</v>
      </c>
      <c r="E7" s="4">
        <f t="shared" si="1"/>
        <v>5</v>
      </c>
      <c r="F7" s="4">
        <f t="shared" si="2"/>
        <v>7</v>
      </c>
      <c r="G7" s="3">
        <f>IF(E7&gt;=20,2000,1900) + D7</f>
        <v>1993</v>
      </c>
      <c r="H7">
        <f t="shared" si="3"/>
        <v>5</v>
      </c>
      <c r="I7" s="4">
        <f t="shared" si="4"/>
        <v>7</v>
      </c>
      <c r="J7">
        <f t="shared" si="5"/>
        <v>19930507</v>
      </c>
      <c r="K7" t="str">
        <f t="shared" si="6"/>
        <v>07.05.1993</v>
      </c>
    </row>
    <row r="8" spans="1:11" x14ac:dyDescent="0.25">
      <c r="A8" s="4" t="s">
        <v>34</v>
      </c>
      <c r="B8" t="s">
        <v>9</v>
      </c>
      <c r="C8" t="s">
        <v>6</v>
      </c>
      <c r="D8" s="3">
        <f t="shared" si="0"/>
        <v>72</v>
      </c>
      <c r="E8" s="4">
        <f t="shared" si="1"/>
        <v>8</v>
      </c>
      <c r="F8" s="4">
        <f t="shared" si="2"/>
        <v>14</v>
      </c>
      <c r="G8" s="3">
        <f>IF(E8&gt;=20,2000,1900) + D8</f>
        <v>1972</v>
      </c>
      <c r="H8">
        <f t="shared" si="3"/>
        <v>8</v>
      </c>
      <c r="I8" s="4">
        <f t="shared" si="4"/>
        <v>14</v>
      </c>
      <c r="J8">
        <f t="shared" si="5"/>
        <v>19720814</v>
      </c>
      <c r="K8" t="str">
        <f t="shared" si="6"/>
        <v>14.08.1972</v>
      </c>
    </row>
    <row r="9" spans="1:11" x14ac:dyDescent="0.25">
      <c r="A9" s="4" t="s">
        <v>35</v>
      </c>
      <c r="B9" t="s">
        <v>8</v>
      </c>
      <c r="C9" t="s">
        <v>6</v>
      </c>
      <c r="D9" s="3">
        <f t="shared" si="0"/>
        <v>95</v>
      </c>
      <c r="E9" s="4">
        <f t="shared" si="1"/>
        <v>9</v>
      </c>
      <c r="F9" s="4">
        <f t="shared" si="2"/>
        <v>8</v>
      </c>
      <c r="G9" s="3">
        <f>IF(E9&gt;=20,2000,1900) + D9</f>
        <v>1995</v>
      </c>
      <c r="H9">
        <f t="shared" si="3"/>
        <v>9</v>
      </c>
      <c r="I9" s="4">
        <f t="shared" si="4"/>
        <v>8</v>
      </c>
      <c r="J9">
        <f t="shared" si="5"/>
        <v>19950908</v>
      </c>
      <c r="K9" t="str">
        <f t="shared" si="6"/>
        <v>08.09.1995</v>
      </c>
    </row>
    <row r="10" spans="1:11" x14ac:dyDescent="0.25">
      <c r="A10" s="4" t="s">
        <v>36</v>
      </c>
      <c r="B10" t="s">
        <v>3</v>
      </c>
      <c r="C10" t="s">
        <v>4</v>
      </c>
      <c r="D10" s="3">
        <f t="shared" si="0"/>
        <v>61</v>
      </c>
      <c r="E10" s="4">
        <f t="shared" si="1"/>
        <v>12</v>
      </c>
      <c r="F10" s="4">
        <f t="shared" si="2"/>
        <v>10</v>
      </c>
      <c r="G10" s="3">
        <f>IF(E10&gt;=20,2000,1900) + D10</f>
        <v>1961</v>
      </c>
      <c r="H10">
        <f t="shared" si="3"/>
        <v>12</v>
      </c>
      <c r="I10" s="4">
        <f t="shared" si="4"/>
        <v>10</v>
      </c>
      <c r="J10">
        <f t="shared" si="5"/>
        <v>19611210</v>
      </c>
      <c r="K10" t="str">
        <f t="shared" si="6"/>
        <v>10.12.1961</v>
      </c>
    </row>
    <row r="11" spans="1:11" x14ac:dyDescent="0.25">
      <c r="A11" s="4" t="s">
        <v>37</v>
      </c>
      <c r="B11" t="s">
        <v>10</v>
      </c>
      <c r="C11" t="s">
        <v>6</v>
      </c>
      <c r="D11" s="3">
        <f t="shared" si="0"/>
        <v>81</v>
      </c>
      <c r="E11" s="4">
        <f t="shared" si="1"/>
        <v>5</v>
      </c>
      <c r="F11" s="4">
        <f t="shared" si="2"/>
        <v>17</v>
      </c>
      <c r="G11" s="3">
        <f>IF(E11&gt;=20,2000,1900) + D11</f>
        <v>1981</v>
      </c>
      <c r="H11">
        <f t="shared" si="3"/>
        <v>5</v>
      </c>
      <c r="I11" s="4">
        <f t="shared" si="4"/>
        <v>17</v>
      </c>
      <c r="J11">
        <f t="shared" si="5"/>
        <v>19810517</v>
      </c>
      <c r="K11" t="str">
        <f t="shared" si="6"/>
        <v>17.05.1981</v>
      </c>
    </row>
    <row r="12" spans="1:11" x14ac:dyDescent="0.25">
      <c r="A12" s="4" t="s">
        <v>38</v>
      </c>
      <c r="B12" t="s">
        <v>5</v>
      </c>
      <c r="C12" t="s">
        <v>6</v>
      </c>
      <c r="D12" s="3">
        <f t="shared" si="0"/>
        <v>95</v>
      </c>
      <c r="E12" s="4">
        <f t="shared" si="1"/>
        <v>6</v>
      </c>
      <c r="F12" s="4">
        <f t="shared" si="2"/>
        <v>17</v>
      </c>
      <c r="G12" s="3">
        <f>IF(E12&gt;=20,2000,1900) + D12</f>
        <v>1995</v>
      </c>
      <c r="H12">
        <f t="shared" si="3"/>
        <v>6</v>
      </c>
      <c r="I12" s="4">
        <f t="shared" si="4"/>
        <v>17</v>
      </c>
      <c r="J12">
        <f t="shared" si="5"/>
        <v>19950617</v>
      </c>
      <c r="K12" t="str">
        <f t="shared" si="6"/>
        <v>17.06.1995</v>
      </c>
    </row>
    <row r="13" spans="1:11" x14ac:dyDescent="0.25">
      <c r="A13" s="4" t="s">
        <v>39</v>
      </c>
      <c r="B13" t="s">
        <v>11</v>
      </c>
      <c r="C13" t="s">
        <v>6</v>
      </c>
      <c r="D13" s="3">
        <f t="shared" si="0"/>
        <v>50</v>
      </c>
      <c r="E13" s="4">
        <f t="shared" si="1"/>
        <v>8</v>
      </c>
      <c r="F13" s="4">
        <f t="shared" si="2"/>
        <v>8</v>
      </c>
      <c r="G13" s="3">
        <f>IF(E13&gt;=20,2000,1900) + D13</f>
        <v>1950</v>
      </c>
      <c r="H13">
        <f t="shared" si="3"/>
        <v>8</v>
      </c>
      <c r="I13" s="4">
        <f t="shared" si="4"/>
        <v>8</v>
      </c>
      <c r="J13">
        <f t="shared" si="5"/>
        <v>19500808</v>
      </c>
      <c r="K13" t="str">
        <f t="shared" si="6"/>
        <v>08.08.1950</v>
      </c>
    </row>
    <row r="14" spans="1:11" x14ac:dyDescent="0.25">
      <c r="A14" s="4" t="s">
        <v>40</v>
      </c>
      <c r="B14" t="s">
        <v>12</v>
      </c>
      <c r="C14" t="s">
        <v>6</v>
      </c>
      <c r="D14" s="3">
        <f t="shared" si="0"/>
        <v>79</v>
      </c>
      <c r="E14" s="4">
        <f t="shared" si="1"/>
        <v>9</v>
      </c>
      <c r="F14" s="4">
        <f t="shared" si="2"/>
        <v>28</v>
      </c>
      <c r="G14" s="3">
        <f>IF(E14&gt;=20,2000,1900) + D14</f>
        <v>1979</v>
      </c>
      <c r="H14">
        <f t="shared" si="3"/>
        <v>9</v>
      </c>
      <c r="I14" s="4">
        <f t="shared" si="4"/>
        <v>28</v>
      </c>
      <c r="J14">
        <f t="shared" si="5"/>
        <v>19790928</v>
      </c>
      <c r="K14" t="str">
        <f t="shared" si="6"/>
        <v>28.09.1979</v>
      </c>
    </row>
    <row r="15" spans="1:11" x14ac:dyDescent="0.25">
      <c r="A15" s="4" t="s">
        <v>41</v>
      </c>
      <c r="B15" t="s">
        <v>13</v>
      </c>
      <c r="C15" t="s">
        <v>6</v>
      </c>
      <c r="D15" s="3">
        <f t="shared" si="0"/>
        <v>66</v>
      </c>
      <c r="E15" s="4">
        <f t="shared" si="1"/>
        <v>9</v>
      </c>
      <c r="F15" s="4">
        <f t="shared" si="2"/>
        <v>11</v>
      </c>
      <c r="G15" s="3">
        <f>IF(E15&gt;=20,2000,1900) + D15</f>
        <v>1966</v>
      </c>
      <c r="H15">
        <f t="shared" si="3"/>
        <v>9</v>
      </c>
      <c r="I15" s="4">
        <f t="shared" si="4"/>
        <v>11</v>
      </c>
      <c r="J15">
        <f t="shared" si="5"/>
        <v>19660911</v>
      </c>
      <c r="K15" t="str">
        <f t="shared" si="6"/>
        <v>11.09.1966</v>
      </c>
    </row>
    <row r="16" spans="1:11" x14ac:dyDescent="0.25">
      <c r="A16" s="4" t="s">
        <v>42</v>
      </c>
      <c r="B16" t="s">
        <v>12</v>
      </c>
      <c r="C16" t="s">
        <v>4</v>
      </c>
      <c r="D16" s="3">
        <f t="shared" si="0"/>
        <v>84</v>
      </c>
      <c r="E16" s="4">
        <f t="shared" si="1"/>
        <v>8</v>
      </c>
      <c r="F16" s="4">
        <f t="shared" si="2"/>
        <v>10</v>
      </c>
      <c r="G16" s="3">
        <f>IF(E16&gt;=20,2000,1900) + D16</f>
        <v>1984</v>
      </c>
      <c r="H16">
        <f t="shared" si="3"/>
        <v>8</v>
      </c>
      <c r="I16" s="4">
        <f t="shared" si="4"/>
        <v>10</v>
      </c>
      <c r="J16">
        <f t="shared" si="5"/>
        <v>19840810</v>
      </c>
      <c r="K16" t="str">
        <f t="shared" si="6"/>
        <v>10.08.1984</v>
      </c>
    </row>
    <row r="17" spans="1:11" x14ac:dyDescent="0.25">
      <c r="A17" s="4" t="s">
        <v>43</v>
      </c>
      <c r="B17" t="s">
        <v>11</v>
      </c>
      <c r="C17" t="s">
        <v>6</v>
      </c>
      <c r="D17" s="3">
        <f t="shared" si="0"/>
        <v>76</v>
      </c>
      <c r="E17" s="4">
        <f t="shared" si="1"/>
        <v>1</v>
      </c>
      <c r="F17" s="4">
        <f t="shared" si="2"/>
        <v>24</v>
      </c>
      <c r="G17" s="3">
        <f>IF(E17&gt;=20,2000,1900) + D17</f>
        <v>1976</v>
      </c>
      <c r="H17">
        <f t="shared" si="3"/>
        <v>1</v>
      </c>
      <c r="I17" s="4">
        <f t="shared" si="4"/>
        <v>24</v>
      </c>
      <c r="J17">
        <f t="shared" si="5"/>
        <v>19760124</v>
      </c>
      <c r="K17" t="str">
        <f t="shared" si="6"/>
        <v>24.01.1976</v>
      </c>
    </row>
    <row r="18" spans="1:11" x14ac:dyDescent="0.25">
      <c r="A18" s="4" t="s">
        <v>44</v>
      </c>
      <c r="B18" t="s">
        <v>10</v>
      </c>
      <c r="C18" t="s">
        <v>6</v>
      </c>
      <c r="D18" s="3">
        <f t="shared" si="0"/>
        <v>60</v>
      </c>
      <c r="E18" s="4">
        <f t="shared" si="1"/>
        <v>11</v>
      </c>
      <c r="F18" s="4">
        <f t="shared" si="2"/>
        <v>23</v>
      </c>
      <c r="G18" s="3">
        <f>IF(E18&gt;=20,2000,1900) + D18</f>
        <v>1960</v>
      </c>
      <c r="H18">
        <f t="shared" si="3"/>
        <v>11</v>
      </c>
      <c r="I18" s="4">
        <f t="shared" si="4"/>
        <v>23</v>
      </c>
      <c r="J18">
        <f t="shared" si="5"/>
        <v>19601123</v>
      </c>
      <c r="K18" t="str">
        <f t="shared" si="6"/>
        <v>23.11.1960</v>
      </c>
    </row>
    <row r="19" spans="1:11" x14ac:dyDescent="0.25">
      <c r="A19" s="4" t="s">
        <v>45</v>
      </c>
      <c r="B19" t="s">
        <v>5</v>
      </c>
      <c r="C19" t="s">
        <v>6</v>
      </c>
      <c r="D19" s="3">
        <f t="shared" si="0"/>
        <v>95</v>
      </c>
      <c r="E19" s="4">
        <f t="shared" si="1"/>
        <v>10</v>
      </c>
      <c r="F19" s="4">
        <f t="shared" si="2"/>
        <v>9</v>
      </c>
      <c r="G19" s="3">
        <f>IF(E19&gt;=20,2000,1900) + D19</f>
        <v>1995</v>
      </c>
      <c r="H19">
        <f t="shared" si="3"/>
        <v>10</v>
      </c>
      <c r="I19" s="4">
        <f t="shared" si="4"/>
        <v>9</v>
      </c>
      <c r="J19">
        <f t="shared" si="5"/>
        <v>19951009</v>
      </c>
      <c r="K19" t="str">
        <f t="shared" si="6"/>
        <v>09.10.1995</v>
      </c>
    </row>
    <row r="20" spans="1:11" x14ac:dyDescent="0.25">
      <c r="A20" s="4" t="s">
        <v>46</v>
      </c>
      <c r="B20" t="s">
        <v>14</v>
      </c>
      <c r="C20" t="s">
        <v>6</v>
      </c>
      <c r="D20" s="3">
        <f t="shared" si="0"/>
        <v>91</v>
      </c>
      <c r="E20" s="4">
        <f t="shared" si="1"/>
        <v>11</v>
      </c>
      <c r="F20" s="4">
        <f t="shared" si="2"/>
        <v>16</v>
      </c>
      <c r="G20" s="3">
        <f>IF(E20&gt;=20,2000,1900) + D20</f>
        <v>1991</v>
      </c>
      <c r="H20">
        <f t="shared" si="3"/>
        <v>11</v>
      </c>
      <c r="I20" s="4">
        <f t="shared" si="4"/>
        <v>16</v>
      </c>
      <c r="J20">
        <f t="shared" si="5"/>
        <v>19911116</v>
      </c>
      <c r="K20" t="str">
        <f t="shared" si="6"/>
        <v>16.11.1991</v>
      </c>
    </row>
    <row r="21" spans="1:11" x14ac:dyDescent="0.25">
      <c r="A21" s="4" t="s">
        <v>47</v>
      </c>
      <c r="B21" t="s">
        <v>15</v>
      </c>
      <c r="C21" t="s">
        <v>4</v>
      </c>
      <c r="D21" s="3">
        <f t="shared" si="0"/>
        <v>74</v>
      </c>
      <c r="E21" s="4">
        <f t="shared" si="1"/>
        <v>1</v>
      </c>
      <c r="F21" s="4">
        <f t="shared" si="2"/>
        <v>26</v>
      </c>
      <c r="G21" s="3">
        <f>IF(E21&gt;=20,2000,1900) + D21</f>
        <v>1974</v>
      </c>
      <c r="H21">
        <f t="shared" si="3"/>
        <v>1</v>
      </c>
      <c r="I21" s="4">
        <f t="shared" si="4"/>
        <v>26</v>
      </c>
      <c r="J21">
        <f t="shared" si="5"/>
        <v>19740126</v>
      </c>
      <c r="K21" t="str">
        <f t="shared" si="6"/>
        <v>26.01.1974</v>
      </c>
    </row>
    <row r="22" spans="1:11" x14ac:dyDescent="0.25">
      <c r="A22" s="4" t="s">
        <v>48</v>
      </c>
      <c r="B22" t="s">
        <v>16</v>
      </c>
      <c r="C22" t="s">
        <v>6</v>
      </c>
      <c r="D22" s="3">
        <f t="shared" si="0"/>
        <v>83</v>
      </c>
      <c r="E22" s="4">
        <f t="shared" si="1"/>
        <v>4</v>
      </c>
      <c r="F22" s="4">
        <f t="shared" si="2"/>
        <v>10</v>
      </c>
      <c r="G22" s="3">
        <f>IF(E22&gt;=20,2000,1900) + D22</f>
        <v>1983</v>
      </c>
      <c r="H22">
        <f t="shared" si="3"/>
        <v>4</v>
      </c>
      <c r="I22" s="4">
        <f t="shared" si="4"/>
        <v>10</v>
      </c>
      <c r="J22">
        <f t="shared" si="5"/>
        <v>19830410</v>
      </c>
      <c r="K22" t="str">
        <f t="shared" si="6"/>
        <v>10.04.1983</v>
      </c>
    </row>
    <row r="23" spans="1:11" x14ac:dyDescent="0.25">
      <c r="A23" s="4" t="s">
        <v>49</v>
      </c>
      <c r="B23" t="s">
        <v>17</v>
      </c>
      <c r="C23" t="s">
        <v>4</v>
      </c>
      <c r="D23" s="3">
        <f t="shared" si="0"/>
        <v>61</v>
      </c>
      <c r="E23" s="4">
        <f t="shared" si="1"/>
        <v>12</v>
      </c>
      <c r="F23" s="4">
        <f t="shared" si="2"/>
        <v>26</v>
      </c>
      <c r="G23" s="3">
        <f>IF(E23&gt;=20,2000,1900) + D23</f>
        <v>1961</v>
      </c>
      <c r="H23">
        <f t="shared" si="3"/>
        <v>12</v>
      </c>
      <c r="I23" s="4">
        <f t="shared" si="4"/>
        <v>26</v>
      </c>
      <c r="J23">
        <f t="shared" si="5"/>
        <v>19611226</v>
      </c>
      <c r="K23" t="str">
        <f t="shared" si="6"/>
        <v>26.12.1961</v>
      </c>
    </row>
    <row r="24" spans="1:11" x14ac:dyDescent="0.25">
      <c r="A24" s="4" t="s">
        <v>50</v>
      </c>
      <c r="B24" t="s">
        <v>18</v>
      </c>
      <c r="C24" t="s">
        <v>4</v>
      </c>
      <c r="D24" s="3">
        <f t="shared" si="0"/>
        <v>91</v>
      </c>
      <c r="E24" s="4">
        <f t="shared" si="1"/>
        <v>12</v>
      </c>
      <c r="F24" s="4">
        <f t="shared" si="2"/>
        <v>4</v>
      </c>
      <c r="G24" s="3">
        <f>IF(E24&gt;=20,2000,1900) + D24</f>
        <v>1991</v>
      </c>
      <c r="H24">
        <f t="shared" si="3"/>
        <v>12</v>
      </c>
      <c r="I24" s="4">
        <f t="shared" si="4"/>
        <v>4</v>
      </c>
      <c r="J24">
        <f t="shared" si="5"/>
        <v>19911204</v>
      </c>
      <c r="K24" t="str">
        <f t="shared" si="6"/>
        <v>04.12.1991</v>
      </c>
    </row>
    <row r="25" spans="1:11" x14ac:dyDescent="0.25">
      <c r="A25" s="4" t="s">
        <v>51</v>
      </c>
      <c r="B25" t="s">
        <v>19</v>
      </c>
      <c r="C25" t="s">
        <v>4</v>
      </c>
      <c r="D25" s="3">
        <f t="shared" si="0"/>
        <v>72</v>
      </c>
      <c r="E25" s="4">
        <f t="shared" si="1"/>
        <v>8</v>
      </c>
      <c r="F25" s="4">
        <f t="shared" si="2"/>
        <v>26</v>
      </c>
      <c r="G25" s="3">
        <f>IF(E25&gt;=20,2000,1900) + D25</f>
        <v>1972</v>
      </c>
      <c r="H25">
        <f t="shared" si="3"/>
        <v>8</v>
      </c>
      <c r="I25" s="4">
        <f t="shared" si="4"/>
        <v>26</v>
      </c>
      <c r="J25">
        <f t="shared" si="5"/>
        <v>19720826</v>
      </c>
      <c r="K25" t="str">
        <f t="shared" si="6"/>
        <v>26.08.1972</v>
      </c>
    </row>
    <row r="26" spans="1:11" x14ac:dyDescent="0.25">
      <c r="A26" s="4" t="s">
        <v>52</v>
      </c>
      <c r="B26" t="s">
        <v>10</v>
      </c>
      <c r="C26" t="s">
        <v>4</v>
      </c>
      <c r="D26" s="3">
        <f t="shared" si="0"/>
        <v>97</v>
      </c>
      <c r="E26" s="4">
        <f t="shared" si="1"/>
        <v>12</v>
      </c>
      <c r="F26" s="4">
        <f t="shared" si="2"/>
        <v>28</v>
      </c>
      <c r="G26" s="3">
        <f>IF(E26&gt;=20,2000,1900) + D26</f>
        <v>1997</v>
      </c>
      <c r="H26">
        <f t="shared" si="3"/>
        <v>12</v>
      </c>
      <c r="I26" s="4">
        <f t="shared" si="4"/>
        <v>28</v>
      </c>
      <c r="J26">
        <f t="shared" si="5"/>
        <v>19971228</v>
      </c>
      <c r="K26" t="str">
        <f t="shared" si="6"/>
        <v>28.12.1997</v>
      </c>
    </row>
    <row r="27" spans="1:11" x14ac:dyDescent="0.25">
      <c r="A27" s="4" t="s">
        <v>53</v>
      </c>
      <c r="B27" t="s">
        <v>20</v>
      </c>
      <c r="C27" t="s">
        <v>6</v>
      </c>
      <c r="D27" s="3">
        <f t="shared" si="0"/>
        <v>56</v>
      </c>
      <c r="E27" s="4">
        <f t="shared" si="1"/>
        <v>7</v>
      </c>
      <c r="F27" s="4">
        <f t="shared" si="2"/>
        <v>10</v>
      </c>
      <c r="G27" s="3">
        <f>IF(E27&gt;=20,2000,1900) + D27</f>
        <v>1956</v>
      </c>
      <c r="H27">
        <f t="shared" si="3"/>
        <v>7</v>
      </c>
      <c r="I27" s="4">
        <f t="shared" si="4"/>
        <v>10</v>
      </c>
      <c r="J27">
        <f t="shared" si="5"/>
        <v>19560710</v>
      </c>
      <c r="K27" t="str">
        <f t="shared" si="6"/>
        <v>10.07.1956</v>
      </c>
    </row>
    <row r="28" spans="1:11" x14ac:dyDescent="0.25">
      <c r="A28" s="4" t="s">
        <v>54</v>
      </c>
      <c r="B28" t="s">
        <v>3</v>
      </c>
      <c r="C28" t="s">
        <v>4</v>
      </c>
      <c r="D28" s="3">
        <f t="shared" si="0"/>
        <v>83</v>
      </c>
      <c r="E28" s="4">
        <f t="shared" si="1"/>
        <v>2</v>
      </c>
      <c r="F28" s="4">
        <f t="shared" si="2"/>
        <v>1</v>
      </c>
      <c r="G28" s="3">
        <f>IF(E28&gt;=20,2000,1900) + D28</f>
        <v>1983</v>
      </c>
      <c r="H28">
        <f t="shared" si="3"/>
        <v>2</v>
      </c>
      <c r="I28" s="4">
        <f t="shared" si="4"/>
        <v>1</v>
      </c>
      <c r="J28">
        <f t="shared" si="5"/>
        <v>19830201</v>
      </c>
      <c r="K28" t="str">
        <f t="shared" si="6"/>
        <v>01.02.1983</v>
      </c>
    </row>
    <row r="29" spans="1:11" x14ac:dyDescent="0.25">
      <c r="A29" s="4" t="s">
        <v>55</v>
      </c>
      <c r="B29" t="s">
        <v>14</v>
      </c>
      <c r="C29" t="s">
        <v>4</v>
      </c>
      <c r="D29" s="3">
        <f t="shared" si="0"/>
        <v>86</v>
      </c>
      <c r="E29" s="4">
        <f t="shared" si="1"/>
        <v>4</v>
      </c>
      <c r="F29" s="4">
        <f t="shared" si="2"/>
        <v>8</v>
      </c>
      <c r="G29" s="3">
        <f>IF(E29&gt;=20,2000,1900) + D29</f>
        <v>1986</v>
      </c>
      <c r="H29">
        <f t="shared" si="3"/>
        <v>4</v>
      </c>
      <c r="I29" s="4">
        <f t="shared" si="4"/>
        <v>8</v>
      </c>
      <c r="J29">
        <f t="shared" si="5"/>
        <v>19860408</v>
      </c>
      <c r="K29" t="str">
        <f t="shared" si="6"/>
        <v>08.04.1986</v>
      </c>
    </row>
    <row r="30" spans="1:11" x14ac:dyDescent="0.25">
      <c r="A30" s="4" t="s">
        <v>56</v>
      </c>
      <c r="B30" t="s">
        <v>3</v>
      </c>
      <c r="C30" t="s">
        <v>4</v>
      </c>
      <c r="D30" s="3">
        <f t="shared" si="0"/>
        <v>56</v>
      </c>
      <c r="E30" s="4">
        <f t="shared" si="1"/>
        <v>10</v>
      </c>
      <c r="F30" s="4">
        <f t="shared" si="2"/>
        <v>27</v>
      </c>
      <c r="G30" s="3">
        <f>IF(E30&gt;=20,2000,1900) + D30</f>
        <v>1956</v>
      </c>
      <c r="H30">
        <f t="shared" si="3"/>
        <v>10</v>
      </c>
      <c r="I30" s="4">
        <f t="shared" si="4"/>
        <v>27</v>
      </c>
      <c r="J30">
        <f t="shared" si="5"/>
        <v>19561027</v>
      </c>
      <c r="K30" t="str">
        <f t="shared" si="6"/>
        <v>27.10.1956</v>
      </c>
    </row>
    <row r="31" spans="1:11" x14ac:dyDescent="0.25">
      <c r="A31" s="4" t="s">
        <v>57</v>
      </c>
      <c r="B31" t="s">
        <v>10</v>
      </c>
      <c r="C31" t="s">
        <v>6</v>
      </c>
      <c r="D31" s="3">
        <f t="shared" si="0"/>
        <v>57</v>
      </c>
      <c r="E31" s="4">
        <f t="shared" si="1"/>
        <v>1</v>
      </c>
      <c r="F31" s="4">
        <f t="shared" si="2"/>
        <v>11</v>
      </c>
      <c r="G31" s="3">
        <f>IF(E31&gt;=20,2000,1900) + D31</f>
        <v>1957</v>
      </c>
      <c r="H31">
        <f t="shared" si="3"/>
        <v>1</v>
      </c>
      <c r="I31" s="4">
        <f t="shared" si="4"/>
        <v>11</v>
      </c>
      <c r="J31">
        <f t="shared" si="5"/>
        <v>19570111</v>
      </c>
      <c r="K31" t="str">
        <f t="shared" si="6"/>
        <v>11.01.1957</v>
      </c>
    </row>
    <row r="32" spans="1:11" x14ac:dyDescent="0.25">
      <c r="A32" s="4" t="s">
        <v>58</v>
      </c>
      <c r="B32" t="s">
        <v>12</v>
      </c>
      <c r="C32" t="s">
        <v>4</v>
      </c>
      <c r="D32" s="3">
        <f t="shared" si="0"/>
        <v>88</v>
      </c>
      <c r="E32" s="4">
        <f t="shared" si="1"/>
        <v>4</v>
      </c>
      <c r="F32" s="4">
        <f t="shared" si="2"/>
        <v>9</v>
      </c>
      <c r="G32" s="3">
        <f>IF(E32&gt;=20,2000,1900) + D32</f>
        <v>1988</v>
      </c>
      <c r="H32">
        <f t="shared" si="3"/>
        <v>4</v>
      </c>
      <c r="I32" s="4">
        <f t="shared" si="4"/>
        <v>9</v>
      </c>
      <c r="J32">
        <f t="shared" si="5"/>
        <v>19880409</v>
      </c>
      <c r="K32" t="str">
        <f t="shared" si="6"/>
        <v>09.04.1988</v>
      </c>
    </row>
    <row r="33" spans="1:11" x14ac:dyDescent="0.25">
      <c r="A33" s="4" t="s">
        <v>59</v>
      </c>
      <c r="B33" t="s">
        <v>9</v>
      </c>
      <c r="C33" t="s">
        <v>6</v>
      </c>
      <c r="D33" s="3">
        <f t="shared" si="0"/>
        <v>86</v>
      </c>
      <c r="E33" s="4">
        <f t="shared" si="1"/>
        <v>11</v>
      </c>
      <c r="F33" s="4">
        <f t="shared" si="2"/>
        <v>26</v>
      </c>
      <c r="G33" s="3">
        <f>IF(E33&gt;=20,2000,1900) + D33</f>
        <v>1986</v>
      </c>
      <c r="H33">
        <f t="shared" si="3"/>
        <v>11</v>
      </c>
      <c r="I33" s="4">
        <f t="shared" si="4"/>
        <v>26</v>
      </c>
      <c r="J33">
        <f t="shared" si="5"/>
        <v>19861126</v>
      </c>
      <c r="K33" t="str">
        <f t="shared" si="6"/>
        <v>26.11.1986</v>
      </c>
    </row>
    <row r="34" spans="1:11" x14ac:dyDescent="0.25">
      <c r="A34" s="4" t="s">
        <v>60</v>
      </c>
      <c r="B34" t="s">
        <v>19</v>
      </c>
      <c r="C34" t="s">
        <v>6</v>
      </c>
      <c r="D34" s="3">
        <f t="shared" si="0"/>
        <v>71</v>
      </c>
      <c r="E34" s="4">
        <f t="shared" si="1"/>
        <v>1</v>
      </c>
      <c r="F34" s="4">
        <f t="shared" si="2"/>
        <v>8</v>
      </c>
      <c r="G34" s="3">
        <f>IF(E34&gt;=20,2000,1900) + D34</f>
        <v>1971</v>
      </c>
      <c r="H34">
        <f t="shared" si="3"/>
        <v>1</v>
      </c>
      <c r="I34" s="4">
        <f t="shared" si="4"/>
        <v>8</v>
      </c>
      <c r="J34">
        <f t="shared" si="5"/>
        <v>19710108</v>
      </c>
      <c r="K34" t="str">
        <f t="shared" si="6"/>
        <v>08.01.1971</v>
      </c>
    </row>
    <row r="35" spans="1:11" x14ac:dyDescent="0.25">
      <c r="A35" s="4" t="s">
        <v>61</v>
      </c>
      <c r="B35" t="s">
        <v>13</v>
      </c>
      <c r="C35" t="s">
        <v>6</v>
      </c>
      <c r="D35" s="3">
        <f t="shared" si="0"/>
        <v>94</v>
      </c>
      <c r="E35" s="4">
        <f t="shared" si="1"/>
        <v>6</v>
      </c>
      <c r="F35" s="4">
        <f t="shared" si="2"/>
        <v>23</v>
      </c>
      <c r="G35" s="3">
        <f>IF(E35&gt;=20,2000,1900) + D35</f>
        <v>1994</v>
      </c>
      <c r="H35">
        <f t="shared" si="3"/>
        <v>6</v>
      </c>
      <c r="I35" s="4">
        <f t="shared" si="4"/>
        <v>23</v>
      </c>
      <c r="J35">
        <f t="shared" si="5"/>
        <v>19940623</v>
      </c>
      <c r="K35" t="str">
        <f t="shared" si="6"/>
        <v>23.06.1994</v>
      </c>
    </row>
    <row r="36" spans="1:11" x14ac:dyDescent="0.25">
      <c r="A36" s="4" t="s">
        <v>62</v>
      </c>
      <c r="B36" t="s">
        <v>16</v>
      </c>
      <c r="C36" t="s">
        <v>6</v>
      </c>
      <c r="D36" s="3">
        <f t="shared" si="0"/>
        <v>61</v>
      </c>
      <c r="E36" s="4">
        <f t="shared" si="1"/>
        <v>12</v>
      </c>
      <c r="F36" s="4">
        <f t="shared" si="2"/>
        <v>2</v>
      </c>
      <c r="G36" s="3">
        <f>IF(E36&gt;=20,2000,1900) + D36</f>
        <v>1961</v>
      </c>
      <c r="H36">
        <f t="shared" si="3"/>
        <v>12</v>
      </c>
      <c r="I36" s="4">
        <f t="shared" si="4"/>
        <v>2</v>
      </c>
      <c r="J36">
        <f t="shared" si="5"/>
        <v>19611202</v>
      </c>
      <c r="K36" t="str">
        <f t="shared" si="6"/>
        <v>02.12.1961</v>
      </c>
    </row>
    <row r="37" spans="1:11" x14ac:dyDescent="0.25">
      <c r="A37" s="4" t="s">
        <v>63</v>
      </c>
      <c r="B37" t="s">
        <v>13</v>
      </c>
      <c r="C37" t="s">
        <v>6</v>
      </c>
      <c r="D37" s="3">
        <f t="shared" si="0"/>
        <v>81</v>
      </c>
      <c r="E37" s="4">
        <f t="shared" si="1"/>
        <v>6</v>
      </c>
      <c r="F37" s="4">
        <f t="shared" si="2"/>
        <v>12</v>
      </c>
      <c r="G37" s="3">
        <f>IF(E37&gt;=20,2000,1900) + D37</f>
        <v>1981</v>
      </c>
      <c r="H37">
        <f t="shared" si="3"/>
        <v>6</v>
      </c>
      <c r="I37" s="4">
        <f t="shared" si="4"/>
        <v>12</v>
      </c>
      <c r="J37">
        <f t="shared" si="5"/>
        <v>19810612</v>
      </c>
      <c r="K37" t="str">
        <f t="shared" si="6"/>
        <v>12.06.1981</v>
      </c>
    </row>
    <row r="38" spans="1:11" x14ac:dyDescent="0.25">
      <c r="A38" s="4" t="s">
        <v>64</v>
      </c>
      <c r="B38" t="s">
        <v>12</v>
      </c>
      <c r="C38" t="s">
        <v>6</v>
      </c>
      <c r="D38" s="3">
        <f t="shared" si="0"/>
        <v>82</v>
      </c>
      <c r="E38" s="4">
        <f t="shared" si="1"/>
        <v>3</v>
      </c>
      <c r="F38" s="4">
        <f t="shared" si="2"/>
        <v>6</v>
      </c>
      <c r="G38" s="3">
        <f>IF(E38&gt;=20,2000,1900) + D38</f>
        <v>1982</v>
      </c>
      <c r="H38">
        <f t="shared" si="3"/>
        <v>3</v>
      </c>
      <c r="I38" s="4">
        <f t="shared" si="4"/>
        <v>6</v>
      </c>
      <c r="J38">
        <f t="shared" si="5"/>
        <v>19820306</v>
      </c>
      <c r="K38" t="str">
        <f t="shared" si="6"/>
        <v>06.03.1982</v>
      </c>
    </row>
    <row r="39" spans="1:11" x14ac:dyDescent="0.25">
      <c r="A39" s="4" t="s">
        <v>65</v>
      </c>
      <c r="B39" t="s">
        <v>14</v>
      </c>
      <c r="C39" t="s">
        <v>6</v>
      </c>
      <c r="D39" s="3">
        <f t="shared" si="0"/>
        <v>94</v>
      </c>
      <c r="E39" s="4">
        <f t="shared" si="1"/>
        <v>2</v>
      </c>
      <c r="F39" s="4">
        <f t="shared" si="2"/>
        <v>28</v>
      </c>
      <c r="G39" s="3">
        <f>IF(E39&gt;=20,2000,1900) + D39</f>
        <v>1994</v>
      </c>
      <c r="H39">
        <f t="shared" si="3"/>
        <v>2</v>
      </c>
      <c r="I39" s="4">
        <f t="shared" si="4"/>
        <v>28</v>
      </c>
      <c r="J39">
        <f t="shared" si="5"/>
        <v>19940228</v>
      </c>
      <c r="K39" t="str">
        <f t="shared" si="6"/>
        <v>28.02.1994</v>
      </c>
    </row>
    <row r="40" spans="1:11" x14ac:dyDescent="0.25">
      <c r="A40" s="4" t="s">
        <v>66</v>
      </c>
      <c r="B40" t="s">
        <v>19</v>
      </c>
      <c r="C40" t="s">
        <v>6</v>
      </c>
      <c r="D40" s="3">
        <f t="shared" si="0"/>
        <v>99</v>
      </c>
      <c r="E40" s="4">
        <f t="shared" si="1"/>
        <v>2</v>
      </c>
      <c r="F40" s="4">
        <f t="shared" si="2"/>
        <v>1</v>
      </c>
      <c r="G40" s="3">
        <f>IF(E40&gt;=20,2000,1900) + D40</f>
        <v>1999</v>
      </c>
      <c r="H40">
        <f t="shared" si="3"/>
        <v>2</v>
      </c>
      <c r="I40" s="4">
        <f t="shared" si="4"/>
        <v>1</v>
      </c>
      <c r="J40">
        <f t="shared" si="5"/>
        <v>19990201</v>
      </c>
      <c r="K40" t="str">
        <f t="shared" si="6"/>
        <v>01.02.1999</v>
      </c>
    </row>
    <row r="41" spans="1:11" x14ac:dyDescent="0.25">
      <c r="A41" s="4" t="s">
        <v>67</v>
      </c>
      <c r="B41" t="s">
        <v>19</v>
      </c>
      <c r="C41" t="s">
        <v>4</v>
      </c>
      <c r="D41" s="3">
        <f t="shared" si="0"/>
        <v>82</v>
      </c>
      <c r="E41" s="4">
        <f t="shared" si="1"/>
        <v>8</v>
      </c>
      <c r="F41" s="4">
        <f t="shared" si="2"/>
        <v>2</v>
      </c>
      <c r="G41" s="3">
        <f>IF(E41&gt;=20,2000,1900) + D41</f>
        <v>1982</v>
      </c>
      <c r="H41">
        <f t="shared" si="3"/>
        <v>8</v>
      </c>
      <c r="I41" s="4">
        <f t="shared" si="4"/>
        <v>2</v>
      </c>
      <c r="J41">
        <f t="shared" si="5"/>
        <v>19820802</v>
      </c>
      <c r="K41" t="str">
        <f t="shared" si="6"/>
        <v>02.08.1982</v>
      </c>
    </row>
    <row r="42" spans="1:11" x14ac:dyDescent="0.25">
      <c r="A42" s="4" t="s">
        <v>68</v>
      </c>
      <c r="B42" t="s">
        <v>19</v>
      </c>
      <c r="C42" t="s">
        <v>6</v>
      </c>
      <c r="D42" s="3">
        <f t="shared" si="0"/>
        <v>66</v>
      </c>
      <c r="E42" s="4">
        <f t="shared" si="1"/>
        <v>2</v>
      </c>
      <c r="F42" s="4">
        <f t="shared" si="2"/>
        <v>1</v>
      </c>
      <c r="G42" s="3">
        <f>IF(E42&gt;=20,2000,1900) + D42</f>
        <v>1966</v>
      </c>
      <c r="H42">
        <f t="shared" si="3"/>
        <v>2</v>
      </c>
      <c r="I42" s="4">
        <f t="shared" si="4"/>
        <v>1</v>
      </c>
      <c r="J42">
        <f t="shared" si="5"/>
        <v>19660201</v>
      </c>
      <c r="K42" t="str">
        <f t="shared" si="6"/>
        <v>01.02.1966</v>
      </c>
    </row>
    <row r="43" spans="1:11" x14ac:dyDescent="0.25">
      <c r="A43" s="4" t="s">
        <v>69</v>
      </c>
      <c r="B43" t="s">
        <v>17</v>
      </c>
      <c r="C43" t="s">
        <v>4</v>
      </c>
      <c r="D43" s="3">
        <f t="shared" si="0"/>
        <v>86</v>
      </c>
      <c r="E43" s="4">
        <f t="shared" si="1"/>
        <v>3</v>
      </c>
      <c r="F43" s="4">
        <f t="shared" si="2"/>
        <v>28</v>
      </c>
      <c r="G43" s="3">
        <f>IF(E43&gt;=20,2000,1900) + D43</f>
        <v>1986</v>
      </c>
      <c r="H43">
        <f t="shared" si="3"/>
        <v>3</v>
      </c>
      <c r="I43" s="4">
        <f t="shared" si="4"/>
        <v>28</v>
      </c>
      <c r="J43">
        <f t="shared" si="5"/>
        <v>19860328</v>
      </c>
      <c r="K43" t="str">
        <f t="shared" si="6"/>
        <v>28.03.1986</v>
      </c>
    </row>
    <row r="44" spans="1:11" x14ac:dyDescent="0.25">
      <c r="A44" s="4" t="s">
        <v>70</v>
      </c>
      <c r="B44" t="s">
        <v>12</v>
      </c>
      <c r="C44" t="s">
        <v>6</v>
      </c>
      <c r="D44" s="3">
        <f t="shared" si="0"/>
        <v>83</v>
      </c>
      <c r="E44" s="4">
        <f t="shared" si="1"/>
        <v>11</v>
      </c>
      <c r="F44" s="4">
        <f t="shared" si="2"/>
        <v>18</v>
      </c>
      <c r="G44" s="3">
        <f>IF(E44&gt;=20,2000,1900) + D44</f>
        <v>1983</v>
      </c>
      <c r="H44">
        <f t="shared" si="3"/>
        <v>11</v>
      </c>
      <c r="I44" s="4">
        <f t="shared" si="4"/>
        <v>18</v>
      </c>
      <c r="J44">
        <f t="shared" si="5"/>
        <v>19831118</v>
      </c>
      <c r="K44" t="str">
        <f t="shared" si="6"/>
        <v>18.11.1983</v>
      </c>
    </row>
    <row r="45" spans="1:11" x14ac:dyDescent="0.25">
      <c r="A45" s="4" t="s">
        <v>71</v>
      </c>
      <c r="B45" t="s">
        <v>14</v>
      </c>
      <c r="C45" t="s">
        <v>6</v>
      </c>
      <c r="D45" s="3">
        <f t="shared" si="0"/>
        <v>67</v>
      </c>
      <c r="E45" s="4">
        <f t="shared" si="1"/>
        <v>9</v>
      </c>
      <c r="F45" s="4">
        <f t="shared" si="2"/>
        <v>25</v>
      </c>
      <c r="G45" s="3">
        <f>IF(E45&gt;=20,2000,1900) + D45</f>
        <v>1967</v>
      </c>
      <c r="H45">
        <f t="shared" si="3"/>
        <v>9</v>
      </c>
      <c r="I45" s="4">
        <f t="shared" si="4"/>
        <v>25</v>
      </c>
      <c r="J45">
        <f t="shared" si="5"/>
        <v>19670925</v>
      </c>
      <c r="K45" t="str">
        <f t="shared" si="6"/>
        <v>25.09.1967</v>
      </c>
    </row>
    <row r="46" spans="1:11" x14ac:dyDescent="0.25">
      <c r="A46" s="4" t="s">
        <v>72</v>
      </c>
      <c r="B46" t="s">
        <v>19</v>
      </c>
      <c r="C46" t="s">
        <v>4</v>
      </c>
      <c r="D46" s="3">
        <f t="shared" si="0"/>
        <v>55</v>
      </c>
      <c r="E46" s="4">
        <f t="shared" si="1"/>
        <v>3</v>
      </c>
      <c r="F46" s="4">
        <f t="shared" si="2"/>
        <v>23</v>
      </c>
      <c r="G46" s="3">
        <f>IF(E46&gt;=20,2000,1900) + D46</f>
        <v>1955</v>
      </c>
      <c r="H46">
        <f t="shared" si="3"/>
        <v>3</v>
      </c>
      <c r="I46" s="4">
        <f t="shared" si="4"/>
        <v>23</v>
      </c>
      <c r="J46">
        <f t="shared" si="5"/>
        <v>19550323</v>
      </c>
      <c r="K46" t="str">
        <f t="shared" si="6"/>
        <v>23.03.1955</v>
      </c>
    </row>
    <row r="47" spans="1:11" x14ac:dyDescent="0.25">
      <c r="A47" s="4" t="s">
        <v>73</v>
      </c>
      <c r="B47" t="s">
        <v>17</v>
      </c>
      <c r="C47" t="s">
        <v>4</v>
      </c>
      <c r="D47" s="3">
        <f t="shared" si="0"/>
        <v>68</v>
      </c>
      <c r="E47" s="4">
        <f t="shared" si="1"/>
        <v>11</v>
      </c>
      <c r="F47" s="4">
        <f t="shared" si="2"/>
        <v>15</v>
      </c>
      <c r="G47" s="3">
        <f>IF(E47&gt;=20,2000,1900) + D47</f>
        <v>1968</v>
      </c>
      <c r="H47">
        <f t="shared" si="3"/>
        <v>11</v>
      </c>
      <c r="I47" s="4">
        <f t="shared" si="4"/>
        <v>15</v>
      </c>
      <c r="J47">
        <f t="shared" si="5"/>
        <v>19681115</v>
      </c>
      <c r="K47" t="str">
        <f t="shared" si="6"/>
        <v>15.11.1968</v>
      </c>
    </row>
    <row r="48" spans="1:11" x14ac:dyDescent="0.25">
      <c r="A48" s="4" t="s">
        <v>74</v>
      </c>
      <c r="B48" t="s">
        <v>19</v>
      </c>
      <c r="C48" t="s">
        <v>4</v>
      </c>
      <c r="D48" s="3">
        <f t="shared" si="0"/>
        <v>72</v>
      </c>
      <c r="E48" s="4">
        <f t="shared" si="1"/>
        <v>5</v>
      </c>
      <c r="F48" s="4">
        <f t="shared" si="2"/>
        <v>1</v>
      </c>
      <c r="G48" s="3">
        <f>IF(E48&gt;=20,2000,1900) + D48</f>
        <v>1972</v>
      </c>
      <c r="H48">
        <f t="shared" si="3"/>
        <v>5</v>
      </c>
      <c r="I48" s="4">
        <f t="shared" si="4"/>
        <v>1</v>
      </c>
      <c r="J48">
        <f t="shared" si="5"/>
        <v>19720501</v>
      </c>
      <c r="K48" t="str">
        <f t="shared" si="6"/>
        <v>01.05.1972</v>
      </c>
    </row>
    <row r="49" spans="1:11" x14ac:dyDescent="0.25">
      <c r="A49" s="4" t="s">
        <v>75</v>
      </c>
      <c r="B49" t="s">
        <v>17</v>
      </c>
      <c r="C49" t="s">
        <v>4</v>
      </c>
      <c r="D49" s="3">
        <f t="shared" si="0"/>
        <v>89</v>
      </c>
      <c r="E49" s="4">
        <f t="shared" si="1"/>
        <v>11</v>
      </c>
      <c r="F49" s="4">
        <f t="shared" si="2"/>
        <v>6</v>
      </c>
      <c r="G49" s="3">
        <f>IF(E49&gt;=20,2000,1900) + D49</f>
        <v>1989</v>
      </c>
      <c r="H49">
        <f t="shared" si="3"/>
        <v>11</v>
      </c>
      <c r="I49" s="4">
        <f t="shared" si="4"/>
        <v>6</v>
      </c>
      <c r="J49">
        <f t="shared" si="5"/>
        <v>19891106</v>
      </c>
      <c r="K49" t="str">
        <f t="shared" si="6"/>
        <v>06.11.1989</v>
      </c>
    </row>
    <row r="50" spans="1:11" x14ac:dyDescent="0.25">
      <c r="A50" s="4" t="s">
        <v>76</v>
      </c>
      <c r="B50" t="s">
        <v>14</v>
      </c>
      <c r="C50" t="s">
        <v>6</v>
      </c>
      <c r="D50" s="3">
        <f t="shared" si="0"/>
        <v>92</v>
      </c>
      <c r="E50" s="4">
        <f t="shared" si="1"/>
        <v>6</v>
      </c>
      <c r="F50" s="4">
        <f t="shared" si="2"/>
        <v>29</v>
      </c>
      <c r="G50" s="3">
        <f>IF(E50&gt;=20,2000,1900) + D50</f>
        <v>1992</v>
      </c>
      <c r="H50">
        <f t="shared" si="3"/>
        <v>6</v>
      </c>
      <c r="I50" s="4">
        <f t="shared" si="4"/>
        <v>29</v>
      </c>
      <c r="J50">
        <f t="shared" si="5"/>
        <v>19920629</v>
      </c>
      <c r="K50" t="str">
        <f t="shared" si="6"/>
        <v>29.06.1992</v>
      </c>
    </row>
    <row r="51" spans="1:11" x14ac:dyDescent="0.25">
      <c r="A51" s="4" t="s">
        <v>77</v>
      </c>
      <c r="B51" t="s">
        <v>17</v>
      </c>
      <c r="C51" t="s">
        <v>6</v>
      </c>
      <c r="D51" s="3">
        <f t="shared" si="0"/>
        <v>96</v>
      </c>
      <c r="E51" s="4">
        <f t="shared" si="1"/>
        <v>2</v>
      </c>
      <c r="F51" s="4">
        <f t="shared" si="2"/>
        <v>27</v>
      </c>
      <c r="G51" s="3">
        <f>IF(E51&gt;=20,2000,1900) + D51</f>
        <v>1996</v>
      </c>
      <c r="H51">
        <f t="shared" si="3"/>
        <v>2</v>
      </c>
      <c r="I51" s="4">
        <f t="shared" si="4"/>
        <v>27</v>
      </c>
      <c r="J51">
        <f t="shared" si="5"/>
        <v>19960227</v>
      </c>
      <c r="K51" t="str">
        <f t="shared" si="6"/>
        <v>27.02.1996</v>
      </c>
    </row>
    <row r="52" spans="1:11" x14ac:dyDescent="0.25">
      <c r="A52" s="4" t="s">
        <v>78</v>
      </c>
      <c r="B52" t="s">
        <v>12</v>
      </c>
      <c r="C52" t="s">
        <v>6</v>
      </c>
      <c r="D52" s="3">
        <f t="shared" si="0"/>
        <v>67</v>
      </c>
      <c r="E52" s="4">
        <f t="shared" si="1"/>
        <v>8</v>
      </c>
      <c r="F52" s="4">
        <f t="shared" si="2"/>
        <v>27</v>
      </c>
      <c r="G52" s="3">
        <f>IF(E52&gt;=20,2000,1900) + D52</f>
        <v>1967</v>
      </c>
      <c r="H52">
        <f t="shared" si="3"/>
        <v>8</v>
      </c>
      <c r="I52" s="4">
        <f t="shared" si="4"/>
        <v>27</v>
      </c>
      <c r="J52">
        <f t="shared" si="5"/>
        <v>19670827</v>
      </c>
      <c r="K52" t="str">
        <f t="shared" si="6"/>
        <v>27.08.1967</v>
      </c>
    </row>
    <row r="53" spans="1:11" x14ac:dyDescent="0.25">
      <c r="A53" s="4" t="s">
        <v>79</v>
      </c>
      <c r="B53" t="s">
        <v>13</v>
      </c>
      <c r="C53" t="s">
        <v>6</v>
      </c>
      <c r="D53" s="3">
        <f t="shared" si="0"/>
        <v>53</v>
      </c>
      <c r="E53" s="4">
        <f t="shared" si="1"/>
        <v>4</v>
      </c>
      <c r="F53" s="4">
        <f t="shared" si="2"/>
        <v>13</v>
      </c>
      <c r="G53" s="3">
        <f>IF(E53&gt;=20,2000,1900) + D53</f>
        <v>1953</v>
      </c>
      <c r="H53">
        <f t="shared" si="3"/>
        <v>4</v>
      </c>
      <c r="I53" s="4">
        <f t="shared" si="4"/>
        <v>13</v>
      </c>
      <c r="J53">
        <f t="shared" si="5"/>
        <v>19530413</v>
      </c>
      <c r="K53" t="str">
        <f t="shared" si="6"/>
        <v>13.04.1953</v>
      </c>
    </row>
    <row r="54" spans="1:11" x14ac:dyDescent="0.25">
      <c r="A54" s="4" t="s">
        <v>80</v>
      </c>
      <c r="B54" t="s">
        <v>15</v>
      </c>
      <c r="C54" t="s">
        <v>6</v>
      </c>
      <c r="D54" s="3">
        <f t="shared" si="0"/>
        <v>85</v>
      </c>
      <c r="E54" s="4">
        <f t="shared" si="1"/>
        <v>7</v>
      </c>
      <c r="F54" s="4">
        <f t="shared" si="2"/>
        <v>4</v>
      </c>
      <c r="G54" s="3">
        <f>IF(E54&gt;=20,2000,1900) + D54</f>
        <v>1985</v>
      </c>
      <c r="H54">
        <f t="shared" si="3"/>
        <v>7</v>
      </c>
      <c r="I54" s="4">
        <f t="shared" si="4"/>
        <v>4</v>
      </c>
      <c r="J54">
        <f t="shared" si="5"/>
        <v>19850704</v>
      </c>
      <c r="K54" t="str">
        <f t="shared" si="6"/>
        <v>04.07.1985</v>
      </c>
    </row>
    <row r="55" spans="1:11" x14ac:dyDescent="0.25">
      <c r="A55" s="4" t="s">
        <v>81</v>
      </c>
      <c r="B55" t="s">
        <v>3</v>
      </c>
      <c r="C55" t="s">
        <v>4</v>
      </c>
      <c r="D55" s="3">
        <f t="shared" si="0"/>
        <v>67</v>
      </c>
      <c r="E55" s="4">
        <f t="shared" si="1"/>
        <v>11</v>
      </c>
      <c r="F55" s="4">
        <f t="shared" si="2"/>
        <v>4</v>
      </c>
      <c r="G55" s="3">
        <f>IF(E55&gt;=20,2000,1900) + D55</f>
        <v>1967</v>
      </c>
      <c r="H55">
        <f t="shared" si="3"/>
        <v>11</v>
      </c>
      <c r="I55" s="4">
        <f t="shared" si="4"/>
        <v>4</v>
      </c>
      <c r="J55">
        <f t="shared" si="5"/>
        <v>19671104</v>
      </c>
      <c r="K55" t="str">
        <f t="shared" si="6"/>
        <v>04.11.1967</v>
      </c>
    </row>
    <row r="56" spans="1:11" x14ac:dyDescent="0.25">
      <c r="A56" s="4" t="s">
        <v>82</v>
      </c>
      <c r="B56" t="s">
        <v>16</v>
      </c>
      <c r="C56" t="s">
        <v>4</v>
      </c>
      <c r="D56" s="3">
        <f t="shared" si="0"/>
        <v>76</v>
      </c>
      <c r="E56" s="4">
        <f t="shared" si="1"/>
        <v>11</v>
      </c>
      <c r="F56" s="4">
        <f t="shared" si="2"/>
        <v>29</v>
      </c>
      <c r="G56" s="3">
        <f>IF(E56&gt;=20,2000,1900) + D56</f>
        <v>1976</v>
      </c>
      <c r="H56">
        <f t="shared" si="3"/>
        <v>11</v>
      </c>
      <c r="I56" s="4">
        <f t="shared" si="4"/>
        <v>29</v>
      </c>
      <c r="J56">
        <f t="shared" si="5"/>
        <v>19761129</v>
      </c>
      <c r="K56" t="str">
        <f t="shared" si="6"/>
        <v>29.11.1976</v>
      </c>
    </row>
    <row r="57" spans="1:11" x14ac:dyDescent="0.25">
      <c r="A57" s="4" t="s">
        <v>83</v>
      </c>
      <c r="B57" t="s">
        <v>7</v>
      </c>
      <c r="C57" t="s">
        <v>6</v>
      </c>
      <c r="D57" s="3">
        <f t="shared" si="0"/>
        <v>78</v>
      </c>
      <c r="E57" s="4">
        <f t="shared" si="1"/>
        <v>7</v>
      </c>
      <c r="F57" s="4">
        <f t="shared" si="2"/>
        <v>23</v>
      </c>
      <c r="G57" s="3">
        <f>IF(E57&gt;=20,2000,1900) + D57</f>
        <v>1978</v>
      </c>
      <c r="H57">
        <f t="shared" si="3"/>
        <v>7</v>
      </c>
      <c r="I57" s="4">
        <f t="shared" si="4"/>
        <v>23</v>
      </c>
      <c r="J57">
        <f t="shared" si="5"/>
        <v>19780723</v>
      </c>
      <c r="K57" t="str">
        <f t="shared" si="6"/>
        <v>23.07.1978</v>
      </c>
    </row>
    <row r="58" spans="1:11" x14ac:dyDescent="0.25">
      <c r="A58" s="4" t="s">
        <v>84</v>
      </c>
      <c r="B58" t="s">
        <v>13</v>
      </c>
      <c r="C58" t="s">
        <v>6</v>
      </c>
      <c r="D58" s="3">
        <f t="shared" si="0"/>
        <v>50</v>
      </c>
      <c r="E58" s="4">
        <f t="shared" si="1"/>
        <v>9</v>
      </c>
      <c r="F58" s="4">
        <f t="shared" si="2"/>
        <v>27</v>
      </c>
      <c r="G58" s="3">
        <f>IF(E58&gt;=20,2000,1900) + D58</f>
        <v>1950</v>
      </c>
      <c r="H58">
        <f t="shared" si="3"/>
        <v>9</v>
      </c>
      <c r="I58" s="4">
        <f t="shared" si="4"/>
        <v>27</v>
      </c>
      <c r="J58">
        <f t="shared" si="5"/>
        <v>19500927</v>
      </c>
      <c r="K58" t="str">
        <f t="shared" si="6"/>
        <v>27.09.1950</v>
      </c>
    </row>
    <row r="59" spans="1:11" x14ac:dyDescent="0.25">
      <c r="A59" s="4" t="s">
        <v>85</v>
      </c>
      <c r="B59" t="s">
        <v>10</v>
      </c>
      <c r="C59" t="s">
        <v>4</v>
      </c>
      <c r="D59" s="3">
        <f t="shared" si="0"/>
        <v>67</v>
      </c>
      <c r="E59" s="4">
        <f t="shared" si="1"/>
        <v>9</v>
      </c>
      <c r="F59" s="4">
        <f t="shared" si="2"/>
        <v>9</v>
      </c>
      <c r="G59" s="3">
        <f>IF(E59&gt;=20,2000,1900) + D59</f>
        <v>1967</v>
      </c>
      <c r="H59">
        <f t="shared" si="3"/>
        <v>9</v>
      </c>
      <c r="I59" s="4">
        <f t="shared" si="4"/>
        <v>9</v>
      </c>
      <c r="J59">
        <f t="shared" si="5"/>
        <v>19670909</v>
      </c>
      <c r="K59" t="str">
        <f t="shared" si="6"/>
        <v>09.09.1967</v>
      </c>
    </row>
    <row r="60" spans="1:11" x14ac:dyDescent="0.25">
      <c r="A60" s="4" t="s">
        <v>86</v>
      </c>
      <c r="B60" t="s">
        <v>3</v>
      </c>
      <c r="C60" t="s">
        <v>6</v>
      </c>
      <c r="D60" s="3">
        <f t="shared" si="0"/>
        <v>94</v>
      </c>
      <c r="E60" s="4">
        <f t="shared" si="1"/>
        <v>7</v>
      </c>
      <c r="F60" s="4">
        <f t="shared" si="2"/>
        <v>7</v>
      </c>
      <c r="G60" s="3">
        <f>IF(E60&gt;=20,2000,1900) + D60</f>
        <v>1994</v>
      </c>
      <c r="H60">
        <f t="shared" si="3"/>
        <v>7</v>
      </c>
      <c r="I60" s="4">
        <f t="shared" si="4"/>
        <v>7</v>
      </c>
      <c r="J60">
        <f t="shared" si="5"/>
        <v>19940707</v>
      </c>
      <c r="K60" t="str">
        <f t="shared" si="6"/>
        <v>07.07.1994</v>
      </c>
    </row>
    <row r="61" spans="1:11" x14ac:dyDescent="0.25">
      <c r="A61" s="4" t="s">
        <v>87</v>
      </c>
      <c r="B61" t="s">
        <v>13</v>
      </c>
      <c r="C61" t="s">
        <v>4</v>
      </c>
      <c r="D61" s="3">
        <f t="shared" si="0"/>
        <v>78</v>
      </c>
      <c r="E61" s="4">
        <f t="shared" si="1"/>
        <v>3</v>
      </c>
      <c r="F61" s="4">
        <f t="shared" si="2"/>
        <v>14</v>
      </c>
      <c r="G61" s="3">
        <f>IF(E61&gt;=20,2000,1900) + D61</f>
        <v>1978</v>
      </c>
      <c r="H61">
        <f t="shared" si="3"/>
        <v>3</v>
      </c>
      <c r="I61" s="4">
        <f t="shared" si="4"/>
        <v>14</v>
      </c>
      <c r="J61">
        <f t="shared" si="5"/>
        <v>19780314</v>
      </c>
      <c r="K61" t="str">
        <f t="shared" si="6"/>
        <v>14.03.1978</v>
      </c>
    </row>
    <row r="62" spans="1:11" x14ac:dyDescent="0.25">
      <c r="A62" s="4" t="s">
        <v>88</v>
      </c>
      <c r="B62" t="s">
        <v>9</v>
      </c>
      <c r="C62" t="s">
        <v>4</v>
      </c>
      <c r="D62" s="3">
        <f t="shared" si="0"/>
        <v>75</v>
      </c>
      <c r="E62" s="4">
        <f t="shared" si="1"/>
        <v>11</v>
      </c>
      <c r="F62" s="4">
        <f t="shared" si="2"/>
        <v>18</v>
      </c>
      <c r="G62" s="3">
        <f>IF(E62&gt;=20,2000,1900) + D62</f>
        <v>1975</v>
      </c>
      <c r="H62">
        <f t="shared" si="3"/>
        <v>11</v>
      </c>
      <c r="I62" s="4">
        <f t="shared" si="4"/>
        <v>18</v>
      </c>
      <c r="J62">
        <f t="shared" si="5"/>
        <v>19751118</v>
      </c>
      <c r="K62" t="str">
        <f t="shared" si="6"/>
        <v>18.11.1975</v>
      </c>
    </row>
    <row r="63" spans="1:11" x14ac:dyDescent="0.25">
      <c r="A63" s="4" t="s">
        <v>89</v>
      </c>
      <c r="B63" t="s">
        <v>20</v>
      </c>
      <c r="C63" t="s">
        <v>4</v>
      </c>
      <c r="D63" s="3">
        <f t="shared" si="0"/>
        <v>84</v>
      </c>
      <c r="E63" s="4">
        <f t="shared" si="1"/>
        <v>1</v>
      </c>
      <c r="F63" s="4">
        <f t="shared" si="2"/>
        <v>17</v>
      </c>
      <c r="G63" s="3">
        <f>IF(E63&gt;=20,2000,1900) + D63</f>
        <v>1984</v>
      </c>
      <c r="H63">
        <f t="shared" si="3"/>
        <v>1</v>
      </c>
      <c r="I63" s="4">
        <f t="shared" si="4"/>
        <v>17</v>
      </c>
      <c r="J63">
        <f t="shared" si="5"/>
        <v>19840117</v>
      </c>
      <c r="K63" t="str">
        <f t="shared" si="6"/>
        <v>17.01.1984</v>
      </c>
    </row>
    <row r="64" spans="1:11" x14ac:dyDescent="0.25">
      <c r="A64" s="4" t="s">
        <v>90</v>
      </c>
      <c r="B64" t="s">
        <v>8</v>
      </c>
      <c r="C64" t="s">
        <v>6</v>
      </c>
      <c r="D64" s="3">
        <f t="shared" si="0"/>
        <v>73</v>
      </c>
      <c r="E64" s="4">
        <f t="shared" si="1"/>
        <v>10</v>
      </c>
      <c r="F64" s="4">
        <f t="shared" si="2"/>
        <v>19</v>
      </c>
      <c r="G64" s="3">
        <f>IF(E64&gt;=20,2000,1900) + D64</f>
        <v>1973</v>
      </c>
      <c r="H64">
        <f t="shared" si="3"/>
        <v>10</v>
      </c>
      <c r="I64" s="4">
        <f t="shared" si="4"/>
        <v>19</v>
      </c>
      <c r="J64">
        <f t="shared" si="5"/>
        <v>19731019</v>
      </c>
      <c r="K64" t="str">
        <f t="shared" si="6"/>
        <v>19.10.1973</v>
      </c>
    </row>
    <row r="65" spans="1:11" x14ac:dyDescent="0.25">
      <c r="A65" s="4" t="s">
        <v>91</v>
      </c>
      <c r="B65" t="s">
        <v>20</v>
      </c>
      <c r="C65" t="s">
        <v>6</v>
      </c>
      <c r="D65" s="3">
        <f t="shared" si="0"/>
        <v>98</v>
      </c>
      <c r="E65" s="4">
        <f t="shared" si="1"/>
        <v>11</v>
      </c>
      <c r="F65" s="4">
        <f t="shared" si="2"/>
        <v>25</v>
      </c>
      <c r="G65" s="3">
        <f>IF(E65&gt;=20,2000,1900) + D65</f>
        <v>1998</v>
      </c>
      <c r="H65">
        <f t="shared" si="3"/>
        <v>11</v>
      </c>
      <c r="I65" s="4">
        <f t="shared" si="4"/>
        <v>25</v>
      </c>
      <c r="J65">
        <f t="shared" si="5"/>
        <v>19981125</v>
      </c>
      <c r="K65" t="str">
        <f t="shared" si="6"/>
        <v>25.11.1998</v>
      </c>
    </row>
    <row r="66" spans="1:11" x14ac:dyDescent="0.25">
      <c r="A66" s="4" t="s">
        <v>92</v>
      </c>
      <c r="B66" t="s">
        <v>14</v>
      </c>
      <c r="C66" t="s">
        <v>4</v>
      </c>
      <c r="D66" s="3">
        <f t="shared" si="0"/>
        <v>80</v>
      </c>
      <c r="E66" s="4">
        <f t="shared" si="1"/>
        <v>2</v>
      </c>
      <c r="F66" s="4">
        <f t="shared" si="2"/>
        <v>5</v>
      </c>
      <c r="G66" s="3">
        <f>IF(E66&gt;=20,2000,1900) + D66</f>
        <v>1980</v>
      </c>
      <c r="H66">
        <f t="shared" si="3"/>
        <v>2</v>
      </c>
      <c r="I66" s="4">
        <f t="shared" si="4"/>
        <v>5</v>
      </c>
      <c r="J66">
        <f t="shared" si="5"/>
        <v>19800205</v>
      </c>
      <c r="K66" t="str">
        <f t="shared" si="6"/>
        <v>05.02.1980</v>
      </c>
    </row>
    <row r="67" spans="1:11" x14ac:dyDescent="0.25">
      <c r="A67" s="4" t="s">
        <v>93</v>
      </c>
      <c r="B67" t="s">
        <v>17</v>
      </c>
      <c r="C67" t="s">
        <v>4</v>
      </c>
      <c r="D67" s="3">
        <f t="shared" ref="D67:D130" si="7">MID(A67,1,2)*1</f>
        <v>78</v>
      </c>
      <c r="E67" s="4">
        <f t="shared" ref="E67:E130" si="8">MID(A67,3,2)*1</f>
        <v>9</v>
      </c>
      <c r="F67" s="4">
        <f t="shared" ref="F67:F130" si="9">MID(A67,5,2)*1</f>
        <v>6</v>
      </c>
      <c r="G67" s="3">
        <f>IF(E67&gt;=20,2000,1900) + D67</f>
        <v>1978</v>
      </c>
      <c r="H67">
        <f t="shared" ref="H67:H130" si="10">IF(E67&gt;=20,E67-20,E67)</f>
        <v>9</v>
      </c>
      <c r="I67" s="4">
        <f t="shared" ref="I67:I130" si="11">F67</f>
        <v>6</v>
      </c>
      <c r="J67">
        <f t="shared" ref="J67:J130" si="12">CONCATENATE(G67,IF(LEN(E67)=1,CONCATENATE("0",E67),E67),IF(LEN(F67)=1,CONCATENATE("0",F67),F67))*1</f>
        <v>19780906</v>
      </c>
      <c r="K67" t="str">
        <f t="shared" ref="K67:K130" si="13">CONCATENATE(RIGHT(J67,2),".",MID(J67,5,2),".",LEFT(J67,4))</f>
        <v>06.09.1978</v>
      </c>
    </row>
    <row r="68" spans="1:11" x14ac:dyDescent="0.25">
      <c r="A68" s="4" t="s">
        <v>94</v>
      </c>
      <c r="B68" t="s">
        <v>8</v>
      </c>
      <c r="C68" t="s">
        <v>4</v>
      </c>
      <c r="D68" s="3">
        <f t="shared" si="7"/>
        <v>85</v>
      </c>
      <c r="E68" s="4">
        <f t="shared" si="8"/>
        <v>10</v>
      </c>
      <c r="F68" s="4">
        <f t="shared" si="9"/>
        <v>4</v>
      </c>
      <c r="G68" s="3">
        <f>IF(E68&gt;=20,2000,1900) + D68</f>
        <v>1985</v>
      </c>
      <c r="H68">
        <f t="shared" si="10"/>
        <v>10</v>
      </c>
      <c r="I68" s="4">
        <f t="shared" si="11"/>
        <v>4</v>
      </c>
      <c r="J68">
        <f t="shared" si="12"/>
        <v>19851004</v>
      </c>
      <c r="K68" t="str">
        <f t="shared" si="13"/>
        <v>04.10.1985</v>
      </c>
    </row>
    <row r="69" spans="1:11" x14ac:dyDescent="0.25">
      <c r="A69" s="4" t="s">
        <v>95</v>
      </c>
      <c r="B69" t="s">
        <v>17</v>
      </c>
      <c r="C69" t="s">
        <v>6</v>
      </c>
      <c r="D69" s="3">
        <f t="shared" si="7"/>
        <v>62</v>
      </c>
      <c r="E69" s="4">
        <f t="shared" si="8"/>
        <v>10</v>
      </c>
      <c r="F69" s="4">
        <f t="shared" si="9"/>
        <v>30</v>
      </c>
      <c r="G69" s="3">
        <f>IF(E69&gt;=20,2000,1900) + D69</f>
        <v>1962</v>
      </c>
      <c r="H69">
        <f t="shared" si="10"/>
        <v>10</v>
      </c>
      <c r="I69" s="4">
        <f t="shared" si="11"/>
        <v>30</v>
      </c>
      <c r="J69">
        <f t="shared" si="12"/>
        <v>19621030</v>
      </c>
      <c r="K69" t="str">
        <f t="shared" si="13"/>
        <v>30.10.1962</v>
      </c>
    </row>
    <row r="70" spans="1:11" x14ac:dyDescent="0.25">
      <c r="A70" s="4" t="s">
        <v>96</v>
      </c>
      <c r="B70" t="s">
        <v>20</v>
      </c>
      <c r="C70" t="s">
        <v>6</v>
      </c>
      <c r="D70" s="3">
        <f t="shared" si="7"/>
        <v>64</v>
      </c>
      <c r="E70" s="4">
        <f t="shared" si="8"/>
        <v>9</v>
      </c>
      <c r="F70" s="4">
        <f t="shared" si="9"/>
        <v>21</v>
      </c>
      <c r="G70" s="3">
        <f>IF(E70&gt;=20,2000,1900) + D70</f>
        <v>1964</v>
      </c>
      <c r="H70">
        <f t="shared" si="10"/>
        <v>9</v>
      </c>
      <c r="I70" s="4">
        <f t="shared" si="11"/>
        <v>21</v>
      </c>
      <c r="J70">
        <f t="shared" si="12"/>
        <v>19640921</v>
      </c>
      <c r="K70" t="str">
        <f t="shared" si="13"/>
        <v>21.09.1964</v>
      </c>
    </row>
    <row r="71" spans="1:11" x14ac:dyDescent="0.25">
      <c r="A71" s="4" t="s">
        <v>97</v>
      </c>
      <c r="B71" t="s">
        <v>19</v>
      </c>
      <c r="C71" t="s">
        <v>4</v>
      </c>
      <c r="D71" s="3">
        <f t="shared" si="7"/>
        <v>72</v>
      </c>
      <c r="E71" s="4">
        <f t="shared" si="8"/>
        <v>11</v>
      </c>
      <c r="F71" s="4">
        <f t="shared" si="9"/>
        <v>28</v>
      </c>
      <c r="G71" s="3">
        <f>IF(E71&gt;=20,2000,1900) + D71</f>
        <v>1972</v>
      </c>
      <c r="H71">
        <f t="shared" si="10"/>
        <v>11</v>
      </c>
      <c r="I71" s="4">
        <f t="shared" si="11"/>
        <v>28</v>
      </c>
      <c r="J71">
        <f t="shared" si="12"/>
        <v>19721128</v>
      </c>
      <c r="K71" t="str">
        <f t="shared" si="13"/>
        <v>28.11.1972</v>
      </c>
    </row>
    <row r="72" spans="1:11" x14ac:dyDescent="0.25">
      <c r="A72" s="4" t="s">
        <v>98</v>
      </c>
      <c r="B72" t="s">
        <v>15</v>
      </c>
      <c r="C72" t="s">
        <v>6</v>
      </c>
      <c r="D72" s="3">
        <f t="shared" si="7"/>
        <v>90</v>
      </c>
      <c r="E72" s="4">
        <f t="shared" si="8"/>
        <v>7</v>
      </c>
      <c r="F72" s="4">
        <f t="shared" si="9"/>
        <v>11</v>
      </c>
      <c r="G72" s="3">
        <f>IF(E72&gt;=20,2000,1900) + D72</f>
        <v>1990</v>
      </c>
      <c r="H72">
        <f t="shared" si="10"/>
        <v>7</v>
      </c>
      <c r="I72" s="4">
        <f t="shared" si="11"/>
        <v>11</v>
      </c>
      <c r="J72">
        <f t="shared" si="12"/>
        <v>19900711</v>
      </c>
      <c r="K72" t="str">
        <f t="shared" si="13"/>
        <v>11.07.1990</v>
      </c>
    </row>
    <row r="73" spans="1:11" x14ac:dyDescent="0.25">
      <c r="A73" s="4" t="s">
        <v>99</v>
      </c>
      <c r="B73" t="s">
        <v>10</v>
      </c>
      <c r="C73" t="s">
        <v>4</v>
      </c>
      <c r="D73" s="3">
        <f t="shared" si="7"/>
        <v>80</v>
      </c>
      <c r="E73" s="4">
        <f t="shared" si="8"/>
        <v>10</v>
      </c>
      <c r="F73" s="4">
        <f t="shared" si="9"/>
        <v>7</v>
      </c>
      <c r="G73" s="3">
        <f>IF(E73&gt;=20,2000,1900) + D73</f>
        <v>1980</v>
      </c>
      <c r="H73">
        <f t="shared" si="10"/>
        <v>10</v>
      </c>
      <c r="I73" s="4">
        <f t="shared" si="11"/>
        <v>7</v>
      </c>
      <c r="J73">
        <f t="shared" si="12"/>
        <v>19801007</v>
      </c>
      <c r="K73" t="str">
        <f t="shared" si="13"/>
        <v>07.10.1980</v>
      </c>
    </row>
    <row r="74" spans="1:11" x14ac:dyDescent="0.25">
      <c r="A74" s="4" t="s">
        <v>100</v>
      </c>
      <c r="B74" t="s">
        <v>19</v>
      </c>
      <c r="C74" t="s">
        <v>4</v>
      </c>
      <c r="D74" s="3">
        <f t="shared" si="7"/>
        <v>67</v>
      </c>
      <c r="E74" s="4">
        <f t="shared" si="8"/>
        <v>11</v>
      </c>
      <c r="F74" s="4">
        <f t="shared" si="9"/>
        <v>16</v>
      </c>
      <c r="G74" s="3">
        <f>IF(E74&gt;=20,2000,1900) + D74</f>
        <v>1967</v>
      </c>
      <c r="H74">
        <f t="shared" si="10"/>
        <v>11</v>
      </c>
      <c r="I74" s="4">
        <f t="shared" si="11"/>
        <v>16</v>
      </c>
      <c r="J74">
        <f t="shared" si="12"/>
        <v>19671116</v>
      </c>
      <c r="K74" t="str">
        <f t="shared" si="13"/>
        <v>16.11.1967</v>
      </c>
    </row>
    <row r="75" spans="1:11" x14ac:dyDescent="0.25">
      <c r="A75" s="4" t="s">
        <v>101</v>
      </c>
      <c r="B75" t="s">
        <v>9</v>
      </c>
      <c r="C75" t="s">
        <v>4</v>
      </c>
      <c r="D75" s="3">
        <f t="shared" si="7"/>
        <v>87</v>
      </c>
      <c r="E75" s="4">
        <f t="shared" si="8"/>
        <v>10</v>
      </c>
      <c r="F75" s="4">
        <f t="shared" si="9"/>
        <v>4</v>
      </c>
      <c r="G75" s="3">
        <f>IF(E75&gt;=20,2000,1900) + D75</f>
        <v>1987</v>
      </c>
      <c r="H75">
        <f t="shared" si="10"/>
        <v>10</v>
      </c>
      <c r="I75" s="4">
        <f t="shared" si="11"/>
        <v>4</v>
      </c>
      <c r="J75">
        <f t="shared" si="12"/>
        <v>19871004</v>
      </c>
      <c r="K75" t="str">
        <f t="shared" si="13"/>
        <v>04.10.1987</v>
      </c>
    </row>
    <row r="76" spans="1:11" x14ac:dyDescent="0.25">
      <c r="A76" s="4" t="s">
        <v>102</v>
      </c>
      <c r="B76" t="s">
        <v>20</v>
      </c>
      <c r="C76" t="s">
        <v>4</v>
      </c>
      <c r="D76" s="3">
        <f t="shared" si="7"/>
        <v>64</v>
      </c>
      <c r="E76" s="4">
        <f t="shared" si="8"/>
        <v>9</v>
      </c>
      <c r="F76" s="4">
        <f t="shared" si="9"/>
        <v>1</v>
      </c>
      <c r="G76" s="3">
        <f>IF(E76&gt;=20,2000,1900) + D76</f>
        <v>1964</v>
      </c>
      <c r="H76">
        <f t="shared" si="10"/>
        <v>9</v>
      </c>
      <c r="I76" s="4">
        <f t="shared" si="11"/>
        <v>1</v>
      </c>
      <c r="J76">
        <f t="shared" si="12"/>
        <v>19640901</v>
      </c>
      <c r="K76" t="str">
        <f t="shared" si="13"/>
        <v>01.09.1964</v>
      </c>
    </row>
    <row r="77" spans="1:11" x14ac:dyDescent="0.25">
      <c r="A77" s="4" t="s">
        <v>103</v>
      </c>
      <c r="B77" t="s">
        <v>3</v>
      </c>
      <c r="C77" t="s">
        <v>4</v>
      </c>
      <c r="D77" s="3">
        <f t="shared" si="7"/>
        <v>61</v>
      </c>
      <c r="E77" s="4">
        <f t="shared" si="8"/>
        <v>6</v>
      </c>
      <c r="F77" s="4">
        <f t="shared" si="9"/>
        <v>17</v>
      </c>
      <c r="G77" s="3">
        <f>IF(E77&gt;=20,2000,1900) + D77</f>
        <v>1961</v>
      </c>
      <c r="H77">
        <f t="shared" si="10"/>
        <v>6</v>
      </c>
      <c r="I77" s="4">
        <f t="shared" si="11"/>
        <v>17</v>
      </c>
      <c r="J77">
        <f t="shared" si="12"/>
        <v>19610617</v>
      </c>
      <c r="K77" t="str">
        <f t="shared" si="13"/>
        <v>17.06.1961</v>
      </c>
    </row>
    <row r="78" spans="1:11" x14ac:dyDescent="0.25">
      <c r="A78" s="4" t="s">
        <v>104</v>
      </c>
      <c r="B78" t="s">
        <v>9</v>
      </c>
      <c r="C78" t="s">
        <v>6</v>
      </c>
      <c r="D78" s="3">
        <f t="shared" si="7"/>
        <v>66</v>
      </c>
      <c r="E78" s="4">
        <f t="shared" si="8"/>
        <v>12</v>
      </c>
      <c r="F78" s="4">
        <f t="shared" si="9"/>
        <v>15</v>
      </c>
      <c r="G78" s="3">
        <f>IF(E78&gt;=20,2000,1900) + D78</f>
        <v>1966</v>
      </c>
      <c r="H78">
        <f t="shared" si="10"/>
        <v>12</v>
      </c>
      <c r="I78" s="4">
        <f t="shared" si="11"/>
        <v>15</v>
      </c>
      <c r="J78">
        <f t="shared" si="12"/>
        <v>19661215</v>
      </c>
      <c r="K78" t="str">
        <f t="shared" si="13"/>
        <v>15.12.1966</v>
      </c>
    </row>
    <row r="79" spans="1:11" x14ac:dyDescent="0.25">
      <c r="A79" s="4" t="s">
        <v>105</v>
      </c>
      <c r="B79" t="s">
        <v>14</v>
      </c>
      <c r="C79" t="s">
        <v>4</v>
      </c>
      <c r="D79" s="3">
        <f t="shared" si="7"/>
        <v>92</v>
      </c>
      <c r="E79" s="4">
        <f t="shared" si="8"/>
        <v>10</v>
      </c>
      <c r="F79" s="4">
        <f t="shared" si="9"/>
        <v>29</v>
      </c>
      <c r="G79" s="3">
        <f>IF(E79&gt;=20,2000,1900) + D79</f>
        <v>1992</v>
      </c>
      <c r="H79">
        <f t="shared" si="10"/>
        <v>10</v>
      </c>
      <c r="I79" s="4">
        <f t="shared" si="11"/>
        <v>29</v>
      </c>
      <c r="J79">
        <f t="shared" si="12"/>
        <v>19921029</v>
      </c>
      <c r="K79" t="str">
        <f t="shared" si="13"/>
        <v>29.10.1992</v>
      </c>
    </row>
    <row r="80" spans="1:11" x14ac:dyDescent="0.25">
      <c r="A80" s="4" t="s">
        <v>106</v>
      </c>
      <c r="B80" t="s">
        <v>3</v>
      </c>
      <c r="C80" t="s">
        <v>4</v>
      </c>
      <c r="D80" s="3">
        <f t="shared" si="7"/>
        <v>97</v>
      </c>
      <c r="E80" s="4">
        <f t="shared" si="8"/>
        <v>1</v>
      </c>
      <c r="F80" s="4">
        <f t="shared" si="9"/>
        <v>19</v>
      </c>
      <c r="G80" s="3">
        <f>IF(E80&gt;=20,2000,1900) + D80</f>
        <v>1997</v>
      </c>
      <c r="H80">
        <f t="shared" si="10"/>
        <v>1</v>
      </c>
      <c r="I80" s="4">
        <f t="shared" si="11"/>
        <v>19</v>
      </c>
      <c r="J80">
        <f t="shared" si="12"/>
        <v>19970119</v>
      </c>
      <c r="K80" t="str">
        <f t="shared" si="13"/>
        <v>19.01.1997</v>
      </c>
    </row>
    <row r="81" spans="1:11" x14ac:dyDescent="0.25">
      <c r="A81" s="4" t="s">
        <v>107</v>
      </c>
      <c r="B81" t="s">
        <v>14</v>
      </c>
      <c r="C81" t="s">
        <v>6</v>
      </c>
      <c r="D81" s="3">
        <f t="shared" si="7"/>
        <v>75</v>
      </c>
      <c r="E81" s="4">
        <f t="shared" si="8"/>
        <v>4</v>
      </c>
      <c r="F81" s="4">
        <f t="shared" si="9"/>
        <v>20</v>
      </c>
      <c r="G81" s="3">
        <f>IF(E81&gt;=20,2000,1900) + D81</f>
        <v>1975</v>
      </c>
      <c r="H81">
        <f t="shared" si="10"/>
        <v>4</v>
      </c>
      <c r="I81" s="4">
        <f t="shared" si="11"/>
        <v>20</v>
      </c>
      <c r="J81">
        <f t="shared" si="12"/>
        <v>19750420</v>
      </c>
      <c r="K81" t="str">
        <f t="shared" si="13"/>
        <v>20.04.1975</v>
      </c>
    </row>
    <row r="82" spans="1:11" x14ac:dyDescent="0.25">
      <c r="A82" s="4" t="s">
        <v>108</v>
      </c>
      <c r="B82" t="s">
        <v>15</v>
      </c>
      <c r="C82" t="s">
        <v>4</v>
      </c>
      <c r="D82" s="3">
        <f t="shared" si="7"/>
        <v>51</v>
      </c>
      <c r="E82" s="4">
        <f t="shared" si="8"/>
        <v>10</v>
      </c>
      <c r="F82" s="4">
        <f t="shared" si="9"/>
        <v>1</v>
      </c>
      <c r="G82" s="3">
        <f>IF(E82&gt;=20,2000,1900) + D82</f>
        <v>1951</v>
      </c>
      <c r="H82">
        <f t="shared" si="10"/>
        <v>10</v>
      </c>
      <c r="I82" s="4">
        <f t="shared" si="11"/>
        <v>1</v>
      </c>
      <c r="J82">
        <f t="shared" si="12"/>
        <v>19511001</v>
      </c>
      <c r="K82" t="str">
        <f t="shared" si="13"/>
        <v>01.10.1951</v>
      </c>
    </row>
    <row r="83" spans="1:11" x14ac:dyDescent="0.25">
      <c r="A83" s="4" t="s">
        <v>109</v>
      </c>
      <c r="B83" t="s">
        <v>15</v>
      </c>
      <c r="C83" t="s">
        <v>4</v>
      </c>
      <c r="D83" s="3">
        <f t="shared" si="7"/>
        <v>72</v>
      </c>
      <c r="E83" s="4">
        <f t="shared" si="8"/>
        <v>7</v>
      </c>
      <c r="F83" s="4">
        <f t="shared" si="9"/>
        <v>30</v>
      </c>
      <c r="G83" s="3">
        <f>IF(E83&gt;=20,2000,1900) + D83</f>
        <v>1972</v>
      </c>
      <c r="H83">
        <f t="shared" si="10"/>
        <v>7</v>
      </c>
      <c r="I83" s="4">
        <f t="shared" si="11"/>
        <v>30</v>
      </c>
      <c r="J83">
        <f t="shared" si="12"/>
        <v>19720730</v>
      </c>
      <c r="K83" t="str">
        <f t="shared" si="13"/>
        <v>30.07.1972</v>
      </c>
    </row>
    <row r="84" spans="1:11" x14ac:dyDescent="0.25">
      <c r="A84" s="4" t="s">
        <v>110</v>
      </c>
      <c r="B84" t="s">
        <v>5</v>
      </c>
      <c r="C84" t="s">
        <v>4</v>
      </c>
      <c r="D84" s="3">
        <f t="shared" si="7"/>
        <v>95</v>
      </c>
      <c r="E84" s="4">
        <f t="shared" si="8"/>
        <v>7</v>
      </c>
      <c r="F84" s="4">
        <f t="shared" si="9"/>
        <v>15</v>
      </c>
      <c r="G84" s="3">
        <f>IF(E84&gt;=20,2000,1900) + D84</f>
        <v>1995</v>
      </c>
      <c r="H84">
        <f t="shared" si="10"/>
        <v>7</v>
      </c>
      <c r="I84" s="4">
        <f t="shared" si="11"/>
        <v>15</v>
      </c>
      <c r="J84">
        <f t="shared" si="12"/>
        <v>19950715</v>
      </c>
      <c r="K84" t="str">
        <f t="shared" si="13"/>
        <v>15.07.1995</v>
      </c>
    </row>
    <row r="85" spans="1:11" x14ac:dyDescent="0.25">
      <c r="A85" s="4" t="s">
        <v>111</v>
      </c>
      <c r="B85" t="s">
        <v>9</v>
      </c>
      <c r="C85" t="s">
        <v>4</v>
      </c>
      <c r="D85" s="3">
        <f t="shared" si="7"/>
        <v>64</v>
      </c>
      <c r="E85" s="4">
        <f t="shared" si="8"/>
        <v>8</v>
      </c>
      <c r="F85" s="4">
        <f t="shared" si="9"/>
        <v>27</v>
      </c>
      <c r="G85" s="3">
        <f>IF(E85&gt;=20,2000,1900) + D85</f>
        <v>1964</v>
      </c>
      <c r="H85">
        <f t="shared" si="10"/>
        <v>8</v>
      </c>
      <c r="I85" s="4">
        <f t="shared" si="11"/>
        <v>27</v>
      </c>
      <c r="J85">
        <f t="shared" si="12"/>
        <v>19640827</v>
      </c>
      <c r="K85" t="str">
        <f t="shared" si="13"/>
        <v>27.08.1964</v>
      </c>
    </row>
    <row r="86" spans="1:11" x14ac:dyDescent="0.25">
      <c r="A86" s="4" t="s">
        <v>112</v>
      </c>
      <c r="B86" t="s">
        <v>5</v>
      </c>
      <c r="C86" t="s">
        <v>4</v>
      </c>
      <c r="D86" s="3">
        <f t="shared" si="7"/>
        <v>74</v>
      </c>
      <c r="E86" s="4">
        <f t="shared" si="8"/>
        <v>10</v>
      </c>
      <c r="F86" s="4">
        <f t="shared" si="9"/>
        <v>20</v>
      </c>
      <c r="G86" s="3">
        <f>IF(E86&gt;=20,2000,1900) + D86</f>
        <v>1974</v>
      </c>
      <c r="H86">
        <f t="shared" si="10"/>
        <v>10</v>
      </c>
      <c r="I86" s="4">
        <f t="shared" si="11"/>
        <v>20</v>
      </c>
      <c r="J86">
        <f t="shared" si="12"/>
        <v>19741020</v>
      </c>
      <c r="K86" t="str">
        <f t="shared" si="13"/>
        <v>20.10.1974</v>
      </c>
    </row>
    <row r="87" spans="1:11" x14ac:dyDescent="0.25">
      <c r="A87" s="4" t="s">
        <v>113</v>
      </c>
      <c r="B87" t="s">
        <v>14</v>
      </c>
      <c r="C87" t="s">
        <v>6</v>
      </c>
      <c r="D87" s="3">
        <f t="shared" si="7"/>
        <v>57</v>
      </c>
      <c r="E87" s="4">
        <f t="shared" si="8"/>
        <v>8</v>
      </c>
      <c r="F87" s="4">
        <f t="shared" si="9"/>
        <v>13</v>
      </c>
      <c r="G87" s="3">
        <f>IF(E87&gt;=20,2000,1900) + D87</f>
        <v>1957</v>
      </c>
      <c r="H87">
        <f t="shared" si="10"/>
        <v>8</v>
      </c>
      <c r="I87" s="4">
        <f t="shared" si="11"/>
        <v>13</v>
      </c>
      <c r="J87">
        <f t="shared" si="12"/>
        <v>19570813</v>
      </c>
      <c r="K87" t="str">
        <f t="shared" si="13"/>
        <v>13.08.1957</v>
      </c>
    </row>
    <row r="88" spans="1:11" x14ac:dyDescent="0.25">
      <c r="A88" s="4" t="s">
        <v>114</v>
      </c>
      <c r="B88" t="s">
        <v>8</v>
      </c>
      <c r="C88" t="s">
        <v>4</v>
      </c>
      <c r="D88" s="3">
        <f t="shared" si="7"/>
        <v>63</v>
      </c>
      <c r="E88" s="4">
        <f t="shared" si="8"/>
        <v>9</v>
      </c>
      <c r="F88" s="4">
        <f t="shared" si="9"/>
        <v>18</v>
      </c>
      <c r="G88" s="3">
        <f>IF(E88&gt;=20,2000,1900) + D88</f>
        <v>1963</v>
      </c>
      <c r="H88">
        <f t="shared" si="10"/>
        <v>9</v>
      </c>
      <c r="I88" s="4">
        <f t="shared" si="11"/>
        <v>18</v>
      </c>
      <c r="J88">
        <f t="shared" si="12"/>
        <v>19630918</v>
      </c>
      <c r="K88" t="str">
        <f t="shared" si="13"/>
        <v>18.09.1963</v>
      </c>
    </row>
    <row r="89" spans="1:11" x14ac:dyDescent="0.25">
      <c r="A89" s="4" t="s">
        <v>115</v>
      </c>
      <c r="B89" t="s">
        <v>16</v>
      </c>
      <c r="C89" t="s">
        <v>4</v>
      </c>
      <c r="D89" s="3">
        <f t="shared" si="7"/>
        <v>90</v>
      </c>
      <c r="E89" s="4">
        <f t="shared" si="8"/>
        <v>4</v>
      </c>
      <c r="F89" s="4">
        <f t="shared" si="9"/>
        <v>2</v>
      </c>
      <c r="G89" s="3">
        <f>IF(E89&gt;=20,2000,1900) + D89</f>
        <v>1990</v>
      </c>
      <c r="H89">
        <f t="shared" si="10"/>
        <v>4</v>
      </c>
      <c r="I89" s="4">
        <f t="shared" si="11"/>
        <v>2</v>
      </c>
      <c r="J89">
        <f t="shared" si="12"/>
        <v>19900402</v>
      </c>
      <c r="K89" t="str">
        <f t="shared" si="13"/>
        <v>02.04.1990</v>
      </c>
    </row>
    <row r="90" spans="1:11" x14ac:dyDescent="0.25">
      <c r="A90" s="4" t="s">
        <v>116</v>
      </c>
      <c r="B90" t="s">
        <v>17</v>
      </c>
      <c r="C90" t="s">
        <v>4</v>
      </c>
      <c r="D90" s="3">
        <f t="shared" si="7"/>
        <v>93</v>
      </c>
      <c r="E90" s="4">
        <f t="shared" si="8"/>
        <v>2</v>
      </c>
      <c r="F90" s="4">
        <f t="shared" si="9"/>
        <v>10</v>
      </c>
      <c r="G90" s="3">
        <f>IF(E90&gt;=20,2000,1900) + D90</f>
        <v>1993</v>
      </c>
      <c r="H90">
        <f t="shared" si="10"/>
        <v>2</v>
      </c>
      <c r="I90" s="4">
        <f t="shared" si="11"/>
        <v>10</v>
      </c>
      <c r="J90">
        <f t="shared" si="12"/>
        <v>19930210</v>
      </c>
      <c r="K90" t="str">
        <f t="shared" si="13"/>
        <v>10.02.1993</v>
      </c>
    </row>
    <row r="91" spans="1:11" x14ac:dyDescent="0.25">
      <c r="A91" s="4" t="s">
        <v>117</v>
      </c>
      <c r="B91" t="s">
        <v>20</v>
      </c>
      <c r="C91" t="s">
        <v>4</v>
      </c>
      <c r="D91" s="3">
        <f t="shared" si="7"/>
        <v>71</v>
      </c>
      <c r="E91" s="4">
        <f t="shared" si="8"/>
        <v>6</v>
      </c>
      <c r="F91" s="4">
        <f t="shared" si="9"/>
        <v>9</v>
      </c>
      <c r="G91" s="3">
        <f>IF(E91&gt;=20,2000,1900) + D91</f>
        <v>1971</v>
      </c>
      <c r="H91">
        <f t="shared" si="10"/>
        <v>6</v>
      </c>
      <c r="I91" s="4">
        <f t="shared" si="11"/>
        <v>9</v>
      </c>
      <c r="J91">
        <f t="shared" si="12"/>
        <v>19710609</v>
      </c>
      <c r="K91" t="str">
        <f t="shared" si="13"/>
        <v>09.06.1971</v>
      </c>
    </row>
    <row r="92" spans="1:11" x14ac:dyDescent="0.25">
      <c r="A92" s="4" t="s">
        <v>118</v>
      </c>
      <c r="B92" t="s">
        <v>18</v>
      </c>
      <c r="C92" t="s">
        <v>4</v>
      </c>
      <c r="D92" s="3">
        <f t="shared" si="7"/>
        <v>66</v>
      </c>
      <c r="E92" s="4">
        <f t="shared" si="8"/>
        <v>4</v>
      </c>
      <c r="F92" s="4">
        <f t="shared" si="9"/>
        <v>28</v>
      </c>
      <c r="G92" s="3">
        <f>IF(E92&gt;=20,2000,1900) + D92</f>
        <v>1966</v>
      </c>
      <c r="H92">
        <f t="shared" si="10"/>
        <v>4</v>
      </c>
      <c r="I92" s="4">
        <f t="shared" si="11"/>
        <v>28</v>
      </c>
      <c r="J92">
        <f t="shared" si="12"/>
        <v>19660428</v>
      </c>
      <c r="K92" t="str">
        <f t="shared" si="13"/>
        <v>28.04.1966</v>
      </c>
    </row>
    <row r="93" spans="1:11" x14ac:dyDescent="0.25">
      <c r="A93" s="4" t="s">
        <v>119</v>
      </c>
      <c r="B93" t="s">
        <v>3</v>
      </c>
      <c r="C93" t="s">
        <v>4</v>
      </c>
      <c r="D93" s="3">
        <f t="shared" si="7"/>
        <v>97</v>
      </c>
      <c r="E93" s="4">
        <f t="shared" si="8"/>
        <v>8</v>
      </c>
      <c r="F93" s="4">
        <f t="shared" si="9"/>
        <v>2</v>
      </c>
      <c r="G93" s="3">
        <f>IF(E93&gt;=20,2000,1900) + D93</f>
        <v>1997</v>
      </c>
      <c r="H93">
        <f t="shared" si="10"/>
        <v>8</v>
      </c>
      <c r="I93" s="4">
        <f t="shared" si="11"/>
        <v>2</v>
      </c>
      <c r="J93">
        <f t="shared" si="12"/>
        <v>19970802</v>
      </c>
      <c r="K93" t="str">
        <f t="shared" si="13"/>
        <v>02.08.1997</v>
      </c>
    </row>
    <row r="94" spans="1:11" x14ac:dyDescent="0.25">
      <c r="A94" s="4" t="s">
        <v>120</v>
      </c>
      <c r="B94" t="s">
        <v>16</v>
      </c>
      <c r="C94" t="s">
        <v>6</v>
      </c>
      <c r="D94" s="3">
        <f t="shared" si="7"/>
        <v>81</v>
      </c>
      <c r="E94" s="4">
        <f t="shared" si="8"/>
        <v>5</v>
      </c>
      <c r="F94" s="4">
        <f t="shared" si="9"/>
        <v>30</v>
      </c>
      <c r="G94" s="3">
        <f>IF(E94&gt;=20,2000,1900) + D94</f>
        <v>1981</v>
      </c>
      <c r="H94">
        <f t="shared" si="10"/>
        <v>5</v>
      </c>
      <c r="I94" s="4">
        <f t="shared" si="11"/>
        <v>30</v>
      </c>
      <c r="J94">
        <f t="shared" si="12"/>
        <v>19810530</v>
      </c>
      <c r="K94" t="str">
        <f t="shared" si="13"/>
        <v>30.05.1981</v>
      </c>
    </row>
    <row r="95" spans="1:11" x14ac:dyDescent="0.25">
      <c r="A95" s="4" t="s">
        <v>121</v>
      </c>
      <c r="B95" t="s">
        <v>13</v>
      </c>
      <c r="C95" t="s">
        <v>6</v>
      </c>
      <c r="D95" s="3">
        <f t="shared" si="7"/>
        <v>91</v>
      </c>
      <c r="E95" s="4">
        <f t="shared" si="8"/>
        <v>2</v>
      </c>
      <c r="F95" s="4">
        <f t="shared" si="9"/>
        <v>24</v>
      </c>
      <c r="G95" s="3">
        <f>IF(E95&gt;=20,2000,1900) + D95</f>
        <v>1991</v>
      </c>
      <c r="H95">
        <f t="shared" si="10"/>
        <v>2</v>
      </c>
      <c r="I95" s="4">
        <f t="shared" si="11"/>
        <v>24</v>
      </c>
      <c r="J95">
        <f t="shared" si="12"/>
        <v>19910224</v>
      </c>
      <c r="K95" t="str">
        <f t="shared" si="13"/>
        <v>24.02.1991</v>
      </c>
    </row>
    <row r="96" spans="1:11" x14ac:dyDescent="0.25">
      <c r="A96" s="4" t="s">
        <v>122</v>
      </c>
      <c r="B96" t="s">
        <v>15</v>
      </c>
      <c r="C96" t="s">
        <v>6</v>
      </c>
      <c r="D96" s="3">
        <f t="shared" si="7"/>
        <v>75</v>
      </c>
      <c r="E96" s="4">
        <f t="shared" si="8"/>
        <v>9</v>
      </c>
      <c r="F96" s="4">
        <f t="shared" si="9"/>
        <v>1</v>
      </c>
      <c r="G96" s="3">
        <f>IF(E96&gt;=20,2000,1900) + D96</f>
        <v>1975</v>
      </c>
      <c r="H96">
        <f t="shared" si="10"/>
        <v>9</v>
      </c>
      <c r="I96" s="4">
        <f t="shared" si="11"/>
        <v>1</v>
      </c>
      <c r="J96">
        <f t="shared" si="12"/>
        <v>19750901</v>
      </c>
      <c r="K96" t="str">
        <f t="shared" si="13"/>
        <v>01.09.1975</v>
      </c>
    </row>
    <row r="97" spans="1:11" x14ac:dyDescent="0.25">
      <c r="A97" s="4" t="s">
        <v>123</v>
      </c>
      <c r="B97" t="s">
        <v>5</v>
      </c>
      <c r="C97" t="s">
        <v>6</v>
      </c>
      <c r="D97" s="3">
        <f t="shared" si="7"/>
        <v>84</v>
      </c>
      <c r="E97" s="4">
        <f t="shared" si="8"/>
        <v>7</v>
      </c>
      <c r="F97" s="4">
        <f t="shared" si="9"/>
        <v>1</v>
      </c>
      <c r="G97" s="3">
        <f>IF(E97&gt;=20,2000,1900) + D97</f>
        <v>1984</v>
      </c>
      <c r="H97">
        <f t="shared" si="10"/>
        <v>7</v>
      </c>
      <c r="I97" s="4">
        <f t="shared" si="11"/>
        <v>1</v>
      </c>
      <c r="J97">
        <f t="shared" si="12"/>
        <v>19840701</v>
      </c>
      <c r="K97" t="str">
        <f t="shared" si="13"/>
        <v>01.07.1984</v>
      </c>
    </row>
    <row r="98" spans="1:11" x14ac:dyDescent="0.25">
      <c r="A98" s="4" t="s">
        <v>124</v>
      </c>
      <c r="B98" t="s">
        <v>18</v>
      </c>
      <c r="C98" t="s">
        <v>4</v>
      </c>
      <c r="D98" s="3">
        <f t="shared" si="7"/>
        <v>66</v>
      </c>
      <c r="E98" s="4">
        <f t="shared" si="8"/>
        <v>4</v>
      </c>
      <c r="F98" s="4">
        <f t="shared" si="9"/>
        <v>30</v>
      </c>
      <c r="G98" s="3">
        <f>IF(E98&gt;=20,2000,1900) + D98</f>
        <v>1966</v>
      </c>
      <c r="H98">
        <f t="shared" si="10"/>
        <v>4</v>
      </c>
      <c r="I98" s="4">
        <f t="shared" si="11"/>
        <v>30</v>
      </c>
      <c r="J98">
        <f t="shared" si="12"/>
        <v>19660430</v>
      </c>
      <c r="K98" t="str">
        <f t="shared" si="13"/>
        <v>30.04.1966</v>
      </c>
    </row>
    <row r="99" spans="1:11" x14ac:dyDescent="0.25">
      <c r="A99" s="4" t="s">
        <v>125</v>
      </c>
      <c r="B99" t="s">
        <v>17</v>
      </c>
      <c r="C99" t="s">
        <v>6</v>
      </c>
      <c r="D99" s="3">
        <f t="shared" si="7"/>
        <v>50</v>
      </c>
      <c r="E99" s="4">
        <f t="shared" si="8"/>
        <v>12</v>
      </c>
      <c r="F99" s="4">
        <f t="shared" si="9"/>
        <v>12</v>
      </c>
      <c r="G99" s="3">
        <f>IF(E99&gt;=20,2000,1900) + D99</f>
        <v>1950</v>
      </c>
      <c r="H99">
        <f t="shared" si="10"/>
        <v>12</v>
      </c>
      <c r="I99" s="4">
        <f t="shared" si="11"/>
        <v>12</v>
      </c>
      <c r="J99">
        <f t="shared" si="12"/>
        <v>19501212</v>
      </c>
      <c r="K99" t="str">
        <f t="shared" si="13"/>
        <v>12.12.1950</v>
      </c>
    </row>
    <row r="100" spans="1:11" x14ac:dyDescent="0.25">
      <c r="A100" s="4" t="s">
        <v>126</v>
      </c>
      <c r="B100" t="s">
        <v>14</v>
      </c>
      <c r="C100" t="s">
        <v>6</v>
      </c>
      <c r="D100" s="3">
        <f t="shared" si="7"/>
        <v>85</v>
      </c>
      <c r="E100" s="4">
        <f t="shared" si="8"/>
        <v>12</v>
      </c>
      <c r="F100" s="4">
        <f t="shared" si="9"/>
        <v>21</v>
      </c>
      <c r="G100" s="3">
        <f>IF(E100&gt;=20,2000,1900) + D100</f>
        <v>1985</v>
      </c>
      <c r="H100">
        <f t="shared" si="10"/>
        <v>12</v>
      </c>
      <c r="I100" s="4">
        <f t="shared" si="11"/>
        <v>21</v>
      </c>
      <c r="J100">
        <f t="shared" si="12"/>
        <v>19851221</v>
      </c>
      <c r="K100" t="str">
        <f t="shared" si="13"/>
        <v>21.12.1985</v>
      </c>
    </row>
    <row r="101" spans="1:11" x14ac:dyDescent="0.25">
      <c r="A101" s="4" t="s">
        <v>127</v>
      </c>
      <c r="B101" t="s">
        <v>13</v>
      </c>
      <c r="C101" t="s">
        <v>6</v>
      </c>
      <c r="D101" s="3">
        <f t="shared" si="7"/>
        <v>90</v>
      </c>
      <c r="E101" s="4">
        <f t="shared" si="8"/>
        <v>1</v>
      </c>
      <c r="F101" s="4">
        <f t="shared" si="9"/>
        <v>4</v>
      </c>
      <c r="G101" s="3">
        <f>IF(E101&gt;=20,2000,1900) + D101</f>
        <v>1990</v>
      </c>
      <c r="H101">
        <f t="shared" si="10"/>
        <v>1</v>
      </c>
      <c r="I101" s="4">
        <f t="shared" si="11"/>
        <v>4</v>
      </c>
      <c r="J101">
        <f t="shared" si="12"/>
        <v>19900104</v>
      </c>
      <c r="K101" t="str">
        <f t="shared" si="13"/>
        <v>04.01.1990</v>
      </c>
    </row>
    <row r="102" spans="1:11" x14ac:dyDescent="0.25">
      <c r="A102" s="4" t="s">
        <v>128</v>
      </c>
      <c r="B102" t="s">
        <v>9</v>
      </c>
      <c r="C102" t="s">
        <v>6</v>
      </c>
      <c r="D102" s="3">
        <f t="shared" si="7"/>
        <v>72</v>
      </c>
      <c r="E102" s="4">
        <f t="shared" si="8"/>
        <v>10</v>
      </c>
      <c r="F102" s="4">
        <f t="shared" si="9"/>
        <v>7</v>
      </c>
      <c r="G102" s="3">
        <f>IF(E102&gt;=20,2000,1900) + D102</f>
        <v>1972</v>
      </c>
      <c r="H102">
        <f t="shared" si="10"/>
        <v>10</v>
      </c>
      <c r="I102" s="4">
        <f t="shared" si="11"/>
        <v>7</v>
      </c>
      <c r="J102">
        <f t="shared" si="12"/>
        <v>19721007</v>
      </c>
      <c r="K102" t="str">
        <f t="shared" si="13"/>
        <v>07.10.1972</v>
      </c>
    </row>
    <row r="103" spans="1:11" x14ac:dyDescent="0.25">
      <c r="A103" s="4" t="s">
        <v>129</v>
      </c>
      <c r="B103" t="s">
        <v>18</v>
      </c>
      <c r="C103" t="s">
        <v>6</v>
      </c>
      <c r="D103" s="3">
        <f t="shared" si="7"/>
        <v>54</v>
      </c>
      <c r="E103" s="4">
        <f t="shared" si="8"/>
        <v>8</v>
      </c>
      <c r="F103" s="4">
        <f t="shared" si="9"/>
        <v>26</v>
      </c>
      <c r="G103" s="3">
        <f>IF(E103&gt;=20,2000,1900) + D103</f>
        <v>1954</v>
      </c>
      <c r="H103">
        <f t="shared" si="10"/>
        <v>8</v>
      </c>
      <c r="I103" s="4">
        <f t="shared" si="11"/>
        <v>26</v>
      </c>
      <c r="J103">
        <f t="shared" si="12"/>
        <v>19540826</v>
      </c>
      <c r="K103" t="str">
        <f t="shared" si="13"/>
        <v>26.08.1954</v>
      </c>
    </row>
    <row r="104" spans="1:11" x14ac:dyDescent="0.25">
      <c r="A104" s="4" t="s">
        <v>130</v>
      </c>
      <c r="B104" t="s">
        <v>8</v>
      </c>
      <c r="C104" t="s">
        <v>4</v>
      </c>
      <c r="D104" s="3">
        <f t="shared" si="7"/>
        <v>60</v>
      </c>
      <c r="E104" s="4">
        <f t="shared" si="8"/>
        <v>8</v>
      </c>
      <c r="F104" s="4">
        <f t="shared" si="9"/>
        <v>26</v>
      </c>
      <c r="G104" s="3">
        <f>IF(E104&gt;=20,2000,1900) + D104</f>
        <v>1960</v>
      </c>
      <c r="H104">
        <f t="shared" si="10"/>
        <v>8</v>
      </c>
      <c r="I104" s="4">
        <f t="shared" si="11"/>
        <v>26</v>
      </c>
      <c r="J104">
        <f t="shared" si="12"/>
        <v>19600826</v>
      </c>
      <c r="K104" t="str">
        <f t="shared" si="13"/>
        <v>26.08.1960</v>
      </c>
    </row>
    <row r="105" spans="1:11" x14ac:dyDescent="0.25">
      <c r="A105" s="4" t="s">
        <v>131</v>
      </c>
      <c r="B105" t="s">
        <v>13</v>
      </c>
      <c r="C105" t="s">
        <v>6</v>
      </c>
      <c r="D105" s="3">
        <f t="shared" si="7"/>
        <v>57</v>
      </c>
      <c r="E105" s="4">
        <f t="shared" si="8"/>
        <v>9</v>
      </c>
      <c r="F105" s="4">
        <f t="shared" si="9"/>
        <v>16</v>
      </c>
      <c r="G105" s="3">
        <f>IF(E105&gt;=20,2000,1900) + D105</f>
        <v>1957</v>
      </c>
      <c r="H105">
        <f t="shared" si="10"/>
        <v>9</v>
      </c>
      <c r="I105" s="4">
        <f t="shared" si="11"/>
        <v>16</v>
      </c>
      <c r="J105">
        <f t="shared" si="12"/>
        <v>19570916</v>
      </c>
      <c r="K105" t="str">
        <f t="shared" si="13"/>
        <v>16.09.1957</v>
      </c>
    </row>
    <row r="106" spans="1:11" x14ac:dyDescent="0.25">
      <c r="A106" s="4" t="s">
        <v>132</v>
      </c>
      <c r="B106" t="s">
        <v>20</v>
      </c>
      <c r="C106" t="s">
        <v>6</v>
      </c>
      <c r="D106" s="3">
        <f t="shared" si="7"/>
        <v>87</v>
      </c>
      <c r="E106" s="4">
        <f t="shared" si="8"/>
        <v>11</v>
      </c>
      <c r="F106" s="4">
        <f t="shared" si="9"/>
        <v>10</v>
      </c>
      <c r="G106" s="3">
        <f>IF(E106&gt;=20,2000,1900) + D106</f>
        <v>1987</v>
      </c>
      <c r="H106">
        <f t="shared" si="10"/>
        <v>11</v>
      </c>
      <c r="I106" s="4">
        <f t="shared" si="11"/>
        <v>10</v>
      </c>
      <c r="J106">
        <f t="shared" si="12"/>
        <v>19871110</v>
      </c>
      <c r="K106" t="str">
        <f t="shared" si="13"/>
        <v>10.11.1987</v>
      </c>
    </row>
    <row r="107" spans="1:11" x14ac:dyDescent="0.25">
      <c r="A107" s="4" t="s">
        <v>133</v>
      </c>
      <c r="B107" t="s">
        <v>11</v>
      </c>
      <c r="C107" t="s">
        <v>6</v>
      </c>
      <c r="D107" s="3">
        <f t="shared" si="7"/>
        <v>50</v>
      </c>
      <c r="E107" s="4">
        <f t="shared" si="8"/>
        <v>4</v>
      </c>
      <c r="F107" s="4">
        <f t="shared" si="9"/>
        <v>7</v>
      </c>
      <c r="G107" s="3">
        <f>IF(E107&gt;=20,2000,1900) + D107</f>
        <v>1950</v>
      </c>
      <c r="H107">
        <f t="shared" si="10"/>
        <v>4</v>
      </c>
      <c r="I107" s="4">
        <f t="shared" si="11"/>
        <v>7</v>
      </c>
      <c r="J107">
        <f t="shared" si="12"/>
        <v>19500407</v>
      </c>
      <c r="K107" t="str">
        <f t="shared" si="13"/>
        <v>07.04.1950</v>
      </c>
    </row>
    <row r="108" spans="1:11" x14ac:dyDescent="0.25">
      <c r="A108" s="4" t="s">
        <v>134</v>
      </c>
      <c r="B108" t="s">
        <v>8</v>
      </c>
      <c r="C108" t="s">
        <v>4</v>
      </c>
      <c r="D108" s="3">
        <f t="shared" si="7"/>
        <v>68</v>
      </c>
      <c r="E108" s="4">
        <f t="shared" si="8"/>
        <v>10</v>
      </c>
      <c r="F108" s="4">
        <f t="shared" si="9"/>
        <v>10</v>
      </c>
      <c r="G108" s="3">
        <f>IF(E108&gt;=20,2000,1900) + D108</f>
        <v>1968</v>
      </c>
      <c r="H108">
        <f t="shared" si="10"/>
        <v>10</v>
      </c>
      <c r="I108" s="4">
        <f t="shared" si="11"/>
        <v>10</v>
      </c>
      <c r="J108">
        <f t="shared" si="12"/>
        <v>19681010</v>
      </c>
      <c r="K108" t="str">
        <f t="shared" si="13"/>
        <v>10.10.1968</v>
      </c>
    </row>
    <row r="109" spans="1:11" x14ac:dyDescent="0.25">
      <c r="A109" s="4" t="s">
        <v>135</v>
      </c>
      <c r="B109" t="s">
        <v>7</v>
      </c>
      <c r="C109" t="s">
        <v>6</v>
      </c>
      <c r="D109" s="3">
        <f t="shared" si="7"/>
        <v>62</v>
      </c>
      <c r="E109" s="4">
        <f t="shared" si="8"/>
        <v>3</v>
      </c>
      <c r="F109" s="4">
        <f t="shared" si="9"/>
        <v>30</v>
      </c>
      <c r="G109" s="3">
        <f>IF(E109&gt;=20,2000,1900) + D109</f>
        <v>1962</v>
      </c>
      <c r="H109">
        <f t="shared" si="10"/>
        <v>3</v>
      </c>
      <c r="I109" s="4">
        <f t="shared" si="11"/>
        <v>30</v>
      </c>
      <c r="J109">
        <f t="shared" si="12"/>
        <v>19620330</v>
      </c>
      <c r="K109" t="str">
        <f t="shared" si="13"/>
        <v>30.03.1962</v>
      </c>
    </row>
    <row r="110" spans="1:11" x14ac:dyDescent="0.25">
      <c r="A110" s="4" t="s">
        <v>136</v>
      </c>
      <c r="B110" t="s">
        <v>20</v>
      </c>
      <c r="C110" t="s">
        <v>6</v>
      </c>
      <c r="D110" s="3">
        <f t="shared" si="7"/>
        <v>79</v>
      </c>
      <c r="E110" s="4">
        <f t="shared" si="8"/>
        <v>7</v>
      </c>
      <c r="F110" s="4">
        <f t="shared" si="9"/>
        <v>27</v>
      </c>
      <c r="G110" s="3">
        <f>IF(E110&gt;=20,2000,1900) + D110</f>
        <v>1979</v>
      </c>
      <c r="H110">
        <f t="shared" si="10"/>
        <v>7</v>
      </c>
      <c r="I110" s="4">
        <f t="shared" si="11"/>
        <v>27</v>
      </c>
      <c r="J110">
        <f t="shared" si="12"/>
        <v>19790727</v>
      </c>
      <c r="K110" t="str">
        <f t="shared" si="13"/>
        <v>27.07.1979</v>
      </c>
    </row>
    <row r="111" spans="1:11" x14ac:dyDescent="0.25">
      <c r="A111" s="4" t="s">
        <v>137</v>
      </c>
      <c r="B111" t="s">
        <v>15</v>
      </c>
      <c r="C111" t="s">
        <v>6</v>
      </c>
      <c r="D111" s="3">
        <f t="shared" si="7"/>
        <v>94</v>
      </c>
      <c r="E111" s="4">
        <f t="shared" si="8"/>
        <v>5</v>
      </c>
      <c r="F111" s="4">
        <f t="shared" si="9"/>
        <v>10</v>
      </c>
      <c r="G111" s="3">
        <f>IF(E111&gt;=20,2000,1900) + D111</f>
        <v>1994</v>
      </c>
      <c r="H111">
        <f t="shared" si="10"/>
        <v>5</v>
      </c>
      <c r="I111" s="4">
        <f t="shared" si="11"/>
        <v>10</v>
      </c>
      <c r="J111">
        <f t="shared" si="12"/>
        <v>19940510</v>
      </c>
      <c r="K111" t="str">
        <f t="shared" si="13"/>
        <v>10.05.1994</v>
      </c>
    </row>
    <row r="112" spans="1:11" x14ac:dyDescent="0.25">
      <c r="A112" s="4" t="s">
        <v>138</v>
      </c>
      <c r="B112" t="s">
        <v>17</v>
      </c>
      <c r="C112" t="s">
        <v>6</v>
      </c>
      <c r="D112" s="3">
        <f t="shared" si="7"/>
        <v>98</v>
      </c>
      <c r="E112" s="4">
        <f t="shared" si="8"/>
        <v>1</v>
      </c>
      <c r="F112" s="4">
        <f t="shared" si="9"/>
        <v>5</v>
      </c>
      <c r="G112" s="3">
        <f>IF(E112&gt;=20,2000,1900) + D112</f>
        <v>1998</v>
      </c>
      <c r="H112">
        <f t="shared" si="10"/>
        <v>1</v>
      </c>
      <c r="I112" s="4">
        <f t="shared" si="11"/>
        <v>5</v>
      </c>
      <c r="J112">
        <f t="shared" si="12"/>
        <v>19980105</v>
      </c>
      <c r="K112" t="str">
        <f t="shared" si="13"/>
        <v>05.01.1998</v>
      </c>
    </row>
    <row r="113" spans="1:11" x14ac:dyDescent="0.25">
      <c r="A113" s="4" t="s">
        <v>139</v>
      </c>
      <c r="B113" t="s">
        <v>7</v>
      </c>
      <c r="C113" t="s">
        <v>4</v>
      </c>
      <c r="D113" s="3">
        <f t="shared" si="7"/>
        <v>98</v>
      </c>
      <c r="E113" s="4">
        <f t="shared" si="8"/>
        <v>5</v>
      </c>
      <c r="F113" s="4">
        <f t="shared" si="9"/>
        <v>24</v>
      </c>
      <c r="G113" s="3">
        <f>IF(E113&gt;=20,2000,1900) + D113</f>
        <v>1998</v>
      </c>
      <c r="H113">
        <f t="shared" si="10"/>
        <v>5</v>
      </c>
      <c r="I113" s="4">
        <f t="shared" si="11"/>
        <v>24</v>
      </c>
      <c r="J113">
        <f t="shared" si="12"/>
        <v>19980524</v>
      </c>
      <c r="K113" t="str">
        <f t="shared" si="13"/>
        <v>24.05.1998</v>
      </c>
    </row>
    <row r="114" spans="1:11" x14ac:dyDescent="0.25">
      <c r="A114" s="4" t="s">
        <v>140</v>
      </c>
      <c r="B114" t="s">
        <v>15</v>
      </c>
      <c r="C114" t="s">
        <v>4</v>
      </c>
      <c r="D114" s="3">
        <f t="shared" si="7"/>
        <v>86</v>
      </c>
      <c r="E114" s="4">
        <f t="shared" si="8"/>
        <v>7</v>
      </c>
      <c r="F114" s="4">
        <f t="shared" si="9"/>
        <v>29</v>
      </c>
      <c r="G114" s="3">
        <f>IF(E114&gt;=20,2000,1900) + D114</f>
        <v>1986</v>
      </c>
      <c r="H114">
        <f t="shared" si="10"/>
        <v>7</v>
      </c>
      <c r="I114" s="4">
        <f t="shared" si="11"/>
        <v>29</v>
      </c>
      <c r="J114">
        <f t="shared" si="12"/>
        <v>19860729</v>
      </c>
      <c r="K114" t="str">
        <f t="shared" si="13"/>
        <v>29.07.1986</v>
      </c>
    </row>
    <row r="115" spans="1:11" x14ac:dyDescent="0.25">
      <c r="A115" s="4" t="s">
        <v>141</v>
      </c>
      <c r="B115" t="s">
        <v>11</v>
      </c>
      <c r="C115" t="s">
        <v>4</v>
      </c>
      <c r="D115" s="3">
        <f t="shared" si="7"/>
        <v>76</v>
      </c>
      <c r="E115" s="4">
        <f t="shared" si="8"/>
        <v>6</v>
      </c>
      <c r="F115" s="4">
        <f t="shared" si="9"/>
        <v>16</v>
      </c>
      <c r="G115" s="3">
        <f>IF(E115&gt;=20,2000,1900) + D115</f>
        <v>1976</v>
      </c>
      <c r="H115">
        <f t="shared" si="10"/>
        <v>6</v>
      </c>
      <c r="I115" s="4">
        <f t="shared" si="11"/>
        <v>16</v>
      </c>
      <c r="J115">
        <f t="shared" si="12"/>
        <v>19760616</v>
      </c>
      <c r="K115" t="str">
        <f t="shared" si="13"/>
        <v>16.06.1976</v>
      </c>
    </row>
    <row r="116" spans="1:11" x14ac:dyDescent="0.25">
      <c r="A116" s="4" t="s">
        <v>142</v>
      </c>
      <c r="B116" t="s">
        <v>3</v>
      </c>
      <c r="C116" t="s">
        <v>4</v>
      </c>
      <c r="D116" s="3">
        <f t="shared" si="7"/>
        <v>69</v>
      </c>
      <c r="E116" s="4">
        <f t="shared" si="8"/>
        <v>1</v>
      </c>
      <c r="F116" s="4">
        <f t="shared" si="9"/>
        <v>17</v>
      </c>
      <c r="G116" s="3">
        <f>IF(E116&gt;=20,2000,1900) + D116</f>
        <v>1969</v>
      </c>
      <c r="H116">
        <f t="shared" si="10"/>
        <v>1</v>
      </c>
      <c r="I116" s="4">
        <f t="shared" si="11"/>
        <v>17</v>
      </c>
      <c r="J116">
        <f t="shared" si="12"/>
        <v>19690117</v>
      </c>
      <c r="K116" t="str">
        <f t="shared" si="13"/>
        <v>17.01.1969</v>
      </c>
    </row>
    <row r="117" spans="1:11" x14ac:dyDescent="0.25">
      <c r="A117" s="4" t="s">
        <v>143</v>
      </c>
      <c r="B117" t="s">
        <v>9</v>
      </c>
      <c r="C117" t="s">
        <v>4</v>
      </c>
      <c r="D117" s="3">
        <f t="shared" si="7"/>
        <v>72</v>
      </c>
      <c r="E117" s="4">
        <f t="shared" si="8"/>
        <v>5</v>
      </c>
      <c r="F117" s="4">
        <f t="shared" si="9"/>
        <v>31</v>
      </c>
      <c r="G117" s="3">
        <f>IF(E117&gt;=20,2000,1900) + D117</f>
        <v>1972</v>
      </c>
      <c r="H117">
        <f t="shared" si="10"/>
        <v>5</v>
      </c>
      <c r="I117" s="4">
        <f t="shared" si="11"/>
        <v>31</v>
      </c>
      <c r="J117">
        <f t="shared" si="12"/>
        <v>19720531</v>
      </c>
      <c r="K117" t="str">
        <f t="shared" si="13"/>
        <v>31.05.1972</v>
      </c>
    </row>
    <row r="118" spans="1:11" x14ac:dyDescent="0.25">
      <c r="A118" s="4" t="s">
        <v>144</v>
      </c>
      <c r="B118" t="s">
        <v>10</v>
      </c>
      <c r="C118" t="s">
        <v>6</v>
      </c>
      <c r="D118" s="3">
        <f t="shared" si="7"/>
        <v>92</v>
      </c>
      <c r="E118" s="4">
        <f t="shared" si="8"/>
        <v>11</v>
      </c>
      <c r="F118" s="4">
        <f t="shared" si="9"/>
        <v>11</v>
      </c>
      <c r="G118" s="3">
        <f>IF(E118&gt;=20,2000,1900) + D118</f>
        <v>1992</v>
      </c>
      <c r="H118">
        <f t="shared" si="10"/>
        <v>11</v>
      </c>
      <c r="I118" s="4">
        <f t="shared" si="11"/>
        <v>11</v>
      </c>
      <c r="J118">
        <f t="shared" si="12"/>
        <v>19921111</v>
      </c>
      <c r="K118" t="str">
        <f t="shared" si="13"/>
        <v>11.11.1992</v>
      </c>
    </row>
    <row r="119" spans="1:11" x14ac:dyDescent="0.25">
      <c r="A119" s="4" t="s">
        <v>145</v>
      </c>
      <c r="B119" t="s">
        <v>5</v>
      </c>
      <c r="C119" t="s">
        <v>6</v>
      </c>
      <c r="D119" s="3">
        <f t="shared" si="7"/>
        <v>56</v>
      </c>
      <c r="E119" s="4">
        <f t="shared" si="8"/>
        <v>12</v>
      </c>
      <c r="F119" s="4">
        <f t="shared" si="9"/>
        <v>26</v>
      </c>
      <c r="G119" s="3">
        <f>IF(E119&gt;=20,2000,1900) + D119</f>
        <v>1956</v>
      </c>
      <c r="H119">
        <f t="shared" si="10"/>
        <v>12</v>
      </c>
      <c r="I119" s="4">
        <f t="shared" si="11"/>
        <v>26</v>
      </c>
      <c r="J119">
        <f t="shared" si="12"/>
        <v>19561226</v>
      </c>
      <c r="K119" t="str">
        <f t="shared" si="13"/>
        <v>26.12.1956</v>
      </c>
    </row>
    <row r="120" spans="1:11" x14ac:dyDescent="0.25">
      <c r="A120" s="4" t="s">
        <v>146</v>
      </c>
      <c r="B120" t="s">
        <v>18</v>
      </c>
      <c r="C120" t="s">
        <v>6</v>
      </c>
      <c r="D120" s="3">
        <f t="shared" si="7"/>
        <v>78</v>
      </c>
      <c r="E120" s="4">
        <f t="shared" si="8"/>
        <v>2</v>
      </c>
      <c r="F120" s="4">
        <f t="shared" si="9"/>
        <v>21</v>
      </c>
      <c r="G120" s="3">
        <f>IF(E120&gt;=20,2000,1900) + D120</f>
        <v>1978</v>
      </c>
      <c r="H120">
        <f t="shared" si="10"/>
        <v>2</v>
      </c>
      <c r="I120" s="4">
        <f t="shared" si="11"/>
        <v>21</v>
      </c>
      <c r="J120">
        <f t="shared" si="12"/>
        <v>19780221</v>
      </c>
      <c r="K120" t="str">
        <f t="shared" si="13"/>
        <v>21.02.1978</v>
      </c>
    </row>
    <row r="121" spans="1:11" x14ac:dyDescent="0.25">
      <c r="A121" s="4" t="s">
        <v>147</v>
      </c>
      <c r="B121" t="s">
        <v>16</v>
      </c>
      <c r="C121" t="s">
        <v>4</v>
      </c>
      <c r="D121" s="3">
        <f t="shared" si="7"/>
        <v>93</v>
      </c>
      <c r="E121" s="4">
        <f t="shared" si="8"/>
        <v>6</v>
      </c>
      <c r="F121" s="4">
        <f t="shared" si="9"/>
        <v>23</v>
      </c>
      <c r="G121" s="3">
        <f>IF(E121&gt;=20,2000,1900) + D121</f>
        <v>1993</v>
      </c>
      <c r="H121">
        <f t="shared" si="10"/>
        <v>6</v>
      </c>
      <c r="I121" s="4">
        <f t="shared" si="11"/>
        <v>23</v>
      </c>
      <c r="J121">
        <f t="shared" si="12"/>
        <v>19930623</v>
      </c>
      <c r="K121" t="str">
        <f t="shared" si="13"/>
        <v>23.06.1993</v>
      </c>
    </row>
    <row r="122" spans="1:11" x14ac:dyDescent="0.25">
      <c r="A122" s="4" t="s">
        <v>148</v>
      </c>
      <c r="B122" t="s">
        <v>13</v>
      </c>
      <c r="C122" t="s">
        <v>4</v>
      </c>
      <c r="D122" s="3">
        <f t="shared" si="7"/>
        <v>68</v>
      </c>
      <c r="E122" s="4">
        <f t="shared" si="8"/>
        <v>11</v>
      </c>
      <c r="F122" s="4">
        <f t="shared" si="9"/>
        <v>12</v>
      </c>
      <c r="G122" s="3">
        <f>IF(E122&gt;=20,2000,1900) + D122</f>
        <v>1968</v>
      </c>
      <c r="H122">
        <f t="shared" si="10"/>
        <v>11</v>
      </c>
      <c r="I122" s="4">
        <f t="shared" si="11"/>
        <v>12</v>
      </c>
      <c r="J122">
        <f t="shared" si="12"/>
        <v>19681112</v>
      </c>
      <c r="K122" t="str">
        <f t="shared" si="13"/>
        <v>12.11.1968</v>
      </c>
    </row>
    <row r="123" spans="1:11" x14ac:dyDescent="0.25">
      <c r="A123" s="4" t="s">
        <v>149</v>
      </c>
      <c r="B123" t="s">
        <v>8</v>
      </c>
      <c r="C123" t="s">
        <v>6</v>
      </c>
      <c r="D123" s="3">
        <f t="shared" si="7"/>
        <v>78</v>
      </c>
      <c r="E123" s="4">
        <f t="shared" si="8"/>
        <v>7</v>
      </c>
      <c r="F123" s="4">
        <f t="shared" si="9"/>
        <v>14</v>
      </c>
      <c r="G123" s="3">
        <f>IF(E123&gt;=20,2000,1900) + D123</f>
        <v>1978</v>
      </c>
      <c r="H123">
        <f t="shared" si="10"/>
        <v>7</v>
      </c>
      <c r="I123" s="4">
        <f t="shared" si="11"/>
        <v>14</v>
      </c>
      <c r="J123">
        <f t="shared" si="12"/>
        <v>19780714</v>
      </c>
      <c r="K123" t="str">
        <f t="shared" si="13"/>
        <v>14.07.1978</v>
      </c>
    </row>
    <row r="124" spans="1:11" x14ac:dyDescent="0.25">
      <c r="A124" s="4" t="s">
        <v>150</v>
      </c>
      <c r="B124" t="s">
        <v>16</v>
      </c>
      <c r="C124" t="s">
        <v>4</v>
      </c>
      <c r="D124" s="3">
        <f t="shared" si="7"/>
        <v>76</v>
      </c>
      <c r="E124" s="4">
        <f t="shared" si="8"/>
        <v>5</v>
      </c>
      <c r="F124" s="4">
        <f t="shared" si="9"/>
        <v>19</v>
      </c>
      <c r="G124" s="3">
        <f>IF(E124&gt;=20,2000,1900) + D124</f>
        <v>1976</v>
      </c>
      <c r="H124">
        <f t="shared" si="10"/>
        <v>5</v>
      </c>
      <c r="I124" s="4">
        <f t="shared" si="11"/>
        <v>19</v>
      </c>
      <c r="J124">
        <f t="shared" si="12"/>
        <v>19760519</v>
      </c>
      <c r="K124" t="str">
        <f t="shared" si="13"/>
        <v>19.05.1976</v>
      </c>
    </row>
    <row r="125" spans="1:11" x14ac:dyDescent="0.25">
      <c r="A125" s="4" t="s">
        <v>151</v>
      </c>
      <c r="B125" t="s">
        <v>3</v>
      </c>
      <c r="C125" t="s">
        <v>6</v>
      </c>
      <c r="D125" s="3">
        <f t="shared" si="7"/>
        <v>64</v>
      </c>
      <c r="E125" s="4">
        <f t="shared" si="8"/>
        <v>6</v>
      </c>
      <c r="F125" s="4">
        <f t="shared" si="9"/>
        <v>29</v>
      </c>
      <c r="G125" s="3">
        <f>IF(E125&gt;=20,2000,1900) + D125</f>
        <v>1964</v>
      </c>
      <c r="H125">
        <f t="shared" si="10"/>
        <v>6</v>
      </c>
      <c r="I125" s="4">
        <f t="shared" si="11"/>
        <v>29</v>
      </c>
      <c r="J125">
        <f t="shared" si="12"/>
        <v>19640629</v>
      </c>
      <c r="K125" t="str">
        <f t="shared" si="13"/>
        <v>29.06.1964</v>
      </c>
    </row>
    <row r="126" spans="1:11" x14ac:dyDescent="0.25">
      <c r="A126" s="4" t="s">
        <v>152</v>
      </c>
      <c r="B126" t="s">
        <v>18</v>
      </c>
      <c r="C126" t="s">
        <v>4</v>
      </c>
      <c r="D126" s="3">
        <f t="shared" si="7"/>
        <v>88</v>
      </c>
      <c r="E126" s="4">
        <f t="shared" si="8"/>
        <v>4</v>
      </c>
      <c r="F126" s="4">
        <f t="shared" si="9"/>
        <v>6</v>
      </c>
      <c r="G126" s="3">
        <f>IF(E126&gt;=20,2000,1900) + D126</f>
        <v>1988</v>
      </c>
      <c r="H126">
        <f t="shared" si="10"/>
        <v>4</v>
      </c>
      <c r="I126" s="4">
        <f t="shared" si="11"/>
        <v>6</v>
      </c>
      <c r="J126">
        <f t="shared" si="12"/>
        <v>19880406</v>
      </c>
      <c r="K126" t="str">
        <f t="shared" si="13"/>
        <v>06.04.1988</v>
      </c>
    </row>
    <row r="127" spans="1:11" x14ac:dyDescent="0.25">
      <c r="A127" s="4" t="s">
        <v>153</v>
      </c>
      <c r="B127" t="s">
        <v>19</v>
      </c>
      <c r="C127" t="s">
        <v>4</v>
      </c>
      <c r="D127" s="3">
        <f t="shared" si="7"/>
        <v>82</v>
      </c>
      <c r="E127" s="4">
        <f t="shared" si="8"/>
        <v>10</v>
      </c>
      <c r="F127" s="4">
        <f t="shared" si="9"/>
        <v>29</v>
      </c>
      <c r="G127" s="3">
        <f>IF(E127&gt;=20,2000,1900) + D127</f>
        <v>1982</v>
      </c>
      <c r="H127">
        <f t="shared" si="10"/>
        <v>10</v>
      </c>
      <c r="I127" s="4">
        <f t="shared" si="11"/>
        <v>29</v>
      </c>
      <c r="J127">
        <f t="shared" si="12"/>
        <v>19821029</v>
      </c>
      <c r="K127" t="str">
        <f t="shared" si="13"/>
        <v>29.10.1982</v>
      </c>
    </row>
    <row r="128" spans="1:11" x14ac:dyDescent="0.25">
      <c r="A128" s="4" t="s">
        <v>154</v>
      </c>
      <c r="B128" t="s">
        <v>15</v>
      </c>
      <c r="C128" t="s">
        <v>6</v>
      </c>
      <c r="D128" s="3">
        <f t="shared" si="7"/>
        <v>80</v>
      </c>
      <c r="E128" s="4">
        <f t="shared" si="8"/>
        <v>11</v>
      </c>
      <c r="F128" s="4">
        <f t="shared" si="9"/>
        <v>15</v>
      </c>
      <c r="G128" s="3">
        <f>IF(E128&gt;=20,2000,1900) + D128</f>
        <v>1980</v>
      </c>
      <c r="H128">
        <f t="shared" si="10"/>
        <v>11</v>
      </c>
      <c r="I128" s="4">
        <f t="shared" si="11"/>
        <v>15</v>
      </c>
      <c r="J128">
        <f t="shared" si="12"/>
        <v>19801115</v>
      </c>
      <c r="K128" t="str">
        <f t="shared" si="13"/>
        <v>15.11.1980</v>
      </c>
    </row>
    <row r="129" spans="1:11" x14ac:dyDescent="0.25">
      <c r="A129" s="4" t="s">
        <v>155</v>
      </c>
      <c r="B129" t="s">
        <v>10</v>
      </c>
      <c r="C129" t="s">
        <v>6</v>
      </c>
      <c r="D129" s="3">
        <f t="shared" si="7"/>
        <v>73</v>
      </c>
      <c r="E129" s="4">
        <f t="shared" si="8"/>
        <v>4</v>
      </c>
      <c r="F129" s="4">
        <f t="shared" si="9"/>
        <v>21</v>
      </c>
      <c r="G129" s="3">
        <f>IF(E129&gt;=20,2000,1900) + D129</f>
        <v>1973</v>
      </c>
      <c r="H129">
        <f t="shared" si="10"/>
        <v>4</v>
      </c>
      <c r="I129" s="4">
        <f t="shared" si="11"/>
        <v>21</v>
      </c>
      <c r="J129">
        <f t="shared" si="12"/>
        <v>19730421</v>
      </c>
      <c r="K129" t="str">
        <f t="shared" si="13"/>
        <v>21.04.1973</v>
      </c>
    </row>
    <row r="130" spans="1:11" x14ac:dyDescent="0.25">
      <c r="A130" s="4" t="s">
        <v>156</v>
      </c>
      <c r="B130" t="s">
        <v>13</v>
      </c>
      <c r="C130" t="s">
        <v>4</v>
      </c>
      <c r="D130" s="3">
        <f t="shared" si="7"/>
        <v>71</v>
      </c>
      <c r="E130" s="4">
        <f t="shared" si="8"/>
        <v>11</v>
      </c>
      <c r="F130" s="4">
        <f t="shared" si="9"/>
        <v>16</v>
      </c>
      <c r="G130" s="3">
        <f>IF(E130&gt;=20,2000,1900) + D130</f>
        <v>1971</v>
      </c>
      <c r="H130">
        <f t="shared" si="10"/>
        <v>11</v>
      </c>
      <c r="I130" s="4">
        <f t="shared" si="11"/>
        <v>16</v>
      </c>
      <c r="J130">
        <f t="shared" si="12"/>
        <v>19711116</v>
      </c>
      <c r="K130" t="str">
        <f t="shared" si="13"/>
        <v>16.11.1971</v>
      </c>
    </row>
    <row r="131" spans="1:11" x14ac:dyDescent="0.25">
      <c r="A131" s="4" t="s">
        <v>157</v>
      </c>
      <c r="B131" t="s">
        <v>3</v>
      </c>
      <c r="C131" t="s">
        <v>6</v>
      </c>
      <c r="D131" s="3">
        <f t="shared" ref="D131:D194" si="14">MID(A131,1,2)*1</f>
        <v>52</v>
      </c>
      <c r="E131" s="4">
        <f t="shared" ref="E131:E194" si="15">MID(A131,3,2)*1</f>
        <v>4</v>
      </c>
      <c r="F131" s="4">
        <f t="shared" ref="F131:F194" si="16">MID(A131,5,2)*1</f>
        <v>24</v>
      </c>
      <c r="G131" s="3">
        <f>IF(E131&gt;=20,2000,1900) + D131</f>
        <v>1952</v>
      </c>
      <c r="H131">
        <f t="shared" ref="H131:H194" si="17">IF(E131&gt;=20,E131-20,E131)</f>
        <v>4</v>
      </c>
      <c r="I131" s="4">
        <f t="shared" ref="I131:I194" si="18">F131</f>
        <v>24</v>
      </c>
      <c r="J131">
        <f t="shared" ref="J131:J194" si="19">CONCATENATE(G131,IF(LEN(E131)=1,CONCATENATE("0",E131),E131),IF(LEN(F131)=1,CONCATENATE("0",F131),F131))*1</f>
        <v>19520424</v>
      </c>
      <c r="K131" t="str">
        <f t="shared" ref="K131:K194" si="20">CONCATENATE(RIGHT(J131,2),".",MID(J131,5,2),".",LEFT(J131,4))</f>
        <v>24.04.1952</v>
      </c>
    </row>
    <row r="132" spans="1:11" x14ac:dyDescent="0.25">
      <c r="A132" s="4" t="s">
        <v>158</v>
      </c>
      <c r="B132" t="s">
        <v>17</v>
      </c>
      <c r="C132" t="s">
        <v>4</v>
      </c>
      <c r="D132" s="3">
        <f t="shared" si="14"/>
        <v>94</v>
      </c>
      <c r="E132" s="4">
        <f t="shared" si="15"/>
        <v>11</v>
      </c>
      <c r="F132" s="4">
        <f t="shared" si="16"/>
        <v>5</v>
      </c>
      <c r="G132" s="3">
        <f>IF(E132&gt;=20,2000,1900) + D132</f>
        <v>1994</v>
      </c>
      <c r="H132">
        <f t="shared" si="17"/>
        <v>11</v>
      </c>
      <c r="I132" s="4">
        <f t="shared" si="18"/>
        <v>5</v>
      </c>
      <c r="J132">
        <f t="shared" si="19"/>
        <v>19941105</v>
      </c>
      <c r="K132" t="str">
        <f t="shared" si="20"/>
        <v>05.11.1994</v>
      </c>
    </row>
    <row r="133" spans="1:11" x14ac:dyDescent="0.25">
      <c r="A133" s="4" t="s">
        <v>159</v>
      </c>
      <c r="B133" t="s">
        <v>7</v>
      </c>
      <c r="C133" t="s">
        <v>4</v>
      </c>
      <c r="D133" s="3">
        <f t="shared" si="14"/>
        <v>97</v>
      </c>
      <c r="E133" s="4">
        <f t="shared" si="15"/>
        <v>7</v>
      </c>
      <c r="F133" s="4">
        <f t="shared" si="16"/>
        <v>3</v>
      </c>
      <c r="G133" s="3">
        <f>IF(E133&gt;=20,2000,1900) + D133</f>
        <v>1997</v>
      </c>
      <c r="H133">
        <f t="shared" si="17"/>
        <v>7</v>
      </c>
      <c r="I133" s="4">
        <f t="shared" si="18"/>
        <v>3</v>
      </c>
      <c r="J133">
        <f t="shared" si="19"/>
        <v>19970703</v>
      </c>
      <c r="K133" t="str">
        <f t="shared" si="20"/>
        <v>03.07.1997</v>
      </c>
    </row>
    <row r="134" spans="1:11" x14ac:dyDescent="0.25">
      <c r="A134" s="4" t="s">
        <v>160</v>
      </c>
      <c r="B134" t="s">
        <v>3</v>
      </c>
      <c r="C134" t="s">
        <v>4</v>
      </c>
      <c r="D134" s="3">
        <f t="shared" si="14"/>
        <v>68</v>
      </c>
      <c r="E134" s="4">
        <f t="shared" si="15"/>
        <v>2</v>
      </c>
      <c r="F134" s="4">
        <f t="shared" si="16"/>
        <v>1</v>
      </c>
      <c r="G134" s="3">
        <f>IF(E134&gt;=20,2000,1900) + D134</f>
        <v>1968</v>
      </c>
      <c r="H134">
        <f t="shared" si="17"/>
        <v>2</v>
      </c>
      <c r="I134" s="4">
        <f t="shared" si="18"/>
        <v>1</v>
      </c>
      <c r="J134">
        <f t="shared" si="19"/>
        <v>19680201</v>
      </c>
      <c r="K134" t="str">
        <f t="shared" si="20"/>
        <v>01.02.1968</v>
      </c>
    </row>
    <row r="135" spans="1:11" x14ac:dyDescent="0.25">
      <c r="A135" s="4" t="s">
        <v>161</v>
      </c>
      <c r="B135" t="s">
        <v>10</v>
      </c>
      <c r="C135" t="s">
        <v>6</v>
      </c>
      <c r="D135" s="3">
        <f t="shared" si="14"/>
        <v>61</v>
      </c>
      <c r="E135" s="4">
        <f t="shared" si="15"/>
        <v>3</v>
      </c>
      <c r="F135" s="4">
        <f t="shared" si="16"/>
        <v>23</v>
      </c>
      <c r="G135" s="3">
        <f>IF(E135&gt;=20,2000,1900) + D135</f>
        <v>1961</v>
      </c>
      <c r="H135">
        <f t="shared" si="17"/>
        <v>3</v>
      </c>
      <c r="I135" s="4">
        <f t="shared" si="18"/>
        <v>23</v>
      </c>
      <c r="J135">
        <f t="shared" si="19"/>
        <v>19610323</v>
      </c>
      <c r="K135" t="str">
        <f t="shared" si="20"/>
        <v>23.03.1961</v>
      </c>
    </row>
    <row r="136" spans="1:11" x14ac:dyDescent="0.25">
      <c r="A136" s="4" t="s">
        <v>162</v>
      </c>
      <c r="B136" t="s">
        <v>15</v>
      </c>
      <c r="C136" t="s">
        <v>6</v>
      </c>
      <c r="D136" s="3">
        <f t="shared" si="14"/>
        <v>89</v>
      </c>
      <c r="E136" s="4">
        <f t="shared" si="15"/>
        <v>5</v>
      </c>
      <c r="F136" s="4">
        <f t="shared" si="16"/>
        <v>18</v>
      </c>
      <c r="G136" s="3">
        <f>IF(E136&gt;=20,2000,1900) + D136</f>
        <v>1989</v>
      </c>
      <c r="H136">
        <f t="shared" si="17"/>
        <v>5</v>
      </c>
      <c r="I136" s="4">
        <f t="shared" si="18"/>
        <v>18</v>
      </c>
      <c r="J136">
        <f t="shared" si="19"/>
        <v>19890518</v>
      </c>
      <c r="K136" t="str">
        <f t="shared" si="20"/>
        <v>18.05.1989</v>
      </c>
    </row>
    <row r="137" spans="1:11" x14ac:dyDescent="0.25">
      <c r="A137" s="4" t="s">
        <v>163</v>
      </c>
      <c r="B137" t="s">
        <v>19</v>
      </c>
      <c r="C137" t="s">
        <v>4</v>
      </c>
      <c r="D137" s="3">
        <f t="shared" si="14"/>
        <v>97</v>
      </c>
      <c r="E137" s="4">
        <f t="shared" si="15"/>
        <v>9</v>
      </c>
      <c r="F137" s="4">
        <f t="shared" si="16"/>
        <v>7</v>
      </c>
      <c r="G137" s="3">
        <f>IF(E137&gt;=20,2000,1900) + D137</f>
        <v>1997</v>
      </c>
      <c r="H137">
        <f t="shared" si="17"/>
        <v>9</v>
      </c>
      <c r="I137" s="4">
        <f t="shared" si="18"/>
        <v>7</v>
      </c>
      <c r="J137">
        <f t="shared" si="19"/>
        <v>19970907</v>
      </c>
      <c r="K137" t="str">
        <f t="shared" si="20"/>
        <v>07.09.1997</v>
      </c>
    </row>
    <row r="138" spans="1:11" x14ac:dyDescent="0.25">
      <c r="A138" s="4" t="s">
        <v>164</v>
      </c>
      <c r="B138" t="s">
        <v>7</v>
      </c>
      <c r="C138" t="s">
        <v>6</v>
      </c>
      <c r="D138" s="3">
        <f t="shared" si="14"/>
        <v>61</v>
      </c>
      <c r="E138" s="4">
        <f t="shared" si="15"/>
        <v>8</v>
      </c>
      <c r="F138" s="4">
        <f t="shared" si="16"/>
        <v>5</v>
      </c>
      <c r="G138" s="3">
        <f>IF(E138&gt;=20,2000,1900) + D138</f>
        <v>1961</v>
      </c>
      <c r="H138">
        <f t="shared" si="17"/>
        <v>8</v>
      </c>
      <c r="I138" s="4">
        <f t="shared" si="18"/>
        <v>5</v>
      </c>
      <c r="J138">
        <f t="shared" si="19"/>
        <v>19610805</v>
      </c>
      <c r="K138" t="str">
        <f t="shared" si="20"/>
        <v>05.08.1961</v>
      </c>
    </row>
    <row r="139" spans="1:11" x14ac:dyDescent="0.25">
      <c r="A139" s="4" t="s">
        <v>165</v>
      </c>
      <c r="B139" t="s">
        <v>18</v>
      </c>
      <c r="C139" t="s">
        <v>6</v>
      </c>
      <c r="D139" s="3">
        <f t="shared" si="14"/>
        <v>66</v>
      </c>
      <c r="E139" s="4">
        <f t="shared" si="15"/>
        <v>2</v>
      </c>
      <c r="F139" s="4">
        <f t="shared" si="16"/>
        <v>22</v>
      </c>
      <c r="G139" s="3">
        <f>IF(E139&gt;=20,2000,1900) + D139</f>
        <v>1966</v>
      </c>
      <c r="H139">
        <f t="shared" si="17"/>
        <v>2</v>
      </c>
      <c r="I139" s="4">
        <f t="shared" si="18"/>
        <v>22</v>
      </c>
      <c r="J139">
        <f t="shared" si="19"/>
        <v>19660222</v>
      </c>
      <c r="K139" t="str">
        <f t="shared" si="20"/>
        <v>22.02.1966</v>
      </c>
    </row>
    <row r="140" spans="1:11" x14ac:dyDescent="0.25">
      <c r="A140" s="4" t="s">
        <v>166</v>
      </c>
      <c r="B140" t="s">
        <v>14</v>
      </c>
      <c r="C140" t="s">
        <v>4</v>
      </c>
      <c r="D140" s="3">
        <f t="shared" si="14"/>
        <v>53</v>
      </c>
      <c r="E140" s="4">
        <f t="shared" si="15"/>
        <v>12</v>
      </c>
      <c r="F140" s="4">
        <f t="shared" si="16"/>
        <v>9</v>
      </c>
      <c r="G140" s="3">
        <f>IF(E140&gt;=20,2000,1900) + D140</f>
        <v>1953</v>
      </c>
      <c r="H140">
        <f t="shared" si="17"/>
        <v>12</v>
      </c>
      <c r="I140" s="4">
        <f t="shared" si="18"/>
        <v>9</v>
      </c>
      <c r="J140">
        <f t="shared" si="19"/>
        <v>19531209</v>
      </c>
      <c r="K140" t="str">
        <f t="shared" si="20"/>
        <v>09.12.1953</v>
      </c>
    </row>
    <row r="141" spans="1:11" x14ac:dyDescent="0.25">
      <c r="A141" s="4" t="s">
        <v>167</v>
      </c>
      <c r="B141" t="s">
        <v>3</v>
      </c>
      <c r="C141" t="s">
        <v>4</v>
      </c>
      <c r="D141" s="3">
        <f t="shared" si="14"/>
        <v>84</v>
      </c>
      <c r="E141" s="4">
        <f t="shared" si="15"/>
        <v>1</v>
      </c>
      <c r="F141" s="4">
        <f t="shared" si="16"/>
        <v>5</v>
      </c>
      <c r="G141" s="3">
        <f>IF(E141&gt;=20,2000,1900) + D141</f>
        <v>1984</v>
      </c>
      <c r="H141">
        <f t="shared" si="17"/>
        <v>1</v>
      </c>
      <c r="I141" s="4">
        <f t="shared" si="18"/>
        <v>5</v>
      </c>
      <c r="J141">
        <f t="shared" si="19"/>
        <v>19840105</v>
      </c>
      <c r="K141" t="str">
        <f t="shared" si="20"/>
        <v>05.01.1984</v>
      </c>
    </row>
    <row r="142" spans="1:11" x14ac:dyDescent="0.25">
      <c r="A142" s="4" t="s">
        <v>168</v>
      </c>
      <c r="B142" t="s">
        <v>13</v>
      </c>
      <c r="C142" t="s">
        <v>6</v>
      </c>
      <c r="D142" s="3">
        <f t="shared" si="14"/>
        <v>94</v>
      </c>
      <c r="E142" s="4">
        <f t="shared" si="15"/>
        <v>11</v>
      </c>
      <c r="F142" s="4">
        <f t="shared" si="16"/>
        <v>16</v>
      </c>
      <c r="G142" s="3">
        <f>IF(E142&gt;=20,2000,1900) + D142</f>
        <v>1994</v>
      </c>
      <c r="H142">
        <f t="shared" si="17"/>
        <v>11</v>
      </c>
      <c r="I142" s="4">
        <f t="shared" si="18"/>
        <v>16</v>
      </c>
      <c r="J142">
        <f t="shared" si="19"/>
        <v>19941116</v>
      </c>
      <c r="K142" t="str">
        <f t="shared" si="20"/>
        <v>16.11.1994</v>
      </c>
    </row>
    <row r="143" spans="1:11" x14ac:dyDescent="0.25">
      <c r="A143" s="4" t="s">
        <v>169</v>
      </c>
      <c r="B143" t="s">
        <v>9</v>
      </c>
      <c r="C143" t="s">
        <v>4</v>
      </c>
      <c r="D143" s="3">
        <f t="shared" si="14"/>
        <v>83</v>
      </c>
      <c r="E143" s="4">
        <f t="shared" si="15"/>
        <v>8</v>
      </c>
      <c r="F143" s="4">
        <f t="shared" si="16"/>
        <v>9</v>
      </c>
      <c r="G143" s="3">
        <f>IF(E143&gt;=20,2000,1900) + D143</f>
        <v>1983</v>
      </c>
      <c r="H143">
        <f t="shared" si="17"/>
        <v>8</v>
      </c>
      <c r="I143" s="4">
        <f t="shared" si="18"/>
        <v>9</v>
      </c>
      <c r="J143">
        <f t="shared" si="19"/>
        <v>19830809</v>
      </c>
      <c r="K143" t="str">
        <f t="shared" si="20"/>
        <v>09.08.1983</v>
      </c>
    </row>
    <row r="144" spans="1:11" x14ac:dyDescent="0.25">
      <c r="A144" s="4" t="s">
        <v>170</v>
      </c>
      <c r="B144" t="s">
        <v>8</v>
      </c>
      <c r="C144" t="s">
        <v>4</v>
      </c>
      <c r="D144" s="3">
        <f t="shared" si="14"/>
        <v>99</v>
      </c>
      <c r="E144" s="4">
        <f t="shared" si="15"/>
        <v>2</v>
      </c>
      <c r="F144" s="4">
        <f t="shared" si="16"/>
        <v>6</v>
      </c>
      <c r="G144" s="3">
        <f>IF(E144&gt;=20,2000,1900) + D144</f>
        <v>1999</v>
      </c>
      <c r="H144">
        <f t="shared" si="17"/>
        <v>2</v>
      </c>
      <c r="I144" s="4">
        <f t="shared" si="18"/>
        <v>6</v>
      </c>
      <c r="J144">
        <f t="shared" si="19"/>
        <v>19990206</v>
      </c>
      <c r="K144" t="str">
        <f t="shared" si="20"/>
        <v>06.02.1999</v>
      </c>
    </row>
    <row r="145" spans="1:11" x14ac:dyDescent="0.25">
      <c r="A145" s="4" t="s">
        <v>171</v>
      </c>
      <c r="B145" t="s">
        <v>17</v>
      </c>
      <c r="C145" t="s">
        <v>6</v>
      </c>
      <c r="D145" s="3">
        <f t="shared" si="14"/>
        <v>99</v>
      </c>
      <c r="E145" s="4">
        <f t="shared" si="15"/>
        <v>11</v>
      </c>
      <c r="F145" s="4">
        <f t="shared" si="16"/>
        <v>13</v>
      </c>
      <c r="G145" s="3">
        <f>IF(E145&gt;=20,2000,1900) + D145</f>
        <v>1999</v>
      </c>
      <c r="H145">
        <f t="shared" si="17"/>
        <v>11</v>
      </c>
      <c r="I145" s="4">
        <f t="shared" si="18"/>
        <v>13</v>
      </c>
      <c r="J145">
        <f t="shared" si="19"/>
        <v>19991113</v>
      </c>
      <c r="K145" t="str">
        <f t="shared" si="20"/>
        <v>13.11.1999</v>
      </c>
    </row>
    <row r="146" spans="1:11" x14ac:dyDescent="0.25">
      <c r="A146" s="4" t="s">
        <v>172</v>
      </c>
      <c r="B146" t="s">
        <v>20</v>
      </c>
      <c r="C146" t="s">
        <v>4</v>
      </c>
      <c r="D146" s="3">
        <f t="shared" si="14"/>
        <v>51</v>
      </c>
      <c r="E146" s="4">
        <f t="shared" si="15"/>
        <v>9</v>
      </c>
      <c r="F146" s="4">
        <f t="shared" si="16"/>
        <v>25</v>
      </c>
      <c r="G146" s="3">
        <f>IF(E146&gt;=20,2000,1900) + D146</f>
        <v>1951</v>
      </c>
      <c r="H146">
        <f t="shared" si="17"/>
        <v>9</v>
      </c>
      <c r="I146" s="4">
        <f t="shared" si="18"/>
        <v>25</v>
      </c>
      <c r="J146">
        <f t="shared" si="19"/>
        <v>19510925</v>
      </c>
      <c r="K146" t="str">
        <f t="shared" si="20"/>
        <v>25.09.1951</v>
      </c>
    </row>
    <row r="147" spans="1:11" x14ac:dyDescent="0.25">
      <c r="A147" s="4" t="s">
        <v>173</v>
      </c>
      <c r="B147" t="s">
        <v>9</v>
      </c>
      <c r="C147" t="s">
        <v>4</v>
      </c>
      <c r="D147" s="3">
        <f t="shared" si="14"/>
        <v>56</v>
      </c>
      <c r="E147" s="4">
        <f t="shared" si="15"/>
        <v>2</v>
      </c>
      <c r="F147" s="4">
        <f t="shared" si="16"/>
        <v>14</v>
      </c>
      <c r="G147" s="3">
        <f>IF(E147&gt;=20,2000,1900) + D147</f>
        <v>1956</v>
      </c>
      <c r="H147">
        <f t="shared" si="17"/>
        <v>2</v>
      </c>
      <c r="I147" s="4">
        <f t="shared" si="18"/>
        <v>14</v>
      </c>
      <c r="J147">
        <f t="shared" si="19"/>
        <v>19560214</v>
      </c>
      <c r="K147" t="str">
        <f t="shared" si="20"/>
        <v>14.02.1956</v>
      </c>
    </row>
    <row r="148" spans="1:11" x14ac:dyDescent="0.25">
      <c r="A148" s="4" t="s">
        <v>174</v>
      </c>
      <c r="B148" t="s">
        <v>13</v>
      </c>
      <c r="C148" t="s">
        <v>4</v>
      </c>
      <c r="D148" s="3">
        <f t="shared" si="14"/>
        <v>61</v>
      </c>
      <c r="E148" s="4">
        <f t="shared" si="15"/>
        <v>5</v>
      </c>
      <c r="F148" s="4">
        <f t="shared" si="16"/>
        <v>23</v>
      </c>
      <c r="G148" s="3">
        <f>IF(E148&gt;=20,2000,1900) + D148</f>
        <v>1961</v>
      </c>
      <c r="H148">
        <f t="shared" si="17"/>
        <v>5</v>
      </c>
      <c r="I148" s="4">
        <f t="shared" si="18"/>
        <v>23</v>
      </c>
      <c r="J148">
        <f t="shared" si="19"/>
        <v>19610523</v>
      </c>
      <c r="K148" t="str">
        <f t="shared" si="20"/>
        <v>23.05.1961</v>
      </c>
    </row>
    <row r="149" spans="1:11" x14ac:dyDescent="0.25">
      <c r="A149" s="4" t="s">
        <v>175</v>
      </c>
      <c r="B149" t="s">
        <v>13</v>
      </c>
      <c r="C149" t="s">
        <v>4</v>
      </c>
      <c r="D149" s="3">
        <f t="shared" si="14"/>
        <v>51</v>
      </c>
      <c r="E149" s="4">
        <f t="shared" si="15"/>
        <v>12</v>
      </c>
      <c r="F149" s="4">
        <f t="shared" si="16"/>
        <v>28</v>
      </c>
      <c r="G149" s="3">
        <f>IF(E149&gt;=20,2000,1900) + D149</f>
        <v>1951</v>
      </c>
      <c r="H149">
        <f t="shared" si="17"/>
        <v>12</v>
      </c>
      <c r="I149" s="4">
        <f t="shared" si="18"/>
        <v>28</v>
      </c>
      <c r="J149">
        <f t="shared" si="19"/>
        <v>19511228</v>
      </c>
      <c r="K149" t="str">
        <f t="shared" si="20"/>
        <v>28.12.1951</v>
      </c>
    </row>
    <row r="150" spans="1:11" x14ac:dyDescent="0.25">
      <c r="A150" s="4" t="s">
        <v>176</v>
      </c>
      <c r="B150" t="s">
        <v>19</v>
      </c>
      <c r="C150" t="s">
        <v>4</v>
      </c>
      <c r="D150" s="3">
        <f t="shared" si="14"/>
        <v>71</v>
      </c>
      <c r="E150" s="4">
        <f t="shared" si="15"/>
        <v>6</v>
      </c>
      <c r="F150" s="4">
        <f t="shared" si="16"/>
        <v>30</v>
      </c>
      <c r="G150" s="3">
        <f>IF(E150&gt;=20,2000,1900) + D150</f>
        <v>1971</v>
      </c>
      <c r="H150">
        <f t="shared" si="17"/>
        <v>6</v>
      </c>
      <c r="I150" s="4">
        <f t="shared" si="18"/>
        <v>30</v>
      </c>
      <c r="J150">
        <f t="shared" si="19"/>
        <v>19710630</v>
      </c>
      <c r="K150" t="str">
        <f t="shared" si="20"/>
        <v>30.06.1971</v>
      </c>
    </row>
    <row r="151" spans="1:11" x14ac:dyDescent="0.25">
      <c r="A151" s="4" t="s">
        <v>177</v>
      </c>
      <c r="B151" t="s">
        <v>5</v>
      </c>
      <c r="C151" t="s">
        <v>6</v>
      </c>
      <c r="D151" s="3">
        <f t="shared" si="14"/>
        <v>74</v>
      </c>
      <c r="E151" s="4">
        <f t="shared" si="15"/>
        <v>7</v>
      </c>
      <c r="F151" s="4">
        <f t="shared" si="16"/>
        <v>22</v>
      </c>
      <c r="G151" s="3">
        <f>IF(E151&gt;=20,2000,1900) + D151</f>
        <v>1974</v>
      </c>
      <c r="H151">
        <f t="shared" si="17"/>
        <v>7</v>
      </c>
      <c r="I151" s="4">
        <f t="shared" si="18"/>
        <v>22</v>
      </c>
      <c r="J151">
        <f t="shared" si="19"/>
        <v>19740722</v>
      </c>
      <c r="K151" t="str">
        <f t="shared" si="20"/>
        <v>22.07.1974</v>
      </c>
    </row>
    <row r="152" spans="1:11" x14ac:dyDescent="0.25">
      <c r="A152" s="4" t="s">
        <v>178</v>
      </c>
      <c r="B152" t="s">
        <v>10</v>
      </c>
      <c r="C152" t="s">
        <v>4</v>
      </c>
      <c r="D152" s="3">
        <f t="shared" si="14"/>
        <v>91</v>
      </c>
      <c r="E152" s="4">
        <f t="shared" si="15"/>
        <v>9</v>
      </c>
      <c r="F152" s="4">
        <f t="shared" si="16"/>
        <v>14</v>
      </c>
      <c r="G152" s="3">
        <f>IF(E152&gt;=20,2000,1900) + D152</f>
        <v>1991</v>
      </c>
      <c r="H152">
        <f t="shared" si="17"/>
        <v>9</v>
      </c>
      <c r="I152" s="4">
        <f t="shared" si="18"/>
        <v>14</v>
      </c>
      <c r="J152">
        <f t="shared" si="19"/>
        <v>19910914</v>
      </c>
      <c r="K152" t="str">
        <f t="shared" si="20"/>
        <v>14.09.1991</v>
      </c>
    </row>
    <row r="153" spans="1:11" x14ac:dyDescent="0.25">
      <c r="A153" s="4" t="s">
        <v>179</v>
      </c>
      <c r="B153" t="s">
        <v>9</v>
      </c>
      <c r="C153" t="s">
        <v>6</v>
      </c>
      <c r="D153" s="3">
        <f t="shared" si="14"/>
        <v>57</v>
      </c>
      <c r="E153" s="4">
        <f t="shared" si="15"/>
        <v>12</v>
      </c>
      <c r="F153" s="4">
        <f t="shared" si="16"/>
        <v>23</v>
      </c>
      <c r="G153" s="3">
        <f>IF(E153&gt;=20,2000,1900) + D153</f>
        <v>1957</v>
      </c>
      <c r="H153">
        <f t="shared" si="17"/>
        <v>12</v>
      </c>
      <c r="I153" s="4">
        <f t="shared" si="18"/>
        <v>23</v>
      </c>
      <c r="J153">
        <f t="shared" si="19"/>
        <v>19571223</v>
      </c>
      <c r="K153" t="str">
        <f t="shared" si="20"/>
        <v>23.12.1957</v>
      </c>
    </row>
    <row r="154" spans="1:11" x14ac:dyDescent="0.25">
      <c r="A154" s="4" t="s">
        <v>180</v>
      </c>
      <c r="B154" t="s">
        <v>7</v>
      </c>
      <c r="C154" t="s">
        <v>6</v>
      </c>
      <c r="D154" s="3">
        <f t="shared" si="14"/>
        <v>99</v>
      </c>
      <c r="E154" s="4">
        <f t="shared" si="15"/>
        <v>4</v>
      </c>
      <c r="F154" s="4">
        <f t="shared" si="16"/>
        <v>14</v>
      </c>
      <c r="G154" s="3">
        <f>IF(E154&gt;=20,2000,1900) + D154</f>
        <v>1999</v>
      </c>
      <c r="H154">
        <f t="shared" si="17"/>
        <v>4</v>
      </c>
      <c r="I154" s="4">
        <f t="shared" si="18"/>
        <v>14</v>
      </c>
      <c r="J154">
        <f t="shared" si="19"/>
        <v>19990414</v>
      </c>
      <c r="K154" t="str">
        <f t="shared" si="20"/>
        <v>14.04.1999</v>
      </c>
    </row>
    <row r="155" spans="1:11" x14ac:dyDescent="0.25">
      <c r="A155" s="4" t="s">
        <v>181</v>
      </c>
      <c r="B155" t="s">
        <v>18</v>
      </c>
      <c r="C155" t="s">
        <v>4</v>
      </c>
      <c r="D155" s="3">
        <f t="shared" si="14"/>
        <v>67</v>
      </c>
      <c r="E155" s="4">
        <f t="shared" si="15"/>
        <v>10</v>
      </c>
      <c r="F155" s="4">
        <f t="shared" si="16"/>
        <v>3</v>
      </c>
      <c r="G155" s="3">
        <f>IF(E155&gt;=20,2000,1900) + D155</f>
        <v>1967</v>
      </c>
      <c r="H155">
        <f t="shared" si="17"/>
        <v>10</v>
      </c>
      <c r="I155" s="4">
        <f t="shared" si="18"/>
        <v>3</v>
      </c>
      <c r="J155">
        <f t="shared" si="19"/>
        <v>19671003</v>
      </c>
      <c r="K155" t="str">
        <f t="shared" si="20"/>
        <v>03.10.1967</v>
      </c>
    </row>
    <row r="156" spans="1:11" x14ac:dyDescent="0.25">
      <c r="A156" s="4" t="s">
        <v>182</v>
      </c>
      <c r="B156" t="s">
        <v>17</v>
      </c>
      <c r="C156" t="s">
        <v>4</v>
      </c>
      <c r="D156" s="3">
        <f t="shared" si="14"/>
        <v>82</v>
      </c>
      <c r="E156" s="4">
        <f t="shared" si="15"/>
        <v>6</v>
      </c>
      <c r="F156" s="4">
        <f t="shared" si="16"/>
        <v>20</v>
      </c>
      <c r="G156" s="3">
        <f>IF(E156&gt;=20,2000,1900) + D156</f>
        <v>1982</v>
      </c>
      <c r="H156">
        <f t="shared" si="17"/>
        <v>6</v>
      </c>
      <c r="I156" s="4">
        <f t="shared" si="18"/>
        <v>20</v>
      </c>
      <c r="J156">
        <f t="shared" si="19"/>
        <v>19820620</v>
      </c>
      <c r="K156" t="str">
        <f t="shared" si="20"/>
        <v>20.06.1982</v>
      </c>
    </row>
    <row r="157" spans="1:11" x14ac:dyDescent="0.25">
      <c r="A157" s="4" t="s">
        <v>183</v>
      </c>
      <c r="B157" t="s">
        <v>11</v>
      </c>
      <c r="C157" t="s">
        <v>4</v>
      </c>
      <c r="D157" s="3">
        <f t="shared" si="14"/>
        <v>57</v>
      </c>
      <c r="E157" s="4">
        <f t="shared" si="15"/>
        <v>12</v>
      </c>
      <c r="F157" s="4">
        <f t="shared" si="16"/>
        <v>20</v>
      </c>
      <c r="G157" s="3">
        <f>IF(E157&gt;=20,2000,1900) + D157</f>
        <v>1957</v>
      </c>
      <c r="H157">
        <f t="shared" si="17"/>
        <v>12</v>
      </c>
      <c r="I157" s="4">
        <f t="shared" si="18"/>
        <v>20</v>
      </c>
      <c r="J157">
        <f t="shared" si="19"/>
        <v>19571220</v>
      </c>
      <c r="K157" t="str">
        <f t="shared" si="20"/>
        <v>20.12.1957</v>
      </c>
    </row>
    <row r="158" spans="1:11" x14ac:dyDescent="0.25">
      <c r="A158" s="4" t="s">
        <v>184</v>
      </c>
      <c r="B158" t="s">
        <v>16</v>
      </c>
      <c r="C158" t="s">
        <v>6</v>
      </c>
      <c r="D158" s="3">
        <f t="shared" si="14"/>
        <v>67</v>
      </c>
      <c r="E158" s="4">
        <f t="shared" si="15"/>
        <v>11</v>
      </c>
      <c r="F158" s="4">
        <f t="shared" si="16"/>
        <v>21</v>
      </c>
      <c r="G158" s="3">
        <f>IF(E158&gt;=20,2000,1900) + D158</f>
        <v>1967</v>
      </c>
      <c r="H158">
        <f t="shared" si="17"/>
        <v>11</v>
      </c>
      <c r="I158" s="4">
        <f t="shared" si="18"/>
        <v>21</v>
      </c>
      <c r="J158">
        <f t="shared" si="19"/>
        <v>19671121</v>
      </c>
      <c r="K158" t="str">
        <f t="shared" si="20"/>
        <v>21.11.1967</v>
      </c>
    </row>
    <row r="159" spans="1:11" x14ac:dyDescent="0.25">
      <c r="A159" s="4" t="s">
        <v>185</v>
      </c>
      <c r="B159" t="s">
        <v>9</v>
      </c>
      <c r="C159" t="s">
        <v>4</v>
      </c>
      <c r="D159" s="3">
        <f t="shared" si="14"/>
        <v>87</v>
      </c>
      <c r="E159" s="4">
        <f t="shared" si="15"/>
        <v>9</v>
      </c>
      <c r="F159" s="4">
        <f t="shared" si="16"/>
        <v>2</v>
      </c>
      <c r="G159" s="3">
        <f>IF(E159&gt;=20,2000,1900) + D159</f>
        <v>1987</v>
      </c>
      <c r="H159">
        <f t="shared" si="17"/>
        <v>9</v>
      </c>
      <c r="I159" s="4">
        <f t="shared" si="18"/>
        <v>2</v>
      </c>
      <c r="J159">
        <f t="shared" si="19"/>
        <v>19870902</v>
      </c>
      <c r="K159" t="str">
        <f t="shared" si="20"/>
        <v>02.09.1987</v>
      </c>
    </row>
    <row r="160" spans="1:11" x14ac:dyDescent="0.25">
      <c r="A160" s="4" t="s">
        <v>186</v>
      </c>
      <c r="B160" t="s">
        <v>7</v>
      </c>
      <c r="C160" t="s">
        <v>6</v>
      </c>
      <c r="D160" s="3">
        <f t="shared" si="14"/>
        <v>61</v>
      </c>
      <c r="E160" s="4">
        <f t="shared" si="15"/>
        <v>3</v>
      </c>
      <c r="F160" s="4">
        <f t="shared" si="16"/>
        <v>24</v>
      </c>
      <c r="G160" s="3">
        <f>IF(E160&gt;=20,2000,1900) + D160</f>
        <v>1961</v>
      </c>
      <c r="H160">
        <f t="shared" si="17"/>
        <v>3</v>
      </c>
      <c r="I160" s="4">
        <f t="shared" si="18"/>
        <v>24</v>
      </c>
      <c r="J160">
        <f t="shared" si="19"/>
        <v>19610324</v>
      </c>
      <c r="K160" t="str">
        <f t="shared" si="20"/>
        <v>24.03.1961</v>
      </c>
    </row>
    <row r="161" spans="1:11" x14ac:dyDescent="0.25">
      <c r="A161" s="4" t="s">
        <v>187</v>
      </c>
      <c r="B161" t="s">
        <v>5</v>
      </c>
      <c r="C161" t="s">
        <v>6</v>
      </c>
      <c r="D161" s="3">
        <f t="shared" si="14"/>
        <v>64</v>
      </c>
      <c r="E161" s="4">
        <f t="shared" si="15"/>
        <v>8</v>
      </c>
      <c r="F161" s="4">
        <f t="shared" si="16"/>
        <v>7</v>
      </c>
      <c r="G161" s="3">
        <f>IF(E161&gt;=20,2000,1900) + D161</f>
        <v>1964</v>
      </c>
      <c r="H161">
        <f t="shared" si="17"/>
        <v>8</v>
      </c>
      <c r="I161" s="4">
        <f t="shared" si="18"/>
        <v>7</v>
      </c>
      <c r="J161">
        <f t="shared" si="19"/>
        <v>19640807</v>
      </c>
      <c r="K161" t="str">
        <f t="shared" si="20"/>
        <v>07.08.1964</v>
      </c>
    </row>
    <row r="162" spans="1:11" x14ac:dyDescent="0.25">
      <c r="A162" s="4" t="s">
        <v>188</v>
      </c>
      <c r="B162" t="s">
        <v>9</v>
      </c>
      <c r="C162" t="s">
        <v>6</v>
      </c>
      <c r="D162" s="3">
        <f t="shared" si="14"/>
        <v>59</v>
      </c>
      <c r="E162" s="4">
        <f t="shared" si="15"/>
        <v>6</v>
      </c>
      <c r="F162" s="4">
        <f t="shared" si="16"/>
        <v>27</v>
      </c>
      <c r="G162" s="3">
        <f>IF(E162&gt;=20,2000,1900) + D162</f>
        <v>1959</v>
      </c>
      <c r="H162">
        <f t="shared" si="17"/>
        <v>6</v>
      </c>
      <c r="I162" s="4">
        <f t="shared" si="18"/>
        <v>27</v>
      </c>
      <c r="J162">
        <f t="shared" si="19"/>
        <v>19590627</v>
      </c>
      <c r="K162" t="str">
        <f t="shared" si="20"/>
        <v>27.06.1959</v>
      </c>
    </row>
    <row r="163" spans="1:11" x14ac:dyDescent="0.25">
      <c r="A163" s="4" t="s">
        <v>189</v>
      </c>
      <c r="B163" t="s">
        <v>20</v>
      </c>
      <c r="C163" t="s">
        <v>6</v>
      </c>
      <c r="D163" s="3">
        <f t="shared" si="14"/>
        <v>65</v>
      </c>
      <c r="E163" s="4">
        <f t="shared" si="15"/>
        <v>4</v>
      </c>
      <c r="F163" s="4">
        <f t="shared" si="16"/>
        <v>6</v>
      </c>
      <c r="G163" s="3">
        <f>IF(E163&gt;=20,2000,1900) + D163</f>
        <v>1965</v>
      </c>
      <c r="H163">
        <f t="shared" si="17"/>
        <v>4</v>
      </c>
      <c r="I163" s="4">
        <f t="shared" si="18"/>
        <v>6</v>
      </c>
      <c r="J163">
        <f t="shared" si="19"/>
        <v>19650406</v>
      </c>
      <c r="K163" t="str">
        <f t="shared" si="20"/>
        <v>06.04.1965</v>
      </c>
    </row>
    <row r="164" spans="1:11" x14ac:dyDescent="0.25">
      <c r="A164" s="4" t="s">
        <v>190</v>
      </c>
      <c r="B164" t="s">
        <v>13</v>
      </c>
      <c r="C164" t="s">
        <v>6</v>
      </c>
      <c r="D164" s="3">
        <f t="shared" si="14"/>
        <v>94</v>
      </c>
      <c r="E164" s="4">
        <f t="shared" si="15"/>
        <v>12</v>
      </c>
      <c r="F164" s="4">
        <f t="shared" si="16"/>
        <v>26</v>
      </c>
      <c r="G164" s="3">
        <f>IF(E164&gt;=20,2000,1900) + D164</f>
        <v>1994</v>
      </c>
      <c r="H164">
        <f t="shared" si="17"/>
        <v>12</v>
      </c>
      <c r="I164" s="4">
        <f t="shared" si="18"/>
        <v>26</v>
      </c>
      <c r="J164">
        <f t="shared" si="19"/>
        <v>19941226</v>
      </c>
      <c r="K164" t="str">
        <f t="shared" si="20"/>
        <v>26.12.1994</v>
      </c>
    </row>
    <row r="165" spans="1:11" x14ac:dyDescent="0.25">
      <c r="A165" s="4" t="s">
        <v>191</v>
      </c>
      <c r="B165" t="s">
        <v>20</v>
      </c>
      <c r="C165" t="s">
        <v>4</v>
      </c>
      <c r="D165" s="3">
        <f t="shared" si="14"/>
        <v>58</v>
      </c>
      <c r="E165" s="4">
        <f t="shared" si="15"/>
        <v>9</v>
      </c>
      <c r="F165" s="4">
        <f t="shared" si="16"/>
        <v>13</v>
      </c>
      <c r="G165" s="3">
        <f>IF(E165&gt;=20,2000,1900) + D165</f>
        <v>1958</v>
      </c>
      <c r="H165">
        <f t="shared" si="17"/>
        <v>9</v>
      </c>
      <c r="I165" s="4">
        <f t="shared" si="18"/>
        <v>13</v>
      </c>
      <c r="J165">
        <f t="shared" si="19"/>
        <v>19580913</v>
      </c>
      <c r="K165" t="str">
        <f t="shared" si="20"/>
        <v>13.09.1958</v>
      </c>
    </row>
    <row r="166" spans="1:11" x14ac:dyDescent="0.25">
      <c r="A166" s="4" t="s">
        <v>192</v>
      </c>
      <c r="B166" t="s">
        <v>7</v>
      </c>
      <c r="C166" t="s">
        <v>4</v>
      </c>
      <c r="D166" s="3">
        <f t="shared" si="14"/>
        <v>73</v>
      </c>
      <c r="E166" s="4">
        <f t="shared" si="15"/>
        <v>11</v>
      </c>
      <c r="F166" s="4">
        <f t="shared" si="16"/>
        <v>23</v>
      </c>
      <c r="G166" s="3">
        <f>IF(E166&gt;=20,2000,1900) + D166</f>
        <v>1973</v>
      </c>
      <c r="H166">
        <f t="shared" si="17"/>
        <v>11</v>
      </c>
      <c r="I166" s="4">
        <f t="shared" si="18"/>
        <v>23</v>
      </c>
      <c r="J166">
        <f t="shared" si="19"/>
        <v>19731123</v>
      </c>
      <c r="K166" t="str">
        <f t="shared" si="20"/>
        <v>23.11.1973</v>
      </c>
    </row>
    <row r="167" spans="1:11" x14ac:dyDescent="0.25">
      <c r="A167" s="4" t="s">
        <v>193</v>
      </c>
      <c r="B167" t="s">
        <v>16</v>
      </c>
      <c r="C167" t="s">
        <v>4</v>
      </c>
      <c r="D167" s="3">
        <f t="shared" si="14"/>
        <v>61</v>
      </c>
      <c r="E167" s="4">
        <f t="shared" si="15"/>
        <v>5</v>
      </c>
      <c r="F167" s="4">
        <f t="shared" si="16"/>
        <v>28</v>
      </c>
      <c r="G167" s="3">
        <f>IF(E167&gt;=20,2000,1900) + D167</f>
        <v>1961</v>
      </c>
      <c r="H167">
        <f t="shared" si="17"/>
        <v>5</v>
      </c>
      <c r="I167" s="4">
        <f t="shared" si="18"/>
        <v>28</v>
      </c>
      <c r="J167">
        <f t="shared" si="19"/>
        <v>19610528</v>
      </c>
      <c r="K167" t="str">
        <f t="shared" si="20"/>
        <v>28.05.1961</v>
      </c>
    </row>
    <row r="168" spans="1:11" x14ac:dyDescent="0.25">
      <c r="A168" s="4" t="s">
        <v>194</v>
      </c>
      <c r="B168" t="s">
        <v>18</v>
      </c>
      <c r="C168" t="s">
        <v>6</v>
      </c>
      <c r="D168" s="3">
        <f t="shared" si="14"/>
        <v>71</v>
      </c>
      <c r="E168" s="4">
        <f t="shared" si="15"/>
        <v>2</v>
      </c>
      <c r="F168" s="4">
        <f t="shared" si="16"/>
        <v>16</v>
      </c>
      <c r="G168" s="3">
        <f>IF(E168&gt;=20,2000,1900) + D168</f>
        <v>1971</v>
      </c>
      <c r="H168">
        <f t="shared" si="17"/>
        <v>2</v>
      </c>
      <c r="I168" s="4">
        <f t="shared" si="18"/>
        <v>16</v>
      </c>
      <c r="J168">
        <f t="shared" si="19"/>
        <v>19710216</v>
      </c>
      <c r="K168" t="str">
        <f t="shared" si="20"/>
        <v>16.02.1971</v>
      </c>
    </row>
    <row r="169" spans="1:11" x14ac:dyDescent="0.25">
      <c r="A169" s="4" t="s">
        <v>195</v>
      </c>
      <c r="B169" t="s">
        <v>15</v>
      </c>
      <c r="C169" t="s">
        <v>6</v>
      </c>
      <c r="D169" s="3">
        <f t="shared" si="14"/>
        <v>56</v>
      </c>
      <c r="E169" s="4">
        <f t="shared" si="15"/>
        <v>8</v>
      </c>
      <c r="F169" s="4">
        <f t="shared" si="16"/>
        <v>22</v>
      </c>
      <c r="G169" s="3">
        <f>IF(E169&gt;=20,2000,1900) + D169</f>
        <v>1956</v>
      </c>
      <c r="H169">
        <f t="shared" si="17"/>
        <v>8</v>
      </c>
      <c r="I169" s="4">
        <f t="shared" si="18"/>
        <v>22</v>
      </c>
      <c r="J169">
        <f t="shared" si="19"/>
        <v>19560822</v>
      </c>
      <c r="K169" t="str">
        <f t="shared" si="20"/>
        <v>22.08.1956</v>
      </c>
    </row>
    <row r="170" spans="1:11" x14ac:dyDescent="0.25">
      <c r="A170" s="4" t="s">
        <v>196</v>
      </c>
      <c r="B170" t="s">
        <v>19</v>
      </c>
      <c r="C170" t="s">
        <v>6</v>
      </c>
      <c r="D170" s="3">
        <f t="shared" si="14"/>
        <v>99</v>
      </c>
      <c r="E170" s="4">
        <f t="shared" si="15"/>
        <v>10</v>
      </c>
      <c r="F170" s="4">
        <f t="shared" si="16"/>
        <v>12</v>
      </c>
      <c r="G170" s="3">
        <f>IF(E170&gt;=20,2000,1900) + D170</f>
        <v>1999</v>
      </c>
      <c r="H170">
        <f t="shared" si="17"/>
        <v>10</v>
      </c>
      <c r="I170" s="4">
        <f t="shared" si="18"/>
        <v>12</v>
      </c>
      <c r="J170">
        <f t="shared" si="19"/>
        <v>19991012</v>
      </c>
      <c r="K170" t="str">
        <f t="shared" si="20"/>
        <v>12.10.1999</v>
      </c>
    </row>
    <row r="171" spans="1:11" x14ac:dyDescent="0.25">
      <c r="A171" s="4" t="s">
        <v>197</v>
      </c>
      <c r="B171" t="s">
        <v>18</v>
      </c>
      <c r="C171" t="s">
        <v>6</v>
      </c>
      <c r="D171" s="3">
        <f t="shared" si="14"/>
        <v>52</v>
      </c>
      <c r="E171" s="4">
        <f t="shared" si="15"/>
        <v>10</v>
      </c>
      <c r="F171" s="4">
        <f t="shared" si="16"/>
        <v>17</v>
      </c>
      <c r="G171" s="3">
        <f>IF(E171&gt;=20,2000,1900) + D171</f>
        <v>1952</v>
      </c>
      <c r="H171">
        <f t="shared" si="17"/>
        <v>10</v>
      </c>
      <c r="I171" s="4">
        <f t="shared" si="18"/>
        <v>17</v>
      </c>
      <c r="J171">
        <f t="shared" si="19"/>
        <v>19521017</v>
      </c>
      <c r="K171" t="str">
        <f t="shared" si="20"/>
        <v>17.10.1952</v>
      </c>
    </row>
    <row r="172" spans="1:11" x14ac:dyDescent="0.25">
      <c r="A172" s="4" t="s">
        <v>198</v>
      </c>
      <c r="B172" t="s">
        <v>11</v>
      </c>
      <c r="C172" t="s">
        <v>6</v>
      </c>
      <c r="D172" s="3">
        <f t="shared" si="14"/>
        <v>86</v>
      </c>
      <c r="E172" s="4">
        <f t="shared" si="15"/>
        <v>9</v>
      </c>
      <c r="F172" s="4">
        <f t="shared" si="16"/>
        <v>16</v>
      </c>
      <c r="G172" s="3">
        <f>IF(E172&gt;=20,2000,1900) + D172</f>
        <v>1986</v>
      </c>
      <c r="H172">
        <f t="shared" si="17"/>
        <v>9</v>
      </c>
      <c r="I172" s="4">
        <f t="shared" si="18"/>
        <v>16</v>
      </c>
      <c r="J172">
        <f t="shared" si="19"/>
        <v>19860916</v>
      </c>
      <c r="K172" t="str">
        <f t="shared" si="20"/>
        <v>16.09.1986</v>
      </c>
    </row>
    <row r="173" spans="1:11" x14ac:dyDescent="0.25">
      <c r="A173" s="4" t="s">
        <v>199</v>
      </c>
      <c r="B173" t="s">
        <v>10</v>
      </c>
      <c r="C173" t="s">
        <v>4</v>
      </c>
      <c r="D173" s="3">
        <f t="shared" si="14"/>
        <v>58</v>
      </c>
      <c r="E173" s="4">
        <f t="shared" si="15"/>
        <v>7</v>
      </c>
      <c r="F173" s="4">
        <f t="shared" si="16"/>
        <v>19</v>
      </c>
      <c r="G173" s="3">
        <f>IF(E173&gt;=20,2000,1900) + D173</f>
        <v>1958</v>
      </c>
      <c r="H173">
        <f t="shared" si="17"/>
        <v>7</v>
      </c>
      <c r="I173" s="4">
        <f t="shared" si="18"/>
        <v>19</v>
      </c>
      <c r="J173">
        <f t="shared" si="19"/>
        <v>19580719</v>
      </c>
      <c r="K173" t="str">
        <f t="shared" si="20"/>
        <v>19.07.1958</v>
      </c>
    </row>
    <row r="174" spans="1:11" x14ac:dyDescent="0.25">
      <c r="A174" s="4" t="s">
        <v>200</v>
      </c>
      <c r="B174" t="s">
        <v>16</v>
      </c>
      <c r="C174" t="s">
        <v>6</v>
      </c>
      <c r="D174" s="3">
        <f t="shared" si="14"/>
        <v>95</v>
      </c>
      <c r="E174" s="4">
        <f t="shared" si="15"/>
        <v>3</v>
      </c>
      <c r="F174" s="4">
        <f t="shared" si="16"/>
        <v>4</v>
      </c>
      <c r="G174" s="3">
        <f>IF(E174&gt;=20,2000,1900) + D174</f>
        <v>1995</v>
      </c>
      <c r="H174">
        <f t="shared" si="17"/>
        <v>3</v>
      </c>
      <c r="I174" s="4">
        <f t="shared" si="18"/>
        <v>4</v>
      </c>
      <c r="J174">
        <f t="shared" si="19"/>
        <v>19950304</v>
      </c>
      <c r="K174" t="str">
        <f t="shared" si="20"/>
        <v>04.03.1995</v>
      </c>
    </row>
    <row r="175" spans="1:11" x14ac:dyDescent="0.25">
      <c r="A175" s="4" t="s">
        <v>201</v>
      </c>
      <c r="B175" t="s">
        <v>13</v>
      </c>
      <c r="C175" t="s">
        <v>6</v>
      </c>
      <c r="D175" s="3">
        <f t="shared" si="14"/>
        <v>91</v>
      </c>
      <c r="E175" s="4">
        <f t="shared" si="15"/>
        <v>11</v>
      </c>
      <c r="F175" s="4">
        <f t="shared" si="16"/>
        <v>3</v>
      </c>
      <c r="G175" s="3">
        <f>IF(E175&gt;=20,2000,1900) + D175</f>
        <v>1991</v>
      </c>
      <c r="H175">
        <f t="shared" si="17"/>
        <v>11</v>
      </c>
      <c r="I175" s="4">
        <f t="shared" si="18"/>
        <v>3</v>
      </c>
      <c r="J175">
        <f t="shared" si="19"/>
        <v>19911103</v>
      </c>
      <c r="K175" t="str">
        <f t="shared" si="20"/>
        <v>03.11.1991</v>
      </c>
    </row>
    <row r="176" spans="1:11" x14ac:dyDescent="0.25">
      <c r="A176" s="4" t="s">
        <v>202</v>
      </c>
      <c r="B176" t="s">
        <v>16</v>
      </c>
      <c r="C176" t="s">
        <v>6</v>
      </c>
      <c r="D176" s="3">
        <f t="shared" si="14"/>
        <v>56</v>
      </c>
      <c r="E176" s="4">
        <f t="shared" si="15"/>
        <v>1</v>
      </c>
      <c r="F176" s="4">
        <f t="shared" si="16"/>
        <v>6</v>
      </c>
      <c r="G176" s="3">
        <f>IF(E176&gt;=20,2000,1900) + D176</f>
        <v>1956</v>
      </c>
      <c r="H176">
        <f t="shared" si="17"/>
        <v>1</v>
      </c>
      <c r="I176" s="4">
        <f t="shared" si="18"/>
        <v>6</v>
      </c>
      <c r="J176">
        <f t="shared" si="19"/>
        <v>19560106</v>
      </c>
      <c r="K176" t="str">
        <f t="shared" si="20"/>
        <v>06.01.1956</v>
      </c>
    </row>
    <row r="177" spans="1:11" x14ac:dyDescent="0.25">
      <c r="A177" s="4" t="s">
        <v>203</v>
      </c>
      <c r="B177" t="s">
        <v>18</v>
      </c>
      <c r="C177" t="s">
        <v>4</v>
      </c>
      <c r="D177" s="3">
        <f t="shared" si="14"/>
        <v>75</v>
      </c>
      <c r="E177" s="4">
        <f t="shared" si="15"/>
        <v>6</v>
      </c>
      <c r="F177" s="4">
        <f t="shared" si="16"/>
        <v>27</v>
      </c>
      <c r="G177" s="3">
        <f>IF(E177&gt;=20,2000,1900) + D177</f>
        <v>1975</v>
      </c>
      <c r="H177">
        <f t="shared" si="17"/>
        <v>6</v>
      </c>
      <c r="I177" s="4">
        <f t="shared" si="18"/>
        <v>27</v>
      </c>
      <c r="J177">
        <f t="shared" si="19"/>
        <v>19750627</v>
      </c>
      <c r="K177" t="str">
        <f t="shared" si="20"/>
        <v>27.06.1975</v>
      </c>
    </row>
    <row r="178" spans="1:11" x14ac:dyDescent="0.25">
      <c r="A178" s="4" t="s">
        <v>204</v>
      </c>
      <c r="B178" t="s">
        <v>17</v>
      </c>
      <c r="C178" t="s">
        <v>4</v>
      </c>
      <c r="D178" s="3">
        <f t="shared" si="14"/>
        <v>94</v>
      </c>
      <c r="E178" s="4">
        <f t="shared" si="15"/>
        <v>11</v>
      </c>
      <c r="F178" s="4">
        <f t="shared" si="16"/>
        <v>11</v>
      </c>
      <c r="G178" s="3">
        <f>IF(E178&gt;=20,2000,1900) + D178</f>
        <v>1994</v>
      </c>
      <c r="H178">
        <f t="shared" si="17"/>
        <v>11</v>
      </c>
      <c r="I178" s="4">
        <f t="shared" si="18"/>
        <v>11</v>
      </c>
      <c r="J178">
        <f t="shared" si="19"/>
        <v>19941111</v>
      </c>
      <c r="K178" t="str">
        <f t="shared" si="20"/>
        <v>11.11.1994</v>
      </c>
    </row>
    <row r="179" spans="1:11" x14ac:dyDescent="0.25">
      <c r="A179" s="4" t="s">
        <v>205</v>
      </c>
      <c r="B179" t="s">
        <v>12</v>
      </c>
      <c r="C179" t="s">
        <v>6</v>
      </c>
      <c r="D179" s="3">
        <f t="shared" si="14"/>
        <v>81</v>
      </c>
      <c r="E179" s="4">
        <f t="shared" si="15"/>
        <v>2</v>
      </c>
      <c r="F179" s="4">
        <f t="shared" si="16"/>
        <v>15</v>
      </c>
      <c r="G179" s="3">
        <f>IF(E179&gt;=20,2000,1900) + D179</f>
        <v>1981</v>
      </c>
      <c r="H179">
        <f t="shared" si="17"/>
        <v>2</v>
      </c>
      <c r="I179" s="4">
        <f t="shared" si="18"/>
        <v>15</v>
      </c>
      <c r="J179">
        <f t="shared" si="19"/>
        <v>19810215</v>
      </c>
      <c r="K179" t="str">
        <f t="shared" si="20"/>
        <v>15.02.1981</v>
      </c>
    </row>
    <row r="180" spans="1:11" x14ac:dyDescent="0.25">
      <c r="A180" s="4" t="s">
        <v>206</v>
      </c>
      <c r="B180" t="s">
        <v>11</v>
      </c>
      <c r="C180" t="s">
        <v>6</v>
      </c>
      <c r="D180" s="3">
        <f t="shared" si="14"/>
        <v>90</v>
      </c>
      <c r="E180" s="4">
        <f t="shared" si="15"/>
        <v>10</v>
      </c>
      <c r="F180" s="4">
        <f t="shared" si="16"/>
        <v>31</v>
      </c>
      <c r="G180" s="3">
        <f>IF(E180&gt;=20,2000,1900) + D180</f>
        <v>1990</v>
      </c>
      <c r="H180">
        <f t="shared" si="17"/>
        <v>10</v>
      </c>
      <c r="I180" s="4">
        <f t="shared" si="18"/>
        <v>31</v>
      </c>
      <c r="J180">
        <f t="shared" si="19"/>
        <v>19901031</v>
      </c>
      <c r="K180" t="str">
        <f t="shared" si="20"/>
        <v>31.10.1990</v>
      </c>
    </row>
    <row r="181" spans="1:11" x14ac:dyDescent="0.25">
      <c r="A181" s="4" t="s">
        <v>207</v>
      </c>
      <c r="B181" t="s">
        <v>11</v>
      </c>
      <c r="C181" t="s">
        <v>6</v>
      </c>
      <c r="D181" s="3">
        <f t="shared" si="14"/>
        <v>72</v>
      </c>
      <c r="E181" s="4">
        <f t="shared" si="15"/>
        <v>3</v>
      </c>
      <c r="F181" s="4">
        <f t="shared" si="16"/>
        <v>31</v>
      </c>
      <c r="G181" s="3">
        <f>IF(E181&gt;=20,2000,1900) + D181</f>
        <v>1972</v>
      </c>
      <c r="H181">
        <f t="shared" si="17"/>
        <v>3</v>
      </c>
      <c r="I181" s="4">
        <f t="shared" si="18"/>
        <v>31</v>
      </c>
      <c r="J181">
        <f t="shared" si="19"/>
        <v>19720331</v>
      </c>
      <c r="K181" t="str">
        <f t="shared" si="20"/>
        <v>31.03.1972</v>
      </c>
    </row>
    <row r="182" spans="1:11" x14ac:dyDescent="0.25">
      <c r="A182" s="4" t="s">
        <v>208</v>
      </c>
      <c r="B182" t="s">
        <v>16</v>
      </c>
      <c r="C182" t="s">
        <v>6</v>
      </c>
      <c r="D182" s="3">
        <f t="shared" si="14"/>
        <v>90</v>
      </c>
      <c r="E182" s="4">
        <f t="shared" si="15"/>
        <v>1</v>
      </c>
      <c r="F182" s="4">
        <f t="shared" si="16"/>
        <v>4</v>
      </c>
      <c r="G182" s="3">
        <f>IF(E182&gt;=20,2000,1900) + D182</f>
        <v>1990</v>
      </c>
      <c r="H182">
        <f t="shared" si="17"/>
        <v>1</v>
      </c>
      <c r="I182" s="4">
        <f t="shared" si="18"/>
        <v>4</v>
      </c>
      <c r="J182">
        <f t="shared" si="19"/>
        <v>19900104</v>
      </c>
      <c r="K182" t="str">
        <f t="shared" si="20"/>
        <v>04.01.1990</v>
      </c>
    </row>
    <row r="183" spans="1:11" x14ac:dyDescent="0.25">
      <c r="A183" s="4" t="s">
        <v>209</v>
      </c>
      <c r="B183" t="s">
        <v>7</v>
      </c>
      <c r="C183" t="s">
        <v>4</v>
      </c>
      <c r="D183" s="3">
        <f t="shared" si="14"/>
        <v>93</v>
      </c>
      <c r="E183" s="4">
        <f t="shared" si="15"/>
        <v>10</v>
      </c>
      <c r="F183" s="4">
        <f t="shared" si="16"/>
        <v>11</v>
      </c>
      <c r="G183" s="3">
        <f>IF(E183&gt;=20,2000,1900) + D183</f>
        <v>1993</v>
      </c>
      <c r="H183">
        <f t="shared" si="17"/>
        <v>10</v>
      </c>
      <c r="I183" s="4">
        <f t="shared" si="18"/>
        <v>11</v>
      </c>
      <c r="J183">
        <f t="shared" si="19"/>
        <v>19931011</v>
      </c>
      <c r="K183" t="str">
        <f t="shared" si="20"/>
        <v>11.10.1993</v>
      </c>
    </row>
    <row r="184" spans="1:11" x14ac:dyDescent="0.25">
      <c r="A184" s="4" t="s">
        <v>210</v>
      </c>
      <c r="B184" t="s">
        <v>20</v>
      </c>
      <c r="C184" t="s">
        <v>4</v>
      </c>
      <c r="D184" s="3">
        <f t="shared" si="14"/>
        <v>96</v>
      </c>
      <c r="E184" s="4">
        <f t="shared" si="15"/>
        <v>9</v>
      </c>
      <c r="F184" s="4">
        <f t="shared" si="16"/>
        <v>15</v>
      </c>
      <c r="G184" s="3">
        <f>IF(E184&gt;=20,2000,1900) + D184</f>
        <v>1996</v>
      </c>
      <c r="H184">
        <f t="shared" si="17"/>
        <v>9</v>
      </c>
      <c r="I184" s="4">
        <f t="shared" si="18"/>
        <v>15</v>
      </c>
      <c r="J184">
        <f t="shared" si="19"/>
        <v>19960915</v>
      </c>
      <c r="K184" t="str">
        <f t="shared" si="20"/>
        <v>15.09.1996</v>
      </c>
    </row>
    <row r="185" spans="1:11" x14ac:dyDescent="0.25">
      <c r="A185" s="4" t="s">
        <v>211</v>
      </c>
      <c r="B185" t="s">
        <v>15</v>
      </c>
      <c r="C185" t="s">
        <v>4</v>
      </c>
      <c r="D185" s="3">
        <f t="shared" si="14"/>
        <v>65</v>
      </c>
      <c r="E185" s="4">
        <f t="shared" si="15"/>
        <v>1</v>
      </c>
      <c r="F185" s="4">
        <f t="shared" si="16"/>
        <v>10</v>
      </c>
      <c r="G185" s="3">
        <f>IF(E185&gt;=20,2000,1900) + D185</f>
        <v>1965</v>
      </c>
      <c r="H185">
        <f t="shared" si="17"/>
        <v>1</v>
      </c>
      <c r="I185" s="4">
        <f t="shared" si="18"/>
        <v>10</v>
      </c>
      <c r="J185">
        <f t="shared" si="19"/>
        <v>19650110</v>
      </c>
      <c r="K185" t="str">
        <f t="shared" si="20"/>
        <v>10.01.1965</v>
      </c>
    </row>
    <row r="186" spans="1:11" x14ac:dyDescent="0.25">
      <c r="A186" s="4" t="s">
        <v>212</v>
      </c>
      <c r="B186" t="s">
        <v>9</v>
      </c>
      <c r="C186" t="s">
        <v>6</v>
      </c>
      <c r="D186" s="3">
        <f t="shared" si="14"/>
        <v>53</v>
      </c>
      <c r="E186" s="4">
        <f t="shared" si="15"/>
        <v>12</v>
      </c>
      <c r="F186" s="4">
        <f t="shared" si="16"/>
        <v>31</v>
      </c>
      <c r="G186" s="3">
        <f>IF(E186&gt;=20,2000,1900) + D186</f>
        <v>1953</v>
      </c>
      <c r="H186">
        <f t="shared" si="17"/>
        <v>12</v>
      </c>
      <c r="I186" s="4">
        <f t="shared" si="18"/>
        <v>31</v>
      </c>
      <c r="J186">
        <f t="shared" si="19"/>
        <v>19531231</v>
      </c>
      <c r="K186" t="str">
        <f t="shared" si="20"/>
        <v>31.12.1953</v>
      </c>
    </row>
    <row r="187" spans="1:11" x14ac:dyDescent="0.25">
      <c r="A187" s="4" t="s">
        <v>213</v>
      </c>
      <c r="B187" t="s">
        <v>14</v>
      </c>
      <c r="C187" t="s">
        <v>6</v>
      </c>
      <c r="D187" s="3">
        <f t="shared" si="14"/>
        <v>73</v>
      </c>
      <c r="E187" s="4">
        <f t="shared" si="15"/>
        <v>6</v>
      </c>
      <c r="F187" s="4">
        <f t="shared" si="16"/>
        <v>2</v>
      </c>
      <c r="G187" s="3">
        <f>IF(E187&gt;=20,2000,1900) + D187</f>
        <v>1973</v>
      </c>
      <c r="H187">
        <f t="shared" si="17"/>
        <v>6</v>
      </c>
      <c r="I187" s="4">
        <f t="shared" si="18"/>
        <v>2</v>
      </c>
      <c r="J187">
        <f t="shared" si="19"/>
        <v>19730602</v>
      </c>
      <c r="K187" t="str">
        <f t="shared" si="20"/>
        <v>02.06.1973</v>
      </c>
    </row>
    <row r="188" spans="1:11" x14ac:dyDescent="0.25">
      <c r="A188" s="4" t="s">
        <v>214</v>
      </c>
      <c r="B188" t="s">
        <v>14</v>
      </c>
      <c r="C188" t="s">
        <v>4</v>
      </c>
      <c r="D188" s="3">
        <f t="shared" si="14"/>
        <v>77</v>
      </c>
      <c r="E188" s="4">
        <f t="shared" si="15"/>
        <v>12</v>
      </c>
      <c r="F188" s="4">
        <f t="shared" si="16"/>
        <v>19</v>
      </c>
      <c r="G188" s="3">
        <f>IF(E188&gt;=20,2000,1900) + D188</f>
        <v>1977</v>
      </c>
      <c r="H188">
        <f t="shared" si="17"/>
        <v>12</v>
      </c>
      <c r="I188" s="4">
        <f t="shared" si="18"/>
        <v>19</v>
      </c>
      <c r="J188">
        <f t="shared" si="19"/>
        <v>19771219</v>
      </c>
      <c r="K188" t="str">
        <f t="shared" si="20"/>
        <v>19.12.1977</v>
      </c>
    </row>
    <row r="189" spans="1:11" x14ac:dyDescent="0.25">
      <c r="A189" s="4" t="s">
        <v>215</v>
      </c>
      <c r="B189" t="s">
        <v>7</v>
      </c>
      <c r="C189" t="s">
        <v>4</v>
      </c>
      <c r="D189" s="3">
        <f t="shared" si="14"/>
        <v>68</v>
      </c>
      <c r="E189" s="4">
        <f t="shared" si="15"/>
        <v>3</v>
      </c>
      <c r="F189" s="4">
        <f t="shared" si="16"/>
        <v>10</v>
      </c>
      <c r="G189" s="3">
        <f>IF(E189&gt;=20,2000,1900) + D189</f>
        <v>1968</v>
      </c>
      <c r="H189">
        <f t="shared" si="17"/>
        <v>3</v>
      </c>
      <c r="I189" s="4">
        <f t="shared" si="18"/>
        <v>10</v>
      </c>
      <c r="J189">
        <f t="shared" si="19"/>
        <v>19680310</v>
      </c>
      <c r="K189" t="str">
        <f t="shared" si="20"/>
        <v>10.03.1968</v>
      </c>
    </row>
    <row r="190" spans="1:11" x14ac:dyDescent="0.25">
      <c r="A190" s="4" t="s">
        <v>216</v>
      </c>
      <c r="B190" t="s">
        <v>16</v>
      </c>
      <c r="C190" t="s">
        <v>6</v>
      </c>
      <c r="D190" s="3">
        <f t="shared" si="14"/>
        <v>98</v>
      </c>
      <c r="E190" s="4">
        <f t="shared" si="15"/>
        <v>10</v>
      </c>
      <c r="F190" s="4">
        <f t="shared" si="16"/>
        <v>6</v>
      </c>
      <c r="G190" s="3">
        <f>IF(E190&gt;=20,2000,1900) + D190</f>
        <v>1998</v>
      </c>
      <c r="H190">
        <f t="shared" si="17"/>
        <v>10</v>
      </c>
      <c r="I190" s="4">
        <f t="shared" si="18"/>
        <v>6</v>
      </c>
      <c r="J190">
        <f t="shared" si="19"/>
        <v>19981006</v>
      </c>
      <c r="K190" t="str">
        <f t="shared" si="20"/>
        <v>06.10.1998</v>
      </c>
    </row>
    <row r="191" spans="1:11" x14ac:dyDescent="0.25">
      <c r="A191" s="4" t="s">
        <v>217</v>
      </c>
      <c r="B191" t="s">
        <v>12</v>
      </c>
      <c r="C191" t="s">
        <v>4</v>
      </c>
      <c r="D191" s="3">
        <f t="shared" si="14"/>
        <v>76</v>
      </c>
      <c r="E191" s="4">
        <f t="shared" si="15"/>
        <v>7</v>
      </c>
      <c r="F191" s="4">
        <f t="shared" si="16"/>
        <v>29</v>
      </c>
      <c r="G191" s="3">
        <f>IF(E191&gt;=20,2000,1900) + D191</f>
        <v>1976</v>
      </c>
      <c r="H191">
        <f t="shared" si="17"/>
        <v>7</v>
      </c>
      <c r="I191" s="4">
        <f t="shared" si="18"/>
        <v>29</v>
      </c>
      <c r="J191">
        <f t="shared" si="19"/>
        <v>19760729</v>
      </c>
      <c r="K191" t="str">
        <f t="shared" si="20"/>
        <v>29.07.1976</v>
      </c>
    </row>
    <row r="192" spans="1:11" x14ac:dyDescent="0.25">
      <c r="A192" s="4" t="s">
        <v>218</v>
      </c>
      <c r="B192" t="s">
        <v>15</v>
      </c>
      <c r="C192" t="s">
        <v>4</v>
      </c>
      <c r="D192" s="3">
        <f t="shared" si="14"/>
        <v>55</v>
      </c>
      <c r="E192" s="4">
        <f t="shared" si="15"/>
        <v>4</v>
      </c>
      <c r="F192" s="4">
        <f t="shared" si="16"/>
        <v>14</v>
      </c>
      <c r="G192" s="3">
        <f>IF(E192&gt;=20,2000,1900) + D192</f>
        <v>1955</v>
      </c>
      <c r="H192">
        <f t="shared" si="17"/>
        <v>4</v>
      </c>
      <c r="I192" s="4">
        <f t="shared" si="18"/>
        <v>14</v>
      </c>
      <c r="J192">
        <f t="shared" si="19"/>
        <v>19550414</v>
      </c>
      <c r="K192" t="str">
        <f t="shared" si="20"/>
        <v>14.04.1955</v>
      </c>
    </row>
    <row r="193" spans="1:11" x14ac:dyDescent="0.25">
      <c r="A193" s="4" t="s">
        <v>219</v>
      </c>
      <c r="B193" t="s">
        <v>13</v>
      </c>
      <c r="C193" t="s">
        <v>4</v>
      </c>
      <c r="D193" s="3">
        <f t="shared" si="14"/>
        <v>96</v>
      </c>
      <c r="E193" s="4">
        <f t="shared" si="15"/>
        <v>1</v>
      </c>
      <c r="F193" s="4">
        <f t="shared" si="16"/>
        <v>6</v>
      </c>
      <c r="G193" s="3">
        <f>IF(E193&gt;=20,2000,1900) + D193</f>
        <v>1996</v>
      </c>
      <c r="H193">
        <f t="shared" si="17"/>
        <v>1</v>
      </c>
      <c r="I193" s="4">
        <f t="shared" si="18"/>
        <v>6</v>
      </c>
      <c r="J193">
        <f t="shared" si="19"/>
        <v>19960106</v>
      </c>
      <c r="K193" t="str">
        <f t="shared" si="20"/>
        <v>06.01.1996</v>
      </c>
    </row>
    <row r="194" spans="1:11" x14ac:dyDescent="0.25">
      <c r="A194" s="4" t="s">
        <v>220</v>
      </c>
      <c r="B194" t="s">
        <v>14</v>
      </c>
      <c r="C194" t="s">
        <v>6</v>
      </c>
      <c r="D194" s="3">
        <f t="shared" si="14"/>
        <v>84</v>
      </c>
      <c r="E194" s="4">
        <f t="shared" si="15"/>
        <v>3</v>
      </c>
      <c r="F194" s="4">
        <f t="shared" si="16"/>
        <v>23</v>
      </c>
      <c r="G194" s="3">
        <f>IF(E194&gt;=20,2000,1900) + D194</f>
        <v>1984</v>
      </c>
      <c r="H194">
        <f t="shared" si="17"/>
        <v>3</v>
      </c>
      <c r="I194" s="4">
        <f t="shared" si="18"/>
        <v>23</v>
      </c>
      <c r="J194">
        <f t="shared" si="19"/>
        <v>19840323</v>
      </c>
      <c r="K194" t="str">
        <f t="shared" si="20"/>
        <v>23.03.1984</v>
      </c>
    </row>
    <row r="195" spans="1:11" x14ac:dyDescent="0.25">
      <c r="A195" s="4" t="s">
        <v>221</v>
      </c>
      <c r="B195" t="s">
        <v>10</v>
      </c>
      <c r="C195" t="s">
        <v>4</v>
      </c>
      <c r="D195" s="3">
        <f t="shared" ref="D195:D258" si="21">MID(A195,1,2)*1</f>
        <v>50</v>
      </c>
      <c r="E195" s="4">
        <f t="shared" ref="E195:E258" si="22">MID(A195,3,2)*1</f>
        <v>10</v>
      </c>
      <c r="F195" s="4">
        <f t="shared" ref="F195:F258" si="23">MID(A195,5,2)*1</f>
        <v>14</v>
      </c>
      <c r="G195" s="3">
        <f>IF(E195&gt;=20,2000,1900) + D195</f>
        <v>1950</v>
      </c>
      <c r="H195">
        <f t="shared" ref="H195:H258" si="24">IF(E195&gt;=20,E195-20,E195)</f>
        <v>10</v>
      </c>
      <c r="I195" s="4">
        <f t="shared" ref="I195:I258" si="25">F195</f>
        <v>14</v>
      </c>
      <c r="J195">
        <f t="shared" ref="J195:J258" si="26">CONCATENATE(G195,IF(LEN(E195)=1,CONCATENATE("0",E195),E195),IF(LEN(F195)=1,CONCATENATE("0",F195),F195))*1</f>
        <v>19501014</v>
      </c>
      <c r="K195" t="str">
        <f t="shared" ref="K195:K258" si="27">CONCATENATE(RIGHT(J195,2),".",MID(J195,5,2),".",LEFT(J195,4))</f>
        <v>14.10.1950</v>
      </c>
    </row>
    <row r="196" spans="1:11" x14ac:dyDescent="0.25">
      <c r="A196" s="4" t="s">
        <v>222</v>
      </c>
      <c r="B196" t="s">
        <v>19</v>
      </c>
      <c r="C196" t="s">
        <v>6</v>
      </c>
      <c r="D196" s="3">
        <f t="shared" si="21"/>
        <v>54</v>
      </c>
      <c r="E196" s="4">
        <f t="shared" si="22"/>
        <v>12</v>
      </c>
      <c r="F196" s="4">
        <f t="shared" si="23"/>
        <v>22</v>
      </c>
      <c r="G196" s="3">
        <f>IF(E196&gt;=20,2000,1900) + D196</f>
        <v>1954</v>
      </c>
      <c r="H196">
        <f t="shared" si="24"/>
        <v>12</v>
      </c>
      <c r="I196" s="4">
        <f t="shared" si="25"/>
        <v>22</v>
      </c>
      <c r="J196">
        <f t="shared" si="26"/>
        <v>19541222</v>
      </c>
      <c r="K196" t="str">
        <f t="shared" si="27"/>
        <v>22.12.1954</v>
      </c>
    </row>
    <row r="197" spans="1:11" x14ac:dyDescent="0.25">
      <c r="A197" s="4" t="s">
        <v>223</v>
      </c>
      <c r="B197" t="s">
        <v>12</v>
      </c>
      <c r="C197" t="s">
        <v>4</v>
      </c>
      <c r="D197" s="3">
        <f t="shared" si="21"/>
        <v>67</v>
      </c>
      <c r="E197" s="4">
        <f t="shared" si="22"/>
        <v>9</v>
      </c>
      <c r="F197" s="4">
        <f t="shared" si="23"/>
        <v>24</v>
      </c>
      <c r="G197" s="3">
        <f>IF(E197&gt;=20,2000,1900) + D197</f>
        <v>1967</v>
      </c>
      <c r="H197">
        <f t="shared" si="24"/>
        <v>9</v>
      </c>
      <c r="I197" s="4">
        <f t="shared" si="25"/>
        <v>24</v>
      </c>
      <c r="J197">
        <f t="shared" si="26"/>
        <v>19670924</v>
      </c>
      <c r="K197" t="str">
        <f t="shared" si="27"/>
        <v>24.09.1967</v>
      </c>
    </row>
    <row r="198" spans="1:11" x14ac:dyDescent="0.25">
      <c r="A198" s="4" t="s">
        <v>224</v>
      </c>
      <c r="B198" t="s">
        <v>7</v>
      </c>
      <c r="C198" t="s">
        <v>4</v>
      </c>
      <c r="D198" s="3">
        <f t="shared" si="21"/>
        <v>67</v>
      </c>
      <c r="E198" s="4">
        <f t="shared" si="22"/>
        <v>2</v>
      </c>
      <c r="F198" s="4">
        <f t="shared" si="23"/>
        <v>23</v>
      </c>
      <c r="G198" s="3">
        <f>IF(E198&gt;=20,2000,1900) + D198</f>
        <v>1967</v>
      </c>
      <c r="H198">
        <f t="shared" si="24"/>
        <v>2</v>
      </c>
      <c r="I198" s="4">
        <f t="shared" si="25"/>
        <v>23</v>
      </c>
      <c r="J198">
        <f t="shared" si="26"/>
        <v>19670223</v>
      </c>
      <c r="K198" t="str">
        <f t="shared" si="27"/>
        <v>23.02.1967</v>
      </c>
    </row>
    <row r="199" spans="1:11" x14ac:dyDescent="0.25">
      <c r="A199" s="4" t="s">
        <v>225</v>
      </c>
      <c r="B199" t="s">
        <v>14</v>
      </c>
      <c r="C199" t="s">
        <v>6</v>
      </c>
      <c r="D199" s="3">
        <f t="shared" si="21"/>
        <v>97</v>
      </c>
      <c r="E199" s="4">
        <f t="shared" si="22"/>
        <v>4</v>
      </c>
      <c r="F199" s="4">
        <f t="shared" si="23"/>
        <v>19</v>
      </c>
      <c r="G199" s="3">
        <f>IF(E199&gt;=20,2000,1900) + D199</f>
        <v>1997</v>
      </c>
      <c r="H199">
        <f t="shared" si="24"/>
        <v>4</v>
      </c>
      <c r="I199" s="4">
        <f t="shared" si="25"/>
        <v>19</v>
      </c>
      <c r="J199">
        <f t="shared" si="26"/>
        <v>19970419</v>
      </c>
      <c r="K199" t="str">
        <f t="shared" si="27"/>
        <v>19.04.1997</v>
      </c>
    </row>
    <row r="200" spans="1:11" x14ac:dyDescent="0.25">
      <c r="A200" s="4" t="s">
        <v>226</v>
      </c>
      <c r="B200" t="s">
        <v>13</v>
      </c>
      <c r="C200" t="s">
        <v>6</v>
      </c>
      <c r="D200" s="3">
        <f t="shared" si="21"/>
        <v>99</v>
      </c>
      <c r="E200" s="4">
        <f t="shared" si="22"/>
        <v>1</v>
      </c>
      <c r="F200" s="4">
        <f t="shared" si="23"/>
        <v>12</v>
      </c>
      <c r="G200" s="3">
        <f>IF(E200&gt;=20,2000,1900) + D200</f>
        <v>1999</v>
      </c>
      <c r="H200">
        <f t="shared" si="24"/>
        <v>1</v>
      </c>
      <c r="I200" s="4">
        <f t="shared" si="25"/>
        <v>12</v>
      </c>
      <c r="J200">
        <f t="shared" si="26"/>
        <v>19990112</v>
      </c>
      <c r="K200" t="str">
        <f t="shared" si="27"/>
        <v>12.01.1999</v>
      </c>
    </row>
    <row r="201" spans="1:11" x14ac:dyDescent="0.25">
      <c r="A201" s="4" t="s">
        <v>227</v>
      </c>
      <c r="B201" t="s">
        <v>11</v>
      </c>
      <c r="C201" t="s">
        <v>6</v>
      </c>
      <c r="D201" s="3">
        <f t="shared" si="21"/>
        <v>57</v>
      </c>
      <c r="E201" s="4">
        <f t="shared" si="22"/>
        <v>7</v>
      </c>
      <c r="F201" s="4">
        <f t="shared" si="23"/>
        <v>12</v>
      </c>
      <c r="G201" s="3">
        <f>IF(E201&gt;=20,2000,1900) + D201</f>
        <v>1957</v>
      </c>
      <c r="H201">
        <f t="shared" si="24"/>
        <v>7</v>
      </c>
      <c r="I201" s="4">
        <f t="shared" si="25"/>
        <v>12</v>
      </c>
      <c r="J201">
        <f t="shared" si="26"/>
        <v>19570712</v>
      </c>
      <c r="K201" t="str">
        <f t="shared" si="27"/>
        <v>12.07.1957</v>
      </c>
    </row>
    <row r="202" spans="1:11" x14ac:dyDescent="0.25">
      <c r="A202" s="4" t="s">
        <v>228</v>
      </c>
      <c r="B202" t="s">
        <v>17</v>
      </c>
      <c r="C202" t="s">
        <v>6</v>
      </c>
      <c r="D202" s="3">
        <f t="shared" si="21"/>
        <v>93</v>
      </c>
      <c r="E202" s="4">
        <f t="shared" si="22"/>
        <v>1</v>
      </c>
      <c r="F202" s="4">
        <f t="shared" si="23"/>
        <v>29</v>
      </c>
      <c r="G202" s="3">
        <f>IF(E202&gt;=20,2000,1900) + D202</f>
        <v>1993</v>
      </c>
      <c r="H202">
        <f t="shared" si="24"/>
        <v>1</v>
      </c>
      <c r="I202" s="4">
        <f t="shared" si="25"/>
        <v>29</v>
      </c>
      <c r="J202">
        <f t="shared" si="26"/>
        <v>19930129</v>
      </c>
      <c r="K202" t="str">
        <f t="shared" si="27"/>
        <v>29.01.1993</v>
      </c>
    </row>
    <row r="203" spans="1:11" x14ac:dyDescent="0.25">
      <c r="A203" s="4" t="s">
        <v>229</v>
      </c>
      <c r="B203" t="s">
        <v>9</v>
      </c>
      <c r="C203" t="s">
        <v>4</v>
      </c>
      <c r="D203" s="3">
        <f t="shared" si="21"/>
        <v>59</v>
      </c>
      <c r="E203" s="4">
        <f t="shared" si="22"/>
        <v>8</v>
      </c>
      <c r="F203" s="4">
        <f t="shared" si="23"/>
        <v>27</v>
      </c>
      <c r="G203" s="3">
        <f>IF(E203&gt;=20,2000,1900) + D203</f>
        <v>1959</v>
      </c>
      <c r="H203">
        <f t="shared" si="24"/>
        <v>8</v>
      </c>
      <c r="I203" s="4">
        <f t="shared" si="25"/>
        <v>27</v>
      </c>
      <c r="J203">
        <f t="shared" si="26"/>
        <v>19590827</v>
      </c>
      <c r="K203" t="str">
        <f t="shared" si="27"/>
        <v>27.08.1959</v>
      </c>
    </row>
    <row r="204" spans="1:11" x14ac:dyDescent="0.25">
      <c r="A204" s="4" t="s">
        <v>230</v>
      </c>
      <c r="B204" t="s">
        <v>20</v>
      </c>
      <c r="C204" t="s">
        <v>4</v>
      </c>
      <c r="D204" s="3">
        <f t="shared" si="21"/>
        <v>81</v>
      </c>
      <c r="E204" s="4">
        <f t="shared" si="22"/>
        <v>9</v>
      </c>
      <c r="F204" s="4">
        <f t="shared" si="23"/>
        <v>16</v>
      </c>
      <c r="G204" s="3">
        <f>IF(E204&gt;=20,2000,1900) + D204</f>
        <v>1981</v>
      </c>
      <c r="H204">
        <f t="shared" si="24"/>
        <v>9</v>
      </c>
      <c r="I204" s="4">
        <f t="shared" si="25"/>
        <v>16</v>
      </c>
      <c r="J204">
        <f t="shared" si="26"/>
        <v>19810916</v>
      </c>
      <c r="K204" t="str">
        <f t="shared" si="27"/>
        <v>16.09.1981</v>
      </c>
    </row>
    <row r="205" spans="1:11" x14ac:dyDescent="0.25">
      <c r="A205" s="4" t="s">
        <v>231</v>
      </c>
      <c r="B205" t="s">
        <v>14</v>
      </c>
      <c r="C205" t="s">
        <v>4</v>
      </c>
      <c r="D205" s="3">
        <f t="shared" si="21"/>
        <v>71</v>
      </c>
      <c r="E205" s="4">
        <f t="shared" si="22"/>
        <v>2</v>
      </c>
      <c r="F205" s="4">
        <f t="shared" si="23"/>
        <v>28</v>
      </c>
      <c r="G205" s="3">
        <f>IF(E205&gt;=20,2000,1900) + D205</f>
        <v>1971</v>
      </c>
      <c r="H205">
        <f t="shared" si="24"/>
        <v>2</v>
      </c>
      <c r="I205" s="4">
        <f t="shared" si="25"/>
        <v>28</v>
      </c>
      <c r="J205">
        <f t="shared" si="26"/>
        <v>19710228</v>
      </c>
      <c r="K205" t="str">
        <f t="shared" si="27"/>
        <v>28.02.1971</v>
      </c>
    </row>
    <row r="206" spans="1:11" x14ac:dyDescent="0.25">
      <c r="A206" s="4" t="s">
        <v>232</v>
      </c>
      <c r="B206" t="s">
        <v>9</v>
      </c>
      <c r="C206" t="s">
        <v>6</v>
      </c>
      <c r="D206" s="3">
        <f t="shared" si="21"/>
        <v>74</v>
      </c>
      <c r="E206" s="4">
        <f t="shared" si="22"/>
        <v>12</v>
      </c>
      <c r="F206" s="4">
        <f t="shared" si="23"/>
        <v>30</v>
      </c>
      <c r="G206" s="3">
        <f>IF(E206&gt;=20,2000,1900) + D206</f>
        <v>1974</v>
      </c>
      <c r="H206">
        <f t="shared" si="24"/>
        <v>12</v>
      </c>
      <c r="I206" s="4">
        <f t="shared" si="25"/>
        <v>30</v>
      </c>
      <c r="J206">
        <f t="shared" si="26"/>
        <v>19741230</v>
      </c>
      <c r="K206" t="str">
        <f t="shared" si="27"/>
        <v>30.12.1974</v>
      </c>
    </row>
    <row r="207" spans="1:11" x14ac:dyDescent="0.25">
      <c r="A207" s="4" t="s">
        <v>233</v>
      </c>
      <c r="B207" t="s">
        <v>20</v>
      </c>
      <c r="C207" t="s">
        <v>6</v>
      </c>
      <c r="D207" s="3">
        <f t="shared" si="21"/>
        <v>88</v>
      </c>
      <c r="E207" s="4">
        <f t="shared" si="22"/>
        <v>6</v>
      </c>
      <c r="F207" s="4">
        <f t="shared" si="23"/>
        <v>4</v>
      </c>
      <c r="G207" s="3">
        <f>IF(E207&gt;=20,2000,1900) + D207</f>
        <v>1988</v>
      </c>
      <c r="H207">
        <f t="shared" si="24"/>
        <v>6</v>
      </c>
      <c r="I207" s="4">
        <f t="shared" si="25"/>
        <v>4</v>
      </c>
      <c r="J207">
        <f t="shared" si="26"/>
        <v>19880604</v>
      </c>
      <c r="K207" t="str">
        <f t="shared" si="27"/>
        <v>04.06.1988</v>
      </c>
    </row>
    <row r="208" spans="1:11" x14ac:dyDescent="0.25">
      <c r="A208" s="4" t="s">
        <v>234</v>
      </c>
      <c r="B208" t="s">
        <v>20</v>
      </c>
      <c r="C208" t="s">
        <v>6</v>
      </c>
      <c r="D208" s="3">
        <f t="shared" si="21"/>
        <v>85</v>
      </c>
      <c r="E208" s="4">
        <f t="shared" si="22"/>
        <v>1</v>
      </c>
      <c r="F208" s="4">
        <f t="shared" si="23"/>
        <v>27</v>
      </c>
      <c r="G208" s="3">
        <f>IF(E208&gt;=20,2000,1900) + D208</f>
        <v>1985</v>
      </c>
      <c r="H208">
        <f t="shared" si="24"/>
        <v>1</v>
      </c>
      <c r="I208" s="4">
        <f t="shared" si="25"/>
        <v>27</v>
      </c>
      <c r="J208">
        <f t="shared" si="26"/>
        <v>19850127</v>
      </c>
      <c r="K208" t="str">
        <f t="shared" si="27"/>
        <v>27.01.1985</v>
      </c>
    </row>
    <row r="209" spans="1:11" x14ac:dyDescent="0.25">
      <c r="A209" s="4" t="s">
        <v>235</v>
      </c>
      <c r="B209" t="s">
        <v>12</v>
      </c>
      <c r="C209" t="s">
        <v>4</v>
      </c>
      <c r="D209" s="3">
        <f t="shared" si="21"/>
        <v>94</v>
      </c>
      <c r="E209" s="4">
        <f t="shared" si="22"/>
        <v>11</v>
      </c>
      <c r="F209" s="4">
        <f t="shared" si="23"/>
        <v>21</v>
      </c>
      <c r="G209" s="3">
        <f>IF(E209&gt;=20,2000,1900) + D209</f>
        <v>1994</v>
      </c>
      <c r="H209">
        <f t="shared" si="24"/>
        <v>11</v>
      </c>
      <c r="I209" s="4">
        <f t="shared" si="25"/>
        <v>21</v>
      </c>
      <c r="J209">
        <f t="shared" si="26"/>
        <v>19941121</v>
      </c>
      <c r="K209" t="str">
        <f t="shared" si="27"/>
        <v>21.11.1994</v>
      </c>
    </row>
    <row r="210" spans="1:11" x14ac:dyDescent="0.25">
      <c r="A210" s="4" t="s">
        <v>236</v>
      </c>
      <c r="B210" t="s">
        <v>12</v>
      </c>
      <c r="C210" t="s">
        <v>4</v>
      </c>
      <c r="D210" s="3">
        <f t="shared" si="21"/>
        <v>68</v>
      </c>
      <c r="E210" s="4">
        <f t="shared" si="22"/>
        <v>9</v>
      </c>
      <c r="F210" s="4">
        <f t="shared" si="23"/>
        <v>16</v>
      </c>
      <c r="G210" s="3">
        <f>IF(E210&gt;=20,2000,1900) + D210</f>
        <v>1968</v>
      </c>
      <c r="H210">
        <f t="shared" si="24"/>
        <v>9</v>
      </c>
      <c r="I210" s="4">
        <f t="shared" si="25"/>
        <v>16</v>
      </c>
      <c r="J210">
        <f t="shared" si="26"/>
        <v>19680916</v>
      </c>
      <c r="K210" t="str">
        <f t="shared" si="27"/>
        <v>16.09.1968</v>
      </c>
    </row>
    <row r="211" spans="1:11" x14ac:dyDescent="0.25">
      <c r="A211" s="4" t="s">
        <v>237</v>
      </c>
      <c r="B211" t="s">
        <v>14</v>
      </c>
      <c r="C211" t="s">
        <v>6</v>
      </c>
      <c r="D211" s="3">
        <f t="shared" si="21"/>
        <v>54</v>
      </c>
      <c r="E211" s="4">
        <f t="shared" si="22"/>
        <v>8</v>
      </c>
      <c r="F211" s="4">
        <f t="shared" si="23"/>
        <v>13</v>
      </c>
      <c r="G211" s="3">
        <f>IF(E211&gt;=20,2000,1900) + D211</f>
        <v>1954</v>
      </c>
      <c r="H211">
        <f t="shared" si="24"/>
        <v>8</v>
      </c>
      <c r="I211" s="4">
        <f t="shared" si="25"/>
        <v>13</v>
      </c>
      <c r="J211">
        <f t="shared" si="26"/>
        <v>19540813</v>
      </c>
      <c r="K211" t="str">
        <f t="shared" si="27"/>
        <v>13.08.1954</v>
      </c>
    </row>
    <row r="212" spans="1:11" x14ac:dyDescent="0.25">
      <c r="A212" s="4" t="s">
        <v>238</v>
      </c>
      <c r="B212" t="s">
        <v>14</v>
      </c>
      <c r="C212" t="s">
        <v>4</v>
      </c>
      <c r="D212" s="3">
        <f t="shared" si="21"/>
        <v>60</v>
      </c>
      <c r="E212" s="4">
        <f t="shared" si="22"/>
        <v>1</v>
      </c>
      <c r="F212" s="4">
        <f t="shared" si="23"/>
        <v>23</v>
      </c>
      <c r="G212" s="3">
        <f>IF(E212&gt;=20,2000,1900) + D212</f>
        <v>1960</v>
      </c>
      <c r="H212">
        <f t="shared" si="24"/>
        <v>1</v>
      </c>
      <c r="I212" s="4">
        <f t="shared" si="25"/>
        <v>23</v>
      </c>
      <c r="J212">
        <f t="shared" si="26"/>
        <v>19600123</v>
      </c>
      <c r="K212" t="str">
        <f t="shared" si="27"/>
        <v>23.01.1960</v>
      </c>
    </row>
    <row r="213" spans="1:11" x14ac:dyDescent="0.25">
      <c r="A213" s="4" t="s">
        <v>239</v>
      </c>
      <c r="B213" t="s">
        <v>14</v>
      </c>
      <c r="C213" t="s">
        <v>4</v>
      </c>
      <c r="D213" s="3">
        <f t="shared" si="21"/>
        <v>61</v>
      </c>
      <c r="E213" s="4">
        <f t="shared" si="22"/>
        <v>4</v>
      </c>
      <c r="F213" s="4">
        <f t="shared" si="23"/>
        <v>29</v>
      </c>
      <c r="G213" s="3">
        <f>IF(E213&gt;=20,2000,1900) + D213</f>
        <v>1961</v>
      </c>
      <c r="H213">
        <f t="shared" si="24"/>
        <v>4</v>
      </c>
      <c r="I213" s="4">
        <f t="shared" si="25"/>
        <v>29</v>
      </c>
      <c r="J213">
        <f t="shared" si="26"/>
        <v>19610429</v>
      </c>
      <c r="K213" t="str">
        <f t="shared" si="27"/>
        <v>29.04.1961</v>
      </c>
    </row>
    <row r="214" spans="1:11" x14ac:dyDescent="0.25">
      <c r="A214" s="4" t="s">
        <v>240</v>
      </c>
      <c r="B214" t="s">
        <v>11</v>
      </c>
      <c r="C214" t="s">
        <v>4</v>
      </c>
      <c r="D214" s="3">
        <f t="shared" si="21"/>
        <v>67</v>
      </c>
      <c r="E214" s="4">
        <f t="shared" si="22"/>
        <v>12</v>
      </c>
      <c r="F214" s="4">
        <f t="shared" si="23"/>
        <v>25</v>
      </c>
      <c r="G214" s="3">
        <f>IF(E214&gt;=20,2000,1900) + D214</f>
        <v>1967</v>
      </c>
      <c r="H214">
        <f t="shared" si="24"/>
        <v>12</v>
      </c>
      <c r="I214" s="4">
        <f t="shared" si="25"/>
        <v>25</v>
      </c>
      <c r="J214">
        <f t="shared" si="26"/>
        <v>19671225</v>
      </c>
      <c r="K214" t="str">
        <f t="shared" si="27"/>
        <v>25.12.1967</v>
      </c>
    </row>
    <row r="215" spans="1:11" x14ac:dyDescent="0.25">
      <c r="A215" s="4" t="s">
        <v>241</v>
      </c>
      <c r="B215" t="s">
        <v>5</v>
      </c>
      <c r="C215" t="s">
        <v>6</v>
      </c>
      <c r="D215" s="3">
        <f t="shared" si="21"/>
        <v>85</v>
      </c>
      <c r="E215" s="4">
        <f t="shared" si="22"/>
        <v>6</v>
      </c>
      <c r="F215" s="4">
        <f t="shared" si="23"/>
        <v>5</v>
      </c>
      <c r="G215" s="3">
        <f>IF(E215&gt;=20,2000,1900) + D215</f>
        <v>1985</v>
      </c>
      <c r="H215">
        <f t="shared" si="24"/>
        <v>6</v>
      </c>
      <c r="I215" s="4">
        <f t="shared" si="25"/>
        <v>5</v>
      </c>
      <c r="J215">
        <f t="shared" si="26"/>
        <v>19850605</v>
      </c>
      <c r="K215" t="str">
        <f t="shared" si="27"/>
        <v>05.06.1985</v>
      </c>
    </row>
    <row r="216" spans="1:11" x14ac:dyDescent="0.25">
      <c r="A216" s="4" t="s">
        <v>242</v>
      </c>
      <c r="B216" t="s">
        <v>17</v>
      </c>
      <c r="C216" t="s">
        <v>6</v>
      </c>
      <c r="D216" s="3">
        <f t="shared" si="21"/>
        <v>62</v>
      </c>
      <c r="E216" s="4">
        <f t="shared" si="22"/>
        <v>3</v>
      </c>
      <c r="F216" s="4">
        <f t="shared" si="23"/>
        <v>5</v>
      </c>
      <c r="G216" s="3">
        <f>IF(E216&gt;=20,2000,1900) + D216</f>
        <v>1962</v>
      </c>
      <c r="H216">
        <f t="shared" si="24"/>
        <v>3</v>
      </c>
      <c r="I216" s="4">
        <f t="shared" si="25"/>
        <v>5</v>
      </c>
      <c r="J216">
        <f t="shared" si="26"/>
        <v>19620305</v>
      </c>
      <c r="K216" t="str">
        <f t="shared" si="27"/>
        <v>05.03.1962</v>
      </c>
    </row>
    <row r="217" spans="1:11" x14ac:dyDescent="0.25">
      <c r="A217" s="4" t="s">
        <v>243</v>
      </c>
      <c r="B217" t="s">
        <v>9</v>
      </c>
      <c r="C217" t="s">
        <v>6</v>
      </c>
      <c r="D217" s="3">
        <f t="shared" si="21"/>
        <v>87</v>
      </c>
      <c r="E217" s="4">
        <f t="shared" si="22"/>
        <v>7</v>
      </c>
      <c r="F217" s="4">
        <f t="shared" si="23"/>
        <v>16</v>
      </c>
      <c r="G217" s="3">
        <f>IF(E217&gt;=20,2000,1900) + D217</f>
        <v>1987</v>
      </c>
      <c r="H217">
        <f t="shared" si="24"/>
        <v>7</v>
      </c>
      <c r="I217" s="4">
        <f t="shared" si="25"/>
        <v>16</v>
      </c>
      <c r="J217">
        <f t="shared" si="26"/>
        <v>19870716</v>
      </c>
      <c r="K217" t="str">
        <f t="shared" si="27"/>
        <v>16.07.1987</v>
      </c>
    </row>
    <row r="218" spans="1:11" x14ac:dyDescent="0.25">
      <c r="A218" s="4" t="s">
        <v>244</v>
      </c>
      <c r="B218" t="s">
        <v>9</v>
      </c>
      <c r="C218" t="s">
        <v>6</v>
      </c>
      <c r="D218" s="3">
        <f t="shared" si="21"/>
        <v>80</v>
      </c>
      <c r="E218" s="4">
        <f t="shared" si="22"/>
        <v>5</v>
      </c>
      <c r="F218" s="4">
        <f t="shared" si="23"/>
        <v>13</v>
      </c>
      <c r="G218" s="3">
        <f>IF(E218&gt;=20,2000,1900) + D218</f>
        <v>1980</v>
      </c>
      <c r="H218">
        <f t="shared" si="24"/>
        <v>5</v>
      </c>
      <c r="I218" s="4">
        <f t="shared" si="25"/>
        <v>13</v>
      </c>
      <c r="J218">
        <f t="shared" si="26"/>
        <v>19800513</v>
      </c>
      <c r="K218" t="str">
        <f t="shared" si="27"/>
        <v>13.05.1980</v>
      </c>
    </row>
    <row r="219" spans="1:11" x14ac:dyDescent="0.25">
      <c r="A219" s="4" t="s">
        <v>245</v>
      </c>
      <c r="B219" t="s">
        <v>9</v>
      </c>
      <c r="C219" t="s">
        <v>6</v>
      </c>
      <c r="D219" s="3">
        <f t="shared" si="21"/>
        <v>63</v>
      </c>
      <c r="E219" s="4">
        <f t="shared" si="22"/>
        <v>3</v>
      </c>
      <c r="F219" s="4">
        <f t="shared" si="23"/>
        <v>12</v>
      </c>
      <c r="G219" s="3">
        <f>IF(E219&gt;=20,2000,1900) + D219</f>
        <v>1963</v>
      </c>
      <c r="H219">
        <f t="shared" si="24"/>
        <v>3</v>
      </c>
      <c r="I219" s="4">
        <f t="shared" si="25"/>
        <v>12</v>
      </c>
      <c r="J219">
        <f t="shared" si="26"/>
        <v>19630312</v>
      </c>
      <c r="K219" t="str">
        <f t="shared" si="27"/>
        <v>12.03.1963</v>
      </c>
    </row>
    <row r="220" spans="1:11" x14ac:dyDescent="0.25">
      <c r="A220" s="4" t="s">
        <v>246</v>
      </c>
      <c r="B220" t="s">
        <v>18</v>
      </c>
      <c r="C220" t="s">
        <v>4</v>
      </c>
      <c r="D220" s="3">
        <f t="shared" si="21"/>
        <v>99</v>
      </c>
      <c r="E220" s="4">
        <f t="shared" si="22"/>
        <v>11</v>
      </c>
      <c r="F220" s="4">
        <f t="shared" si="23"/>
        <v>27</v>
      </c>
      <c r="G220" s="3">
        <f>IF(E220&gt;=20,2000,1900) + D220</f>
        <v>1999</v>
      </c>
      <c r="H220">
        <f t="shared" si="24"/>
        <v>11</v>
      </c>
      <c r="I220" s="4">
        <f t="shared" si="25"/>
        <v>27</v>
      </c>
      <c r="J220">
        <f t="shared" si="26"/>
        <v>19991127</v>
      </c>
      <c r="K220" t="str">
        <f t="shared" si="27"/>
        <v>27.11.1999</v>
      </c>
    </row>
    <row r="221" spans="1:11" x14ac:dyDescent="0.25">
      <c r="A221" s="4" t="s">
        <v>247</v>
      </c>
      <c r="B221" t="s">
        <v>12</v>
      </c>
      <c r="C221" t="s">
        <v>4</v>
      </c>
      <c r="D221" s="3">
        <f t="shared" si="21"/>
        <v>90</v>
      </c>
      <c r="E221" s="4">
        <f t="shared" si="22"/>
        <v>7</v>
      </c>
      <c r="F221" s="4">
        <f t="shared" si="23"/>
        <v>13</v>
      </c>
      <c r="G221" s="3">
        <f>IF(E221&gt;=20,2000,1900) + D221</f>
        <v>1990</v>
      </c>
      <c r="H221">
        <f t="shared" si="24"/>
        <v>7</v>
      </c>
      <c r="I221" s="4">
        <f t="shared" si="25"/>
        <v>13</v>
      </c>
      <c r="J221">
        <f t="shared" si="26"/>
        <v>19900713</v>
      </c>
      <c r="K221" t="str">
        <f t="shared" si="27"/>
        <v>13.07.1990</v>
      </c>
    </row>
    <row r="222" spans="1:11" x14ac:dyDescent="0.25">
      <c r="A222" s="4" t="s">
        <v>248</v>
      </c>
      <c r="B222" t="s">
        <v>15</v>
      </c>
      <c r="C222" t="s">
        <v>6</v>
      </c>
      <c r="D222" s="3">
        <f t="shared" si="21"/>
        <v>79</v>
      </c>
      <c r="E222" s="4">
        <f t="shared" si="22"/>
        <v>10</v>
      </c>
      <c r="F222" s="4">
        <f t="shared" si="23"/>
        <v>1</v>
      </c>
      <c r="G222" s="3">
        <f>IF(E222&gt;=20,2000,1900) + D222</f>
        <v>1979</v>
      </c>
      <c r="H222">
        <f t="shared" si="24"/>
        <v>10</v>
      </c>
      <c r="I222" s="4">
        <f t="shared" si="25"/>
        <v>1</v>
      </c>
      <c r="J222">
        <f t="shared" si="26"/>
        <v>19791001</v>
      </c>
      <c r="K222" t="str">
        <f t="shared" si="27"/>
        <v>01.10.1979</v>
      </c>
    </row>
    <row r="223" spans="1:11" x14ac:dyDescent="0.25">
      <c r="A223" s="4" t="s">
        <v>249</v>
      </c>
      <c r="B223" t="s">
        <v>8</v>
      </c>
      <c r="C223" t="s">
        <v>6</v>
      </c>
      <c r="D223" s="3">
        <f t="shared" si="21"/>
        <v>67</v>
      </c>
      <c r="E223" s="4">
        <f t="shared" si="22"/>
        <v>2</v>
      </c>
      <c r="F223" s="4">
        <f t="shared" si="23"/>
        <v>16</v>
      </c>
      <c r="G223" s="3">
        <f>IF(E223&gt;=20,2000,1900) + D223</f>
        <v>1967</v>
      </c>
      <c r="H223">
        <f t="shared" si="24"/>
        <v>2</v>
      </c>
      <c r="I223" s="4">
        <f t="shared" si="25"/>
        <v>16</v>
      </c>
      <c r="J223">
        <f t="shared" si="26"/>
        <v>19670216</v>
      </c>
      <c r="K223" t="str">
        <f t="shared" si="27"/>
        <v>16.02.1967</v>
      </c>
    </row>
    <row r="224" spans="1:11" x14ac:dyDescent="0.25">
      <c r="A224" s="4" t="s">
        <v>250</v>
      </c>
      <c r="B224" t="s">
        <v>20</v>
      </c>
      <c r="C224" t="s">
        <v>4</v>
      </c>
      <c r="D224" s="3">
        <f t="shared" si="21"/>
        <v>80</v>
      </c>
      <c r="E224" s="4">
        <f t="shared" si="22"/>
        <v>12</v>
      </c>
      <c r="F224" s="4">
        <f t="shared" si="23"/>
        <v>29</v>
      </c>
      <c r="G224" s="3">
        <f>IF(E224&gt;=20,2000,1900) + D224</f>
        <v>1980</v>
      </c>
      <c r="H224">
        <f t="shared" si="24"/>
        <v>12</v>
      </c>
      <c r="I224" s="4">
        <f t="shared" si="25"/>
        <v>29</v>
      </c>
      <c r="J224">
        <f t="shared" si="26"/>
        <v>19801229</v>
      </c>
      <c r="K224" t="str">
        <f t="shared" si="27"/>
        <v>29.12.1980</v>
      </c>
    </row>
    <row r="225" spans="1:11" x14ac:dyDescent="0.25">
      <c r="A225" s="4" t="s">
        <v>251</v>
      </c>
      <c r="B225" t="s">
        <v>7</v>
      </c>
      <c r="C225" t="s">
        <v>6</v>
      </c>
      <c r="D225" s="3">
        <f t="shared" si="21"/>
        <v>68</v>
      </c>
      <c r="E225" s="4">
        <f t="shared" si="22"/>
        <v>2</v>
      </c>
      <c r="F225" s="4">
        <f t="shared" si="23"/>
        <v>15</v>
      </c>
      <c r="G225" s="3">
        <f>IF(E225&gt;=20,2000,1900) + D225</f>
        <v>1968</v>
      </c>
      <c r="H225">
        <f t="shared" si="24"/>
        <v>2</v>
      </c>
      <c r="I225" s="4">
        <f t="shared" si="25"/>
        <v>15</v>
      </c>
      <c r="J225">
        <f t="shared" si="26"/>
        <v>19680215</v>
      </c>
      <c r="K225" t="str">
        <f t="shared" si="27"/>
        <v>15.02.1968</v>
      </c>
    </row>
    <row r="226" spans="1:11" x14ac:dyDescent="0.25">
      <c r="A226" s="4" t="s">
        <v>252</v>
      </c>
      <c r="B226" t="s">
        <v>16</v>
      </c>
      <c r="C226" t="s">
        <v>4</v>
      </c>
      <c r="D226" s="3">
        <f t="shared" si="21"/>
        <v>57</v>
      </c>
      <c r="E226" s="4">
        <f t="shared" si="22"/>
        <v>5</v>
      </c>
      <c r="F226" s="4">
        <f t="shared" si="23"/>
        <v>17</v>
      </c>
      <c r="G226" s="3">
        <f>IF(E226&gt;=20,2000,1900) + D226</f>
        <v>1957</v>
      </c>
      <c r="H226">
        <f t="shared" si="24"/>
        <v>5</v>
      </c>
      <c r="I226" s="4">
        <f t="shared" si="25"/>
        <v>17</v>
      </c>
      <c r="J226">
        <f t="shared" si="26"/>
        <v>19570517</v>
      </c>
      <c r="K226" t="str">
        <f t="shared" si="27"/>
        <v>17.05.1957</v>
      </c>
    </row>
    <row r="227" spans="1:11" x14ac:dyDescent="0.25">
      <c r="A227" s="4" t="s">
        <v>253</v>
      </c>
      <c r="B227" t="s">
        <v>11</v>
      </c>
      <c r="C227" t="s">
        <v>6</v>
      </c>
      <c r="D227" s="3">
        <f t="shared" si="21"/>
        <v>96</v>
      </c>
      <c r="E227" s="4">
        <f t="shared" si="22"/>
        <v>11</v>
      </c>
      <c r="F227" s="4">
        <f t="shared" si="23"/>
        <v>12</v>
      </c>
      <c r="G227" s="3">
        <f>IF(E227&gt;=20,2000,1900) + D227</f>
        <v>1996</v>
      </c>
      <c r="H227">
        <f t="shared" si="24"/>
        <v>11</v>
      </c>
      <c r="I227" s="4">
        <f t="shared" si="25"/>
        <v>12</v>
      </c>
      <c r="J227">
        <f t="shared" si="26"/>
        <v>19961112</v>
      </c>
      <c r="K227" t="str">
        <f t="shared" si="27"/>
        <v>12.11.1996</v>
      </c>
    </row>
    <row r="228" spans="1:11" x14ac:dyDescent="0.25">
      <c r="A228" s="4" t="s">
        <v>254</v>
      </c>
      <c r="B228" t="s">
        <v>15</v>
      </c>
      <c r="C228" t="s">
        <v>6</v>
      </c>
      <c r="D228" s="3">
        <f t="shared" si="21"/>
        <v>89</v>
      </c>
      <c r="E228" s="4">
        <f t="shared" si="22"/>
        <v>3</v>
      </c>
      <c r="F228" s="4">
        <f t="shared" si="23"/>
        <v>10</v>
      </c>
      <c r="G228" s="3">
        <f>IF(E228&gt;=20,2000,1900) + D228</f>
        <v>1989</v>
      </c>
      <c r="H228">
        <f t="shared" si="24"/>
        <v>3</v>
      </c>
      <c r="I228" s="4">
        <f t="shared" si="25"/>
        <v>10</v>
      </c>
      <c r="J228">
        <f t="shared" si="26"/>
        <v>19890310</v>
      </c>
      <c r="K228" t="str">
        <f t="shared" si="27"/>
        <v>10.03.1989</v>
      </c>
    </row>
    <row r="229" spans="1:11" x14ac:dyDescent="0.25">
      <c r="A229" s="4" t="s">
        <v>255</v>
      </c>
      <c r="B229" t="s">
        <v>19</v>
      </c>
      <c r="C229" t="s">
        <v>4</v>
      </c>
      <c r="D229" s="3">
        <f t="shared" si="21"/>
        <v>82</v>
      </c>
      <c r="E229" s="4">
        <f t="shared" si="22"/>
        <v>9</v>
      </c>
      <c r="F229" s="4">
        <f t="shared" si="23"/>
        <v>13</v>
      </c>
      <c r="G229" s="3">
        <f>IF(E229&gt;=20,2000,1900) + D229</f>
        <v>1982</v>
      </c>
      <c r="H229">
        <f t="shared" si="24"/>
        <v>9</v>
      </c>
      <c r="I229" s="4">
        <f t="shared" si="25"/>
        <v>13</v>
      </c>
      <c r="J229">
        <f t="shared" si="26"/>
        <v>19820913</v>
      </c>
      <c r="K229" t="str">
        <f t="shared" si="27"/>
        <v>13.09.1982</v>
      </c>
    </row>
    <row r="230" spans="1:11" x14ac:dyDescent="0.25">
      <c r="A230" s="4" t="s">
        <v>256</v>
      </c>
      <c r="B230" t="s">
        <v>7</v>
      </c>
      <c r="C230" t="s">
        <v>4</v>
      </c>
      <c r="D230" s="3">
        <f t="shared" si="21"/>
        <v>51</v>
      </c>
      <c r="E230" s="4">
        <f t="shared" si="22"/>
        <v>12</v>
      </c>
      <c r="F230" s="4">
        <f t="shared" si="23"/>
        <v>20</v>
      </c>
      <c r="G230" s="3">
        <f>IF(E230&gt;=20,2000,1900) + D230</f>
        <v>1951</v>
      </c>
      <c r="H230">
        <f t="shared" si="24"/>
        <v>12</v>
      </c>
      <c r="I230" s="4">
        <f t="shared" si="25"/>
        <v>20</v>
      </c>
      <c r="J230">
        <f t="shared" si="26"/>
        <v>19511220</v>
      </c>
      <c r="K230" t="str">
        <f t="shared" si="27"/>
        <v>20.12.1951</v>
      </c>
    </row>
    <row r="231" spans="1:11" x14ac:dyDescent="0.25">
      <c r="A231" s="4" t="s">
        <v>257</v>
      </c>
      <c r="B231" t="s">
        <v>9</v>
      </c>
      <c r="C231" t="s">
        <v>6</v>
      </c>
      <c r="D231" s="3">
        <f t="shared" si="21"/>
        <v>65</v>
      </c>
      <c r="E231" s="4">
        <f t="shared" si="22"/>
        <v>8</v>
      </c>
      <c r="F231" s="4">
        <f t="shared" si="23"/>
        <v>18</v>
      </c>
      <c r="G231" s="3">
        <f>IF(E231&gt;=20,2000,1900) + D231</f>
        <v>1965</v>
      </c>
      <c r="H231">
        <f t="shared" si="24"/>
        <v>8</v>
      </c>
      <c r="I231" s="4">
        <f t="shared" si="25"/>
        <v>18</v>
      </c>
      <c r="J231">
        <f t="shared" si="26"/>
        <v>19650818</v>
      </c>
      <c r="K231" t="str">
        <f t="shared" si="27"/>
        <v>18.08.1965</v>
      </c>
    </row>
    <row r="232" spans="1:11" x14ac:dyDescent="0.25">
      <c r="A232" s="4" t="s">
        <v>258</v>
      </c>
      <c r="B232" t="s">
        <v>14</v>
      </c>
      <c r="C232" t="s">
        <v>4</v>
      </c>
      <c r="D232" s="3">
        <f t="shared" si="21"/>
        <v>52</v>
      </c>
      <c r="E232" s="4">
        <f t="shared" si="22"/>
        <v>7</v>
      </c>
      <c r="F232" s="4">
        <f t="shared" si="23"/>
        <v>31</v>
      </c>
      <c r="G232" s="3">
        <f>IF(E232&gt;=20,2000,1900) + D232</f>
        <v>1952</v>
      </c>
      <c r="H232">
        <f t="shared" si="24"/>
        <v>7</v>
      </c>
      <c r="I232" s="4">
        <f t="shared" si="25"/>
        <v>31</v>
      </c>
      <c r="J232">
        <f t="shared" si="26"/>
        <v>19520731</v>
      </c>
      <c r="K232" t="str">
        <f t="shared" si="27"/>
        <v>31.07.1952</v>
      </c>
    </row>
    <row r="233" spans="1:11" x14ac:dyDescent="0.25">
      <c r="A233" s="4" t="s">
        <v>259</v>
      </c>
      <c r="B233" t="s">
        <v>8</v>
      </c>
      <c r="C233" t="s">
        <v>6</v>
      </c>
      <c r="D233" s="3">
        <f t="shared" si="21"/>
        <v>52</v>
      </c>
      <c r="E233" s="4">
        <f t="shared" si="22"/>
        <v>7</v>
      </c>
      <c r="F233" s="4">
        <f t="shared" si="23"/>
        <v>27</v>
      </c>
      <c r="G233" s="3">
        <f>IF(E233&gt;=20,2000,1900) + D233</f>
        <v>1952</v>
      </c>
      <c r="H233">
        <f t="shared" si="24"/>
        <v>7</v>
      </c>
      <c r="I233" s="4">
        <f t="shared" si="25"/>
        <v>27</v>
      </c>
      <c r="J233">
        <f t="shared" si="26"/>
        <v>19520727</v>
      </c>
      <c r="K233" t="str">
        <f t="shared" si="27"/>
        <v>27.07.1952</v>
      </c>
    </row>
    <row r="234" spans="1:11" x14ac:dyDescent="0.25">
      <c r="A234" s="4" t="s">
        <v>260</v>
      </c>
      <c r="B234" t="s">
        <v>16</v>
      </c>
      <c r="C234" t="s">
        <v>4</v>
      </c>
      <c r="D234" s="3">
        <f t="shared" si="21"/>
        <v>73</v>
      </c>
      <c r="E234" s="4">
        <f t="shared" si="22"/>
        <v>5</v>
      </c>
      <c r="F234" s="4">
        <f t="shared" si="23"/>
        <v>8</v>
      </c>
      <c r="G234" s="3">
        <f>IF(E234&gt;=20,2000,1900) + D234</f>
        <v>1973</v>
      </c>
      <c r="H234">
        <f t="shared" si="24"/>
        <v>5</v>
      </c>
      <c r="I234" s="4">
        <f t="shared" si="25"/>
        <v>8</v>
      </c>
      <c r="J234">
        <f t="shared" si="26"/>
        <v>19730508</v>
      </c>
      <c r="K234" t="str">
        <f t="shared" si="27"/>
        <v>08.05.1973</v>
      </c>
    </row>
    <row r="235" spans="1:11" x14ac:dyDescent="0.25">
      <c r="A235" s="4" t="s">
        <v>261</v>
      </c>
      <c r="B235" t="s">
        <v>19</v>
      </c>
      <c r="C235" t="s">
        <v>6</v>
      </c>
      <c r="D235" s="3">
        <f t="shared" si="21"/>
        <v>61</v>
      </c>
      <c r="E235" s="4">
        <f t="shared" si="22"/>
        <v>4</v>
      </c>
      <c r="F235" s="4">
        <f t="shared" si="23"/>
        <v>18</v>
      </c>
      <c r="G235" s="3">
        <f>IF(E235&gt;=20,2000,1900) + D235</f>
        <v>1961</v>
      </c>
      <c r="H235">
        <f t="shared" si="24"/>
        <v>4</v>
      </c>
      <c r="I235" s="4">
        <f t="shared" si="25"/>
        <v>18</v>
      </c>
      <c r="J235">
        <f t="shared" si="26"/>
        <v>19610418</v>
      </c>
      <c r="K235" t="str">
        <f t="shared" si="27"/>
        <v>18.04.1961</v>
      </c>
    </row>
    <row r="236" spans="1:11" x14ac:dyDescent="0.25">
      <c r="A236" s="4" t="s">
        <v>262</v>
      </c>
      <c r="B236" t="s">
        <v>8</v>
      </c>
      <c r="C236" t="s">
        <v>4</v>
      </c>
      <c r="D236" s="3">
        <f t="shared" si="21"/>
        <v>66</v>
      </c>
      <c r="E236" s="4">
        <f t="shared" si="22"/>
        <v>7</v>
      </c>
      <c r="F236" s="4">
        <f t="shared" si="23"/>
        <v>20</v>
      </c>
      <c r="G236" s="3">
        <f>IF(E236&gt;=20,2000,1900) + D236</f>
        <v>1966</v>
      </c>
      <c r="H236">
        <f t="shared" si="24"/>
        <v>7</v>
      </c>
      <c r="I236" s="4">
        <f t="shared" si="25"/>
        <v>20</v>
      </c>
      <c r="J236">
        <f t="shared" si="26"/>
        <v>19660720</v>
      </c>
      <c r="K236" t="str">
        <f t="shared" si="27"/>
        <v>20.07.1966</v>
      </c>
    </row>
    <row r="237" spans="1:11" x14ac:dyDescent="0.25">
      <c r="A237" s="4" t="s">
        <v>263</v>
      </c>
      <c r="B237" t="s">
        <v>3</v>
      </c>
      <c r="C237" t="s">
        <v>4</v>
      </c>
      <c r="D237" s="3">
        <f t="shared" si="21"/>
        <v>52</v>
      </c>
      <c r="E237" s="4">
        <f t="shared" si="22"/>
        <v>1</v>
      </c>
      <c r="F237" s="4">
        <f t="shared" si="23"/>
        <v>15</v>
      </c>
      <c r="G237" s="3">
        <f>IF(E237&gt;=20,2000,1900) + D237</f>
        <v>1952</v>
      </c>
      <c r="H237">
        <f t="shared" si="24"/>
        <v>1</v>
      </c>
      <c r="I237" s="4">
        <f t="shared" si="25"/>
        <v>15</v>
      </c>
      <c r="J237">
        <f t="shared" si="26"/>
        <v>19520115</v>
      </c>
      <c r="K237" t="str">
        <f t="shared" si="27"/>
        <v>15.01.1952</v>
      </c>
    </row>
    <row r="238" spans="1:11" x14ac:dyDescent="0.25">
      <c r="A238" s="4" t="s">
        <v>264</v>
      </c>
      <c r="B238" t="s">
        <v>17</v>
      </c>
      <c r="C238" t="s">
        <v>6</v>
      </c>
      <c r="D238" s="3">
        <f t="shared" si="21"/>
        <v>90</v>
      </c>
      <c r="E238" s="4">
        <f t="shared" si="22"/>
        <v>3</v>
      </c>
      <c r="F238" s="4">
        <f t="shared" si="23"/>
        <v>7</v>
      </c>
      <c r="G238" s="3">
        <f>IF(E238&gt;=20,2000,1900) + D238</f>
        <v>1990</v>
      </c>
      <c r="H238">
        <f t="shared" si="24"/>
        <v>3</v>
      </c>
      <c r="I238" s="4">
        <f t="shared" si="25"/>
        <v>7</v>
      </c>
      <c r="J238">
        <f t="shared" si="26"/>
        <v>19900307</v>
      </c>
      <c r="K238" t="str">
        <f t="shared" si="27"/>
        <v>07.03.1990</v>
      </c>
    </row>
    <row r="239" spans="1:11" x14ac:dyDescent="0.25">
      <c r="A239" s="4" t="s">
        <v>265</v>
      </c>
      <c r="B239" t="s">
        <v>18</v>
      </c>
      <c r="C239" t="s">
        <v>4</v>
      </c>
      <c r="D239" s="3">
        <f t="shared" si="21"/>
        <v>79</v>
      </c>
      <c r="E239" s="4">
        <f t="shared" si="22"/>
        <v>1</v>
      </c>
      <c r="F239" s="4">
        <f t="shared" si="23"/>
        <v>19</v>
      </c>
      <c r="G239" s="3">
        <f>IF(E239&gt;=20,2000,1900) + D239</f>
        <v>1979</v>
      </c>
      <c r="H239">
        <f t="shared" si="24"/>
        <v>1</v>
      </c>
      <c r="I239" s="4">
        <f t="shared" si="25"/>
        <v>19</v>
      </c>
      <c r="J239">
        <f t="shared" si="26"/>
        <v>19790119</v>
      </c>
      <c r="K239" t="str">
        <f t="shared" si="27"/>
        <v>19.01.1979</v>
      </c>
    </row>
    <row r="240" spans="1:11" x14ac:dyDescent="0.25">
      <c r="A240" s="4" t="s">
        <v>266</v>
      </c>
      <c r="B240" t="s">
        <v>13</v>
      </c>
      <c r="C240" t="s">
        <v>4</v>
      </c>
      <c r="D240" s="3">
        <f t="shared" si="21"/>
        <v>93</v>
      </c>
      <c r="E240" s="4">
        <f t="shared" si="22"/>
        <v>8</v>
      </c>
      <c r="F240" s="4">
        <f t="shared" si="23"/>
        <v>20</v>
      </c>
      <c r="G240" s="3">
        <f>IF(E240&gt;=20,2000,1900) + D240</f>
        <v>1993</v>
      </c>
      <c r="H240">
        <f t="shared" si="24"/>
        <v>8</v>
      </c>
      <c r="I240" s="4">
        <f t="shared" si="25"/>
        <v>20</v>
      </c>
      <c r="J240">
        <f t="shared" si="26"/>
        <v>19930820</v>
      </c>
      <c r="K240" t="str">
        <f t="shared" si="27"/>
        <v>20.08.1993</v>
      </c>
    </row>
    <row r="241" spans="1:11" x14ac:dyDescent="0.25">
      <c r="A241" s="4" t="s">
        <v>267</v>
      </c>
      <c r="B241" t="s">
        <v>16</v>
      </c>
      <c r="C241" t="s">
        <v>6</v>
      </c>
      <c r="D241" s="3">
        <f t="shared" si="21"/>
        <v>95</v>
      </c>
      <c r="E241" s="4">
        <f t="shared" si="22"/>
        <v>2</v>
      </c>
      <c r="F241" s="4">
        <f t="shared" si="23"/>
        <v>5</v>
      </c>
      <c r="G241" s="3">
        <f>IF(E241&gt;=20,2000,1900) + D241</f>
        <v>1995</v>
      </c>
      <c r="H241">
        <f t="shared" si="24"/>
        <v>2</v>
      </c>
      <c r="I241" s="4">
        <f t="shared" si="25"/>
        <v>5</v>
      </c>
      <c r="J241">
        <f t="shared" si="26"/>
        <v>19950205</v>
      </c>
      <c r="K241" t="str">
        <f t="shared" si="27"/>
        <v>05.02.1995</v>
      </c>
    </row>
    <row r="242" spans="1:11" x14ac:dyDescent="0.25">
      <c r="A242" s="4" t="s">
        <v>268</v>
      </c>
      <c r="B242" t="s">
        <v>11</v>
      </c>
      <c r="C242" t="s">
        <v>4</v>
      </c>
      <c r="D242" s="3">
        <f t="shared" si="21"/>
        <v>62</v>
      </c>
      <c r="E242" s="4">
        <f t="shared" si="22"/>
        <v>12</v>
      </c>
      <c r="F242" s="4">
        <f t="shared" si="23"/>
        <v>10</v>
      </c>
      <c r="G242" s="3">
        <f>IF(E242&gt;=20,2000,1900) + D242</f>
        <v>1962</v>
      </c>
      <c r="H242">
        <f t="shared" si="24"/>
        <v>12</v>
      </c>
      <c r="I242" s="4">
        <f t="shared" si="25"/>
        <v>10</v>
      </c>
      <c r="J242">
        <f t="shared" si="26"/>
        <v>19621210</v>
      </c>
      <c r="K242" t="str">
        <f t="shared" si="27"/>
        <v>10.12.1962</v>
      </c>
    </row>
    <row r="243" spans="1:11" x14ac:dyDescent="0.25">
      <c r="A243" s="4" t="s">
        <v>269</v>
      </c>
      <c r="B243" t="s">
        <v>8</v>
      </c>
      <c r="C243" t="s">
        <v>6</v>
      </c>
      <c r="D243" s="3">
        <f t="shared" si="21"/>
        <v>98</v>
      </c>
      <c r="E243" s="4">
        <f t="shared" si="22"/>
        <v>7</v>
      </c>
      <c r="F243" s="4">
        <f t="shared" si="23"/>
        <v>5</v>
      </c>
      <c r="G243" s="3">
        <f>IF(E243&gt;=20,2000,1900) + D243</f>
        <v>1998</v>
      </c>
      <c r="H243">
        <f t="shared" si="24"/>
        <v>7</v>
      </c>
      <c r="I243" s="4">
        <f t="shared" si="25"/>
        <v>5</v>
      </c>
      <c r="J243">
        <f t="shared" si="26"/>
        <v>19980705</v>
      </c>
      <c r="K243" t="str">
        <f t="shared" si="27"/>
        <v>05.07.1998</v>
      </c>
    </row>
    <row r="244" spans="1:11" x14ac:dyDescent="0.25">
      <c r="A244" s="4" t="s">
        <v>270</v>
      </c>
      <c r="B244" t="s">
        <v>3</v>
      </c>
      <c r="C244" t="s">
        <v>4</v>
      </c>
      <c r="D244" s="3">
        <f t="shared" si="21"/>
        <v>93</v>
      </c>
      <c r="E244" s="4">
        <f t="shared" si="22"/>
        <v>3</v>
      </c>
      <c r="F244" s="4">
        <f t="shared" si="23"/>
        <v>5</v>
      </c>
      <c r="G244" s="3">
        <f>IF(E244&gt;=20,2000,1900) + D244</f>
        <v>1993</v>
      </c>
      <c r="H244">
        <f t="shared" si="24"/>
        <v>3</v>
      </c>
      <c r="I244" s="4">
        <f t="shared" si="25"/>
        <v>5</v>
      </c>
      <c r="J244">
        <f t="shared" si="26"/>
        <v>19930305</v>
      </c>
      <c r="K244" t="str">
        <f t="shared" si="27"/>
        <v>05.03.1993</v>
      </c>
    </row>
    <row r="245" spans="1:11" x14ac:dyDescent="0.25">
      <c r="A245" s="4" t="s">
        <v>271</v>
      </c>
      <c r="B245" t="s">
        <v>15</v>
      </c>
      <c r="C245" t="s">
        <v>6</v>
      </c>
      <c r="D245" s="3">
        <f t="shared" si="21"/>
        <v>89</v>
      </c>
      <c r="E245" s="4">
        <f t="shared" si="22"/>
        <v>5</v>
      </c>
      <c r="F245" s="4">
        <f t="shared" si="23"/>
        <v>19</v>
      </c>
      <c r="G245" s="3">
        <f>IF(E245&gt;=20,2000,1900) + D245</f>
        <v>1989</v>
      </c>
      <c r="H245">
        <f t="shared" si="24"/>
        <v>5</v>
      </c>
      <c r="I245" s="4">
        <f t="shared" si="25"/>
        <v>19</v>
      </c>
      <c r="J245">
        <f t="shared" si="26"/>
        <v>19890519</v>
      </c>
      <c r="K245" t="str">
        <f t="shared" si="27"/>
        <v>19.05.1989</v>
      </c>
    </row>
    <row r="246" spans="1:11" x14ac:dyDescent="0.25">
      <c r="A246" s="4" t="s">
        <v>272</v>
      </c>
      <c r="B246" t="s">
        <v>11</v>
      </c>
      <c r="C246" t="s">
        <v>6</v>
      </c>
      <c r="D246" s="3">
        <f t="shared" si="21"/>
        <v>98</v>
      </c>
      <c r="E246" s="4">
        <f t="shared" si="22"/>
        <v>3</v>
      </c>
      <c r="F246" s="4">
        <f t="shared" si="23"/>
        <v>15</v>
      </c>
      <c r="G246" s="3">
        <f>IF(E246&gt;=20,2000,1900) + D246</f>
        <v>1998</v>
      </c>
      <c r="H246">
        <f t="shared" si="24"/>
        <v>3</v>
      </c>
      <c r="I246" s="4">
        <f t="shared" si="25"/>
        <v>15</v>
      </c>
      <c r="J246">
        <f t="shared" si="26"/>
        <v>19980315</v>
      </c>
      <c r="K246" t="str">
        <f t="shared" si="27"/>
        <v>15.03.1998</v>
      </c>
    </row>
    <row r="247" spans="1:11" x14ac:dyDescent="0.25">
      <c r="A247" s="4" t="s">
        <v>273</v>
      </c>
      <c r="B247" t="s">
        <v>9</v>
      </c>
      <c r="C247" t="s">
        <v>4</v>
      </c>
      <c r="D247" s="3">
        <f t="shared" si="21"/>
        <v>96</v>
      </c>
      <c r="E247" s="4">
        <f t="shared" si="22"/>
        <v>3</v>
      </c>
      <c r="F247" s="4">
        <f t="shared" si="23"/>
        <v>24</v>
      </c>
      <c r="G247" s="3">
        <f>IF(E247&gt;=20,2000,1900) + D247</f>
        <v>1996</v>
      </c>
      <c r="H247">
        <f t="shared" si="24"/>
        <v>3</v>
      </c>
      <c r="I247" s="4">
        <f t="shared" si="25"/>
        <v>24</v>
      </c>
      <c r="J247">
        <f t="shared" si="26"/>
        <v>19960324</v>
      </c>
      <c r="K247" t="str">
        <f t="shared" si="27"/>
        <v>24.03.1996</v>
      </c>
    </row>
    <row r="248" spans="1:11" x14ac:dyDescent="0.25">
      <c r="A248" s="4" t="s">
        <v>274</v>
      </c>
      <c r="B248" t="s">
        <v>12</v>
      </c>
      <c r="C248" t="s">
        <v>4</v>
      </c>
      <c r="D248" s="3">
        <f t="shared" si="21"/>
        <v>76</v>
      </c>
      <c r="E248" s="4">
        <f t="shared" si="22"/>
        <v>6</v>
      </c>
      <c r="F248" s="4">
        <f t="shared" si="23"/>
        <v>4</v>
      </c>
      <c r="G248" s="3">
        <f>IF(E248&gt;=20,2000,1900) + D248</f>
        <v>1976</v>
      </c>
      <c r="H248">
        <f t="shared" si="24"/>
        <v>6</v>
      </c>
      <c r="I248" s="4">
        <f t="shared" si="25"/>
        <v>4</v>
      </c>
      <c r="J248">
        <f t="shared" si="26"/>
        <v>19760604</v>
      </c>
      <c r="K248" t="str">
        <f t="shared" si="27"/>
        <v>04.06.1976</v>
      </c>
    </row>
    <row r="249" spans="1:11" x14ac:dyDescent="0.25">
      <c r="A249" s="4" t="s">
        <v>275</v>
      </c>
      <c r="B249" t="s">
        <v>7</v>
      </c>
      <c r="C249" t="s">
        <v>6</v>
      </c>
      <c r="D249" s="3">
        <f t="shared" si="21"/>
        <v>86</v>
      </c>
      <c r="E249" s="4">
        <f t="shared" si="22"/>
        <v>10</v>
      </c>
      <c r="F249" s="4">
        <f t="shared" si="23"/>
        <v>23</v>
      </c>
      <c r="G249" s="3">
        <f>IF(E249&gt;=20,2000,1900) + D249</f>
        <v>1986</v>
      </c>
      <c r="H249">
        <f t="shared" si="24"/>
        <v>10</v>
      </c>
      <c r="I249" s="4">
        <f t="shared" si="25"/>
        <v>23</v>
      </c>
      <c r="J249">
        <f t="shared" si="26"/>
        <v>19861023</v>
      </c>
      <c r="K249" t="str">
        <f t="shared" si="27"/>
        <v>23.10.1986</v>
      </c>
    </row>
    <row r="250" spans="1:11" x14ac:dyDescent="0.25">
      <c r="A250" s="4" t="s">
        <v>276</v>
      </c>
      <c r="B250" t="s">
        <v>19</v>
      </c>
      <c r="C250" t="s">
        <v>6</v>
      </c>
      <c r="D250" s="3">
        <f t="shared" si="21"/>
        <v>50</v>
      </c>
      <c r="E250" s="4">
        <f t="shared" si="22"/>
        <v>1</v>
      </c>
      <c r="F250" s="4">
        <f t="shared" si="23"/>
        <v>10</v>
      </c>
      <c r="G250" s="3">
        <f>IF(E250&gt;=20,2000,1900) + D250</f>
        <v>1950</v>
      </c>
      <c r="H250">
        <f t="shared" si="24"/>
        <v>1</v>
      </c>
      <c r="I250" s="4">
        <f t="shared" si="25"/>
        <v>10</v>
      </c>
      <c r="J250">
        <f t="shared" si="26"/>
        <v>19500110</v>
      </c>
      <c r="K250" t="str">
        <f t="shared" si="27"/>
        <v>10.01.1950</v>
      </c>
    </row>
    <row r="251" spans="1:11" x14ac:dyDescent="0.25">
      <c r="A251" s="4" t="s">
        <v>277</v>
      </c>
      <c r="B251" t="s">
        <v>11</v>
      </c>
      <c r="C251" t="s">
        <v>6</v>
      </c>
      <c r="D251" s="3">
        <f t="shared" si="21"/>
        <v>79</v>
      </c>
      <c r="E251" s="4">
        <f t="shared" si="22"/>
        <v>2</v>
      </c>
      <c r="F251" s="4">
        <f t="shared" si="23"/>
        <v>9</v>
      </c>
      <c r="G251" s="3">
        <f>IF(E251&gt;=20,2000,1900) + D251</f>
        <v>1979</v>
      </c>
      <c r="H251">
        <f t="shared" si="24"/>
        <v>2</v>
      </c>
      <c r="I251" s="4">
        <f t="shared" si="25"/>
        <v>9</v>
      </c>
      <c r="J251">
        <f t="shared" si="26"/>
        <v>19790209</v>
      </c>
      <c r="K251" t="str">
        <f t="shared" si="27"/>
        <v>09.02.1979</v>
      </c>
    </row>
    <row r="252" spans="1:11" x14ac:dyDescent="0.25">
      <c r="A252" s="4" t="s">
        <v>278</v>
      </c>
      <c r="B252" t="s">
        <v>13</v>
      </c>
      <c r="C252" t="s">
        <v>6</v>
      </c>
      <c r="D252" s="3">
        <f t="shared" si="21"/>
        <v>78</v>
      </c>
      <c r="E252" s="4">
        <f t="shared" si="22"/>
        <v>2</v>
      </c>
      <c r="F252" s="4">
        <f t="shared" si="23"/>
        <v>24</v>
      </c>
      <c r="G252" s="3">
        <f>IF(E252&gt;=20,2000,1900) + D252</f>
        <v>1978</v>
      </c>
      <c r="H252">
        <f t="shared" si="24"/>
        <v>2</v>
      </c>
      <c r="I252" s="4">
        <f t="shared" si="25"/>
        <v>24</v>
      </c>
      <c r="J252">
        <f t="shared" si="26"/>
        <v>19780224</v>
      </c>
      <c r="K252" t="str">
        <f t="shared" si="27"/>
        <v>24.02.1978</v>
      </c>
    </row>
    <row r="253" spans="1:11" x14ac:dyDescent="0.25">
      <c r="A253" s="4" t="s">
        <v>279</v>
      </c>
      <c r="B253" t="s">
        <v>14</v>
      </c>
      <c r="C253" t="s">
        <v>4</v>
      </c>
      <c r="D253" s="3">
        <f t="shared" si="21"/>
        <v>63</v>
      </c>
      <c r="E253" s="4">
        <f t="shared" si="22"/>
        <v>12</v>
      </c>
      <c r="F253" s="4">
        <f t="shared" si="23"/>
        <v>10</v>
      </c>
      <c r="G253" s="3">
        <f>IF(E253&gt;=20,2000,1900) + D253</f>
        <v>1963</v>
      </c>
      <c r="H253">
        <f t="shared" si="24"/>
        <v>12</v>
      </c>
      <c r="I253" s="4">
        <f t="shared" si="25"/>
        <v>10</v>
      </c>
      <c r="J253">
        <f t="shared" si="26"/>
        <v>19631210</v>
      </c>
      <c r="K253" t="str">
        <f t="shared" si="27"/>
        <v>10.12.1963</v>
      </c>
    </row>
    <row r="254" spans="1:11" x14ac:dyDescent="0.25">
      <c r="A254" s="4" t="s">
        <v>280</v>
      </c>
      <c r="B254" t="s">
        <v>19</v>
      </c>
      <c r="C254" t="s">
        <v>4</v>
      </c>
      <c r="D254" s="3">
        <f t="shared" si="21"/>
        <v>56</v>
      </c>
      <c r="E254" s="4">
        <f t="shared" si="22"/>
        <v>8</v>
      </c>
      <c r="F254" s="4">
        <f t="shared" si="23"/>
        <v>8</v>
      </c>
      <c r="G254" s="3">
        <f>IF(E254&gt;=20,2000,1900) + D254</f>
        <v>1956</v>
      </c>
      <c r="H254">
        <f t="shared" si="24"/>
        <v>8</v>
      </c>
      <c r="I254" s="4">
        <f t="shared" si="25"/>
        <v>8</v>
      </c>
      <c r="J254">
        <f t="shared" si="26"/>
        <v>19560808</v>
      </c>
      <c r="K254" t="str">
        <f t="shared" si="27"/>
        <v>08.08.1956</v>
      </c>
    </row>
    <row r="255" spans="1:11" x14ac:dyDescent="0.25">
      <c r="A255" s="4" t="s">
        <v>281</v>
      </c>
      <c r="B255" t="s">
        <v>17</v>
      </c>
      <c r="C255" t="s">
        <v>4</v>
      </c>
      <c r="D255" s="3">
        <f t="shared" si="21"/>
        <v>66</v>
      </c>
      <c r="E255" s="4">
        <f t="shared" si="22"/>
        <v>10</v>
      </c>
      <c r="F255" s="4">
        <f t="shared" si="23"/>
        <v>10</v>
      </c>
      <c r="G255" s="3">
        <f>IF(E255&gt;=20,2000,1900) + D255</f>
        <v>1966</v>
      </c>
      <c r="H255">
        <f t="shared" si="24"/>
        <v>10</v>
      </c>
      <c r="I255" s="4">
        <f t="shared" si="25"/>
        <v>10</v>
      </c>
      <c r="J255">
        <f t="shared" si="26"/>
        <v>19661010</v>
      </c>
      <c r="K255" t="str">
        <f t="shared" si="27"/>
        <v>10.10.1966</v>
      </c>
    </row>
    <row r="256" spans="1:11" x14ac:dyDescent="0.25">
      <c r="A256" s="4" t="s">
        <v>282</v>
      </c>
      <c r="B256" t="s">
        <v>13</v>
      </c>
      <c r="C256" t="s">
        <v>6</v>
      </c>
      <c r="D256" s="3">
        <f t="shared" si="21"/>
        <v>65</v>
      </c>
      <c r="E256" s="4">
        <f t="shared" si="22"/>
        <v>5</v>
      </c>
      <c r="F256" s="4">
        <f t="shared" si="23"/>
        <v>23</v>
      </c>
      <c r="G256" s="3">
        <f>IF(E256&gt;=20,2000,1900) + D256</f>
        <v>1965</v>
      </c>
      <c r="H256">
        <f t="shared" si="24"/>
        <v>5</v>
      </c>
      <c r="I256" s="4">
        <f t="shared" si="25"/>
        <v>23</v>
      </c>
      <c r="J256">
        <f t="shared" si="26"/>
        <v>19650523</v>
      </c>
      <c r="K256" t="str">
        <f t="shared" si="27"/>
        <v>23.05.1965</v>
      </c>
    </row>
    <row r="257" spans="1:11" x14ac:dyDescent="0.25">
      <c r="A257" s="4" t="s">
        <v>283</v>
      </c>
      <c r="B257" t="s">
        <v>9</v>
      </c>
      <c r="C257" t="s">
        <v>6</v>
      </c>
      <c r="D257" s="3">
        <f t="shared" si="21"/>
        <v>54</v>
      </c>
      <c r="E257" s="4">
        <f t="shared" si="22"/>
        <v>6</v>
      </c>
      <c r="F257" s="4">
        <f t="shared" si="23"/>
        <v>18</v>
      </c>
      <c r="G257" s="3">
        <f>IF(E257&gt;=20,2000,1900) + D257</f>
        <v>1954</v>
      </c>
      <c r="H257">
        <f t="shared" si="24"/>
        <v>6</v>
      </c>
      <c r="I257" s="4">
        <f t="shared" si="25"/>
        <v>18</v>
      </c>
      <c r="J257">
        <f t="shared" si="26"/>
        <v>19540618</v>
      </c>
      <c r="K257" t="str">
        <f t="shared" si="27"/>
        <v>18.06.1954</v>
      </c>
    </row>
    <row r="258" spans="1:11" x14ac:dyDescent="0.25">
      <c r="A258" s="4" t="s">
        <v>284</v>
      </c>
      <c r="B258" t="s">
        <v>8</v>
      </c>
      <c r="C258" t="s">
        <v>6</v>
      </c>
      <c r="D258" s="3">
        <f t="shared" si="21"/>
        <v>90</v>
      </c>
      <c r="E258" s="4">
        <f t="shared" si="22"/>
        <v>4</v>
      </c>
      <c r="F258" s="4">
        <f t="shared" si="23"/>
        <v>22</v>
      </c>
      <c r="G258" s="3">
        <f>IF(E258&gt;=20,2000,1900) + D258</f>
        <v>1990</v>
      </c>
      <c r="H258">
        <f t="shared" si="24"/>
        <v>4</v>
      </c>
      <c r="I258" s="4">
        <f t="shared" si="25"/>
        <v>22</v>
      </c>
      <c r="J258">
        <f t="shared" si="26"/>
        <v>19900422</v>
      </c>
      <c r="K258" t="str">
        <f t="shared" si="27"/>
        <v>22.04.1990</v>
      </c>
    </row>
    <row r="259" spans="1:11" x14ac:dyDescent="0.25">
      <c r="A259" s="4" t="s">
        <v>285</v>
      </c>
      <c r="B259" t="s">
        <v>7</v>
      </c>
      <c r="C259" t="s">
        <v>6</v>
      </c>
      <c r="D259" s="3">
        <f t="shared" ref="D259:D322" si="28">MID(A259,1,2)*1</f>
        <v>58</v>
      </c>
      <c r="E259" s="4">
        <f t="shared" ref="E259:E322" si="29">MID(A259,3,2)*1</f>
        <v>1</v>
      </c>
      <c r="F259" s="4">
        <f t="shared" ref="F259:F322" si="30">MID(A259,5,2)*1</f>
        <v>22</v>
      </c>
      <c r="G259" s="3">
        <f>IF(E259&gt;=20,2000,1900) + D259</f>
        <v>1958</v>
      </c>
      <c r="H259">
        <f t="shared" ref="H259:H322" si="31">IF(E259&gt;=20,E259-20,E259)</f>
        <v>1</v>
      </c>
      <c r="I259" s="4">
        <f t="shared" ref="I259:I322" si="32">F259</f>
        <v>22</v>
      </c>
      <c r="J259">
        <f t="shared" ref="J259:J322" si="33">CONCATENATE(G259,IF(LEN(E259)=1,CONCATENATE("0",E259),E259),IF(LEN(F259)=1,CONCATENATE("0",F259),F259))*1</f>
        <v>19580122</v>
      </c>
      <c r="K259" t="str">
        <f t="shared" ref="K259:K322" si="34">CONCATENATE(RIGHT(J259,2),".",MID(J259,5,2),".",LEFT(J259,4))</f>
        <v>22.01.1958</v>
      </c>
    </row>
    <row r="260" spans="1:11" x14ac:dyDescent="0.25">
      <c r="A260" s="4" t="s">
        <v>286</v>
      </c>
      <c r="B260" t="s">
        <v>15</v>
      </c>
      <c r="C260" t="s">
        <v>4</v>
      </c>
      <c r="D260" s="3">
        <f t="shared" si="28"/>
        <v>88</v>
      </c>
      <c r="E260" s="4">
        <f t="shared" si="29"/>
        <v>2</v>
      </c>
      <c r="F260" s="4">
        <f t="shared" si="30"/>
        <v>2</v>
      </c>
      <c r="G260" s="3">
        <f>IF(E260&gt;=20,2000,1900) + D260</f>
        <v>1988</v>
      </c>
      <c r="H260">
        <f t="shared" si="31"/>
        <v>2</v>
      </c>
      <c r="I260" s="4">
        <f t="shared" si="32"/>
        <v>2</v>
      </c>
      <c r="J260">
        <f t="shared" si="33"/>
        <v>19880202</v>
      </c>
      <c r="K260" t="str">
        <f t="shared" si="34"/>
        <v>02.02.1988</v>
      </c>
    </row>
    <row r="261" spans="1:11" x14ac:dyDescent="0.25">
      <c r="A261" s="4" t="s">
        <v>287</v>
      </c>
      <c r="B261" t="s">
        <v>19</v>
      </c>
      <c r="C261" t="s">
        <v>6</v>
      </c>
      <c r="D261" s="3">
        <f t="shared" si="28"/>
        <v>74</v>
      </c>
      <c r="E261" s="4">
        <f t="shared" si="29"/>
        <v>7</v>
      </c>
      <c r="F261" s="4">
        <f t="shared" si="30"/>
        <v>23</v>
      </c>
      <c r="G261" s="3">
        <f>IF(E261&gt;=20,2000,1900) + D261</f>
        <v>1974</v>
      </c>
      <c r="H261">
        <f t="shared" si="31"/>
        <v>7</v>
      </c>
      <c r="I261" s="4">
        <f t="shared" si="32"/>
        <v>23</v>
      </c>
      <c r="J261">
        <f t="shared" si="33"/>
        <v>19740723</v>
      </c>
      <c r="K261" t="str">
        <f t="shared" si="34"/>
        <v>23.07.1974</v>
      </c>
    </row>
    <row r="262" spans="1:11" x14ac:dyDescent="0.25">
      <c r="A262" s="4" t="s">
        <v>288</v>
      </c>
      <c r="B262" t="s">
        <v>19</v>
      </c>
      <c r="C262" t="s">
        <v>6</v>
      </c>
      <c r="D262" s="3">
        <f t="shared" si="28"/>
        <v>72</v>
      </c>
      <c r="E262" s="4">
        <f t="shared" si="29"/>
        <v>12</v>
      </c>
      <c r="F262" s="4">
        <f t="shared" si="30"/>
        <v>27</v>
      </c>
      <c r="G262" s="3">
        <f>IF(E262&gt;=20,2000,1900) + D262</f>
        <v>1972</v>
      </c>
      <c r="H262">
        <f t="shared" si="31"/>
        <v>12</v>
      </c>
      <c r="I262" s="4">
        <f t="shared" si="32"/>
        <v>27</v>
      </c>
      <c r="J262">
        <f t="shared" si="33"/>
        <v>19721227</v>
      </c>
      <c r="K262" t="str">
        <f t="shared" si="34"/>
        <v>27.12.1972</v>
      </c>
    </row>
    <row r="263" spans="1:11" x14ac:dyDescent="0.25">
      <c r="A263" s="4" t="s">
        <v>289</v>
      </c>
      <c r="B263" t="s">
        <v>16</v>
      </c>
      <c r="C263" t="s">
        <v>6</v>
      </c>
      <c r="D263" s="3">
        <f t="shared" si="28"/>
        <v>76</v>
      </c>
      <c r="E263" s="4">
        <f t="shared" si="29"/>
        <v>8</v>
      </c>
      <c r="F263" s="4">
        <f t="shared" si="30"/>
        <v>18</v>
      </c>
      <c r="G263" s="3">
        <f>IF(E263&gt;=20,2000,1900) + D263</f>
        <v>1976</v>
      </c>
      <c r="H263">
        <f t="shared" si="31"/>
        <v>8</v>
      </c>
      <c r="I263" s="4">
        <f t="shared" si="32"/>
        <v>18</v>
      </c>
      <c r="J263">
        <f t="shared" si="33"/>
        <v>19760818</v>
      </c>
      <c r="K263" t="str">
        <f t="shared" si="34"/>
        <v>18.08.1976</v>
      </c>
    </row>
    <row r="264" spans="1:11" x14ac:dyDescent="0.25">
      <c r="A264" s="4" t="s">
        <v>290</v>
      </c>
      <c r="B264" t="s">
        <v>10</v>
      </c>
      <c r="C264" t="s">
        <v>6</v>
      </c>
      <c r="D264" s="3">
        <f t="shared" si="28"/>
        <v>79</v>
      </c>
      <c r="E264" s="4">
        <f t="shared" si="29"/>
        <v>4</v>
      </c>
      <c r="F264" s="4">
        <f t="shared" si="30"/>
        <v>25</v>
      </c>
      <c r="G264" s="3">
        <f>IF(E264&gt;=20,2000,1900) + D264</f>
        <v>1979</v>
      </c>
      <c r="H264">
        <f t="shared" si="31"/>
        <v>4</v>
      </c>
      <c r="I264" s="4">
        <f t="shared" si="32"/>
        <v>25</v>
      </c>
      <c r="J264">
        <f t="shared" si="33"/>
        <v>19790425</v>
      </c>
      <c r="K264" t="str">
        <f t="shared" si="34"/>
        <v>25.04.1979</v>
      </c>
    </row>
    <row r="265" spans="1:11" x14ac:dyDescent="0.25">
      <c r="A265" s="4" t="s">
        <v>291</v>
      </c>
      <c r="B265" t="s">
        <v>7</v>
      </c>
      <c r="C265" t="s">
        <v>4</v>
      </c>
      <c r="D265" s="3">
        <f t="shared" si="28"/>
        <v>57</v>
      </c>
      <c r="E265" s="4">
        <f t="shared" si="29"/>
        <v>7</v>
      </c>
      <c r="F265" s="4">
        <f t="shared" si="30"/>
        <v>17</v>
      </c>
      <c r="G265" s="3">
        <f>IF(E265&gt;=20,2000,1900) + D265</f>
        <v>1957</v>
      </c>
      <c r="H265">
        <f t="shared" si="31"/>
        <v>7</v>
      </c>
      <c r="I265" s="4">
        <f t="shared" si="32"/>
        <v>17</v>
      </c>
      <c r="J265">
        <f t="shared" si="33"/>
        <v>19570717</v>
      </c>
      <c r="K265" t="str">
        <f t="shared" si="34"/>
        <v>17.07.1957</v>
      </c>
    </row>
    <row r="266" spans="1:11" x14ac:dyDescent="0.25">
      <c r="A266" s="4" t="s">
        <v>292</v>
      </c>
      <c r="B266" t="s">
        <v>5</v>
      </c>
      <c r="C266" t="s">
        <v>4</v>
      </c>
      <c r="D266" s="3">
        <f t="shared" si="28"/>
        <v>69</v>
      </c>
      <c r="E266" s="4">
        <f t="shared" si="29"/>
        <v>4</v>
      </c>
      <c r="F266" s="4">
        <f t="shared" si="30"/>
        <v>28</v>
      </c>
      <c r="G266" s="3">
        <f>IF(E266&gt;=20,2000,1900) + D266</f>
        <v>1969</v>
      </c>
      <c r="H266">
        <f t="shared" si="31"/>
        <v>4</v>
      </c>
      <c r="I266" s="4">
        <f t="shared" si="32"/>
        <v>28</v>
      </c>
      <c r="J266">
        <f t="shared" si="33"/>
        <v>19690428</v>
      </c>
      <c r="K266" t="str">
        <f t="shared" si="34"/>
        <v>28.04.1969</v>
      </c>
    </row>
    <row r="267" spans="1:11" x14ac:dyDescent="0.25">
      <c r="A267" s="4" t="s">
        <v>293</v>
      </c>
      <c r="B267" t="s">
        <v>9</v>
      </c>
      <c r="C267" t="s">
        <v>4</v>
      </c>
      <c r="D267" s="3">
        <f t="shared" si="28"/>
        <v>51</v>
      </c>
      <c r="E267" s="4">
        <f t="shared" si="29"/>
        <v>12</v>
      </c>
      <c r="F267" s="4">
        <f t="shared" si="30"/>
        <v>28</v>
      </c>
      <c r="G267" s="3">
        <f>IF(E267&gt;=20,2000,1900) + D267</f>
        <v>1951</v>
      </c>
      <c r="H267">
        <f t="shared" si="31"/>
        <v>12</v>
      </c>
      <c r="I267" s="4">
        <f t="shared" si="32"/>
        <v>28</v>
      </c>
      <c r="J267">
        <f t="shared" si="33"/>
        <v>19511228</v>
      </c>
      <c r="K267" t="str">
        <f t="shared" si="34"/>
        <v>28.12.1951</v>
      </c>
    </row>
    <row r="268" spans="1:11" x14ac:dyDescent="0.25">
      <c r="A268" s="4" t="s">
        <v>294</v>
      </c>
      <c r="B268" t="s">
        <v>14</v>
      </c>
      <c r="C268" t="s">
        <v>6</v>
      </c>
      <c r="D268" s="3">
        <f t="shared" si="28"/>
        <v>60</v>
      </c>
      <c r="E268" s="4">
        <f t="shared" si="29"/>
        <v>10</v>
      </c>
      <c r="F268" s="4">
        <f t="shared" si="30"/>
        <v>6</v>
      </c>
      <c r="G268" s="3">
        <f>IF(E268&gt;=20,2000,1900) + D268</f>
        <v>1960</v>
      </c>
      <c r="H268">
        <f t="shared" si="31"/>
        <v>10</v>
      </c>
      <c r="I268" s="4">
        <f t="shared" si="32"/>
        <v>6</v>
      </c>
      <c r="J268">
        <f t="shared" si="33"/>
        <v>19601006</v>
      </c>
      <c r="K268" t="str">
        <f t="shared" si="34"/>
        <v>06.10.1960</v>
      </c>
    </row>
    <row r="269" spans="1:11" x14ac:dyDescent="0.25">
      <c r="A269" s="4" t="s">
        <v>295</v>
      </c>
      <c r="B269" t="s">
        <v>15</v>
      </c>
      <c r="C269" t="s">
        <v>6</v>
      </c>
      <c r="D269" s="3">
        <f t="shared" si="28"/>
        <v>71</v>
      </c>
      <c r="E269" s="4">
        <f t="shared" si="29"/>
        <v>3</v>
      </c>
      <c r="F269" s="4">
        <f t="shared" si="30"/>
        <v>26</v>
      </c>
      <c r="G269" s="3">
        <f>IF(E269&gt;=20,2000,1900) + D269</f>
        <v>1971</v>
      </c>
      <c r="H269">
        <f t="shared" si="31"/>
        <v>3</v>
      </c>
      <c r="I269" s="4">
        <f t="shared" si="32"/>
        <v>26</v>
      </c>
      <c r="J269">
        <f t="shared" si="33"/>
        <v>19710326</v>
      </c>
      <c r="K269" t="str">
        <f t="shared" si="34"/>
        <v>26.03.1971</v>
      </c>
    </row>
    <row r="270" spans="1:11" x14ac:dyDescent="0.25">
      <c r="A270" s="4" t="s">
        <v>296</v>
      </c>
      <c r="B270" t="s">
        <v>8</v>
      </c>
      <c r="C270" t="s">
        <v>4</v>
      </c>
      <c r="D270" s="3">
        <f t="shared" si="28"/>
        <v>65</v>
      </c>
      <c r="E270" s="4">
        <f t="shared" si="29"/>
        <v>2</v>
      </c>
      <c r="F270" s="4">
        <f t="shared" si="30"/>
        <v>1</v>
      </c>
      <c r="G270" s="3">
        <f>IF(E270&gt;=20,2000,1900) + D270</f>
        <v>1965</v>
      </c>
      <c r="H270">
        <f t="shared" si="31"/>
        <v>2</v>
      </c>
      <c r="I270" s="4">
        <f t="shared" si="32"/>
        <v>1</v>
      </c>
      <c r="J270">
        <f t="shared" si="33"/>
        <v>19650201</v>
      </c>
      <c r="K270" t="str">
        <f t="shared" si="34"/>
        <v>01.02.1965</v>
      </c>
    </row>
    <row r="271" spans="1:11" x14ac:dyDescent="0.25">
      <c r="A271" s="4" t="s">
        <v>297</v>
      </c>
      <c r="B271" t="s">
        <v>11</v>
      </c>
      <c r="C271" t="s">
        <v>4</v>
      </c>
      <c r="D271" s="3">
        <f t="shared" si="28"/>
        <v>96</v>
      </c>
      <c r="E271" s="4">
        <f t="shared" si="29"/>
        <v>3</v>
      </c>
      <c r="F271" s="4">
        <f t="shared" si="30"/>
        <v>7</v>
      </c>
      <c r="G271" s="3">
        <f>IF(E271&gt;=20,2000,1900) + D271</f>
        <v>1996</v>
      </c>
      <c r="H271">
        <f t="shared" si="31"/>
        <v>3</v>
      </c>
      <c r="I271" s="4">
        <f t="shared" si="32"/>
        <v>7</v>
      </c>
      <c r="J271">
        <f t="shared" si="33"/>
        <v>19960307</v>
      </c>
      <c r="K271" t="str">
        <f t="shared" si="34"/>
        <v>07.03.1996</v>
      </c>
    </row>
    <row r="272" spans="1:11" x14ac:dyDescent="0.25">
      <c r="A272" s="4" t="s">
        <v>298</v>
      </c>
      <c r="B272" t="s">
        <v>11</v>
      </c>
      <c r="C272" t="s">
        <v>6</v>
      </c>
      <c r="D272" s="3">
        <f t="shared" si="28"/>
        <v>58</v>
      </c>
      <c r="E272" s="4">
        <f t="shared" si="29"/>
        <v>7</v>
      </c>
      <c r="F272" s="4">
        <f t="shared" si="30"/>
        <v>24</v>
      </c>
      <c r="G272" s="3">
        <f>IF(E272&gt;=20,2000,1900) + D272</f>
        <v>1958</v>
      </c>
      <c r="H272">
        <f t="shared" si="31"/>
        <v>7</v>
      </c>
      <c r="I272" s="4">
        <f t="shared" si="32"/>
        <v>24</v>
      </c>
      <c r="J272">
        <f t="shared" si="33"/>
        <v>19580724</v>
      </c>
      <c r="K272" t="str">
        <f t="shared" si="34"/>
        <v>24.07.1958</v>
      </c>
    </row>
    <row r="273" spans="1:11" x14ac:dyDescent="0.25">
      <c r="A273" s="4" t="s">
        <v>299</v>
      </c>
      <c r="B273" t="s">
        <v>19</v>
      </c>
      <c r="C273" t="s">
        <v>6</v>
      </c>
      <c r="D273" s="3">
        <f t="shared" si="28"/>
        <v>76</v>
      </c>
      <c r="E273" s="4">
        <f t="shared" si="29"/>
        <v>12</v>
      </c>
      <c r="F273" s="4">
        <f t="shared" si="30"/>
        <v>19</v>
      </c>
      <c r="G273" s="3">
        <f>IF(E273&gt;=20,2000,1900) + D273</f>
        <v>1976</v>
      </c>
      <c r="H273">
        <f t="shared" si="31"/>
        <v>12</v>
      </c>
      <c r="I273" s="4">
        <f t="shared" si="32"/>
        <v>19</v>
      </c>
      <c r="J273">
        <f t="shared" si="33"/>
        <v>19761219</v>
      </c>
      <c r="K273" t="str">
        <f t="shared" si="34"/>
        <v>19.12.1976</v>
      </c>
    </row>
    <row r="274" spans="1:11" x14ac:dyDescent="0.25">
      <c r="A274" s="4" t="s">
        <v>300</v>
      </c>
      <c r="B274" t="s">
        <v>17</v>
      </c>
      <c r="C274" t="s">
        <v>4</v>
      </c>
      <c r="D274" s="3">
        <f t="shared" si="28"/>
        <v>63</v>
      </c>
      <c r="E274" s="4">
        <f t="shared" si="29"/>
        <v>10</v>
      </c>
      <c r="F274" s="4">
        <f t="shared" si="30"/>
        <v>22</v>
      </c>
      <c r="G274" s="3">
        <f>IF(E274&gt;=20,2000,1900) + D274</f>
        <v>1963</v>
      </c>
      <c r="H274">
        <f t="shared" si="31"/>
        <v>10</v>
      </c>
      <c r="I274" s="4">
        <f t="shared" si="32"/>
        <v>22</v>
      </c>
      <c r="J274">
        <f t="shared" si="33"/>
        <v>19631022</v>
      </c>
      <c r="K274" t="str">
        <f t="shared" si="34"/>
        <v>22.10.1963</v>
      </c>
    </row>
    <row r="275" spans="1:11" x14ac:dyDescent="0.25">
      <c r="A275" s="4" t="s">
        <v>301</v>
      </c>
      <c r="B275" t="s">
        <v>15</v>
      </c>
      <c r="C275" t="s">
        <v>6</v>
      </c>
      <c r="D275" s="3">
        <f t="shared" si="28"/>
        <v>60</v>
      </c>
      <c r="E275" s="4">
        <f t="shared" si="29"/>
        <v>10</v>
      </c>
      <c r="F275" s="4">
        <f t="shared" si="30"/>
        <v>20</v>
      </c>
      <c r="G275" s="3">
        <f>IF(E275&gt;=20,2000,1900) + D275</f>
        <v>1960</v>
      </c>
      <c r="H275">
        <f t="shared" si="31"/>
        <v>10</v>
      </c>
      <c r="I275" s="4">
        <f t="shared" si="32"/>
        <v>20</v>
      </c>
      <c r="J275">
        <f t="shared" si="33"/>
        <v>19601020</v>
      </c>
      <c r="K275" t="str">
        <f t="shared" si="34"/>
        <v>20.10.1960</v>
      </c>
    </row>
    <row r="276" spans="1:11" x14ac:dyDescent="0.25">
      <c r="A276" s="4" t="s">
        <v>302</v>
      </c>
      <c r="B276" t="s">
        <v>18</v>
      </c>
      <c r="C276" t="s">
        <v>4</v>
      </c>
      <c r="D276" s="3">
        <f t="shared" si="28"/>
        <v>79</v>
      </c>
      <c r="E276" s="4">
        <f t="shared" si="29"/>
        <v>11</v>
      </c>
      <c r="F276" s="4">
        <f t="shared" si="30"/>
        <v>6</v>
      </c>
      <c r="G276" s="3">
        <f>IF(E276&gt;=20,2000,1900) + D276</f>
        <v>1979</v>
      </c>
      <c r="H276">
        <f t="shared" si="31"/>
        <v>11</v>
      </c>
      <c r="I276" s="4">
        <f t="shared" si="32"/>
        <v>6</v>
      </c>
      <c r="J276">
        <f t="shared" si="33"/>
        <v>19791106</v>
      </c>
      <c r="K276" t="str">
        <f t="shared" si="34"/>
        <v>06.11.1979</v>
      </c>
    </row>
    <row r="277" spans="1:11" x14ac:dyDescent="0.25">
      <c r="A277" s="4" t="s">
        <v>303</v>
      </c>
      <c r="B277" t="s">
        <v>8</v>
      </c>
      <c r="C277" t="s">
        <v>4</v>
      </c>
      <c r="D277" s="3">
        <f t="shared" si="28"/>
        <v>56</v>
      </c>
      <c r="E277" s="4">
        <f t="shared" si="29"/>
        <v>3</v>
      </c>
      <c r="F277" s="4">
        <f t="shared" si="30"/>
        <v>13</v>
      </c>
      <c r="G277" s="3">
        <f>IF(E277&gt;=20,2000,1900) + D277</f>
        <v>1956</v>
      </c>
      <c r="H277">
        <f t="shared" si="31"/>
        <v>3</v>
      </c>
      <c r="I277" s="4">
        <f t="shared" si="32"/>
        <v>13</v>
      </c>
      <c r="J277">
        <f t="shared" si="33"/>
        <v>19560313</v>
      </c>
      <c r="K277" t="str">
        <f t="shared" si="34"/>
        <v>13.03.1956</v>
      </c>
    </row>
    <row r="278" spans="1:11" x14ac:dyDescent="0.25">
      <c r="A278" s="4" t="s">
        <v>304</v>
      </c>
      <c r="B278" t="s">
        <v>8</v>
      </c>
      <c r="C278" t="s">
        <v>6</v>
      </c>
      <c r="D278" s="3">
        <f t="shared" si="28"/>
        <v>88</v>
      </c>
      <c r="E278" s="4">
        <f t="shared" si="29"/>
        <v>3</v>
      </c>
      <c r="F278" s="4">
        <f t="shared" si="30"/>
        <v>19</v>
      </c>
      <c r="G278" s="3">
        <f>IF(E278&gt;=20,2000,1900) + D278</f>
        <v>1988</v>
      </c>
      <c r="H278">
        <f t="shared" si="31"/>
        <v>3</v>
      </c>
      <c r="I278" s="4">
        <f t="shared" si="32"/>
        <v>19</v>
      </c>
      <c r="J278">
        <f t="shared" si="33"/>
        <v>19880319</v>
      </c>
      <c r="K278" t="str">
        <f t="shared" si="34"/>
        <v>19.03.1988</v>
      </c>
    </row>
    <row r="279" spans="1:11" x14ac:dyDescent="0.25">
      <c r="A279" s="4" t="s">
        <v>305</v>
      </c>
      <c r="B279" t="s">
        <v>16</v>
      </c>
      <c r="C279" t="s">
        <v>4</v>
      </c>
      <c r="D279" s="3">
        <f t="shared" si="28"/>
        <v>60</v>
      </c>
      <c r="E279" s="4">
        <f t="shared" si="29"/>
        <v>10</v>
      </c>
      <c r="F279" s="4">
        <f t="shared" si="30"/>
        <v>2</v>
      </c>
      <c r="G279" s="3">
        <f>IF(E279&gt;=20,2000,1900) + D279</f>
        <v>1960</v>
      </c>
      <c r="H279">
        <f t="shared" si="31"/>
        <v>10</v>
      </c>
      <c r="I279" s="4">
        <f t="shared" si="32"/>
        <v>2</v>
      </c>
      <c r="J279">
        <f t="shared" si="33"/>
        <v>19601002</v>
      </c>
      <c r="K279" t="str">
        <f t="shared" si="34"/>
        <v>02.10.1960</v>
      </c>
    </row>
    <row r="280" spans="1:11" x14ac:dyDescent="0.25">
      <c r="A280" s="4" t="s">
        <v>306</v>
      </c>
      <c r="B280" t="s">
        <v>16</v>
      </c>
      <c r="C280" t="s">
        <v>6</v>
      </c>
      <c r="D280" s="3">
        <f t="shared" si="28"/>
        <v>70</v>
      </c>
      <c r="E280" s="4">
        <f t="shared" si="29"/>
        <v>8</v>
      </c>
      <c r="F280" s="4">
        <f t="shared" si="30"/>
        <v>4</v>
      </c>
      <c r="G280" s="3">
        <f>IF(E280&gt;=20,2000,1900) + D280</f>
        <v>1970</v>
      </c>
      <c r="H280">
        <f t="shared" si="31"/>
        <v>8</v>
      </c>
      <c r="I280" s="4">
        <f t="shared" si="32"/>
        <v>4</v>
      </c>
      <c r="J280">
        <f t="shared" si="33"/>
        <v>19700804</v>
      </c>
      <c r="K280" t="str">
        <f t="shared" si="34"/>
        <v>04.08.1970</v>
      </c>
    </row>
    <row r="281" spans="1:11" x14ac:dyDescent="0.25">
      <c r="A281" s="4" t="s">
        <v>307</v>
      </c>
      <c r="B281" t="s">
        <v>20</v>
      </c>
      <c r="C281" t="s">
        <v>4</v>
      </c>
      <c r="D281" s="3">
        <f t="shared" si="28"/>
        <v>71</v>
      </c>
      <c r="E281" s="4">
        <f t="shared" si="29"/>
        <v>11</v>
      </c>
      <c r="F281" s="4">
        <f t="shared" si="30"/>
        <v>19</v>
      </c>
      <c r="G281" s="3">
        <f>IF(E281&gt;=20,2000,1900) + D281</f>
        <v>1971</v>
      </c>
      <c r="H281">
        <f t="shared" si="31"/>
        <v>11</v>
      </c>
      <c r="I281" s="4">
        <f t="shared" si="32"/>
        <v>19</v>
      </c>
      <c r="J281">
        <f t="shared" si="33"/>
        <v>19711119</v>
      </c>
      <c r="K281" t="str">
        <f t="shared" si="34"/>
        <v>19.11.1971</v>
      </c>
    </row>
    <row r="282" spans="1:11" x14ac:dyDescent="0.25">
      <c r="A282" s="4" t="s">
        <v>308</v>
      </c>
      <c r="B282" t="s">
        <v>16</v>
      </c>
      <c r="C282" t="s">
        <v>4</v>
      </c>
      <c r="D282" s="3">
        <f t="shared" si="28"/>
        <v>77</v>
      </c>
      <c r="E282" s="4">
        <f t="shared" si="29"/>
        <v>4</v>
      </c>
      <c r="F282" s="4">
        <f t="shared" si="30"/>
        <v>18</v>
      </c>
      <c r="G282" s="3">
        <f>IF(E282&gt;=20,2000,1900) + D282</f>
        <v>1977</v>
      </c>
      <c r="H282">
        <f t="shared" si="31"/>
        <v>4</v>
      </c>
      <c r="I282" s="4">
        <f t="shared" si="32"/>
        <v>18</v>
      </c>
      <c r="J282">
        <f t="shared" si="33"/>
        <v>19770418</v>
      </c>
      <c r="K282" t="str">
        <f t="shared" si="34"/>
        <v>18.04.1977</v>
      </c>
    </row>
    <row r="283" spans="1:11" x14ac:dyDescent="0.25">
      <c r="A283" s="4" t="s">
        <v>309</v>
      </c>
      <c r="B283" t="s">
        <v>16</v>
      </c>
      <c r="C283" t="s">
        <v>6</v>
      </c>
      <c r="D283" s="3">
        <f t="shared" si="28"/>
        <v>61</v>
      </c>
      <c r="E283" s="4">
        <f t="shared" si="29"/>
        <v>8</v>
      </c>
      <c r="F283" s="4">
        <f t="shared" si="30"/>
        <v>24</v>
      </c>
      <c r="G283" s="3">
        <f>IF(E283&gt;=20,2000,1900) + D283</f>
        <v>1961</v>
      </c>
      <c r="H283">
        <f t="shared" si="31"/>
        <v>8</v>
      </c>
      <c r="I283" s="4">
        <f t="shared" si="32"/>
        <v>24</v>
      </c>
      <c r="J283">
        <f t="shared" si="33"/>
        <v>19610824</v>
      </c>
      <c r="K283" t="str">
        <f t="shared" si="34"/>
        <v>24.08.1961</v>
      </c>
    </row>
    <row r="284" spans="1:11" x14ac:dyDescent="0.25">
      <c r="A284" s="4" t="s">
        <v>310</v>
      </c>
      <c r="B284" t="s">
        <v>13</v>
      </c>
      <c r="C284" t="s">
        <v>4</v>
      </c>
      <c r="D284" s="3">
        <f t="shared" si="28"/>
        <v>53</v>
      </c>
      <c r="E284" s="4">
        <f t="shared" si="29"/>
        <v>8</v>
      </c>
      <c r="F284" s="4">
        <f t="shared" si="30"/>
        <v>3</v>
      </c>
      <c r="G284" s="3">
        <f>IF(E284&gt;=20,2000,1900) + D284</f>
        <v>1953</v>
      </c>
      <c r="H284">
        <f t="shared" si="31"/>
        <v>8</v>
      </c>
      <c r="I284" s="4">
        <f t="shared" si="32"/>
        <v>3</v>
      </c>
      <c r="J284">
        <f t="shared" si="33"/>
        <v>19530803</v>
      </c>
      <c r="K284" t="str">
        <f t="shared" si="34"/>
        <v>03.08.1953</v>
      </c>
    </row>
    <row r="285" spans="1:11" x14ac:dyDescent="0.25">
      <c r="A285" s="4" t="s">
        <v>311</v>
      </c>
      <c r="B285" t="s">
        <v>20</v>
      </c>
      <c r="C285" t="s">
        <v>6</v>
      </c>
      <c r="D285" s="3">
        <f t="shared" si="28"/>
        <v>81</v>
      </c>
      <c r="E285" s="4">
        <f t="shared" si="29"/>
        <v>9</v>
      </c>
      <c r="F285" s="4">
        <f t="shared" si="30"/>
        <v>21</v>
      </c>
      <c r="G285" s="3">
        <f>IF(E285&gt;=20,2000,1900) + D285</f>
        <v>1981</v>
      </c>
      <c r="H285">
        <f t="shared" si="31"/>
        <v>9</v>
      </c>
      <c r="I285" s="4">
        <f t="shared" si="32"/>
        <v>21</v>
      </c>
      <c r="J285">
        <f t="shared" si="33"/>
        <v>19810921</v>
      </c>
      <c r="K285" t="str">
        <f t="shared" si="34"/>
        <v>21.09.1981</v>
      </c>
    </row>
    <row r="286" spans="1:11" x14ac:dyDescent="0.25">
      <c r="A286" s="4" t="s">
        <v>312</v>
      </c>
      <c r="B286" t="s">
        <v>13</v>
      </c>
      <c r="C286" t="s">
        <v>4</v>
      </c>
      <c r="D286" s="3">
        <f t="shared" si="28"/>
        <v>83</v>
      </c>
      <c r="E286" s="4">
        <f t="shared" si="29"/>
        <v>10</v>
      </c>
      <c r="F286" s="4">
        <f t="shared" si="30"/>
        <v>20</v>
      </c>
      <c r="G286" s="3">
        <f>IF(E286&gt;=20,2000,1900) + D286</f>
        <v>1983</v>
      </c>
      <c r="H286">
        <f t="shared" si="31"/>
        <v>10</v>
      </c>
      <c r="I286" s="4">
        <f t="shared" si="32"/>
        <v>20</v>
      </c>
      <c r="J286">
        <f t="shared" si="33"/>
        <v>19831020</v>
      </c>
      <c r="K286" t="str">
        <f t="shared" si="34"/>
        <v>20.10.1983</v>
      </c>
    </row>
    <row r="287" spans="1:11" x14ac:dyDescent="0.25">
      <c r="A287" s="4" t="s">
        <v>313</v>
      </c>
      <c r="B287" t="s">
        <v>10</v>
      </c>
      <c r="C287" t="s">
        <v>6</v>
      </c>
      <c r="D287" s="3">
        <f t="shared" si="28"/>
        <v>57</v>
      </c>
      <c r="E287" s="4">
        <f t="shared" si="29"/>
        <v>8</v>
      </c>
      <c r="F287" s="4">
        <f t="shared" si="30"/>
        <v>7</v>
      </c>
      <c r="G287" s="3">
        <f>IF(E287&gt;=20,2000,1900) + D287</f>
        <v>1957</v>
      </c>
      <c r="H287">
        <f t="shared" si="31"/>
        <v>8</v>
      </c>
      <c r="I287" s="4">
        <f t="shared" si="32"/>
        <v>7</v>
      </c>
      <c r="J287">
        <f t="shared" si="33"/>
        <v>19570807</v>
      </c>
      <c r="K287" t="str">
        <f t="shared" si="34"/>
        <v>07.08.1957</v>
      </c>
    </row>
    <row r="288" spans="1:11" x14ac:dyDescent="0.25">
      <c r="A288" s="4" t="s">
        <v>314</v>
      </c>
      <c r="B288" t="s">
        <v>17</v>
      </c>
      <c r="C288" t="s">
        <v>4</v>
      </c>
      <c r="D288" s="3">
        <f t="shared" si="28"/>
        <v>96</v>
      </c>
      <c r="E288" s="4">
        <f t="shared" si="29"/>
        <v>9</v>
      </c>
      <c r="F288" s="4">
        <f t="shared" si="30"/>
        <v>28</v>
      </c>
      <c r="G288" s="3">
        <f>IF(E288&gt;=20,2000,1900) + D288</f>
        <v>1996</v>
      </c>
      <c r="H288">
        <f t="shared" si="31"/>
        <v>9</v>
      </c>
      <c r="I288" s="4">
        <f t="shared" si="32"/>
        <v>28</v>
      </c>
      <c r="J288">
        <f t="shared" si="33"/>
        <v>19960928</v>
      </c>
      <c r="K288" t="str">
        <f t="shared" si="34"/>
        <v>28.09.1996</v>
      </c>
    </row>
    <row r="289" spans="1:11" x14ac:dyDescent="0.25">
      <c r="A289" s="4" t="s">
        <v>315</v>
      </c>
      <c r="B289" t="s">
        <v>18</v>
      </c>
      <c r="C289" t="s">
        <v>4</v>
      </c>
      <c r="D289" s="3">
        <f t="shared" si="28"/>
        <v>61</v>
      </c>
      <c r="E289" s="4">
        <f t="shared" si="29"/>
        <v>4</v>
      </c>
      <c r="F289" s="4">
        <f t="shared" si="30"/>
        <v>8</v>
      </c>
      <c r="G289" s="3">
        <f>IF(E289&gt;=20,2000,1900) + D289</f>
        <v>1961</v>
      </c>
      <c r="H289">
        <f t="shared" si="31"/>
        <v>4</v>
      </c>
      <c r="I289" s="4">
        <f t="shared" si="32"/>
        <v>8</v>
      </c>
      <c r="J289">
        <f t="shared" si="33"/>
        <v>19610408</v>
      </c>
      <c r="K289" t="str">
        <f t="shared" si="34"/>
        <v>08.04.1961</v>
      </c>
    </row>
    <row r="290" spans="1:11" x14ac:dyDescent="0.25">
      <c r="A290" s="4" t="s">
        <v>316</v>
      </c>
      <c r="B290" t="s">
        <v>13</v>
      </c>
      <c r="C290" t="s">
        <v>6</v>
      </c>
      <c r="D290" s="3">
        <f t="shared" si="28"/>
        <v>56</v>
      </c>
      <c r="E290" s="4">
        <f t="shared" si="29"/>
        <v>11</v>
      </c>
      <c r="F290" s="4">
        <f t="shared" si="30"/>
        <v>24</v>
      </c>
      <c r="G290" s="3">
        <f>IF(E290&gt;=20,2000,1900) + D290</f>
        <v>1956</v>
      </c>
      <c r="H290">
        <f t="shared" si="31"/>
        <v>11</v>
      </c>
      <c r="I290" s="4">
        <f t="shared" si="32"/>
        <v>24</v>
      </c>
      <c r="J290">
        <f t="shared" si="33"/>
        <v>19561124</v>
      </c>
      <c r="K290" t="str">
        <f t="shared" si="34"/>
        <v>24.11.1956</v>
      </c>
    </row>
    <row r="291" spans="1:11" x14ac:dyDescent="0.25">
      <c r="A291" s="4" t="s">
        <v>317</v>
      </c>
      <c r="B291" t="s">
        <v>7</v>
      </c>
      <c r="C291" t="s">
        <v>6</v>
      </c>
      <c r="D291" s="3">
        <f t="shared" si="28"/>
        <v>73</v>
      </c>
      <c r="E291" s="4">
        <f t="shared" si="29"/>
        <v>3</v>
      </c>
      <c r="F291" s="4">
        <f t="shared" si="30"/>
        <v>31</v>
      </c>
      <c r="G291" s="3">
        <f>IF(E291&gt;=20,2000,1900) + D291</f>
        <v>1973</v>
      </c>
      <c r="H291">
        <f t="shared" si="31"/>
        <v>3</v>
      </c>
      <c r="I291" s="4">
        <f t="shared" si="32"/>
        <v>31</v>
      </c>
      <c r="J291">
        <f t="shared" si="33"/>
        <v>19730331</v>
      </c>
      <c r="K291" t="str">
        <f t="shared" si="34"/>
        <v>31.03.1973</v>
      </c>
    </row>
    <row r="292" spans="1:11" x14ac:dyDescent="0.25">
      <c r="A292" s="4" t="s">
        <v>318</v>
      </c>
      <c r="B292" t="s">
        <v>16</v>
      </c>
      <c r="C292" t="s">
        <v>4</v>
      </c>
      <c r="D292" s="3">
        <f t="shared" si="28"/>
        <v>59</v>
      </c>
      <c r="E292" s="4">
        <f t="shared" si="29"/>
        <v>7</v>
      </c>
      <c r="F292" s="4">
        <f t="shared" si="30"/>
        <v>11</v>
      </c>
      <c r="G292" s="3">
        <f>IF(E292&gt;=20,2000,1900) + D292</f>
        <v>1959</v>
      </c>
      <c r="H292">
        <f t="shared" si="31"/>
        <v>7</v>
      </c>
      <c r="I292" s="4">
        <f t="shared" si="32"/>
        <v>11</v>
      </c>
      <c r="J292">
        <f t="shared" si="33"/>
        <v>19590711</v>
      </c>
      <c r="K292" t="str">
        <f t="shared" si="34"/>
        <v>11.07.1959</v>
      </c>
    </row>
    <row r="293" spans="1:11" x14ac:dyDescent="0.25">
      <c r="A293" s="4" t="s">
        <v>319</v>
      </c>
      <c r="B293" t="s">
        <v>11</v>
      </c>
      <c r="C293" t="s">
        <v>6</v>
      </c>
      <c r="D293" s="3">
        <f t="shared" si="28"/>
        <v>53</v>
      </c>
      <c r="E293" s="4">
        <f t="shared" si="29"/>
        <v>6</v>
      </c>
      <c r="F293" s="4">
        <f t="shared" si="30"/>
        <v>26</v>
      </c>
      <c r="G293" s="3">
        <f>IF(E293&gt;=20,2000,1900) + D293</f>
        <v>1953</v>
      </c>
      <c r="H293">
        <f t="shared" si="31"/>
        <v>6</v>
      </c>
      <c r="I293" s="4">
        <f t="shared" si="32"/>
        <v>26</v>
      </c>
      <c r="J293">
        <f t="shared" si="33"/>
        <v>19530626</v>
      </c>
      <c r="K293" t="str">
        <f t="shared" si="34"/>
        <v>26.06.1953</v>
      </c>
    </row>
    <row r="294" spans="1:11" x14ac:dyDescent="0.25">
      <c r="A294" s="4" t="s">
        <v>320</v>
      </c>
      <c r="B294" t="s">
        <v>5</v>
      </c>
      <c r="C294" t="s">
        <v>6</v>
      </c>
      <c r="D294" s="3">
        <f t="shared" si="28"/>
        <v>94</v>
      </c>
      <c r="E294" s="4">
        <f t="shared" si="29"/>
        <v>9</v>
      </c>
      <c r="F294" s="4">
        <f t="shared" si="30"/>
        <v>17</v>
      </c>
      <c r="G294" s="3">
        <f>IF(E294&gt;=20,2000,1900) + D294</f>
        <v>1994</v>
      </c>
      <c r="H294">
        <f t="shared" si="31"/>
        <v>9</v>
      </c>
      <c r="I294" s="4">
        <f t="shared" si="32"/>
        <v>17</v>
      </c>
      <c r="J294">
        <f t="shared" si="33"/>
        <v>19940917</v>
      </c>
      <c r="K294" t="str">
        <f t="shared" si="34"/>
        <v>17.09.1994</v>
      </c>
    </row>
    <row r="295" spans="1:11" x14ac:dyDescent="0.25">
      <c r="A295" s="4" t="s">
        <v>321</v>
      </c>
      <c r="B295" t="s">
        <v>18</v>
      </c>
      <c r="C295" t="s">
        <v>6</v>
      </c>
      <c r="D295" s="3">
        <f t="shared" si="28"/>
        <v>66</v>
      </c>
      <c r="E295" s="4">
        <f t="shared" si="29"/>
        <v>8</v>
      </c>
      <c r="F295" s="4">
        <f t="shared" si="30"/>
        <v>24</v>
      </c>
      <c r="G295" s="3">
        <f>IF(E295&gt;=20,2000,1900) + D295</f>
        <v>1966</v>
      </c>
      <c r="H295">
        <f t="shared" si="31"/>
        <v>8</v>
      </c>
      <c r="I295" s="4">
        <f t="shared" si="32"/>
        <v>24</v>
      </c>
      <c r="J295">
        <f t="shared" si="33"/>
        <v>19660824</v>
      </c>
      <c r="K295" t="str">
        <f t="shared" si="34"/>
        <v>24.08.1966</v>
      </c>
    </row>
    <row r="296" spans="1:11" x14ac:dyDescent="0.25">
      <c r="A296" s="4" t="s">
        <v>322</v>
      </c>
      <c r="B296" t="s">
        <v>18</v>
      </c>
      <c r="C296" t="s">
        <v>4</v>
      </c>
      <c r="D296" s="3">
        <f t="shared" si="28"/>
        <v>70</v>
      </c>
      <c r="E296" s="4">
        <f t="shared" si="29"/>
        <v>12</v>
      </c>
      <c r="F296" s="4">
        <f t="shared" si="30"/>
        <v>4</v>
      </c>
      <c r="G296" s="3">
        <f>IF(E296&gt;=20,2000,1900) + D296</f>
        <v>1970</v>
      </c>
      <c r="H296">
        <f t="shared" si="31"/>
        <v>12</v>
      </c>
      <c r="I296" s="4">
        <f t="shared" si="32"/>
        <v>4</v>
      </c>
      <c r="J296">
        <f t="shared" si="33"/>
        <v>19701204</v>
      </c>
      <c r="K296" t="str">
        <f t="shared" si="34"/>
        <v>04.12.1970</v>
      </c>
    </row>
    <row r="297" spans="1:11" x14ac:dyDescent="0.25">
      <c r="A297" s="4" t="s">
        <v>323</v>
      </c>
      <c r="B297" t="s">
        <v>17</v>
      </c>
      <c r="C297" t="s">
        <v>6</v>
      </c>
      <c r="D297" s="3">
        <f t="shared" si="28"/>
        <v>99</v>
      </c>
      <c r="E297" s="4">
        <f t="shared" si="29"/>
        <v>7</v>
      </c>
      <c r="F297" s="4">
        <f t="shared" si="30"/>
        <v>23</v>
      </c>
      <c r="G297" s="3">
        <f>IF(E297&gt;=20,2000,1900) + D297</f>
        <v>1999</v>
      </c>
      <c r="H297">
        <f t="shared" si="31"/>
        <v>7</v>
      </c>
      <c r="I297" s="4">
        <f t="shared" si="32"/>
        <v>23</v>
      </c>
      <c r="J297">
        <f t="shared" si="33"/>
        <v>19990723</v>
      </c>
      <c r="K297" t="str">
        <f t="shared" si="34"/>
        <v>23.07.1999</v>
      </c>
    </row>
    <row r="298" spans="1:11" x14ac:dyDescent="0.25">
      <c r="A298" s="4" t="s">
        <v>324</v>
      </c>
      <c r="B298" t="s">
        <v>17</v>
      </c>
      <c r="C298" t="s">
        <v>4</v>
      </c>
      <c r="D298" s="3">
        <f t="shared" si="28"/>
        <v>52</v>
      </c>
      <c r="E298" s="4">
        <f t="shared" si="29"/>
        <v>3</v>
      </c>
      <c r="F298" s="4">
        <f t="shared" si="30"/>
        <v>21</v>
      </c>
      <c r="G298" s="3">
        <f>IF(E298&gt;=20,2000,1900) + D298</f>
        <v>1952</v>
      </c>
      <c r="H298">
        <f t="shared" si="31"/>
        <v>3</v>
      </c>
      <c r="I298" s="4">
        <f t="shared" si="32"/>
        <v>21</v>
      </c>
      <c r="J298">
        <f t="shared" si="33"/>
        <v>19520321</v>
      </c>
      <c r="K298" t="str">
        <f t="shared" si="34"/>
        <v>21.03.1952</v>
      </c>
    </row>
    <row r="299" spans="1:11" x14ac:dyDescent="0.25">
      <c r="A299" s="4" t="s">
        <v>325</v>
      </c>
      <c r="B299" t="s">
        <v>3</v>
      </c>
      <c r="C299" t="s">
        <v>6</v>
      </c>
      <c r="D299" s="3">
        <f t="shared" si="28"/>
        <v>89</v>
      </c>
      <c r="E299" s="4">
        <f t="shared" si="29"/>
        <v>10</v>
      </c>
      <c r="F299" s="4">
        <f t="shared" si="30"/>
        <v>11</v>
      </c>
      <c r="G299" s="3">
        <f>IF(E299&gt;=20,2000,1900) + D299</f>
        <v>1989</v>
      </c>
      <c r="H299">
        <f t="shared" si="31"/>
        <v>10</v>
      </c>
      <c r="I299" s="4">
        <f t="shared" si="32"/>
        <v>11</v>
      </c>
      <c r="J299">
        <f t="shared" si="33"/>
        <v>19891011</v>
      </c>
      <c r="K299" t="str">
        <f t="shared" si="34"/>
        <v>11.10.1989</v>
      </c>
    </row>
    <row r="300" spans="1:11" x14ac:dyDescent="0.25">
      <c r="A300" s="4" t="s">
        <v>326</v>
      </c>
      <c r="B300" t="s">
        <v>14</v>
      </c>
      <c r="C300" t="s">
        <v>6</v>
      </c>
      <c r="D300" s="3">
        <f t="shared" si="28"/>
        <v>79</v>
      </c>
      <c r="E300" s="4">
        <f t="shared" si="29"/>
        <v>8</v>
      </c>
      <c r="F300" s="4">
        <f t="shared" si="30"/>
        <v>30</v>
      </c>
      <c r="G300" s="3">
        <f>IF(E300&gt;=20,2000,1900) + D300</f>
        <v>1979</v>
      </c>
      <c r="H300">
        <f t="shared" si="31"/>
        <v>8</v>
      </c>
      <c r="I300" s="4">
        <f t="shared" si="32"/>
        <v>30</v>
      </c>
      <c r="J300">
        <f t="shared" si="33"/>
        <v>19790830</v>
      </c>
      <c r="K300" t="str">
        <f t="shared" si="34"/>
        <v>30.08.1979</v>
      </c>
    </row>
    <row r="301" spans="1:11" x14ac:dyDescent="0.25">
      <c r="A301" s="4" t="s">
        <v>327</v>
      </c>
      <c r="B301" t="s">
        <v>5</v>
      </c>
      <c r="C301" t="s">
        <v>4</v>
      </c>
      <c r="D301" s="3">
        <f t="shared" si="28"/>
        <v>93</v>
      </c>
      <c r="E301" s="4">
        <f t="shared" si="29"/>
        <v>2</v>
      </c>
      <c r="F301" s="4">
        <f t="shared" si="30"/>
        <v>15</v>
      </c>
      <c r="G301" s="3">
        <f>IF(E301&gt;=20,2000,1900) + D301</f>
        <v>1993</v>
      </c>
      <c r="H301">
        <f t="shared" si="31"/>
        <v>2</v>
      </c>
      <c r="I301" s="4">
        <f t="shared" si="32"/>
        <v>15</v>
      </c>
      <c r="J301">
        <f t="shared" si="33"/>
        <v>19930215</v>
      </c>
      <c r="K301" t="str">
        <f t="shared" si="34"/>
        <v>15.02.1993</v>
      </c>
    </row>
    <row r="302" spans="1:11" x14ac:dyDescent="0.25">
      <c r="A302" s="4" t="s">
        <v>328</v>
      </c>
      <c r="B302" t="s">
        <v>17</v>
      </c>
      <c r="C302" t="s">
        <v>4</v>
      </c>
      <c r="D302" s="3">
        <f t="shared" si="28"/>
        <v>92</v>
      </c>
      <c r="E302" s="4">
        <f t="shared" si="29"/>
        <v>11</v>
      </c>
      <c r="F302" s="4">
        <f t="shared" si="30"/>
        <v>24</v>
      </c>
      <c r="G302" s="3">
        <f>IF(E302&gt;=20,2000,1900) + D302</f>
        <v>1992</v>
      </c>
      <c r="H302">
        <f t="shared" si="31"/>
        <v>11</v>
      </c>
      <c r="I302" s="4">
        <f t="shared" si="32"/>
        <v>24</v>
      </c>
      <c r="J302">
        <f t="shared" si="33"/>
        <v>19921124</v>
      </c>
      <c r="K302" t="str">
        <f t="shared" si="34"/>
        <v>24.11.1992</v>
      </c>
    </row>
    <row r="303" spans="1:11" x14ac:dyDescent="0.25">
      <c r="A303" s="4" t="s">
        <v>329</v>
      </c>
      <c r="B303" t="s">
        <v>20</v>
      </c>
      <c r="C303" t="s">
        <v>6</v>
      </c>
      <c r="D303" s="3">
        <f t="shared" si="28"/>
        <v>51</v>
      </c>
      <c r="E303" s="4">
        <f t="shared" si="29"/>
        <v>12</v>
      </c>
      <c r="F303" s="4">
        <f t="shared" si="30"/>
        <v>11</v>
      </c>
      <c r="G303" s="3">
        <f>IF(E303&gt;=20,2000,1900) + D303</f>
        <v>1951</v>
      </c>
      <c r="H303">
        <f t="shared" si="31"/>
        <v>12</v>
      </c>
      <c r="I303" s="4">
        <f t="shared" si="32"/>
        <v>11</v>
      </c>
      <c r="J303">
        <f t="shared" si="33"/>
        <v>19511211</v>
      </c>
      <c r="K303" t="str">
        <f t="shared" si="34"/>
        <v>11.12.1951</v>
      </c>
    </row>
    <row r="304" spans="1:11" x14ac:dyDescent="0.25">
      <c r="A304" s="4" t="s">
        <v>330</v>
      </c>
      <c r="B304" t="s">
        <v>15</v>
      </c>
      <c r="C304" t="s">
        <v>6</v>
      </c>
      <c r="D304" s="3">
        <f t="shared" si="28"/>
        <v>85</v>
      </c>
      <c r="E304" s="4">
        <f t="shared" si="29"/>
        <v>11</v>
      </c>
      <c r="F304" s="4">
        <f t="shared" si="30"/>
        <v>14</v>
      </c>
      <c r="G304" s="3">
        <f>IF(E304&gt;=20,2000,1900) + D304</f>
        <v>1985</v>
      </c>
      <c r="H304">
        <f t="shared" si="31"/>
        <v>11</v>
      </c>
      <c r="I304" s="4">
        <f t="shared" si="32"/>
        <v>14</v>
      </c>
      <c r="J304">
        <f t="shared" si="33"/>
        <v>19851114</v>
      </c>
      <c r="K304" t="str">
        <f t="shared" si="34"/>
        <v>14.11.1985</v>
      </c>
    </row>
    <row r="305" spans="1:11" x14ac:dyDescent="0.25">
      <c r="A305" s="4" t="s">
        <v>331</v>
      </c>
      <c r="B305" t="s">
        <v>20</v>
      </c>
      <c r="C305" t="s">
        <v>4</v>
      </c>
      <c r="D305" s="3">
        <f t="shared" si="28"/>
        <v>98</v>
      </c>
      <c r="E305" s="4">
        <f t="shared" si="29"/>
        <v>1</v>
      </c>
      <c r="F305" s="4">
        <f t="shared" si="30"/>
        <v>20</v>
      </c>
      <c r="G305" s="3">
        <f>IF(E305&gt;=20,2000,1900) + D305</f>
        <v>1998</v>
      </c>
      <c r="H305">
        <f t="shared" si="31"/>
        <v>1</v>
      </c>
      <c r="I305" s="4">
        <f t="shared" si="32"/>
        <v>20</v>
      </c>
      <c r="J305">
        <f t="shared" si="33"/>
        <v>19980120</v>
      </c>
      <c r="K305" t="str">
        <f t="shared" si="34"/>
        <v>20.01.1998</v>
      </c>
    </row>
    <row r="306" spans="1:11" x14ac:dyDescent="0.25">
      <c r="A306" s="4" t="s">
        <v>332</v>
      </c>
      <c r="B306" t="s">
        <v>15</v>
      </c>
      <c r="C306" t="s">
        <v>4</v>
      </c>
      <c r="D306" s="3">
        <f t="shared" si="28"/>
        <v>72</v>
      </c>
      <c r="E306" s="4">
        <f t="shared" si="29"/>
        <v>7</v>
      </c>
      <c r="F306" s="4">
        <f t="shared" si="30"/>
        <v>10</v>
      </c>
      <c r="G306" s="3">
        <f>IF(E306&gt;=20,2000,1900) + D306</f>
        <v>1972</v>
      </c>
      <c r="H306">
        <f t="shared" si="31"/>
        <v>7</v>
      </c>
      <c r="I306" s="4">
        <f t="shared" si="32"/>
        <v>10</v>
      </c>
      <c r="J306">
        <f t="shared" si="33"/>
        <v>19720710</v>
      </c>
      <c r="K306" t="str">
        <f t="shared" si="34"/>
        <v>10.07.1972</v>
      </c>
    </row>
    <row r="307" spans="1:11" x14ac:dyDescent="0.25">
      <c r="A307" s="4" t="s">
        <v>333</v>
      </c>
      <c r="B307" t="s">
        <v>10</v>
      </c>
      <c r="C307" t="s">
        <v>4</v>
      </c>
      <c r="D307" s="3">
        <f t="shared" si="28"/>
        <v>69</v>
      </c>
      <c r="E307" s="4">
        <f t="shared" si="29"/>
        <v>4</v>
      </c>
      <c r="F307" s="4">
        <f t="shared" si="30"/>
        <v>9</v>
      </c>
      <c r="G307" s="3">
        <f>IF(E307&gt;=20,2000,1900) + D307</f>
        <v>1969</v>
      </c>
      <c r="H307">
        <f t="shared" si="31"/>
        <v>4</v>
      </c>
      <c r="I307" s="4">
        <f t="shared" si="32"/>
        <v>9</v>
      </c>
      <c r="J307">
        <f t="shared" si="33"/>
        <v>19690409</v>
      </c>
      <c r="K307" t="str">
        <f t="shared" si="34"/>
        <v>09.04.1969</v>
      </c>
    </row>
    <row r="308" spans="1:11" x14ac:dyDescent="0.25">
      <c r="A308" s="4" t="s">
        <v>334</v>
      </c>
      <c r="B308" t="s">
        <v>5</v>
      </c>
      <c r="C308" t="s">
        <v>4</v>
      </c>
      <c r="D308" s="3">
        <f t="shared" si="28"/>
        <v>69</v>
      </c>
      <c r="E308" s="4">
        <f t="shared" si="29"/>
        <v>9</v>
      </c>
      <c r="F308" s="4">
        <f t="shared" si="30"/>
        <v>4</v>
      </c>
      <c r="G308" s="3">
        <f>IF(E308&gt;=20,2000,1900) + D308</f>
        <v>1969</v>
      </c>
      <c r="H308">
        <f t="shared" si="31"/>
        <v>9</v>
      </c>
      <c r="I308" s="4">
        <f t="shared" si="32"/>
        <v>4</v>
      </c>
      <c r="J308">
        <f t="shared" si="33"/>
        <v>19690904</v>
      </c>
      <c r="K308" t="str">
        <f t="shared" si="34"/>
        <v>04.09.1969</v>
      </c>
    </row>
    <row r="309" spans="1:11" x14ac:dyDescent="0.25">
      <c r="A309" s="4" t="s">
        <v>335</v>
      </c>
      <c r="B309" t="s">
        <v>19</v>
      </c>
      <c r="C309" t="s">
        <v>4</v>
      </c>
      <c r="D309" s="3">
        <f t="shared" si="28"/>
        <v>50</v>
      </c>
      <c r="E309" s="4">
        <f t="shared" si="29"/>
        <v>6</v>
      </c>
      <c r="F309" s="4">
        <f t="shared" si="30"/>
        <v>21</v>
      </c>
      <c r="G309" s="3">
        <f>IF(E309&gt;=20,2000,1900) + D309</f>
        <v>1950</v>
      </c>
      <c r="H309">
        <f t="shared" si="31"/>
        <v>6</v>
      </c>
      <c r="I309" s="4">
        <f t="shared" si="32"/>
        <v>21</v>
      </c>
      <c r="J309">
        <f t="shared" si="33"/>
        <v>19500621</v>
      </c>
      <c r="K309" t="str">
        <f t="shared" si="34"/>
        <v>21.06.1950</v>
      </c>
    </row>
    <row r="310" spans="1:11" x14ac:dyDescent="0.25">
      <c r="A310" s="4" t="s">
        <v>336</v>
      </c>
      <c r="B310" t="s">
        <v>14</v>
      </c>
      <c r="C310" t="s">
        <v>6</v>
      </c>
      <c r="D310" s="3">
        <f t="shared" si="28"/>
        <v>96</v>
      </c>
      <c r="E310" s="4">
        <f t="shared" si="29"/>
        <v>12</v>
      </c>
      <c r="F310" s="4">
        <f t="shared" si="30"/>
        <v>30</v>
      </c>
      <c r="G310" s="3">
        <f>IF(E310&gt;=20,2000,1900) + D310</f>
        <v>1996</v>
      </c>
      <c r="H310">
        <f t="shared" si="31"/>
        <v>12</v>
      </c>
      <c r="I310" s="4">
        <f t="shared" si="32"/>
        <v>30</v>
      </c>
      <c r="J310">
        <f t="shared" si="33"/>
        <v>19961230</v>
      </c>
      <c r="K310" t="str">
        <f t="shared" si="34"/>
        <v>30.12.1996</v>
      </c>
    </row>
    <row r="311" spans="1:11" x14ac:dyDescent="0.25">
      <c r="A311" s="4" t="s">
        <v>337</v>
      </c>
      <c r="B311" t="s">
        <v>11</v>
      </c>
      <c r="C311" t="s">
        <v>4</v>
      </c>
      <c r="D311" s="3">
        <f t="shared" si="28"/>
        <v>50</v>
      </c>
      <c r="E311" s="4">
        <f t="shared" si="29"/>
        <v>4</v>
      </c>
      <c r="F311" s="4">
        <f t="shared" si="30"/>
        <v>7</v>
      </c>
      <c r="G311" s="3">
        <f>IF(E311&gt;=20,2000,1900) + D311</f>
        <v>1950</v>
      </c>
      <c r="H311">
        <f t="shared" si="31"/>
        <v>4</v>
      </c>
      <c r="I311" s="4">
        <f t="shared" si="32"/>
        <v>7</v>
      </c>
      <c r="J311">
        <f t="shared" si="33"/>
        <v>19500407</v>
      </c>
      <c r="K311" t="str">
        <f t="shared" si="34"/>
        <v>07.04.1950</v>
      </c>
    </row>
    <row r="312" spans="1:11" x14ac:dyDescent="0.25">
      <c r="A312" s="4" t="s">
        <v>338</v>
      </c>
      <c r="B312" t="s">
        <v>19</v>
      </c>
      <c r="C312" t="s">
        <v>4</v>
      </c>
      <c r="D312" s="3">
        <f t="shared" si="28"/>
        <v>86</v>
      </c>
      <c r="E312" s="4">
        <f t="shared" si="29"/>
        <v>6</v>
      </c>
      <c r="F312" s="4">
        <f t="shared" si="30"/>
        <v>30</v>
      </c>
      <c r="G312" s="3">
        <f>IF(E312&gt;=20,2000,1900) + D312</f>
        <v>1986</v>
      </c>
      <c r="H312">
        <f t="shared" si="31"/>
        <v>6</v>
      </c>
      <c r="I312" s="4">
        <f t="shared" si="32"/>
        <v>30</v>
      </c>
      <c r="J312">
        <f t="shared" si="33"/>
        <v>19860630</v>
      </c>
      <c r="K312" t="str">
        <f t="shared" si="34"/>
        <v>30.06.1986</v>
      </c>
    </row>
    <row r="313" spans="1:11" x14ac:dyDescent="0.25">
      <c r="A313" s="4" t="s">
        <v>339</v>
      </c>
      <c r="B313" t="s">
        <v>17</v>
      </c>
      <c r="C313" t="s">
        <v>4</v>
      </c>
      <c r="D313" s="3">
        <f t="shared" si="28"/>
        <v>64</v>
      </c>
      <c r="E313" s="4">
        <f t="shared" si="29"/>
        <v>7</v>
      </c>
      <c r="F313" s="4">
        <f t="shared" si="30"/>
        <v>5</v>
      </c>
      <c r="G313" s="3">
        <f>IF(E313&gt;=20,2000,1900) + D313</f>
        <v>1964</v>
      </c>
      <c r="H313">
        <f t="shared" si="31"/>
        <v>7</v>
      </c>
      <c r="I313" s="4">
        <f t="shared" si="32"/>
        <v>5</v>
      </c>
      <c r="J313">
        <f t="shared" si="33"/>
        <v>19640705</v>
      </c>
      <c r="K313" t="str">
        <f t="shared" si="34"/>
        <v>05.07.1964</v>
      </c>
    </row>
    <row r="314" spans="1:11" x14ac:dyDescent="0.25">
      <c r="A314" s="4" t="s">
        <v>340</v>
      </c>
      <c r="B314" t="s">
        <v>12</v>
      </c>
      <c r="C314" t="s">
        <v>4</v>
      </c>
      <c r="D314" s="3">
        <f t="shared" si="28"/>
        <v>61</v>
      </c>
      <c r="E314" s="4">
        <f t="shared" si="29"/>
        <v>11</v>
      </c>
      <c r="F314" s="4">
        <f t="shared" si="30"/>
        <v>14</v>
      </c>
      <c r="G314" s="3">
        <f>IF(E314&gt;=20,2000,1900) + D314</f>
        <v>1961</v>
      </c>
      <c r="H314">
        <f t="shared" si="31"/>
        <v>11</v>
      </c>
      <c r="I314" s="4">
        <f t="shared" si="32"/>
        <v>14</v>
      </c>
      <c r="J314">
        <f t="shared" si="33"/>
        <v>19611114</v>
      </c>
      <c r="K314" t="str">
        <f t="shared" si="34"/>
        <v>14.11.1961</v>
      </c>
    </row>
    <row r="315" spans="1:11" x14ac:dyDescent="0.25">
      <c r="A315" s="4" t="s">
        <v>341</v>
      </c>
      <c r="B315" t="s">
        <v>5</v>
      </c>
      <c r="C315" t="s">
        <v>6</v>
      </c>
      <c r="D315" s="3">
        <f t="shared" si="28"/>
        <v>55</v>
      </c>
      <c r="E315" s="4">
        <f t="shared" si="29"/>
        <v>8</v>
      </c>
      <c r="F315" s="4">
        <f t="shared" si="30"/>
        <v>14</v>
      </c>
      <c r="G315" s="3">
        <f>IF(E315&gt;=20,2000,1900) + D315</f>
        <v>1955</v>
      </c>
      <c r="H315">
        <f t="shared" si="31"/>
        <v>8</v>
      </c>
      <c r="I315" s="4">
        <f t="shared" si="32"/>
        <v>14</v>
      </c>
      <c r="J315">
        <f t="shared" si="33"/>
        <v>19550814</v>
      </c>
      <c r="K315" t="str">
        <f t="shared" si="34"/>
        <v>14.08.1955</v>
      </c>
    </row>
    <row r="316" spans="1:11" x14ac:dyDescent="0.25">
      <c r="A316" s="4" t="s">
        <v>342</v>
      </c>
      <c r="B316" t="s">
        <v>5</v>
      </c>
      <c r="C316" t="s">
        <v>6</v>
      </c>
      <c r="D316" s="3">
        <f t="shared" si="28"/>
        <v>68</v>
      </c>
      <c r="E316" s="4">
        <f t="shared" si="29"/>
        <v>10</v>
      </c>
      <c r="F316" s="4">
        <f t="shared" si="30"/>
        <v>14</v>
      </c>
      <c r="G316" s="3">
        <f>IF(E316&gt;=20,2000,1900) + D316</f>
        <v>1968</v>
      </c>
      <c r="H316">
        <f t="shared" si="31"/>
        <v>10</v>
      </c>
      <c r="I316" s="4">
        <f t="shared" si="32"/>
        <v>14</v>
      </c>
      <c r="J316">
        <f t="shared" si="33"/>
        <v>19681014</v>
      </c>
      <c r="K316" t="str">
        <f t="shared" si="34"/>
        <v>14.10.1968</v>
      </c>
    </row>
    <row r="317" spans="1:11" x14ac:dyDescent="0.25">
      <c r="A317" s="4" t="s">
        <v>343</v>
      </c>
      <c r="B317" t="s">
        <v>17</v>
      </c>
      <c r="C317" t="s">
        <v>6</v>
      </c>
      <c r="D317" s="3">
        <f t="shared" si="28"/>
        <v>96</v>
      </c>
      <c r="E317" s="4">
        <f t="shared" si="29"/>
        <v>7</v>
      </c>
      <c r="F317" s="4">
        <f t="shared" si="30"/>
        <v>21</v>
      </c>
      <c r="G317" s="3">
        <f>IF(E317&gt;=20,2000,1900) + D317</f>
        <v>1996</v>
      </c>
      <c r="H317">
        <f t="shared" si="31"/>
        <v>7</v>
      </c>
      <c r="I317" s="4">
        <f t="shared" si="32"/>
        <v>21</v>
      </c>
      <c r="J317">
        <f t="shared" si="33"/>
        <v>19960721</v>
      </c>
      <c r="K317" t="str">
        <f t="shared" si="34"/>
        <v>21.07.1996</v>
      </c>
    </row>
    <row r="318" spans="1:11" x14ac:dyDescent="0.25">
      <c r="A318" s="4" t="s">
        <v>344</v>
      </c>
      <c r="B318" t="s">
        <v>8</v>
      </c>
      <c r="C318" t="s">
        <v>6</v>
      </c>
      <c r="D318" s="3">
        <f t="shared" si="28"/>
        <v>53</v>
      </c>
      <c r="E318" s="4">
        <f t="shared" si="29"/>
        <v>11</v>
      </c>
      <c r="F318" s="4">
        <f t="shared" si="30"/>
        <v>13</v>
      </c>
      <c r="G318" s="3">
        <f>IF(E318&gt;=20,2000,1900) + D318</f>
        <v>1953</v>
      </c>
      <c r="H318">
        <f t="shared" si="31"/>
        <v>11</v>
      </c>
      <c r="I318" s="4">
        <f t="shared" si="32"/>
        <v>13</v>
      </c>
      <c r="J318">
        <f t="shared" si="33"/>
        <v>19531113</v>
      </c>
      <c r="K318" t="str">
        <f t="shared" si="34"/>
        <v>13.11.1953</v>
      </c>
    </row>
    <row r="319" spans="1:11" x14ac:dyDescent="0.25">
      <c r="A319" s="4" t="s">
        <v>345</v>
      </c>
      <c r="B319" t="s">
        <v>5</v>
      </c>
      <c r="C319" t="s">
        <v>6</v>
      </c>
      <c r="D319" s="3">
        <f t="shared" si="28"/>
        <v>66</v>
      </c>
      <c r="E319" s="4">
        <f t="shared" si="29"/>
        <v>5</v>
      </c>
      <c r="F319" s="4">
        <f t="shared" si="30"/>
        <v>4</v>
      </c>
      <c r="G319" s="3">
        <f>IF(E319&gt;=20,2000,1900) + D319</f>
        <v>1966</v>
      </c>
      <c r="H319">
        <f t="shared" si="31"/>
        <v>5</v>
      </c>
      <c r="I319" s="4">
        <f t="shared" si="32"/>
        <v>4</v>
      </c>
      <c r="J319">
        <f t="shared" si="33"/>
        <v>19660504</v>
      </c>
      <c r="K319" t="str">
        <f t="shared" si="34"/>
        <v>04.05.1966</v>
      </c>
    </row>
    <row r="320" spans="1:11" x14ac:dyDescent="0.25">
      <c r="A320" s="4" t="s">
        <v>346</v>
      </c>
      <c r="B320" t="s">
        <v>8</v>
      </c>
      <c r="C320" t="s">
        <v>6</v>
      </c>
      <c r="D320" s="3">
        <f t="shared" si="28"/>
        <v>50</v>
      </c>
      <c r="E320" s="4">
        <f t="shared" si="29"/>
        <v>11</v>
      </c>
      <c r="F320" s="4">
        <f t="shared" si="30"/>
        <v>25</v>
      </c>
      <c r="G320" s="3">
        <f>IF(E320&gt;=20,2000,1900) + D320</f>
        <v>1950</v>
      </c>
      <c r="H320">
        <f t="shared" si="31"/>
        <v>11</v>
      </c>
      <c r="I320" s="4">
        <f t="shared" si="32"/>
        <v>25</v>
      </c>
      <c r="J320">
        <f t="shared" si="33"/>
        <v>19501125</v>
      </c>
      <c r="K320" t="str">
        <f t="shared" si="34"/>
        <v>25.11.1950</v>
      </c>
    </row>
    <row r="321" spans="1:11" x14ac:dyDescent="0.25">
      <c r="A321" s="4" t="s">
        <v>347</v>
      </c>
      <c r="B321" t="s">
        <v>17</v>
      </c>
      <c r="C321" t="s">
        <v>4</v>
      </c>
      <c r="D321" s="3">
        <f t="shared" si="28"/>
        <v>66</v>
      </c>
      <c r="E321" s="4">
        <f t="shared" si="29"/>
        <v>4</v>
      </c>
      <c r="F321" s="4">
        <f t="shared" si="30"/>
        <v>15</v>
      </c>
      <c r="G321" s="3">
        <f>IF(E321&gt;=20,2000,1900) + D321</f>
        <v>1966</v>
      </c>
      <c r="H321">
        <f t="shared" si="31"/>
        <v>4</v>
      </c>
      <c r="I321" s="4">
        <f t="shared" si="32"/>
        <v>15</v>
      </c>
      <c r="J321">
        <f t="shared" si="33"/>
        <v>19660415</v>
      </c>
      <c r="K321" t="str">
        <f t="shared" si="34"/>
        <v>15.04.1966</v>
      </c>
    </row>
    <row r="322" spans="1:11" x14ac:dyDescent="0.25">
      <c r="A322" s="4" t="s">
        <v>348</v>
      </c>
      <c r="B322" t="s">
        <v>9</v>
      </c>
      <c r="C322" t="s">
        <v>4</v>
      </c>
      <c r="D322" s="3">
        <f t="shared" si="28"/>
        <v>54</v>
      </c>
      <c r="E322" s="4">
        <f t="shared" si="29"/>
        <v>11</v>
      </c>
      <c r="F322" s="4">
        <f t="shared" si="30"/>
        <v>11</v>
      </c>
      <c r="G322" s="3">
        <f>IF(E322&gt;=20,2000,1900) + D322</f>
        <v>1954</v>
      </c>
      <c r="H322">
        <f t="shared" si="31"/>
        <v>11</v>
      </c>
      <c r="I322" s="4">
        <f t="shared" si="32"/>
        <v>11</v>
      </c>
      <c r="J322">
        <f t="shared" si="33"/>
        <v>19541111</v>
      </c>
      <c r="K322" t="str">
        <f t="shared" si="34"/>
        <v>11.11.1954</v>
      </c>
    </row>
    <row r="323" spans="1:11" x14ac:dyDescent="0.25">
      <c r="A323" s="4" t="s">
        <v>349</v>
      </c>
      <c r="B323" t="s">
        <v>14</v>
      </c>
      <c r="C323" t="s">
        <v>6</v>
      </c>
      <c r="D323" s="3">
        <f t="shared" ref="D323:D386" si="35">MID(A323,1,2)*1</f>
        <v>56</v>
      </c>
      <c r="E323" s="4">
        <f t="shared" ref="E323:E386" si="36">MID(A323,3,2)*1</f>
        <v>4</v>
      </c>
      <c r="F323" s="4">
        <f t="shared" ref="F323:F386" si="37">MID(A323,5,2)*1</f>
        <v>2</v>
      </c>
      <c r="G323" s="3">
        <f>IF(E323&gt;=20,2000,1900) + D323</f>
        <v>1956</v>
      </c>
      <c r="H323">
        <f t="shared" ref="H323:H386" si="38">IF(E323&gt;=20,E323-20,E323)</f>
        <v>4</v>
      </c>
      <c r="I323" s="4">
        <f t="shared" ref="I323:I386" si="39">F323</f>
        <v>2</v>
      </c>
      <c r="J323">
        <f t="shared" ref="J323:J386" si="40">CONCATENATE(G323,IF(LEN(E323)=1,CONCATENATE("0",E323),E323),IF(LEN(F323)=1,CONCATENATE("0",F323),F323))*1</f>
        <v>19560402</v>
      </c>
      <c r="K323" t="str">
        <f t="shared" ref="K323:K386" si="41">CONCATENATE(RIGHT(J323,2),".",MID(J323,5,2),".",LEFT(J323,4))</f>
        <v>02.04.1956</v>
      </c>
    </row>
    <row r="324" spans="1:11" x14ac:dyDescent="0.25">
      <c r="A324" s="4" t="s">
        <v>350</v>
      </c>
      <c r="B324" t="s">
        <v>11</v>
      </c>
      <c r="C324" t="s">
        <v>4</v>
      </c>
      <c r="D324" s="3">
        <f t="shared" si="35"/>
        <v>78</v>
      </c>
      <c r="E324" s="4">
        <f t="shared" si="36"/>
        <v>11</v>
      </c>
      <c r="F324" s="4">
        <f t="shared" si="37"/>
        <v>14</v>
      </c>
      <c r="G324" s="3">
        <f>IF(E324&gt;=20,2000,1900) + D324</f>
        <v>1978</v>
      </c>
      <c r="H324">
        <f t="shared" si="38"/>
        <v>11</v>
      </c>
      <c r="I324" s="4">
        <f t="shared" si="39"/>
        <v>14</v>
      </c>
      <c r="J324">
        <f t="shared" si="40"/>
        <v>19781114</v>
      </c>
      <c r="K324" t="str">
        <f t="shared" si="41"/>
        <v>14.11.1978</v>
      </c>
    </row>
    <row r="325" spans="1:11" x14ac:dyDescent="0.25">
      <c r="A325" s="4" t="s">
        <v>351</v>
      </c>
      <c r="B325" t="s">
        <v>7</v>
      </c>
      <c r="C325" t="s">
        <v>6</v>
      </c>
      <c r="D325" s="3">
        <f t="shared" si="35"/>
        <v>73</v>
      </c>
      <c r="E325" s="4">
        <f t="shared" si="36"/>
        <v>7</v>
      </c>
      <c r="F325" s="4">
        <f t="shared" si="37"/>
        <v>6</v>
      </c>
      <c r="G325" s="3">
        <f>IF(E325&gt;=20,2000,1900) + D325</f>
        <v>1973</v>
      </c>
      <c r="H325">
        <f t="shared" si="38"/>
        <v>7</v>
      </c>
      <c r="I325" s="4">
        <f t="shared" si="39"/>
        <v>6</v>
      </c>
      <c r="J325">
        <f t="shared" si="40"/>
        <v>19730706</v>
      </c>
      <c r="K325" t="str">
        <f t="shared" si="41"/>
        <v>06.07.1973</v>
      </c>
    </row>
    <row r="326" spans="1:11" x14ac:dyDescent="0.25">
      <c r="A326" s="4" t="s">
        <v>352</v>
      </c>
      <c r="B326" t="s">
        <v>14</v>
      </c>
      <c r="C326" t="s">
        <v>6</v>
      </c>
      <c r="D326" s="3">
        <f t="shared" si="35"/>
        <v>61</v>
      </c>
      <c r="E326" s="4">
        <f t="shared" si="36"/>
        <v>4</v>
      </c>
      <c r="F326" s="4">
        <f t="shared" si="37"/>
        <v>24</v>
      </c>
      <c r="G326" s="3">
        <f>IF(E326&gt;=20,2000,1900) + D326</f>
        <v>1961</v>
      </c>
      <c r="H326">
        <f t="shared" si="38"/>
        <v>4</v>
      </c>
      <c r="I326" s="4">
        <f t="shared" si="39"/>
        <v>24</v>
      </c>
      <c r="J326">
        <f t="shared" si="40"/>
        <v>19610424</v>
      </c>
      <c r="K326" t="str">
        <f t="shared" si="41"/>
        <v>24.04.1961</v>
      </c>
    </row>
    <row r="327" spans="1:11" x14ac:dyDescent="0.25">
      <c r="A327" s="4" t="s">
        <v>353</v>
      </c>
      <c r="B327" t="s">
        <v>19</v>
      </c>
      <c r="C327" t="s">
        <v>4</v>
      </c>
      <c r="D327" s="3">
        <f t="shared" si="35"/>
        <v>81</v>
      </c>
      <c r="E327" s="4">
        <f t="shared" si="36"/>
        <v>5</v>
      </c>
      <c r="F327" s="4">
        <f t="shared" si="37"/>
        <v>8</v>
      </c>
      <c r="G327" s="3">
        <f>IF(E327&gt;=20,2000,1900) + D327</f>
        <v>1981</v>
      </c>
      <c r="H327">
        <f t="shared" si="38"/>
        <v>5</v>
      </c>
      <c r="I327" s="4">
        <f t="shared" si="39"/>
        <v>8</v>
      </c>
      <c r="J327">
        <f t="shared" si="40"/>
        <v>19810508</v>
      </c>
      <c r="K327" t="str">
        <f t="shared" si="41"/>
        <v>08.05.1981</v>
      </c>
    </row>
    <row r="328" spans="1:11" x14ac:dyDescent="0.25">
      <c r="A328" s="4" t="s">
        <v>354</v>
      </c>
      <c r="B328" t="s">
        <v>9</v>
      </c>
      <c r="C328" t="s">
        <v>4</v>
      </c>
      <c r="D328" s="3">
        <f t="shared" si="35"/>
        <v>58</v>
      </c>
      <c r="E328" s="4">
        <f t="shared" si="36"/>
        <v>9</v>
      </c>
      <c r="F328" s="4">
        <f t="shared" si="37"/>
        <v>18</v>
      </c>
      <c r="G328" s="3">
        <f>IF(E328&gt;=20,2000,1900) + D328</f>
        <v>1958</v>
      </c>
      <c r="H328">
        <f t="shared" si="38"/>
        <v>9</v>
      </c>
      <c r="I328" s="4">
        <f t="shared" si="39"/>
        <v>18</v>
      </c>
      <c r="J328">
        <f t="shared" si="40"/>
        <v>19580918</v>
      </c>
      <c r="K328" t="str">
        <f t="shared" si="41"/>
        <v>18.09.1958</v>
      </c>
    </row>
    <row r="329" spans="1:11" x14ac:dyDescent="0.25">
      <c r="A329" s="4" t="s">
        <v>355</v>
      </c>
      <c r="B329" t="s">
        <v>5</v>
      </c>
      <c r="C329" t="s">
        <v>6</v>
      </c>
      <c r="D329" s="3">
        <f t="shared" si="35"/>
        <v>66</v>
      </c>
      <c r="E329" s="4">
        <f t="shared" si="36"/>
        <v>8</v>
      </c>
      <c r="F329" s="4">
        <f t="shared" si="37"/>
        <v>22</v>
      </c>
      <c r="G329" s="3">
        <f>IF(E329&gt;=20,2000,1900) + D329</f>
        <v>1966</v>
      </c>
      <c r="H329">
        <f t="shared" si="38"/>
        <v>8</v>
      </c>
      <c r="I329" s="4">
        <f t="shared" si="39"/>
        <v>22</v>
      </c>
      <c r="J329">
        <f t="shared" si="40"/>
        <v>19660822</v>
      </c>
      <c r="K329" t="str">
        <f t="shared" si="41"/>
        <v>22.08.1966</v>
      </c>
    </row>
    <row r="330" spans="1:11" x14ac:dyDescent="0.25">
      <c r="A330" s="4" t="s">
        <v>356</v>
      </c>
      <c r="B330" t="s">
        <v>17</v>
      </c>
      <c r="C330" t="s">
        <v>6</v>
      </c>
      <c r="D330" s="3">
        <f t="shared" si="35"/>
        <v>69</v>
      </c>
      <c r="E330" s="4">
        <f t="shared" si="36"/>
        <v>2</v>
      </c>
      <c r="F330" s="4">
        <f t="shared" si="37"/>
        <v>5</v>
      </c>
      <c r="G330" s="3">
        <f>IF(E330&gt;=20,2000,1900) + D330</f>
        <v>1969</v>
      </c>
      <c r="H330">
        <f t="shared" si="38"/>
        <v>2</v>
      </c>
      <c r="I330" s="4">
        <f t="shared" si="39"/>
        <v>5</v>
      </c>
      <c r="J330">
        <f t="shared" si="40"/>
        <v>19690205</v>
      </c>
      <c r="K330" t="str">
        <f t="shared" si="41"/>
        <v>05.02.1969</v>
      </c>
    </row>
    <row r="331" spans="1:11" x14ac:dyDescent="0.25">
      <c r="A331" s="4" t="s">
        <v>357</v>
      </c>
      <c r="B331" t="s">
        <v>10</v>
      </c>
      <c r="C331" t="s">
        <v>4</v>
      </c>
      <c r="D331" s="3">
        <f t="shared" si="35"/>
        <v>57</v>
      </c>
      <c r="E331" s="4">
        <f t="shared" si="36"/>
        <v>11</v>
      </c>
      <c r="F331" s="4">
        <f t="shared" si="37"/>
        <v>14</v>
      </c>
      <c r="G331" s="3">
        <f>IF(E331&gt;=20,2000,1900) + D331</f>
        <v>1957</v>
      </c>
      <c r="H331">
        <f t="shared" si="38"/>
        <v>11</v>
      </c>
      <c r="I331" s="4">
        <f t="shared" si="39"/>
        <v>14</v>
      </c>
      <c r="J331">
        <f t="shared" si="40"/>
        <v>19571114</v>
      </c>
      <c r="K331" t="str">
        <f t="shared" si="41"/>
        <v>14.11.1957</v>
      </c>
    </row>
    <row r="332" spans="1:11" x14ac:dyDescent="0.25">
      <c r="A332" s="4" t="s">
        <v>358</v>
      </c>
      <c r="B332" t="s">
        <v>12</v>
      </c>
      <c r="C332" t="s">
        <v>4</v>
      </c>
      <c r="D332" s="3">
        <f t="shared" si="35"/>
        <v>52</v>
      </c>
      <c r="E332" s="4">
        <f t="shared" si="36"/>
        <v>11</v>
      </c>
      <c r="F332" s="4">
        <f t="shared" si="37"/>
        <v>7</v>
      </c>
      <c r="G332" s="3">
        <f>IF(E332&gt;=20,2000,1900) + D332</f>
        <v>1952</v>
      </c>
      <c r="H332">
        <f t="shared" si="38"/>
        <v>11</v>
      </c>
      <c r="I332" s="4">
        <f t="shared" si="39"/>
        <v>7</v>
      </c>
      <c r="J332">
        <f t="shared" si="40"/>
        <v>19521107</v>
      </c>
      <c r="K332" t="str">
        <f t="shared" si="41"/>
        <v>07.11.1952</v>
      </c>
    </row>
    <row r="333" spans="1:11" x14ac:dyDescent="0.25">
      <c r="A333" s="4" t="s">
        <v>359</v>
      </c>
      <c r="B333" t="s">
        <v>19</v>
      </c>
      <c r="C333" t="s">
        <v>4</v>
      </c>
      <c r="D333" s="3">
        <f t="shared" si="35"/>
        <v>93</v>
      </c>
      <c r="E333" s="4">
        <f t="shared" si="36"/>
        <v>1</v>
      </c>
      <c r="F333" s="4">
        <f t="shared" si="37"/>
        <v>12</v>
      </c>
      <c r="G333" s="3">
        <f>IF(E333&gt;=20,2000,1900) + D333</f>
        <v>1993</v>
      </c>
      <c r="H333">
        <f t="shared" si="38"/>
        <v>1</v>
      </c>
      <c r="I333" s="4">
        <f t="shared" si="39"/>
        <v>12</v>
      </c>
      <c r="J333">
        <f t="shared" si="40"/>
        <v>19930112</v>
      </c>
      <c r="K333" t="str">
        <f t="shared" si="41"/>
        <v>12.01.1993</v>
      </c>
    </row>
    <row r="334" spans="1:11" x14ac:dyDescent="0.25">
      <c r="A334" s="4" t="s">
        <v>360</v>
      </c>
      <c r="B334" t="s">
        <v>12</v>
      </c>
      <c r="C334" t="s">
        <v>6</v>
      </c>
      <c r="D334" s="3">
        <f t="shared" si="35"/>
        <v>96</v>
      </c>
      <c r="E334" s="4">
        <f t="shared" si="36"/>
        <v>12</v>
      </c>
      <c r="F334" s="4">
        <f t="shared" si="37"/>
        <v>19</v>
      </c>
      <c r="G334" s="3">
        <f>IF(E334&gt;=20,2000,1900) + D334</f>
        <v>1996</v>
      </c>
      <c r="H334">
        <f t="shared" si="38"/>
        <v>12</v>
      </c>
      <c r="I334" s="4">
        <f t="shared" si="39"/>
        <v>19</v>
      </c>
      <c r="J334">
        <f t="shared" si="40"/>
        <v>19961219</v>
      </c>
      <c r="K334" t="str">
        <f t="shared" si="41"/>
        <v>19.12.1996</v>
      </c>
    </row>
    <row r="335" spans="1:11" x14ac:dyDescent="0.25">
      <c r="A335" s="4" t="s">
        <v>361</v>
      </c>
      <c r="B335" t="s">
        <v>17</v>
      </c>
      <c r="C335" t="s">
        <v>6</v>
      </c>
      <c r="D335" s="3">
        <f t="shared" si="35"/>
        <v>79</v>
      </c>
      <c r="E335" s="4">
        <f t="shared" si="36"/>
        <v>6</v>
      </c>
      <c r="F335" s="4">
        <f t="shared" si="37"/>
        <v>16</v>
      </c>
      <c r="G335" s="3">
        <f>IF(E335&gt;=20,2000,1900) + D335</f>
        <v>1979</v>
      </c>
      <c r="H335">
        <f t="shared" si="38"/>
        <v>6</v>
      </c>
      <c r="I335" s="4">
        <f t="shared" si="39"/>
        <v>16</v>
      </c>
      <c r="J335">
        <f t="shared" si="40"/>
        <v>19790616</v>
      </c>
      <c r="K335" t="str">
        <f t="shared" si="41"/>
        <v>16.06.1979</v>
      </c>
    </row>
    <row r="336" spans="1:11" x14ac:dyDescent="0.25">
      <c r="A336" s="4" t="s">
        <v>362</v>
      </c>
      <c r="B336" t="s">
        <v>5</v>
      </c>
      <c r="C336" t="s">
        <v>4</v>
      </c>
      <c r="D336" s="3">
        <f t="shared" si="35"/>
        <v>90</v>
      </c>
      <c r="E336" s="4">
        <f t="shared" si="36"/>
        <v>8</v>
      </c>
      <c r="F336" s="4">
        <f t="shared" si="37"/>
        <v>29</v>
      </c>
      <c r="G336" s="3">
        <f>IF(E336&gt;=20,2000,1900) + D336</f>
        <v>1990</v>
      </c>
      <c r="H336">
        <f t="shared" si="38"/>
        <v>8</v>
      </c>
      <c r="I336" s="4">
        <f t="shared" si="39"/>
        <v>29</v>
      </c>
      <c r="J336">
        <f t="shared" si="40"/>
        <v>19900829</v>
      </c>
      <c r="K336" t="str">
        <f t="shared" si="41"/>
        <v>29.08.1990</v>
      </c>
    </row>
    <row r="337" spans="1:11" x14ac:dyDescent="0.25">
      <c r="A337" s="4" t="s">
        <v>363</v>
      </c>
      <c r="B337" t="s">
        <v>19</v>
      </c>
      <c r="C337" t="s">
        <v>4</v>
      </c>
      <c r="D337" s="3">
        <f t="shared" si="35"/>
        <v>86</v>
      </c>
      <c r="E337" s="4">
        <f t="shared" si="36"/>
        <v>1</v>
      </c>
      <c r="F337" s="4">
        <f t="shared" si="37"/>
        <v>8</v>
      </c>
      <c r="G337" s="3">
        <f>IF(E337&gt;=20,2000,1900) + D337</f>
        <v>1986</v>
      </c>
      <c r="H337">
        <f t="shared" si="38"/>
        <v>1</v>
      </c>
      <c r="I337" s="4">
        <f t="shared" si="39"/>
        <v>8</v>
      </c>
      <c r="J337">
        <f t="shared" si="40"/>
        <v>19860108</v>
      </c>
      <c r="K337" t="str">
        <f t="shared" si="41"/>
        <v>08.01.1986</v>
      </c>
    </row>
    <row r="338" spans="1:11" x14ac:dyDescent="0.25">
      <c r="A338" s="4" t="s">
        <v>364</v>
      </c>
      <c r="B338" t="s">
        <v>13</v>
      </c>
      <c r="C338" t="s">
        <v>4</v>
      </c>
      <c r="D338" s="3">
        <f t="shared" si="35"/>
        <v>60</v>
      </c>
      <c r="E338" s="4">
        <f t="shared" si="36"/>
        <v>5</v>
      </c>
      <c r="F338" s="4">
        <f t="shared" si="37"/>
        <v>14</v>
      </c>
      <c r="G338" s="3">
        <f>IF(E338&gt;=20,2000,1900) + D338</f>
        <v>1960</v>
      </c>
      <c r="H338">
        <f t="shared" si="38"/>
        <v>5</v>
      </c>
      <c r="I338" s="4">
        <f t="shared" si="39"/>
        <v>14</v>
      </c>
      <c r="J338">
        <f t="shared" si="40"/>
        <v>19600514</v>
      </c>
      <c r="K338" t="str">
        <f t="shared" si="41"/>
        <v>14.05.1960</v>
      </c>
    </row>
    <row r="339" spans="1:11" x14ac:dyDescent="0.25">
      <c r="A339" s="4" t="s">
        <v>365</v>
      </c>
      <c r="B339" t="s">
        <v>13</v>
      </c>
      <c r="C339" t="s">
        <v>6</v>
      </c>
      <c r="D339" s="3">
        <f t="shared" si="35"/>
        <v>78</v>
      </c>
      <c r="E339" s="4">
        <f t="shared" si="36"/>
        <v>1</v>
      </c>
      <c r="F339" s="4">
        <f t="shared" si="37"/>
        <v>26</v>
      </c>
      <c r="G339" s="3">
        <f>IF(E339&gt;=20,2000,1900) + D339</f>
        <v>1978</v>
      </c>
      <c r="H339">
        <f t="shared" si="38"/>
        <v>1</v>
      </c>
      <c r="I339" s="4">
        <f t="shared" si="39"/>
        <v>26</v>
      </c>
      <c r="J339">
        <f t="shared" si="40"/>
        <v>19780126</v>
      </c>
      <c r="K339" t="str">
        <f t="shared" si="41"/>
        <v>26.01.1978</v>
      </c>
    </row>
    <row r="340" spans="1:11" x14ac:dyDescent="0.25">
      <c r="A340" s="4" t="s">
        <v>366</v>
      </c>
      <c r="B340" t="s">
        <v>20</v>
      </c>
      <c r="C340" t="s">
        <v>6</v>
      </c>
      <c r="D340" s="3">
        <f t="shared" si="35"/>
        <v>85</v>
      </c>
      <c r="E340" s="4">
        <f t="shared" si="36"/>
        <v>12</v>
      </c>
      <c r="F340" s="4">
        <f t="shared" si="37"/>
        <v>2</v>
      </c>
      <c r="G340" s="3">
        <f>IF(E340&gt;=20,2000,1900) + D340</f>
        <v>1985</v>
      </c>
      <c r="H340">
        <f t="shared" si="38"/>
        <v>12</v>
      </c>
      <c r="I340" s="4">
        <f t="shared" si="39"/>
        <v>2</v>
      </c>
      <c r="J340">
        <f t="shared" si="40"/>
        <v>19851202</v>
      </c>
      <c r="K340" t="str">
        <f t="shared" si="41"/>
        <v>02.12.1985</v>
      </c>
    </row>
    <row r="341" spans="1:11" x14ac:dyDescent="0.25">
      <c r="A341" s="4" t="s">
        <v>367</v>
      </c>
      <c r="B341" t="s">
        <v>19</v>
      </c>
      <c r="C341" t="s">
        <v>4</v>
      </c>
      <c r="D341" s="3">
        <f t="shared" si="35"/>
        <v>52</v>
      </c>
      <c r="E341" s="4">
        <f t="shared" si="36"/>
        <v>4</v>
      </c>
      <c r="F341" s="4">
        <f t="shared" si="37"/>
        <v>25</v>
      </c>
      <c r="G341" s="3">
        <f>IF(E341&gt;=20,2000,1900) + D341</f>
        <v>1952</v>
      </c>
      <c r="H341">
        <f t="shared" si="38"/>
        <v>4</v>
      </c>
      <c r="I341" s="4">
        <f t="shared" si="39"/>
        <v>25</v>
      </c>
      <c r="J341">
        <f t="shared" si="40"/>
        <v>19520425</v>
      </c>
      <c r="K341" t="str">
        <f t="shared" si="41"/>
        <v>25.04.1952</v>
      </c>
    </row>
    <row r="342" spans="1:11" x14ac:dyDescent="0.25">
      <c r="A342" s="4" t="s">
        <v>368</v>
      </c>
      <c r="B342" t="s">
        <v>10</v>
      </c>
      <c r="C342" t="s">
        <v>4</v>
      </c>
      <c r="D342" s="3">
        <f t="shared" si="35"/>
        <v>60</v>
      </c>
      <c r="E342" s="4">
        <f t="shared" si="36"/>
        <v>9</v>
      </c>
      <c r="F342" s="4">
        <f t="shared" si="37"/>
        <v>18</v>
      </c>
      <c r="G342" s="3">
        <f>IF(E342&gt;=20,2000,1900) + D342</f>
        <v>1960</v>
      </c>
      <c r="H342">
        <f t="shared" si="38"/>
        <v>9</v>
      </c>
      <c r="I342" s="4">
        <f t="shared" si="39"/>
        <v>18</v>
      </c>
      <c r="J342">
        <f t="shared" si="40"/>
        <v>19600918</v>
      </c>
      <c r="K342" t="str">
        <f t="shared" si="41"/>
        <v>18.09.1960</v>
      </c>
    </row>
    <row r="343" spans="1:11" x14ac:dyDescent="0.25">
      <c r="A343" s="4" t="s">
        <v>369</v>
      </c>
      <c r="B343" t="s">
        <v>10</v>
      </c>
      <c r="C343" t="s">
        <v>4</v>
      </c>
      <c r="D343" s="3">
        <f t="shared" si="35"/>
        <v>80</v>
      </c>
      <c r="E343" s="4">
        <f t="shared" si="36"/>
        <v>2</v>
      </c>
      <c r="F343" s="4">
        <f t="shared" si="37"/>
        <v>15</v>
      </c>
      <c r="G343" s="3">
        <f>IF(E343&gt;=20,2000,1900) + D343</f>
        <v>1980</v>
      </c>
      <c r="H343">
        <f t="shared" si="38"/>
        <v>2</v>
      </c>
      <c r="I343" s="4">
        <f t="shared" si="39"/>
        <v>15</v>
      </c>
      <c r="J343">
        <f t="shared" si="40"/>
        <v>19800215</v>
      </c>
      <c r="K343" t="str">
        <f t="shared" si="41"/>
        <v>15.02.1980</v>
      </c>
    </row>
    <row r="344" spans="1:11" x14ac:dyDescent="0.25">
      <c r="A344" s="4" t="s">
        <v>370</v>
      </c>
      <c r="B344" t="s">
        <v>10</v>
      </c>
      <c r="C344" t="s">
        <v>6</v>
      </c>
      <c r="D344" s="3">
        <f t="shared" si="35"/>
        <v>62</v>
      </c>
      <c r="E344" s="4">
        <f t="shared" si="36"/>
        <v>1</v>
      </c>
      <c r="F344" s="4">
        <f t="shared" si="37"/>
        <v>19</v>
      </c>
      <c r="G344" s="3">
        <f>IF(E344&gt;=20,2000,1900) + D344</f>
        <v>1962</v>
      </c>
      <c r="H344">
        <f t="shared" si="38"/>
        <v>1</v>
      </c>
      <c r="I344" s="4">
        <f t="shared" si="39"/>
        <v>19</v>
      </c>
      <c r="J344">
        <f t="shared" si="40"/>
        <v>19620119</v>
      </c>
      <c r="K344" t="str">
        <f t="shared" si="41"/>
        <v>19.01.1962</v>
      </c>
    </row>
    <row r="345" spans="1:11" x14ac:dyDescent="0.25">
      <c r="A345" s="4" t="s">
        <v>371</v>
      </c>
      <c r="B345" t="s">
        <v>19</v>
      </c>
      <c r="C345" t="s">
        <v>4</v>
      </c>
      <c r="D345" s="3">
        <f t="shared" si="35"/>
        <v>78</v>
      </c>
      <c r="E345" s="4">
        <f t="shared" si="36"/>
        <v>9</v>
      </c>
      <c r="F345" s="4">
        <f t="shared" si="37"/>
        <v>28</v>
      </c>
      <c r="G345" s="3">
        <f>IF(E345&gt;=20,2000,1900) + D345</f>
        <v>1978</v>
      </c>
      <c r="H345">
        <f t="shared" si="38"/>
        <v>9</v>
      </c>
      <c r="I345" s="4">
        <f t="shared" si="39"/>
        <v>28</v>
      </c>
      <c r="J345">
        <f t="shared" si="40"/>
        <v>19780928</v>
      </c>
      <c r="K345" t="str">
        <f t="shared" si="41"/>
        <v>28.09.1978</v>
      </c>
    </row>
    <row r="346" spans="1:11" x14ac:dyDescent="0.25">
      <c r="A346" s="4" t="s">
        <v>372</v>
      </c>
      <c r="B346" t="s">
        <v>3</v>
      </c>
      <c r="C346" t="s">
        <v>4</v>
      </c>
      <c r="D346" s="3">
        <f t="shared" si="35"/>
        <v>69</v>
      </c>
      <c r="E346" s="4">
        <f t="shared" si="36"/>
        <v>6</v>
      </c>
      <c r="F346" s="4">
        <f t="shared" si="37"/>
        <v>5</v>
      </c>
      <c r="G346" s="3">
        <f>IF(E346&gt;=20,2000,1900) + D346</f>
        <v>1969</v>
      </c>
      <c r="H346">
        <f t="shared" si="38"/>
        <v>6</v>
      </c>
      <c r="I346" s="4">
        <f t="shared" si="39"/>
        <v>5</v>
      </c>
      <c r="J346">
        <f t="shared" si="40"/>
        <v>19690605</v>
      </c>
      <c r="K346" t="str">
        <f t="shared" si="41"/>
        <v>05.06.1969</v>
      </c>
    </row>
    <row r="347" spans="1:11" x14ac:dyDescent="0.25">
      <c r="A347" s="4" t="s">
        <v>373</v>
      </c>
      <c r="B347" t="s">
        <v>13</v>
      </c>
      <c r="C347" t="s">
        <v>4</v>
      </c>
      <c r="D347" s="3">
        <f t="shared" si="35"/>
        <v>54</v>
      </c>
      <c r="E347" s="4">
        <f t="shared" si="36"/>
        <v>1</v>
      </c>
      <c r="F347" s="4">
        <f t="shared" si="37"/>
        <v>20</v>
      </c>
      <c r="G347" s="3">
        <f>IF(E347&gt;=20,2000,1900) + D347</f>
        <v>1954</v>
      </c>
      <c r="H347">
        <f t="shared" si="38"/>
        <v>1</v>
      </c>
      <c r="I347" s="4">
        <f t="shared" si="39"/>
        <v>20</v>
      </c>
      <c r="J347">
        <f t="shared" si="40"/>
        <v>19540120</v>
      </c>
      <c r="K347" t="str">
        <f t="shared" si="41"/>
        <v>20.01.1954</v>
      </c>
    </row>
    <row r="348" spans="1:11" x14ac:dyDescent="0.25">
      <c r="A348" s="4" t="s">
        <v>374</v>
      </c>
      <c r="B348" t="s">
        <v>11</v>
      </c>
      <c r="C348" t="s">
        <v>6</v>
      </c>
      <c r="D348" s="3">
        <f t="shared" si="35"/>
        <v>71</v>
      </c>
      <c r="E348" s="4">
        <f t="shared" si="36"/>
        <v>12</v>
      </c>
      <c r="F348" s="4">
        <f t="shared" si="37"/>
        <v>7</v>
      </c>
      <c r="G348" s="3">
        <f>IF(E348&gt;=20,2000,1900) + D348</f>
        <v>1971</v>
      </c>
      <c r="H348">
        <f t="shared" si="38"/>
        <v>12</v>
      </c>
      <c r="I348" s="4">
        <f t="shared" si="39"/>
        <v>7</v>
      </c>
      <c r="J348">
        <f t="shared" si="40"/>
        <v>19711207</v>
      </c>
      <c r="K348" t="str">
        <f t="shared" si="41"/>
        <v>07.12.1971</v>
      </c>
    </row>
    <row r="349" spans="1:11" x14ac:dyDescent="0.25">
      <c r="A349" s="4" t="s">
        <v>375</v>
      </c>
      <c r="B349" t="s">
        <v>13</v>
      </c>
      <c r="C349" t="s">
        <v>4</v>
      </c>
      <c r="D349" s="3">
        <f t="shared" si="35"/>
        <v>97</v>
      </c>
      <c r="E349" s="4">
        <f t="shared" si="36"/>
        <v>8</v>
      </c>
      <c r="F349" s="4">
        <f t="shared" si="37"/>
        <v>25</v>
      </c>
      <c r="G349" s="3">
        <f>IF(E349&gt;=20,2000,1900) + D349</f>
        <v>1997</v>
      </c>
      <c r="H349">
        <f t="shared" si="38"/>
        <v>8</v>
      </c>
      <c r="I349" s="4">
        <f t="shared" si="39"/>
        <v>25</v>
      </c>
      <c r="J349">
        <f t="shared" si="40"/>
        <v>19970825</v>
      </c>
      <c r="K349" t="str">
        <f t="shared" si="41"/>
        <v>25.08.1997</v>
      </c>
    </row>
    <row r="350" spans="1:11" x14ac:dyDescent="0.25">
      <c r="A350" s="4" t="s">
        <v>376</v>
      </c>
      <c r="B350" t="s">
        <v>16</v>
      </c>
      <c r="C350" t="s">
        <v>4</v>
      </c>
      <c r="D350" s="3">
        <f t="shared" si="35"/>
        <v>83</v>
      </c>
      <c r="E350" s="4">
        <f t="shared" si="36"/>
        <v>9</v>
      </c>
      <c r="F350" s="4">
        <f t="shared" si="37"/>
        <v>20</v>
      </c>
      <c r="G350" s="3">
        <f>IF(E350&gt;=20,2000,1900) + D350</f>
        <v>1983</v>
      </c>
      <c r="H350">
        <f t="shared" si="38"/>
        <v>9</v>
      </c>
      <c r="I350" s="4">
        <f t="shared" si="39"/>
        <v>20</v>
      </c>
      <c r="J350">
        <f t="shared" si="40"/>
        <v>19830920</v>
      </c>
      <c r="K350" t="str">
        <f t="shared" si="41"/>
        <v>20.09.1983</v>
      </c>
    </row>
    <row r="351" spans="1:11" x14ac:dyDescent="0.25">
      <c r="A351" s="4" t="s">
        <v>377</v>
      </c>
      <c r="B351" t="s">
        <v>19</v>
      </c>
      <c r="C351" t="s">
        <v>6</v>
      </c>
      <c r="D351" s="3">
        <f t="shared" si="35"/>
        <v>63</v>
      </c>
      <c r="E351" s="4">
        <f t="shared" si="36"/>
        <v>1</v>
      </c>
      <c r="F351" s="4">
        <f t="shared" si="37"/>
        <v>12</v>
      </c>
      <c r="G351" s="3">
        <f>IF(E351&gt;=20,2000,1900) + D351</f>
        <v>1963</v>
      </c>
      <c r="H351">
        <f t="shared" si="38"/>
        <v>1</v>
      </c>
      <c r="I351" s="4">
        <f t="shared" si="39"/>
        <v>12</v>
      </c>
      <c r="J351">
        <f t="shared" si="40"/>
        <v>19630112</v>
      </c>
      <c r="K351" t="str">
        <f t="shared" si="41"/>
        <v>12.01.1963</v>
      </c>
    </row>
    <row r="352" spans="1:11" x14ac:dyDescent="0.25">
      <c r="A352" s="4" t="s">
        <v>378</v>
      </c>
      <c r="B352" t="s">
        <v>17</v>
      </c>
      <c r="C352" t="s">
        <v>4</v>
      </c>
      <c r="D352" s="3">
        <f t="shared" si="35"/>
        <v>55</v>
      </c>
      <c r="E352" s="4">
        <f t="shared" si="36"/>
        <v>4</v>
      </c>
      <c r="F352" s="4">
        <f t="shared" si="37"/>
        <v>3</v>
      </c>
      <c r="G352" s="3">
        <f>IF(E352&gt;=20,2000,1900) + D352</f>
        <v>1955</v>
      </c>
      <c r="H352">
        <f t="shared" si="38"/>
        <v>4</v>
      </c>
      <c r="I352" s="4">
        <f t="shared" si="39"/>
        <v>3</v>
      </c>
      <c r="J352">
        <f t="shared" si="40"/>
        <v>19550403</v>
      </c>
      <c r="K352" t="str">
        <f t="shared" si="41"/>
        <v>03.04.1955</v>
      </c>
    </row>
    <row r="353" spans="1:11" x14ac:dyDescent="0.25">
      <c r="A353" s="4" t="s">
        <v>379</v>
      </c>
      <c r="B353" t="s">
        <v>11</v>
      </c>
      <c r="C353" t="s">
        <v>6</v>
      </c>
      <c r="D353" s="3">
        <f t="shared" si="35"/>
        <v>93</v>
      </c>
      <c r="E353" s="4">
        <f t="shared" si="36"/>
        <v>4</v>
      </c>
      <c r="F353" s="4">
        <f t="shared" si="37"/>
        <v>23</v>
      </c>
      <c r="G353" s="3">
        <f>IF(E353&gt;=20,2000,1900) + D353</f>
        <v>1993</v>
      </c>
      <c r="H353">
        <f t="shared" si="38"/>
        <v>4</v>
      </c>
      <c r="I353" s="4">
        <f t="shared" si="39"/>
        <v>23</v>
      </c>
      <c r="J353">
        <f t="shared" si="40"/>
        <v>19930423</v>
      </c>
      <c r="K353" t="str">
        <f t="shared" si="41"/>
        <v>23.04.1993</v>
      </c>
    </row>
    <row r="354" spans="1:11" x14ac:dyDescent="0.25">
      <c r="A354" s="4" t="s">
        <v>380</v>
      </c>
      <c r="B354" t="s">
        <v>7</v>
      </c>
      <c r="C354" t="s">
        <v>4</v>
      </c>
      <c r="D354" s="3">
        <f t="shared" si="35"/>
        <v>54</v>
      </c>
      <c r="E354" s="4">
        <f t="shared" si="36"/>
        <v>5</v>
      </c>
      <c r="F354" s="4">
        <f t="shared" si="37"/>
        <v>4</v>
      </c>
      <c r="G354" s="3">
        <f>IF(E354&gt;=20,2000,1900) + D354</f>
        <v>1954</v>
      </c>
      <c r="H354">
        <f t="shared" si="38"/>
        <v>5</v>
      </c>
      <c r="I354" s="4">
        <f t="shared" si="39"/>
        <v>4</v>
      </c>
      <c r="J354">
        <f t="shared" si="40"/>
        <v>19540504</v>
      </c>
      <c r="K354" t="str">
        <f t="shared" si="41"/>
        <v>04.05.1954</v>
      </c>
    </row>
    <row r="355" spans="1:11" x14ac:dyDescent="0.25">
      <c r="A355" s="4" t="s">
        <v>381</v>
      </c>
      <c r="B355" t="s">
        <v>20</v>
      </c>
      <c r="C355" t="s">
        <v>6</v>
      </c>
      <c r="D355" s="3">
        <f t="shared" si="35"/>
        <v>87</v>
      </c>
      <c r="E355" s="4">
        <f t="shared" si="36"/>
        <v>11</v>
      </c>
      <c r="F355" s="4">
        <f t="shared" si="37"/>
        <v>4</v>
      </c>
      <c r="G355" s="3">
        <f>IF(E355&gt;=20,2000,1900) + D355</f>
        <v>1987</v>
      </c>
      <c r="H355">
        <f t="shared" si="38"/>
        <v>11</v>
      </c>
      <c r="I355" s="4">
        <f t="shared" si="39"/>
        <v>4</v>
      </c>
      <c r="J355">
        <f t="shared" si="40"/>
        <v>19871104</v>
      </c>
      <c r="K355" t="str">
        <f t="shared" si="41"/>
        <v>04.11.1987</v>
      </c>
    </row>
    <row r="356" spans="1:11" x14ac:dyDescent="0.25">
      <c r="A356" s="4" t="s">
        <v>382</v>
      </c>
      <c r="B356" t="s">
        <v>18</v>
      </c>
      <c r="C356" t="s">
        <v>6</v>
      </c>
      <c r="D356" s="3">
        <f t="shared" si="35"/>
        <v>56</v>
      </c>
      <c r="E356" s="4">
        <f t="shared" si="36"/>
        <v>10</v>
      </c>
      <c r="F356" s="4">
        <f t="shared" si="37"/>
        <v>2</v>
      </c>
      <c r="G356" s="3">
        <f>IF(E356&gt;=20,2000,1900) + D356</f>
        <v>1956</v>
      </c>
      <c r="H356">
        <f t="shared" si="38"/>
        <v>10</v>
      </c>
      <c r="I356" s="4">
        <f t="shared" si="39"/>
        <v>2</v>
      </c>
      <c r="J356">
        <f t="shared" si="40"/>
        <v>19561002</v>
      </c>
      <c r="K356" t="str">
        <f t="shared" si="41"/>
        <v>02.10.1956</v>
      </c>
    </row>
    <row r="357" spans="1:11" x14ac:dyDescent="0.25">
      <c r="A357" s="4" t="s">
        <v>383</v>
      </c>
      <c r="B357" t="s">
        <v>19</v>
      </c>
      <c r="C357" t="s">
        <v>4</v>
      </c>
      <c r="D357" s="3">
        <f t="shared" si="35"/>
        <v>87</v>
      </c>
      <c r="E357" s="4">
        <f t="shared" si="36"/>
        <v>8</v>
      </c>
      <c r="F357" s="4">
        <f t="shared" si="37"/>
        <v>17</v>
      </c>
      <c r="G357" s="3">
        <f>IF(E357&gt;=20,2000,1900) + D357</f>
        <v>1987</v>
      </c>
      <c r="H357">
        <f t="shared" si="38"/>
        <v>8</v>
      </c>
      <c r="I357" s="4">
        <f t="shared" si="39"/>
        <v>17</v>
      </c>
      <c r="J357">
        <f t="shared" si="40"/>
        <v>19870817</v>
      </c>
      <c r="K357" t="str">
        <f t="shared" si="41"/>
        <v>17.08.1987</v>
      </c>
    </row>
    <row r="358" spans="1:11" x14ac:dyDescent="0.25">
      <c r="A358" s="4" t="s">
        <v>384</v>
      </c>
      <c r="B358" t="s">
        <v>19</v>
      </c>
      <c r="C358" t="s">
        <v>4</v>
      </c>
      <c r="D358" s="3">
        <f t="shared" si="35"/>
        <v>65</v>
      </c>
      <c r="E358" s="4">
        <f t="shared" si="36"/>
        <v>3</v>
      </c>
      <c r="F358" s="4">
        <f t="shared" si="37"/>
        <v>1</v>
      </c>
      <c r="G358" s="3">
        <f>IF(E358&gt;=20,2000,1900) + D358</f>
        <v>1965</v>
      </c>
      <c r="H358">
        <f t="shared" si="38"/>
        <v>3</v>
      </c>
      <c r="I358" s="4">
        <f t="shared" si="39"/>
        <v>1</v>
      </c>
      <c r="J358">
        <f t="shared" si="40"/>
        <v>19650301</v>
      </c>
      <c r="K358" t="str">
        <f t="shared" si="41"/>
        <v>01.03.1965</v>
      </c>
    </row>
    <row r="359" spans="1:11" x14ac:dyDescent="0.25">
      <c r="A359" s="4" t="s">
        <v>385</v>
      </c>
      <c r="B359" t="s">
        <v>12</v>
      </c>
      <c r="C359" t="s">
        <v>6</v>
      </c>
      <c r="D359" s="3">
        <f t="shared" si="35"/>
        <v>98</v>
      </c>
      <c r="E359" s="4">
        <f t="shared" si="36"/>
        <v>10</v>
      </c>
      <c r="F359" s="4">
        <f t="shared" si="37"/>
        <v>14</v>
      </c>
      <c r="G359" s="3">
        <f>IF(E359&gt;=20,2000,1900) + D359</f>
        <v>1998</v>
      </c>
      <c r="H359">
        <f t="shared" si="38"/>
        <v>10</v>
      </c>
      <c r="I359" s="4">
        <f t="shared" si="39"/>
        <v>14</v>
      </c>
      <c r="J359">
        <f t="shared" si="40"/>
        <v>19981014</v>
      </c>
      <c r="K359" t="str">
        <f t="shared" si="41"/>
        <v>14.10.1998</v>
      </c>
    </row>
    <row r="360" spans="1:11" x14ac:dyDescent="0.25">
      <c r="A360" s="4" t="s">
        <v>386</v>
      </c>
      <c r="B360" t="s">
        <v>16</v>
      </c>
      <c r="C360" t="s">
        <v>4</v>
      </c>
      <c r="D360" s="3">
        <f t="shared" si="35"/>
        <v>81</v>
      </c>
      <c r="E360" s="4">
        <f t="shared" si="36"/>
        <v>7</v>
      </c>
      <c r="F360" s="4">
        <f t="shared" si="37"/>
        <v>14</v>
      </c>
      <c r="G360" s="3">
        <f>IF(E360&gt;=20,2000,1900) + D360</f>
        <v>1981</v>
      </c>
      <c r="H360">
        <f t="shared" si="38"/>
        <v>7</v>
      </c>
      <c r="I360" s="4">
        <f t="shared" si="39"/>
        <v>14</v>
      </c>
      <c r="J360">
        <f t="shared" si="40"/>
        <v>19810714</v>
      </c>
      <c r="K360" t="str">
        <f t="shared" si="41"/>
        <v>14.07.1981</v>
      </c>
    </row>
    <row r="361" spans="1:11" x14ac:dyDescent="0.25">
      <c r="A361" s="4" t="s">
        <v>387</v>
      </c>
      <c r="B361" t="s">
        <v>19</v>
      </c>
      <c r="C361" t="s">
        <v>4</v>
      </c>
      <c r="D361" s="3">
        <f t="shared" si="35"/>
        <v>82</v>
      </c>
      <c r="E361" s="4">
        <f t="shared" si="36"/>
        <v>4</v>
      </c>
      <c r="F361" s="4">
        <f t="shared" si="37"/>
        <v>28</v>
      </c>
      <c r="G361" s="3">
        <f>IF(E361&gt;=20,2000,1900) + D361</f>
        <v>1982</v>
      </c>
      <c r="H361">
        <f t="shared" si="38"/>
        <v>4</v>
      </c>
      <c r="I361" s="4">
        <f t="shared" si="39"/>
        <v>28</v>
      </c>
      <c r="J361">
        <f t="shared" si="40"/>
        <v>19820428</v>
      </c>
      <c r="K361" t="str">
        <f t="shared" si="41"/>
        <v>28.04.1982</v>
      </c>
    </row>
    <row r="362" spans="1:11" x14ac:dyDescent="0.25">
      <c r="A362" s="4" t="s">
        <v>388</v>
      </c>
      <c r="B362" t="s">
        <v>16</v>
      </c>
      <c r="C362" t="s">
        <v>4</v>
      </c>
      <c r="D362" s="3">
        <f t="shared" si="35"/>
        <v>76</v>
      </c>
      <c r="E362" s="4">
        <f t="shared" si="36"/>
        <v>10</v>
      </c>
      <c r="F362" s="4">
        <f t="shared" si="37"/>
        <v>5</v>
      </c>
      <c r="G362" s="3">
        <f>IF(E362&gt;=20,2000,1900) + D362</f>
        <v>1976</v>
      </c>
      <c r="H362">
        <f t="shared" si="38"/>
        <v>10</v>
      </c>
      <c r="I362" s="4">
        <f t="shared" si="39"/>
        <v>5</v>
      </c>
      <c r="J362">
        <f t="shared" si="40"/>
        <v>19761005</v>
      </c>
      <c r="K362" t="str">
        <f t="shared" si="41"/>
        <v>05.10.1976</v>
      </c>
    </row>
    <row r="363" spans="1:11" x14ac:dyDescent="0.25">
      <c r="A363" s="4" t="s">
        <v>389</v>
      </c>
      <c r="B363" t="s">
        <v>12</v>
      </c>
      <c r="C363" t="s">
        <v>6</v>
      </c>
      <c r="D363" s="3">
        <f t="shared" si="35"/>
        <v>76</v>
      </c>
      <c r="E363" s="4">
        <f t="shared" si="36"/>
        <v>2</v>
      </c>
      <c r="F363" s="4">
        <f t="shared" si="37"/>
        <v>16</v>
      </c>
      <c r="G363" s="3">
        <f>IF(E363&gt;=20,2000,1900) + D363</f>
        <v>1976</v>
      </c>
      <c r="H363">
        <f t="shared" si="38"/>
        <v>2</v>
      </c>
      <c r="I363" s="4">
        <f t="shared" si="39"/>
        <v>16</v>
      </c>
      <c r="J363">
        <f t="shared" si="40"/>
        <v>19760216</v>
      </c>
      <c r="K363" t="str">
        <f t="shared" si="41"/>
        <v>16.02.1976</v>
      </c>
    </row>
    <row r="364" spans="1:11" x14ac:dyDescent="0.25">
      <c r="A364" s="4" t="s">
        <v>390</v>
      </c>
      <c r="B364" t="s">
        <v>15</v>
      </c>
      <c r="C364" t="s">
        <v>6</v>
      </c>
      <c r="D364" s="3">
        <f t="shared" si="35"/>
        <v>99</v>
      </c>
      <c r="E364" s="4">
        <f t="shared" si="36"/>
        <v>8</v>
      </c>
      <c r="F364" s="4">
        <f t="shared" si="37"/>
        <v>31</v>
      </c>
      <c r="G364" s="3">
        <f>IF(E364&gt;=20,2000,1900) + D364</f>
        <v>1999</v>
      </c>
      <c r="H364">
        <f t="shared" si="38"/>
        <v>8</v>
      </c>
      <c r="I364" s="4">
        <f t="shared" si="39"/>
        <v>31</v>
      </c>
      <c r="J364">
        <f t="shared" si="40"/>
        <v>19990831</v>
      </c>
      <c r="K364" t="str">
        <f t="shared" si="41"/>
        <v>31.08.1999</v>
      </c>
    </row>
    <row r="365" spans="1:11" x14ac:dyDescent="0.25">
      <c r="A365" s="4" t="s">
        <v>391</v>
      </c>
      <c r="B365" t="s">
        <v>5</v>
      </c>
      <c r="C365" t="s">
        <v>6</v>
      </c>
      <c r="D365" s="3">
        <f t="shared" si="35"/>
        <v>53</v>
      </c>
      <c r="E365" s="4">
        <f t="shared" si="36"/>
        <v>4</v>
      </c>
      <c r="F365" s="4">
        <f t="shared" si="37"/>
        <v>14</v>
      </c>
      <c r="G365" s="3">
        <f>IF(E365&gt;=20,2000,1900) + D365</f>
        <v>1953</v>
      </c>
      <c r="H365">
        <f t="shared" si="38"/>
        <v>4</v>
      </c>
      <c r="I365" s="4">
        <f t="shared" si="39"/>
        <v>14</v>
      </c>
      <c r="J365">
        <f t="shared" si="40"/>
        <v>19530414</v>
      </c>
      <c r="K365" t="str">
        <f t="shared" si="41"/>
        <v>14.04.1953</v>
      </c>
    </row>
    <row r="366" spans="1:11" x14ac:dyDescent="0.25">
      <c r="A366" s="4" t="s">
        <v>392</v>
      </c>
      <c r="B366" t="s">
        <v>19</v>
      </c>
      <c r="C366" t="s">
        <v>4</v>
      </c>
      <c r="D366" s="3">
        <f t="shared" si="35"/>
        <v>82</v>
      </c>
      <c r="E366" s="4">
        <f t="shared" si="36"/>
        <v>4</v>
      </c>
      <c r="F366" s="4">
        <f t="shared" si="37"/>
        <v>6</v>
      </c>
      <c r="G366" s="3">
        <f>IF(E366&gt;=20,2000,1900) + D366</f>
        <v>1982</v>
      </c>
      <c r="H366">
        <f t="shared" si="38"/>
        <v>4</v>
      </c>
      <c r="I366" s="4">
        <f t="shared" si="39"/>
        <v>6</v>
      </c>
      <c r="J366">
        <f t="shared" si="40"/>
        <v>19820406</v>
      </c>
      <c r="K366" t="str">
        <f t="shared" si="41"/>
        <v>06.04.1982</v>
      </c>
    </row>
    <row r="367" spans="1:11" x14ac:dyDescent="0.25">
      <c r="A367" s="4" t="s">
        <v>393</v>
      </c>
      <c r="B367" t="s">
        <v>16</v>
      </c>
      <c r="C367" t="s">
        <v>4</v>
      </c>
      <c r="D367" s="3">
        <f t="shared" si="35"/>
        <v>98</v>
      </c>
      <c r="E367" s="4">
        <f t="shared" si="36"/>
        <v>6</v>
      </c>
      <c r="F367" s="4">
        <f t="shared" si="37"/>
        <v>28</v>
      </c>
      <c r="G367" s="3">
        <f>IF(E367&gt;=20,2000,1900) + D367</f>
        <v>1998</v>
      </c>
      <c r="H367">
        <f t="shared" si="38"/>
        <v>6</v>
      </c>
      <c r="I367" s="4">
        <f t="shared" si="39"/>
        <v>28</v>
      </c>
      <c r="J367">
        <f t="shared" si="40"/>
        <v>19980628</v>
      </c>
      <c r="K367" t="str">
        <f t="shared" si="41"/>
        <v>28.06.1998</v>
      </c>
    </row>
    <row r="368" spans="1:11" x14ac:dyDescent="0.25">
      <c r="A368" s="4" t="s">
        <v>394</v>
      </c>
      <c r="B368" t="s">
        <v>12</v>
      </c>
      <c r="C368" t="s">
        <v>4</v>
      </c>
      <c r="D368" s="3">
        <f t="shared" si="35"/>
        <v>71</v>
      </c>
      <c r="E368" s="4">
        <f t="shared" si="36"/>
        <v>8</v>
      </c>
      <c r="F368" s="4">
        <f t="shared" si="37"/>
        <v>24</v>
      </c>
      <c r="G368" s="3">
        <f>IF(E368&gt;=20,2000,1900) + D368</f>
        <v>1971</v>
      </c>
      <c r="H368">
        <f t="shared" si="38"/>
        <v>8</v>
      </c>
      <c r="I368" s="4">
        <f t="shared" si="39"/>
        <v>24</v>
      </c>
      <c r="J368">
        <f t="shared" si="40"/>
        <v>19710824</v>
      </c>
      <c r="K368" t="str">
        <f t="shared" si="41"/>
        <v>24.08.1971</v>
      </c>
    </row>
    <row r="369" spans="1:11" x14ac:dyDescent="0.25">
      <c r="A369" s="4" t="s">
        <v>395</v>
      </c>
      <c r="B369" t="s">
        <v>12</v>
      </c>
      <c r="C369" t="s">
        <v>4</v>
      </c>
      <c r="D369" s="3">
        <f t="shared" si="35"/>
        <v>98</v>
      </c>
      <c r="E369" s="4">
        <f t="shared" si="36"/>
        <v>12</v>
      </c>
      <c r="F369" s="4">
        <f t="shared" si="37"/>
        <v>14</v>
      </c>
      <c r="G369" s="3">
        <f>IF(E369&gt;=20,2000,1900) + D369</f>
        <v>1998</v>
      </c>
      <c r="H369">
        <f t="shared" si="38"/>
        <v>12</v>
      </c>
      <c r="I369" s="4">
        <f t="shared" si="39"/>
        <v>14</v>
      </c>
      <c r="J369">
        <f t="shared" si="40"/>
        <v>19981214</v>
      </c>
      <c r="K369" t="str">
        <f t="shared" si="41"/>
        <v>14.12.1998</v>
      </c>
    </row>
    <row r="370" spans="1:11" x14ac:dyDescent="0.25">
      <c r="A370" s="4" t="s">
        <v>396</v>
      </c>
      <c r="B370" t="s">
        <v>10</v>
      </c>
      <c r="C370" t="s">
        <v>4</v>
      </c>
      <c r="D370" s="3">
        <f t="shared" si="35"/>
        <v>68</v>
      </c>
      <c r="E370" s="4">
        <f t="shared" si="36"/>
        <v>11</v>
      </c>
      <c r="F370" s="4">
        <f t="shared" si="37"/>
        <v>12</v>
      </c>
      <c r="G370" s="3">
        <f>IF(E370&gt;=20,2000,1900) + D370</f>
        <v>1968</v>
      </c>
      <c r="H370">
        <f t="shared" si="38"/>
        <v>11</v>
      </c>
      <c r="I370" s="4">
        <f t="shared" si="39"/>
        <v>12</v>
      </c>
      <c r="J370">
        <f t="shared" si="40"/>
        <v>19681112</v>
      </c>
      <c r="K370" t="str">
        <f t="shared" si="41"/>
        <v>12.11.1968</v>
      </c>
    </row>
    <row r="371" spans="1:11" x14ac:dyDescent="0.25">
      <c r="A371" s="4" t="s">
        <v>397</v>
      </c>
      <c r="B371" t="s">
        <v>9</v>
      </c>
      <c r="C371" t="s">
        <v>6</v>
      </c>
      <c r="D371" s="3">
        <f t="shared" si="35"/>
        <v>96</v>
      </c>
      <c r="E371" s="4">
        <f t="shared" si="36"/>
        <v>11</v>
      </c>
      <c r="F371" s="4">
        <f t="shared" si="37"/>
        <v>25</v>
      </c>
      <c r="G371" s="3">
        <f>IF(E371&gt;=20,2000,1900) + D371</f>
        <v>1996</v>
      </c>
      <c r="H371">
        <f t="shared" si="38"/>
        <v>11</v>
      </c>
      <c r="I371" s="4">
        <f t="shared" si="39"/>
        <v>25</v>
      </c>
      <c r="J371">
        <f t="shared" si="40"/>
        <v>19961125</v>
      </c>
      <c r="K371" t="str">
        <f t="shared" si="41"/>
        <v>25.11.1996</v>
      </c>
    </row>
    <row r="372" spans="1:11" x14ac:dyDescent="0.25">
      <c r="A372" s="4" t="s">
        <v>398</v>
      </c>
      <c r="B372" t="s">
        <v>7</v>
      </c>
      <c r="C372" t="s">
        <v>4</v>
      </c>
      <c r="D372" s="3">
        <f t="shared" si="35"/>
        <v>62</v>
      </c>
      <c r="E372" s="4">
        <f t="shared" si="36"/>
        <v>6</v>
      </c>
      <c r="F372" s="4">
        <f t="shared" si="37"/>
        <v>29</v>
      </c>
      <c r="G372" s="3">
        <f>IF(E372&gt;=20,2000,1900) + D372</f>
        <v>1962</v>
      </c>
      <c r="H372">
        <f t="shared" si="38"/>
        <v>6</v>
      </c>
      <c r="I372" s="4">
        <f t="shared" si="39"/>
        <v>29</v>
      </c>
      <c r="J372">
        <f t="shared" si="40"/>
        <v>19620629</v>
      </c>
      <c r="K372" t="str">
        <f t="shared" si="41"/>
        <v>29.06.1962</v>
      </c>
    </row>
    <row r="373" spans="1:11" x14ac:dyDescent="0.25">
      <c r="A373" s="4" t="s">
        <v>399</v>
      </c>
      <c r="B373" t="s">
        <v>12</v>
      </c>
      <c r="C373" t="s">
        <v>4</v>
      </c>
      <c r="D373" s="3">
        <f t="shared" si="35"/>
        <v>98</v>
      </c>
      <c r="E373" s="4">
        <f t="shared" si="36"/>
        <v>1</v>
      </c>
      <c r="F373" s="4">
        <f t="shared" si="37"/>
        <v>20</v>
      </c>
      <c r="G373" s="3">
        <f>IF(E373&gt;=20,2000,1900) + D373</f>
        <v>1998</v>
      </c>
      <c r="H373">
        <f t="shared" si="38"/>
        <v>1</v>
      </c>
      <c r="I373" s="4">
        <f t="shared" si="39"/>
        <v>20</v>
      </c>
      <c r="J373">
        <f t="shared" si="40"/>
        <v>19980120</v>
      </c>
      <c r="K373" t="str">
        <f t="shared" si="41"/>
        <v>20.01.1998</v>
      </c>
    </row>
    <row r="374" spans="1:11" x14ac:dyDescent="0.25">
      <c r="A374" s="4" t="s">
        <v>400</v>
      </c>
      <c r="B374" t="s">
        <v>7</v>
      </c>
      <c r="C374" t="s">
        <v>6</v>
      </c>
      <c r="D374" s="3">
        <f t="shared" si="35"/>
        <v>81</v>
      </c>
      <c r="E374" s="4">
        <f t="shared" si="36"/>
        <v>6</v>
      </c>
      <c r="F374" s="4">
        <f t="shared" si="37"/>
        <v>16</v>
      </c>
      <c r="G374" s="3">
        <f>IF(E374&gt;=20,2000,1900) + D374</f>
        <v>1981</v>
      </c>
      <c r="H374">
        <f t="shared" si="38"/>
        <v>6</v>
      </c>
      <c r="I374" s="4">
        <f t="shared" si="39"/>
        <v>16</v>
      </c>
      <c r="J374">
        <f t="shared" si="40"/>
        <v>19810616</v>
      </c>
      <c r="K374" t="str">
        <f t="shared" si="41"/>
        <v>16.06.1981</v>
      </c>
    </row>
    <row r="375" spans="1:11" x14ac:dyDescent="0.25">
      <c r="A375" s="4" t="s">
        <v>401</v>
      </c>
      <c r="B375" t="s">
        <v>14</v>
      </c>
      <c r="C375" t="s">
        <v>6</v>
      </c>
      <c r="D375" s="3">
        <f t="shared" si="35"/>
        <v>71</v>
      </c>
      <c r="E375" s="4">
        <f t="shared" si="36"/>
        <v>9</v>
      </c>
      <c r="F375" s="4">
        <f t="shared" si="37"/>
        <v>28</v>
      </c>
      <c r="G375" s="3">
        <f>IF(E375&gt;=20,2000,1900) + D375</f>
        <v>1971</v>
      </c>
      <c r="H375">
        <f t="shared" si="38"/>
        <v>9</v>
      </c>
      <c r="I375" s="4">
        <f t="shared" si="39"/>
        <v>28</v>
      </c>
      <c r="J375">
        <f t="shared" si="40"/>
        <v>19710928</v>
      </c>
      <c r="K375" t="str">
        <f t="shared" si="41"/>
        <v>28.09.1971</v>
      </c>
    </row>
    <row r="376" spans="1:11" x14ac:dyDescent="0.25">
      <c r="A376" s="4" t="s">
        <v>402</v>
      </c>
      <c r="B376" t="s">
        <v>12</v>
      </c>
      <c r="C376" t="s">
        <v>6</v>
      </c>
      <c r="D376" s="3">
        <f t="shared" si="35"/>
        <v>86</v>
      </c>
      <c r="E376" s="4">
        <f t="shared" si="36"/>
        <v>12</v>
      </c>
      <c r="F376" s="4">
        <f t="shared" si="37"/>
        <v>16</v>
      </c>
      <c r="G376" s="3">
        <f>IF(E376&gt;=20,2000,1900) + D376</f>
        <v>1986</v>
      </c>
      <c r="H376">
        <f t="shared" si="38"/>
        <v>12</v>
      </c>
      <c r="I376" s="4">
        <f t="shared" si="39"/>
        <v>16</v>
      </c>
      <c r="J376">
        <f t="shared" si="40"/>
        <v>19861216</v>
      </c>
      <c r="K376" t="str">
        <f t="shared" si="41"/>
        <v>16.12.1986</v>
      </c>
    </row>
    <row r="377" spans="1:11" x14ac:dyDescent="0.25">
      <c r="A377" s="4" t="s">
        <v>403</v>
      </c>
      <c r="B377" t="s">
        <v>18</v>
      </c>
      <c r="C377" t="s">
        <v>4</v>
      </c>
      <c r="D377" s="3">
        <f t="shared" si="35"/>
        <v>57</v>
      </c>
      <c r="E377" s="4">
        <f t="shared" si="36"/>
        <v>12</v>
      </c>
      <c r="F377" s="4">
        <f t="shared" si="37"/>
        <v>16</v>
      </c>
      <c r="G377" s="3">
        <f>IF(E377&gt;=20,2000,1900) + D377</f>
        <v>1957</v>
      </c>
      <c r="H377">
        <f t="shared" si="38"/>
        <v>12</v>
      </c>
      <c r="I377" s="4">
        <f t="shared" si="39"/>
        <v>16</v>
      </c>
      <c r="J377">
        <f t="shared" si="40"/>
        <v>19571216</v>
      </c>
      <c r="K377" t="str">
        <f t="shared" si="41"/>
        <v>16.12.1957</v>
      </c>
    </row>
    <row r="378" spans="1:11" x14ac:dyDescent="0.25">
      <c r="A378" s="4" t="s">
        <v>404</v>
      </c>
      <c r="B378" t="s">
        <v>7</v>
      </c>
      <c r="C378" t="s">
        <v>4</v>
      </c>
      <c r="D378" s="3">
        <f t="shared" si="35"/>
        <v>60</v>
      </c>
      <c r="E378" s="4">
        <f t="shared" si="36"/>
        <v>2</v>
      </c>
      <c r="F378" s="4">
        <f t="shared" si="37"/>
        <v>7</v>
      </c>
      <c r="G378" s="3">
        <f>IF(E378&gt;=20,2000,1900) + D378</f>
        <v>1960</v>
      </c>
      <c r="H378">
        <f t="shared" si="38"/>
        <v>2</v>
      </c>
      <c r="I378" s="4">
        <f t="shared" si="39"/>
        <v>7</v>
      </c>
      <c r="J378">
        <f t="shared" si="40"/>
        <v>19600207</v>
      </c>
      <c r="K378" t="str">
        <f t="shared" si="41"/>
        <v>07.02.1960</v>
      </c>
    </row>
    <row r="379" spans="1:11" x14ac:dyDescent="0.25">
      <c r="A379" s="4" t="s">
        <v>405</v>
      </c>
      <c r="B379" t="s">
        <v>12</v>
      </c>
      <c r="C379" t="s">
        <v>4</v>
      </c>
      <c r="D379" s="3">
        <f t="shared" si="35"/>
        <v>75</v>
      </c>
      <c r="E379" s="4">
        <f t="shared" si="36"/>
        <v>2</v>
      </c>
      <c r="F379" s="4">
        <f t="shared" si="37"/>
        <v>4</v>
      </c>
      <c r="G379" s="3">
        <f>IF(E379&gt;=20,2000,1900) + D379</f>
        <v>1975</v>
      </c>
      <c r="H379">
        <f t="shared" si="38"/>
        <v>2</v>
      </c>
      <c r="I379" s="4">
        <f t="shared" si="39"/>
        <v>4</v>
      </c>
      <c r="J379">
        <f t="shared" si="40"/>
        <v>19750204</v>
      </c>
      <c r="K379" t="str">
        <f t="shared" si="41"/>
        <v>04.02.1975</v>
      </c>
    </row>
    <row r="380" spans="1:11" x14ac:dyDescent="0.25">
      <c r="A380" s="4" t="s">
        <v>406</v>
      </c>
      <c r="B380" t="s">
        <v>18</v>
      </c>
      <c r="C380" t="s">
        <v>4</v>
      </c>
      <c r="D380" s="3">
        <f t="shared" si="35"/>
        <v>77</v>
      </c>
      <c r="E380" s="4">
        <f t="shared" si="36"/>
        <v>11</v>
      </c>
      <c r="F380" s="4">
        <f t="shared" si="37"/>
        <v>15</v>
      </c>
      <c r="G380" s="3">
        <f>IF(E380&gt;=20,2000,1900) + D380</f>
        <v>1977</v>
      </c>
      <c r="H380">
        <f t="shared" si="38"/>
        <v>11</v>
      </c>
      <c r="I380" s="4">
        <f t="shared" si="39"/>
        <v>15</v>
      </c>
      <c r="J380">
        <f t="shared" si="40"/>
        <v>19771115</v>
      </c>
      <c r="K380" t="str">
        <f t="shared" si="41"/>
        <v>15.11.1977</v>
      </c>
    </row>
    <row r="381" spans="1:11" x14ac:dyDescent="0.25">
      <c r="A381" s="4" t="s">
        <v>407</v>
      </c>
      <c r="B381" t="s">
        <v>16</v>
      </c>
      <c r="C381" t="s">
        <v>4</v>
      </c>
      <c r="D381" s="3">
        <f t="shared" si="35"/>
        <v>58</v>
      </c>
      <c r="E381" s="4">
        <f t="shared" si="36"/>
        <v>2</v>
      </c>
      <c r="F381" s="4">
        <f t="shared" si="37"/>
        <v>17</v>
      </c>
      <c r="G381" s="3">
        <f>IF(E381&gt;=20,2000,1900) + D381</f>
        <v>1958</v>
      </c>
      <c r="H381">
        <f t="shared" si="38"/>
        <v>2</v>
      </c>
      <c r="I381" s="4">
        <f t="shared" si="39"/>
        <v>17</v>
      </c>
      <c r="J381">
        <f t="shared" si="40"/>
        <v>19580217</v>
      </c>
      <c r="K381" t="str">
        <f t="shared" si="41"/>
        <v>17.02.1958</v>
      </c>
    </row>
    <row r="382" spans="1:11" x14ac:dyDescent="0.25">
      <c r="A382" s="4" t="s">
        <v>408</v>
      </c>
      <c r="B382" t="s">
        <v>13</v>
      </c>
      <c r="C382" t="s">
        <v>4</v>
      </c>
      <c r="D382" s="3">
        <f t="shared" si="35"/>
        <v>76</v>
      </c>
      <c r="E382" s="4">
        <f t="shared" si="36"/>
        <v>8</v>
      </c>
      <c r="F382" s="4">
        <f t="shared" si="37"/>
        <v>27</v>
      </c>
      <c r="G382" s="3">
        <f>IF(E382&gt;=20,2000,1900) + D382</f>
        <v>1976</v>
      </c>
      <c r="H382">
        <f t="shared" si="38"/>
        <v>8</v>
      </c>
      <c r="I382" s="4">
        <f t="shared" si="39"/>
        <v>27</v>
      </c>
      <c r="J382">
        <f t="shared" si="40"/>
        <v>19760827</v>
      </c>
      <c r="K382" t="str">
        <f t="shared" si="41"/>
        <v>27.08.1976</v>
      </c>
    </row>
    <row r="383" spans="1:11" x14ac:dyDescent="0.25">
      <c r="A383" s="4" t="s">
        <v>409</v>
      </c>
      <c r="B383" t="s">
        <v>7</v>
      </c>
      <c r="C383" t="s">
        <v>4</v>
      </c>
      <c r="D383" s="3">
        <f t="shared" si="35"/>
        <v>98</v>
      </c>
      <c r="E383" s="4">
        <f t="shared" si="36"/>
        <v>6</v>
      </c>
      <c r="F383" s="4">
        <f t="shared" si="37"/>
        <v>7</v>
      </c>
      <c r="G383" s="3">
        <f>IF(E383&gt;=20,2000,1900) + D383</f>
        <v>1998</v>
      </c>
      <c r="H383">
        <f t="shared" si="38"/>
        <v>6</v>
      </c>
      <c r="I383" s="4">
        <f t="shared" si="39"/>
        <v>7</v>
      </c>
      <c r="J383">
        <f t="shared" si="40"/>
        <v>19980607</v>
      </c>
      <c r="K383" t="str">
        <f t="shared" si="41"/>
        <v>07.06.1998</v>
      </c>
    </row>
    <row r="384" spans="1:11" x14ac:dyDescent="0.25">
      <c r="A384" s="4" t="s">
        <v>410</v>
      </c>
      <c r="B384" t="s">
        <v>5</v>
      </c>
      <c r="C384" t="s">
        <v>6</v>
      </c>
      <c r="D384" s="3">
        <f t="shared" si="35"/>
        <v>50</v>
      </c>
      <c r="E384" s="4">
        <f t="shared" si="36"/>
        <v>11</v>
      </c>
      <c r="F384" s="4">
        <f t="shared" si="37"/>
        <v>19</v>
      </c>
      <c r="G384" s="3">
        <f>IF(E384&gt;=20,2000,1900) + D384</f>
        <v>1950</v>
      </c>
      <c r="H384">
        <f t="shared" si="38"/>
        <v>11</v>
      </c>
      <c r="I384" s="4">
        <f t="shared" si="39"/>
        <v>19</v>
      </c>
      <c r="J384">
        <f t="shared" si="40"/>
        <v>19501119</v>
      </c>
      <c r="K384" t="str">
        <f t="shared" si="41"/>
        <v>19.11.1950</v>
      </c>
    </row>
    <row r="385" spans="1:11" x14ac:dyDescent="0.25">
      <c r="A385" s="4" t="s">
        <v>411</v>
      </c>
      <c r="B385" t="s">
        <v>5</v>
      </c>
      <c r="C385" t="s">
        <v>6</v>
      </c>
      <c r="D385" s="3">
        <f t="shared" si="35"/>
        <v>64</v>
      </c>
      <c r="E385" s="4">
        <f t="shared" si="36"/>
        <v>1</v>
      </c>
      <c r="F385" s="4">
        <f t="shared" si="37"/>
        <v>19</v>
      </c>
      <c r="G385" s="3">
        <f>IF(E385&gt;=20,2000,1900) + D385</f>
        <v>1964</v>
      </c>
      <c r="H385">
        <f t="shared" si="38"/>
        <v>1</v>
      </c>
      <c r="I385" s="4">
        <f t="shared" si="39"/>
        <v>19</v>
      </c>
      <c r="J385">
        <f t="shared" si="40"/>
        <v>19640119</v>
      </c>
      <c r="K385" t="str">
        <f t="shared" si="41"/>
        <v>19.01.1964</v>
      </c>
    </row>
    <row r="386" spans="1:11" x14ac:dyDescent="0.25">
      <c r="A386" s="4" t="s">
        <v>412</v>
      </c>
      <c r="B386" t="s">
        <v>10</v>
      </c>
      <c r="C386" t="s">
        <v>6</v>
      </c>
      <c r="D386" s="3">
        <f t="shared" si="35"/>
        <v>64</v>
      </c>
      <c r="E386" s="4">
        <f t="shared" si="36"/>
        <v>11</v>
      </c>
      <c r="F386" s="4">
        <f t="shared" si="37"/>
        <v>19</v>
      </c>
      <c r="G386" s="3">
        <f>IF(E386&gt;=20,2000,1900) + D386</f>
        <v>1964</v>
      </c>
      <c r="H386">
        <f t="shared" si="38"/>
        <v>11</v>
      </c>
      <c r="I386" s="4">
        <f t="shared" si="39"/>
        <v>19</v>
      </c>
      <c r="J386">
        <f t="shared" si="40"/>
        <v>19641119</v>
      </c>
      <c r="K386" t="str">
        <f t="shared" si="41"/>
        <v>19.11.1964</v>
      </c>
    </row>
    <row r="387" spans="1:11" x14ac:dyDescent="0.25">
      <c r="A387" s="4" t="s">
        <v>413</v>
      </c>
      <c r="B387" t="s">
        <v>14</v>
      </c>
      <c r="C387" t="s">
        <v>6</v>
      </c>
      <c r="D387" s="3">
        <f t="shared" ref="D387:D450" si="42">MID(A387,1,2)*1</f>
        <v>67</v>
      </c>
      <c r="E387" s="4">
        <f t="shared" ref="E387:E450" si="43">MID(A387,3,2)*1</f>
        <v>9</v>
      </c>
      <c r="F387" s="4">
        <f t="shared" ref="F387:F450" si="44">MID(A387,5,2)*1</f>
        <v>8</v>
      </c>
      <c r="G387" s="3">
        <f>IF(E387&gt;=20,2000,1900) + D387</f>
        <v>1967</v>
      </c>
      <c r="H387">
        <f t="shared" ref="H387:H450" si="45">IF(E387&gt;=20,E387-20,E387)</f>
        <v>9</v>
      </c>
      <c r="I387" s="4">
        <f t="shared" ref="I387:I450" si="46">F387</f>
        <v>8</v>
      </c>
      <c r="J387">
        <f t="shared" ref="J387:J450" si="47">CONCATENATE(G387,IF(LEN(E387)=1,CONCATENATE("0",E387),E387),IF(LEN(F387)=1,CONCATENATE("0",F387),F387))*1</f>
        <v>19670908</v>
      </c>
      <c r="K387" t="str">
        <f t="shared" ref="K387:K450" si="48">CONCATENATE(RIGHT(J387,2),".",MID(J387,5,2),".",LEFT(J387,4))</f>
        <v>08.09.1967</v>
      </c>
    </row>
    <row r="388" spans="1:11" x14ac:dyDescent="0.25">
      <c r="A388" s="4" t="s">
        <v>414</v>
      </c>
      <c r="B388" t="s">
        <v>3</v>
      </c>
      <c r="C388" t="s">
        <v>6</v>
      </c>
      <c r="D388" s="3">
        <f t="shared" si="42"/>
        <v>55</v>
      </c>
      <c r="E388" s="4">
        <f t="shared" si="43"/>
        <v>1</v>
      </c>
      <c r="F388" s="4">
        <f t="shared" si="44"/>
        <v>17</v>
      </c>
      <c r="G388" s="3">
        <f>IF(E388&gt;=20,2000,1900) + D388</f>
        <v>1955</v>
      </c>
      <c r="H388">
        <f t="shared" si="45"/>
        <v>1</v>
      </c>
      <c r="I388" s="4">
        <f t="shared" si="46"/>
        <v>17</v>
      </c>
      <c r="J388">
        <f t="shared" si="47"/>
        <v>19550117</v>
      </c>
      <c r="K388" t="str">
        <f t="shared" si="48"/>
        <v>17.01.1955</v>
      </c>
    </row>
    <row r="389" spans="1:11" x14ac:dyDescent="0.25">
      <c r="A389" s="4" t="s">
        <v>415</v>
      </c>
      <c r="B389" t="s">
        <v>16</v>
      </c>
      <c r="C389" t="s">
        <v>4</v>
      </c>
      <c r="D389" s="3">
        <f t="shared" si="42"/>
        <v>76</v>
      </c>
      <c r="E389" s="4">
        <f t="shared" si="43"/>
        <v>9</v>
      </c>
      <c r="F389" s="4">
        <f t="shared" si="44"/>
        <v>4</v>
      </c>
      <c r="G389" s="3">
        <f>IF(E389&gt;=20,2000,1900) + D389</f>
        <v>1976</v>
      </c>
      <c r="H389">
        <f t="shared" si="45"/>
        <v>9</v>
      </c>
      <c r="I389" s="4">
        <f t="shared" si="46"/>
        <v>4</v>
      </c>
      <c r="J389">
        <f t="shared" si="47"/>
        <v>19760904</v>
      </c>
      <c r="K389" t="str">
        <f t="shared" si="48"/>
        <v>04.09.1976</v>
      </c>
    </row>
    <row r="390" spans="1:11" x14ac:dyDescent="0.25">
      <c r="A390" s="4" t="s">
        <v>416</v>
      </c>
      <c r="B390" t="s">
        <v>19</v>
      </c>
      <c r="C390" t="s">
        <v>6</v>
      </c>
      <c r="D390" s="3">
        <f t="shared" si="42"/>
        <v>80</v>
      </c>
      <c r="E390" s="4">
        <f t="shared" si="43"/>
        <v>2</v>
      </c>
      <c r="F390" s="4">
        <f t="shared" si="44"/>
        <v>8</v>
      </c>
      <c r="G390" s="3">
        <f>IF(E390&gt;=20,2000,1900) + D390</f>
        <v>1980</v>
      </c>
      <c r="H390">
        <f t="shared" si="45"/>
        <v>2</v>
      </c>
      <c r="I390" s="4">
        <f t="shared" si="46"/>
        <v>8</v>
      </c>
      <c r="J390">
        <f t="shared" si="47"/>
        <v>19800208</v>
      </c>
      <c r="K390" t="str">
        <f t="shared" si="48"/>
        <v>08.02.1980</v>
      </c>
    </row>
    <row r="391" spans="1:11" x14ac:dyDescent="0.25">
      <c r="A391" s="4" t="s">
        <v>417</v>
      </c>
      <c r="B391" t="s">
        <v>17</v>
      </c>
      <c r="C391" t="s">
        <v>6</v>
      </c>
      <c r="D391" s="3">
        <f t="shared" si="42"/>
        <v>73</v>
      </c>
      <c r="E391" s="4">
        <f t="shared" si="43"/>
        <v>2</v>
      </c>
      <c r="F391" s="4">
        <f t="shared" si="44"/>
        <v>1</v>
      </c>
      <c r="G391" s="3">
        <f>IF(E391&gt;=20,2000,1900) + D391</f>
        <v>1973</v>
      </c>
      <c r="H391">
        <f t="shared" si="45"/>
        <v>2</v>
      </c>
      <c r="I391" s="4">
        <f t="shared" si="46"/>
        <v>1</v>
      </c>
      <c r="J391">
        <f t="shared" si="47"/>
        <v>19730201</v>
      </c>
      <c r="K391" t="str">
        <f t="shared" si="48"/>
        <v>01.02.1973</v>
      </c>
    </row>
    <row r="392" spans="1:11" x14ac:dyDescent="0.25">
      <c r="A392" s="4" t="s">
        <v>418</v>
      </c>
      <c r="B392" t="s">
        <v>20</v>
      </c>
      <c r="C392" t="s">
        <v>4</v>
      </c>
      <c r="D392" s="3">
        <f t="shared" si="42"/>
        <v>67</v>
      </c>
      <c r="E392" s="4">
        <f t="shared" si="43"/>
        <v>3</v>
      </c>
      <c r="F392" s="4">
        <f t="shared" si="44"/>
        <v>4</v>
      </c>
      <c r="G392" s="3">
        <f>IF(E392&gt;=20,2000,1900) + D392</f>
        <v>1967</v>
      </c>
      <c r="H392">
        <f t="shared" si="45"/>
        <v>3</v>
      </c>
      <c r="I392" s="4">
        <f t="shared" si="46"/>
        <v>4</v>
      </c>
      <c r="J392">
        <f t="shared" si="47"/>
        <v>19670304</v>
      </c>
      <c r="K392" t="str">
        <f t="shared" si="48"/>
        <v>04.03.1967</v>
      </c>
    </row>
    <row r="393" spans="1:11" x14ac:dyDescent="0.25">
      <c r="A393" s="4" t="s">
        <v>419</v>
      </c>
      <c r="B393" t="s">
        <v>8</v>
      </c>
      <c r="C393" t="s">
        <v>4</v>
      </c>
      <c r="D393" s="3">
        <f t="shared" si="42"/>
        <v>93</v>
      </c>
      <c r="E393" s="4">
        <f t="shared" si="43"/>
        <v>2</v>
      </c>
      <c r="F393" s="4">
        <f t="shared" si="44"/>
        <v>12</v>
      </c>
      <c r="G393" s="3">
        <f>IF(E393&gt;=20,2000,1900) + D393</f>
        <v>1993</v>
      </c>
      <c r="H393">
        <f t="shared" si="45"/>
        <v>2</v>
      </c>
      <c r="I393" s="4">
        <f t="shared" si="46"/>
        <v>12</v>
      </c>
      <c r="J393">
        <f t="shared" si="47"/>
        <v>19930212</v>
      </c>
      <c r="K393" t="str">
        <f t="shared" si="48"/>
        <v>12.02.1993</v>
      </c>
    </row>
    <row r="394" spans="1:11" x14ac:dyDescent="0.25">
      <c r="A394" s="4" t="s">
        <v>420</v>
      </c>
      <c r="B394" t="s">
        <v>5</v>
      </c>
      <c r="C394" t="s">
        <v>4</v>
      </c>
      <c r="D394" s="3">
        <f t="shared" si="42"/>
        <v>89</v>
      </c>
      <c r="E394" s="4">
        <f t="shared" si="43"/>
        <v>5</v>
      </c>
      <c r="F394" s="4">
        <f t="shared" si="44"/>
        <v>5</v>
      </c>
      <c r="G394" s="3">
        <f>IF(E394&gt;=20,2000,1900) + D394</f>
        <v>1989</v>
      </c>
      <c r="H394">
        <f t="shared" si="45"/>
        <v>5</v>
      </c>
      <c r="I394" s="4">
        <f t="shared" si="46"/>
        <v>5</v>
      </c>
      <c r="J394">
        <f t="shared" si="47"/>
        <v>19890505</v>
      </c>
      <c r="K394" t="str">
        <f t="shared" si="48"/>
        <v>05.05.1989</v>
      </c>
    </row>
    <row r="395" spans="1:11" x14ac:dyDescent="0.25">
      <c r="A395" s="4" t="s">
        <v>421</v>
      </c>
      <c r="B395" t="s">
        <v>16</v>
      </c>
      <c r="C395" t="s">
        <v>4</v>
      </c>
      <c r="D395" s="3">
        <f t="shared" si="42"/>
        <v>73</v>
      </c>
      <c r="E395" s="4">
        <f t="shared" si="43"/>
        <v>10</v>
      </c>
      <c r="F395" s="4">
        <f t="shared" si="44"/>
        <v>14</v>
      </c>
      <c r="G395" s="3">
        <f>IF(E395&gt;=20,2000,1900) + D395</f>
        <v>1973</v>
      </c>
      <c r="H395">
        <f t="shared" si="45"/>
        <v>10</v>
      </c>
      <c r="I395" s="4">
        <f t="shared" si="46"/>
        <v>14</v>
      </c>
      <c r="J395">
        <f t="shared" si="47"/>
        <v>19731014</v>
      </c>
      <c r="K395" t="str">
        <f t="shared" si="48"/>
        <v>14.10.1973</v>
      </c>
    </row>
    <row r="396" spans="1:11" x14ac:dyDescent="0.25">
      <c r="A396" s="4" t="s">
        <v>422</v>
      </c>
      <c r="B396" t="s">
        <v>3</v>
      </c>
      <c r="C396" t="s">
        <v>6</v>
      </c>
      <c r="D396" s="3">
        <f t="shared" si="42"/>
        <v>85</v>
      </c>
      <c r="E396" s="4">
        <f t="shared" si="43"/>
        <v>7</v>
      </c>
      <c r="F396" s="4">
        <f t="shared" si="44"/>
        <v>14</v>
      </c>
      <c r="G396" s="3">
        <f>IF(E396&gt;=20,2000,1900) + D396</f>
        <v>1985</v>
      </c>
      <c r="H396">
        <f t="shared" si="45"/>
        <v>7</v>
      </c>
      <c r="I396" s="4">
        <f t="shared" si="46"/>
        <v>14</v>
      </c>
      <c r="J396">
        <f t="shared" si="47"/>
        <v>19850714</v>
      </c>
      <c r="K396" t="str">
        <f t="shared" si="48"/>
        <v>14.07.1985</v>
      </c>
    </row>
    <row r="397" spans="1:11" x14ac:dyDescent="0.25">
      <c r="A397" s="4" t="s">
        <v>423</v>
      </c>
      <c r="B397" t="s">
        <v>5</v>
      </c>
      <c r="C397" t="s">
        <v>6</v>
      </c>
      <c r="D397" s="3">
        <f t="shared" si="42"/>
        <v>65</v>
      </c>
      <c r="E397" s="4">
        <f t="shared" si="43"/>
        <v>7</v>
      </c>
      <c r="F397" s="4">
        <f t="shared" si="44"/>
        <v>14</v>
      </c>
      <c r="G397" s="3">
        <f>IF(E397&gt;=20,2000,1900) + D397</f>
        <v>1965</v>
      </c>
      <c r="H397">
        <f t="shared" si="45"/>
        <v>7</v>
      </c>
      <c r="I397" s="4">
        <f t="shared" si="46"/>
        <v>14</v>
      </c>
      <c r="J397">
        <f t="shared" si="47"/>
        <v>19650714</v>
      </c>
      <c r="K397" t="str">
        <f t="shared" si="48"/>
        <v>14.07.1965</v>
      </c>
    </row>
    <row r="398" spans="1:11" x14ac:dyDescent="0.25">
      <c r="A398" s="4" t="s">
        <v>424</v>
      </c>
      <c r="B398" t="s">
        <v>20</v>
      </c>
      <c r="C398" t="s">
        <v>4</v>
      </c>
      <c r="D398" s="3">
        <f t="shared" si="42"/>
        <v>61</v>
      </c>
      <c r="E398" s="4">
        <f t="shared" si="43"/>
        <v>2</v>
      </c>
      <c r="F398" s="4">
        <f t="shared" si="44"/>
        <v>13</v>
      </c>
      <c r="G398" s="3">
        <f>IF(E398&gt;=20,2000,1900) + D398</f>
        <v>1961</v>
      </c>
      <c r="H398">
        <f t="shared" si="45"/>
        <v>2</v>
      </c>
      <c r="I398" s="4">
        <f t="shared" si="46"/>
        <v>13</v>
      </c>
      <c r="J398">
        <f t="shared" si="47"/>
        <v>19610213</v>
      </c>
      <c r="K398" t="str">
        <f t="shared" si="48"/>
        <v>13.02.1961</v>
      </c>
    </row>
    <row r="399" spans="1:11" x14ac:dyDescent="0.25">
      <c r="A399" s="4" t="s">
        <v>425</v>
      </c>
      <c r="B399" t="s">
        <v>10</v>
      </c>
      <c r="C399" t="s">
        <v>4</v>
      </c>
      <c r="D399" s="3">
        <f t="shared" si="42"/>
        <v>84</v>
      </c>
      <c r="E399" s="4">
        <f t="shared" si="43"/>
        <v>12</v>
      </c>
      <c r="F399" s="4">
        <f t="shared" si="44"/>
        <v>14</v>
      </c>
      <c r="G399" s="3">
        <f>IF(E399&gt;=20,2000,1900) + D399</f>
        <v>1984</v>
      </c>
      <c r="H399">
        <f t="shared" si="45"/>
        <v>12</v>
      </c>
      <c r="I399" s="4">
        <f t="shared" si="46"/>
        <v>14</v>
      </c>
      <c r="J399">
        <f t="shared" si="47"/>
        <v>19841214</v>
      </c>
      <c r="K399" t="str">
        <f t="shared" si="48"/>
        <v>14.12.1984</v>
      </c>
    </row>
    <row r="400" spans="1:11" x14ac:dyDescent="0.25">
      <c r="A400" s="4" t="s">
        <v>426</v>
      </c>
      <c r="B400" t="s">
        <v>14</v>
      </c>
      <c r="C400" t="s">
        <v>4</v>
      </c>
      <c r="D400" s="3">
        <f t="shared" si="42"/>
        <v>74</v>
      </c>
      <c r="E400" s="4">
        <f t="shared" si="43"/>
        <v>9</v>
      </c>
      <c r="F400" s="4">
        <f t="shared" si="44"/>
        <v>22</v>
      </c>
      <c r="G400" s="3">
        <f>IF(E400&gt;=20,2000,1900) + D400</f>
        <v>1974</v>
      </c>
      <c r="H400">
        <f t="shared" si="45"/>
        <v>9</v>
      </c>
      <c r="I400" s="4">
        <f t="shared" si="46"/>
        <v>22</v>
      </c>
      <c r="J400">
        <f t="shared" si="47"/>
        <v>19740922</v>
      </c>
      <c r="K400" t="str">
        <f t="shared" si="48"/>
        <v>22.09.1974</v>
      </c>
    </row>
    <row r="401" spans="1:11" x14ac:dyDescent="0.25">
      <c r="A401" s="4" t="s">
        <v>427</v>
      </c>
      <c r="B401" t="s">
        <v>17</v>
      </c>
      <c r="C401" t="s">
        <v>4</v>
      </c>
      <c r="D401" s="3">
        <f t="shared" si="42"/>
        <v>53</v>
      </c>
      <c r="E401" s="4">
        <f t="shared" si="43"/>
        <v>5</v>
      </c>
      <c r="F401" s="4">
        <f t="shared" si="44"/>
        <v>27</v>
      </c>
      <c r="G401" s="3">
        <f>IF(E401&gt;=20,2000,1900) + D401</f>
        <v>1953</v>
      </c>
      <c r="H401">
        <f t="shared" si="45"/>
        <v>5</v>
      </c>
      <c r="I401" s="4">
        <f t="shared" si="46"/>
        <v>27</v>
      </c>
      <c r="J401">
        <f t="shared" si="47"/>
        <v>19530527</v>
      </c>
      <c r="K401" t="str">
        <f t="shared" si="48"/>
        <v>27.05.1953</v>
      </c>
    </row>
    <row r="402" spans="1:11" x14ac:dyDescent="0.25">
      <c r="A402" s="4" t="s">
        <v>428</v>
      </c>
      <c r="B402" t="s">
        <v>9</v>
      </c>
      <c r="C402" t="s">
        <v>6</v>
      </c>
      <c r="D402" s="3">
        <f t="shared" si="42"/>
        <v>97</v>
      </c>
      <c r="E402" s="4">
        <f t="shared" si="43"/>
        <v>4</v>
      </c>
      <c r="F402" s="4">
        <f t="shared" si="44"/>
        <v>29</v>
      </c>
      <c r="G402" s="3">
        <f>IF(E402&gt;=20,2000,1900) + D402</f>
        <v>1997</v>
      </c>
      <c r="H402">
        <f t="shared" si="45"/>
        <v>4</v>
      </c>
      <c r="I402" s="4">
        <f t="shared" si="46"/>
        <v>29</v>
      </c>
      <c r="J402">
        <f t="shared" si="47"/>
        <v>19970429</v>
      </c>
      <c r="K402" t="str">
        <f t="shared" si="48"/>
        <v>29.04.1997</v>
      </c>
    </row>
    <row r="403" spans="1:11" x14ac:dyDescent="0.25">
      <c r="A403" s="4" t="s">
        <v>429</v>
      </c>
      <c r="B403" t="s">
        <v>7</v>
      </c>
      <c r="C403" t="s">
        <v>4</v>
      </c>
      <c r="D403" s="3">
        <f t="shared" si="42"/>
        <v>78</v>
      </c>
      <c r="E403" s="4">
        <f t="shared" si="43"/>
        <v>6</v>
      </c>
      <c r="F403" s="4">
        <f t="shared" si="44"/>
        <v>25</v>
      </c>
      <c r="G403" s="3">
        <f>IF(E403&gt;=20,2000,1900) + D403</f>
        <v>1978</v>
      </c>
      <c r="H403">
        <f t="shared" si="45"/>
        <v>6</v>
      </c>
      <c r="I403" s="4">
        <f t="shared" si="46"/>
        <v>25</v>
      </c>
      <c r="J403">
        <f t="shared" si="47"/>
        <v>19780625</v>
      </c>
      <c r="K403" t="str">
        <f t="shared" si="48"/>
        <v>25.06.1978</v>
      </c>
    </row>
    <row r="404" spans="1:11" x14ac:dyDescent="0.25">
      <c r="A404" s="4" t="s">
        <v>430</v>
      </c>
      <c r="B404" t="s">
        <v>11</v>
      </c>
      <c r="C404" t="s">
        <v>4</v>
      </c>
      <c r="D404" s="3">
        <f t="shared" si="42"/>
        <v>65</v>
      </c>
      <c r="E404" s="4">
        <f t="shared" si="43"/>
        <v>11</v>
      </c>
      <c r="F404" s="4">
        <f t="shared" si="44"/>
        <v>19</v>
      </c>
      <c r="G404" s="3">
        <f>IF(E404&gt;=20,2000,1900) + D404</f>
        <v>1965</v>
      </c>
      <c r="H404">
        <f t="shared" si="45"/>
        <v>11</v>
      </c>
      <c r="I404" s="4">
        <f t="shared" si="46"/>
        <v>19</v>
      </c>
      <c r="J404">
        <f t="shared" si="47"/>
        <v>19651119</v>
      </c>
      <c r="K404" t="str">
        <f t="shared" si="48"/>
        <v>19.11.1965</v>
      </c>
    </row>
    <row r="405" spans="1:11" x14ac:dyDescent="0.25">
      <c r="A405" s="4" t="s">
        <v>431</v>
      </c>
      <c r="B405" t="s">
        <v>3</v>
      </c>
      <c r="C405" t="s">
        <v>4</v>
      </c>
      <c r="D405" s="3">
        <f t="shared" si="42"/>
        <v>50</v>
      </c>
      <c r="E405" s="4">
        <f t="shared" si="43"/>
        <v>1</v>
      </c>
      <c r="F405" s="4">
        <f t="shared" si="44"/>
        <v>14</v>
      </c>
      <c r="G405" s="3">
        <f>IF(E405&gt;=20,2000,1900) + D405</f>
        <v>1950</v>
      </c>
      <c r="H405">
        <f t="shared" si="45"/>
        <v>1</v>
      </c>
      <c r="I405" s="4">
        <f t="shared" si="46"/>
        <v>14</v>
      </c>
      <c r="J405">
        <f t="shared" si="47"/>
        <v>19500114</v>
      </c>
      <c r="K405" t="str">
        <f t="shared" si="48"/>
        <v>14.01.1950</v>
      </c>
    </row>
    <row r="406" spans="1:11" x14ac:dyDescent="0.25">
      <c r="A406" s="4" t="s">
        <v>432</v>
      </c>
      <c r="B406" t="s">
        <v>11</v>
      </c>
      <c r="C406" t="s">
        <v>6</v>
      </c>
      <c r="D406" s="3">
        <f t="shared" si="42"/>
        <v>83</v>
      </c>
      <c r="E406" s="4">
        <f t="shared" si="43"/>
        <v>11</v>
      </c>
      <c r="F406" s="4">
        <f t="shared" si="44"/>
        <v>10</v>
      </c>
      <c r="G406" s="3">
        <f>IF(E406&gt;=20,2000,1900) + D406</f>
        <v>1983</v>
      </c>
      <c r="H406">
        <f t="shared" si="45"/>
        <v>11</v>
      </c>
      <c r="I406" s="4">
        <f t="shared" si="46"/>
        <v>10</v>
      </c>
      <c r="J406">
        <f t="shared" si="47"/>
        <v>19831110</v>
      </c>
      <c r="K406" t="str">
        <f t="shared" si="48"/>
        <v>10.11.1983</v>
      </c>
    </row>
    <row r="407" spans="1:11" x14ac:dyDescent="0.25">
      <c r="A407" s="4" t="s">
        <v>433</v>
      </c>
      <c r="B407" t="s">
        <v>17</v>
      </c>
      <c r="C407" t="s">
        <v>6</v>
      </c>
      <c r="D407" s="3">
        <f t="shared" si="42"/>
        <v>75</v>
      </c>
      <c r="E407" s="4">
        <f t="shared" si="43"/>
        <v>12</v>
      </c>
      <c r="F407" s="4">
        <f t="shared" si="44"/>
        <v>21</v>
      </c>
      <c r="G407" s="3">
        <f>IF(E407&gt;=20,2000,1900) + D407</f>
        <v>1975</v>
      </c>
      <c r="H407">
        <f t="shared" si="45"/>
        <v>12</v>
      </c>
      <c r="I407" s="4">
        <f t="shared" si="46"/>
        <v>21</v>
      </c>
      <c r="J407">
        <f t="shared" si="47"/>
        <v>19751221</v>
      </c>
      <c r="K407" t="str">
        <f t="shared" si="48"/>
        <v>21.12.1975</v>
      </c>
    </row>
    <row r="408" spans="1:11" x14ac:dyDescent="0.25">
      <c r="A408" s="4" t="s">
        <v>434</v>
      </c>
      <c r="B408" t="s">
        <v>5</v>
      </c>
      <c r="C408" t="s">
        <v>4</v>
      </c>
      <c r="D408" s="3">
        <f t="shared" si="42"/>
        <v>65</v>
      </c>
      <c r="E408" s="4">
        <f t="shared" si="43"/>
        <v>10</v>
      </c>
      <c r="F408" s="4">
        <f t="shared" si="44"/>
        <v>5</v>
      </c>
      <c r="G408" s="3">
        <f>IF(E408&gt;=20,2000,1900) + D408</f>
        <v>1965</v>
      </c>
      <c r="H408">
        <f t="shared" si="45"/>
        <v>10</v>
      </c>
      <c r="I408" s="4">
        <f t="shared" si="46"/>
        <v>5</v>
      </c>
      <c r="J408">
        <f t="shared" si="47"/>
        <v>19651005</v>
      </c>
      <c r="K408" t="str">
        <f t="shared" si="48"/>
        <v>05.10.1965</v>
      </c>
    </row>
    <row r="409" spans="1:11" x14ac:dyDescent="0.25">
      <c r="A409" s="4" t="s">
        <v>435</v>
      </c>
      <c r="B409" t="s">
        <v>9</v>
      </c>
      <c r="C409" t="s">
        <v>6</v>
      </c>
      <c r="D409" s="3">
        <f t="shared" si="42"/>
        <v>70</v>
      </c>
      <c r="E409" s="4">
        <f t="shared" si="43"/>
        <v>2</v>
      </c>
      <c r="F409" s="4">
        <f t="shared" si="44"/>
        <v>19</v>
      </c>
      <c r="G409" s="3">
        <f>IF(E409&gt;=20,2000,1900) + D409</f>
        <v>1970</v>
      </c>
      <c r="H409">
        <f t="shared" si="45"/>
        <v>2</v>
      </c>
      <c r="I409" s="4">
        <f t="shared" si="46"/>
        <v>19</v>
      </c>
      <c r="J409">
        <f t="shared" si="47"/>
        <v>19700219</v>
      </c>
      <c r="K409" t="str">
        <f t="shared" si="48"/>
        <v>19.02.1970</v>
      </c>
    </row>
    <row r="410" spans="1:11" x14ac:dyDescent="0.25">
      <c r="A410" s="4" t="s">
        <v>436</v>
      </c>
      <c r="B410" t="s">
        <v>15</v>
      </c>
      <c r="C410" t="s">
        <v>4</v>
      </c>
      <c r="D410" s="3">
        <f t="shared" si="42"/>
        <v>79</v>
      </c>
      <c r="E410" s="4">
        <f t="shared" si="43"/>
        <v>5</v>
      </c>
      <c r="F410" s="4">
        <f t="shared" si="44"/>
        <v>30</v>
      </c>
      <c r="G410" s="3">
        <f>IF(E410&gt;=20,2000,1900) + D410</f>
        <v>1979</v>
      </c>
      <c r="H410">
        <f t="shared" si="45"/>
        <v>5</v>
      </c>
      <c r="I410" s="4">
        <f t="shared" si="46"/>
        <v>30</v>
      </c>
      <c r="J410">
        <f t="shared" si="47"/>
        <v>19790530</v>
      </c>
      <c r="K410" t="str">
        <f t="shared" si="48"/>
        <v>30.05.1979</v>
      </c>
    </row>
    <row r="411" spans="1:11" x14ac:dyDescent="0.25">
      <c r="A411" s="4" t="s">
        <v>437</v>
      </c>
      <c r="B411" t="s">
        <v>20</v>
      </c>
      <c r="C411" t="s">
        <v>4</v>
      </c>
      <c r="D411" s="3">
        <f t="shared" si="42"/>
        <v>98</v>
      </c>
      <c r="E411" s="4">
        <f t="shared" si="43"/>
        <v>10</v>
      </c>
      <c r="F411" s="4">
        <f t="shared" si="44"/>
        <v>7</v>
      </c>
      <c r="G411" s="3">
        <f>IF(E411&gt;=20,2000,1900) + D411</f>
        <v>1998</v>
      </c>
      <c r="H411">
        <f t="shared" si="45"/>
        <v>10</v>
      </c>
      <c r="I411" s="4">
        <f t="shared" si="46"/>
        <v>7</v>
      </c>
      <c r="J411">
        <f t="shared" si="47"/>
        <v>19981007</v>
      </c>
      <c r="K411" t="str">
        <f t="shared" si="48"/>
        <v>07.10.1998</v>
      </c>
    </row>
    <row r="412" spans="1:11" x14ac:dyDescent="0.25">
      <c r="A412" s="4" t="s">
        <v>438</v>
      </c>
      <c r="B412" t="s">
        <v>14</v>
      </c>
      <c r="C412" t="s">
        <v>4</v>
      </c>
      <c r="D412" s="3">
        <f t="shared" si="42"/>
        <v>61</v>
      </c>
      <c r="E412" s="4">
        <f t="shared" si="43"/>
        <v>4</v>
      </c>
      <c r="F412" s="4">
        <f t="shared" si="44"/>
        <v>4</v>
      </c>
      <c r="G412" s="3">
        <f>IF(E412&gt;=20,2000,1900) + D412</f>
        <v>1961</v>
      </c>
      <c r="H412">
        <f t="shared" si="45"/>
        <v>4</v>
      </c>
      <c r="I412" s="4">
        <f t="shared" si="46"/>
        <v>4</v>
      </c>
      <c r="J412">
        <f t="shared" si="47"/>
        <v>19610404</v>
      </c>
      <c r="K412" t="str">
        <f t="shared" si="48"/>
        <v>04.04.1961</v>
      </c>
    </row>
    <row r="413" spans="1:11" x14ac:dyDescent="0.25">
      <c r="A413" s="4" t="s">
        <v>439</v>
      </c>
      <c r="B413" t="s">
        <v>13</v>
      </c>
      <c r="C413" t="s">
        <v>4</v>
      </c>
      <c r="D413" s="3">
        <f t="shared" si="42"/>
        <v>54</v>
      </c>
      <c r="E413" s="4">
        <f t="shared" si="43"/>
        <v>12</v>
      </c>
      <c r="F413" s="4">
        <f t="shared" si="44"/>
        <v>9</v>
      </c>
      <c r="G413" s="3">
        <f>IF(E413&gt;=20,2000,1900) + D413</f>
        <v>1954</v>
      </c>
      <c r="H413">
        <f t="shared" si="45"/>
        <v>12</v>
      </c>
      <c r="I413" s="4">
        <f t="shared" si="46"/>
        <v>9</v>
      </c>
      <c r="J413">
        <f t="shared" si="47"/>
        <v>19541209</v>
      </c>
      <c r="K413" t="str">
        <f t="shared" si="48"/>
        <v>09.12.1954</v>
      </c>
    </row>
    <row r="414" spans="1:11" x14ac:dyDescent="0.25">
      <c r="A414" s="4" t="s">
        <v>440</v>
      </c>
      <c r="B414" t="s">
        <v>13</v>
      </c>
      <c r="C414" t="s">
        <v>6</v>
      </c>
      <c r="D414" s="3">
        <f t="shared" si="42"/>
        <v>87</v>
      </c>
      <c r="E414" s="4">
        <f t="shared" si="43"/>
        <v>1</v>
      </c>
      <c r="F414" s="4">
        <f t="shared" si="44"/>
        <v>17</v>
      </c>
      <c r="G414" s="3">
        <f>IF(E414&gt;=20,2000,1900) + D414</f>
        <v>1987</v>
      </c>
      <c r="H414">
        <f t="shared" si="45"/>
        <v>1</v>
      </c>
      <c r="I414" s="4">
        <f t="shared" si="46"/>
        <v>17</v>
      </c>
      <c r="J414">
        <f t="shared" si="47"/>
        <v>19870117</v>
      </c>
      <c r="K414" t="str">
        <f t="shared" si="48"/>
        <v>17.01.1987</v>
      </c>
    </row>
    <row r="415" spans="1:11" x14ac:dyDescent="0.25">
      <c r="A415" s="4" t="s">
        <v>441</v>
      </c>
      <c r="B415" t="s">
        <v>7</v>
      </c>
      <c r="C415" t="s">
        <v>4</v>
      </c>
      <c r="D415" s="3">
        <f t="shared" si="42"/>
        <v>89</v>
      </c>
      <c r="E415" s="4">
        <f t="shared" si="43"/>
        <v>12</v>
      </c>
      <c r="F415" s="4">
        <f t="shared" si="44"/>
        <v>21</v>
      </c>
      <c r="G415" s="3">
        <f>IF(E415&gt;=20,2000,1900) + D415</f>
        <v>1989</v>
      </c>
      <c r="H415">
        <f t="shared" si="45"/>
        <v>12</v>
      </c>
      <c r="I415" s="4">
        <f t="shared" si="46"/>
        <v>21</v>
      </c>
      <c r="J415">
        <f t="shared" si="47"/>
        <v>19891221</v>
      </c>
      <c r="K415" t="str">
        <f t="shared" si="48"/>
        <v>21.12.1989</v>
      </c>
    </row>
    <row r="416" spans="1:11" x14ac:dyDescent="0.25">
      <c r="A416" s="4" t="s">
        <v>442</v>
      </c>
      <c r="B416" t="s">
        <v>15</v>
      </c>
      <c r="C416" t="s">
        <v>4</v>
      </c>
      <c r="D416" s="3">
        <f t="shared" si="42"/>
        <v>63</v>
      </c>
      <c r="E416" s="4">
        <f t="shared" si="43"/>
        <v>10</v>
      </c>
      <c r="F416" s="4">
        <f t="shared" si="44"/>
        <v>25</v>
      </c>
      <c r="G416" s="3">
        <f>IF(E416&gt;=20,2000,1900) + D416</f>
        <v>1963</v>
      </c>
      <c r="H416">
        <f t="shared" si="45"/>
        <v>10</v>
      </c>
      <c r="I416" s="4">
        <f t="shared" si="46"/>
        <v>25</v>
      </c>
      <c r="J416">
        <f t="shared" si="47"/>
        <v>19631025</v>
      </c>
      <c r="K416" t="str">
        <f t="shared" si="48"/>
        <v>25.10.1963</v>
      </c>
    </row>
    <row r="417" spans="1:11" x14ac:dyDescent="0.25">
      <c r="A417" s="4" t="s">
        <v>443</v>
      </c>
      <c r="B417" t="s">
        <v>20</v>
      </c>
      <c r="C417" t="s">
        <v>6</v>
      </c>
      <c r="D417" s="3">
        <f t="shared" si="42"/>
        <v>91</v>
      </c>
      <c r="E417" s="4">
        <f t="shared" si="43"/>
        <v>10</v>
      </c>
      <c r="F417" s="4">
        <f t="shared" si="44"/>
        <v>17</v>
      </c>
      <c r="G417" s="3">
        <f>IF(E417&gt;=20,2000,1900) + D417</f>
        <v>1991</v>
      </c>
      <c r="H417">
        <f t="shared" si="45"/>
        <v>10</v>
      </c>
      <c r="I417" s="4">
        <f t="shared" si="46"/>
        <v>17</v>
      </c>
      <c r="J417">
        <f t="shared" si="47"/>
        <v>19911017</v>
      </c>
      <c r="K417" t="str">
        <f t="shared" si="48"/>
        <v>17.10.1991</v>
      </c>
    </row>
    <row r="418" spans="1:11" x14ac:dyDescent="0.25">
      <c r="A418" s="4" t="s">
        <v>444</v>
      </c>
      <c r="B418" t="s">
        <v>14</v>
      </c>
      <c r="C418" t="s">
        <v>6</v>
      </c>
      <c r="D418" s="3">
        <f t="shared" si="42"/>
        <v>73</v>
      </c>
      <c r="E418" s="4">
        <f t="shared" si="43"/>
        <v>4</v>
      </c>
      <c r="F418" s="4">
        <f t="shared" si="44"/>
        <v>12</v>
      </c>
      <c r="G418" s="3">
        <f>IF(E418&gt;=20,2000,1900) + D418</f>
        <v>1973</v>
      </c>
      <c r="H418">
        <f t="shared" si="45"/>
        <v>4</v>
      </c>
      <c r="I418" s="4">
        <f t="shared" si="46"/>
        <v>12</v>
      </c>
      <c r="J418">
        <f t="shared" si="47"/>
        <v>19730412</v>
      </c>
      <c r="K418" t="str">
        <f t="shared" si="48"/>
        <v>12.04.1973</v>
      </c>
    </row>
    <row r="419" spans="1:11" x14ac:dyDescent="0.25">
      <c r="A419" s="4" t="s">
        <v>445</v>
      </c>
      <c r="B419" t="s">
        <v>19</v>
      </c>
      <c r="C419" t="s">
        <v>4</v>
      </c>
      <c r="D419" s="3">
        <f t="shared" si="42"/>
        <v>63</v>
      </c>
      <c r="E419" s="4">
        <f t="shared" si="43"/>
        <v>10</v>
      </c>
      <c r="F419" s="4">
        <f t="shared" si="44"/>
        <v>12</v>
      </c>
      <c r="G419" s="3">
        <f>IF(E419&gt;=20,2000,1900) + D419</f>
        <v>1963</v>
      </c>
      <c r="H419">
        <f t="shared" si="45"/>
        <v>10</v>
      </c>
      <c r="I419" s="4">
        <f t="shared" si="46"/>
        <v>12</v>
      </c>
      <c r="J419">
        <f t="shared" si="47"/>
        <v>19631012</v>
      </c>
      <c r="K419" t="str">
        <f t="shared" si="48"/>
        <v>12.10.1963</v>
      </c>
    </row>
    <row r="420" spans="1:11" x14ac:dyDescent="0.25">
      <c r="A420" s="4" t="s">
        <v>446</v>
      </c>
      <c r="B420" t="s">
        <v>10</v>
      </c>
      <c r="C420" t="s">
        <v>6</v>
      </c>
      <c r="D420" s="3">
        <f t="shared" si="42"/>
        <v>84</v>
      </c>
      <c r="E420" s="4">
        <f t="shared" si="43"/>
        <v>2</v>
      </c>
      <c r="F420" s="4">
        <f t="shared" si="44"/>
        <v>14</v>
      </c>
      <c r="G420" s="3">
        <f>IF(E420&gt;=20,2000,1900) + D420</f>
        <v>1984</v>
      </c>
      <c r="H420">
        <f t="shared" si="45"/>
        <v>2</v>
      </c>
      <c r="I420" s="4">
        <f t="shared" si="46"/>
        <v>14</v>
      </c>
      <c r="J420">
        <f t="shared" si="47"/>
        <v>19840214</v>
      </c>
      <c r="K420" t="str">
        <f t="shared" si="48"/>
        <v>14.02.1984</v>
      </c>
    </row>
    <row r="421" spans="1:11" x14ac:dyDescent="0.25">
      <c r="A421" s="4" t="s">
        <v>447</v>
      </c>
      <c r="B421" t="s">
        <v>5</v>
      </c>
      <c r="C421" t="s">
        <v>4</v>
      </c>
      <c r="D421" s="3">
        <f t="shared" si="42"/>
        <v>87</v>
      </c>
      <c r="E421" s="4">
        <f t="shared" si="43"/>
        <v>5</v>
      </c>
      <c r="F421" s="4">
        <f t="shared" si="44"/>
        <v>13</v>
      </c>
      <c r="G421" s="3">
        <f>IF(E421&gt;=20,2000,1900) + D421</f>
        <v>1987</v>
      </c>
      <c r="H421">
        <f t="shared" si="45"/>
        <v>5</v>
      </c>
      <c r="I421" s="4">
        <f t="shared" si="46"/>
        <v>13</v>
      </c>
      <c r="J421">
        <f t="shared" si="47"/>
        <v>19870513</v>
      </c>
      <c r="K421" t="str">
        <f t="shared" si="48"/>
        <v>13.05.1987</v>
      </c>
    </row>
    <row r="422" spans="1:11" x14ac:dyDescent="0.25">
      <c r="A422" s="4" t="s">
        <v>448</v>
      </c>
      <c r="B422" t="s">
        <v>17</v>
      </c>
      <c r="C422" t="s">
        <v>4</v>
      </c>
      <c r="D422" s="3">
        <f t="shared" si="42"/>
        <v>87</v>
      </c>
      <c r="E422" s="4">
        <f t="shared" si="43"/>
        <v>12</v>
      </c>
      <c r="F422" s="4">
        <f t="shared" si="44"/>
        <v>22</v>
      </c>
      <c r="G422" s="3">
        <f>IF(E422&gt;=20,2000,1900) + D422</f>
        <v>1987</v>
      </c>
      <c r="H422">
        <f t="shared" si="45"/>
        <v>12</v>
      </c>
      <c r="I422" s="4">
        <f t="shared" si="46"/>
        <v>22</v>
      </c>
      <c r="J422">
        <f t="shared" si="47"/>
        <v>19871222</v>
      </c>
      <c r="K422" t="str">
        <f t="shared" si="48"/>
        <v>22.12.1987</v>
      </c>
    </row>
    <row r="423" spans="1:11" x14ac:dyDescent="0.25">
      <c r="A423" s="4" t="s">
        <v>449</v>
      </c>
      <c r="B423" t="s">
        <v>12</v>
      </c>
      <c r="C423" t="s">
        <v>4</v>
      </c>
      <c r="D423" s="3">
        <f t="shared" si="42"/>
        <v>63</v>
      </c>
      <c r="E423" s="4">
        <f t="shared" si="43"/>
        <v>6</v>
      </c>
      <c r="F423" s="4">
        <f t="shared" si="44"/>
        <v>29</v>
      </c>
      <c r="G423" s="3">
        <f>IF(E423&gt;=20,2000,1900) + D423</f>
        <v>1963</v>
      </c>
      <c r="H423">
        <f t="shared" si="45"/>
        <v>6</v>
      </c>
      <c r="I423" s="4">
        <f t="shared" si="46"/>
        <v>29</v>
      </c>
      <c r="J423">
        <f t="shared" si="47"/>
        <v>19630629</v>
      </c>
      <c r="K423" t="str">
        <f t="shared" si="48"/>
        <v>29.06.1963</v>
      </c>
    </row>
    <row r="424" spans="1:11" x14ac:dyDescent="0.25">
      <c r="A424" s="4" t="s">
        <v>450</v>
      </c>
      <c r="B424" t="s">
        <v>19</v>
      </c>
      <c r="C424" t="s">
        <v>6</v>
      </c>
      <c r="D424" s="3">
        <f t="shared" si="42"/>
        <v>99</v>
      </c>
      <c r="E424" s="4">
        <f t="shared" si="43"/>
        <v>1</v>
      </c>
      <c r="F424" s="4">
        <f t="shared" si="44"/>
        <v>12</v>
      </c>
      <c r="G424" s="3">
        <f>IF(E424&gt;=20,2000,1900) + D424</f>
        <v>1999</v>
      </c>
      <c r="H424">
        <f t="shared" si="45"/>
        <v>1</v>
      </c>
      <c r="I424" s="4">
        <f t="shared" si="46"/>
        <v>12</v>
      </c>
      <c r="J424">
        <f t="shared" si="47"/>
        <v>19990112</v>
      </c>
      <c r="K424" t="str">
        <f t="shared" si="48"/>
        <v>12.01.1999</v>
      </c>
    </row>
    <row r="425" spans="1:11" x14ac:dyDescent="0.25">
      <c r="A425" s="4" t="s">
        <v>451</v>
      </c>
      <c r="B425" t="s">
        <v>19</v>
      </c>
      <c r="C425" t="s">
        <v>6</v>
      </c>
      <c r="D425" s="3">
        <f t="shared" si="42"/>
        <v>72</v>
      </c>
      <c r="E425" s="4">
        <f t="shared" si="43"/>
        <v>11</v>
      </c>
      <c r="F425" s="4">
        <f t="shared" si="44"/>
        <v>7</v>
      </c>
      <c r="G425" s="3">
        <f>IF(E425&gt;=20,2000,1900) + D425</f>
        <v>1972</v>
      </c>
      <c r="H425">
        <f t="shared" si="45"/>
        <v>11</v>
      </c>
      <c r="I425" s="4">
        <f t="shared" si="46"/>
        <v>7</v>
      </c>
      <c r="J425">
        <f t="shared" si="47"/>
        <v>19721107</v>
      </c>
      <c r="K425" t="str">
        <f t="shared" si="48"/>
        <v>07.11.1972</v>
      </c>
    </row>
    <row r="426" spans="1:11" x14ac:dyDescent="0.25">
      <c r="A426" s="4" t="s">
        <v>452</v>
      </c>
      <c r="B426" t="s">
        <v>16</v>
      </c>
      <c r="C426" t="s">
        <v>6</v>
      </c>
      <c r="D426" s="3">
        <f t="shared" si="42"/>
        <v>70</v>
      </c>
      <c r="E426" s="4">
        <f t="shared" si="43"/>
        <v>5</v>
      </c>
      <c r="F426" s="4">
        <f t="shared" si="44"/>
        <v>23</v>
      </c>
      <c r="G426" s="3">
        <f>IF(E426&gt;=20,2000,1900) + D426</f>
        <v>1970</v>
      </c>
      <c r="H426">
        <f t="shared" si="45"/>
        <v>5</v>
      </c>
      <c r="I426" s="4">
        <f t="shared" si="46"/>
        <v>23</v>
      </c>
      <c r="J426">
        <f t="shared" si="47"/>
        <v>19700523</v>
      </c>
      <c r="K426" t="str">
        <f t="shared" si="48"/>
        <v>23.05.1970</v>
      </c>
    </row>
    <row r="427" spans="1:11" x14ac:dyDescent="0.25">
      <c r="A427" s="4" t="s">
        <v>453</v>
      </c>
      <c r="B427" t="s">
        <v>12</v>
      </c>
      <c r="C427" t="s">
        <v>6</v>
      </c>
      <c r="D427" s="3">
        <f t="shared" si="42"/>
        <v>53</v>
      </c>
      <c r="E427" s="4">
        <f t="shared" si="43"/>
        <v>8</v>
      </c>
      <c r="F427" s="4">
        <f t="shared" si="44"/>
        <v>6</v>
      </c>
      <c r="G427" s="3">
        <f>IF(E427&gt;=20,2000,1900) + D427</f>
        <v>1953</v>
      </c>
      <c r="H427">
        <f t="shared" si="45"/>
        <v>8</v>
      </c>
      <c r="I427" s="4">
        <f t="shared" si="46"/>
        <v>6</v>
      </c>
      <c r="J427">
        <f t="shared" si="47"/>
        <v>19530806</v>
      </c>
      <c r="K427" t="str">
        <f t="shared" si="48"/>
        <v>06.08.1953</v>
      </c>
    </row>
    <row r="428" spans="1:11" x14ac:dyDescent="0.25">
      <c r="A428" s="4" t="s">
        <v>454</v>
      </c>
      <c r="B428" t="s">
        <v>13</v>
      </c>
      <c r="C428" t="s">
        <v>6</v>
      </c>
      <c r="D428" s="3">
        <f t="shared" si="42"/>
        <v>63</v>
      </c>
      <c r="E428" s="4">
        <f t="shared" si="43"/>
        <v>9</v>
      </c>
      <c r="F428" s="4">
        <f t="shared" si="44"/>
        <v>26</v>
      </c>
      <c r="G428" s="3">
        <f>IF(E428&gt;=20,2000,1900) + D428</f>
        <v>1963</v>
      </c>
      <c r="H428">
        <f t="shared" si="45"/>
        <v>9</v>
      </c>
      <c r="I428" s="4">
        <f t="shared" si="46"/>
        <v>26</v>
      </c>
      <c r="J428">
        <f t="shared" si="47"/>
        <v>19630926</v>
      </c>
      <c r="K428" t="str">
        <f t="shared" si="48"/>
        <v>26.09.1963</v>
      </c>
    </row>
    <row r="429" spans="1:11" x14ac:dyDescent="0.25">
      <c r="A429" s="4" t="s">
        <v>455</v>
      </c>
      <c r="B429" t="s">
        <v>15</v>
      </c>
      <c r="C429" t="s">
        <v>4</v>
      </c>
      <c r="D429" s="3">
        <f t="shared" si="42"/>
        <v>80</v>
      </c>
      <c r="E429" s="4">
        <f t="shared" si="43"/>
        <v>1</v>
      </c>
      <c r="F429" s="4">
        <f t="shared" si="44"/>
        <v>23</v>
      </c>
      <c r="G429" s="3">
        <f>IF(E429&gt;=20,2000,1900) + D429</f>
        <v>1980</v>
      </c>
      <c r="H429">
        <f t="shared" si="45"/>
        <v>1</v>
      </c>
      <c r="I429" s="4">
        <f t="shared" si="46"/>
        <v>23</v>
      </c>
      <c r="J429">
        <f t="shared" si="47"/>
        <v>19800123</v>
      </c>
      <c r="K429" t="str">
        <f t="shared" si="48"/>
        <v>23.01.1980</v>
      </c>
    </row>
    <row r="430" spans="1:11" x14ac:dyDescent="0.25">
      <c r="A430" s="4" t="s">
        <v>456</v>
      </c>
      <c r="B430" t="s">
        <v>5</v>
      </c>
      <c r="C430" t="s">
        <v>4</v>
      </c>
      <c r="D430" s="3">
        <f t="shared" si="42"/>
        <v>88</v>
      </c>
      <c r="E430" s="4">
        <f t="shared" si="43"/>
        <v>9</v>
      </c>
      <c r="F430" s="4">
        <f t="shared" si="44"/>
        <v>28</v>
      </c>
      <c r="G430" s="3">
        <f>IF(E430&gt;=20,2000,1900) + D430</f>
        <v>1988</v>
      </c>
      <c r="H430">
        <f t="shared" si="45"/>
        <v>9</v>
      </c>
      <c r="I430" s="4">
        <f t="shared" si="46"/>
        <v>28</v>
      </c>
      <c r="J430">
        <f t="shared" si="47"/>
        <v>19880928</v>
      </c>
      <c r="K430" t="str">
        <f t="shared" si="48"/>
        <v>28.09.1988</v>
      </c>
    </row>
    <row r="431" spans="1:11" x14ac:dyDescent="0.25">
      <c r="A431" s="4" t="s">
        <v>457</v>
      </c>
      <c r="B431" t="s">
        <v>18</v>
      </c>
      <c r="C431" t="s">
        <v>6</v>
      </c>
      <c r="D431" s="3">
        <f t="shared" si="42"/>
        <v>63</v>
      </c>
      <c r="E431" s="4">
        <f t="shared" si="43"/>
        <v>6</v>
      </c>
      <c r="F431" s="4">
        <f t="shared" si="44"/>
        <v>20</v>
      </c>
      <c r="G431" s="3">
        <f>IF(E431&gt;=20,2000,1900) + D431</f>
        <v>1963</v>
      </c>
      <c r="H431">
        <f t="shared" si="45"/>
        <v>6</v>
      </c>
      <c r="I431" s="4">
        <f t="shared" si="46"/>
        <v>20</v>
      </c>
      <c r="J431">
        <f t="shared" si="47"/>
        <v>19630620</v>
      </c>
      <c r="K431" t="str">
        <f t="shared" si="48"/>
        <v>20.06.1963</v>
      </c>
    </row>
    <row r="432" spans="1:11" x14ac:dyDescent="0.25">
      <c r="A432" s="4" t="s">
        <v>458</v>
      </c>
      <c r="B432" t="s">
        <v>15</v>
      </c>
      <c r="C432" t="s">
        <v>4</v>
      </c>
      <c r="D432" s="3">
        <f t="shared" si="42"/>
        <v>62</v>
      </c>
      <c r="E432" s="4">
        <f t="shared" si="43"/>
        <v>2</v>
      </c>
      <c r="F432" s="4">
        <f t="shared" si="44"/>
        <v>6</v>
      </c>
      <c r="G432" s="3">
        <f>IF(E432&gt;=20,2000,1900) + D432</f>
        <v>1962</v>
      </c>
      <c r="H432">
        <f t="shared" si="45"/>
        <v>2</v>
      </c>
      <c r="I432" s="4">
        <f t="shared" si="46"/>
        <v>6</v>
      </c>
      <c r="J432">
        <f t="shared" si="47"/>
        <v>19620206</v>
      </c>
      <c r="K432" t="str">
        <f t="shared" si="48"/>
        <v>06.02.1962</v>
      </c>
    </row>
    <row r="433" spans="1:11" x14ac:dyDescent="0.25">
      <c r="A433" s="4" t="s">
        <v>459</v>
      </c>
      <c r="B433" t="s">
        <v>20</v>
      </c>
      <c r="C433" t="s">
        <v>6</v>
      </c>
      <c r="D433" s="3">
        <f t="shared" si="42"/>
        <v>85</v>
      </c>
      <c r="E433" s="4">
        <f t="shared" si="43"/>
        <v>12</v>
      </c>
      <c r="F433" s="4">
        <f t="shared" si="44"/>
        <v>7</v>
      </c>
      <c r="G433" s="3">
        <f>IF(E433&gt;=20,2000,1900) + D433</f>
        <v>1985</v>
      </c>
      <c r="H433">
        <f t="shared" si="45"/>
        <v>12</v>
      </c>
      <c r="I433" s="4">
        <f t="shared" si="46"/>
        <v>7</v>
      </c>
      <c r="J433">
        <f t="shared" si="47"/>
        <v>19851207</v>
      </c>
      <c r="K433" t="str">
        <f t="shared" si="48"/>
        <v>07.12.1985</v>
      </c>
    </row>
    <row r="434" spans="1:11" x14ac:dyDescent="0.25">
      <c r="A434" s="4" t="s">
        <v>460</v>
      </c>
      <c r="B434" t="s">
        <v>17</v>
      </c>
      <c r="C434" t="s">
        <v>4</v>
      </c>
      <c r="D434" s="3">
        <f t="shared" si="42"/>
        <v>57</v>
      </c>
      <c r="E434" s="4">
        <f t="shared" si="43"/>
        <v>7</v>
      </c>
      <c r="F434" s="4">
        <f t="shared" si="44"/>
        <v>24</v>
      </c>
      <c r="G434" s="3">
        <f>IF(E434&gt;=20,2000,1900) + D434</f>
        <v>1957</v>
      </c>
      <c r="H434">
        <f t="shared" si="45"/>
        <v>7</v>
      </c>
      <c r="I434" s="4">
        <f t="shared" si="46"/>
        <v>24</v>
      </c>
      <c r="J434">
        <f t="shared" si="47"/>
        <v>19570724</v>
      </c>
      <c r="K434" t="str">
        <f t="shared" si="48"/>
        <v>24.07.1957</v>
      </c>
    </row>
    <row r="435" spans="1:11" x14ac:dyDescent="0.25">
      <c r="A435" s="4" t="s">
        <v>461</v>
      </c>
      <c r="B435" t="s">
        <v>20</v>
      </c>
      <c r="C435" t="s">
        <v>6</v>
      </c>
      <c r="D435" s="3">
        <f t="shared" si="42"/>
        <v>82</v>
      </c>
      <c r="E435" s="4">
        <f t="shared" si="43"/>
        <v>2</v>
      </c>
      <c r="F435" s="4">
        <f t="shared" si="44"/>
        <v>2</v>
      </c>
      <c r="G435" s="3">
        <f>IF(E435&gt;=20,2000,1900) + D435</f>
        <v>1982</v>
      </c>
      <c r="H435">
        <f t="shared" si="45"/>
        <v>2</v>
      </c>
      <c r="I435" s="4">
        <f t="shared" si="46"/>
        <v>2</v>
      </c>
      <c r="J435">
        <f t="shared" si="47"/>
        <v>19820202</v>
      </c>
      <c r="K435" t="str">
        <f t="shared" si="48"/>
        <v>02.02.1982</v>
      </c>
    </row>
    <row r="436" spans="1:11" x14ac:dyDescent="0.25">
      <c r="A436" s="4" t="s">
        <v>462</v>
      </c>
      <c r="B436" t="s">
        <v>11</v>
      </c>
      <c r="C436" t="s">
        <v>4</v>
      </c>
      <c r="D436" s="3">
        <f t="shared" si="42"/>
        <v>93</v>
      </c>
      <c r="E436" s="4">
        <f t="shared" si="43"/>
        <v>11</v>
      </c>
      <c r="F436" s="4">
        <f t="shared" si="44"/>
        <v>30</v>
      </c>
      <c r="G436" s="3">
        <f>IF(E436&gt;=20,2000,1900) + D436</f>
        <v>1993</v>
      </c>
      <c r="H436">
        <f t="shared" si="45"/>
        <v>11</v>
      </c>
      <c r="I436" s="4">
        <f t="shared" si="46"/>
        <v>30</v>
      </c>
      <c r="J436">
        <f t="shared" si="47"/>
        <v>19931130</v>
      </c>
      <c r="K436" t="str">
        <f t="shared" si="48"/>
        <v>30.11.1993</v>
      </c>
    </row>
    <row r="437" spans="1:11" x14ac:dyDescent="0.25">
      <c r="A437" s="4" t="s">
        <v>463</v>
      </c>
      <c r="B437" t="s">
        <v>3</v>
      </c>
      <c r="C437" t="s">
        <v>4</v>
      </c>
      <c r="D437" s="3">
        <f t="shared" si="42"/>
        <v>80</v>
      </c>
      <c r="E437" s="4">
        <f t="shared" si="43"/>
        <v>3</v>
      </c>
      <c r="F437" s="4">
        <f t="shared" si="44"/>
        <v>29</v>
      </c>
      <c r="G437" s="3">
        <f>IF(E437&gt;=20,2000,1900) + D437</f>
        <v>1980</v>
      </c>
      <c r="H437">
        <f t="shared" si="45"/>
        <v>3</v>
      </c>
      <c r="I437" s="4">
        <f t="shared" si="46"/>
        <v>29</v>
      </c>
      <c r="J437">
        <f t="shared" si="47"/>
        <v>19800329</v>
      </c>
      <c r="K437" t="str">
        <f t="shared" si="48"/>
        <v>29.03.1980</v>
      </c>
    </row>
    <row r="438" spans="1:11" x14ac:dyDescent="0.25">
      <c r="A438" s="4" t="s">
        <v>464</v>
      </c>
      <c r="B438" t="s">
        <v>11</v>
      </c>
      <c r="C438" t="s">
        <v>4</v>
      </c>
      <c r="D438" s="3">
        <f t="shared" si="42"/>
        <v>97</v>
      </c>
      <c r="E438" s="4">
        <f t="shared" si="43"/>
        <v>6</v>
      </c>
      <c r="F438" s="4">
        <f t="shared" si="44"/>
        <v>16</v>
      </c>
      <c r="G438" s="3">
        <f>IF(E438&gt;=20,2000,1900) + D438</f>
        <v>1997</v>
      </c>
      <c r="H438">
        <f t="shared" si="45"/>
        <v>6</v>
      </c>
      <c r="I438" s="4">
        <f t="shared" si="46"/>
        <v>16</v>
      </c>
      <c r="J438">
        <f t="shared" si="47"/>
        <v>19970616</v>
      </c>
      <c r="K438" t="str">
        <f t="shared" si="48"/>
        <v>16.06.1997</v>
      </c>
    </row>
    <row r="439" spans="1:11" x14ac:dyDescent="0.25">
      <c r="A439" s="4" t="s">
        <v>465</v>
      </c>
      <c r="B439" t="s">
        <v>11</v>
      </c>
      <c r="C439" t="s">
        <v>4</v>
      </c>
      <c r="D439" s="3">
        <f t="shared" si="42"/>
        <v>99</v>
      </c>
      <c r="E439" s="4">
        <f t="shared" si="43"/>
        <v>4</v>
      </c>
      <c r="F439" s="4">
        <f t="shared" si="44"/>
        <v>22</v>
      </c>
      <c r="G439" s="3">
        <f>IF(E439&gt;=20,2000,1900) + D439</f>
        <v>1999</v>
      </c>
      <c r="H439">
        <f t="shared" si="45"/>
        <v>4</v>
      </c>
      <c r="I439" s="4">
        <f t="shared" si="46"/>
        <v>22</v>
      </c>
      <c r="J439">
        <f t="shared" si="47"/>
        <v>19990422</v>
      </c>
      <c r="K439" t="str">
        <f t="shared" si="48"/>
        <v>22.04.1999</v>
      </c>
    </row>
    <row r="440" spans="1:11" x14ac:dyDescent="0.25">
      <c r="A440" s="4" t="s">
        <v>466</v>
      </c>
      <c r="B440" t="s">
        <v>7</v>
      </c>
      <c r="C440" t="s">
        <v>4</v>
      </c>
      <c r="D440" s="3">
        <f t="shared" si="42"/>
        <v>90</v>
      </c>
      <c r="E440" s="4">
        <f t="shared" si="43"/>
        <v>12</v>
      </c>
      <c r="F440" s="4">
        <f t="shared" si="44"/>
        <v>22</v>
      </c>
      <c r="G440" s="3">
        <f>IF(E440&gt;=20,2000,1900) + D440</f>
        <v>1990</v>
      </c>
      <c r="H440">
        <f t="shared" si="45"/>
        <v>12</v>
      </c>
      <c r="I440" s="4">
        <f t="shared" si="46"/>
        <v>22</v>
      </c>
      <c r="J440">
        <f t="shared" si="47"/>
        <v>19901222</v>
      </c>
      <c r="K440" t="str">
        <f t="shared" si="48"/>
        <v>22.12.1990</v>
      </c>
    </row>
    <row r="441" spans="1:11" x14ac:dyDescent="0.25">
      <c r="A441" s="4" t="s">
        <v>467</v>
      </c>
      <c r="B441" t="s">
        <v>3</v>
      </c>
      <c r="C441" t="s">
        <v>4</v>
      </c>
      <c r="D441" s="3">
        <f t="shared" si="42"/>
        <v>98</v>
      </c>
      <c r="E441" s="4">
        <f t="shared" si="43"/>
        <v>4</v>
      </c>
      <c r="F441" s="4">
        <f t="shared" si="44"/>
        <v>20</v>
      </c>
      <c r="G441" s="3">
        <f>IF(E441&gt;=20,2000,1900) + D441</f>
        <v>1998</v>
      </c>
      <c r="H441">
        <f t="shared" si="45"/>
        <v>4</v>
      </c>
      <c r="I441" s="4">
        <f t="shared" si="46"/>
        <v>20</v>
      </c>
      <c r="J441">
        <f t="shared" si="47"/>
        <v>19980420</v>
      </c>
      <c r="K441" t="str">
        <f t="shared" si="48"/>
        <v>20.04.1998</v>
      </c>
    </row>
    <row r="442" spans="1:11" x14ac:dyDescent="0.25">
      <c r="A442" s="4" t="s">
        <v>468</v>
      </c>
      <c r="B442" t="s">
        <v>11</v>
      </c>
      <c r="C442" t="s">
        <v>4</v>
      </c>
      <c r="D442" s="3">
        <f t="shared" si="42"/>
        <v>63</v>
      </c>
      <c r="E442" s="4">
        <f t="shared" si="43"/>
        <v>9</v>
      </c>
      <c r="F442" s="4">
        <f t="shared" si="44"/>
        <v>6</v>
      </c>
      <c r="G442" s="3">
        <f>IF(E442&gt;=20,2000,1900) + D442</f>
        <v>1963</v>
      </c>
      <c r="H442">
        <f t="shared" si="45"/>
        <v>9</v>
      </c>
      <c r="I442" s="4">
        <f t="shared" si="46"/>
        <v>6</v>
      </c>
      <c r="J442">
        <f t="shared" si="47"/>
        <v>19630906</v>
      </c>
      <c r="K442" t="str">
        <f t="shared" si="48"/>
        <v>06.09.1963</v>
      </c>
    </row>
    <row r="443" spans="1:11" x14ac:dyDescent="0.25">
      <c r="A443" s="4" t="s">
        <v>469</v>
      </c>
      <c r="B443" t="s">
        <v>14</v>
      </c>
      <c r="C443" t="s">
        <v>4</v>
      </c>
      <c r="D443" s="3">
        <f t="shared" si="42"/>
        <v>56</v>
      </c>
      <c r="E443" s="4">
        <f t="shared" si="43"/>
        <v>4</v>
      </c>
      <c r="F443" s="4">
        <f t="shared" si="44"/>
        <v>16</v>
      </c>
      <c r="G443" s="3">
        <f>IF(E443&gt;=20,2000,1900) + D443</f>
        <v>1956</v>
      </c>
      <c r="H443">
        <f t="shared" si="45"/>
        <v>4</v>
      </c>
      <c r="I443" s="4">
        <f t="shared" si="46"/>
        <v>16</v>
      </c>
      <c r="J443">
        <f t="shared" si="47"/>
        <v>19560416</v>
      </c>
      <c r="K443" t="str">
        <f t="shared" si="48"/>
        <v>16.04.1956</v>
      </c>
    </row>
    <row r="444" spans="1:11" x14ac:dyDescent="0.25">
      <c r="A444" s="4" t="s">
        <v>470</v>
      </c>
      <c r="B444" t="s">
        <v>11</v>
      </c>
      <c r="C444" t="s">
        <v>4</v>
      </c>
      <c r="D444" s="3">
        <f t="shared" si="42"/>
        <v>61</v>
      </c>
      <c r="E444" s="4">
        <f t="shared" si="43"/>
        <v>6</v>
      </c>
      <c r="F444" s="4">
        <f t="shared" si="44"/>
        <v>13</v>
      </c>
      <c r="G444" s="3">
        <f>IF(E444&gt;=20,2000,1900) + D444</f>
        <v>1961</v>
      </c>
      <c r="H444">
        <f t="shared" si="45"/>
        <v>6</v>
      </c>
      <c r="I444" s="4">
        <f t="shared" si="46"/>
        <v>13</v>
      </c>
      <c r="J444">
        <f t="shared" si="47"/>
        <v>19610613</v>
      </c>
      <c r="K444" t="str">
        <f t="shared" si="48"/>
        <v>13.06.1961</v>
      </c>
    </row>
    <row r="445" spans="1:11" x14ac:dyDescent="0.25">
      <c r="A445" s="4" t="s">
        <v>471</v>
      </c>
      <c r="B445" t="s">
        <v>16</v>
      </c>
      <c r="C445" t="s">
        <v>6</v>
      </c>
      <c r="D445" s="3">
        <f t="shared" si="42"/>
        <v>65</v>
      </c>
      <c r="E445" s="4">
        <f t="shared" si="43"/>
        <v>3</v>
      </c>
      <c r="F445" s="4">
        <f t="shared" si="44"/>
        <v>2</v>
      </c>
      <c r="G445" s="3">
        <f>IF(E445&gt;=20,2000,1900) + D445</f>
        <v>1965</v>
      </c>
      <c r="H445">
        <f t="shared" si="45"/>
        <v>3</v>
      </c>
      <c r="I445" s="4">
        <f t="shared" si="46"/>
        <v>2</v>
      </c>
      <c r="J445">
        <f t="shared" si="47"/>
        <v>19650302</v>
      </c>
      <c r="K445" t="str">
        <f t="shared" si="48"/>
        <v>02.03.1965</v>
      </c>
    </row>
    <row r="446" spans="1:11" x14ac:dyDescent="0.25">
      <c r="A446" s="4" t="s">
        <v>472</v>
      </c>
      <c r="B446" t="s">
        <v>12</v>
      </c>
      <c r="C446" t="s">
        <v>4</v>
      </c>
      <c r="D446" s="3">
        <f t="shared" si="42"/>
        <v>92</v>
      </c>
      <c r="E446" s="4">
        <f t="shared" si="43"/>
        <v>1</v>
      </c>
      <c r="F446" s="4">
        <f t="shared" si="44"/>
        <v>29</v>
      </c>
      <c r="G446" s="3">
        <f>IF(E446&gt;=20,2000,1900) + D446</f>
        <v>1992</v>
      </c>
      <c r="H446">
        <f t="shared" si="45"/>
        <v>1</v>
      </c>
      <c r="I446" s="4">
        <f t="shared" si="46"/>
        <v>29</v>
      </c>
      <c r="J446">
        <f t="shared" si="47"/>
        <v>19920129</v>
      </c>
      <c r="K446" t="str">
        <f t="shared" si="48"/>
        <v>29.01.1992</v>
      </c>
    </row>
    <row r="447" spans="1:11" x14ac:dyDescent="0.25">
      <c r="A447" s="4" t="s">
        <v>473</v>
      </c>
      <c r="B447" t="s">
        <v>15</v>
      </c>
      <c r="C447" t="s">
        <v>6</v>
      </c>
      <c r="D447" s="3">
        <f t="shared" si="42"/>
        <v>98</v>
      </c>
      <c r="E447" s="4">
        <f t="shared" si="43"/>
        <v>2</v>
      </c>
      <c r="F447" s="4">
        <f t="shared" si="44"/>
        <v>13</v>
      </c>
      <c r="G447" s="3">
        <f>IF(E447&gt;=20,2000,1900) + D447</f>
        <v>1998</v>
      </c>
      <c r="H447">
        <f t="shared" si="45"/>
        <v>2</v>
      </c>
      <c r="I447" s="4">
        <f t="shared" si="46"/>
        <v>13</v>
      </c>
      <c r="J447">
        <f t="shared" si="47"/>
        <v>19980213</v>
      </c>
      <c r="K447" t="str">
        <f t="shared" si="48"/>
        <v>13.02.1998</v>
      </c>
    </row>
    <row r="448" spans="1:11" x14ac:dyDescent="0.25">
      <c r="A448" s="4" t="s">
        <v>474</v>
      </c>
      <c r="B448" t="s">
        <v>10</v>
      </c>
      <c r="C448" t="s">
        <v>6</v>
      </c>
      <c r="D448" s="3">
        <f t="shared" si="42"/>
        <v>61</v>
      </c>
      <c r="E448" s="4">
        <f t="shared" si="43"/>
        <v>2</v>
      </c>
      <c r="F448" s="4">
        <f t="shared" si="44"/>
        <v>7</v>
      </c>
      <c r="G448" s="3">
        <f>IF(E448&gt;=20,2000,1900) + D448</f>
        <v>1961</v>
      </c>
      <c r="H448">
        <f t="shared" si="45"/>
        <v>2</v>
      </c>
      <c r="I448" s="4">
        <f t="shared" si="46"/>
        <v>7</v>
      </c>
      <c r="J448">
        <f t="shared" si="47"/>
        <v>19610207</v>
      </c>
      <c r="K448" t="str">
        <f t="shared" si="48"/>
        <v>07.02.1961</v>
      </c>
    </row>
    <row r="449" spans="1:11" x14ac:dyDescent="0.25">
      <c r="A449" s="4" t="s">
        <v>475</v>
      </c>
      <c r="B449" t="s">
        <v>11</v>
      </c>
      <c r="C449" t="s">
        <v>6</v>
      </c>
      <c r="D449" s="3">
        <f t="shared" si="42"/>
        <v>51</v>
      </c>
      <c r="E449" s="4">
        <f t="shared" si="43"/>
        <v>10</v>
      </c>
      <c r="F449" s="4">
        <f t="shared" si="44"/>
        <v>8</v>
      </c>
      <c r="G449" s="3">
        <f>IF(E449&gt;=20,2000,1900) + D449</f>
        <v>1951</v>
      </c>
      <c r="H449">
        <f t="shared" si="45"/>
        <v>10</v>
      </c>
      <c r="I449" s="4">
        <f t="shared" si="46"/>
        <v>8</v>
      </c>
      <c r="J449">
        <f t="shared" si="47"/>
        <v>19511008</v>
      </c>
      <c r="K449" t="str">
        <f t="shared" si="48"/>
        <v>08.10.1951</v>
      </c>
    </row>
    <row r="450" spans="1:11" x14ac:dyDescent="0.25">
      <c r="A450" s="4" t="s">
        <v>476</v>
      </c>
      <c r="B450" t="s">
        <v>12</v>
      </c>
      <c r="C450" t="s">
        <v>4</v>
      </c>
      <c r="D450" s="3">
        <f t="shared" si="42"/>
        <v>58</v>
      </c>
      <c r="E450" s="4">
        <f t="shared" si="43"/>
        <v>9</v>
      </c>
      <c r="F450" s="4">
        <f t="shared" si="44"/>
        <v>23</v>
      </c>
      <c r="G450" s="3">
        <f>IF(E450&gt;=20,2000,1900) + D450</f>
        <v>1958</v>
      </c>
      <c r="H450">
        <f t="shared" si="45"/>
        <v>9</v>
      </c>
      <c r="I450" s="4">
        <f t="shared" si="46"/>
        <v>23</v>
      </c>
      <c r="J450">
        <f t="shared" si="47"/>
        <v>19580923</v>
      </c>
      <c r="K450" t="str">
        <f t="shared" si="48"/>
        <v>23.09.1958</v>
      </c>
    </row>
    <row r="451" spans="1:11" x14ac:dyDescent="0.25">
      <c r="A451" s="4" t="s">
        <v>477</v>
      </c>
      <c r="B451" t="s">
        <v>15</v>
      </c>
      <c r="C451" t="s">
        <v>4</v>
      </c>
      <c r="D451" s="3">
        <f t="shared" ref="D451:D514" si="49">MID(A451,1,2)*1</f>
        <v>58</v>
      </c>
      <c r="E451" s="4">
        <f t="shared" ref="E451:E514" si="50">MID(A451,3,2)*1</f>
        <v>8</v>
      </c>
      <c r="F451" s="4">
        <f t="shared" ref="F451:F514" si="51">MID(A451,5,2)*1</f>
        <v>18</v>
      </c>
      <c r="G451" s="3">
        <f>IF(E451&gt;=20,2000,1900) + D451</f>
        <v>1958</v>
      </c>
      <c r="H451">
        <f t="shared" ref="H451:H514" si="52">IF(E451&gt;=20,E451-20,E451)</f>
        <v>8</v>
      </c>
      <c r="I451" s="4">
        <f t="shared" ref="I451:I514" si="53">F451</f>
        <v>18</v>
      </c>
      <c r="J451">
        <f t="shared" ref="J451:J514" si="54">CONCATENATE(G451,IF(LEN(E451)=1,CONCATENATE("0",E451),E451),IF(LEN(F451)=1,CONCATENATE("0",F451),F451))*1</f>
        <v>19580818</v>
      </c>
      <c r="K451" t="str">
        <f t="shared" ref="K451:K514" si="55">CONCATENATE(RIGHT(J451,2),".",MID(J451,5,2),".",LEFT(J451,4))</f>
        <v>18.08.1958</v>
      </c>
    </row>
    <row r="452" spans="1:11" x14ac:dyDescent="0.25">
      <c r="A452" s="4" t="s">
        <v>478</v>
      </c>
      <c r="B452" t="s">
        <v>17</v>
      </c>
      <c r="C452" t="s">
        <v>4</v>
      </c>
      <c r="D452" s="3">
        <f t="shared" si="49"/>
        <v>51</v>
      </c>
      <c r="E452" s="4">
        <f t="shared" si="50"/>
        <v>11</v>
      </c>
      <c r="F452" s="4">
        <f t="shared" si="51"/>
        <v>20</v>
      </c>
      <c r="G452" s="3">
        <f>IF(E452&gt;=20,2000,1900) + D452</f>
        <v>1951</v>
      </c>
      <c r="H452">
        <f t="shared" si="52"/>
        <v>11</v>
      </c>
      <c r="I452" s="4">
        <f t="shared" si="53"/>
        <v>20</v>
      </c>
      <c r="J452">
        <f t="shared" si="54"/>
        <v>19511120</v>
      </c>
      <c r="K452" t="str">
        <f t="shared" si="55"/>
        <v>20.11.1951</v>
      </c>
    </row>
    <row r="453" spans="1:11" x14ac:dyDescent="0.25">
      <c r="A453" s="4" t="s">
        <v>479</v>
      </c>
      <c r="B453" t="s">
        <v>15</v>
      </c>
      <c r="C453" t="s">
        <v>4</v>
      </c>
      <c r="D453" s="3">
        <f t="shared" si="49"/>
        <v>89</v>
      </c>
      <c r="E453" s="4">
        <f t="shared" si="50"/>
        <v>1</v>
      </c>
      <c r="F453" s="4">
        <f t="shared" si="51"/>
        <v>1</v>
      </c>
      <c r="G453" s="3">
        <f>IF(E453&gt;=20,2000,1900) + D453</f>
        <v>1989</v>
      </c>
      <c r="H453">
        <f t="shared" si="52"/>
        <v>1</v>
      </c>
      <c r="I453" s="4">
        <f t="shared" si="53"/>
        <v>1</v>
      </c>
      <c r="J453">
        <f t="shared" si="54"/>
        <v>19890101</v>
      </c>
      <c r="K453" t="str">
        <f t="shared" si="55"/>
        <v>01.01.1989</v>
      </c>
    </row>
    <row r="454" spans="1:11" x14ac:dyDescent="0.25">
      <c r="A454" s="4" t="s">
        <v>480</v>
      </c>
      <c r="B454" t="s">
        <v>14</v>
      </c>
      <c r="C454" t="s">
        <v>6</v>
      </c>
      <c r="D454" s="3">
        <f t="shared" si="49"/>
        <v>84</v>
      </c>
      <c r="E454" s="4">
        <f t="shared" si="50"/>
        <v>2</v>
      </c>
      <c r="F454" s="4">
        <f t="shared" si="51"/>
        <v>11</v>
      </c>
      <c r="G454" s="3">
        <f>IF(E454&gt;=20,2000,1900) + D454</f>
        <v>1984</v>
      </c>
      <c r="H454">
        <f t="shared" si="52"/>
        <v>2</v>
      </c>
      <c r="I454" s="4">
        <f t="shared" si="53"/>
        <v>11</v>
      </c>
      <c r="J454">
        <f t="shared" si="54"/>
        <v>19840211</v>
      </c>
      <c r="K454" t="str">
        <f t="shared" si="55"/>
        <v>11.02.1984</v>
      </c>
    </row>
    <row r="455" spans="1:11" x14ac:dyDescent="0.25">
      <c r="A455" s="4" t="s">
        <v>481</v>
      </c>
      <c r="B455" t="s">
        <v>9</v>
      </c>
      <c r="C455" t="s">
        <v>6</v>
      </c>
      <c r="D455" s="3">
        <f t="shared" si="49"/>
        <v>66</v>
      </c>
      <c r="E455" s="4">
        <f t="shared" si="50"/>
        <v>7</v>
      </c>
      <c r="F455" s="4">
        <f t="shared" si="51"/>
        <v>11</v>
      </c>
      <c r="G455" s="3">
        <f>IF(E455&gt;=20,2000,1900) + D455</f>
        <v>1966</v>
      </c>
      <c r="H455">
        <f t="shared" si="52"/>
        <v>7</v>
      </c>
      <c r="I455" s="4">
        <f t="shared" si="53"/>
        <v>11</v>
      </c>
      <c r="J455">
        <f t="shared" si="54"/>
        <v>19660711</v>
      </c>
      <c r="K455" t="str">
        <f t="shared" si="55"/>
        <v>11.07.1966</v>
      </c>
    </row>
    <row r="456" spans="1:11" x14ac:dyDescent="0.25">
      <c r="A456" s="4" t="s">
        <v>482</v>
      </c>
      <c r="B456" t="s">
        <v>9</v>
      </c>
      <c r="C456" t="s">
        <v>6</v>
      </c>
      <c r="D456" s="3">
        <f t="shared" si="49"/>
        <v>64</v>
      </c>
      <c r="E456" s="4">
        <f t="shared" si="50"/>
        <v>11</v>
      </c>
      <c r="F456" s="4">
        <f t="shared" si="51"/>
        <v>5</v>
      </c>
      <c r="G456" s="3">
        <f>IF(E456&gt;=20,2000,1900) + D456</f>
        <v>1964</v>
      </c>
      <c r="H456">
        <f t="shared" si="52"/>
        <v>11</v>
      </c>
      <c r="I456" s="4">
        <f t="shared" si="53"/>
        <v>5</v>
      </c>
      <c r="J456">
        <f t="shared" si="54"/>
        <v>19641105</v>
      </c>
      <c r="K456" t="str">
        <f t="shared" si="55"/>
        <v>05.11.1964</v>
      </c>
    </row>
    <row r="457" spans="1:11" x14ac:dyDescent="0.25">
      <c r="A457" s="4" t="s">
        <v>483</v>
      </c>
      <c r="B457" t="s">
        <v>7</v>
      </c>
      <c r="C457" t="s">
        <v>6</v>
      </c>
      <c r="D457" s="3">
        <f t="shared" si="49"/>
        <v>80</v>
      </c>
      <c r="E457" s="4">
        <f t="shared" si="50"/>
        <v>9</v>
      </c>
      <c r="F457" s="4">
        <f t="shared" si="51"/>
        <v>7</v>
      </c>
      <c r="G457" s="3">
        <f>IF(E457&gt;=20,2000,1900) + D457</f>
        <v>1980</v>
      </c>
      <c r="H457">
        <f t="shared" si="52"/>
        <v>9</v>
      </c>
      <c r="I457" s="4">
        <f t="shared" si="53"/>
        <v>7</v>
      </c>
      <c r="J457">
        <f t="shared" si="54"/>
        <v>19800907</v>
      </c>
      <c r="K457" t="str">
        <f t="shared" si="55"/>
        <v>07.09.1980</v>
      </c>
    </row>
    <row r="458" spans="1:11" x14ac:dyDescent="0.25">
      <c r="A458" s="4" t="s">
        <v>484</v>
      </c>
      <c r="B458" t="s">
        <v>17</v>
      </c>
      <c r="C458" t="s">
        <v>4</v>
      </c>
      <c r="D458" s="3">
        <f t="shared" si="49"/>
        <v>60</v>
      </c>
      <c r="E458" s="4">
        <f t="shared" si="50"/>
        <v>8</v>
      </c>
      <c r="F458" s="4">
        <f t="shared" si="51"/>
        <v>10</v>
      </c>
      <c r="G458" s="3">
        <f>IF(E458&gt;=20,2000,1900) + D458</f>
        <v>1960</v>
      </c>
      <c r="H458">
        <f t="shared" si="52"/>
        <v>8</v>
      </c>
      <c r="I458" s="4">
        <f t="shared" si="53"/>
        <v>10</v>
      </c>
      <c r="J458">
        <f t="shared" si="54"/>
        <v>19600810</v>
      </c>
      <c r="K458" t="str">
        <f t="shared" si="55"/>
        <v>10.08.1960</v>
      </c>
    </row>
    <row r="459" spans="1:11" x14ac:dyDescent="0.25">
      <c r="A459" s="4" t="s">
        <v>485</v>
      </c>
      <c r="B459" t="s">
        <v>5</v>
      </c>
      <c r="C459" t="s">
        <v>6</v>
      </c>
      <c r="D459" s="3">
        <f t="shared" si="49"/>
        <v>81</v>
      </c>
      <c r="E459" s="4">
        <f t="shared" si="50"/>
        <v>6</v>
      </c>
      <c r="F459" s="4">
        <f t="shared" si="51"/>
        <v>6</v>
      </c>
      <c r="G459" s="3">
        <f>IF(E459&gt;=20,2000,1900) + D459</f>
        <v>1981</v>
      </c>
      <c r="H459">
        <f t="shared" si="52"/>
        <v>6</v>
      </c>
      <c r="I459" s="4">
        <f t="shared" si="53"/>
        <v>6</v>
      </c>
      <c r="J459">
        <f t="shared" si="54"/>
        <v>19810606</v>
      </c>
      <c r="K459" t="str">
        <f t="shared" si="55"/>
        <v>06.06.1981</v>
      </c>
    </row>
    <row r="460" spans="1:11" x14ac:dyDescent="0.25">
      <c r="A460" s="4" t="s">
        <v>486</v>
      </c>
      <c r="B460" t="s">
        <v>19</v>
      </c>
      <c r="C460" t="s">
        <v>4</v>
      </c>
      <c r="D460" s="3">
        <f t="shared" si="49"/>
        <v>72</v>
      </c>
      <c r="E460" s="4">
        <f t="shared" si="50"/>
        <v>4</v>
      </c>
      <c r="F460" s="4">
        <f t="shared" si="51"/>
        <v>11</v>
      </c>
      <c r="G460" s="3">
        <f>IF(E460&gt;=20,2000,1900) + D460</f>
        <v>1972</v>
      </c>
      <c r="H460">
        <f t="shared" si="52"/>
        <v>4</v>
      </c>
      <c r="I460" s="4">
        <f t="shared" si="53"/>
        <v>11</v>
      </c>
      <c r="J460">
        <f t="shared" si="54"/>
        <v>19720411</v>
      </c>
      <c r="K460" t="str">
        <f t="shared" si="55"/>
        <v>11.04.1972</v>
      </c>
    </row>
    <row r="461" spans="1:11" x14ac:dyDescent="0.25">
      <c r="A461" s="4" t="s">
        <v>487</v>
      </c>
      <c r="B461" t="s">
        <v>15</v>
      </c>
      <c r="C461" t="s">
        <v>6</v>
      </c>
      <c r="D461" s="3">
        <f t="shared" si="49"/>
        <v>93</v>
      </c>
      <c r="E461" s="4">
        <f t="shared" si="50"/>
        <v>5</v>
      </c>
      <c r="F461" s="4">
        <f t="shared" si="51"/>
        <v>2</v>
      </c>
      <c r="G461" s="3">
        <f>IF(E461&gt;=20,2000,1900) + D461</f>
        <v>1993</v>
      </c>
      <c r="H461">
        <f t="shared" si="52"/>
        <v>5</v>
      </c>
      <c r="I461" s="4">
        <f t="shared" si="53"/>
        <v>2</v>
      </c>
      <c r="J461">
        <f t="shared" si="54"/>
        <v>19930502</v>
      </c>
      <c r="K461" t="str">
        <f t="shared" si="55"/>
        <v>02.05.1993</v>
      </c>
    </row>
    <row r="462" spans="1:11" x14ac:dyDescent="0.25">
      <c r="A462" s="4" t="s">
        <v>488</v>
      </c>
      <c r="B462" t="s">
        <v>5</v>
      </c>
      <c r="C462" t="s">
        <v>6</v>
      </c>
      <c r="D462" s="3">
        <f t="shared" si="49"/>
        <v>57</v>
      </c>
      <c r="E462" s="4">
        <f t="shared" si="50"/>
        <v>11</v>
      </c>
      <c r="F462" s="4">
        <f t="shared" si="51"/>
        <v>10</v>
      </c>
      <c r="G462" s="3">
        <f>IF(E462&gt;=20,2000,1900) + D462</f>
        <v>1957</v>
      </c>
      <c r="H462">
        <f t="shared" si="52"/>
        <v>11</v>
      </c>
      <c r="I462" s="4">
        <f t="shared" si="53"/>
        <v>10</v>
      </c>
      <c r="J462">
        <f t="shared" si="54"/>
        <v>19571110</v>
      </c>
      <c r="K462" t="str">
        <f t="shared" si="55"/>
        <v>10.11.1957</v>
      </c>
    </row>
    <row r="463" spans="1:11" x14ac:dyDescent="0.25">
      <c r="A463" s="4" t="s">
        <v>489</v>
      </c>
      <c r="B463" t="s">
        <v>7</v>
      </c>
      <c r="C463" t="s">
        <v>6</v>
      </c>
      <c r="D463" s="3">
        <f t="shared" si="49"/>
        <v>95</v>
      </c>
      <c r="E463" s="4">
        <f t="shared" si="50"/>
        <v>12</v>
      </c>
      <c r="F463" s="4">
        <f t="shared" si="51"/>
        <v>1</v>
      </c>
      <c r="G463" s="3">
        <f>IF(E463&gt;=20,2000,1900) + D463</f>
        <v>1995</v>
      </c>
      <c r="H463">
        <f t="shared" si="52"/>
        <v>12</v>
      </c>
      <c r="I463" s="4">
        <f t="shared" si="53"/>
        <v>1</v>
      </c>
      <c r="J463">
        <f t="shared" si="54"/>
        <v>19951201</v>
      </c>
      <c r="K463" t="str">
        <f t="shared" si="55"/>
        <v>01.12.1995</v>
      </c>
    </row>
    <row r="464" spans="1:11" x14ac:dyDescent="0.25">
      <c r="A464" s="4" t="s">
        <v>490</v>
      </c>
      <c r="B464" t="s">
        <v>7</v>
      </c>
      <c r="C464" t="s">
        <v>6</v>
      </c>
      <c r="D464" s="3">
        <f t="shared" si="49"/>
        <v>50</v>
      </c>
      <c r="E464" s="4">
        <f t="shared" si="50"/>
        <v>3</v>
      </c>
      <c r="F464" s="4">
        <f t="shared" si="51"/>
        <v>5</v>
      </c>
      <c r="G464" s="3">
        <f>IF(E464&gt;=20,2000,1900) + D464</f>
        <v>1950</v>
      </c>
      <c r="H464">
        <f t="shared" si="52"/>
        <v>3</v>
      </c>
      <c r="I464" s="4">
        <f t="shared" si="53"/>
        <v>5</v>
      </c>
      <c r="J464">
        <f t="shared" si="54"/>
        <v>19500305</v>
      </c>
      <c r="K464" t="str">
        <f t="shared" si="55"/>
        <v>05.03.1950</v>
      </c>
    </row>
    <row r="465" spans="1:11" x14ac:dyDescent="0.25">
      <c r="A465" s="4" t="s">
        <v>491</v>
      </c>
      <c r="B465" t="s">
        <v>12</v>
      </c>
      <c r="C465" t="s">
        <v>6</v>
      </c>
      <c r="D465" s="3">
        <f t="shared" si="49"/>
        <v>99</v>
      </c>
      <c r="E465" s="4">
        <f t="shared" si="50"/>
        <v>3</v>
      </c>
      <c r="F465" s="4">
        <f t="shared" si="51"/>
        <v>7</v>
      </c>
      <c r="G465" s="3">
        <f>IF(E465&gt;=20,2000,1900) + D465</f>
        <v>1999</v>
      </c>
      <c r="H465">
        <f t="shared" si="52"/>
        <v>3</v>
      </c>
      <c r="I465" s="4">
        <f t="shared" si="53"/>
        <v>7</v>
      </c>
      <c r="J465">
        <f t="shared" si="54"/>
        <v>19990307</v>
      </c>
      <c r="K465" t="str">
        <f t="shared" si="55"/>
        <v>07.03.1999</v>
      </c>
    </row>
    <row r="466" spans="1:11" x14ac:dyDescent="0.25">
      <c r="A466" s="4" t="s">
        <v>492</v>
      </c>
      <c r="B466" t="s">
        <v>5</v>
      </c>
      <c r="C466" t="s">
        <v>6</v>
      </c>
      <c r="D466" s="3">
        <f t="shared" si="49"/>
        <v>86</v>
      </c>
      <c r="E466" s="4">
        <f t="shared" si="50"/>
        <v>1</v>
      </c>
      <c r="F466" s="4">
        <f t="shared" si="51"/>
        <v>28</v>
      </c>
      <c r="G466" s="3">
        <f>IF(E466&gt;=20,2000,1900) + D466</f>
        <v>1986</v>
      </c>
      <c r="H466">
        <f t="shared" si="52"/>
        <v>1</v>
      </c>
      <c r="I466" s="4">
        <f t="shared" si="53"/>
        <v>28</v>
      </c>
      <c r="J466">
        <f t="shared" si="54"/>
        <v>19860128</v>
      </c>
      <c r="K466" t="str">
        <f t="shared" si="55"/>
        <v>28.01.1986</v>
      </c>
    </row>
    <row r="467" spans="1:11" x14ac:dyDescent="0.25">
      <c r="A467" s="4" t="s">
        <v>493</v>
      </c>
      <c r="B467" t="s">
        <v>16</v>
      </c>
      <c r="C467" t="s">
        <v>4</v>
      </c>
      <c r="D467" s="3">
        <f t="shared" si="49"/>
        <v>77</v>
      </c>
      <c r="E467" s="4">
        <f t="shared" si="50"/>
        <v>7</v>
      </c>
      <c r="F467" s="4">
        <f t="shared" si="51"/>
        <v>9</v>
      </c>
      <c r="G467" s="3">
        <f>IF(E467&gt;=20,2000,1900) + D467</f>
        <v>1977</v>
      </c>
      <c r="H467">
        <f t="shared" si="52"/>
        <v>7</v>
      </c>
      <c r="I467" s="4">
        <f t="shared" si="53"/>
        <v>9</v>
      </c>
      <c r="J467">
        <f t="shared" si="54"/>
        <v>19770709</v>
      </c>
      <c r="K467" t="str">
        <f t="shared" si="55"/>
        <v>09.07.1977</v>
      </c>
    </row>
    <row r="468" spans="1:11" x14ac:dyDescent="0.25">
      <c r="A468" s="4" t="s">
        <v>494</v>
      </c>
      <c r="B468" t="s">
        <v>3</v>
      </c>
      <c r="C468" t="s">
        <v>4</v>
      </c>
      <c r="D468" s="3">
        <f t="shared" si="49"/>
        <v>81</v>
      </c>
      <c r="E468" s="4">
        <f t="shared" si="50"/>
        <v>11</v>
      </c>
      <c r="F468" s="4">
        <f t="shared" si="51"/>
        <v>7</v>
      </c>
      <c r="G468" s="3">
        <f>IF(E468&gt;=20,2000,1900) + D468</f>
        <v>1981</v>
      </c>
      <c r="H468">
        <f t="shared" si="52"/>
        <v>11</v>
      </c>
      <c r="I468" s="4">
        <f t="shared" si="53"/>
        <v>7</v>
      </c>
      <c r="J468">
        <f t="shared" si="54"/>
        <v>19811107</v>
      </c>
      <c r="K468" t="str">
        <f t="shared" si="55"/>
        <v>07.11.1981</v>
      </c>
    </row>
    <row r="469" spans="1:11" x14ac:dyDescent="0.25">
      <c r="A469" s="4" t="s">
        <v>495</v>
      </c>
      <c r="B469" t="s">
        <v>7</v>
      </c>
      <c r="C469" t="s">
        <v>4</v>
      </c>
      <c r="D469" s="3">
        <f t="shared" si="49"/>
        <v>77</v>
      </c>
      <c r="E469" s="4">
        <f t="shared" si="50"/>
        <v>11</v>
      </c>
      <c r="F469" s="4">
        <f t="shared" si="51"/>
        <v>11</v>
      </c>
      <c r="G469" s="3">
        <f>IF(E469&gt;=20,2000,1900) + D469</f>
        <v>1977</v>
      </c>
      <c r="H469">
        <f t="shared" si="52"/>
        <v>11</v>
      </c>
      <c r="I469" s="4">
        <f t="shared" si="53"/>
        <v>11</v>
      </c>
      <c r="J469">
        <f t="shared" si="54"/>
        <v>19771111</v>
      </c>
      <c r="K469" t="str">
        <f t="shared" si="55"/>
        <v>11.11.1977</v>
      </c>
    </row>
    <row r="470" spans="1:11" x14ac:dyDescent="0.25">
      <c r="A470" s="4" t="s">
        <v>496</v>
      </c>
      <c r="B470" t="s">
        <v>13</v>
      </c>
      <c r="C470" t="s">
        <v>4</v>
      </c>
      <c r="D470" s="3">
        <f t="shared" si="49"/>
        <v>70</v>
      </c>
      <c r="E470" s="4">
        <f t="shared" si="50"/>
        <v>10</v>
      </c>
      <c r="F470" s="4">
        <f t="shared" si="51"/>
        <v>1</v>
      </c>
      <c r="G470" s="3">
        <f>IF(E470&gt;=20,2000,1900) + D470</f>
        <v>1970</v>
      </c>
      <c r="H470">
        <f t="shared" si="52"/>
        <v>10</v>
      </c>
      <c r="I470" s="4">
        <f t="shared" si="53"/>
        <v>1</v>
      </c>
      <c r="J470">
        <f t="shared" si="54"/>
        <v>19701001</v>
      </c>
      <c r="K470" t="str">
        <f t="shared" si="55"/>
        <v>01.10.1970</v>
      </c>
    </row>
    <row r="471" spans="1:11" x14ac:dyDescent="0.25">
      <c r="A471" s="4" t="s">
        <v>497</v>
      </c>
      <c r="B471" t="s">
        <v>15</v>
      </c>
      <c r="C471" t="s">
        <v>6</v>
      </c>
      <c r="D471" s="3">
        <f t="shared" si="49"/>
        <v>65</v>
      </c>
      <c r="E471" s="4">
        <f t="shared" si="50"/>
        <v>2</v>
      </c>
      <c r="F471" s="4">
        <f t="shared" si="51"/>
        <v>15</v>
      </c>
      <c r="G471" s="3">
        <f>IF(E471&gt;=20,2000,1900) + D471</f>
        <v>1965</v>
      </c>
      <c r="H471">
        <f t="shared" si="52"/>
        <v>2</v>
      </c>
      <c r="I471" s="4">
        <f t="shared" si="53"/>
        <v>15</v>
      </c>
      <c r="J471">
        <f t="shared" si="54"/>
        <v>19650215</v>
      </c>
      <c r="K471" t="str">
        <f t="shared" si="55"/>
        <v>15.02.1965</v>
      </c>
    </row>
    <row r="472" spans="1:11" x14ac:dyDescent="0.25">
      <c r="A472" s="4" t="s">
        <v>498</v>
      </c>
      <c r="B472" t="s">
        <v>20</v>
      </c>
      <c r="C472" t="s">
        <v>4</v>
      </c>
      <c r="D472" s="3">
        <f t="shared" si="49"/>
        <v>85</v>
      </c>
      <c r="E472" s="4">
        <f t="shared" si="50"/>
        <v>6</v>
      </c>
      <c r="F472" s="4">
        <f t="shared" si="51"/>
        <v>8</v>
      </c>
      <c r="G472" s="3">
        <f>IF(E472&gt;=20,2000,1900) + D472</f>
        <v>1985</v>
      </c>
      <c r="H472">
        <f t="shared" si="52"/>
        <v>6</v>
      </c>
      <c r="I472" s="4">
        <f t="shared" si="53"/>
        <v>8</v>
      </c>
      <c r="J472">
        <f t="shared" si="54"/>
        <v>19850608</v>
      </c>
      <c r="K472" t="str">
        <f t="shared" si="55"/>
        <v>08.06.1985</v>
      </c>
    </row>
    <row r="473" spans="1:11" x14ac:dyDescent="0.25">
      <c r="A473" s="4" t="s">
        <v>499</v>
      </c>
      <c r="B473" t="s">
        <v>5</v>
      </c>
      <c r="C473" t="s">
        <v>6</v>
      </c>
      <c r="D473" s="3">
        <f t="shared" si="49"/>
        <v>71</v>
      </c>
      <c r="E473" s="4">
        <f t="shared" si="50"/>
        <v>5</v>
      </c>
      <c r="F473" s="4">
        <f t="shared" si="51"/>
        <v>6</v>
      </c>
      <c r="G473" s="3">
        <f>IF(E473&gt;=20,2000,1900) + D473</f>
        <v>1971</v>
      </c>
      <c r="H473">
        <f t="shared" si="52"/>
        <v>5</v>
      </c>
      <c r="I473" s="4">
        <f t="shared" si="53"/>
        <v>6</v>
      </c>
      <c r="J473">
        <f t="shared" si="54"/>
        <v>19710506</v>
      </c>
      <c r="K473" t="str">
        <f t="shared" si="55"/>
        <v>06.05.1971</v>
      </c>
    </row>
    <row r="474" spans="1:11" x14ac:dyDescent="0.25">
      <c r="A474" s="4" t="s">
        <v>500</v>
      </c>
      <c r="B474" t="s">
        <v>10</v>
      </c>
      <c r="C474" t="s">
        <v>6</v>
      </c>
      <c r="D474" s="3">
        <f t="shared" si="49"/>
        <v>59</v>
      </c>
      <c r="E474" s="4">
        <f t="shared" si="50"/>
        <v>7</v>
      </c>
      <c r="F474" s="4">
        <f t="shared" si="51"/>
        <v>17</v>
      </c>
      <c r="G474" s="3">
        <f>IF(E474&gt;=20,2000,1900) + D474</f>
        <v>1959</v>
      </c>
      <c r="H474">
        <f t="shared" si="52"/>
        <v>7</v>
      </c>
      <c r="I474" s="4">
        <f t="shared" si="53"/>
        <v>17</v>
      </c>
      <c r="J474">
        <f t="shared" si="54"/>
        <v>19590717</v>
      </c>
      <c r="K474" t="str">
        <f t="shared" si="55"/>
        <v>17.07.1959</v>
      </c>
    </row>
    <row r="475" spans="1:11" x14ac:dyDescent="0.25">
      <c r="A475" s="4" t="s">
        <v>501</v>
      </c>
      <c r="B475" t="s">
        <v>19</v>
      </c>
      <c r="C475" t="s">
        <v>6</v>
      </c>
      <c r="D475" s="3">
        <f t="shared" si="49"/>
        <v>95</v>
      </c>
      <c r="E475" s="4">
        <f t="shared" si="50"/>
        <v>3</v>
      </c>
      <c r="F475" s="4">
        <f t="shared" si="51"/>
        <v>24</v>
      </c>
      <c r="G475" s="3">
        <f>IF(E475&gt;=20,2000,1900) + D475</f>
        <v>1995</v>
      </c>
      <c r="H475">
        <f t="shared" si="52"/>
        <v>3</v>
      </c>
      <c r="I475" s="4">
        <f t="shared" si="53"/>
        <v>24</v>
      </c>
      <c r="J475">
        <f t="shared" si="54"/>
        <v>19950324</v>
      </c>
      <c r="K475" t="str">
        <f t="shared" si="55"/>
        <v>24.03.1995</v>
      </c>
    </row>
    <row r="476" spans="1:11" x14ac:dyDescent="0.25">
      <c r="A476" s="4" t="s">
        <v>502</v>
      </c>
      <c r="B476" t="s">
        <v>9</v>
      </c>
      <c r="C476" t="s">
        <v>4</v>
      </c>
      <c r="D476" s="3">
        <f t="shared" si="49"/>
        <v>89</v>
      </c>
      <c r="E476" s="4">
        <f t="shared" si="50"/>
        <v>6</v>
      </c>
      <c r="F476" s="4">
        <f t="shared" si="51"/>
        <v>17</v>
      </c>
      <c r="G476" s="3">
        <f>IF(E476&gt;=20,2000,1900) + D476</f>
        <v>1989</v>
      </c>
      <c r="H476">
        <f t="shared" si="52"/>
        <v>6</v>
      </c>
      <c r="I476" s="4">
        <f t="shared" si="53"/>
        <v>17</v>
      </c>
      <c r="J476">
        <f t="shared" si="54"/>
        <v>19890617</v>
      </c>
      <c r="K476" t="str">
        <f t="shared" si="55"/>
        <v>17.06.1989</v>
      </c>
    </row>
    <row r="477" spans="1:11" x14ac:dyDescent="0.25">
      <c r="A477" s="4" t="s">
        <v>503</v>
      </c>
      <c r="B477" t="s">
        <v>17</v>
      </c>
      <c r="C477" t="s">
        <v>4</v>
      </c>
      <c r="D477" s="3">
        <f t="shared" si="49"/>
        <v>51</v>
      </c>
      <c r="E477" s="4">
        <f t="shared" si="50"/>
        <v>8</v>
      </c>
      <c r="F477" s="4">
        <f t="shared" si="51"/>
        <v>8</v>
      </c>
      <c r="G477" s="3">
        <f>IF(E477&gt;=20,2000,1900) + D477</f>
        <v>1951</v>
      </c>
      <c r="H477">
        <f t="shared" si="52"/>
        <v>8</v>
      </c>
      <c r="I477" s="4">
        <f t="shared" si="53"/>
        <v>8</v>
      </c>
      <c r="J477">
        <f t="shared" si="54"/>
        <v>19510808</v>
      </c>
      <c r="K477" t="str">
        <f t="shared" si="55"/>
        <v>08.08.1951</v>
      </c>
    </row>
    <row r="478" spans="1:11" x14ac:dyDescent="0.25">
      <c r="A478" s="4" t="s">
        <v>504</v>
      </c>
      <c r="B478" t="s">
        <v>19</v>
      </c>
      <c r="C478" t="s">
        <v>4</v>
      </c>
      <c r="D478" s="3">
        <f t="shared" si="49"/>
        <v>57</v>
      </c>
      <c r="E478" s="4">
        <f t="shared" si="50"/>
        <v>2</v>
      </c>
      <c r="F478" s="4">
        <f t="shared" si="51"/>
        <v>21</v>
      </c>
      <c r="G478" s="3">
        <f>IF(E478&gt;=20,2000,1900) + D478</f>
        <v>1957</v>
      </c>
      <c r="H478">
        <f t="shared" si="52"/>
        <v>2</v>
      </c>
      <c r="I478" s="4">
        <f t="shared" si="53"/>
        <v>21</v>
      </c>
      <c r="J478">
        <f t="shared" si="54"/>
        <v>19570221</v>
      </c>
      <c r="K478" t="str">
        <f t="shared" si="55"/>
        <v>21.02.1957</v>
      </c>
    </row>
    <row r="479" spans="1:11" x14ac:dyDescent="0.25">
      <c r="A479" s="4" t="s">
        <v>505</v>
      </c>
      <c r="B479" t="s">
        <v>16</v>
      </c>
      <c r="C479" t="s">
        <v>4</v>
      </c>
      <c r="D479" s="3">
        <f t="shared" si="49"/>
        <v>83</v>
      </c>
      <c r="E479" s="4">
        <f t="shared" si="50"/>
        <v>4</v>
      </c>
      <c r="F479" s="4">
        <f t="shared" si="51"/>
        <v>1</v>
      </c>
      <c r="G479" s="3">
        <f>IF(E479&gt;=20,2000,1900) + D479</f>
        <v>1983</v>
      </c>
      <c r="H479">
        <f t="shared" si="52"/>
        <v>4</v>
      </c>
      <c r="I479" s="4">
        <f t="shared" si="53"/>
        <v>1</v>
      </c>
      <c r="J479">
        <f t="shared" si="54"/>
        <v>19830401</v>
      </c>
      <c r="K479" t="str">
        <f t="shared" si="55"/>
        <v>01.04.1983</v>
      </c>
    </row>
    <row r="480" spans="1:11" x14ac:dyDescent="0.25">
      <c r="A480" s="4" t="s">
        <v>506</v>
      </c>
      <c r="B480" t="s">
        <v>17</v>
      </c>
      <c r="C480" t="s">
        <v>6</v>
      </c>
      <c r="D480" s="3">
        <f t="shared" si="49"/>
        <v>94</v>
      </c>
      <c r="E480" s="4">
        <f t="shared" si="50"/>
        <v>7</v>
      </c>
      <c r="F480" s="4">
        <f t="shared" si="51"/>
        <v>30</v>
      </c>
      <c r="G480" s="3">
        <f>IF(E480&gt;=20,2000,1900) + D480</f>
        <v>1994</v>
      </c>
      <c r="H480">
        <f t="shared" si="52"/>
        <v>7</v>
      </c>
      <c r="I480" s="4">
        <f t="shared" si="53"/>
        <v>30</v>
      </c>
      <c r="J480">
        <f t="shared" si="54"/>
        <v>19940730</v>
      </c>
      <c r="K480" t="str">
        <f t="shared" si="55"/>
        <v>30.07.1994</v>
      </c>
    </row>
    <row r="481" spans="1:11" x14ac:dyDescent="0.25">
      <c r="A481" s="4" t="s">
        <v>507</v>
      </c>
      <c r="B481" t="s">
        <v>20</v>
      </c>
      <c r="C481" t="s">
        <v>6</v>
      </c>
      <c r="D481" s="3">
        <f t="shared" si="49"/>
        <v>85</v>
      </c>
      <c r="E481" s="4">
        <f t="shared" si="50"/>
        <v>8</v>
      </c>
      <c r="F481" s="4">
        <f t="shared" si="51"/>
        <v>26</v>
      </c>
      <c r="G481" s="3">
        <f>IF(E481&gt;=20,2000,1900) + D481</f>
        <v>1985</v>
      </c>
      <c r="H481">
        <f t="shared" si="52"/>
        <v>8</v>
      </c>
      <c r="I481" s="4">
        <f t="shared" si="53"/>
        <v>26</v>
      </c>
      <c r="J481">
        <f t="shared" si="54"/>
        <v>19850826</v>
      </c>
      <c r="K481" t="str">
        <f t="shared" si="55"/>
        <v>26.08.1985</v>
      </c>
    </row>
    <row r="482" spans="1:11" x14ac:dyDescent="0.25">
      <c r="A482" s="4" t="s">
        <v>508</v>
      </c>
      <c r="B482" t="s">
        <v>8</v>
      </c>
      <c r="C482" t="s">
        <v>6</v>
      </c>
      <c r="D482" s="3">
        <f t="shared" si="49"/>
        <v>68</v>
      </c>
      <c r="E482" s="4">
        <f t="shared" si="50"/>
        <v>7</v>
      </c>
      <c r="F482" s="4">
        <f t="shared" si="51"/>
        <v>11</v>
      </c>
      <c r="G482" s="3">
        <f>IF(E482&gt;=20,2000,1900) + D482</f>
        <v>1968</v>
      </c>
      <c r="H482">
        <f t="shared" si="52"/>
        <v>7</v>
      </c>
      <c r="I482" s="4">
        <f t="shared" si="53"/>
        <v>11</v>
      </c>
      <c r="J482">
        <f t="shared" si="54"/>
        <v>19680711</v>
      </c>
      <c r="K482" t="str">
        <f t="shared" si="55"/>
        <v>11.07.1968</v>
      </c>
    </row>
    <row r="483" spans="1:11" x14ac:dyDescent="0.25">
      <c r="A483" s="4" t="s">
        <v>509</v>
      </c>
      <c r="B483" t="s">
        <v>8</v>
      </c>
      <c r="C483" t="s">
        <v>4</v>
      </c>
      <c r="D483" s="3">
        <f t="shared" si="49"/>
        <v>66</v>
      </c>
      <c r="E483" s="4">
        <f t="shared" si="50"/>
        <v>12</v>
      </c>
      <c r="F483" s="4">
        <f t="shared" si="51"/>
        <v>24</v>
      </c>
      <c r="G483" s="3">
        <f>IF(E483&gt;=20,2000,1900) + D483</f>
        <v>1966</v>
      </c>
      <c r="H483">
        <f t="shared" si="52"/>
        <v>12</v>
      </c>
      <c r="I483" s="4">
        <f t="shared" si="53"/>
        <v>24</v>
      </c>
      <c r="J483">
        <f t="shared" si="54"/>
        <v>19661224</v>
      </c>
      <c r="K483" t="str">
        <f t="shared" si="55"/>
        <v>24.12.1966</v>
      </c>
    </row>
    <row r="484" spans="1:11" x14ac:dyDescent="0.25">
      <c r="A484" s="4" t="s">
        <v>510</v>
      </c>
      <c r="B484" t="s">
        <v>12</v>
      </c>
      <c r="C484" t="s">
        <v>4</v>
      </c>
      <c r="D484" s="3">
        <f t="shared" si="49"/>
        <v>83</v>
      </c>
      <c r="E484" s="4">
        <f t="shared" si="50"/>
        <v>11</v>
      </c>
      <c r="F484" s="4">
        <f t="shared" si="51"/>
        <v>25</v>
      </c>
      <c r="G484" s="3">
        <f>IF(E484&gt;=20,2000,1900) + D484</f>
        <v>1983</v>
      </c>
      <c r="H484">
        <f t="shared" si="52"/>
        <v>11</v>
      </c>
      <c r="I484" s="4">
        <f t="shared" si="53"/>
        <v>25</v>
      </c>
      <c r="J484">
        <f t="shared" si="54"/>
        <v>19831125</v>
      </c>
      <c r="K484" t="str">
        <f t="shared" si="55"/>
        <v>25.11.1983</v>
      </c>
    </row>
    <row r="485" spans="1:11" x14ac:dyDescent="0.25">
      <c r="A485" s="4" t="s">
        <v>511</v>
      </c>
      <c r="B485" t="s">
        <v>20</v>
      </c>
      <c r="C485" t="s">
        <v>4</v>
      </c>
      <c r="D485" s="3">
        <f t="shared" si="49"/>
        <v>72</v>
      </c>
      <c r="E485" s="4">
        <f t="shared" si="50"/>
        <v>3</v>
      </c>
      <c r="F485" s="4">
        <f t="shared" si="51"/>
        <v>29</v>
      </c>
      <c r="G485" s="3">
        <f>IF(E485&gt;=20,2000,1900) + D485</f>
        <v>1972</v>
      </c>
      <c r="H485">
        <f t="shared" si="52"/>
        <v>3</v>
      </c>
      <c r="I485" s="4">
        <f t="shared" si="53"/>
        <v>29</v>
      </c>
      <c r="J485">
        <f t="shared" si="54"/>
        <v>19720329</v>
      </c>
      <c r="K485" t="str">
        <f t="shared" si="55"/>
        <v>29.03.1972</v>
      </c>
    </row>
    <row r="486" spans="1:11" x14ac:dyDescent="0.25">
      <c r="A486" s="4" t="s">
        <v>512</v>
      </c>
      <c r="B486" t="s">
        <v>11</v>
      </c>
      <c r="C486" t="s">
        <v>6</v>
      </c>
      <c r="D486" s="3">
        <f t="shared" si="49"/>
        <v>99</v>
      </c>
      <c r="E486" s="4">
        <f t="shared" si="50"/>
        <v>4</v>
      </c>
      <c r="F486" s="4">
        <f t="shared" si="51"/>
        <v>14</v>
      </c>
      <c r="G486" s="3">
        <f>IF(E486&gt;=20,2000,1900) + D486</f>
        <v>1999</v>
      </c>
      <c r="H486">
        <f t="shared" si="52"/>
        <v>4</v>
      </c>
      <c r="I486" s="4">
        <f t="shared" si="53"/>
        <v>14</v>
      </c>
      <c r="J486">
        <f t="shared" si="54"/>
        <v>19990414</v>
      </c>
      <c r="K486" t="str">
        <f t="shared" si="55"/>
        <v>14.04.1999</v>
      </c>
    </row>
    <row r="487" spans="1:11" x14ac:dyDescent="0.25">
      <c r="A487" s="4" t="s">
        <v>513</v>
      </c>
      <c r="B487" t="s">
        <v>3</v>
      </c>
      <c r="C487" t="s">
        <v>4</v>
      </c>
      <c r="D487" s="3">
        <f t="shared" si="49"/>
        <v>99</v>
      </c>
      <c r="E487" s="4">
        <f t="shared" si="50"/>
        <v>8</v>
      </c>
      <c r="F487" s="4">
        <f t="shared" si="51"/>
        <v>20</v>
      </c>
      <c r="G487" s="3">
        <f>IF(E487&gt;=20,2000,1900) + D487</f>
        <v>1999</v>
      </c>
      <c r="H487">
        <f t="shared" si="52"/>
        <v>8</v>
      </c>
      <c r="I487" s="4">
        <f t="shared" si="53"/>
        <v>20</v>
      </c>
      <c r="J487">
        <f t="shared" si="54"/>
        <v>19990820</v>
      </c>
      <c r="K487" t="str">
        <f t="shared" si="55"/>
        <v>20.08.1999</v>
      </c>
    </row>
    <row r="488" spans="1:11" x14ac:dyDescent="0.25">
      <c r="A488" s="4" t="s">
        <v>514</v>
      </c>
      <c r="B488" t="s">
        <v>16</v>
      </c>
      <c r="C488" t="s">
        <v>6</v>
      </c>
      <c r="D488" s="3">
        <f t="shared" si="49"/>
        <v>62</v>
      </c>
      <c r="E488" s="4">
        <f t="shared" si="50"/>
        <v>12</v>
      </c>
      <c r="F488" s="4">
        <f t="shared" si="51"/>
        <v>30</v>
      </c>
      <c r="G488" s="3">
        <f>IF(E488&gt;=20,2000,1900) + D488</f>
        <v>1962</v>
      </c>
      <c r="H488">
        <f t="shared" si="52"/>
        <v>12</v>
      </c>
      <c r="I488" s="4">
        <f t="shared" si="53"/>
        <v>30</v>
      </c>
      <c r="J488">
        <f t="shared" si="54"/>
        <v>19621230</v>
      </c>
      <c r="K488" t="str">
        <f t="shared" si="55"/>
        <v>30.12.1962</v>
      </c>
    </row>
    <row r="489" spans="1:11" x14ac:dyDescent="0.25">
      <c r="A489" s="4" t="s">
        <v>515</v>
      </c>
      <c r="B489" t="s">
        <v>10</v>
      </c>
      <c r="C489" t="s">
        <v>4</v>
      </c>
      <c r="D489" s="3">
        <f t="shared" si="49"/>
        <v>65</v>
      </c>
      <c r="E489" s="4">
        <f t="shared" si="50"/>
        <v>3</v>
      </c>
      <c r="F489" s="4">
        <f t="shared" si="51"/>
        <v>17</v>
      </c>
      <c r="G489" s="3">
        <f>IF(E489&gt;=20,2000,1900) + D489</f>
        <v>1965</v>
      </c>
      <c r="H489">
        <f t="shared" si="52"/>
        <v>3</v>
      </c>
      <c r="I489" s="4">
        <f t="shared" si="53"/>
        <v>17</v>
      </c>
      <c r="J489">
        <f t="shared" si="54"/>
        <v>19650317</v>
      </c>
      <c r="K489" t="str">
        <f t="shared" si="55"/>
        <v>17.03.1965</v>
      </c>
    </row>
    <row r="490" spans="1:11" x14ac:dyDescent="0.25">
      <c r="A490" s="4" t="s">
        <v>516</v>
      </c>
      <c r="B490" t="s">
        <v>8</v>
      </c>
      <c r="C490" t="s">
        <v>6</v>
      </c>
      <c r="D490" s="3">
        <f t="shared" si="49"/>
        <v>66</v>
      </c>
      <c r="E490" s="4">
        <f t="shared" si="50"/>
        <v>3</v>
      </c>
      <c r="F490" s="4">
        <f t="shared" si="51"/>
        <v>15</v>
      </c>
      <c r="G490" s="3">
        <f>IF(E490&gt;=20,2000,1900) + D490</f>
        <v>1966</v>
      </c>
      <c r="H490">
        <f t="shared" si="52"/>
        <v>3</v>
      </c>
      <c r="I490" s="4">
        <f t="shared" si="53"/>
        <v>15</v>
      </c>
      <c r="J490">
        <f t="shared" si="54"/>
        <v>19660315</v>
      </c>
      <c r="K490" t="str">
        <f t="shared" si="55"/>
        <v>15.03.1966</v>
      </c>
    </row>
    <row r="491" spans="1:11" x14ac:dyDescent="0.25">
      <c r="A491" s="4" t="s">
        <v>517</v>
      </c>
      <c r="B491" t="s">
        <v>17</v>
      </c>
      <c r="C491" t="s">
        <v>4</v>
      </c>
      <c r="D491" s="3">
        <f t="shared" si="49"/>
        <v>84</v>
      </c>
      <c r="E491" s="4">
        <f t="shared" si="50"/>
        <v>12</v>
      </c>
      <c r="F491" s="4">
        <f t="shared" si="51"/>
        <v>12</v>
      </c>
      <c r="G491" s="3">
        <f>IF(E491&gt;=20,2000,1900) + D491</f>
        <v>1984</v>
      </c>
      <c r="H491">
        <f t="shared" si="52"/>
        <v>12</v>
      </c>
      <c r="I491" s="4">
        <f t="shared" si="53"/>
        <v>12</v>
      </c>
      <c r="J491">
        <f t="shared" si="54"/>
        <v>19841212</v>
      </c>
      <c r="K491" t="str">
        <f t="shared" si="55"/>
        <v>12.12.1984</v>
      </c>
    </row>
    <row r="492" spans="1:11" x14ac:dyDescent="0.25">
      <c r="A492" s="4" t="s">
        <v>518</v>
      </c>
      <c r="B492" t="s">
        <v>8</v>
      </c>
      <c r="C492" t="s">
        <v>6</v>
      </c>
      <c r="D492" s="3">
        <f t="shared" si="49"/>
        <v>56</v>
      </c>
      <c r="E492" s="4">
        <f t="shared" si="50"/>
        <v>6</v>
      </c>
      <c r="F492" s="4">
        <f t="shared" si="51"/>
        <v>2</v>
      </c>
      <c r="G492" s="3">
        <f>IF(E492&gt;=20,2000,1900) + D492</f>
        <v>1956</v>
      </c>
      <c r="H492">
        <f t="shared" si="52"/>
        <v>6</v>
      </c>
      <c r="I492" s="4">
        <f t="shared" si="53"/>
        <v>2</v>
      </c>
      <c r="J492">
        <f t="shared" si="54"/>
        <v>19560602</v>
      </c>
      <c r="K492" t="str">
        <f t="shared" si="55"/>
        <v>02.06.1956</v>
      </c>
    </row>
    <row r="493" spans="1:11" x14ac:dyDescent="0.25">
      <c r="A493" s="4" t="s">
        <v>519</v>
      </c>
      <c r="B493" t="s">
        <v>13</v>
      </c>
      <c r="C493" t="s">
        <v>4</v>
      </c>
      <c r="D493" s="3">
        <f t="shared" si="49"/>
        <v>88</v>
      </c>
      <c r="E493" s="4">
        <f t="shared" si="50"/>
        <v>6</v>
      </c>
      <c r="F493" s="4">
        <f t="shared" si="51"/>
        <v>2</v>
      </c>
      <c r="G493" s="3">
        <f>IF(E493&gt;=20,2000,1900) + D493</f>
        <v>1988</v>
      </c>
      <c r="H493">
        <f t="shared" si="52"/>
        <v>6</v>
      </c>
      <c r="I493" s="4">
        <f t="shared" si="53"/>
        <v>2</v>
      </c>
      <c r="J493">
        <f t="shared" si="54"/>
        <v>19880602</v>
      </c>
      <c r="K493" t="str">
        <f t="shared" si="55"/>
        <v>02.06.1988</v>
      </c>
    </row>
    <row r="494" spans="1:11" x14ac:dyDescent="0.25">
      <c r="A494" s="4" t="s">
        <v>520</v>
      </c>
      <c r="B494" t="s">
        <v>19</v>
      </c>
      <c r="C494" t="s">
        <v>6</v>
      </c>
      <c r="D494" s="3">
        <f t="shared" si="49"/>
        <v>93</v>
      </c>
      <c r="E494" s="4">
        <f t="shared" si="50"/>
        <v>7</v>
      </c>
      <c r="F494" s="4">
        <f t="shared" si="51"/>
        <v>16</v>
      </c>
      <c r="G494" s="3">
        <f>IF(E494&gt;=20,2000,1900) + D494</f>
        <v>1993</v>
      </c>
      <c r="H494">
        <f t="shared" si="52"/>
        <v>7</v>
      </c>
      <c r="I494" s="4">
        <f t="shared" si="53"/>
        <v>16</v>
      </c>
      <c r="J494">
        <f t="shared" si="54"/>
        <v>19930716</v>
      </c>
      <c r="K494" t="str">
        <f t="shared" si="55"/>
        <v>16.07.1993</v>
      </c>
    </row>
    <row r="495" spans="1:11" x14ac:dyDescent="0.25">
      <c r="A495" s="4" t="s">
        <v>521</v>
      </c>
      <c r="B495" t="s">
        <v>9</v>
      </c>
      <c r="C495" t="s">
        <v>4</v>
      </c>
      <c r="D495" s="3">
        <f t="shared" si="49"/>
        <v>56</v>
      </c>
      <c r="E495" s="4">
        <f t="shared" si="50"/>
        <v>3</v>
      </c>
      <c r="F495" s="4">
        <f t="shared" si="51"/>
        <v>22</v>
      </c>
      <c r="G495" s="3">
        <f>IF(E495&gt;=20,2000,1900) + D495</f>
        <v>1956</v>
      </c>
      <c r="H495">
        <f t="shared" si="52"/>
        <v>3</v>
      </c>
      <c r="I495" s="4">
        <f t="shared" si="53"/>
        <v>22</v>
      </c>
      <c r="J495">
        <f t="shared" si="54"/>
        <v>19560322</v>
      </c>
      <c r="K495" t="str">
        <f t="shared" si="55"/>
        <v>22.03.1956</v>
      </c>
    </row>
    <row r="496" spans="1:11" x14ac:dyDescent="0.25">
      <c r="A496" s="4" t="s">
        <v>522</v>
      </c>
      <c r="B496" t="s">
        <v>7</v>
      </c>
      <c r="C496" t="s">
        <v>4</v>
      </c>
      <c r="D496" s="3">
        <f t="shared" si="49"/>
        <v>64</v>
      </c>
      <c r="E496" s="4">
        <f t="shared" si="50"/>
        <v>8</v>
      </c>
      <c r="F496" s="4">
        <f t="shared" si="51"/>
        <v>11</v>
      </c>
      <c r="G496" s="3">
        <f>IF(E496&gt;=20,2000,1900) + D496</f>
        <v>1964</v>
      </c>
      <c r="H496">
        <f t="shared" si="52"/>
        <v>8</v>
      </c>
      <c r="I496" s="4">
        <f t="shared" si="53"/>
        <v>11</v>
      </c>
      <c r="J496">
        <f t="shared" si="54"/>
        <v>19640811</v>
      </c>
      <c r="K496" t="str">
        <f t="shared" si="55"/>
        <v>11.08.1964</v>
      </c>
    </row>
    <row r="497" spans="1:11" x14ac:dyDescent="0.25">
      <c r="A497" s="4" t="s">
        <v>523</v>
      </c>
      <c r="B497" t="s">
        <v>10</v>
      </c>
      <c r="C497" t="s">
        <v>4</v>
      </c>
      <c r="D497" s="3">
        <f t="shared" si="49"/>
        <v>62</v>
      </c>
      <c r="E497" s="4">
        <f t="shared" si="50"/>
        <v>4</v>
      </c>
      <c r="F497" s="4">
        <f t="shared" si="51"/>
        <v>6</v>
      </c>
      <c r="G497" s="3">
        <f>IF(E497&gt;=20,2000,1900) + D497</f>
        <v>1962</v>
      </c>
      <c r="H497">
        <f t="shared" si="52"/>
        <v>4</v>
      </c>
      <c r="I497" s="4">
        <f t="shared" si="53"/>
        <v>6</v>
      </c>
      <c r="J497">
        <f t="shared" si="54"/>
        <v>19620406</v>
      </c>
      <c r="K497" t="str">
        <f t="shared" si="55"/>
        <v>06.04.1962</v>
      </c>
    </row>
    <row r="498" spans="1:11" x14ac:dyDescent="0.25">
      <c r="A498" s="4" t="s">
        <v>524</v>
      </c>
      <c r="B498" t="s">
        <v>14</v>
      </c>
      <c r="C498" t="s">
        <v>4</v>
      </c>
      <c r="D498" s="3">
        <f t="shared" si="49"/>
        <v>87</v>
      </c>
      <c r="E498" s="4">
        <f t="shared" si="50"/>
        <v>3</v>
      </c>
      <c r="F498" s="4">
        <f t="shared" si="51"/>
        <v>21</v>
      </c>
      <c r="G498" s="3">
        <f>IF(E498&gt;=20,2000,1900) + D498</f>
        <v>1987</v>
      </c>
      <c r="H498">
        <f t="shared" si="52"/>
        <v>3</v>
      </c>
      <c r="I498" s="4">
        <f t="shared" si="53"/>
        <v>21</v>
      </c>
      <c r="J498">
        <f t="shared" si="54"/>
        <v>19870321</v>
      </c>
      <c r="K498" t="str">
        <f t="shared" si="55"/>
        <v>21.03.1987</v>
      </c>
    </row>
    <row r="499" spans="1:11" x14ac:dyDescent="0.25">
      <c r="A499" s="4" t="s">
        <v>525</v>
      </c>
      <c r="B499" t="s">
        <v>7</v>
      </c>
      <c r="C499" t="s">
        <v>4</v>
      </c>
      <c r="D499" s="3">
        <f t="shared" si="49"/>
        <v>73</v>
      </c>
      <c r="E499" s="4">
        <f t="shared" si="50"/>
        <v>10</v>
      </c>
      <c r="F499" s="4">
        <f t="shared" si="51"/>
        <v>14</v>
      </c>
      <c r="G499" s="3">
        <f>IF(E499&gt;=20,2000,1900) + D499</f>
        <v>1973</v>
      </c>
      <c r="H499">
        <f t="shared" si="52"/>
        <v>10</v>
      </c>
      <c r="I499" s="4">
        <f t="shared" si="53"/>
        <v>14</v>
      </c>
      <c r="J499">
        <f t="shared" si="54"/>
        <v>19731014</v>
      </c>
      <c r="K499" t="str">
        <f t="shared" si="55"/>
        <v>14.10.1973</v>
      </c>
    </row>
    <row r="500" spans="1:11" x14ac:dyDescent="0.25">
      <c r="A500" s="4" t="s">
        <v>526</v>
      </c>
      <c r="B500" t="s">
        <v>19</v>
      </c>
      <c r="C500" t="s">
        <v>6</v>
      </c>
      <c r="D500" s="3">
        <f t="shared" si="49"/>
        <v>56</v>
      </c>
      <c r="E500" s="4">
        <f t="shared" si="50"/>
        <v>11</v>
      </c>
      <c r="F500" s="4">
        <f t="shared" si="51"/>
        <v>12</v>
      </c>
      <c r="G500" s="3">
        <f>IF(E500&gt;=20,2000,1900) + D500</f>
        <v>1956</v>
      </c>
      <c r="H500">
        <f t="shared" si="52"/>
        <v>11</v>
      </c>
      <c r="I500" s="4">
        <f t="shared" si="53"/>
        <v>12</v>
      </c>
      <c r="J500">
        <f t="shared" si="54"/>
        <v>19561112</v>
      </c>
      <c r="K500" t="str">
        <f t="shared" si="55"/>
        <v>12.11.1956</v>
      </c>
    </row>
    <row r="501" spans="1:11" x14ac:dyDescent="0.25">
      <c r="A501" s="4" t="s">
        <v>527</v>
      </c>
      <c r="B501" t="s">
        <v>8</v>
      </c>
      <c r="C501" t="s">
        <v>4</v>
      </c>
      <c r="D501" s="3">
        <f t="shared" si="49"/>
        <v>83</v>
      </c>
      <c r="E501" s="4">
        <f t="shared" si="50"/>
        <v>3</v>
      </c>
      <c r="F501" s="4">
        <f t="shared" si="51"/>
        <v>26</v>
      </c>
      <c r="G501" s="3">
        <f>IF(E501&gt;=20,2000,1900) + D501</f>
        <v>1983</v>
      </c>
      <c r="H501">
        <f t="shared" si="52"/>
        <v>3</v>
      </c>
      <c r="I501" s="4">
        <f t="shared" si="53"/>
        <v>26</v>
      </c>
      <c r="J501">
        <f t="shared" si="54"/>
        <v>19830326</v>
      </c>
      <c r="K501" t="str">
        <f t="shared" si="55"/>
        <v>26.03.1983</v>
      </c>
    </row>
    <row r="502" spans="1:11" x14ac:dyDescent="0.25">
      <c r="A502" s="4" t="s">
        <v>528</v>
      </c>
      <c r="B502" t="s">
        <v>9</v>
      </c>
      <c r="C502" t="s">
        <v>4</v>
      </c>
      <c r="D502" s="3">
        <f t="shared" si="49"/>
        <v>88</v>
      </c>
      <c r="E502" s="4">
        <f t="shared" si="50"/>
        <v>5</v>
      </c>
      <c r="F502" s="4">
        <f t="shared" si="51"/>
        <v>10</v>
      </c>
      <c r="G502" s="3">
        <f>IF(E502&gt;=20,2000,1900) + D502</f>
        <v>1988</v>
      </c>
      <c r="H502">
        <f t="shared" si="52"/>
        <v>5</v>
      </c>
      <c r="I502" s="4">
        <f t="shared" si="53"/>
        <v>10</v>
      </c>
      <c r="J502">
        <f t="shared" si="54"/>
        <v>19880510</v>
      </c>
      <c r="K502" t="str">
        <f t="shared" si="55"/>
        <v>10.05.1988</v>
      </c>
    </row>
    <row r="503" spans="1:11" x14ac:dyDescent="0.25">
      <c r="A503" s="4" t="s">
        <v>529</v>
      </c>
      <c r="B503" t="s">
        <v>14</v>
      </c>
      <c r="C503" t="s">
        <v>4</v>
      </c>
      <c r="D503" s="3">
        <f t="shared" si="49"/>
        <v>50</v>
      </c>
      <c r="E503" s="4">
        <f t="shared" si="50"/>
        <v>1</v>
      </c>
      <c r="F503" s="4">
        <f t="shared" si="51"/>
        <v>26</v>
      </c>
      <c r="G503" s="3">
        <f>IF(E503&gt;=20,2000,1900) + D503</f>
        <v>1950</v>
      </c>
      <c r="H503">
        <f t="shared" si="52"/>
        <v>1</v>
      </c>
      <c r="I503" s="4">
        <f t="shared" si="53"/>
        <v>26</v>
      </c>
      <c r="J503">
        <f t="shared" si="54"/>
        <v>19500126</v>
      </c>
      <c r="K503" t="str">
        <f t="shared" si="55"/>
        <v>26.01.1950</v>
      </c>
    </row>
    <row r="504" spans="1:11" x14ac:dyDescent="0.25">
      <c r="A504" s="4" t="s">
        <v>530</v>
      </c>
      <c r="B504" t="s">
        <v>9</v>
      </c>
      <c r="C504" t="s">
        <v>6</v>
      </c>
      <c r="D504" s="3">
        <f t="shared" si="49"/>
        <v>96</v>
      </c>
      <c r="E504" s="4">
        <f t="shared" si="50"/>
        <v>4</v>
      </c>
      <c r="F504" s="4">
        <f t="shared" si="51"/>
        <v>2</v>
      </c>
      <c r="G504" s="3">
        <f>IF(E504&gt;=20,2000,1900) + D504</f>
        <v>1996</v>
      </c>
      <c r="H504">
        <f t="shared" si="52"/>
        <v>4</v>
      </c>
      <c r="I504" s="4">
        <f t="shared" si="53"/>
        <v>2</v>
      </c>
      <c r="J504">
        <f t="shared" si="54"/>
        <v>19960402</v>
      </c>
      <c r="K504" t="str">
        <f t="shared" si="55"/>
        <v>02.04.1996</v>
      </c>
    </row>
    <row r="505" spans="1:11" x14ac:dyDescent="0.25">
      <c r="A505" s="4" t="s">
        <v>531</v>
      </c>
      <c r="B505" t="s">
        <v>7</v>
      </c>
      <c r="C505" t="s">
        <v>4</v>
      </c>
      <c r="D505" s="3">
        <f t="shared" si="49"/>
        <v>91</v>
      </c>
      <c r="E505" s="4">
        <f t="shared" si="50"/>
        <v>4</v>
      </c>
      <c r="F505" s="4">
        <f t="shared" si="51"/>
        <v>10</v>
      </c>
      <c r="G505" s="3">
        <f>IF(E505&gt;=20,2000,1900) + D505</f>
        <v>1991</v>
      </c>
      <c r="H505">
        <f t="shared" si="52"/>
        <v>4</v>
      </c>
      <c r="I505" s="4">
        <f t="shared" si="53"/>
        <v>10</v>
      </c>
      <c r="J505">
        <f t="shared" si="54"/>
        <v>19910410</v>
      </c>
      <c r="K505" t="str">
        <f t="shared" si="55"/>
        <v>10.04.1991</v>
      </c>
    </row>
    <row r="506" spans="1:11" x14ac:dyDescent="0.25">
      <c r="A506" s="4" t="s">
        <v>532</v>
      </c>
      <c r="B506" t="s">
        <v>14</v>
      </c>
      <c r="C506" t="s">
        <v>6</v>
      </c>
      <c r="D506" s="3">
        <f t="shared" si="49"/>
        <v>75</v>
      </c>
      <c r="E506" s="4">
        <f t="shared" si="50"/>
        <v>6</v>
      </c>
      <c r="F506" s="4">
        <f t="shared" si="51"/>
        <v>17</v>
      </c>
      <c r="G506" s="3">
        <f>IF(E506&gt;=20,2000,1900) + D506</f>
        <v>1975</v>
      </c>
      <c r="H506">
        <f t="shared" si="52"/>
        <v>6</v>
      </c>
      <c r="I506" s="4">
        <f t="shared" si="53"/>
        <v>17</v>
      </c>
      <c r="J506">
        <f t="shared" si="54"/>
        <v>19750617</v>
      </c>
      <c r="K506" t="str">
        <f t="shared" si="55"/>
        <v>17.06.1975</v>
      </c>
    </row>
    <row r="507" spans="1:11" x14ac:dyDescent="0.25">
      <c r="A507" s="4" t="s">
        <v>533</v>
      </c>
      <c r="B507" t="s">
        <v>8</v>
      </c>
      <c r="C507" t="s">
        <v>4</v>
      </c>
      <c r="D507" s="3">
        <f t="shared" si="49"/>
        <v>52</v>
      </c>
      <c r="E507" s="4">
        <f t="shared" si="50"/>
        <v>2</v>
      </c>
      <c r="F507" s="4">
        <f t="shared" si="51"/>
        <v>4</v>
      </c>
      <c r="G507" s="3">
        <f>IF(E507&gt;=20,2000,1900) + D507</f>
        <v>1952</v>
      </c>
      <c r="H507">
        <f t="shared" si="52"/>
        <v>2</v>
      </c>
      <c r="I507" s="4">
        <f t="shared" si="53"/>
        <v>4</v>
      </c>
      <c r="J507">
        <f t="shared" si="54"/>
        <v>19520204</v>
      </c>
      <c r="K507" t="str">
        <f t="shared" si="55"/>
        <v>04.02.1952</v>
      </c>
    </row>
    <row r="508" spans="1:11" x14ac:dyDescent="0.25">
      <c r="A508" s="4" t="s">
        <v>534</v>
      </c>
      <c r="B508" t="s">
        <v>15</v>
      </c>
      <c r="C508" t="s">
        <v>4</v>
      </c>
      <c r="D508" s="3">
        <f t="shared" si="49"/>
        <v>94</v>
      </c>
      <c r="E508" s="4">
        <f t="shared" si="50"/>
        <v>2</v>
      </c>
      <c r="F508" s="4">
        <f t="shared" si="51"/>
        <v>17</v>
      </c>
      <c r="G508" s="3">
        <f>IF(E508&gt;=20,2000,1900) + D508</f>
        <v>1994</v>
      </c>
      <c r="H508">
        <f t="shared" si="52"/>
        <v>2</v>
      </c>
      <c r="I508" s="4">
        <f t="shared" si="53"/>
        <v>17</v>
      </c>
      <c r="J508">
        <f t="shared" si="54"/>
        <v>19940217</v>
      </c>
      <c r="K508" t="str">
        <f t="shared" si="55"/>
        <v>17.02.1994</v>
      </c>
    </row>
    <row r="509" spans="1:11" x14ac:dyDescent="0.25">
      <c r="A509" s="4" t="s">
        <v>535</v>
      </c>
      <c r="B509" t="s">
        <v>8</v>
      </c>
      <c r="C509" t="s">
        <v>6</v>
      </c>
      <c r="D509" s="3">
        <f t="shared" si="49"/>
        <v>54</v>
      </c>
      <c r="E509" s="4">
        <f t="shared" si="50"/>
        <v>6</v>
      </c>
      <c r="F509" s="4">
        <f t="shared" si="51"/>
        <v>14</v>
      </c>
      <c r="G509" s="3">
        <f>IF(E509&gt;=20,2000,1900) + D509</f>
        <v>1954</v>
      </c>
      <c r="H509">
        <f t="shared" si="52"/>
        <v>6</v>
      </c>
      <c r="I509" s="4">
        <f t="shared" si="53"/>
        <v>14</v>
      </c>
      <c r="J509">
        <f t="shared" si="54"/>
        <v>19540614</v>
      </c>
      <c r="K509" t="str">
        <f t="shared" si="55"/>
        <v>14.06.1954</v>
      </c>
    </row>
    <row r="510" spans="1:11" x14ac:dyDescent="0.25">
      <c r="A510" s="4" t="s">
        <v>536</v>
      </c>
      <c r="B510" t="s">
        <v>9</v>
      </c>
      <c r="C510" t="s">
        <v>6</v>
      </c>
      <c r="D510" s="3">
        <f t="shared" si="49"/>
        <v>60</v>
      </c>
      <c r="E510" s="4">
        <f t="shared" si="50"/>
        <v>1</v>
      </c>
      <c r="F510" s="4">
        <f t="shared" si="51"/>
        <v>26</v>
      </c>
      <c r="G510" s="3">
        <f>IF(E510&gt;=20,2000,1900) + D510</f>
        <v>1960</v>
      </c>
      <c r="H510">
        <f t="shared" si="52"/>
        <v>1</v>
      </c>
      <c r="I510" s="4">
        <f t="shared" si="53"/>
        <v>26</v>
      </c>
      <c r="J510">
        <f t="shared" si="54"/>
        <v>19600126</v>
      </c>
      <c r="K510" t="str">
        <f t="shared" si="55"/>
        <v>26.01.1960</v>
      </c>
    </row>
    <row r="511" spans="1:11" x14ac:dyDescent="0.25">
      <c r="A511" s="4" t="s">
        <v>537</v>
      </c>
      <c r="B511" t="s">
        <v>14</v>
      </c>
      <c r="C511" t="s">
        <v>6</v>
      </c>
      <c r="D511" s="3">
        <f t="shared" si="49"/>
        <v>64</v>
      </c>
      <c r="E511" s="4">
        <f t="shared" si="50"/>
        <v>3</v>
      </c>
      <c r="F511" s="4">
        <f t="shared" si="51"/>
        <v>13</v>
      </c>
      <c r="G511" s="3">
        <f>IF(E511&gt;=20,2000,1900) + D511</f>
        <v>1964</v>
      </c>
      <c r="H511">
        <f t="shared" si="52"/>
        <v>3</v>
      </c>
      <c r="I511" s="4">
        <f t="shared" si="53"/>
        <v>13</v>
      </c>
      <c r="J511">
        <f t="shared" si="54"/>
        <v>19640313</v>
      </c>
      <c r="K511" t="str">
        <f t="shared" si="55"/>
        <v>13.03.1964</v>
      </c>
    </row>
    <row r="512" spans="1:11" x14ac:dyDescent="0.25">
      <c r="A512" s="4" t="s">
        <v>538</v>
      </c>
      <c r="B512" t="s">
        <v>20</v>
      </c>
      <c r="C512" t="s">
        <v>6</v>
      </c>
      <c r="D512" s="3">
        <f t="shared" si="49"/>
        <v>76</v>
      </c>
      <c r="E512" s="4">
        <f t="shared" si="50"/>
        <v>3</v>
      </c>
      <c r="F512" s="4">
        <f t="shared" si="51"/>
        <v>25</v>
      </c>
      <c r="G512" s="3">
        <f>IF(E512&gt;=20,2000,1900) + D512</f>
        <v>1976</v>
      </c>
      <c r="H512">
        <f t="shared" si="52"/>
        <v>3</v>
      </c>
      <c r="I512" s="4">
        <f t="shared" si="53"/>
        <v>25</v>
      </c>
      <c r="J512">
        <f t="shared" si="54"/>
        <v>19760325</v>
      </c>
      <c r="K512" t="str">
        <f t="shared" si="55"/>
        <v>25.03.1976</v>
      </c>
    </row>
    <row r="513" spans="1:11" x14ac:dyDescent="0.25">
      <c r="A513" s="4" t="s">
        <v>539</v>
      </c>
      <c r="B513" t="s">
        <v>11</v>
      </c>
      <c r="C513" t="s">
        <v>4</v>
      </c>
      <c r="D513" s="3">
        <f t="shared" si="49"/>
        <v>94</v>
      </c>
      <c r="E513" s="4">
        <f t="shared" si="50"/>
        <v>4</v>
      </c>
      <c r="F513" s="4">
        <f t="shared" si="51"/>
        <v>22</v>
      </c>
      <c r="G513" s="3">
        <f>IF(E513&gt;=20,2000,1900) + D513</f>
        <v>1994</v>
      </c>
      <c r="H513">
        <f t="shared" si="52"/>
        <v>4</v>
      </c>
      <c r="I513" s="4">
        <f t="shared" si="53"/>
        <v>22</v>
      </c>
      <c r="J513">
        <f t="shared" si="54"/>
        <v>19940422</v>
      </c>
      <c r="K513" t="str">
        <f t="shared" si="55"/>
        <v>22.04.1994</v>
      </c>
    </row>
    <row r="514" spans="1:11" x14ac:dyDescent="0.25">
      <c r="A514" s="4" t="s">
        <v>540</v>
      </c>
      <c r="B514" t="s">
        <v>16</v>
      </c>
      <c r="C514" t="s">
        <v>6</v>
      </c>
      <c r="D514" s="3">
        <f t="shared" si="49"/>
        <v>72</v>
      </c>
      <c r="E514" s="4">
        <f t="shared" si="50"/>
        <v>1</v>
      </c>
      <c r="F514" s="4">
        <f t="shared" si="51"/>
        <v>12</v>
      </c>
      <c r="G514" s="3">
        <f>IF(E514&gt;=20,2000,1900) + D514</f>
        <v>1972</v>
      </c>
      <c r="H514">
        <f t="shared" si="52"/>
        <v>1</v>
      </c>
      <c r="I514" s="4">
        <f t="shared" si="53"/>
        <v>12</v>
      </c>
      <c r="J514">
        <f t="shared" si="54"/>
        <v>19720112</v>
      </c>
      <c r="K514" t="str">
        <f t="shared" si="55"/>
        <v>12.01.1972</v>
      </c>
    </row>
    <row r="515" spans="1:11" x14ac:dyDescent="0.25">
      <c r="A515" s="4" t="s">
        <v>541</v>
      </c>
      <c r="B515" t="s">
        <v>12</v>
      </c>
      <c r="C515" t="s">
        <v>6</v>
      </c>
      <c r="D515" s="3">
        <f t="shared" ref="D515:D578" si="56">MID(A515,1,2)*1</f>
        <v>55</v>
      </c>
      <c r="E515" s="4">
        <f t="shared" ref="E515:E578" si="57">MID(A515,3,2)*1</f>
        <v>10</v>
      </c>
      <c r="F515" s="4">
        <f t="shared" ref="F515:F578" si="58">MID(A515,5,2)*1</f>
        <v>16</v>
      </c>
      <c r="G515" s="3">
        <f>IF(E515&gt;=20,2000,1900) + D515</f>
        <v>1955</v>
      </c>
      <c r="H515">
        <f t="shared" ref="H515:H578" si="59">IF(E515&gt;=20,E515-20,E515)</f>
        <v>10</v>
      </c>
      <c r="I515" s="4">
        <f t="shared" ref="I515:I578" si="60">F515</f>
        <v>16</v>
      </c>
      <c r="J515">
        <f t="shared" ref="J515:J578" si="61">CONCATENATE(G515,IF(LEN(E515)=1,CONCATENATE("0",E515),E515),IF(LEN(F515)=1,CONCATENATE("0",F515),F515))*1</f>
        <v>19551016</v>
      </c>
      <c r="K515" t="str">
        <f t="shared" ref="K515:K578" si="62">CONCATENATE(RIGHT(J515,2),".",MID(J515,5,2),".",LEFT(J515,4))</f>
        <v>16.10.1955</v>
      </c>
    </row>
    <row r="516" spans="1:11" x14ac:dyDescent="0.25">
      <c r="A516" s="4" t="s">
        <v>542</v>
      </c>
      <c r="B516" t="s">
        <v>5</v>
      </c>
      <c r="C516" t="s">
        <v>6</v>
      </c>
      <c r="D516" s="3">
        <f t="shared" si="56"/>
        <v>63</v>
      </c>
      <c r="E516" s="4">
        <f t="shared" si="57"/>
        <v>6</v>
      </c>
      <c r="F516" s="4">
        <f t="shared" si="58"/>
        <v>15</v>
      </c>
      <c r="G516" s="3">
        <f>IF(E516&gt;=20,2000,1900) + D516</f>
        <v>1963</v>
      </c>
      <c r="H516">
        <f t="shared" si="59"/>
        <v>6</v>
      </c>
      <c r="I516" s="4">
        <f t="shared" si="60"/>
        <v>15</v>
      </c>
      <c r="J516">
        <f t="shared" si="61"/>
        <v>19630615</v>
      </c>
      <c r="K516" t="str">
        <f t="shared" si="62"/>
        <v>15.06.1963</v>
      </c>
    </row>
    <row r="517" spans="1:11" x14ac:dyDescent="0.25">
      <c r="A517" s="4" t="s">
        <v>543</v>
      </c>
      <c r="B517" t="s">
        <v>15</v>
      </c>
      <c r="C517" t="s">
        <v>6</v>
      </c>
      <c r="D517" s="3">
        <f t="shared" si="56"/>
        <v>66</v>
      </c>
      <c r="E517" s="4">
        <f t="shared" si="57"/>
        <v>9</v>
      </c>
      <c r="F517" s="4">
        <f t="shared" si="58"/>
        <v>20</v>
      </c>
      <c r="G517" s="3">
        <f>IF(E517&gt;=20,2000,1900) + D517</f>
        <v>1966</v>
      </c>
      <c r="H517">
        <f t="shared" si="59"/>
        <v>9</v>
      </c>
      <c r="I517" s="4">
        <f t="shared" si="60"/>
        <v>20</v>
      </c>
      <c r="J517">
        <f t="shared" si="61"/>
        <v>19660920</v>
      </c>
      <c r="K517" t="str">
        <f t="shared" si="62"/>
        <v>20.09.1966</v>
      </c>
    </row>
    <row r="518" spans="1:11" x14ac:dyDescent="0.25">
      <c r="A518" s="4" t="s">
        <v>544</v>
      </c>
      <c r="B518" t="s">
        <v>15</v>
      </c>
      <c r="C518" t="s">
        <v>6</v>
      </c>
      <c r="D518" s="3">
        <f t="shared" si="56"/>
        <v>79</v>
      </c>
      <c r="E518" s="4">
        <f t="shared" si="57"/>
        <v>12</v>
      </c>
      <c r="F518" s="4">
        <f t="shared" si="58"/>
        <v>3</v>
      </c>
      <c r="G518" s="3">
        <f>IF(E518&gt;=20,2000,1900) + D518</f>
        <v>1979</v>
      </c>
      <c r="H518">
        <f t="shared" si="59"/>
        <v>12</v>
      </c>
      <c r="I518" s="4">
        <f t="shared" si="60"/>
        <v>3</v>
      </c>
      <c r="J518">
        <f t="shared" si="61"/>
        <v>19791203</v>
      </c>
      <c r="K518" t="str">
        <f t="shared" si="62"/>
        <v>03.12.1979</v>
      </c>
    </row>
    <row r="519" spans="1:11" x14ac:dyDescent="0.25">
      <c r="A519" s="4" t="s">
        <v>545</v>
      </c>
      <c r="B519" t="s">
        <v>17</v>
      </c>
      <c r="C519" t="s">
        <v>6</v>
      </c>
      <c r="D519" s="3">
        <f t="shared" si="56"/>
        <v>75</v>
      </c>
      <c r="E519" s="4">
        <f t="shared" si="57"/>
        <v>3</v>
      </c>
      <c r="F519" s="4">
        <f t="shared" si="58"/>
        <v>20</v>
      </c>
      <c r="G519" s="3">
        <f>IF(E519&gt;=20,2000,1900) + D519</f>
        <v>1975</v>
      </c>
      <c r="H519">
        <f t="shared" si="59"/>
        <v>3</v>
      </c>
      <c r="I519" s="4">
        <f t="shared" si="60"/>
        <v>20</v>
      </c>
      <c r="J519">
        <f t="shared" si="61"/>
        <v>19750320</v>
      </c>
      <c r="K519" t="str">
        <f t="shared" si="62"/>
        <v>20.03.1975</v>
      </c>
    </row>
    <row r="520" spans="1:11" x14ac:dyDescent="0.25">
      <c r="A520" s="4" t="s">
        <v>546</v>
      </c>
      <c r="B520" t="s">
        <v>17</v>
      </c>
      <c r="C520" t="s">
        <v>4</v>
      </c>
      <c r="D520" s="3">
        <f t="shared" si="56"/>
        <v>64</v>
      </c>
      <c r="E520" s="4">
        <f t="shared" si="57"/>
        <v>12</v>
      </c>
      <c r="F520" s="4">
        <f t="shared" si="58"/>
        <v>6</v>
      </c>
      <c r="G520" s="3">
        <f>IF(E520&gt;=20,2000,1900) + D520</f>
        <v>1964</v>
      </c>
      <c r="H520">
        <f t="shared" si="59"/>
        <v>12</v>
      </c>
      <c r="I520" s="4">
        <f t="shared" si="60"/>
        <v>6</v>
      </c>
      <c r="J520">
        <f t="shared" si="61"/>
        <v>19641206</v>
      </c>
      <c r="K520" t="str">
        <f t="shared" si="62"/>
        <v>06.12.1964</v>
      </c>
    </row>
    <row r="521" spans="1:11" x14ac:dyDescent="0.25">
      <c r="A521" s="4" t="s">
        <v>547</v>
      </c>
      <c r="B521" t="s">
        <v>9</v>
      </c>
      <c r="C521" t="s">
        <v>6</v>
      </c>
      <c r="D521" s="3">
        <f t="shared" si="56"/>
        <v>73</v>
      </c>
      <c r="E521" s="4">
        <f t="shared" si="57"/>
        <v>7</v>
      </c>
      <c r="F521" s="4">
        <f t="shared" si="58"/>
        <v>28</v>
      </c>
      <c r="G521" s="3">
        <f>IF(E521&gt;=20,2000,1900) + D521</f>
        <v>1973</v>
      </c>
      <c r="H521">
        <f t="shared" si="59"/>
        <v>7</v>
      </c>
      <c r="I521" s="4">
        <f t="shared" si="60"/>
        <v>28</v>
      </c>
      <c r="J521">
        <f t="shared" si="61"/>
        <v>19730728</v>
      </c>
      <c r="K521" t="str">
        <f t="shared" si="62"/>
        <v>28.07.1973</v>
      </c>
    </row>
    <row r="522" spans="1:11" x14ac:dyDescent="0.25">
      <c r="A522" s="4" t="s">
        <v>548</v>
      </c>
      <c r="B522" t="s">
        <v>17</v>
      </c>
      <c r="C522" t="s">
        <v>6</v>
      </c>
      <c r="D522" s="3">
        <f t="shared" si="56"/>
        <v>81</v>
      </c>
      <c r="E522" s="4">
        <f t="shared" si="57"/>
        <v>3</v>
      </c>
      <c r="F522" s="4">
        <f t="shared" si="58"/>
        <v>21</v>
      </c>
      <c r="G522" s="3">
        <f>IF(E522&gt;=20,2000,1900) + D522</f>
        <v>1981</v>
      </c>
      <c r="H522">
        <f t="shared" si="59"/>
        <v>3</v>
      </c>
      <c r="I522" s="4">
        <f t="shared" si="60"/>
        <v>21</v>
      </c>
      <c r="J522">
        <f t="shared" si="61"/>
        <v>19810321</v>
      </c>
      <c r="K522" t="str">
        <f t="shared" si="62"/>
        <v>21.03.1981</v>
      </c>
    </row>
    <row r="523" spans="1:11" x14ac:dyDescent="0.25">
      <c r="A523" s="4" t="s">
        <v>549</v>
      </c>
      <c r="B523" t="s">
        <v>18</v>
      </c>
      <c r="C523" t="s">
        <v>4</v>
      </c>
      <c r="D523" s="3">
        <f t="shared" si="56"/>
        <v>99</v>
      </c>
      <c r="E523" s="4">
        <f t="shared" si="57"/>
        <v>12</v>
      </c>
      <c r="F523" s="4">
        <f t="shared" si="58"/>
        <v>2</v>
      </c>
      <c r="G523" s="3">
        <f>IF(E523&gt;=20,2000,1900) + D523</f>
        <v>1999</v>
      </c>
      <c r="H523">
        <f t="shared" si="59"/>
        <v>12</v>
      </c>
      <c r="I523" s="4">
        <f t="shared" si="60"/>
        <v>2</v>
      </c>
      <c r="J523">
        <f t="shared" si="61"/>
        <v>19991202</v>
      </c>
      <c r="K523" t="str">
        <f t="shared" si="62"/>
        <v>02.12.1999</v>
      </c>
    </row>
    <row r="524" spans="1:11" x14ac:dyDescent="0.25">
      <c r="A524" s="4" t="s">
        <v>550</v>
      </c>
      <c r="B524" t="s">
        <v>7</v>
      </c>
      <c r="C524" t="s">
        <v>6</v>
      </c>
      <c r="D524" s="3">
        <f t="shared" si="56"/>
        <v>57</v>
      </c>
      <c r="E524" s="4">
        <f t="shared" si="57"/>
        <v>4</v>
      </c>
      <c r="F524" s="4">
        <f t="shared" si="58"/>
        <v>5</v>
      </c>
      <c r="G524" s="3">
        <f>IF(E524&gt;=20,2000,1900) + D524</f>
        <v>1957</v>
      </c>
      <c r="H524">
        <f t="shared" si="59"/>
        <v>4</v>
      </c>
      <c r="I524" s="4">
        <f t="shared" si="60"/>
        <v>5</v>
      </c>
      <c r="J524">
        <f t="shared" si="61"/>
        <v>19570405</v>
      </c>
      <c r="K524" t="str">
        <f t="shared" si="62"/>
        <v>05.04.1957</v>
      </c>
    </row>
    <row r="525" spans="1:11" x14ac:dyDescent="0.25">
      <c r="A525" s="4" t="s">
        <v>551</v>
      </c>
      <c r="B525" t="s">
        <v>14</v>
      </c>
      <c r="C525" t="s">
        <v>6</v>
      </c>
      <c r="D525" s="3">
        <f t="shared" si="56"/>
        <v>99</v>
      </c>
      <c r="E525" s="4">
        <f t="shared" si="57"/>
        <v>5</v>
      </c>
      <c r="F525" s="4">
        <f t="shared" si="58"/>
        <v>13</v>
      </c>
      <c r="G525" s="3">
        <f>IF(E525&gt;=20,2000,1900) + D525</f>
        <v>1999</v>
      </c>
      <c r="H525">
        <f t="shared" si="59"/>
        <v>5</v>
      </c>
      <c r="I525" s="4">
        <f t="shared" si="60"/>
        <v>13</v>
      </c>
      <c r="J525">
        <f t="shared" si="61"/>
        <v>19990513</v>
      </c>
      <c r="K525" t="str">
        <f t="shared" si="62"/>
        <v>13.05.1999</v>
      </c>
    </row>
    <row r="526" spans="1:11" x14ac:dyDescent="0.25">
      <c r="A526" s="4" t="s">
        <v>552</v>
      </c>
      <c r="B526" t="s">
        <v>11</v>
      </c>
      <c r="C526" t="s">
        <v>4</v>
      </c>
      <c r="D526" s="3">
        <f t="shared" si="56"/>
        <v>73</v>
      </c>
      <c r="E526" s="4">
        <f t="shared" si="57"/>
        <v>3</v>
      </c>
      <c r="F526" s="4">
        <f t="shared" si="58"/>
        <v>18</v>
      </c>
      <c r="G526" s="3">
        <f>IF(E526&gt;=20,2000,1900) + D526</f>
        <v>1973</v>
      </c>
      <c r="H526">
        <f t="shared" si="59"/>
        <v>3</v>
      </c>
      <c r="I526" s="4">
        <f t="shared" si="60"/>
        <v>18</v>
      </c>
      <c r="J526">
        <f t="shared" si="61"/>
        <v>19730318</v>
      </c>
      <c r="K526" t="str">
        <f t="shared" si="62"/>
        <v>18.03.1973</v>
      </c>
    </row>
    <row r="527" spans="1:11" x14ac:dyDescent="0.25">
      <c r="A527" s="4" t="s">
        <v>553</v>
      </c>
      <c r="B527" t="s">
        <v>5</v>
      </c>
      <c r="C527" t="s">
        <v>6</v>
      </c>
      <c r="D527" s="3">
        <f t="shared" si="56"/>
        <v>86</v>
      </c>
      <c r="E527" s="4">
        <f t="shared" si="57"/>
        <v>6</v>
      </c>
      <c r="F527" s="4">
        <f t="shared" si="58"/>
        <v>15</v>
      </c>
      <c r="G527" s="3">
        <f>IF(E527&gt;=20,2000,1900) + D527</f>
        <v>1986</v>
      </c>
      <c r="H527">
        <f t="shared" si="59"/>
        <v>6</v>
      </c>
      <c r="I527" s="4">
        <f t="shared" si="60"/>
        <v>15</v>
      </c>
      <c r="J527">
        <f t="shared" si="61"/>
        <v>19860615</v>
      </c>
      <c r="K527" t="str">
        <f t="shared" si="62"/>
        <v>15.06.1986</v>
      </c>
    </row>
    <row r="528" spans="1:11" x14ac:dyDescent="0.25">
      <c r="A528" s="4" t="s">
        <v>554</v>
      </c>
      <c r="B528" t="s">
        <v>11</v>
      </c>
      <c r="C528" t="s">
        <v>4</v>
      </c>
      <c r="D528" s="3">
        <f t="shared" si="56"/>
        <v>53</v>
      </c>
      <c r="E528" s="4">
        <f t="shared" si="57"/>
        <v>9</v>
      </c>
      <c r="F528" s="4">
        <f t="shared" si="58"/>
        <v>6</v>
      </c>
      <c r="G528" s="3">
        <f>IF(E528&gt;=20,2000,1900) + D528</f>
        <v>1953</v>
      </c>
      <c r="H528">
        <f t="shared" si="59"/>
        <v>9</v>
      </c>
      <c r="I528" s="4">
        <f t="shared" si="60"/>
        <v>6</v>
      </c>
      <c r="J528">
        <f t="shared" si="61"/>
        <v>19530906</v>
      </c>
      <c r="K528" t="str">
        <f t="shared" si="62"/>
        <v>06.09.1953</v>
      </c>
    </row>
    <row r="529" spans="1:11" x14ac:dyDescent="0.25">
      <c r="A529" s="4" t="s">
        <v>555</v>
      </c>
      <c r="B529" t="s">
        <v>3</v>
      </c>
      <c r="C529" t="s">
        <v>4</v>
      </c>
      <c r="D529" s="3">
        <f t="shared" si="56"/>
        <v>75</v>
      </c>
      <c r="E529" s="4">
        <f t="shared" si="57"/>
        <v>2</v>
      </c>
      <c r="F529" s="4">
        <f t="shared" si="58"/>
        <v>13</v>
      </c>
      <c r="G529" s="3">
        <f>IF(E529&gt;=20,2000,1900) + D529</f>
        <v>1975</v>
      </c>
      <c r="H529">
        <f t="shared" si="59"/>
        <v>2</v>
      </c>
      <c r="I529" s="4">
        <f t="shared" si="60"/>
        <v>13</v>
      </c>
      <c r="J529">
        <f t="shared" si="61"/>
        <v>19750213</v>
      </c>
      <c r="K529" t="str">
        <f t="shared" si="62"/>
        <v>13.02.1975</v>
      </c>
    </row>
    <row r="530" spans="1:11" x14ac:dyDescent="0.25">
      <c r="A530" s="4" t="s">
        <v>556</v>
      </c>
      <c r="B530" t="s">
        <v>5</v>
      </c>
      <c r="C530" t="s">
        <v>6</v>
      </c>
      <c r="D530" s="3">
        <f t="shared" si="56"/>
        <v>72</v>
      </c>
      <c r="E530" s="4">
        <f t="shared" si="57"/>
        <v>12</v>
      </c>
      <c r="F530" s="4">
        <f t="shared" si="58"/>
        <v>31</v>
      </c>
      <c r="G530" s="3">
        <f>IF(E530&gt;=20,2000,1900) + D530</f>
        <v>1972</v>
      </c>
      <c r="H530">
        <f t="shared" si="59"/>
        <v>12</v>
      </c>
      <c r="I530" s="4">
        <f t="shared" si="60"/>
        <v>31</v>
      </c>
      <c r="J530">
        <f t="shared" si="61"/>
        <v>19721231</v>
      </c>
      <c r="K530" t="str">
        <f t="shared" si="62"/>
        <v>31.12.1972</v>
      </c>
    </row>
    <row r="531" spans="1:11" x14ac:dyDescent="0.25">
      <c r="A531" s="4" t="s">
        <v>557</v>
      </c>
      <c r="B531" t="s">
        <v>15</v>
      </c>
      <c r="C531" t="s">
        <v>6</v>
      </c>
      <c r="D531" s="3">
        <f t="shared" si="56"/>
        <v>79</v>
      </c>
      <c r="E531" s="4">
        <f t="shared" si="57"/>
        <v>7</v>
      </c>
      <c r="F531" s="4">
        <f t="shared" si="58"/>
        <v>6</v>
      </c>
      <c r="G531" s="3">
        <f>IF(E531&gt;=20,2000,1900) + D531</f>
        <v>1979</v>
      </c>
      <c r="H531">
        <f t="shared" si="59"/>
        <v>7</v>
      </c>
      <c r="I531" s="4">
        <f t="shared" si="60"/>
        <v>6</v>
      </c>
      <c r="J531">
        <f t="shared" si="61"/>
        <v>19790706</v>
      </c>
      <c r="K531" t="str">
        <f t="shared" si="62"/>
        <v>06.07.1979</v>
      </c>
    </row>
    <row r="532" spans="1:11" x14ac:dyDescent="0.25">
      <c r="A532" s="4" t="s">
        <v>558</v>
      </c>
      <c r="B532" t="s">
        <v>13</v>
      </c>
      <c r="C532" t="s">
        <v>6</v>
      </c>
      <c r="D532" s="3">
        <f t="shared" si="56"/>
        <v>99</v>
      </c>
      <c r="E532" s="4">
        <f t="shared" si="57"/>
        <v>12</v>
      </c>
      <c r="F532" s="4">
        <f t="shared" si="58"/>
        <v>16</v>
      </c>
      <c r="G532" s="3">
        <f>IF(E532&gt;=20,2000,1900) + D532</f>
        <v>1999</v>
      </c>
      <c r="H532">
        <f t="shared" si="59"/>
        <v>12</v>
      </c>
      <c r="I532" s="4">
        <f t="shared" si="60"/>
        <v>16</v>
      </c>
      <c r="J532">
        <f t="shared" si="61"/>
        <v>19991216</v>
      </c>
      <c r="K532" t="str">
        <f t="shared" si="62"/>
        <v>16.12.1999</v>
      </c>
    </row>
    <row r="533" spans="1:11" x14ac:dyDescent="0.25">
      <c r="A533" s="4" t="s">
        <v>559</v>
      </c>
      <c r="B533" t="s">
        <v>7</v>
      </c>
      <c r="C533" t="s">
        <v>4</v>
      </c>
      <c r="D533" s="3">
        <f t="shared" si="56"/>
        <v>62</v>
      </c>
      <c r="E533" s="4">
        <f t="shared" si="57"/>
        <v>4</v>
      </c>
      <c r="F533" s="4">
        <f t="shared" si="58"/>
        <v>8</v>
      </c>
      <c r="G533" s="3">
        <f>IF(E533&gt;=20,2000,1900) + D533</f>
        <v>1962</v>
      </c>
      <c r="H533">
        <f t="shared" si="59"/>
        <v>4</v>
      </c>
      <c r="I533" s="4">
        <f t="shared" si="60"/>
        <v>8</v>
      </c>
      <c r="J533">
        <f t="shared" si="61"/>
        <v>19620408</v>
      </c>
      <c r="K533" t="str">
        <f t="shared" si="62"/>
        <v>08.04.1962</v>
      </c>
    </row>
    <row r="534" spans="1:11" x14ac:dyDescent="0.25">
      <c r="A534" s="4" t="s">
        <v>560</v>
      </c>
      <c r="B534" t="s">
        <v>14</v>
      </c>
      <c r="C534" t="s">
        <v>6</v>
      </c>
      <c r="D534" s="3">
        <f t="shared" si="56"/>
        <v>77</v>
      </c>
      <c r="E534" s="4">
        <f t="shared" si="57"/>
        <v>5</v>
      </c>
      <c r="F534" s="4">
        <f t="shared" si="58"/>
        <v>7</v>
      </c>
      <c r="G534" s="3">
        <f>IF(E534&gt;=20,2000,1900) + D534</f>
        <v>1977</v>
      </c>
      <c r="H534">
        <f t="shared" si="59"/>
        <v>5</v>
      </c>
      <c r="I534" s="4">
        <f t="shared" si="60"/>
        <v>7</v>
      </c>
      <c r="J534">
        <f t="shared" si="61"/>
        <v>19770507</v>
      </c>
      <c r="K534" t="str">
        <f t="shared" si="62"/>
        <v>07.05.1977</v>
      </c>
    </row>
    <row r="535" spans="1:11" x14ac:dyDescent="0.25">
      <c r="A535" s="4" t="s">
        <v>561</v>
      </c>
      <c r="B535" t="s">
        <v>10</v>
      </c>
      <c r="C535" t="s">
        <v>6</v>
      </c>
      <c r="D535" s="3">
        <f t="shared" si="56"/>
        <v>61</v>
      </c>
      <c r="E535" s="4">
        <f t="shared" si="57"/>
        <v>1</v>
      </c>
      <c r="F535" s="4">
        <f t="shared" si="58"/>
        <v>18</v>
      </c>
      <c r="G535" s="3">
        <f>IF(E535&gt;=20,2000,1900) + D535</f>
        <v>1961</v>
      </c>
      <c r="H535">
        <f t="shared" si="59"/>
        <v>1</v>
      </c>
      <c r="I535" s="4">
        <f t="shared" si="60"/>
        <v>18</v>
      </c>
      <c r="J535">
        <f t="shared" si="61"/>
        <v>19610118</v>
      </c>
      <c r="K535" t="str">
        <f t="shared" si="62"/>
        <v>18.01.1961</v>
      </c>
    </row>
    <row r="536" spans="1:11" x14ac:dyDescent="0.25">
      <c r="A536" s="4" t="s">
        <v>562</v>
      </c>
      <c r="B536" t="s">
        <v>10</v>
      </c>
      <c r="C536" t="s">
        <v>4</v>
      </c>
      <c r="D536" s="3">
        <f t="shared" si="56"/>
        <v>67</v>
      </c>
      <c r="E536" s="4">
        <f t="shared" si="57"/>
        <v>9</v>
      </c>
      <c r="F536" s="4">
        <f t="shared" si="58"/>
        <v>7</v>
      </c>
      <c r="G536" s="3">
        <f>IF(E536&gt;=20,2000,1900) + D536</f>
        <v>1967</v>
      </c>
      <c r="H536">
        <f t="shared" si="59"/>
        <v>9</v>
      </c>
      <c r="I536" s="4">
        <f t="shared" si="60"/>
        <v>7</v>
      </c>
      <c r="J536">
        <f t="shared" si="61"/>
        <v>19670907</v>
      </c>
      <c r="K536" t="str">
        <f t="shared" si="62"/>
        <v>07.09.1967</v>
      </c>
    </row>
    <row r="537" spans="1:11" x14ac:dyDescent="0.25">
      <c r="A537" s="4" t="s">
        <v>563</v>
      </c>
      <c r="B537" t="s">
        <v>19</v>
      </c>
      <c r="C537" t="s">
        <v>4</v>
      </c>
      <c r="D537" s="3">
        <f t="shared" si="56"/>
        <v>69</v>
      </c>
      <c r="E537" s="4">
        <f t="shared" si="57"/>
        <v>12</v>
      </c>
      <c r="F537" s="4">
        <f t="shared" si="58"/>
        <v>18</v>
      </c>
      <c r="G537" s="3">
        <f>IF(E537&gt;=20,2000,1900) + D537</f>
        <v>1969</v>
      </c>
      <c r="H537">
        <f t="shared" si="59"/>
        <v>12</v>
      </c>
      <c r="I537" s="4">
        <f t="shared" si="60"/>
        <v>18</v>
      </c>
      <c r="J537">
        <f t="shared" si="61"/>
        <v>19691218</v>
      </c>
      <c r="K537" t="str">
        <f t="shared" si="62"/>
        <v>18.12.1969</v>
      </c>
    </row>
    <row r="538" spans="1:11" x14ac:dyDescent="0.25">
      <c r="A538" s="4" t="s">
        <v>564</v>
      </c>
      <c r="B538" t="s">
        <v>11</v>
      </c>
      <c r="C538" t="s">
        <v>6</v>
      </c>
      <c r="D538" s="3">
        <f t="shared" si="56"/>
        <v>95</v>
      </c>
      <c r="E538" s="4">
        <f t="shared" si="57"/>
        <v>2</v>
      </c>
      <c r="F538" s="4">
        <f t="shared" si="58"/>
        <v>21</v>
      </c>
      <c r="G538" s="3">
        <f>IF(E538&gt;=20,2000,1900) + D538</f>
        <v>1995</v>
      </c>
      <c r="H538">
        <f t="shared" si="59"/>
        <v>2</v>
      </c>
      <c r="I538" s="4">
        <f t="shared" si="60"/>
        <v>21</v>
      </c>
      <c r="J538">
        <f t="shared" si="61"/>
        <v>19950221</v>
      </c>
      <c r="K538" t="str">
        <f t="shared" si="62"/>
        <v>21.02.1995</v>
      </c>
    </row>
    <row r="539" spans="1:11" x14ac:dyDescent="0.25">
      <c r="A539" s="4" t="s">
        <v>565</v>
      </c>
      <c r="B539" t="s">
        <v>10</v>
      </c>
      <c r="C539" t="s">
        <v>6</v>
      </c>
      <c r="D539" s="3">
        <f t="shared" si="56"/>
        <v>50</v>
      </c>
      <c r="E539" s="4">
        <f t="shared" si="57"/>
        <v>12</v>
      </c>
      <c r="F539" s="4">
        <f t="shared" si="58"/>
        <v>23</v>
      </c>
      <c r="G539" s="3">
        <f>IF(E539&gt;=20,2000,1900) + D539</f>
        <v>1950</v>
      </c>
      <c r="H539">
        <f t="shared" si="59"/>
        <v>12</v>
      </c>
      <c r="I539" s="4">
        <f t="shared" si="60"/>
        <v>23</v>
      </c>
      <c r="J539">
        <f t="shared" si="61"/>
        <v>19501223</v>
      </c>
      <c r="K539" t="str">
        <f t="shared" si="62"/>
        <v>23.12.1950</v>
      </c>
    </row>
    <row r="540" spans="1:11" x14ac:dyDescent="0.25">
      <c r="A540" s="4" t="s">
        <v>566</v>
      </c>
      <c r="B540" t="s">
        <v>20</v>
      </c>
      <c r="C540" t="s">
        <v>4</v>
      </c>
      <c r="D540" s="3">
        <f t="shared" si="56"/>
        <v>64</v>
      </c>
      <c r="E540" s="4">
        <f t="shared" si="57"/>
        <v>4</v>
      </c>
      <c r="F540" s="4">
        <f t="shared" si="58"/>
        <v>8</v>
      </c>
      <c r="G540" s="3">
        <f>IF(E540&gt;=20,2000,1900) + D540</f>
        <v>1964</v>
      </c>
      <c r="H540">
        <f t="shared" si="59"/>
        <v>4</v>
      </c>
      <c r="I540" s="4">
        <f t="shared" si="60"/>
        <v>8</v>
      </c>
      <c r="J540">
        <f t="shared" si="61"/>
        <v>19640408</v>
      </c>
      <c r="K540" t="str">
        <f t="shared" si="62"/>
        <v>08.04.1964</v>
      </c>
    </row>
    <row r="541" spans="1:11" x14ac:dyDescent="0.25">
      <c r="A541" s="4" t="s">
        <v>567</v>
      </c>
      <c r="B541" t="s">
        <v>18</v>
      </c>
      <c r="C541" t="s">
        <v>4</v>
      </c>
      <c r="D541" s="3">
        <f t="shared" si="56"/>
        <v>74</v>
      </c>
      <c r="E541" s="4">
        <f t="shared" si="57"/>
        <v>11</v>
      </c>
      <c r="F541" s="4">
        <f t="shared" si="58"/>
        <v>4</v>
      </c>
      <c r="G541" s="3">
        <f>IF(E541&gt;=20,2000,1900) + D541</f>
        <v>1974</v>
      </c>
      <c r="H541">
        <f t="shared" si="59"/>
        <v>11</v>
      </c>
      <c r="I541" s="4">
        <f t="shared" si="60"/>
        <v>4</v>
      </c>
      <c r="J541">
        <f t="shared" si="61"/>
        <v>19741104</v>
      </c>
      <c r="K541" t="str">
        <f t="shared" si="62"/>
        <v>04.11.1974</v>
      </c>
    </row>
    <row r="542" spans="1:11" x14ac:dyDescent="0.25">
      <c r="A542" s="4" t="s">
        <v>568</v>
      </c>
      <c r="B542" t="s">
        <v>14</v>
      </c>
      <c r="C542" t="s">
        <v>4</v>
      </c>
      <c r="D542" s="3">
        <f t="shared" si="56"/>
        <v>95</v>
      </c>
      <c r="E542" s="4">
        <f t="shared" si="57"/>
        <v>7</v>
      </c>
      <c r="F542" s="4">
        <f t="shared" si="58"/>
        <v>1</v>
      </c>
      <c r="G542" s="3">
        <f>IF(E542&gt;=20,2000,1900) + D542</f>
        <v>1995</v>
      </c>
      <c r="H542">
        <f t="shared" si="59"/>
        <v>7</v>
      </c>
      <c r="I542" s="4">
        <f t="shared" si="60"/>
        <v>1</v>
      </c>
      <c r="J542">
        <f t="shared" si="61"/>
        <v>19950701</v>
      </c>
      <c r="K542" t="str">
        <f t="shared" si="62"/>
        <v>01.07.1995</v>
      </c>
    </row>
    <row r="543" spans="1:11" x14ac:dyDescent="0.25">
      <c r="A543" s="4" t="s">
        <v>569</v>
      </c>
      <c r="B543" t="s">
        <v>7</v>
      </c>
      <c r="C543" t="s">
        <v>6</v>
      </c>
      <c r="D543" s="3">
        <f t="shared" si="56"/>
        <v>51</v>
      </c>
      <c r="E543" s="4">
        <f t="shared" si="57"/>
        <v>4</v>
      </c>
      <c r="F543" s="4">
        <f t="shared" si="58"/>
        <v>7</v>
      </c>
      <c r="G543" s="3">
        <f>IF(E543&gt;=20,2000,1900) + D543</f>
        <v>1951</v>
      </c>
      <c r="H543">
        <f t="shared" si="59"/>
        <v>4</v>
      </c>
      <c r="I543" s="4">
        <f t="shared" si="60"/>
        <v>7</v>
      </c>
      <c r="J543">
        <f t="shared" si="61"/>
        <v>19510407</v>
      </c>
      <c r="K543" t="str">
        <f t="shared" si="62"/>
        <v>07.04.1951</v>
      </c>
    </row>
    <row r="544" spans="1:11" x14ac:dyDescent="0.25">
      <c r="A544" s="4" t="s">
        <v>570</v>
      </c>
      <c r="B544" t="s">
        <v>13</v>
      </c>
      <c r="C544" t="s">
        <v>4</v>
      </c>
      <c r="D544" s="3">
        <f t="shared" si="56"/>
        <v>68</v>
      </c>
      <c r="E544" s="4">
        <f t="shared" si="57"/>
        <v>5</v>
      </c>
      <c r="F544" s="4">
        <f t="shared" si="58"/>
        <v>3</v>
      </c>
      <c r="G544" s="3">
        <f>IF(E544&gt;=20,2000,1900) + D544</f>
        <v>1968</v>
      </c>
      <c r="H544">
        <f t="shared" si="59"/>
        <v>5</v>
      </c>
      <c r="I544" s="4">
        <f t="shared" si="60"/>
        <v>3</v>
      </c>
      <c r="J544">
        <f t="shared" si="61"/>
        <v>19680503</v>
      </c>
      <c r="K544" t="str">
        <f t="shared" si="62"/>
        <v>03.05.1968</v>
      </c>
    </row>
    <row r="545" spans="1:11" x14ac:dyDescent="0.25">
      <c r="A545" s="4" t="s">
        <v>571</v>
      </c>
      <c r="B545" t="s">
        <v>14</v>
      </c>
      <c r="C545" t="s">
        <v>4</v>
      </c>
      <c r="D545" s="3">
        <f t="shared" si="56"/>
        <v>78</v>
      </c>
      <c r="E545" s="4">
        <f t="shared" si="57"/>
        <v>1</v>
      </c>
      <c r="F545" s="4">
        <f t="shared" si="58"/>
        <v>24</v>
      </c>
      <c r="G545" s="3">
        <f>IF(E545&gt;=20,2000,1900) + D545</f>
        <v>1978</v>
      </c>
      <c r="H545">
        <f t="shared" si="59"/>
        <v>1</v>
      </c>
      <c r="I545" s="4">
        <f t="shared" si="60"/>
        <v>24</v>
      </c>
      <c r="J545">
        <f t="shared" si="61"/>
        <v>19780124</v>
      </c>
      <c r="K545" t="str">
        <f t="shared" si="62"/>
        <v>24.01.1978</v>
      </c>
    </row>
    <row r="546" spans="1:11" x14ac:dyDescent="0.25">
      <c r="A546" s="4" t="s">
        <v>572</v>
      </c>
      <c r="B546" t="s">
        <v>18</v>
      </c>
      <c r="C546" t="s">
        <v>4</v>
      </c>
      <c r="D546" s="3">
        <f t="shared" si="56"/>
        <v>85</v>
      </c>
      <c r="E546" s="4">
        <f t="shared" si="57"/>
        <v>8</v>
      </c>
      <c r="F546" s="4">
        <f t="shared" si="58"/>
        <v>2</v>
      </c>
      <c r="G546" s="3">
        <f>IF(E546&gt;=20,2000,1900) + D546</f>
        <v>1985</v>
      </c>
      <c r="H546">
        <f t="shared" si="59"/>
        <v>8</v>
      </c>
      <c r="I546" s="4">
        <f t="shared" si="60"/>
        <v>2</v>
      </c>
      <c r="J546">
        <f t="shared" si="61"/>
        <v>19850802</v>
      </c>
      <c r="K546" t="str">
        <f t="shared" si="62"/>
        <v>02.08.1985</v>
      </c>
    </row>
    <row r="547" spans="1:11" x14ac:dyDescent="0.25">
      <c r="A547" s="4" t="s">
        <v>573</v>
      </c>
      <c r="B547" t="s">
        <v>3</v>
      </c>
      <c r="C547" t="s">
        <v>4</v>
      </c>
      <c r="D547" s="3">
        <f t="shared" si="56"/>
        <v>80</v>
      </c>
      <c r="E547" s="4">
        <f t="shared" si="57"/>
        <v>11</v>
      </c>
      <c r="F547" s="4">
        <f t="shared" si="58"/>
        <v>18</v>
      </c>
      <c r="G547" s="3">
        <f>IF(E547&gt;=20,2000,1900) + D547</f>
        <v>1980</v>
      </c>
      <c r="H547">
        <f t="shared" si="59"/>
        <v>11</v>
      </c>
      <c r="I547" s="4">
        <f t="shared" si="60"/>
        <v>18</v>
      </c>
      <c r="J547">
        <f t="shared" si="61"/>
        <v>19801118</v>
      </c>
      <c r="K547" t="str">
        <f t="shared" si="62"/>
        <v>18.11.1980</v>
      </c>
    </row>
    <row r="548" spans="1:11" x14ac:dyDescent="0.25">
      <c r="A548" s="4" t="s">
        <v>574</v>
      </c>
      <c r="B548" t="s">
        <v>17</v>
      </c>
      <c r="C548" t="s">
        <v>4</v>
      </c>
      <c r="D548" s="3">
        <f t="shared" si="56"/>
        <v>64</v>
      </c>
      <c r="E548" s="4">
        <f t="shared" si="57"/>
        <v>6</v>
      </c>
      <c r="F548" s="4">
        <f t="shared" si="58"/>
        <v>2</v>
      </c>
      <c r="G548" s="3">
        <f>IF(E548&gt;=20,2000,1900) + D548</f>
        <v>1964</v>
      </c>
      <c r="H548">
        <f t="shared" si="59"/>
        <v>6</v>
      </c>
      <c r="I548" s="4">
        <f t="shared" si="60"/>
        <v>2</v>
      </c>
      <c r="J548">
        <f t="shared" si="61"/>
        <v>19640602</v>
      </c>
      <c r="K548" t="str">
        <f t="shared" si="62"/>
        <v>02.06.1964</v>
      </c>
    </row>
    <row r="549" spans="1:11" x14ac:dyDescent="0.25">
      <c r="A549" s="4" t="s">
        <v>575</v>
      </c>
      <c r="B549" t="s">
        <v>9</v>
      </c>
      <c r="C549" t="s">
        <v>6</v>
      </c>
      <c r="D549" s="3">
        <f t="shared" si="56"/>
        <v>66</v>
      </c>
      <c r="E549" s="4">
        <f t="shared" si="57"/>
        <v>11</v>
      </c>
      <c r="F549" s="4">
        <f t="shared" si="58"/>
        <v>24</v>
      </c>
      <c r="G549" s="3">
        <f>IF(E549&gt;=20,2000,1900) + D549</f>
        <v>1966</v>
      </c>
      <c r="H549">
        <f t="shared" si="59"/>
        <v>11</v>
      </c>
      <c r="I549" s="4">
        <f t="shared" si="60"/>
        <v>24</v>
      </c>
      <c r="J549">
        <f t="shared" si="61"/>
        <v>19661124</v>
      </c>
      <c r="K549" t="str">
        <f t="shared" si="62"/>
        <v>24.11.1966</v>
      </c>
    </row>
    <row r="550" spans="1:11" x14ac:dyDescent="0.25">
      <c r="A550" s="4" t="s">
        <v>576</v>
      </c>
      <c r="B550" t="s">
        <v>11</v>
      </c>
      <c r="C550" t="s">
        <v>6</v>
      </c>
      <c r="D550" s="3">
        <f t="shared" si="56"/>
        <v>95</v>
      </c>
      <c r="E550" s="4">
        <f t="shared" si="57"/>
        <v>1</v>
      </c>
      <c r="F550" s="4">
        <f t="shared" si="58"/>
        <v>5</v>
      </c>
      <c r="G550" s="3">
        <f>IF(E550&gt;=20,2000,1900) + D550</f>
        <v>1995</v>
      </c>
      <c r="H550">
        <f t="shared" si="59"/>
        <v>1</v>
      </c>
      <c r="I550" s="4">
        <f t="shared" si="60"/>
        <v>5</v>
      </c>
      <c r="J550">
        <f t="shared" si="61"/>
        <v>19950105</v>
      </c>
      <c r="K550" t="str">
        <f t="shared" si="62"/>
        <v>05.01.1995</v>
      </c>
    </row>
    <row r="551" spans="1:11" x14ac:dyDescent="0.25">
      <c r="A551" s="4" t="s">
        <v>577</v>
      </c>
      <c r="B551" t="s">
        <v>8</v>
      </c>
      <c r="C551" t="s">
        <v>6</v>
      </c>
      <c r="D551" s="3">
        <f t="shared" si="56"/>
        <v>66</v>
      </c>
      <c r="E551" s="4">
        <f t="shared" si="57"/>
        <v>9</v>
      </c>
      <c r="F551" s="4">
        <f t="shared" si="58"/>
        <v>16</v>
      </c>
      <c r="G551" s="3">
        <f>IF(E551&gt;=20,2000,1900) + D551</f>
        <v>1966</v>
      </c>
      <c r="H551">
        <f t="shared" si="59"/>
        <v>9</v>
      </c>
      <c r="I551" s="4">
        <f t="shared" si="60"/>
        <v>16</v>
      </c>
      <c r="J551">
        <f t="shared" si="61"/>
        <v>19660916</v>
      </c>
      <c r="K551" t="str">
        <f t="shared" si="62"/>
        <v>16.09.1966</v>
      </c>
    </row>
    <row r="552" spans="1:11" x14ac:dyDescent="0.25">
      <c r="A552" s="4" t="s">
        <v>578</v>
      </c>
      <c r="B552" t="s">
        <v>12</v>
      </c>
      <c r="C552" t="s">
        <v>4</v>
      </c>
      <c r="D552" s="3">
        <f t="shared" si="56"/>
        <v>60</v>
      </c>
      <c r="E552" s="4">
        <f t="shared" si="57"/>
        <v>10</v>
      </c>
      <c r="F552" s="4">
        <f t="shared" si="58"/>
        <v>13</v>
      </c>
      <c r="G552" s="3">
        <f>IF(E552&gt;=20,2000,1900) + D552</f>
        <v>1960</v>
      </c>
      <c r="H552">
        <f t="shared" si="59"/>
        <v>10</v>
      </c>
      <c r="I552" s="4">
        <f t="shared" si="60"/>
        <v>13</v>
      </c>
      <c r="J552">
        <f t="shared" si="61"/>
        <v>19601013</v>
      </c>
      <c r="K552" t="str">
        <f t="shared" si="62"/>
        <v>13.10.1960</v>
      </c>
    </row>
    <row r="553" spans="1:11" x14ac:dyDescent="0.25">
      <c r="A553" s="4" t="s">
        <v>579</v>
      </c>
      <c r="B553" t="s">
        <v>12</v>
      </c>
      <c r="C553" t="s">
        <v>4</v>
      </c>
      <c r="D553" s="3">
        <f t="shared" si="56"/>
        <v>73</v>
      </c>
      <c r="E553" s="4">
        <f t="shared" si="57"/>
        <v>11</v>
      </c>
      <c r="F553" s="4">
        <f t="shared" si="58"/>
        <v>22</v>
      </c>
      <c r="G553" s="3">
        <f>IF(E553&gt;=20,2000,1900) + D553</f>
        <v>1973</v>
      </c>
      <c r="H553">
        <f t="shared" si="59"/>
        <v>11</v>
      </c>
      <c r="I553" s="4">
        <f t="shared" si="60"/>
        <v>22</v>
      </c>
      <c r="J553">
        <f t="shared" si="61"/>
        <v>19731122</v>
      </c>
      <c r="K553" t="str">
        <f t="shared" si="62"/>
        <v>22.11.1973</v>
      </c>
    </row>
    <row r="554" spans="1:11" x14ac:dyDescent="0.25">
      <c r="A554" s="4" t="s">
        <v>580</v>
      </c>
      <c r="B554" t="s">
        <v>7</v>
      </c>
      <c r="C554" t="s">
        <v>6</v>
      </c>
      <c r="D554" s="3">
        <f t="shared" si="56"/>
        <v>77</v>
      </c>
      <c r="E554" s="4">
        <f t="shared" si="57"/>
        <v>10</v>
      </c>
      <c r="F554" s="4">
        <f t="shared" si="58"/>
        <v>4</v>
      </c>
      <c r="G554" s="3">
        <f>IF(E554&gt;=20,2000,1900) + D554</f>
        <v>1977</v>
      </c>
      <c r="H554">
        <f t="shared" si="59"/>
        <v>10</v>
      </c>
      <c r="I554" s="4">
        <f t="shared" si="60"/>
        <v>4</v>
      </c>
      <c r="J554">
        <f t="shared" si="61"/>
        <v>19771004</v>
      </c>
      <c r="K554" t="str">
        <f t="shared" si="62"/>
        <v>04.10.1977</v>
      </c>
    </row>
    <row r="555" spans="1:11" x14ac:dyDescent="0.25">
      <c r="A555" s="4" t="s">
        <v>581</v>
      </c>
      <c r="B555" t="s">
        <v>9</v>
      </c>
      <c r="C555" t="s">
        <v>6</v>
      </c>
      <c r="D555" s="3">
        <f t="shared" si="56"/>
        <v>98</v>
      </c>
      <c r="E555" s="4">
        <f t="shared" si="57"/>
        <v>9</v>
      </c>
      <c r="F555" s="4">
        <f t="shared" si="58"/>
        <v>16</v>
      </c>
      <c r="G555" s="3">
        <f>IF(E555&gt;=20,2000,1900) + D555</f>
        <v>1998</v>
      </c>
      <c r="H555">
        <f t="shared" si="59"/>
        <v>9</v>
      </c>
      <c r="I555" s="4">
        <f t="shared" si="60"/>
        <v>16</v>
      </c>
      <c r="J555">
        <f t="shared" si="61"/>
        <v>19980916</v>
      </c>
      <c r="K555" t="str">
        <f t="shared" si="62"/>
        <v>16.09.1998</v>
      </c>
    </row>
    <row r="556" spans="1:11" x14ac:dyDescent="0.25">
      <c r="A556" s="4" t="s">
        <v>582</v>
      </c>
      <c r="B556" t="s">
        <v>16</v>
      </c>
      <c r="C556" t="s">
        <v>6</v>
      </c>
      <c r="D556" s="3">
        <f t="shared" si="56"/>
        <v>67</v>
      </c>
      <c r="E556" s="4">
        <f t="shared" si="57"/>
        <v>9</v>
      </c>
      <c r="F556" s="4">
        <f t="shared" si="58"/>
        <v>14</v>
      </c>
      <c r="G556" s="3">
        <f>IF(E556&gt;=20,2000,1900) + D556</f>
        <v>1967</v>
      </c>
      <c r="H556">
        <f t="shared" si="59"/>
        <v>9</v>
      </c>
      <c r="I556" s="4">
        <f t="shared" si="60"/>
        <v>14</v>
      </c>
      <c r="J556">
        <f t="shared" si="61"/>
        <v>19670914</v>
      </c>
      <c r="K556" t="str">
        <f t="shared" si="62"/>
        <v>14.09.1967</v>
      </c>
    </row>
    <row r="557" spans="1:11" x14ac:dyDescent="0.25">
      <c r="A557" s="4" t="s">
        <v>583</v>
      </c>
      <c r="B557" t="s">
        <v>5</v>
      </c>
      <c r="C557" t="s">
        <v>6</v>
      </c>
      <c r="D557" s="3">
        <f t="shared" si="56"/>
        <v>75</v>
      </c>
      <c r="E557" s="4">
        <f t="shared" si="57"/>
        <v>5</v>
      </c>
      <c r="F557" s="4">
        <f t="shared" si="58"/>
        <v>24</v>
      </c>
      <c r="G557" s="3">
        <f>IF(E557&gt;=20,2000,1900) + D557</f>
        <v>1975</v>
      </c>
      <c r="H557">
        <f t="shared" si="59"/>
        <v>5</v>
      </c>
      <c r="I557" s="4">
        <f t="shared" si="60"/>
        <v>24</v>
      </c>
      <c r="J557">
        <f t="shared" si="61"/>
        <v>19750524</v>
      </c>
      <c r="K557" t="str">
        <f t="shared" si="62"/>
        <v>24.05.1975</v>
      </c>
    </row>
    <row r="558" spans="1:11" x14ac:dyDescent="0.25">
      <c r="A558" s="4" t="s">
        <v>584</v>
      </c>
      <c r="B558" t="s">
        <v>18</v>
      </c>
      <c r="C558" t="s">
        <v>4</v>
      </c>
      <c r="D558" s="3">
        <f t="shared" si="56"/>
        <v>93</v>
      </c>
      <c r="E558" s="4">
        <f t="shared" si="57"/>
        <v>4</v>
      </c>
      <c r="F558" s="4">
        <f t="shared" si="58"/>
        <v>20</v>
      </c>
      <c r="G558" s="3">
        <f>IF(E558&gt;=20,2000,1900) + D558</f>
        <v>1993</v>
      </c>
      <c r="H558">
        <f t="shared" si="59"/>
        <v>4</v>
      </c>
      <c r="I558" s="4">
        <f t="shared" si="60"/>
        <v>20</v>
      </c>
      <c r="J558">
        <f t="shared" si="61"/>
        <v>19930420</v>
      </c>
      <c r="K558" t="str">
        <f t="shared" si="62"/>
        <v>20.04.1993</v>
      </c>
    </row>
    <row r="559" spans="1:11" x14ac:dyDescent="0.25">
      <c r="A559" s="4" t="s">
        <v>585</v>
      </c>
      <c r="B559" t="s">
        <v>20</v>
      </c>
      <c r="C559" t="s">
        <v>6</v>
      </c>
      <c r="D559" s="3">
        <f t="shared" si="56"/>
        <v>58</v>
      </c>
      <c r="E559" s="4">
        <f t="shared" si="57"/>
        <v>1</v>
      </c>
      <c r="F559" s="4">
        <f t="shared" si="58"/>
        <v>14</v>
      </c>
      <c r="G559" s="3">
        <f>IF(E559&gt;=20,2000,1900) + D559</f>
        <v>1958</v>
      </c>
      <c r="H559">
        <f t="shared" si="59"/>
        <v>1</v>
      </c>
      <c r="I559" s="4">
        <f t="shared" si="60"/>
        <v>14</v>
      </c>
      <c r="J559">
        <f t="shared" si="61"/>
        <v>19580114</v>
      </c>
      <c r="K559" t="str">
        <f t="shared" si="62"/>
        <v>14.01.1958</v>
      </c>
    </row>
    <row r="560" spans="1:11" x14ac:dyDescent="0.25">
      <c r="A560" s="4" t="s">
        <v>586</v>
      </c>
      <c r="B560" t="s">
        <v>17</v>
      </c>
      <c r="C560" t="s">
        <v>4</v>
      </c>
      <c r="D560" s="3">
        <f t="shared" si="56"/>
        <v>61</v>
      </c>
      <c r="E560" s="4">
        <f t="shared" si="57"/>
        <v>1</v>
      </c>
      <c r="F560" s="4">
        <f t="shared" si="58"/>
        <v>9</v>
      </c>
      <c r="G560" s="3">
        <f>IF(E560&gt;=20,2000,1900) + D560</f>
        <v>1961</v>
      </c>
      <c r="H560">
        <f t="shared" si="59"/>
        <v>1</v>
      </c>
      <c r="I560" s="4">
        <f t="shared" si="60"/>
        <v>9</v>
      </c>
      <c r="J560">
        <f t="shared" si="61"/>
        <v>19610109</v>
      </c>
      <c r="K560" t="str">
        <f t="shared" si="62"/>
        <v>09.01.1961</v>
      </c>
    </row>
    <row r="561" spans="1:11" x14ac:dyDescent="0.25">
      <c r="A561" s="4" t="s">
        <v>587</v>
      </c>
      <c r="B561" t="s">
        <v>20</v>
      </c>
      <c r="C561" t="s">
        <v>4</v>
      </c>
      <c r="D561" s="3">
        <f t="shared" si="56"/>
        <v>59</v>
      </c>
      <c r="E561" s="4">
        <f t="shared" si="57"/>
        <v>2</v>
      </c>
      <c r="F561" s="4">
        <f t="shared" si="58"/>
        <v>1</v>
      </c>
      <c r="G561" s="3">
        <f>IF(E561&gt;=20,2000,1900) + D561</f>
        <v>1959</v>
      </c>
      <c r="H561">
        <f t="shared" si="59"/>
        <v>2</v>
      </c>
      <c r="I561" s="4">
        <f t="shared" si="60"/>
        <v>1</v>
      </c>
      <c r="J561">
        <f t="shared" si="61"/>
        <v>19590201</v>
      </c>
      <c r="K561" t="str">
        <f t="shared" si="62"/>
        <v>01.02.1959</v>
      </c>
    </row>
    <row r="562" spans="1:11" x14ac:dyDescent="0.25">
      <c r="A562" s="4" t="s">
        <v>588</v>
      </c>
      <c r="B562" t="s">
        <v>10</v>
      </c>
      <c r="C562" t="s">
        <v>6</v>
      </c>
      <c r="D562" s="3">
        <f t="shared" si="56"/>
        <v>85</v>
      </c>
      <c r="E562" s="4">
        <f t="shared" si="57"/>
        <v>1</v>
      </c>
      <c r="F562" s="4">
        <f t="shared" si="58"/>
        <v>20</v>
      </c>
      <c r="G562" s="3">
        <f>IF(E562&gt;=20,2000,1900) + D562</f>
        <v>1985</v>
      </c>
      <c r="H562">
        <f t="shared" si="59"/>
        <v>1</v>
      </c>
      <c r="I562" s="4">
        <f t="shared" si="60"/>
        <v>20</v>
      </c>
      <c r="J562">
        <f t="shared" si="61"/>
        <v>19850120</v>
      </c>
      <c r="K562" t="str">
        <f t="shared" si="62"/>
        <v>20.01.1985</v>
      </c>
    </row>
    <row r="563" spans="1:11" x14ac:dyDescent="0.25">
      <c r="A563" s="4" t="s">
        <v>589</v>
      </c>
      <c r="B563" t="s">
        <v>14</v>
      </c>
      <c r="C563" t="s">
        <v>6</v>
      </c>
      <c r="D563" s="3">
        <f t="shared" si="56"/>
        <v>89</v>
      </c>
      <c r="E563" s="4">
        <f t="shared" si="57"/>
        <v>2</v>
      </c>
      <c r="F563" s="4">
        <f t="shared" si="58"/>
        <v>13</v>
      </c>
      <c r="G563" s="3">
        <f>IF(E563&gt;=20,2000,1900) + D563</f>
        <v>1989</v>
      </c>
      <c r="H563">
        <f t="shared" si="59"/>
        <v>2</v>
      </c>
      <c r="I563" s="4">
        <f t="shared" si="60"/>
        <v>13</v>
      </c>
      <c r="J563">
        <f t="shared" si="61"/>
        <v>19890213</v>
      </c>
      <c r="K563" t="str">
        <f t="shared" si="62"/>
        <v>13.02.1989</v>
      </c>
    </row>
    <row r="564" spans="1:11" x14ac:dyDescent="0.25">
      <c r="A564" s="4" t="s">
        <v>590</v>
      </c>
      <c r="B564" t="s">
        <v>15</v>
      </c>
      <c r="C564" t="s">
        <v>4</v>
      </c>
      <c r="D564" s="3">
        <f t="shared" si="56"/>
        <v>65</v>
      </c>
      <c r="E564" s="4">
        <f t="shared" si="57"/>
        <v>9</v>
      </c>
      <c r="F564" s="4">
        <f t="shared" si="58"/>
        <v>24</v>
      </c>
      <c r="G564" s="3">
        <f>IF(E564&gt;=20,2000,1900) + D564</f>
        <v>1965</v>
      </c>
      <c r="H564">
        <f t="shared" si="59"/>
        <v>9</v>
      </c>
      <c r="I564" s="4">
        <f t="shared" si="60"/>
        <v>24</v>
      </c>
      <c r="J564">
        <f t="shared" si="61"/>
        <v>19650924</v>
      </c>
      <c r="K564" t="str">
        <f t="shared" si="62"/>
        <v>24.09.1965</v>
      </c>
    </row>
    <row r="565" spans="1:11" x14ac:dyDescent="0.25">
      <c r="A565" s="4" t="s">
        <v>591</v>
      </c>
      <c r="B565" t="s">
        <v>12</v>
      </c>
      <c r="C565" t="s">
        <v>6</v>
      </c>
      <c r="D565" s="3">
        <f t="shared" si="56"/>
        <v>69</v>
      </c>
      <c r="E565" s="4">
        <f t="shared" si="57"/>
        <v>7</v>
      </c>
      <c r="F565" s="4">
        <f t="shared" si="58"/>
        <v>23</v>
      </c>
      <c r="G565" s="3">
        <f>IF(E565&gt;=20,2000,1900) + D565</f>
        <v>1969</v>
      </c>
      <c r="H565">
        <f t="shared" si="59"/>
        <v>7</v>
      </c>
      <c r="I565" s="4">
        <f t="shared" si="60"/>
        <v>23</v>
      </c>
      <c r="J565">
        <f t="shared" si="61"/>
        <v>19690723</v>
      </c>
      <c r="K565" t="str">
        <f t="shared" si="62"/>
        <v>23.07.1969</v>
      </c>
    </row>
    <row r="566" spans="1:11" x14ac:dyDescent="0.25">
      <c r="A566" s="4" t="s">
        <v>592</v>
      </c>
      <c r="B566" t="s">
        <v>9</v>
      </c>
      <c r="C566" t="s">
        <v>4</v>
      </c>
      <c r="D566" s="3">
        <f t="shared" si="56"/>
        <v>80</v>
      </c>
      <c r="E566" s="4">
        <f t="shared" si="57"/>
        <v>10</v>
      </c>
      <c r="F566" s="4">
        <f t="shared" si="58"/>
        <v>14</v>
      </c>
      <c r="G566" s="3">
        <f>IF(E566&gt;=20,2000,1900) + D566</f>
        <v>1980</v>
      </c>
      <c r="H566">
        <f t="shared" si="59"/>
        <v>10</v>
      </c>
      <c r="I566" s="4">
        <f t="shared" si="60"/>
        <v>14</v>
      </c>
      <c r="J566">
        <f t="shared" si="61"/>
        <v>19801014</v>
      </c>
      <c r="K566" t="str">
        <f t="shared" si="62"/>
        <v>14.10.1980</v>
      </c>
    </row>
    <row r="567" spans="1:11" x14ac:dyDescent="0.25">
      <c r="A567" s="4" t="s">
        <v>593</v>
      </c>
      <c r="B567" t="s">
        <v>18</v>
      </c>
      <c r="C567" t="s">
        <v>6</v>
      </c>
      <c r="D567" s="3">
        <f t="shared" si="56"/>
        <v>74</v>
      </c>
      <c r="E567" s="4">
        <f t="shared" si="57"/>
        <v>4</v>
      </c>
      <c r="F567" s="4">
        <f t="shared" si="58"/>
        <v>11</v>
      </c>
      <c r="G567" s="3">
        <f>IF(E567&gt;=20,2000,1900) + D567</f>
        <v>1974</v>
      </c>
      <c r="H567">
        <f t="shared" si="59"/>
        <v>4</v>
      </c>
      <c r="I567" s="4">
        <f t="shared" si="60"/>
        <v>11</v>
      </c>
      <c r="J567">
        <f t="shared" si="61"/>
        <v>19740411</v>
      </c>
      <c r="K567" t="str">
        <f t="shared" si="62"/>
        <v>11.04.1974</v>
      </c>
    </row>
    <row r="568" spans="1:11" x14ac:dyDescent="0.25">
      <c r="A568" s="4" t="s">
        <v>594</v>
      </c>
      <c r="B568" t="s">
        <v>11</v>
      </c>
      <c r="C568" t="s">
        <v>6</v>
      </c>
      <c r="D568" s="3">
        <f t="shared" si="56"/>
        <v>95</v>
      </c>
      <c r="E568" s="4">
        <f t="shared" si="57"/>
        <v>3</v>
      </c>
      <c r="F568" s="4">
        <f t="shared" si="58"/>
        <v>3</v>
      </c>
      <c r="G568" s="3">
        <f>IF(E568&gt;=20,2000,1900) + D568</f>
        <v>1995</v>
      </c>
      <c r="H568">
        <f t="shared" si="59"/>
        <v>3</v>
      </c>
      <c r="I568" s="4">
        <f t="shared" si="60"/>
        <v>3</v>
      </c>
      <c r="J568">
        <f t="shared" si="61"/>
        <v>19950303</v>
      </c>
      <c r="K568" t="str">
        <f t="shared" si="62"/>
        <v>03.03.1995</v>
      </c>
    </row>
    <row r="569" spans="1:11" x14ac:dyDescent="0.25">
      <c r="A569" s="4" t="s">
        <v>595</v>
      </c>
      <c r="B569" t="s">
        <v>9</v>
      </c>
      <c r="C569" t="s">
        <v>6</v>
      </c>
      <c r="D569" s="3">
        <f t="shared" si="56"/>
        <v>84</v>
      </c>
      <c r="E569" s="4">
        <f t="shared" si="57"/>
        <v>8</v>
      </c>
      <c r="F569" s="4">
        <f t="shared" si="58"/>
        <v>31</v>
      </c>
      <c r="G569" s="3">
        <f>IF(E569&gt;=20,2000,1900) + D569</f>
        <v>1984</v>
      </c>
      <c r="H569">
        <f t="shared" si="59"/>
        <v>8</v>
      </c>
      <c r="I569" s="4">
        <f t="shared" si="60"/>
        <v>31</v>
      </c>
      <c r="J569">
        <f t="shared" si="61"/>
        <v>19840831</v>
      </c>
      <c r="K569" t="str">
        <f t="shared" si="62"/>
        <v>31.08.1984</v>
      </c>
    </row>
    <row r="570" spans="1:11" x14ac:dyDescent="0.25">
      <c r="A570" s="4" t="s">
        <v>596</v>
      </c>
      <c r="B570" t="s">
        <v>20</v>
      </c>
      <c r="C570" t="s">
        <v>6</v>
      </c>
      <c r="D570" s="3">
        <f t="shared" si="56"/>
        <v>81</v>
      </c>
      <c r="E570" s="4">
        <f t="shared" si="57"/>
        <v>8</v>
      </c>
      <c r="F570" s="4">
        <f t="shared" si="58"/>
        <v>27</v>
      </c>
      <c r="G570" s="3">
        <f>IF(E570&gt;=20,2000,1900) + D570</f>
        <v>1981</v>
      </c>
      <c r="H570">
        <f t="shared" si="59"/>
        <v>8</v>
      </c>
      <c r="I570" s="4">
        <f t="shared" si="60"/>
        <v>27</v>
      </c>
      <c r="J570">
        <f t="shared" si="61"/>
        <v>19810827</v>
      </c>
      <c r="K570" t="str">
        <f t="shared" si="62"/>
        <v>27.08.1981</v>
      </c>
    </row>
    <row r="571" spans="1:11" x14ac:dyDescent="0.25">
      <c r="A571" s="4" t="s">
        <v>597</v>
      </c>
      <c r="B571" t="s">
        <v>16</v>
      </c>
      <c r="C571" t="s">
        <v>6</v>
      </c>
      <c r="D571" s="3">
        <f t="shared" si="56"/>
        <v>64</v>
      </c>
      <c r="E571" s="4">
        <f t="shared" si="57"/>
        <v>6</v>
      </c>
      <c r="F571" s="4">
        <f t="shared" si="58"/>
        <v>14</v>
      </c>
      <c r="G571" s="3">
        <f>IF(E571&gt;=20,2000,1900) + D571</f>
        <v>1964</v>
      </c>
      <c r="H571">
        <f t="shared" si="59"/>
        <v>6</v>
      </c>
      <c r="I571" s="4">
        <f t="shared" si="60"/>
        <v>14</v>
      </c>
      <c r="J571">
        <f t="shared" si="61"/>
        <v>19640614</v>
      </c>
      <c r="K571" t="str">
        <f t="shared" si="62"/>
        <v>14.06.1964</v>
      </c>
    </row>
    <row r="572" spans="1:11" x14ac:dyDescent="0.25">
      <c r="A572" s="4" t="s">
        <v>598</v>
      </c>
      <c r="B572" t="s">
        <v>11</v>
      </c>
      <c r="C572" t="s">
        <v>6</v>
      </c>
      <c r="D572" s="3">
        <f t="shared" si="56"/>
        <v>96</v>
      </c>
      <c r="E572" s="4">
        <f t="shared" si="57"/>
        <v>9</v>
      </c>
      <c r="F572" s="4">
        <f t="shared" si="58"/>
        <v>13</v>
      </c>
      <c r="G572" s="3">
        <f>IF(E572&gt;=20,2000,1900) + D572</f>
        <v>1996</v>
      </c>
      <c r="H572">
        <f t="shared" si="59"/>
        <v>9</v>
      </c>
      <c r="I572" s="4">
        <f t="shared" si="60"/>
        <v>13</v>
      </c>
      <c r="J572">
        <f t="shared" si="61"/>
        <v>19960913</v>
      </c>
      <c r="K572" t="str">
        <f t="shared" si="62"/>
        <v>13.09.1996</v>
      </c>
    </row>
    <row r="573" spans="1:11" x14ac:dyDescent="0.25">
      <c r="A573" s="4" t="s">
        <v>599</v>
      </c>
      <c r="B573" t="s">
        <v>13</v>
      </c>
      <c r="C573" t="s">
        <v>6</v>
      </c>
      <c r="D573" s="3">
        <f t="shared" si="56"/>
        <v>84</v>
      </c>
      <c r="E573" s="4">
        <f t="shared" si="57"/>
        <v>4</v>
      </c>
      <c r="F573" s="4">
        <f t="shared" si="58"/>
        <v>16</v>
      </c>
      <c r="G573" s="3">
        <f>IF(E573&gt;=20,2000,1900) + D573</f>
        <v>1984</v>
      </c>
      <c r="H573">
        <f t="shared" si="59"/>
        <v>4</v>
      </c>
      <c r="I573" s="4">
        <f t="shared" si="60"/>
        <v>16</v>
      </c>
      <c r="J573">
        <f t="shared" si="61"/>
        <v>19840416</v>
      </c>
      <c r="K573" t="str">
        <f t="shared" si="62"/>
        <v>16.04.1984</v>
      </c>
    </row>
    <row r="574" spans="1:11" x14ac:dyDescent="0.25">
      <c r="A574" s="4" t="s">
        <v>600</v>
      </c>
      <c r="B574" t="s">
        <v>15</v>
      </c>
      <c r="C574" t="s">
        <v>6</v>
      </c>
      <c r="D574" s="3">
        <f t="shared" si="56"/>
        <v>94</v>
      </c>
      <c r="E574" s="4">
        <f t="shared" si="57"/>
        <v>11</v>
      </c>
      <c r="F574" s="4">
        <f t="shared" si="58"/>
        <v>30</v>
      </c>
      <c r="G574" s="3">
        <f>IF(E574&gt;=20,2000,1900) + D574</f>
        <v>1994</v>
      </c>
      <c r="H574">
        <f t="shared" si="59"/>
        <v>11</v>
      </c>
      <c r="I574" s="4">
        <f t="shared" si="60"/>
        <v>30</v>
      </c>
      <c r="J574">
        <f t="shared" si="61"/>
        <v>19941130</v>
      </c>
      <c r="K574" t="str">
        <f t="shared" si="62"/>
        <v>30.11.1994</v>
      </c>
    </row>
    <row r="575" spans="1:11" x14ac:dyDescent="0.25">
      <c r="A575" s="4" t="s">
        <v>601</v>
      </c>
      <c r="B575" t="s">
        <v>15</v>
      </c>
      <c r="C575" t="s">
        <v>4</v>
      </c>
      <c r="D575" s="3">
        <f t="shared" si="56"/>
        <v>53</v>
      </c>
      <c r="E575" s="4">
        <f t="shared" si="57"/>
        <v>10</v>
      </c>
      <c r="F575" s="4">
        <f t="shared" si="58"/>
        <v>1</v>
      </c>
      <c r="G575" s="3">
        <f>IF(E575&gt;=20,2000,1900) + D575</f>
        <v>1953</v>
      </c>
      <c r="H575">
        <f t="shared" si="59"/>
        <v>10</v>
      </c>
      <c r="I575" s="4">
        <f t="shared" si="60"/>
        <v>1</v>
      </c>
      <c r="J575">
        <f t="shared" si="61"/>
        <v>19531001</v>
      </c>
      <c r="K575" t="str">
        <f t="shared" si="62"/>
        <v>01.10.1953</v>
      </c>
    </row>
    <row r="576" spans="1:11" x14ac:dyDescent="0.25">
      <c r="A576" s="4" t="s">
        <v>602</v>
      </c>
      <c r="B576" t="s">
        <v>15</v>
      </c>
      <c r="C576" t="s">
        <v>4</v>
      </c>
      <c r="D576" s="3">
        <f t="shared" si="56"/>
        <v>81</v>
      </c>
      <c r="E576" s="4">
        <f t="shared" si="57"/>
        <v>10</v>
      </c>
      <c r="F576" s="4">
        <f t="shared" si="58"/>
        <v>29</v>
      </c>
      <c r="G576" s="3">
        <f>IF(E576&gt;=20,2000,1900) + D576</f>
        <v>1981</v>
      </c>
      <c r="H576">
        <f t="shared" si="59"/>
        <v>10</v>
      </c>
      <c r="I576" s="4">
        <f t="shared" si="60"/>
        <v>29</v>
      </c>
      <c r="J576">
        <f t="shared" si="61"/>
        <v>19811029</v>
      </c>
      <c r="K576" t="str">
        <f t="shared" si="62"/>
        <v>29.10.1981</v>
      </c>
    </row>
    <row r="577" spans="1:11" x14ac:dyDescent="0.25">
      <c r="A577" s="4" t="s">
        <v>603</v>
      </c>
      <c r="B577" t="s">
        <v>18</v>
      </c>
      <c r="C577" t="s">
        <v>6</v>
      </c>
      <c r="D577" s="3">
        <f t="shared" si="56"/>
        <v>91</v>
      </c>
      <c r="E577" s="4">
        <f t="shared" si="57"/>
        <v>2</v>
      </c>
      <c r="F577" s="4">
        <f t="shared" si="58"/>
        <v>3</v>
      </c>
      <c r="G577" s="3">
        <f>IF(E577&gt;=20,2000,1900) + D577</f>
        <v>1991</v>
      </c>
      <c r="H577">
        <f t="shared" si="59"/>
        <v>2</v>
      </c>
      <c r="I577" s="4">
        <f t="shared" si="60"/>
        <v>3</v>
      </c>
      <c r="J577">
        <f t="shared" si="61"/>
        <v>19910203</v>
      </c>
      <c r="K577" t="str">
        <f t="shared" si="62"/>
        <v>03.02.1991</v>
      </c>
    </row>
    <row r="578" spans="1:11" x14ac:dyDescent="0.25">
      <c r="A578" s="4" t="s">
        <v>604</v>
      </c>
      <c r="B578" t="s">
        <v>16</v>
      </c>
      <c r="C578" t="s">
        <v>4</v>
      </c>
      <c r="D578" s="3">
        <f t="shared" si="56"/>
        <v>86</v>
      </c>
      <c r="E578" s="4">
        <f t="shared" si="57"/>
        <v>1</v>
      </c>
      <c r="F578" s="4">
        <f t="shared" si="58"/>
        <v>29</v>
      </c>
      <c r="G578" s="3">
        <f>IF(E578&gt;=20,2000,1900) + D578</f>
        <v>1986</v>
      </c>
      <c r="H578">
        <f t="shared" si="59"/>
        <v>1</v>
      </c>
      <c r="I578" s="4">
        <f t="shared" si="60"/>
        <v>29</v>
      </c>
      <c r="J578">
        <f t="shared" si="61"/>
        <v>19860129</v>
      </c>
      <c r="K578" t="str">
        <f t="shared" si="62"/>
        <v>29.01.1986</v>
      </c>
    </row>
    <row r="579" spans="1:11" x14ac:dyDescent="0.25">
      <c r="A579" s="4" t="s">
        <v>605</v>
      </c>
      <c r="B579" t="s">
        <v>10</v>
      </c>
      <c r="C579" t="s">
        <v>6</v>
      </c>
      <c r="D579" s="3">
        <f t="shared" ref="D579:D642" si="63">MID(A579,1,2)*1</f>
        <v>95</v>
      </c>
      <c r="E579" s="4">
        <f t="shared" ref="E579:E642" si="64">MID(A579,3,2)*1</f>
        <v>1</v>
      </c>
      <c r="F579" s="4">
        <f t="shared" ref="F579:F642" si="65">MID(A579,5,2)*1</f>
        <v>12</v>
      </c>
      <c r="G579" s="3">
        <f>IF(E579&gt;=20,2000,1900) + D579</f>
        <v>1995</v>
      </c>
      <c r="H579">
        <f t="shared" ref="H579:H642" si="66">IF(E579&gt;=20,E579-20,E579)</f>
        <v>1</v>
      </c>
      <c r="I579" s="4">
        <f t="shared" ref="I579:I642" si="67">F579</f>
        <v>12</v>
      </c>
      <c r="J579">
        <f t="shared" ref="J579:J642" si="68">CONCATENATE(G579,IF(LEN(E579)=1,CONCATENATE("0",E579),E579),IF(LEN(F579)=1,CONCATENATE("0",F579),F579))*1</f>
        <v>19950112</v>
      </c>
      <c r="K579" t="str">
        <f t="shared" ref="K579:K642" si="69">CONCATENATE(RIGHT(J579,2),".",MID(J579,5,2),".",LEFT(J579,4))</f>
        <v>12.01.1995</v>
      </c>
    </row>
    <row r="580" spans="1:11" x14ac:dyDescent="0.25">
      <c r="A580" s="4" t="s">
        <v>606</v>
      </c>
      <c r="B580" t="s">
        <v>19</v>
      </c>
      <c r="C580" t="s">
        <v>4</v>
      </c>
      <c r="D580" s="3">
        <f t="shared" si="63"/>
        <v>63</v>
      </c>
      <c r="E580" s="4">
        <f t="shared" si="64"/>
        <v>6</v>
      </c>
      <c r="F580" s="4">
        <f t="shared" si="65"/>
        <v>5</v>
      </c>
      <c r="G580" s="3">
        <f>IF(E580&gt;=20,2000,1900) + D580</f>
        <v>1963</v>
      </c>
      <c r="H580">
        <f t="shared" si="66"/>
        <v>6</v>
      </c>
      <c r="I580" s="4">
        <f t="shared" si="67"/>
        <v>5</v>
      </c>
      <c r="J580">
        <f t="shared" si="68"/>
        <v>19630605</v>
      </c>
      <c r="K580" t="str">
        <f t="shared" si="69"/>
        <v>05.06.1963</v>
      </c>
    </row>
    <row r="581" spans="1:11" x14ac:dyDescent="0.25">
      <c r="A581" s="4" t="s">
        <v>607</v>
      </c>
      <c r="B581" t="s">
        <v>13</v>
      </c>
      <c r="C581" t="s">
        <v>4</v>
      </c>
      <c r="D581" s="3">
        <f t="shared" si="63"/>
        <v>73</v>
      </c>
      <c r="E581" s="4">
        <f t="shared" si="64"/>
        <v>5</v>
      </c>
      <c r="F581" s="4">
        <f t="shared" si="65"/>
        <v>22</v>
      </c>
      <c r="G581" s="3">
        <f>IF(E581&gt;=20,2000,1900) + D581</f>
        <v>1973</v>
      </c>
      <c r="H581">
        <f t="shared" si="66"/>
        <v>5</v>
      </c>
      <c r="I581" s="4">
        <f t="shared" si="67"/>
        <v>22</v>
      </c>
      <c r="J581">
        <f t="shared" si="68"/>
        <v>19730522</v>
      </c>
      <c r="K581" t="str">
        <f t="shared" si="69"/>
        <v>22.05.1973</v>
      </c>
    </row>
    <row r="582" spans="1:11" x14ac:dyDescent="0.25">
      <c r="A582" s="4" t="s">
        <v>608</v>
      </c>
      <c r="B582" t="s">
        <v>8</v>
      </c>
      <c r="C582" t="s">
        <v>4</v>
      </c>
      <c r="D582" s="3">
        <f t="shared" si="63"/>
        <v>57</v>
      </c>
      <c r="E582" s="4">
        <f t="shared" si="64"/>
        <v>2</v>
      </c>
      <c r="F582" s="4">
        <f t="shared" si="65"/>
        <v>24</v>
      </c>
      <c r="G582" s="3">
        <f>IF(E582&gt;=20,2000,1900) + D582</f>
        <v>1957</v>
      </c>
      <c r="H582">
        <f t="shared" si="66"/>
        <v>2</v>
      </c>
      <c r="I582" s="4">
        <f t="shared" si="67"/>
        <v>24</v>
      </c>
      <c r="J582">
        <f t="shared" si="68"/>
        <v>19570224</v>
      </c>
      <c r="K582" t="str">
        <f t="shared" si="69"/>
        <v>24.02.1957</v>
      </c>
    </row>
    <row r="583" spans="1:11" x14ac:dyDescent="0.25">
      <c r="A583" s="4" t="s">
        <v>609</v>
      </c>
      <c r="B583" t="s">
        <v>18</v>
      </c>
      <c r="C583" t="s">
        <v>6</v>
      </c>
      <c r="D583" s="3">
        <f t="shared" si="63"/>
        <v>50</v>
      </c>
      <c r="E583" s="4">
        <f t="shared" si="64"/>
        <v>9</v>
      </c>
      <c r="F583" s="4">
        <f t="shared" si="65"/>
        <v>17</v>
      </c>
      <c r="G583" s="3">
        <f>IF(E583&gt;=20,2000,1900) + D583</f>
        <v>1950</v>
      </c>
      <c r="H583">
        <f t="shared" si="66"/>
        <v>9</v>
      </c>
      <c r="I583" s="4">
        <f t="shared" si="67"/>
        <v>17</v>
      </c>
      <c r="J583">
        <f t="shared" si="68"/>
        <v>19500917</v>
      </c>
      <c r="K583" t="str">
        <f t="shared" si="69"/>
        <v>17.09.1950</v>
      </c>
    </row>
    <row r="584" spans="1:11" x14ac:dyDescent="0.25">
      <c r="A584" s="4" t="s">
        <v>610</v>
      </c>
      <c r="B584" t="s">
        <v>18</v>
      </c>
      <c r="C584" t="s">
        <v>4</v>
      </c>
      <c r="D584" s="3">
        <f t="shared" si="63"/>
        <v>68</v>
      </c>
      <c r="E584" s="4">
        <f t="shared" si="64"/>
        <v>5</v>
      </c>
      <c r="F584" s="4">
        <f t="shared" si="65"/>
        <v>20</v>
      </c>
      <c r="G584" s="3">
        <f>IF(E584&gt;=20,2000,1900) + D584</f>
        <v>1968</v>
      </c>
      <c r="H584">
        <f t="shared" si="66"/>
        <v>5</v>
      </c>
      <c r="I584" s="4">
        <f t="shared" si="67"/>
        <v>20</v>
      </c>
      <c r="J584">
        <f t="shared" si="68"/>
        <v>19680520</v>
      </c>
      <c r="K584" t="str">
        <f t="shared" si="69"/>
        <v>20.05.1968</v>
      </c>
    </row>
    <row r="585" spans="1:11" x14ac:dyDescent="0.25">
      <c r="A585" s="4" t="s">
        <v>611</v>
      </c>
      <c r="B585" t="s">
        <v>15</v>
      </c>
      <c r="C585" t="s">
        <v>4</v>
      </c>
      <c r="D585" s="3">
        <f t="shared" si="63"/>
        <v>84</v>
      </c>
      <c r="E585" s="4">
        <f t="shared" si="64"/>
        <v>6</v>
      </c>
      <c r="F585" s="4">
        <f t="shared" si="65"/>
        <v>10</v>
      </c>
      <c r="G585" s="3">
        <f>IF(E585&gt;=20,2000,1900) + D585</f>
        <v>1984</v>
      </c>
      <c r="H585">
        <f t="shared" si="66"/>
        <v>6</v>
      </c>
      <c r="I585" s="4">
        <f t="shared" si="67"/>
        <v>10</v>
      </c>
      <c r="J585">
        <f t="shared" si="68"/>
        <v>19840610</v>
      </c>
      <c r="K585" t="str">
        <f t="shared" si="69"/>
        <v>10.06.1984</v>
      </c>
    </row>
    <row r="586" spans="1:11" x14ac:dyDescent="0.25">
      <c r="A586" s="4" t="s">
        <v>612</v>
      </c>
      <c r="B586" t="s">
        <v>17</v>
      </c>
      <c r="C586" t="s">
        <v>6</v>
      </c>
      <c r="D586" s="3">
        <f t="shared" si="63"/>
        <v>77</v>
      </c>
      <c r="E586" s="4">
        <f t="shared" si="64"/>
        <v>4</v>
      </c>
      <c r="F586" s="4">
        <f t="shared" si="65"/>
        <v>1</v>
      </c>
      <c r="G586" s="3">
        <f>IF(E586&gt;=20,2000,1900) + D586</f>
        <v>1977</v>
      </c>
      <c r="H586">
        <f t="shared" si="66"/>
        <v>4</v>
      </c>
      <c r="I586" s="4">
        <f t="shared" si="67"/>
        <v>1</v>
      </c>
      <c r="J586">
        <f t="shared" si="68"/>
        <v>19770401</v>
      </c>
      <c r="K586" t="str">
        <f t="shared" si="69"/>
        <v>01.04.1977</v>
      </c>
    </row>
    <row r="587" spans="1:11" x14ac:dyDescent="0.25">
      <c r="A587" s="4" t="s">
        <v>613</v>
      </c>
      <c r="B587" t="s">
        <v>10</v>
      </c>
      <c r="C587" t="s">
        <v>6</v>
      </c>
      <c r="D587" s="3">
        <f t="shared" si="63"/>
        <v>84</v>
      </c>
      <c r="E587" s="4">
        <f t="shared" si="64"/>
        <v>9</v>
      </c>
      <c r="F587" s="4">
        <f t="shared" si="65"/>
        <v>12</v>
      </c>
      <c r="G587" s="3">
        <f>IF(E587&gt;=20,2000,1900) + D587</f>
        <v>1984</v>
      </c>
      <c r="H587">
        <f t="shared" si="66"/>
        <v>9</v>
      </c>
      <c r="I587" s="4">
        <f t="shared" si="67"/>
        <v>12</v>
      </c>
      <c r="J587">
        <f t="shared" si="68"/>
        <v>19840912</v>
      </c>
      <c r="K587" t="str">
        <f t="shared" si="69"/>
        <v>12.09.1984</v>
      </c>
    </row>
    <row r="588" spans="1:11" x14ac:dyDescent="0.25">
      <c r="A588" s="4" t="s">
        <v>614</v>
      </c>
      <c r="B588" t="s">
        <v>19</v>
      </c>
      <c r="C588" t="s">
        <v>6</v>
      </c>
      <c r="D588" s="3">
        <f t="shared" si="63"/>
        <v>55</v>
      </c>
      <c r="E588" s="4">
        <f t="shared" si="64"/>
        <v>2</v>
      </c>
      <c r="F588" s="4">
        <f t="shared" si="65"/>
        <v>26</v>
      </c>
      <c r="G588" s="3">
        <f>IF(E588&gt;=20,2000,1900) + D588</f>
        <v>1955</v>
      </c>
      <c r="H588">
        <f t="shared" si="66"/>
        <v>2</v>
      </c>
      <c r="I588" s="4">
        <f t="shared" si="67"/>
        <v>26</v>
      </c>
      <c r="J588">
        <f t="shared" si="68"/>
        <v>19550226</v>
      </c>
      <c r="K588" t="str">
        <f t="shared" si="69"/>
        <v>26.02.1955</v>
      </c>
    </row>
    <row r="589" spans="1:11" x14ac:dyDescent="0.25">
      <c r="A589" s="4" t="s">
        <v>615</v>
      </c>
      <c r="B589" t="s">
        <v>17</v>
      </c>
      <c r="C589" t="s">
        <v>6</v>
      </c>
      <c r="D589" s="3">
        <f t="shared" si="63"/>
        <v>69</v>
      </c>
      <c r="E589" s="4">
        <f t="shared" si="64"/>
        <v>8</v>
      </c>
      <c r="F589" s="4">
        <f t="shared" si="65"/>
        <v>22</v>
      </c>
      <c r="G589" s="3">
        <f>IF(E589&gt;=20,2000,1900) + D589</f>
        <v>1969</v>
      </c>
      <c r="H589">
        <f t="shared" si="66"/>
        <v>8</v>
      </c>
      <c r="I589" s="4">
        <f t="shared" si="67"/>
        <v>22</v>
      </c>
      <c r="J589">
        <f t="shared" si="68"/>
        <v>19690822</v>
      </c>
      <c r="K589" t="str">
        <f t="shared" si="69"/>
        <v>22.08.1969</v>
      </c>
    </row>
    <row r="590" spans="1:11" x14ac:dyDescent="0.25">
      <c r="A590" s="4" t="s">
        <v>616</v>
      </c>
      <c r="B590" t="s">
        <v>11</v>
      </c>
      <c r="C590" t="s">
        <v>6</v>
      </c>
      <c r="D590" s="3">
        <f t="shared" si="63"/>
        <v>99</v>
      </c>
      <c r="E590" s="4">
        <f t="shared" si="64"/>
        <v>2</v>
      </c>
      <c r="F590" s="4">
        <f t="shared" si="65"/>
        <v>27</v>
      </c>
      <c r="G590" s="3">
        <f>IF(E590&gt;=20,2000,1900) + D590</f>
        <v>1999</v>
      </c>
      <c r="H590">
        <f t="shared" si="66"/>
        <v>2</v>
      </c>
      <c r="I590" s="4">
        <f t="shared" si="67"/>
        <v>27</v>
      </c>
      <c r="J590">
        <f t="shared" si="68"/>
        <v>19990227</v>
      </c>
      <c r="K590" t="str">
        <f t="shared" si="69"/>
        <v>27.02.1999</v>
      </c>
    </row>
    <row r="591" spans="1:11" x14ac:dyDescent="0.25">
      <c r="A591" s="4" t="s">
        <v>617</v>
      </c>
      <c r="B591" t="s">
        <v>19</v>
      </c>
      <c r="C591" t="s">
        <v>6</v>
      </c>
      <c r="D591" s="3">
        <f t="shared" si="63"/>
        <v>97</v>
      </c>
      <c r="E591" s="4">
        <f t="shared" si="64"/>
        <v>8</v>
      </c>
      <c r="F591" s="4">
        <f t="shared" si="65"/>
        <v>27</v>
      </c>
      <c r="G591" s="3">
        <f>IF(E591&gt;=20,2000,1900) + D591</f>
        <v>1997</v>
      </c>
      <c r="H591">
        <f t="shared" si="66"/>
        <v>8</v>
      </c>
      <c r="I591" s="4">
        <f t="shared" si="67"/>
        <v>27</v>
      </c>
      <c r="J591">
        <f t="shared" si="68"/>
        <v>19970827</v>
      </c>
      <c r="K591" t="str">
        <f t="shared" si="69"/>
        <v>27.08.1997</v>
      </c>
    </row>
    <row r="592" spans="1:11" x14ac:dyDescent="0.25">
      <c r="A592" s="4" t="s">
        <v>618</v>
      </c>
      <c r="B592" t="s">
        <v>11</v>
      </c>
      <c r="C592" t="s">
        <v>6</v>
      </c>
      <c r="D592" s="3">
        <f t="shared" si="63"/>
        <v>54</v>
      </c>
      <c r="E592" s="4">
        <f t="shared" si="64"/>
        <v>1</v>
      </c>
      <c r="F592" s="4">
        <f t="shared" si="65"/>
        <v>6</v>
      </c>
      <c r="G592" s="3">
        <f>IF(E592&gt;=20,2000,1900) + D592</f>
        <v>1954</v>
      </c>
      <c r="H592">
        <f t="shared" si="66"/>
        <v>1</v>
      </c>
      <c r="I592" s="4">
        <f t="shared" si="67"/>
        <v>6</v>
      </c>
      <c r="J592">
        <f t="shared" si="68"/>
        <v>19540106</v>
      </c>
      <c r="K592" t="str">
        <f t="shared" si="69"/>
        <v>06.01.1954</v>
      </c>
    </row>
    <row r="593" spans="1:11" x14ac:dyDescent="0.25">
      <c r="A593" s="4" t="s">
        <v>619</v>
      </c>
      <c r="B593" t="s">
        <v>17</v>
      </c>
      <c r="C593" t="s">
        <v>6</v>
      </c>
      <c r="D593" s="3">
        <f t="shared" si="63"/>
        <v>91</v>
      </c>
      <c r="E593" s="4">
        <f t="shared" si="64"/>
        <v>2</v>
      </c>
      <c r="F593" s="4">
        <f t="shared" si="65"/>
        <v>5</v>
      </c>
      <c r="G593" s="3">
        <f>IF(E593&gt;=20,2000,1900) + D593</f>
        <v>1991</v>
      </c>
      <c r="H593">
        <f t="shared" si="66"/>
        <v>2</v>
      </c>
      <c r="I593" s="4">
        <f t="shared" si="67"/>
        <v>5</v>
      </c>
      <c r="J593">
        <f t="shared" si="68"/>
        <v>19910205</v>
      </c>
      <c r="K593" t="str">
        <f t="shared" si="69"/>
        <v>05.02.1991</v>
      </c>
    </row>
    <row r="594" spans="1:11" x14ac:dyDescent="0.25">
      <c r="A594" s="4" t="s">
        <v>620</v>
      </c>
      <c r="B594" t="s">
        <v>19</v>
      </c>
      <c r="C594" t="s">
        <v>4</v>
      </c>
      <c r="D594" s="3">
        <f t="shared" si="63"/>
        <v>70</v>
      </c>
      <c r="E594" s="4">
        <f t="shared" si="64"/>
        <v>1</v>
      </c>
      <c r="F594" s="4">
        <f t="shared" si="65"/>
        <v>28</v>
      </c>
      <c r="G594" s="3">
        <f>IF(E594&gt;=20,2000,1900) + D594</f>
        <v>1970</v>
      </c>
      <c r="H594">
        <f t="shared" si="66"/>
        <v>1</v>
      </c>
      <c r="I594" s="4">
        <f t="shared" si="67"/>
        <v>28</v>
      </c>
      <c r="J594">
        <f t="shared" si="68"/>
        <v>19700128</v>
      </c>
      <c r="K594" t="str">
        <f t="shared" si="69"/>
        <v>28.01.1970</v>
      </c>
    </row>
    <row r="595" spans="1:11" x14ac:dyDescent="0.25">
      <c r="A595" s="4" t="s">
        <v>621</v>
      </c>
      <c r="B595" t="s">
        <v>12</v>
      </c>
      <c r="C595" t="s">
        <v>4</v>
      </c>
      <c r="D595" s="3">
        <f t="shared" si="63"/>
        <v>70</v>
      </c>
      <c r="E595" s="4">
        <f t="shared" si="64"/>
        <v>12</v>
      </c>
      <c r="F595" s="4">
        <f t="shared" si="65"/>
        <v>29</v>
      </c>
      <c r="G595" s="3">
        <f>IF(E595&gt;=20,2000,1900) + D595</f>
        <v>1970</v>
      </c>
      <c r="H595">
        <f t="shared" si="66"/>
        <v>12</v>
      </c>
      <c r="I595" s="4">
        <f t="shared" si="67"/>
        <v>29</v>
      </c>
      <c r="J595">
        <f t="shared" si="68"/>
        <v>19701229</v>
      </c>
      <c r="K595" t="str">
        <f t="shared" si="69"/>
        <v>29.12.1970</v>
      </c>
    </row>
    <row r="596" spans="1:11" x14ac:dyDescent="0.25">
      <c r="A596" s="4" t="s">
        <v>622</v>
      </c>
      <c r="B596" t="s">
        <v>8</v>
      </c>
      <c r="C596" t="s">
        <v>6</v>
      </c>
      <c r="D596" s="3">
        <f t="shared" si="63"/>
        <v>78</v>
      </c>
      <c r="E596" s="4">
        <f t="shared" si="64"/>
        <v>10</v>
      </c>
      <c r="F596" s="4">
        <f t="shared" si="65"/>
        <v>25</v>
      </c>
      <c r="G596" s="3">
        <f>IF(E596&gt;=20,2000,1900) + D596</f>
        <v>1978</v>
      </c>
      <c r="H596">
        <f t="shared" si="66"/>
        <v>10</v>
      </c>
      <c r="I596" s="4">
        <f t="shared" si="67"/>
        <v>25</v>
      </c>
      <c r="J596">
        <f t="shared" si="68"/>
        <v>19781025</v>
      </c>
      <c r="K596" t="str">
        <f t="shared" si="69"/>
        <v>25.10.1978</v>
      </c>
    </row>
    <row r="597" spans="1:11" x14ac:dyDescent="0.25">
      <c r="A597" s="4" t="s">
        <v>623</v>
      </c>
      <c r="B597" t="s">
        <v>18</v>
      </c>
      <c r="C597" t="s">
        <v>6</v>
      </c>
      <c r="D597" s="3">
        <f t="shared" si="63"/>
        <v>97</v>
      </c>
      <c r="E597" s="4">
        <f t="shared" si="64"/>
        <v>6</v>
      </c>
      <c r="F597" s="4">
        <f t="shared" si="65"/>
        <v>5</v>
      </c>
      <c r="G597" s="3">
        <f>IF(E597&gt;=20,2000,1900) + D597</f>
        <v>1997</v>
      </c>
      <c r="H597">
        <f t="shared" si="66"/>
        <v>6</v>
      </c>
      <c r="I597" s="4">
        <f t="shared" si="67"/>
        <v>5</v>
      </c>
      <c r="J597">
        <f t="shared" si="68"/>
        <v>19970605</v>
      </c>
      <c r="K597" t="str">
        <f t="shared" si="69"/>
        <v>05.06.1997</v>
      </c>
    </row>
    <row r="598" spans="1:11" x14ac:dyDescent="0.25">
      <c r="A598" s="4" t="s">
        <v>624</v>
      </c>
      <c r="B598" t="s">
        <v>9</v>
      </c>
      <c r="C598" t="s">
        <v>6</v>
      </c>
      <c r="D598" s="3">
        <f t="shared" si="63"/>
        <v>84</v>
      </c>
      <c r="E598" s="4">
        <f t="shared" si="64"/>
        <v>12</v>
      </c>
      <c r="F598" s="4">
        <f t="shared" si="65"/>
        <v>24</v>
      </c>
      <c r="G598" s="3">
        <f>IF(E598&gt;=20,2000,1900) + D598</f>
        <v>1984</v>
      </c>
      <c r="H598">
        <f t="shared" si="66"/>
        <v>12</v>
      </c>
      <c r="I598" s="4">
        <f t="shared" si="67"/>
        <v>24</v>
      </c>
      <c r="J598">
        <f t="shared" si="68"/>
        <v>19841224</v>
      </c>
      <c r="K598" t="str">
        <f t="shared" si="69"/>
        <v>24.12.1984</v>
      </c>
    </row>
    <row r="599" spans="1:11" x14ac:dyDescent="0.25">
      <c r="A599" s="4" t="s">
        <v>625</v>
      </c>
      <c r="B599" t="s">
        <v>10</v>
      </c>
      <c r="C599" t="s">
        <v>4</v>
      </c>
      <c r="D599" s="3">
        <f t="shared" si="63"/>
        <v>98</v>
      </c>
      <c r="E599" s="4">
        <f t="shared" si="64"/>
        <v>5</v>
      </c>
      <c r="F599" s="4">
        <f t="shared" si="65"/>
        <v>17</v>
      </c>
      <c r="G599" s="3">
        <f>IF(E599&gt;=20,2000,1900) + D599</f>
        <v>1998</v>
      </c>
      <c r="H599">
        <f t="shared" si="66"/>
        <v>5</v>
      </c>
      <c r="I599" s="4">
        <f t="shared" si="67"/>
        <v>17</v>
      </c>
      <c r="J599">
        <f t="shared" si="68"/>
        <v>19980517</v>
      </c>
      <c r="K599" t="str">
        <f t="shared" si="69"/>
        <v>17.05.1998</v>
      </c>
    </row>
    <row r="600" spans="1:11" x14ac:dyDescent="0.25">
      <c r="A600" s="4" t="s">
        <v>626</v>
      </c>
      <c r="B600" t="s">
        <v>17</v>
      </c>
      <c r="C600" t="s">
        <v>6</v>
      </c>
      <c r="D600" s="3">
        <f t="shared" si="63"/>
        <v>11</v>
      </c>
      <c r="E600" s="4">
        <f t="shared" si="64"/>
        <v>7</v>
      </c>
      <c r="F600" s="4">
        <f t="shared" si="65"/>
        <v>27</v>
      </c>
      <c r="G600" s="3">
        <f>IF(E600&gt;=20,2000,1900) + D600</f>
        <v>1911</v>
      </c>
      <c r="H600">
        <f t="shared" si="66"/>
        <v>7</v>
      </c>
      <c r="I600" s="4">
        <f t="shared" si="67"/>
        <v>27</v>
      </c>
      <c r="J600">
        <f t="shared" si="68"/>
        <v>19110727</v>
      </c>
      <c r="K600" t="str">
        <f t="shared" si="69"/>
        <v>27.07.1911</v>
      </c>
    </row>
    <row r="601" spans="1:11" x14ac:dyDescent="0.25">
      <c r="A601" s="4" t="s">
        <v>627</v>
      </c>
      <c r="B601" t="s">
        <v>18</v>
      </c>
      <c r="C601" t="s">
        <v>6</v>
      </c>
      <c r="D601" s="3">
        <f t="shared" si="63"/>
        <v>5</v>
      </c>
      <c r="E601" s="4">
        <f t="shared" si="64"/>
        <v>25</v>
      </c>
      <c r="F601" s="4">
        <f t="shared" si="65"/>
        <v>17</v>
      </c>
      <c r="G601" s="3">
        <f>IF(E601&gt;=20,2000,1900) + D601</f>
        <v>2005</v>
      </c>
      <c r="H601">
        <f t="shared" si="66"/>
        <v>5</v>
      </c>
      <c r="I601" s="4">
        <f t="shared" si="67"/>
        <v>17</v>
      </c>
      <c r="J601">
        <f t="shared" si="68"/>
        <v>20052517</v>
      </c>
      <c r="K601" t="str">
        <f t="shared" si="69"/>
        <v>17.25.2005</v>
      </c>
    </row>
    <row r="602" spans="1:11" x14ac:dyDescent="0.25">
      <c r="A602" s="4" t="s">
        <v>628</v>
      </c>
      <c r="B602" t="s">
        <v>12</v>
      </c>
      <c r="C602" t="s">
        <v>6</v>
      </c>
      <c r="D602" s="3">
        <f t="shared" si="63"/>
        <v>3</v>
      </c>
      <c r="E602" s="4">
        <f t="shared" si="64"/>
        <v>25</v>
      </c>
      <c r="F602" s="4">
        <f t="shared" si="65"/>
        <v>23</v>
      </c>
      <c r="G602" s="3">
        <f>IF(E602&gt;=20,2000,1900) + D602</f>
        <v>2003</v>
      </c>
      <c r="H602">
        <f t="shared" si="66"/>
        <v>5</v>
      </c>
      <c r="I602" s="4">
        <f t="shared" si="67"/>
        <v>23</v>
      </c>
      <c r="J602">
        <f t="shared" si="68"/>
        <v>20032523</v>
      </c>
      <c r="K602" t="str">
        <f t="shared" si="69"/>
        <v>23.25.2003</v>
      </c>
    </row>
    <row r="603" spans="1:11" x14ac:dyDescent="0.25">
      <c r="A603" s="4" t="s">
        <v>629</v>
      </c>
      <c r="B603" t="s">
        <v>13</v>
      </c>
      <c r="C603" t="s">
        <v>4</v>
      </c>
      <c r="D603" s="3">
        <f t="shared" si="63"/>
        <v>7</v>
      </c>
      <c r="E603" s="4">
        <f t="shared" si="64"/>
        <v>28</v>
      </c>
      <c r="F603" s="4">
        <f t="shared" si="65"/>
        <v>23</v>
      </c>
      <c r="G603" s="3">
        <f>IF(E603&gt;=20,2000,1900) + D603</f>
        <v>2007</v>
      </c>
      <c r="H603">
        <f t="shared" si="66"/>
        <v>8</v>
      </c>
      <c r="I603" s="4">
        <f t="shared" si="67"/>
        <v>23</v>
      </c>
      <c r="J603">
        <f t="shared" si="68"/>
        <v>20072823</v>
      </c>
      <c r="K603" t="str">
        <f t="shared" si="69"/>
        <v>23.28.2007</v>
      </c>
    </row>
    <row r="604" spans="1:11" x14ac:dyDescent="0.25">
      <c r="A604" s="4" t="s">
        <v>630</v>
      </c>
      <c r="B604" t="s">
        <v>16</v>
      </c>
      <c r="C604" t="s">
        <v>6</v>
      </c>
      <c r="D604" s="3">
        <f t="shared" si="63"/>
        <v>3</v>
      </c>
      <c r="E604" s="4">
        <f t="shared" si="64"/>
        <v>24</v>
      </c>
      <c r="F604" s="4">
        <f t="shared" si="65"/>
        <v>17</v>
      </c>
      <c r="G604" s="3">
        <f>IF(E604&gt;=20,2000,1900) + D604</f>
        <v>2003</v>
      </c>
      <c r="H604">
        <f t="shared" si="66"/>
        <v>4</v>
      </c>
      <c r="I604" s="4">
        <f t="shared" si="67"/>
        <v>17</v>
      </c>
      <c r="J604">
        <f t="shared" si="68"/>
        <v>20032417</v>
      </c>
      <c r="K604" t="str">
        <f t="shared" si="69"/>
        <v>17.24.2003</v>
      </c>
    </row>
    <row r="605" spans="1:11" x14ac:dyDescent="0.25">
      <c r="A605" s="4" t="s">
        <v>631</v>
      </c>
      <c r="B605" t="s">
        <v>11</v>
      </c>
      <c r="C605" t="s">
        <v>6</v>
      </c>
      <c r="D605" s="3">
        <f t="shared" si="63"/>
        <v>3</v>
      </c>
      <c r="E605" s="4">
        <f t="shared" si="64"/>
        <v>21</v>
      </c>
      <c r="F605" s="4">
        <f t="shared" si="65"/>
        <v>26</v>
      </c>
      <c r="G605" s="3">
        <f>IF(E605&gt;=20,2000,1900) + D605</f>
        <v>2003</v>
      </c>
      <c r="H605">
        <f t="shared" si="66"/>
        <v>1</v>
      </c>
      <c r="I605" s="4">
        <f t="shared" si="67"/>
        <v>26</v>
      </c>
      <c r="J605">
        <f t="shared" si="68"/>
        <v>20032126</v>
      </c>
      <c r="K605" t="str">
        <f t="shared" si="69"/>
        <v>26.21.2003</v>
      </c>
    </row>
    <row r="606" spans="1:11" x14ac:dyDescent="0.25">
      <c r="A606" s="4" t="s">
        <v>632</v>
      </c>
      <c r="B606" t="s">
        <v>5</v>
      </c>
      <c r="C606" t="s">
        <v>6</v>
      </c>
      <c r="D606" s="3">
        <f t="shared" si="63"/>
        <v>8</v>
      </c>
      <c r="E606" s="4">
        <f t="shared" si="64"/>
        <v>30</v>
      </c>
      <c r="F606" s="4">
        <f t="shared" si="65"/>
        <v>19</v>
      </c>
      <c r="G606" s="3">
        <f>IF(E606&gt;=20,2000,1900) + D606</f>
        <v>2008</v>
      </c>
      <c r="H606">
        <f t="shared" si="66"/>
        <v>10</v>
      </c>
      <c r="I606" s="4">
        <f t="shared" si="67"/>
        <v>19</v>
      </c>
      <c r="J606">
        <f t="shared" si="68"/>
        <v>20083019</v>
      </c>
      <c r="K606" t="str">
        <f t="shared" si="69"/>
        <v>19.30.2008</v>
      </c>
    </row>
    <row r="607" spans="1:11" x14ac:dyDescent="0.25">
      <c r="A607" s="4" t="s">
        <v>633</v>
      </c>
      <c r="B607" t="s">
        <v>16</v>
      </c>
      <c r="C607" t="s">
        <v>6</v>
      </c>
      <c r="D607" s="3">
        <f t="shared" si="63"/>
        <v>4</v>
      </c>
      <c r="E607" s="4">
        <f t="shared" si="64"/>
        <v>29</v>
      </c>
      <c r="F607" s="4">
        <f t="shared" si="65"/>
        <v>12</v>
      </c>
      <c r="G607" s="3">
        <f>IF(E607&gt;=20,2000,1900) + D607</f>
        <v>2004</v>
      </c>
      <c r="H607">
        <f t="shared" si="66"/>
        <v>9</v>
      </c>
      <c r="I607" s="4">
        <f t="shared" si="67"/>
        <v>12</v>
      </c>
      <c r="J607">
        <f t="shared" si="68"/>
        <v>20042912</v>
      </c>
      <c r="K607" t="str">
        <f t="shared" si="69"/>
        <v>12.29.2004</v>
      </c>
    </row>
    <row r="608" spans="1:11" x14ac:dyDescent="0.25">
      <c r="A608" s="4" t="s">
        <v>634</v>
      </c>
      <c r="B608" t="s">
        <v>14</v>
      </c>
      <c r="C608" t="s">
        <v>4</v>
      </c>
      <c r="D608" s="3">
        <f t="shared" si="63"/>
        <v>20</v>
      </c>
      <c r="E608" s="4">
        <f t="shared" si="64"/>
        <v>29</v>
      </c>
      <c r="F608" s="4">
        <f t="shared" si="65"/>
        <v>5</v>
      </c>
      <c r="G608" s="3">
        <f>IF(E608&gt;=20,2000,1900) + D608</f>
        <v>2020</v>
      </c>
      <c r="H608">
        <f t="shared" si="66"/>
        <v>9</v>
      </c>
      <c r="I608" s="4">
        <f t="shared" si="67"/>
        <v>5</v>
      </c>
      <c r="J608">
        <f t="shared" si="68"/>
        <v>20202905</v>
      </c>
      <c r="K608" t="str">
        <f t="shared" si="69"/>
        <v>05.29.2020</v>
      </c>
    </row>
    <row r="609" spans="1:11" x14ac:dyDescent="0.25">
      <c r="A609" s="4" t="s">
        <v>635</v>
      </c>
      <c r="B609" t="s">
        <v>14</v>
      </c>
      <c r="C609" t="s">
        <v>6</v>
      </c>
      <c r="D609" s="3">
        <f t="shared" si="63"/>
        <v>13</v>
      </c>
      <c r="E609" s="4">
        <f t="shared" si="64"/>
        <v>30</v>
      </c>
      <c r="F609" s="4">
        <f t="shared" si="65"/>
        <v>26</v>
      </c>
      <c r="G609" s="3">
        <f>IF(E609&gt;=20,2000,1900) + D609</f>
        <v>2013</v>
      </c>
      <c r="H609">
        <f t="shared" si="66"/>
        <v>10</v>
      </c>
      <c r="I609" s="4">
        <f t="shared" si="67"/>
        <v>26</v>
      </c>
      <c r="J609">
        <f t="shared" si="68"/>
        <v>20133026</v>
      </c>
      <c r="K609" t="str">
        <f t="shared" si="69"/>
        <v>26.30.2013</v>
      </c>
    </row>
    <row r="610" spans="1:11" x14ac:dyDescent="0.25">
      <c r="A610" s="4" t="s">
        <v>636</v>
      </c>
      <c r="B610" t="s">
        <v>20</v>
      </c>
      <c r="C610" t="s">
        <v>6</v>
      </c>
      <c r="D610" s="3">
        <f t="shared" si="63"/>
        <v>9</v>
      </c>
      <c r="E610" s="4">
        <f t="shared" si="64"/>
        <v>21</v>
      </c>
      <c r="F610" s="4">
        <f t="shared" si="65"/>
        <v>4</v>
      </c>
      <c r="G610" s="3">
        <f>IF(E610&gt;=20,2000,1900) + D610</f>
        <v>2009</v>
      </c>
      <c r="H610">
        <f t="shared" si="66"/>
        <v>1</v>
      </c>
      <c r="I610" s="4">
        <f t="shared" si="67"/>
        <v>4</v>
      </c>
      <c r="J610">
        <f t="shared" si="68"/>
        <v>20092104</v>
      </c>
      <c r="K610" t="str">
        <f t="shared" si="69"/>
        <v>04.21.2009</v>
      </c>
    </row>
    <row r="611" spans="1:11" x14ac:dyDescent="0.25">
      <c r="A611" s="4" t="s">
        <v>637</v>
      </c>
      <c r="B611" t="s">
        <v>20</v>
      </c>
      <c r="C611" t="s">
        <v>4</v>
      </c>
      <c r="D611" s="3">
        <f t="shared" si="63"/>
        <v>0</v>
      </c>
      <c r="E611" s="4">
        <f t="shared" si="64"/>
        <v>21</v>
      </c>
      <c r="F611" s="4">
        <f t="shared" si="65"/>
        <v>18</v>
      </c>
      <c r="G611" s="3">
        <f>IF(E611&gt;=20,2000,1900) + D611</f>
        <v>2000</v>
      </c>
      <c r="H611">
        <f t="shared" si="66"/>
        <v>1</v>
      </c>
      <c r="I611" s="4">
        <f t="shared" si="67"/>
        <v>18</v>
      </c>
      <c r="J611">
        <f t="shared" si="68"/>
        <v>20002118</v>
      </c>
      <c r="K611" t="str">
        <f t="shared" si="69"/>
        <v>18.21.2000</v>
      </c>
    </row>
    <row r="612" spans="1:11" x14ac:dyDescent="0.25">
      <c r="A612" s="4" t="s">
        <v>638</v>
      </c>
      <c r="B612" t="s">
        <v>9</v>
      </c>
      <c r="C612" t="s">
        <v>4</v>
      </c>
      <c r="D612" s="3">
        <f t="shared" si="63"/>
        <v>2</v>
      </c>
      <c r="E612" s="4">
        <f t="shared" si="64"/>
        <v>25</v>
      </c>
      <c r="F612" s="4">
        <f t="shared" si="65"/>
        <v>12</v>
      </c>
      <c r="G612" s="3">
        <f>IF(E612&gt;=20,2000,1900) + D612</f>
        <v>2002</v>
      </c>
      <c r="H612">
        <f t="shared" si="66"/>
        <v>5</v>
      </c>
      <c r="I612" s="4">
        <f t="shared" si="67"/>
        <v>12</v>
      </c>
      <c r="J612">
        <f t="shared" si="68"/>
        <v>20022512</v>
      </c>
      <c r="K612" t="str">
        <f t="shared" si="69"/>
        <v>12.25.2002</v>
      </c>
    </row>
    <row r="613" spans="1:11" x14ac:dyDescent="0.25">
      <c r="A613" s="4" t="s">
        <v>639</v>
      </c>
      <c r="B613" t="s">
        <v>20</v>
      </c>
      <c r="C613" t="s">
        <v>4</v>
      </c>
      <c r="D613" s="3">
        <f t="shared" si="63"/>
        <v>3</v>
      </c>
      <c r="E613" s="4">
        <f t="shared" si="64"/>
        <v>23</v>
      </c>
      <c r="F613" s="4">
        <f t="shared" si="65"/>
        <v>11</v>
      </c>
      <c r="G613" s="3">
        <f>IF(E613&gt;=20,2000,1900) + D613</f>
        <v>2003</v>
      </c>
      <c r="H613">
        <f t="shared" si="66"/>
        <v>3</v>
      </c>
      <c r="I613" s="4">
        <f t="shared" si="67"/>
        <v>11</v>
      </c>
      <c r="J613">
        <f t="shared" si="68"/>
        <v>20032311</v>
      </c>
      <c r="K613" t="str">
        <f t="shared" si="69"/>
        <v>11.23.2003</v>
      </c>
    </row>
    <row r="614" spans="1:11" x14ac:dyDescent="0.25">
      <c r="A614" s="4" t="s">
        <v>640</v>
      </c>
      <c r="B614" t="s">
        <v>3</v>
      </c>
      <c r="C614" t="s">
        <v>6</v>
      </c>
      <c r="D614" s="3">
        <f t="shared" si="63"/>
        <v>4</v>
      </c>
      <c r="E614" s="4">
        <f t="shared" si="64"/>
        <v>24</v>
      </c>
      <c r="F614" s="4">
        <f t="shared" si="65"/>
        <v>3</v>
      </c>
      <c r="G614" s="3">
        <f>IF(E614&gt;=20,2000,1900) + D614</f>
        <v>2004</v>
      </c>
      <c r="H614">
        <f t="shared" si="66"/>
        <v>4</v>
      </c>
      <c r="I614" s="4">
        <f t="shared" si="67"/>
        <v>3</v>
      </c>
      <c r="J614">
        <f t="shared" si="68"/>
        <v>20042403</v>
      </c>
      <c r="K614" t="str">
        <f t="shared" si="69"/>
        <v>03.24.2004</v>
      </c>
    </row>
    <row r="615" spans="1:11" x14ac:dyDescent="0.25">
      <c r="A615" s="4" t="s">
        <v>641</v>
      </c>
      <c r="B615" t="s">
        <v>5</v>
      </c>
      <c r="C615" t="s">
        <v>4</v>
      </c>
      <c r="D615" s="3">
        <f t="shared" si="63"/>
        <v>3</v>
      </c>
      <c r="E615" s="4">
        <f t="shared" si="64"/>
        <v>29</v>
      </c>
      <c r="F615" s="4">
        <f t="shared" si="65"/>
        <v>12</v>
      </c>
      <c r="G615" s="3">
        <f>IF(E615&gt;=20,2000,1900) + D615</f>
        <v>2003</v>
      </c>
      <c r="H615">
        <f t="shared" si="66"/>
        <v>9</v>
      </c>
      <c r="I615" s="4">
        <f t="shared" si="67"/>
        <v>12</v>
      </c>
      <c r="J615">
        <f t="shared" si="68"/>
        <v>20032912</v>
      </c>
      <c r="K615" t="str">
        <f t="shared" si="69"/>
        <v>12.29.2003</v>
      </c>
    </row>
    <row r="616" spans="1:11" x14ac:dyDescent="0.25">
      <c r="A616" s="4" t="s">
        <v>642</v>
      </c>
      <c r="B616" t="s">
        <v>10</v>
      </c>
      <c r="C616" t="s">
        <v>6</v>
      </c>
      <c r="D616" s="3">
        <f t="shared" si="63"/>
        <v>22</v>
      </c>
      <c r="E616" s="4">
        <f t="shared" si="64"/>
        <v>28</v>
      </c>
      <c r="F616" s="4">
        <f t="shared" si="65"/>
        <v>15</v>
      </c>
      <c r="G616" s="3">
        <f>IF(E616&gt;=20,2000,1900) + D616</f>
        <v>2022</v>
      </c>
      <c r="H616">
        <f t="shared" si="66"/>
        <v>8</v>
      </c>
      <c r="I616" s="4">
        <f t="shared" si="67"/>
        <v>15</v>
      </c>
      <c r="J616">
        <f t="shared" si="68"/>
        <v>20222815</v>
      </c>
      <c r="K616" t="str">
        <f t="shared" si="69"/>
        <v>15.28.2022</v>
      </c>
    </row>
    <row r="617" spans="1:11" x14ac:dyDescent="0.25">
      <c r="A617" s="4" t="s">
        <v>643</v>
      </c>
      <c r="B617" t="s">
        <v>16</v>
      </c>
      <c r="C617" t="s">
        <v>6</v>
      </c>
      <c r="D617" s="3">
        <f t="shared" si="63"/>
        <v>2</v>
      </c>
      <c r="E617" s="4">
        <f t="shared" si="64"/>
        <v>26</v>
      </c>
      <c r="F617" s="4">
        <f t="shared" si="65"/>
        <v>24</v>
      </c>
      <c r="G617" s="3">
        <f>IF(E617&gt;=20,2000,1900) + D617</f>
        <v>2002</v>
      </c>
      <c r="H617">
        <f t="shared" si="66"/>
        <v>6</v>
      </c>
      <c r="I617" s="4">
        <f t="shared" si="67"/>
        <v>24</v>
      </c>
      <c r="J617">
        <f t="shared" si="68"/>
        <v>20022624</v>
      </c>
      <c r="K617" t="str">
        <f t="shared" si="69"/>
        <v>24.26.2002</v>
      </c>
    </row>
    <row r="618" spans="1:11" x14ac:dyDescent="0.25">
      <c r="A618" s="4" t="s">
        <v>644</v>
      </c>
      <c r="B618" t="s">
        <v>5</v>
      </c>
      <c r="C618" t="s">
        <v>6</v>
      </c>
      <c r="D618" s="3">
        <f t="shared" si="63"/>
        <v>8</v>
      </c>
      <c r="E618" s="4">
        <f t="shared" si="64"/>
        <v>21</v>
      </c>
      <c r="F618" s="4">
        <f t="shared" si="65"/>
        <v>10</v>
      </c>
      <c r="G618" s="3">
        <f>IF(E618&gt;=20,2000,1900) + D618</f>
        <v>2008</v>
      </c>
      <c r="H618">
        <f t="shared" si="66"/>
        <v>1</v>
      </c>
      <c r="I618" s="4">
        <f t="shared" si="67"/>
        <v>10</v>
      </c>
      <c r="J618">
        <f t="shared" si="68"/>
        <v>20082110</v>
      </c>
      <c r="K618" t="str">
        <f t="shared" si="69"/>
        <v>10.21.2008</v>
      </c>
    </row>
    <row r="619" spans="1:11" x14ac:dyDescent="0.25">
      <c r="A619" s="4" t="s">
        <v>645</v>
      </c>
      <c r="B619" t="s">
        <v>13</v>
      </c>
      <c r="C619" t="s">
        <v>6</v>
      </c>
      <c r="D619" s="3">
        <f t="shared" si="63"/>
        <v>21</v>
      </c>
      <c r="E619" s="4">
        <f t="shared" si="64"/>
        <v>21</v>
      </c>
      <c r="F619" s="4">
        <f t="shared" si="65"/>
        <v>9</v>
      </c>
      <c r="G619" s="3">
        <f>IF(E619&gt;=20,2000,1900) + D619</f>
        <v>2021</v>
      </c>
      <c r="H619">
        <f t="shared" si="66"/>
        <v>1</v>
      </c>
      <c r="I619" s="4">
        <f t="shared" si="67"/>
        <v>9</v>
      </c>
      <c r="J619">
        <f t="shared" si="68"/>
        <v>20212109</v>
      </c>
      <c r="K619" t="str">
        <f t="shared" si="69"/>
        <v>09.21.2021</v>
      </c>
    </row>
    <row r="620" spans="1:11" x14ac:dyDescent="0.25">
      <c r="A620" s="4" t="s">
        <v>646</v>
      </c>
      <c r="B620" t="s">
        <v>17</v>
      </c>
      <c r="C620" t="s">
        <v>4</v>
      </c>
      <c r="D620" s="3">
        <f t="shared" si="63"/>
        <v>20</v>
      </c>
      <c r="E620" s="4">
        <f t="shared" si="64"/>
        <v>24</v>
      </c>
      <c r="F620" s="4">
        <f t="shared" si="65"/>
        <v>6</v>
      </c>
      <c r="G620" s="3">
        <f>IF(E620&gt;=20,2000,1900) + D620</f>
        <v>2020</v>
      </c>
      <c r="H620">
        <f t="shared" si="66"/>
        <v>4</v>
      </c>
      <c r="I620" s="4">
        <f t="shared" si="67"/>
        <v>6</v>
      </c>
      <c r="J620">
        <f t="shared" si="68"/>
        <v>20202406</v>
      </c>
      <c r="K620" t="str">
        <f t="shared" si="69"/>
        <v>06.24.2020</v>
      </c>
    </row>
    <row r="621" spans="1:11" x14ac:dyDescent="0.25">
      <c r="A621" s="4" t="s">
        <v>647</v>
      </c>
      <c r="B621" t="s">
        <v>18</v>
      </c>
      <c r="C621" t="s">
        <v>4</v>
      </c>
      <c r="D621" s="3">
        <f t="shared" si="63"/>
        <v>4</v>
      </c>
      <c r="E621" s="4">
        <f t="shared" si="64"/>
        <v>30</v>
      </c>
      <c r="F621" s="4">
        <f t="shared" si="65"/>
        <v>23</v>
      </c>
      <c r="G621" s="3">
        <f>IF(E621&gt;=20,2000,1900) + D621</f>
        <v>2004</v>
      </c>
      <c r="H621">
        <f t="shared" si="66"/>
        <v>10</v>
      </c>
      <c r="I621" s="4">
        <f t="shared" si="67"/>
        <v>23</v>
      </c>
      <c r="J621">
        <f t="shared" si="68"/>
        <v>20043023</v>
      </c>
      <c r="K621" t="str">
        <f t="shared" si="69"/>
        <v>23.30.2004</v>
      </c>
    </row>
    <row r="622" spans="1:11" x14ac:dyDescent="0.25">
      <c r="A622" s="4" t="s">
        <v>648</v>
      </c>
      <c r="B622" t="s">
        <v>19</v>
      </c>
      <c r="C622" t="s">
        <v>6</v>
      </c>
      <c r="D622" s="3">
        <f t="shared" si="63"/>
        <v>21</v>
      </c>
      <c r="E622" s="4">
        <f t="shared" si="64"/>
        <v>21</v>
      </c>
      <c r="F622" s="4">
        <f t="shared" si="65"/>
        <v>31</v>
      </c>
      <c r="G622" s="3">
        <f>IF(E622&gt;=20,2000,1900) + D622</f>
        <v>2021</v>
      </c>
      <c r="H622">
        <f t="shared" si="66"/>
        <v>1</v>
      </c>
      <c r="I622" s="4">
        <f t="shared" si="67"/>
        <v>31</v>
      </c>
      <c r="J622">
        <f t="shared" si="68"/>
        <v>20212131</v>
      </c>
      <c r="K622" t="str">
        <f t="shared" si="69"/>
        <v>31.21.2021</v>
      </c>
    </row>
    <row r="623" spans="1:11" x14ac:dyDescent="0.25">
      <c r="A623" s="4" t="s">
        <v>649</v>
      </c>
      <c r="B623" t="s">
        <v>7</v>
      </c>
      <c r="C623" t="s">
        <v>6</v>
      </c>
      <c r="D623" s="3">
        <f t="shared" si="63"/>
        <v>12</v>
      </c>
      <c r="E623" s="4">
        <f t="shared" si="64"/>
        <v>22</v>
      </c>
      <c r="F623" s="4">
        <f t="shared" si="65"/>
        <v>16</v>
      </c>
      <c r="G623" s="3">
        <f>IF(E623&gt;=20,2000,1900) + D623</f>
        <v>2012</v>
      </c>
      <c r="H623">
        <f t="shared" si="66"/>
        <v>2</v>
      </c>
      <c r="I623" s="4">
        <f t="shared" si="67"/>
        <v>16</v>
      </c>
      <c r="J623">
        <f t="shared" si="68"/>
        <v>20122216</v>
      </c>
      <c r="K623" t="str">
        <f t="shared" si="69"/>
        <v>16.22.2012</v>
      </c>
    </row>
    <row r="624" spans="1:11" x14ac:dyDescent="0.25">
      <c r="A624" s="4" t="s">
        <v>650</v>
      </c>
      <c r="B624" t="s">
        <v>17</v>
      </c>
      <c r="C624" t="s">
        <v>6</v>
      </c>
      <c r="D624" s="3">
        <f t="shared" si="63"/>
        <v>0</v>
      </c>
      <c r="E624" s="4">
        <f t="shared" si="64"/>
        <v>29</v>
      </c>
      <c r="F624" s="4">
        <f t="shared" si="65"/>
        <v>27</v>
      </c>
      <c r="G624" s="3">
        <f>IF(E624&gt;=20,2000,1900) + D624</f>
        <v>2000</v>
      </c>
      <c r="H624">
        <f t="shared" si="66"/>
        <v>9</v>
      </c>
      <c r="I624" s="4">
        <f t="shared" si="67"/>
        <v>27</v>
      </c>
      <c r="J624">
        <f t="shared" si="68"/>
        <v>20002927</v>
      </c>
      <c r="K624" t="str">
        <f t="shared" si="69"/>
        <v>27.29.2000</v>
      </c>
    </row>
    <row r="625" spans="1:11" x14ac:dyDescent="0.25">
      <c r="A625" s="4" t="s">
        <v>651</v>
      </c>
      <c r="B625" t="s">
        <v>15</v>
      </c>
      <c r="C625" t="s">
        <v>4</v>
      </c>
      <c r="D625" s="3">
        <f t="shared" si="63"/>
        <v>9</v>
      </c>
      <c r="E625" s="4">
        <f t="shared" si="64"/>
        <v>28</v>
      </c>
      <c r="F625" s="4">
        <f t="shared" si="65"/>
        <v>8</v>
      </c>
      <c r="G625" s="3">
        <f>IF(E625&gt;=20,2000,1900) + D625</f>
        <v>2009</v>
      </c>
      <c r="H625">
        <f t="shared" si="66"/>
        <v>8</v>
      </c>
      <c r="I625" s="4">
        <f t="shared" si="67"/>
        <v>8</v>
      </c>
      <c r="J625">
        <f t="shared" si="68"/>
        <v>20092808</v>
      </c>
      <c r="K625" t="str">
        <f t="shared" si="69"/>
        <v>08.28.2009</v>
      </c>
    </row>
    <row r="626" spans="1:11" x14ac:dyDescent="0.25">
      <c r="A626" s="4" t="s">
        <v>652</v>
      </c>
      <c r="B626" t="s">
        <v>12</v>
      </c>
      <c r="C626" t="s">
        <v>4</v>
      </c>
      <c r="D626" s="3">
        <f t="shared" si="63"/>
        <v>7</v>
      </c>
      <c r="E626" s="4">
        <f t="shared" si="64"/>
        <v>23</v>
      </c>
      <c r="F626" s="4">
        <f t="shared" si="65"/>
        <v>1</v>
      </c>
      <c r="G626" s="3">
        <f>IF(E626&gt;=20,2000,1900) + D626</f>
        <v>2007</v>
      </c>
      <c r="H626">
        <f t="shared" si="66"/>
        <v>3</v>
      </c>
      <c r="I626" s="4">
        <f t="shared" si="67"/>
        <v>1</v>
      </c>
      <c r="J626">
        <f t="shared" si="68"/>
        <v>20072301</v>
      </c>
      <c r="K626" t="str">
        <f t="shared" si="69"/>
        <v>01.23.2007</v>
      </c>
    </row>
    <row r="627" spans="1:11" x14ac:dyDescent="0.25">
      <c r="A627" s="4" t="s">
        <v>653</v>
      </c>
      <c r="B627" t="s">
        <v>12</v>
      </c>
      <c r="C627" t="s">
        <v>6</v>
      </c>
      <c r="D627" s="3">
        <f t="shared" si="63"/>
        <v>13</v>
      </c>
      <c r="E627" s="4">
        <f t="shared" si="64"/>
        <v>24</v>
      </c>
      <c r="F627" s="4">
        <f t="shared" si="65"/>
        <v>27</v>
      </c>
      <c r="G627" s="3">
        <f>IF(E627&gt;=20,2000,1900) + D627</f>
        <v>2013</v>
      </c>
      <c r="H627">
        <f t="shared" si="66"/>
        <v>4</v>
      </c>
      <c r="I627" s="4">
        <f t="shared" si="67"/>
        <v>27</v>
      </c>
      <c r="J627">
        <f t="shared" si="68"/>
        <v>20132427</v>
      </c>
      <c r="K627" t="str">
        <f t="shared" si="69"/>
        <v>27.24.2013</v>
      </c>
    </row>
    <row r="628" spans="1:11" x14ac:dyDescent="0.25">
      <c r="A628" s="4" t="s">
        <v>654</v>
      </c>
      <c r="B628" t="s">
        <v>13</v>
      </c>
      <c r="C628" t="s">
        <v>6</v>
      </c>
      <c r="D628" s="3">
        <f t="shared" si="63"/>
        <v>19</v>
      </c>
      <c r="E628" s="4">
        <f t="shared" si="64"/>
        <v>30</v>
      </c>
      <c r="F628" s="4">
        <f t="shared" si="65"/>
        <v>16</v>
      </c>
      <c r="G628" s="3">
        <f>IF(E628&gt;=20,2000,1900) + D628</f>
        <v>2019</v>
      </c>
      <c r="H628">
        <f t="shared" si="66"/>
        <v>10</v>
      </c>
      <c r="I628" s="4">
        <f t="shared" si="67"/>
        <v>16</v>
      </c>
      <c r="J628">
        <f t="shared" si="68"/>
        <v>20193016</v>
      </c>
      <c r="K628" t="str">
        <f t="shared" si="69"/>
        <v>16.30.2019</v>
      </c>
    </row>
    <row r="629" spans="1:11" x14ac:dyDescent="0.25">
      <c r="A629" s="4" t="s">
        <v>655</v>
      </c>
      <c r="B629" t="s">
        <v>3</v>
      </c>
      <c r="C629" t="s">
        <v>4</v>
      </c>
      <c r="D629" s="3">
        <f t="shared" si="63"/>
        <v>21</v>
      </c>
      <c r="E629" s="4">
        <f t="shared" si="64"/>
        <v>32</v>
      </c>
      <c r="F629" s="4">
        <f t="shared" si="65"/>
        <v>22</v>
      </c>
      <c r="G629" s="3">
        <f>IF(E629&gt;=20,2000,1900) + D629</f>
        <v>2021</v>
      </c>
      <c r="H629">
        <f t="shared" si="66"/>
        <v>12</v>
      </c>
      <c r="I629" s="4">
        <f t="shared" si="67"/>
        <v>22</v>
      </c>
      <c r="J629">
        <f t="shared" si="68"/>
        <v>20213222</v>
      </c>
      <c r="K629" t="str">
        <f t="shared" si="69"/>
        <v>22.32.2021</v>
      </c>
    </row>
    <row r="630" spans="1:11" x14ac:dyDescent="0.25">
      <c r="A630" s="4" t="s">
        <v>656</v>
      </c>
      <c r="B630" t="s">
        <v>3</v>
      </c>
      <c r="C630" t="s">
        <v>6</v>
      </c>
      <c r="D630" s="3">
        <f t="shared" si="63"/>
        <v>22</v>
      </c>
      <c r="E630" s="4">
        <f t="shared" si="64"/>
        <v>32</v>
      </c>
      <c r="F630" s="4">
        <f t="shared" si="65"/>
        <v>1</v>
      </c>
      <c r="G630" s="3">
        <f>IF(E630&gt;=20,2000,1900) + D630</f>
        <v>2022</v>
      </c>
      <c r="H630">
        <f t="shared" si="66"/>
        <v>12</v>
      </c>
      <c r="I630" s="4">
        <f t="shared" si="67"/>
        <v>1</v>
      </c>
      <c r="J630">
        <f t="shared" si="68"/>
        <v>20223201</v>
      </c>
      <c r="K630" t="str">
        <f t="shared" si="69"/>
        <v>01.32.2022</v>
      </c>
    </row>
    <row r="631" spans="1:11" x14ac:dyDescent="0.25">
      <c r="A631" s="4" t="s">
        <v>657</v>
      </c>
      <c r="B631" t="s">
        <v>15</v>
      </c>
      <c r="C631" t="s">
        <v>4</v>
      </c>
      <c r="D631" s="3">
        <f t="shared" si="63"/>
        <v>3</v>
      </c>
      <c r="E631" s="4">
        <f t="shared" si="64"/>
        <v>23</v>
      </c>
      <c r="F631" s="4">
        <f t="shared" si="65"/>
        <v>18</v>
      </c>
      <c r="G631" s="3">
        <f>IF(E631&gt;=20,2000,1900) + D631</f>
        <v>2003</v>
      </c>
      <c r="H631">
        <f t="shared" si="66"/>
        <v>3</v>
      </c>
      <c r="I631" s="4">
        <f t="shared" si="67"/>
        <v>18</v>
      </c>
      <c r="J631">
        <f t="shared" si="68"/>
        <v>20032318</v>
      </c>
      <c r="K631" t="str">
        <f t="shared" si="69"/>
        <v>18.23.2003</v>
      </c>
    </row>
    <row r="632" spans="1:11" x14ac:dyDescent="0.25">
      <c r="A632" s="4" t="s">
        <v>658</v>
      </c>
      <c r="B632" t="s">
        <v>8</v>
      </c>
      <c r="C632" t="s">
        <v>6</v>
      </c>
      <c r="D632" s="3">
        <f t="shared" si="63"/>
        <v>16</v>
      </c>
      <c r="E632" s="4">
        <f t="shared" si="64"/>
        <v>21</v>
      </c>
      <c r="F632" s="4">
        <f t="shared" si="65"/>
        <v>1</v>
      </c>
      <c r="G632" s="3">
        <f>IF(E632&gt;=20,2000,1900) + D632</f>
        <v>2016</v>
      </c>
      <c r="H632">
        <f t="shared" si="66"/>
        <v>1</v>
      </c>
      <c r="I632" s="4">
        <f t="shared" si="67"/>
        <v>1</v>
      </c>
      <c r="J632">
        <f t="shared" si="68"/>
        <v>20162101</v>
      </c>
      <c r="K632" t="str">
        <f t="shared" si="69"/>
        <v>01.21.2016</v>
      </c>
    </row>
    <row r="633" spans="1:11" x14ac:dyDescent="0.25">
      <c r="A633" s="4" t="s">
        <v>659</v>
      </c>
      <c r="B633" t="s">
        <v>5</v>
      </c>
      <c r="C633" t="s">
        <v>6</v>
      </c>
      <c r="D633" s="3">
        <f t="shared" si="63"/>
        <v>18</v>
      </c>
      <c r="E633" s="4">
        <f t="shared" si="64"/>
        <v>32</v>
      </c>
      <c r="F633" s="4">
        <f t="shared" si="65"/>
        <v>14</v>
      </c>
      <c r="G633" s="3">
        <f>IF(E633&gt;=20,2000,1900) + D633</f>
        <v>2018</v>
      </c>
      <c r="H633">
        <f t="shared" si="66"/>
        <v>12</v>
      </c>
      <c r="I633" s="4">
        <f t="shared" si="67"/>
        <v>14</v>
      </c>
      <c r="J633">
        <f t="shared" si="68"/>
        <v>20183214</v>
      </c>
      <c r="K633" t="str">
        <f t="shared" si="69"/>
        <v>14.32.2018</v>
      </c>
    </row>
    <row r="634" spans="1:11" x14ac:dyDescent="0.25">
      <c r="A634" s="4" t="s">
        <v>660</v>
      </c>
      <c r="B634" t="s">
        <v>12</v>
      </c>
      <c r="C634" t="s">
        <v>4</v>
      </c>
      <c r="D634" s="3">
        <f t="shared" si="63"/>
        <v>16</v>
      </c>
      <c r="E634" s="4">
        <f t="shared" si="64"/>
        <v>26</v>
      </c>
      <c r="F634" s="4">
        <f t="shared" si="65"/>
        <v>16</v>
      </c>
      <c r="G634" s="3">
        <f>IF(E634&gt;=20,2000,1900) + D634</f>
        <v>2016</v>
      </c>
      <c r="H634">
        <f t="shared" si="66"/>
        <v>6</v>
      </c>
      <c r="I634" s="4">
        <f t="shared" si="67"/>
        <v>16</v>
      </c>
      <c r="J634">
        <f t="shared" si="68"/>
        <v>20162616</v>
      </c>
      <c r="K634" t="str">
        <f t="shared" si="69"/>
        <v>16.26.2016</v>
      </c>
    </row>
    <row r="635" spans="1:11" x14ac:dyDescent="0.25">
      <c r="A635" s="4" t="s">
        <v>661</v>
      </c>
      <c r="B635" t="s">
        <v>13</v>
      </c>
      <c r="C635" t="s">
        <v>4</v>
      </c>
      <c r="D635" s="3">
        <f t="shared" si="63"/>
        <v>7</v>
      </c>
      <c r="E635" s="4">
        <f t="shared" si="64"/>
        <v>27</v>
      </c>
      <c r="F635" s="4">
        <f t="shared" si="65"/>
        <v>2</v>
      </c>
      <c r="G635" s="3">
        <f>IF(E635&gt;=20,2000,1900) + D635</f>
        <v>2007</v>
      </c>
      <c r="H635">
        <f t="shared" si="66"/>
        <v>7</v>
      </c>
      <c r="I635" s="4">
        <f t="shared" si="67"/>
        <v>2</v>
      </c>
      <c r="J635">
        <f t="shared" si="68"/>
        <v>20072702</v>
      </c>
      <c r="K635" t="str">
        <f t="shared" si="69"/>
        <v>02.27.2007</v>
      </c>
    </row>
    <row r="636" spans="1:11" x14ac:dyDescent="0.25">
      <c r="A636" s="4" t="s">
        <v>662</v>
      </c>
      <c r="B636" t="s">
        <v>20</v>
      </c>
      <c r="C636" t="s">
        <v>6</v>
      </c>
      <c r="D636" s="3">
        <f t="shared" si="63"/>
        <v>12</v>
      </c>
      <c r="E636" s="4">
        <f t="shared" si="64"/>
        <v>23</v>
      </c>
      <c r="F636" s="4">
        <f t="shared" si="65"/>
        <v>3</v>
      </c>
      <c r="G636" s="3">
        <f>IF(E636&gt;=20,2000,1900) + D636</f>
        <v>2012</v>
      </c>
      <c r="H636">
        <f t="shared" si="66"/>
        <v>3</v>
      </c>
      <c r="I636" s="4">
        <f t="shared" si="67"/>
        <v>3</v>
      </c>
      <c r="J636">
        <f t="shared" si="68"/>
        <v>20122303</v>
      </c>
      <c r="K636" t="str">
        <f t="shared" si="69"/>
        <v>03.23.2012</v>
      </c>
    </row>
    <row r="637" spans="1:11" x14ac:dyDescent="0.25">
      <c r="A637" s="4" t="s">
        <v>663</v>
      </c>
      <c r="B637" t="s">
        <v>3</v>
      </c>
      <c r="C637" t="s">
        <v>6</v>
      </c>
      <c r="D637" s="3">
        <f t="shared" si="63"/>
        <v>19</v>
      </c>
      <c r="E637" s="4">
        <f t="shared" si="64"/>
        <v>31</v>
      </c>
      <c r="F637" s="4">
        <f t="shared" si="65"/>
        <v>22</v>
      </c>
      <c r="G637" s="3">
        <f>IF(E637&gt;=20,2000,1900) + D637</f>
        <v>2019</v>
      </c>
      <c r="H637">
        <f t="shared" si="66"/>
        <v>11</v>
      </c>
      <c r="I637" s="4">
        <f t="shared" si="67"/>
        <v>22</v>
      </c>
      <c r="J637">
        <f t="shared" si="68"/>
        <v>20193122</v>
      </c>
      <c r="K637" t="str">
        <f t="shared" si="69"/>
        <v>22.31.2019</v>
      </c>
    </row>
    <row r="638" spans="1:11" x14ac:dyDescent="0.25">
      <c r="A638" s="4" t="s">
        <v>664</v>
      </c>
      <c r="B638" t="s">
        <v>19</v>
      </c>
      <c r="C638" t="s">
        <v>6</v>
      </c>
      <c r="D638" s="3">
        <f t="shared" si="63"/>
        <v>1</v>
      </c>
      <c r="E638" s="4">
        <f t="shared" si="64"/>
        <v>30</v>
      </c>
      <c r="F638" s="4">
        <f t="shared" si="65"/>
        <v>8</v>
      </c>
      <c r="G638" s="3">
        <f>IF(E638&gt;=20,2000,1900) + D638</f>
        <v>2001</v>
      </c>
      <c r="H638">
        <f t="shared" si="66"/>
        <v>10</v>
      </c>
      <c r="I638" s="4">
        <f t="shared" si="67"/>
        <v>8</v>
      </c>
      <c r="J638">
        <f t="shared" si="68"/>
        <v>20013008</v>
      </c>
      <c r="K638" t="str">
        <f t="shared" si="69"/>
        <v>08.30.2001</v>
      </c>
    </row>
    <row r="639" spans="1:11" x14ac:dyDescent="0.25">
      <c r="A639" s="4" t="s">
        <v>665</v>
      </c>
      <c r="B639" t="s">
        <v>10</v>
      </c>
      <c r="C639" t="s">
        <v>4</v>
      </c>
      <c r="D639" s="3">
        <f t="shared" si="63"/>
        <v>19</v>
      </c>
      <c r="E639" s="4">
        <f t="shared" si="64"/>
        <v>21</v>
      </c>
      <c r="F639" s="4">
        <f t="shared" si="65"/>
        <v>11</v>
      </c>
      <c r="G639" s="3">
        <f>IF(E639&gt;=20,2000,1900) + D639</f>
        <v>2019</v>
      </c>
      <c r="H639">
        <f t="shared" si="66"/>
        <v>1</v>
      </c>
      <c r="I639" s="4">
        <f t="shared" si="67"/>
        <v>11</v>
      </c>
      <c r="J639">
        <f t="shared" si="68"/>
        <v>20192111</v>
      </c>
      <c r="K639" t="str">
        <f t="shared" si="69"/>
        <v>11.21.2019</v>
      </c>
    </row>
    <row r="640" spans="1:11" x14ac:dyDescent="0.25">
      <c r="A640" s="4" t="s">
        <v>666</v>
      </c>
      <c r="B640" t="s">
        <v>16</v>
      </c>
      <c r="C640" t="s">
        <v>4</v>
      </c>
      <c r="D640" s="3">
        <f t="shared" si="63"/>
        <v>22</v>
      </c>
      <c r="E640" s="4">
        <f t="shared" si="64"/>
        <v>24</v>
      </c>
      <c r="F640" s="4">
        <f t="shared" si="65"/>
        <v>26</v>
      </c>
      <c r="G640" s="3">
        <f>IF(E640&gt;=20,2000,1900) + D640</f>
        <v>2022</v>
      </c>
      <c r="H640">
        <f t="shared" si="66"/>
        <v>4</v>
      </c>
      <c r="I640" s="4">
        <f t="shared" si="67"/>
        <v>26</v>
      </c>
      <c r="J640">
        <f t="shared" si="68"/>
        <v>20222426</v>
      </c>
      <c r="K640" t="str">
        <f t="shared" si="69"/>
        <v>26.24.2022</v>
      </c>
    </row>
    <row r="641" spans="1:11" x14ac:dyDescent="0.25">
      <c r="A641" s="4" t="s">
        <v>667</v>
      </c>
      <c r="B641" t="s">
        <v>8</v>
      </c>
      <c r="C641" t="s">
        <v>6</v>
      </c>
      <c r="D641" s="3">
        <f t="shared" si="63"/>
        <v>22</v>
      </c>
      <c r="E641" s="4">
        <f t="shared" si="64"/>
        <v>23</v>
      </c>
      <c r="F641" s="4">
        <f t="shared" si="65"/>
        <v>11</v>
      </c>
      <c r="G641" s="3">
        <f>IF(E641&gt;=20,2000,1900) + D641</f>
        <v>2022</v>
      </c>
      <c r="H641">
        <f t="shared" si="66"/>
        <v>3</v>
      </c>
      <c r="I641" s="4">
        <f t="shared" si="67"/>
        <v>11</v>
      </c>
      <c r="J641">
        <f t="shared" si="68"/>
        <v>20222311</v>
      </c>
      <c r="K641" t="str">
        <f t="shared" si="69"/>
        <v>11.23.2022</v>
      </c>
    </row>
    <row r="642" spans="1:11" x14ac:dyDescent="0.25">
      <c r="A642" s="4" t="s">
        <v>668</v>
      </c>
      <c r="B642" t="s">
        <v>20</v>
      </c>
      <c r="C642" t="s">
        <v>4</v>
      </c>
      <c r="D642" s="3">
        <f t="shared" si="63"/>
        <v>7</v>
      </c>
      <c r="E642" s="4">
        <f t="shared" si="64"/>
        <v>26</v>
      </c>
      <c r="F642" s="4">
        <f t="shared" si="65"/>
        <v>27</v>
      </c>
      <c r="G642" s="3">
        <f>IF(E642&gt;=20,2000,1900) + D642</f>
        <v>2007</v>
      </c>
      <c r="H642">
        <f t="shared" si="66"/>
        <v>6</v>
      </c>
      <c r="I642" s="4">
        <f t="shared" si="67"/>
        <v>27</v>
      </c>
      <c r="J642">
        <f t="shared" si="68"/>
        <v>20072627</v>
      </c>
      <c r="K642" t="str">
        <f t="shared" si="69"/>
        <v>27.26.2007</v>
      </c>
    </row>
    <row r="643" spans="1:11" x14ac:dyDescent="0.25">
      <c r="A643" s="4" t="s">
        <v>669</v>
      </c>
      <c r="B643" t="s">
        <v>17</v>
      </c>
      <c r="C643" t="s">
        <v>6</v>
      </c>
      <c r="D643" s="3">
        <f t="shared" ref="D643:D706" si="70">MID(A643,1,2)*1</f>
        <v>10</v>
      </c>
      <c r="E643" s="4">
        <f t="shared" ref="E643:E706" si="71">MID(A643,3,2)*1</f>
        <v>24</v>
      </c>
      <c r="F643" s="4">
        <f t="shared" ref="F643:F706" si="72">MID(A643,5,2)*1</f>
        <v>21</v>
      </c>
      <c r="G643" s="3">
        <f>IF(E643&gt;=20,2000,1900) + D643</f>
        <v>2010</v>
      </c>
      <c r="H643">
        <f t="shared" ref="H643:H706" si="73">IF(E643&gt;=20,E643-20,E643)</f>
        <v>4</v>
      </c>
      <c r="I643" s="4">
        <f t="shared" ref="I643:I706" si="74">F643</f>
        <v>21</v>
      </c>
      <c r="J643">
        <f t="shared" ref="J643:J706" si="75">CONCATENATE(G643,IF(LEN(E643)=1,CONCATENATE("0",E643),E643),IF(LEN(F643)=1,CONCATENATE("0",F643),F643))*1</f>
        <v>20102421</v>
      </c>
      <c r="K643" t="str">
        <f t="shared" ref="K643:K706" si="76">CONCATENATE(RIGHT(J643,2),".",MID(J643,5,2),".",LEFT(J643,4))</f>
        <v>21.24.2010</v>
      </c>
    </row>
    <row r="644" spans="1:11" x14ac:dyDescent="0.25">
      <c r="A644" s="4" t="s">
        <v>670</v>
      </c>
      <c r="B644" t="s">
        <v>18</v>
      </c>
      <c r="C644" t="s">
        <v>4</v>
      </c>
      <c r="D644" s="3">
        <f t="shared" si="70"/>
        <v>5</v>
      </c>
      <c r="E644" s="4">
        <f t="shared" si="71"/>
        <v>29</v>
      </c>
      <c r="F644" s="4">
        <f t="shared" si="72"/>
        <v>22</v>
      </c>
      <c r="G644" s="3">
        <f>IF(E644&gt;=20,2000,1900) + D644</f>
        <v>2005</v>
      </c>
      <c r="H644">
        <f t="shared" si="73"/>
        <v>9</v>
      </c>
      <c r="I644" s="4">
        <f t="shared" si="74"/>
        <v>22</v>
      </c>
      <c r="J644">
        <f t="shared" si="75"/>
        <v>20052922</v>
      </c>
      <c r="K644" t="str">
        <f t="shared" si="76"/>
        <v>22.29.2005</v>
      </c>
    </row>
    <row r="645" spans="1:11" x14ac:dyDescent="0.25">
      <c r="A645" s="4" t="s">
        <v>671</v>
      </c>
      <c r="B645" t="s">
        <v>8</v>
      </c>
      <c r="C645" t="s">
        <v>4</v>
      </c>
      <c r="D645" s="3">
        <f t="shared" si="70"/>
        <v>14</v>
      </c>
      <c r="E645" s="4">
        <f t="shared" si="71"/>
        <v>28</v>
      </c>
      <c r="F645" s="4">
        <f t="shared" si="72"/>
        <v>22</v>
      </c>
      <c r="G645" s="3">
        <f>IF(E645&gt;=20,2000,1900) + D645</f>
        <v>2014</v>
      </c>
      <c r="H645">
        <f t="shared" si="73"/>
        <v>8</v>
      </c>
      <c r="I645" s="4">
        <f t="shared" si="74"/>
        <v>22</v>
      </c>
      <c r="J645">
        <f t="shared" si="75"/>
        <v>20142822</v>
      </c>
      <c r="K645" t="str">
        <f t="shared" si="76"/>
        <v>22.28.2014</v>
      </c>
    </row>
    <row r="646" spans="1:11" x14ac:dyDescent="0.25">
      <c r="A646" s="4" t="s">
        <v>672</v>
      </c>
      <c r="B646" t="s">
        <v>5</v>
      </c>
      <c r="C646" t="s">
        <v>6</v>
      </c>
      <c r="D646" s="3">
        <f t="shared" si="70"/>
        <v>18</v>
      </c>
      <c r="E646" s="4">
        <f t="shared" si="71"/>
        <v>23</v>
      </c>
      <c r="F646" s="4">
        <f t="shared" si="72"/>
        <v>2</v>
      </c>
      <c r="G646" s="3">
        <f>IF(E646&gt;=20,2000,1900) + D646</f>
        <v>2018</v>
      </c>
      <c r="H646">
        <f t="shared" si="73"/>
        <v>3</v>
      </c>
      <c r="I646" s="4">
        <f t="shared" si="74"/>
        <v>2</v>
      </c>
      <c r="J646">
        <f t="shared" si="75"/>
        <v>20182302</v>
      </c>
      <c r="K646" t="str">
        <f t="shared" si="76"/>
        <v>02.23.2018</v>
      </c>
    </row>
    <row r="647" spans="1:11" x14ac:dyDescent="0.25">
      <c r="A647" s="4" t="s">
        <v>673</v>
      </c>
      <c r="B647" t="s">
        <v>3</v>
      </c>
      <c r="C647" t="s">
        <v>6</v>
      </c>
      <c r="D647" s="3">
        <f t="shared" si="70"/>
        <v>9</v>
      </c>
      <c r="E647" s="4">
        <f t="shared" si="71"/>
        <v>31</v>
      </c>
      <c r="F647" s="4">
        <f t="shared" si="72"/>
        <v>3</v>
      </c>
      <c r="G647" s="3">
        <f>IF(E647&gt;=20,2000,1900) + D647</f>
        <v>2009</v>
      </c>
      <c r="H647">
        <f t="shared" si="73"/>
        <v>11</v>
      </c>
      <c r="I647" s="4">
        <f t="shared" si="74"/>
        <v>3</v>
      </c>
      <c r="J647">
        <f t="shared" si="75"/>
        <v>20093103</v>
      </c>
      <c r="K647" t="str">
        <f t="shared" si="76"/>
        <v>03.31.2009</v>
      </c>
    </row>
    <row r="648" spans="1:11" x14ac:dyDescent="0.25">
      <c r="A648" s="4" t="s">
        <v>674</v>
      </c>
      <c r="B648" t="s">
        <v>11</v>
      </c>
      <c r="C648" t="s">
        <v>4</v>
      </c>
      <c r="D648" s="3">
        <f t="shared" si="70"/>
        <v>14</v>
      </c>
      <c r="E648" s="4">
        <f t="shared" si="71"/>
        <v>29</v>
      </c>
      <c r="F648" s="4">
        <f t="shared" si="72"/>
        <v>13</v>
      </c>
      <c r="G648" s="3">
        <f>IF(E648&gt;=20,2000,1900) + D648</f>
        <v>2014</v>
      </c>
      <c r="H648">
        <f t="shared" si="73"/>
        <v>9</v>
      </c>
      <c r="I648" s="4">
        <f t="shared" si="74"/>
        <v>13</v>
      </c>
      <c r="J648">
        <f t="shared" si="75"/>
        <v>20142913</v>
      </c>
      <c r="K648" t="str">
        <f t="shared" si="76"/>
        <v>13.29.2014</v>
      </c>
    </row>
    <row r="649" spans="1:11" x14ac:dyDescent="0.25">
      <c r="A649" s="4" t="s">
        <v>675</v>
      </c>
      <c r="B649" t="s">
        <v>16</v>
      </c>
      <c r="C649" t="s">
        <v>6</v>
      </c>
      <c r="D649" s="3">
        <f t="shared" si="70"/>
        <v>5</v>
      </c>
      <c r="E649" s="4">
        <f t="shared" si="71"/>
        <v>22</v>
      </c>
      <c r="F649" s="4">
        <f t="shared" si="72"/>
        <v>8</v>
      </c>
      <c r="G649" s="3">
        <f>IF(E649&gt;=20,2000,1900) + D649</f>
        <v>2005</v>
      </c>
      <c r="H649">
        <f t="shared" si="73"/>
        <v>2</v>
      </c>
      <c r="I649" s="4">
        <f t="shared" si="74"/>
        <v>8</v>
      </c>
      <c r="J649">
        <f t="shared" si="75"/>
        <v>20052208</v>
      </c>
      <c r="K649" t="str">
        <f t="shared" si="76"/>
        <v>08.22.2005</v>
      </c>
    </row>
    <row r="650" spans="1:11" x14ac:dyDescent="0.25">
      <c r="A650" s="4" t="s">
        <v>676</v>
      </c>
      <c r="B650" t="s">
        <v>14</v>
      </c>
      <c r="C650" t="s">
        <v>6</v>
      </c>
      <c r="D650" s="3">
        <f t="shared" si="70"/>
        <v>1</v>
      </c>
      <c r="E650" s="4">
        <f t="shared" si="71"/>
        <v>29</v>
      </c>
      <c r="F650" s="4">
        <f t="shared" si="72"/>
        <v>15</v>
      </c>
      <c r="G650" s="3">
        <f>IF(E650&gt;=20,2000,1900) + D650</f>
        <v>2001</v>
      </c>
      <c r="H650">
        <f t="shared" si="73"/>
        <v>9</v>
      </c>
      <c r="I650" s="4">
        <f t="shared" si="74"/>
        <v>15</v>
      </c>
      <c r="J650">
        <f t="shared" si="75"/>
        <v>20012915</v>
      </c>
      <c r="K650" t="str">
        <f t="shared" si="76"/>
        <v>15.29.2001</v>
      </c>
    </row>
    <row r="651" spans="1:11" x14ac:dyDescent="0.25">
      <c r="A651" s="4" t="s">
        <v>677</v>
      </c>
      <c r="B651" t="s">
        <v>13</v>
      </c>
      <c r="C651" t="s">
        <v>4</v>
      </c>
      <c r="D651" s="3">
        <f t="shared" si="70"/>
        <v>3</v>
      </c>
      <c r="E651" s="4">
        <f t="shared" si="71"/>
        <v>22</v>
      </c>
      <c r="F651" s="4">
        <f t="shared" si="72"/>
        <v>10</v>
      </c>
      <c r="G651" s="3">
        <f>IF(E651&gt;=20,2000,1900) + D651</f>
        <v>2003</v>
      </c>
      <c r="H651">
        <f t="shared" si="73"/>
        <v>2</v>
      </c>
      <c r="I651" s="4">
        <f t="shared" si="74"/>
        <v>10</v>
      </c>
      <c r="J651">
        <f t="shared" si="75"/>
        <v>20032210</v>
      </c>
      <c r="K651" t="str">
        <f t="shared" si="76"/>
        <v>10.22.2003</v>
      </c>
    </row>
    <row r="652" spans="1:11" x14ac:dyDescent="0.25">
      <c r="A652" s="4" t="s">
        <v>678</v>
      </c>
      <c r="B652" t="s">
        <v>14</v>
      </c>
      <c r="C652" t="s">
        <v>4</v>
      </c>
      <c r="D652" s="3">
        <f t="shared" si="70"/>
        <v>13</v>
      </c>
      <c r="E652" s="4">
        <f t="shared" si="71"/>
        <v>28</v>
      </c>
      <c r="F652" s="4">
        <f t="shared" si="72"/>
        <v>16</v>
      </c>
      <c r="G652" s="3">
        <f>IF(E652&gt;=20,2000,1900) + D652</f>
        <v>2013</v>
      </c>
      <c r="H652">
        <f t="shared" si="73"/>
        <v>8</v>
      </c>
      <c r="I652" s="4">
        <f t="shared" si="74"/>
        <v>16</v>
      </c>
      <c r="J652">
        <f t="shared" si="75"/>
        <v>20132816</v>
      </c>
      <c r="K652" t="str">
        <f t="shared" si="76"/>
        <v>16.28.2013</v>
      </c>
    </row>
    <row r="653" spans="1:11" x14ac:dyDescent="0.25">
      <c r="A653" s="4" t="s">
        <v>679</v>
      </c>
      <c r="B653" t="s">
        <v>19</v>
      </c>
      <c r="C653" t="s">
        <v>6</v>
      </c>
      <c r="D653" s="3">
        <f t="shared" si="70"/>
        <v>22</v>
      </c>
      <c r="E653" s="4">
        <f t="shared" si="71"/>
        <v>26</v>
      </c>
      <c r="F653" s="4">
        <f t="shared" si="72"/>
        <v>6</v>
      </c>
      <c r="G653" s="3">
        <f>IF(E653&gt;=20,2000,1900) + D653</f>
        <v>2022</v>
      </c>
      <c r="H653">
        <f t="shared" si="73"/>
        <v>6</v>
      </c>
      <c r="I653" s="4">
        <f t="shared" si="74"/>
        <v>6</v>
      </c>
      <c r="J653">
        <f t="shared" si="75"/>
        <v>20222606</v>
      </c>
      <c r="K653" t="str">
        <f t="shared" si="76"/>
        <v>06.26.2022</v>
      </c>
    </row>
    <row r="654" spans="1:11" x14ac:dyDescent="0.25">
      <c r="A654" s="4" t="s">
        <v>680</v>
      </c>
      <c r="B654" t="s">
        <v>5</v>
      </c>
      <c r="C654" t="s">
        <v>4</v>
      </c>
      <c r="D654" s="3">
        <f t="shared" si="70"/>
        <v>16</v>
      </c>
      <c r="E654" s="4">
        <f t="shared" si="71"/>
        <v>26</v>
      </c>
      <c r="F654" s="4">
        <f t="shared" si="72"/>
        <v>29</v>
      </c>
      <c r="G654" s="3">
        <f>IF(E654&gt;=20,2000,1900) + D654</f>
        <v>2016</v>
      </c>
      <c r="H654">
        <f t="shared" si="73"/>
        <v>6</v>
      </c>
      <c r="I654" s="4">
        <f t="shared" si="74"/>
        <v>29</v>
      </c>
      <c r="J654">
        <f t="shared" si="75"/>
        <v>20162629</v>
      </c>
      <c r="K654" t="str">
        <f t="shared" si="76"/>
        <v>29.26.2016</v>
      </c>
    </row>
    <row r="655" spans="1:11" x14ac:dyDescent="0.25">
      <c r="A655" s="4" t="s">
        <v>681</v>
      </c>
      <c r="B655" t="s">
        <v>7</v>
      </c>
      <c r="C655" t="s">
        <v>4</v>
      </c>
      <c r="D655" s="3">
        <f t="shared" si="70"/>
        <v>3</v>
      </c>
      <c r="E655" s="4">
        <f t="shared" si="71"/>
        <v>26</v>
      </c>
      <c r="F655" s="4">
        <f t="shared" si="72"/>
        <v>25</v>
      </c>
      <c r="G655" s="3">
        <f>IF(E655&gt;=20,2000,1900) + D655</f>
        <v>2003</v>
      </c>
      <c r="H655">
        <f t="shared" si="73"/>
        <v>6</v>
      </c>
      <c r="I655" s="4">
        <f t="shared" si="74"/>
        <v>25</v>
      </c>
      <c r="J655">
        <f t="shared" si="75"/>
        <v>20032625</v>
      </c>
      <c r="K655" t="str">
        <f t="shared" si="76"/>
        <v>25.26.2003</v>
      </c>
    </row>
    <row r="656" spans="1:11" x14ac:dyDescent="0.25">
      <c r="A656" s="4" t="s">
        <v>682</v>
      </c>
      <c r="B656" t="s">
        <v>18</v>
      </c>
      <c r="C656" t="s">
        <v>6</v>
      </c>
      <c r="D656" s="3">
        <f t="shared" si="70"/>
        <v>8</v>
      </c>
      <c r="E656" s="4">
        <f t="shared" si="71"/>
        <v>26</v>
      </c>
      <c r="F656" s="4">
        <f t="shared" si="72"/>
        <v>16</v>
      </c>
      <c r="G656" s="3">
        <f>IF(E656&gt;=20,2000,1900) + D656</f>
        <v>2008</v>
      </c>
      <c r="H656">
        <f t="shared" si="73"/>
        <v>6</v>
      </c>
      <c r="I656" s="4">
        <f t="shared" si="74"/>
        <v>16</v>
      </c>
      <c r="J656">
        <f t="shared" si="75"/>
        <v>20082616</v>
      </c>
      <c r="K656" t="str">
        <f t="shared" si="76"/>
        <v>16.26.2008</v>
      </c>
    </row>
    <row r="657" spans="1:11" x14ac:dyDescent="0.25">
      <c r="A657" s="4" t="s">
        <v>683</v>
      </c>
      <c r="B657" t="s">
        <v>19</v>
      </c>
      <c r="C657" t="s">
        <v>4</v>
      </c>
      <c r="D657" s="3">
        <f t="shared" si="70"/>
        <v>7</v>
      </c>
      <c r="E657" s="4">
        <f t="shared" si="71"/>
        <v>22</v>
      </c>
      <c r="F657" s="4">
        <f t="shared" si="72"/>
        <v>16</v>
      </c>
      <c r="G657" s="3">
        <f>IF(E657&gt;=20,2000,1900) + D657</f>
        <v>2007</v>
      </c>
      <c r="H657">
        <f t="shared" si="73"/>
        <v>2</v>
      </c>
      <c r="I657" s="4">
        <f t="shared" si="74"/>
        <v>16</v>
      </c>
      <c r="J657">
        <f t="shared" si="75"/>
        <v>20072216</v>
      </c>
      <c r="K657" t="str">
        <f t="shared" si="76"/>
        <v>16.22.2007</v>
      </c>
    </row>
    <row r="658" spans="1:11" x14ac:dyDescent="0.25">
      <c r="A658" s="4" t="s">
        <v>684</v>
      </c>
      <c r="B658" t="s">
        <v>19</v>
      </c>
      <c r="C658" t="s">
        <v>4</v>
      </c>
      <c r="D658" s="3">
        <f t="shared" si="70"/>
        <v>3</v>
      </c>
      <c r="E658" s="4">
        <f t="shared" si="71"/>
        <v>22</v>
      </c>
      <c r="F658" s="4">
        <f t="shared" si="72"/>
        <v>10</v>
      </c>
      <c r="G658" s="3">
        <f>IF(E658&gt;=20,2000,1900) + D658</f>
        <v>2003</v>
      </c>
      <c r="H658">
        <f t="shared" si="73"/>
        <v>2</v>
      </c>
      <c r="I658" s="4">
        <f t="shared" si="74"/>
        <v>10</v>
      </c>
      <c r="J658">
        <f t="shared" si="75"/>
        <v>20032210</v>
      </c>
      <c r="K658" t="str">
        <f t="shared" si="76"/>
        <v>10.22.2003</v>
      </c>
    </row>
    <row r="659" spans="1:11" x14ac:dyDescent="0.25">
      <c r="A659" s="4" t="s">
        <v>685</v>
      </c>
      <c r="B659" t="s">
        <v>9</v>
      </c>
      <c r="C659" t="s">
        <v>4</v>
      </c>
      <c r="D659" s="3">
        <f t="shared" si="70"/>
        <v>11</v>
      </c>
      <c r="E659" s="4">
        <f t="shared" si="71"/>
        <v>26</v>
      </c>
      <c r="F659" s="4">
        <f t="shared" si="72"/>
        <v>8</v>
      </c>
      <c r="G659" s="3">
        <f>IF(E659&gt;=20,2000,1900) + D659</f>
        <v>2011</v>
      </c>
      <c r="H659">
        <f t="shared" si="73"/>
        <v>6</v>
      </c>
      <c r="I659" s="4">
        <f t="shared" si="74"/>
        <v>8</v>
      </c>
      <c r="J659">
        <f t="shared" si="75"/>
        <v>20112608</v>
      </c>
      <c r="K659" t="str">
        <f t="shared" si="76"/>
        <v>08.26.2011</v>
      </c>
    </row>
    <row r="660" spans="1:11" x14ac:dyDescent="0.25">
      <c r="A660" s="4" t="s">
        <v>686</v>
      </c>
      <c r="B660" t="s">
        <v>7</v>
      </c>
      <c r="C660" t="s">
        <v>4</v>
      </c>
      <c r="D660" s="3">
        <f t="shared" si="70"/>
        <v>14</v>
      </c>
      <c r="E660" s="4">
        <f t="shared" si="71"/>
        <v>24</v>
      </c>
      <c r="F660" s="4">
        <f t="shared" si="72"/>
        <v>11</v>
      </c>
      <c r="G660" s="3">
        <f>IF(E660&gt;=20,2000,1900) + D660</f>
        <v>2014</v>
      </c>
      <c r="H660">
        <f t="shared" si="73"/>
        <v>4</v>
      </c>
      <c r="I660" s="4">
        <f t="shared" si="74"/>
        <v>11</v>
      </c>
      <c r="J660">
        <f t="shared" si="75"/>
        <v>20142411</v>
      </c>
      <c r="K660" t="str">
        <f t="shared" si="76"/>
        <v>11.24.2014</v>
      </c>
    </row>
    <row r="661" spans="1:11" x14ac:dyDescent="0.25">
      <c r="A661" s="4" t="s">
        <v>687</v>
      </c>
      <c r="B661" t="s">
        <v>19</v>
      </c>
      <c r="C661" t="s">
        <v>4</v>
      </c>
      <c r="D661" s="3">
        <f t="shared" si="70"/>
        <v>12</v>
      </c>
      <c r="E661" s="4">
        <f t="shared" si="71"/>
        <v>24</v>
      </c>
      <c r="F661" s="4">
        <f t="shared" si="72"/>
        <v>12</v>
      </c>
      <c r="G661" s="3">
        <f>IF(E661&gt;=20,2000,1900) + D661</f>
        <v>2012</v>
      </c>
      <c r="H661">
        <f t="shared" si="73"/>
        <v>4</v>
      </c>
      <c r="I661" s="4">
        <f t="shared" si="74"/>
        <v>12</v>
      </c>
      <c r="J661">
        <f t="shared" si="75"/>
        <v>20122412</v>
      </c>
      <c r="K661" t="str">
        <f t="shared" si="76"/>
        <v>12.24.2012</v>
      </c>
    </row>
    <row r="662" spans="1:11" x14ac:dyDescent="0.25">
      <c r="A662" s="4" t="s">
        <v>688</v>
      </c>
      <c r="B662" t="s">
        <v>20</v>
      </c>
      <c r="C662" t="s">
        <v>6</v>
      </c>
      <c r="D662" s="3">
        <f t="shared" si="70"/>
        <v>4</v>
      </c>
      <c r="E662" s="4">
        <f t="shared" si="71"/>
        <v>21</v>
      </c>
      <c r="F662" s="4">
        <f t="shared" si="72"/>
        <v>31</v>
      </c>
      <c r="G662" s="3">
        <f>IF(E662&gt;=20,2000,1900) + D662</f>
        <v>2004</v>
      </c>
      <c r="H662">
        <f t="shared" si="73"/>
        <v>1</v>
      </c>
      <c r="I662" s="4">
        <f t="shared" si="74"/>
        <v>31</v>
      </c>
      <c r="J662">
        <f t="shared" si="75"/>
        <v>20042131</v>
      </c>
      <c r="K662" t="str">
        <f t="shared" si="76"/>
        <v>31.21.2004</v>
      </c>
    </row>
    <row r="663" spans="1:11" x14ac:dyDescent="0.25">
      <c r="A663" s="4" t="s">
        <v>689</v>
      </c>
      <c r="B663" t="s">
        <v>10</v>
      </c>
      <c r="C663" t="s">
        <v>4</v>
      </c>
      <c r="D663" s="3">
        <f t="shared" si="70"/>
        <v>10</v>
      </c>
      <c r="E663" s="4">
        <f t="shared" si="71"/>
        <v>24</v>
      </c>
      <c r="F663" s="4">
        <f t="shared" si="72"/>
        <v>7</v>
      </c>
      <c r="G663" s="3">
        <f>IF(E663&gt;=20,2000,1900) + D663</f>
        <v>2010</v>
      </c>
      <c r="H663">
        <f t="shared" si="73"/>
        <v>4</v>
      </c>
      <c r="I663" s="4">
        <f t="shared" si="74"/>
        <v>7</v>
      </c>
      <c r="J663">
        <f t="shared" si="75"/>
        <v>20102407</v>
      </c>
      <c r="K663" t="str">
        <f t="shared" si="76"/>
        <v>07.24.2010</v>
      </c>
    </row>
    <row r="664" spans="1:11" x14ac:dyDescent="0.25">
      <c r="A664" s="4" t="s">
        <v>690</v>
      </c>
      <c r="B664" t="s">
        <v>17</v>
      </c>
      <c r="C664" t="s">
        <v>6</v>
      </c>
      <c r="D664" s="3">
        <f t="shared" si="70"/>
        <v>19</v>
      </c>
      <c r="E664" s="4">
        <f t="shared" si="71"/>
        <v>25</v>
      </c>
      <c r="F664" s="4">
        <f t="shared" si="72"/>
        <v>11</v>
      </c>
      <c r="G664" s="3">
        <f>IF(E664&gt;=20,2000,1900) + D664</f>
        <v>2019</v>
      </c>
      <c r="H664">
        <f t="shared" si="73"/>
        <v>5</v>
      </c>
      <c r="I664" s="4">
        <f t="shared" si="74"/>
        <v>11</v>
      </c>
      <c r="J664">
        <f t="shared" si="75"/>
        <v>20192511</v>
      </c>
      <c r="K664" t="str">
        <f t="shared" si="76"/>
        <v>11.25.2019</v>
      </c>
    </row>
    <row r="665" spans="1:11" x14ac:dyDescent="0.25">
      <c r="A665" s="4" t="s">
        <v>691</v>
      </c>
      <c r="B665" t="s">
        <v>14</v>
      </c>
      <c r="C665" t="s">
        <v>4</v>
      </c>
      <c r="D665" s="3">
        <f t="shared" si="70"/>
        <v>2</v>
      </c>
      <c r="E665" s="4">
        <f t="shared" si="71"/>
        <v>21</v>
      </c>
      <c r="F665" s="4">
        <f t="shared" si="72"/>
        <v>8</v>
      </c>
      <c r="G665" s="3">
        <f>IF(E665&gt;=20,2000,1900) + D665</f>
        <v>2002</v>
      </c>
      <c r="H665">
        <f t="shared" si="73"/>
        <v>1</v>
      </c>
      <c r="I665" s="4">
        <f t="shared" si="74"/>
        <v>8</v>
      </c>
      <c r="J665">
        <f t="shared" si="75"/>
        <v>20022108</v>
      </c>
      <c r="K665" t="str">
        <f t="shared" si="76"/>
        <v>08.21.2002</v>
      </c>
    </row>
    <row r="666" spans="1:11" x14ac:dyDescent="0.25">
      <c r="A666" s="4" t="s">
        <v>692</v>
      </c>
      <c r="B666" t="s">
        <v>19</v>
      </c>
      <c r="C666" t="s">
        <v>4</v>
      </c>
      <c r="D666" s="3">
        <f t="shared" si="70"/>
        <v>16</v>
      </c>
      <c r="E666" s="4">
        <f t="shared" si="71"/>
        <v>32</v>
      </c>
      <c r="F666" s="4">
        <f t="shared" si="72"/>
        <v>3</v>
      </c>
      <c r="G666" s="3">
        <f>IF(E666&gt;=20,2000,1900) + D666</f>
        <v>2016</v>
      </c>
      <c r="H666">
        <f t="shared" si="73"/>
        <v>12</v>
      </c>
      <c r="I666" s="4">
        <f t="shared" si="74"/>
        <v>3</v>
      </c>
      <c r="J666">
        <f t="shared" si="75"/>
        <v>20163203</v>
      </c>
      <c r="K666" t="str">
        <f t="shared" si="76"/>
        <v>03.32.2016</v>
      </c>
    </row>
    <row r="667" spans="1:11" x14ac:dyDescent="0.25">
      <c r="A667" s="4" t="s">
        <v>693</v>
      </c>
      <c r="B667" t="s">
        <v>14</v>
      </c>
      <c r="C667" t="s">
        <v>4</v>
      </c>
      <c r="D667" s="3">
        <f t="shared" si="70"/>
        <v>22</v>
      </c>
      <c r="E667" s="4">
        <f t="shared" si="71"/>
        <v>29</v>
      </c>
      <c r="F667" s="4">
        <f t="shared" si="72"/>
        <v>5</v>
      </c>
      <c r="G667" s="3">
        <f>IF(E667&gt;=20,2000,1900) + D667</f>
        <v>2022</v>
      </c>
      <c r="H667">
        <f t="shared" si="73"/>
        <v>9</v>
      </c>
      <c r="I667" s="4">
        <f t="shared" si="74"/>
        <v>5</v>
      </c>
      <c r="J667">
        <f t="shared" si="75"/>
        <v>20222905</v>
      </c>
      <c r="K667" t="str">
        <f t="shared" si="76"/>
        <v>05.29.2022</v>
      </c>
    </row>
    <row r="668" spans="1:11" x14ac:dyDescent="0.25">
      <c r="A668" s="4" t="s">
        <v>694</v>
      </c>
      <c r="B668" t="s">
        <v>17</v>
      </c>
      <c r="C668" t="s">
        <v>4</v>
      </c>
      <c r="D668" s="3">
        <f t="shared" si="70"/>
        <v>15</v>
      </c>
      <c r="E668" s="4">
        <f t="shared" si="71"/>
        <v>27</v>
      </c>
      <c r="F668" s="4">
        <f t="shared" si="72"/>
        <v>28</v>
      </c>
      <c r="G668" s="3">
        <f>IF(E668&gt;=20,2000,1900) + D668</f>
        <v>2015</v>
      </c>
      <c r="H668">
        <f t="shared" si="73"/>
        <v>7</v>
      </c>
      <c r="I668" s="4">
        <f t="shared" si="74"/>
        <v>28</v>
      </c>
      <c r="J668">
        <f t="shared" si="75"/>
        <v>20152728</v>
      </c>
      <c r="K668" t="str">
        <f t="shared" si="76"/>
        <v>28.27.2015</v>
      </c>
    </row>
    <row r="669" spans="1:11" x14ac:dyDescent="0.25">
      <c r="A669" s="4" t="s">
        <v>695</v>
      </c>
      <c r="B669" t="s">
        <v>11</v>
      </c>
      <c r="C669" t="s">
        <v>4</v>
      </c>
      <c r="D669" s="3">
        <f t="shared" si="70"/>
        <v>22</v>
      </c>
      <c r="E669" s="4">
        <f t="shared" si="71"/>
        <v>30</v>
      </c>
      <c r="F669" s="4">
        <f t="shared" si="72"/>
        <v>12</v>
      </c>
      <c r="G669" s="3">
        <f>IF(E669&gt;=20,2000,1900) + D669</f>
        <v>2022</v>
      </c>
      <c r="H669">
        <f t="shared" si="73"/>
        <v>10</v>
      </c>
      <c r="I669" s="4">
        <f t="shared" si="74"/>
        <v>12</v>
      </c>
      <c r="J669">
        <f t="shared" si="75"/>
        <v>20223012</v>
      </c>
      <c r="K669" t="str">
        <f t="shared" si="76"/>
        <v>12.30.2022</v>
      </c>
    </row>
    <row r="670" spans="1:11" x14ac:dyDescent="0.25">
      <c r="A670" s="4" t="s">
        <v>696</v>
      </c>
      <c r="B670" t="s">
        <v>3</v>
      </c>
      <c r="C670" t="s">
        <v>6</v>
      </c>
      <c r="D670" s="3">
        <f t="shared" si="70"/>
        <v>12</v>
      </c>
      <c r="E670" s="4">
        <f t="shared" si="71"/>
        <v>29</v>
      </c>
      <c r="F670" s="4">
        <f t="shared" si="72"/>
        <v>30</v>
      </c>
      <c r="G670" s="3">
        <f>IF(E670&gt;=20,2000,1900) + D670</f>
        <v>2012</v>
      </c>
      <c r="H670">
        <f t="shared" si="73"/>
        <v>9</v>
      </c>
      <c r="I670" s="4">
        <f t="shared" si="74"/>
        <v>30</v>
      </c>
      <c r="J670">
        <f t="shared" si="75"/>
        <v>20122930</v>
      </c>
      <c r="K670" t="str">
        <f t="shared" si="76"/>
        <v>30.29.2012</v>
      </c>
    </row>
    <row r="671" spans="1:11" x14ac:dyDescent="0.25">
      <c r="A671" s="4" t="s">
        <v>697</v>
      </c>
      <c r="B671" t="s">
        <v>3</v>
      </c>
      <c r="C671" t="s">
        <v>6</v>
      </c>
      <c r="D671" s="3">
        <f t="shared" si="70"/>
        <v>11</v>
      </c>
      <c r="E671" s="4">
        <f t="shared" si="71"/>
        <v>22</v>
      </c>
      <c r="F671" s="4">
        <f t="shared" si="72"/>
        <v>4</v>
      </c>
      <c r="G671" s="3">
        <f>IF(E671&gt;=20,2000,1900) + D671</f>
        <v>2011</v>
      </c>
      <c r="H671">
        <f t="shared" si="73"/>
        <v>2</v>
      </c>
      <c r="I671" s="4">
        <f t="shared" si="74"/>
        <v>4</v>
      </c>
      <c r="J671">
        <f t="shared" si="75"/>
        <v>20112204</v>
      </c>
      <c r="K671" t="str">
        <f t="shared" si="76"/>
        <v>04.22.2011</v>
      </c>
    </row>
    <row r="672" spans="1:11" x14ac:dyDescent="0.25">
      <c r="A672" s="4" t="s">
        <v>698</v>
      </c>
      <c r="B672" t="s">
        <v>11</v>
      </c>
      <c r="C672" t="s">
        <v>4</v>
      </c>
      <c r="D672" s="3">
        <f t="shared" si="70"/>
        <v>6</v>
      </c>
      <c r="E672" s="4">
        <f t="shared" si="71"/>
        <v>32</v>
      </c>
      <c r="F672" s="4">
        <f t="shared" si="72"/>
        <v>16</v>
      </c>
      <c r="G672" s="3">
        <f>IF(E672&gt;=20,2000,1900) + D672</f>
        <v>2006</v>
      </c>
      <c r="H672">
        <f t="shared" si="73"/>
        <v>12</v>
      </c>
      <c r="I672" s="4">
        <f t="shared" si="74"/>
        <v>16</v>
      </c>
      <c r="J672">
        <f t="shared" si="75"/>
        <v>20063216</v>
      </c>
      <c r="K672" t="str">
        <f t="shared" si="76"/>
        <v>16.32.2006</v>
      </c>
    </row>
    <row r="673" spans="1:11" x14ac:dyDescent="0.25">
      <c r="A673" s="4" t="s">
        <v>699</v>
      </c>
      <c r="B673" t="s">
        <v>10</v>
      </c>
      <c r="C673" t="s">
        <v>4</v>
      </c>
      <c r="D673" s="3">
        <f t="shared" si="70"/>
        <v>8</v>
      </c>
      <c r="E673" s="4">
        <f t="shared" si="71"/>
        <v>27</v>
      </c>
      <c r="F673" s="4">
        <f t="shared" si="72"/>
        <v>18</v>
      </c>
      <c r="G673" s="3">
        <f>IF(E673&gt;=20,2000,1900) + D673</f>
        <v>2008</v>
      </c>
      <c r="H673">
        <f t="shared" si="73"/>
        <v>7</v>
      </c>
      <c r="I673" s="4">
        <f t="shared" si="74"/>
        <v>18</v>
      </c>
      <c r="J673">
        <f t="shared" si="75"/>
        <v>20082718</v>
      </c>
      <c r="K673" t="str">
        <f t="shared" si="76"/>
        <v>18.27.2008</v>
      </c>
    </row>
    <row r="674" spans="1:11" x14ac:dyDescent="0.25">
      <c r="A674" s="4" t="s">
        <v>700</v>
      </c>
      <c r="B674" t="s">
        <v>17</v>
      </c>
      <c r="C674" t="s">
        <v>6</v>
      </c>
      <c r="D674" s="3">
        <f t="shared" si="70"/>
        <v>12</v>
      </c>
      <c r="E674" s="4">
        <f t="shared" si="71"/>
        <v>22</v>
      </c>
      <c r="F674" s="4">
        <f t="shared" si="72"/>
        <v>1</v>
      </c>
      <c r="G674" s="3">
        <f>IF(E674&gt;=20,2000,1900) + D674</f>
        <v>2012</v>
      </c>
      <c r="H674">
        <f t="shared" si="73"/>
        <v>2</v>
      </c>
      <c r="I674" s="4">
        <f t="shared" si="74"/>
        <v>1</v>
      </c>
      <c r="J674">
        <f t="shared" si="75"/>
        <v>20122201</v>
      </c>
      <c r="K674" t="str">
        <f t="shared" si="76"/>
        <v>01.22.2012</v>
      </c>
    </row>
    <row r="675" spans="1:11" x14ac:dyDescent="0.25">
      <c r="A675" s="4" t="s">
        <v>701</v>
      </c>
      <c r="B675" t="s">
        <v>13</v>
      </c>
      <c r="C675" t="s">
        <v>6</v>
      </c>
      <c r="D675" s="3">
        <f t="shared" si="70"/>
        <v>18</v>
      </c>
      <c r="E675" s="4">
        <f t="shared" si="71"/>
        <v>27</v>
      </c>
      <c r="F675" s="4">
        <f t="shared" si="72"/>
        <v>18</v>
      </c>
      <c r="G675" s="3">
        <f>IF(E675&gt;=20,2000,1900) + D675</f>
        <v>2018</v>
      </c>
      <c r="H675">
        <f t="shared" si="73"/>
        <v>7</v>
      </c>
      <c r="I675" s="4">
        <f t="shared" si="74"/>
        <v>18</v>
      </c>
      <c r="J675">
        <f t="shared" si="75"/>
        <v>20182718</v>
      </c>
      <c r="K675" t="str">
        <f t="shared" si="76"/>
        <v>18.27.2018</v>
      </c>
    </row>
    <row r="676" spans="1:11" x14ac:dyDescent="0.25">
      <c r="A676" s="4" t="s">
        <v>702</v>
      </c>
      <c r="B676" t="s">
        <v>14</v>
      </c>
      <c r="C676" t="s">
        <v>6</v>
      </c>
      <c r="D676" s="3">
        <f t="shared" si="70"/>
        <v>6</v>
      </c>
      <c r="E676" s="4">
        <f t="shared" si="71"/>
        <v>21</v>
      </c>
      <c r="F676" s="4">
        <f t="shared" si="72"/>
        <v>8</v>
      </c>
      <c r="G676" s="3">
        <f>IF(E676&gt;=20,2000,1900) + D676</f>
        <v>2006</v>
      </c>
      <c r="H676">
        <f t="shared" si="73"/>
        <v>1</v>
      </c>
      <c r="I676" s="4">
        <f t="shared" si="74"/>
        <v>8</v>
      </c>
      <c r="J676">
        <f t="shared" si="75"/>
        <v>20062108</v>
      </c>
      <c r="K676" t="str">
        <f t="shared" si="76"/>
        <v>08.21.2006</v>
      </c>
    </row>
    <row r="677" spans="1:11" x14ac:dyDescent="0.25">
      <c r="A677" s="4" t="s">
        <v>703</v>
      </c>
      <c r="B677" t="s">
        <v>20</v>
      </c>
      <c r="C677" t="s">
        <v>4</v>
      </c>
      <c r="D677" s="3">
        <f t="shared" si="70"/>
        <v>8</v>
      </c>
      <c r="E677" s="4">
        <f t="shared" si="71"/>
        <v>24</v>
      </c>
      <c r="F677" s="4">
        <f t="shared" si="72"/>
        <v>13</v>
      </c>
      <c r="G677" s="3">
        <f>IF(E677&gt;=20,2000,1900) + D677</f>
        <v>2008</v>
      </c>
      <c r="H677">
        <f t="shared" si="73"/>
        <v>4</v>
      </c>
      <c r="I677" s="4">
        <f t="shared" si="74"/>
        <v>13</v>
      </c>
      <c r="J677">
        <f t="shared" si="75"/>
        <v>20082413</v>
      </c>
      <c r="K677" t="str">
        <f t="shared" si="76"/>
        <v>13.24.2008</v>
      </c>
    </row>
    <row r="678" spans="1:11" x14ac:dyDescent="0.25">
      <c r="A678" s="4" t="s">
        <v>704</v>
      </c>
      <c r="B678" t="s">
        <v>10</v>
      </c>
      <c r="C678" t="s">
        <v>4</v>
      </c>
      <c r="D678" s="3">
        <f t="shared" si="70"/>
        <v>15</v>
      </c>
      <c r="E678" s="4">
        <f t="shared" si="71"/>
        <v>32</v>
      </c>
      <c r="F678" s="4">
        <f t="shared" si="72"/>
        <v>11</v>
      </c>
      <c r="G678" s="3">
        <f>IF(E678&gt;=20,2000,1900) + D678</f>
        <v>2015</v>
      </c>
      <c r="H678">
        <f t="shared" si="73"/>
        <v>12</v>
      </c>
      <c r="I678" s="4">
        <f t="shared" si="74"/>
        <v>11</v>
      </c>
      <c r="J678">
        <f t="shared" si="75"/>
        <v>20153211</v>
      </c>
      <c r="K678" t="str">
        <f t="shared" si="76"/>
        <v>11.32.2015</v>
      </c>
    </row>
    <row r="679" spans="1:11" x14ac:dyDescent="0.25">
      <c r="A679" s="4" t="s">
        <v>705</v>
      </c>
      <c r="B679" t="s">
        <v>11</v>
      </c>
      <c r="C679" t="s">
        <v>4</v>
      </c>
      <c r="D679" s="3">
        <f t="shared" si="70"/>
        <v>9</v>
      </c>
      <c r="E679" s="4">
        <f t="shared" si="71"/>
        <v>23</v>
      </c>
      <c r="F679" s="4">
        <f t="shared" si="72"/>
        <v>3</v>
      </c>
      <c r="G679" s="3">
        <f>IF(E679&gt;=20,2000,1900) + D679</f>
        <v>2009</v>
      </c>
      <c r="H679">
        <f t="shared" si="73"/>
        <v>3</v>
      </c>
      <c r="I679" s="4">
        <f t="shared" si="74"/>
        <v>3</v>
      </c>
      <c r="J679">
        <f t="shared" si="75"/>
        <v>20092303</v>
      </c>
      <c r="K679" t="str">
        <f t="shared" si="76"/>
        <v>03.23.2009</v>
      </c>
    </row>
    <row r="680" spans="1:11" x14ac:dyDescent="0.25">
      <c r="A680" s="4" t="s">
        <v>706</v>
      </c>
      <c r="B680" t="s">
        <v>3</v>
      </c>
      <c r="C680" t="s">
        <v>4</v>
      </c>
      <c r="D680" s="3">
        <f t="shared" si="70"/>
        <v>9</v>
      </c>
      <c r="E680" s="4">
        <f t="shared" si="71"/>
        <v>28</v>
      </c>
      <c r="F680" s="4">
        <f t="shared" si="72"/>
        <v>22</v>
      </c>
      <c r="G680" s="3">
        <f>IF(E680&gt;=20,2000,1900) + D680</f>
        <v>2009</v>
      </c>
      <c r="H680">
        <f t="shared" si="73"/>
        <v>8</v>
      </c>
      <c r="I680" s="4">
        <f t="shared" si="74"/>
        <v>22</v>
      </c>
      <c r="J680">
        <f t="shared" si="75"/>
        <v>20092822</v>
      </c>
      <c r="K680" t="str">
        <f t="shared" si="76"/>
        <v>22.28.2009</v>
      </c>
    </row>
    <row r="681" spans="1:11" x14ac:dyDescent="0.25">
      <c r="A681" s="4" t="s">
        <v>707</v>
      </c>
      <c r="B681" t="s">
        <v>15</v>
      </c>
      <c r="C681" t="s">
        <v>4</v>
      </c>
      <c r="D681" s="3">
        <f t="shared" si="70"/>
        <v>12</v>
      </c>
      <c r="E681" s="4">
        <f t="shared" si="71"/>
        <v>27</v>
      </c>
      <c r="F681" s="4">
        <f t="shared" si="72"/>
        <v>22</v>
      </c>
      <c r="G681" s="3">
        <f>IF(E681&gt;=20,2000,1900) + D681</f>
        <v>2012</v>
      </c>
      <c r="H681">
        <f t="shared" si="73"/>
        <v>7</v>
      </c>
      <c r="I681" s="4">
        <f t="shared" si="74"/>
        <v>22</v>
      </c>
      <c r="J681">
        <f t="shared" si="75"/>
        <v>20122722</v>
      </c>
      <c r="K681" t="str">
        <f t="shared" si="76"/>
        <v>22.27.2012</v>
      </c>
    </row>
    <row r="682" spans="1:11" x14ac:dyDescent="0.25">
      <c r="A682" s="4" t="s">
        <v>708</v>
      </c>
      <c r="B682" t="s">
        <v>3</v>
      </c>
      <c r="C682" t="s">
        <v>6</v>
      </c>
      <c r="D682" s="3">
        <f t="shared" si="70"/>
        <v>6</v>
      </c>
      <c r="E682" s="4">
        <f t="shared" si="71"/>
        <v>26</v>
      </c>
      <c r="F682" s="4">
        <f t="shared" si="72"/>
        <v>17</v>
      </c>
      <c r="G682" s="3">
        <f>IF(E682&gt;=20,2000,1900) + D682</f>
        <v>2006</v>
      </c>
      <c r="H682">
        <f t="shared" si="73"/>
        <v>6</v>
      </c>
      <c r="I682" s="4">
        <f t="shared" si="74"/>
        <v>17</v>
      </c>
      <c r="J682">
        <f t="shared" si="75"/>
        <v>20062617</v>
      </c>
      <c r="K682" t="str">
        <f t="shared" si="76"/>
        <v>17.26.2006</v>
      </c>
    </row>
    <row r="683" spans="1:11" x14ac:dyDescent="0.25">
      <c r="A683" s="4" t="s">
        <v>709</v>
      </c>
      <c r="B683" t="s">
        <v>13</v>
      </c>
      <c r="C683" t="s">
        <v>6</v>
      </c>
      <c r="D683" s="3">
        <f t="shared" si="70"/>
        <v>12</v>
      </c>
      <c r="E683" s="4">
        <f t="shared" si="71"/>
        <v>29</v>
      </c>
      <c r="F683" s="4">
        <f t="shared" si="72"/>
        <v>6</v>
      </c>
      <c r="G683" s="3">
        <f>IF(E683&gt;=20,2000,1900) + D683</f>
        <v>2012</v>
      </c>
      <c r="H683">
        <f t="shared" si="73"/>
        <v>9</v>
      </c>
      <c r="I683" s="4">
        <f t="shared" si="74"/>
        <v>6</v>
      </c>
      <c r="J683">
        <f t="shared" si="75"/>
        <v>20122906</v>
      </c>
      <c r="K683" t="str">
        <f t="shared" si="76"/>
        <v>06.29.2012</v>
      </c>
    </row>
    <row r="684" spans="1:11" x14ac:dyDescent="0.25">
      <c r="A684" s="4" t="s">
        <v>710</v>
      </c>
      <c r="B684" t="s">
        <v>13</v>
      </c>
      <c r="C684" t="s">
        <v>6</v>
      </c>
      <c r="D684" s="3">
        <f t="shared" si="70"/>
        <v>13</v>
      </c>
      <c r="E684" s="4">
        <f t="shared" si="71"/>
        <v>22</v>
      </c>
      <c r="F684" s="4">
        <f t="shared" si="72"/>
        <v>23</v>
      </c>
      <c r="G684" s="3">
        <f>IF(E684&gt;=20,2000,1900) + D684</f>
        <v>2013</v>
      </c>
      <c r="H684">
        <f t="shared" si="73"/>
        <v>2</v>
      </c>
      <c r="I684" s="4">
        <f t="shared" si="74"/>
        <v>23</v>
      </c>
      <c r="J684">
        <f t="shared" si="75"/>
        <v>20132223</v>
      </c>
      <c r="K684" t="str">
        <f t="shared" si="76"/>
        <v>23.22.2013</v>
      </c>
    </row>
    <row r="685" spans="1:11" x14ac:dyDescent="0.25">
      <c r="A685" s="4" t="s">
        <v>711</v>
      </c>
      <c r="B685" t="s">
        <v>10</v>
      </c>
      <c r="C685" t="s">
        <v>4</v>
      </c>
      <c r="D685" s="3">
        <f t="shared" si="70"/>
        <v>17</v>
      </c>
      <c r="E685" s="4">
        <f t="shared" si="71"/>
        <v>29</v>
      </c>
      <c r="F685" s="4">
        <f t="shared" si="72"/>
        <v>27</v>
      </c>
      <c r="G685" s="3">
        <f>IF(E685&gt;=20,2000,1900) + D685</f>
        <v>2017</v>
      </c>
      <c r="H685">
        <f t="shared" si="73"/>
        <v>9</v>
      </c>
      <c r="I685" s="4">
        <f t="shared" si="74"/>
        <v>27</v>
      </c>
      <c r="J685">
        <f t="shared" si="75"/>
        <v>20172927</v>
      </c>
      <c r="K685" t="str">
        <f t="shared" si="76"/>
        <v>27.29.2017</v>
      </c>
    </row>
    <row r="686" spans="1:11" x14ac:dyDescent="0.25">
      <c r="A686" s="4" t="s">
        <v>712</v>
      </c>
      <c r="B686" t="s">
        <v>17</v>
      </c>
      <c r="C686" t="s">
        <v>4</v>
      </c>
      <c r="D686" s="3">
        <f t="shared" si="70"/>
        <v>19</v>
      </c>
      <c r="E686" s="4">
        <f t="shared" si="71"/>
        <v>30</v>
      </c>
      <c r="F686" s="4">
        <f t="shared" si="72"/>
        <v>21</v>
      </c>
      <c r="G686" s="3">
        <f>IF(E686&gt;=20,2000,1900) + D686</f>
        <v>2019</v>
      </c>
      <c r="H686">
        <f t="shared" si="73"/>
        <v>10</v>
      </c>
      <c r="I686" s="4">
        <f t="shared" si="74"/>
        <v>21</v>
      </c>
      <c r="J686">
        <f t="shared" si="75"/>
        <v>20193021</v>
      </c>
      <c r="K686" t="str">
        <f t="shared" si="76"/>
        <v>21.30.2019</v>
      </c>
    </row>
    <row r="687" spans="1:11" x14ac:dyDescent="0.25">
      <c r="A687" s="4" t="s">
        <v>713</v>
      </c>
      <c r="B687" t="s">
        <v>7</v>
      </c>
      <c r="C687" t="s">
        <v>6</v>
      </c>
      <c r="D687" s="3">
        <f t="shared" si="70"/>
        <v>13</v>
      </c>
      <c r="E687" s="4">
        <f t="shared" si="71"/>
        <v>24</v>
      </c>
      <c r="F687" s="4">
        <f t="shared" si="72"/>
        <v>3</v>
      </c>
      <c r="G687" s="3">
        <f>IF(E687&gt;=20,2000,1900) + D687</f>
        <v>2013</v>
      </c>
      <c r="H687">
        <f t="shared" si="73"/>
        <v>4</v>
      </c>
      <c r="I687" s="4">
        <f t="shared" si="74"/>
        <v>3</v>
      </c>
      <c r="J687">
        <f t="shared" si="75"/>
        <v>20132403</v>
      </c>
      <c r="K687" t="str">
        <f t="shared" si="76"/>
        <v>03.24.2013</v>
      </c>
    </row>
    <row r="688" spans="1:11" x14ac:dyDescent="0.25">
      <c r="A688" s="4" t="s">
        <v>714</v>
      </c>
      <c r="B688" t="s">
        <v>17</v>
      </c>
      <c r="C688" t="s">
        <v>6</v>
      </c>
      <c r="D688" s="3">
        <f t="shared" si="70"/>
        <v>15</v>
      </c>
      <c r="E688" s="4">
        <f t="shared" si="71"/>
        <v>24</v>
      </c>
      <c r="F688" s="4">
        <f t="shared" si="72"/>
        <v>3</v>
      </c>
      <c r="G688" s="3">
        <f>IF(E688&gt;=20,2000,1900) + D688</f>
        <v>2015</v>
      </c>
      <c r="H688">
        <f t="shared" si="73"/>
        <v>4</v>
      </c>
      <c r="I688" s="4">
        <f t="shared" si="74"/>
        <v>3</v>
      </c>
      <c r="J688">
        <f t="shared" si="75"/>
        <v>20152403</v>
      </c>
      <c r="K688" t="str">
        <f t="shared" si="76"/>
        <v>03.24.2015</v>
      </c>
    </row>
    <row r="689" spans="1:11" x14ac:dyDescent="0.25">
      <c r="A689" s="4" t="s">
        <v>715</v>
      </c>
      <c r="B689" t="s">
        <v>3</v>
      </c>
      <c r="C689" t="s">
        <v>6</v>
      </c>
      <c r="D689" s="3">
        <f t="shared" si="70"/>
        <v>13</v>
      </c>
      <c r="E689" s="4">
        <f t="shared" si="71"/>
        <v>30</v>
      </c>
      <c r="F689" s="4">
        <f t="shared" si="72"/>
        <v>19</v>
      </c>
      <c r="G689" s="3">
        <f>IF(E689&gt;=20,2000,1900) + D689</f>
        <v>2013</v>
      </c>
      <c r="H689">
        <f t="shared" si="73"/>
        <v>10</v>
      </c>
      <c r="I689" s="4">
        <f t="shared" si="74"/>
        <v>19</v>
      </c>
      <c r="J689">
        <f t="shared" si="75"/>
        <v>20133019</v>
      </c>
      <c r="K689" t="str">
        <f t="shared" si="76"/>
        <v>19.30.2013</v>
      </c>
    </row>
    <row r="690" spans="1:11" x14ac:dyDescent="0.25">
      <c r="A690" s="4" t="s">
        <v>716</v>
      </c>
      <c r="B690" t="s">
        <v>20</v>
      </c>
      <c r="C690" t="s">
        <v>6</v>
      </c>
      <c r="D690" s="3">
        <f t="shared" si="70"/>
        <v>19</v>
      </c>
      <c r="E690" s="4">
        <f t="shared" si="71"/>
        <v>26</v>
      </c>
      <c r="F690" s="4">
        <f t="shared" si="72"/>
        <v>27</v>
      </c>
      <c r="G690" s="3">
        <f>IF(E690&gt;=20,2000,1900) + D690</f>
        <v>2019</v>
      </c>
      <c r="H690">
        <f t="shared" si="73"/>
        <v>6</v>
      </c>
      <c r="I690" s="4">
        <f t="shared" si="74"/>
        <v>27</v>
      </c>
      <c r="J690">
        <f t="shared" si="75"/>
        <v>20192627</v>
      </c>
      <c r="K690" t="str">
        <f t="shared" si="76"/>
        <v>27.26.2019</v>
      </c>
    </row>
    <row r="691" spans="1:11" x14ac:dyDescent="0.25">
      <c r="A691" s="4" t="s">
        <v>717</v>
      </c>
      <c r="B691" t="s">
        <v>9</v>
      </c>
      <c r="C691" t="s">
        <v>4</v>
      </c>
      <c r="D691" s="3">
        <f t="shared" si="70"/>
        <v>13</v>
      </c>
      <c r="E691" s="4">
        <f t="shared" si="71"/>
        <v>28</v>
      </c>
      <c r="F691" s="4">
        <f t="shared" si="72"/>
        <v>9</v>
      </c>
      <c r="G691" s="3">
        <f>IF(E691&gt;=20,2000,1900) + D691</f>
        <v>2013</v>
      </c>
      <c r="H691">
        <f t="shared" si="73"/>
        <v>8</v>
      </c>
      <c r="I691" s="4">
        <f t="shared" si="74"/>
        <v>9</v>
      </c>
      <c r="J691">
        <f t="shared" si="75"/>
        <v>20132809</v>
      </c>
      <c r="K691" t="str">
        <f t="shared" si="76"/>
        <v>09.28.2013</v>
      </c>
    </row>
    <row r="692" spans="1:11" x14ac:dyDescent="0.25">
      <c r="A692" s="4" t="s">
        <v>718</v>
      </c>
      <c r="B692" t="s">
        <v>20</v>
      </c>
      <c r="C692" t="s">
        <v>6</v>
      </c>
      <c r="D692" s="3">
        <f t="shared" si="70"/>
        <v>14</v>
      </c>
      <c r="E692" s="4">
        <f t="shared" si="71"/>
        <v>30</v>
      </c>
      <c r="F692" s="4">
        <f t="shared" si="72"/>
        <v>28</v>
      </c>
      <c r="G692" s="3">
        <f>IF(E692&gt;=20,2000,1900) + D692</f>
        <v>2014</v>
      </c>
      <c r="H692">
        <f t="shared" si="73"/>
        <v>10</v>
      </c>
      <c r="I692" s="4">
        <f t="shared" si="74"/>
        <v>28</v>
      </c>
      <c r="J692">
        <f t="shared" si="75"/>
        <v>20143028</v>
      </c>
      <c r="K692" t="str">
        <f t="shared" si="76"/>
        <v>28.30.2014</v>
      </c>
    </row>
    <row r="693" spans="1:11" x14ac:dyDescent="0.25">
      <c r="A693" s="4" t="s">
        <v>719</v>
      </c>
      <c r="B693" t="s">
        <v>10</v>
      </c>
      <c r="C693" t="s">
        <v>4</v>
      </c>
      <c r="D693" s="3">
        <f t="shared" si="70"/>
        <v>11</v>
      </c>
      <c r="E693" s="4">
        <f t="shared" si="71"/>
        <v>27</v>
      </c>
      <c r="F693" s="4">
        <f t="shared" si="72"/>
        <v>28</v>
      </c>
      <c r="G693" s="3">
        <f>IF(E693&gt;=20,2000,1900) + D693</f>
        <v>2011</v>
      </c>
      <c r="H693">
        <f t="shared" si="73"/>
        <v>7</v>
      </c>
      <c r="I693" s="4">
        <f t="shared" si="74"/>
        <v>28</v>
      </c>
      <c r="J693">
        <f t="shared" si="75"/>
        <v>20112728</v>
      </c>
      <c r="K693" t="str">
        <f t="shared" si="76"/>
        <v>28.27.2011</v>
      </c>
    </row>
    <row r="694" spans="1:11" x14ac:dyDescent="0.25">
      <c r="A694" s="4" t="s">
        <v>720</v>
      </c>
      <c r="B694" t="s">
        <v>19</v>
      </c>
      <c r="C694" t="s">
        <v>6</v>
      </c>
      <c r="D694" s="3">
        <f t="shared" si="70"/>
        <v>5</v>
      </c>
      <c r="E694" s="4">
        <f t="shared" si="71"/>
        <v>29</v>
      </c>
      <c r="F694" s="4">
        <f t="shared" si="72"/>
        <v>18</v>
      </c>
      <c r="G694" s="3">
        <f>IF(E694&gt;=20,2000,1900) + D694</f>
        <v>2005</v>
      </c>
      <c r="H694">
        <f t="shared" si="73"/>
        <v>9</v>
      </c>
      <c r="I694" s="4">
        <f t="shared" si="74"/>
        <v>18</v>
      </c>
      <c r="J694">
        <f t="shared" si="75"/>
        <v>20052918</v>
      </c>
      <c r="K694" t="str">
        <f t="shared" si="76"/>
        <v>18.29.2005</v>
      </c>
    </row>
    <row r="695" spans="1:11" x14ac:dyDescent="0.25">
      <c r="A695" s="4" t="s">
        <v>721</v>
      </c>
      <c r="B695" t="s">
        <v>19</v>
      </c>
      <c r="C695" t="s">
        <v>4</v>
      </c>
      <c r="D695" s="3">
        <f t="shared" si="70"/>
        <v>14</v>
      </c>
      <c r="E695" s="4">
        <f t="shared" si="71"/>
        <v>21</v>
      </c>
      <c r="F695" s="4">
        <f t="shared" si="72"/>
        <v>27</v>
      </c>
      <c r="G695" s="3">
        <f>IF(E695&gt;=20,2000,1900) + D695</f>
        <v>2014</v>
      </c>
      <c r="H695">
        <f t="shared" si="73"/>
        <v>1</v>
      </c>
      <c r="I695" s="4">
        <f t="shared" si="74"/>
        <v>27</v>
      </c>
      <c r="J695">
        <f t="shared" si="75"/>
        <v>20142127</v>
      </c>
      <c r="K695" t="str">
        <f t="shared" si="76"/>
        <v>27.21.2014</v>
      </c>
    </row>
    <row r="696" spans="1:11" x14ac:dyDescent="0.25">
      <c r="A696" s="4" t="s">
        <v>722</v>
      </c>
      <c r="B696" t="s">
        <v>19</v>
      </c>
      <c r="C696" t="s">
        <v>6</v>
      </c>
      <c r="D696" s="3">
        <f t="shared" si="70"/>
        <v>3</v>
      </c>
      <c r="E696" s="4">
        <f t="shared" si="71"/>
        <v>21</v>
      </c>
      <c r="F696" s="4">
        <f t="shared" si="72"/>
        <v>1</v>
      </c>
      <c r="G696" s="3">
        <f>IF(E696&gt;=20,2000,1900) + D696</f>
        <v>2003</v>
      </c>
      <c r="H696">
        <f t="shared" si="73"/>
        <v>1</v>
      </c>
      <c r="I696" s="4">
        <f t="shared" si="74"/>
        <v>1</v>
      </c>
      <c r="J696">
        <f t="shared" si="75"/>
        <v>20032101</v>
      </c>
      <c r="K696" t="str">
        <f t="shared" si="76"/>
        <v>01.21.2003</v>
      </c>
    </row>
    <row r="697" spans="1:11" x14ac:dyDescent="0.25">
      <c r="A697" s="4" t="s">
        <v>723</v>
      </c>
      <c r="B697" t="s">
        <v>16</v>
      </c>
      <c r="C697" t="s">
        <v>6</v>
      </c>
      <c r="D697" s="3">
        <f t="shared" si="70"/>
        <v>14</v>
      </c>
      <c r="E697" s="4">
        <f t="shared" si="71"/>
        <v>29</v>
      </c>
      <c r="F697" s="4">
        <f t="shared" si="72"/>
        <v>14</v>
      </c>
      <c r="G697" s="3">
        <f>IF(E697&gt;=20,2000,1900) + D697</f>
        <v>2014</v>
      </c>
      <c r="H697">
        <f t="shared" si="73"/>
        <v>9</v>
      </c>
      <c r="I697" s="4">
        <f t="shared" si="74"/>
        <v>14</v>
      </c>
      <c r="J697">
        <f t="shared" si="75"/>
        <v>20142914</v>
      </c>
      <c r="K697" t="str">
        <f t="shared" si="76"/>
        <v>14.29.2014</v>
      </c>
    </row>
    <row r="698" spans="1:11" x14ac:dyDescent="0.25">
      <c r="A698" s="4" t="s">
        <v>724</v>
      </c>
      <c r="B698" t="s">
        <v>12</v>
      </c>
      <c r="C698" t="s">
        <v>6</v>
      </c>
      <c r="D698" s="3">
        <f t="shared" si="70"/>
        <v>12</v>
      </c>
      <c r="E698" s="4">
        <f t="shared" si="71"/>
        <v>30</v>
      </c>
      <c r="F698" s="4">
        <f t="shared" si="72"/>
        <v>6</v>
      </c>
      <c r="G698" s="3">
        <f>IF(E698&gt;=20,2000,1900) + D698</f>
        <v>2012</v>
      </c>
      <c r="H698">
        <f t="shared" si="73"/>
        <v>10</v>
      </c>
      <c r="I698" s="4">
        <f t="shared" si="74"/>
        <v>6</v>
      </c>
      <c r="J698">
        <f t="shared" si="75"/>
        <v>20123006</v>
      </c>
      <c r="K698" t="str">
        <f t="shared" si="76"/>
        <v>06.30.2012</v>
      </c>
    </row>
    <row r="699" spans="1:11" x14ac:dyDescent="0.25">
      <c r="A699" s="4" t="s">
        <v>725</v>
      </c>
      <c r="B699" t="s">
        <v>11</v>
      </c>
      <c r="C699" t="s">
        <v>6</v>
      </c>
      <c r="D699" s="3">
        <f t="shared" si="70"/>
        <v>16</v>
      </c>
      <c r="E699" s="4">
        <f t="shared" si="71"/>
        <v>23</v>
      </c>
      <c r="F699" s="4">
        <f t="shared" si="72"/>
        <v>8</v>
      </c>
      <c r="G699" s="3">
        <f>IF(E699&gt;=20,2000,1900) + D699</f>
        <v>2016</v>
      </c>
      <c r="H699">
        <f t="shared" si="73"/>
        <v>3</v>
      </c>
      <c r="I699" s="4">
        <f t="shared" si="74"/>
        <v>8</v>
      </c>
      <c r="J699">
        <f t="shared" si="75"/>
        <v>20162308</v>
      </c>
      <c r="K699" t="str">
        <f t="shared" si="76"/>
        <v>08.23.2016</v>
      </c>
    </row>
    <row r="700" spans="1:11" x14ac:dyDescent="0.25">
      <c r="A700" s="4" t="s">
        <v>726</v>
      </c>
      <c r="B700" t="s">
        <v>11</v>
      </c>
      <c r="C700" t="s">
        <v>6</v>
      </c>
      <c r="D700" s="3">
        <f t="shared" si="70"/>
        <v>1</v>
      </c>
      <c r="E700" s="4">
        <f t="shared" si="71"/>
        <v>22</v>
      </c>
      <c r="F700" s="4">
        <f t="shared" si="72"/>
        <v>7</v>
      </c>
      <c r="G700" s="3">
        <f>IF(E700&gt;=20,2000,1900) + D700</f>
        <v>2001</v>
      </c>
      <c r="H700">
        <f t="shared" si="73"/>
        <v>2</v>
      </c>
      <c r="I700" s="4">
        <f t="shared" si="74"/>
        <v>7</v>
      </c>
      <c r="J700">
        <f t="shared" si="75"/>
        <v>20012207</v>
      </c>
      <c r="K700" t="str">
        <f t="shared" si="76"/>
        <v>07.22.2001</v>
      </c>
    </row>
    <row r="701" spans="1:11" x14ac:dyDescent="0.25">
      <c r="A701" s="4" t="s">
        <v>727</v>
      </c>
      <c r="B701" t="s">
        <v>20</v>
      </c>
      <c r="C701" t="s">
        <v>4</v>
      </c>
      <c r="D701" s="3">
        <f t="shared" si="70"/>
        <v>19</v>
      </c>
      <c r="E701" s="4">
        <f t="shared" si="71"/>
        <v>22</v>
      </c>
      <c r="F701" s="4">
        <f t="shared" si="72"/>
        <v>9</v>
      </c>
      <c r="G701" s="3">
        <f>IF(E701&gt;=20,2000,1900) + D701</f>
        <v>2019</v>
      </c>
      <c r="H701">
        <f t="shared" si="73"/>
        <v>2</v>
      </c>
      <c r="I701" s="4">
        <f t="shared" si="74"/>
        <v>9</v>
      </c>
      <c r="J701">
        <f t="shared" si="75"/>
        <v>20192209</v>
      </c>
      <c r="K701" t="str">
        <f t="shared" si="76"/>
        <v>09.22.2019</v>
      </c>
    </row>
    <row r="702" spans="1:11" x14ac:dyDescent="0.25">
      <c r="A702" s="4" t="s">
        <v>728</v>
      </c>
      <c r="B702" t="s">
        <v>10</v>
      </c>
      <c r="C702" t="s">
        <v>4</v>
      </c>
      <c r="D702" s="3">
        <f t="shared" si="70"/>
        <v>7</v>
      </c>
      <c r="E702" s="4">
        <f t="shared" si="71"/>
        <v>24</v>
      </c>
      <c r="F702" s="4">
        <f t="shared" si="72"/>
        <v>7</v>
      </c>
      <c r="G702" s="3">
        <f>IF(E702&gt;=20,2000,1900) + D702</f>
        <v>2007</v>
      </c>
      <c r="H702">
        <f t="shared" si="73"/>
        <v>4</v>
      </c>
      <c r="I702" s="4">
        <f t="shared" si="74"/>
        <v>7</v>
      </c>
      <c r="J702">
        <f t="shared" si="75"/>
        <v>20072407</v>
      </c>
      <c r="K702" t="str">
        <f t="shared" si="76"/>
        <v>07.24.2007</v>
      </c>
    </row>
    <row r="703" spans="1:11" x14ac:dyDescent="0.25">
      <c r="A703" s="4" t="s">
        <v>729</v>
      </c>
      <c r="B703" t="s">
        <v>18</v>
      </c>
      <c r="C703" t="s">
        <v>4</v>
      </c>
      <c r="D703" s="3">
        <f t="shared" si="70"/>
        <v>6</v>
      </c>
      <c r="E703" s="4">
        <f t="shared" si="71"/>
        <v>29</v>
      </c>
      <c r="F703" s="4">
        <f t="shared" si="72"/>
        <v>22</v>
      </c>
      <c r="G703" s="3">
        <f>IF(E703&gt;=20,2000,1900) + D703</f>
        <v>2006</v>
      </c>
      <c r="H703">
        <f t="shared" si="73"/>
        <v>9</v>
      </c>
      <c r="I703" s="4">
        <f t="shared" si="74"/>
        <v>22</v>
      </c>
      <c r="J703">
        <f t="shared" si="75"/>
        <v>20062922</v>
      </c>
      <c r="K703" t="str">
        <f t="shared" si="76"/>
        <v>22.29.2006</v>
      </c>
    </row>
    <row r="704" spans="1:11" x14ac:dyDescent="0.25">
      <c r="A704" s="4" t="s">
        <v>730</v>
      </c>
      <c r="B704" t="s">
        <v>10</v>
      </c>
      <c r="C704" t="s">
        <v>4</v>
      </c>
      <c r="D704" s="3">
        <f t="shared" si="70"/>
        <v>17</v>
      </c>
      <c r="E704" s="4">
        <f t="shared" si="71"/>
        <v>31</v>
      </c>
      <c r="F704" s="4">
        <f t="shared" si="72"/>
        <v>11</v>
      </c>
      <c r="G704" s="3">
        <f>IF(E704&gt;=20,2000,1900) + D704</f>
        <v>2017</v>
      </c>
      <c r="H704">
        <f t="shared" si="73"/>
        <v>11</v>
      </c>
      <c r="I704" s="4">
        <f t="shared" si="74"/>
        <v>11</v>
      </c>
      <c r="J704">
        <f t="shared" si="75"/>
        <v>20173111</v>
      </c>
      <c r="K704" t="str">
        <f t="shared" si="76"/>
        <v>11.31.2017</v>
      </c>
    </row>
    <row r="705" spans="1:11" x14ac:dyDescent="0.25">
      <c r="A705" s="4" t="s">
        <v>731</v>
      </c>
      <c r="B705" t="s">
        <v>17</v>
      </c>
      <c r="C705" t="s">
        <v>4</v>
      </c>
      <c r="D705" s="3">
        <f t="shared" si="70"/>
        <v>16</v>
      </c>
      <c r="E705" s="4">
        <f t="shared" si="71"/>
        <v>32</v>
      </c>
      <c r="F705" s="4">
        <f t="shared" si="72"/>
        <v>11</v>
      </c>
      <c r="G705" s="3">
        <f>IF(E705&gt;=20,2000,1900) + D705</f>
        <v>2016</v>
      </c>
      <c r="H705">
        <f t="shared" si="73"/>
        <v>12</v>
      </c>
      <c r="I705" s="4">
        <f t="shared" si="74"/>
        <v>11</v>
      </c>
      <c r="J705">
        <f t="shared" si="75"/>
        <v>20163211</v>
      </c>
      <c r="K705" t="str">
        <f t="shared" si="76"/>
        <v>11.32.2016</v>
      </c>
    </row>
    <row r="706" spans="1:11" x14ac:dyDescent="0.25">
      <c r="A706" s="4" t="s">
        <v>732</v>
      </c>
      <c r="B706" t="s">
        <v>19</v>
      </c>
      <c r="C706" t="s">
        <v>6</v>
      </c>
      <c r="D706" s="3">
        <f t="shared" si="70"/>
        <v>6</v>
      </c>
      <c r="E706" s="4">
        <f t="shared" si="71"/>
        <v>29</v>
      </c>
      <c r="F706" s="4">
        <f t="shared" si="72"/>
        <v>21</v>
      </c>
      <c r="G706" s="3">
        <f>IF(E706&gt;=20,2000,1900) + D706</f>
        <v>2006</v>
      </c>
      <c r="H706">
        <f t="shared" si="73"/>
        <v>9</v>
      </c>
      <c r="I706" s="4">
        <f t="shared" si="74"/>
        <v>21</v>
      </c>
      <c r="J706">
        <f t="shared" si="75"/>
        <v>20062921</v>
      </c>
      <c r="K706" t="str">
        <f t="shared" si="76"/>
        <v>21.29.2006</v>
      </c>
    </row>
    <row r="707" spans="1:11" x14ac:dyDescent="0.25">
      <c r="A707" s="4" t="s">
        <v>733</v>
      </c>
      <c r="B707" t="s">
        <v>15</v>
      </c>
      <c r="C707" t="s">
        <v>6</v>
      </c>
      <c r="D707" s="3">
        <f t="shared" ref="D707:D770" si="77">MID(A707,1,2)*1</f>
        <v>5</v>
      </c>
      <c r="E707" s="4">
        <f t="shared" ref="E707:E770" si="78">MID(A707,3,2)*1</f>
        <v>23</v>
      </c>
      <c r="F707" s="4">
        <f t="shared" ref="F707:F770" si="79">MID(A707,5,2)*1</f>
        <v>8</v>
      </c>
      <c r="G707" s="3">
        <f>IF(E707&gt;=20,2000,1900) + D707</f>
        <v>2005</v>
      </c>
      <c r="H707">
        <f t="shared" ref="H707:H770" si="80">IF(E707&gt;=20,E707-20,E707)</f>
        <v>3</v>
      </c>
      <c r="I707" s="4">
        <f t="shared" ref="I707:I770" si="81">F707</f>
        <v>8</v>
      </c>
      <c r="J707">
        <f t="shared" ref="J707:J770" si="82">CONCATENATE(G707,IF(LEN(E707)=1,CONCATENATE("0",E707),E707),IF(LEN(F707)=1,CONCATENATE("0",F707),F707))*1</f>
        <v>20052308</v>
      </c>
      <c r="K707" t="str">
        <f t="shared" ref="K707:K770" si="83">CONCATENATE(RIGHT(J707,2),".",MID(J707,5,2),".",LEFT(J707,4))</f>
        <v>08.23.2005</v>
      </c>
    </row>
    <row r="708" spans="1:11" x14ac:dyDescent="0.25">
      <c r="A708" s="4" t="s">
        <v>734</v>
      </c>
      <c r="B708" t="s">
        <v>7</v>
      </c>
      <c r="C708" t="s">
        <v>4</v>
      </c>
      <c r="D708" s="3">
        <f t="shared" si="77"/>
        <v>18</v>
      </c>
      <c r="E708" s="4">
        <f t="shared" si="78"/>
        <v>27</v>
      </c>
      <c r="F708" s="4">
        <f t="shared" si="79"/>
        <v>14</v>
      </c>
      <c r="G708" s="3">
        <f>IF(E708&gt;=20,2000,1900) + D708</f>
        <v>2018</v>
      </c>
      <c r="H708">
        <f t="shared" si="80"/>
        <v>7</v>
      </c>
      <c r="I708" s="4">
        <f t="shared" si="81"/>
        <v>14</v>
      </c>
      <c r="J708">
        <f t="shared" si="82"/>
        <v>20182714</v>
      </c>
      <c r="K708" t="str">
        <f t="shared" si="83"/>
        <v>14.27.2018</v>
      </c>
    </row>
    <row r="709" spans="1:11" x14ac:dyDescent="0.25">
      <c r="A709" s="4" t="s">
        <v>735</v>
      </c>
      <c r="B709" t="s">
        <v>5</v>
      </c>
      <c r="C709" t="s">
        <v>4</v>
      </c>
      <c r="D709" s="3">
        <f t="shared" si="77"/>
        <v>6</v>
      </c>
      <c r="E709" s="4">
        <f t="shared" si="78"/>
        <v>32</v>
      </c>
      <c r="F709" s="4">
        <f t="shared" si="79"/>
        <v>12</v>
      </c>
      <c r="G709" s="3">
        <f>IF(E709&gt;=20,2000,1900) + D709</f>
        <v>2006</v>
      </c>
      <c r="H709">
        <f t="shared" si="80"/>
        <v>12</v>
      </c>
      <c r="I709" s="4">
        <f t="shared" si="81"/>
        <v>12</v>
      </c>
      <c r="J709">
        <f t="shared" si="82"/>
        <v>20063212</v>
      </c>
      <c r="K709" t="str">
        <f t="shared" si="83"/>
        <v>12.32.2006</v>
      </c>
    </row>
    <row r="710" spans="1:11" x14ac:dyDescent="0.25">
      <c r="A710" s="4" t="s">
        <v>736</v>
      </c>
      <c r="B710" t="s">
        <v>8</v>
      </c>
      <c r="C710" t="s">
        <v>6</v>
      </c>
      <c r="D710" s="3">
        <f t="shared" si="77"/>
        <v>18</v>
      </c>
      <c r="E710" s="4">
        <f t="shared" si="78"/>
        <v>26</v>
      </c>
      <c r="F710" s="4">
        <f t="shared" si="79"/>
        <v>26</v>
      </c>
      <c r="G710" s="3">
        <f>IF(E710&gt;=20,2000,1900) + D710</f>
        <v>2018</v>
      </c>
      <c r="H710">
        <f t="shared" si="80"/>
        <v>6</v>
      </c>
      <c r="I710" s="4">
        <f t="shared" si="81"/>
        <v>26</v>
      </c>
      <c r="J710">
        <f t="shared" si="82"/>
        <v>20182626</v>
      </c>
      <c r="K710" t="str">
        <f t="shared" si="83"/>
        <v>26.26.2018</v>
      </c>
    </row>
    <row r="711" spans="1:11" x14ac:dyDescent="0.25">
      <c r="A711" s="4" t="s">
        <v>737</v>
      </c>
      <c r="B711" t="s">
        <v>7</v>
      </c>
      <c r="C711" t="s">
        <v>4</v>
      </c>
      <c r="D711" s="3">
        <f t="shared" si="77"/>
        <v>7</v>
      </c>
      <c r="E711" s="4">
        <f t="shared" si="78"/>
        <v>26</v>
      </c>
      <c r="F711" s="4">
        <f t="shared" si="79"/>
        <v>12</v>
      </c>
      <c r="G711" s="3">
        <f>IF(E711&gt;=20,2000,1900) + D711</f>
        <v>2007</v>
      </c>
      <c r="H711">
        <f t="shared" si="80"/>
        <v>6</v>
      </c>
      <c r="I711" s="4">
        <f t="shared" si="81"/>
        <v>12</v>
      </c>
      <c r="J711">
        <f t="shared" si="82"/>
        <v>20072612</v>
      </c>
      <c r="K711" t="str">
        <f t="shared" si="83"/>
        <v>12.26.2007</v>
      </c>
    </row>
    <row r="712" spans="1:11" x14ac:dyDescent="0.25">
      <c r="A712" s="4" t="s">
        <v>738</v>
      </c>
      <c r="B712" t="s">
        <v>16</v>
      </c>
      <c r="C712" t="s">
        <v>4</v>
      </c>
      <c r="D712" s="3">
        <f t="shared" si="77"/>
        <v>8</v>
      </c>
      <c r="E712" s="4">
        <f t="shared" si="78"/>
        <v>30</v>
      </c>
      <c r="F712" s="4">
        <f t="shared" si="79"/>
        <v>6</v>
      </c>
      <c r="G712" s="3">
        <f>IF(E712&gt;=20,2000,1900) + D712</f>
        <v>2008</v>
      </c>
      <c r="H712">
        <f t="shared" si="80"/>
        <v>10</v>
      </c>
      <c r="I712" s="4">
        <f t="shared" si="81"/>
        <v>6</v>
      </c>
      <c r="J712">
        <f t="shared" si="82"/>
        <v>20083006</v>
      </c>
      <c r="K712" t="str">
        <f t="shared" si="83"/>
        <v>06.30.2008</v>
      </c>
    </row>
    <row r="713" spans="1:11" x14ac:dyDescent="0.25">
      <c r="A713" s="4" t="s">
        <v>739</v>
      </c>
      <c r="B713" t="s">
        <v>10</v>
      </c>
      <c r="C713" t="s">
        <v>6</v>
      </c>
      <c r="D713" s="3">
        <f t="shared" si="77"/>
        <v>8</v>
      </c>
      <c r="E713" s="4">
        <f t="shared" si="78"/>
        <v>22</v>
      </c>
      <c r="F713" s="4">
        <f t="shared" si="79"/>
        <v>11</v>
      </c>
      <c r="G713" s="3">
        <f>IF(E713&gt;=20,2000,1900) + D713</f>
        <v>2008</v>
      </c>
      <c r="H713">
        <f t="shared" si="80"/>
        <v>2</v>
      </c>
      <c r="I713" s="4">
        <f t="shared" si="81"/>
        <v>11</v>
      </c>
      <c r="J713">
        <f t="shared" si="82"/>
        <v>20082211</v>
      </c>
      <c r="K713" t="str">
        <f t="shared" si="83"/>
        <v>11.22.2008</v>
      </c>
    </row>
    <row r="714" spans="1:11" x14ac:dyDescent="0.25">
      <c r="A714" s="4" t="s">
        <v>740</v>
      </c>
      <c r="B714" t="s">
        <v>10</v>
      </c>
      <c r="C714" t="s">
        <v>4</v>
      </c>
      <c r="D714" s="3">
        <f t="shared" si="77"/>
        <v>5</v>
      </c>
      <c r="E714" s="4">
        <f t="shared" si="78"/>
        <v>22</v>
      </c>
      <c r="F714" s="4">
        <f t="shared" si="79"/>
        <v>1</v>
      </c>
      <c r="G714" s="3">
        <f>IF(E714&gt;=20,2000,1900) + D714</f>
        <v>2005</v>
      </c>
      <c r="H714">
        <f t="shared" si="80"/>
        <v>2</v>
      </c>
      <c r="I714" s="4">
        <f t="shared" si="81"/>
        <v>1</v>
      </c>
      <c r="J714">
        <f t="shared" si="82"/>
        <v>20052201</v>
      </c>
      <c r="K714" t="str">
        <f t="shared" si="83"/>
        <v>01.22.2005</v>
      </c>
    </row>
    <row r="715" spans="1:11" x14ac:dyDescent="0.25">
      <c r="A715" s="4" t="s">
        <v>741</v>
      </c>
      <c r="B715" t="s">
        <v>12</v>
      </c>
      <c r="C715" t="s">
        <v>4</v>
      </c>
      <c r="D715" s="3">
        <f t="shared" si="77"/>
        <v>11</v>
      </c>
      <c r="E715" s="4">
        <f t="shared" si="78"/>
        <v>22</v>
      </c>
      <c r="F715" s="4">
        <f t="shared" si="79"/>
        <v>20</v>
      </c>
      <c r="G715" s="3">
        <f>IF(E715&gt;=20,2000,1900) + D715</f>
        <v>2011</v>
      </c>
      <c r="H715">
        <f t="shared" si="80"/>
        <v>2</v>
      </c>
      <c r="I715" s="4">
        <f t="shared" si="81"/>
        <v>20</v>
      </c>
      <c r="J715">
        <f t="shared" si="82"/>
        <v>20112220</v>
      </c>
      <c r="K715" t="str">
        <f t="shared" si="83"/>
        <v>20.22.2011</v>
      </c>
    </row>
    <row r="716" spans="1:11" x14ac:dyDescent="0.25">
      <c r="A716" s="4" t="s">
        <v>742</v>
      </c>
      <c r="B716" t="s">
        <v>18</v>
      </c>
      <c r="C716" t="s">
        <v>4</v>
      </c>
      <c r="D716" s="3">
        <f t="shared" si="77"/>
        <v>18</v>
      </c>
      <c r="E716" s="4">
        <f t="shared" si="78"/>
        <v>32</v>
      </c>
      <c r="F716" s="4">
        <f t="shared" si="79"/>
        <v>2</v>
      </c>
      <c r="G716" s="3">
        <f>IF(E716&gt;=20,2000,1900) + D716</f>
        <v>2018</v>
      </c>
      <c r="H716">
        <f t="shared" si="80"/>
        <v>12</v>
      </c>
      <c r="I716" s="4">
        <f t="shared" si="81"/>
        <v>2</v>
      </c>
      <c r="J716">
        <f t="shared" si="82"/>
        <v>20183202</v>
      </c>
      <c r="K716" t="str">
        <f t="shared" si="83"/>
        <v>02.32.2018</v>
      </c>
    </row>
    <row r="717" spans="1:11" x14ac:dyDescent="0.25">
      <c r="A717" s="4" t="s">
        <v>743</v>
      </c>
      <c r="B717" t="s">
        <v>3</v>
      </c>
      <c r="C717" t="s">
        <v>6</v>
      </c>
      <c r="D717" s="3">
        <f t="shared" si="77"/>
        <v>19</v>
      </c>
      <c r="E717" s="4">
        <f t="shared" si="78"/>
        <v>30</v>
      </c>
      <c r="F717" s="4">
        <f t="shared" si="79"/>
        <v>30</v>
      </c>
      <c r="G717" s="3">
        <f>IF(E717&gt;=20,2000,1900) + D717</f>
        <v>2019</v>
      </c>
      <c r="H717">
        <f t="shared" si="80"/>
        <v>10</v>
      </c>
      <c r="I717" s="4">
        <f t="shared" si="81"/>
        <v>30</v>
      </c>
      <c r="J717">
        <f t="shared" si="82"/>
        <v>20193030</v>
      </c>
      <c r="K717" t="str">
        <f t="shared" si="83"/>
        <v>30.30.2019</v>
      </c>
    </row>
    <row r="718" spans="1:11" x14ac:dyDescent="0.25">
      <c r="A718" s="4" t="s">
        <v>744</v>
      </c>
      <c r="B718" t="s">
        <v>3</v>
      </c>
      <c r="C718" t="s">
        <v>6</v>
      </c>
      <c r="D718" s="3">
        <f t="shared" si="77"/>
        <v>16</v>
      </c>
      <c r="E718" s="4">
        <f t="shared" si="78"/>
        <v>29</v>
      </c>
      <c r="F718" s="4">
        <f t="shared" si="79"/>
        <v>13</v>
      </c>
      <c r="G718" s="3">
        <f>IF(E718&gt;=20,2000,1900) + D718</f>
        <v>2016</v>
      </c>
      <c r="H718">
        <f t="shared" si="80"/>
        <v>9</v>
      </c>
      <c r="I718" s="4">
        <f t="shared" si="81"/>
        <v>13</v>
      </c>
      <c r="J718">
        <f t="shared" si="82"/>
        <v>20162913</v>
      </c>
      <c r="K718" t="str">
        <f t="shared" si="83"/>
        <v>13.29.2016</v>
      </c>
    </row>
    <row r="719" spans="1:11" x14ac:dyDescent="0.25">
      <c r="A719" s="4" t="s">
        <v>745</v>
      </c>
      <c r="B719" t="s">
        <v>18</v>
      </c>
      <c r="C719" t="s">
        <v>4</v>
      </c>
      <c r="D719" s="3">
        <f t="shared" si="77"/>
        <v>8</v>
      </c>
      <c r="E719" s="4">
        <f t="shared" si="78"/>
        <v>25</v>
      </c>
      <c r="F719" s="4">
        <f t="shared" si="79"/>
        <v>6</v>
      </c>
      <c r="G719" s="3">
        <f>IF(E719&gt;=20,2000,1900) + D719</f>
        <v>2008</v>
      </c>
      <c r="H719">
        <f t="shared" si="80"/>
        <v>5</v>
      </c>
      <c r="I719" s="4">
        <f t="shared" si="81"/>
        <v>6</v>
      </c>
      <c r="J719">
        <f t="shared" si="82"/>
        <v>20082506</v>
      </c>
      <c r="K719" t="str">
        <f t="shared" si="83"/>
        <v>06.25.2008</v>
      </c>
    </row>
    <row r="720" spans="1:11" x14ac:dyDescent="0.25">
      <c r="A720" s="4" t="s">
        <v>746</v>
      </c>
      <c r="B720" t="s">
        <v>20</v>
      </c>
      <c r="C720" t="s">
        <v>6</v>
      </c>
      <c r="D720" s="3">
        <f t="shared" si="77"/>
        <v>5</v>
      </c>
      <c r="E720" s="4">
        <f t="shared" si="78"/>
        <v>26</v>
      </c>
      <c r="F720" s="4">
        <f t="shared" si="79"/>
        <v>30</v>
      </c>
      <c r="G720" s="3">
        <f>IF(E720&gt;=20,2000,1900) + D720</f>
        <v>2005</v>
      </c>
      <c r="H720">
        <f t="shared" si="80"/>
        <v>6</v>
      </c>
      <c r="I720" s="4">
        <f t="shared" si="81"/>
        <v>30</v>
      </c>
      <c r="J720">
        <f t="shared" si="82"/>
        <v>20052630</v>
      </c>
      <c r="K720" t="str">
        <f t="shared" si="83"/>
        <v>30.26.2005</v>
      </c>
    </row>
    <row r="721" spans="1:11" x14ac:dyDescent="0.25">
      <c r="A721" s="4" t="s">
        <v>747</v>
      </c>
      <c r="B721" t="s">
        <v>13</v>
      </c>
      <c r="C721" t="s">
        <v>6</v>
      </c>
      <c r="D721" s="3">
        <f t="shared" si="77"/>
        <v>0</v>
      </c>
      <c r="E721" s="4">
        <f t="shared" si="78"/>
        <v>21</v>
      </c>
      <c r="F721" s="4">
        <f t="shared" si="79"/>
        <v>31</v>
      </c>
      <c r="G721" s="3">
        <f>IF(E721&gt;=20,2000,1900) + D721</f>
        <v>2000</v>
      </c>
      <c r="H721">
        <f t="shared" si="80"/>
        <v>1</v>
      </c>
      <c r="I721" s="4">
        <f t="shared" si="81"/>
        <v>31</v>
      </c>
      <c r="J721">
        <f t="shared" si="82"/>
        <v>20002131</v>
      </c>
      <c r="K721" t="str">
        <f t="shared" si="83"/>
        <v>31.21.2000</v>
      </c>
    </row>
    <row r="722" spans="1:11" x14ac:dyDescent="0.25">
      <c r="A722" s="4" t="s">
        <v>748</v>
      </c>
      <c r="B722" t="s">
        <v>18</v>
      </c>
      <c r="C722" t="s">
        <v>6</v>
      </c>
      <c r="D722" s="3">
        <f t="shared" si="77"/>
        <v>8</v>
      </c>
      <c r="E722" s="4">
        <f t="shared" si="78"/>
        <v>32</v>
      </c>
      <c r="F722" s="4">
        <f t="shared" si="79"/>
        <v>27</v>
      </c>
      <c r="G722" s="3">
        <f>IF(E722&gt;=20,2000,1900) + D722</f>
        <v>2008</v>
      </c>
      <c r="H722">
        <f t="shared" si="80"/>
        <v>12</v>
      </c>
      <c r="I722" s="4">
        <f t="shared" si="81"/>
        <v>27</v>
      </c>
      <c r="J722">
        <f t="shared" si="82"/>
        <v>20083227</v>
      </c>
      <c r="K722" t="str">
        <f t="shared" si="83"/>
        <v>27.32.2008</v>
      </c>
    </row>
    <row r="723" spans="1:11" x14ac:dyDescent="0.25">
      <c r="A723" s="4" t="s">
        <v>749</v>
      </c>
      <c r="B723" t="s">
        <v>5</v>
      </c>
      <c r="C723" t="s">
        <v>4</v>
      </c>
      <c r="D723" s="3">
        <f t="shared" si="77"/>
        <v>16</v>
      </c>
      <c r="E723" s="4">
        <f t="shared" si="78"/>
        <v>25</v>
      </c>
      <c r="F723" s="4">
        <f t="shared" si="79"/>
        <v>15</v>
      </c>
      <c r="G723" s="3">
        <f>IF(E723&gt;=20,2000,1900) + D723</f>
        <v>2016</v>
      </c>
      <c r="H723">
        <f t="shared" si="80"/>
        <v>5</v>
      </c>
      <c r="I723" s="4">
        <f t="shared" si="81"/>
        <v>15</v>
      </c>
      <c r="J723">
        <f t="shared" si="82"/>
        <v>20162515</v>
      </c>
      <c r="K723" t="str">
        <f t="shared" si="83"/>
        <v>15.25.2016</v>
      </c>
    </row>
    <row r="724" spans="1:11" x14ac:dyDescent="0.25">
      <c r="A724" s="4" t="s">
        <v>750</v>
      </c>
      <c r="B724" t="s">
        <v>13</v>
      </c>
      <c r="C724" t="s">
        <v>6</v>
      </c>
      <c r="D724" s="3">
        <f t="shared" si="77"/>
        <v>10</v>
      </c>
      <c r="E724" s="4">
        <f t="shared" si="78"/>
        <v>29</v>
      </c>
      <c r="F724" s="4">
        <f t="shared" si="79"/>
        <v>27</v>
      </c>
      <c r="G724" s="3">
        <f>IF(E724&gt;=20,2000,1900) + D724</f>
        <v>2010</v>
      </c>
      <c r="H724">
        <f t="shared" si="80"/>
        <v>9</v>
      </c>
      <c r="I724" s="4">
        <f t="shared" si="81"/>
        <v>27</v>
      </c>
      <c r="J724">
        <f t="shared" si="82"/>
        <v>20102927</v>
      </c>
      <c r="K724" t="str">
        <f t="shared" si="83"/>
        <v>27.29.2010</v>
      </c>
    </row>
    <row r="725" spans="1:11" x14ac:dyDescent="0.25">
      <c r="A725" s="4" t="s">
        <v>751</v>
      </c>
      <c r="B725" t="s">
        <v>13</v>
      </c>
      <c r="C725" t="s">
        <v>6</v>
      </c>
      <c r="D725" s="3">
        <f t="shared" si="77"/>
        <v>14</v>
      </c>
      <c r="E725" s="4">
        <f t="shared" si="78"/>
        <v>23</v>
      </c>
      <c r="F725" s="4">
        <f t="shared" si="79"/>
        <v>13</v>
      </c>
      <c r="G725" s="3">
        <f>IF(E725&gt;=20,2000,1900) + D725</f>
        <v>2014</v>
      </c>
      <c r="H725">
        <f t="shared" si="80"/>
        <v>3</v>
      </c>
      <c r="I725" s="4">
        <f t="shared" si="81"/>
        <v>13</v>
      </c>
      <c r="J725">
        <f t="shared" si="82"/>
        <v>20142313</v>
      </c>
      <c r="K725" t="str">
        <f t="shared" si="83"/>
        <v>13.23.2014</v>
      </c>
    </row>
    <row r="726" spans="1:11" x14ac:dyDescent="0.25">
      <c r="A726" s="4" t="s">
        <v>752</v>
      </c>
      <c r="B726" t="s">
        <v>14</v>
      </c>
      <c r="C726" t="s">
        <v>4</v>
      </c>
      <c r="D726" s="3">
        <f t="shared" si="77"/>
        <v>21</v>
      </c>
      <c r="E726" s="4">
        <f t="shared" si="78"/>
        <v>22</v>
      </c>
      <c r="F726" s="4">
        <f t="shared" si="79"/>
        <v>26</v>
      </c>
      <c r="G726" s="3">
        <f>IF(E726&gt;=20,2000,1900) + D726</f>
        <v>2021</v>
      </c>
      <c r="H726">
        <f t="shared" si="80"/>
        <v>2</v>
      </c>
      <c r="I726" s="4">
        <f t="shared" si="81"/>
        <v>26</v>
      </c>
      <c r="J726">
        <f t="shared" si="82"/>
        <v>20212226</v>
      </c>
      <c r="K726" t="str">
        <f t="shared" si="83"/>
        <v>26.22.2021</v>
      </c>
    </row>
    <row r="727" spans="1:11" x14ac:dyDescent="0.25">
      <c r="A727" s="4" t="s">
        <v>753</v>
      </c>
      <c r="B727" t="s">
        <v>17</v>
      </c>
      <c r="C727" t="s">
        <v>6</v>
      </c>
      <c r="D727" s="3">
        <f t="shared" si="77"/>
        <v>12</v>
      </c>
      <c r="E727" s="4">
        <f t="shared" si="78"/>
        <v>29</v>
      </c>
      <c r="F727" s="4">
        <f t="shared" si="79"/>
        <v>22</v>
      </c>
      <c r="G727" s="3">
        <f>IF(E727&gt;=20,2000,1900) + D727</f>
        <v>2012</v>
      </c>
      <c r="H727">
        <f t="shared" si="80"/>
        <v>9</v>
      </c>
      <c r="I727" s="4">
        <f t="shared" si="81"/>
        <v>22</v>
      </c>
      <c r="J727">
        <f t="shared" si="82"/>
        <v>20122922</v>
      </c>
      <c r="K727" t="str">
        <f t="shared" si="83"/>
        <v>22.29.2012</v>
      </c>
    </row>
    <row r="728" spans="1:11" x14ac:dyDescent="0.25">
      <c r="A728" s="4" t="s">
        <v>754</v>
      </c>
      <c r="B728" t="s">
        <v>13</v>
      </c>
      <c r="C728" t="s">
        <v>6</v>
      </c>
      <c r="D728" s="3">
        <f t="shared" si="77"/>
        <v>7</v>
      </c>
      <c r="E728" s="4">
        <f t="shared" si="78"/>
        <v>28</v>
      </c>
      <c r="F728" s="4">
        <f t="shared" si="79"/>
        <v>29</v>
      </c>
      <c r="G728" s="3">
        <f>IF(E728&gt;=20,2000,1900) + D728</f>
        <v>2007</v>
      </c>
      <c r="H728">
        <f t="shared" si="80"/>
        <v>8</v>
      </c>
      <c r="I728" s="4">
        <f t="shared" si="81"/>
        <v>29</v>
      </c>
      <c r="J728">
        <f t="shared" si="82"/>
        <v>20072829</v>
      </c>
      <c r="K728" t="str">
        <f t="shared" si="83"/>
        <v>29.28.2007</v>
      </c>
    </row>
    <row r="729" spans="1:11" x14ac:dyDescent="0.25">
      <c r="A729" s="4" t="s">
        <v>755</v>
      </c>
      <c r="B729" t="s">
        <v>19</v>
      </c>
      <c r="C729" t="s">
        <v>6</v>
      </c>
      <c r="D729" s="3">
        <f t="shared" si="77"/>
        <v>9</v>
      </c>
      <c r="E729" s="4">
        <f t="shared" si="78"/>
        <v>22</v>
      </c>
      <c r="F729" s="4">
        <f t="shared" si="79"/>
        <v>5</v>
      </c>
      <c r="G729" s="3">
        <f>IF(E729&gt;=20,2000,1900) + D729</f>
        <v>2009</v>
      </c>
      <c r="H729">
        <f t="shared" si="80"/>
        <v>2</v>
      </c>
      <c r="I729" s="4">
        <f t="shared" si="81"/>
        <v>5</v>
      </c>
      <c r="J729">
        <f t="shared" si="82"/>
        <v>20092205</v>
      </c>
      <c r="K729" t="str">
        <f t="shared" si="83"/>
        <v>05.22.2009</v>
      </c>
    </row>
    <row r="730" spans="1:11" x14ac:dyDescent="0.25">
      <c r="A730" s="4" t="s">
        <v>756</v>
      </c>
      <c r="B730" t="s">
        <v>18</v>
      </c>
      <c r="C730" t="s">
        <v>6</v>
      </c>
      <c r="D730" s="3">
        <f t="shared" si="77"/>
        <v>21</v>
      </c>
      <c r="E730" s="4">
        <f t="shared" si="78"/>
        <v>23</v>
      </c>
      <c r="F730" s="4">
        <f t="shared" si="79"/>
        <v>1</v>
      </c>
      <c r="G730" s="3">
        <f>IF(E730&gt;=20,2000,1900) + D730</f>
        <v>2021</v>
      </c>
      <c r="H730">
        <f t="shared" si="80"/>
        <v>3</v>
      </c>
      <c r="I730" s="4">
        <f t="shared" si="81"/>
        <v>1</v>
      </c>
      <c r="J730">
        <f t="shared" si="82"/>
        <v>20212301</v>
      </c>
      <c r="K730" t="str">
        <f t="shared" si="83"/>
        <v>01.23.2021</v>
      </c>
    </row>
    <row r="731" spans="1:11" x14ac:dyDescent="0.25">
      <c r="A731" s="4" t="s">
        <v>757</v>
      </c>
      <c r="B731" t="s">
        <v>16</v>
      </c>
      <c r="C731" t="s">
        <v>4</v>
      </c>
      <c r="D731" s="3">
        <f t="shared" si="77"/>
        <v>11</v>
      </c>
      <c r="E731" s="4">
        <f t="shared" si="78"/>
        <v>31</v>
      </c>
      <c r="F731" s="4">
        <f t="shared" si="79"/>
        <v>23</v>
      </c>
      <c r="G731" s="3">
        <f>IF(E731&gt;=20,2000,1900) + D731</f>
        <v>2011</v>
      </c>
      <c r="H731">
        <f t="shared" si="80"/>
        <v>11</v>
      </c>
      <c r="I731" s="4">
        <f t="shared" si="81"/>
        <v>23</v>
      </c>
      <c r="J731">
        <f t="shared" si="82"/>
        <v>20113123</v>
      </c>
      <c r="K731" t="str">
        <f t="shared" si="83"/>
        <v>23.31.2011</v>
      </c>
    </row>
    <row r="732" spans="1:11" x14ac:dyDescent="0.25">
      <c r="A732" s="4" t="s">
        <v>758</v>
      </c>
      <c r="B732" t="s">
        <v>14</v>
      </c>
      <c r="C732" t="s">
        <v>4</v>
      </c>
      <c r="D732" s="3">
        <f t="shared" si="77"/>
        <v>9</v>
      </c>
      <c r="E732" s="4">
        <f t="shared" si="78"/>
        <v>24</v>
      </c>
      <c r="F732" s="4">
        <f t="shared" si="79"/>
        <v>6</v>
      </c>
      <c r="G732" s="3">
        <f>IF(E732&gt;=20,2000,1900) + D732</f>
        <v>2009</v>
      </c>
      <c r="H732">
        <f t="shared" si="80"/>
        <v>4</v>
      </c>
      <c r="I732" s="4">
        <f t="shared" si="81"/>
        <v>6</v>
      </c>
      <c r="J732">
        <f t="shared" si="82"/>
        <v>20092406</v>
      </c>
      <c r="K732" t="str">
        <f t="shared" si="83"/>
        <v>06.24.2009</v>
      </c>
    </row>
    <row r="733" spans="1:11" x14ac:dyDescent="0.25">
      <c r="A733" s="4" t="s">
        <v>759</v>
      </c>
      <c r="B733" t="s">
        <v>15</v>
      </c>
      <c r="C733" t="s">
        <v>6</v>
      </c>
      <c r="D733" s="3">
        <f t="shared" si="77"/>
        <v>0</v>
      </c>
      <c r="E733" s="4">
        <f t="shared" si="78"/>
        <v>31</v>
      </c>
      <c r="F733" s="4">
        <f t="shared" si="79"/>
        <v>21</v>
      </c>
      <c r="G733" s="3">
        <f>IF(E733&gt;=20,2000,1900) + D733</f>
        <v>2000</v>
      </c>
      <c r="H733">
        <f t="shared" si="80"/>
        <v>11</v>
      </c>
      <c r="I733" s="4">
        <f t="shared" si="81"/>
        <v>21</v>
      </c>
      <c r="J733">
        <f t="shared" si="82"/>
        <v>20003121</v>
      </c>
      <c r="K733" t="str">
        <f t="shared" si="83"/>
        <v>21.31.2000</v>
      </c>
    </row>
    <row r="734" spans="1:11" x14ac:dyDescent="0.25">
      <c r="A734" s="4" t="s">
        <v>760</v>
      </c>
      <c r="B734" t="s">
        <v>20</v>
      </c>
      <c r="C734" t="s">
        <v>4</v>
      </c>
      <c r="D734" s="3">
        <f t="shared" si="77"/>
        <v>8</v>
      </c>
      <c r="E734" s="4">
        <f t="shared" si="78"/>
        <v>28</v>
      </c>
      <c r="F734" s="4">
        <f t="shared" si="79"/>
        <v>11</v>
      </c>
      <c r="G734" s="3">
        <f>IF(E734&gt;=20,2000,1900) + D734</f>
        <v>2008</v>
      </c>
      <c r="H734">
        <f t="shared" si="80"/>
        <v>8</v>
      </c>
      <c r="I734" s="4">
        <f t="shared" si="81"/>
        <v>11</v>
      </c>
      <c r="J734">
        <f t="shared" si="82"/>
        <v>20082811</v>
      </c>
      <c r="K734" t="str">
        <f t="shared" si="83"/>
        <v>11.28.2008</v>
      </c>
    </row>
    <row r="735" spans="1:11" x14ac:dyDescent="0.25">
      <c r="A735" s="4" t="s">
        <v>761</v>
      </c>
      <c r="B735" t="s">
        <v>17</v>
      </c>
      <c r="C735" t="s">
        <v>6</v>
      </c>
      <c r="D735" s="3">
        <f t="shared" si="77"/>
        <v>5</v>
      </c>
      <c r="E735" s="4">
        <f t="shared" si="78"/>
        <v>22</v>
      </c>
      <c r="F735" s="4">
        <f t="shared" si="79"/>
        <v>12</v>
      </c>
      <c r="G735" s="3">
        <f>IF(E735&gt;=20,2000,1900) + D735</f>
        <v>2005</v>
      </c>
      <c r="H735">
        <f t="shared" si="80"/>
        <v>2</v>
      </c>
      <c r="I735" s="4">
        <f t="shared" si="81"/>
        <v>12</v>
      </c>
      <c r="J735">
        <f t="shared" si="82"/>
        <v>20052212</v>
      </c>
      <c r="K735" t="str">
        <f t="shared" si="83"/>
        <v>12.22.2005</v>
      </c>
    </row>
    <row r="736" spans="1:11" x14ac:dyDescent="0.25">
      <c r="A736" s="4" t="s">
        <v>762</v>
      </c>
      <c r="B736" t="s">
        <v>11</v>
      </c>
      <c r="C736" t="s">
        <v>4</v>
      </c>
      <c r="D736" s="3">
        <f t="shared" si="77"/>
        <v>16</v>
      </c>
      <c r="E736" s="4">
        <f t="shared" si="78"/>
        <v>21</v>
      </c>
      <c r="F736" s="4">
        <f t="shared" si="79"/>
        <v>24</v>
      </c>
      <c r="G736" s="3">
        <f>IF(E736&gt;=20,2000,1900) + D736</f>
        <v>2016</v>
      </c>
      <c r="H736">
        <f t="shared" si="80"/>
        <v>1</v>
      </c>
      <c r="I736" s="4">
        <f t="shared" si="81"/>
        <v>24</v>
      </c>
      <c r="J736">
        <f t="shared" si="82"/>
        <v>20162124</v>
      </c>
      <c r="K736" t="str">
        <f t="shared" si="83"/>
        <v>24.21.2016</v>
      </c>
    </row>
    <row r="737" spans="1:11" x14ac:dyDescent="0.25">
      <c r="A737" s="4" t="s">
        <v>763</v>
      </c>
      <c r="B737" t="s">
        <v>20</v>
      </c>
      <c r="C737" t="s">
        <v>4</v>
      </c>
      <c r="D737" s="3">
        <f t="shared" si="77"/>
        <v>15</v>
      </c>
      <c r="E737" s="4">
        <f t="shared" si="78"/>
        <v>30</v>
      </c>
      <c r="F737" s="4">
        <f t="shared" si="79"/>
        <v>6</v>
      </c>
      <c r="G737" s="3">
        <f>IF(E737&gt;=20,2000,1900) + D737</f>
        <v>2015</v>
      </c>
      <c r="H737">
        <f t="shared" si="80"/>
        <v>10</v>
      </c>
      <c r="I737" s="4">
        <f t="shared" si="81"/>
        <v>6</v>
      </c>
      <c r="J737">
        <f t="shared" si="82"/>
        <v>20153006</v>
      </c>
      <c r="K737" t="str">
        <f t="shared" si="83"/>
        <v>06.30.2015</v>
      </c>
    </row>
    <row r="738" spans="1:11" x14ac:dyDescent="0.25">
      <c r="A738" s="4" t="s">
        <v>764</v>
      </c>
      <c r="B738" t="s">
        <v>5</v>
      </c>
      <c r="C738" t="s">
        <v>4</v>
      </c>
      <c r="D738" s="3">
        <f t="shared" si="77"/>
        <v>15</v>
      </c>
      <c r="E738" s="4">
        <f t="shared" si="78"/>
        <v>29</v>
      </c>
      <c r="F738" s="4">
        <f t="shared" si="79"/>
        <v>18</v>
      </c>
      <c r="G738" s="3">
        <f>IF(E738&gt;=20,2000,1900) + D738</f>
        <v>2015</v>
      </c>
      <c r="H738">
        <f t="shared" si="80"/>
        <v>9</v>
      </c>
      <c r="I738" s="4">
        <f t="shared" si="81"/>
        <v>18</v>
      </c>
      <c r="J738">
        <f t="shared" si="82"/>
        <v>20152918</v>
      </c>
      <c r="K738" t="str">
        <f t="shared" si="83"/>
        <v>18.29.2015</v>
      </c>
    </row>
    <row r="739" spans="1:11" x14ac:dyDescent="0.25">
      <c r="A739" s="4" t="s">
        <v>765</v>
      </c>
      <c r="B739" t="s">
        <v>19</v>
      </c>
      <c r="C739" t="s">
        <v>6</v>
      </c>
      <c r="D739" s="3">
        <f t="shared" si="77"/>
        <v>19</v>
      </c>
      <c r="E739" s="4">
        <f t="shared" si="78"/>
        <v>30</v>
      </c>
      <c r="F739" s="4">
        <f t="shared" si="79"/>
        <v>15</v>
      </c>
      <c r="G739" s="3">
        <f>IF(E739&gt;=20,2000,1900) + D739</f>
        <v>2019</v>
      </c>
      <c r="H739">
        <f t="shared" si="80"/>
        <v>10</v>
      </c>
      <c r="I739" s="4">
        <f t="shared" si="81"/>
        <v>15</v>
      </c>
      <c r="J739">
        <f t="shared" si="82"/>
        <v>20193015</v>
      </c>
      <c r="K739" t="str">
        <f t="shared" si="83"/>
        <v>15.30.2019</v>
      </c>
    </row>
    <row r="740" spans="1:11" x14ac:dyDescent="0.25">
      <c r="A740" s="4" t="s">
        <v>766</v>
      </c>
      <c r="B740" t="s">
        <v>12</v>
      </c>
      <c r="C740" t="s">
        <v>4</v>
      </c>
      <c r="D740" s="3">
        <f t="shared" si="77"/>
        <v>3</v>
      </c>
      <c r="E740" s="4">
        <f t="shared" si="78"/>
        <v>21</v>
      </c>
      <c r="F740" s="4">
        <f t="shared" si="79"/>
        <v>14</v>
      </c>
      <c r="G740" s="3">
        <f>IF(E740&gt;=20,2000,1900) + D740</f>
        <v>2003</v>
      </c>
      <c r="H740">
        <f t="shared" si="80"/>
        <v>1</v>
      </c>
      <c r="I740" s="4">
        <f t="shared" si="81"/>
        <v>14</v>
      </c>
      <c r="J740">
        <f t="shared" si="82"/>
        <v>20032114</v>
      </c>
      <c r="K740" t="str">
        <f t="shared" si="83"/>
        <v>14.21.2003</v>
      </c>
    </row>
    <row r="741" spans="1:11" x14ac:dyDescent="0.25">
      <c r="A741" s="4" t="s">
        <v>767</v>
      </c>
      <c r="B741" t="s">
        <v>11</v>
      </c>
      <c r="C741" t="s">
        <v>4</v>
      </c>
      <c r="D741" s="3">
        <f t="shared" si="77"/>
        <v>6</v>
      </c>
      <c r="E741" s="4">
        <f t="shared" si="78"/>
        <v>24</v>
      </c>
      <c r="F741" s="4">
        <f t="shared" si="79"/>
        <v>21</v>
      </c>
      <c r="G741" s="3">
        <f>IF(E741&gt;=20,2000,1900) + D741</f>
        <v>2006</v>
      </c>
      <c r="H741">
        <f t="shared" si="80"/>
        <v>4</v>
      </c>
      <c r="I741" s="4">
        <f t="shared" si="81"/>
        <v>21</v>
      </c>
      <c r="J741">
        <f t="shared" si="82"/>
        <v>20062421</v>
      </c>
      <c r="K741" t="str">
        <f t="shared" si="83"/>
        <v>21.24.2006</v>
      </c>
    </row>
    <row r="742" spans="1:11" x14ac:dyDescent="0.25">
      <c r="A742" s="4" t="s">
        <v>768</v>
      </c>
      <c r="B742" t="s">
        <v>17</v>
      </c>
      <c r="C742" t="s">
        <v>4</v>
      </c>
      <c r="D742" s="3">
        <f t="shared" si="77"/>
        <v>3</v>
      </c>
      <c r="E742" s="4">
        <f t="shared" si="78"/>
        <v>25</v>
      </c>
      <c r="F742" s="4">
        <f t="shared" si="79"/>
        <v>28</v>
      </c>
      <c r="G742" s="3">
        <f>IF(E742&gt;=20,2000,1900) + D742</f>
        <v>2003</v>
      </c>
      <c r="H742">
        <f t="shared" si="80"/>
        <v>5</v>
      </c>
      <c r="I742" s="4">
        <f t="shared" si="81"/>
        <v>28</v>
      </c>
      <c r="J742">
        <f t="shared" si="82"/>
        <v>20032528</v>
      </c>
      <c r="K742" t="str">
        <f t="shared" si="83"/>
        <v>28.25.2003</v>
      </c>
    </row>
    <row r="743" spans="1:11" x14ac:dyDescent="0.25">
      <c r="A743" s="4" t="s">
        <v>769</v>
      </c>
      <c r="B743" t="s">
        <v>12</v>
      </c>
      <c r="C743" t="s">
        <v>4</v>
      </c>
      <c r="D743" s="3">
        <f t="shared" si="77"/>
        <v>16</v>
      </c>
      <c r="E743" s="4">
        <f t="shared" si="78"/>
        <v>29</v>
      </c>
      <c r="F743" s="4">
        <f t="shared" si="79"/>
        <v>29</v>
      </c>
      <c r="G743" s="3">
        <f>IF(E743&gt;=20,2000,1900) + D743</f>
        <v>2016</v>
      </c>
      <c r="H743">
        <f t="shared" si="80"/>
        <v>9</v>
      </c>
      <c r="I743" s="4">
        <f t="shared" si="81"/>
        <v>29</v>
      </c>
      <c r="J743">
        <f t="shared" si="82"/>
        <v>20162929</v>
      </c>
      <c r="K743" t="str">
        <f t="shared" si="83"/>
        <v>29.29.2016</v>
      </c>
    </row>
    <row r="744" spans="1:11" x14ac:dyDescent="0.25">
      <c r="A744" s="4" t="s">
        <v>770</v>
      </c>
      <c r="B744" t="s">
        <v>16</v>
      </c>
      <c r="C744" t="s">
        <v>6</v>
      </c>
      <c r="D744" s="3">
        <f t="shared" si="77"/>
        <v>0</v>
      </c>
      <c r="E744" s="4">
        <f t="shared" si="78"/>
        <v>27</v>
      </c>
      <c r="F744" s="4">
        <f t="shared" si="79"/>
        <v>27</v>
      </c>
      <c r="G744" s="3">
        <f>IF(E744&gt;=20,2000,1900) + D744</f>
        <v>2000</v>
      </c>
      <c r="H744">
        <f t="shared" si="80"/>
        <v>7</v>
      </c>
      <c r="I744" s="4">
        <f t="shared" si="81"/>
        <v>27</v>
      </c>
      <c r="J744">
        <f t="shared" si="82"/>
        <v>20002727</v>
      </c>
      <c r="K744" t="str">
        <f t="shared" si="83"/>
        <v>27.27.2000</v>
      </c>
    </row>
    <row r="745" spans="1:11" x14ac:dyDescent="0.25">
      <c r="A745" s="4" t="s">
        <v>771</v>
      </c>
      <c r="B745" t="s">
        <v>12</v>
      </c>
      <c r="C745" t="s">
        <v>6</v>
      </c>
      <c r="D745" s="3">
        <f t="shared" si="77"/>
        <v>6</v>
      </c>
      <c r="E745" s="4">
        <f t="shared" si="78"/>
        <v>25</v>
      </c>
      <c r="F745" s="4">
        <f t="shared" si="79"/>
        <v>21</v>
      </c>
      <c r="G745" s="3">
        <f>IF(E745&gt;=20,2000,1900) + D745</f>
        <v>2006</v>
      </c>
      <c r="H745">
        <f t="shared" si="80"/>
        <v>5</v>
      </c>
      <c r="I745" s="4">
        <f t="shared" si="81"/>
        <v>21</v>
      </c>
      <c r="J745">
        <f t="shared" si="82"/>
        <v>20062521</v>
      </c>
      <c r="K745" t="str">
        <f t="shared" si="83"/>
        <v>21.25.2006</v>
      </c>
    </row>
    <row r="746" spans="1:11" x14ac:dyDescent="0.25">
      <c r="A746" s="4" t="s">
        <v>772</v>
      </c>
      <c r="B746" t="s">
        <v>12</v>
      </c>
      <c r="C746" t="s">
        <v>6</v>
      </c>
      <c r="D746" s="3">
        <f t="shared" si="77"/>
        <v>12</v>
      </c>
      <c r="E746" s="4">
        <f t="shared" si="78"/>
        <v>24</v>
      </c>
      <c r="F746" s="4">
        <f t="shared" si="79"/>
        <v>17</v>
      </c>
      <c r="G746" s="3">
        <f>IF(E746&gt;=20,2000,1900) + D746</f>
        <v>2012</v>
      </c>
      <c r="H746">
        <f t="shared" si="80"/>
        <v>4</v>
      </c>
      <c r="I746" s="4">
        <f t="shared" si="81"/>
        <v>17</v>
      </c>
      <c r="J746">
        <f t="shared" si="82"/>
        <v>20122417</v>
      </c>
      <c r="K746" t="str">
        <f t="shared" si="83"/>
        <v>17.24.2012</v>
      </c>
    </row>
    <row r="747" spans="1:11" x14ac:dyDescent="0.25">
      <c r="A747" s="4" t="s">
        <v>773</v>
      </c>
      <c r="B747" t="s">
        <v>19</v>
      </c>
      <c r="C747" t="s">
        <v>6</v>
      </c>
      <c r="D747" s="3">
        <f t="shared" si="77"/>
        <v>17</v>
      </c>
      <c r="E747" s="4">
        <f t="shared" si="78"/>
        <v>25</v>
      </c>
      <c r="F747" s="4">
        <f t="shared" si="79"/>
        <v>1</v>
      </c>
      <c r="G747" s="3">
        <f>IF(E747&gt;=20,2000,1900) + D747</f>
        <v>2017</v>
      </c>
      <c r="H747">
        <f t="shared" si="80"/>
        <v>5</v>
      </c>
      <c r="I747" s="4">
        <f t="shared" si="81"/>
        <v>1</v>
      </c>
      <c r="J747">
        <f t="shared" si="82"/>
        <v>20172501</v>
      </c>
      <c r="K747" t="str">
        <f t="shared" si="83"/>
        <v>01.25.2017</v>
      </c>
    </row>
    <row r="748" spans="1:11" x14ac:dyDescent="0.25">
      <c r="A748" s="4" t="s">
        <v>774</v>
      </c>
      <c r="B748" t="s">
        <v>5</v>
      </c>
      <c r="C748" t="s">
        <v>6</v>
      </c>
      <c r="D748" s="3">
        <f t="shared" si="77"/>
        <v>15</v>
      </c>
      <c r="E748" s="4">
        <f t="shared" si="78"/>
        <v>31</v>
      </c>
      <c r="F748" s="4">
        <f t="shared" si="79"/>
        <v>26</v>
      </c>
      <c r="G748" s="3">
        <f>IF(E748&gt;=20,2000,1900) + D748</f>
        <v>2015</v>
      </c>
      <c r="H748">
        <f t="shared" si="80"/>
        <v>11</v>
      </c>
      <c r="I748" s="4">
        <f t="shared" si="81"/>
        <v>26</v>
      </c>
      <c r="J748">
        <f t="shared" si="82"/>
        <v>20153126</v>
      </c>
      <c r="K748" t="str">
        <f t="shared" si="83"/>
        <v>26.31.2015</v>
      </c>
    </row>
    <row r="749" spans="1:11" x14ac:dyDescent="0.25">
      <c r="A749" s="4" t="s">
        <v>775</v>
      </c>
      <c r="B749" t="s">
        <v>14</v>
      </c>
      <c r="C749" t="s">
        <v>4</v>
      </c>
      <c r="D749" s="3">
        <f t="shared" si="77"/>
        <v>11</v>
      </c>
      <c r="E749" s="4">
        <f t="shared" si="78"/>
        <v>26</v>
      </c>
      <c r="F749" s="4">
        <f t="shared" si="79"/>
        <v>13</v>
      </c>
      <c r="G749" s="3">
        <f>IF(E749&gt;=20,2000,1900) + D749</f>
        <v>2011</v>
      </c>
      <c r="H749">
        <f t="shared" si="80"/>
        <v>6</v>
      </c>
      <c r="I749" s="4">
        <f t="shared" si="81"/>
        <v>13</v>
      </c>
      <c r="J749">
        <f t="shared" si="82"/>
        <v>20112613</v>
      </c>
      <c r="K749" t="str">
        <f t="shared" si="83"/>
        <v>13.26.2011</v>
      </c>
    </row>
    <row r="750" spans="1:11" x14ac:dyDescent="0.25">
      <c r="A750" s="4" t="s">
        <v>776</v>
      </c>
      <c r="B750" t="s">
        <v>13</v>
      </c>
      <c r="C750" t="s">
        <v>4</v>
      </c>
      <c r="D750" s="3">
        <f t="shared" si="77"/>
        <v>11</v>
      </c>
      <c r="E750" s="4">
        <f t="shared" si="78"/>
        <v>27</v>
      </c>
      <c r="F750" s="4">
        <f t="shared" si="79"/>
        <v>8</v>
      </c>
      <c r="G750" s="3">
        <f>IF(E750&gt;=20,2000,1900) + D750</f>
        <v>2011</v>
      </c>
      <c r="H750">
        <f t="shared" si="80"/>
        <v>7</v>
      </c>
      <c r="I750" s="4">
        <f t="shared" si="81"/>
        <v>8</v>
      </c>
      <c r="J750">
        <f t="shared" si="82"/>
        <v>20112708</v>
      </c>
      <c r="K750" t="str">
        <f t="shared" si="83"/>
        <v>08.27.2011</v>
      </c>
    </row>
    <row r="751" spans="1:11" x14ac:dyDescent="0.25">
      <c r="A751" s="4" t="s">
        <v>777</v>
      </c>
      <c r="B751" t="s">
        <v>15</v>
      </c>
      <c r="C751" t="s">
        <v>4</v>
      </c>
      <c r="D751" s="3">
        <f t="shared" si="77"/>
        <v>13</v>
      </c>
      <c r="E751" s="4">
        <f t="shared" si="78"/>
        <v>25</v>
      </c>
      <c r="F751" s="4">
        <f t="shared" si="79"/>
        <v>10</v>
      </c>
      <c r="G751" s="3">
        <f>IF(E751&gt;=20,2000,1900) + D751</f>
        <v>2013</v>
      </c>
      <c r="H751">
        <f t="shared" si="80"/>
        <v>5</v>
      </c>
      <c r="I751" s="4">
        <f t="shared" si="81"/>
        <v>10</v>
      </c>
      <c r="J751">
        <f t="shared" si="82"/>
        <v>20132510</v>
      </c>
      <c r="K751" t="str">
        <f t="shared" si="83"/>
        <v>10.25.2013</v>
      </c>
    </row>
    <row r="752" spans="1:11" x14ac:dyDescent="0.25">
      <c r="A752" s="4" t="s">
        <v>778</v>
      </c>
      <c r="B752" t="s">
        <v>20</v>
      </c>
      <c r="C752" t="s">
        <v>4</v>
      </c>
      <c r="D752" s="3">
        <f t="shared" si="77"/>
        <v>16</v>
      </c>
      <c r="E752" s="4">
        <f t="shared" si="78"/>
        <v>25</v>
      </c>
      <c r="F752" s="4">
        <f t="shared" si="79"/>
        <v>14</v>
      </c>
      <c r="G752" s="3">
        <f>IF(E752&gt;=20,2000,1900) + D752</f>
        <v>2016</v>
      </c>
      <c r="H752">
        <f t="shared" si="80"/>
        <v>5</v>
      </c>
      <c r="I752" s="4">
        <f t="shared" si="81"/>
        <v>14</v>
      </c>
      <c r="J752">
        <f t="shared" si="82"/>
        <v>20162514</v>
      </c>
      <c r="K752" t="str">
        <f t="shared" si="83"/>
        <v>14.25.2016</v>
      </c>
    </row>
    <row r="753" spans="1:11" x14ac:dyDescent="0.25">
      <c r="A753" s="4" t="s">
        <v>779</v>
      </c>
      <c r="B753" t="s">
        <v>12</v>
      </c>
      <c r="C753" t="s">
        <v>6</v>
      </c>
      <c r="D753" s="3">
        <f t="shared" si="77"/>
        <v>21</v>
      </c>
      <c r="E753" s="4">
        <f t="shared" si="78"/>
        <v>27</v>
      </c>
      <c r="F753" s="4">
        <f t="shared" si="79"/>
        <v>2</v>
      </c>
      <c r="G753" s="3">
        <f>IF(E753&gt;=20,2000,1900) + D753</f>
        <v>2021</v>
      </c>
      <c r="H753">
        <f t="shared" si="80"/>
        <v>7</v>
      </c>
      <c r="I753" s="4">
        <f t="shared" si="81"/>
        <v>2</v>
      </c>
      <c r="J753">
        <f t="shared" si="82"/>
        <v>20212702</v>
      </c>
      <c r="K753" t="str">
        <f t="shared" si="83"/>
        <v>02.27.2021</v>
      </c>
    </row>
    <row r="754" spans="1:11" x14ac:dyDescent="0.25">
      <c r="A754" s="4" t="s">
        <v>780</v>
      </c>
      <c r="B754" t="s">
        <v>16</v>
      </c>
      <c r="C754" t="s">
        <v>6</v>
      </c>
      <c r="D754" s="3">
        <f t="shared" si="77"/>
        <v>7</v>
      </c>
      <c r="E754" s="4">
        <f t="shared" si="78"/>
        <v>23</v>
      </c>
      <c r="F754" s="4">
        <f t="shared" si="79"/>
        <v>31</v>
      </c>
      <c r="G754" s="3">
        <f>IF(E754&gt;=20,2000,1900) + D754</f>
        <v>2007</v>
      </c>
      <c r="H754">
        <f t="shared" si="80"/>
        <v>3</v>
      </c>
      <c r="I754" s="4">
        <f t="shared" si="81"/>
        <v>31</v>
      </c>
      <c r="J754">
        <f t="shared" si="82"/>
        <v>20072331</v>
      </c>
      <c r="K754" t="str">
        <f t="shared" si="83"/>
        <v>31.23.2007</v>
      </c>
    </row>
    <row r="755" spans="1:11" x14ac:dyDescent="0.25">
      <c r="A755" s="4" t="s">
        <v>781</v>
      </c>
      <c r="B755" t="s">
        <v>14</v>
      </c>
      <c r="C755" t="s">
        <v>4</v>
      </c>
      <c r="D755" s="3">
        <f t="shared" si="77"/>
        <v>6</v>
      </c>
      <c r="E755" s="4">
        <f t="shared" si="78"/>
        <v>24</v>
      </c>
      <c r="F755" s="4">
        <f t="shared" si="79"/>
        <v>6</v>
      </c>
      <c r="G755" s="3">
        <f>IF(E755&gt;=20,2000,1900) + D755</f>
        <v>2006</v>
      </c>
      <c r="H755">
        <f t="shared" si="80"/>
        <v>4</v>
      </c>
      <c r="I755" s="4">
        <f t="shared" si="81"/>
        <v>6</v>
      </c>
      <c r="J755">
        <f t="shared" si="82"/>
        <v>20062406</v>
      </c>
      <c r="K755" t="str">
        <f t="shared" si="83"/>
        <v>06.24.2006</v>
      </c>
    </row>
    <row r="756" spans="1:11" x14ac:dyDescent="0.25">
      <c r="A756" s="4" t="s">
        <v>782</v>
      </c>
      <c r="B756" t="s">
        <v>8</v>
      </c>
      <c r="C756" t="s">
        <v>4</v>
      </c>
      <c r="D756" s="3">
        <f t="shared" si="77"/>
        <v>8</v>
      </c>
      <c r="E756" s="4">
        <f t="shared" si="78"/>
        <v>23</v>
      </c>
      <c r="F756" s="4">
        <f t="shared" si="79"/>
        <v>7</v>
      </c>
      <c r="G756" s="3">
        <f>IF(E756&gt;=20,2000,1900) + D756</f>
        <v>2008</v>
      </c>
      <c r="H756">
        <f t="shared" si="80"/>
        <v>3</v>
      </c>
      <c r="I756" s="4">
        <f t="shared" si="81"/>
        <v>7</v>
      </c>
      <c r="J756">
        <f t="shared" si="82"/>
        <v>20082307</v>
      </c>
      <c r="K756" t="str">
        <f t="shared" si="83"/>
        <v>07.23.2008</v>
      </c>
    </row>
    <row r="757" spans="1:11" x14ac:dyDescent="0.25">
      <c r="A757" s="4" t="s">
        <v>783</v>
      </c>
      <c r="B757" t="s">
        <v>19</v>
      </c>
      <c r="C757" t="s">
        <v>4</v>
      </c>
      <c r="D757" s="3">
        <f t="shared" si="77"/>
        <v>10</v>
      </c>
      <c r="E757" s="4">
        <f t="shared" si="78"/>
        <v>27</v>
      </c>
      <c r="F757" s="4">
        <f t="shared" si="79"/>
        <v>26</v>
      </c>
      <c r="G757" s="3">
        <f>IF(E757&gt;=20,2000,1900) + D757</f>
        <v>2010</v>
      </c>
      <c r="H757">
        <f t="shared" si="80"/>
        <v>7</v>
      </c>
      <c r="I757" s="4">
        <f t="shared" si="81"/>
        <v>26</v>
      </c>
      <c r="J757">
        <f t="shared" si="82"/>
        <v>20102726</v>
      </c>
      <c r="K757" t="str">
        <f t="shared" si="83"/>
        <v>26.27.2010</v>
      </c>
    </row>
    <row r="758" spans="1:11" x14ac:dyDescent="0.25">
      <c r="A758" s="4" t="s">
        <v>784</v>
      </c>
      <c r="B758" t="s">
        <v>18</v>
      </c>
      <c r="C758" t="s">
        <v>4</v>
      </c>
      <c r="D758" s="3">
        <f t="shared" si="77"/>
        <v>2</v>
      </c>
      <c r="E758" s="4">
        <f t="shared" si="78"/>
        <v>22</v>
      </c>
      <c r="F758" s="4">
        <f t="shared" si="79"/>
        <v>26</v>
      </c>
      <c r="G758" s="3">
        <f>IF(E758&gt;=20,2000,1900) + D758</f>
        <v>2002</v>
      </c>
      <c r="H758">
        <f t="shared" si="80"/>
        <v>2</v>
      </c>
      <c r="I758" s="4">
        <f t="shared" si="81"/>
        <v>26</v>
      </c>
      <c r="J758">
        <f t="shared" si="82"/>
        <v>20022226</v>
      </c>
      <c r="K758" t="str">
        <f t="shared" si="83"/>
        <v>26.22.2002</v>
      </c>
    </row>
    <row r="759" spans="1:11" x14ac:dyDescent="0.25">
      <c r="A759" s="4" t="s">
        <v>785</v>
      </c>
      <c r="B759" t="s">
        <v>8</v>
      </c>
      <c r="C759" t="s">
        <v>4</v>
      </c>
      <c r="D759" s="3">
        <f t="shared" si="77"/>
        <v>2</v>
      </c>
      <c r="E759" s="4">
        <f t="shared" si="78"/>
        <v>30</v>
      </c>
      <c r="F759" s="4">
        <f t="shared" si="79"/>
        <v>2</v>
      </c>
      <c r="G759" s="3">
        <f>IF(E759&gt;=20,2000,1900) + D759</f>
        <v>2002</v>
      </c>
      <c r="H759">
        <f t="shared" si="80"/>
        <v>10</v>
      </c>
      <c r="I759" s="4">
        <f t="shared" si="81"/>
        <v>2</v>
      </c>
      <c r="J759">
        <f t="shared" si="82"/>
        <v>20023002</v>
      </c>
      <c r="K759" t="str">
        <f t="shared" si="83"/>
        <v>02.30.2002</v>
      </c>
    </row>
    <row r="760" spans="1:11" x14ac:dyDescent="0.25">
      <c r="A760" s="4" t="s">
        <v>786</v>
      </c>
      <c r="B760" t="s">
        <v>5</v>
      </c>
      <c r="C760" t="s">
        <v>4</v>
      </c>
      <c r="D760" s="3">
        <f t="shared" si="77"/>
        <v>2</v>
      </c>
      <c r="E760" s="4">
        <f t="shared" si="78"/>
        <v>32</v>
      </c>
      <c r="F760" s="4">
        <f t="shared" si="79"/>
        <v>1</v>
      </c>
      <c r="G760" s="3">
        <f>IF(E760&gt;=20,2000,1900) + D760</f>
        <v>2002</v>
      </c>
      <c r="H760">
        <f t="shared" si="80"/>
        <v>12</v>
      </c>
      <c r="I760" s="4">
        <f t="shared" si="81"/>
        <v>1</v>
      </c>
      <c r="J760">
        <f t="shared" si="82"/>
        <v>20023201</v>
      </c>
      <c r="K760" t="str">
        <f t="shared" si="83"/>
        <v>01.32.2002</v>
      </c>
    </row>
    <row r="761" spans="1:11" x14ac:dyDescent="0.25">
      <c r="A761" s="4" t="s">
        <v>787</v>
      </c>
      <c r="B761" t="s">
        <v>17</v>
      </c>
      <c r="C761" t="s">
        <v>4</v>
      </c>
      <c r="D761" s="3">
        <f t="shared" si="77"/>
        <v>10</v>
      </c>
      <c r="E761" s="4">
        <f t="shared" si="78"/>
        <v>23</v>
      </c>
      <c r="F761" s="4">
        <f t="shared" si="79"/>
        <v>13</v>
      </c>
      <c r="G761" s="3">
        <f>IF(E761&gt;=20,2000,1900) + D761</f>
        <v>2010</v>
      </c>
      <c r="H761">
        <f t="shared" si="80"/>
        <v>3</v>
      </c>
      <c r="I761" s="4">
        <f t="shared" si="81"/>
        <v>13</v>
      </c>
      <c r="J761">
        <f t="shared" si="82"/>
        <v>20102313</v>
      </c>
      <c r="K761" t="str">
        <f t="shared" si="83"/>
        <v>13.23.2010</v>
      </c>
    </row>
    <row r="762" spans="1:11" x14ac:dyDescent="0.25">
      <c r="A762" s="4" t="s">
        <v>788</v>
      </c>
      <c r="B762" t="s">
        <v>5</v>
      </c>
      <c r="C762" t="s">
        <v>6</v>
      </c>
      <c r="D762" s="3">
        <f t="shared" si="77"/>
        <v>1</v>
      </c>
      <c r="E762" s="4">
        <f t="shared" si="78"/>
        <v>21</v>
      </c>
      <c r="F762" s="4">
        <f t="shared" si="79"/>
        <v>16</v>
      </c>
      <c r="G762" s="3">
        <f>IF(E762&gt;=20,2000,1900) + D762</f>
        <v>2001</v>
      </c>
      <c r="H762">
        <f t="shared" si="80"/>
        <v>1</v>
      </c>
      <c r="I762" s="4">
        <f t="shared" si="81"/>
        <v>16</v>
      </c>
      <c r="J762">
        <f t="shared" si="82"/>
        <v>20012116</v>
      </c>
      <c r="K762" t="str">
        <f t="shared" si="83"/>
        <v>16.21.2001</v>
      </c>
    </row>
    <row r="763" spans="1:11" x14ac:dyDescent="0.25">
      <c r="A763" s="4" t="s">
        <v>789</v>
      </c>
      <c r="B763" t="s">
        <v>3</v>
      </c>
      <c r="C763" t="s">
        <v>4</v>
      </c>
      <c r="D763" s="3">
        <f t="shared" si="77"/>
        <v>19</v>
      </c>
      <c r="E763" s="4">
        <f t="shared" si="78"/>
        <v>22</v>
      </c>
      <c r="F763" s="4">
        <f t="shared" si="79"/>
        <v>19</v>
      </c>
      <c r="G763" s="3">
        <f>IF(E763&gt;=20,2000,1900) + D763</f>
        <v>2019</v>
      </c>
      <c r="H763">
        <f t="shared" si="80"/>
        <v>2</v>
      </c>
      <c r="I763" s="4">
        <f t="shared" si="81"/>
        <v>19</v>
      </c>
      <c r="J763">
        <f t="shared" si="82"/>
        <v>20192219</v>
      </c>
      <c r="K763" t="str">
        <f t="shared" si="83"/>
        <v>19.22.2019</v>
      </c>
    </row>
    <row r="764" spans="1:11" x14ac:dyDescent="0.25">
      <c r="A764" s="4" t="s">
        <v>790</v>
      </c>
      <c r="B764" t="s">
        <v>16</v>
      </c>
      <c r="C764" t="s">
        <v>4</v>
      </c>
      <c r="D764" s="3">
        <f t="shared" si="77"/>
        <v>21</v>
      </c>
      <c r="E764" s="4">
        <f t="shared" si="78"/>
        <v>24</v>
      </c>
      <c r="F764" s="4">
        <f t="shared" si="79"/>
        <v>21</v>
      </c>
      <c r="G764" s="3">
        <f>IF(E764&gt;=20,2000,1900) + D764</f>
        <v>2021</v>
      </c>
      <c r="H764">
        <f t="shared" si="80"/>
        <v>4</v>
      </c>
      <c r="I764" s="4">
        <f t="shared" si="81"/>
        <v>21</v>
      </c>
      <c r="J764">
        <f t="shared" si="82"/>
        <v>20212421</v>
      </c>
      <c r="K764" t="str">
        <f t="shared" si="83"/>
        <v>21.24.2021</v>
      </c>
    </row>
    <row r="765" spans="1:11" x14ac:dyDescent="0.25">
      <c r="A765" s="4" t="s">
        <v>791</v>
      </c>
      <c r="B765" t="s">
        <v>12</v>
      </c>
      <c r="C765" t="s">
        <v>4</v>
      </c>
      <c r="D765" s="3">
        <f t="shared" si="77"/>
        <v>21</v>
      </c>
      <c r="E765" s="4">
        <f t="shared" si="78"/>
        <v>22</v>
      </c>
      <c r="F765" s="4">
        <f t="shared" si="79"/>
        <v>3</v>
      </c>
      <c r="G765" s="3">
        <f>IF(E765&gt;=20,2000,1900) + D765</f>
        <v>2021</v>
      </c>
      <c r="H765">
        <f t="shared" si="80"/>
        <v>2</v>
      </c>
      <c r="I765" s="4">
        <f t="shared" si="81"/>
        <v>3</v>
      </c>
      <c r="J765">
        <f t="shared" si="82"/>
        <v>20212203</v>
      </c>
      <c r="K765" t="str">
        <f t="shared" si="83"/>
        <v>03.22.2021</v>
      </c>
    </row>
    <row r="766" spans="1:11" x14ac:dyDescent="0.25">
      <c r="A766" s="4" t="s">
        <v>792</v>
      </c>
      <c r="B766" t="s">
        <v>7</v>
      </c>
      <c r="C766" t="s">
        <v>4</v>
      </c>
      <c r="D766" s="3">
        <f t="shared" si="77"/>
        <v>2</v>
      </c>
      <c r="E766" s="4">
        <f t="shared" si="78"/>
        <v>30</v>
      </c>
      <c r="F766" s="4">
        <f t="shared" si="79"/>
        <v>13</v>
      </c>
      <c r="G766" s="3">
        <f>IF(E766&gt;=20,2000,1900) + D766</f>
        <v>2002</v>
      </c>
      <c r="H766">
        <f t="shared" si="80"/>
        <v>10</v>
      </c>
      <c r="I766" s="4">
        <f t="shared" si="81"/>
        <v>13</v>
      </c>
      <c r="J766">
        <f t="shared" si="82"/>
        <v>20023013</v>
      </c>
      <c r="K766" t="str">
        <f t="shared" si="83"/>
        <v>13.30.2002</v>
      </c>
    </row>
    <row r="767" spans="1:11" x14ac:dyDescent="0.25">
      <c r="A767" s="4" t="s">
        <v>793</v>
      </c>
      <c r="B767" t="s">
        <v>16</v>
      </c>
      <c r="C767" t="s">
        <v>4</v>
      </c>
      <c r="D767" s="3">
        <f t="shared" si="77"/>
        <v>0</v>
      </c>
      <c r="E767" s="4">
        <f t="shared" si="78"/>
        <v>32</v>
      </c>
      <c r="F767" s="4">
        <f t="shared" si="79"/>
        <v>25</v>
      </c>
      <c r="G767" s="3">
        <f>IF(E767&gt;=20,2000,1900) + D767</f>
        <v>2000</v>
      </c>
      <c r="H767">
        <f t="shared" si="80"/>
        <v>12</v>
      </c>
      <c r="I767" s="4">
        <f t="shared" si="81"/>
        <v>25</v>
      </c>
      <c r="J767">
        <f t="shared" si="82"/>
        <v>20003225</v>
      </c>
      <c r="K767" t="str">
        <f t="shared" si="83"/>
        <v>25.32.2000</v>
      </c>
    </row>
    <row r="768" spans="1:11" x14ac:dyDescent="0.25">
      <c r="A768" s="4" t="s">
        <v>794</v>
      </c>
      <c r="B768" t="s">
        <v>15</v>
      </c>
      <c r="C768" t="s">
        <v>4</v>
      </c>
      <c r="D768" s="3">
        <f t="shared" si="77"/>
        <v>13</v>
      </c>
      <c r="E768" s="4">
        <f t="shared" si="78"/>
        <v>28</v>
      </c>
      <c r="F768" s="4">
        <f t="shared" si="79"/>
        <v>11</v>
      </c>
      <c r="G768" s="3">
        <f>IF(E768&gt;=20,2000,1900) + D768</f>
        <v>2013</v>
      </c>
      <c r="H768">
        <f t="shared" si="80"/>
        <v>8</v>
      </c>
      <c r="I768" s="4">
        <f t="shared" si="81"/>
        <v>11</v>
      </c>
      <c r="J768">
        <f t="shared" si="82"/>
        <v>20132811</v>
      </c>
      <c r="K768" t="str">
        <f t="shared" si="83"/>
        <v>11.28.2013</v>
      </c>
    </row>
    <row r="769" spans="1:11" x14ac:dyDescent="0.25">
      <c r="A769" s="4" t="s">
        <v>795</v>
      </c>
      <c r="B769" t="s">
        <v>14</v>
      </c>
      <c r="C769" t="s">
        <v>4</v>
      </c>
      <c r="D769" s="3">
        <f t="shared" si="77"/>
        <v>8</v>
      </c>
      <c r="E769" s="4">
        <f t="shared" si="78"/>
        <v>29</v>
      </c>
      <c r="F769" s="4">
        <f t="shared" si="79"/>
        <v>11</v>
      </c>
      <c r="G769" s="3">
        <f>IF(E769&gt;=20,2000,1900) + D769</f>
        <v>2008</v>
      </c>
      <c r="H769">
        <f t="shared" si="80"/>
        <v>9</v>
      </c>
      <c r="I769" s="4">
        <f t="shared" si="81"/>
        <v>11</v>
      </c>
      <c r="J769">
        <f t="shared" si="82"/>
        <v>20082911</v>
      </c>
      <c r="K769" t="str">
        <f t="shared" si="83"/>
        <v>11.29.2008</v>
      </c>
    </row>
    <row r="770" spans="1:11" x14ac:dyDescent="0.25">
      <c r="A770" s="4" t="s">
        <v>796</v>
      </c>
      <c r="B770" t="s">
        <v>10</v>
      </c>
      <c r="C770" t="s">
        <v>6</v>
      </c>
      <c r="D770" s="3">
        <f t="shared" si="77"/>
        <v>9</v>
      </c>
      <c r="E770" s="4">
        <f t="shared" si="78"/>
        <v>21</v>
      </c>
      <c r="F770" s="4">
        <f t="shared" si="79"/>
        <v>10</v>
      </c>
      <c r="G770" s="3">
        <f>IF(E770&gt;=20,2000,1900) + D770</f>
        <v>2009</v>
      </c>
      <c r="H770">
        <f t="shared" si="80"/>
        <v>1</v>
      </c>
      <c r="I770" s="4">
        <f t="shared" si="81"/>
        <v>10</v>
      </c>
      <c r="J770">
        <f t="shared" si="82"/>
        <v>20092110</v>
      </c>
      <c r="K770" t="str">
        <f t="shared" si="83"/>
        <v>10.21.2009</v>
      </c>
    </row>
    <row r="771" spans="1:11" x14ac:dyDescent="0.25">
      <c r="A771" s="4" t="s">
        <v>797</v>
      </c>
      <c r="B771" t="s">
        <v>13</v>
      </c>
      <c r="C771" t="s">
        <v>4</v>
      </c>
      <c r="D771" s="3">
        <f t="shared" ref="D771:D834" si="84">MID(A771,1,2)*1</f>
        <v>4</v>
      </c>
      <c r="E771" s="4">
        <f t="shared" ref="E771:E834" si="85">MID(A771,3,2)*1</f>
        <v>32</v>
      </c>
      <c r="F771" s="4">
        <f t="shared" ref="F771:F834" si="86">MID(A771,5,2)*1</f>
        <v>26</v>
      </c>
      <c r="G771" s="3">
        <f>IF(E771&gt;=20,2000,1900) + D771</f>
        <v>2004</v>
      </c>
      <c r="H771">
        <f t="shared" ref="H771:H834" si="87">IF(E771&gt;=20,E771-20,E771)</f>
        <v>12</v>
      </c>
      <c r="I771" s="4">
        <f t="shared" ref="I771:I834" si="88">F771</f>
        <v>26</v>
      </c>
      <c r="J771">
        <f t="shared" ref="J771:J834" si="89">CONCATENATE(G771,IF(LEN(E771)=1,CONCATENATE("0",E771),E771),IF(LEN(F771)=1,CONCATENATE("0",F771),F771))*1</f>
        <v>20043226</v>
      </c>
      <c r="K771" t="str">
        <f t="shared" ref="K771:K834" si="90">CONCATENATE(RIGHT(J771,2),".",MID(J771,5,2),".",LEFT(J771,4))</f>
        <v>26.32.2004</v>
      </c>
    </row>
    <row r="772" spans="1:11" x14ac:dyDescent="0.25">
      <c r="A772" s="4" t="s">
        <v>798</v>
      </c>
      <c r="B772" t="s">
        <v>7</v>
      </c>
      <c r="C772" t="s">
        <v>4</v>
      </c>
      <c r="D772" s="3">
        <f t="shared" si="84"/>
        <v>21</v>
      </c>
      <c r="E772" s="4">
        <f t="shared" si="85"/>
        <v>29</v>
      </c>
      <c r="F772" s="4">
        <f t="shared" si="86"/>
        <v>19</v>
      </c>
      <c r="G772" s="3">
        <f>IF(E772&gt;=20,2000,1900) + D772</f>
        <v>2021</v>
      </c>
      <c r="H772">
        <f t="shared" si="87"/>
        <v>9</v>
      </c>
      <c r="I772" s="4">
        <f t="shared" si="88"/>
        <v>19</v>
      </c>
      <c r="J772">
        <f t="shared" si="89"/>
        <v>20212919</v>
      </c>
      <c r="K772" t="str">
        <f t="shared" si="90"/>
        <v>19.29.2021</v>
      </c>
    </row>
    <row r="773" spans="1:11" x14ac:dyDescent="0.25">
      <c r="A773" s="4" t="s">
        <v>799</v>
      </c>
      <c r="B773" t="s">
        <v>3</v>
      </c>
      <c r="C773" t="s">
        <v>6</v>
      </c>
      <c r="D773" s="3">
        <f t="shared" si="84"/>
        <v>12</v>
      </c>
      <c r="E773" s="4">
        <f t="shared" si="85"/>
        <v>27</v>
      </c>
      <c r="F773" s="4">
        <f t="shared" si="86"/>
        <v>22</v>
      </c>
      <c r="G773" s="3">
        <f>IF(E773&gt;=20,2000,1900) + D773</f>
        <v>2012</v>
      </c>
      <c r="H773">
        <f t="shared" si="87"/>
        <v>7</v>
      </c>
      <c r="I773" s="4">
        <f t="shared" si="88"/>
        <v>22</v>
      </c>
      <c r="J773">
        <f t="shared" si="89"/>
        <v>20122722</v>
      </c>
      <c r="K773" t="str">
        <f t="shared" si="90"/>
        <v>22.27.2012</v>
      </c>
    </row>
    <row r="774" spans="1:11" x14ac:dyDescent="0.25">
      <c r="A774" s="4" t="s">
        <v>800</v>
      </c>
      <c r="B774" t="s">
        <v>7</v>
      </c>
      <c r="C774" t="s">
        <v>4</v>
      </c>
      <c r="D774" s="3">
        <f t="shared" si="84"/>
        <v>10</v>
      </c>
      <c r="E774" s="4">
        <f t="shared" si="85"/>
        <v>27</v>
      </c>
      <c r="F774" s="4">
        <f t="shared" si="86"/>
        <v>10</v>
      </c>
      <c r="G774" s="3">
        <f>IF(E774&gt;=20,2000,1900) + D774</f>
        <v>2010</v>
      </c>
      <c r="H774">
        <f t="shared" si="87"/>
        <v>7</v>
      </c>
      <c r="I774" s="4">
        <f t="shared" si="88"/>
        <v>10</v>
      </c>
      <c r="J774">
        <f t="shared" si="89"/>
        <v>20102710</v>
      </c>
      <c r="K774" t="str">
        <f t="shared" si="90"/>
        <v>10.27.2010</v>
      </c>
    </row>
    <row r="775" spans="1:11" x14ac:dyDescent="0.25">
      <c r="A775" s="4" t="s">
        <v>801</v>
      </c>
      <c r="B775" t="s">
        <v>9</v>
      </c>
      <c r="C775" t="s">
        <v>4</v>
      </c>
      <c r="D775" s="3">
        <f t="shared" si="84"/>
        <v>13</v>
      </c>
      <c r="E775" s="4">
        <f t="shared" si="85"/>
        <v>28</v>
      </c>
      <c r="F775" s="4">
        <f t="shared" si="86"/>
        <v>17</v>
      </c>
      <c r="G775" s="3">
        <f>IF(E775&gt;=20,2000,1900) + D775</f>
        <v>2013</v>
      </c>
      <c r="H775">
        <f t="shared" si="87"/>
        <v>8</v>
      </c>
      <c r="I775" s="4">
        <f t="shared" si="88"/>
        <v>17</v>
      </c>
      <c r="J775">
        <f t="shared" si="89"/>
        <v>20132817</v>
      </c>
      <c r="K775" t="str">
        <f t="shared" si="90"/>
        <v>17.28.2013</v>
      </c>
    </row>
    <row r="776" spans="1:11" x14ac:dyDescent="0.25">
      <c r="A776" s="4" t="s">
        <v>802</v>
      </c>
      <c r="B776" t="s">
        <v>12</v>
      </c>
      <c r="C776" t="s">
        <v>6</v>
      </c>
      <c r="D776" s="3">
        <f t="shared" si="84"/>
        <v>8</v>
      </c>
      <c r="E776" s="4">
        <f t="shared" si="85"/>
        <v>32</v>
      </c>
      <c r="F776" s="4">
        <f t="shared" si="86"/>
        <v>14</v>
      </c>
      <c r="G776" s="3">
        <f>IF(E776&gt;=20,2000,1900) + D776</f>
        <v>2008</v>
      </c>
      <c r="H776">
        <f t="shared" si="87"/>
        <v>12</v>
      </c>
      <c r="I776" s="4">
        <f t="shared" si="88"/>
        <v>14</v>
      </c>
      <c r="J776">
        <f t="shared" si="89"/>
        <v>20083214</v>
      </c>
      <c r="K776" t="str">
        <f t="shared" si="90"/>
        <v>14.32.2008</v>
      </c>
    </row>
    <row r="777" spans="1:11" x14ac:dyDescent="0.25">
      <c r="A777" s="4" t="s">
        <v>803</v>
      </c>
      <c r="B777" t="s">
        <v>12</v>
      </c>
      <c r="C777" t="s">
        <v>4</v>
      </c>
      <c r="D777" s="3">
        <f t="shared" si="84"/>
        <v>3</v>
      </c>
      <c r="E777" s="4">
        <f t="shared" si="85"/>
        <v>24</v>
      </c>
      <c r="F777" s="4">
        <f t="shared" si="86"/>
        <v>11</v>
      </c>
      <c r="G777" s="3">
        <f>IF(E777&gt;=20,2000,1900) + D777</f>
        <v>2003</v>
      </c>
      <c r="H777">
        <f t="shared" si="87"/>
        <v>4</v>
      </c>
      <c r="I777" s="4">
        <f t="shared" si="88"/>
        <v>11</v>
      </c>
      <c r="J777">
        <f t="shared" si="89"/>
        <v>20032411</v>
      </c>
      <c r="K777" t="str">
        <f t="shared" si="90"/>
        <v>11.24.2003</v>
      </c>
    </row>
    <row r="778" spans="1:11" x14ac:dyDescent="0.25">
      <c r="A778" s="4" t="s">
        <v>804</v>
      </c>
      <c r="B778" t="s">
        <v>11</v>
      </c>
      <c r="C778" t="s">
        <v>4</v>
      </c>
      <c r="D778" s="3">
        <f t="shared" si="84"/>
        <v>6</v>
      </c>
      <c r="E778" s="4">
        <f t="shared" si="85"/>
        <v>26</v>
      </c>
      <c r="F778" s="4">
        <f t="shared" si="86"/>
        <v>18</v>
      </c>
      <c r="G778" s="3">
        <f>IF(E778&gt;=20,2000,1900) + D778</f>
        <v>2006</v>
      </c>
      <c r="H778">
        <f t="shared" si="87"/>
        <v>6</v>
      </c>
      <c r="I778" s="4">
        <f t="shared" si="88"/>
        <v>18</v>
      </c>
      <c r="J778">
        <f t="shared" si="89"/>
        <v>20062618</v>
      </c>
      <c r="K778" t="str">
        <f t="shared" si="90"/>
        <v>18.26.2006</v>
      </c>
    </row>
    <row r="779" spans="1:11" x14ac:dyDescent="0.25">
      <c r="A779" s="4" t="s">
        <v>805</v>
      </c>
      <c r="B779" t="s">
        <v>8</v>
      </c>
      <c r="C779" t="s">
        <v>4</v>
      </c>
      <c r="D779" s="3">
        <f t="shared" si="84"/>
        <v>1</v>
      </c>
      <c r="E779" s="4">
        <f t="shared" si="85"/>
        <v>32</v>
      </c>
      <c r="F779" s="4">
        <f t="shared" si="86"/>
        <v>26</v>
      </c>
      <c r="G779" s="3">
        <f>IF(E779&gt;=20,2000,1900) + D779</f>
        <v>2001</v>
      </c>
      <c r="H779">
        <f t="shared" si="87"/>
        <v>12</v>
      </c>
      <c r="I779" s="4">
        <f t="shared" si="88"/>
        <v>26</v>
      </c>
      <c r="J779">
        <f t="shared" si="89"/>
        <v>20013226</v>
      </c>
      <c r="K779" t="str">
        <f t="shared" si="90"/>
        <v>26.32.2001</v>
      </c>
    </row>
    <row r="780" spans="1:11" x14ac:dyDescent="0.25">
      <c r="A780" s="4" t="s">
        <v>806</v>
      </c>
      <c r="B780" t="s">
        <v>5</v>
      </c>
      <c r="C780" t="s">
        <v>6</v>
      </c>
      <c r="D780" s="3">
        <f t="shared" si="84"/>
        <v>2</v>
      </c>
      <c r="E780" s="4">
        <f t="shared" si="85"/>
        <v>21</v>
      </c>
      <c r="F780" s="4">
        <f t="shared" si="86"/>
        <v>22</v>
      </c>
      <c r="G780" s="3">
        <f>IF(E780&gt;=20,2000,1900) + D780</f>
        <v>2002</v>
      </c>
      <c r="H780">
        <f t="shared" si="87"/>
        <v>1</v>
      </c>
      <c r="I780" s="4">
        <f t="shared" si="88"/>
        <v>22</v>
      </c>
      <c r="J780">
        <f t="shared" si="89"/>
        <v>20022122</v>
      </c>
      <c r="K780" t="str">
        <f t="shared" si="90"/>
        <v>22.21.2002</v>
      </c>
    </row>
    <row r="781" spans="1:11" x14ac:dyDescent="0.25">
      <c r="A781" s="4" t="s">
        <v>807</v>
      </c>
      <c r="B781" t="s">
        <v>10</v>
      </c>
      <c r="C781" t="s">
        <v>4</v>
      </c>
      <c r="D781" s="3">
        <f t="shared" si="84"/>
        <v>16</v>
      </c>
      <c r="E781" s="4">
        <f t="shared" si="85"/>
        <v>24</v>
      </c>
      <c r="F781" s="4">
        <f t="shared" si="86"/>
        <v>5</v>
      </c>
      <c r="G781" s="3">
        <f>IF(E781&gt;=20,2000,1900) + D781</f>
        <v>2016</v>
      </c>
      <c r="H781">
        <f t="shared" si="87"/>
        <v>4</v>
      </c>
      <c r="I781" s="4">
        <f t="shared" si="88"/>
        <v>5</v>
      </c>
      <c r="J781">
        <f t="shared" si="89"/>
        <v>20162405</v>
      </c>
      <c r="K781" t="str">
        <f t="shared" si="90"/>
        <v>05.24.2016</v>
      </c>
    </row>
    <row r="782" spans="1:11" x14ac:dyDescent="0.25">
      <c r="A782" s="4" t="s">
        <v>808</v>
      </c>
      <c r="B782" t="s">
        <v>16</v>
      </c>
      <c r="C782" t="s">
        <v>6</v>
      </c>
      <c r="D782" s="3">
        <f t="shared" si="84"/>
        <v>3</v>
      </c>
      <c r="E782" s="4">
        <f t="shared" si="85"/>
        <v>26</v>
      </c>
      <c r="F782" s="4">
        <f t="shared" si="86"/>
        <v>3</v>
      </c>
      <c r="G782" s="3">
        <f>IF(E782&gt;=20,2000,1900) + D782</f>
        <v>2003</v>
      </c>
      <c r="H782">
        <f t="shared" si="87"/>
        <v>6</v>
      </c>
      <c r="I782" s="4">
        <f t="shared" si="88"/>
        <v>3</v>
      </c>
      <c r="J782">
        <f t="shared" si="89"/>
        <v>20032603</v>
      </c>
      <c r="K782" t="str">
        <f t="shared" si="90"/>
        <v>03.26.2003</v>
      </c>
    </row>
    <row r="783" spans="1:11" x14ac:dyDescent="0.25">
      <c r="A783" s="4" t="s">
        <v>809</v>
      </c>
      <c r="B783" t="s">
        <v>5</v>
      </c>
      <c r="C783" t="s">
        <v>4</v>
      </c>
      <c r="D783" s="3">
        <f t="shared" si="84"/>
        <v>1</v>
      </c>
      <c r="E783" s="4">
        <f t="shared" si="85"/>
        <v>22</v>
      </c>
      <c r="F783" s="4">
        <f t="shared" si="86"/>
        <v>2</v>
      </c>
      <c r="G783" s="3">
        <f>IF(E783&gt;=20,2000,1900) + D783</f>
        <v>2001</v>
      </c>
      <c r="H783">
        <f t="shared" si="87"/>
        <v>2</v>
      </c>
      <c r="I783" s="4">
        <f t="shared" si="88"/>
        <v>2</v>
      </c>
      <c r="J783">
        <f t="shared" si="89"/>
        <v>20012202</v>
      </c>
      <c r="K783" t="str">
        <f t="shared" si="90"/>
        <v>02.22.2001</v>
      </c>
    </row>
    <row r="784" spans="1:11" x14ac:dyDescent="0.25">
      <c r="A784" s="4" t="s">
        <v>810</v>
      </c>
      <c r="B784" t="s">
        <v>8</v>
      </c>
      <c r="C784" t="s">
        <v>6</v>
      </c>
      <c r="D784" s="3">
        <f t="shared" si="84"/>
        <v>6</v>
      </c>
      <c r="E784" s="4">
        <f t="shared" si="85"/>
        <v>21</v>
      </c>
      <c r="F784" s="4">
        <f t="shared" si="86"/>
        <v>8</v>
      </c>
      <c r="G784" s="3">
        <f>IF(E784&gt;=20,2000,1900) + D784</f>
        <v>2006</v>
      </c>
      <c r="H784">
        <f t="shared" si="87"/>
        <v>1</v>
      </c>
      <c r="I784" s="4">
        <f t="shared" si="88"/>
        <v>8</v>
      </c>
      <c r="J784">
        <f t="shared" si="89"/>
        <v>20062108</v>
      </c>
      <c r="K784" t="str">
        <f t="shared" si="90"/>
        <v>08.21.2006</v>
      </c>
    </row>
    <row r="785" spans="1:11" x14ac:dyDescent="0.25">
      <c r="A785" s="4" t="s">
        <v>811</v>
      </c>
      <c r="B785" t="s">
        <v>10</v>
      </c>
      <c r="C785" t="s">
        <v>6</v>
      </c>
      <c r="D785" s="3">
        <f t="shared" si="84"/>
        <v>11</v>
      </c>
      <c r="E785" s="4">
        <f t="shared" si="85"/>
        <v>32</v>
      </c>
      <c r="F785" s="4">
        <f t="shared" si="86"/>
        <v>17</v>
      </c>
      <c r="G785" s="3">
        <f>IF(E785&gt;=20,2000,1900) + D785</f>
        <v>2011</v>
      </c>
      <c r="H785">
        <f t="shared" si="87"/>
        <v>12</v>
      </c>
      <c r="I785" s="4">
        <f t="shared" si="88"/>
        <v>17</v>
      </c>
      <c r="J785">
        <f t="shared" si="89"/>
        <v>20113217</v>
      </c>
      <c r="K785" t="str">
        <f t="shared" si="90"/>
        <v>17.32.2011</v>
      </c>
    </row>
    <row r="786" spans="1:11" x14ac:dyDescent="0.25">
      <c r="A786" s="4" t="s">
        <v>812</v>
      </c>
      <c r="B786" t="s">
        <v>5</v>
      </c>
      <c r="C786" t="s">
        <v>4</v>
      </c>
      <c r="D786" s="3">
        <f t="shared" si="84"/>
        <v>8</v>
      </c>
      <c r="E786" s="4">
        <f t="shared" si="85"/>
        <v>29</v>
      </c>
      <c r="F786" s="4">
        <f t="shared" si="86"/>
        <v>15</v>
      </c>
      <c r="G786" s="3">
        <f>IF(E786&gt;=20,2000,1900) + D786</f>
        <v>2008</v>
      </c>
      <c r="H786">
        <f t="shared" si="87"/>
        <v>9</v>
      </c>
      <c r="I786" s="4">
        <f t="shared" si="88"/>
        <v>15</v>
      </c>
      <c r="J786">
        <f t="shared" si="89"/>
        <v>20082915</v>
      </c>
      <c r="K786" t="str">
        <f t="shared" si="90"/>
        <v>15.29.2008</v>
      </c>
    </row>
    <row r="787" spans="1:11" x14ac:dyDescent="0.25">
      <c r="A787" s="4" t="s">
        <v>813</v>
      </c>
      <c r="B787" t="s">
        <v>15</v>
      </c>
      <c r="C787" t="s">
        <v>4</v>
      </c>
      <c r="D787" s="3">
        <f t="shared" si="84"/>
        <v>17</v>
      </c>
      <c r="E787" s="4">
        <f t="shared" si="85"/>
        <v>31</v>
      </c>
      <c r="F787" s="4">
        <f t="shared" si="86"/>
        <v>11</v>
      </c>
      <c r="G787" s="3">
        <f>IF(E787&gt;=20,2000,1900) + D787</f>
        <v>2017</v>
      </c>
      <c r="H787">
        <f t="shared" si="87"/>
        <v>11</v>
      </c>
      <c r="I787" s="4">
        <f t="shared" si="88"/>
        <v>11</v>
      </c>
      <c r="J787">
        <f t="shared" si="89"/>
        <v>20173111</v>
      </c>
      <c r="K787" t="str">
        <f t="shared" si="90"/>
        <v>11.31.2017</v>
      </c>
    </row>
    <row r="788" spans="1:11" x14ac:dyDescent="0.25">
      <c r="A788" s="4" t="s">
        <v>814</v>
      </c>
      <c r="B788" t="s">
        <v>13</v>
      </c>
      <c r="C788" t="s">
        <v>6</v>
      </c>
      <c r="D788" s="3">
        <f t="shared" si="84"/>
        <v>4</v>
      </c>
      <c r="E788" s="4">
        <f t="shared" si="85"/>
        <v>22</v>
      </c>
      <c r="F788" s="4">
        <f t="shared" si="86"/>
        <v>1</v>
      </c>
      <c r="G788" s="3">
        <f>IF(E788&gt;=20,2000,1900) + D788</f>
        <v>2004</v>
      </c>
      <c r="H788">
        <f t="shared" si="87"/>
        <v>2</v>
      </c>
      <c r="I788" s="4">
        <f t="shared" si="88"/>
        <v>1</v>
      </c>
      <c r="J788">
        <f t="shared" si="89"/>
        <v>20042201</v>
      </c>
      <c r="K788" t="str">
        <f t="shared" si="90"/>
        <v>01.22.2004</v>
      </c>
    </row>
    <row r="789" spans="1:11" x14ac:dyDescent="0.25">
      <c r="A789" s="4" t="s">
        <v>815</v>
      </c>
      <c r="B789" t="s">
        <v>8</v>
      </c>
      <c r="C789" t="s">
        <v>4</v>
      </c>
      <c r="D789" s="3">
        <f t="shared" si="84"/>
        <v>22</v>
      </c>
      <c r="E789" s="4">
        <f t="shared" si="85"/>
        <v>24</v>
      </c>
      <c r="F789" s="4">
        <f t="shared" si="86"/>
        <v>10</v>
      </c>
      <c r="G789" s="3">
        <f>IF(E789&gt;=20,2000,1900) + D789</f>
        <v>2022</v>
      </c>
      <c r="H789">
        <f t="shared" si="87"/>
        <v>4</v>
      </c>
      <c r="I789" s="4">
        <f t="shared" si="88"/>
        <v>10</v>
      </c>
      <c r="J789">
        <f t="shared" si="89"/>
        <v>20222410</v>
      </c>
      <c r="K789" t="str">
        <f t="shared" si="90"/>
        <v>10.24.2022</v>
      </c>
    </row>
    <row r="790" spans="1:11" x14ac:dyDescent="0.25">
      <c r="A790" s="4" t="s">
        <v>816</v>
      </c>
      <c r="B790" t="s">
        <v>9</v>
      </c>
      <c r="C790" t="s">
        <v>4</v>
      </c>
      <c r="D790" s="3">
        <f t="shared" si="84"/>
        <v>13</v>
      </c>
      <c r="E790" s="4">
        <f t="shared" si="85"/>
        <v>29</v>
      </c>
      <c r="F790" s="4">
        <f t="shared" si="86"/>
        <v>18</v>
      </c>
      <c r="G790" s="3">
        <f>IF(E790&gt;=20,2000,1900) + D790</f>
        <v>2013</v>
      </c>
      <c r="H790">
        <f t="shared" si="87"/>
        <v>9</v>
      </c>
      <c r="I790" s="4">
        <f t="shared" si="88"/>
        <v>18</v>
      </c>
      <c r="J790">
        <f t="shared" si="89"/>
        <v>20132918</v>
      </c>
      <c r="K790" t="str">
        <f t="shared" si="90"/>
        <v>18.29.2013</v>
      </c>
    </row>
    <row r="791" spans="1:11" x14ac:dyDescent="0.25">
      <c r="A791" s="4" t="s">
        <v>817</v>
      </c>
      <c r="B791" t="s">
        <v>8</v>
      </c>
      <c r="C791" t="s">
        <v>6</v>
      </c>
      <c r="D791" s="3">
        <f t="shared" si="84"/>
        <v>14</v>
      </c>
      <c r="E791" s="4">
        <f t="shared" si="85"/>
        <v>29</v>
      </c>
      <c r="F791" s="4">
        <f t="shared" si="86"/>
        <v>27</v>
      </c>
      <c r="G791" s="3">
        <f>IF(E791&gt;=20,2000,1900) + D791</f>
        <v>2014</v>
      </c>
      <c r="H791">
        <f t="shared" si="87"/>
        <v>9</v>
      </c>
      <c r="I791" s="4">
        <f t="shared" si="88"/>
        <v>27</v>
      </c>
      <c r="J791">
        <f t="shared" si="89"/>
        <v>20142927</v>
      </c>
      <c r="K791" t="str">
        <f t="shared" si="90"/>
        <v>27.29.2014</v>
      </c>
    </row>
    <row r="792" spans="1:11" x14ac:dyDescent="0.25">
      <c r="A792" s="4" t="s">
        <v>818</v>
      </c>
      <c r="B792" t="s">
        <v>9</v>
      </c>
      <c r="C792" t="s">
        <v>4</v>
      </c>
      <c r="D792" s="3">
        <f t="shared" si="84"/>
        <v>20</v>
      </c>
      <c r="E792" s="4">
        <f t="shared" si="85"/>
        <v>25</v>
      </c>
      <c r="F792" s="4">
        <f t="shared" si="86"/>
        <v>24</v>
      </c>
      <c r="G792" s="3">
        <f>IF(E792&gt;=20,2000,1900) + D792</f>
        <v>2020</v>
      </c>
      <c r="H792">
        <f t="shared" si="87"/>
        <v>5</v>
      </c>
      <c r="I792" s="4">
        <f t="shared" si="88"/>
        <v>24</v>
      </c>
      <c r="J792">
        <f t="shared" si="89"/>
        <v>20202524</v>
      </c>
      <c r="K792" t="str">
        <f t="shared" si="90"/>
        <v>24.25.2020</v>
      </c>
    </row>
    <row r="793" spans="1:11" x14ac:dyDescent="0.25">
      <c r="A793" s="4" t="s">
        <v>819</v>
      </c>
      <c r="B793" t="s">
        <v>18</v>
      </c>
      <c r="C793" t="s">
        <v>6</v>
      </c>
      <c r="D793" s="3">
        <f t="shared" si="84"/>
        <v>1</v>
      </c>
      <c r="E793" s="4">
        <f t="shared" si="85"/>
        <v>22</v>
      </c>
      <c r="F793" s="4">
        <f t="shared" si="86"/>
        <v>11</v>
      </c>
      <c r="G793" s="3">
        <f>IF(E793&gt;=20,2000,1900) + D793</f>
        <v>2001</v>
      </c>
      <c r="H793">
        <f t="shared" si="87"/>
        <v>2</v>
      </c>
      <c r="I793" s="4">
        <f t="shared" si="88"/>
        <v>11</v>
      </c>
      <c r="J793">
        <f t="shared" si="89"/>
        <v>20012211</v>
      </c>
      <c r="K793" t="str">
        <f t="shared" si="90"/>
        <v>11.22.2001</v>
      </c>
    </row>
    <row r="794" spans="1:11" x14ac:dyDescent="0.25">
      <c r="A794" s="4" t="s">
        <v>820</v>
      </c>
      <c r="B794" t="s">
        <v>9</v>
      </c>
      <c r="C794" t="s">
        <v>6</v>
      </c>
      <c r="D794" s="3">
        <f t="shared" si="84"/>
        <v>5</v>
      </c>
      <c r="E794" s="4">
        <f t="shared" si="85"/>
        <v>29</v>
      </c>
      <c r="F794" s="4">
        <f t="shared" si="86"/>
        <v>3</v>
      </c>
      <c r="G794" s="3">
        <f>IF(E794&gt;=20,2000,1900) + D794</f>
        <v>2005</v>
      </c>
      <c r="H794">
        <f t="shared" si="87"/>
        <v>9</v>
      </c>
      <c r="I794" s="4">
        <f t="shared" si="88"/>
        <v>3</v>
      </c>
      <c r="J794">
        <f t="shared" si="89"/>
        <v>20052903</v>
      </c>
      <c r="K794" t="str">
        <f t="shared" si="90"/>
        <v>03.29.2005</v>
      </c>
    </row>
    <row r="795" spans="1:11" x14ac:dyDescent="0.25">
      <c r="A795" s="4" t="s">
        <v>821</v>
      </c>
      <c r="B795" t="s">
        <v>9</v>
      </c>
      <c r="C795" t="s">
        <v>6</v>
      </c>
      <c r="D795" s="3">
        <f t="shared" si="84"/>
        <v>8</v>
      </c>
      <c r="E795" s="4">
        <f t="shared" si="85"/>
        <v>25</v>
      </c>
      <c r="F795" s="4">
        <f t="shared" si="86"/>
        <v>15</v>
      </c>
      <c r="G795" s="3">
        <f>IF(E795&gt;=20,2000,1900) + D795</f>
        <v>2008</v>
      </c>
      <c r="H795">
        <f t="shared" si="87"/>
        <v>5</v>
      </c>
      <c r="I795" s="4">
        <f t="shared" si="88"/>
        <v>15</v>
      </c>
      <c r="J795">
        <f t="shared" si="89"/>
        <v>20082515</v>
      </c>
      <c r="K795" t="str">
        <f t="shared" si="90"/>
        <v>15.25.2008</v>
      </c>
    </row>
    <row r="796" spans="1:11" x14ac:dyDescent="0.25">
      <c r="A796" s="4" t="s">
        <v>822</v>
      </c>
      <c r="B796" t="s">
        <v>5</v>
      </c>
      <c r="C796" t="s">
        <v>4</v>
      </c>
      <c r="D796" s="3">
        <f t="shared" si="84"/>
        <v>1</v>
      </c>
      <c r="E796" s="4">
        <f t="shared" si="85"/>
        <v>24</v>
      </c>
      <c r="F796" s="4">
        <f t="shared" si="86"/>
        <v>23</v>
      </c>
      <c r="G796" s="3">
        <f>IF(E796&gt;=20,2000,1900) + D796</f>
        <v>2001</v>
      </c>
      <c r="H796">
        <f t="shared" si="87"/>
        <v>4</v>
      </c>
      <c r="I796" s="4">
        <f t="shared" si="88"/>
        <v>23</v>
      </c>
      <c r="J796">
        <f t="shared" si="89"/>
        <v>20012423</v>
      </c>
      <c r="K796" t="str">
        <f t="shared" si="90"/>
        <v>23.24.2001</v>
      </c>
    </row>
    <row r="797" spans="1:11" x14ac:dyDescent="0.25">
      <c r="A797" s="4" t="s">
        <v>823</v>
      </c>
      <c r="B797" t="s">
        <v>5</v>
      </c>
      <c r="C797" t="s">
        <v>6</v>
      </c>
      <c r="D797" s="3">
        <f t="shared" si="84"/>
        <v>19</v>
      </c>
      <c r="E797" s="4">
        <f t="shared" si="85"/>
        <v>22</v>
      </c>
      <c r="F797" s="4">
        <f t="shared" si="86"/>
        <v>19</v>
      </c>
      <c r="G797" s="3">
        <f>IF(E797&gt;=20,2000,1900) + D797</f>
        <v>2019</v>
      </c>
      <c r="H797">
        <f t="shared" si="87"/>
        <v>2</v>
      </c>
      <c r="I797" s="4">
        <f t="shared" si="88"/>
        <v>19</v>
      </c>
      <c r="J797">
        <f t="shared" si="89"/>
        <v>20192219</v>
      </c>
      <c r="K797" t="str">
        <f t="shared" si="90"/>
        <v>19.22.2019</v>
      </c>
    </row>
    <row r="798" spans="1:11" x14ac:dyDescent="0.25">
      <c r="A798" s="4" t="s">
        <v>824</v>
      </c>
      <c r="B798" t="s">
        <v>17</v>
      </c>
      <c r="C798" t="s">
        <v>4</v>
      </c>
      <c r="D798" s="3">
        <f t="shared" si="84"/>
        <v>2</v>
      </c>
      <c r="E798" s="4">
        <f t="shared" si="85"/>
        <v>24</v>
      </c>
      <c r="F798" s="4">
        <f t="shared" si="86"/>
        <v>22</v>
      </c>
      <c r="G798" s="3">
        <f>IF(E798&gt;=20,2000,1900) + D798</f>
        <v>2002</v>
      </c>
      <c r="H798">
        <f t="shared" si="87"/>
        <v>4</v>
      </c>
      <c r="I798" s="4">
        <f t="shared" si="88"/>
        <v>22</v>
      </c>
      <c r="J798">
        <f t="shared" si="89"/>
        <v>20022422</v>
      </c>
      <c r="K798" t="str">
        <f t="shared" si="90"/>
        <v>22.24.2002</v>
      </c>
    </row>
    <row r="799" spans="1:11" x14ac:dyDescent="0.25">
      <c r="A799" s="4" t="s">
        <v>825</v>
      </c>
      <c r="B799" t="s">
        <v>3</v>
      </c>
      <c r="C799" t="s">
        <v>4</v>
      </c>
      <c r="D799" s="3">
        <f t="shared" si="84"/>
        <v>15</v>
      </c>
      <c r="E799" s="4">
        <f t="shared" si="85"/>
        <v>22</v>
      </c>
      <c r="F799" s="4">
        <f t="shared" si="86"/>
        <v>3</v>
      </c>
      <c r="G799" s="3">
        <f>IF(E799&gt;=20,2000,1900) + D799</f>
        <v>2015</v>
      </c>
      <c r="H799">
        <f t="shared" si="87"/>
        <v>2</v>
      </c>
      <c r="I799" s="4">
        <f t="shared" si="88"/>
        <v>3</v>
      </c>
      <c r="J799">
        <f t="shared" si="89"/>
        <v>20152203</v>
      </c>
      <c r="K799" t="str">
        <f t="shared" si="90"/>
        <v>03.22.2015</v>
      </c>
    </row>
    <row r="800" spans="1:11" x14ac:dyDescent="0.25">
      <c r="A800" s="4" t="s">
        <v>826</v>
      </c>
      <c r="B800" t="s">
        <v>11</v>
      </c>
      <c r="C800" t="s">
        <v>4</v>
      </c>
      <c r="D800" s="3">
        <f t="shared" si="84"/>
        <v>5</v>
      </c>
      <c r="E800" s="4">
        <f t="shared" si="85"/>
        <v>27</v>
      </c>
      <c r="F800" s="4">
        <f t="shared" si="86"/>
        <v>1</v>
      </c>
      <c r="G800" s="3">
        <f>IF(E800&gt;=20,2000,1900) + D800</f>
        <v>2005</v>
      </c>
      <c r="H800">
        <f t="shared" si="87"/>
        <v>7</v>
      </c>
      <c r="I800" s="4">
        <f t="shared" si="88"/>
        <v>1</v>
      </c>
      <c r="J800">
        <f t="shared" si="89"/>
        <v>20052701</v>
      </c>
      <c r="K800" t="str">
        <f t="shared" si="90"/>
        <v>01.27.2005</v>
      </c>
    </row>
    <row r="801" spans="1:11" x14ac:dyDescent="0.25">
      <c r="A801" s="4" t="s">
        <v>827</v>
      </c>
      <c r="B801" t="s">
        <v>13</v>
      </c>
      <c r="C801" t="s">
        <v>6</v>
      </c>
      <c r="D801" s="3">
        <f t="shared" si="84"/>
        <v>7</v>
      </c>
      <c r="E801" s="4">
        <f t="shared" si="85"/>
        <v>21</v>
      </c>
      <c r="F801" s="4">
        <f t="shared" si="86"/>
        <v>24</v>
      </c>
      <c r="G801" s="3">
        <f>IF(E801&gt;=20,2000,1900) + D801</f>
        <v>2007</v>
      </c>
      <c r="H801">
        <f t="shared" si="87"/>
        <v>1</v>
      </c>
      <c r="I801" s="4">
        <f t="shared" si="88"/>
        <v>24</v>
      </c>
      <c r="J801">
        <f t="shared" si="89"/>
        <v>20072124</v>
      </c>
      <c r="K801" t="str">
        <f t="shared" si="90"/>
        <v>24.21.2007</v>
      </c>
    </row>
    <row r="802" spans="1:11" x14ac:dyDescent="0.25">
      <c r="A802" s="4" t="s">
        <v>828</v>
      </c>
      <c r="B802" t="s">
        <v>8</v>
      </c>
      <c r="C802" t="s">
        <v>4</v>
      </c>
      <c r="D802" s="3">
        <f t="shared" si="84"/>
        <v>6</v>
      </c>
      <c r="E802" s="4">
        <f t="shared" si="85"/>
        <v>21</v>
      </c>
      <c r="F802" s="4">
        <f t="shared" si="86"/>
        <v>7</v>
      </c>
      <c r="G802" s="3">
        <f>IF(E802&gt;=20,2000,1900) + D802</f>
        <v>2006</v>
      </c>
      <c r="H802">
        <f t="shared" si="87"/>
        <v>1</v>
      </c>
      <c r="I802" s="4">
        <f t="shared" si="88"/>
        <v>7</v>
      </c>
      <c r="J802">
        <f t="shared" si="89"/>
        <v>20062107</v>
      </c>
      <c r="K802" t="str">
        <f t="shared" si="90"/>
        <v>07.21.2006</v>
      </c>
    </row>
    <row r="803" spans="1:11" x14ac:dyDescent="0.25">
      <c r="A803" s="4" t="s">
        <v>829</v>
      </c>
      <c r="B803" t="s">
        <v>15</v>
      </c>
      <c r="C803" t="s">
        <v>6</v>
      </c>
      <c r="D803" s="3">
        <f t="shared" si="84"/>
        <v>11</v>
      </c>
      <c r="E803" s="4">
        <f t="shared" si="85"/>
        <v>23</v>
      </c>
      <c r="F803" s="4">
        <f t="shared" si="86"/>
        <v>5</v>
      </c>
      <c r="G803" s="3">
        <f>IF(E803&gt;=20,2000,1900) + D803</f>
        <v>2011</v>
      </c>
      <c r="H803">
        <f t="shared" si="87"/>
        <v>3</v>
      </c>
      <c r="I803" s="4">
        <f t="shared" si="88"/>
        <v>5</v>
      </c>
      <c r="J803">
        <f t="shared" si="89"/>
        <v>20112305</v>
      </c>
      <c r="K803" t="str">
        <f t="shared" si="90"/>
        <v>05.23.2011</v>
      </c>
    </row>
    <row r="804" spans="1:11" x14ac:dyDescent="0.25">
      <c r="A804" s="4" t="s">
        <v>830</v>
      </c>
      <c r="B804" t="s">
        <v>8</v>
      </c>
      <c r="C804" t="s">
        <v>6</v>
      </c>
      <c r="D804" s="3">
        <f t="shared" si="84"/>
        <v>9</v>
      </c>
      <c r="E804" s="4">
        <f t="shared" si="85"/>
        <v>30</v>
      </c>
      <c r="F804" s="4">
        <f t="shared" si="86"/>
        <v>1</v>
      </c>
      <c r="G804" s="3">
        <f>IF(E804&gt;=20,2000,1900) + D804</f>
        <v>2009</v>
      </c>
      <c r="H804">
        <f t="shared" si="87"/>
        <v>10</v>
      </c>
      <c r="I804" s="4">
        <f t="shared" si="88"/>
        <v>1</v>
      </c>
      <c r="J804">
        <f t="shared" si="89"/>
        <v>20093001</v>
      </c>
      <c r="K804" t="str">
        <f t="shared" si="90"/>
        <v>01.30.2009</v>
      </c>
    </row>
    <row r="805" spans="1:11" x14ac:dyDescent="0.25">
      <c r="A805" s="4" t="s">
        <v>831</v>
      </c>
      <c r="B805" t="s">
        <v>3</v>
      </c>
      <c r="C805" t="s">
        <v>4</v>
      </c>
      <c r="D805" s="3">
        <f t="shared" si="84"/>
        <v>11</v>
      </c>
      <c r="E805" s="4">
        <f t="shared" si="85"/>
        <v>21</v>
      </c>
      <c r="F805" s="4">
        <f t="shared" si="86"/>
        <v>30</v>
      </c>
      <c r="G805" s="3">
        <f>IF(E805&gt;=20,2000,1900) + D805</f>
        <v>2011</v>
      </c>
      <c r="H805">
        <f t="shared" si="87"/>
        <v>1</v>
      </c>
      <c r="I805" s="4">
        <f t="shared" si="88"/>
        <v>30</v>
      </c>
      <c r="J805">
        <f t="shared" si="89"/>
        <v>20112130</v>
      </c>
      <c r="K805" t="str">
        <f t="shared" si="90"/>
        <v>30.21.2011</v>
      </c>
    </row>
    <row r="806" spans="1:11" x14ac:dyDescent="0.25">
      <c r="A806" s="4" t="s">
        <v>832</v>
      </c>
      <c r="B806" t="s">
        <v>14</v>
      </c>
      <c r="C806" t="s">
        <v>6</v>
      </c>
      <c r="D806" s="3">
        <f t="shared" si="84"/>
        <v>11</v>
      </c>
      <c r="E806" s="4">
        <f t="shared" si="85"/>
        <v>32</v>
      </c>
      <c r="F806" s="4">
        <f t="shared" si="86"/>
        <v>4</v>
      </c>
      <c r="G806" s="3">
        <f>IF(E806&gt;=20,2000,1900) + D806</f>
        <v>2011</v>
      </c>
      <c r="H806">
        <f t="shared" si="87"/>
        <v>12</v>
      </c>
      <c r="I806" s="4">
        <f t="shared" si="88"/>
        <v>4</v>
      </c>
      <c r="J806">
        <f t="shared" si="89"/>
        <v>20113204</v>
      </c>
      <c r="K806" t="str">
        <f t="shared" si="90"/>
        <v>04.32.2011</v>
      </c>
    </row>
    <row r="807" spans="1:11" x14ac:dyDescent="0.25">
      <c r="A807" s="4" t="s">
        <v>833</v>
      </c>
      <c r="B807" t="s">
        <v>5</v>
      </c>
      <c r="C807" t="s">
        <v>4</v>
      </c>
      <c r="D807" s="3">
        <f t="shared" si="84"/>
        <v>20</v>
      </c>
      <c r="E807" s="4">
        <f t="shared" si="85"/>
        <v>31</v>
      </c>
      <c r="F807" s="4">
        <f t="shared" si="86"/>
        <v>25</v>
      </c>
      <c r="G807" s="3">
        <f>IF(E807&gt;=20,2000,1900) + D807</f>
        <v>2020</v>
      </c>
      <c r="H807">
        <f t="shared" si="87"/>
        <v>11</v>
      </c>
      <c r="I807" s="4">
        <f t="shared" si="88"/>
        <v>25</v>
      </c>
      <c r="J807">
        <f t="shared" si="89"/>
        <v>20203125</v>
      </c>
      <c r="K807" t="str">
        <f t="shared" si="90"/>
        <v>25.31.2020</v>
      </c>
    </row>
    <row r="808" spans="1:11" x14ac:dyDescent="0.25">
      <c r="A808" s="4" t="s">
        <v>834</v>
      </c>
      <c r="B808" t="s">
        <v>14</v>
      </c>
      <c r="C808" t="s">
        <v>4</v>
      </c>
      <c r="D808" s="3">
        <f t="shared" si="84"/>
        <v>14</v>
      </c>
      <c r="E808" s="4">
        <f t="shared" si="85"/>
        <v>28</v>
      </c>
      <c r="F808" s="4">
        <f t="shared" si="86"/>
        <v>5</v>
      </c>
      <c r="G808" s="3">
        <f>IF(E808&gt;=20,2000,1900) + D808</f>
        <v>2014</v>
      </c>
      <c r="H808">
        <f t="shared" si="87"/>
        <v>8</v>
      </c>
      <c r="I808" s="4">
        <f t="shared" si="88"/>
        <v>5</v>
      </c>
      <c r="J808">
        <f t="shared" si="89"/>
        <v>20142805</v>
      </c>
      <c r="K808" t="str">
        <f t="shared" si="90"/>
        <v>05.28.2014</v>
      </c>
    </row>
    <row r="809" spans="1:11" x14ac:dyDescent="0.25">
      <c r="A809" s="4" t="s">
        <v>835</v>
      </c>
      <c r="B809" t="s">
        <v>15</v>
      </c>
      <c r="C809" t="s">
        <v>4</v>
      </c>
      <c r="D809" s="3">
        <f t="shared" si="84"/>
        <v>3</v>
      </c>
      <c r="E809" s="4">
        <f t="shared" si="85"/>
        <v>22</v>
      </c>
      <c r="F809" s="4">
        <f t="shared" si="86"/>
        <v>10</v>
      </c>
      <c r="G809" s="3">
        <f>IF(E809&gt;=20,2000,1900) + D809</f>
        <v>2003</v>
      </c>
      <c r="H809">
        <f t="shared" si="87"/>
        <v>2</v>
      </c>
      <c r="I809" s="4">
        <f t="shared" si="88"/>
        <v>10</v>
      </c>
      <c r="J809">
        <f t="shared" si="89"/>
        <v>20032210</v>
      </c>
      <c r="K809" t="str">
        <f t="shared" si="90"/>
        <v>10.22.2003</v>
      </c>
    </row>
    <row r="810" spans="1:11" x14ac:dyDescent="0.25">
      <c r="A810" s="4" t="s">
        <v>836</v>
      </c>
      <c r="B810" t="s">
        <v>13</v>
      </c>
      <c r="C810" t="s">
        <v>6</v>
      </c>
      <c r="D810" s="3">
        <f t="shared" si="84"/>
        <v>16</v>
      </c>
      <c r="E810" s="4">
        <f t="shared" si="85"/>
        <v>29</v>
      </c>
      <c r="F810" s="4">
        <f t="shared" si="86"/>
        <v>16</v>
      </c>
      <c r="G810" s="3">
        <f>IF(E810&gt;=20,2000,1900) + D810</f>
        <v>2016</v>
      </c>
      <c r="H810">
        <f t="shared" si="87"/>
        <v>9</v>
      </c>
      <c r="I810" s="4">
        <f t="shared" si="88"/>
        <v>16</v>
      </c>
      <c r="J810">
        <f t="shared" si="89"/>
        <v>20162916</v>
      </c>
      <c r="K810" t="str">
        <f t="shared" si="90"/>
        <v>16.29.2016</v>
      </c>
    </row>
    <row r="811" spans="1:11" x14ac:dyDescent="0.25">
      <c r="A811" s="4" t="s">
        <v>837</v>
      </c>
      <c r="B811" t="s">
        <v>11</v>
      </c>
      <c r="C811" t="s">
        <v>4</v>
      </c>
      <c r="D811" s="3">
        <f t="shared" si="84"/>
        <v>0</v>
      </c>
      <c r="E811" s="4">
        <f t="shared" si="85"/>
        <v>29</v>
      </c>
      <c r="F811" s="4">
        <f t="shared" si="86"/>
        <v>18</v>
      </c>
      <c r="G811" s="3">
        <f>IF(E811&gt;=20,2000,1900) + D811</f>
        <v>2000</v>
      </c>
      <c r="H811">
        <f t="shared" si="87"/>
        <v>9</v>
      </c>
      <c r="I811" s="4">
        <f t="shared" si="88"/>
        <v>18</v>
      </c>
      <c r="J811">
        <f t="shared" si="89"/>
        <v>20002918</v>
      </c>
      <c r="K811" t="str">
        <f t="shared" si="90"/>
        <v>18.29.2000</v>
      </c>
    </row>
    <row r="812" spans="1:11" x14ac:dyDescent="0.25">
      <c r="A812" s="4" t="s">
        <v>838</v>
      </c>
      <c r="B812" t="s">
        <v>5</v>
      </c>
      <c r="C812" t="s">
        <v>4</v>
      </c>
      <c r="D812" s="3">
        <f t="shared" si="84"/>
        <v>11</v>
      </c>
      <c r="E812" s="4">
        <f t="shared" si="85"/>
        <v>30</v>
      </c>
      <c r="F812" s="4">
        <f t="shared" si="86"/>
        <v>20</v>
      </c>
      <c r="G812" s="3">
        <f>IF(E812&gt;=20,2000,1900) + D812</f>
        <v>2011</v>
      </c>
      <c r="H812">
        <f t="shared" si="87"/>
        <v>10</v>
      </c>
      <c r="I812" s="4">
        <f t="shared" si="88"/>
        <v>20</v>
      </c>
      <c r="J812">
        <f t="shared" si="89"/>
        <v>20113020</v>
      </c>
      <c r="K812" t="str">
        <f t="shared" si="90"/>
        <v>20.30.2011</v>
      </c>
    </row>
    <row r="813" spans="1:11" x14ac:dyDescent="0.25">
      <c r="A813" s="4" t="s">
        <v>839</v>
      </c>
      <c r="B813" t="s">
        <v>8</v>
      </c>
      <c r="C813" t="s">
        <v>6</v>
      </c>
      <c r="D813" s="3">
        <f t="shared" si="84"/>
        <v>4</v>
      </c>
      <c r="E813" s="4">
        <f t="shared" si="85"/>
        <v>27</v>
      </c>
      <c r="F813" s="4">
        <f t="shared" si="86"/>
        <v>20</v>
      </c>
      <c r="G813" s="3">
        <f>IF(E813&gt;=20,2000,1900) + D813</f>
        <v>2004</v>
      </c>
      <c r="H813">
        <f t="shared" si="87"/>
        <v>7</v>
      </c>
      <c r="I813" s="4">
        <f t="shared" si="88"/>
        <v>20</v>
      </c>
      <c r="J813">
        <f t="shared" si="89"/>
        <v>20042720</v>
      </c>
      <c r="K813" t="str">
        <f t="shared" si="90"/>
        <v>20.27.2004</v>
      </c>
    </row>
    <row r="814" spans="1:11" x14ac:dyDescent="0.25">
      <c r="A814" s="4" t="s">
        <v>840</v>
      </c>
      <c r="B814" t="s">
        <v>14</v>
      </c>
      <c r="C814" t="s">
        <v>4</v>
      </c>
      <c r="D814" s="3">
        <f t="shared" si="84"/>
        <v>0</v>
      </c>
      <c r="E814" s="4">
        <f t="shared" si="85"/>
        <v>26</v>
      </c>
      <c r="F814" s="4">
        <f t="shared" si="86"/>
        <v>28</v>
      </c>
      <c r="G814" s="3">
        <f>IF(E814&gt;=20,2000,1900) + D814</f>
        <v>2000</v>
      </c>
      <c r="H814">
        <f t="shared" si="87"/>
        <v>6</v>
      </c>
      <c r="I814" s="4">
        <f t="shared" si="88"/>
        <v>28</v>
      </c>
      <c r="J814">
        <f t="shared" si="89"/>
        <v>20002628</v>
      </c>
      <c r="K814" t="str">
        <f t="shared" si="90"/>
        <v>28.26.2000</v>
      </c>
    </row>
    <row r="815" spans="1:11" x14ac:dyDescent="0.25">
      <c r="A815" s="4" t="s">
        <v>841</v>
      </c>
      <c r="B815" t="s">
        <v>20</v>
      </c>
      <c r="C815" t="s">
        <v>4</v>
      </c>
      <c r="D815" s="3">
        <f t="shared" si="84"/>
        <v>7</v>
      </c>
      <c r="E815" s="4">
        <f t="shared" si="85"/>
        <v>26</v>
      </c>
      <c r="F815" s="4">
        <f t="shared" si="86"/>
        <v>30</v>
      </c>
      <c r="G815" s="3">
        <f>IF(E815&gt;=20,2000,1900) + D815</f>
        <v>2007</v>
      </c>
      <c r="H815">
        <f t="shared" si="87"/>
        <v>6</v>
      </c>
      <c r="I815" s="4">
        <f t="shared" si="88"/>
        <v>30</v>
      </c>
      <c r="J815">
        <f t="shared" si="89"/>
        <v>20072630</v>
      </c>
      <c r="K815" t="str">
        <f t="shared" si="90"/>
        <v>30.26.2007</v>
      </c>
    </row>
    <row r="816" spans="1:11" x14ac:dyDescent="0.25">
      <c r="A816" s="4" t="s">
        <v>842</v>
      </c>
      <c r="B816" t="s">
        <v>13</v>
      </c>
      <c r="C816" t="s">
        <v>6</v>
      </c>
      <c r="D816" s="3">
        <f t="shared" si="84"/>
        <v>2</v>
      </c>
      <c r="E816" s="4">
        <f t="shared" si="85"/>
        <v>21</v>
      </c>
      <c r="F816" s="4">
        <f t="shared" si="86"/>
        <v>1</v>
      </c>
      <c r="G816" s="3">
        <f>IF(E816&gt;=20,2000,1900) + D816</f>
        <v>2002</v>
      </c>
      <c r="H816">
        <f t="shared" si="87"/>
        <v>1</v>
      </c>
      <c r="I816" s="4">
        <f t="shared" si="88"/>
        <v>1</v>
      </c>
      <c r="J816">
        <f t="shared" si="89"/>
        <v>20022101</v>
      </c>
      <c r="K816" t="str">
        <f t="shared" si="90"/>
        <v>01.21.2002</v>
      </c>
    </row>
    <row r="817" spans="1:11" x14ac:dyDescent="0.25">
      <c r="A817" s="4" t="s">
        <v>843</v>
      </c>
      <c r="B817" t="s">
        <v>11</v>
      </c>
      <c r="C817" t="s">
        <v>4</v>
      </c>
      <c r="D817" s="3">
        <f t="shared" si="84"/>
        <v>11</v>
      </c>
      <c r="E817" s="4">
        <f t="shared" si="85"/>
        <v>30</v>
      </c>
      <c r="F817" s="4">
        <f t="shared" si="86"/>
        <v>18</v>
      </c>
      <c r="G817" s="3">
        <f>IF(E817&gt;=20,2000,1900) + D817</f>
        <v>2011</v>
      </c>
      <c r="H817">
        <f t="shared" si="87"/>
        <v>10</v>
      </c>
      <c r="I817" s="4">
        <f t="shared" si="88"/>
        <v>18</v>
      </c>
      <c r="J817">
        <f t="shared" si="89"/>
        <v>20113018</v>
      </c>
      <c r="K817" t="str">
        <f t="shared" si="90"/>
        <v>18.30.2011</v>
      </c>
    </row>
    <row r="818" spans="1:11" x14ac:dyDescent="0.25">
      <c r="A818" s="4" t="s">
        <v>844</v>
      </c>
      <c r="B818" t="s">
        <v>8</v>
      </c>
      <c r="C818" t="s">
        <v>4</v>
      </c>
      <c r="D818" s="3">
        <f t="shared" si="84"/>
        <v>10</v>
      </c>
      <c r="E818" s="4">
        <f t="shared" si="85"/>
        <v>29</v>
      </c>
      <c r="F818" s="4">
        <f t="shared" si="86"/>
        <v>25</v>
      </c>
      <c r="G818" s="3">
        <f>IF(E818&gt;=20,2000,1900) + D818</f>
        <v>2010</v>
      </c>
      <c r="H818">
        <f t="shared" si="87"/>
        <v>9</v>
      </c>
      <c r="I818" s="4">
        <f t="shared" si="88"/>
        <v>25</v>
      </c>
      <c r="J818">
        <f t="shared" si="89"/>
        <v>20102925</v>
      </c>
      <c r="K818" t="str">
        <f t="shared" si="90"/>
        <v>25.29.2010</v>
      </c>
    </row>
    <row r="819" spans="1:11" x14ac:dyDescent="0.25">
      <c r="A819" s="4" t="s">
        <v>845</v>
      </c>
      <c r="B819" t="s">
        <v>16</v>
      </c>
      <c r="C819" t="s">
        <v>6</v>
      </c>
      <c r="D819" s="3">
        <f t="shared" si="84"/>
        <v>19</v>
      </c>
      <c r="E819" s="4">
        <f t="shared" si="85"/>
        <v>30</v>
      </c>
      <c r="F819" s="4">
        <f t="shared" si="86"/>
        <v>26</v>
      </c>
      <c r="G819" s="3">
        <f>IF(E819&gt;=20,2000,1900) + D819</f>
        <v>2019</v>
      </c>
      <c r="H819">
        <f t="shared" si="87"/>
        <v>10</v>
      </c>
      <c r="I819" s="4">
        <f t="shared" si="88"/>
        <v>26</v>
      </c>
      <c r="J819">
        <f t="shared" si="89"/>
        <v>20193026</v>
      </c>
      <c r="K819" t="str">
        <f t="shared" si="90"/>
        <v>26.30.2019</v>
      </c>
    </row>
    <row r="820" spans="1:11" x14ac:dyDescent="0.25">
      <c r="A820" s="4" t="s">
        <v>846</v>
      </c>
      <c r="B820" t="s">
        <v>16</v>
      </c>
      <c r="C820" t="s">
        <v>6</v>
      </c>
      <c r="D820" s="3">
        <f t="shared" si="84"/>
        <v>2</v>
      </c>
      <c r="E820" s="4">
        <f t="shared" si="85"/>
        <v>29</v>
      </c>
      <c r="F820" s="4">
        <f t="shared" si="86"/>
        <v>6</v>
      </c>
      <c r="G820" s="3">
        <f>IF(E820&gt;=20,2000,1900) + D820</f>
        <v>2002</v>
      </c>
      <c r="H820">
        <f t="shared" si="87"/>
        <v>9</v>
      </c>
      <c r="I820" s="4">
        <f t="shared" si="88"/>
        <v>6</v>
      </c>
      <c r="J820">
        <f t="shared" si="89"/>
        <v>20022906</v>
      </c>
      <c r="K820" t="str">
        <f t="shared" si="90"/>
        <v>06.29.2002</v>
      </c>
    </row>
    <row r="821" spans="1:11" x14ac:dyDescent="0.25">
      <c r="A821" s="4" t="s">
        <v>847</v>
      </c>
      <c r="B821" t="s">
        <v>5</v>
      </c>
      <c r="C821" t="s">
        <v>6</v>
      </c>
      <c r="D821" s="3">
        <f t="shared" si="84"/>
        <v>1</v>
      </c>
      <c r="E821" s="4">
        <f t="shared" si="85"/>
        <v>30</v>
      </c>
      <c r="F821" s="4">
        <f t="shared" si="86"/>
        <v>26</v>
      </c>
      <c r="G821" s="3">
        <f>IF(E821&gt;=20,2000,1900) + D821</f>
        <v>2001</v>
      </c>
      <c r="H821">
        <f t="shared" si="87"/>
        <v>10</v>
      </c>
      <c r="I821" s="4">
        <f t="shared" si="88"/>
        <v>26</v>
      </c>
      <c r="J821">
        <f t="shared" si="89"/>
        <v>20013026</v>
      </c>
      <c r="K821" t="str">
        <f t="shared" si="90"/>
        <v>26.30.2001</v>
      </c>
    </row>
    <row r="822" spans="1:11" x14ac:dyDescent="0.25">
      <c r="A822" s="4" t="s">
        <v>848</v>
      </c>
      <c r="B822" t="s">
        <v>15</v>
      </c>
      <c r="C822" t="s">
        <v>6</v>
      </c>
      <c r="D822" s="3">
        <f t="shared" si="84"/>
        <v>19</v>
      </c>
      <c r="E822" s="4">
        <f t="shared" si="85"/>
        <v>30</v>
      </c>
      <c r="F822" s="4">
        <f t="shared" si="86"/>
        <v>26</v>
      </c>
      <c r="G822" s="3">
        <f>IF(E822&gt;=20,2000,1900) + D822</f>
        <v>2019</v>
      </c>
      <c r="H822">
        <f t="shared" si="87"/>
        <v>10</v>
      </c>
      <c r="I822" s="4">
        <f t="shared" si="88"/>
        <v>26</v>
      </c>
      <c r="J822">
        <f t="shared" si="89"/>
        <v>20193026</v>
      </c>
      <c r="K822" t="str">
        <f t="shared" si="90"/>
        <v>26.30.2019</v>
      </c>
    </row>
    <row r="823" spans="1:11" x14ac:dyDescent="0.25">
      <c r="A823" s="4" t="s">
        <v>849</v>
      </c>
      <c r="B823" t="s">
        <v>16</v>
      </c>
      <c r="C823" t="s">
        <v>6</v>
      </c>
      <c r="D823" s="3">
        <f t="shared" si="84"/>
        <v>12</v>
      </c>
      <c r="E823" s="4">
        <f t="shared" si="85"/>
        <v>26</v>
      </c>
      <c r="F823" s="4">
        <f t="shared" si="86"/>
        <v>6</v>
      </c>
      <c r="G823" s="3">
        <f>IF(E823&gt;=20,2000,1900) + D823</f>
        <v>2012</v>
      </c>
      <c r="H823">
        <f t="shared" si="87"/>
        <v>6</v>
      </c>
      <c r="I823" s="4">
        <f t="shared" si="88"/>
        <v>6</v>
      </c>
      <c r="J823">
        <f t="shared" si="89"/>
        <v>20122606</v>
      </c>
      <c r="K823" t="str">
        <f t="shared" si="90"/>
        <v>06.26.2012</v>
      </c>
    </row>
    <row r="824" spans="1:11" x14ac:dyDescent="0.25">
      <c r="A824" s="4" t="s">
        <v>850</v>
      </c>
      <c r="B824" t="s">
        <v>20</v>
      </c>
      <c r="C824" t="s">
        <v>4</v>
      </c>
      <c r="D824" s="3">
        <f t="shared" si="84"/>
        <v>0</v>
      </c>
      <c r="E824" s="4">
        <f t="shared" si="85"/>
        <v>24</v>
      </c>
      <c r="F824" s="4">
        <f t="shared" si="86"/>
        <v>16</v>
      </c>
      <c r="G824" s="3">
        <f>IF(E824&gt;=20,2000,1900) + D824</f>
        <v>2000</v>
      </c>
      <c r="H824">
        <f t="shared" si="87"/>
        <v>4</v>
      </c>
      <c r="I824" s="4">
        <f t="shared" si="88"/>
        <v>16</v>
      </c>
      <c r="J824">
        <f t="shared" si="89"/>
        <v>20002416</v>
      </c>
      <c r="K824" t="str">
        <f t="shared" si="90"/>
        <v>16.24.2000</v>
      </c>
    </row>
    <row r="825" spans="1:11" x14ac:dyDescent="0.25">
      <c r="A825" s="4" t="s">
        <v>851</v>
      </c>
      <c r="B825" t="s">
        <v>5</v>
      </c>
      <c r="C825" t="s">
        <v>4</v>
      </c>
      <c r="D825" s="3">
        <f t="shared" si="84"/>
        <v>0</v>
      </c>
      <c r="E825" s="4">
        <f t="shared" si="85"/>
        <v>29</v>
      </c>
      <c r="F825" s="4">
        <f t="shared" si="86"/>
        <v>14</v>
      </c>
      <c r="G825" s="3">
        <f>IF(E825&gt;=20,2000,1900) + D825</f>
        <v>2000</v>
      </c>
      <c r="H825">
        <f t="shared" si="87"/>
        <v>9</v>
      </c>
      <c r="I825" s="4">
        <f t="shared" si="88"/>
        <v>14</v>
      </c>
      <c r="J825">
        <f t="shared" si="89"/>
        <v>20002914</v>
      </c>
      <c r="K825" t="str">
        <f t="shared" si="90"/>
        <v>14.29.2000</v>
      </c>
    </row>
    <row r="826" spans="1:11" x14ac:dyDescent="0.25">
      <c r="A826" s="4" t="s">
        <v>852</v>
      </c>
      <c r="B826" t="s">
        <v>19</v>
      </c>
      <c r="C826" t="s">
        <v>4</v>
      </c>
      <c r="D826" s="3">
        <f t="shared" si="84"/>
        <v>9</v>
      </c>
      <c r="E826" s="4">
        <f t="shared" si="85"/>
        <v>28</v>
      </c>
      <c r="F826" s="4">
        <f t="shared" si="86"/>
        <v>16</v>
      </c>
      <c r="G826" s="3">
        <f>IF(E826&gt;=20,2000,1900) + D826</f>
        <v>2009</v>
      </c>
      <c r="H826">
        <f t="shared" si="87"/>
        <v>8</v>
      </c>
      <c r="I826" s="4">
        <f t="shared" si="88"/>
        <v>16</v>
      </c>
      <c r="J826">
        <f t="shared" si="89"/>
        <v>20092816</v>
      </c>
      <c r="K826" t="str">
        <f t="shared" si="90"/>
        <v>16.28.2009</v>
      </c>
    </row>
    <row r="827" spans="1:11" x14ac:dyDescent="0.25">
      <c r="A827" s="4" t="s">
        <v>853</v>
      </c>
      <c r="B827" t="s">
        <v>11</v>
      </c>
      <c r="C827" t="s">
        <v>4</v>
      </c>
      <c r="D827" s="3">
        <f t="shared" si="84"/>
        <v>5</v>
      </c>
      <c r="E827" s="4">
        <f t="shared" si="85"/>
        <v>27</v>
      </c>
      <c r="F827" s="4">
        <f t="shared" si="86"/>
        <v>10</v>
      </c>
      <c r="G827" s="3">
        <f>IF(E827&gt;=20,2000,1900) + D827</f>
        <v>2005</v>
      </c>
      <c r="H827">
        <f t="shared" si="87"/>
        <v>7</v>
      </c>
      <c r="I827" s="4">
        <f t="shared" si="88"/>
        <v>10</v>
      </c>
      <c r="J827">
        <f t="shared" si="89"/>
        <v>20052710</v>
      </c>
      <c r="K827" t="str">
        <f t="shared" si="90"/>
        <v>10.27.2005</v>
      </c>
    </row>
    <row r="828" spans="1:11" x14ac:dyDescent="0.25">
      <c r="A828" s="4" t="s">
        <v>854</v>
      </c>
      <c r="B828" t="s">
        <v>19</v>
      </c>
      <c r="C828" t="s">
        <v>4</v>
      </c>
      <c r="D828" s="3">
        <f t="shared" si="84"/>
        <v>20</v>
      </c>
      <c r="E828" s="4">
        <f t="shared" si="85"/>
        <v>22</v>
      </c>
      <c r="F828" s="4">
        <f t="shared" si="86"/>
        <v>26</v>
      </c>
      <c r="G828" s="3">
        <f>IF(E828&gt;=20,2000,1900) + D828</f>
        <v>2020</v>
      </c>
      <c r="H828">
        <f t="shared" si="87"/>
        <v>2</v>
      </c>
      <c r="I828" s="4">
        <f t="shared" si="88"/>
        <v>26</v>
      </c>
      <c r="J828">
        <f t="shared" si="89"/>
        <v>20202226</v>
      </c>
      <c r="K828" t="str">
        <f t="shared" si="90"/>
        <v>26.22.2020</v>
      </c>
    </row>
    <row r="829" spans="1:11" x14ac:dyDescent="0.25">
      <c r="A829" s="4" t="s">
        <v>855</v>
      </c>
      <c r="B829" t="s">
        <v>18</v>
      </c>
      <c r="C829" t="s">
        <v>6</v>
      </c>
      <c r="D829" s="3">
        <f t="shared" si="84"/>
        <v>2</v>
      </c>
      <c r="E829" s="4">
        <f t="shared" si="85"/>
        <v>28</v>
      </c>
      <c r="F829" s="4">
        <f t="shared" si="86"/>
        <v>31</v>
      </c>
      <c r="G829" s="3">
        <f>IF(E829&gt;=20,2000,1900) + D829</f>
        <v>2002</v>
      </c>
      <c r="H829">
        <f t="shared" si="87"/>
        <v>8</v>
      </c>
      <c r="I829" s="4">
        <f t="shared" si="88"/>
        <v>31</v>
      </c>
      <c r="J829">
        <f t="shared" si="89"/>
        <v>20022831</v>
      </c>
      <c r="K829" t="str">
        <f t="shared" si="90"/>
        <v>31.28.2002</v>
      </c>
    </row>
    <row r="830" spans="1:11" x14ac:dyDescent="0.25">
      <c r="A830" s="4" t="s">
        <v>856</v>
      </c>
      <c r="B830" t="s">
        <v>11</v>
      </c>
      <c r="C830" t="s">
        <v>6</v>
      </c>
      <c r="D830" s="3">
        <f t="shared" si="84"/>
        <v>19</v>
      </c>
      <c r="E830" s="4">
        <f t="shared" si="85"/>
        <v>23</v>
      </c>
      <c r="F830" s="4">
        <f t="shared" si="86"/>
        <v>10</v>
      </c>
      <c r="G830" s="3">
        <f>IF(E830&gt;=20,2000,1900) + D830</f>
        <v>2019</v>
      </c>
      <c r="H830">
        <f t="shared" si="87"/>
        <v>3</v>
      </c>
      <c r="I830" s="4">
        <f t="shared" si="88"/>
        <v>10</v>
      </c>
      <c r="J830">
        <f t="shared" si="89"/>
        <v>20192310</v>
      </c>
      <c r="K830" t="str">
        <f t="shared" si="90"/>
        <v>10.23.2019</v>
      </c>
    </row>
    <row r="831" spans="1:11" x14ac:dyDescent="0.25">
      <c r="A831" s="4" t="s">
        <v>857</v>
      </c>
      <c r="B831" t="s">
        <v>10</v>
      </c>
      <c r="C831" t="s">
        <v>6</v>
      </c>
      <c r="D831" s="3">
        <f t="shared" si="84"/>
        <v>9</v>
      </c>
      <c r="E831" s="4">
        <f t="shared" si="85"/>
        <v>30</v>
      </c>
      <c r="F831" s="4">
        <f t="shared" si="86"/>
        <v>16</v>
      </c>
      <c r="G831" s="3">
        <f>IF(E831&gt;=20,2000,1900) + D831</f>
        <v>2009</v>
      </c>
      <c r="H831">
        <f t="shared" si="87"/>
        <v>10</v>
      </c>
      <c r="I831" s="4">
        <f t="shared" si="88"/>
        <v>16</v>
      </c>
      <c r="J831">
        <f t="shared" si="89"/>
        <v>20093016</v>
      </c>
      <c r="K831" t="str">
        <f t="shared" si="90"/>
        <v>16.30.2009</v>
      </c>
    </row>
    <row r="832" spans="1:11" x14ac:dyDescent="0.25">
      <c r="A832" s="4" t="s">
        <v>858</v>
      </c>
      <c r="B832" t="s">
        <v>3</v>
      </c>
      <c r="C832" t="s">
        <v>4</v>
      </c>
      <c r="D832" s="3">
        <f t="shared" si="84"/>
        <v>12</v>
      </c>
      <c r="E832" s="4">
        <f t="shared" si="85"/>
        <v>29</v>
      </c>
      <c r="F832" s="4">
        <f t="shared" si="86"/>
        <v>26</v>
      </c>
      <c r="G832" s="3">
        <f>IF(E832&gt;=20,2000,1900) + D832</f>
        <v>2012</v>
      </c>
      <c r="H832">
        <f t="shared" si="87"/>
        <v>9</v>
      </c>
      <c r="I832" s="4">
        <f t="shared" si="88"/>
        <v>26</v>
      </c>
      <c r="J832">
        <f t="shared" si="89"/>
        <v>20122926</v>
      </c>
      <c r="K832" t="str">
        <f t="shared" si="90"/>
        <v>26.29.2012</v>
      </c>
    </row>
    <row r="833" spans="1:11" x14ac:dyDescent="0.25">
      <c r="A833" s="4" t="s">
        <v>859</v>
      </c>
      <c r="B833" t="s">
        <v>9</v>
      </c>
      <c r="C833" t="s">
        <v>6</v>
      </c>
      <c r="D833" s="3">
        <f t="shared" si="84"/>
        <v>0</v>
      </c>
      <c r="E833" s="4">
        <f t="shared" si="85"/>
        <v>22</v>
      </c>
      <c r="F833" s="4">
        <f t="shared" si="86"/>
        <v>1</v>
      </c>
      <c r="G833" s="3">
        <f>IF(E833&gt;=20,2000,1900) + D833</f>
        <v>2000</v>
      </c>
      <c r="H833">
        <f t="shared" si="87"/>
        <v>2</v>
      </c>
      <c r="I833" s="4">
        <f t="shared" si="88"/>
        <v>1</v>
      </c>
      <c r="J833">
        <f t="shared" si="89"/>
        <v>20002201</v>
      </c>
      <c r="K833" t="str">
        <f t="shared" si="90"/>
        <v>01.22.2000</v>
      </c>
    </row>
    <row r="834" spans="1:11" x14ac:dyDescent="0.25">
      <c r="A834" s="4" t="s">
        <v>860</v>
      </c>
      <c r="B834" t="s">
        <v>18</v>
      </c>
      <c r="C834" t="s">
        <v>4</v>
      </c>
      <c r="D834" s="3">
        <f t="shared" si="84"/>
        <v>18</v>
      </c>
      <c r="E834" s="4">
        <f t="shared" si="85"/>
        <v>26</v>
      </c>
      <c r="F834" s="4">
        <f t="shared" si="86"/>
        <v>18</v>
      </c>
      <c r="G834" s="3">
        <f>IF(E834&gt;=20,2000,1900) + D834</f>
        <v>2018</v>
      </c>
      <c r="H834">
        <f t="shared" si="87"/>
        <v>6</v>
      </c>
      <c r="I834" s="4">
        <f t="shared" si="88"/>
        <v>18</v>
      </c>
      <c r="J834">
        <f t="shared" si="89"/>
        <v>20182618</v>
      </c>
      <c r="K834" t="str">
        <f t="shared" si="90"/>
        <v>18.26.2018</v>
      </c>
    </row>
    <row r="835" spans="1:11" x14ac:dyDescent="0.25">
      <c r="A835" s="4" t="s">
        <v>861</v>
      </c>
      <c r="B835" t="s">
        <v>18</v>
      </c>
      <c r="C835" t="s">
        <v>4</v>
      </c>
      <c r="D835" s="3">
        <f t="shared" ref="D835:D898" si="91">MID(A835,1,2)*1</f>
        <v>22</v>
      </c>
      <c r="E835" s="4">
        <f t="shared" ref="E835:E898" si="92">MID(A835,3,2)*1</f>
        <v>28</v>
      </c>
      <c r="F835" s="4">
        <f t="shared" ref="F835:F898" si="93">MID(A835,5,2)*1</f>
        <v>6</v>
      </c>
      <c r="G835" s="3">
        <f>IF(E835&gt;=20,2000,1900) + D835</f>
        <v>2022</v>
      </c>
      <c r="H835">
        <f t="shared" ref="H835:H898" si="94">IF(E835&gt;=20,E835-20,E835)</f>
        <v>8</v>
      </c>
      <c r="I835" s="4">
        <f t="shared" ref="I835:I898" si="95">F835</f>
        <v>6</v>
      </c>
      <c r="J835">
        <f t="shared" ref="J835:J898" si="96">CONCATENATE(G835,IF(LEN(E835)=1,CONCATENATE("0",E835),E835),IF(LEN(F835)=1,CONCATENATE("0",F835),F835))*1</f>
        <v>20222806</v>
      </c>
      <c r="K835" t="str">
        <f t="shared" ref="K835:K898" si="97">CONCATENATE(RIGHT(J835,2),".",MID(J835,5,2),".",LEFT(J835,4))</f>
        <v>06.28.2022</v>
      </c>
    </row>
    <row r="836" spans="1:11" x14ac:dyDescent="0.25">
      <c r="A836" s="4" t="s">
        <v>862</v>
      </c>
      <c r="B836" t="s">
        <v>19</v>
      </c>
      <c r="C836" t="s">
        <v>6</v>
      </c>
      <c r="D836" s="3">
        <f t="shared" si="91"/>
        <v>21</v>
      </c>
      <c r="E836" s="4">
        <f t="shared" si="92"/>
        <v>22</v>
      </c>
      <c r="F836" s="4">
        <f t="shared" si="93"/>
        <v>13</v>
      </c>
      <c r="G836" s="3">
        <f>IF(E836&gt;=20,2000,1900) + D836</f>
        <v>2021</v>
      </c>
      <c r="H836">
        <f t="shared" si="94"/>
        <v>2</v>
      </c>
      <c r="I836" s="4">
        <f t="shared" si="95"/>
        <v>13</v>
      </c>
      <c r="J836">
        <f t="shared" si="96"/>
        <v>20212213</v>
      </c>
      <c r="K836" t="str">
        <f t="shared" si="97"/>
        <v>13.22.2021</v>
      </c>
    </row>
    <row r="837" spans="1:11" x14ac:dyDescent="0.25">
      <c r="A837" s="4" t="s">
        <v>863</v>
      </c>
      <c r="B837" t="s">
        <v>5</v>
      </c>
      <c r="C837" t="s">
        <v>4</v>
      </c>
      <c r="D837" s="3">
        <f t="shared" si="91"/>
        <v>4</v>
      </c>
      <c r="E837" s="4">
        <f t="shared" si="92"/>
        <v>24</v>
      </c>
      <c r="F837" s="4">
        <f t="shared" si="93"/>
        <v>2</v>
      </c>
      <c r="G837" s="3">
        <f>IF(E837&gt;=20,2000,1900) + D837</f>
        <v>2004</v>
      </c>
      <c r="H837">
        <f t="shared" si="94"/>
        <v>4</v>
      </c>
      <c r="I837" s="4">
        <f t="shared" si="95"/>
        <v>2</v>
      </c>
      <c r="J837">
        <f t="shared" si="96"/>
        <v>20042402</v>
      </c>
      <c r="K837" t="str">
        <f t="shared" si="97"/>
        <v>02.24.2004</v>
      </c>
    </row>
    <row r="838" spans="1:11" x14ac:dyDescent="0.25">
      <c r="A838" s="4" t="s">
        <v>864</v>
      </c>
      <c r="B838" t="s">
        <v>15</v>
      </c>
      <c r="C838" t="s">
        <v>6</v>
      </c>
      <c r="D838" s="3">
        <f t="shared" si="91"/>
        <v>12</v>
      </c>
      <c r="E838" s="4">
        <f t="shared" si="92"/>
        <v>31</v>
      </c>
      <c r="F838" s="4">
        <f t="shared" si="93"/>
        <v>24</v>
      </c>
      <c r="G838" s="3">
        <f>IF(E838&gt;=20,2000,1900) + D838</f>
        <v>2012</v>
      </c>
      <c r="H838">
        <f t="shared" si="94"/>
        <v>11</v>
      </c>
      <c r="I838" s="4">
        <f t="shared" si="95"/>
        <v>24</v>
      </c>
      <c r="J838">
        <f t="shared" si="96"/>
        <v>20123124</v>
      </c>
      <c r="K838" t="str">
        <f t="shared" si="97"/>
        <v>24.31.2012</v>
      </c>
    </row>
    <row r="839" spans="1:11" x14ac:dyDescent="0.25">
      <c r="A839" s="4" t="s">
        <v>865</v>
      </c>
      <c r="B839" t="s">
        <v>3</v>
      </c>
      <c r="C839" t="s">
        <v>6</v>
      </c>
      <c r="D839" s="3">
        <f t="shared" si="91"/>
        <v>9</v>
      </c>
      <c r="E839" s="4">
        <f t="shared" si="92"/>
        <v>28</v>
      </c>
      <c r="F839" s="4">
        <f t="shared" si="93"/>
        <v>15</v>
      </c>
      <c r="G839" s="3">
        <f>IF(E839&gt;=20,2000,1900) + D839</f>
        <v>2009</v>
      </c>
      <c r="H839">
        <f t="shared" si="94"/>
        <v>8</v>
      </c>
      <c r="I839" s="4">
        <f t="shared" si="95"/>
        <v>15</v>
      </c>
      <c r="J839">
        <f t="shared" si="96"/>
        <v>20092815</v>
      </c>
      <c r="K839" t="str">
        <f t="shared" si="97"/>
        <v>15.28.2009</v>
      </c>
    </row>
    <row r="840" spans="1:11" x14ac:dyDescent="0.25">
      <c r="A840" s="4" t="s">
        <v>866</v>
      </c>
      <c r="B840" t="s">
        <v>3</v>
      </c>
      <c r="C840" t="s">
        <v>6</v>
      </c>
      <c r="D840" s="3">
        <f t="shared" si="91"/>
        <v>15</v>
      </c>
      <c r="E840" s="4">
        <f t="shared" si="92"/>
        <v>25</v>
      </c>
      <c r="F840" s="4">
        <f t="shared" si="93"/>
        <v>30</v>
      </c>
      <c r="G840" s="3">
        <f>IF(E840&gt;=20,2000,1900) + D840</f>
        <v>2015</v>
      </c>
      <c r="H840">
        <f t="shared" si="94"/>
        <v>5</v>
      </c>
      <c r="I840" s="4">
        <f t="shared" si="95"/>
        <v>30</v>
      </c>
      <c r="J840">
        <f t="shared" si="96"/>
        <v>20152530</v>
      </c>
      <c r="K840" t="str">
        <f t="shared" si="97"/>
        <v>30.25.2015</v>
      </c>
    </row>
    <row r="841" spans="1:11" x14ac:dyDescent="0.25">
      <c r="A841" s="4" t="s">
        <v>867</v>
      </c>
      <c r="B841" t="s">
        <v>13</v>
      </c>
      <c r="C841" t="s">
        <v>4</v>
      </c>
      <c r="D841" s="3">
        <f t="shared" si="91"/>
        <v>10</v>
      </c>
      <c r="E841" s="4">
        <f t="shared" si="92"/>
        <v>22</v>
      </c>
      <c r="F841" s="4">
        <f t="shared" si="93"/>
        <v>9</v>
      </c>
      <c r="G841" s="3">
        <f>IF(E841&gt;=20,2000,1900) + D841</f>
        <v>2010</v>
      </c>
      <c r="H841">
        <f t="shared" si="94"/>
        <v>2</v>
      </c>
      <c r="I841" s="4">
        <f t="shared" si="95"/>
        <v>9</v>
      </c>
      <c r="J841">
        <f t="shared" si="96"/>
        <v>20102209</v>
      </c>
      <c r="K841" t="str">
        <f t="shared" si="97"/>
        <v>09.22.2010</v>
      </c>
    </row>
    <row r="842" spans="1:11" x14ac:dyDescent="0.25">
      <c r="A842" s="4" t="s">
        <v>868</v>
      </c>
      <c r="B842" t="s">
        <v>5</v>
      </c>
      <c r="C842" t="s">
        <v>4</v>
      </c>
      <c r="D842" s="3">
        <f t="shared" si="91"/>
        <v>5</v>
      </c>
      <c r="E842" s="4">
        <f t="shared" si="92"/>
        <v>23</v>
      </c>
      <c r="F842" s="4">
        <f t="shared" si="93"/>
        <v>14</v>
      </c>
      <c r="G842" s="3">
        <f>IF(E842&gt;=20,2000,1900) + D842</f>
        <v>2005</v>
      </c>
      <c r="H842">
        <f t="shared" si="94"/>
        <v>3</v>
      </c>
      <c r="I842" s="4">
        <f t="shared" si="95"/>
        <v>14</v>
      </c>
      <c r="J842">
        <f t="shared" si="96"/>
        <v>20052314</v>
      </c>
      <c r="K842" t="str">
        <f t="shared" si="97"/>
        <v>14.23.2005</v>
      </c>
    </row>
    <row r="843" spans="1:11" x14ac:dyDescent="0.25">
      <c r="A843" s="4" t="s">
        <v>869</v>
      </c>
      <c r="B843" t="s">
        <v>10</v>
      </c>
      <c r="C843" t="s">
        <v>6</v>
      </c>
      <c r="D843" s="3">
        <f t="shared" si="91"/>
        <v>4</v>
      </c>
      <c r="E843" s="4">
        <f t="shared" si="92"/>
        <v>31</v>
      </c>
      <c r="F843" s="4">
        <f t="shared" si="93"/>
        <v>24</v>
      </c>
      <c r="G843" s="3">
        <f>IF(E843&gt;=20,2000,1900) + D843</f>
        <v>2004</v>
      </c>
      <c r="H843">
        <f t="shared" si="94"/>
        <v>11</v>
      </c>
      <c r="I843" s="4">
        <f t="shared" si="95"/>
        <v>24</v>
      </c>
      <c r="J843">
        <f t="shared" si="96"/>
        <v>20043124</v>
      </c>
      <c r="K843" t="str">
        <f t="shared" si="97"/>
        <v>24.31.2004</v>
      </c>
    </row>
    <row r="844" spans="1:11" x14ac:dyDescent="0.25">
      <c r="A844" s="4" t="s">
        <v>870</v>
      </c>
      <c r="B844" t="s">
        <v>9</v>
      </c>
      <c r="C844" t="s">
        <v>6</v>
      </c>
      <c r="D844" s="3">
        <f t="shared" si="91"/>
        <v>22</v>
      </c>
      <c r="E844" s="4">
        <f t="shared" si="92"/>
        <v>29</v>
      </c>
      <c r="F844" s="4">
        <f t="shared" si="93"/>
        <v>5</v>
      </c>
      <c r="G844" s="3">
        <f>IF(E844&gt;=20,2000,1900) + D844</f>
        <v>2022</v>
      </c>
      <c r="H844">
        <f t="shared" si="94"/>
        <v>9</v>
      </c>
      <c r="I844" s="4">
        <f t="shared" si="95"/>
        <v>5</v>
      </c>
      <c r="J844">
        <f t="shared" si="96"/>
        <v>20222905</v>
      </c>
      <c r="K844" t="str">
        <f t="shared" si="97"/>
        <v>05.29.2022</v>
      </c>
    </row>
    <row r="845" spans="1:11" x14ac:dyDescent="0.25">
      <c r="A845" s="4" t="s">
        <v>871</v>
      </c>
      <c r="B845" t="s">
        <v>3</v>
      </c>
      <c r="C845" t="s">
        <v>4</v>
      </c>
      <c r="D845" s="3">
        <f t="shared" si="91"/>
        <v>19</v>
      </c>
      <c r="E845" s="4">
        <f t="shared" si="92"/>
        <v>28</v>
      </c>
      <c r="F845" s="4">
        <f t="shared" si="93"/>
        <v>9</v>
      </c>
      <c r="G845" s="3">
        <f>IF(E845&gt;=20,2000,1900) + D845</f>
        <v>2019</v>
      </c>
      <c r="H845">
        <f t="shared" si="94"/>
        <v>8</v>
      </c>
      <c r="I845" s="4">
        <f t="shared" si="95"/>
        <v>9</v>
      </c>
      <c r="J845">
        <f t="shared" si="96"/>
        <v>20192809</v>
      </c>
      <c r="K845" t="str">
        <f t="shared" si="97"/>
        <v>09.28.2019</v>
      </c>
    </row>
    <row r="846" spans="1:11" x14ac:dyDescent="0.25">
      <c r="A846" s="4" t="s">
        <v>872</v>
      </c>
      <c r="B846" t="s">
        <v>20</v>
      </c>
      <c r="C846" t="s">
        <v>6</v>
      </c>
      <c r="D846" s="3">
        <f t="shared" si="91"/>
        <v>11</v>
      </c>
      <c r="E846" s="4">
        <f t="shared" si="92"/>
        <v>25</v>
      </c>
      <c r="F846" s="4">
        <f t="shared" si="93"/>
        <v>10</v>
      </c>
      <c r="G846" s="3">
        <f>IF(E846&gt;=20,2000,1900) + D846</f>
        <v>2011</v>
      </c>
      <c r="H846">
        <f t="shared" si="94"/>
        <v>5</v>
      </c>
      <c r="I846" s="4">
        <f t="shared" si="95"/>
        <v>10</v>
      </c>
      <c r="J846">
        <f t="shared" si="96"/>
        <v>20112510</v>
      </c>
      <c r="K846" t="str">
        <f t="shared" si="97"/>
        <v>10.25.2011</v>
      </c>
    </row>
    <row r="847" spans="1:11" x14ac:dyDescent="0.25">
      <c r="A847" s="4" t="s">
        <v>873</v>
      </c>
      <c r="B847" t="s">
        <v>13</v>
      </c>
      <c r="C847" t="s">
        <v>4</v>
      </c>
      <c r="D847" s="3">
        <f t="shared" si="91"/>
        <v>6</v>
      </c>
      <c r="E847" s="4">
        <f t="shared" si="92"/>
        <v>22</v>
      </c>
      <c r="F847" s="4">
        <f t="shared" si="93"/>
        <v>4</v>
      </c>
      <c r="G847" s="3">
        <f>IF(E847&gt;=20,2000,1900) + D847</f>
        <v>2006</v>
      </c>
      <c r="H847">
        <f t="shared" si="94"/>
        <v>2</v>
      </c>
      <c r="I847" s="4">
        <f t="shared" si="95"/>
        <v>4</v>
      </c>
      <c r="J847">
        <f t="shared" si="96"/>
        <v>20062204</v>
      </c>
      <c r="K847" t="str">
        <f t="shared" si="97"/>
        <v>04.22.2006</v>
      </c>
    </row>
    <row r="848" spans="1:11" x14ac:dyDescent="0.25">
      <c r="A848" s="4" t="s">
        <v>874</v>
      </c>
      <c r="B848" t="s">
        <v>3</v>
      </c>
      <c r="C848" t="s">
        <v>4</v>
      </c>
      <c r="D848" s="3">
        <f t="shared" si="91"/>
        <v>7</v>
      </c>
      <c r="E848" s="4">
        <f t="shared" si="92"/>
        <v>28</v>
      </c>
      <c r="F848" s="4">
        <f t="shared" si="93"/>
        <v>21</v>
      </c>
      <c r="G848" s="3">
        <f>IF(E848&gt;=20,2000,1900) + D848</f>
        <v>2007</v>
      </c>
      <c r="H848">
        <f t="shared" si="94"/>
        <v>8</v>
      </c>
      <c r="I848" s="4">
        <f t="shared" si="95"/>
        <v>21</v>
      </c>
      <c r="J848">
        <f t="shared" si="96"/>
        <v>20072821</v>
      </c>
      <c r="K848" t="str">
        <f t="shared" si="97"/>
        <v>21.28.2007</v>
      </c>
    </row>
    <row r="849" spans="1:11" x14ac:dyDescent="0.25">
      <c r="A849" s="4" t="s">
        <v>875</v>
      </c>
      <c r="B849" t="s">
        <v>11</v>
      </c>
      <c r="C849" t="s">
        <v>6</v>
      </c>
      <c r="D849" s="3">
        <f t="shared" si="91"/>
        <v>0</v>
      </c>
      <c r="E849" s="4">
        <f t="shared" si="92"/>
        <v>32</v>
      </c>
      <c r="F849" s="4">
        <f t="shared" si="93"/>
        <v>12</v>
      </c>
      <c r="G849" s="3">
        <f>IF(E849&gt;=20,2000,1900) + D849</f>
        <v>2000</v>
      </c>
      <c r="H849">
        <f t="shared" si="94"/>
        <v>12</v>
      </c>
      <c r="I849" s="4">
        <f t="shared" si="95"/>
        <v>12</v>
      </c>
      <c r="J849">
        <f t="shared" si="96"/>
        <v>20003212</v>
      </c>
      <c r="K849" t="str">
        <f t="shared" si="97"/>
        <v>12.32.2000</v>
      </c>
    </row>
    <row r="850" spans="1:11" x14ac:dyDescent="0.25">
      <c r="A850" s="4" t="s">
        <v>876</v>
      </c>
      <c r="B850" t="s">
        <v>16</v>
      </c>
      <c r="C850" t="s">
        <v>4</v>
      </c>
      <c r="D850" s="3">
        <f t="shared" si="91"/>
        <v>17</v>
      </c>
      <c r="E850" s="4">
        <f t="shared" si="92"/>
        <v>23</v>
      </c>
      <c r="F850" s="4">
        <f t="shared" si="93"/>
        <v>1</v>
      </c>
      <c r="G850" s="3">
        <f>IF(E850&gt;=20,2000,1900) + D850</f>
        <v>2017</v>
      </c>
      <c r="H850">
        <f t="shared" si="94"/>
        <v>3</v>
      </c>
      <c r="I850" s="4">
        <f t="shared" si="95"/>
        <v>1</v>
      </c>
      <c r="J850">
        <f t="shared" si="96"/>
        <v>20172301</v>
      </c>
      <c r="K850" t="str">
        <f t="shared" si="97"/>
        <v>01.23.2017</v>
      </c>
    </row>
    <row r="851" spans="1:11" x14ac:dyDescent="0.25">
      <c r="A851" s="4" t="s">
        <v>877</v>
      </c>
      <c r="B851" t="s">
        <v>11</v>
      </c>
      <c r="C851" t="s">
        <v>4</v>
      </c>
      <c r="D851" s="3">
        <f t="shared" si="91"/>
        <v>10</v>
      </c>
      <c r="E851" s="4">
        <f t="shared" si="92"/>
        <v>25</v>
      </c>
      <c r="F851" s="4">
        <f t="shared" si="93"/>
        <v>29</v>
      </c>
      <c r="G851" s="3">
        <f>IF(E851&gt;=20,2000,1900) + D851</f>
        <v>2010</v>
      </c>
      <c r="H851">
        <f t="shared" si="94"/>
        <v>5</v>
      </c>
      <c r="I851" s="4">
        <f t="shared" si="95"/>
        <v>29</v>
      </c>
      <c r="J851">
        <f t="shared" si="96"/>
        <v>20102529</v>
      </c>
      <c r="K851" t="str">
        <f t="shared" si="97"/>
        <v>29.25.2010</v>
      </c>
    </row>
    <row r="852" spans="1:11" x14ac:dyDescent="0.25">
      <c r="A852" s="4" t="s">
        <v>878</v>
      </c>
      <c r="B852" t="s">
        <v>12</v>
      </c>
      <c r="C852" t="s">
        <v>6</v>
      </c>
      <c r="D852" s="3">
        <f t="shared" si="91"/>
        <v>11</v>
      </c>
      <c r="E852" s="4">
        <f t="shared" si="92"/>
        <v>22</v>
      </c>
      <c r="F852" s="4">
        <f t="shared" si="93"/>
        <v>19</v>
      </c>
      <c r="G852" s="3">
        <f>IF(E852&gt;=20,2000,1900) + D852</f>
        <v>2011</v>
      </c>
      <c r="H852">
        <f t="shared" si="94"/>
        <v>2</v>
      </c>
      <c r="I852" s="4">
        <f t="shared" si="95"/>
        <v>19</v>
      </c>
      <c r="J852">
        <f t="shared" si="96"/>
        <v>20112219</v>
      </c>
      <c r="K852" t="str">
        <f t="shared" si="97"/>
        <v>19.22.2011</v>
      </c>
    </row>
    <row r="853" spans="1:11" x14ac:dyDescent="0.25">
      <c r="A853" s="4" t="s">
        <v>879</v>
      </c>
      <c r="B853" t="s">
        <v>14</v>
      </c>
      <c r="C853" t="s">
        <v>4</v>
      </c>
      <c r="D853" s="3">
        <f t="shared" si="91"/>
        <v>1</v>
      </c>
      <c r="E853" s="4">
        <f t="shared" si="92"/>
        <v>26</v>
      </c>
      <c r="F853" s="4">
        <f t="shared" si="93"/>
        <v>22</v>
      </c>
      <c r="G853" s="3">
        <f>IF(E853&gt;=20,2000,1900) + D853</f>
        <v>2001</v>
      </c>
      <c r="H853">
        <f t="shared" si="94"/>
        <v>6</v>
      </c>
      <c r="I853" s="4">
        <f t="shared" si="95"/>
        <v>22</v>
      </c>
      <c r="J853">
        <f t="shared" si="96"/>
        <v>20012622</v>
      </c>
      <c r="K853" t="str">
        <f t="shared" si="97"/>
        <v>22.26.2001</v>
      </c>
    </row>
    <row r="854" spans="1:11" x14ac:dyDescent="0.25">
      <c r="A854" s="4" t="s">
        <v>880</v>
      </c>
      <c r="B854" t="s">
        <v>14</v>
      </c>
      <c r="C854" t="s">
        <v>6</v>
      </c>
      <c r="D854" s="3">
        <f t="shared" si="91"/>
        <v>8</v>
      </c>
      <c r="E854" s="4">
        <f t="shared" si="92"/>
        <v>23</v>
      </c>
      <c r="F854" s="4">
        <f t="shared" si="93"/>
        <v>29</v>
      </c>
      <c r="G854" s="3">
        <f>IF(E854&gt;=20,2000,1900) + D854</f>
        <v>2008</v>
      </c>
      <c r="H854">
        <f t="shared" si="94"/>
        <v>3</v>
      </c>
      <c r="I854" s="4">
        <f t="shared" si="95"/>
        <v>29</v>
      </c>
      <c r="J854">
        <f t="shared" si="96"/>
        <v>20082329</v>
      </c>
      <c r="K854" t="str">
        <f t="shared" si="97"/>
        <v>29.23.2008</v>
      </c>
    </row>
    <row r="855" spans="1:11" x14ac:dyDescent="0.25">
      <c r="A855" s="4" t="s">
        <v>881</v>
      </c>
      <c r="B855" t="s">
        <v>3</v>
      </c>
      <c r="C855" t="s">
        <v>4</v>
      </c>
      <c r="D855" s="3">
        <f t="shared" si="91"/>
        <v>15</v>
      </c>
      <c r="E855" s="4">
        <f t="shared" si="92"/>
        <v>25</v>
      </c>
      <c r="F855" s="4">
        <f t="shared" si="93"/>
        <v>20</v>
      </c>
      <c r="G855" s="3">
        <f>IF(E855&gt;=20,2000,1900) + D855</f>
        <v>2015</v>
      </c>
      <c r="H855">
        <f t="shared" si="94"/>
        <v>5</v>
      </c>
      <c r="I855" s="4">
        <f t="shared" si="95"/>
        <v>20</v>
      </c>
      <c r="J855">
        <f t="shared" si="96"/>
        <v>20152520</v>
      </c>
      <c r="K855" t="str">
        <f t="shared" si="97"/>
        <v>20.25.2015</v>
      </c>
    </row>
    <row r="856" spans="1:11" x14ac:dyDescent="0.25">
      <c r="A856" s="4" t="s">
        <v>882</v>
      </c>
      <c r="B856" t="s">
        <v>10</v>
      </c>
      <c r="C856" t="s">
        <v>6</v>
      </c>
      <c r="D856" s="3">
        <f t="shared" si="91"/>
        <v>12</v>
      </c>
      <c r="E856" s="4">
        <f t="shared" si="92"/>
        <v>27</v>
      </c>
      <c r="F856" s="4">
        <f t="shared" si="93"/>
        <v>6</v>
      </c>
      <c r="G856" s="3">
        <f>IF(E856&gt;=20,2000,1900) + D856</f>
        <v>2012</v>
      </c>
      <c r="H856">
        <f t="shared" si="94"/>
        <v>7</v>
      </c>
      <c r="I856" s="4">
        <f t="shared" si="95"/>
        <v>6</v>
      </c>
      <c r="J856">
        <f t="shared" si="96"/>
        <v>20122706</v>
      </c>
      <c r="K856" t="str">
        <f t="shared" si="97"/>
        <v>06.27.2012</v>
      </c>
    </row>
    <row r="857" spans="1:11" x14ac:dyDescent="0.25">
      <c r="A857" s="4" t="s">
        <v>883</v>
      </c>
      <c r="B857" t="s">
        <v>3</v>
      </c>
      <c r="C857" t="s">
        <v>4</v>
      </c>
      <c r="D857" s="3">
        <f t="shared" si="91"/>
        <v>6</v>
      </c>
      <c r="E857" s="4">
        <f t="shared" si="92"/>
        <v>29</v>
      </c>
      <c r="F857" s="4">
        <f t="shared" si="93"/>
        <v>28</v>
      </c>
      <c r="G857" s="3">
        <f>IF(E857&gt;=20,2000,1900) + D857</f>
        <v>2006</v>
      </c>
      <c r="H857">
        <f t="shared" si="94"/>
        <v>9</v>
      </c>
      <c r="I857" s="4">
        <f t="shared" si="95"/>
        <v>28</v>
      </c>
      <c r="J857">
        <f t="shared" si="96"/>
        <v>20062928</v>
      </c>
      <c r="K857" t="str">
        <f t="shared" si="97"/>
        <v>28.29.2006</v>
      </c>
    </row>
    <row r="858" spans="1:11" x14ac:dyDescent="0.25">
      <c r="A858" s="4" t="s">
        <v>884</v>
      </c>
      <c r="B858" t="s">
        <v>16</v>
      </c>
      <c r="C858" t="s">
        <v>6</v>
      </c>
      <c r="D858" s="3">
        <f t="shared" si="91"/>
        <v>20</v>
      </c>
      <c r="E858" s="4">
        <f t="shared" si="92"/>
        <v>25</v>
      </c>
      <c r="F858" s="4">
        <f t="shared" si="93"/>
        <v>12</v>
      </c>
      <c r="G858" s="3">
        <f>IF(E858&gt;=20,2000,1900) + D858</f>
        <v>2020</v>
      </c>
      <c r="H858">
        <f t="shared" si="94"/>
        <v>5</v>
      </c>
      <c r="I858" s="4">
        <f t="shared" si="95"/>
        <v>12</v>
      </c>
      <c r="J858">
        <f t="shared" si="96"/>
        <v>20202512</v>
      </c>
      <c r="K858" t="str">
        <f t="shared" si="97"/>
        <v>12.25.2020</v>
      </c>
    </row>
    <row r="859" spans="1:11" x14ac:dyDescent="0.25">
      <c r="A859" s="4" t="s">
        <v>885</v>
      </c>
      <c r="B859" t="s">
        <v>9</v>
      </c>
      <c r="C859" t="s">
        <v>4</v>
      </c>
      <c r="D859" s="3">
        <f t="shared" si="91"/>
        <v>15</v>
      </c>
      <c r="E859" s="4">
        <f t="shared" si="92"/>
        <v>24</v>
      </c>
      <c r="F859" s="4">
        <f t="shared" si="93"/>
        <v>1</v>
      </c>
      <c r="G859" s="3">
        <f>IF(E859&gt;=20,2000,1900) + D859</f>
        <v>2015</v>
      </c>
      <c r="H859">
        <f t="shared" si="94"/>
        <v>4</v>
      </c>
      <c r="I859" s="4">
        <f t="shared" si="95"/>
        <v>1</v>
      </c>
      <c r="J859">
        <f t="shared" si="96"/>
        <v>20152401</v>
      </c>
      <c r="K859" t="str">
        <f t="shared" si="97"/>
        <v>01.24.2015</v>
      </c>
    </row>
    <row r="860" spans="1:11" x14ac:dyDescent="0.25">
      <c r="A860" s="4" t="s">
        <v>886</v>
      </c>
      <c r="B860" t="s">
        <v>16</v>
      </c>
      <c r="C860" t="s">
        <v>4</v>
      </c>
      <c r="D860" s="3">
        <f t="shared" si="91"/>
        <v>12</v>
      </c>
      <c r="E860" s="4">
        <f t="shared" si="92"/>
        <v>22</v>
      </c>
      <c r="F860" s="4">
        <f t="shared" si="93"/>
        <v>6</v>
      </c>
      <c r="G860" s="3">
        <f>IF(E860&gt;=20,2000,1900) + D860</f>
        <v>2012</v>
      </c>
      <c r="H860">
        <f t="shared" si="94"/>
        <v>2</v>
      </c>
      <c r="I860" s="4">
        <f t="shared" si="95"/>
        <v>6</v>
      </c>
      <c r="J860">
        <f t="shared" si="96"/>
        <v>20122206</v>
      </c>
      <c r="K860" t="str">
        <f t="shared" si="97"/>
        <v>06.22.2012</v>
      </c>
    </row>
    <row r="861" spans="1:11" x14ac:dyDescent="0.25">
      <c r="A861" s="4" t="s">
        <v>887</v>
      </c>
      <c r="B861" t="s">
        <v>13</v>
      </c>
      <c r="C861" t="s">
        <v>4</v>
      </c>
      <c r="D861" s="3">
        <f t="shared" si="91"/>
        <v>1</v>
      </c>
      <c r="E861" s="4">
        <f t="shared" si="92"/>
        <v>23</v>
      </c>
      <c r="F861" s="4">
        <f t="shared" si="93"/>
        <v>30</v>
      </c>
      <c r="G861" s="3">
        <f>IF(E861&gt;=20,2000,1900) + D861</f>
        <v>2001</v>
      </c>
      <c r="H861">
        <f t="shared" si="94"/>
        <v>3</v>
      </c>
      <c r="I861" s="4">
        <f t="shared" si="95"/>
        <v>30</v>
      </c>
      <c r="J861">
        <f t="shared" si="96"/>
        <v>20012330</v>
      </c>
      <c r="K861" t="str">
        <f t="shared" si="97"/>
        <v>30.23.2001</v>
      </c>
    </row>
    <row r="862" spans="1:11" x14ac:dyDescent="0.25">
      <c r="A862" s="4" t="s">
        <v>888</v>
      </c>
      <c r="B862" t="s">
        <v>12</v>
      </c>
      <c r="C862" t="s">
        <v>6</v>
      </c>
      <c r="D862" s="3">
        <f t="shared" si="91"/>
        <v>3</v>
      </c>
      <c r="E862" s="4">
        <f t="shared" si="92"/>
        <v>31</v>
      </c>
      <c r="F862" s="4">
        <f t="shared" si="93"/>
        <v>17</v>
      </c>
      <c r="G862" s="3">
        <f>IF(E862&gt;=20,2000,1900) + D862</f>
        <v>2003</v>
      </c>
      <c r="H862">
        <f t="shared" si="94"/>
        <v>11</v>
      </c>
      <c r="I862" s="4">
        <f t="shared" si="95"/>
        <v>17</v>
      </c>
      <c r="J862">
        <f t="shared" si="96"/>
        <v>20033117</v>
      </c>
      <c r="K862" t="str">
        <f t="shared" si="97"/>
        <v>17.31.2003</v>
      </c>
    </row>
    <row r="863" spans="1:11" x14ac:dyDescent="0.25">
      <c r="A863" s="4" t="s">
        <v>889</v>
      </c>
      <c r="B863" t="s">
        <v>7</v>
      </c>
      <c r="C863" t="s">
        <v>4</v>
      </c>
      <c r="D863" s="3">
        <f t="shared" si="91"/>
        <v>5</v>
      </c>
      <c r="E863" s="4">
        <f t="shared" si="92"/>
        <v>26</v>
      </c>
      <c r="F863" s="4">
        <f t="shared" si="93"/>
        <v>15</v>
      </c>
      <c r="G863" s="3">
        <f>IF(E863&gt;=20,2000,1900) + D863</f>
        <v>2005</v>
      </c>
      <c r="H863">
        <f t="shared" si="94"/>
        <v>6</v>
      </c>
      <c r="I863" s="4">
        <f t="shared" si="95"/>
        <v>15</v>
      </c>
      <c r="J863">
        <f t="shared" si="96"/>
        <v>20052615</v>
      </c>
      <c r="K863" t="str">
        <f t="shared" si="97"/>
        <v>15.26.2005</v>
      </c>
    </row>
    <row r="864" spans="1:11" x14ac:dyDescent="0.25">
      <c r="A864" s="4" t="s">
        <v>890</v>
      </c>
      <c r="B864" t="s">
        <v>16</v>
      </c>
      <c r="C864" t="s">
        <v>4</v>
      </c>
      <c r="D864" s="3">
        <f t="shared" si="91"/>
        <v>19</v>
      </c>
      <c r="E864" s="4">
        <f t="shared" si="92"/>
        <v>31</v>
      </c>
      <c r="F864" s="4">
        <f t="shared" si="93"/>
        <v>26</v>
      </c>
      <c r="G864" s="3">
        <f>IF(E864&gt;=20,2000,1900) + D864</f>
        <v>2019</v>
      </c>
      <c r="H864">
        <f t="shared" si="94"/>
        <v>11</v>
      </c>
      <c r="I864" s="4">
        <f t="shared" si="95"/>
        <v>26</v>
      </c>
      <c r="J864">
        <f t="shared" si="96"/>
        <v>20193126</v>
      </c>
      <c r="K864" t="str">
        <f t="shared" si="97"/>
        <v>26.31.2019</v>
      </c>
    </row>
    <row r="865" spans="1:11" x14ac:dyDescent="0.25">
      <c r="A865" s="4" t="s">
        <v>891</v>
      </c>
      <c r="B865" t="s">
        <v>19</v>
      </c>
      <c r="C865" t="s">
        <v>6</v>
      </c>
      <c r="D865" s="3">
        <f t="shared" si="91"/>
        <v>16</v>
      </c>
      <c r="E865" s="4">
        <f t="shared" si="92"/>
        <v>29</v>
      </c>
      <c r="F865" s="4">
        <f t="shared" si="93"/>
        <v>17</v>
      </c>
      <c r="G865" s="3">
        <f>IF(E865&gt;=20,2000,1900) + D865</f>
        <v>2016</v>
      </c>
      <c r="H865">
        <f t="shared" si="94"/>
        <v>9</v>
      </c>
      <c r="I865" s="4">
        <f t="shared" si="95"/>
        <v>17</v>
      </c>
      <c r="J865">
        <f t="shared" si="96"/>
        <v>20162917</v>
      </c>
      <c r="K865" t="str">
        <f t="shared" si="97"/>
        <v>17.29.2016</v>
      </c>
    </row>
    <row r="866" spans="1:11" x14ac:dyDescent="0.25">
      <c r="A866" s="4" t="s">
        <v>892</v>
      </c>
      <c r="B866" t="s">
        <v>18</v>
      </c>
      <c r="C866" t="s">
        <v>6</v>
      </c>
      <c r="D866" s="3">
        <f t="shared" si="91"/>
        <v>7</v>
      </c>
      <c r="E866" s="4">
        <f t="shared" si="92"/>
        <v>22</v>
      </c>
      <c r="F866" s="4">
        <f t="shared" si="93"/>
        <v>10</v>
      </c>
      <c r="G866" s="3">
        <f>IF(E866&gt;=20,2000,1900) + D866</f>
        <v>2007</v>
      </c>
      <c r="H866">
        <f t="shared" si="94"/>
        <v>2</v>
      </c>
      <c r="I866" s="4">
        <f t="shared" si="95"/>
        <v>10</v>
      </c>
      <c r="J866">
        <f t="shared" si="96"/>
        <v>20072210</v>
      </c>
      <c r="K866" t="str">
        <f t="shared" si="97"/>
        <v>10.22.2007</v>
      </c>
    </row>
    <row r="867" spans="1:11" x14ac:dyDescent="0.25">
      <c r="A867" s="4" t="s">
        <v>893</v>
      </c>
      <c r="B867" t="s">
        <v>17</v>
      </c>
      <c r="C867" t="s">
        <v>4</v>
      </c>
      <c r="D867" s="3">
        <f t="shared" si="91"/>
        <v>6</v>
      </c>
      <c r="E867" s="4">
        <f t="shared" si="92"/>
        <v>27</v>
      </c>
      <c r="F867" s="4">
        <f t="shared" si="93"/>
        <v>17</v>
      </c>
      <c r="G867" s="3">
        <f>IF(E867&gt;=20,2000,1900) + D867</f>
        <v>2006</v>
      </c>
      <c r="H867">
        <f t="shared" si="94"/>
        <v>7</v>
      </c>
      <c r="I867" s="4">
        <f t="shared" si="95"/>
        <v>17</v>
      </c>
      <c r="J867">
        <f t="shared" si="96"/>
        <v>20062717</v>
      </c>
      <c r="K867" t="str">
        <f t="shared" si="97"/>
        <v>17.27.2006</v>
      </c>
    </row>
    <row r="868" spans="1:11" x14ac:dyDescent="0.25">
      <c r="A868" s="4" t="s">
        <v>894</v>
      </c>
      <c r="B868" t="s">
        <v>17</v>
      </c>
      <c r="C868" t="s">
        <v>6</v>
      </c>
      <c r="D868" s="3">
        <f t="shared" si="91"/>
        <v>18</v>
      </c>
      <c r="E868" s="4">
        <f t="shared" si="92"/>
        <v>23</v>
      </c>
      <c r="F868" s="4">
        <f t="shared" si="93"/>
        <v>8</v>
      </c>
      <c r="G868" s="3">
        <f>IF(E868&gt;=20,2000,1900) + D868</f>
        <v>2018</v>
      </c>
      <c r="H868">
        <f t="shared" si="94"/>
        <v>3</v>
      </c>
      <c r="I868" s="4">
        <f t="shared" si="95"/>
        <v>8</v>
      </c>
      <c r="J868">
        <f t="shared" si="96"/>
        <v>20182308</v>
      </c>
      <c r="K868" t="str">
        <f t="shared" si="97"/>
        <v>08.23.2018</v>
      </c>
    </row>
    <row r="869" spans="1:11" x14ac:dyDescent="0.25">
      <c r="A869" s="4" t="s">
        <v>895</v>
      </c>
      <c r="B869" t="s">
        <v>5</v>
      </c>
      <c r="C869" t="s">
        <v>6</v>
      </c>
      <c r="D869" s="3">
        <f t="shared" si="91"/>
        <v>17</v>
      </c>
      <c r="E869" s="4">
        <f t="shared" si="92"/>
        <v>25</v>
      </c>
      <c r="F869" s="4">
        <f t="shared" si="93"/>
        <v>15</v>
      </c>
      <c r="G869" s="3">
        <f>IF(E869&gt;=20,2000,1900) + D869</f>
        <v>2017</v>
      </c>
      <c r="H869">
        <f t="shared" si="94"/>
        <v>5</v>
      </c>
      <c r="I869" s="4">
        <f t="shared" si="95"/>
        <v>15</v>
      </c>
      <c r="J869">
        <f t="shared" si="96"/>
        <v>20172515</v>
      </c>
      <c r="K869" t="str">
        <f t="shared" si="97"/>
        <v>15.25.2017</v>
      </c>
    </row>
    <row r="870" spans="1:11" x14ac:dyDescent="0.25">
      <c r="A870" s="4" t="s">
        <v>896</v>
      </c>
      <c r="B870" t="s">
        <v>17</v>
      </c>
      <c r="C870" t="s">
        <v>6</v>
      </c>
      <c r="D870" s="3">
        <f t="shared" si="91"/>
        <v>19</v>
      </c>
      <c r="E870" s="4">
        <f t="shared" si="92"/>
        <v>22</v>
      </c>
      <c r="F870" s="4">
        <f t="shared" si="93"/>
        <v>22</v>
      </c>
      <c r="G870" s="3">
        <f>IF(E870&gt;=20,2000,1900) + D870</f>
        <v>2019</v>
      </c>
      <c r="H870">
        <f t="shared" si="94"/>
        <v>2</v>
      </c>
      <c r="I870" s="4">
        <f t="shared" si="95"/>
        <v>22</v>
      </c>
      <c r="J870">
        <f t="shared" si="96"/>
        <v>20192222</v>
      </c>
      <c r="K870" t="str">
        <f t="shared" si="97"/>
        <v>22.22.2019</v>
      </c>
    </row>
    <row r="871" spans="1:11" x14ac:dyDescent="0.25">
      <c r="A871" s="4" t="s">
        <v>897</v>
      </c>
      <c r="B871" t="s">
        <v>5</v>
      </c>
      <c r="C871" t="s">
        <v>6</v>
      </c>
      <c r="D871" s="3">
        <f t="shared" si="91"/>
        <v>21</v>
      </c>
      <c r="E871" s="4">
        <f t="shared" si="92"/>
        <v>29</v>
      </c>
      <c r="F871" s="4">
        <f t="shared" si="93"/>
        <v>15</v>
      </c>
      <c r="G871" s="3">
        <f>IF(E871&gt;=20,2000,1900) + D871</f>
        <v>2021</v>
      </c>
      <c r="H871">
        <f t="shared" si="94"/>
        <v>9</v>
      </c>
      <c r="I871" s="4">
        <f t="shared" si="95"/>
        <v>15</v>
      </c>
      <c r="J871">
        <f t="shared" si="96"/>
        <v>20212915</v>
      </c>
      <c r="K871" t="str">
        <f t="shared" si="97"/>
        <v>15.29.2021</v>
      </c>
    </row>
    <row r="872" spans="1:11" x14ac:dyDescent="0.25">
      <c r="A872" s="4" t="s">
        <v>898</v>
      </c>
      <c r="B872" t="s">
        <v>17</v>
      </c>
      <c r="C872" t="s">
        <v>6</v>
      </c>
      <c r="D872" s="3">
        <f t="shared" si="91"/>
        <v>20</v>
      </c>
      <c r="E872" s="4">
        <f t="shared" si="92"/>
        <v>25</v>
      </c>
      <c r="F872" s="4">
        <f t="shared" si="93"/>
        <v>15</v>
      </c>
      <c r="G872" s="3">
        <f>IF(E872&gt;=20,2000,1900) + D872</f>
        <v>2020</v>
      </c>
      <c r="H872">
        <f t="shared" si="94"/>
        <v>5</v>
      </c>
      <c r="I872" s="4">
        <f t="shared" si="95"/>
        <v>15</v>
      </c>
      <c r="J872">
        <f t="shared" si="96"/>
        <v>20202515</v>
      </c>
      <c r="K872" t="str">
        <f t="shared" si="97"/>
        <v>15.25.2020</v>
      </c>
    </row>
    <row r="873" spans="1:11" x14ac:dyDescent="0.25">
      <c r="A873" s="4" t="s">
        <v>899</v>
      </c>
      <c r="B873" t="s">
        <v>18</v>
      </c>
      <c r="C873" t="s">
        <v>6</v>
      </c>
      <c r="D873" s="3">
        <f t="shared" si="91"/>
        <v>4</v>
      </c>
      <c r="E873" s="4">
        <f t="shared" si="92"/>
        <v>29</v>
      </c>
      <c r="F873" s="4">
        <f t="shared" si="93"/>
        <v>23</v>
      </c>
      <c r="G873" s="3">
        <f>IF(E873&gt;=20,2000,1900) + D873</f>
        <v>2004</v>
      </c>
      <c r="H873">
        <f t="shared" si="94"/>
        <v>9</v>
      </c>
      <c r="I873" s="4">
        <f t="shared" si="95"/>
        <v>23</v>
      </c>
      <c r="J873">
        <f t="shared" si="96"/>
        <v>20042923</v>
      </c>
      <c r="K873" t="str">
        <f t="shared" si="97"/>
        <v>23.29.2004</v>
      </c>
    </row>
    <row r="874" spans="1:11" x14ac:dyDescent="0.25">
      <c r="A874" s="4" t="s">
        <v>900</v>
      </c>
      <c r="B874" t="s">
        <v>17</v>
      </c>
      <c r="C874" t="s">
        <v>4</v>
      </c>
      <c r="D874" s="3">
        <f t="shared" si="91"/>
        <v>19</v>
      </c>
      <c r="E874" s="4">
        <f t="shared" si="92"/>
        <v>21</v>
      </c>
      <c r="F874" s="4">
        <f t="shared" si="93"/>
        <v>23</v>
      </c>
      <c r="G874" s="3">
        <f>IF(E874&gt;=20,2000,1900) + D874</f>
        <v>2019</v>
      </c>
      <c r="H874">
        <f t="shared" si="94"/>
        <v>1</v>
      </c>
      <c r="I874" s="4">
        <f t="shared" si="95"/>
        <v>23</v>
      </c>
      <c r="J874">
        <f t="shared" si="96"/>
        <v>20192123</v>
      </c>
      <c r="K874" t="str">
        <f t="shared" si="97"/>
        <v>23.21.2019</v>
      </c>
    </row>
    <row r="875" spans="1:11" x14ac:dyDescent="0.25">
      <c r="A875" s="4" t="s">
        <v>901</v>
      </c>
      <c r="B875" t="s">
        <v>3</v>
      </c>
      <c r="C875" t="s">
        <v>6</v>
      </c>
      <c r="D875" s="3">
        <f t="shared" si="91"/>
        <v>3</v>
      </c>
      <c r="E875" s="4">
        <f t="shared" si="92"/>
        <v>21</v>
      </c>
      <c r="F875" s="4">
        <f t="shared" si="93"/>
        <v>28</v>
      </c>
      <c r="G875" s="3">
        <f>IF(E875&gt;=20,2000,1900) + D875</f>
        <v>2003</v>
      </c>
      <c r="H875">
        <f t="shared" si="94"/>
        <v>1</v>
      </c>
      <c r="I875" s="4">
        <f t="shared" si="95"/>
        <v>28</v>
      </c>
      <c r="J875">
        <f t="shared" si="96"/>
        <v>20032128</v>
      </c>
      <c r="K875" t="str">
        <f t="shared" si="97"/>
        <v>28.21.2003</v>
      </c>
    </row>
    <row r="876" spans="1:11" x14ac:dyDescent="0.25">
      <c r="A876" s="4" t="s">
        <v>902</v>
      </c>
      <c r="B876" t="s">
        <v>20</v>
      </c>
      <c r="C876" t="s">
        <v>6</v>
      </c>
      <c r="D876" s="3">
        <f t="shared" si="91"/>
        <v>8</v>
      </c>
      <c r="E876" s="4">
        <f t="shared" si="92"/>
        <v>23</v>
      </c>
      <c r="F876" s="4">
        <f t="shared" si="93"/>
        <v>19</v>
      </c>
      <c r="G876" s="3">
        <f>IF(E876&gt;=20,2000,1900) + D876</f>
        <v>2008</v>
      </c>
      <c r="H876">
        <f t="shared" si="94"/>
        <v>3</v>
      </c>
      <c r="I876" s="4">
        <f t="shared" si="95"/>
        <v>19</v>
      </c>
      <c r="J876">
        <f t="shared" si="96"/>
        <v>20082319</v>
      </c>
      <c r="K876" t="str">
        <f t="shared" si="97"/>
        <v>19.23.2008</v>
      </c>
    </row>
    <row r="877" spans="1:11" x14ac:dyDescent="0.25">
      <c r="A877" s="4" t="s">
        <v>903</v>
      </c>
      <c r="B877" t="s">
        <v>20</v>
      </c>
      <c r="C877" t="s">
        <v>4</v>
      </c>
      <c r="D877" s="3">
        <f t="shared" si="91"/>
        <v>18</v>
      </c>
      <c r="E877" s="4">
        <f t="shared" si="92"/>
        <v>29</v>
      </c>
      <c r="F877" s="4">
        <f t="shared" si="93"/>
        <v>2</v>
      </c>
      <c r="G877" s="3">
        <f>IF(E877&gt;=20,2000,1900) + D877</f>
        <v>2018</v>
      </c>
      <c r="H877">
        <f t="shared" si="94"/>
        <v>9</v>
      </c>
      <c r="I877" s="4">
        <f t="shared" si="95"/>
        <v>2</v>
      </c>
      <c r="J877">
        <f t="shared" si="96"/>
        <v>20182902</v>
      </c>
      <c r="K877" t="str">
        <f t="shared" si="97"/>
        <v>02.29.2018</v>
      </c>
    </row>
    <row r="878" spans="1:11" x14ac:dyDescent="0.25">
      <c r="A878" s="4" t="s">
        <v>904</v>
      </c>
      <c r="B878" t="s">
        <v>9</v>
      </c>
      <c r="C878" t="s">
        <v>6</v>
      </c>
      <c r="D878" s="3">
        <f t="shared" si="91"/>
        <v>14</v>
      </c>
      <c r="E878" s="4">
        <f t="shared" si="92"/>
        <v>27</v>
      </c>
      <c r="F878" s="4">
        <f t="shared" si="93"/>
        <v>9</v>
      </c>
      <c r="G878" s="3">
        <f>IF(E878&gt;=20,2000,1900) + D878</f>
        <v>2014</v>
      </c>
      <c r="H878">
        <f t="shared" si="94"/>
        <v>7</v>
      </c>
      <c r="I878" s="4">
        <f t="shared" si="95"/>
        <v>9</v>
      </c>
      <c r="J878">
        <f t="shared" si="96"/>
        <v>20142709</v>
      </c>
      <c r="K878" t="str">
        <f t="shared" si="97"/>
        <v>09.27.2014</v>
      </c>
    </row>
    <row r="879" spans="1:11" x14ac:dyDescent="0.25">
      <c r="A879" s="4" t="s">
        <v>905</v>
      </c>
      <c r="B879" t="s">
        <v>3</v>
      </c>
      <c r="C879" t="s">
        <v>4</v>
      </c>
      <c r="D879" s="3">
        <f t="shared" si="91"/>
        <v>21</v>
      </c>
      <c r="E879" s="4">
        <f t="shared" si="92"/>
        <v>32</v>
      </c>
      <c r="F879" s="4">
        <f t="shared" si="93"/>
        <v>5</v>
      </c>
      <c r="G879" s="3">
        <f>IF(E879&gt;=20,2000,1900) + D879</f>
        <v>2021</v>
      </c>
      <c r="H879">
        <f t="shared" si="94"/>
        <v>12</v>
      </c>
      <c r="I879" s="4">
        <f t="shared" si="95"/>
        <v>5</v>
      </c>
      <c r="J879">
        <f t="shared" si="96"/>
        <v>20213205</v>
      </c>
      <c r="K879" t="str">
        <f t="shared" si="97"/>
        <v>05.32.2021</v>
      </c>
    </row>
    <row r="880" spans="1:11" x14ac:dyDescent="0.25">
      <c r="A880" s="4" t="s">
        <v>906</v>
      </c>
      <c r="B880" t="s">
        <v>14</v>
      </c>
      <c r="C880" t="s">
        <v>6</v>
      </c>
      <c r="D880" s="3">
        <f t="shared" si="91"/>
        <v>15</v>
      </c>
      <c r="E880" s="4">
        <f t="shared" si="92"/>
        <v>28</v>
      </c>
      <c r="F880" s="4">
        <f t="shared" si="93"/>
        <v>2</v>
      </c>
      <c r="G880" s="3">
        <f>IF(E880&gt;=20,2000,1900) + D880</f>
        <v>2015</v>
      </c>
      <c r="H880">
        <f t="shared" si="94"/>
        <v>8</v>
      </c>
      <c r="I880" s="4">
        <f t="shared" si="95"/>
        <v>2</v>
      </c>
      <c r="J880">
        <f t="shared" si="96"/>
        <v>20152802</v>
      </c>
      <c r="K880" t="str">
        <f t="shared" si="97"/>
        <v>02.28.2015</v>
      </c>
    </row>
    <row r="881" spans="1:11" x14ac:dyDescent="0.25">
      <c r="A881" s="4" t="s">
        <v>907</v>
      </c>
      <c r="B881" t="s">
        <v>12</v>
      </c>
      <c r="C881" t="s">
        <v>4</v>
      </c>
      <c r="D881" s="3">
        <f t="shared" si="91"/>
        <v>8</v>
      </c>
      <c r="E881" s="4">
        <f t="shared" si="92"/>
        <v>23</v>
      </c>
      <c r="F881" s="4">
        <f t="shared" si="93"/>
        <v>16</v>
      </c>
      <c r="G881" s="3">
        <f>IF(E881&gt;=20,2000,1900) + D881</f>
        <v>2008</v>
      </c>
      <c r="H881">
        <f t="shared" si="94"/>
        <v>3</v>
      </c>
      <c r="I881" s="4">
        <f t="shared" si="95"/>
        <v>16</v>
      </c>
      <c r="J881">
        <f t="shared" si="96"/>
        <v>20082316</v>
      </c>
      <c r="K881" t="str">
        <f t="shared" si="97"/>
        <v>16.23.2008</v>
      </c>
    </row>
    <row r="882" spans="1:11" x14ac:dyDescent="0.25">
      <c r="A882" s="4" t="s">
        <v>908</v>
      </c>
      <c r="B882" t="s">
        <v>15</v>
      </c>
      <c r="C882" t="s">
        <v>6</v>
      </c>
      <c r="D882" s="3">
        <f t="shared" si="91"/>
        <v>4</v>
      </c>
      <c r="E882" s="4">
        <f t="shared" si="92"/>
        <v>27</v>
      </c>
      <c r="F882" s="4">
        <f t="shared" si="93"/>
        <v>29</v>
      </c>
      <c r="G882" s="3">
        <f>IF(E882&gt;=20,2000,1900) + D882</f>
        <v>2004</v>
      </c>
      <c r="H882">
        <f t="shared" si="94"/>
        <v>7</v>
      </c>
      <c r="I882" s="4">
        <f t="shared" si="95"/>
        <v>29</v>
      </c>
      <c r="J882">
        <f t="shared" si="96"/>
        <v>20042729</v>
      </c>
      <c r="K882" t="str">
        <f t="shared" si="97"/>
        <v>29.27.2004</v>
      </c>
    </row>
    <row r="883" spans="1:11" x14ac:dyDescent="0.25">
      <c r="A883" s="4" t="s">
        <v>909</v>
      </c>
      <c r="B883" t="s">
        <v>19</v>
      </c>
      <c r="C883" t="s">
        <v>4</v>
      </c>
      <c r="D883" s="3">
        <f t="shared" si="91"/>
        <v>6</v>
      </c>
      <c r="E883" s="4">
        <f t="shared" si="92"/>
        <v>29</v>
      </c>
      <c r="F883" s="4">
        <f t="shared" si="93"/>
        <v>7</v>
      </c>
      <c r="G883" s="3">
        <f>IF(E883&gt;=20,2000,1900) + D883</f>
        <v>2006</v>
      </c>
      <c r="H883">
        <f t="shared" si="94"/>
        <v>9</v>
      </c>
      <c r="I883" s="4">
        <f t="shared" si="95"/>
        <v>7</v>
      </c>
      <c r="J883">
        <f t="shared" si="96"/>
        <v>20062907</v>
      </c>
      <c r="K883" t="str">
        <f t="shared" si="97"/>
        <v>07.29.2006</v>
      </c>
    </row>
    <row r="884" spans="1:11" x14ac:dyDescent="0.25">
      <c r="A884" s="4" t="s">
        <v>910</v>
      </c>
      <c r="B884" t="s">
        <v>11</v>
      </c>
      <c r="C884" t="s">
        <v>4</v>
      </c>
      <c r="D884" s="3">
        <f t="shared" si="91"/>
        <v>0</v>
      </c>
      <c r="E884" s="4">
        <f t="shared" si="92"/>
        <v>30</v>
      </c>
      <c r="F884" s="4">
        <f t="shared" si="93"/>
        <v>12</v>
      </c>
      <c r="G884" s="3">
        <f>IF(E884&gt;=20,2000,1900) + D884</f>
        <v>2000</v>
      </c>
      <c r="H884">
        <f t="shared" si="94"/>
        <v>10</v>
      </c>
      <c r="I884" s="4">
        <f t="shared" si="95"/>
        <v>12</v>
      </c>
      <c r="J884">
        <f t="shared" si="96"/>
        <v>20003012</v>
      </c>
      <c r="K884" t="str">
        <f t="shared" si="97"/>
        <v>12.30.2000</v>
      </c>
    </row>
    <row r="885" spans="1:11" x14ac:dyDescent="0.25">
      <c r="A885" s="4" t="s">
        <v>911</v>
      </c>
      <c r="B885" t="s">
        <v>13</v>
      </c>
      <c r="C885" t="s">
        <v>6</v>
      </c>
      <c r="D885" s="3">
        <f t="shared" si="91"/>
        <v>18</v>
      </c>
      <c r="E885" s="4">
        <f t="shared" si="92"/>
        <v>21</v>
      </c>
      <c r="F885" s="4">
        <f t="shared" si="93"/>
        <v>12</v>
      </c>
      <c r="G885" s="3">
        <f>IF(E885&gt;=20,2000,1900) + D885</f>
        <v>2018</v>
      </c>
      <c r="H885">
        <f t="shared" si="94"/>
        <v>1</v>
      </c>
      <c r="I885" s="4">
        <f t="shared" si="95"/>
        <v>12</v>
      </c>
      <c r="J885">
        <f t="shared" si="96"/>
        <v>20182112</v>
      </c>
      <c r="K885" t="str">
        <f t="shared" si="97"/>
        <v>12.21.2018</v>
      </c>
    </row>
    <row r="886" spans="1:11" x14ac:dyDescent="0.25">
      <c r="A886" s="4" t="s">
        <v>912</v>
      </c>
      <c r="B886" t="s">
        <v>13</v>
      </c>
      <c r="C886" t="s">
        <v>4</v>
      </c>
      <c r="D886" s="3">
        <f t="shared" si="91"/>
        <v>5</v>
      </c>
      <c r="E886" s="4">
        <f t="shared" si="92"/>
        <v>28</v>
      </c>
      <c r="F886" s="4">
        <f t="shared" si="93"/>
        <v>23</v>
      </c>
      <c r="G886" s="3">
        <f>IF(E886&gt;=20,2000,1900) + D886</f>
        <v>2005</v>
      </c>
      <c r="H886">
        <f t="shared" si="94"/>
        <v>8</v>
      </c>
      <c r="I886" s="4">
        <f t="shared" si="95"/>
        <v>23</v>
      </c>
      <c r="J886">
        <f t="shared" si="96"/>
        <v>20052823</v>
      </c>
      <c r="K886" t="str">
        <f t="shared" si="97"/>
        <v>23.28.2005</v>
      </c>
    </row>
    <row r="887" spans="1:11" x14ac:dyDescent="0.25">
      <c r="A887" s="4" t="s">
        <v>913</v>
      </c>
      <c r="B887" t="s">
        <v>16</v>
      </c>
      <c r="C887" t="s">
        <v>4</v>
      </c>
      <c r="D887" s="3">
        <f t="shared" si="91"/>
        <v>18</v>
      </c>
      <c r="E887" s="4">
        <f t="shared" si="92"/>
        <v>24</v>
      </c>
      <c r="F887" s="4">
        <f t="shared" si="93"/>
        <v>14</v>
      </c>
      <c r="G887" s="3">
        <f>IF(E887&gt;=20,2000,1900) + D887</f>
        <v>2018</v>
      </c>
      <c r="H887">
        <f t="shared" si="94"/>
        <v>4</v>
      </c>
      <c r="I887" s="4">
        <f t="shared" si="95"/>
        <v>14</v>
      </c>
      <c r="J887">
        <f t="shared" si="96"/>
        <v>20182414</v>
      </c>
      <c r="K887" t="str">
        <f t="shared" si="97"/>
        <v>14.24.2018</v>
      </c>
    </row>
    <row r="888" spans="1:11" x14ac:dyDescent="0.25">
      <c r="A888" s="4" t="s">
        <v>914</v>
      </c>
      <c r="B888" t="s">
        <v>20</v>
      </c>
      <c r="C888" t="s">
        <v>6</v>
      </c>
      <c r="D888" s="3">
        <f t="shared" si="91"/>
        <v>16</v>
      </c>
      <c r="E888" s="4">
        <f t="shared" si="92"/>
        <v>31</v>
      </c>
      <c r="F888" s="4">
        <f t="shared" si="93"/>
        <v>20</v>
      </c>
      <c r="G888" s="3">
        <f>IF(E888&gt;=20,2000,1900) + D888</f>
        <v>2016</v>
      </c>
      <c r="H888">
        <f t="shared" si="94"/>
        <v>11</v>
      </c>
      <c r="I888" s="4">
        <f t="shared" si="95"/>
        <v>20</v>
      </c>
      <c r="J888">
        <f t="shared" si="96"/>
        <v>20163120</v>
      </c>
      <c r="K888" t="str">
        <f t="shared" si="97"/>
        <v>20.31.2016</v>
      </c>
    </row>
    <row r="889" spans="1:11" x14ac:dyDescent="0.25">
      <c r="A889" s="4" t="s">
        <v>915</v>
      </c>
      <c r="B889" t="s">
        <v>9</v>
      </c>
      <c r="C889" t="s">
        <v>4</v>
      </c>
      <c r="D889" s="3">
        <f t="shared" si="91"/>
        <v>9</v>
      </c>
      <c r="E889" s="4">
        <f t="shared" si="92"/>
        <v>32</v>
      </c>
      <c r="F889" s="4">
        <f t="shared" si="93"/>
        <v>15</v>
      </c>
      <c r="G889" s="3">
        <f>IF(E889&gt;=20,2000,1900) + D889</f>
        <v>2009</v>
      </c>
      <c r="H889">
        <f t="shared" si="94"/>
        <v>12</v>
      </c>
      <c r="I889" s="4">
        <f t="shared" si="95"/>
        <v>15</v>
      </c>
      <c r="J889">
        <f t="shared" si="96"/>
        <v>20093215</v>
      </c>
      <c r="K889" t="str">
        <f t="shared" si="97"/>
        <v>15.32.2009</v>
      </c>
    </row>
    <row r="890" spans="1:11" x14ac:dyDescent="0.25">
      <c r="A890" s="4" t="s">
        <v>916</v>
      </c>
      <c r="B890" t="s">
        <v>10</v>
      </c>
      <c r="C890" t="s">
        <v>6</v>
      </c>
      <c r="D890" s="3">
        <f t="shared" si="91"/>
        <v>8</v>
      </c>
      <c r="E890" s="4">
        <f t="shared" si="92"/>
        <v>27</v>
      </c>
      <c r="F890" s="4">
        <f t="shared" si="93"/>
        <v>17</v>
      </c>
      <c r="G890" s="3">
        <f>IF(E890&gt;=20,2000,1900) + D890</f>
        <v>2008</v>
      </c>
      <c r="H890">
        <f t="shared" si="94"/>
        <v>7</v>
      </c>
      <c r="I890" s="4">
        <f t="shared" si="95"/>
        <v>17</v>
      </c>
      <c r="J890">
        <f t="shared" si="96"/>
        <v>20082717</v>
      </c>
      <c r="K890" t="str">
        <f t="shared" si="97"/>
        <v>17.27.2008</v>
      </c>
    </row>
    <row r="891" spans="1:11" x14ac:dyDescent="0.25">
      <c r="A891" s="4" t="s">
        <v>917</v>
      </c>
      <c r="B891" t="s">
        <v>9</v>
      </c>
      <c r="C891" t="s">
        <v>6</v>
      </c>
      <c r="D891" s="3">
        <f t="shared" si="91"/>
        <v>10</v>
      </c>
      <c r="E891" s="4">
        <f t="shared" si="92"/>
        <v>31</v>
      </c>
      <c r="F891" s="4">
        <f t="shared" si="93"/>
        <v>10</v>
      </c>
      <c r="G891" s="3">
        <f>IF(E891&gt;=20,2000,1900) + D891</f>
        <v>2010</v>
      </c>
      <c r="H891">
        <f t="shared" si="94"/>
        <v>11</v>
      </c>
      <c r="I891" s="4">
        <f t="shared" si="95"/>
        <v>10</v>
      </c>
      <c r="J891">
        <f t="shared" si="96"/>
        <v>20103110</v>
      </c>
      <c r="K891" t="str">
        <f t="shared" si="97"/>
        <v>10.31.2010</v>
      </c>
    </row>
    <row r="892" spans="1:11" x14ac:dyDescent="0.25">
      <c r="A892" s="4" t="s">
        <v>918</v>
      </c>
      <c r="B892" t="s">
        <v>19</v>
      </c>
      <c r="C892" t="s">
        <v>4</v>
      </c>
      <c r="D892" s="3">
        <f t="shared" si="91"/>
        <v>14</v>
      </c>
      <c r="E892" s="4">
        <f t="shared" si="92"/>
        <v>28</v>
      </c>
      <c r="F892" s="4">
        <f t="shared" si="93"/>
        <v>12</v>
      </c>
      <c r="G892" s="3">
        <f>IF(E892&gt;=20,2000,1900) + D892</f>
        <v>2014</v>
      </c>
      <c r="H892">
        <f t="shared" si="94"/>
        <v>8</v>
      </c>
      <c r="I892" s="4">
        <f t="shared" si="95"/>
        <v>12</v>
      </c>
      <c r="J892">
        <f t="shared" si="96"/>
        <v>20142812</v>
      </c>
      <c r="K892" t="str">
        <f t="shared" si="97"/>
        <v>12.28.2014</v>
      </c>
    </row>
    <row r="893" spans="1:11" x14ac:dyDescent="0.25">
      <c r="A893" s="4" t="s">
        <v>919</v>
      </c>
      <c r="B893" t="s">
        <v>13</v>
      </c>
      <c r="C893" t="s">
        <v>6</v>
      </c>
      <c r="D893" s="3">
        <f t="shared" si="91"/>
        <v>3</v>
      </c>
      <c r="E893" s="4">
        <f t="shared" si="92"/>
        <v>24</v>
      </c>
      <c r="F893" s="4">
        <f t="shared" si="93"/>
        <v>15</v>
      </c>
      <c r="G893" s="3">
        <f>IF(E893&gt;=20,2000,1900) + D893</f>
        <v>2003</v>
      </c>
      <c r="H893">
        <f t="shared" si="94"/>
        <v>4</v>
      </c>
      <c r="I893" s="4">
        <f t="shared" si="95"/>
        <v>15</v>
      </c>
      <c r="J893">
        <f t="shared" si="96"/>
        <v>20032415</v>
      </c>
      <c r="K893" t="str">
        <f t="shared" si="97"/>
        <v>15.24.2003</v>
      </c>
    </row>
    <row r="894" spans="1:11" x14ac:dyDescent="0.25">
      <c r="A894" s="4" t="s">
        <v>920</v>
      </c>
      <c r="B894" t="s">
        <v>16</v>
      </c>
      <c r="C894" t="s">
        <v>4</v>
      </c>
      <c r="D894" s="3">
        <f t="shared" si="91"/>
        <v>2</v>
      </c>
      <c r="E894" s="4">
        <f t="shared" si="92"/>
        <v>27</v>
      </c>
      <c r="F894" s="4">
        <f t="shared" si="93"/>
        <v>20</v>
      </c>
      <c r="G894" s="3">
        <f>IF(E894&gt;=20,2000,1900) + D894</f>
        <v>2002</v>
      </c>
      <c r="H894">
        <f t="shared" si="94"/>
        <v>7</v>
      </c>
      <c r="I894" s="4">
        <f t="shared" si="95"/>
        <v>20</v>
      </c>
      <c r="J894">
        <f t="shared" si="96"/>
        <v>20022720</v>
      </c>
      <c r="K894" t="str">
        <f t="shared" si="97"/>
        <v>20.27.2002</v>
      </c>
    </row>
    <row r="895" spans="1:11" x14ac:dyDescent="0.25">
      <c r="A895" s="4" t="s">
        <v>921</v>
      </c>
      <c r="B895" t="s">
        <v>13</v>
      </c>
      <c r="C895" t="s">
        <v>4</v>
      </c>
      <c r="D895" s="3">
        <f t="shared" si="91"/>
        <v>17</v>
      </c>
      <c r="E895" s="4">
        <f t="shared" si="92"/>
        <v>28</v>
      </c>
      <c r="F895" s="4">
        <f t="shared" si="93"/>
        <v>23</v>
      </c>
      <c r="G895" s="3">
        <f>IF(E895&gt;=20,2000,1900) + D895</f>
        <v>2017</v>
      </c>
      <c r="H895">
        <f t="shared" si="94"/>
        <v>8</v>
      </c>
      <c r="I895" s="4">
        <f t="shared" si="95"/>
        <v>23</v>
      </c>
      <c r="J895">
        <f t="shared" si="96"/>
        <v>20172823</v>
      </c>
      <c r="K895" t="str">
        <f t="shared" si="97"/>
        <v>23.28.2017</v>
      </c>
    </row>
    <row r="896" spans="1:11" x14ac:dyDescent="0.25">
      <c r="A896" s="4" t="s">
        <v>922</v>
      </c>
      <c r="B896" t="s">
        <v>5</v>
      </c>
      <c r="C896" t="s">
        <v>6</v>
      </c>
      <c r="D896" s="3">
        <f t="shared" si="91"/>
        <v>3</v>
      </c>
      <c r="E896" s="4">
        <f t="shared" si="92"/>
        <v>24</v>
      </c>
      <c r="F896" s="4">
        <f t="shared" si="93"/>
        <v>18</v>
      </c>
      <c r="G896" s="3">
        <f>IF(E896&gt;=20,2000,1900) + D896</f>
        <v>2003</v>
      </c>
      <c r="H896">
        <f t="shared" si="94"/>
        <v>4</v>
      </c>
      <c r="I896" s="4">
        <f t="shared" si="95"/>
        <v>18</v>
      </c>
      <c r="J896">
        <f t="shared" si="96"/>
        <v>20032418</v>
      </c>
      <c r="K896" t="str">
        <f t="shared" si="97"/>
        <v>18.24.2003</v>
      </c>
    </row>
    <row r="897" spans="1:11" x14ac:dyDescent="0.25">
      <c r="A897" s="4" t="s">
        <v>923</v>
      </c>
      <c r="B897" t="s">
        <v>9</v>
      </c>
      <c r="C897" t="s">
        <v>6</v>
      </c>
      <c r="D897" s="3">
        <f t="shared" si="91"/>
        <v>10</v>
      </c>
      <c r="E897" s="4">
        <f t="shared" si="92"/>
        <v>21</v>
      </c>
      <c r="F897" s="4">
        <f t="shared" si="93"/>
        <v>7</v>
      </c>
      <c r="G897" s="3">
        <f>IF(E897&gt;=20,2000,1900) + D897</f>
        <v>2010</v>
      </c>
      <c r="H897">
        <f t="shared" si="94"/>
        <v>1</v>
      </c>
      <c r="I897" s="4">
        <f t="shared" si="95"/>
        <v>7</v>
      </c>
      <c r="J897">
        <f t="shared" si="96"/>
        <v>20102107</v>
      </c>
      <c r="K897" t="str">
        <f t="shared" si="97"/>
        <v>07.21.2010</v>
      </c>
    </row>
    <row r="898" spans="1:11" x14ac:dyDescent="0.25">
      <c r="A898" s="4" t="s">
        <v>924</v>
      </c>
      <c r="B898" t="s">
        <v>19</v>
      </c>
      <c r="C898" t="s">
        <v>4</v>
      </c>
      <c r="D898" s="3">
        <f t="shared" si="91"/>
        <v>12</v>
      </c>
      <c r="E898" s="4">
        <f t="shared" si="92"/>
        <v>31</v>
      </c>
      <c r="F898" s="4">
        <f t="shared" si="93"/>
        <v>7</v>
      </c>
      <c r="G898" s="3">
        <f>IF(E898&gt;=20,2000,1900) + D898</f>
        <v>2012</v>
      </c>
      <c r="H898">
        <f t="shared" si="94"/>
        <v>11</v>
      </c>
      <c r="I898" s="4">
        <f t="shared" si="95"/>
        <v>7</v>
      </c>
      <c r="J898">
        <f t="shared" si="96"/>
        <v>20123107</v>
      </c>
      <c r="K898" t="str">
        <f t="shared" si="97"/>
        <v>07.31.2012</v>
      </c>
    </row>
    <row r="899" spans="1:11" x14ac:dyDescent="0.25">
      <c r="A899" s="4" t="s">
        <v>925</v>
      </c>
      <c r="B899" t="s">
        <v>10</v>
      </c>
      <c r="C899" t="s">
        <v>6</v>
      </c>
      <c r="D899" s="3">
        <f t="shared" ref="D899:D962" si="98">MID(A899,1,2)*1</f>
        <v>14</v>
      </c>
      <c r="E899" s="4">
        <f t="shared" ref="E899:E962" si="99">MID(A899,3,2)*1</f>
        <v>26</v>
      </c>
      <c r="F899" s="4">
        <f t="shared" ref="F899:F962" si="100">MID(A899,5,2)*1</f>
        <v>28</v>
      </c>
      <c r="G899" s="3">
        <f>IF(E899&gt;=20,2000,1900) + D899</f>
        <v>2014</v>
      </c>
      <c r="H899">
        <f t="shared" ref="H899:H962" si="101">IF(E899&gt;=20,E899-20,E899)</f>
        <v>6</v>
      </c>
      <c r="I899" s="4">
        <f t="shared" ref="I899:I962" si="102">F899</f>
        <v>28</v>
      </c>
      <c r="J899">
        <f t="shared" ref="J899:J962" si="103">CONCATENATE(G899,IF(LEN(E899)=1,CONCATENATE("0",E899),E899),IF(LEN(F899)=1,CONCATENATE("0",F899),F899))*1</f>
        <v>20142628</v>
      </c>
      <c r="K899" t="str">
        <f t="shared" ref="K899:K962" si="104">CONCATENATE(RIGHT(J899,2),".",MID(J899,5,2),".",LEFT(J899,4))</f>
        <v>28.26.2014</v>
      </c>
    </row>
    <row r="900" spans="1:11" x14ac:dyDescent="0.25">
      <c r="A900" s="4" t="s">
        <v>926</v>
      </c>
      <c r="B900" t="s">
        <v>3</v>
      </c>
      <c r="C900" t="s">
        <v>6</v>
      </c>
      <c r="D900" s="3">
        <f t="shared" si="98"/>
        <v>16</v>
      </c>
      <c r="E900" s="4">
        <f t="shared" si="99"/>
        <v>22</v>
      </c>
      <c r="F900" s="4">
        <f t="shared" si="100"/>
        <v>14</v>
      </c>
      <c r="G900" s="3">
        <f>IF(E900&gt;=20,2000,1900) + D900</f>
        <v>2016</v>
      </c>
      <c r="H900">
        <f t="shared" si="101"/>
        <v>2</v>
      </c>
      <c r="I900" s="4">
        <f t="shared" si="102"/>
        <v>14</v>
      </c>
      <c r="J900">
        <f t="shared" si="103"/>
        <v>20162214</v>
      </c>
      <c r="K900" t="str">
        <f t="shared" si="104"/>
        <v>14.22.2016</v>
      </c>
    </row>
    <row r="901" spans="1:11" x14ac:dyDescent="0.25">
      <c r="A901" s="4" t="s">
        <v>927</v>
      </c>
      <c r="B901" t="s">
        <v>12</v>
      </c>
      <c r="C901" t="s">
        <v>4</v>
      </c>
      <c r="D901" s="3">
        <f t="shared" si="98"/>
        <v>6</v>
      </c>
      <c r="E901" s="4">
        <f t="shared" si="99"/>
        <v>24</v>
      </c>
      <c r="F901" s="4">
        <f t="shared" si="100"/>
        <v>9</v>
      </c>
      <c r="G901" s="3">
        <f>IF(E901&gt;=20,2000,1900) + D901</f>
        <v>2006</v>
      </c>
      <c r="H901">
        <f t="shared" si="101"/>
        <v>4</v>
      </c>
      <c r="I901" s="4">
        <f t="shared" si="102"/>
        <v>9</v>
      </c>
      <c r="J901">
        <f t="shared" si="103"/>
        <v>20062409</v>
      </c>
      <c r="K901" t="str">
        <f t="shared" si="104"/>
        <v>09.24.2006</v>
      </c>
    </row>
    <row r="902" spans="1:11" x14ac:dyDescent="0.25">
      <c r="A902" s="4" t="s">
        <v>928</v>
      </c>
      <c r="B902" t="s">
        <v>9</v>
      </c>
      <c r="C902" t="s">
        <v>4</v>
      </c>
      <c r="D902" s="3">
        <f t="shared" si="98"/>
        <v>20</v>
      </c>
      <c r="E902" s="4">
        <f t="shared" si="99"/>
        <v>23</v>
      </c>
      <c r="F902" s="4">
        <f t="shared" si="100"/>
        <v>12</v>
      </c>
      <c r="G902" s="3">
        <f>IF(E902&gt;=20,2000,1900) + D902</f>
        <v>2020</v>
      </c>
      <c r="H902">
        <f t="shared" si="101"/>
        <v>3</v>
      </c>
      <c r="I902" s="4">
        <f t="shared" si="102"/>
        <v>12</v>
      </c>
      <c r="J902">
        <f t="shared" si="103"/>
        <v>20202312</v>
      </c>
      <c r="K902" t="str">
        <f t="shared" si="104"/>
        <v>12.23.2020</v>
      </c>
    </row>
    <row r="903" spans="1:11" x14ac:dyDescent="0.25">
      <c r="A903" s="4" t="s">
        <v>929</v>
      </c>
      <c r="B903" t="s">
        <v>16</v>
      </c>
      <c r="C903" t="s">
        <v>6</v>
      </c>
      <c r="D903" s="3">
        <f t="shared" si="98"/>
        <v>2</v>
      </c>
      <c r="E903" s="4">
        <f t="shared" si="99"/>
        <v>26</v>
      </c>
      <c r="F903" s="4">
        <f t="shared" si="100"/>
        <v>9</v>
      </c>
      <c r="G903" s="3">
        <f>IF(E903&gt;=20,2000,1900) + D903</f>
        <v>2002</v>
      </c>
      <c r="H903">
        <f t="shared" si="101"/>
        <v>6</v>
      </c>
      <c r="I903" s="4">
        <f t="shared" si="102"/>
        <v>9</v>
      </c>
      <c r="J903">
        <f t="shared" si="103"/>
        <v>20022609</v>
      </c>
      <c r="K903" t="str">
        <f t="shared" si="104"/>
        <v>09.26.2002</v>
      </c>
    </row>
    <row r="904" spans="1:11" x14ac:dyDescent="0.25">
      <c r="A904" s="4" t="s">
        <v>930</v>
      </c>
      <c r="B904" t="s">
        <v>3</v>
      </c>
      <c r="C904" t="s">
        <v>6</v>
      </c>
      <c r="D904" s="3">
        <f t="shared" si="98"/>
        <v>15</v>
      </c>
      <c r="E904" s="4">
        <f t="shared" si="99"/>
        <v>30</v>
      </c>
      <c r="F904" s="4">
        <f t="shared" si="100"/>
        <v>4</v>
      </c>
      <c r="G904" s="3">
        <f>IF(E904&gt;=20,2000,1900) + D904</f>
        <v>2015</v>
      </c>
      <c r="H904">
        <f t="shared" si="101"/>
        <v>10</v>
      </c>
      <c r="I904" s="4">
        <f t="shared" si="102"/>
        <v>4</v>
      </c>
      <c r="J904">
        <f t="shared" si="103"/>
        <v>20153004</v>
      </c>
      <c r="K904" t="str">
        <f t="shared" si="104"/>
        <v>04.30.2015</v>
      </c>
    </row>
    <row r="905" spans="1:11" x14ac:dyDescent="0.25">
      <c r="A905" s="4" t="s">
        <v>931</v>
      </c>
      <c r="B905" t="s">
        <v>7</v>
      </c>
      <c r="C905" t="s">
        <v>4</v>
      </c>
      <c r="D905" s="3">
        <f t="shared" si="98"/>
        <v>12</v>
      </c>
      <c r="E905" s="4">
        <f t="shared" si="99"/>
        <v>24</v>
      </c>
      <c r="F905" s="4">
        <f t="shared" si="100"/>
        <v>16</v>
      </c>
      <c r="G905" s="3">
        <f>IF(E905&gt;=20,2000,1900) + D905</f>
        <v>2012</v>
      </c>
      <c r="H905">
        <f t="shared" si="101"/>
        <v>4</v>
      </c>
      <c r="I905" s="4">
        <f t="shared" si="102"/>
        <v>16</v>
      </c>
      <c r="J905">
        <f t="shared" si="103"/>
        <v>20122416</v>
      </c>
      <c r="K905" t="str">
        <f t="shared" si="104"/>
        <v>16.24.2012</v>
      </c>
    </row>
    <row r="906" spans="1:11" x14ac:dyDescent="0.25">
      <c r="A906" s="4" t="s">
        <v>932</v>
      </c>
      <c r="B906" t="s">
        <v>11</v>
      </c>
      <c r="C906" t="s">
        <v>6</v>
      </c>
      <c r="D906" s="3">
        <f t="shared" si="98"/>
        <v>13</v>
      </c>
      <c r="E906" s="4">
        <f t="shared" si="99"/>
        <v>22</v>
      </c>
      <c r="F906" s="4">
        <f t="shared" si="100"/>
        <v>24</v>
      </c>
      <c r="G906" s="3">
        <f>IF(E906&gt;=20,2000,1900) + D906</f>
        <v>2013</v>
      </c>
      <c r="H906">
        <f t="shared" si="101"/>
        <v>2</v>
      </c>
      <c r="I906" s="4">
        <f t="shared" si="102"/>
        <v>24</v>
      </c>
      <c r="J906">
        <f t="shared" si="103"/>
        <v>20132224</v>
      </c>
      <c r="K906" t="str">
        <f t="shared" si="104"/>
        <v>24.22.2013</v>
      </c>
    </row>
    <row r="907" spans="1:11" x14ac:dyDescent="0.25">
      <c r="A907" s="4" t="s">
        <v>933</v>
      </c>
      <c r="B907" t="s">
        <v>8</v>
      </c>
      <c r="C907" t="s">
        <v>4</v>
      </c>
      <c r="D907" s="3">
        <f t="shared" si="98"/>
        <v>20</v>
      </c>
      <c r="E907" s="4">
        <f t="shared" si="99"/>
        <v>30</v>
      </c>
      <c r="F907" s="4">
        <f t="shared" si="100"/>
        <v>31</v>
      </c>
      <c r="G907" s="3">
        <f>IF(E907&gt;=20,2000,1900) + D907</f>
        <v>2020</v>
      </c>
      <c r="H907">
        <f t="shared" si="101"/>
        <v>10</v>
      </c>
      <c r="I907" s="4">
        <f t="shared" si="102"/>
        <v>31</v>
      </c>
      <c r="J907">
        <f t="shared" si="103"/>
        <v>20203031</v>
      </c>
      <c r="K907" t="str">
        <f t="shared" si="104"/>
        <v>31.30.2020</v>
      </c>
    </row>
    <row r="908" spans="1:11" x14ac:dyDescent="0.25">
      <c r="A908" s="4" t="s">
        <v>934</v>
      </c>
      <c r="B908" t="s">
        <v>16</v>
      </c>
      <c r="C908" t="s">
        <v>4</v>
      </c>
      <c r="D908" s="3">
        <f t="shared" si="98"/>
        <v>14</v>
      </c>
      <c r="E908" s="4">
        <f t="shared" si="99"/>
        <v>27</v>
      </c>
      <c r="F908" s="4">
        <f t="shared" si="100"/>
        <v>18</v>
      </c>
      <c r="G908" s="3">
        <f>IF(E908&gt;=20,2000,1900) + D908</f>
        <v>2014</v>
      </c>
      <c r="H908">
        <f t="shared" si="101"/>
        <v>7</v>
      </c>
      <c r="I908" s="4">
        <f t="shared" si="102"/>
        <v>18</v>
      </c>
      <c r="J908">
        <f t="shared" si="103"/>
        <v>20142718</v>
      </c>
      <c r="K908" t="str">
        <f t="shared" si="104"/>
        <v>18.27.2014</v>
      </c>
    </row>
    <row r="909" spans="1:11" x14ac:dyDescent="0.25">
      <c r="A909" s="4" t="s">
        <v>935</v>
      </c>
      <c r="B909" t="s">
        <v>7</v>
      </c>
      <c r="C909" t="s">
        <v>4</v>
      </c>
      <c r="D909" s="3">
        <f t="shared" si="98"/>
        <v>6</v>
      </c>
      <c r="E909" s="4">
        <f t="shared" si="99"/>
        <v>22</v>
      </c>
      <c r="F909" s="4">
        <f t="shared" si="100"/>
        <v>3</v>
      </c>
      <c r="G909" s="3">
        <f>IF(E909&gt;=20,2000,1900) + D909</f>
        <v>2006</v>
      </c>
      <c r="H909">
        <f t="shared" si="101"/>
        <v>2</v>
      </c>
      <c r="I909" s="4">
        <f t="shared" si="102"/>
        <v>3</v>
      </c>
      <c r="J909">
        <f t="shared" si="103"/>
        <v>20062203</v>
      </c>
      <c r="K909" t="str">
        <f t="shared" si="104"/>
        <v>03.22.2006</v>
      </c>
    </row>
    <row r="910" spans="1:11" x14ac:dyDescent="0.25">
      <c r="A910" s="4" t="s">
        <v>936</v>
      </c>
      <c r="B910" t="s">
        <v>13</v>
      </c>
      <c r="C910" t="s">
        <v>4</v>
      </c>
      <c r="D910" s="3">
        <f t="shared" si="98"/>
        <v>7</v>
      </c>
      <c r="E910" s="4">
        <f t="shared" si="99"/>
        <v>23</v>
      </c>
      <c r="F910" s="4">
        <f t="shared" si="100"/>
        <v>16</v>
      </c>
      <c r="G910" s="3">
        <f>IF(E910&gt;=20,2000,1900) + D910</f>
        <v>2007</v>
      </c>
      <c r="H910">
        <f t="shared" si="101"/>
        <v>3</v>
      </c>
      <c r="I910" s="4">
        <f t="shared" si="102"/>
        <v>16</v>
      </c>
      <c r="J910">
        <f t="shared" si="103"/>
        <v>20072316</v>
      </c>
      <c r="K910" t="str">
        <f t="shared" si="104"/>
        <v>16.23.2007</v>
      </c>
    </row>
    <row r="911" spans="1:11" x14ac:dyDescent="0.25">
      <c r="A911" s="4" t="s">
        <v>937</v>
      </c>
      <c r="B911" t="s">
        <v>16</v>
      </c>
      <c r="C911" t="s">
        <v>4</v>
      </c>
      <c r="D911" s="3">
        <f t="shared" si="98"/>
        <v>7</v>
      </c>
      <c r="E911" s="4">
        <f t="shared" si="99"/>
        <v>28</v>
      </c>
      <c r="F911" s="4">
        <f t="shared" si="100"/>
        <v>21</v>
      </c>
      <c r="G911" s="3">
        <f>IF(E911&gt;=20,2000,1900) + D911</f>
        <v>2007</v>
      </c>
      <c r="H911">
        <f t="shared" si="101"/>
        <v>8</v>
      </c>
      <c r="I911" s="4">
        <f t="shared" si="102"/>
        <v>21</v>
      </c>
      <c r="J911">
        <f t="shared" si="103"/>
        <v>20072821</v>
      </c>
      <c r="K911" t="str">
        <f t="shared" si="104"/>
        <v>21.28.2007</v>
      </c>
    </row>
    <row r="912" spans="1:11" x14ac:dyDescent="0.25">
      <c r="A912" s="4" t="s">
        <v>938</v>
      </c>
      <c r="B912" t="s">
        <v>15</v>
      </c>
      <c r="C912" t="s">
        <v>6</v>
      </c>
      <c r="D912" s="3">
        <f t="shared" si="98"/>
        <v>13</v>
      </c>
      <c r="E912" s="4">
        <f t="shared" si="99"/>
        <v>24</v>
      </c>
      <c r="F912" s="4">
        <f t="shared" si="100"/>
        <v>27</v>
      </c>
      <c r="G912" s="3">
        <f>IF(E912&gt;=20,2000,1900) + D912</f>
        <v>2013</v>
      </c>
      <c r="H912">
        <f t="shared" si="101"/>
        <v>4</v>
      </c>
      <c r="I912" s="4">
        <f t="shared" si="102"/>
        <v>27</v>
      </c>
      <c r="J912">
        <f t="shared" si="103"/>
        <v>20132427</v>
      </c>
      <c r="K912" t="str">
        <f t="shared" si="104"/>
        <v>27.24.2013</v>
      </c>
    </row>
    <row r="913" spans="1:11" x14ac:dyDescent="0.25">
      <c r="A913" s="4" t="s">
        <v>939</v>
      </c>
      <c r="B913" t="s">
        <v>19</v>
      </c>
      <c r="C913" t="s">
        <v>6</v>
      </c>
      <c r="D913" s="3">
        <f t="shared" si="98"/>
        <v>22</v>
      </c>
      <c r="E913" s="4">
        <f t="shared" si="99"/>
        <v>27</v>
      </c>
      <c r="F913" s="4">
        <f t="shared" si="100"/>
        <v>1</v>
      </c>
      <c r="G913" s="3">
        <f>IF(E913&gt;=20,2000,1900) + D913</f>
        <v>2022</v>
      </c>
      <c r="H913">
        <f t="shared" si="101"/>
        <v>7</v>
      </c>
      <c r="I913" s="4">
        <f t="shared" si="102"/>
        <v>1</v>
      </c>
      <c r="J913">
        <f t="shared" si="103"/>
        <v>20222701</v>
      </c>
      <c r="K913" t="str">
        <f t="shared" si="104"/>
        <v>01.27.2022</v>
      </c>
    </row>
    <row r="914" spans="1:11" x14ac:dyDescent="0.25">
      <c r="A914" s="4" t="s">
        <v>940</v>
      </c>
      <c r="B914" t="s">
        <v>3</v>
      </c>
      <c r="C914" t="s">
        <v>6</v>
      </c>
      <c r="D914" s="3">
        <f t="shared" si="98"/>
        <v>15</v>
      </c>
      <c r="E914" s="4">
        <f t="shared" si="99"/>
        <v>22</v>
      </c>
      <c r="F914" s="4">
        <f t="shared" si="100"/>
        <v>3</v>
      </c>
      <c r="G914" s="3">
        <f>IF(E914&gt;=20,2000,1900) + D914</f>
        <v>2015</v>
      </c>
      <c r="H914">
        <f t="shared" si="101"/>
        <v>2</v>
      </c>
      <c r="I914" s="4">
        <f t="shared" si="102"/>
        <v>3</v>
      </c>
      <c r="J914">
        <f t="shared" si="103"/>
        <v>20152203</v>
      </c>
      <c r="K914" t="str">
        <f t="shared" si="104"/>
        <v>03.22.2015</v>
      </c>
    </row>
    <row r="915" spans="1:11" x14ac:dyDescent="0.25">
      <c r="A915" s="4" t="s">
        <v>941</v>
      </c>
      <c r="B915" t="s">
        <v>14</v>
      </c>
      <c r="C915" t="s">
        <v>6</v>
      </c>
      <c r="D915" s="3">
        <f t="shared" si="98"/>
        <v>16</v>
      </c>
      <c r="E915" s="4">
        <f t="shared" si="99"/>
        <v>32</v>
      </c>
      <c r="F915" s="4">
        <f t="shared" si="100"/>
        <v>30</v>
      </c>
      <c r="G915" s="3">
        <f>IF(E915&gt;=20,2000,1900) + D915</f>
        <v>2016</v>
      </c>
      <c r="H915">
        <f t="shared" si="101"/>
        <v>12</v>
      </c>
      <c r="I915" s="4">
        <f t="shared" si="102"/>
        <v>30</v>
      </c>
      <c r="J915">
        <f t="shared" si="103"/>
        <v>20163230</v>
      </c>
      <c r="K915" t="str">
        <f t="shared" si="104"/>
        <v>30.32.2016</v>
      </c>
    </row>
    <row r="916" spans="1:11" x14ac:dyDescent="0.25">
      <c r="A916" s="4" t="s">
        <v>942</v>
      </c>
      <c r="B916" t="s">
        <v>14</v>
      </c>
      <c r="C916" t="s">
        <v>4</v>
      </c>
      <c r="D916" s="3">
        <f t="shared" si="98"/>
        <v>17</v>
      </c>
      <c r="E916" s="4">
        <f t="shared" si="99"/>
        <v>21</v>
      </c>
      <c r="F916" s="4">
        <f t="shared" si="100"/>
        <v>29</v>
      </c>
      <c r="G916" s="3">
        <f>IF(E916&gt;=20,2000,1900) + D916</f>
        <v>2017</v>
      </c>
      <c r="H916">
        <f t="shared" si="101"/>
        <v>1</v>
      </c>
      <c r="I916" s="4">
        <f t="shared" si="102"/>
        <v>29</v>
      </c>
      <c r="J916">
        <f t="shared" si="103"/>
        <v>20172129</v>
      </c>
      <c r="K916" t="str">
        <f t="shared" si="104"/>
        <v>29.21.2017</v>
      </c>
    </row>
    <row r="917" spans="1:11" x14ac:dyDescent="0.25">
      <c r="A917" s="4" t="s">
        <v>943</v>
      </c>
      <c r="B917" t="s">
        <v>7</v>
      </c>
      <c r="C917" t="s">
        <v>6</v>
      </c>
      <c r="D917" s="3">
        <f t="shared" si="98"/>
        <v>6</v>
      </c>
      <c r="E917" s="4">
        <f t="shared" si="99"/>
        <v>28</v>
      </c>
      <c r="F917" s="4">
        <f t="shared" si="100"/>
        <v>9</v>
      </c>
      <c r="G917" s="3">
        <f>IF(E917&gt;=20,2000,1900) + D917</f>
        <v>2006</v>
      </c>
      <c r="H917">
        <f t="shared" si="101"/>
        <v>8</v>
      </c>
      <c r="I917" s="4">
        <f t="shared" si="102"/>
        <v>9</v>
      </c>
      <c r="J917">
        <f t="shared" si="103"/>
        <v>20062809</v>
      </c>
      <c r="K917" t="str">
        <f t="shared" si="104"/>
        <v>09.28.2006</v>
      </c>
    </row>
    <row r="918" spans="1:11" x14ac:dyDescent="0.25">
      <c r="A918" s="4" t="s">
        <v>944</v>
      </c>
      <c r="B918" t="s">
        <v>15</v>
      </c>
      <c r="C918" t="s">
        <v>6</v>
      </c>
      <c r="D918" s="3">
        <f t="shared" si="98"/>
        <v>20</v>
      </c>
      <c r="E918" s="4">
        <f t="shared" si="99"/>
        <v>30</v>
      </c>
      <c r="F918" s="4">
        <f t="shared" si="100"/>
        <v>12</v>
      </c>
      <c r="G918" s="3">
        <f>IF(E918&gt;=20,2000,1900) + D918</f>
        <v>2020</v>
      </c>
      <c r="H918">
        <f t="shared" si="101"/>
        <v>10</v>
      </c>
      <c r="I918" s="4">
        <f t="shared" si="102"/>
        <v>12</v>
      </c>
      <c r="J918">
        <f t="shared" si="103"/>
        <v>20203012</v>
      </c>
      <c r="K918" t="str">
        <f t="shared" si="104"/>
        <v>12.30.2020</v>
      </c>
    </row>
    <row r="919" spans="1:11" x14ac:dyDescent="0.25">
      <c r="A919" s="4" t="s">
        <v>945</v>
      </c>
      <c r="B919" t="s">
        <v>3</v>
      </c>
      <c r="C919" t="s">
        <v>6</v>
      </c>
      <c r="D919" s="3">
        <f t="shared" si="98"/>
        <v>1</v>
      </c>
      <c r="E919" s="4">
        <f t="shared" si="99"/>
        <v>30</v>
      </c>
      <c r="F919" s="4">
        <f t="shared" si="100"/>
        <v>8</v>
      </c>
      <c r="G919" s="3">
        <f>IF(E919&gt;=20,2000,1900) + D919</f>
        <v>2001</v>
      </c>
      <c r="H919">
        <f t="shared" si="101"/>
        <v>10</v>
      </c>
      <c r="I919" s="4">
        <f t="shared" si="102"/>
        <v>8</v>
      </c>
      <c r="J919">
        <f t="shared" si="103"/>
        <v>20013008</v>
      </c>
      <c r="K919" t="str">
        <f t="shared" si="104"/>
        <v>08.30.2001</v>
      </c>
    </row>
    <row r="920" spans="1:11" x14ac:dyDescent="0.25">
      <c r="A920" s="4" t="s">
        <v>946</v>
      </c>
      <c r="B920" t="s">
        <v>3</v>
      </c>
      <c r="C920" t="s">
        <v>6</v>
      </c>
      <c r="D920" s="3">
        <f t="shared" si="98"/>
        <v>21</v>
      </c>
      <c r="E920" s="4">
        <f t="shared" si="99"/>
        <v>29</v>
      </c>
      <c r="F920" s="4">
        <f t="shared" si="100"/>
        <v>28</v>
      </c>
      <c r="G920" s="3">
        <f>IF(E920&gt;=20,2000,1900) + D920</f>
        <v>2021</v>
      </c>
      <c r="H920">
        <f t="shared" si="101"/>
        <v>9</v>
      </c>
      <c r="I920" s="4">
        <f t="shared" si="102"/>
        <v>28</v>
      </c>
      <c r="J920">
        <f t="shared" si="103"/>
        <v>20212928</v>
      </c>
      <c r="K920" t="str">
        <f t="shared" si="104"/>
        <v>28.29.2021</v>
      </c>
    </row>
    <row r="921" spans="1:11" x14ac:dyDescent="0.25">
      <c r="A921" s="4" t="s">
        <v>947</v>
      </c>
      <c r="B921" t="s">
        <v>17</v>
      </c>
      <c r="C921" t="s">
        <v>6</v>
      </c>
      <c r="D921" s="3">
        <f t="shared" si="98"/>
        <v>9</v>
      </c>
      <c r="E921" s="4">
        <f t="shared" si="99"/>
        <v>31</v>
      </c>
      <c r="F921" s="4">
        <f t="shared" si="100"/>
        <v>9</v>
      </c>
      <c r="G921" s="3">
        <f>IF(E921&gt;=20,2000,1900) + D921</f>
        <v>2009</v>
      </c>
      <c r="H921">
        <f t="shared" si="101"/>
        <v>11</v>
      </c>
      <c r="I921" s="4">
        <f t="shared" si="102"/>
        <v>9</v>
      </c>
      <c r="J921">
        <f t="shared" si="103"/>
        <v>20093109</v>
      </c>
      <c r="K921" t="str">
        <f t="shared" si="104"/>
        <v>09.31.2009</v>
      </c>
    </row>
    <row r="922" spans="1:11" x14ac:dyDescent="0.25">
      <c r="A922" s="4" t="s">
        <v>948</v>
      </c>
      <c r="B922" t="s">
        <v>11</v>
      </c>
      <c r="C922" t="s">
        <v>6</v>
      </c>
      <c r="D922" s="3">
        <f t="shared" si="98"/>
        <v>0</v>
      </c>
      <c r="E922" s="4">
        <f t="shared" si="99"/>
        <v>30</v>
      </c>
      <c r="F922" s="4">
        <f t="shared" si="100"/>
        <v>19</v>
      </c>
      <c r="G922" s="3">
        <f>IF(E922&gt;=20,2000,1900) + D922</f>
        <v>2000</v>
      </c>
      <c r="H922">
        <f t="shared" si="101"/>
        <v>10</v>
      </c>
      <c r="I922" s="4">
        <f t="shared" si="102"/>
        <v>19</v>
      </c>
      <c r="J922">
        <f t="shared" si="103"/>
        <v>20003019</v>
      </c>
      <c r="K922" t="str">
        <f t="shared" si="104"/>
        <v>19.30.2000</v>
      </c>
    </row>
    <row r="923" spans="1:11" x14ac:dyDescent="0.25">
      <c r="A923" s="4" t="s">
        <v>949</v>
      </c>
      <c r="B923" t="s">
        <v>15</v>
      </c>
      <c r="C923" t="s">
        <v>6</v>
      </c>
      <c r="D923" s="3">
        <f t="shared" si="98"/>
        <v>1</v>
      </c>
      <c r="E923" s="4">
        <f t="shared" si="99"/>
        <v>24</v>
      </c>
      <c r="F923" s="4">
        <f t="shared" si="100"/>
        <v>13</v>
      </c>
      <c r="G923" s="3">
        <f>IF(E923&gt;=20,2000,1900) + D923</f>
        <v>2001</v>
      </c>
      <c r="H923">
        <f t="shared" si="101"/>
        <v>4</v>
      </c>
      <c r="I923" s="4">
        <f t="shared" si="102"/>
        <v>13</v>
      </c>
      <c r="J923">
        <f t="shared" si="103"/>
        <v>20012413</v>
      </c>
      <c r="K923" t="str">
        <f t="shared" si="104"/>
        <v>13.24.2001</v>
      </c>
    </row>
    <row r="924" spans="1:11" x14ac:dyDescent="0.25">
      <c r="A924" s="4" t="s">
        <v>950</v>
      </c>
      <c r="B924" t="s">
        <v>7</v>
      </c>
      <c r="C924" t="s">
        <v>4</v>
      </c>
      <c r="D924" s="3">
        <f t="shared" si="98"/>
        <v>20</v>
      </c>
      <c r="E924" s="4">
        <f t="shared" si="99"/>
        <v>24</v>
      </c>
      <c r="F924" s="4">
        <f t="shared" si="100"/>
        <v>22</v>
      </c>
      <c r="G924" s="3">
        <f>IF(E924&gt;=20,2000,1900) + D924</f>
        <v>2020</v>
      </c>
      <c r="H924">
        <f t="shared" si="101"/>
        <v>4</v>
      </c>
      <c r="I924" s="4">
        <f t="shared" si="102"/>
        <v>22</v>
      </c>
      <c r="J924">
        <f t="shared" si="103"/>
        <v>20202422</v>
      </c>
      <c r="K924" t="str">
        <f t="shared" si="104"/>
        <v>22.24.2020</v>
      </c>
    </row>
    <row r="925" spans="1:11" x14ac:dyDescent="0.25">
      <c r="A925" s="4" t="s">
        <v>951</v>
      </c>
      <c r="B925" t="s">
        <v>7</v>
      </c>
      <c r="C925" t="s">
        <v>4</v>
      </c>
      <c r="D925" s="3">
        <f t="shared" si="98"/>
        <v>0</v>
      </c>
      <c r="E925" s="4">
        <f t="shared" si="99"/>
        <v>23</v>
      </c>
      <c r="F925" s="4">
        <f t="shared" si="100"/>
        <v>11</v>
      </c>
      <c r="G925" s="3">
        <f>IF(E925&gt;=20,2000,1900) + D925</f>
        <v>2000</v>
      </c>
      <c r="H925">
        <f t="shared" si="101"/>
        <v>3</v>
      </c>
      <c r="I925" s="4">
        <f t="shared" si="102"/>
        <v>11</v>
      </c>
      <c r="J925">
        <f t="shared" si="103"/>
        <v>20002311</v>
      </c>
      <c r="K925" t="str">
        <f t="shared" si="104"/>
        <v>11.23.2000</v>
      </c>
    </row>
    <row r="926" spans="1:11" x14ac:dyDescent="0.25">
      <c r="A926" s="4" t="s">
        <v>952</v>
      </c>
      <c r="B926" t="s">
        <v>15</v>
      </c>
      <c r="C926" t="s">
        <v>4</v>
      </c>
      <c r="D926" s="3">
        <f t="shared" si="98"/>
        <v>15</v>
      </c>
      <c r="E926" s="4">
        <f t="shared" si="99"/>
        <v>27</v>
      </c>
      <c r="F926" s="4">
        <f t="shared" si="100"/>
        <v>26</v>
      </c>
      <c r="G926" s="3">
        <f>IF(E926&gt;=20,2000,1900) + D926</f>
        <v>2015</v>
      </c>
      <c r="H926">
        <f t="shared" si="101"/>
        <v>7</v>
      </c>
      <c r="I926" s="4">
        <f t="shared" si="102"/>
        <v>26</v>
      </c>
      <c r="J926">
        <f t="shared" si="103"/>
        <v>20152726</v>
      </c>
      <c r="K926" t="str">
        <f t="shared" si="104"/>
        <v>26.27.2015</v>
      </c>
    </row>
    <row r="927" spans="1:11" x14ac:dyDescent="0.25">
      <c r="A927" s="4" t="s">
        <v>953</v>
      </c>
      <c r="B927" t="s">
        <v>3</v>
      </c>
      <c r="C927" t="s">
        <v>4</v>
      </c>
      <c r="D927" s="3">
        <f t="shared" si="98"/>
        <v>22</v>
      </c>
      <c r="E927" s="4">
        <f t="shared" si="99"/>
        <v>30</v>
      </c>
      <c r="F927" s="4">
        <f t="shared" si="100"/>
        <v>23</v>
      </c>
      <c r="G927" s="3">
        <f>IF(E927&gt;=20,2000,1900) + D927</f>
        <v>2022</v>
      </c>
      <c r="H927">
        <f t="shared" si="101"/>
        <v>10</v>
      </c>
      <c r="I927" s="4">
        <f t="shared" si="102"/>
        <v>23</v>
      </c>
      <c r="J927">
        <f t="shared" si="103"/>
        <v>20223023</v>
      </c>
      <c r="K927" t="str">
        <f t="shared" si="104"/>
        <v>23.30.2022</v>
      </c>
    </row>
    <row r="928" spans="1:11" x14ac:dyDescent="0.25">
      <c r="A928" s="4" t="s">
        <v>954</v>
      </c>
      <c r="B928" t="s">
        <v>9</v>
      </c>
      <c r="C928" t="s">
        <v>6</v>
      </c>
      <c r="D928" s="3">
        <f t="shared" si="98"/>
        <v>17</v>
      </c>
      <c r="E928" s="4">
        <f t="shared" si="99"/>
        <v>24</v>
      </c>
      <c r="F928" s="4">
        <f t="shared" si="100"/>
        <v>15</v>
      </c>
      <c r="G928" s="3">
        <f>IF(E928&gt;=20,2000,1900) + D928</f>
        <v>2017</v>
      </c>
      <c r="H928">
        <f t="shared" si="101"/>
        <v>4</v>
      </c>
      <c r="I928" s="4">
        <f t="shared" si="102"/>
        <v>15</v>
      </c>
      <c r="J928">
        <f t="shared" si="103"/>
        <v>20172415</v>
      </c>
      <c r="K928" t="str">
        <f t="shared" si="104"/>
        <v>15.24.2017</v>
      </c>
    </row>
    <row r="929" spans="1:11" x14ac:dyDescent="0.25">
      <c r="A929" s="4" t="s">
        <v>955</v>
      </c>
      <c r="B929" t="s">
        <v>9</v>
      </c>
      <c r="C929" t="s">
        <v>6</v>
      </c>
      <c r="D929" s="3">
        <f t="shared" si="98"/>
        <v>11</v>
      </c>
      <c r="E929" s="4">
        <f t="shared" si="99"/>
        <v>27</v>
      </c>
      <c r="F929" s="4">
        <f t="shared" si="100"/>
        <v>29</v>
      </c>
      <c r="G929" s="3">
        <f>IF(E929&gt;=20,2000,1900) + D929</f>
        <v>2011</v>
      </c>
      <c r="H929">
        <f t="shared" si="101"/>
        <v>7</v>
      </c>
      <c r="I929" s="4">
        <f t="shared" si="102"/>
        <v>29</v>
      </c>
      <c r="J929">
        <f t="shared" si="103"/>
        <v>20112729</v>
      </c>
      <c r="K929" t="str">
        <f t="shared" si="104"/>
        <v>29.27.2011</v>
      </c>
    </row>
    <row r="930" spans="1:11" x14ac:dyDescent="0.25">
      <c r="A930" s="4" t="s">
        <v>956</v>
      </c>
      <c r="B930" t="s">
        <v>14</v>
      </c>
      <c r="C930" t="s">
        <v>4</v>
      </c>
      <c r="D930" s="3">
        <f t="shared" si="98"/>
        <v>15</v>
      </c>
      <c r="E930" s="4">
        <f t="shared" si="99"/>
        <v>32</v>
      </c>
      <c r="F930" s="4">
        <f t="shared" si="100"/>
        <v>31</v>
      </c>
      <c r="G930" s="3">
        <f>IF(E930&gt;=20,2000,1900) + D930</f>
        <v>2015</v>
      </c>
      <c r="H930">
        <f t="shared" si="101"/>
        <v>12</v>
      </c>
      <c r="I930" s="4">
        <f t="shared" si="102"/>
        <v>31</v>
      </c>
      <c r="J930">
        <f t="shared" si="103"/>
        <v>20153231</v>
      </c>
      <c r="K930" t="str">
        <f t="shared" si="104"/>
        <v>31.32.2015</v>
      </c>
    </row>
    <row r="931" spans="1:11" x14ac:dyDescent="0.25">
      <c r="A931" s="4" t="s">
        <v>957</v>
      </c>
      <c r="B931" t="s">
        <v>5</v>
      </c>
      <c r="C931" t="s">
        <v>4</v>
      </c>
      <c r="D931" s="3">
        <f t="shared" si="98"/>
        <v>9</v>
      </c>
      <c r="E931" s="4">
        <f t="shared" si="99"/>
        <v>26</v>
      </c>
      <c r="F931" s="4">
        <f t="shared" si="100"/>
        <v>22</v>
      </c>
      <c r="G931" s="3">
        <f>IF(E931&gt;=20,2000,1900) + D931</f>
        <v>2009</v>
      </c>
      <c r="H931">
        <f t="shared" si="101"/>
        <v>6</v>
      </c>
      <c r="I931" s="4">
        <f t="shared" si="102"/>
        <v>22</v>
      </c>
      <c r="J931">
        <f t="shared" si="103"/>
        <v>20092622</v>
      </c>
      <c r="K931" t="str">
        <f t="shared" si="104"/>
        <v>22.26.2009</v>
      </c>
    </row>
    <row r="932" spans="1:11" x14ac:dyDescent="0.25">
      <c r="A932" s="4" t="s">
        <v>958</v>
      </c>
      <c r="B932" t="s">
        <v>18</v>
      </c>
      <c r="C932" t="s">
        <v>4</v>
      </c>
      <c r="D932" s="3">
        <f t="shared" si="98"/>
        <v>21</v>
      </c>
      <c r="E932" s="4">
        <f t="shared" si="99"/>
        <v>22</v>
      </c>
      <c r="F932" s="4">
        <f t="shared" si="100"/>
        <v>6</v>
      </c>
      <c r="G932" s="3">
        <f>IF(E932&gt;=20,2000,1900) + D932</f>
        <v>2021</v>
      </c>
      <c r="H932">
        <f t="shared" si="101"/>
        <v>2</v>
      </c>
      <c r="I932" s="4">
        <f t="shared" si="102"/>
        <v>6</v>
      </c>
      <c r="J932">
        <f t="shared" si="103"/>
        <v>20212206</v>
      </c>
      <c r="K932" t="str">
        <f t="shared" si="104"/>
        <v>06.22.2021</v>
      </c>
    </row>
    <row r="933" spans="1:11" x14ac:dyDescent="0.25">
      <c r="A933" s="4" t="s">
        <v>959</v>
      </c>
      <c r="B933" t="s">
        <v>14</v>
      </c>
      <c r="C933" t="s">
        <v>4</v>
      </c>
      <c r="D933" s="3">
        <f t="shared" si="98"/>
        <v>8</v>
      </c>
      <c r="E933" s="4">
        <f t="shared" si="99"/>
        <v>32</v>
      </c>
      <c r="F933" s="4">
        <f t="shared" si="100"/>
        <v>16</v>
      </c>
      <c r="G933" s="3">
        <f>IF(E933&gt;=20,2000,1900) + D933</f>
        <v>2008</v>
      </c>
      <c r="H933">
        <f t="shared" si="101"/>
        <v>12</v>
      </c>
      <c r="I933" s="4">
        <f t="shared" si="102"/>
        <v>16</v>
      </c>
      <c r="J933">
        <f t="shared" si="103"/>
        <v>20083216</v>
      </c>
      <c r="K933" t="str">
        <f t="shared" si="104"/>
        <v>16.32.2008</v>
      </c>
    </row>
    <row r="934" spans="1:11" x14ac:dyDescent="0.25">
      <c r="A934" s="4" t="s">
        <v>960</v>
      </c>
      <c r="B934" t="s">
        <v>7</v>
      </c>
      <c r="C934" t="s">
        <v>4</v>
      </c>
      <c r="D934" s="3">
        <f t="shared" si="98"/>
        <v>4</v>
      </c>
      <c r="E934" s="4">
        <f t="shared" si="99"/>
        <v>32</v>
      </c>
      <c r="F934" s="4">
        <f t="shared" si="100"/>
        <v>21</v>
      </c>
      <c r="G934" s="3">
        <f>IF(E934&gt;=20,2000,1900) + D934</f>
        <v>2004</v>
      </c>
      <c r="H934">
        <f t="shared" si="101"/>
        <v>12</v>
      </c>
      <c r="I934" s="4">
        <f t="shared" si="102"/>
        <v>21</v>
      </c>
      <c r="J934">
        <f t="shared" si="103"/>
        <v>20043221</v>
      </c>
      <c r="K934" t="str">
        <f t="shared" si="104"/>
        <v>21.32.2004</v>
      </c>
    </row>
    <row r="935" spans="1:11" x14ac:dyDescent="0.25">
      <c r="A935" s="4" t="s">
        <v>961</v>
      </c>
      <c r="B935" t="s">
        <v>5</v>
      </c>
      <c r="C935" t="s">
        <v>4</v>
      </c>
      <c r="D935" s="3">
        <f t="shared" si="98"/>
        <v>10</v>
      </c>
      <c r="E935" s="4">
        <f t="shared" si="99"/>
        <v>30</v>
      </c>
      <c r="F935" s="4">
        <f t="shared" si="100"/>
        <v>17</v>
      </c>
      <c r="G935" s="3">
        <f>IF(E935&gt;=20,2000,1900) + D935</f>
        <v>2010</v>
      </c>
      <c r="H935">
        <f t="shared" si="101"/>
        <v>10</v>
      </c>
      <c r="I935" s="4">
        <f t="shared" si="102"/>
        <v>17</v>
      </c>
      <c r="J935">
        <f t="shared" si="103"/>
        <v>20103017</v>
      </c>
      <c r="K935" t="str">
        <f t="shared" si="104"/>
        <v>17.30.2010</v>
      </c>
    </row>
    <row r="936" spans="1:11" x14ac:dyDescent="0.25">
      <c r="A936" s="4" t="s">
        <v>962</v>
      </c>
      <c r="B936" t="s">
        <v>17</v>
      </c>
      <c r="C936" t="s">
        <v>6</v>
      </c>
      <c r="D936" s="3">
        <f t="shared" si="98"/>
        <v>9</v>
      </c>
      <c r="E936" s="4">
        <f t="shared" si="99"/>
        <v>27</v>
      </c>
      <c r="F936" s="4">
        <f t="shared" si="100"/>
        <v>16</v>
      </c>
      <c r="G936" s="3">
        <f>IF(E936&gt;=20,2000,1900) + D936</f>
        <v>2009</v>
      </c>
      <c r="H936">
        <f t="shared" si="101"/>
        <v>7</v>
      </c>
      <c r="I936" s="4">
        <f t="shared" si="102"/>
        <v>16</v>
      </c>
      <c r="J936">
        <f t="shared" si="103"/>
        <v>20092716</v>
      </c>
      <c r="K936" t="str">
        <f t="shared" si="104"/>
        <v>16.27.2009</v>
      </c>
    </row>
    <row r="937" spans="1:11" x14ac:dyDescent="0.25">
      <c r="A937" s="4" t="s">
        <v>963</v>
      </c>
      <c r="B937" t="s">
        <v>15</v>
      </c>
      <c r="C937" t="s">
        <v>6</v>
      </c>
      <c r="D937" s="3">
        <f t="shared" si="98"/>
        <v>18</v>
      </c>
      <c r="E937" s="4">
        <f t="shared" si="99"/>
        <v>32</v>
      </c>
      <c r="F937" s="4">
        <f t="shared" si="100"/>
        <v>1</v>
      </c>
      <c r="G937" s="3">
        <f>IF(E937&gt;=20,2000,1900) + D937</f>
        <v>2018</v>
      </c>
      <c r="H937">
        <f t="shared" si="101"/>
        <v>12</v>
      </c>
      <c r="I937" s="4">
        <f t="shared" si="102"/>
        <v>1</v>
      </c>
      <c r="J937">
        <f t="shared" si="103"/>
        <v>20183201</v>
      </c>
      <c r="K937" t="str">
        <f t="shared" si="104"/>
        <v>01.32.2018</v>
      </c>
    </row>
    <row r="938" spans="1:11" x14ac:dyDescent="0.25">
      <c r="A938" s="4" t="s">
        <v>964</v>
      </c>
      <c r="B938" t="s">
        <v>5</v>
      </c>
      <c r="C938" t="s">
        <v>4</v>
      </c>
      <c r="D938" s="3">
        <f t="shared" si="98"/>
        <v>10</v>
      </c>
      <c r="E938" s="4">
        <f t="shared" si="99"/>
        <v>26</v>
      </c>
      <c r="F938" s="4">
        <f t="shared" si="100"/>
        <v>22</v>
      </c>
      <c r="G938" s="3">
        <f>IF(E938&gt;=20,2000,1900) + D938</f>
        <v>2010</v>
      </c>
      <c r="H938">
        <f t="shared" si="101"/>
        <v>6</v>
      </c>
      <c r="I938" s="4">
        <f t="shared" si="102"/>
        <v>22</v>
      </c>
      <c r="J938">
        <f t="shared" si="103"/>
        <v>20102622</v>
      </c>
      <c r="K938" t="str">
        <f t="shared" si="104"/>
        <v>22.26.2010</v>
      </c>
    </row>
    <row r="939" spans="1:11" x14ac:dyDescent="0.25">
      <c r="A939" s="4" t="s">
        <v>965</v>
      </c>
      <c r="B939" t="s">
        <v>7</v>
      </c>
      <c r="C939" t="s">
        <v>6</v>
      </c>
      <c r="D939" s="3">
        <f t="shared" si="98"/>
        <v>21</v>
      </c>
      <c r="E939" s="4">
        <f t="shared" si="99"/>
        <v>30</v>
      </c>
      <c r="F939" s="4">
        <f t="shared" si="100"/>
        <v>31</v>
      </c>
      <c r="G939" s="3">
        <f>IF(E939&gt;=20,2000,1900) + D939</f>
        <v>2021</v>
      </c>
      <c r="H939">
        <f t="shared" si="101"/>
        <v>10</v>
      </c>
      <c r="I939" s="4">
        <f t="shared" si="102"/>
        <v>31</v>
      </c>
      <c r="J939">
        <f t="shared" si="103"/>
        <v>20213031</v>
      </c>
      <c r="K939" t="str">
        <f t="shared" si="104"/>
        <v>31.30.2021</v>
      </c>
    </row>
    <row r="940" spans="1:11" x14ac:dyDescent="0.25">
      <c r="A940" s="4" t="s">
        <v>966</v>
      </c>
      <c r="B940" t="s">
        <v>20</v>
      </c>
      <c r="C940" t="s">
        <v>4</v>
      </c>
      <c r="D940" s="3">
        <f t="shared" si="98"/>
        <v>10</v>
      </c>
      <c r="E940" s="4">
        <f t="shared" si="99"/>
        <v>29</v>
      </c>
      <c r="F940" s="4">
        <f t="shared" si="100"/>
        <v>30</v>
      </c>
      <c r="G940" s="3">
        <f>IF(E940&gt;=20,2000,1900) + D940</f>
        <v>2010</v>
      </c>
      <c r="H940">
        <f t="shared" si="101"/>
        <v>9</v>
      </c>
      <c r="I940" s="4">
        <f t="shared" si="102"/>
        <v>30</v>
      </c>
      <c r="J940">
        <f t="shared" si="103"/>
        <v>20102930</v>
      </c>
      <c r="K940" t="str">
        <f t="shared" si="104"/>
        <v>30.29.2010</v>
      </c>
    </row>
    <row r="941" spans="1:11" x14ac:dyDescent="0.25">
      <c r="A941" s="4" t="s">
        <v>967</v>
      </c>
      <c r="B941" t="s">
        <v>18</v>
      </c>
      <c r="C941" t="s">
        <v>4</v>
      </c>
      <c r="D941" s="3">
        <f t="shared" si="98"/>
        <v>9</v>
      </c>
      <c r="E941" s="4">
        <f t="shared" si="99"/>
        <v>21</v>
      </c>
      <c r="F941" s="4">
        <f t="shared" si="100"/>
        <v>1</v>
      </c>
      <c r="G941" s="3">
        <f>IF(E941&gt;=20,2000,1900) + D941</f>
        <v>2009</v>
      </c>
      <c r="H941">
        <f t="shared" si="101"/>
        <v>1</v>
      </c>
      <c r="I941" s="4">
        <f t="shared" si="102"/>
        <v>1</v>
      </c>
      <c r="J941">
        <f t="shared" si="103"/>
        <v>20092101</v>
      </c>
      <c r="K941" t="str">
        <f t="shared" si="104"/>
        <v>01.21.2009</v>
      </c>
    </row>
    <row r="942" spans="1:11" x14ac:dyDescent="0.25">
      <c r="A942" s="4" t="s">
        <v>968</v>
      </c>
      <c r="B942" t="s">
        <v>11</v>
      </c>
      <c r="C942" t="s">
        <v>6</v>
      </c>
      <c r="D942" s="3">
        <f t="shared" si="98"/>
        <v>20</v>
      </c>
      <c r="E942" s="4">
        <f t="shared" si="99"/>
        <v>26</v>
      </c>
      <c r="F942" s="4">
        <f t="shared" si="100"/>
        <v>4</v>
      </c>
      <c r="G942" s="3">
        <f>IF(E942&gt;=20,2000,1900) + D942</f>
        <v>2020</v>
      </c>
      <c r="H942">
        <f t="shared" si="101"/>
        <v>6</v>
      </c>
      <c r="I942" s="4">
        <f t="shared" si="102"/>
        <v>4</v>
      </c>
      <c r="J942">
        <f t="shared" si="103"/>
        <v>20202604</v>
      </c>
      <c r="K942" t="str">
        <f t="shared" si="104"/>
        <v>04.26.2020</v>
      </c>
    </row>
    <row r="943" spans="1:11" x14ac:dyDescent="0.25">
      <c r="A943" s="4" t="s">
        <v>969</v>
      </c>
      <c r="B943" t="s">
        <v>11</v>
      </c>
      <c r="C943" t="s">
        <v>4</v>
      </c>
      <c r="D943" s="3">
        <f t="shared" si="98"/>
        <v>17</v>
      </c>
      <c r="E943" s="4">
        <f t="shared" si="99"/>
        <v>30</v>
      </c>
      <c r="F943" s="4">
        <f t="shared" si="100"/>
        <v>22</v>
      </c>
      <c r="G943" s="3">
        <f>IF(E943&gt;=20,2000,1900) + D943</f>
        <v>2017</v>
      </c>
      <c r="H943">
        <f t="shared" si="101"/>
        <v>10</v>
      </c>
      <c r="I943" s="4">
        <f t="shared" si="102"/>
        <v>22</v>
      </c>
      <c r="J943">
        <f t="shared" si="103"/>
        <v>20173022</v>
      </c>
      <c r="K943" t="str">
        <f t="shared" si="104"/>
        <v>22.30.2017</v>
      </c>
    </row>
    <row r="944" spans="1:11" x14ac:dyDescent="0.25">
      <c r="A944" s="4" t="s">
        <v>970</v>
      </c>
      <c r="B944" t="s">
        <v>16</v>
      </c>
      <c r="C944" t="s">
        <v>4</v>
      </c>
      <c r="D944" s="3">
        <f t="shared" si="98"/>
        <v>2</v>
      </c>
      <c r="E944" s="4">
        <f t="shared" si="99"/>
        <v>32</v>
      </c>
      <c r="F944" s="4">
        <f t="shared" si="100"/>
        <v>2</v>
      </c>
      <c r="G944" s="3">
        <f>IF(E944&gt;=20,2000,1900) + D944</f>
        <v>2002</v>
      </c>
      <c r="H944">
        <f t="shared" si="101"/>
        <v>12</v>
      </c>
      <c r="I944" s="4">
        <f t="shared" si="102"/>
        <v>2</v>
      </c>
      <c r="J944">
        <f t="shared" si="103"/>
        <v>20023202</v>
      </c>
      <c r="K944" t="str">
        <f t="shared" si="104"/>
        <v>02.32.2002</v>
      </c>
    </row>
    <row r="945" spans="1:11" x14ac:dyDescent="0.25">
      <c r="A945" s="4" t="s">
        <v>971</v>
      </c>
      <c r="B945" t="s">
        <v>11</v>
      </c>
      <c r="C945" t="s">
        <v>6</v>
      </c>
      <c r="D945" s="3">
        <f t="shared" si="98"/>
        <v>18</v>
      </c>
      <c r="E945" s="4">
        <f t="shared" si="99"/>
        <v>26</v>
      </c>
      <c r="F945" s="4">
        <f t="shared" si="100"/>
        <v>3</v>
      </c>
      <c r="G945" s="3">
        <f>IF(E945&gt;=20,2000,1900) + D945</f>
        <v>2018</v>
      </c>
      <c r="H945">
        <f t="shared" si="101"/>
        <v>6</v>
      </c>
      <c r="I945" s="4">
        <f t="shared" si="102"/>
        <v>3</v>
      </c>
      <c r="J945">
        <f t="shared" si="103"/>
        <v>20182603</v>
      </c>
      <c r="K945" t="str">
        <f t="shared" si="104"/>
        <v>03.26.2018</v>
      </c>
    </row>
    <row r="946" spans="1:11" x14ac:dyDescent="0.25">
      <c r="A946" s="4" t="s">
        <v>972</v>
      </c>
      <c r="B946" t="s">
        <v>11</v>
      </c>
      <c r="C946" t="s">
        <v>4</v>
      </c>
      <c r="D946" s="3">
        <f t="shared" si="98"/>
        <v>4</v>
      </c>
      <c r="E946" s="4">
        <f t="shared" si="99"/>
        <v>22</v>
      </c>
      <c r="F946" s="4">
        <f t="shared" si="100"/>
        <v>29</v>
      </c>
      <c r="G946" s="3">
        <f>IF(E946&gt;=20,2000,1900) + D946</f>
        <v>2004</v>
      </c>
      <c r="H946">
        <f t="shared" si="101"/>
        <v>2</v>
      </c>
      <c r="I946" s="4">
        <f t="shared" si="102"/>
        <v>29</v>
      </c>
      <c r="J946">
        <f t="shared" si="103"/>
        <v>20042229</v>
      </c>
      <c r="K946" t="str">
        <f t="shared" si="104"/>
        <v>29.22.2004</v>
      </c>
    </row>
    <row r="947" spans="1:11" x14ac:dyDescent="0.25">
      <c r="A947" s="4" t="s">
        <v>973</v>
      </c>
      <c r="B947" t="s">
        <v>14</v>
      </c>
      <c r="C947" t="s">
        <v>4</v>
      </c>
      <c r="D947" s="3">
        <f t="shared" si="98"/>
        <v>5</v>
      </c>
      <c r="E947" s="4">
        <f t="shared" si="99"/>
        <v>26</v>
      </c>
      <c r="F947" s="4">
        <f t="shared" si="100"/>
        <v>12</v>
      </c>
      <c r="G947" s="3">
        <f>IF(E947&gt;=20,2000,1900) + D947</f>
        <v>2005</v>
      </c>
      <c r="H947">
        <f t="shared" si="101"/>
        <v>6</v>
      </c>
      <c r="I947" s="4">
        <f t="shared" si="102"/>
        <v>12</v>
      </c>
      <c r="J947">
        <f t="shared" si="103"/>
        <v>20052612</v>
      </c>
      <c r="K947" t="str">
        <f t="shared" si="104"/>
        <v>12.26.2005</v>
      </c>
    </row>
    <row r="948" spans="1:11" x14ac:dyDescent="0.25">
      <c r="A948" s="4" t="s">
        <v>974</v>
      </c>
      <c r="B948" t="s">
        <v>9</v>
      </c>
      <c r="C948" t="s">
        <v>4</v>
      </c>
      <c r="D948" s="3">
        <f t="shared" si="98"/>
        <v>15</v>
      </c>
      <c r="E948" s="4">
        <f t="shared" si="99"/>
        <v>32</v>
      </c>
      <c r="F948" s="4">
        <f t="shared" si="100"/>
        <v>6</v>
      </c>
      <c r="G948" s="3">
        <f>IF(E948&gt;=20,2000,1900) + D948</f>
        <v>2015</v>
      </c>
      <c r="H948">
        <f t="shared" si="101"/>
        <v>12</v>
      </c>
      <c r="I948" s="4">
        <f t="shared" si="102"/>
        <v>6</v>
      </c>
      <c r="J948">
        <f t="shared" si="103"/>
        <v>20153206</v>
      </c>
      <c r="K948" t="str">
        <f t="shared" si="104"/>
        <v>06.32.2015</v>
      </c>
    </row>
    <row r="949" spans="1:11" x14ac:dyDescent="0.25">
      <c r="A949" s="4" t="s">
        <v>975</v>
      </c>
      <c r="B949" t="s">
        <v>9</v>
      </c>
      <c r="C949" t="s">
        <v>6</v>
      </c>
      <c r="D949" s="3">
        <f t="shared" si="98"/>
        <v>14</v>
      </c>
      <c r="E949" s="4">
        <f t="shared" si="99"/>
        <v>29</v>
      </c>
      <c r="F949" s="4">
        <f t="shared" si="100"/>
        <v>26</v>
      </c>
      <c r="G949" s="3">
        <f>IF(E949&gt;=20,2000,1900) + D949</f>
        <v>2014</v>
      </c>
      <c r="H949">
        <f t="shared" si="101"/>
        <v>9</v>
      </c>
      <c r="I949" s="4">
        <f t="shared" si="102"/>
        <v>26</v>
      </c>
      <c r="J949">
        <f t="shared" si="103"/>
        <v>20142926</v>
      </c>
      <c r="K949" t="str">
        <f t="shared" si="104"/>
        <v>26.29.2014</v>
      </c>
    </row>
    <row r="950" spans="1:11" x14ac:dyDescent="0.25">
      <c r="A950" s="4" t="s">
        <v>976</v>
      </c>
      <c r="B950" t="s">
        <v>18</v>
      </c>
      <c r="C950" t="s">
        <v>4</v>
      </c>
      <c r="D950" s="3">
        <f t="shared" si="98"/>
        <v>15</v>
      </c>
      <c r="E950" s="4">
        <f t="shared" si="99"/>
        <v>21</v>
      </c>
      <c r="F950" s="4">
        <f t="shared" si="100"/>
        <v>3</v>
      </c>
      <c r="G950" s="3">
        <f>IF(E950&gt;=20,2000,1900) + D950</f>
        <v>2015</v>
      </c>
      <c r="H950">
        <f t="shared" si="101"/>
        <v>1</v>
      </c>
      <c r="I950" s="4">
        <f t="shared" si="102"/>
        <v>3</v>
      </c>
      <c r="J950">
        <f t="shared" si="103"/>
        <v>20152103</v>
      </c>
      <c r="K950" t="str">
        <f t="shared" si="104"/>
        <v>03.21.2015</v>
      </c>
    </row>
    <row r="951" spans="1:11" x14ac:dyDescent="0.25">
      <c r="A951" s="4" t="s">
        <v>977</v>
      </c>
      <c r="B951" t="s">
        <v>19</v>
      </c>
      <c r="C951" t="s">
        <v>6</v>
      </c>
      <c r="D951" s="3">
        <f t="shared" si="98"/>
        <v>11</v>
      </c>
      <c r="E951" s="4">
        <f t="shared" si="99"/>
        <v>28</v>
      </c>
      <c r="F951" s="4">
        <f t="shared" si="100"/>
        <v>28</v>
      </c>
      <c r="G951" s="3">
        <f>IF(E951&gt;=20,2000,1900) + D951</f>
        <v>2011</v>
      </c>
      <c r="H951">
        <f t="shared" si="101"/>
        <v>8</v>
      </c>
      <c r="I951" s="4">
        <f t="shared" si="102"/>
        <v>28</v>
      </c>
      <c r="J951">
        <f t="shared" si="103"/>
        <v>20112828</v>
      </c>
      <c r="K951" t="str">
        <f t="shared" si="104"/>
        <v>28.28.2011</v>
      </c>
    </row>
    <row r="952" spans="1:11" x14ac:dyDescent="0.25">
      <c r="A952" s="4" t="s">
        <v>978</v>
      </c>
      <c r="B952" t="s">
        <v>14</v>
      </c>
      <c r="C952" t="s">
        <v>6</v>
      </c>
      <c r="D952" s="3">
        <f t="shared" si="98"/>
        <v>21</v>
      </c>
      <c r="E952" s="4">
        <f t="shared" si="99"/>
        <v>27</v>
      </c>
      <c r="F952" s="4">
        <f t="shared" si="100"/>
        <v>8</v>
      </c>
      <c r="G952" s="3">
        <f>IF(E952&gt;=20,2000,1900) + D952</f>
        <v>2021</v>
      </c>
      <c r="H952">
        <f t="shared" si="101"/>
        <v>7</v>
      </c>
      <c r="I952" s="4">
        <f t="shared" si="102"/>
        <v>8</v>
      </c>
      <c r="J952">
        <f t="shared" si="103"/>
        <v>20212708</v>
      </c>
      <c r="K952" t="str">
        <f t="shared" si="104"/>
        <v>08.27.2021</v>
      </c>
    </row>
    <row r="953" spans="1:11" x14ac:dyDescent="0.25">
      <c r="A953" s="4" t="s">
        <v>979</v>
      </c>
      <c r="B953" t="s">
        <v>10</v>
      </c>
      <c r="C953" t="s">
        <v>4</v>
      </c>
      <c r="D953" s="3">
        <f t="shared" si="98"/>
        <v>7</v>
      </c>
      <c r="E953" s="4">
        <f t="shared" si="99"/>
        <v>27</v>
      </c>
      <c r="F953" s="4">
        <f t="shared" si="100"/>
        <v>18</v>
      </c>
      <c r="G953" s="3">
        <f>IF(E953&gt;=20,2000,1900) + D953</f>
        <v>2007</v>
      </c>
      <c r="H953">
        <f t="shared" si="101"/>
        <v>7</v>
      </c>
      <c r="I953" s="4">
        <f t="shared" si="102"/>
        <v>18</v>
      </c>
      <c r="J953">
        <f t="shared" si="103"/>
        <v>20072718</v>
      </c>
      <c r="K953" t="str">
        <f t="shared" si="104"/>
        <v>18.27.2007</v>
      </c>
    </row>
    <row r="954" spans="1:11" x14ac:dyDescent="0.25">
      <c r="A954" s="4" t="s">
        <v>980</v>
      </c>
      <c r="B954" t="s">
        <v>20</v>
      </c>
      <c r="C954" t="s">
        <v>6</v>
      </c>
      <c r="D954" s="3">
        <f t="shared" si="98"/>
        <v>5</v>
      </c>
      <c r="E954" s="4">
        <f t="shared" si="99"/>
        <v>28</v>
      </c>
      <c r="F954" s="4">
        <f t="shared" si="100"/>
        <v>18</v>
      </c>
      <c r="G954" s="3">
        <f>IF(E954&gt;=20,2000,1900) + D954</f>
        <v>2005</v>
      </c>
      <c r="H954">
        <f t="shared" si="101"/>
        <v>8</v>
      </c>
      <c r="I954" s="4">
        <f t="shared" si="102"/>
        <v>18</v>
      </c>
      <c r="J954">
        <f t="shared" si="103"/>
        <v>20052818</v>
      </c>
      <c r="K954" t="str">
        <f t="shared" si="104"/>
        <v>18.28.2005</v>
      </c>
    </row>
    <row r="955" spans="1:11" x14ac:dyDescent="0.25">
      <c r="A955" s="4" t="s">
        <v>981</v>
      </c>
      <c r="B955" t="s">
        <v>10</v>
      </c>
      <c r="C955" t="s">
        <v>4</v>
      </c>
      <c r="D955" s="3">
        <f t="shared" si="98"/>
        <v>9</v>
      </c>
      <c r="E955" s="4">
        <f t="shared" si="99"/>
        <v>25</v>
      </c>
      <c r="F955" s="4">
        <f t="shared" si="100"/>
        <v>28</v>
      </c>
      <c r="G955" s="3">
        <f>IF(E955&gt;=20,2000,1900) + D955</f>
        <v>2009</v>
      </c>
      <c r="H955">
        <f t="shared" si="101"/>
        <v>5</v>
      </c>
      <c r="I955" s="4">
        <f t="shared" si="102"/>
        <v>28</v>
      </c>
      <c r="J955">
        <f t="shared" si="103"/>
        <v>20092528</v>
      </c>
      <c r="K955" t="str">
        <f t="shared" si="104"/>
        <v>28.25.2009</v>
      </c>
    </row>
    <row r="956" spans="1:11" x14ac:dyDescent="0.25">
      <c r="A956" s="4" t="s">
        <v>982</v>
      </c>
      <c r="B956" t="s">
        <v>18</v>
      </c>
      <c r="C956" t="s">
        <v>4</v>
      </c>
      <c r="D956" s="3">
        <f t="shared" si="98"/>
        <v>0</v>
      </c>
      <c r="E956" s="4">
        <f t="shared" si="99"/>
        <v>29</v>
      </c>
      <c r="F956" s="4">
        <f t="shared" si="100"/>
        <v>13</v>
      </c>
      <c r="G956" s="3">
        <f>IF(E956&gt;=20,2000,1900) + D956</f>
        <v>2000</v>
      </c>
      <c r="H956">
        <f t="shared" si="101"/>
        <v>9</v>
      </c>
      <c r="I956" s="4">
        <f t="shared" si="102"/>
        <v>13</v>
      </c>
      <c r="J956">
        <f t="shared" si="103"/>
        <v>20002913</v>
      </c>
      <c r="K956" t="str">
        <f t="shared" si="104"/>
        <v>13.29.2000</v>
      </c>
    </row>
    <row r="957" spans="1:11" x14ac:dyDescent="0.25">
      <c r="A957" s="4" t="s">
        <v>983</v>
      </c>
      <c r="B957" t="s">
        <v>12</v>
      </c>
      <c r="C957" t="s">
        <v>6</v>
      </c>
      <c r="D957" s="3">
        <f t="shared" si="98"/>
        <v>4</v>
      </c>
      <c r="E957" s="4">
        <f t="shared" si="99"/>
        <v>28</v>
      </c>
      <c r="F957" s="4">
        <f t="shared" si="100"/>
        <v>9</v>
      </c>
      <c r="G957" s="3">
        <f>IF(E957&gt;=20,2000,1900) + D957</f>
        <v>2004</v>
      </c>
      <c r="H957">
        <f t="shared" si="101"/>
        <v>8</v>
      </c>
      <c r="I957" s="4">
        <f t="shared" si="102"/>
        <v>9</v>
      </c>
      <c r="J957">
        <f t="shared" si="103"/>
        <v>20042809</v>
      </c>
      <c r="K957" t="str">
        <f t="shared" si="104"/>
        <v>09.28.2004</v>
      </c>
    </row>
    <row r="958" spans="1:11" x14ac:dyDescent="0.25">
      <c r="A958" s="4" t="s">
        <v>984</v>
      </c>
      <c r="B958" t="s">
        <v>7</v>
      </c>
      <c r="C958" t="s">
        <v>6</v>
      </c>
      <c r="D958" s="3">
        <f t="shared" si="98"/>
        <v>2</v>
      </c>
      <c r="E958" s="4">
        <f t="shared" si="99"/>
        <v>22</v>
      </c>
      <c r="F958" s="4">
        <f t="shared" si="100"/>
        <v>9</v>
      </c>
      <c r="G958" s="3">
        <f>IF(E958&gt;=20,2000,1900) + D958</f>
        <v>2002</v>
      </c>
      <c r="H958">
        <f t="shared" si="101"/>
        <v>2</v>
      </c>
      <c r="I958" s="4">
        <f t="shared" si="102"/>
        <v>9</v>
      </c>
      <c r="J958">
        <f t="shared" si="103"/>
        <v>20022209</v>
      </c>
      <c r="K958" t="str">
        <f t="shared" si="104"/>
        <v>09.22.2002</v>
      </c>
    </row>
    <row r="959" spans="1:11" x14ac:dyDescent="0.25">
      <c r="A959" s="4" t="s">
        <v>985</v>
      </c>
      <c r="B959" t="s">
        <v>16</v>
      </c>
      <c r="C959" t="s">
        <v>6</v>
      </c>
      <c r="D959" s="3">
        <f t="shared" si="98"/>
        <v>2</v>
      </c>
      <c r="E959" s="4">
        <f t="shared" si="99"/>
        <v>21</v>
      </c>
      <c r="F959" s="4">
        <f t="shared" si="100"/>
        <v>1</v>
      </c>
      <c r="G959" s="3">
        <f>IF(E959&gt;=20,2000,1900) + D959</f>
        <v>2002</v>
      </c>
      <c r="H959">
        <f t="shared" si="101"/>
        <v>1</v>
      </c>
      <c r="I959" s="4">
        <f t="shared" si="102"/>
        <v>1</v>
      </c>
      <c r="J959">
        <f t="shared" si="103"/>
        <v>20022101</v>
      </c>
      <c r="K959" t="str">
        <f t="shared" si="104"/>
        <v>01.21.2002</v>
      </c>
    </row>
    <row r="960" spans="1:11" x14ac:dyDescent="0.25">
      <c r="A960" s="4" t="s">
        <v>986</v>
      </c>
      <c r="B960" t="s">
        <v>8</v>
      </c>
      <c r="C960" t="s">
        <v>6</v>
      </c>
      <c r="D960" s="3">
        <f t="shared" si="98"/>
        <v>9</v>
      </c>
      <c r="E960" s="4">
        <f t="shared" si="99"/>
        <v>24</v>
      </c>
      <c r="F960" s="4">
        <f t="shared" si="100"/>
        <v>11</v>
      </c>
      <c r="G960" s="3">
        <f>IF(E960&gt;=20,2000,1900) + D960</f>
        <v>2009</v>
      </c>
      <c r="H960">
        <f t="shared" si="101"/>
        <v>4</v>
      </c>
      <c r="I960" s="4">
        <f t="shared" si="102"/>
        <v>11</v>
      </c>
      <c r="J960">
        <f t="shared" si="103"/>
        <v>20092411</v>
      </c>
      <c r="K960" t="str">
        <f t="shared" si="104"/>
        <v>11.24.2009</v>
      </c>
    </row>
    <row r="961" spans="1:11" x14ac:dyDescent="0.25">
      <c r="A961" s="4" t="s">
        <v>987</v>
      </c>
      <c r="B961" t="s">
        <v>18</v>
      </c>
      <c r="C961" t="s">
        <v>6</v>
      </c>
      <c r="D961" s="3">
        <f t="shared" si="98"/>
        <v>9</v>
      </c>
      <c r="E961" s="4">
        <f t="shared" si="99"/>
        <v>24</v>
      </c>
      <c r="F961" s="4">
        <f t="shared" si="100"/>
        <v>13</v>
      </c>
      <c r="G961" s="3">
        <f>IF(E961&gt;=20,2000,1900) + D961</f>
        <v>2009</v>
      </c>
      <c r="H961">
        <f t="shared" si="101"/>
        <v>4</v>
      </c>
      <c r="I961" s="4">
        <f t="shared" si="102"/>
        <v>13</v>
      </c>
      <c r="J961">
        <f t="shared" si="103"/>
        <v>20092413</v>
      </c>
      <c r="K961" t="str">
        <f t="shared" si="104"/>
        <v>13.24.2009</v>
      </c>
    </row>
    <row r="962" spans="1:11" x14ac:dyDescent="0.25">
      <c r="A962" s="4" t="s">
        <v>988</v>
      </c>
      <c r="B962" t="s">
        <v>7</v>
      </c>
      <c r="C962" t="s">
        <v>6</v>
      </c>
      <c r="D962" s="3">
        <f t="shared" si="98"/>
        <v>13</v>
      </c>
      <c r="E962" s="4">
        <f t="shared" si="99"/>
        <v>31</v>
      </c>
      <c r="F962" s="4">
        <f t="shared" si="100"/>
        <v>28</v>
      </c>
      <c r="G962" s="3">
        <f>IF(E962&gt;=20,2000,1900) + D962</f>
        <v>2013</v>
      </c>
      <c r="H962">
        <f t="shared" si="101"/>
        <v>11</v>
      </c>
      <c r="I962" s="4">
        <f t="shared" si="102"/>
        <v>28</v>
      </c>
      <c r="J962">
        <f t="shared" si="103"/>
        <v>20133128</v>
      </c>
      <c r="K962" t="str">
        <f t="shared" si="104"/>
        <v>28.31.2013</v>
      </c>
    </row>
    <row r="963" spans="1:11" x14ac:dyDescent="0.25">
      <c r="A963" s="4" t="s">
        <v>989</v>
      </c>
      <c r="B963" t="s">
        <v>5</v>
      </c>
      <c r="C963" t="s">
        <v>6</v>
      </c>
      <c r="D963" s="3">
        <f t="shared" ref="D963:D1001" si="105">MID(A963,1,2)*1</f>
        <v>13</v>
      </c>
      <c r="E963" s="4">
        <f t="shared" ref="E963:E1001" si="106">MID(A963,3,2)*1</f>
        <v>26</v>
      </c>
      <c r="F963" s="4">
        <f t="shared" ref="F963:F1001" si="107">MID(A963,5,2)*1</f>
        <v>22</v>
      </c>
      <c r="G963" s="3">
        <f>IF(E963&gt;=20,2000,1900) + D963</f>
        <v>2013</v>
      </c>
      <c r="H963">
        <f t="shared" ref="H963:H1001" si="108">IF(E963&gt;=20,E963-20,E963)</f>
        <v>6</v>
      </c>
      <c r="I963" s="4">
        <f t="shared" ref="I963:I1001" si="109">F963</f>
        <v>22</v>
      </c>
      <c r="J963">
        <f t="shared" ref="J963:J1001" si="110">CONCATENATE(G963,IF(LEN(E963)=1,CONCATENATE("0",E963),E963),IF(LEN(F963)=1,CONCATENATE("0",F963),F963))*1</f>
        <v>20132622</v>
      </c>
      <c r="K963" t="str">
        <f t="shared" ref="K963:K1001" si="111">CONCATENATE(RIGHT(J963,2),".",MID(J963,5,2),".",LEFT(J963,4))</f>
        <v>22.26.2013</v>
      </c>
    </row>
    <row r="964" spans="1:11" x14ac:dyDescent="0.25">
      <c r="A964" s="4" t="s">
        <v>990</v>
      </c>
      <c r="B964" t="s">
        <v>7</v>
      </c>
      <c r="C964" t="s">
        <v>4</v>
      </c>
      <c r="D964" s="3">
        <f t="shared" si="105"/>
        <v>21</v>
      </c>
      <c r="E964" s="4">
        <f t="shared" si="106"/>
        <v>22</v>
      </c>
      <c r="F964" s="4">
        <f t="shared" si="107"/>
        <v>7</v>
      </c>
      <c r="G964" s="3">
        <f>IF(E964&gt;=20,2000,1900) + D964</f>
        <v>2021</v>
      </c>
      <c r="H964">
        <f t="shared" si="108"/>
        <v>2</v>
      </c>
      <c r="I964" s="4">
        <f t="shared" si="109"/>
        <v>7</v>
      </c>
      <c r="J964">
        <f t="shared" si="110"/>
        <v>20212207</v>
      </c>
      <c r="K964" t="str">
        <f t="shared" si="111"/>
        <v>07.22.2021</v>
      </c>
    </row>
    <row r="965" spans="1:11" x14ac:dyDescent="0.25">
      <c r="A965" s="4" t="s">
        <v>991</v>
      </c>
      <c r="B965" t="s">
        <v>10</v>
      </c>
      <c r="C965" t="s">
        <v>6</v>
      </c>
      <c r="D965" s="3">
        <f t="shared" si="105"/>
        <v>6</v>
      </c>
      <c r="E965" s="4">
        <f t="shared" si="106"/>
        <v>26</v>
      </c>
      <c r="F965" s="4">
        <f t="shared" si="107"/>
        <v>17</v>
      </c>
      <c r="G965" s="3">
        <f>IF(E965&gt;=20,2000,1900) + D965</f>
        <v>2006</v>
      </c>
      <c r="H965">
        <f t="shared" si="108"/>
        <v>6</v>
      </c>
      <c r="I965" s="4">
        <f t="shared" si="109"/>
        <v>17</v>
      </c>
      <c r="J965">
        <f t="shared" si="110"/>
        <v>20062617</v>
      </c>
      <c r="K965" t="str">
        <f t="shared" si="111"/>
        <v>17.26.2006</v>
      </c>
    </row>
    <row r="966" spans="1:11" x14ac:dyDescent="0.25">
      <c r="A966" s="4" t="s">
        <v>992</v>
      </c>
      <c r="B966" t="s">
        <v>16</v>
      </c>
      <c r="C966" t="s">
        <v>4</v>
      </c>
      <c r="D966" s="3">
        <f t="shared" si="105"/>
        <v>14</v>
      </c>
      <c r="E966" s="4">
        <f t="shared" si="106"/>
        <v>22</v>
      </c>
      <c r="F966" s="4">
        <f t="shared" si="107"/>
        <v>26</v>
      </c>
      <c r="G966" s="3">
        <f>IF(E966&gt;=20,2000,1900) + D966</f>
        <v>2014</v>
      </c>
      <c r="H966">
        <f t="shared" si="108"/>
        <v>2</v>
      </c>
      <c r="I966" s="4">
        <f t="shared" si="109"/>
        <v>26</v>
      </c>
      <c r="J966">
        <f t="shared" si="110"/>
        <v>20142226</v>
      </c>
      <c r="K966" t="str">
        <f t="shared" si="111"/>
        <v>26.22.2014</v>
      </c>
    </row>
    <row r="967" spans="1:11" x14ac:dyDescent="0.25">
      <c r="A967" s="4" t="s">
        <v>993</v>
      </c>
      <c r="B967" t="s">
        <v>8</v>
      </c>
      <c r="C967" t="s">
        <v>6</v>
      </c>
      <c r="D967" s="3">
        <f t="shared" si="105"/>
        <v>19</v>
      </c>
      <c r="E967" s="4">
        <f t="shared" si="106"/>
        <v>32</v>
      </c>
      <c r="F967" s="4">
        <f t="shared" si="107"/>
        <v>12</v>
      </c>
      <c r="G967" s="3">
        <f>IF(E967&gt;=20,2000,1900) + D967</f>
        <v>2019</v>
      </c>
      <c r="H967">
        <f t="shared" si="108"/>
        <v>12</v>
      </c>
      <c r="I967" s="4">
        <f t="shared" si="109"/>
        <v>12</v>
      </c>
      <c r="J967">
        <f t="shared" si="110"/>
        <v>20193212</v>
      </c>
      <c r="K967" t="str">
        <f t="shared" si="111"/>
        <v>12.32.2019</v>
      </c>
    </row>
    <row r="968" spans="1:11" x14ac:dyDescent="0.25">
      <c r="A968" s="4" t="s">
        <v>994</v>
      </c>
      <c r="B968" t="s">
        <v>9</v>
      </c>
      <c r="C968" t="s">
        <v>4</v>
      </c>
      <c r="D968" s="3">
        <f t="shared" si="105"/>
        <v>8</v>
      </c>
      <c r="E968" s="4">
        <f t="shared" si="106"/>
        <v>23</v>
      </c>
      <c r="F968" s="4">
        <f t="shared" si="107"/>
        <v>19</v>
      </c>
      <c r="G968" s="3">
        <f>IF(E968&gt;=20,2000,1900) + D968</f>
        <v>2008</v>
      </c>
      <c r="H968">
        <f t="shared" si="108"/>
        <v>3</v>
      </c>
      <c r="I968" s="4">
        <f t="shared" si="109"/>
        <v>19</v>
      </c>
      <c r="J968">
        <f t="shared" si="110"/>
        <v>20082319</v>
      </c>
      <c r="K968" t="str">
        <f t="shared" si="111"/>
        <v>19.23.2008</v>
      </c>
    </row>
    <row r="969" spans="1:11" x14ac:dyDescent="0.25">
      <c r="A969" s="4" t="s">
        <v>995</v>
      </c>
      <c r="B969" t="s">
        <v>16</v>
      </c>
      <c r="C969" t="s">
        <v>6</v>
      </c>
      <c r="D969" s="3">
        <f t="shared" si="105"/>
        <v>15</v>
      </c>
      <c r="E969" s="4">
        <f t="shared" si="106"/>
        <v>29</v>
      </c>
      <c r="F969" s="4">
        <f t="shared" si="107"/>
        <v>12</v>
      </c>
      <c r="G969" s="3">
        <f>IF(E969&gt;=20,2000,1900) + D969</f>
        <v>2015</v>
      </c>
      <c r="H969">
        <f t="shared" si="108"/>
        <v>9</v>
      </c>
      <c r="I969" s="4">
        <f t="shared" si="109"/>
        <v>12</v>
      </c>
      <c r="J969">
        <f t="shared" si="110"/>
        <v>20152912</v>
      </c>
      <c r="K969" t="str">
        <f t="shared" si="111"/>
        <v>12.29.2015</v>
      </c>
    </row>
    <row r="970" spans="1:11" x14ac:dyDescent="0.25">
      <c r="A970" s="4" t="s">
        <v>996</v>
      </c>
      <c r="B970" t="s">
        <v>17</v>
      </c>
      <c r="C970" t="s">
        <v>6</v>
      </c>
      <c r="D970" s="3">
        <f t="shared" si="105"/>
        <v>8</v>
      </c>
      <c r="E970" s="4">
        <f t="shared" si="106"/>
        <v>26</v>
      </c>
      <c r="F970" s="4">
        <f t="shared" si="107"/>
        <v>4</v>
      </c>
      <c r="G970" s="3">
        <f>IF(E970&gt;=20,2000,1900) + D970</f>
        <v>2008</v>
      </c>
      <c r="H970">
        <f t="shared" si="108"/>
        <v>6</v>
      </c>
      <c r="I970" s="4">
        <f t="shared" si="109"/>
        <v>4</v>
      </c>
      <c r="J970">
        <f t="shared" si="110"/>
        <v>20082604</v>
      </c>
      <c r="K970" t="str">
        <f t="shared" si="111"/>
        <v>04.26.2008</v>
      </c>
    </row>
    <row r="971" spans="1:11" x14ac:dyDescent="0.25">
      <c r="A971" s="4" t="s">
        <v>997</v>
      </c>
      <c r="B971" t="s">
        <v>10</v>
      </c>
      <c r="C971" t="s">
        <v>6</v>
      </c>
      <c r="D971" s="3">
        <f t="shared" si="105"/>
        <v>8</v>
      </c>
      <c r="E971" s="4">
        <f t="shared" si="106"/>
        <v>24</v>
      </c>
      <c r="F971" s="4">
        <f t="shared" si="107"/>
        <v>2</v>
      </c>
      <c r="G971" s="3">
        <f>IF(E971&gt;=20,2000,1900) + D971</f>
        <v>2008</v>
      </c>
      <c r="H971">
        <f t="shared" si="108"/>
        <v>4</v>
      </c>
      <c r="I971" s="4">
        <f t="shared" si="109"/>
        <v>2</v>
      </c>
      <c r="J971">
        <f t="shared" si="110"/>
        <v>20082402</v>
      </c>
      <c r="K971" t="str">
        <f t="shared" si="111"/>
        <v>02.24.2008</v>
      </c>
    </row>
    <row r="972" spans="1:11" x14ac:dyDescent="0.25">
      <c r="A972" s="4" t="s">
        <v>998</v>
      </c>
      <c r="B972" t="s">
        <v>17</v>
      </c>
      <c r="C972" t="s">
        <v>4</v>
      </c>
      <c r="D972" s="3">
        <f t="shared" si="105"/>
        <v>19</v>
      </c>
      <c r="E972" s="4">
        <f t="shared" si="106"/>
        <v>23</v>
      </c>
      <c r="F972" s="4">
        <f t="shared" si="107"/>
        <v>10</v>
      </c>
      <c r="G972" s="3">
        <f>IF(E972&gt;=20,2000,1900) + D972</f>
        <v>2019</v>
      </c>
      <c r="H972">
        <f t="shared" si="108"/>
        <v>3</v>
      </c>
      <c r="I972" s="4">
        <f t="shared" si="109"/>
        <v>10</v>
      </c>
      <c r="J972">
        <f t="shared" si="110"/>
        <v>20192310</v>
      </c>
      <c r="K972" t="str">
        <f t="shared" si="111"/>
        <v>10.23.2019</v>
      </c>
    </row>
    <row r="973" spans="1:11" x14ac:dyDescent="0.25">
      <c r="A973" s="4" t="s">
        <v>999</v>
      </c>
      <c r="B973" t="s">
        <v>8</v>
      </c>
      <c r="C973" t="s">
        <v>6</v>
      </c>
      <c r="D973" s="3">
        <f t="shared" si="105"/>
        <v>14</v>
      </c>
      <c r="E973" s="4">
        <f t="shared" si="106"/>
        <v>28</v>
      </c>
      <c r="F973" s="4">
        <f t="shared" si="107"/>
        <v>12</v>
      </c>
      <c r="G973" s="3">
        <f>IF(E973&gt;=20,2000,1900) + D973</f>
        <v>2014</v>
      </c>
      <c r="H973">
        <f t="shared" si="108"/>
        <v>8</v>
      </c>
      <c r="I973" s="4">
        <f t="shared" si="109"/>
        <v>12</v>
      </c>
      <c r="J973">
        <f t="shared" si="110"/>
        <v>20142812</v>
      </c>
      <c r="K973" t="str">
        <f t="shared" si="111"/>
        <v>12.28.2014</v>
      </c>
    </row>
    <row r="974" spans="1:11" x14ac:dyDescent="0.25">
      <c r="A974" s="4" t="s">
        <v>1000</v>
      </c>
      <c r="B974" t="s">
        <v>7</v>
      </c>
      <c r="C974" t="s">
        <v>4</v>
      </c>
      <c r="D974" s="3">
        <f t="shared" si="105"/>
        <v>7</v>
      </c>
      <c r="E974" s="4">
        <f t="shared" si="106"/>
        <v>28</v>
      </c>
      <c r="F974" s="4">
        <f t="shared" si="107"/>
        <v>2</v>
      </c>
      <c r="G974" s="3">
        <f>IF(E974&gt;=20,2000,1900) + D974</f>
        <v>2007</v>
      </c>
      <c r="H974">
        <f t="shared" si="108"/>
        <v>8</v>
      </c>
      <c r="I974" s="4">
        <f t="shared" si="109"/>
        <v>2</v>
      </c>
      <c r="J974">
        <f t="shared" si="110"/>
        <v>20072802</v>
      </c>
      <c r="K974" t="str">
        <f t="shared" si="111"/>
        <v>02.28.2007</v>
      </c>
    </row>
    <row r="975" spans="1:11" x14ac:dyDescent="0.25">
      <c r="A975" s="4" t="s">
        <v>1001</v>
      </c>
      <c r="B975" t="s">
        <v>3</v>
      </c>
      <c r="C975" t="s">
        <v>6</v>
      </c>
      <c r="D975" s="3">
        <f t="shared" si="105"/>
        <v>6</v>
      </c>
      <c r="E975" s="4">
        <f t="shared" si="106"/>
        <v>26</v>
      </c>
      <c r="F975" s="4">
        <f t="shared" si="107"/>
        <v>25</v>
      </c>
      <c r="G975" s="3">
        <f>IF(E975&gt;=20,2000,1900) + D975</f>
        <v>2006</v>
      </c>
      <c r="H975">
        <f t="shared" si="108"/>
        <v>6</v>
      </c>
      <c r="I975" s="4">
        <f t="shared" si="109"/>
        <v>25</v>
      </c>
      <c r="J975">
        <f t="shared" si="110"/>
        <v>20062625</v>
      </c>
      <c r="K975" t="str">
        <f t="shared" si="111"/>
        <v>25.26.2006</v>
      </c>
    </row>
    <row r="976" spans="1:11" x14ac:dyDescent="0.25">
      <c r="A976" s="4" t="s">
        <v>1002</v>
      </c>
      <c r="B976" t="s">
        <v>7</v>
      </c>
      <c r="C976" t="s">
        <v>6</v>
      </c>
      <c r="D976" s="3">
        <f t="shared" si="105"/>
        <v>15</v>
      </c>
      <c r="E976" s="4">
        <f t="shared" si="106"/>
        <v>24</v>
      </c>
      <c r="F976" s="4">
        <f t="shared" si="107"/>
        <v>27</v>
      </c>
      <c r="G976" s="3">
        <f>IF(E976&gt;=20,2000,1900) + D976</f>
        <v>2015</v>
      </c>
      <c r="H976">
        <f t="shared" si="108"/>
        <v>4</v>
      </c>
      <c r="I976" s="4">
        <f t="shared" si="109"/>
        <v>27</v>
      </c>
      <c r="J976">
        <f t="shared" si="110"/>
        <v>20152427</v>
      </c>
      <c r="K976" t="str">
        <f t="shared" si="111"/>
        <v>27.24.2015</v>
      </c>
    </row>
    <row r="977" spans="1:11" x14ac:dyDescent="0.25">
      <c r="A977" s="4" t="s">
        <v>1003</v>
      </c>
      <c r="B977" t="s">
        <v>9</v>
      </c>
      <c r="C977" t="s">
        <v>6</v>
      </c>
      <c r="D977" s="3">
        <f t="shared" si="105"/>
        <v>14</v>
      </c>
      <c r="E977" s="4">
        <f t="shared" si="106"/>
        <v>26</v>
      </c>
      <c r="F977" s="4">
        <f t="shared" si="107"/>
        <v>22</v>
      </c>
      <c r="G977" s="3">
        <f>IF(E977&gt;=20,2000,1900) + D977</f>
        <v>2014</v>
      </c>
      <c r="H977">
        <f t="shared" si="108"/>
        <v>6</v>
      </c>
      <c r="I977" s="4">
        <f t="shared" si="109"/>
        <v>22</v>
      </c>
      <c r="J977">
        <f t="shared" si="110"/>
        <v>20142622</v>
      </c>
      <c r="K977" t="str">
        <f t="shared" si="111"/>
        <v>22.26.2014</v>
      </c>
    </row>
    <row r="978" spans="1:11" x14ac:dyDescent="0.25">
      <c r="A978" s="4" t="s">
        <v>1004</v>
      </c>
      <c r="B978" t="s">
        <v>12</v>
      </c>
      <c r="C978" t="s">
        <v>4</v>
      </c>
      <c r="D978" s="3">
        <f t="shared" si="105"/>
        <v>1</v>
      </c>
      <c r="E978" s="4">
        <f t="shared" si="106"/>
        <v>21</v>
      </c>
      <c r="F978" s="4">
        <f t="shared" si="107"/>
        <v>29</v>
      </c>
      <c r="G978" s="3">
        <f>IF(E978&gt;=20,2000,1900) + D978</f>
        <v>2001</v>
      </c>
      <c r="H978">
        <f t="shared" si="108"/>
        <v>1</v>
      </c>
      <c r="I978" s="4">
        <f t="shared" si="109"/>
        <v>29</v>
      </c>
      <c r="J978">
        <f t="shared" si="110"/>
        <v>20012129</v>
      </c>
      <c r="K978" t="str">
        <f t="shared" si="111"/>
        <v>29.21.2001</v>
      </c>
    </row>
    <row r="979" spans="1:11" x14ac:dyDescent="0.25">
      <c r="A979" s="4" t="s">
        <v>1005</v>
      </c>
      <c r="B979" t="s">
        <v>5</v>
      </c>
      <c r="C979" t="s">
        <v>4</v>
      </c>
      <c r="D979" s="3">
        <f t="shared" si="105"/>
        <v>21</v>
      </c>
      <c r="E979" s="4">
        <f t="shared" si="106"/>
        <v>21</v>
      </c>
      <c r="F979" s="4">
        <f t="shared" si="107"/>
        <v>2</v>
      </c>
      <c r="G979" s="3">
        <f>IF(E979&gt;=20,2000,1900) + D979</f>
        <v>2021</v>
      </c>
      <c r="H979">
        <f t="shared" si="108"/>
        <v>1</v>
      </c>
      <c r="I979" s="4">
        <f t="shared" si="109"/>
        <v>2</v>
      </c>
      <c r="J979">
        <f t="shared" si="110"/>
        <v>20212102</v>
      </c>
      <c r="K979" t="str">
        <f t="shared" si="111"/>
        <v>02.21.2021</v>
      </c>
    </row>
    <row r="980" spans="1:11" x14ac:dyDescent="0.25">
      <c r="A980" s="4" t="s">
        <v>1006</v>
      </c>
      <c r="B980" t="s">
        <v>18</v>
      </c>
      <c r="C980" t="s">
        <v>4</v>
      </c>
      <c r="D980" s="3">
        <f t="shared" si="105"/>
        <v>16</v>
      </c>
      <c r="E980" s="4">
        <f t="shared" si="106"/>
        <v>28</v>
      </c>
      <c r="F980" s="4">
        <f t="shared" si="107"/>
        <v>24</v>
      </c>
      <c r="G980" s="3">
        <f>IF(E980&gt;=20,2000,1900) + D980</f>
        <v>2016</v>
      </c>
      <c r="H980">
        <f t="shared" si="108"/>
        <v>8</v>
      </c>
      <c r="I980" s="4">
        <f t="shared" si="109"/>
        <v>24</v>
      </c>
      <c r="J980">
        <f t="shared" si="110"/>
        <v>20162824</v>
      </c>
      <c r="K980" t="str">
        <f t="shared" si="111"/>
        <v>24.28.2016</v>
      </c>
    </row>
    <row r="981" spans="1:11" x14ac:dyDescent="0.25">
      <c r="A981" s="4" t="s">
        <v>1007</v>
      </c>
      <c r="B981" t="s">
        <v>14</v>
      </c>
      <c r="C981" t="s">
        <v>6</v>
      </c>
      <c r="D981" s="3">
        <f t="shared" si="105"/>
        <v>2</v>
      </c>
      <c r="E981" s="4">
        <f t="shared" si="106"/>
        <v>24</v>
      </c>
      <c r="F981" s="4">
        <f t="shared" si="107"/>
        <v>12</v>
      </c>
      <c r="G981" s="3">
        <f>IF(E981&gt;=20,2000,1900) + D981</f>
        <v>2002</v>
      </c>
      <c r="H981">
        <f t="shared" si="108"/>
        <v>4</v>
      </c>
      <c r="I981" s="4">
        <f t="shared" si="109"/>
        <v>12</v>
      </c>
      <c r="J981">
        <f t="shared" si="110"/>
        <v>20022412</v>
      </c>
      <c r="K981" t="str">
        <f t="shared" si="111"/>
        <v>12.24.2002</v>
      </c>
    </row>
    <row r="982" spans="1:11" x14ac:dyDescent="0.25">
      <c r="A982" s="4" t="s">
        <v>1008</v>
      </c>
      <c r="B982" t="s">
        <v>20</v>
      </c>
      <c r="C982" t="s">
        <v>4</v>
      </c>
      <c r="D982" s="3">
        <f t="shared" si="105"/>
        <v>6</v>
      </c>
      <c r="E982" s="4">
        <f t="shared" si="106"/>
        <v>31</v>
      </c>
      <c r="F982" s="4">
        <f t="shared" si="107"/>
        <v>5</v>
      </c>
      <c r="G982" s="3">
        <f>IF(E982&gt;=20,2000,1900) + D982</f>
        <v>2006</v>
      </c>
      <c r="H982">
        <f t="shared" si="108"/>
        <v>11</v>
      </c>
      <c r="I982" s="4">
        <f t="shared" si="109"/>
        <v>5</v>
      </c>
      <c r="J982">
        <f t="shared" si="110"/>
        <v>20063105</v>
      </c>
      <c r="K982" t="str">
        <f t="shared" si="111"/>
        <v>05.31.2006</v>
      </c>
    </row>
    <row r="983" spans="1:11" x14ac:dyDescent="0.25">
      <c r="A983" s="4" t="s">
        <v>1009</v>
      </c>
      <c r="B983" t="s">
        <v>19</v>
      </c>
      <c r="C983" t="s">
        <v>6</v>
      </c>
      <c r="D983" s="3">
        <f t="shared" si="105"/>
        <v>18</v>
      </c>
      <c r="E983" s="4">
        <f t="shared" si="106"/>
        <v>21</v>
      </c>
      <c r="F983" s="4">
        <f t="shared" si="107"/>
        <v>9</v>
      </c>
      <c r="G983" s="3">
        <f>IF(E983&gt;=20,2000,1900) + D983</f>
        <v>2018</v>
      </c>
      <c r="H983">
        <f t="shared" si="108"/>
        <v>1</v>
      </c>
      <c r="I983" s="4">
        <f t="shared" si="109"/>
        <v>9</v>
      </c>
      <c r="J983">
        <f t="shared" si="110"/>
        <v>20182109</v>
      </c>
      <c r="K983" t="str">
        <f t="shared" si="111"/>
        <v>09.21.2018</v>
      </c>
    </row>
    <row r="984" spans="1:11" x14ac:dyDescent="0.25">
      <c r="A984" s="4" t="s">
        <v>1010</v>
      </c>
      <c r="B984" t="s">
        <v>9</v>
      </c>
      <c r="C984" t="s">
        <v>4</v>
      </c>
      <c r="D984" s="3">
        <f t="shared" si="105"/>
        <v>21</v>
      </c>
      <c r="E984" s="4">
        <f t="shared" si="106"/>
        <v>24</v>
      </c>
      <c r="F984" s="4">
        <f t="shared" si="107"/>
        <v>30</v>
      </c>
      <c r="G984" s="3">
        <f>IF(E984&gt;=20,2000,1900) + D984</f>
        <v>2021</v>
      </c>
      <c r="H984">
        <f t="shared" si="108"/>
        <v>4</v>
      </c>
      <c r="I984" s="4">
        <f t="shared" si="109"/>
        <v>30</v>
      </c>
      <c r="J984">
        <f t="shared" si="110"/>
        <v>20212430</v>
      </c>
      <c r="K984" t="str">
        <f t="shared" si="111"/>
        <v>30.24.2021</v>
      </c>
    </row>
    <row r="985" spans="1:11" x14ac:dyDescent="0.25">
      <c r="A985" s="4" t="s">
        <v>1011</v>
      </c>
      <c r="B985" t="s">
        <v>13</v>
      </c>
      <c r="C985" t="s">
        <v>6</v>
      </c>
      <c r="D985" s="3">
        <f t="shared" si="105"/>
        <v>0</v>
      </c>
      <c r="E985" s="4">
        <f t="shared" si="106"/>
        <v>25</v>
      </c>
      <c r="F985" s="4">
        <f t="shared" si="107"/>
        <v>12</v>
      </c>
      <c r="G985" s="3">
        <f>IF(E985&gt;=20,2000,1900) + D985</f>
        <v>2000</v>
      </c>
      <c r="H985">
        <f t="shared" si="108"/>
        <v>5</v>
      </c>
      <c r="I985" s="4">
        <f t="shared" si="109"/>
        <v>12</v>
      </c>
      <c r="J985">
        <f t="shared" si="110"/>
        <v>20002512</v>
      </c>
      <c r="K985" t="str">
        <f t="shared" si="111"/>
        <v>12.25.2000</v>
      </c>
    </row>
    <row r="986" spans="1:11" x14ac:dyDescent="0.25">
      <c r="A986" s="4" t="s">
        <v>1012</v>
      </c>
      <c r="B986" t="s">
        <v>10</v>
      </c>
      <c r="C986" t="s">
        <v>6</v>
      </c>
      <c r="D986" s="3">
        <f t="shared" si="105"/>
        <v>0</v>
      </c>
      <c r="E986" s="4">
        <f t="shared" si="106"/>
        <v>27</v>
      </c>
      <c r="F986" s="4">
        <f t="shared" si="107"/>
        <v>4</v>
      </c>
      <c r="G986" s="3">
        <f>IF(E986&gt;=20,2000,1900) + D986</f>
        <v>2000</v>
      </c>
      <c r="H986">
        <f t="shared" si="108"/>
        <v>7</v>
      </c>
      <c r="I986" s="4">
        <f t="shared" si="109"/>
        <v>4</v>
      </c>
      <c r="J986">
        <f t="shared" si="110"/>
        <v>20002704</v>
      </c>
      <c r="K986" t="str">
        <f t="shared" si="111"/>
        <v>04.27.2000</v>
      </c>
    </row>
    <row r="987" spans="1:11" x14ac:dyDescent="0.25">
      <c r="A987" s="4" t="s">
        <v>1013</v>
      </c>
      <c r="B987" t="s">
        <v>11</v>
      </c>
      <c r="C987" t="s">
        <v>4</v>
      </c>
      <c r="D987" s="3">
        <f t="shared" si="105"/>
        <v>6</v>
      </c>
      <c r="E987" s="4">
        <f t="shared" si="106"/>
        <v>21</v>
      </c>
      <c r="F987" s="4">
        <f t="shared" si="107"/>
        <v>13</v>
      </c>
      <c r="G987" s="3">
        <f>IF(E987&gt;=20,2000,1900) + D987</f>
        <v>2006</v>
      </c>
      <c r="H987">
        <f t="shared" si="108"/>
        <v>1</v>
      </c>
      <c r="I987" s="4">
        <f t="shared" si="109"/>
        <v>13</v>
      </c>
      <c r="J987">
        <f t="shared" si="110"/>
        <v>20062113</v>
      </c>
      <c r="K987" t="str">
        <f t="shared" si="111"/>
        <v>13.21.2006</v>
      </c>
    </row>
    <row r="988" spans="1:11" x14ac:dyDescent="0.25">
      <c r="A988" s="4" t="s">
        <v>1014</v>
      </c>
      <c r="B988" t="s">
        <v>18</v>
      </c>
      <c r="C988" t="s">
        <v>6</v>
      </c>
      <c r="D988" s="3">
        <f t="shared" si="105"/>
        <v>17</v>
      </c>
      <c r="E988" s="4">
        <f t="shared" si="106"/>
        <v>21</v>
      </c>
      <c r="F988" s="4">
        <f t="shared" si="107"/>
        <v>22</v>
      </c>
      <c r="G988" s="3">
        <f>IF(E988&gt;=20,2000,1900) + D988</f>
        <v>2017</v>
      </c>
      <c r="H988">
        <f t="shared" si="108"/>
        <v>1</v>
      </c>
      <c r="I988" s="4">
        <f t="shared" si="109"/>
        <v>22</v>
      </c>
      <c r="J988">
        <f t="shared" si="110"/>
        <v>20172122</v>
      </c>
      <c r="K988" t="str">
        <f t="shared" si="111"/>
        <v>22.21.2017</v>
      </c>
    </row>
    <row r="989" spans="1:11" x14ac:dyDescent="0.25">
      <c r="A989" s="4" t="s">
        <v>1015</v>
      </c>
      <c r="B989" t="s">
        <v>7</v>
      </c>
      <c r="C989" t="s">
        <v>6</v>
      </c>
      <c r="D989" s="3">
        <f t="shared" si="105"/>
        <v>11</v>
      </c>
      <c r="E989" s="4">
        <f t="shared" si="106"/>
        <v>24</v>
      </c>
      <c r="F989" s="4">
        <f t="shared" si="107"/>
        <v>15</v>
      </c>
      <c r="G989" s="3">
        <f>IF(E989&gt;=20,2000,1900) + D989</f>
        <v>2011</v>
      </c>
      <c r="H989">
        <f t="shared" si="108"/>
        <v>4</v>
      </c>
      <c r="I989" s="4">
        <f t="shared" si="109"/>
        <v>15</v>
      </c>
      <c r="J989">
        <f t="shared" si="110"/>
        <v>20112415</v>
      </c>
      <c r="K989" t="str">
        <f t="shared" si="111"/>
        <v>15.24.2011</v>
      </c>
    </row>
    <row r="990" spans="1:11" x14ac:dyDescent="0.25">
      <c r="A990" s="4" t="s">
        <v>1016</v>
      </c>
      <c r="B990" t="s">
        <v>12</v>
      </c>
      <c r="C990" t="s">
        <v>4</v>
      </c>
      <c r="D990" s="3">
        <f t="shared" si="105"/>
        <v>18</v>
      </c>
      <c r="E990" s="4">
        <f t="shared" si="106"/>
        <v>22</v>
      </c>
      <c r="F990" s="4">
        <f t="shared" si="107"/>
        <v>22</v>
      </c>
      <c r="G990" s="3">
        <f>IF(E990&gt;=20,2000,1900) + D990</f>
        <v>2018</v>
      </c>
      <c r="H990">
        <f t="shared" si="108"/>
        <v>2</v>
      </c>
      <c r="I990" s="4">
        <f t="shared" si="109"/>
        <v>22</v>
      </c>
      <c r="J990">
        <f t="shared" si="110"/>
        <v>20182222</v>
      </c>
      <c r="K990" t="str">
        <f t="shared" si="111"/>
        <v>22.22.2018</v>
      </c>
    </row>
    <row r="991" spans="1:11" x14ac:dyDescent="0.25">
      <c r="A991" s="4" t="s">
        <v>1017</v>
      </c>
      <c r="B991" t="s">
        <v>10</v>
      </c>
      <c r="C991" t="s">
        <v>4</v>
      </c>
      <c r="D991" s="3">
        <f t="shared" si="105"/>
        <v>4</v>
      </c>
      <c r="E991" s="4">
        <f t="shared" si="106"/>
        <v>31</v>
      </c>
      <c r="F991" s="4">
        <f t="shared" si="107"/>
        <v>19</v>
      </c>
      <c r="G991" s="3">
        <f>IF(E991&gt;=20,2000,1900) + D991</f>
        <v>2004</v>
      </c>
      <c r="H991">
        <f t="shared" si="108"/>
        <v>11</v>
      </c>
      <c r="I991" s="4">
        <f t="shared" si="109"/>
        <v>19</v>
      </c>
      <c r="J991">
        <f t="shared" si="110"/>
        <v>20043119</v>
      </c>
      <c r="K991" t="str">
        <f t="shared" si="111"/>
        <v>19.31.2004</v>
      </c>
    </row>
    <row r="992" spans="1:11" x14ac:dyDescent="0.25">
      <c r="A992" s="4" t="s">
        <v>1018</v>
      </c>
      <c r="B992" t="s">
        <v>3</v>
      </c>
      <c r="C992" t="s">
        <v>6</v>
      </c>
      <c r="D992" s="3">
        <f t="shared" si="105"/>
        <v>6</v>
      </c>
      <c r="E992" s="4">
        <f t="shared" si="106"/>
        <v>26</v>
      </c>
      <c r="F992" s="4">
        <f t="shared" si="107"/>
        <v>1</v>
      </c>
      <c r="G992" s="3">
        <f>IF(E992&gt;=20,2000,1900) + D992</f>
        <v>2006</v>
      </c>
      <c r="H992">
        <f t="shared" si="108"/>
        <v>6</v>
      </c>
      <c r="I992" s="4">
        <f t="shared" si="109"/>
        <v>1</v>
      </c>
      <c r="J992">
        <f t="shared" si="110"/>
        <v>20062601</v>
      </c>
      <c r="K992" t="str">
        <f t="shared" si="111"/>
        <v>01.26.2006</v>
      </c>
    </row>
    <row r="993" spans="1:11" x14ac:dyDescent="0.25">
      <c r="A993" s="4" t="s">
        <v>1019</v>
      </c>
      <c r="B993" t="s">
        <v>13</v>
      </c>
      <c r="C993" t="s">
        <v>6</v>
      </c>
      <c r="D993" s="3">
        <f t="shared" si="105"/>
        <v>6</v>
      </c>
      <c r="E993" s="4">
        <f t="shared" si="106"/>
        <v>22</v>
      </c>
      <c r="F993" s="4">
        <f t="shared" si="107"/>
        <v>4</v>
      </c>
      <c r="G993" s="3">
        <f>IF(E993&gt;=20,2000,1900) + D993</f>
        <v>2006</v>
      </c>
      <c r="H993">
        <f t="shared" si="108"/>
        <v>2</v>
      </c>
      <c r="I993" s="4">
        <f t="shared" si="109"/>
        <v>4</v>
      </c>
      <c r="J993">
        <f t="shared" si="110"/>
        <v>20062204</v>
      </c>
      <c r="K993" t="str">
        <f t="shared" si="111"/>
        <v>04.22.2006</v>
      </c>
    </row>
    <row r="994" spans="1:11" x14ac:dyDescent="0.25">
      <c r="A994" s="4" t="s">
        <v>1020</v>
      </c>
      <c r="B994" t="s">
        <v>11</v>
      </c>
      <c r="C994" t="s">
        <v>4</v>
      </c>
      <c r="D994" s="3">
        <f t="shared" si="105"/>
        <v>22</v>
      </c>
      <c r="E994" s="4">
        <f t="shared" si="106"/>
        <v>26</v>
      </c>
      <c r="F994" s="4">
        <f t="shared" si="107"/>
        <v>12</v>
      </c>
      <c r="G994" s="3">
        <f>IF(E994&gt;=20,2000,1900) + D994</f>
        <v>2022</v>
      </c>
      <c r="H994">
        <f t="shared" si="108"/>
        <v>6</v>
      </c>
      <c r="I994" s="4">
        <f t="shared" si="109"/>
        <v>12</v>
      </c>
      <c r="J994">
        <f t="shared" si="110"/>
        <v>20222612</v>
      </c>
      <c r="K994" t="str">
        <f t="shared" si="111"/>
        <v>12.26.2022</v>
      </c>
    </row>
    <row r="995" spans="1:11" x14ac:dyDescent="0.25">
      <c r="A995" s="4" t="s">
        <v>1021</v>
      </c>
      <c r="B995" t="s">
        <v>13</v>
      </c>
      <c r="C995" t="s">
        <v>6</v>
      </c>
      <c r="D995" s="3">
        <f t="shared" si="105"/>
        <v>19</v>
      </c>
      <c r="E995" s="4">
        <f t="shared" si="106"/>
        <v>29</v>
      </c>
      <c r="F995" s="4">
        <f t="shared" si="107"/>
        <v>15</v>
      </c>
      <c r="G995" s="3">
        <f>IF(E995&gt;=20,2000,1900) + D995</f>
        <v>2019</v>
      </c>
      <c r="H995">
        <f t="shared" si="108"/>
        <v>9</v>
      </c>
      <c r="I995" s="4">
        <f t="shared" si="109"/>
        <v>15</v>
      </c>
      <c r="J995">
        <f t="shared" si="110"/>
        <v>20192915</v>
      </c>
      <c r="K995" t="str">
        <f t="shared" si="111"/>
        <v>15.29.2019</v>
      </c>
    </row>
    <row r="996" spans="1:11" x14ac:dyDescent="0.25">
      <c r="A996" s="4" t="s">
        <v>1022</v>
      </c>
      <c r="B996" t="s">
        <v>5</v>
      </c>
      <c r="C996" t="s">
        <v>4</v>
      </c>
      <c r="D996" s="3">
        <f t="shared" si="105"/>
        <v>1</v>
      </c>
      <c r="E996" s="4">
        <f t="shared" si="106"/>
        <v>31</v>
      </c>
      <c r="F996" s="4">
        <f t="shared" si="107"/>
        <v>3</v>
      </c>
      <c r="G996" s="3">
        <f>IF(E996&gt;=20,2000,1900) + D996</f>
        <v>2001</v>
      </c>
      <c r="H996">
        <f t="shared" si="108"/>
        <v>11</v>
      </c>
      <c r="I996" s="4">
        <f t="shared" si="109"/>
        <v>3</v>
      </c>
      <c r="J996">
        <f t="shared" si="110"/>
        <v>20013103</v>
      </c>
      <c r="K996" t="str">
        <f t="shared" si="111"/>
        <v>03.31.2001</v>
      </c>
    </row>
    <row r="997" spans="1:11" x14ac:dyDescent="0.25">
      <c r="A997" s="4" t="s">
        <v>1023</v>
      </c>
      <c r="B997" t="s">
        <v>15</v>
      </c>
      <c r="C997" t="s">
        <v>6</v>
      </c>
      <c r="D997" s="3">
        <f t="shared" si="105"/>
        <v>16</v>
      </c>
      <c r="E997" s="4">
        <f t="shared" si="106"/>
        <v>23</v>
      </c>
      <c r="F997" s="4">
        <f t="shared" si="107"/>
        <v>24</v>
      </c>
      <c r="G997" s="3">
        <f>IF(E997&gt;=20,2000,1900) + D997</f>
        <v>2016</v>
      </c>
      <c r="H997">
        <f t="shared" si="108"/>
        <v>3</v>
      </c>
      <c r="I997" s="4">
        <f t="shared" si="109"/>
        <v>24</v>
      </c>
      <c r="J997">
        <f t="shared" si="110"/>
        <v>20162324</v>
      </c>
      <c r="K997" t="str">
        <f t="shared" si="111"/>
        <v>24.23.2016</v>
      </c>
    </row>
    <row r="998" spans="1:11" x14ac:dyDescent="0.25">
      <c r="A998" s="4" t="s">
        <v>1024</v>
      </c>
      <c r="B998" t="s">
        <v>19</v>
      </c>
      <c r="C998" t="s">
        <v>6</v>
      </c>
      <c r="D998" s="3">
        <f t="shared" si="105"/>
        <v>2</v>
      </c>
      <c r="E998" s="4">
        <f t="shared" si="106"/>
        <v>24</v>
      </c>
      <c r="F998" s="4">
        <f t="shared" si="107"/>
        <v>7</v>
      </c>
      <c r="G998" s="3">
        <f>IF(E998&gt;=20,2000,1900) + D998</f>
        <v>2002</v>
      </c>
      <c r="H998">
        <f t="shared" si="108"/>
        <v>4</v>
      </c>
      <c r="I998" s="4">
        <f t="shared" si="109"/>
        <v>7</v>
      </c>
      <c r="J998">
        <f t="shared" si="110"/>
        <v>20022407</v>
      </c>
      <c r="K998" t="str">
        <f t="shared" si="111"/>
        <v>07.24.2002</v>
      </c>
    </row>
    <row r="999" spans="1:11" x14ac:dyDescent="0.25">
      <c r="A999" s="4" t="s">
        <v>1025</v>
      </c>
      <c r="B999" t="s">
        <v>7</v>
      </c>
      <c r="C999" t="s">
        <v>4</v>
      </c>
      <c r="D999" s="3">
        <f t="shared" si="105"/>
        <v>6</v>
      </c>
      <c r="E999" s="4">
        <f t="shared" si="106"/>
        <v>27</v>
      </c>
      <c r="F999" s="4">
        <f t="shared" si="107"/>
        <v>4</v>
      </c>
      <c r="G999" s="3">
        <f>IF(E999&gt;=20,2000,1900) + D999</f>
        <v>2006</v>
      </c>
      <c r="H999">
        <f t="shared" si="108"/>
        <v>7</v>
      </c>
      <c r="I999" s="4">
        <f t="shared" si="109"/>
        <v>4</v>
      </c>
      <c r="J999">
        <f t="shared" si="110"/>
        <v>20062704</v>
      </c>
      <c r="K999" t="str">
        <f t="shared" si="111"/>
        <v>04.27.2006</v>
      </c>
    </row>
    <row r="1000" spans="1:11" x14ac:dyDescent="0.25">
      <c r="A1000" s="4" t="s">
        <v>1026</v>
      </c>
      <c r="B1000" t="s">
        <v>8</v>
      </c>
      <c r="C1000" t="s">
        <v>4</v>
      </c>
      <c r="D1000" s="3">
        <f t="shared" si="105"/>
        <v>4</v>
      </c>
      <c r="E1000" s="4">
        <f t="shared" si="106"/>
        <v>24</v>
      </c>
      <c r="F1000" s="4">
        <f t="shared" si="107"/>
        <v>18</v>
      </c>
      <c r="G1000" s="3">
        <f>IF(E1000&gt;=20,2000,1900) + D1000</f>
        <v>2004</v>
      </c>
      <c r="H1000">
        <f t="shared" si="108"/>
        <v>4</v>
      </c>
      <c r="I1000" s="4">
        <f t="shared" si="109"/>
        <v>18</v>
      </c>
      <c r="J1000">
        <f t="shared" si="110"/>
        <v>20042418</v>
      </c>
      <c r="K1000" t="str">
        <f t="shared" si="111"/>
        <v>18.24.2004</v>
      </c>
    </row>
    <row r="1001" spans="1:11" x14ac:dyDescent="0.25">
      <c r="A1001" s="4" t="s">
        <v>1027</v>
      </c>
      <c r="B1001" t="s">
        <v>14</v>
      </c>
      <c r="C1001" t="s">
        <v>6</v>
      </c>
      <c r="D1001" s="3">
        <f t="shared" si="105"/>
        <v>17</v>
      </c>
      <c r="E1001" s="4">
        <f t="shared" si="106"/>
        <v>32</v>
      </c>
      <c r="F1001" s="4">
        <f t="shared" si="107"/>
        <v>4</v>
      </c>
      <c r="G1001" s="3">
        <f>IF(E1001&gt;=20,2000,1900) + D1001</f>
        <v>2017</v>
      </c>
      <c r="H1001">
        <f t="shared" si="108"/>
        <v>12</v>
      </c>
      <c r="I1001" s="4">
        <f t="shared" si="109"/>
        <v>4</v>
      </c>
      <c r="J1001">
        <f t="shared" si="110"/>
        <v>20173204</v>
      </c>
      <c r="K1001" t="str">
        <f t="shared" si="111"/>
        <v>04.32.2017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tabSelected="1" workbookViewId="0">
      <selection activeCell="G5" sqref="G5"/>
    </sheetView>
  </sheetViews>
  <sheetFormatPr defaultRowHeight="15" x14ac:dyDescent="0.25"/>
  <cols>
    <col min="1" max="1" width="20.7109375" bestFit="1" customWidth="1"/>
    <col min="2" max="2" width="14.5703125" bestFit="1" customWidth="1"/>
  </cols>
  <sheetData>
    <row r="3" spans="1:2" x14ac:dyDescent="0.25">
      <c r="A3" s="1" t="s">
        <v>1036</v>
      </c>
      <c r="B3" t="s">
        <v>1060</v>
      </c>
    </row>
    <row r="4" spans="1:2" x14ac:dyDescent="0.25">
      <c r="A4" s="2" t="s">
        <v>8</v>
      </c>
      <c r="B4" s="7">
        <v>35.632653061224488</v>
      </c>
    </row>
    <row r="5" spans="1:2" x14ac:dyDescent="0.25">
      <c r="A5" s="2" t="s">
        <v>9</v>
      </c>
      <c r="B5" s="7">
        <v>35.369230769230768</v>
      </c>
    </row>
    <row r="6" spans="1:2" x14ac:dyDescent="0.25">
      <c r="A6" s="2" t="s">
        <v>17</v>
      </c>
      <c r="B6" s="7">
        <v>35.338028169014088</v>
      </c>
    </row>
    <row r="7" spans="1:2" x14ac:dyDescent="0.25">
      <c r="A7" s="2" t="s">
        <v>19</v>
      </c>
      <c r="B7" s="7">
        <v>34.493150684931507</v>
      </c>
    </row>
    <row r="8" spans="1:2" x14ac:dyDescent="0.25">
      <c r="A8" s="2" t="s">
        <v>7</v>
      </c>
      <c r="B8" s="7">
        <v>34.225806451612904</v>
      </c>
    </row>
    <row r="9" spans="1:2" x14ac:dyDescent="0.25">
      <c r="A9" s="2" t="s">
        <v>10</v>
      </c>
      <c r="B9" s="7">
        <v>34.216666666666669</v>
      </c>
    </row>
    <row r="10" spans="1:2" x14ac:dyDescent="0.25">
      <c r="A10" s="2" t="s">
        <v>15</v>
      </c>
      <c r="B10" s="7">
        <v>34.050847457627121</v>
      </c>
    </row>
    <row r="11" spans="1:2" x14ac:dyDescent="0.25">
      <c r="A11" s="2" t="s">
        <v>14</v>
      </c>
      <c r="B11" s="7">
        <v>33.823529411764703</v>
      </c>
    </row>
    <row r="12" spans="1:2" x14ac:dyDescent="0.25">
      <c r="A12" s="2" t="s">
        <v>20</v>
      </c>
      <c r="B12" s="7">
        <v>32.796610169491522</v>
      </c>
    </row>
    <row r="13" spans="1:2" x14ac:dyDescent="0.25">
      <c r="A13" s="2" t="s">
        <v>18</v>
      </c>
      <c r="B13" s="7">
        <v>32.641509433962263</v>
      </c>
    </row>
    <row r="14" spans="1:2" x14ac:dyDescent="0.25">
      <c r="A14" s="2" t="s">
        <v>12</v>
      </c>
      <c r="B14" s="7">
        <v>32.472727272727276</v>
      </c>
    </row>
    <row r="15" spans="1:2" x14ac:dyDescent="0.25">
      <c r="A15" s="2" t="s">
        <v>11</v>
      </c>
      <c r="B15" s="7">
        <v>32.353846153846156</v>
      </c>
    </row>
    <row r="16" spans="1:2" x14ac:dyDescent="0.25">
      <c r="A16" s="2" t="s">
        <v>16</v>
      </c>
      <c r="B16" s="7">
        <v>32.149253731343286</v>
      </c>
    </row>
    <row r="17" spans="1:2" x14ac:dyDescent="0.25">
      <c r="A17" s="2" t="s">
        <v>13</v>
      </c>
      <c r="B17" s="7">
        <v>32.044776119402982</v>
      </c>
    </row>
    <row r="18" spans="1:2" x14ac:dyDescent="0.25">
      <c r="A18" s="2" t="s">
        <v>5</v>
      </c>
      <c r="B18" s="7">
        <v>30.71641791044776</v>
      </c>
    </row>
    <row r="19" spans="1:2" x14ac:dyDescent="0.25">
      <c r="A19" s="2" t="s">
        <v>3</v>
      </c>
      <c r="B19" s="7">
        <v>25.7</v>
      </c>
    </row>
    <row r="20" spans="1:2" x14ac:dyDescent="0.25">
      <c r="A20" s="2" t="s">
        <v>1035</v>
      </c>
      <c r="B20" s="3"/>
    </row>
    <row r="21" spans="1:2" x14ac:dyDescent="0.25">
      <c r="A21" s="2" t="s">
        <v>22</v>
      </c>
      <c r="B21" s="3">
        <v>33.011000000000003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activeCell="M1" sqref="A1:M1048576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  <col min="4" max="6" width="9.140625" style="3"/>
    <col min="7" max="7" width="16.7109375" style="3" customWidth="1"/>
    <col min="10" max="10" width="12.7109375" bestFit="1" customWidth="1"/>
    <col min="11" max="11" width="12.85546875" customWidth="1"/>
    <col min="12" max="12" width="10.140625" style="10" customWidth="1"/>
    <col min="13" max="13" width="10.140625" style="8" bestFit="1" customWidth="1"/>
  </cols>
  <sheetData>
    <row r="1" spans="1:13" x14ac:dyDescent="0.25">
      <c r="A1" s="4" t="s">
        <v>0</v>
      </c>
      <c r="B1" t="s">
        <v>1</v>
      </c>
      <c r="C1" t="s">
        <v>2</v>
      </c>
      <c r="D1" s="3" t="s">
        <v>27</v>
      </c>
      <c r="E1" s="3" t="s">
        <v>1028</v>
      </c>
      <c r="F1" s="3" t="s">
        <v>1029</v>
      </c>
      <c r="G1" s="3" t="s">
        <v>27</v>
      </c>
      <c r="H1" s="3" t="s">
        <v>1028</v>
      </c>
      <c r="I1" s="3" t="s">
        <v>1029</v>
      </c>
      <c r="J1" s="3" t="s">
        <v>1030</v>
      </c>
      <c r="K1" s="3" t="s">
        <v>1041</v>
      </c>
      <c r="L1" s="10" t="s">
        <v>1058</v>
      </c>
      <c r="M1" s="8" t="s">
        <v>1059</v>
      </c>
    </row>
    <row r="2" spans="1:13" x14ac:dyDescent="0.25">
      <c r="A2" s="4" t="s">
        <v>28</v>
      </c>
      <c r="B2" t="s">
        <v>3</v>
      </c>
      <c r="C2" t="s">
        <v>4</v>
      </c>
      <c r="D2" s="3">
        <f>MID(A2,1,2)*1</f>
        <v>93</v>
      </c>
      <c r="E2" s="4">
        <f>MID(A2,3,2)*1</f>
        <v>7</v>
      </c>
      <c r="F2" s="4">
        <f>MID(A2,5,2)*1</f>
        <v>12</v>
      </c>
      <c r="G2" s="3">
        <f>IF(E2&gt;=20,2000,1900) + D2</f>
        <v>1993</v>
      </c>
      <c r="H2">
        <f>IF(E2&gt;=20,E2-20,E2)</f>
        <v>7</v>
      </c>
      <c r="I2" s="4">
        <f>F2</f>
        <v>12</v>
      </c>
      <c r="J2">
        <f>CONCATENATE(G2,IF(LEN(H2)=1,CONCATENATE("0",H2),H2),IF(LEN(F2)=1,CONCATENATE("0",F2),F2))*1</f>
        <v>19930712</v>
      </c>
      <c r="K2" t="str">
        <f>CONCATENATE(RIGHT(J2,2),".",MID(J2,5,2),".",LEFT(J2,4))</f>
        <v>12.07.1993</v>
      </c>
      <c r="L2" s="10">
        <f>44937-K2</f>
        <v>10775</v>
      </c>
      <c r="M2" s="8">
        <f>YEAR(L2)-1900</f>
        <v>29</v>
      </c>
    </row>
    <row r="3" spans="1:13" x14ac:dyDescent="0.25">
      <c r="A3" s="4" t="s">
        <v>29</v>
      </c>
      <c r="B3" t="s">
        <v>5</v>
      </c>
      <c r="C3" t="s">
        <v>6</v>
      </c>
      <c r="D3" s="3">
        <f t="shared" ref="D3:D66" si="0">MID(A3,1,2)*1</f>
        <v>71</v>
      </c>
      <c r="E3" s="4">
        <f t="shared" ref="E3:E66" si="1">MID(A3,3,2)*1</f>
        <v>10</v>
      </c>
      <c r="F3" s="4">
        <f t="shared" ref="F3:F66" si="2">MID(A3,5,2)*1</f>
        <v>1</v>
      </c>
      <c r="G3" s="3">
        <f>IF(E3&gt;=20,2000,1900) + D3</f>
        <v>1971</v>
      </c>
      <c r="H3">
        <f t="shared" ref="H3:H66" si="3">IF(E3&gt;=20,E3-20,E3)</f>
        <v>10</v>
      </c>
      <c r="I3" s="4">
        <f t="shared" ref="I3:I66" si="4">F3</f>
        <v>1</v>
      </c>
      <c r="J3">
        <f t="shared" ref="J3:J66" si="5">CONCATENATE(G3,IF(LEN(H3)=1,CONCATENATE("0",H3),H3),IF(LEN(F3)=1,CONCATENATE("0",F3),F3))*1</f>
        <v>19711001</v>
      </c>
      <c r="K3" t="str">
        <f t="shared" ref="K3:K66" si="6">CONCATENATE(RIGHT(J3,2),".",MID(J3,5,2),".",LEFT(J3,4))</f>
        <v>01.10.1971</v>
      </c>
      <c r="L3" s="10">
        <f t="shared" ref="L3:L66" si="7">44937-K3</f>
        <v>18730</v>
      </c>
      <c r="M3" s="8">
        <f t="shared" ref="M3:M66" si="8">YEAR(L3)-1900</f>
        <v>51</v>
      </c>
    </row>
    <row r="4" spans="1:13" x14ac:dyDescent="0.25">
      <c r="A4" s="4" t="s">
        <v>30</v>
      </c>
      <c r="B4" t="s">
        <v>7</v>
      </c>
      <c r="C4" t="s">
        <v>6</v>
      </c>
      <c r="D4" s="3">
        <f t="shared" si="0"/>
        <v>81</v>
      </c>
      <c r="E4" s="4">
        <f t="shared" si="1"/>
        <v>4</v>
      </c>
      <c r="F4" s="4">
        <f t="shared" si="2"/>
        <v>23</v>
      </c>
      <c r="G4" s="3">
        <f>IF(E4&gt;=20,2000,1900) + D4</f>
        <v>1981</v>
      </c>
      <c r="H4">
        <f t="shared" si="3"/>
        <v>4</v>
      </c>
      <c r="I4" s="4">
        <f t="shared" si="4"/>
        <v>23</v>
      </c>
      <c r="J4">
        <f t="shared" si="5"/>
        <v>19810423</v>
      </c>
      <c r="K4" t="str">
        <f t="shared" si="6"/>
        <v>23.04.1981</v>
      </c>
      <c r="L4" s="10">
        <f t="shared" si="7"/>
        <v>15238</v>
      </c>
      <c r="M4" s="8">
        <f t="shared" si="8"/>
        <v>41</v>
      </c>
    </row>
    <row r="5" spans="1:13" x14ac:dyDescent="0.25">
      <c r="A5" s="4" t="s">
        <v>31</v>
      </c>
      <c r="B5" t="s">
        <v>8</v>
      </c>
      <c r="C5" t="s">
        <v>4</v>
      </c>
      <c r="D5" s="3">
        <f t="shared" si="0"/>
        <v>72</v>
      </c>
      <c r="E5" s="4">
        <f t="shared" si="1"/>
        <v>8</v>
      </c>
      <c r="F5" s="4">
        <f t="shared" si="2"/>
        <v>31</v>
      </c>
      <c r="G5" s="3">
        <f>IF(E5&gt;=20,2000,1900) + D5</f>
        <v>1972</v>
      </c>
      <c r="H5">
        <f t="shared" si="3"/>
        <v>8</v>
      </c>
      <c r="I5" s="4">
        <f t="shared" si="4"/>
        <v>31</v>
      </c>
      <c r="J5">
        <f t="shared" si="5"/>
        <v>19720831</v>
      </c>
      <c r="K5" t="str">
        <f t="shared" si="6"/>
        <v>31.08.1972</v>
      </c>
      <c r="L5" s="10">
        <f t="shared" si="7"/>
        <v>18395</v>
      </c>
      <c r="M5" s="8">
        <f t="shared" si="8"/>
        <v>50</v>
      </c>
    </row>
    <row r="6" spans="1:13" x14ac:dyDescent="0.25">
      <c r="A6" s="4" t="s">
        <v>32</v>
      </c>
      <c r="B6" t="s">
        <v>9</v>
      </c>
      <c r="C6" t="s">
        <v>6</v>
      </c>
      <c r="D6" s="3">
        <f t="shared" si="0"/>
        <v>50</v>
      </c>
      <c r="E6" s="4">
        <f t="shared" si="1"/>
        <v>7</v>
      </c>
      <c r="F6" s="4">
        <f t="shared" si="2"/>
        <v>28</v>
      </c>
      <c r="G6" s="3">
        <f>IF(E6&gt;=20,2000,1900) + D6</f>
        <v>1950</v>
      </c>
      <c r="H6">
        <f t="shared" si="3"/>
        <v>7</v>
      </c>
      <c r="I6" s="4">
        <f t="shared" si="4"/>
        <v>28</v>
      </c>
      <c r="J6">
        <f t="shared" si="5"/>
        <v>19500728</v>
      </c>
      <c r="K6" t="str">
        <f t="shared" si="6"/>
        <v>28.07.1950</v>
      </c>
      <c r="L6" s="10">
        <f t="shared" si="7"/>
        <v>26465</v>
      </c>
      <c r="M6" s="8">
        <f t="shared" si="8"/>
        <v>72</v>
      </c>
    </row>
    <row r="7" spans="1:13" x14ac:dyDescent="0.25">
      <c r="A7" s="4" t="s">
        <v>33</v>
      </c>
      <c r="B7" t="s">
        <v>10</v>
      </c>
      <c r="C7" t="s">
        <v>6</v>
      </c>
      <c r="D7" s="3">
        <f t="shared" si="0"/>
        <v>93</v>
      </c>
      <c r="E7" s="4">
        <f t="shared" si="1"/>
        <v>5</v>
      </c>
      <c r="F7" s="4">
        <f t="shared" si="2"/>
        <v>7</v>
      </c>
      <c r="G7" s="3">
        <f>IF(E7&gt;=20,2000,1900) + D7</f>
        <v>1993</v>
      </c>
      <c r="H7">
        <f t="shared" si="3"/>
        <v>5</v>
      </c>
      <c r="I7" s="4">
        <f t="shared" si="4"/>
        <v>7</v>
      </c>
      <c r="J7">
        <f t="shared" si="5"/>
        <v>19930507</v>
      </c>
      <c r="K7" t="str">
        <f t="shared" si="6"/>
        <v>07.05.1993</v>
      </c>
      <c r="L7" s="10">
        <f t="shared" si="7"/>
        <v>10841</v>
      </c>
      <c r="M7" s="8">
        <f t="shared" si="8"/>
        <v>29</v>
      </c>
    </row>
    <row r="8" spans="1:13" x14ac:dyDescent="0.25">
      <c r="A8" s="4" t="s">
        <v>34</v>
      </c>
      <c r="B8" t="s">
        <v>9</v>
      </c>
      <c r="C8" t="s">
        <v>6</v>
      </c>
      <c r="D8" s="3">
        <f t="shared" si="0"/>
        <v>72</v>
      </c>
      <c r="E8" s="4">
        <f t="shared" si="1"/>
        <v>8</v>
      </c>
      <c r="F8" s="4">
        <f t="shared" si="2"/>
        <v>14</v>
      </c>
      <c r="G8" s="3">
        <f>IF(E8&gt;=20,2000,1900) + D8</f>
        <v>1972</v>
      </c>
      <c r="H8">
        <f t="shared" si="3"/>
        <v>8</v>
      </c>
      <c r="I8" s="4">
        <f t="shared" si="4"/>
        <v>14</v>
      </c>
      <c r="J8">
        <f t="shared" si="5"/>
        <v>19720814</v>
      </c>
      <c r="K8" t="str">
        <f t="shared" si="6"/>
        <v>14.08.1972</v>
      </c>
      <c r="L8" s="10">
        <f t="shared" si="7"/>
        <v>18412</v>
      </c>
      <c r="M8" s="8">
        <f t="shared" si="8"/>
        <v>50</v>
      </c>
    </row>
    <row r="9" spans="1:13" x14ac:dyDescent="0.25">
      <c r="A9" s="4" t="s">
        <v>35</v>
      </c>
      <c r="B9" t="s">
        <v>8</v>
      </c>
      <c r="C9" t="s">
        <v>6</v>
      </c>
      <c r="D9" s="3">
        <f t="shared" si="0"/>
        <v>95</v>
      </c>
      <c r="E9" s="4">
        <f t="shared" si="1"/>
        <v>9</v>
      </c>
      <c r="F9" s="4">
        <f t="shared" si="2"/>
        <v>8</v>
      </c>
      <c r="G9" s="3">
        <f>IF(E9&gt;=20,2000,1900) + D9</f>
        <v>1995</v>
      </c>
      <c r="H9">
        <f t="shared" si="3"/>
        <v>9</v>
      </c>
      <c r="I9" s="4">
        <f t="shared" si="4"/>
        <v>8</v>
      </c>
      <c r="J9">
        <f t="shared" si="5"/>
        <v>19950908</v>
      </c>
      <c r="K9" t="str">
        <f t="shared" si="6"/>
        <v>08.09.1995</v>
      </c>
      <c r="L9" s="10">
        <f t="shared" si="7"/>
        <v>9987</v>
      </c>
      <c r="M9" s="8">
        <f t="shared" si="8"/>
        <v>27</v>
      </c>
    </row>
    <row r="10" spans="1:13" x14ac:dyDescent="0.25">
      <c r="A10" s="4" t="s">
        <v>36</v>
      </c>
      <c r="B10" t="s">
        <v>3</v>
      </c>
      <c r="C10" t="s">
        <v>4</v>
      </c>
      <c r="D10" s="3">
        <f t="shared" si="0"/>
        <v>61</v>
      </c>
      <c r="E10" s="4">
        <f t="shared" si="1"/>
        <v>12</v>
      </c>
      <c r="F10" s="4">
        <f t="shared" si="2"/>
        <v>10</v>
      </c>
      <c r="G10" s="3">
        <f>IF(E10&gt;=20,2000,1900) + D10</f>
        <v>1961</v>
      </c>
      <c r="H10">
        <f t="shared" si="3"/>
        <v>12</v>
      </c>
      <c r="I10" s="4">
        <f t="shared" si="4"/>
        <v>10</v>
      </c>
      <c r="J10">
        <f t="shared" si="5"/>
        <v>19611210</v>
      </c>
      <c r="K10" t="str">
        <f t="shared" si="6"/>
        <v>10.12.1961</v>
      </c>
      <c r="L10" s="10">
        <f t="shared" si="7"/>
        <v>22312</v>
      </c>
      <c r="M10" s="8">
        <f t="shared" si="8"/>
        <v>61</v>
      </c>
    </row>
    <row r="11" spans="1:13" x14ac:dyDescent="0.25">
      <c r="A11" s="4" t="s">
        <v>37</v>
      </c>
      <c r="B11" t="s">
        <v>10</v>
      </c>
      <c r="C11" t="s">
        <v>6</v>
      </c>
      <c r="D11" s="3">
        <f t="shared" si="0"/>
        <v>81</v>
      </c>
      <c r="E11" s="4">
        <f t="shared" si="1"/>
        <v>5</v>
      </c>
      <c r="F11" s="4">
        <f t="shared" si="2"/>
        <v>17</v>
      </c>
      <c r="G11" s="3">
        <f>IF(E11&gt;=20,2000,1900) + D11</f>
        <v>1981</v>
      </c>
      <c r="H11">
        <f t="shared" si="3"/>
        <v>5</v>
      </c>
      <c r="I11" s="4">
        <f t="shared" si="4"/>
        <v>17</v>
      </c>
      <c r="J11">
        <f t="shared" si="5"/>
        <v>19810517</v>
      </c>
      <c r="K11" t="str">
        <f t="shared" si="6"/>
        <v>17.05.1981</v>
      </c>
      <c r="L11" s="10">
        <f t="shared" si="7"/>
        <v>15214</v>
      </c>
      <c r="M11" s="8">
        <f t="shared" si="8"/>
        <v>41</v>
      </c>
    </row>
    <row r="12" spans="1:13" x14ac:dyDescent="0.25">
      <c r="A12" s="4" t="s">
        <v>38</v>
      </c>
      <c r="B12" t="s">
        <v>5</v>
      </c>
      <c r="C12" t="s">
        <v>6</v>
      </c>
      <c r="D12" s="3">
        <f t="shared" si="0"/>
        <v>95</v>
      </c>
      <c r="E12" s="4">
        <f t="shared" si="1"/>
        <v>6</v>
      </c>
      <c r="F12" s="4">
        <f t="shared" si="2"/>
        <v>17</v>
      </c>
      <c r="G12" s="3">
        <f>IF(E12&gt;=20,2000,1900) + D12</f>
        <v>1995</v>
      </c>
      <c r="H12">
        <f t="shared" si="3"/>
        <v>6</v>
      </c>
      <c r="I12" s="4">
        <f t="shared" si="4"/>
        <v>17</v>
      </c>
      <c r="J12">
        <f t="shared" si="5"/>
        <v>19950617</v>
      </c>
      <c r="K12" t="str">
        <f t="shared" si="6"/>
        <v>17.06.1995</v>
      </c>
      <c r="L12" s="10">
        <f t="shared" si="7"/>
        <v>10070</v>
      </c>
      <c r="M12" s="8">
        <f t="shared" si="8"/>
        <v>27</v>
      </c>
    </row>
    <row r="13" spans="1:13" x14ac:dyDescent="0.25">
      <c r="A13" s="4" t="s">
        <v>39</v>
      </c>
      <c r="B13" t="s">
        <v>11</v>
      </c>
      <c r="C13" t="s">
        <v>6</v>
      </c>
      <c r="D13" s="3">
        <f t="shared" si="0"/>
        <v>50</v>
      </c>
      <c r="E13" s="4">
        <f t="shared" si="1"/>
        <v>8</v>
      </c>
      <c r="F13" s="4">
        <f t="shared" si="2"/>
        <v>8</v>
      </c>
      <c r="G13" s="3">
        <f>IF(E13&gt;=20,2000,1900) + D13</f>
        <v>1950</v>
      </c>
      <c r="H13">
        <f t="shared" si="3"/>
        <v>8</v>
      </c>
      <c r="I13" s="4">
        <f t="shared" si="4"/>
        <v>8</v>
      </c>
      <c r="J13">
        <f t="shared" si="5"/>
        <v>19500808</v>
      </c>
      <c r="K13" t="str">
        <f t="shared" si="6"/>
        <v>08.08.1950</v>
      </c>
      <c r="L13" s="10">
        <f t="shared" si="7"/>
        <v>26454</v>
      </c>
      <c r="M13" s="8">
        <f t="shared" si="8"/>
        <v>72</v>
      </c>
    </row>
    <row r="14" spans="1:13" x14ac:dyDescent="0.25">
      <c r="A14" s="4" t="s">
        <v>40</v>
      </c>
      <c r="B14" t="s">
        <v>12</v>
      </c>
      <c r="C14" t="s">
        <v>6</v>
      </c>
      <c r="D14" s="3">
        <f t="shared" si="0"/>
        <v>79</v>
      </c>
      <c r="E14" s="4">
        <f t="shared" si="1"/>
        <v>9</v>
      </c>
      <c r="F14" s="4">
        <f t="shared" si="2"/>
        <v>28</v>
      </c>
      <c r="G14" s="3">
        <f>IF(E14&gt;=20,2000,1900) + D14</f>
        <v>1979</v>
      </c>
      <c r="H14">
        <f t="shared" si="3"/>
        <v>9</v>
      </c>
      <c r="I14" s="4">
        <f t="shared" si="4"/>
        <v>28</v>
      </c>
      <c r="J14">
        <f t="shared" si="5"/>
        <v>19790928</v>
      </c>
      <c r="K14" t="str">
        <f t="shared" si="6"/>
        <v>28.09.1979</v>
      </c>
      <c r="L14" s="10">
        <f t="shared" si="7"/>
        <v>15811</v>
      </c>
      <c r="M14" s="8">
        <f t="shared" si="8"/>
        <v>43</v>
      </c>
    </row>
    <row r="15" spans="1:13" x14ac:dyDescent="0.25">
      <c r="A15" s="4" t="s">
        <v>41</v>
      </c>
      <c r="B15" t="s">
        <v>13</v>
      </c>
      <c r="C15" t="s">
        <v>6</v>
      </c>
      <c r="D15" s="3">
        <f t="shared" si="0"/>
        <v>66</v>
      </c>
      <c r="E15" s="4">
        <f t="shared" si="1"/>
        <v>9</v>
      </c>
      <c r="F15" s="4">
        <f t="shared" si="2"/>
        <v>11</v>
      </c>
      <c r="G15" s="3">
        <f>IF(E15&gt;=20,2000,1900) + D15</f>
        <v>1966</v>
      </c>
      <c r="H15">
        <f t="shared" si="3"/>
        <v>9</v>
      </c>
      <c r="I15" s="4">
        <f t="shared" si="4"/>
        <v>11</v>
      </c>
      <c r="J15">
        <f t="shared" si="5"/>
        <v>19660911</v>
      </c>
      <c r="K15" t="str">
        <f t="shared" si="6"/>
        <v>11.09.1966</v>
      </c>
      <c r="L15" s="10">
        <f t="shared" si="7"/>
        <v>20576</v>
      </c>
      <c r="M15" s="8">
        <f t="shared" si="8"/>
        <v>56</v>
      </c>
    </row>
    <row r="16" spans="1:13" x14ac:dyDescent="0.25">
      <c r="A16" s="4" t="s">
        <v>42</v>
      </c>
      <c r="B16" t="s">
        <v>12</v>
      </c>
      <c r="C16" t="s">
        <v>4</v>
      </c>
      <c r="D16" s="3">
        <f t="shared" si="0"/>
        <v>84</v>
      </c>
      <c r="E16" s="4">
        <f t="shared" si="1"/>
        <v>8</v>
      </c>
      <c r="F16" s="4">
        <f t="shared" si="2"/>
        <v>10</v>
      </c>
      <c r="G16" s="3">
        <f>IF(E16&gt;=20,2000,1900) + D16</f>
        <v>1984</v>
      </c>
      <c r="H16">
        <f t="shared" si="3"/>
        <v>8</v>
      </c>
      <c r="I16" s="4">
        <f t="shared" si="4"/>
        <v>10</v>
      </c>
      <c r="J16">
        <f t="shared" si="5"/>
        <v>19840810</v>
      </c>
      <c r="K16" t="str">
        <f t="shared" si="6"/>
        <v>10.08.1984</v>
      </c>
      <c r="L16" s="10">
        <f t="shared" si="7"/>
        <v>14033</v>
      </c>
      <c r="M16" s="8">
        <f t="shared" si="8"/>
        <v>38</v>
      </c>
    </row>
    <row r="17" spans="1:13" x14ac:dyDescent="0.25">
      <c r="A17" s="4" t="s">
        <v>43</v>
      </c>
      <c r="B17" t="s">
        <v>11</v>
      </c>
      <c r="C17" t="s">
        <v>6</v>
      </c>
      <c r="D17" s="3">
        <f t="shared" si="0"/>
        <v>76</v>
      </c>
      <c r="E17" s="4">
        <f t="shared" si="1"/>
        <v>1</v>
      </c>
      <c r="F17" s="4">
        <f t="shared" si="2"/>
        <v>24</v>
      </c>
      <c r="G17" s="3">
        <f>IF(E17&gt;=20,2000,1900) + D17</f>
        <v>1976</v>
      </c>
      <c r="H17">
        <f t="shared" si="3"/>
        <v>1</v>
      </c>
      <c r="I17" s="4">
        <f t="shared" si="4"/>
        <v>24</v>
      </c>
      <c r="J17">
        <f t="shared" si="5"/>
        <v>19760124</v>
      </c>
      <c r="K17" t="str">
        <f t="shared" si="6"/>
        <v>24.01.1976</v>
      </c>
      <c r="L17" s="10">
        <f t="shared" si="7"/>
        <v>17154</v>
      </c>
      <c r="M17" s="8">
        <f t="shared" si="8"/>
        <v>46</v>
      </c>
    </row>
    <row r="18" spans="1:13" x14ac:dyDescent="0.25">
      <c r="A18" s="4" t="s">
        <v>44</v>
      </c>
      <c r="B18" t="s">
        <v>10</v>
      </c>
      <c r="C18" t="s">
        <v>6</v>
      </c>
      <c r="D18" s="3">
        <f t="shared" si="0"/>
        <v>60</v>
      </c>
      <c r="E18" s="4">
        <f t="shared" si="1"/>
        <v>11</v>
      </c>
      <c r="F18" s="4">
        <f t="shared" si="2"/>
        <v>23</v>
      </c>
      <c r="G18" s="3">
        <f>IF(E18&gt;=20,2000,1900) + D18</f>
        <v>1960</v>
      </c>
      <c r="H18">
        <f t="shared" si="3"/>
        <v>11</v>
      </c>
      <c r="I18" s="4">
        <f t="shared" si="4"/>
        <v>23</v>
      </c>
      <c r="J18">
        <f t="shared" si="5"/>
        <v>19601123</v>
      </c>
      <c r="K18" t="str">
        <f t="shared" si="6"/>
        <v>23.11.1960</v>
      </c>
      <c r="L18" s="10">
        <f t="shared" si="7"/>
        <v>22694</v>
      </c>
      <c r="M18" s="8">
        <f t="shared" si="8"/>
        <v>62</v>
      </c>
    </row>
    <row r="19" spans="1:13" x14ac:dyDescent="0.25">
      <c r="A19" s="4" t="s">
        <v>45</v>
      </c>
      <c r="B19" t="s">
        <v>5</v>
      </c>
      <c r="C19" t="s">
        <v>6</v>
      </c>
      <c r="D19" s="3">
        <f t="shared" si="0"/>
        <v>95</v>
      </c>
      <c r="E19" s="4">
        <f t="shared" si="1"/>
        <v>10</v>
      </c>
      <c r="F19" s="4">
        <f t="shared" si="2"/>
        <v>9</v>
      </c>
      <c r="G19" s="3">
        <f>IF(E19&gt;=20,2000,1900) + D19</f>
        <v>1995</v>
      </c>
      <c r="H19">
        <f t="shared" si="3"/>
        <v>10</v>
      </c>
      <c r="I19" s="4">
        <f t="shared" si="4"/>
        <v>9</v>
      </c>
      <c r="J19">
        <f t="shared" si="5"/>
        <v>19951009</v>
      </c>
      <c r="K19" t="str">
        <f t="shared" si="6"/>
        <v>09.10.1995</v>
      </c>
      <c r="L19" s="10">
        <f t="shared" si="7"/>
        <v>9956</v>
      </c>
      <c r="M19" s="8">
        <f t="shared" si="8"/>
        <v>27</v>
      </c>
    </row>
    <row r="20" spans="1:13" x14ac:dyDescent="0.25">
      <c r="A20" s="4" t="s">
        <v>46</v>
      </c>
      <c r="B20" t="s">
        <v>14</v>
      </c>
      <c r="C20" t="s">
        <v>6</v>
      </c>
      <c r="D20" s="3">
        <f t="shared" si="0"/>
        <v>91</v>
      </c>
      <c r="E20" s="4">
        <f t="shared" si="1"/>
        <v>11</v>
      </c>
      <c r="F20" s="4">
        <f t="shared" si="2"/>
        <v>16</v>
      </c>
      <c r="G20" s="3">
        <f>IF(E20&gt;=20,2000,1900) + D20</f>
        <v>1991</v>
      </c>
      <c r="H20">
        <f t="shared" si="3"/>
        <v>11</v>
      </c>
      <c r="I20" s="4">
        <f t="shared" si="4"/>
        <v>16</v>
      </c>
      <c r="J20">
        <f t="shared" si="5"/>
        <v>19911116</v>
      </c>
      <c r="K20" t="str">
        <f t="shared" si="6"/>
        <v>16.11.1991</v>
      </c>
      <c r="L20" s="10">
        <f t="shared" si="7"/>
        <v>11379</v>
      </c>
      <c r="M20" s="8">
        <f t="shared" si="8"/>
        <v>31</v>
      </c>
    </row>
    <row r="21" spans="1:13" x14ac:dyDescent="0.25">
      <c r="A21" s="4" t="s">
        <v>47</v>
      </c>
      <c r="B21" t="s">
        <v>15</v>
      </c>
      <c r="C21" t="s">
        <v>4</v>
      </c>
      <c r="D21" s="3">
        <f t="shared" si="0"/>
        <v>74</v>
      </c>
      <c r="E21" s="4">
        <f t="shared" si="1"/>
        <v>1</v>
      </c>
      <c r="F21" s="4">
        <f t="shared" si="2"/>
        <v>26</v>
      </c>
      <c r="G21" s="3">
        <f>IF(E21&gt;=20,2000,1900) + D21</f>
        <v>1974</v>
      </c>
      <c r="H21">
        <f t="shared" si="3"/>
        <v>1</v>
      </c>
      <c r="I21" s="4">
        <f t="shared" si="4"/>
        <v>26</v>
      </c>
      <c r="J21">
        <f t="shared" si="5"/>
        <v>19740126</v>
      </c>
      <c r="K21" t="str">
        <f t="shared" si="6"/>
        <v>26.01.1974</v>
      </c>
      <c r="L21" s="10">
        <f t="shared" si="7"/>
        <v>17882</v>
      </c>
      <c r="M21" s="8">
        <f t="shared" si="8"/>
        <v>48</v>
      </c>
    </row>
    <row r="22" spans="1:13" x14ac:dyDescent="0.25">
      <c r="A22" s="4" t="s">
        <v>48</v>
      </c>
      <c r="B22" t="s">
        <v>16</v>
      </c>
      <c r="C22" t="s">
        <v>6</v>
      </c>
      <c r="D22" s="3">
        <f t="shared" si="0"/>
        <v>83</v>
      </c>
      <c r="E22" s="4">
        <f t="shared" si="1"/>
        <v>4</v>
      </c>
      <c r="F22" s="4">
        <f t="shared" si="2"/>
        <v>10</v>
      </c>
      <c r="G22" s="3">
        <f>IF(E22&gt;=20,2000,1900) + D22</f>
        <v>1983</v>
      </c>
      <c r="H22">
        <f t="shared" si="3"/>
        <v>4</v>
      </c>
      <c r="I22" s="4">
        <f t="shared" si="4"/>
        <v>10</v>
      </c>
      <c r="J22">
        <f t="shared" si="5"/>
        <v>19830410</v>
      </c>
      <c r="K22" t="str">
        <f t="shared" si="6"/>
        <v>10.04.1983</v>
      </c>
      <c r="L22" s="10">
        <f t="shared" si="7"/>
        <v>14521</v>
      </c>
      <c r="M22" s="8">
        <f t="shared" si="8"/>
        <v>39</v>
      </c>
    </row>
    <row r="23" spans="1:13" x14ac:dyDescent="0.25">
      <c r="A23" s="4" t="s">
        <v>49</v>
      </c>
      <c r="B23" t="s">
        <v>17</v>
      </c>
      <c r="C23" t="s">
        <v>4</v>
      </c>
      <c r="D23" s="3">
        <f t="shared" si="0"/>
        <v>61</v>
      </c>
      <c r="E23" s="4">
        <f t="shared" si="1"/>
        <v>12</v>
      </c>
      <c r="F23" s="4">
        <f t="shared" si="2"/>
        <v>26</v>
      </c>
      <c r="G23" s="3">
        <f>IF(E23&gt;=20,2000,1900) + D23</f>
        <v>1961</v>
      </c>
      <c r="H23">
        <f t="shared" si="3"/>
        <v>12</v>
      </c>
      <c r="I23" s="4">
        <f t="shared" si="4"/>
        <v>26</v>
      </c>
      <c r="J23">
        <f t="shared" si="5"/>
        <v>19611226</v>
      </c>
      <c r="K23" t="str">
        <f t="shared" si="6"/>
        <v>26.12.1961</v>
      </c>
      <c r="L23" s="10">
        <f t="shared" si="7"/>
        <v>22296</v>
      </c>
      <c r="M23" s="8">
        <f t="shared" si="8"/>
        <v>61</v>
      </c>
    </row>
    <row r="24" spans="1:13" x14ac:dyDescent="0.25">
      <c r="A24" s="4" t="s">
        <v>50</v>
      </c>
      <c r="B24" t="s">
        <v>18</v>
      </c>
      <c r="C24" t="s">
        <v>4</v>
      </c>
      <c r="D24" s="3">
        <f t="shared" si="0"/>
        <v>91</v>
      </c>
      <c r="E24" s="4">
        <f t="shared" si="1"/>
        <v>12</v>
      </c>
      <c r="F24" s="4">
        <f t="shared" si="2"/>
        <v>4</v>
      </c>
      <c r="G24" s="3">
        <f>IF(E24&gt;=20,2000,1900) + D24</f>
        <v>1991</v>
      </c>
      <c r="H24">
        <f t="shared" si="3"/>
        <v>12</v>
      </c>
      <c r="I24" s="4">
        <f t="shared" si="4"/>
        <v>4</v>
      </c>
      <c r="J24">
        <f t="shared" si="5"/>
        <v>19911204</v>
      </c>
      <c r="K24" t="str">
        <f t="shared" si="6"/>
        <v>04.12.1991</v>
      </c>
      <c r="L24" s="10">
        <f t="shared" si="7"/>
        <v>11361</v>
      </c>
      <c r="M24" s="8">
        <f t="shared" si="8"/>
        <v>31</v>
      </c>
    </row>
    <row r="25" spans="1:13" x14ac:dyDescent="0.25">
      <c r="A25" s="4" t="s">
        <v>51</v>
      </c>
      <c r="B25" t="s">
        <v>19</v>
      </c>
      <c r="C25" t="s">
        <v>4</v>
      </c>
      <c r="D25" s="3">
        <f t="shared" si="0"/>
        <v>72</v>
      </c>
      <c r="E25" s="4">
        <f t="shared" si="1"/>
        <v>8</v>
      </c>
      <c r="F25" s="4">
        <f t="shared" si="2"/>
        <v>26</v>
      </c>
      <c r="G25" s="3">
        <f>IF(E25&gt;=20,2000,1900) + D25</f>
        <v>1972</v>
      </c>
      <c r="H25">
        <f t="shared" si="3"/>
        <v>8</v>
      </c>
      <c r="I25" s="4">
        <f t="shared" si="4"/>
        <v>26</v>
      </c>
      <c r="J25">
        <f t="shared" si="5"/>
        <v>19720826</v>
      </c>
      <c r="K25" t="str">
        <f t="shared" si="6"/>
        <v>26.08.1972</v>
      </c>
      <c r="L25" s="10">
        <f t="shared" si="7"/>
        <v>18400</v>
      </c>
      <c r="M25" s="8">
        <f t="shared" si="8"/>
        <v>50</v>
      </c>
    </row>
    <row r="26" spans="1:13" x14ac:dyDescent="0.25">
      <c r="A26" s="4" t="s">
        <v>52</v>
      </c>
      <c r="B26" t="s">
        <v>10</v>
      </c>
      <c r="C26" t="s">
        <v>4</v>
      </c>
      <c r="D26" s="3">
        <f t="shared" si="0"/>
        <v>97</v>
      </c>
      <c r="E26" s="4">
        <f t="shared" si="1"/>
        <v>12</v>
      </c>
      <c r="F26" s="4">
        <f t="shared" si="2"/>
        <v>28</v>
      </c>
      <c r="G26" s="3">
        <f>IF(E26&gt;=20,2000,1900) + D26</f>
        <v>1997</v>
      </c>
      <c r="H26">
        <f t="shared" si="3"/>
        <v>12</v>
      </c>
      <c r="I26" s="4">
        <f t="shared" si="4"/>
        <v>28</v>
      </c>
      <c r="J26">
        <f t="shared" si="5"/>
        <v>19971228</v>
      </c>
      <c r="K26" t="str">
        <f t="shared" si="6"/>
        <v>28.12.1997</v>
      </c>
      <c r="L26" s="10">
        <f t="shared" si="7"/>
        <v>9145</v>
      </c>
      <c r="M26" s="8">
        <f t="shared" si="8"/>
        <v>25</v>
      </c>
    </row>
    <row r="27" spans="1:13" x14ac:dyDescent="0.25">
      <c r="A27" s="4" t="s">
        <v>53</v>
      </c>
      <c r="B27" t="s">
        <v>20</v>
      </c>
      <c r="C27" t="s">
        <v>6</v>
      </c>
      <c r="D27" s="3">
        <f t="shared" si="0"/>
        <v>56</v>
      </c>
      <c r="E27" s="4">
        <f t="shared" si="1"/>
        <v>7</v>
      </c>
      <c r="F27" s="4">
        <f t="shared" si="2"/>
        <v>10</v>
      </c>
      <c r="G27" s="3">
        <f>IF(E27&gt;=20,2000,1900) + D27</f>
        <v>1956</v>
      </c>
      <c r="H27">
        <f t="shared" si="3"/>
        <v>7</v>
      </c>
      <c r="I27" s="4">
        <f t="shared" si="4"/>
        <v>10</v>
      </c>
      <c r="J27">
        <f t="shared" si="5"/>
        <v>19560710</v>
      </c>
      <c r="K27" t="str">
        <f t="shared" si="6"/>
        <v>10.07.1956</v>
      </c>
      <c r="L27" s="10">
        <f t="shared" si="7"/>
        <v>24291</v>
      </c>
      <c r="M27" s="8">
        <f t="shared" si="8"/>
        <v>66</v>
      </c>
    </row>
    <row r="28" spans="1:13" x14ac:dyDescent="0.25">
      <c r="A28" s="4" t="s">
        <v>54</v>
      </c>
      <c r="B28" t="s">
        <v>3</v>
      </c>
      <c r="C28" t="s">
        <v>4</v>
      </c>
      <c r="D28" s="3">
        <f t="shared" si="0"/>
        <v>83</v>
      </c>
      <c r="E28" s="4">
        <f t="shared" si="1"/>
        <v>2</v>
      </c>
      <c r="F28" s="4">
        <f t="shared" si="2"/>
        <v>1</v>
      </c>
      <c r="G28" s="3">
        <f>IF(E28&gt;=20,2000,1900) + D28</f>
        <v>1983</v>
      </c>
      <c r="H28">
        <f t="shared" si="3"/>
        <v>2</v>
      </c>
      <c r="I28" s="4">
        <f t="shared" si="4"/>
        <v>1</v>
      </c>
      <c r="J28">
        <f t="shared" si="5"/>
        <v>19830201</v>
      </c>
      <c r="K28" t="str">
        <f t="shared" si="6"/>
        <v>01.02.1983</v>
      </c>
      <c r="L28" s="10">
        <f t="shared" si="7"/>
        <v>14589</v>
      </c>
      <c r="M28" s="8">
        <f t="shared" si="8"/>
        <v>39</v>
      </c>
    </row>
    <row r="29" spans="1:13" x14ac:dyDescent="0.25">
      <c r="A29" s="4" t="s">
        <v>55</v>
      </c>
      <c r="B29" t="s">
        <v>14</v>
      </c>
      <c r="C29" t="s">
        <v>4</v>
      </c>
      <c r="D29" s="3">
        <f t="shared" si="0"/>
        <v>86</v>
      </c>
      <c r="E29" s="4">
        <f t="shared" si="1"/>
        <v>4</v>
      </c>
      <c r="F29" s="4">
        <f t="shared" si="2"/>
        <v>8</v>
      </c>
      <c r="G29" s="3">
        <f>IF(E29&gt;=20,2000,1900) + D29</f>
        <v>1986</v>
      </c>
      <c r="H29">
        <f t="shared" si="3"/>
        <v>4</v>
      </c>
      <c r="I29" s="4">
        <f t="shared" si="4"/>
        <v>8</v>
      </c>
      <c r="J29">
        <f t="shared" si="5"/>
        <v>19860408</v>
      </c>
      <c r="K29" t="str">
        <f t="shared" si="6"/>
        <v>08.04.1986</v>
      </c>
      <c r="L29" s="10">
        <f t="shared" si="7"/>
        <v>13427</v>
      </c>
      <c r="M29" s="8">
        <f t="shared" si="8"/>
        <v>36</v>
      </c>
    </row>
    <row r="30" spans="1:13" x14ac:dyDescent="0.25">
      <c r="A30" s="4" t="s">
        <v>56</v>
      </c>
      <c r="B30" t="s">
        <v>3</v>
      </c>
      <c r="C30" t="s">
        <v>4</v>
      </c>
      <c r="D30" s="3">
        <f t="shared" si="0"/>
        <v>56</v>
      </c>
      <c r="E30" s="4">
        <f t="shared" si="1"/>
        <v>10</v>
      </c>
      <c r="F30" s="4">
        <f t="shared" si="2"/>
        <v>27</v>
      </c>
      <c r="G30" s="3">
        <f>IF(E30&gt;=20,2000,1900) + D30</f>
        <v>1956</v>
      </c>
      <c r="H30">
        <f t="shared" si="3"/>
        <v>10</v>
      </c>
      <c r="I30" s="4">
        <f t="shared" si="4"/>
        <v>27</v>
      </c>
      <c r="J30">
        <f t="shared" si="5"/>
        <v>19561027</v>
      </c>
      <c r="K30" t="str">
        <f t="shared" si="6"/>
        <v>27.10.1956</v>
      </c>
      <c r="L30" s="10">
        <f t="shared" si="7"/>
        <v>24182</v>
      </c>
      <c r="M30" s="8">
        <f t="shared" si="8"/>
        <v>66</v>
      </c>
    </row>
    <row r="31" spans="1:13" x14ac:dyDescent="0.25">
      <c r="A31" s="4" t="s">
        <v>57</v>
      </c>
      <c r="B31" t="s">
        <v>10</v>
      </c>
      <c r="C31" t="s">
        <v>6</v>
      </c>
      <c r="D31" s="3">
        <f t="shared" si="0"/>
        <v>57</v>
      </c>
      <c r="E31" s="4">
        <f t="shared" si="1"/>
        <v>1</v>
      </c>
      <c r="F31" s="4">
        <f t="shared" si="2"/>
        <v>11</v>
      </c>
      <c r="G31" s="3">
        <f>IF(E31&gt;=20,2000,1900) + D31</f>
        <v>1957</v>
      </c>
      <c r="H31">
        <f t="shared" si="3"/>
        <v>1</v>
      </c>
      <c r="I31" s="4">
        <f t="shared" si="4"/>
        <v>11</v>
      </c>
      <c r="J31">
        <f t="shared" si="5"/>
        <v>19570111</v>
      </c>
      <c r="K31" t="str">
        <f t="shared" si="6"/>
        <v>11.01.1957</v>
      </c>
      <c r="L31" s="10">
        <f t="shared" si="7"/>
        <v>24106</v>
      </c>
      <c r="M31" s="8">
        <f t="shared" si="8"/>
        <v>65</v>
      </c>
    </row>
    <row r="32" spans="1:13" x14ac:dyDescent="0.25">
      <c r="A32" s="4" t="s">
        <v>58</v>
      </c>
      <c r="B32" t="s">
        <v>12</v>
      </c>
      <c r="C32" t="s">
        <v>4</v>
      </c>
      <c r="D32" s="3">
        <f t="shared" si="0"/>
        <v>88</v>
      </c>
      <c r="E32" s="4">
        <f t="shared" si="1"/>
        <v>4</v>
      </c>
      <c r="F32" s="4">
        <f t="shared" si="2"/>
        <v>9</v>
      </c>
      <c r="G32" s="3">
        <f>IF(E32&gt;=20,2000,1900) + D32</f>
        <v>1988</v>
      </c>
      <c r="H32">
        <f t="shared" si="3"/>
        <v>4</v>
      </c>
      <c r="I32" s="4">
        <f t="shared" si="4"/>
        <v>9</v>
      </c>
      <c r="J32">
        <f t="shared" si="5"/>
        <v>19880409</v>
      </c>
      <c r="K32" t="str">
        <f t="shared" si="6"/>
        <v>09.04.1988</v>
      </c>
      <c r="L32" s="10">
        <f t="shared" si="7"/>
        <v>12695</v>
      </c>
      <c r="M32" s="8">
        <f t="shared" si="8"/>
        <v>34</v>
      </c>
    </row>
    <row r="33" spans="1:13" x14ac:dyDescent="0.25">
      <c r="A33" s="4" t="s">
        <v>59</v>
      </c>
      <c r="B33" t="s">
        <v>9</v>
      </c>
      <c r="C33" t="s">
        <v>6</v>
      </c>
      <c r="D33" s="3">
        <f t="shared" si="0"/>
        <v>86</v>
      </c>
      <c r="E33" s="4">
        <f t="shared" si="1"/>
        <v>11</v>
      </c>
      <c r="F33" s="4">
        <f t="shared" si="2"/>
        <v>26</v>
      </c>
      <c r="G33" s="3">
        <f>IF(E33&gt;=20,2000,1900) + D33</f>
        <v>1986</v>
      </c>
      <c r="H33">
        <f t="shared" si="3"/>
        <v>11</v>
      </c>
      <c r="I33" s="4">
        <f t="shared" si="4"/>
        <v>26</v>
      </c>
      <c r="J33">
        <f t="shared" si="5"/>
        <v>19861126</v>
      </c>
      <c r="K33" t="str">
        <f t="shared" si="6"/>
        <v>26.11.1986</v>
      </c>
      <c r="L33" s="10">
        <f t="shared" si="7"/>
        <v>13195</v>
      </c>
      <c r="M33" s="8">
        <f t="shared" si="8"/>
        <v>36</v>
      </c>
    </row>
    <row r="34" spans="1:13" x14ac:dyDescent="0.25">
      <c r="A34" s="4" t="s">
        <v>60</v>
      </c>
      <c r="B34" t="s">
        <v>19</v>
      </c>
      <c r="C34" t="s">
        <v>6</v>
      </c>
      <c r="D34" s="3">
        <f t="shared" si="0"/>
        <v>71</v>
      </c>
      <c r="E34" s="4">
        <f t="shared" si="1"/>
        <v>1</v>
      </c>
      <c r="F34" s="4">
        <f t="shared" si="2"/>
        <v>8</v>
      </c>
      <c r="G34" s="3">
        <f>IF(E34&gt;=20,2000,1900) + D34</f>
        <v>1971</v>
      </c>
      <c r="H34">
        <f t="shared" si="3"/>
        <v>1</v>
      </c>
      <c r="I34" s="4">
        <f t="shared" si="4"/>
        <v>8</v>
      </c>
      <c r="J34">
        <f t="shared" si="5"/>
        <v>19710108</v>
      </c>
      <c r="K34" t="str">
        <f t="shared" si="6"/>
        <v>08.01.1971</v>
      </c>
      <c r="L34" s="10">
        <f t="shared" si="7"/>
        <v>18996</v>
      </c>
      <c r="M34" s="8">
        <f t="shared" si="8"/>
        <v>52</v>
      </c>
    </row>
    <row r="35" spans="1:13" x14ac:dyDescent="0.25">
      <c r="A35" s="4" t="s">
        <v>61</v>
      </c>
      <c r="B35" t="s">
        <v>13</v>
      </c>
      <c r="C35" t="s">
        <v>6</v>
      </c>
      <c r="D35" s="3">
        <f t="shared" si="0"/>
        <v>94</v>
      </c>
      <c r="E35" s="4">
        <f t="shared" si="1"/>
        <v>6</v>
      </c>
      <c r="F35" s="4">
        <f t="shared" si="2"/>
        <v>23</v>
      </c>
      <c r="G35" s="3">
        <f>IF(E35&gt;=20,2000,1900) + D35</f>
        <v>1994</v>
      </c>
      <c r="H35">
        <f t="shared" si="3"/>
        <v>6</v>
      </c>
      <c r="I35" s="4">
        <f t="shared" si="4"/>
        <v>23</v>
      </c>
      <c r="J35">
        <f t="shared" si="5"/>
        <v>19940623</v>
      </c>
      <c r="K35" t="str">
        <f t="shared" si="6"/>
        <v>23.06.1994</v>
      </c>
      <c r="L35" s="10">
        <f t="shared" si="7"/>
        <v>10429</v>
      </c>
      <c r="M35" s="8">
        <f t="shared" si="8"/>
        <v>28</v>
      </c>
    </row>
    <row r="36" spans="1:13" x14ac:dyDescent="0.25">
      <c r="A36" s="4" t="s">
        <v>62</v>
      </c>
      <c r="B36" t="s">
        <v>16</v>
      </c>
      <c r="C36" t="s">
        <v>6</v>
      </c>
      <c r="D36" s="3">
        <f t="shared" si="0"/>
        <v>61</v>
      </c>
      <c r="E36" s="4">
        <f t="shared" si="1"/>
        <v>12</v>
      </c>
      <c r="F36" s="4">
        <f t="shared" si="2"/>
        <v>2</v>
      </c>
      <c r="G36" s="3">
        <f>IF(E36&gt;=20,2000,1900) + D36</f>
        <v>1961</v>
      </c>
      <c r="H36">
        <f t="shared" si="3"/>
        <v>12</v>
      </c>
      <c r="I36" s="4">
        <f t="shared" si="4"/>
        <v>2</v>
      </c>
      <c r="J36">
        <f t="shared" si="5"/>
        <v>19611202</v>
      </c>
      <c r="K36" t="str">
        <f t="shared" si="6"/>
        <v>02.12.1961</v>
      </c>
      <c r="L36" s="10">
        <f t="shared" si="7"/>
        <v>22320</v>
      </c>
      <c r="M36" s="8">
        <f t="shared" si="8"/>
        <v>61</v>
      </c>
    </row>
    <row r="37" spans="1:13" x14ac:dyDescent="0.25">
      <c r="A37" s="4" t="s">
        <v>63</v>
      </c>
      <c r="B37" t="s">
        <v>13</v>
      </c>
      <c r="C37" t="s">
        <v>6</v>
      </c>
      <c r="D37" s="3">
        <f t="shared" si="0"/>
        <v>81</v>
      </c>
      <c r="E37" s="4">
        <f t="shared" si="1"/>
        <v>6</v>
      </c>
      <c r="F37" s="4">
        <f t="shared" si="2"/>
        <v>12</v>
      </c>
      <c r="G37" s="3">
        <f>IF(E37&gt;=20,2000,1900) + D37</f>
        <v>1981</v>
      </c>
      <c r="H37">
        <f t="shared" si="3"/>
        <v>6</v>
      </c>
      <c r="I37" s="4">
        <f t="shared" si="4"/>
        <v>12</v>
      </c>
      <c r="J37">
        <f t="shared" si="5"/>
        <v>19810612</v>
      </c>
      <c r="K37" t="str">
        <f t="shared" si="6"/>
        <v>12.06.1981</v>
      </c>
      <c r="L37" s="10">
        <f t="shared" si="7"/>
        <v>15188</v>
      </c>
      <c r="M37" s="8">
        <f t="shared" si="8"/>
        <v>41</v>
      </c>
    </row>
    <row r="38" spans="1:13" x14ac:dyDescent="0.25">
      <c r="A38" s="4" t="s">
        <v>64</v>
      </c>
      <c r="B38" t="s">
        <v>12</v>
      </c>
      <c r="C38" t="s">
        <v>6</v>
      </c>
      <c r="D38" s="3">
        <f t="shared" si="0"/>
        <v>82</v>
      </c>
      <c r="E38" s="4">
        <f t="shared" si="1"/>
        <v>3</v>
      </c>
      <c r="F38" s="4">
        <f t="shared" si="2"/>
        <v>6</v>
      </c>
      <c r="G38" s="3">
        <f>IF(E38&gt;=20,2000,1900) + D38</f>
        <v>1982</v>
      </c>
      <c r="H38">
        <f t="shared" si="3"/>
        <v>3</v>
      </c>
      <c r="I38" s="4">
        <f t="shared" si="4"/>
        <v>6</v>
      </c>
      <c r="J38">
        <f t="shared" si="5"/>
        <v>19820306</v>
      </c>
      <c r="K38" t="str">
        <f t="shared" si="6"/>
        <v>06.03.1982</v>
      </c>
      <c r="L38" s="10">
        <f t="shared" si="7"/>
        <v>14921</v>
      </c>
      <c r="M38" s="8">
        <f t="shared" si="8"/>
        <v>40</v>
      </c>
    </row>
    <row r="39" spans="1:13" x14ac:dyDescent="0.25">
      <c r="A39" s="4" t="s">
        <v>65</v>
      </c>
      <c r="B39" t="s">
        <v>14</v>
      </c>
      <c r="C39" t="s">
        <v>6</v>
      </c>
      <c r="D39" s="3">
        <f t="shared" si="0"/>
        <v>94</v>
      </c>
      <c r="E39" s="4">
        <f t="shared" si="1"/>
        <v>2</v>
      </c>
      <c r="F39" s="4">
        <f t="shared" si="2"/>
        <v>28</v>
      </c>
      <c r="G39" s="3">
        <f>IF(E39&gt;=20,2000,1900) + D39</f>
        <v>1994</v>
      </c>
      <c r="H39">
        <f t="shared" si="3"/>
        <v>2</v>
      </c>
      <c r="I39" s="4">
        <f t="shared" si="4"/>
        <v>28</v>
      </c>
      <c r="J39">
        <f t="shared" si="5"/>
        <v>19940228</v>
      </c>
      <c r="K39" t="str">
        <f t="shared" si="6"/>
        <v>28.02.1994</v>
      </c>
      <c r="L39" s="10">
        <f t="shared" si="7"/>
        <v>10544</v>
      </c>
      <c r="M39" s="8">
        <f t="shared" si="8"/>
        <v>28</v>
      </c>
    </row>
    <row r="40" spans="1:13" x14ac:dyDescent="0.25">
      <c r="A40" s="4" t="s">
        <v>66</v>
      </c>
      <c r="B40" t="s">
        <v>19</v>
      </c>
      <c r="C40" t="s">
        <v>6</v>
      </c>
      <c r="D40" s="3">
        <f t="shared" si="0"/>
        <v>99</v>
      </c>
      <c r="E40" s="4">
        <f t="shared" si="1"/>
        <v>2</v>
      </c>
      <c r="F40" s="4">
        <f t="shared" si="2"/>
        <v>1</v>
      </c>
      <c r="G40" s="3">
        <f>IF(E40&gt;=20,2000,1900) + D40</f>
        <v>1999</v>
      </c>
      <c r="H40">
        <f t="shared" si="3"/>
        <v>2</v>
      </c>
      <c r="I40" s="4">
        <f t="shared" si="4"/>
        <v>1</v>
      </c>
      <c r="J40">
        <f t="shared" si="5"/>
        <v>19990201</v>
      </c>
      <c r="K40" t="str">
        <f t="shared" si="6"/>
        <v>01.02.1999</v>
      </c>
      <c r="L40" s="10">
        <f t="shared" si="7"/>
        <v>8745</v>
      </c>
      <c r="M40" s="8">
        <f t="shared" si="8"/>
        <v>23</v>
      </c>
    </row>
    <row r="41" spans="1:13" x14ac:dyDescent="0.25">
      <c r="A41" s="4" t="s">
        <v>67</v>
      </c>
      <c r="B41" t="s">
        <v>19</v>
      </c>
      <c r="C41" t="s">
        <v>4</v>
      </c>
      <c r="D41" s="3">
        <f t="shared" si="0"/>
        <v>82</v>
      </c>
      <c r="E41" s="4">
        <f t="shared" si="1"/>
        <v>8</v>
      </c>
      <c r="F41" s="4">
        <f t="shared" si="2"/>
        <v>2</v>
      </c>
      <c r="G41" s="3">
        <f>IF(E41&gt;=20,2000,1900) + D41</f>
        <v>1982</v>
      </c>
      <c r="H41">
        <f t="shared" si="3"/>
        <v>8</v>
      </c>
      <c r="I41" s="4">
        <f t="shared" si="4"/>
        <v>2</v>
      </c>
      <c r="J41">
        <f t="shared" si="5"/>
        <v>19820802</v>
      </c>
      <c r="K41" t="str">
        <f t="shared" si="6"/>
        <v>02.08.1982</v>
      </c>
      <c r="L41" s="10">
        <f t="shared" si="7"/>
        <v>14772</v>
      </c>
      <c r="M41" s="8">
        <f t="shared" si="8"/>
        <v>40</v>
      </c>
    </row>
    <row r="42" spans="1:13" x14ac:dyDescent="0.25">
      <c r="A42" s="4" t="s">
        <v>68</v>
      </c>
      <c r="B42" t="s">
        <v>19</v>
      </c>
      <c r="C42" t="s">
        <v>6</v>
      </c>
      <c r="D42" s="3">
        <f t="shared" si="0"/>
        <v>66</v>
      </c>
      <c r="E42" s="4">
        <f t="shared" si="1"/>
        <v>2</v>
      </c>
      <c r="F42" s="4">
        <f t="shared" si="2"/>
        <v>1</v>
      </c>
      <c r="G42" s="3">
        <f>IF(E42&gt;=20,2000,1900) + D42</f>
        <v>1966</v>
      </c>
      <c r="H42">
        <f t="shared" si="3"/>
        <v>2</v>
      </c>
      <c r="I42" s="4">
        <f t="shared" si="4"/>
        <v>1</v>
      </c>
      <c r="J42">
        <f t="shared" si="5"/>
        <v>19660201</v>
      </c>
      <c r="K42" t="str">
        <f t="shared" si="6"/>
        <v>01.02.1966</v>
      </c>
      <c r="L42" s="10">
        <f t="shared" si="7"/>
        <v>20798</v>
      </c>
      <c r="M42" s="8">
        <f t="shared" si="8"/>
        <v>56</v>
      </c>
    </row>
    <row r="43" spans="1:13" x14ac:dyDescent="0.25">
      <c r="A43" s="4" t="s">
        <v>69</v>
      </c>
      <c r="B43" t="s">
        <v>17</v>
      </c>
      <c r="C43" t="s">
        <v>4</v>
      </c>
      <c r="D43" s="3">
        <f t="shared" si="0"/>
        <v>86</v>
      </c>
      <c r="E43" s="4">
        <f t="shared" si="1"/>
        <v>3</v>
      </c>
      <c r="F43" s="4">
        <f t="shared" si="2"/>
        <v>28</v>
      </c>
      <c r="G43" s="3">
        <f>IF(E43&gt;=20,2000,1900) + D43</f>
        <v>1986</v>
      </c>
      <c r="H43">
        <f t="shared" si="3"/>
        <v>3</v>
      </c>
      <c r="I43" s="4">
        <f t="shared" si="4"/>
        <v>28</v>
      </c>
      <c r="J43">
        <f t="shared" si="5"/>
        <v>19860328</v>
      </c>
      <c r="K43" t="str">
        <f t="shared" si="6"/>
        <v>28.03.1986</v>
      </c>
      <c r="L43" s="10">
        <f t="shared" si="7"/>
        <v>13438</v>
      </c>
      <c r="M43" s="8">
        <f t="shared" si="8"/>
        <v>36</v>
      </c>
    </row>
    <row r="44" spans="1:13" x14ac:dyDescent="0.25">
      <c r="A44" s="4" t="s">
        <v>70</v>
      </c>
      <c r="B44" t="s">
        <v>12</v>
      </c>
      <c r="C44" t="s">
        <v>6</v>
      </c>
      <c r="D44" s="3">
        <f t="shared" si="0"/>
        <v>83</v>
      </c>
      <c r="E44" s="4">
        <f t="shared" si="1"/>
        <v>11</v>
      </c>
      <c r="F44" s="4">
        <f t="shared" si="2"/>
        <v>18</v>
      </c>
      <c r="G44" s="3">
        <f>IF(E44&gt;=20,2000,1900) + D44</f>
        <v>1983</v>
      </c>
      <c r="H44">
        <f t="shared" si="3"/>
        <v>11</v>
      </c>
      <c r="I44" s="4">
        <f t="shared" si="4"/>
        <v>18</v>
      </c>
      <c r="J44">
        <f t="shared" si="5"/>
        <v>19831118</v>
      </c>
      <c r="K44" t="str">
        <f t="shared" si="6"/>
        <v>18.11.1983</v>
      </c>
      <c r="L44" s="10">
        <f t="shared" si="7"/>
        <v>14299</v>
      </c>
      <c r="M44" s="8">
        <f t="shared" si="8"/>
        <v>39</v>
      </c>
    </row>
    <row r="45" spans="1:13" x14ac:dyDescent="0.25">
      <c r="A45" s="4" t="s">
        <v>71</v>
      </c>
      <c r="B45" t="s">
        <v>14</v>
      </c>
      <c r="C45" t="s">
        <v>6</v>
      </c>
      <c r="D45" s="3">
        <f t="shared" si="0"/>
        <v>67</v>
      </c>
      <c r="E45" s="4">
        <f t="shared" si="1"/>
        <v>9</v>
      </c>
      <c r="F45" s="4">
        <f t="shared" si="2"/>
        <v>25</v>
      </c>
      <c r="G45" s="3">
        <f>IF(E45&gt;=20,2000,1900) + D45</f>
        <v>1967</v>
      </c>
      <c r="H45">
        <f t="shared" si="3"/>
        <v>9</v>
      </c>
      <c r="I45" s="4">
        <f t="shared" si="4"/>
        <v>25</v>
      </c>
      <c r="J45">
        <f t="shared" si="5"/>
        <v>19670925</v>
      </c>
      <c r="K45" t="str">
        <f t="shared" si="6"/>
        <v>25.09.1967</v>
      </c>
      <c r="L45" s="10">
        <f t="shared" si="7"/>
        <v>20197</v>
      </c>
      <c r="M45" s="8">
        <f t="shared" si="8"/>
        <v>55</v>
      </c>
    </row>
    <row r="46" spans="1:13" x14ac:dyDescent="0.25">
      <c r="A46" s="4" t="s">
        <v>72</v>
      </c>
      <c r="B46" t="s">
        <v>19</v>
      </c>
      <c r="C46" t="s">
        <v>4</v>
      </c>
      <c r="D46" s="3">
        <f t="shared" si="0"/>
        <v>55</v>
      </c>
      <c r="E46" s="4">
        <f t="shared" si="1"/>
        <v>3</v>
      </c>
      <c r="F46" s="4">
        <f t="shared" si="2"/>
        <v>23</v>
      </c>
      <c r="G46" s="3">
        <f>IF(E46&gt;=20,2000,1900) + D46</f>
        <v>1955</v>
      </c>
      <c r="H46">
        <f t="shared" si="3"/>
        <v>3</v>
      </c>
      <c r="I46" s="4">
        <f t="shared" si="4"/>
        <v>23</v>
      </c>
      <c r="J46">
        <f t="shared" si="5"/>
        <v>19550323</v>
      </c>
      <c r="K46" t="str">
        <f t="shared" si="6"/>
        <v>23.03.1955</v>
      </c>
      <c r="L46" s="10">
        <f t="shared" si="7"/>
        <v>24766</v>
      </c>
      <c r="M46" s="8">
        <f t="shared" si="8"/>
        <v>67</v>
      </c>
    </row>
    <row r="47" spans="1:13" x14ac:dyDescent="0.25">
      <c r="A47" s="4" t="s">
        <v>73</v>
      </c>
      <c r="B47" t="s">
        <v>17</v>
      </c>
      <c r="C47" t="s">
        <v>4</v>
      </c>
      <c r="D47" s="3">
        <f t="shared" si="0"/>
        <v>68</v>
      </c>
      <c r="E47" s="4">
        <f t="shared" si="1"/>
        <v>11</v>
      </c>
      <c r="F47" s="4">
        <f t="shared" si="2"/>
        <v>15</v>
      </c>
      <c r="G47" s="3">
        <f>IF(E47&gt;=20,2000,1900) + D47</f>
        <v>1968</v>
      </c>
      <c r="H47">
        <f t="shared" si="3"/>
        <v>11</v>
      </c>
      <c r="I47" s="4">
        <f t="shared" si="4"/>
        <v>15</v>
      </c>
      <c r="J47">
        <f t="shared" si="5"/>
        <v>19681115</v>
      </c>
      <c r="K47" t="str">
        <f t="shared" si="6"/>
        <v>15.11.1968</v>
      </c>
      <c r="L47" s="10">
        <f t="shared" si="7"/>
        <v>19780</v>
      </c>
      <c r="M47" s="8">
        <f t="shared" si="8"/>
        <v>54</v>
      </c>
    </row>
    <row r="48" spans="1:13" x14ac:dyDescent="0.25">
      <c r="A48" s="4" t="s">
        <v>74</v>
      </c>
      <c r="B48" t="s">
        <v>19</v>
      </c>
      <c r="C48" t="s">
        <v>4</v>
      </c>
      <c r="D48" s="3">
        <f t="shared" si="0"/>
        <v>72</v>
      </c>
      <c r="E48" s="4">
        <f t="shared" si="1"/>
        <v>5</v>
      </c>
      <c r="F48" s="4">
        <f t="shared" si="2"/>
        <v>1</v>
      </c>
      <c r="G48" s="3">
        <f>IF(E48&gt;=20,2000,1900) + D48</f>
        <v>1972</v>
      </c>
      <c r="H48">
        <f t="shared" si="3"/>
        <v>5</v>
      </c>
      <c r="I48" s="4">
        <f t="shared" si="4"/>
        <v>1</v>
      </c>
      <c r="J48">
        <f t="shared" si="5"/>
        <v>19720501</v>
      </c>
      <c r="K48" t="str">
        <f t="shared" si="6"/>
        <v>01.05.1972</v>
      </c>
      <c r="L48" s="10">
        <f t="shared" si="7"/>
        <v>18517</v>
      </c>
      <c r="M48" s="8">
        <f t="shared" si="8"/>
        <v>50</v>
      </c>
    </row>
    <row r="49" spans="1:13" x14ac:dyDescent="0.25">
      <c r="A49" s="4" t="s">
        <v>75</v>
      </c>
      <c r="B49" t="s">
        <v>17</v>
      </c>
      <c r="C49" t="s">
        <v>4</v>
      </c>
      <c r="D49" s="3">
        <f t="shared" si="0"/>
        <v>89</v>
      </c>
      <c r="E49" s="4">
        <f t="shared" si="1"/>
        <v>11</v>
      </c>
      <c r="F49" s="4">
        <f t="shared" si="2"/>
        <v>6</v>
      </c>
      <c r="G49" s="3">
        <f>IF(E49&gt;=20,2000,1900) + D49</f>
        <v>1989</v>
      </c>
      <c r="H49">
        <f t="shared" si="3"/>
        <v>11</v>
      </c>
      <c r="I49" s="4">
        <f t="shared" si="4"/>
        <v>6</v>
      </c>
      <c r="J49">
        <f t="shared" si="5"/>
        <v>19891106</v>
      </c>
      <c r="K49" t="str">
        <f t="shared" si="6"/>
        <v>06.11.1989</v>
      </c>
      <c r="L49" s="10">
        <f t="shared" si="7"/>
        <v>12119</v>
      </c>
      <c r="M49" s="8">
        <f t="shared" si="8"/>
        <v>33</v>
      </c>
    </row>
    <row r="50" spans="1:13" x14ac:dyDescent="0.25">
      <c r="A50" s="4" t="s">
        <v>76</v>
      </c>
      <c r="B50" t="s">
        <v>14</v>
      </c>
      <c r="C50" t="s">
        <v>6</v>
      </c>
      <c r="D50" s="3">
        <f t="shared" si="0"/>
        <v>92</v>
      </c>
      <c r="E50" s="4">
        <f t="shared" si="1"/>
        <v>6</v>
      </c>
      <c r="F50" s="4">
        <f t="shared" si="2"/>
        <v>29</v>
      </c>
      <c r="G50" s="3">
        <f>IF(E50&gt;=20,2000,1900) + D50</f>
        <v>1992</v>
      </c>
      <c r="H50">
        <f t="shared" si="3"/>
        <v>6</v>
      </c>
      <c r="I50" s="4">
        <f t="shared" si="4"/>
        <v>29</v>
      </c>
      <c r="J50">
        <f t="shared" si="5"/>
        <v>19920629</v>
      </c>
      <c r="K50" t="str">
        <f t="shared" si="6"/>
        <v>29.06.1992</v>
      </c>
      <c r="L50" s="10">
        <f t="shared" si="7"/>
        <v>11153</v>
      </c>
      <c r="M50" s="8">
        <f t="shared" si="8"/>
        <v>30</v>
      </c>
    </row>
    <row r="51" spans="1:13" x14ac:dyDescent="0.25">
      <c r="A51" s="4" t="s">
        <v>77</v>
      </c>
      <c r="B51" t="s">
        <v>17</v>
      </c>
      <c r="C51" t="s">
        <v>6</v>
      </c>
      <c r="D51" s="3">
        <f t="shared" si="0"/>
        <v>96</v>
      </c>
      <c r="E51" s="4">
        <f t="shared" si="1"/>
        <v>2</v>
      </c>
      <c r="F51" s="4">
        <f t="shared" si="2"/>
        <v>27</v>
      </c>
      <c r="G51" s="3">
        <f>IF(E51&gt;=20,2000,1900) + D51</f>
        <v>1996</v>
      </c>
      <c r="H51">
        <f t="shared" si="3"/>
        <v>2</v>
      </c>
      <c r="I51" s="4">
        <f t="shared" si="4"/>
        <v>27</v>
      </c>
      <c r="J51">
        <f t="shared" si="5"/>
        <v>19960227</v>
      </c>
      <c r="K51" t="str">
        <f t="shared" si="6"/>
        <v>27.02.1996</v>
      </c>
      <c r="L51" s="10">
        <f t="shared" si="7"/>
        <v>9815</v>
      </c>
      <c r="M51" s="8">
        <f t="shared" si="8"/>
        <v>26</v>
      </c>
    </row>
    <row r="52" spans="1:13" x14ac:dyDescent="0.25">
      <c r="A52" s="4" t="s">
        <v>78</v>
      </c>
      <c r="B52" t="s">
        <v>12</v>
      </c>
      <c r="C52" t="s">
        <v>6</v>
      </c>
      <c r="D52" s="3">
        <f t="shared" si="0"/>
        <v>67</v>
      </c>
      <c r="E52" s="4">
        <f t="shared" si="1"/>
        <v>8</v>
      </c>
      <c r="F52" s="4">
        <f t="shared" si="2"/>
        <v>27</v>
      </c>
      <c r="G52" s="3">
        <f>IF(E52&gt;=20,2000,1900) + D52</f>
        <v>1967</v>
      </c>
      <c r="H52">
        <f t="shared" si="3"/>
        <v>8</v>
      </c>
      <c r="I52" s="4">
        <f t="shared" si="4"/>
        <v>27</v>
      </c>
      <c r="J52">
        <f t="shared" si="5"/>
        <v>19670827</v>
      </c>
      <c r="K52" t="str">
        <f t="shared" si="6"/>
        <v>27.08.1967</v>
      </c>
      <c r="L52" s="10">
        <f t="shared" si="7"/>
        <v>20226</v>
      </c>
      <c r="M52" s="8">
        <f t="shared" si="8"/>
        <v>55</v>
      </c>
    </row>
    <row r="53" spans="1:13" x14ac:dyDescent="0.25">
      <c r="A53" s="4" t="s">
        <v>79</v>
      </c>
      <c r="B53" t="s">
        <v>13</v>
      </c>
      <c r="C53" t="s">
        <v>6</v>
      </c>
      <c r="D53" s="3">
        <f t="shared" si="0"/>
        <v>53</v>
      </c>
      <c r="E53" s="4">
        <f t="shared" si="1"/>
        <v>4</v>
      </c>
      <c r="F53" s="4">
        <f t="shared" si="2"/>
        <v>13</v>
      </c>
      <c r="G53" s="3">
        <f>IF(E53&gt;=20,2000,1900) + D53</f>
        <v>1953</v>
      </c>
      <c r="H53">
        <f t="shared" si="3"/>
        <v>4</v>
      </c>
      <c r="I53" s="4">
        <f t="shared" si="4"/>
        <v>13</v>
      </c>
      <c r="J53">
        <f t="shared" si="5"/>
        <v>19530413</v>
      </c>
      <c r="K53" t="str">
        <f t="shared" si="6"/>
        <v>13.04.1953</v>
      </c>
      <c r="L53" s="10">
        <f t="shared" si="7"/>
        <v>25475</v>
      </c>
      <c r="M53" s="8">
        <f t="shared" si="8"/>
        <v>69</v>
      </c>
    </row>
    <row r="54" spans="1:13" x14ac:dyDescent="0.25">
      <c r="A54" s="4" t="s">
        <v>80</v>
      </c>
      <c r="B54" t="s">
        <v>15</v>
      </c>
      <c r="C54" t="s">
        <v>6</v>
      </c>
      <c r="D54" s="3">
        <f t="shared" si="0"/>
        <v>85</v>
      </c>
      <c r="E54" s="4">
        <f t="shared" si="1"/>
        <v>7</v>
      </c>
      <c r="F54" s="4">
        <f t="shared" si="2"/>
        <v>4</v>
      </c>
      <c r="G54" s="3">
        <f>IF(E54&gt;=20,2000,1900) + D54</f>
        <v>1985</v>
      </c>
      <c r="H54">
        <f t="shared" si="3"/>
        <v>7</v>
      </c>
      <c r="I54" s="4">
        <f t="shared" si="4"/>
        <v>4</v>
      </c>
      <c r="J54">
        <f t="shared" si="5"/>
        <v>19850704</v>
      </c>
      <c r="K54" t="str">
        <f t="shared" si="6"/>
        <v>04.07.1985</v>
      </c>
      <c r="L54" s="10">
        <f t="shared" si="7"/>
        <v>13705</v>
      </c>
      <c r="M54" s="8">
        <f t="shared" si="8"/>
        <v>37</v>
      </c>
    </row>
    <row r="55" spans="1:13" x14ac:dyDescent="0.25">
      <c r="A55" s="4" t="s">
        <v>81</v>
      </c>
      <c r="B55" t="s">
        <v>3</v>
      </c>
      <c r="C55" t="s">
        <v>4</v>
      </c>
      <c r="D55" s="3">
        <f t="shared" si="0"/>
        <v>67</v>
      </c>
      <c r="E55" s="4">
        <f t="shared" si="1"/>
        <v>11</v>
      </c>
      <c r="F55" s="4">
        <f t="shared" si="2"/>
        <v>4</v>
      </c>
      <c r="G55" s="3">
        <f>IF(E55&gt;=20,2000,1900) + D55</f>
        <v>1967</v>
      </c>
      <c r="H55">
        <f t="shared" si="3"/>
        <v>11</v>
      </c>
      <c r="I55" s="4">
        <f t="shared" si="4"/>
        <v>4</v>
      </c>
      <c r="J55">
        <f t="shared" si="5"/>
        <v>19671104</v>
      </c>
      <c r="K55" t="str">
        <f t="shared" si="6"/>
        <v>04.11.1967</v>
      </c>
      <c r="L55" s="10">
        <f t="shared" si="7"/>
        <v>20157</v>
      </c>
      <c r="M55" s="8">
        <f t="shared" si="8"/>
        <v>55</v>
      </c>
    </row>
    <row r="56" spans="1:13" x14ac:dyDescent="0.25">
      <c r="A56" s="4" t="s">
        <v>82</v>
      </c>
      <c r="B56" t="s">
        <v>16</v>
      </c>
      <c r="C56" t="s">
        <v>4</v>
      </c>
      <c r="D56" s="3">
        <f t="shared" si="0"/>
        <v>76</v>
      </c>
      <c r="E56" s="4">
        <f t="shared" si="1"/>
        <v>11</v>
      </c>
      <c r="F56" s="4">
        <f t="shared" si="2"/>
        <v>29</v>
      </c>
      <c r="G56" s="3">
        <f>IF(E56&gt;=20,2000,1900) + D56</f>
        <v>1976</v>
      </c>
      <c r="H56">
        <f t="shared" si="3"/>
        <v>11</v>
      </c>
      <c r="I56" s="4">
        <f t="shared" si="4"/>
        <v>29</v>
      </c>
      <c r="J56">
        <f t="shared" si="5"/>
        <v>19761129</v>
      </c>
      <c r="K56" t="str">
        <f t="shared" si="6"/>
        <v>29.11.1976</v>
      </c>
      <c r="L56" s="10">
        <f t="shared" si="7"/>
        <v>16844</v>
      </c>
      <c r="M56" s="8">
        <f t="shared" si="8"/>
        <v>46</v>
      </c>
    </row>
    <row r="57" spans="1:13" x14ac:dyDescent="0.25">
      <c r="A57" s="4" t="s">
        <v>83</v>
      </c>
      <c r="B57" t="s">
        <v>7</v>
      </c>
      <c r="C57" t="s">
        <v>6</v>
      </c>
      <c r="D57" s="3">
        <f t="shared" si="0"/>
        <v>78</v>
      </c>
      <c r="E57" s="4">
        <f t="shared" si="1"/>
        <v>7</v>
      </c>
      <c r="F57" s="4">
        <f t="shared" si="2"/>
        <v>23</v>
      </c>
      <c r="G57" s="3">
        <f>IF(E57&gt;=20,2000,1900) + D57</f>
        <v>1978</v>
      </c>
      <c r="H57">
        <f t="shared" si="3"/>
        <v>7</v>
      </c>
      <c r="I57" s="4">
        <f t="shared" si="4"/>
        <v>23</v>
      </c>
      <c r="J57">
        <f t="shared" si="5"/>
        <v>19780723</v>
      </c>
      <c r="K57" t="str">
        <f t="shared" si="6"/>
        <v>23.07.1978</v>
      </c>
      <c r="L57" s="10">
        <f t="shared" si="7"/>
        <v>16243</v>
      </c>
      <c r="M57" s="8">
        <f t="shared" si="8"/>
        <v>44</v>
      </c>
    </row>
    <row r="58" spans="1:13" x14ac:dyDescent="0.25">
      <c r="A58" s="4" t="s">
        <v>84</v>
      </c>
      <c r="B58" t="s">
        <v>13</v>
      </c>
      <c r="C58" t="s">
        <v>6</v>
      </c>
      <c r="D58" s="3">
        <f t="shared" si="0"/>
        <v>50</v>
      </c>
      <c r="E58" s="4">
        <f t="shared" si="1"/>
        <v>9</v>
      </c>
      <c r="F58" s="4">
        <f t="shared" si="2"/>
        <v>27</v>
      </c>
      <c r="G58" s="3">
        <f>IF(E58&gt;=20,2000,1900) + D58</f>
        <v>1950</v>
      </c>
      <c r="H58">
        <f t="shared" si="3"/>
        <v>9</v>
      </c>
      <c r="I58" s="4">
        <f t="shared" si="4"/>
        <v>27</v>
      </c>
      <c r="J58">
        <f t="shared" si="5"/>
        <v>19500927</v>
      </c>
      <c r="K58" t="str">
        <f t="shared" si="6"/>
        <v>27.09.1950</v>
      </c>
      <c r="L58" s="10">
        <f t="shared" si="7"/>
        <v>26404</v>
      </c>
      <c r="M58" s="8">
        <f t="shared" si="8"/>
        <v>72</v>
      </c>
    </row>
    <row r="59" spans="1:13" x14ac:dyDescent="0.25">
      <c r="A59" s="4" t="s">
        <v>85</v>
      </c>
      <c r="B59" t="s">
        <v>10</v>
      </c>
      <c r="C59" t="s">
        <v>4</v>
      </c>
      <c r="D59" s="3">
        <f t="shared" si="0"/>
        <v>67</v>
      </c>
      <c r="E59" s="4">
        <f t="shared" si="1"/>
        <v>9</v>
      </c>
      <c r="F59" s="4">
        <f t="shared" si="2"/>
        <v>9</v>
      </c>
      <c r="G59" s="3">
        <f>IF(E59&gt;=20,2000,1900) + D59</f>
        <v>1967</v>
      </c>
      <c r="H59">
        <f t="shared" si="3"/>
        <v>9</v>
      </c>
      <c r="I59" s="4">
        <f t="shared" si="4"/>
        <v>9</v>
      </c>
      <c r="J59">
        <f t="shared" si="5"/>
        <v>19670909</v>
      </c>
      <c r="K59" t="str">
        <f t="shared" si="6"/>
        <v>09.09.1967</v>
      </c>
      <c r="L59" s="10">
        <f t="shared" si="7"/>
        <v>20213</v>
      </c>
      <c r="M59" s="8">
        <f t="shared" si="8"/>
        <v>55</v>
      </c>
    </row>
    <row r="60" spans="1:13" x14ac:dyDescent="0.25">
      <c r="A60" s="4" t="s">
        <v>86</v>
      </c>
      <c r="B60" t="s">
        <v>3</v>
      </c>
      <c r="C60" t="s">
        <v>6</v>
      </c>
      <c r="D60" s="3">
        <f t="shared" si="0"/>
        <v>94</v>
      </c>
      <c r="E60" s="4">
        <f t="shared" si="1"/>
        <v>7</v>
      </c>
      <c r="F60" s="4">
        <f t="shared" si="2"/>
        <v>7</v>
      </c>
      <c r="G60" s="3">
        <f>IF(E60&gt;=20,2000,1900) + D60</f>
        <v>1994</v>
      </c>
      <c r="H60">
        <f t="shared" si="3"/>
        <v>7</v>
      </c>
      <c r="I60" s="4">
        <f t="shared" si="4"/>
        <v>7</v>
      </c>
      <c r="J60">
        <f t="shared" si="5"/>
        <v>19940707</v>
      </c>
      <c r="K60" t="str">
        <f t="shared" si="6"/>
        <v>07.07.1994</v>
      </c>
      <c r="L60" s="10">
        <f t="shared" si="7"/>
        <v>10415</v>
      </c>
      <c r="M60" s="8">
        <f t="shared" si="8"/>
        <v>28</v>
      </c>
    </row>
    <row r="61" spans="1:13" x14ac:dyDescent="0.25">
      <c r="A61" s="4" t="s">
        <v>87</v>
      </c>
      <c r="B61" t="s">
        <v>13</v>
      </c>
      <c r="C61" t="s">
        <v>4</v>
      </c>
      <c r="D61" s="3">
        <f t="shared" si="0"/>
        <v>78</v>
      </c>
      <c r="E61" s="4">
        <f t="shared" si="1"/>
        <v>3</v>
      </c>
      <c r="F61" s="4">
        <f t="shared" si="2"/>
        <v>14</v>
      </c>
      <c r="G61" s="3">
        <f>IF(E61&gt;=20,2000,1900) + D61</f>
        <v>1978</v>
      </c>
      <c r="H61">
        <f t="shared" si="3"/>
        <v>3</v>
      </c>
      <c r="I61" s="4">
        <f t="shared" si="4"/>
        <v>14</v>
      </c>
      <c r="J61">
        <f t="shared" si="5"/>
        <v>19780314</v>
      </c>
      <c r="K61" t="str">
        <f t="shared" si="6"/>
        <v>14.03.1978</v>
      </c>
      <c r="L61" s="10">
        <f t="shared" si="7"/>
        <v>16374</v>
      </c>
      <c r="M61" s="8">
        <f t="shared" si="8"/>
        <v>44</v>
      </c>
    </row>
    <row r="62" spans="1:13" x14ac:dyDescent="0.25">
      <c r="A62" s="4" t="s">
        <v>88</v>
      </c>
      <c r="B62" t="s">
        <v>9</v>
      </c>
      <c r="C62" t="s">
        <v>4</v>
      </c>
      <c r="D62" s="3">
        <f t="shared" si="0"/>
        <v>75</v>
      </c>
      <c r="E62" s="4">
        <f t="shared" si="1"/>
        <v>11</v>
      </c>
      <c r="F62" s="4">
        <f t="shared" si="2"/>
        <v>18</v>
      </c>
      <c r="G62" s="3">
        <f>IF(E62&gt;=20,2000,1900) + D62</f>
        <v>1975</v>
      </c>
      <c r="H62">
        <f t="shared" si="3"/>
        <v>11</v>
      </c>
      <c r="I62" s="4">
        <f t="shared" si="4"/>
        <v>18</v>
      </c>
      <c r="J62">
        <f t="shared" si="5"/>
        <v>19751118</v>
      </c>
      <c r="K62" t="str">
        <f t="shared" si="6"/>
        <v>18.11.1975</v>
      </c>
      <c r="L62" s="10">
        <f t="shared" si="7"/>
        <v>17221</v>
      </c>
      <c r="M62" s="8">
        <f t="shared" si="8"/>
        <v>47</v>
      </c>
    </row>
    <row r="63" spans="1:13" x14ac:dyDescent="0.25">
      <c r="A63" s="4" t="s">
        <v>89</v>
      </c>
      <c r="B63" t="s">
        <v>20</v>
      </c>
      <c r="C63" t="s">
        <v>4</v>
      </c>
      <c r="D63" s="3">
        <f t="shared" si="0"/>
        <v>84</v>
      </c>
      <c r="E63" s="4">
        <f t="shared" si="1"/>
        <v>1</v>
      </c>
      <c r="F63" s="4">
        <f t="shared" si="2"/>
        <v>17</v>
      </c>
      <c r="G63" s="3">
        <f>IF(E63&gt;=20,2000,1900) + D63</f>
        <v>1984</v>
      </c>
      <c r="H63">
        <f t="shared" si="3"/>
        <v>1</v>
      </c>
      <c r="I63" s="4">
        <f t="shared" si="4"/>
        <v>17</v>
      </c>
      <c r="J63">
        <f t="shared" si="5"/>
        <v>19840117</v>
      </c>
      <c r="K63" t="str">
        <f t="shared" si="6"/>
        <v>17.01.1984</v>
      </c>
      <c r="L63" s="10">
        <f t="shared" si="7"/>
        <v>14239</v>
      </c>
      <c r="M63" s="8">
        <f t="shared" si="8"/>
        <v>38</v>
      </c>
    </row>
    <row r="64" spans="1:13" x14ac:dyDescent="0.25">
      <c r="A64" s="4" t="s">
        <v>90</v>
      </c>
      <c r="B64" t="s">
        <v>8</v>
      </c>
      <c r="C64" t="s">
        <v>6</v>
      </c>
      <c r="D64" s="3">
        <f t="shared" si="0"/>
        <v>73</v>
      </c>
      <c r="E64" s="4">
        <f t="shared" si="1"/>
        <v>10</v>
      </c>
      <c r="F64" s="4">
        <f t="shared" si="2"/>
        <v>19</v>
      </c>
      <c r="G64" s="3">
        <f>IF(E64&gt;=20,2000,1900) + D64</f>
        <v>1973</v>
      </c>
      <c r="H64">
        <f t="shared" si="3"/>
        <v>10</v>
      </c>
      <c r="I64" s="4">
        <f t="shared" si="4"/>
        <v>19</v>
      </c>
      <c r="J64">
        <f t="shared" si="5"/>
        <v>19731019</v>
      </c>
      <c r="K64" t="str">
        <f t="shared" si="6"/>
        <v>19.10.1973</v>
      </c>
      <c r="L64" s="10">
        <f t="shared" si="7"/>
        <v>17981</v>
      </c>
      <c r="M64" s="8">
        <f t="shared" si="8"/>
        <v>49</v>
      </c>
    </row>
    <row r="65" spans="1:13" x14ac:dyDescent="0.25">
      <c r="A65" s="4" t="s">
        <v>91</v>
      </c>
      <c r="B65" t="s">
        <v>20</v>
      </c>
      <c r="C65" t="s">
        <v>6</v>
      </c>
      <c r="D65" s="3">
        <f t="shared" si="0"/>
        <v>98</v>
      </c>
      <c r="E65" s="4">
        <f t="shared" si="1"/>
        <v>11</v>
      </c>
      <c r="F65" s="4">
        <f t="shared" si="2"/>
        <v>25</v>
      </c>
      <c r="G65" s="3">
        <f>IF(E65&gt;=20,2000,1900) + D65</f>
        <v>1998</v>
      </c>
      <c r="H65">
        <f t="shared" si="3"/>
        <v>11</v>
      </c>
      <c r="I65" s="4">
        <f t="shared" si="4"/>
        <v>25</v>
      </c>
      <c r="J65">
        <f t="shared" si="5"/>
        <v>19981125</v>
      </c>
      <c r="K65" t="str">
        <f t="shared" si="6"/>
        <v>25.11.1998</v>
      </c>
      <c r="L65" s="10">
        <f t="shared" si="7"/>
        <v>8813</v>
      </c>
      <c r="M65" s="8">
        <f t="shared" si="8"/>
        <v>24</v>
      </c>
    </row>
    <row r="66" spans="1:13" x14ac:dyDescent="0.25">
      <c r="A66" s="4" t="s">
        <v>92</v>
      </c>
      <c r="B66" t="s">
        <v>14</v>
      </c>
      <c r="C66" t="s">
        <v>4</v>
      </c>
      <c r="D66" s="3">
        <f t="shared" si="0"/>
        <v>80</v>
      </c>
      <c r="E66" s="4">
        <f t="shared" si="1"/>
        <v>2</v>
      </c>
      <c r="F66" s="4">
        <f t="shared" si="2"/>
        <v>5</v>
      </c>
      <c r="G66" s="3">
        <f>IF(E66&gt;=20,2000,1900) + D66</f>
        <v>1980</v>
      </c>
      <c r="H66">
        <f t="shared" si="3"/>
        <v>2</v>
      </c>
      <c r="I66" s="4">
        <f t="shared" si="4"/>
        <v>5</v>
      </c>
      <c r="J66">
        <f t="shared" si="5"/>
        <v>19800205</v>
      </c>
      <c r="K66" t="str">
        <f t="shared" si="6"/>
        <v>05.02.1980</v>
      </c>
      <c r="L66" s="10">
        <f t="shared" si="7"/>
        <v>15681</v>
      </c>
      <c r="M66" s="8">
        <f t="shared" si="8"/>
        <v>42</v>
      </c>
    </row>
    <row r="67" spans="1:13" x14ac:dyDescent="0.25">
      <c r="A67" s="4" t="s">
        <v>93</v>
      </c>
      <c r="B67" t="s">
        <v>17</v>
      </c>
      <c r="C67" t="s">
        <v>4</v>
      </c>
      <c r="D67" s="3">
        <f t="shared" ref="D67:D130" si="9">MID(A67,1,2)*1</f>
        <v>78</v>
      </c>
      <c r="E67" s="4">
        <f t="shared" ref="E67:E130" si="10">MID(A67,3,2)*1</f>
        <v>9</v>
      </c>
      <c r="F67" s="4">
        <f t="shared" ref="F67:F130" si="11">MID(A67,5,2)*1</f>
        <v>6</v>
      </c>
      <c r="G67" s="3">
        <f>IF(E67&gt;=20,2000,1900) + D67</f>
        <v>1978</v>
      </c>
      <c r="H67">
        <f t="shared" ref="H67:H130" si="12">IF(E67&gt;=20,E67-20,E67)</f>
        <v>9</v>
      </c>
      <c r="I67" s="4">
        <f t="shared" ref="I67:I130" si="13">F67</f>
        <v>6</v>
      </c>
      <c r="J67">
        <f t="shared" ref="J67:J130" si="14">CONCATENATE(G67,IF(LEN(H67)=1,CONCATENATE("0",H67),H67),IF(LEN(F67)=1,CONCATENATE("0",F67),F67))*1</f>
        <v>19780906</v>
      </c>
      <c r="K67" t="str">
        <f t="shared" ref="K67:K130" si="15">CONCATENATE(RIGHT(J67,2),".",MID(J67,5,2),".",LEFT(J67,4))</f>
        <v>06.09.1978</v>
      </c>
      <c r="L67" s="10">
        <f t="shared" ref="L67:L130" si="16">44937-K67</f>
        <v>16198</v>
      </c>
      <c r="M67" s="8">
        <f t="shared" ref="M67:M130" si="17">YEAR(L67)-1900</f>
        <v>44</v>
      </c>
    </row>
    <row r="68" spans="1:13" x14ac:dyDescent="0.25">
      <c r="A68" s="4" t="s">
        <v>94</v>
      </c>
      <c r="B68" t="s">
        <v>8</v>
      </c>
      <c r="C68" t="s">
        <v>4</v>
      </c>
      <c r="D68" s="3">
        <f t="shared" si="9"/>
        <v>85</v>
      </c>
      <c r="E68" s="4">
        <f t="shared" si="10"/>
        <v>10</v>
      </c>
      <c r="F68" s="4">
        <f t="shared" si="11"/>
        <v>4</v>
      </c>
      <c r="G68" s="3">
        <f>IF(E68&gt;=20,2000,1900) + D68</f>
        <v>1985</v>
      </c>
      <c r="H68">
        <f t="shared" si="12"/>
        <v>10</v>
      </c>
      <c r="I68" s="4">
        <f t="shared" si="13"/>
        <v>4</v>
      </c>
      <c r="J68">
        <f t="shared" si="14"/>
        <v>19851004</v>
      </c>
      <c r="K68" t="str">
        <f t="shared" si="15"/>
        <v>04.10.1985</v>
      </c>
      <c r="L68" s="10">
        <f t="shared" si="16"/>
        <v>13613</v>
      </c>
      <c r="M68" s="8">
        <f t="shared" si="17"/>
        <v>37</v>
      </c>
    </row>
    <row r="69" spans="1:13" x14ac:dyDescent="0.25">
      <c r="A69" s="4" t="s">
        <v>95</v>
      </c>
      <c r="B69" t="s">
        <v>17</v>
      </c>
      <c r="C69" t="s">
        <v>6</v>
      </c>
      <c r="D69" s="3">
        <f t="shared" si="9"/>
        <v>62</v>
      </c>
      <c r="E69" s="4">
        <f t="shared" si="10"/>
        <v>10</v>
      </c>
      <c r="F69" s="4">
        <f t="shared" si="11"/>
        <v>30</v>
      </c>
      <c r="G69" s="3">
        <f>IF(E69&gt;=20,2000,1900) + D69</f>
        <v>1962</v>
      </c>
      <c r="H69">
        <f t="shared" si="12"/>
        <v>10</v>
      </c>
      <c r="I69" s="4">
        <f t="shared" si="13"/>
        <v>30</v>
      </c>
      <c r="J69">
        <f t="shared" si="14"/>
        <v>19621030</v>
      </c>
      <c r="K69" t="str">
        <f t="shared" si="15"/>
        <v>30.10.1962</v>
      </c>
      <c r="L69" s="10">
        <f t="shared" si="16"/>
        <v>21988</v>
      </c>
      <c r="M69" s="8">
        <f t="shared" si="17"/>
        <v>60</v>
      </c>
    </row>
    <row r="70" spans="1:13" x14ac:dyDescent="0.25">
      <c r="A70" s="4" t="s">
        <v>96</v>
      </c>
      <c r="B70" t="s">
        <v>20</v>
      </c>
      <c r="C70" t="s">
        <v>6</v>
      </c>
      <c r="D70" s="3">
        <f t="shared" si="9"/>
        <v>64</v>
      </c>
      <c r="E70" s="4">
        <f t="shared" si="10"/>
        <v>9</v>
      </c>
      <c r="F70" s="4">
        <f t="shared" si="11"/>
        <v>21</v>
      </c>
      <c r="G70" s="3">
        <f>IF(E70&gt;=20,2000,1900) + D70</f>
        <v>1964</v>
      </c>
      <c r="H70">
        <f t="shared" si="12"/>
        <v>9</v>
      </c>
      <c r="I70" s="4">
        <f t="shared" si="13"/>
        <v>21</v>
      </c>
      <c r="J70">
        <f t="shared" si="14"/>
        <v>19640921</v>
      </c>
      <c r="K70" t="str">
        <f t="shared" si="15"/>
        <v>21.09.1964</v>
      </c>
      <c r="L70" s="10">
        <f t="shared" si="16"/>
        <v>21296</v>
      </c>
      <c r="M70" s="8">
        <f t="shared" si="17"/>
        <v>58</v>
      </c>
    </row>
    <row r="71" spans="1:13" x14ac:dyDescent="0.25">
      <c r="A71" s="4" t="s">
        <v>97</v>
      </c>
      <c r="B71" t="s">
        <v>19</v>
      </c>
      <c r="C71" t="s">
        <v>4</v>
      </c>
      <c r="D71" s="3">
        <f t="shared" si="9"/>
        <v>72</v>
      </c>
      <c r="E71" s="4">
        <f t="shared" si="10"/>
        <v>11</v>
      </c>
      <c r="F71" s="4">
        <f t="shared" si="11"/>
        <v>28</v>
      </c>
      <c r="G71" s="3">
        <f>IF(E71&gt;=20,2000,1900) + D71</f>
        <v>1972</v>
      </c>
      <c r="H71">
        <f t="shared" si="12"/>
        <v>11</v>
      </c>
      <c r="I71" s="4">
        <f t="shared" si="13"/>
        <v>28</v>
      </c>
      <c r="J71">
        <f t="shared" si="14"/>
        <v>19721128</v>
      </c>
      <c r="K71" t="str">
        <f t="shared" si="15"/>
        <v>28.11.1972</v>
      </c>
      <c r="L71" s="10">
        <f t="shared" si="16"/>
        <v>18306</v>
      </c>
      <c r="M71" s="8">
        <f t="shared" si="17"/>
        <v>50</v>
      </c>
    </row>
    <row r="72" spans="1:13" x14ac:dyDescent="0.25">
      <c r="A72" s="4" t="s">
        <v>98</v>
      </c>
      <c r="B72" t="s">
        <v>15</v>
      </c>
      <c r="C72" t="s">
        <v>6</v>
      </c>
      <c r="D72" s="3">
        <f t="shared" si="9"/>
        <v>90</v>
      </c>
      <c r="E72" s="4">
        <f t="shared" si="10"/>
        <v>7</v>
      </c>
      <c r="F72" s="4">
        <f t="shared" si="11"/>
        <v>11</v>
      </c>
      <c r="G72" s="3">
        <f>IF(E72&gt;=20,2000,1900) + D72</f>
        <v>1990</v>
      </c>
      <c r="H72">
        <f t="shared" si="12"/>
        <v>7</v>
      </c>
      <c r="I72" s="4">
        <f t="shared" si="13"/>
        <v>11</v>
      </c>
      <c r="J72">
        <f t="shared" si="14"/>
        <v>19900711</v>
      </c>
      <c r="K72" t="str">
        <f t="shared" si="15"/>
        <v>11.07.1990</v>
      </c>
      <c r="L72" s="10">
        <f t="shared" si="16"/>
        <v>11872</v>
      </c>
      <c r="M72" s="8">
        <f t="shared" si="17"/>
        <v>32</v>
      </c>
    </row>
    <row r="73" spans="1:13" x14ac:dyDescent="0.25">
      <c r="A73" s="4" t="s">
        <v>99</v>
      </c>
      <c r="B73" t="s">
        <v>10</v>
      </c>
      <c r="C73" t="s">
        <v>4</v>
      </c>
      <c r="D73" s="3">
        <f t="shared" si="9"/>
        <v>80</v>
      </c>
      <c r="E73" s="4">
        <f t="shared" si="10"/>
        <v>10</v>
      </c>
      <c r="F73" s="4">
        <f t="shared" si="11"/>
        <v>7</v>
      </c>
      <c r="G73" s="3">
        <f>IF(E73&gt;=20,2000,1900) + D73</f>
        <v>1980</v>
      </c>
      <c r="H73">
        <f t="shared" si="12"/>
        <v>10</v>
      </c>
      <c r="I73" s="4">
        <f t="shared" si="13"/>
        <v>7</v>
      </c>
      <c r="J73">
        <f t="shared" si="14"/>
        <v>19801007</v>
      </c>
      <c r="K73" t="str">
        <f t="shared" si="15"/>
        <v>07.10.1980</v>
      </c>
      <c r="L73" s="10">
        <f t="shared" si="16"/>
        <v>15436</v>
      </c>
      <c r="M73" s="8">
        <f t="shared" si="17"/>
        <v>42</v>
      </c>
    </row>
    <row r="74" spans="1:13" x14ac:dyDescent="0.25">
      <c r="A74" s="4" t="s">
        <v>100</v>
      </c>
      <c r="B74" t="s">
        <v>19</v>
      </c>
      <c r="C74" t="s">
        <v>4</v>
      </c>
      <c r="D74" s="3">
        <f t="shared" si="9"/>
        <v>67</v>
      </c>
      <c r="E74" s="4">
        <f t="shared" si="10"/>
        <v>11</v>
      </c>
      <c r="F74" s="4">
        <f t="shared" si="11"/>
        <v>16</v>
      </c>
      <c r="G74" s="3">
        <f>IF(E74&gt;=20,2000,1900) + D74</f>
        <v>1967</v>
      </c>
      <c r="H74">
        <f t="shared" si="12"/>
        <v>11</v>
      </c>
      <c r="I74" s="4">
        <f t="shared" si="13"/>
        <v>16</v>
      </c>
      <c r="J74">
        <f t="shared" si="14"/>
        <v>19671116</v>
      </c>
      <c r="K74" t="str">
        <f t="shared" si="15"/>
        <v>16.11.1967</v>
      </c>
      <c r="L74" s="10">
        <f t="shared" si="16"/>
        <v>20145</v>
      </c>
      <c r="M74" s="8">
        <f t="shared" si="17"/>
        <v>55</v>
      </c>
    </row>
    <row r="75" spans="1:13" x14ac:dyDescent="0.25">
      <c r="A75" s="4" t="s">
        <v>101</v>
      </c>
      <c r="B75" t="s">
        <v>9</v>
      </c>
      <c r="C75" t="s">
        <v>4</v>
      </c>
      <c r="D75" s="3">
        <f t="shared" si="9"/>
        <v>87</v>
      </c>
      <c r="E75" s="4">
        <f t="shared" si="10"/>
        <v>10</v>
      </c>
      <c r="F75" s="4">
        <f t="shared" si="11"/>
        <v>4</v>
      </c>
      <c r="G75" s="3">
        <f>IF(E75&gt;=20,2000,1900) + D75</f>
        <v>1987</v>
      </c>
      <c r="H75">
        <f t="shared" si="12"/>
        <v>10</v>
      </c>
      <c r="I75" s="4">
        <f t="shared" si="13"/>
        <v>4</v>
      </c>
      <c r="J75">
        <f t="shared" si="14"/>
        <v>19871004</v>
      </c>
      <c r="K75" t="str">
        <f t="shared" si="15"/>
        <v>04.10.1987</v>
      </c>
      <c r="L75" s="10">
        <f t="shared" si="16"/>
        <v>12883</v>
      </c>
      <c r="M75" s="8">
        <f t="shared" si="17"/>
        <v>35</v>
      </c>
    </row>
    <row r="76" spans="1:13" x14ac:dyDescent="0.25">
      <c r="A76" s="4" t="s">
        <v>102</v>
      </c>
      <c r="B76" t="s">
        <v>20</v>
      </c>
      <c r="C76" t="s">
        <v>4</v>
      </c>
      <c r="D76" s="3">
        <f t="shared" si="9"/>
        <v>64</v>
      </c>
      <c r="E76" s="4">
        <f t="shared" si="10"/>
        <v>9</v>
      </c>
      <c r="F76" s="4">
        <f t="shared" si="11"/>
        <v>1</v>
      </c>
      <c r="G76" s="3">
        <f>IF(E76&gt;=20,2000,1900) + D76</f>
        <v>1964</v>
      </c>
      <c r="H76">
        <f t="shared" si="12"/>
        <v>9</v>
      </c>
      <c r="I76" s="4">
        <f t="shared" si="13"/>
        <v>1</v>
      </c>
      <c r="J76">
        <f t="shared" si="14"/>
        <v>19640901</v>
      </c>
      <c r="K76" t="str">
        <f t="shared" si="15"/>
        <v>01.09.1964</v>
      </c>
      <c r="L76" s="10">
        <f t="shared" si="16"/>
        <v>21316</v>
      </c>
      <c r="M76" s="8">
        <f t="shared" si="17"/>
        <v>58</v>
      </c>
    </row>
    <row r="77" spans="1:13" x14ac:dyDescent="0.25">
      <c r="A77" s="4" t="s">
        <v>103</v>
      </c>
      <c r="B77" t="s">
        <v>3</v>
      </c>
      <c r="C77" t="s">
        <v>4</v>
      </c>
      <c r="D77" s="3">
        <f t="shared" si="9"/>
        <v>61</v>
      </c>
      <c r="E77" s="4">
        <f t="shared" si="10"/>
        <v>6</v>
      </c>
      <c r="F77" s="4">
        <f t="shared" si="11"/>
        <v>17</v>
      </c>
      <c r="G77" s="3">
        <f>IF(E77&gt;=20,2000,1900) + D77</f>
        <v>1961</v>
      </c>
      <c r="H77">
        <f t="shared" si="12"/>
        <v>6</v>
      </c>
      <c r="I77" s="4">
        <f t="shared" si="13"/>
        <v>17</v>
      </c>
      <c r="J77">
        <f t="shared" si="14"/>
        <v>19610617</v>
      </c>
      <c r="K77" t="str">
        <f t="shared" si="15"/>
        <v>17.06.1961</v>
      </c>
      <c r="L77" s="10">
        <f t="shared" si="16"/>
        <v>22488</v>
      </c>
      <c r="M77" s="8">
        <f t="shared" si="17"/>
        <v>61</v>
      </c>
    </row>
    <row r="78" spans="1:13" x14ac:dyDescent="0.25">
      <c r="A78" s="4" t="s">
        <v>104</v>
      </c>
      <c r="B78" t="s">
        <v>9</v>
      </c>
      <c r="C78" t="s">
        <v>6</v>
      </c>
      <c r="D78" s="3">
        <f t="shared" si="9"/>
        <v>66</v>
      </c>
      <c r="E78" s="4">
        <f t="shared" si="10"/>
        <v>12</v>
      </c>
      <c r="F78" s="4">
        <f t="shared" si="11"/>
        <v>15</v>
      </c>
      <c r="G78" s="3">
        <f>IF(E78&gt;=20,2000,1900) + D78</f>
        <v>1966</v>
      </c>
      <c r="H78">
        <f t="shared" si="12"/>
        <v>12</v>
      </c>
      <c r="I78" s="4">
        <f t="shared" si="13"/>
        <v>15</v>
      </c>
      <c r="J78">
        <f t="shared" si="14"/>
        <v>19661215</v>
      </c>
      <c r="K78" t="str">
        <f t="shared" si="15"/>
        <v>15.12.1966</v>
      </c>
      <c r="L78" s="10">
        <f t="shared" si="16"/>
        <v>20481</v>
      </c>
      <c r="M78" s="8">
        <f t="shared" si="17"/>
        <v>56</v>
      </c>
    </row>
    <row r="79" spans="1:13" x14ac:dyDescent="0.25">
      <c r="A79" s="4" t="s">
        <v>105</v>
      </c>
      <c r="B79" t="s">
        <v>14</v>
      </c>
      <c r="C79" t="s">
        <v>4</v>
      </c>
      <c r="D79" s="3">
        <f t="shared" si="9"/>
        <v>92</v>
      </c>
      <c r="E79" s="4">
        <f t="shared" si="10"/>
        <v>10</v>
      </c>
      <c r="F79" s="4">
        <f t="shared" si="11"/>
        <v>29</v>
      </c>
      <c r="G79" s="3">
        <f>IF(E79&gt;=20,2000,1900) + D79</f>
        <v>1992</v>
      </c>
      <c r="H79">
        <f t="shared" si="12"/>
        <v>10</v>
      </c>
      <c r="I79" s="4">
        <f t="shared" si="13"/>
        <v>29</v>
      </c>
      <c r="J79">
        <f t="shared" si="14"/>
        <v>19921029</v>
      </c>
      <c r="K79" t="str">
        <f t="shared" si="15"/>
        <v>29.10.1992</v>
      </c>
      <c r="L79" s="10">
        <f t="shared" si="16"/>
        <v>11031</v>
      </c>
      <c r="M79" s="8">
        <f t="shared" si="17"/>
        <v>30</v>
      </c>
    </row>
    <row r="80" spans="1:13" x14ac:dyDescent="0.25">
      <c r="A80" s="4" t="s">
        <v>106</v>
      </c>
      <c r="B80" t="s">
        <v>3</v>
      </c>
      <c r="C80" t="s">
        <v>4</v>
      </c>
      <c r="D80" s="3">
        <f t="shared" si="9"/>
        <v>97</v>
      </c>
      <c r="E80" s="4">
        <f t="shared" si="10"/>
        <v>1</v>
      </c>
      <c r="F80" s="4">
        <f t="shared" si="11"/>
        <v>19</v>
      </c>
      <c r="G80" s="3">
        <f>IF(E80&gt;=20,2000,1900) + D80</f>
        <v>1997</v>
      </c>
      <c r="H80">
        <f t="shared" si="12"/>
        <v>1</v>
      </c>
      <c r="I80" s="4">
        <f t="shared" si="13"/>
        <v>19</v>
      </c>
      <c r="J80">
        <f t="shared" si="14"/>
        <v>19970119</v>
      </c>
      <c r="K80" t="str">
        <f t="shared" si="15"/>
        <v>19.01.1997</v>
      </c>
      <c r="L80" s="10">
        <f t="shared" si="16"/>
        <v>9488</v>
      </c>
      <c r="M80" s="8">
        <f t="shared" si="17"/>
        <v>25</v>
      </c>
    </row>
    <row r="81" spans="1:13" x14ac:dyDescent="0.25">
      <c r="A81" s="4" t="s">
        <v>107</v>
      </c>
      <c r="B81" t="s">
        <v>14</v>
      </c>
      <c r="C81" t="s">
        <v>6</v>
      </c>
      <c r="D81" s="3">
        <f t="shared" si="9"/>
        <v>75</v>
      </c>
      <c r="E81" s="4">
        <f t="shared" si="10"/>
        <v>4</v>
      </c>
      <c r="F81" s="4">
        <f t="shared" si="11"/>
        <v>20</v>
      </c>
      <c r="G81" s="3">
        <f>IF(E81&gt;=20,2000,1900) + D81</f>
        <v>1975</v>
      </c>
      <c r="H81">
        <f t="shared" si="12"/>
        <v>4</v>
      </c>
      <c r="I81" s="4">
        <f t="shared" si="13"/>
        <v>20</v>
      </c>
      <c r="J81">
        <f t="shared" si="14"/>
        <v>19750420</v>
      </c>
      <c r="K81" t="str">
        <f t="shared" si="15"/>
        <v>20.04.1975</v>
      </c>
      <c r="L81" s="10">
        <f t="shared" si="16"/>
        <v>17433</v>
      </c>
      <c r="M81" s="8">
        <f t="shared" si="17"/>
        <v>47</v>
      </c>
    </row>
    <row r="82" spans="1:13" x14ac:dyDescent="0.25">
      <c r="A82" s="4" t="s">
        <v>108</v>
      </c>
      <c r="B82" t="s">
        <v>15</v>
      </c>
      <c r="C82" t="s">
        <v>4</v>
      </c>
      <c r="D82" s="3">
        <f t="shared" si="9"/>
        <v>51</v>
      </c>
      <c r="E82" s="4">
        <f t="shared" si="10"/>
        <v>10</v>
      </c>
      <c r="F82" s="4">
        <f t="shared" si="11"/>
        <v>1</v>
      </c>
      <c r="G82" s="3">
        <f>IF(E82&gt;=20,2000,1900) + D82</f>
        <v>1951</v>
      </c>
      <c r="H82">
        <f t="shared" si="12"/>
        <v>10</v>
      </c>
      <c r="I82" s="4">
        <f t="shared" si="13"/>
        <v>1</v>
      </c>
      <c r="J82">
        <f t="shared" si="14"/>
        <v>19511001</v>
      </c>
      <c r="K82" t="str">
        <f t="shared" si="15"/>
        <v>01.10.1951</v>
      </c>
      <c r="L82" s="10">
        <f t="shared" si="16"/>
        <v>26035</v>
      </c>
      <c r="M82" s="8">
        <f t="shared" si="17"/>
        <v>71</v>
      </c>
    </row>
    <row r="83" spans="1:13" x14ac:dyDescent="0.25">
      <c r="A83" s="4" t="s">
        <v>109</v>
      </c>
      <c r="B83" t="s">
        <v>15</v>
      </c>
      <c r="C83" t="s">
        <v>4</v>
      </c>
      <c r="D83" s="3">
        <f t="shared" si="9"/>
        <v>72</v>
      </c>
      <c r="E83" s="4">
        <f t="shared" si="10"/>
        <v>7</v>
      </c>
      <c r="F83" s="4">
        <f t="shared" si="11"/>
        <v>30</v>
      </c>
      <c r="G83" s="3">
        <f>IF(E83&gt;=20,2000,1900) + D83</f>
        <v>1972</v>
      </c>
      <c r="H83">
        <f t="shared" si="12"/>
        <v>7</v>
      </c>
      <c r="I83" s="4">
        <f t="shared" si="13"/>
        <v>30</v>
      </c>
      <c r="J83">
        <f t="shared" si="14"/>
        <v>19720730</v>
      </c>
      <c r="K83" t="str">
        <f t="shared" si="15"/>
        <v>30.07.1972</v>
      </c>
      <c r="L83" s="10">
        <f t="shared" si="16"/>
        <v>18427</v>
      </c>
      <c r="M83" s="8">
        <f t="shared" si="17"/>
        <v>50</v>
      </c>
    </row>
    <row r="84" spans="1:13" x14ac:dyDescent="0.25">
      <c r="A84" s="4" t="s">
        <v>110</v>
      </c>
      <c r="B84" t="s">
        <v>5</v>
      </c>
      <c r="C84" t="s">
        <v>4</v>
      </c>
      <c r="D84" s="3">
        <f t="shared" si="9"/>
        <v>95</v>
      </c>
      <c r="E84" s="4">
        <f t="shared" si="10"/>
        <v>7</v>
      </c>
      <c r="F84" s="4">
        <f t="shared" si="11"/>
        <v>15</v>
      </c>
      <c r="G84" s="3">
        <f>IF(E84&gt;=20,2000,1900) + D84</f>
        <v>1995</v>
      </c>
      <c r="H84">
        <f t="shared" si="12"/>
        <v>7</v>
      </c>
      <c r="I84" s="4">
        <f t="shared" si="13"/>
        <v>15</v>
      </c>
      <c r="J84">
        <f t="shared" si="14"/>
        <v>19950715</v>
      </c>
      <c r="K84" t="str">
        <f t="shared" si="15"/>
        <v>15.07.1995</v>
      </c>
      <c r="L84" s="10">
        <f t="shared" si="16"/>
        <v>10042</v>
      </c>
      <c r="M84" s="8">
        <f t="shared" si="17"/>
        <v>27</v>
      </c>
    </row>
    <row r="85" spans="1:13" x14ac:dyDescent="0.25">
      <c r="A85" s="4" t="s">
        <v>111</v>
      </c>
      <c r="B85" t="s">
        <v>9</v>
      </c>
      <c r="C85" t="s">
        <v>4</v>
      </c>
      <c r="D85" s="3">
        <f t="shared" si="9"/>
        <v>64</v>
      </c>
      <c r="E85" s="4">
        <f t="shared" si="10"/>
        <v>8</v>
      </c>
      <c r="F85" s="4">
        <f t="shared" si="11"/>
        <v>27</v>
      </c>
      <c r="G85" s="3">
        <f>IF(E85&gt;=20,2000,1900) + D85</f>
        <v>1964</v>
      </c>
      <c r="H85">
        <f t="shared" si="12"/>
        <v>8</v>
      </c>
      <c r="I85" s="4">
        <f t="shared" si="13"/>
        <v>27</v>
      </c>
      <c r="J85">
        <f t="shared" si="14"/>
        <v>19640827</v>
      </c>
      <c r="K85" t="str">
        <f t="shared" si="15"/>
        <v>27.08.1964</v>
      </c>
      <c r="L85" s="10">
        <f t="shared" si="16"/>
        <v>21321</v>
      </c>
      <c r="M85" s="8">
        <f t="shared" si="17"/>
        <v>58</v>
      </c>
    </row>
    <row r="86" spans="1:13" x14ac:dyDescent="0.25">
      <c r="A86" s="4" t="s">
        <v>112</v>
      </c>
      <c r="B86" t="s">
        <v>5</v>
      </c>
      <c r="C86" t="s">
        <v>4</v>
      </c>
      <c r="D86" s="3">
        <f t="shared" si="9"/>
        <v>74</v>
      </c>
      <c r="E86" s="4">
        <f t="shared" si="10"/>
        <v>10</v>
      </c>
      <c r="F86" s="4">
        <f t="shared" si="11"/>
        <v>20</v>
      </c>
      <c r="G86" s="3">
        <f>IF(E86&gt;=20,2000,1900) + D86</f>
        <v>1974</v>
      </c>
      <c r="H86">
        <f t="shared" si="12"/>
        <v>10</v>
      </c>
      <c r="I86" s="4">
        <f t="shared" si="13"/>
        <v>20</v>
      </c>
      <c r="J86">
        <f t="shared" si="14"/>
        <v>19741020</v>
      </c>
      <c r="K86" t="str">
        <f t="shared" si="15"/>
        <v>20.10.1974</v>
      </c>
      <c r="L86" s="10">
        <f t="shared" si="16"/>
        <v>17615</v>
      </c>
      <c r="M86" s="8">
        <f t="shared" si="17"/>
        <v>48</v>
      </c>
    </row>
    <row r="87" spans="1:13" x14ac:dyDescent="0.25">
      <c r="A87" s="4" t="s">
        <v>113</v>
      </c>
      <c r="B87" t="s">
        <v>14</v>
      </c>
      <c r="C87" t="s">
        <v>6</v>
      </c>
      <c r="D87" s="3">
        <f t="shared" si="9"/>
        <v>57</v>
      </c>
      <c r="E87" s="4">
        <f t="shared" si="10"/>
        <v>8</v>
      </c>
      <c r="F87" s="4">
        <f t="shared" si="11"/>
        <v>13</v>
      </c>
      <c r="G87" s="3">
        <f>IF(E87&gt;=20,2000,1900) + D87</f>
        <v>1957</v>
      </c>
      <c r="H87">
        <f t="shared" si="12"/>
        <v>8</v>
      </c>
      <c r="I87" s="4">
        <f t="shared" si="13"/>
        <v>13</v>
      </c>
      <c r="J87">
        <f t="shared" si="14"/>
        <v>19570813</v>
      </c>
      <c r="K87" t="str">
        <f t="shared" si="15"/>
        <v>13.08.1957</v>
      </c>
      <c r="L87" s="10">
        <f t="shared" si="16"/>
        <v>23892</v>
      </c>
      <c r="M87" s="8">
        <f t="shared" si="17"/>
        <v>65</v>
      </c>
    </row>
    <row r="88" spans="1:13" x14ac:dyDescent="0.25">
      <c r="A88" s="4" t="s">
        <v>114</v>
      </c>
      <c r="B88" t="s">
        <v>8</v>
      </c>
      <c r="C88" t="s">
        <v>4</v>
      </c>
      <c r="D88" s="3">
        <f t="shared" si="9"/>
        <v>63</v>
      </c>
      <c r="E88" s="4">
        <f t="shared" si="10"/>
        <v>9</v>
      </c>
      <c r="F88" s="4">
        <f t="shared" si="11"/>
        <v>18</v>
      </c>
      <c r="G88" s="3">
        <f>IF(E88&gt;=20,2000,1900) + D88</f>
        <v>1963</v>
      </c>
      <c r="H88">
        <f t="shared" si="12"/>
        <v>9</v>
      </c>
      <c r="I88" s="4">
        <f t="shared" si="13"/>
        <v>18</v>
      </c>
      <c r="J88">
        <f t="shared" si="14"/>
        <v>19630918</v>
      </c>
      <c r="K88" t="str">
        <f t="shared" si="15"/>
        <v>18.09.1963</v>
      </c>
      <c r="L88" s="10">
        <f t="shared" si="16"/>
        <v>21665</v>
      </c>
      <c r="M88" s="8">
        <f t="shared" si="17"/>
        <v>59</v>
      </c>
    </row>
    <row r="89" spans="1:13" x14ac:dyDescent="0.25">
      <c r="A89" s="4" t="s">
        <v>115</v>
      </c>
      <c r="B89" t="s">
        <v>16</v>
      </c>
      <c r="C89" t="s">
        <v>4</v>
      </c>
      <c r="D89" s="3">
        <f t="shared" si="9"/>
        <v>90</v>
      </c>
      <c r="E89" s="4">
        <f t="shared" si="10"/>
        <v>4</v>
      </c>
      <c r="F89" s="4">
        <f t="shared" si="11"/>
        <v>2</v>
      </c>
      <c r="G89" s="3">
        <f>IF(E89&gt;=20,2000,1900) + D89</f>
        <v>1990</v>
      </c>
      <c r="H89">
        <f t="shared" si="12"/>
        <v>4</v>
      </c>
      <c r="I89" s="4">
        <f t="shared" si="13"/>
        <v>2</v>
      </c>
      <c r="J89">
        <f t="shared" si="14"/>
        <v>19900402</v>
      </c>
      <c r="K89" t="str">
        <f t="shared" si="15"/>
        <v>02.04.1990</v>
      </c>
      <c r="L89" s="10">
        <f t="shared" si="16"/>
        <v>11972</v>
      </c>
      <c r="M89" s="8">
        <f t="shared" si="17"/>
        <v>32</v>
      </c>
    </row>
    <row r="90" spans="1:13" x14ac:dyDescent="0.25">
      <c r="A90" s="4" t="s">
        <v>116</v>
      </c>
      <c r="B90" t="s">
        <v>17</v>
      </c>
      <c r="C90" t="s">
        <v>4</v>
      </c>
      <c r="D90" s="3">
        <f t="shared" si="9"/>
        <v>93</v>
      </c>
      <c r="E90" s="4">
        <f t="shared" si="10"/>
        <v>2</v>
      </c>
      <c r="F90" s="4">
        <f t="shared" si="11"/>
        <v>10</v>
      </c>
      <c r="G90" s="3">
        <f>IF(E90&gt;=20,2000,1900) + D90</f>
        <v>1993</v>
      </c>
      <c r="H90">
        <f t="shared" si="12"/>
        <v>2</v>
      </c>
      <c r="I90" s="4">
        <f t="shared" si="13"/>
        <v>10</v>
      </c>
      <c r="J90">
        <f t="shared" si="14"/>
        <v>19930210</v>
      </c>
      <c r="K90" t="str">
        <f t="shared" si="15"/>
        <v>10.02.1993</v>
      </c>
      <c r="L90" s="10">
        <f t="shared" si="16"/>
        <v>10927</v>
      </c>
      <c r="M90" s="8">
        <f t="shared" si="17"/>
        <v>29</v>
      </c>
    </row>
    <row r="91" spans="1:13" x14ac:dyDescent="0.25">
      <c r="A91" s="4" t="s">
        <v>117</v>
      </c>
      <c r="B91" t="s">
        <v>20</v>
      </c>
      <c r="C91" t="s">
        <v>4</v>
      </c>
      <c r="D91" s="3">
        <f t="shared" si="9"/>
        <v>71</v>
      </c>
      <c r="E91" s="4">
        <f t="shared" si="10"/>
        <v>6</v>
      </c>
      <c r="F91" s="4">
        <f t="shared" si="11"/>
        <v>9</v>
      </c>
      <c r="G91" s="3">
        <f>IF(E91&gt;=20,2000,1900) + D91</f>
        <v>1971</v>
      </c>
      <c r="H91">
        <f t="shared" si="12"/>
        <v>6</v>
      </c>
      <c r="I91" s="4">
        <f t="shared" si="13"/>
        <v>9</v>
      </c>
      <c r="J91">
        <f t="shared" si="14"/>
        <v>19710609</v>
      </c>
      <c r="K91" t="str">
        <f t="shared" si="15"/>
        <v>09.06.1971</v>
      </c>
      <c r="L91" s="10">
        <f t="shared" si="16"/>
        <v>18844</v>
      </c>
      <c r="M91" s="8">
        <f t="shared" si="17"/>
        <v>51</v>
      </c>
    </row>
    <row r="92" spans="1:13" x14ac:dyDescent="0.25">
      <c r="A92" s="4" t="s">
        <v>118</v>
      </c>
      <c r="B92" t="s">
        <v>18</v>
      </c>
      <c r="C92" t="s">
        <v>4</v>
      </c>
      <c r="D92" s="3">
        <f t="shared" si="9"/>
        <v>66</v>
      </c>
      <c r="E92" s="4">
        <f t="shared" si="10"/>
        <v>4</v>
      </c>
      <c r="F92" s="4">
        <f t="shared" si="11"/>
        <v>28</v>
      </c>
      <c r="G92" s="3">
        <f>IF(E92&gt;=20,2000,1900) + D92</f>
        <v>1966</v>
      </c>
      <c r="H92">
        <f t="shared" si="12"/>
        <v>4</v>
      </c>
      <c r="I92" s="4">
        <f t="shared" si="13"/>
        <v>28</v>
      </c>
      <c r="J92">
        <f t="shared" si="14"/>
        <v>19660428</v>
      </c>
      <c r="K92" t="str">
        <f t="shared" si="15"/>
        <v>28.04.1966</v>
      </c>
      <c r="L92" s="10">
        <f t="shared" si="16"/>
        <v>20712</v>
      </c>
      <c r="M92" s="8">
        <f t="shared" si="17"/>
        <v>56</v>
      </c>
    </row>
    <row r="93" spans="1:13" x14ac:dyDescent="0.25">
      <c r="A93" s="4" t="s">
        <v>119</v>
      </c>
      <c r="B93" t="s">
        <v>3</v>
      </c>
      <c r="C93" t="s">
        <v>4</v>
      </c>
      <c r="D93" s="3">
        <f t="shared" si="9"/>
        <v>97</v>
      </c>
      <c r="E93" s="4">
        <f t="shared" si="10"/>
        <v>8</v>
      </c>
      <c r="F93" s="4">
        <f t="shared" si="11"/>
        <v>2</v>
      </c>
      <c r="G93" s="3">
        <f>IF(E93&gt;=20,2000,1900) + D93</f>
        <v>1997</v>
      </c>
      <c r="H93">
        <f t="shared" si="12"/>
        <v>8</v>
      </c>
      <c r="I93" s="4">
        <f t="shared" si="13"/>
        <v>2</v>
      </c>
      <c r="J93">
        <f t="shared" si="14"/>
        <v>19970802</v>
      </c>
      <c r="K93" t="str">
        <f t="shared" si="15"/>
        <v>02.08.1997</v>
      </c>
      <c r="L93" s="10">
        <f t="shared" si="16"/>
        <v>9293</v>
      </c>
      <c r="M93" s="8">
        <f t="shared" si="17"/>
        <v>25</v>
      </c>
    </row>
    <row r="94" spans="1:13" x14ac:dyDescent="0.25">
      <c r="A94" s="4" t="s">
        <v>120</v>
      </c>
      <c r="B94" t="s">
        <v>16</v>
      </c>
      <c r="C94" t="s">
        <v>6</v>
      </c>
      <c r="D94" s="3">
        <f t="shared" si="9"/>
        <v>81</v>
      </c>
      <c r="E94" s="4">
        <f t="shared" si="10"/>
        <v>5</v>
      </c>
      <c r="F94" s="4">
        <f t="shared" si="11"/>
        <v>30</v>
      </c>
      <c r="G94" s="3">
        <f>IF(E94&gt;=20,2000,1900) + D94</f>
        <v>1981</v>
      </c>
      <c r="H94">
        <f t="shared" si="12"/>
        <v>5</v>
      </c>
      <c r="I94" s="4">
        <f t="shared" si="13"/>
        <v>30</v>
      </c>
      <c r="J94">
        <f t="shared" si="14"/>
        <v>19810530</v>
      </c>
      <c r="K94" t="str">
        <f t="shared" si="15"/>
        <v>30.05.1981</v>
      </c>
      <c r="L94" s="10">
        <f t="shared" si="16"/>
        <v>15201</v>
      </c>
      <c r="M94" s="8">
        <f t="shared" si="17"/>
        <v>41</v>
      </c>
    </row>
    <row r="95" spans="1:13" x14ac:dyDescent="0.25">
      <c r="A95" s="4" t="s">
        <v>121</v>
      </c>
      <c r="B95" t="s">
        <v>13</v>
      </c>
      <c r="C95" t="s">
        <v>6</v>
      </c>
      <c r="D95" s="3">
        <f t="shared" si="9"/>
        <v>91</v>
      </c>
      <c r="E95" s="4">
        <f t="shared" si="10"/>
        <v>2</v>
      </c>
      <c r="F95" s="4">
        <f t="shared" si="11"/>
        <v>24</v>
      </c>
      <c r="G95" s="3">
        <f>IF(E95&gt;=20,2000,1900) + D95</f>
        <v>1991</v>
      </c>
      <c r="H95">
        <f t="shared" si="12"/>
        <v>2</v>
      </c>
      <c r="I95" s="4">
        <f t="shared" si="13"/>
        <v>24</v>
      </c>
      <c r="J95">
        <f t="shared" si="14"/>
        <v>19910224</v>
      </c>
      <c r="K95" t="str">
        <f t="shared" si="15"/>
        <v>24.02.1991</v>
      </c>
      <c r="L95" s="10">
        <f t="shared" si="16"/>
        <v>11644</v>
      </c>
      <c r="M95" s="8">
        <f t="shared" si="17"/>
        <v>31</v>
      </c>
    </row>
    <row r="96" spans="1:13" x14ac:dyDescent="0.25">
      <c r="A96" s="4" t="s">
        <v>122</v>
      </c>
      <c r="B96" t="s">
        <v>15</v>
      </c>
      <c r="C96" t="s">
        <v>6</v>
      </c>
      <c r="D96" s="3">
        <f t="shared" si="9"/>
        <v>75</v>
      </c>
      <c r="E96" s="4">
        <f t="shared" si="10"/>
        <v>9</v>
      </c>
      <c r="F96" s="4">
        <f t="shared" si="11"/>
        <v>1</v>
      </c>
      <c r="G96" s="3">
        <f>IF(E96&gt;=20,2000,1900) + D96</f>
        <v>1975</v>
      </c>
      <c r="H96">
        <f t="shared" si="12"/>
        <v>9</v>
      </c>
      <c r="I96" s="4">
        <f t="shared" si="13"/>
        <v>1</v>
      </c>
      <c r="J96">
        <f t="shared" si="14"/>
        <v>19750901</v>
      </c>
      <c r="K96" t="str">
        <f t="shared" si="15"/>
        <v>01.09.1975</v>
      </c>
      <c r="L96" s="10">
        <f t="shared" si="16"/>
        <v>17299</v>
      </c>
      <c r="M96" s="8">
        <f t="shared" si="17"/>
        <v>47</v>
      </c>
    </row>
    <row r="97" spans="1:13" x14ac:dyDescent="0.25">
      <c r="A97" s="4" t="s">
        <v>123</v>
      </c>
      <c r="B97" t="s">
        <v>5</v>
      </c>
      <c r="C97" t="s">
        <v>6</v>
      </c>
      <c r="D97" s="3">
        <f t="shared" si="9"/>
        <v>84</v>
      </c>
      <c r="E97" s="4">
        <f t="shared" si="10"/>
        <v>7</v>
      </c>
      <c r="F97" s="4">
        <f t="shared" si="11"/>
        <v>1</v>
      </c>
      <c r="G97" s="3">
        <f>IF(E97&gt;=20,2000,1900) + D97</f>
        <v>1984</v>
      </c>
      <c r="H97">
        <f t="shared" si="12"/>
        <v>7</v>
      </c>
      <c r="I97" s="4">
        <f t="shared" si="13"/>
        <v>1</v>
      </c>
      <c r="J97">
        <f t="shared" si="14"/>
        <v>19840701</v>
      </c>
      <c r="K97" t="str">
        <f t="shared" si="15"/>
        <v>01.07.1984</v>
      </c>
      <c r="L97" s="10">
        <f t="shared" si="16"/>
        <v>14073</v>
      </c>
      <c r="M97" s="8">
        <f t="shared" si="17"/>
        <v>38</v>
      </c>
    </row>
    <row r="98" spans="1:13" x14ac:dyDescent="0.25">
      <c r="A98" s="4" t="s">
        <v>124</v>
      </c>
      <c r="B98" t="s">
        <v>18</v>
      </c>
      <c r="C98" t="s">
        <v>4</v>
      </c>
      <c r="D98" s="3">
        <f t="shared" si="9"/>
        <v>66</v>
      </c>
      <c r="E98" s="4">
        <f t="shared" si="10"/>
        <v>4</v>
      </c>
      <c r="F98" s="4">
        <f t="shared" si="11"/>
        <v>30</v>
      </c>
      <c r="G98" s="3">
        <f>IF(E98&gt;=20,2000,1900) + D98</f>
        <v>1966</v>
      </c>
      <c r="H98">
        <f t="shared" si="12"/>
        <v>4</v>
      </c>
      <c r="I98" s="4">
        <f t="shared" si="13"/>
        <v>30</v>
      </c>
      <c r="J98">
        <f t="shared" si="14"/>
        <v>19660430</v>
      </c>
      <c r="K98" t="str">
        <f t="shared" si="15"/>
        <v>30.04.1966</v>
      </c>
      <c r="L98" s="10">
        <f t="shared" si="16"/>
        <v>20710</v>
      </c>
      <c r="M98" s="8">
        <f t="shared" si="17"/>
        <v>56</v>
      </c>
    </row>
    <row r="99" spans="1:13" x14ac:dyDescent="0.25">
      <c r="A99" s="4" t="s">
        <v>125</v>
      </c>
      <c r="B99" t="s">
        <v>17</v>
      </c>
      <c r="C99" t="s">
        <v>6</v>
      </c>
      <c r="D99" s="3">
        <f t="shared" si="9"/>
        <v>50</v>
      </c>
      <c r="E99" s="4">
        <f t="shared" si="10"/>
        <v>12</v>
      </c>
      <c r="F99" s="4">
        <f t="shared" si="11"/>
        <v>12</v>
      </c>
      <c r="G99" s="3">
        <f>IF(E99&gt;=20,2000,1900) + D99</f>
        <v>1950</v>
      </c>
      <c r="H99">
        <f t="shared" si="12"/>
        <v>12</v>
      </c>
      <c r="I99" s="4">
        <f t="shared" si="13"/>
        <v>12</v>
      </c>
      <c r="J99">
        <f t="shared" si="14"/>
        <v>19501212</v>
      </c>
      <c r="K99" t="str">
        <f t="shared" si="15"/>
        <v>12.12.1950</v>
      </c>
      <c r="L99" s="10">
        <f t="shared" si="16"/>
        <v>26328</v>
      </c>
      <c r="M99" s="8">
        <f t="shared" si="17"/>
        <v>72</v>
      </c>
    </row>
    <row r="100" spans="1:13" x14ac:dyDescent="0.25">
      <c r="A100" s="4" t="s">
        <v>126</v>
      </c>
      <c r="B100" t="s">
        <v>14</v>
      </c>
      <c r="C100" t="s">
        <v>6</v>
      </c>
      <c r="D100" s="3">
        <f t="shared" si="9"/>
        <v>85</v>
      </c>
      <c r="E100" s="4">
        <f t="shared" si="10"/>
        <v>12</v>
      </c>
      <c r="F100" s="4">
        <f t="shared" si="11"/>
        <v>21</v>
      </c>
      <c r="G100" s="3">
        <f>IF(E100&gt;=20,2000,1900) + D100</f>
        <v>1985</v>
      </c>
      <c r="H100">
        <f t="shared" si="12"/>
        <v>12</v>
      </c>
      <c r="I100" s="4">
        <f t="shared" si="13"/>
        <v>21</v>
      </c>
      <c r="J100">
        <f t="shared" si="14"/>
        <v>19851221</v>
      </c>
      <c r="K100" t="str">
        <f t="shared" si="15"/>
        <v>21.12.1985</v>
      </c>
      <c r="L100" s="10">
        <f t="shared" si="16"/>
        <v>13535</v>
      </c>
      <c r="M100" s="8">
        <f t="shared" si="17"/>
        <v>37</v>
      </c>
    </row>
    <row r="101" spans="1:13" x14ac:dyDescent="0.25">
      <c r="A101" s="4" t="s">
        <v>127</v>
      </c>
      <c r="B101" t="s">
        <v>13</v>
      </c>
      <c r="C101" t="s">
        <v>6</v>
      </c>
      <c r="D101" s="3">
        <f t="shared" si="9"/>
        <v>90</v>
      </c>
      <c r="E101" s="4">
        <f t="shared" si="10"/>
        <v>1</v>
      </c>
      <c r="F101" s="4">
        <f t="shared" si="11"/>
        <v>4</v>
      </c>
      <c r="G101" s="3">
        <f>IF(E101&gt;=20,2000,1900) + D101</f>
        <v>1990</v>
      </c>
      <c r="H101">
        <f t="shared" si="12"/>
        <v>1</v>
      </c>
      <c r="I101" s="4">
        <f t="shared" si="13"/>
        <v>4</v>
      </c>
      <c r="J101">
        <f t="shared" si="14"/>
        <v>19900104</v>
      </c>
      <c r="K101" t="str">
        <f t="shared" si="15"/>
        <v>04.01.1990</v>
      </c>
      <c r="L101" s="10">
        <f t="shared" si="16"/>
        <v>12060</v>
      </c>
      <c r="M101" s="8">
        <f t="shared" si="17"/>
        <v>33</v>
      </c>
    </row>
    <row r="102" spans="1:13" x14ac:dyDescent="0.25">
      <c r="A102" s="4" t="s">
        <v>128</v>
      </c>
      <c r="B102" t="s">
        <v>9</v>
      </c>
      <c r="C102" t="s">
        <v>6</v>
      </c>
      <c r="D102" s="3">
        <f t="shared" si="9"/>
        <v>72</v>
      </c>
      <c r="E102" s="4">
        <f t="shared" si="10"/>
        <v>10</v>
      </c>
      <c r="F102" s="4">
        <f t="shared" si="11"/>
        <v>7</v>
      </c>
      <c r="G102" s="3">
        <f>IF(E102&gt;=20,2000,1900) + D102</f>
        <v>1972</v>
      </c>
      <c r="H102">
        <f t="shared" si="12"/>
        <v>10</v>
      </c>
      <c r="I102" s="4">
        <f t="shared" si="13"/>
        <v>7</v>
      </c>
      <c r="J102">
        <f t="shared" si="14"/>
        <v>19721007</v>
      </c>
      <c r="K102" t="str">
        <f t="shared" si="15"/>
        <v>07.10.1972</v>
      </c>
      <c r="L102" s="10">
        <f t="shared" si="16"/>
        <v>18358</v>
      </c>
      <c r="M102" s="8">
        <f t="shared" si="17"/>
        <v>50</v>
      </c>
    </row>
    <row r="103" spans="1:13" x14ac:dyDescent="0.25">
      <c r="A103" s="4" t="s">
        <v>129</v>
      </c>
      <c r="B103" t="s">
        <v>18</v>
      </c>
      <c r="C103" t="s">
        <v>6</v>
      </c>
      <c r="D103" s="3">
        <f t="shared" si="9"/>
        <v>54</v>
      </c>
      <c r="E103" s="4">
        <f t="shared" si="10"/>
        <v>8</v>
      </c>
      <c r="F103" s="4">
        <f t="shared" si="11"/>
        <v>26</v>
      </c>
      <c r="G103" s="3">
        <f>IF(E103&gt;=20,2000,1900) + D103</f>
        <v>1954</v>
      </c>
      <c r="H103">
        <f t="shared" si="12"/>
        <v>8</v>
      </c>
      <c r="I103" s="4">
        <f t="shared" si="13"/>
        <v>26</v>
      </c>
      <c r="J103">
        <f t="shared" si="14"/>
        <v>19540826</v>
      </c>
      <c r="K103" t="str">
        <f t="shared" si="15"/>
        <v>26.08.1954</v>
      </c>
      <c r="L103" s="10">
        <f t="shared" si="16"/>
        <v>24975</v>
      </c>
      <c r="M103" s="8">
        <f t="shared" si="17"/>
        <v>68</v>
      </c>
    </row>
    <row r="104" spans="1:13" x14ac:dyDescent="0.25">
      <c r="A104" s="4" t="s">
        <v>130</v>
      </c>
      <c r="B104" t="s">
        <v>8</v>
      </c>
      <c r="C104" t="s">
        <v>4</v>
      </c>
      <c r="D104" s="3">
        <f t="shared" si="9"/>
        <v>60</v>
      </c>
      <c r="E104" s="4">
        <f t="shared" si="10"/>
        <v>8</v>
      </c>
      <c r="F104" s="4">
        <f t="shared" si="11"/>
        <v>26</v>
      </c>
      <c r="G104" s="3">
        <f>IF(E104&gt;=20,2000,1900) + D104</f>
        <v>1960</v>
      </c>
      <c r="H104">
        <f t="shared" si="12"/>
        <v>8</v>
      </c>
      <c r="I104" s="4">
        <f t="shared" si="13"/>
        <v>26</v>
      </c>
      <c r="J104">
        <f t="shared" si="14"/>
        <v>19600826</v>
      </c>
      <c r="K104" t="str">
        <f t="shared" si="15"/>
        <v>26.08.1960</v>
      </c>
      <c r="L104" s="10">
        <f t="shared" si="16"/>
        <v>22783</v>
      </c>
      <c r="M104" s="8">
        <f t="shared" si="17"/>
        <v>62</v>
      </c>
    </row>
    <row r="105" spans="1:13" x14ac:dyDescent="0.25">
      <c r="A105" s="4" t="s">
        <v>131</v>
      </c>
      <c r="B105" t="s">
        <v>13</v>
      </c>
      <c r="C105" t="s">
        <v>6</v>
      </c>
      <c r="D105" s="3">
        <f t="shared" si="9"/>
        <v>57</v>
      </c>
      <c r="E105" s="4">
        <f t="shared" si="10"/>
        <v>9</v>
      </c>
      <c r="F105" s="4">
        <f t="shared" si="11"/>
        <v>16</v>
      </c>
      <c r="G105" s="3">
        <f>IF(E105&gt;=20,2000,1900) + D105</f>
        <v>1957</v>
      </c>
      <c r="H105">
        <f t="shared" si="12"/>
        <v>9</v>
      </c>
      <c r="I105" s="4">
        <f t="shared" si="13"/>
        <v>16</v>
      </c>
      <c r="J105">
        <f t="shared" si="14"/>
        <v>19570916</v>
      </c>
      <c r="K105" t="str">
        <f t="shared" si="15"/>
        <v>16.09.1957</v>
      </c>
      <c r="L105" s="10">
        <f t="shared" si="16"/>
        <v>23858</v>
      </c>
      <c r="M105" s="8">
        <f t="shared" si="17"/>
        <v>65</v>
      </c>
    </row>
    <row r="106" spans="1:13" x14ac:dyDescent="0.25">
      <c r="A106" s="4" t="s">
        <v>132</v>
      </c>
      <c r="B106" t="s">
        <v>20</v>
      </c>
      <c r="C106" t="s">
        <v>6</v>
      </c>
      <c r="D106" s="3">
        <f t="shared" si="9"/>
        <v>87</v>
      </c>
      <c r="E106" s="4">
        <f t="shared" si="10"/>
        <v>11</v>
      </c>
      <c r="F106" s="4">
        <f t="shared" si="11"/>
        <v>10</v>
      </c>
      <c r="G106" s="3">
        <f>IF(E106&gt;=20,2000,1900) + D106</f>
        <v>1987</v>
      </c>
      <c r="H106">
        <f t="shared" si="12"/>
        <v>11</v>
      </c>
      <c r="I106" s="4">
        <f t="shared" si="13"/>
        <v>10</v>
      </c>
      <c r="J106">
        <f t="shared" si="14"/>
        <v>19871110</v>
      </c>
      <c r="K106" t="str">
        <f t="shared" si="15"/>
        <v>10.11.1987</v>
      </c>
      <c r="L106" s="10">
        <f t="shared" si="16"/>
        <v>12846</v>
      </c>
      <c r="M106" s="8">
        <f t="shared" si="17"/>
        <v>35</v>
      </c>
    </row>
    <row r="107" spans="1:13" x14ac:dyDescent="0.25">
      <c r="A107" s="4" t="s">
        <v>133</v>
      </c>
      <c r="B107" t="s">
        <v>11</v>
      </c>
      <c r="C107" t="s">
        <v>6</v>
      </c>
      <c r="D107" s="3">
        <f t="shared" si="9"/>
        <v>50</v>
      </c>
      <c r="E107" s="4">
        <f t="shared" si="10"/>
        <v>4</v>
      </c>
      <c r="F107" s="4">
        <f t="shared" si="11"/>
        <v>7</v>
      </c>
      <c r="G107" s="3">
        <f>IF(E107&gt;=20,2000,1900) + D107</f>
        <v>1950</v>
      </c>
      <c r="H107">
        <f t="shared" si="12"/>
        <v>4</v>
      </c>
      <c r="I107" s="4">
        <f t="shared" si="13"/>
        <v>7</v>
      </c>
      <c r="J107">
        <f t="shared" si="14"/>
        <v>19500407</v>
      </c>
      <c r="K107" t="str">
        <f t="shared" si="15"/>
        <v>07.04.1950</v>
      </c>
      <c r="L107" s="10">
        <f t="shared" si="16"/>
        <v>26577</v>
      </c>
      <c r="M107" s="8">
        <f t="shared" si="17"/>
        <v>72</v>
      </c>
    </row>
    <row r="108" spans="1:13" x14ac:dyDescent="0.25">
      <c r="A108" s="4" t="s">
        <v>134</v>
      </c>
      <c r="B108" t="s">
        <v>8</v>
      </c>
      <c r="C108" t="s">
        <v>4</v>
      </c>
      <c r="D108" s="3">
        <f t="shared" si="9"/>
        <v>68</v>
      </c>
      <c r="E108" s="4">
        <f t="shared" si="10"/>
        <v>10</v>
      </c>
      <c r="F108" s="4">
        <f t="shared" si="11"/>
        <v>10</v>
      </c>
      <c r="G108" s="3">
        <f>IF(E108&gt;=20,2000,1900) + D108</f>
        <v>1968</v>
      </c>
      <c r="H108">
        <f t="shared" si="12"/>
        <v>10</v>
      </c>
      <c r="I108" s="4">
        <f t="shared" si="13"/>
        <v>10</v>
      </c>
      <c r="J108">
        <f t="shared" si="14"/>
        <v>19681010</v>
      </c>
      <c r="K108" t="str">
        <f t="shared" si="15"/>
        <v>10.10.1968</v>
      </c>
      <c r="L108" s="10">
        <f t="shared" si="16"/>
        <v>19816</v>
      </c>
      <c r="M108" s="8">
        <f t="shared" si="17"/>
        <v>54</v>
      </c>
    </row>
    <row r="109" spans="1:13" x14ac:dyDescent="0.25">
      <c r="A109" s="4" t="s">
        <v>135</v>
      </c>
      <c r="B109" t="s">
        <v>7</v>
      </c>
      <c r="C109" t="s">
        <v>6</v>
      </c>
      <c r="D109" s="3">
        <f t="shared" si="9"/>
        <v>62</v>
      </c>
      <c r="E109" s="4">
        <f t="shared" si="10"/>
        <v>3</v>
      </c>
      <c r="F109" s="4">
        <f t="shared" si="11"/>
        <v>30</v>
      </c>
      <c r="G109" s="3">
        <f>IF(E109&gt;=20,2000,1900) + D109</f>
        <v>1962</v>
      </c>
      <c r="H109">
        <f t="shared" si="12"/>
        <v>3</v>
      </c>
      <c r="I109" s="4">
        <f t="shared" si="13"/>
        <v>30</v>
      </c>
      <c r="J109">
        <f t="shared" si="14"/>
        <v>19620330</v>
      </c>
      <c r="K109" t="str">
        <f t="shared" si="15"/>
        <v>30.03.1962</v>
      </c>
      <c r="L109" s="10">
        <f t="shared" si="16"/>
        <v>22202</v>
      </c>
      <c r="M109" s="8">
        <f t="shared" si="17"/>
        <v>60</v>
      </c>
    </row>
    <row r="110" spans="1:13" x14ac:dyDescent="0.25">
      <c r="A110" s="4" t="s">
        <v>136</v>
      </c>
      <c r="B110" t="s">
        <v>20</v>
      </c>
      <c r="C110" t="s">
        <v>6</v>
      </c>
      <c r="D110" s="3">
        <f t="shared" si="9"/>
        <v>79</v>
      </c>
      <c r="E110" s="4">
        <f t="shared" si="10"/>
        <v>7</v>
      </c>
      <c r="F110" s="4">
        <f t="shared" si="11"/>
        <v>27</v>
      </c>
      <c r="G110" s="3">
        <f>IF(E110&gt;=20,2000,1900) + D110</f>
        <v>1979</v>
      </c>
      <c r="H110">
        <f t="shared" si="12"/>
        <v>7</v>
      </c>
      <c r="I110" s="4">
        <f t="shared" si="13"/>
        <v>27</v>
      </c>
      <c r="J110">
        <f t="shared" si="14"/>
        <v>19790727</v>
      </c>
      <c r="K110" t="str">
        <f t="shared" si="15"/>
        <v>27.07.1979</v>
      </c>
      <c r="L110" s="10">
        <f t="shared" si="16"/>
        <v>15874</v>
      </c>
      <c r="M110" s="8">
        <f t="shared" si="17"/>
        <v>43</v>
      </c>
    </row>
    <row r="111" spans="1:13" x14ac:dyDescent="0.25">
      <c r="A111" s="4" t="s">
        <v>137</v>
      </c>
      <c r="B111" t="s">
        <v>15</v>
      </c>
      <c r="C111" t="s">
        <v>6</v>
      </c>
      <c r="D111" s="3">
        <f t="shared" si="9"/>
        <v>94</v>
      </c>
      <c r="E111" s="4">
        <f t="shared" si="10"/>
        <v>5</v>
      </c>
      <c r="F111" s="4">
        <f t="shared" si="11"/>
        <v>10</v>
      </c>
      <c r="G111" s="3">
        <f>IF(E111&gt;=20,2000,1900) + D111</f>
        <v>1994</v>
      </c>
      <c r="H111">
        <f t="shared" si="12"/>
        <v>5</v>
      </c>
      <c r="I111" s="4">
        <f t="shared" si="13"/>
        <v>10</v>
      </c>
      <c r="J111">
        <f t="shared" si="14"/>
        <v>19940510</v>
      </c>
      <c r="K111" t="str">
        <f t="shared" si="15"/>
        <v>10.05.1994</v>
      </c>
      <c r="L111" s="10">
        <f t="shared" si="16"/>
        <v>10473</v>
      </c>
      <c r="M111" s="8">
        <f t="shared" si="17"/>
        <v>28</v>
      </c>
    </row>
    <row r="112" spans="1:13" x14ac:dyDescent="0.25">
      <c r="A112" s="4" t="s">
        <v>138</v>
      </c>
      <c r="B112" t="s">
        <v>17</v>
      </c>
      <c r="C112" t="s">
        <v>6</v>
      </c>
      <c r="D112" s="3">
        <f t="shared" si="9"/>
        <v>98</v>
      </c>
      <c r="E112" s="4">
        <f t="shared" si="10"/>
        <v>1</v>
      </c>
      <c r="F112" s="4">
        <f t="shared" si="11"/>
        <v>5</v>
      </c>
      <c r="G112" s="3">
        <f>IF(E112&gt;=20,2000,1900) + D112</f>
        <v>1998</v>
      </c>
      <c r="H112">
        <f t="shared" si="12"/>
        <v>1</v>
      </c>
      <c r="I112" s="4">
        <f t="shared" si="13"/>
        <v>5</v>
      </c>
      <c r="J112">
        <f t="shared" si="14"/>
        <v>19980105</v>
      </c>
      <c r="K112" t="str">
        <f t="shared" si="15"/>
        <v>05.01.1998</v>
      </c>
      <c r="L112" s="10">
        <f t="shared" si="16"/>
        <v>9137</v>
      </c>
      <c r="M112" s="8">
        <f t="shared" si="17"/>
        <v>25</v>
      </c>
    </row>
    <row r="113" spans="1:13" x14ac:dyDescent="0.25">
      <c r="A113" s="4" t="s">
        <v>139</v>
      </c>
      <c r="B113" t="s">
        <v>7</v>
      </c>
      <c r="C113" t="s">
        <v>4</v>
      </c>
      <c r="D113" s="3">
        <f t="shared" si="9"/>
        <v>98</v>
      </c>
      <c r="E113" s="4">
        <f t="shared" si="10"/>
        <v>5</v>
      </c>
      <c r="F113" s="4">
        <f t="shared" si="11"/>
        <v>24</v>
      </c>
      <c r="G113" s="3">
        <f>IF(E113&gt;=20,2000,1900) + D113</f>
        <v>1998</v>
      </c>
      <c r="H113">
        <f t="shared" si="12"/>
        <v>5</v>
      </c>
      <c r="I113" s="4">
        <f t="shared" si="13"/>
        <v>24</v>
      </c>
      <c r="J113">
        <f t="shared" si="14"/>
        <v>19980524</v>
      </c>
      <c r="K113" t="str">
        <f t="shared" si="15"/>
        <v>24.05.1998</v>
      </c>
      <c r="L113" s="10">
        <f t="shared" si="16"/>
        <v>8998</v>
      </c>
      <c r="M113" s="8">
        <f t="shared" si="17"/>
        <v>24</v>
      </c>
    </row>
    <row r="114" spans="1:13" x14ac:dyDescent="0.25">
      <c r="A114" s="4" t="s">
        <v>140</v>
      </c>
      <c r="B114" t="s">
        <v>15</v>
      </c>
      <c r="C114" t="s">
        <v>4</v>
      </c>
      <c r="D114" s="3">
        <f t="shared" si="9"/>
        <v>86</v>
      </c>
      <c r="E114" s="4">
        <f t="shared" si="10"/>
        <v>7</v>
      </c>
      <c r="F114" s="4">
        <f t="shared" si="11"/>
        <v>29</v>
      </c>
      <c r="G114" s="3">
        <f>IF(E114&gt;=20,2000,1900) + D114</f>
        <v>1986</v>
      </c>
      <c r="H114">
        <f t="shared" si="12"/>
        <v>7</v>
      </c>
      <c r="I114" s="4">
        <f t="shared" si="13"/>
        <v>29</v>
      </c>
      <c r="J114">
        <f t="shared" si="14"/>
        <v>19860729</v>
      </c>
      <c r="K114" t="str">
        <f t="shared" si="15"/>
        <v>29.07.1986</v>
      </c>
      <c r="L114" s="10">
        <f t="shared" si="16"/>
        <v>13315</v>
      </c>
      <c r="M114" s="8">
        <f t="shared" si="17"/>
        <v>36</v>
      </c>
    </row>
    <row r="115" spans="1:13" x14ac:dyDescent="0.25">
      <c r="A115" s="4" t="s">
        <v>141</v>
      </c>
      <c r="B115" t="s">
        <v>11</v>
      </c>
      <c r="C115" t="s">
        <v>4</v>
      </c>
      <c r="D115" s="3">
        <f t="shared" si="9"/>
        <v>76</v>
      </c>
      <c r="E115" s="4">
        <f t="shared" si="10"/>
        <v>6</v>
      </c>
      <c r="F115" s="4">
        <f t="shared" si="11"/>
        <v>16</v>
      </c>
      <c r="G115" s="3">
        <f>IF(E115&gt;=20,2000,1900) + D115</f>
        <v>1976</v>
      </c>
      <c r="H115">
        <f t="shared" si="12"/>
        <v>6</v>
      </c>
      <c r="I115" s="4">
        <f t="shared" si="13"/>
        <v>16</v>
      </c>
      <c r="J115">
        <f t="shared" si="14"/>
        <v>19760616</v>
      </c>
      <c r="K115" t="str">
        <f t="shared" si="15"/>
        <v>16.06.1976</v>
      </c>
      <c r="L115" s="10">
        <f t="shared" si="16"/>
        <v>17010</v>
      </c>
      <c r="M115" s="8">
        <f t="shared" si="17"/>
        <v>46</v>
      </c>
    </row>
    <row r="116" spans="1:13" x14ac:dyDescent="0.25">
      <c r="A116" s="4" t="s">
        <v>142</v>
      </c>
      <c r="B116" t="s">
        <v>3</v>
      </c>
      <c r="C116" t="s">
        <v>4</v>
      </c>
      <c r="D116" s="3">
        <f t="shared" si="9"/>
        <v>69</v>
      </c>
      <c r="E116" s="4">
        <f t="shared" si="10"/>
        <v>1</v>
      </c>
      <c r="F116" s="4">
        <f t="shared" si="11"/>
        <v>17</v>
      </c>
      <c r="G116" s="3">
        <f>IF(E116&gt;=20,2000,1900) + D116</f>
        <v>1969</v>
      </c>
      <c r="H116">
        <f t="shared" si="12"/>
        <v>1</v>
      </c>
      <c r="I116" s="4">
        <f t="shared" si="13"/>
        <v>17</v>
      </c>
      <c r="J116">
        <f t="shared" si="14"/>
        <v>19690117</v>
      </c>
      <c r="K116" t="str">
        <f t="shared" si="15"/>
        <v>17.01.1969</v>
      </c>
      <c r="L116" s="10">
        <f t="shared" si="16"/>
        <v>19717</v>
      </c>
      <c r="M116" s="8">
        <f t="shared" si="17"/>
        <v>53</v>
      </c>
    </row>
    <row r="117" spans="1:13" x14ac:dyDescent="0.25">
      <c r="A117" s="4" t="s">
        <v>143</v>
      </c>
      <c r="B117" t="s">
        <v>9</v>
      </c>
      <c r="C117" t="s">
        <v>4</v>
      </c>
      <c r="D117" s="3">
        <f t="shared" si="9"/>
        <v>72</v>
      </c>
      <c r="E117" s="4">
        <f t="shared" si="10"/>
        <v>5</v>
      </c>
      <c r="F117" s="4">
        <f t="shared" si="11"/>
        <v>31</v>
      </c>
      <c r="G117" s="3">
        <f>IF(E117&gt;=20,2000,1900) + D117</f>
        <v>1972</v>
      </c>
      <c r="H117">
        <f t="shared" si="12"/>
        <v>5</v>
      </c>
      <c r="I117" s="4">
        <f t="shared" si="13"/>
        <v>31</v>
      </c>
      <c r="J117">
        <f t="shared" si="14"/>
        <v>19720531</v>
      </c>
      <c r="K117" t="str">
        <f t="shared" si="15"/>
        <v>31.05.1972</v>
      </c>
      <c r="L117" s="10">
        <f t="shared" si="16"/>
        <v>18487</v>
      </c>
      <c r="M117" s="8">
        <f t="shared" si="17"/>
        <v>50</v>
      </c>
    </row>
    <row r="118" spans="1:13" x14ac:dyDescent="0.25">
      <c r="A118" s="4" t="s">
        <v>144</v>
      </c>
      <c r="B118" t="s">
        <v>10</v>
      </c>
      <c r="C118" t="s">
        <v>6</v>
      </c>
      <c r="D118" s="3">
        <f t="shared" si="9"/>
        <v>92</v>
      </c>
      <c r="E118" s="4">
        <f t="shared" si="10"/>
        <v>11</v>
      </c>
      <c r="F118" s="4">
        <f t="shared" si="11"/>
        <v>11</v>
      </c>
      <c r="G118" s="3">
        <f>IF(E118&gt;=20,2000,1900) + D118</f>
        <v>1992</v>
      </c>
      <c r="H118">
        <f t="shared" si="12"/>
        <v>11</v>
      </c>
      <c r="I118" s="4">
        <f t="shared" si="13"/>
        <v>11</v>
      </c>
      <c r="J118">
        <f t="shared" si="14"/>
        <v>19921111</v>
      </c>
      <c r="K118" t="str">
        <f t="shared" si="15"/>
        <v>11.11.1992</v>
      </c>
      <c r="L118" s="10">
        <f t="shared" si="16"/>
        <v>11018</v>
      </c>
      <c r="M118" s="8">
        <f t="shared" si="17"/>
        <v>30</v>
      </c>
    </row>
    <row r="119" spans="1:13" x14ac:dyDescent="0.25">
      <c r="A119" s="4" t="s">
        <v>145</v>
      </c>
      <c r="B119" t="s">
        <v>5</v>
      </c>
      <c r="C119" t="s">
        <v>6</v>
      </c>
      <c r="D119" s="3">
        <f t="shared" si="9"/>
        <v>56</v>
      </c>
      <c r="E119" s="4">
        <f t="shared" si="10"/>
        <v>12</v>
      </c>
      <c r="F119" s="4">
        <f t="shared" si="11"/>
        <v>26</v>
      </c>
      <c r="G119" s="3">
        <f>IF(E119&gt;=20,2000,1900) + D119</f>
        <v>1956</v>
      </c>
      <c r="H119">
        <f t="shared" si="12"/>
        <v>12</v>
      </c>
      <c r="I119" s="4">
        <f t="shared" si="13"/>
        <v>26</v>
      </c>
      <c r="J119">
        <f t="shared" si="14"/>
        <v>19561226</v>
      </c>
      <c r="K119" t="str">
        <f t="shared" si="15"/>
        <v>26.12.1956</v>
      </c>
      <c r="L119" s="10">
        <f t="shared" si="16"/>
        <v>24122</v>
      </c>
      <c r="M119" s="8">
        <f t="shared" si="17"/>
        <v>66</v>
      </c>
    </row>
    <row r="120" spans="1:13" x14ac:dyDescent="0.25">
      <c r="A120" s="4" t="s">
        <v>146</v>
      </c>
      <c r="B120" t="s">
        <v>18</v>
      </c>
      <c r="C120" t="s">
        <v>6</v>
      </c>
      <c r="D120" s="3">
        <f t="shared" si="9"/>
        <v>78</v>
      </c>
      <c r="E120" s="4">
        <f t="shared" si="10"/>
        <v>2</v>
      </c>
      <c r="F120" s="4">
        <f t="shared" si="11"/>
        <v>21</v>
      </c>
      <c r="G120" s="3">
        <f>IF(E120&gt;=20,2000,1900) + D120</f>
        <v>1978</v>
      </c>
      <c r="H120">
        <f t="shared" si="12"/>
        <v>2</v>
      </c>
      <c r="I120" s="4">
        <f t="shared" si="13"/>
        <v>21</v>
      </c>
      <c r="J120">
        <f t="shared" si="14"/>
        <v>19780221</v>
      </c>
      <c r="K120" t="str">
        <f t="shared" si="15"/>
        <v>21.02.1978</v>
      </c>
      <c r="L120" s="10">
        <f t="shared" si="16"/>
        <v>16395</v>
      </c>
      <c r="M120" s="8">
        <f t="shared" si="17"/>
        <v>44</v>
      </c>
    </row>
    <row r="121" spans="1:13" x14ac:dyDescent="0.25">
      <c r="A121" s="4" t="s">
        <v>147</v>
      </c>
      <c r="B121" t="s">
        <v>16</v>
      </c>
      <c r="C121" t="s">
        <v>4</v>
      </c>
      <c r="D121" s="3">
        <f t="shared" si="9"/>
        <v>93</v>
      </c>
      <c r="E121" s="4">
        <f t="shared" si="10"/>
        <v>6</v>
      </c>
      <c r="F121" s="4">
        <f t="shared" si="11"/>
        <v>23</v>
      </c>
      <c r="G121" s="3">
        <f>IF(E121&gt;=20,2000,1900) + D121</f>
        <v>1993</v>
      </c>
      <c r="H121">
        <f t="shared" si="12"/>
        <v>6</v>
      </c>
      <c r="I121" s="4">
        <f t="shared" si="13"/>
        <v>23</v>
      </c>
      <c r="J121">
        <f t="shared" si="14"/>
        <v>19930623</v>
      </c>
      <c r="K121" t="str">
        <f t="shared" si="15"/>
        <v>23.06.1993</v>
      </c>
      <c r="L121" s="10">
        <f t="shared" si="16"/>
        <v>10794</v>
      </c>
      <c r="M121" s="8">
        <f t="shared" si="17"/>
        <v>29</v>
      </c>
    </row>
    <row r="122" spans="1:13" x14ac:dyDescent="0.25">
      <c r="A122" s="4" t="s">
        <v>148</v>
      </c>
      <c r="B122" t="s">
        <v>13</v>
      </c>
      <c r="C122" t="s">
        <v>4</v>
      </c>
      <c r="D122" s="3">
        <f t="shared" si="9"/>
        <v>68</v>
      </c>
      <c r="E122" s="4">
        <f t="shared" si="10"/>
        <v>11</v>
      </c>
      <c r="F122" s="4">
        <f t="shared" si="11"/>
        <v>12</v>
      </c>
      <c r="G122" s="3">
        <f>IF(E122&gt;=20,2000,1900) + D122</f>
        <v>1968</v>
      </c>
      <c r="H122">
        <f t="shared" si="12"/>
        <v>11</v>
      </c>
      <c r="I122" s="4">
        <f t="shared" si="13"/>
        <v>12</v>
      </c>
      <c r="J122">
        <f t="shared" si="14"/>
        <v>19681112</v>
      </c>
      <c r="K122" t="str">
        <f t="shared" si="15"/>
        <v>12.11.1968</v>
      </c>
      <c r="L122" s="10">
        <f t="shared" si="16"/>
        <v>19783</v>
      </c>
      <c r="M122" s="8">
        <f t="shared" si="17"/>
        <v>54</v>
      </c>
    </row>
    <row r="123" spans="1:13" x14ac:dyDescent="0.25">
      <c r="A123" s="4" t="s">
        <v>149</v>
      </c>
      <c r="B123" t="s">
        <v>8</v>
      </c>
      <c r="C123" t="s">
        <v>6</v>
      </c>
      <c r="D123" s="3">
        <f t="shared" si="9"/>
        <v>78</v>
      </c>
      <c r="E123" s="4">
        <f t="shared" si="10"/>
        <v>7</v>
      </c>
      <c r="F123" s="4">
        <f t="shared" si="11"/>
        <v>14</v>
      </c>
      <c r="G123" s="3">
        <f>IF(E123&gt;=20,2000,1900) + D123</f>
        <v>1978</v>
      </c>
      <c r="H123">
        <f t="shared" si="12"/>
        <v>7</v>
      </c>
      <c r="I123" s="4">
        <f t="shared" si="13"/>
        <v>14</v>
      </c>
      <c r="J123">
        <f t="shared" si="14"/>
        <v>19780714</v>
      </c>
      <c r="K123" t="str">
        <f t="shared" si="15"/>
        <v>14.07.1978</v>
      </c>
      <c r="L123" s="10">
        <f t="shared" si="16"/>
        <v>16252</v>
      </c>
      <c r="M123" s="8">
        <f t="shared" si="17"/>
        <v>44</v>
      </c>
    </row>
    <row r="124" spans="1:13" x14ac:dyDescent="0.25">
      <c r="A124" s="4" t="s">
        <v>150</v>
      </c>
      <c r="B124" t="s">
        <v>16</v>
      </c>
      <c r="C124" t="s">
        <v>4</v>
      </c>
      <c r="D124" s="3">
        <f t="shared" si="9"/>
        <v>76</v>
      </c>
      <c r="E124" s="4">
        <f t="shared" si="10"/>
        <v>5</v>
      </c>
      <c r="F124" s="4">
        <f t="shared" si="11"/>
        <v>19</v>
      </c>
      <c r="G124" s="3">
        <f>IF(E124&gt;=20,2000,1900) + D124</f>
        <v>1976</v>
      </c>
      <c r="H124">
        <f t="shared" si="12"/>
        <v>5</v>
      </c>
      <c r="I124" s="4">
        <f t="shared" si="13"/>
        <v>19</v>
      </c>
      <c r="J124">
        <f t="shared" si="14"/>
        <v>19760519</v>
      </c>
      <c r="K124" t="str">
        <f t="shared" si="15"/>
        <v>19.05.1976</v>
      </c>
      <c r="L124" s="10">
        <f t="shared" si="16"/>
        <v>17038</v>
      </c>
      <c r="M124" s="8">
        <f t="shared" si="17"/>
        <v>46</v>
      </c>
    </row>
    <row r="125" spans="1:13" x14ac:dyDescent="0.25">
      <c r="A125" s="4" t="s">
        <v>151</v>
      </c>
      <c r="B125" t="s">
        <v>3</v>
      </c>
      <c r="C125" t="s">
        <v>6</v>
      </c>
      <c r="D125" s="3">
        <f t="shared" si="9"/>
        <v>64</v>
      </c>
      <c r="E125" s="4">
        <f t="shared" si="10"/>
        <v>6</v>
      </c>
      <c r="F125" s="4">
        <f t="shared" si="11"/>
        <v>29</v>
      </c>
      <c r="G125" s="3">
        <f>IF(E125&gt;=20,2000,1900) + D125</f>
        <v>1964</v>
      </c>
      <c r="H125">
        <f t="shared" si="12"/>
        <v>6</v>
      </c>
      <c r="I125" s="4">
        <f t="shared" si="13"/>
        <v>29</v>
      </c>
      <c r="J125">
        <f t="shared" si="14"/>
        <v>19640629</v>
      </c>
      <c r="K125" t="str">
        <f t="shared" si="15"/>
        <v>29.06.1964</v>
      </c>
      <c r="L125" s="10">
        <f t="shared" si="16"/>
        <v>21380</v>
      </c>
      <c r="M125" s="8">
        <f t="shared" si="17"/>
        <v>58</v>
      </c>
    </row>
    <row r="126" spans="1:13" x14ac:dyDescent="0.25">
      <c r="A126" s="4" t="s">
        <v>152</v>
      </c>
      <c r="B126" t="s">
        <v>18</v>
      </c>
      <c r="C126" t="s">
        <v>4</v>
      </c>
      <c r="D126" s="3">
        <f t="shared" si="9"/>
        <v>88</v>
      </c>
      <c r="E126" s="4">
        <f t="shared" si="10"/>
        <v>4</v>
      </c>
      <c r="F126" s="4">
        <f t="shared" si="11"/>
        <v>6</v>
      </c>
      <c r="G126" s="3">
        <f>IF(E126&gt;=20,2000,1900) + D126</f>
        <v>1988</v>
      </c>
      <c r="H126">
        <f t="shared" si="12"/>
        <v>4</v>
      </c>
      <c r="I126" s="4">
        <f t="shared" si="13"/>
        <v>6</v>
      </c>
      <c r="J126">
        <f t="shared" si="14"/>
        <v>19880406</v>
      </c>
      <c r="K126" t="str">
        <f t="shared" si="15"/>
        <v>06.04.1988</v>
      </c>
      <c r="L126" s="10">
        <f t="shared" si="16"/>
        <v>12698</v>
      </c>
      <c r="M126" s="8">
        <f t="shared" si="17"/>
        <v>34</v>
      </c>
    </row>
    <row r="127" spans="1:13" x14ac:dyDescent="0.25">
      <c r="A127" s="4" t="s">
        <v>153</v>
      </c>
      <c r="B127" t="s">
        <v>19</v>
      </c>
      <c r="C127" t="s">
        <v>4</v>
      </c>
      <c r="D127" s="3">
        <f t="shared" si="9"/>
        <v>82</v>
      </c>
      <c r="E127" s="4">
        <f t="shared" si="10"/>
        <v>10</v>
      </c>
      <c r="F127" s="4">
        <f t="shared" si="11"/>
        <v>29</v>
      </c>
      <c r="G127" s="3">
        <f>IF(E127&gt;=20,2000,1900) + D127</f>
        <v>1982</v>
      </c>
      <c r="H127">
        <f t="shared" si="12"/>
        <v>10</v>
      </c>
      <c r="I127" s="4">
        <f t="shared" si="13"/>
        <v>29</v>
      </c>
      <c r="J127">
        <f t="shared" si="14"/>
        <v>19821029</v>
      </c>
      <c r="K127" t="str">
        <f t="shared" si="15"/>
        <v>29.10.1982</v>
      </c>
      <c r="L127" s="10">
        <f t="shared" si="16"/>
        <v>14684</v>
      </c>
      <c r="M127" s="8">
        <f t="shared" si="17"/>
        <v>40</v>
      </c>
    </row>
    <row r="128" spans="1:13" x14ac:dyDescent="0.25">
      <c r="A128" s="4" t="s">
        <v>154</v>
      </c>
      <c r="B128" t="s">
        <v>15</v>
      </c>
      <c r="C128" t="s">
        <v>6</v>
      </c>
      <c r="D128" s="3">
        <f t="shared" si="9"/>
        <v>80</v>
      </c>
      <c r="E128" s="4">
        <f t="shared" si="10"/>
        <v>11</v>
      </c>
      <c r="F128" s="4">
        <f t="shared" si="11"/>
        <v>15</v>
      </c>
      <c r="G128" s="3">
        <f>IF(E128&gt;=20,2000,1900) + D128</f>
        <v>1980</v>
      </c>
      <c r="H128">
        <f t="shared" si="12"/>
        <v>11</v>
      </c>
      <c r="I128" s="4">
        <f t="shared" si="13"/>
        <v>15</v>
      </c>
      <c r="J128">
        <f t="shared" si="14"/>
        <v>19801115</v>
      </c>
      <c r="K128" t="str">
        <f t="shared" si="15"/>
        <v>15.11.1980</v>
      </c>
      <c r="L128" s="10">
        <f t="shared" si="16"/>
        <v>15397</v>
      </c>
      <c r="M128" s="8">
        <f t="shared" si="17"/>
        <v>42</v>
      </c>
    </row>
    <row r="129" spans="1:13" x14ac:dyDescent="0.25">
      <c r="A129" s="4" t="s">
        <v>155</v>
      </c>
      <c r="B129" t="s">
        <v>10</v>
      </c>
      <c r="C129" t="s">
        <v>6</v>
      </c>
      <c r="D129" s="3">
        <f t="shared" si="9"/>
        <v>73</v>
      </c>
      <c r="E129" s="4">
        <f t="shared" si="10"/>
        <v>4</v>
      </c>
      <c r="F129" s="4">
        <f t="shared" si="11"/>
        <v>21</v>
      </c>
      <c r="G129" s="3">
        <f>IF(E129&gt;=20,2000,1900) + D129</f>
        <v>1973</v>
      </c>
      <c r="H129">
        <f t="shared" si="12"/>
        <v>4</v>
      </c>
      <c r="I129" s="4">
        <f t="shared" si="13"/>
        <v>21</v>
      </c>
      <c r="J129">
        <f t="shared" si="14"/>
        <v>19730421</v>
      </c>
      <c r="K129" t="str">
        <f t="shared" si="15"/>
        <v>21.04.1973</v>
      </c>
      <c r="L129" s="10">
        <f t="shared" si="16"/>
        <v>18162</v>
      </c>
      <c r="M129" s="8">
        <f t="shared" si="17"/>
        <v>49</v>
      </c>
    </row>
    <row r="130" spans="1:13" x14ac:dyDescent="0.25">
      <c r="A130" s="4" t="s">
        <v>156</v>
      </c>
      <c r="B130" t="s">
        <v>13</v>
      </c>
      <c r="C130" t="s">
        <v>4</v>
      </c>
      <c r="D130" s="3">
        <f t="shared" si="9"/>
        <v>71</v>
      </c>
      <c r="E130" s="4">
        <f t="shared" si="10"/>
        <v>11</v>
      </c>
      <c r="F130" s="4">
        <f t="shared" si="11"/>
        <v>16</v>
      </c>
      <c r="G130" s="3">
        <f>IF(E130&gt;=20,2000,1900) + D130</f>
        <v>1971</v>
      </c>
      <c r="H130">
        <f t="shared" si="12"/>
        <v>11</v>
      </c>
      <c r="I130" s="4">
        <f t="shared" si="13"/>
        <v>16</v>
      </c>
      <c r="J130">
        <f t="shared" si="14"/>
        <v>19711116</v>
      </c>
      <c r="K130" t="str">
        <f t="shared" si="15"/>
        <v>16.11.1971</v>
      </c>
      <c r="L130" s="10">
        <f t="shared" si="16"/>
        <v>18684</v>
      </c>
      <c r="M130" s="8">
        <f t="shared" si="17"/>
        <v>51</v>
      </c>
    </row>
    <row r="131" spans="1:13" x14ac:dyDescent="0.25">
      <c r="A131" s="4" t="s">
        <v>157</v>
      </c>
      <c r="B131" t="s">
        <v>3</v>
      </c>
      <c r="C131" t="s">
        <v>6</v>
      </c>
      <c r="D131" s="3">
        <f t="shared" ref="D131:D194" si="18">MID(A131,1,2)*1</f>
        <v>52</v>
      </c>
      <c r="E131" s="4">
        <f t="shared" ref="E131:E194" si="19">MID(A131,3,2)*1</f>
        <v>4</v>
      </c>
      <c r="F131" s="4">
        <f t="shared" ref="F131:F194" si="20">MID(A131,5,2)*1</f>
        <v>24</v>
      </c>
      <c r="G131" s="3">
        <f>IF(E131&gt;=20,2000,1900) + D131</f>
        <v>1952</v>
      </c>
      <c r="H131">
        <f t="shared" ref="H131:H194" si="21">IF(E131&gt;=20,E131-20,E131)</f>
        <v>4</v>
      </c>
      <c r="I131" s="4">
        <f t="shared" ref="I131:I194" si="22">F131</f>
        <v>24</v>
      </c>
      <c r="J131">
        <f t="shared" ref="J131:J194" si="23">CONCATENATE(G131,IF(LEN(H131)=1,CONCATENATE("0",H131),H131),IF(LEN(F131)=1,CONCATENATE("0",F131),F131))*1</f>
        <v>19520424</v>
      </c>
      <c r="K131" t="str">
        <f t="shared" ref="K131:K194" si="24">CONCATENATE(RIGHT(J131,2),".",MID(J131,5,2),".",LEFT(J131,4))</f>
        <v>24.04.1952</v>
      </c>
      <c r="L131" s="10">
        <f t="shared" ref="L131:L194" si="25">44937-K131</f>
        <v>25829</v>
      </c>
      <c r="M131" s="8">
        <f t="shared" ref="M131:M194" si="26">YEAR(L131)-1900</f>
        <v>70</v>
      </c>
    </row>
    <row r="132" spans="1:13" x14ac:dyDescent="0.25">
      <c r="A132" s="4" t="s">
        <v>158</v>
      </c>
      <c r="B132" t="s">
        <v>17</v>
      </c>
      <c r="C132" t="s">
        <v>4</v>
      </c>
      <c r="D132" s="3">
        <f t="shared" si="18"/>
        <v>94</v>
      </c>
      <c r="E132" s="4">
        <f t="shared" si="19"/>
        <v>11</v>
      </c>
      <c r="F132" s="4">
        <f t="shared" si="20"/>
        <v>5</v>
      </c>
      <c r="G132" s="3">
        <f>IF(E132&gt;=20,2000,1900) + D132</f>
        <v>1994</v>
      </c>
      <c r="H132">
        <f t="shared" si="21"/>
        <v>11</v>
      </c>
      <c r="I132" s="4">
        <f t="shared" si="22"/>
        <v>5</v>
      </c>
      <c r="J132">
        <f t="shared" si="23"/>
        <v>19941105</v>
      </c>
      <c r="K132" t="str">
        <f t="shared" si="24"/>
        <v>05.11.1994</v>
      </c>
      <c r="L132" s="10">
        <f t="shared" si="25"/>
        <v>10294</v>
      </c>
      <c r="M132" s="8">
        <f t="shared" si="26"/>
        <v>28</v>
      </c>
    </row>
    <row r="133" spans="1:13" x14ac:dyDescent="0.25">
      <c r="A133" s="4" t="s">
        <v>159</v>
      </c>
      <c r="B133" t="s">
        <v>7</v>
      </c>
      <c r="C133" t="s">
        <v>4</v>
      </c>
      <c r="D133" s="3">
        <f t="shared" si="18"/>
        <v>97</v>
      </c>
      <c r="E133" s="4">
        <f t="shared" si="19"/>
        <v>7</v>
      </c>
      <c r="F133" s="4">
        <f t="shared" si="20"/>
        <v>3</v>
      </c>
      <c r="G133" s="3">
        <f>IF(E133&gt;=20,2000,1900) + D133</f>
        <v>1997</v>
      </c>
      <c r="H133">
        <f t="shared" si="21"/>
        <v>7</v>
      </c>
      <c r="I133" s="4">
        <f t="shared" si="22"/>
        <v>3</v>
      </c>
      <c r="J133">
        <f t="shared" si="23"/>
        <v>19970703</v>
      </c>
      <c r="K133" t="str">
        <f t="shared" si="24"/>
        <v>03.07.1997</v>
      </c>
      <c r="L133" s="10">
        <f t="shared" si="25"/>
        <v>9323</v>
      </c>
      <c r="M133" s="8">
        <f t="shared" si="26"/>
        <v>25</v>
      </c>
    </row>
    <row r="134" spans="1:13" x14ac:dyDescent="0.25">
      <c r="A134" s="4" t="s">
        <v>160</v>
      </c>
      <c r="B134" t="s">
        <v>3</v>
      </c>
      <c r="C134" t="s">
        <v>4</v>
      </c>
      <c r="D134" s="3">
        <f t="shared" si="18"/>
        <v>68</v>
      </c>
      <c r="E134" s="4">
        <f t="shared" si="19"/>
        <v>2</v>
      </c>
      <c r="F134" s="4">
        <f t="shared" si="20"/>
        <v>1</v>
      </c>
      <c r="G134" s="3">
        <f>IF(E134&gt;=20,2000,1900) + D134</f>
        <v>1968</v>
      </c>
      <c r="H134">
        <f t="shared" si="21"/>
        <v>2</v>
      </c>
      <c r="I134" s="4">
        <f t="shared" si="22"/>
        <v>1</v>
      </c>
      <c r="J134">
        <f t="shared" si="23"/>
        <v>19680201</v>
      </c>
      <c r="K134" t="str">
        <f t="shared" si="24"/>
        <v>01.02.1968</v>
      </c>
      <c r="L134" s="10">
        <f t="shared" si="25"/>
        <v>20068</v>
      </c>
      <c r="M134" s="8">
        <f t="shared" si="26"/>
        <v>54</v>
      </c>
    </row>
    <row r="135" spans="1:13" x14ac:dyDescent="0.25">
      <c r="A135" s="4" t="s">
        <v>161</v>
      </c>
      <c r="B135" t="s">
        <v>10</v>
      </c>
      <c r="C135" t="s">
        <v>6</v>
      </c>
      <c r="D135" s="3">
        <f t="shared" si="18"/>
        <v>61</v>
      </c>
      <c r="E135" s="4">
        <f t="shared" si="19"/>
        <v>3</v>
      </c>
      <c r="F135" s="4">
        <f t="shared" si="20"/>
        <v>23</v>
      </c>
      <c r="G135" s="3">
        <f>IF(E135&gt;=20,2000,1900) + D135</f>
        <v>1961</v>
      </c>
      <c r="H135">
        <f t="shared" si="21"/>
        <v>3</v>
      </c>
      <c r="I135" s="4">
        <f t="shared" si="22"/>
        <v>23</v>
      </c>
      <c r="J135">
        <f t="shared" si="23"/>
        <v>19610323</v>
      </c>
      <c r="K135" t="str">
        <f t="shared" si="24"/>
        <v>23.03.1961</v>
      </c>
      <c r="L135" s="10">
        <f t="shared" si="25"/>
        <v>22574</v>
      </c>
      <c r="M135" s="8">
        <f t="shared" si="26"/>
        <v>61</v>
      </c>
    </row>
    <row r="136" spans="1:13" x14ac:dyDescent="0.25">
      <c r="A136" s="4" t="s">
        <v>162</v>
      </c>
      <c r="B136" t="s">
        <v>15</v>
      </c>
      <c r="C136" t="s">
        <v>6</v>
      </c>
      <c r="D136" s="3">
        <f t="shared" si="18"/>
        <v>89</v>
      </c>
      <c r="E136" s="4">
        <f t="shared" si="19"/>
        <v>5</v>
      </c>
      <c r="F136" s="4">
        <f t="shared" si="20"/>
        <v>18</v>
      </c>
      <c r="G136" s="3">
        <f>IF(E136&gt;=20,2000,1900) + D136</f>
        <v>1989</v>
      </c>
      <c r="H136">
        <f t="shared" si="21"/>
        <v>5</v>
      </c>
      <c r="I136" s="4">
        <f t="shared" si="22"/>
        <v>18</v>
      </c>
      <c r="J136">
        <f t="shared" si="23"/>
        <v>19890518</v>
      </c>
      <c r="K136" t="str">
        <f t="shared" si="24"/>
        <v>18.05.1989</v>
      </c>
      <c r="L136" s="10">
        <f t="shared" si="25"/>
        <v>12291</v>
      </c>
      <c r="M136" s="8">
        <f t="shared" si="26"/>
        <v>33</v>
      </c>
    </row>
    <row r="137" spans="1:13" x14ac:dyDescent="0.25">
      <c r="A137" s="4" t="s">
        <v>163</v>
      </c>
      <c r="B137" t="s">
        <v>19</v>
      </c>
      <c r="C137" t="s">
        <v>4</v>
      </c>
      <c r="D137" s="3">
        <f t="shared" si="18"/>
        <v>97</v>
      </c>
      <c r="E137" s="4">
        <f t="shared" si="19"/>
        <v>9</v>
      </c>
      <c r="F137" s="4">
        <f t="shared" si="20"/>
        <v>7</v>
      </c>
      <c r="G137" s="3">
        <f>IF(E137&gt;=20,2000,1900) + D137</f>
        <v>1997</v>
      </c>
      <c r="H137">
        <f t="shared" si="21"/>
        <v>9</v>
      </c>
      <c r="I137" s="4">
        <f t="shared" si="22"/>
        <v>7</v>
      </c>
      <c r="J137">
        <f t="shared" si="23"/>
        <v>19970907</v>
      </c>
      <c r="K137" t="str">
        <f t="shared" si="24"/>
        <v>07.09.1997</v>
      </c>
      <c r="L137" s="10">
        <f t="shared" si="25"/>
        <v>9257</v>
      </c>
      <c r="M137" s="8">
        <f t="shared" si="26"/>
        <v>25</v>
      </c>
    </row>
    <row r="138" spans="1:13" x14ac:dyDescent="0.25">
      <c r="A138" s="4" t="s">
        <v>164</v>
      </c>
      <c r="B138" t="s">
        <v>7</v>
      </c>
      <c r="C138" t="s">
        <v>6</v>
      </c>
      <c r="D138" s="3">
        <f t="shared" si="18"/>
        <v>61</v>
      </c>
      <c r="E138" s="4">
        <f t="shared" si="19"/>
        <v>8</v>
      </c>
      <c r="F138" s="4">
        <f t="shared" si="20"/>
        <v>5</v>
      </c>
      <c r="G138" s="3">
        <f>IF(E138&gt;=20,2000,1900) + D138</f>
        <v>1961</v>
      </c>
      <c r="H138">
        <f t="shared" si="21"/>
        <v>8</v>
      </c>
      <c r="I138" s="4">
        <f t="shared" si="22"/>
        <v>5</v>
      </c>
      <c r="J138">
        <f t="shared" si="23"/>
        <v>19610805</v>
      </c>
      <c r="K138" t="str">
        <f t="shared" si="24"/>
        <v>05.08.1961</v>
      </c>
      <c r="L138" s="10">
        <f t="shared" si="25"/>
        <v>22439</v>
      </c>
      <c r="M138" s="8">
        <f t="shared" si="26"/>
        <v>61</v>
      </c>
    </row>
    <row r="139" spans="1:13" x14ac:dyDescent="0.25">
      <c r="A139" s="4" t="s">
        <v>165</v>
      </c>
      <c r="B139" t="s">
        <v>18</v>
      </c>
      <c r="C139" t="s">
        <v>6</v>
      </c>
      <c r="D139" s="3">
        <f t="shared" si="18"/>
        <v>66</v>
      </c>
      <c r="E139" s="4">
        <f t="shared" si="19"/>
        <v>2</v>
      </c>
      <c r="F139" s="4">
        <f t="shared" si="20"/>
        <v>22</v>
      </c>
      <c r="G139" s="3">
        <f>IF(E139&gt;=20,2000,1900) + D139</f>
        <v>1966</v>
      </c>
      <c r="H139">
        <f t="shared" si="21"/>
        <v>2</v>
      </c>
      <c r="I139" s="4">
        <f t="shared" si="22"/>
        <v>22</v>
      </c>
      <c r="J139">
        <f t="shared" si="23"/>
        <v>19660222</v>
      </c>
      <c r="K139" t="str">
        <f t="shared" si="24"/>
        <v>22.02.1966</v>
      </c>
      <c r="L139" s="10">
        <f t="shared" si="25"/>
        <v>20777</v>
      </c>
      <c r="M139" s="8">
        <f t="shared" si="26"/>
        <v>56</v>
      </c>
    </row>
    <row r="140" spans="1:13" x14ac:dyDescent="0.25">
      <c r="A140" s="4" t="s">
        <v>166</v>
      </c>
      <c r="B140" t="s">
        <v>14</v>
      </c>
      <c r="C140" t="s">
        <v>4</v>
      </c>
      <c r="D140" s="3">
        <f t="shared" si="18"/>
        <v>53</v>
      </c>
      <c r="E140" s="4">
        <f t="shared" si="19"/>
        <v>12</v>
      </c>
      <c r="F140" s="4">
        <f t="shared" si="20"/>
        <v>9</v>
      </c>
      <c r="G140" s="3">
        <f>IF(E140&gt;=20,2000,1900) + D140</f>
        <v>1953</v>
      </c>
      <c r="H140">
        <f t="shared" si="21"/>
        <v>12</v>
      </c>
      <c r="I140" s="4">
        <f t="shared" si="22"/>
        <v>9</v>
      </c>
      <c r="J140">
        <f t="shared" si="23"/>
        <v>19531209</v>
      </c>
      <c r="K140" t="str">
        <f t="shared" si="24"/>
        <v>09.12.1953</v>
      </c>
      <c r="L140" s="10">
        <f t="shared" si="25"/>
        <v>25235</v>
      </c>
      <c r="M140" s="8">
        <f t="shared" si="26"/>
        <v>69</v>
      </c>
    </row>
    <row r="141" spans="1:13" x14ac:dyDescent="0.25">
      <c r="A141" s="4" t="s">
        <v>167</v>
      </c>
      <c r="B141" t="s">
        <v>3</v>
      </c>
      <c r="C141" t="s">
        <v>4</v>
      </c>
      <c r="D141" s="3">
        <f t="shared" si="18"/>
        <v>84</v>
      </c>
      <c r="E141" s="4">
        <f t="shared" si="19"/>
        <v>1</v>
      </c>
      <c r="F141" s="4">
        <f t="shared" si="20"/>
        <v>5</v>
      </c>
      <c r="G141" s="3">
        <f>IF(E141&gt;=20,2000,1900) + D141</f>
        <v>1984</v>
      </c>
      <c r="H141">
        <f t="shared" si="21"/>
        <v>1</v>
      </c>
      <c r="I141" s="4">
        <f t="shared" si="22"/>
        <v>5</v>
      </c>
      <c r="J141">
        <f t="shared" si="23"/>
        <v>19840105</v>
      </c>
      <c r="K141" t="str">
        <f t="shared" si="24"/>
        <v>05.01.1984</v>
      </c>
      <c r="L141" s="10">
        <f t="shared" si="25"/>
        <v>14251</v>
      </c>
      <c r="M141" s="8">
        <f t="shared" si="26"/>
        <v>39</v>
      </c>
    </row>
    <row r="142" spans="1:13" x14ac:dyDescent="0.25">
      <c r="A142" s="4" t="s">
        <v>168</v>
      </c>
      <c r="B142" t="s">
        <v>13</v>
      </c>
      <c r="C142" t="s">
        <v>6</v>
      </c>
      <c r="D142" s="3">
        <f t="shared" si="18"/>
        <v>94</v>
      </c>
      <c r="E142" s="4">
        <f t="shared" si="19"/>
        <v>11</v>
      </c>
      <c r="F142" s="4">
        <f t="shared" si="20"/>
        <v>16</v>
      </c>
      <c r="G142" s="3">
        <f>IF(E142&gt;=20,2000,1900) + D142</f>
        <v>1994</v>
      </c>
      <c r="H142">
        <f t="shared" si="21"/>
        <v>11</v>
      </c>
      <c r="I142" s="4">
        <f t="shared" si="22"/>
        <v>16</v>
      </c>
      <c r="J142">
        <f t="shared" si="23"/>
        <v>19941116</v>
      </c>
      <c r="K142" t="str">
        <f t="shared" si="24"/>
        <v>16.11.1994</v>
      </c>
      <c r="L142" s="10">
        <f t="shared" si="25"/>
        <v>10283</v>
      </c>
      <c r="M142" s="8">
        <f t="shared" si="26"/>
        <v>28</v>
      </c>
    </row>
    <row r="143" spans="1:13" x14ac:dyDescent="0.25">
      <c r="A143" s="4" t="s">
        <v>169</v>
      </c>
      <c r="B143" t="s">
        <v>9</v>
      </c>
      <c r="C143" t="s">
        <v>4</v>
      </c>
      <c r="D143" s="3">
        <f t="shared" si="18"/>
        <v>83</v>
      </c>
      <c r="E143" s="4">
        <f t="shared" si="19"/>
        <v>8</v>
      </c>
      <c r="F143" s="4">
        <f t="shared" si="20"/>
        <v>9</v>
      </c>
      <c r="G143" s="3">
        <f>IF(E143&gt;=20,2000,1900) + D143</f>
        <v>1983</v>
      </c>
      <c r="H143">
        <f t="shared" si="21"/>
        <v>8</v>
      </c>
      <c r="I143" s="4">
        <f t="shared" si="22"/>
        <v>9</v>
      </c>
      <c r="J143">
        <f t="shared" si="23"/>
        <v>19830809</v>
      </c>
      <c r="K143" t="str">
        <f t="shared" si="24"/>
        <v>09.08.1983</v>
      </c>
      <c r="L143" s="10">
        <f t="shared" si="25"/>
        <v>14400</v>
      </c>
      <c r="M143" s="8">
        <f t="shared" si="26"/>
        <v>39</v>
      </c>
    </row>
    <row r="144" spans="1:13" x14ac:dyDescent="0.25">
      <c r="A144" s="4" t="s">
        <v>170</v>
      </c>
      <c r="B144" t="s">
        <v>8</v>
      </c>
      <c r="C144" t="s">
        <v>4</v>
      </c>
      <c r="D144" s="3">
        <f t="shared" si="18"/>
        <v>99</v>
      </c>
      <c r="E144" s="4">
        <f t="shared" si="19"/>
        <v>2</v>
      </c>
      <c r="F144" s="4">
        <f t="shared" si="20"/>
        <v>6</v>
      </c>
      <c r="G144" s="3">
        <f>IF(E144&gt;=20,2000,1900) + D144</f>
        <v>1999</v>
      </c>
      <c r="H144">
        <f t="shared" si="21"/>
        <v>2</v>
      </c>
      <c r="I144" s="4">
        <f t="shared" si="22"/>
        <v>6</v>
      </c>
      <c r="J144">
        <f t="shared" si="23"/>
        <v>19990206</v>
      </c>
      <c r="K144" t="str">
        <f t="shared" si="24"/>
        <v>06.02.1999</v>
      </c>
      <c r="L144" s="10">
        <f t="shared" si="25"/>
        <v>8740</v>
      </c>
      <c r="M144" s="8">
        <f t="shared" si="26"/>
        <v>23</v>
      </c>
    </row>
    <row r="145" spans="1:13" x14ac:dyDescent="0.25">
      <c r="A145" s="4" t="s">
        <v>171</v>
      </c>
      <c r="B145" t="s">
        <v>17</v>
      </c>
      <c r="C145" t="s">
        <v>6</v>
      </c>
      <c r="D145" s="3">
        <f t="shared" si="18"/>
        <v>99</v>
      </c>
      <c r="E145" s="4">
        <f t="shared" si="19"/>
        <v>11</v>
      </c>
      <c r="F145" s="4">
        <f t="shared" si="20"/>
        <v>13</v>
      </c>
      <c r="G145" s="3">
        <f>IF(E145&gt;=20,2000,1900) + D145</f>
        <v>1999</v>
      </c>
      <c r="H145">
        <f t="shared" si="21"/>
        <v>11</v>
      </c>
      <c r="I145" s="4">
        <f t="shared" si="22"/>
        <v>13</v>
      </c>
      <c r="J145">
        <f t="shared" si="23"/>
        <v>19991113</v>
      </c>
      <c r="K145" t="str">
        <f t="shared" si="24"/>
        <v>13.11.1999</v>
      </c>
      <c r="L145" s="10">
        <f t="shared" si="25"/>
        <v>8460</v>
      </c>
      <c r="M145" s="8">
        <f t="shared" si="26"/>
        <v>23</v>
      </c>
    </row>
    <row r="146" spans="1:13" x14ac:dyDescent="0.25">
      <c r="A146" s="4" t="s">
        <v>172</v>
      </c>
      <c r="B146" t="s">
        <v>20</v>
      </c>
      <c r="C146" t="s">
        <v>4</v>
      </c>
      <c r="D146" s="3">
        <f t="shared" si="18"/>
        <v>51</v>
      </c>
      <c r="E146" s="4">
        <f t="shared" si="19"/>
        <v>9</v>
      </c>
      <c r="F146" s="4">
        <f t="shared" si="20"/>
        <v>25</v>
      </c>
      <c r="G146" s="3">
        <f>IF(E146&gt;=20,2000,1900) + D146</f>
        <v>1951</v>
      </c>
      <c r="H146">
        <f t="shared" si="21"/>
        <v>9</v>
      </c>
      <c r="I146" s="4">
        <f t="shared" si="22"/>
        <v>25</v>
      </c>
      <c r="J146">
        <f t="shared" si="23"/>
        <v>19510925</v>
      </c>
      <c r="K146" t="str">
        <f t="shared" si="24"/>
        <v>25.09.1951</v>
      </c>
      <c r="L146" s="10">
        <f t="shared" si="25"/>
        <v>26041</v>
      </c>
      <c r="M146" s="8">
        <f t="shared" si="26"/>
        <v>71</v>
      </c>
    </row>
    <row r="147" spans="1:13" x14ac:dyDescent="0.25">
      <c r="A147" s="4" t="s">
        <v>173</v>
      </c>
      <c r="B147" t="s">
        <v>9</v>
      </c>
      <c r="C147" t="s">
        <v>4</v>
      </c>
      <c r="D147" s="3">
        <f t="shared" si="18"/>
        <v>56</v>
      </c>
      <c r="E147" s="4">
        <f t="shared" si="19"/>
        <v>2</v>
      </c>
      <c r="F147" s="4">
        <f t="shared" si="20"/>
        <v>14</v>
      </c>
      <c r="G147" s="3">
        <f>IF(E147&gt;=20,2000,1900) + D147</f>
        <v>1956</v>
      </c>
      <c r="H147">
        <f t="shared" si="21"/>
        <v>2</v>
      </c>
      <c r="I147" s="4">
        <f t="shared" si="22"/>
        <v>14</v>
      </c>
      <c r="J147">
        <f t="shared" si="23"/>
        <v>19560214</v>
      </c>
      <c r="K147" t="str">
        <f t="shared" si="24"/>
        <v>14.02.1956</v>
      </c>
      <c r="L147" s="10">
        <f t="shared" si="25"/>
        <v>24438</v>
      </c>
      <c r="M147" s="8">
        <f t="shared" si="26"/>
        <v>66</v>
      </c>
    </row>
    <row r="148" spans="1:13" x14ac:dyDescent="0.25">
      <c r="A148" s="4" t="s">
        <v>174</v>
      </c>
      <c r="B148" t="s">
        <v>13</v>
      </c>
      <c r="C148" t="s">
        <v>4</v>
      </c>
      <c r="D148" s="3">
        <f t="shared" si="18"/>
        <v>61</v>
      </c>
      <c r="E148" s="4">
        <f t="shared" si="19"/>
        <v>5</v>
      </c>
      <c r="F148" s="4">
        <f t="shared" si="20"/>
        <v>23</v>
      </c>
      <c r="G148" s="3">
        <f>IF(E148&gt;=20,2000,1900) + D148</f>
        <v>1961</v>
      </c>
      <c r="H148">
        <f t="shared" si="21"/>
        <v>5</v>
      </c>
      <c r="I148" s="4">
        <f t="shared" si="22"/>
        <v>23</v>
      </c>
      <c r="J148">
        <f t="shared" si="23"/>
        <v>19610523</v>
      </c>
      <c r="K148" t="str">
        <f t="shared" si="24"/>
        <v>23.05.1961</v>
      </c>
      <c r="L148" s="10">
        <f t="shared" si="25"/>
        <v>22513</v>
      </c>
      <c r="M148" s="8">
        <f t="shared" si="26"/>
        <v>61</v>
      </c>
    </row>
    <row r="149" spans="1:13" x14ac:dyDescent="0.25">
      <c r="A149" s="4" t="s">
        <v>175</v>
      </c>
      <c r="B149" t="s">
        <v>13</v>
      </c>
      <c r="C149" t="s">
        <v>4</v>
      </c>
      <c r="D149" s="3">
        <f t="shared" si="18"/>
        <v>51</v>
      </c>
      <c r="E149" s="4">
        <f t="shared" si="19"/>
        <v>12</v>
      </c>
      <c r="F149" s="4">
        <f t="shared" si="20"/>
        <v>28</v>
      </c>
      <c r="G149" s="3">
        <f>IF(E149&gt;=20,2000,1900) + D149</f>
        <v>1951</v>
      </c>
      <c r="H149">
        <f t="shared" si="21"/>
        <v>12</v>
      </c>
      <c r="I149" s="4">
        <f t="shared" si="22"/>
        <v>28</v>
      </c>
      <c r="J149">
        <f t="shared" si="23"/>
        <v>19511228</v>
      </c>
      <c r="K149" t="str">
        <f t="shared" si="24"/>
        <v>28.12.1951</v>
      </c>
      <c r="L149" s="10">
        <f t="shared" si="25"/>
        <v>25947</v>
      </c>
      <c r="M149" s="8">
        <f t="shared" si="26"/>
        <v>71</v>
      </c>
    </row>
    <row r="150" spans="1:13" x14ac:dyDescent="0.25">
      <c r="A150" s="4" t="s">
        <v>176</v>
      </c>
      <c r="B150" t="s">
        <v>19</v>
      </c>
      <c r="C150" t="s">
        <v>4</v>
      </c>
      <c r="D150" s="3">
        <f t="shared" si="18"/>
        <v>71</v>
      </c>
      <c r="E150" s="4">
        <f t="shared" si="19"/>
        <v>6</v>
      </c>
      <c r="F150" s="4">
        <f t="shared" si="20"/>
        <v>30</v>
      </c>
      <c r="G150" s="3">
        <f>IF(E150&gt;=20,2000,1900) + D150</f>
        <v>1971</v>
      </c>
      <c r="H150">
        <f t="shared" si="21"/>
        <v>6</v>
      </c>
      <c r="I150" s="4">
        <f t="shared" si="22"/>
        <v>30</v>
      </c>
      <c r="J150">
        <f t="shared" si="23"/>
        <v>19710630</v>
      </c>
      <c r="K150" t="str">
        <f t="shared" si="24"/>
        <v>30.06.1971</v>
      </c>
      <c r="L150" s="10">
        <f t="shared" si="25"/>
        <v>18823</v>
      </c>
      <c r="M150" s="8">
        <f t="shared" si="26"/>
        <v>51</v>
      </c>
    </row>
    <row r="151" spans="1:13" x14ac:dyDescent="0.25">
      <c r="A151" s="4" t="s">
        <v>177</v>
      </c>
      <c r="B151" t="s">
        <v>5</v>
      </c>
      <c r="C151" t="s">
        <v>6</v>
      </c>
      <c r="D151" s="3">
        <f t="shared" si="18"/>
        <v>74</v>
      </c>
      <c r="E151" s="4">
        <f t="shared" si="19"/>
        <v>7</v>
      </c>
      <c r="F151" s="4">
        <f t="shared" si="20"/>
        <v>22</v>
      </c>
      <c r="G151" s="3">
        <f>IF(E151&gt;=20,2000,1900) + D151</f>
        <v>1974</v>
      </c>
      <c r="H151">
        <f t="shared" si="21"/>
        <v>7</v>
      </c>
      <c r="I151" s="4">
        <f t="shared" si="22"/>
        <v>22</v>
      </c>
      <c r="J151">
        <f t="shared" si="23"/>
        <v>19740722</v>
      </c>
      <c r="K151" t="str">
        <f t="shared" si="24"/>
        <v>22.07.1974</v>
      </c>
      <c r="L151" s="10">
        <f t="shared" si="25"/>
        <v>17705</v>
      </c>
      <c r="M151" s="8">
        <f t="shared" si="26"/>
        <v>48</v>
      </c>
    </row>
    <row r="152" spans="1:13" x14ac:dyDescent="0.25">
      <c r="A152" s="4" t="s">
        <v>178</v>
      </c>
      <c r="B152" t="s">
        <v>10</v>
      </c>
      <c r="C152" t="s">
        <v>4</v>
      </c>
      <c r="D152" s="3">
        <f t="shared" si="18"/>
        <v>91</v>
      </c>
      <c r="E152" s="4">
        <f t="shared" si="19"/>
        <v>9</v>
      </c>
      <c r="F152" s="4">
        <f t="shared" si="20"/>
        <v>14</v>
      </c>
      <c r="G152" s="3">
        <f>IF(E152&gt;=20,2000,1900) + D152</f>
        <v>1991</v>
      </c>
      <c r="H152">
        <f t="shared" si="21"/>
        <v>9</v>
      </c>
      <c r="I152" s="4">
        <f t="shared" si="22"/>
        <v>14</v>
      </c>
      <c r="J152">
        <f t="shared" si="23"/>
        <v>19910914</v>
      </c>
      <c r="K152" t="str">
        <f t="shared" si="24"/>
        <v>14.09.1991</v>
      </c>
      <c r="L152" s="10">
        <f t="shared" si="25"/>
        <v>11442</v>
      </c>
      <c r="M152" s="8">
        <f t="shared" si="26"/>
        <v>31</v>
      </c>
    </row>
    <row r="153" spans="1:13" x14ac:dyDescent="0.25">
      <c r="A153" s="4" t="s">
        <v>179</v>
      </c>
      <c r="B153" t="s">
        <v>9</v>
      </c>
      <c r="C153" t="s">
        <v>6</v>
      </c>
      <c r="D153" s="3">
        <f t="shared" si="18"/>
        <v>57</v>
      </c>
      <c r="E153" s="4">
        <f t="shared" si="19"/>
        <v>12</v>
      </c>
      <c r="F153" s="4">
        <f t="shared" si="20"/>
        <v>23</v>
      </c>
      <c r="G153" s="3">
        <f>IF(E153&gt;=20,2000,1900) + D153</f>
        <v>1957</v>
      </c>
      <c r="H153">
        <f t="shared" si="21"/>
        <v>12</v>
      </c>
      <c r="I153" s="4">
        <f t="shared" si="22"/>
        <v>23</v>
      </c>
      <c r="J153">
        <f t="shared" si="23"/>
        <v>19571223</v>
      </c>
      <c r="K153" t="str">
        <f t="shared" si="24"/>
        <v>23.12.1957</v>
      </c>
      <c r="L153" s="10">
        <f t="shared" si="25"/>
        <v>23760</v>
      </c>
      <c r="M153" s="8">
        <f t="shared" si="26"/>
        <v>65</v>
      </c>
    </row>
    <row r="154" spans="1:13" x14ac:dyDescent="0.25">
      <c r="A154" s="4" t="s">
        <v>180</v>
      </c>
      <c r="B154" t="s">
        <v>7</v>
      </c>
      <c r="C154" t="s">
        <v>6</v>
      </c>
      <c r="D154" s="3">
        <f t="shared" si="18"/>
        <v>99</v>
      </c>
      <c r="E154" s="4">
        <f t="shared" si="19"/>
        <v>4</v>
      </c>
      <c r="F154" s="4">
        <f t="shared" si="20"/>
        <v>14</v>
      </c>
      <c r="G154" s="3">
        <f>IF(E154&gt;=20,2000,1900) + D154</f>
        <v>1999</v>
      </c>
      <c r="H154">
        <f t="shared" si="21"/>
        <v>4</v>
      </c>
      <c r="I154" s="4">
        <f t="shared" si="22"/>
        <v>14</v>
      </c>
      <c r="J154">
        <f t="shared" si="23"/>
        <v>19990414</v>
      </c>
      <c r="K154" t="str">
        <f t="shared" si="24"/>
        <v>14.04.1999</v>
      </c>
      <c r="L154" s="10">
        <f t="shared" si="25"/>
        <v>8673</v>
      </c>
      <c r="M154" s="8">
        <f t="shared" si="26"/>
        <v>23</v>
      </c>
    </row>
    <row r="155" spans="1:13" x14ac:dyDescent="0.25">
      <c r="A155" s="4" t="s">
        <v>181</v>
      </c>
      <c r="B155" t="s">
        <v>18</v>
      </c>
      <c r="C155" t="s">
        <v>4</v>
      </c>
      <c r="D155" s="3">
        <f t="shared" si="18"/>
        <v>67</v>
      </c>
      <c r="E155" s="4">
        <f t="shared" si="19"/>
        <v>10</v>
      </c>
      <c r="F155" s="4">
        <f t="shared" si="20"/>
        <v>3</v>
      </c>
      <c r="G155" s="3">
        <f>IF(E155&gt;=20,2000,1900) + D155</f>
        <v>1967</v>
      </c>
      <c r="H155">
        <f t="shared" si="21"/>
        <v>10</v>
      </c>
      <c r="I155" s="4">
        <f t="shared" si="22"/>
        <v>3</v>
      </c>
      <c r="J155">
        <f t="shared" si="23"/>
        <v>19671003</v>
      </c>
      <c r="K155" t="str">
        <f t="shared" si="24"/>
        <v>03.10.1967</v>
      </c>
      <c r="L155" s="10">
        <f t="shared" si="25"/>
        <v>20189</v>
      </c>
      <c r="M155" s="8">
        <f t="shared" si="26"/>
        <v>55</v>
      </c>
    </row>
    <row r="156" spans="1:13" x14ac:dyDescent="0.25">
      <c r="A156" s="4" t="s">
        <v>182</v>
      </c>
      <c r="B156" t="s">
        <v>17</v>
      </c>
      <c r="C156" t="s">
        <v>4</v>
      </c>
      <c r="D156" s="3">
        <f t="shared" si="18"/>
        <v>82</v>
      </c>
      <c r="E156" s="4">
        <f t="shared" si="19"/>
        <v>6</v>
      </c>
      <c r="F156" s="4">
        <f t="shared" si="20"/>
        <v>20</v>
      </c>
      <c r="G156" s="3">
        <f>IF(E156&gt;=20,2000,1900) + D156</f>
        <v>1982</v>
      </c>
      <c r="H156">
        <f t="shared" si="21"/>
        <v>6</v>
      </c>
      <c r="I156" s="4">
        <f t="shared" si="22"/>
        <v>20</v>
      </c>
      <c r="J156">
        <f t="shared" si="23"/>
        <v>19820620</v>
      </c>
      <c r="K156" t="str">
        <f t="shared" si="24"/>
        <v>20.06.1982</v>
      </c>
      <c r="L156" s="10">
        <f t="shared" si="25"/>
        <v>14815</v>
      </c>
      <c r="M156" s="8">
        <f t="shared" si="26"/>
        <v>40</v>
      </c>
    </row>
    <row r="157" spans="1:13" x14ac:dyDescent="0.25">
      <c r="A157" s="4" t="s">
        <v>183</v>
      </c>
      <c r="B157" t="s">
        <v>11</v>
      </c>
      <c r="C157" t="s">
        <v>4</v>
      </c>
      <c r="D157" s="3">
        <f t="shared" si="18"/>
        <v>57</v>
      </c>
      <c r="E157" s="4">
        <f t="shared" si="19"/>
        <v>12</v>
      </c>
      <c r="F157" s="4">
        <f t="shared" si="20"/>
        <v>20</v>
      </c>
      <c r="G157" s="3">
        <f>IF(E157&gt;=20,2000,1900) + D157</f>
        <v>1957</v>
      </c>
      <c r="H157">
        <f t="shared" si="21"/>
        <v>12</v>
      </c>
      <c r="I157" s="4">
        <f t="shared" si="22"/>
        <v>20</v>
      </c>
      <c r="J157">
        <f t="shared" si="23"/>
        <v>19571220</v>
      </c>
      <c r="K157" t="str">
        <f t="shared" si="24"/>
        <v>20.12.1957</v>
      </c>
      <c r="L157" s="10">
        <f t="shared" si="25"/>
        <v>23763</v>
      </c>
      <c r="M157" s="8">
        <f t="shared" si="26"/>
        <v>65</v>
      </c>
    </row>
    <row r="158" spans="1:13" x14ac:dyDescent="0.25">
      <c r="A158" s="4" t="s">
        <v>184</v>
      </c>
      <c r="B158" t="s">
        <v>16</v>
      </c>
      <c r="C158" t="s">
        <v>6</v>
      </c>
      <c r="D158" s="3">
        <f t="shared" si="18"/>
        <v>67</v>
      </c>
      <c r="E158" s="4">
        <f t="shared" si="19"/>
        <v>11</v>
      </c>
      <c r="F158" s="4">
        <f t="shared" si="20"/>
        <v>21</v>
      </c>
      <c r="G158" s="3">
        <f>IF(E158&gt;=20,2000,1900) + D158</f>
        <v>1967</v>
      </c>
      <c r="H158">
        <f t="shared" si="21"/>
        <v>11</v>
      </c>
      <c r="I158" s="4">
        <f t="shared" si="22"/>
        <v>21</v>
      </c>
      <c r="J158">
        <f t="shared" si="23"/>
        <v>19671121</v>
      </c>
      <c r="K158" t="str">
        <f t="shared" si="24"/>
        <v>21.11.1967</v>
      </c>
      <c r="L158" s="10">
        <f t="shared" si="25"/>
        <v>20140</v>
      </c>
      <c r="M158" s="8">
        <f t="shared" si="26"/>
        <v>55</v>
      </c>
    </row>
    <row r="159" spans="1:13" x14ac:dyDescent="0.25">
      <c r="A159" s="4" t="s">
        <v>185</v>
      </c>
      <c r="B159" t="s">
        <v>9</v>
      </c>
      <c r="C159" t="s">
        <v>4</v>
      </c>
      <c r="D159" s="3">
        <f t="shared" si="18"/>
        <v>87</v>
      </c>
      <c r="E159" s="4">
        <f t="shared" si="19"/>
        <v>9</v>
      </c>
      <c r="F159" s="4">
        <f t="shared" si="20"/>
        <v>2</v>
      </c>
      <c r="G159" s="3">
        <f>IF(E159&gt;=20,2000,1900) + D159</f>
        <v>1987</v>
      </c>
      <c r="H159">
        <f t="shared" si="21"/>
        <v>9</v>
      </c>
      <c r="I159" s="4">
        <f t="shared" si="22"/>
        <v>2</v>
      </c>
      <c r="J159">
        <f t="shared" si="23"/>
        <v>19870902</v>
      </c>
      <c r="K159" t="str">
        <f t="shared" si="24"/>
        <v>02.09.1987</v>
      </c>
      <c r="L159" s="10">
        <f t="shared" si="25"/>
        <v>12915</v>
      </c>
      <c r="M159" s="8">
        <f t="shared" si="26"/>
        <v>35</v>
      </c>
    </row>
    <row r="160" spans="1:13" x14ac:dyDescent="0.25">
      <c r="A160" s="4" t="s">
        <v>186</v>
      </c>
      <c r="B160" t="s">
        <v>7</v>
      </c>
      <c r="C160" t="s">
        <v>6</v>
      </c>
      <c r="D160" s="3">
        <f t="shared" si="18"/>
        <v>61</v>
      </c>
      <c r="E160" s="4">
        <f t="shared" si="19"/>
        <v>3</v>
      </c>
      <c r="F160" s="4">
        <f t="shared" si="20"/>
        <v>24</v>
      </c>
      <c r="G160" s="3">
        <f>IF(E160&gt;=20,2000,1900) + D160</f>
        <v>1961</v>
      </c>
      <c r="H160">
        <f t="shared" si="21"/>
        <v>3</v>
      </c>
      <c r="I160" s="4">
        <f t="shared" si="22"/>
        <v>24</v>
      </c>
      <c r="J160">
        <f t="shared" si="23"/>
        <v>19610324</v>
      </c>
      <c r="K160" t="str">
        <f t="shared" si="24"/>
        <v>24.03.1961</v>
      </c>
      <c r="L160" s="10">
        <f t="shared" si="25"/>
        <v>22573</v>
      </c>
      <c r="M160" s="8">
        <f t="shared" si="26"/>
        <v>61</v>
      </c>
    </row>
    <row r="161" spans="1:13" x14ac:dyDescent="0.25">
      <c r="A161" s="4" t="s">
        <v>187</v>
      </c>
      <c r="B161" t="s">
        <v>5</v>
      </c>
      <c r="C161" t="s">
        <v>6</v>
      </c>
      <c r="D161" s="3">
        <f t="shared" si="18"/>
        <v>64</v>
      </c>
      <c r="E161" s="4">
        <f t="shared" si="19"/>
        <v>8</v>
      </c>
      <c r="F161" s="4">
        <f t="shared" si="20"/>
        <v>7</v>
      </c>
      <c r="G161" s="3">
        <f>IF(E161&gt;=20,2000,1900) + D161</f>
        <v>1964</v>
      </c>
      <c r="H161">
        <f t="shared" si="21"/>
        <v>8</v>
      </c>
      <c r="I161" s="4">
        <f t="shared" si="22"/>
        <v>7</v>
      </c>
      <c r="J161">
        <f t="shared" si="23"/>
        <v>19640807</v>
      </c>
      <c r="K161" t="str">
        <f t="shared" si="24"/>
        <v>07.08.1964</v>
      </c>
      <c r="L161" s="10">
        <f t="shared" si="25"/>
        <v>21341</v>
      </c>
      <c r="M161" s="8">
        <f t="shared" si="26"/>
        <v>58</v>
      </c>
    </row>
    <row r="162" spans="1:13" x14ac:dyDescent="0.25">
      <c r="A162" s="4" t="s">
        <v>188</v>
      </c>
      <c r="B162" t="s">
        <v>9</v>
      </c>
      <c r="C162" t="s">
        <v>6</v>
      </c>
      <c r="D162" s="3">
        <f t="shared" si="18"/>
        <v>59</v>
      </c>
      <c r="E162" s="4">
        <f t="shared" si="19"/>
        <v>6</v>
      </c>
      <c r="F162" s="4">
        <f t="shared" si="20"/>
        <v>27</v>
      </c>
      <c r="G162" s="3">
        <f>IF(E162&gt;=20,2000,1900) + D162</f>
        <v>1959</v>
      </c>
      <c r="H162">
        <f t="shared" si="21"/>
        <v>6</v>
      </c>
      <c r="I162" s="4">
        <f t="shared" si="22"/>
        <v>27</v>
      </c>
      <c r="J162">
        <f t="shared" si="23"/>
        <v>19590627</v>
      </c>
      <c r="K162" t="str">
        <f t="shared" si="24"/>
        <v>27.06.1959</v>
      </c>
      <c r="L162" s="10">
        <f t="shared" si="25"/>
        <v>23209</v>
      </c>
      <c r="M162" s="8">
        <f t="shared" si="26"/>
        <v>63</v>
      </c>
    </row>
    <row r="163" spans="1:13" x14ac:dyDescent="0.25">
      <c r="A163" s="4" t="s">
        <v>189</v>
      </c>
      <c r="B163" t="s">
        <v>20</v>
      </c>
      <c r="C163" t="s">
        <v>6</v>
      </c>
      <c r="D163" s="3">
        <f t="shared" si="18"/>
        <v>65</v>
      </c>
      <c r="E163" s="4">
        <f t="shared" si="19"/>
        <v>4</v>
      </c>
      <c r="F163" s="4">
        <f t="shared" si="20"/>
        <v>6</v>
      </c>
      <c r="G163" s="3">
        <f>IF(E163&gt;=20,2000,1900) + D163</f>
        <v>1965</v>
      </c>
      <c r="H163">
        <f t="shared" si="21"/>
        <v>4</v>
      </c>
      <c r="I163" s="4">
        <f t="shared" si="22"/>
        <v>6</v>
      </c>
      <c r="J163">
        <f t="shared" si="23"/>
        <v>19650406</v>
      </c>
      <c r="K163" t="str">
        <f t="shared" si="24"/>
        <v>06.04.1965</v>
      </c>
      <c r="L163" s="10">
        <f t="shared" si="25"/>
        <v>21099</v>
      </c>
      <c r="M163" s="8">
        <f t="shared" si="26"/>
        <v>57</v>
      </c>
    </row>
    <row r="164" spans="1:13" x14ac:dyDescent="0.25">
      <c r="A164" s="4" t="s">
        <v>190</v>
      </c>
      <c r="B164" t="s">
        <v>13</v>
      </c>
      <c r="C164" t="s">
        <v>6</v>
      </c>
      <c r="D164" s="3">
        <f t="shared" si="18"/>
        <v>94</v>
      </c>
      <c r="E164" s="4">
        <f t="shared" si="19"/>
        <v>12</v>
      </c>
      <c r="F164" s="4">
        <f t="shared" si="20"/>
        <v>26</v>
      </c>
      <c r="G164" s="3">
        <f>IF(E164&gt;=20,2000,1900) + D164</f>
        <v>1994</v>
      </c>
      <c r="H164">
        <f t="shared" si="21"/>
        <v>12</v>
      </c>
      <c r="I164" s="4">
        <f t="shared" si="22"/>
        <v>26</v>
      </c>
      <c r="J164">
        <f t="shared" si="23"/>
        <v>19941226</v>
      </c>
      <c r="K164" t="str">
        <f t="shared" si="24"/>
        <v>26.12.1994</v>
      </c>
      <c r="L164" s="10">
        <f t="shared" si="25"/>
        <v>10243</v>
      </c>
      <c r="M164" s="8">
        <f t="shared" si="26"/>
        <v>28</v>
      </c>
    </row>
    <row r="165" spans="1:13" x14ac:dyDescent="0.25">
      <c r="A165" s="4" t="s">
        <v>191</v>
      </c>
      <c r="B165" t="s">
        <v>20</v>
      </c>
      <c r="C165" t="s">
        <v>4</v>
      </c>
      <c r="D165" s="3">
        <f t="shared" si="18"/>
        <v>58</v>
      </c>
      <c r="E165" s="4">
        <f t="shared" si="19"/>
        <v>9</v>
      </c>
      <c r="F165" s="4">
        <f t="shared" si="20"/>
        <v>13</v>
      </c>
      <c r="G165" s="3">
        <f>IF(E165&gt;=20,2000,1900) + D165</f>
        <v>1958</v>
      </c>
      <c r="H165">
        <f t="shared" si="21"/>
        <v>9</v>
      </c>
      <c r="I165" s="4">
        <f t="shared" si="22"/>
        <v>13</v>
      </c>
      <c r="J165">
        <f t="shared" si="23"/>
        <v>19580913</v>
      </c>
      <c r="K165" t="str">
        <f t="shared" si="24"/>
        <v>13.09.1958</v>
      </c>
      <c r="L165" s="10">
        <f t="shared" si="25"/>
        <v>23496</v>
      </c>
      <c r="M165" s="8">
        <f t="shared" si="26"/>
        <v>64</v>
      </c>
    </row>
    <row r="166" spans="1:13" x14ac:dyDescent="0.25">
      <c r="A166" s="4" t="s">
        <v>192</v>
      </c>
      <c r="B166" t="s">
        <v>7</v>
      </c>
      <c r="C166" t="s">
        <v>4</v>
      </c>
      <c r="D166" s="3">
        <f t="shared" si="18"/>
        <v>73</v>
      </c>
      <c r="E166" s="4">
        <f t="shared" si="19"/>
        <v>11</v>
      </c>
      <c r="F166" s="4">
        <f t="shared" si="20"/>
        <v>23</v>
      </c>
      <c r="G166" s="3">
        <f>IF(E166&gt;=20,2000,1900) + D166</f>
        <v>1973</v>
      </c>
      <c r="H166">
        <f t="shared" si="21"/>
        <v>11</v>
      </c>
      <c r="I166" s="4">
        <f t="shared" si="22"/>
        <v>23</v>
      </c>
      <c r="J166">
        <f t="shared" si="23"/>
        <v>19731123</v>
      </c>
      <c r="K166" t="str">
        <f t="shared" si="24"/>
        <v>23.11.1973</v>
      </c>
      <c r="L166" s="10">
        <f t="shared" si="25"/>
        <v>17946</v>
      </c>
      <c r="M166" s="8">
        <f t="shared" si="26"/>
        <v>49</v>
      </c>
    </row>
    <row r="167" spans="1:13" x14ac:dyDescent="0.25">
      <c r="A167" s="4" t="s">
        <v>193</v>
      </c>
      <c r="B167" t="s">
        <v>16</v>
      </c>
      <c r="C167" t="s">
        <v>4</v>
      </c>
      <c r="D167" s="3">
        <f t="shared" si="18"/>
        <v>61</v>
      </c>
      <c r="E167" s="4">
        <f t="shared" si="19"/>
        <v>5</v>
      </c>
      <c r="F167" s="4">
        <f t="shared" si="20"/>
        <v>28</v>
      </c>
      <c r="G167" s="3">
        <f>IF(E167&gt;=20,2000,1900) + D167</f>
        <v>1961</v>
      </c>
      <c r="H167">
        <f t="shared" si="21"/>
        <v>5</v>
      </c>
      <c r="I167" s="4">
        <f t="shared" si="22"/>
        <v>28</v>
      </c>
      <c r="J167">
        <f t="shared" si="23"/>
        <v>19610528</v>
      </c>
      <c r="K167" t="str">
        <f t="shared" si="24"/>
        <v>28.05.1961</v>
      </c>
      <c r="L167" s="10">
        <f t="shared" si="25"/>
        <v>22508</v>
      </c>
      <c r="M167" s="8">
        <f t="shared" si="26"/>
        <v>61</v>
      </c>
    </row>
    <row r="168" spans="1:13" x14ac:dyDescent="0.25">
      <c r="A168" s="4" t="s">
        <v>194</v>
      </c>
      <c r="B168" t="s">
        <v>18</v>
      </c>
      <c r="C168" t="s">
        <v>6</v>
      </c>
      <c r="D168" s="3">
        <f t="shared" si="18"/>
        <v>71</v>
      </c>
      <c r="E168" s="4">
        <f t="shared" si="19"/>
        <v>2</v>
      </c>
      <c r="F168" s="4">
        <f t="shared" si="20"/>
        <v>16</v>
      </c>
      <c r="G168" s="3">
        <f>IF(E168&gt;=20,2000,1900) + D168</f>
        <v>1971</v>
      </c>
      <c r="H168">
        <f t="shared" si="21"/>
        <v>2</v>
      </c>
      <c r="I168" s="4">
        <f t="shared" si="22"/>
        <v>16</v>
      </c>
      <c r="J168">
        <f t="shared" si="23"/>
        <v>19710216</v>
      </c>
      <c r="K168" t="str">
        <f t="shared" si="24"/>
        <v>16.02.1971</v>
      </c>
      <c r="L168" s="10">
        <f t="shared" si="25"/>
        <v>18957</v>
      </c>
      <c r="M168" s="8">
        <f t="shared" si="26"/>
        <v>51</v>
      </c>
    </row>
    <row r="169" spans="1:13" x14ac:dyDescent="0.25">
      <c r="A169" s="4" t="s">
        <v>195</v>
      </c>
      <c r="B169" t="s">
        <v>15</v>
      </c>
      <c r="C169" t="s">
        <v>6</v>
      </c>
      <c r="D169" s="3">
        <f t="shared" si="18"/>
        <v>56</v>
      </c>
      <c r="E169" s="4">
        <f t="shared" si="19"/>
        <v>8</v>
      </c>
      <c r="F169" s="4">
        <f t="shared" si="20"/>
        <v>22</v>
      </c>
      <c r="G169" s="3">
        <f>IF(E169&gt;=20,2000,1900) + D169</f>
        <v>1956</v>
      </c>
      <c r="H169">
        <f t="shared" si="21"/>
        <v>8</v>
      </c>
      <c r="I169" s="4">
        <f t="shared" si="22"/>
        <v>22</v>
      </c>
      <c r="J169">
        <f t="shared" si="23"/>
        <v>19560822</v>
      </c>
      <c r="K169" t="str">
        <f t="shared" si="24"/>
        <v>22.08.1956</v>
      </c>
      <c r="L169" s="10">
        <f t="shared" si="25"/>
        <v>24248</v>
      </c>
      <c r="M169" s="8">
        <f t="shared" si="26"/>
        <v>66</v>
      </c>
    </row>
    <row r="170" spans="1:13" x14ac:dyDescent="0.25">
      <c r="A170" s="4" t="s">
        <v>196</v>
      </c>
      <c r="B170" t="s">
        <v>19</v>
      </c>
      <c r="C170" t="s">
        <v>6</v>
      </c>
      <c r="D170" s="3">
        <f t="shared" si="18"/>
        <v>99</v>
      </c>
      <c r="E170" s="4">
        <f t="shared" si="19"/>
        <v>10</v>
      </c>
      <c r="F170" s="4">
        <f t="shared" si="20"/>
        <v>12</v>
      </c>
      <c r="G170" s="3">
        <f>IF(E170&gt;=20,2000,1900) + D170</f>
        <v>1999</v>
      </c>
      <c r="H170">
        <f t="shared" si="21"/>
        <v>10</v>
      </c>
      <c r="I170" s="4">
        <f t="shared" si="22"/>
        <v>12</v>
      </c>
      <c r="J170">
        <f t="shared" si="23"/>
        <v>19991012</v>
      </c>
      <c r="K170" t="str">
        <f t="shared" si="24"/>
        <v>12.10.1999</v>
      </c>
      <c r="L170" s="10">
        <f t="shared" si="25"/>
        <v>8492</v>
      </c>
      <c r="M170" s="8">
        <f t="shared" si="26"/>
        <v>23</v>
      </c>
    </row>
    <row r="171" spans="1:13" x14ac:dyDescent="0.25">
      <c r="A171" s="4" t="s">
        <v>197</v>
      </c>
      <c r="B171" t="s">
        <v>18</v>
      </c>
      <c r="C171" t="s">
        <v>6</v>
      </c>
      <c r="D171" s="3">
        <f t="shared" si="18"/>
        <v>52</v>
      </c>
      <c r="E171" s="4">
        <f t="shared" si="19"/>
        <v>10</v>
      </c>
      <c r="F171" s="4">
        <f t="shared" si="20"/>
        <v>17</v>
      </c>
      <c r="G171" s="3">
        <f>IF(E171&gt;=20,2000,1900) + D171</f>
        <v>1952</v>
      </c>
      <c r="H171">
        <f t="shared" si="21"/>
        <v>10</v>
      </c>
      <c r="I171" s="4">
        <f t="shared" si="22"/>
        <v>17</v>
      </c>
      <c r="J171">
        <f t="shared" si="23"/>
        <v>19521017</v>
      </c>
      <c r="K171" t="str">
        <f t="shared" si="24"/>
        <v>17.10.1952</v>
      </c>
      <c r="L171" s="10">
        <f t="shared" si="25"/>
        <v>25653</v>
      </c>
      <c r="M171" s="8">
        <f t="shared" si="26"/>
        <v>70</v>
      </c>
    </row>
    <row r="172" spans="1:13" x14ac:dyDescent="0.25">
      <c r="A172" s="4" t="s">
        <v>198</v>
      </c>
      <c r="B172" t="s">
        <v>11</v>
      </c>
      <c r="C172" t="s">
        <v>6</v>
      </c>
      <c r="D172" s="3">
        <f t="shared" si="18"/>
        <v>86</v>
      </c>
      <c r="E172" s="4">
        <f t="shared" si="19"/>
        <v>9</v>
      </c>
      <c r="F172" s="4">
        <f t="shared" si="20"/>
        <v>16</v>
      </c>
      <c r="G172" s="3">
        <f>IF(E172&gt;=20,2000,1900) + D172</f>
        <v>1986</v>
      </c>
      <c r="H172">
        <f t="shared" si="21"/>
        <v>9</v>
      </c>
      <c r="I172" s="4">
        <f t="shared" si="22"/>
        <v>16</v>
      </c>
      <c r="J172">
        <f t="shared" si="23"/>
        <v>19860916</v>
      </c>
      <c r="K172" t="str">
        <f t="shared" si="24"/>
        <v>16.09.1986</v>
      </c>
      <c r="L172" s="10">
        <f t="shared" si="25"/>
        <v>13266</v>
      </c>
      <c r="M172" s="8">
        <f t="shared" si="26"/>
        <v>36</v>
      </c>
    </row>
    <row r="173" spans="1:13" x14ac:dyDescent="0.25">
      <c r="A173" s="4" t="s">
        <v>199</v>
      </c>
      <c r="B173" t="s">
        <v>10</v>
      </c>
      <c r="C173" t="s">
        <v>4</v>
      </c>
      <c r="D173" s="3">
        <f t="shared" si="18"/>
        <v>58</v>
      </c>
      <c r="E173" s="4">
        <f t="shared" si="19"/>
        <v>7</v>
      </c>
      <c r="F173" s="4">
        <f t="shared" si="20"/>
        <v>19</v>
      </c>
      <c r="G173" s="3">
        <f>IF(E173&gt;=20,2000,1900) + D173</f>
        <v>1958</v>
      </c>
      <c r="H173">
        <f t="shared" si="21"/>
        <v>7</v>
      </c>
      <c r="I173" s="4">
        <f t="shared" si="22"/>
        <v>19</v>
      </c>
      <c r="J173">
        <f t="shared" si="23"/>
        <v>19580719</v>
      </c>
      <c r="K173" t="str">
        <f t="shared" si="24"/>
        <v>19.07.1958</v>
      </c>
      <c r="L173" s="10">
        <f t="shared" si="25"/>
        <v>23552</v>
      </c>
      <c r="M173" s="8">
        <f t="shared" si="26"/>
        <v>64</v>
      </c>
    </row>
    <row r="174" spans="1:13" x14ac:dyDescent="0.25">
      <c r="A174" s="4" t="s">
        <v>200</v>
      </c>
      <c r="B174" t="s">
        <v>16</v>
      </c>
      <c r="C174" t="s">
        <v>6</v>
      </c>
      <c r="D174" s="3">
        <f t="shared" si="18"/>
        <v>95</v>
      </c>
      <c r="E174" s="4">
        <f t="shared" si="19"/>
        <v>3</v>
      </c>
      <c r="F174" s="4">
        <f t="shared" si="20"/>
        <v>4</v>
      </c>
      <c r="G174" s="3">
        <f>IF(E174&gt;=20,2000,1900) + D174</f>
        <v>1995</v>
      </c>
      <c r="H174">
        <f t="shared" si="21"/>
        <v>3</v>
      </c>
      <c r="I174" s="4">
        <f t="shared" si="22"/>
        <v>4</v>
      </c>
      <c r="J174">
        <f t="shared" si="23"/>
        <v>19950304</v>
      </c>
      <c r="K174" t="str">
        <f t="shared" si="24"/>
        <v>04.03.1995</v>
      </c>
      <c r="L174" s="10">
        <f t="shared" si="25"/>
        <v>10175</v>
      </c>
      <c r="M174" s="8">
        <f t="shared" si="26"/>
        <v>27</v>
      </c>
    </row>
    <row r="175" spans="1:13" x14ac:dyDescent="0.25">
      <c r="A175" s="4" t="s">
        <v>201</v>
      </c>
      <c r="B175" t="s">
        <v>13</v>
      </c>
      <c r="C175" t="s">
        <v>6</v>
      </c>
      <c r="D175" s="3">
        <f t="shared" si="18"/>
        <v>91</v>
      </c>
      <c r="E175" s="4">
        <f t="shared" si="19"/>
        <v>11</v>
      </c>
      <c r="F175" s="4">
        <f t="shared" si="20"/>
        <v>3</v>
      </c>
      <c r="G175" s="3">
        <f>IF(E175&gt;=20,2000,1900) + D175</f>
        <v>1991</v>
      </c>
      <c r="H175">
        <f t="shared" si="21"/>
        <v>11</v>
      </c>
      <c r="I175" s="4">
        <f t="shared" si="22"/>
        <v>3</v>
      </c>
      <c r="J175">
        <f t="shared" si="23"/>
        <v>19911103</v>
      </c>
      <c r="K175" t="str">
        <f t="shared" si="24"/>
        <v>03.11.1991</v>
      </c>
      <c r="L175" s="10">
        <f t="shared" si="25"/>
        <v>11392</v>
      </c>
      <c r="M175" s="8">
        <f t="shared" si="26"/>
        <v>31</v>
      </c>
    </row>
    <row r="176" spans="1:13" x14ac:dyDescent="0.25">
      <c r="A176" s="4" t="s">
        <v>202</v>
      </c>
      <c r="B176" t="s">
        <v>16</v>
      </c>
      <c r="C176" t="s">
        <v>6</v>
      </c>
      <c r="D176" s="3">
        <f t="shared" si="18"/>
        <v>56</v>
      </c>
      <c r="E176" s="4">
        <f t="shared" si="19"/>
        <v>1</v>
      </c>
      <c r="F176" s="4">
        <f t="shared" si="20"/>
        <v>6</v>
      </c>
      <c r="G176" s="3">
        <f>IF(E176&gt;=20,2000,1900) + D176</f>
        <v>1956</v>
      </c>
      <c r="H176">
        <f t="shared" si="21"/>
        <v>1</v>
      </c>
      <c r="I176" s="4">
        <f t="shared" si="22"/>
        <v>6</v>
      </c>
      <c r="J176">
        <f t="shared" si="23"/>
        <v>19560106</v>
      </c>
      <c r="K176" t="str">
        <f t="shared" si="24"/>
        <v>06.01.1956</v>
      </c>
      <c r="L176" s="10">
        <f t="shared" si="25"/>
        <v>24477</v>
      </c>
      <c r="M176" s="8">
        <f t="shared" si="26"/>
        <v>67</v>
      </c>
    </row>
    <row r="177" spans="1:13" x14ac:dyDescent="0.25">
      <c r="A177" s="4" t="s">
        <v>203</v>
      </c>
      <c r="B177" t="s">
        <v>18</v>
      </c>
      <c r="C177" t="s">
        <v>4</v>
      </c>
      <c r="D177" s="3">
        <f t="shared" si="18"/>
        <v>75</v>
      </c>
      <c r="E177" s="4">
        <f t="shared" si="19"/>
        <v>6</v>
      </c>
      <c r="F177" s="4">
        <f t="shared" si="20"/>
        <v>27</v>
      </c>
      <c r="G177" s="3">
        <f>IF(E177&gt;=20,2000,1900) + D177</f>
        <v>1975</v>
      </c>
      <c r="H177">
        <f t="shared" si="21"/>
        <v>6</v>
      </c>
      <c r="I177" s="4">
        <f t="shared" si="22"/>
        <v>27</v>
      </c>
      <c r="J177">
        <f t="shared" si="23"/>
        <v>19750627</v>
      </c>
      <c r="K177" t="str">
        <f t="shared" si="24"/>
        <v>27.06.1975</v>
      </c>
      <c r="L177" s="10">
        <f t="shared" si="25"/>
        <v>17365</v>
      </c>
      <c r="M177" s="8">
        <f t="shared" si="26"/>
        <v>47</v>
      </c>
    </row>
    <row r="178" spans="1:13" x14ac:dyDescent="0.25">
      <c r="A178" s="4" t="s">
        <v>204</v>
      </c>
      <c r="B178" t="s">
        <v>17</v>
      </c>
      <c r="C178" t="s">
        <v>4</v>
      </c>
      <c r="D178" s="3">
        <f t="shared" si="18"/>
        <v>94</v>
      </c>
      <c r="E178" s="4">
        <f t="shared" si="19"/>
        <v>11</v>
      </c>
      <c r="F178" s="4">
        <f t="shared" si="20"/>
        <v>11</v>
      </c>
      <c r="G178" s="3">
        <f>IF(E178&gt;=20,2000,1900) + D178</f>
        <v>1994</v>
      </c>
      <c r="H178">
        <f t="shared" si="21"/>
        <v>11</v>
      </c>
      <c r="I178" s="4">
        <f t="shared" si="22"/>
        <v>11</v>
      </c>
      <c r="J178">
        <f t="shared" si="23"/>
        <v>19941111</v>
      </c>
      <c r="K178" t="str">
        <f t="shared" si="24"/>
        <v>11.11.1994</v>
      </c>
      <c r="L178" s="10">
        <f t="shared" si="25"/>
        <v>10288</v>
      </c>
      <c r="M178" s="8">
        <f t="shared" si="26"/>
        <v>28</v>
      </c>
    </row>
    <row r="179" spans="1:13" x14ac:dyDescent="0.25">
      <c r="A179" s="4" t="s">
        <v>205</v>
      </c>
      <c r="B179" t="s">
        <v>12</v>
      </c>
      <c r="C179" t="s">
        <v>6</v>
      </c>
      <c r="D179" s="3">
        <f t="shared" si="18"/>
        <v>81</v>
      </c>
      <c r="E179" s="4">
        <f t="shared" si="19"/>
        <v>2</v>
      </c>
      <c r="F179" s="4">
        <f t="shared" si="20"/>
        <v>15</v>
      </c>
      <c r="G179" s="3">
        <f>IF(E179&gt;=20,2000,1900) + D179</f>
        <v>1981</v>
      </c>
      <c r="H179">
        <f t="shared" si="21"/>
        <v>2</v>
      </c>
      <c r="I179" s="4">
        <f t="shared" si="22"/>
        <v>15</v>
      </c>
      <c r="J179">
        <f t="shared" si="23"/>
        <v>19810215</v>
      </c>
      <c r="K179" t="str">
        <f t="shared" si="24"/>
        <v>15.02.1981</v>
      </c>
      <c r="L179" s="10">
        <f t="shared" si="25"/>
        <v>15305</v>
      </c>
      <c r="M179" s="8">
        <f t="shared" si="26"/>
        <v>41</v>
      </c>
    </row>
    <row r="180" spans="1:13" x14ac:dyDescent="0.25">
      <c r="A180" s="4" t="s">
        <v>206</v>
      </c>
      <c r="B180" t="s">
        <v>11</v>
      </c>
      <c r="C180" t="s">
        <v>6</v>
      </c>
      <c r="D180" s="3">
        <f t="shared" si="18"/>
        <v>90</v>
      </c>
      <c r="E180" s="4">
        <f t="shared" si="19"/>
        <v>10</v>
      </c>
      <c r="F180" s="4">
        <f t="shared" si="20"/>
        <v>31</v>
      </c>
      <c r="G180" s="3">
        <f>IF(E180&gt;=20,2000,1900) + D180</f>
        <v>1990</v>
      </c>
      <c r="H180">
        <f t="shared" si="21"/>
        <v>10</v>
      </c>
      <c r="I180" s="4">
        <f t="shared" si="22"/>
        <v>31</v>
      </c>
      <c r="J180">
        <f t="shared" si="23"/>
        <v>19901031</v>
      </c>
      <c r="K180" t="str">
        <f t="shared" si="24"/>
        <v>31.10.1990</v>
      </c>
      <c r="L180" s="10">
        <f t="shared" si="25"/>
        <v>11760</v>
      </c>
      <c r="M180" s="8">
        <f t="shared" si="26"/>
        <v>32</v>
      </c>
    </row>
    <row r="181" spans="1:13" x14ac:dyDescent="0.25">
      <c r="A181" s="4" t="s">
        <v>207</v>
      </c>
      <c r="B181" t="s">
        <v>11</v>
      </c>
      <c r="C181" t="s">
        <v>6</v>
      </c>
      <c r="D181" s="3">
        <f t="shared" si="18"/>
        <v>72</v>
      </c>
      <c r="E181" s="4">
        <f t="shared" si="19"/>
        <v>3</v>
      </c>
      <c r="F181" s="4">
        <f t="shared" si="20"/>
        <v>31</v>
      </c>
      <c r="G181" s="3">
        <f>IF(E181&gt;=20,2000,1900) + D181</f>
        <v>1972</v>
      </c>
      <c r="H181">
        <f t="shared" si="21"/>
        <v>3</v>
      </c>
      <c r="I181" s="4">
        <f t="shared" si="22"/>
        <v>31</v>
      </c>
      <c r="J181">
        <f t="shared" si="23"/>
        <v>19720331</v>
      </c>
      <c r="K181" t="str">
        <f t="shared" si="24"/>
        <v>31.03.1972</v>
      </c>
      <c r="L181" s="10">
        <f t="shared" si="25"/>
        <v>18548</v>
      </c>
      <c r="M181" s="8">
        <f t="shared" si="26"/>
        <v>50</v>
      </c>
    </row>
    <row r="182" spans="1:13" x14ac:dyDescent="0.25">
      <c r="A182" s="4" t="s">
        <v>208</v>
      </c>
      <c r="B182" t="s">
        <v>16</v>
      </c>
      <c r="C182" t="s">
        <v>6</v>
      </c>
      <c r="D182" s="3">
        <f t="shared" si="18"/>
        <v>90</v>
      </c>
      <c r="E182" s="4">
        <f t="shared" si="19"/>
        <v>1</v>
      </c>
      <c r="F182" s="4">
        <f t="shared" si="20"/>
        <v>4</v>
      </c>
      <c r="G182" s="3">
        <f>IF(E182&gt;=20,2000,1900) + D182</f>
        <v>1990</v>
      </c>
      <c r="H182">
        <f t="shared" si="21"/>
        <v>1</v>
      </c>
      <c r="I182" s="4">
        <f t="shared" si="22"/>
        <v>4</v>
      </c>
      <c r="J182">
        <f t="shared" si="23"/>
        <v>19900104</v>
      </c>
      <c r="K182" t="str">
        <f t="shared" si="24"/>
        <v>04.01.1990</v>
      </c>
      <c r="L182" s="10">
        <f t="shared" si="25"/>
        <v>12060</v>
      </c>
      <c r="M182" s="8">
        <f t="shared" si="26"/>
        <v>33</v>
      </c>
    </row>
    <row r="183" spans="1:13" x14ac:dyDescent="0.25">
      <c r="A183" s="4" t="s">
        <v>209</v>
      </c>
      <c r="B183" t="s">
        <v>7</v>
      </c>
      <c r="C183" t="s">
        <v>4</v>
      </c>
      <c r="D183" s="3">
        <f t="shared" si="18"/>
        <v>93</v>
      </c>
      <c r="E183" s="4">
        <f t="shared" si="19"/>
        <v>10</v>
      </c>
      <c r="F183" s="4">
        <f t="shared" si="20"/>
        <v>11</v>
      </c>
      <c r="G183" s="3">
        <f>IF(E183&gt;=20,2000,1900) + D183</f>
        <v>1993</v>
      </c>
      <c r="H183">
        <f t="shared" si="21"/>
        <v>10</v>
      </c>
      <c r="I183" s="4">
        <f t="shared" si="22"/>
        <v>11</v>
      </c>
      <c r="J183">
        <f t="shared" si="23"/>
        <v>19931011</v>
      </c>
      <c r="K183" t="str">
        <f t="shared" si="24"/>
        <v>11.10.1993</v>
      </c>
      <c r="L183" s="10">
        <f t="shared" si="25"/>
        <v>10684</v>
      </c>
      <c r="M183" s="8">
        <f t="shared" si="26"/>
        <v>29</v>
      </c>
    </row>
    <row r="184" spans="1:13" x14ac:dyDescent="0.25">
      <c r="A184" s="4" t="s">
        <v>210</v>
      </c>
      <c r="B184" t="s">
        <v>20</v>
      </c>
      <c r="C184" t="s">
        <v>4</v>
      </c>
      <c r="D184" s="3">
        <f t="shared" si="18"/>
        <v>96</v>
      </c>
      <c r="E184" s="4">
        <f t="shared" si="19"/>
        <v>9</v>
      </c>
      <c r="F184" s="4">
        <f t="shared" si="20"/>
        <v>15</v>
      </c>
      <c r="G184" s="3">
        <f>IF(E184&gt;=20,2000,1900) + D184</f>
        <v>1996</v>
      </c>
      <c r="H184">
        <f t="shared" si="21"/>
        <v>9</v>
      </c>
      <c r="I184" s="4">
        <f t="shared" si="22"/>
        <v>15</v>
      </c>
      <c r="J184">
        <f t="shared" si="23"/>
        <v>19960915</v>
      </c>
      <c r="K184" t="str">
        <f t="shared" si="24"/>
        <v>15.09.1996</v>
      </c>
      <c r="L184" s="10">
        <f t="shared" si="25"/>
        <v>9614</v>
      </c>
      <c r="M184" s="8">
        <f t="shared" si="26"/>
        <v>26</v>
      </c>
    </row>
    <row r="185" spans="1:13" x14ac:dyDescent="0.25">
      <c r="A185" s="4" t="s">
        <v>211</v>
      </c>
      <c r="B185" t="s">
        <v>15</v>
      </c>
      <c r="C185" t="s">
        <v>4</v>
      </c>
      <c r="D185" s="3">
        <f t="shared" si="18"/>
        <v>65</v>
      </c>
      <c r="E185" s="4">
        <f t="shared" si="19"/>
        <v>1</v>
      </c>
      <c r="F185" s="4">
        <f t="shared" si="20"/>
        <v>10</v>
      </c>
      <c r="G185" s="3">
        <f>IF(E185&gt;=20,2000,1900) + D185</f>
        <v>1965</v>
      </c>
      <c r="H185">
        <f t="shared" si="21"/>
        <v>1</v>
      </c>
      <c r="I185" s="4">
        <f t="shared" si="22"/>
        <v>10</v>
      </c>
      <c r="J185">
        <f t="shared" si="23"/>
        <v>19650110</v>
      </c>
      <c r="K185" t="str">
        <f t="shared" si="24"/>
        <v>10.01.1965</v>
      </c>
      <c r="L185" s="10">
        <f t="shared" si="25"/>
        <v>21185</v>
      </c>
      <c r="M185" s="8">
        <f t="shared" si="26"/>
        <v>57</v>
      </c>
    </row>
    <row r="186" spans="1:13" x14ac:dyDescent="0.25">
      <c r="A186" s="4" t="s">
        <v>212</v>
      </c>
      <c r="B186" t="s">
        <v>9</v>
      </c>
      <c r="C186" t="s">
        <v>6</v>
      </c>
      <c r="D186" s="3">
        <f t="shared" si="18"/>
        <v>53</v>
      </c>
      <c r="E186" s="4">
        <f t="shared" si="19"/>
        <v>12</v>
      </c>
      <c r="F186" s="4">
        <f t="shared" si="20"/>
        <v>31</v>
      </c>
      <c r="G186" s="3">
        <f>IF(E186&gt;=20,2000,1900) + D186</f>
        <v>1953</v>
      </c>
      <c r="H186">
        <f t="shared" si="21"/>
        <v>12</v>
      </c>
      <c r="I186" s="4">
        <f t="shared" si="22"/>
        <v>31</v>
      </c>
      <c r="J186">
        <f t="shared" si="23"/>
        <v>19531231</v>
      </c>
      <c r="K186" t="str">
        <f t="shared" si="24"/>
        <v>31.12.1953</v>
      </c>
      <c r="L186" s="10">
        <f t="shared" si="25"/>
        <v>25213</v>
      </c>
      <c r="M186" s="8">
        <f t="shared" si="26"/>
        <v>69</v>
      </c>
    </row>
    <row r="187" spans="1:13" x14ac:dyDescent="0.25">
      <c r="A187" s="4" t="s">
        <v>213</v>
      </c>
      <c r="B187" t="s">
        <v>14</v>
      </c>
      <c r="C187" t="s">
        <v>6</v>
      </c>
      <c r="D187" s="3">
        <f t="shared" si="18"/>
        <v>73</v>
      </c>
      <c r="E187" s="4">
        <f t="shared" si="19"/>
        <v>6</v>
      </c>
      <c r="F187" s="4">
        <f t="shared" si="20"/>
        <v>2</v>
      </c>
      <c r="G187" s="3">
        <f>IF(E187&gt;=20,2000,1900) + D187</f>
        <v>1973</v>
      </c>
      <c r="H187">
        <f t="shared" si="21"/>
        <v>6</v>
      </c>
      <c r="I187" s="4">
        <f t="shared" si="22"/>
        <v>2</v>
      </c>
      <c r="J187">
        <f t="shared" si="23"/>
        <v>19730602</v>
      </c>
      <c r="K187" t="str">
        <f t="shared" si="24"/>
        <v>02.06.1973</v>
      </c>
      <c r="L187" s="10">
        <f t="shared" si="25"/>
        <v>18120</v>
      </c>
      <c r="M187" s="8">
        <f t="shared" si="26"/>
        <v>49</v>
      </c>
    </row>
    <row r="188" spans="1:13" x14ac:dyDescent="0.25">
      <c r="A188" s="4" t="s">
        <v>214</v>
      </c>
      <c r="B188" t="s">
        <v>14</v>
      </c>
      <c r="C188" t="s">
        <v>4</v>
      </c>
      <c r="D188" s="3">
        <f t="shared" si="18"/>
        <v>77</v>
      </c>
      <c r="E188" s="4">
        <f t="shared" si="19"/>
        <v>12</v>
      </c>
      <c r="F188" s="4">
        <f t="shared" si="20"/>
        <v>19</v>
      </c>
      <c r="G188" s="3">
        <f>IF(E188&gt;=20,2000,1900) + D188</f>
        <v>1977</v>
      </c>
      <c r="H188">
        <f t="shared" si="21"/>
        <v>12</v>
      </c>
      <c r="I188" s="4">
        <f t="shared" si="22"/>
        <v>19</v>
      </c>
      <c r="J188">
        <f t="shared" si="23"/>
        <v>19771219</v>
      </c>
      <c r="K188" t="str">
        <f t="shared" si="24"/>
        <v>19.12.1977</v>
      </c>
      <c r="L188" s="10">
        <f t="shared" si="25"/>
        <v>16459</v>
      </c>
      <c r="M188" s="8">
        <f t="shared" si="26"/>
        <v>45</v>
      </c>
    </row>
    <row r="189" spans="1:13" x14ac:dyDescent="0.25">
      <c r="A189" s="4" t="s">
        <v>215</v>
      </c>
      <c r="B189" t="s">
        <v>7</v>
      </c>
      <c r="C189" t="s">
        <v>4</v>
      </c>
      <c r="D189" s="3">
        <f t="shared" si="18"/>
        <v>68</v>
      </c>
      <c r="E189" s="4">
        <f t="shared" si="19"/>
        <v>3</v>
      </c>
      <c r="F189" s="4">
        <f t="shared" si="20"/>
        <v>10</v>
      </c>
      <c r="G189" s="3">
        <f>IF(E189&gt;=20,2000,1900) + D189</f>
        <v>1968</v>
      </c>
      <c r="H189">
        <f t="shared" si="21"/>
        <v>3</v>
      </c>
      <c r="I189" s="4">
        <f t="shared" si="22"/>
        <v>10</v>
      </c>
      <c r="J189">
        <f t="shared" si="23"/>
        <v>19680310</v>
      </c>
      <c r="K189" t="str">
        <f t="shared" si="24"/>
        <v>10.03.1968</v>
      </c>
      <c r="L189" s="10">
        <f t="shared" si="25"/>
        <v>20030</v>
      </c>
      <c r="M189" s="8">
        <f t="shared" si="26"/>
        <v>54</v>
      </c>
    </row>
    <row r="190" spans="1:13" x14ac:dyDescent="0.25">
      <c r="A190" s="4" t="s">
        <v>216</v>
      </c>
      <c r="B190" t="s">
        <v>16</v>
      </c>
      <c r="C190" t="s">
        <v>6</v>
      </c>
      <c r="D190" s="3">
        <f t="shared" si="18"/>
        <v>98</v>
      </c>
      <c r="E190" s="4">
        <f t="shared" si="19"/>
        <v>10</v>
      </c>
      <c r="F190" s="4">
        <f t="shared" si="20"/>
        <v>6</v>
      </c>
      <c r="G190" s="3">
        <f>IF(E190&gt;=20,2000,1900) + D190</f>
        <v>1998</v>
      </c>
      <c r="H190">
        <f t="shared" si="21"/>
        <v>10</v>
      </c>
      <c r="I190" s="4">
        <f t="shared" si="22"/>
        <v>6</v>
      </c>
      <c r="J190">
        <f t="shared" si="23"/>
        <v>19981006</v>
      </c>
      <c r="K190" t="str">
        <f t="shared" si="24"/>
        <v>06.10.1998</v>
      </c>
      <c r="L190" s="10">
        <f t="shared" si="25"/>
        <v>8863</v>
      </c>
      <c r="M190" s="8">
        <f t="shared" si="26"/>
        <v>24</v>
      </c>
    </row>
    <row r="191" spans="1:13" x14ac:dyDescent="0.25">
      <c r="A191" s="4" t="s">
        <v>217</v>
      </c>
      <c r="B191" t="s">
        <v>12</v>
      </c>
      <c r="C191" t="s">
        <v>4</v>
      </c>
      <c r="D191" s="3">
        <f t="shared" si="18"/>
        <v>76</v>
      </c>
      <c r="E191" s="4">
        <f t="shared" si="19"/>
        <v>7</v>
      </c>
      <c r="F191" s="4">
        <f t="shared" si="20"/>
        <v>29</v>
      </c>
      <c r="G191" s="3">
        <f>IF(E191&gt;=20,2000,1900) + D191</f>
        <v>1976</v>
      </c>
      <c r="H191">
        <f t="shared" si="21"/>
        <v>7</v>
      </c>
      <c r="I191" s="4">
        <f t="shared" si="22"/>
        <v>29</v>
      </c>
      <c r="J191">
        <f t="shared" si="23"/>
        <v>19760729</v>
      </c>
      <c r="K191" t="str">
        <f t="shared" si="24"/>
        <v>29.07.1976</v>
      </c>
      <c r="L191" s="10">
        <f t="shared" si="25"/>
        <v>16967</v>
      </c>
      <c r="M191" s="8">
        <f t="shared" si="26"/>
        <v>46</v>
      </c>
    </row>
    <row r="192" spans="1:13" x14ac:dyDescent="0.25">
      <c r="A192" s="4" t="s">
        <v>218</v>
      </c>
      <c r="B192" t="s">
        <v>15</v>
      </c>
      <c r="C192" t="s">
        <v>4</v>
      </c>
      <c r="D192" s="3">
        <f t="shared" si="18"/>
        <v>55</v>
      </c>
      <c r="E192" s="4">
        <f t="shared" si="19"/>
        <v>4</v>
      </c>
      <c r="F192" s="4">
        <f t="shared" si="20"/>
        <v>14</v>
      </c>
      <c r="G192" s="3">
        <f>IF(E192&gt;=20,2000,1900) + D192</f>
        <v>1955</v>
      </c>
      <c r="H192">
        <f t="shared" si="21"/>
        <v>4</v>
      </c>
      <c r="I192" s="4">
        <f t="shared" si="22"/>
        <v>14</v>
      </c>
      <c r="J192">
        <f t="shared" si="23"/>
        <v>19550414</v>
      </c>
      <c r="K192" t="str">
        <f t="shared" si="24"/>
        <v>14.04.1955</v>
      </c>
      <c r="L192" s="10">
        <f t="shared" si="25"/>
        <v>24744</v>
      </c>
      <c r="M192" s="8">
        <f t="shared" si="26"/>
        <v>67</v>
      </c>
    </row>
    <row r="193" spans="1:13" x14ac:dyDescent="0.25">
      <c r="A193" s="4" t="s">
        <v>219</v>
      </c>
      <c r="B193" t="s">
        <v>13</v>
      </c>
      <c r="C193" t="s">
        <v>4</v>
      </c>
      <c r="D193" s="3">
        <f t="shared" si="18"/>
        <v>96</v>
      </c>
      <c r="E193" s="4">
        <f t="shared" si="19"/>
        <v>1</v>
      </c>
      <c r="F193" s="4">
        <f t="shared" si="20"/>
        <v>6</v>
      </c>
      <c r="G193" s="3">
        <f>IF(E193&gt;=20,2000,1900) + D193</f>
        <v>1996</v>
      </c>
      <c r="H193">
        <f t="shared" si="21"/>
        <v>1</v>
      </c>
      <c r="I193" s="4">
        <f t="shared" si="22"/>
        <v>6</v>
      </c>
      <c r="J193">
        <f t="shared" si="23"/>
        <v>19960106</v>
      </c>
      <c r="K193" t="str">
        <f t="shared" si="24"/>
        <v>06.01.1996</v>
      </c>
      <c r="L193" s="10">
        <f t="shared" si="25"/>
        <v>9867</v>
      </c>
      <c r="M193" s="8">
        <f t="shared" si="26"/>
        <v>27</v>
      </c>
    </row>
    <row r="194" spans="1:13" x14ac:dyDescent="0.25">
      <c r="A194" s="4" t="s">
        <v>220</v>
      </c>
      <c r="B194" t="s">
        <v>14</v>
      </c>
      <c r="C194" t="s">
        <v>6</v>
      </c>
      <c r="D194" s="3">
        <f t="shared" si="18"/>
        <v>84</v>
      </c>
      <c r="E194" s="4">
        <f t="shared" si="19"/>
        <v>3</v>
      </c>
      <c r="F194" s="4">
        <f t="shared" si="20"/>
        <v>23</v>
      </c>
      <c r="G194" s="3">
        <f>IF(E194&gt;=20,2000,1900) + D194</f>
        <v>1984</v>
      </c>
      <c r="H194">
        <f t="shared" si="21"/>
        <v>3</v>
      </c>
      <c r="I194" s="4">
        <f t="shared" si="22"/>
        <v>23</v>
      </c>
      <c r="J194">
        <f t="shared" si="23"/>
        <v>19840323</v>
      </c>
      <c r="K194" t="str">
        <f t="shared" si="24"/>
        <v>23.03.1984</v>
      </c>
      <c r="L194" s="10">
        <f t="shared" si="25"/>
        <v>14173</v>
      </c>
      <c r="M194" s="8">
        <f t="shared" si="26"/>
        <v>38</v>
      </c>
    </row>
    <row r="195" spans="1:13" x14ac:dyDescent="0.25">
      <c r="A195" s="4" t="s">
        <v>221</v>
      </c>
      <c r="B195" t="s">
        <v>10</v>
      </c>
      <c r="C195" t="s">
        <v>4</v>
      </c>
      <c r="D195" s="3">
        <f t="shared" ref="D195:D258" si="27">MID(A195,1,2)*1</f>
        <v>50</v>
      </c>
      <c r="E195" s="4">
        <f t="shared" ref="E195:E258" si="28">MID(A195,3,2)*1</f>
        <v>10</v>
      </c>
      <c r="F195" s="4">
        <f t="shared" ref="F195:F258" si="29">MID(A195,5,2)*1</f>
        <v>14</v>
      </c>
      <c r="G195" s="3">
        <f>IF(E195&gt;=20,2000,1900) + D195</f>
        <v>1950</v>
      </c>
      <c r="H195">
        <f t="shared" ref="H195:H258" si="30">IF(E195&gt;=20,E195-20,E195)</f>
        <v>10</v>
      </c>
      <c r="I195" s="4">
        <f t="shared" ref="I195:I258" si="31">F195</f>
        <v>14</v>
      </c>
      <c r="J195">
        <f t="shared" ref="J195:J258" si="32">CONCATENATE(G195,IF(LEN(H195)=1,CONCATENATE("0",H195),H195),IF(LEN(F195)=1,CONCATENATE("0",F195),F195))*1</f>
        <v>19501014</v>
      </c>
      <c r="K195" t="str">
        <f t="shared" ref="K195:K258" si="33">CONCATENATE(RIGHT(J195,2),".",MID(J195,5,2),".",LEFT(J195,4))</f>
        <v>14.10.1950</v>
      </c>
      <c r="L195" s="10">
        <f t="shared" ref="L195:L258" si="34">44937-K195</f>
        <v>26387</v>
      </c>
      <c r="M195" s="8">
        <f t="shared" ref="M195:M258" si="35">YEAR(L195)-1900</f>
        <v>72</v>
      </c>
    </row>
    <row r="196" spans="1:13" x14ac:dyDescent="0.25">
      <c r="A196" s="4" t="s">
        <v>222</v>
      </c>
      <c r="B196" t="s">
        <v>19</v>
      </c>
      <c r="C196" t="s">
        <v>6</v>
      </c>
      <c r="D196" s="3">
        <f t="shared" si="27"/>
        <v>54</v>
      </c>
      <c r="E196" s="4">
        <f t="shared" si="28"/>
        <v>12</v>
      </c>
      <c r="F196" s="4">
        <f t="shared" si="29"/>
        <v>22</v>
      </c>
      <c r="G196" s="3">
        <f>IF(E196&gt;=20,2000,1900) + D196</f>
        <v>1954</v>
      </c>
      <c r="H196">
        <f t="shared" si="30"/>
        <v>12</v>
      </c>
      <c r="I196" s="4">
        <f t="shared" si="31"/>
        <v>22</v>
      </c>
      <c r="J196">
        <f t="shared" si="32"/>
        <v>19541222</v>
      </c>
      <c r="K196" t="str">
        <f t="shared" si="33"/>
        <v>22.12.1954</v>
      </c>
      <c r="L196" s="10">
        <f t="shared" si="34"/>
        <v>24857</v>
      </c>
      <c r="M196" s="8">
        <f t="shared" si="35"/>
        <v>68</v>
      </c>
    </row>
    <row r="197" spans="1:13" x14ac:dyDescent="0.25">
      <c r="A197" s="4" t="s">
        <v>223</v>
      </c>
      <c r="B197" t="s">
        <v>12</v>
      </c>
      <c r="C197" t="s">
        <v>4</v>
      </c>
      <c r="D197" s="3">
        <f t="shared" si="27"/>
        <v>67</v>
      </c>
      <c r="E197" s="4">
        <f t="shared" si="28"/>
        <v>9</v>
      </c>
      <c r="F197" s="4">
        <f t="shared" si="29"/>
        <v>24</v>
      </c>
      <c r="G197" s="3">
        <f>IF(E197&gt;=20,2000,1900) + D197</f>
        <v>1967</v>
      </c>
      <c r="H197">
        <f t="shared" si="30"/>
        <v>9</v>
      </c>
      <c r="I197" s="4">
        <f t="shared" si="31"/>
        <v>24</v>
      </c>
      <c r="J197">
        <f t="shared" si="32"/>
        <v>19670924</v>
      </c>
      <c r="K197" t="str">
        <f t="shared" si="33"/>
        <v>24.09.1967</v>
      </c>
      <c r="L197" s="10">
        <f t="shared" si="34"/>
        <v>20198</v>
      </c>
      <c r="M197" s="8">
        <f t="shared" si="35"/>
        <v>55</v>
      </c>
    </row>
    <row r="198" spans="1:13" x14ac:dyDescent="0.25">
      <c r="A198" s="4" t="s">
        <v>224</v>
      </c>
      <c r="B198" t="s">
        <v>7</v>
      </c>
      <c r="C198" t="s">
        <v>4</v>
      </c>
      <c r="D198" s="3">
        <f t="shared" si="27"/>
        <v>67</v>
      </c>
      <c r="E198" s="4">
        <f t="shared" si="28"/>
        <v>2</v>
      </c>
      <c r="F198" s="4">
        <f t="shared" si="29"/>
        <v>23</v>
      </c>
      <c r="G198" s="3">
        <f>IF(E198&gt;=20,2000,1900) + D198</f>
        <v>1967</v>
      </c>
      <c r="H198">
        <f t="shared" si="30"/>
        <v>2</v>
      </c>
      <c r="I198" s="4">
        <f t="shared" si="31"/>
        <v>23</v>
      </c>
      <c r="J198">
        <f t="shared" si="32"/>
        <v>19670223</v>
      </c>
      <c r="K198" t="str">
        <f t="shared" si="33"/>
        <v>23.02.1967</v>
      </c>
      <c r="L198" s="10">
        <f t="shared" si="34"/>
        <v>20411</v>
      </c>
      <c r="M198" s="8">
        <f t="shared" si="35"/>
        <v>55</v>
      </c>
    </row>
    <row r="199" spans="1:13" x14ac:dyDescent="0.25">
      <c r="A199" s="4" t="s">
        <v>225</v>
      </c>
      <c r="B199" t="s">
        <v>14</v>
      </c>
      <c r="C199" t="s">
        <v>6</v>
      </c>
      <c r="D199" s="3">
        <f t="shared" si="27"/>
        <v>97</v>
      </c>
      <c r="E199" s="4">
        <f t="shared" si="28"/>
        <v>4</v>
      </c>
      <c r="F199" s="4">
        <f t="shared" si="29"/>
        <v>19</v>
      </c>
      <c r="G199" s="3">
        <f>IF(E199&gt;=20,2000,1900) + D199</f>
        <v>1997</v>
      </c>
      <c r="H199">
        <f t="shared" si="30"/>
        <v>4</v>
      </c>
      <c r="I199" s="4">
        <f t="shared" si="31"/>
        <v>19</v>
      </c>
      <c r="J199">
        <f t="shared" si="32"/>
        <v>19970419</v>
      </c>
      <c r="K199" t="str">
        <f t="shared" si="33"/>
        <v>19.04.1997</v>
      </c>
      <c r="L199" s="10">
        <f t="shared" si="34"/>
        <v>9398</v>
      </c>
      <c r="M199" s="8">
        <f t="shared" si="35"/>
        <v>25</v>
      </c>
    </row>
    <row r="200" spans="1:13" x14ac:dyDescent="0.25">
      <c r="A200" s="4" t="s">
        <v>226</v>
      </c>
      <c r="B200" t="s">
        <v>13</v>
      </c>
      <c r="C200" t="s">
        <v>6</v>
      </c>
      <c r="D200" s="3">
        <f t="shared" si="27"/>
        <v>99</v>
      </c>
      <c r="E200" s="4">
        <f t="shared" si="28"/>
        <v>1</v>
      </c>
      <c r="F200" s="4">
        <f t="shared" si="29"/>
        <v>12</v>
      </c>
      <c r="G200" s="3">
        <f>IF(E200&gt;=20,2000,1900) + D200</f>
        <v>1999</v>
      </c>
      <c r="H200">
        <f t="shared" si="30"/>
        <v>1</v>
      </c>
      <c r="I200" s="4">
        <f t="shared" si="31"/>
        <v>12</v>
      </c>
      <c r="J200">
        <f t="shared" si="32"/>
        <v>19990112</v>
      </c>
      <c r="K200" t="str">
        <f t="shared" si="33"/>
        <v>12.01.1999</v>
      </c>
      <c r="L200" s="10">
        <f t="shared" si="34"/>
        <v>8765</v>
      </c>
      <c r="M200" s="8">
        <f t="shared" si="35"/>
        <v>23</v>
      </c>
    </row>
    <row r="201" spans="1:13" x14ac:dyDescent="0.25">
      <c r="A201" s="4" t="s">
        <v>227</v>
      </c>
      <c r="B201" t="s">
        <v>11</v>
      </c>
      <c r="C201" t="s">
        <v>6</v>
      </c>
      <c r="D201" s="3">
        <f t="shared" si="27"/>
        <v>57</v>
      </c>
      <c r="E201" s="4">
        <f t="shared" si="28"/>
        <v>7</v>
      </c>
      <c r="F201" s="4">
        <f t="shared" si="29"/>
        <v>12</v>
      </c>
      <c r="G201" s="3">
        <f>IF(E201&gt;=20,2000,1900) + D201</f>
        <v>1957</v>
      </c>
      <c r="H201">
        <f t="shared" si="30"/>
        <v>7</v>
      </c>
      <c r="I201" s="4">
        <f t="shared" si="31"/>
        <v>12</v>
      </c>
      <c r="J201">
        <f t="shared" si="32"/>
        <v>19570712</v>
      </c>
      <c r="K201" t="str">
        <f t="shared" si="33"/>
        <v>12.07.1957</v>
      </c>
      <c r="L201" s="10">
        <f t="shared" si="34"/>
        <v>23924</v>
      </c>
      <c r="M201" s="8">
        <f t="shared" si="35"/>
        <v>65</v>
      </c>
    </row>
    <row r="202" spans="1:13" x14ac:dyDescent="0.25">
      <c r="A202" s="4" t="s">
        <v>228</v>
      </c>
      <c r="B202" t="s">
        <v>17</v>
      </c>
      <c r="C202" t="s">
        <v>6</v>
      </c>
      <c r="D202" s="3">
        <f t="shared" si="27"/>
        <v>93</v>
      </c>
      <c r="E202" s="4">
        <f t="shared" si="28"/>
        <v>1</v>
      </c>
      <c r="F202" s="4">
        <f t="shared" si="29"/>
        <v>29</v>
      </c>
      <c r="G202" s="3">
        <f>IF(E202&gt;=20,2000,1900) + D202</f>
        <v>1993</v>
      </c>
      <c r="H202">
        <f t="shared" si="30"/>
        <v>1</v>
      </c>
      <c r="I202" s="4">
        <f t="shared" si="31"/>
        <v>29</v>
      </c>
      <c r="J202">
        <f t="shared" si="32"/>
        <v>19930129</v>
      </c>
      <c r="K202" t="str">
        <f t="shared" si="33"/>
        <v>29.01.1993</v>
      </c>
      <c r="L202" s="10">
        <f t="shared" si="34"/>
        <v>10939</v>
      </c>
      <c r="M202" s="8">
        <f t="shared" si="35"/>
        <v>29</v>
      </c>
    </row>
    <row r="203" spans="1:13" x14ac:dyDescent="0.25">
      <c r="A203" s="4" t="s">
        <v>229</v>
      </c>
      <c r="B203" t="s">
        <v>9</v>
      </c>
      <c r="C203" t="s">
        <v>4</v>
      </c>
      <c r="D203" s="3">
        <f t="shared" si="27"/>
        <v>59</v>
      </c>
      <c r="E203" s="4">
        <f t="shared" si="28"/>
        <v>8</v>
      </c>
      <c r="F203" s="4">
        <f t="shared" si="29"/>
        <v>27</v>
      </c>
      <c r="G203" s="3">
        <f>IF(E203&gt;=20,2000,1900) + D203</f>
        <v>1959</v>
      </c>
      <c r="H203">
        <f t="shared" si="30"/>
        <v>8</v>
      </c>
      <c r="I203" s="4">
        <f t="shared" si="31"/>
        <v>27</v>
      </c>
      <c r="J203">
        <f t="shared" si="32"/>
        <v>19590827</v>
      </c>
      <c r="K203" t="str">
        <f t="shared" si="33"/>
        <v>27.08.1959</v>
      </c>
      <c r="L203" s="10">
        <f t="shared" si="34"/>
        <v>23148</v>
      </c>
      <c r="M203" s="8">
        <f t="shared" si="35"/>
        <v>63</v>
      </c>
    </row>
    <row r="204" spans="1:13" x14ac:dyDescent="0.25">
      <c r="A204" s="4" t="s">
        <v>230</v>
      </c>
      <c r="B204" t="s">
        <v>20</v>
      </c>
      <c r="C204" t="s">
        <v>4</v>
      </c>
      <c r="D204" s="3">
        <f t="shared" si="27"/>
        <v>81</v>
      </c>
      <c r="E204" s="4">
        <f t="shared" si="28"/>
        <v>9</v>
      </c>
      <c r="F204" s="4">
        <f t="shared" si="29"/>
        <v>16</v>
      </c>
      <c r="G204" s="3">
        <f>IF(E204&gt;=20,2000,1900) + D204</f>
        <v>1981</v>
      </c>
      <c r="H204">
        <f t="shared" si="30"/>
        <v>9</v>
      </c>
      <c r="I204" s="4">
        <f t="shared" si="31"/>
        <v>16</v>
      </c>
      <c r="J204">
        <f t="shared" si="32"/>
        <v>19810916</v>
      </c>
      <c r="K204" t="str">
        <f t="shared" si="33"/>
        <v>16.09.1981</v>
      </c>
      <c r="L204" s="10">
        <f t="shared" si="34"/>
        <v>15092</v>
      </c>
      <c r="M204" s="8">
        <f t="shared" si="35"/>
        <v>41</v>
      </c>
    </row>
    <row r="205" spans="1:13" x14ac:dyDescent="0.25">
      <c r="A205" s="4" t="s">
        <v>231</v>
      </c>
      <c r="B205" t="s">
        <v>14</v>
      </c>
      <c r="C205" t="s">
        <v>4</v>
      </c>
      <c r="D205" s="3">
        <f t="shared" si="27"/>
        <v>71</v>
      </c>
      <c r="E205" s="4">
        <f t="shared" si="28"/>
        <v>2</v>
      </c>
      <c r="F205" s="4">
        <f t="shared" si="29"/>
        <v>28</v>
      </c>
      <c r="G205" s="3">
        <f>IF(E205&gt;=20,2000,1900) + D205</f>
        <v>1971</v>
      </c>
      <c r="H205">
        <f t="shared" si="30"/>
        <v>2</v>
      </c>
      <c r="I205" s="4">
        <f t="shared" si="31"/>
        <v>28</v>
      </c>
      <c r="J205">
        <f t="shared" si="32"/>
        <v>19710228</v>
      </c>
      <c r="K205" t="str">
        <f t="shared" si="33"/>
        <v>28.02.1971</v>
      </c>
      <c r="L205" s="10">
        <f t="shared" si="34"/>
        <v>18945</v>
      </c>
      <c r="M205" s="8">
        <f t="shared" si="35"/>
        <v>51</v>
      </c>
    </row>
    <row r="206" spans="1:13" x14ac:dyDescent="0.25">
      <c r="A206" s="4" t="s">
        <v>232</v>
      </c>
      <c r="B206" t="s">
        <v>9</v>
      </c>
      <c r="C206" t="s">
        <v>6</v>
      </c>
      <c r="D206" s="3">
        <f t="shared" si="27"/>
        <v>74</v>
      </c>
      <c r="E206" s="4">
        <f t="shared" si="28"/>
        <v>12</v>
      </c>
      <c r="F206" s="4">
        <f t="shared" si="29"/>
        <v>30</v>
      </c>
      <c r="G206" s="3">
        <f>IF(E206&gt;=20,2000,1900) + D206</f>
        <v>1974</v>
      </c>
      <c r="H206">
        <f t="shared" si="30"/>
        <v>12</v>
      </c>
      <c r="I206" s="4">
        <f t="shared" si="31"/>
        <v>30</v>
      </c>
      <c r="J206">
        <f t="shared" si="32"/>
        <v>19741230</v>
      </c>
      <c r="K206" t="str">
        <f t="shared" si="33"/>
        <v>30.12.1974</v>
      </c>
      <c r="L206" s="10">
        <f t="shared" si="34"/>
        <v>17544</v>
      </c>
      <c r="M206" s="8">
        <f t="shared" si="35"/>
        <v>48</v>
      </c>
    </row>
    <row r="207" spans="1:13" x14ac:dyDescent="0.25">
      <c r="A207" s="4" t="s">
        <v>233</v>
      </c>
      <c r="B207" t="s">
        <v>20</v>
      </c>
      <c r="C207" t="s">
        <v>6</v>
      </c>
      <c r="D207" s="3">
        <f t="shared" si="27"/>
        <v>88</v>
      </c>
      <c r="E207" s="4">
        <f t="shared" si="28"/>
        <v>6</v>
      </c>
      <c r="F207" s="4">
        <f t="shared" si="29"/>
        <v>4</v>
      </c>
      <c r="G207" s="3">
        <f>IF(E207&gt;=20,2000,1900) + D207</f>
        <v>1988</v>
      </c>
      <c r="H207">
        <f t="shared" si="30"/>
        <v>6</v>
      </c>
      <c r="I207" s="4">
        <f t="shared" si="31"/>
        <v>4</v>
      </c>
      <c r="J207">
        <f t="shared" si="32"/>
        <v>19880604</v>
      </c>
      <c r="K207" t="str">
        <f t="shared" si="33"/>
        <v>04.06.1988</v>
      </c>
      <c r="L207" s="10">
        <f t="shared" si="34"/>
        <v>12639</v>
      </c>
      <c r="M207" s="8">
        <f t="shared" si="35"/>
        <v>34</v>
      </c>
    </row>
    <row r="208" spans="1:13" x14ac:dyDescent="0.25">
      <c r="A208" s="4" t="s">
        <v>234</v>
      </c>
      <c r="B208" t="s">
        <v>20</v>
      </c>
      <c r="C208" t="s">
        <v>6</v>
      </c>
      <c r="D208" s="3">
        <f t="shared" si="27"/>
        <v>85</v>
      </c>
      <c r="E208" s="4">
        <f t="shared" si="28"/>
        <v>1</v>
      </c>
      <c r="F208" s="4">
        <f t="shared" si="29"/>
        <v>27</v>
      </c>
      <c r="G208" s="3">
        <f>IF(E208&gt;=20,2000,1900) + D208</f>
        <v>1985</v>
      </c>
      <c r="H208">
        <f t="shared" si="30"/>
        <v>1</v>
      </c>
      <c r="I208" s="4">
        <f t="shared" si="31"/>
        <v>27</v>
      </c>
      <c r="J208">
        <f t="shared" si="32"/>
        <v>19850127</v>
      </c>
      <c r="K208" t="str">
        <f t="shared" si="33"/>
        <v>27.01.1985</v>
      </c>
      <c r="L208" s="10">
        <f t="shared" si="34"/>
        <v>13863</v>
      </c>
      <c r="M208" s="8">
        <f t="shared" si="35"/>
        <v>37</v>
      </c>
    </row>
    <row r="209" spans="1:13" x14ac:dyDescent="0.25">
      <c r="A209" s="4" t="s">
        <v>235</v>
      </c>
      <c r="B209" t="s">
        <v>12</v>
      </c>
      <c r="C209" t="s">
        <v>4</v>
      </c>
      <c r="D209" s="3">
        <f t="shared" si="27"/>
        <v>94</v>
      </c>
      <c r="E209" s="4">
        <f t="shared" si="28"/>
        <v>11</v>
      </c>
      <c r="F209" s="4">
        <f t="shared" si="29"/>
        <v>21</v>
      </c>
      <c r="G209" s="3">
        <f>IF(E209&gt;=20,2000,1900) + D209</f>
        <v>1994</v>
      </c>
      <c r="H209">
        <f t="shared" si="30"/>
        <v>11</v>
      </c>
      <c r="I209" s="4">
        <f t="shared" si="31"/>
        <v>21</v>
      </c>
      <c r="J209">
        <f t="shared" si="32"/>
        <v>19941121</v>
      </c>
      <c r="K209" t="str">
        <f t="shared" si="33"/>
        <v>21.11.1994</v>
      </c>
      <c r="L209" s="10">
        <f t="shared" si="34"/>
        <v>10278</v>
      </c>
      <c r="M209" s="8">
        <f t="shared" si="35"/>
        <v>28</v>
      </c>
    </row>
    <row r="210" spans="1:13" x14ac:dyDescent="0.25">
      <c r="A210" s="4" t="s">
        <v>236</v>
      </c>
      <c r="B210" t="s">
        <v>12</v>
      </c>
      <c r="C210" t="s">
        <v>4</v>
      </c>
      <c r="D210" s="3">
        <f t="shared" si="27"/>
        <v>68</v>
      </c>
      <c r="E210" s="4">
        <f t="shared" si="28"/>
        <v>9</v>
      </c>
      <c r="F210" s="4">
        <f t="shared" si="29"/>
        <v>16</v>
      </c>
      <c r="G210" s="3">
        <f>IF(E210&gt;=20,2000,1900) + D210</f>
        <v>1968</v>
      </c>
      <c r="H210">
        <f t="shared" si="30"/>
        <v>9</v>
      </c>
      <c r="I210" s="4">
        <f t="shared" si="31"/>
        <v>16</v>
      </c>
      <c r="J210">
        <f t="shared" si="32"/>
        <v>19680916</v>
      </c>
      <c r="K210" t="str">
        <f t="shared" si="33"/>
        <v>16.09.1968</v>
      </c>
      <c r="L210" s="10">
        <f t="shared" si="34"/>
        <v>19840</v>
      </c>
      <c r="M210" s="8">
        <f t="shared" si="35"/>
        <v>54</v>
      </c>
    </row>
    <row r="211" spans="1:13" x14ac:dyDescent="0.25">
      <c r="A211" s="4" t="s">
        <v>237</v>
      </c>
      <c r="B211" t="s">
        <v>14</v>
      </c>
      <c r="C211" t="s">
        <v>6</v>
      </c>
      <c r="D211" s="3">
        <f t="shared" si="27"/>
        <v>54</v>
      </c>
      <c r="E211" s="4">
        <f t="shared" si="28"/>
        <v>8</v>
      </c>
      <c r="F211" s="4">
        <f t="shared" si="29"/>
        <v>13</v>
      </c>
      <c r="G211" s="3">
        <f>IF(E211&gt;=20,2000,1900) + D211</f>
        <v>1954</v>
      </c>
      <c r="H211">
        <f t="shared" si="30"/>
        <v>8</v>
      </c>
      <c r="I211" s="4">
        <f t="shared" si="31"/>
        <v>13</v>
      </c>
      <c r="J211">
        <f t="shared" si="32"/>
        <v>19540813</v>
      </c>
      <c r="K211" t="str">
        <f t="shared" si="33"/>
        <v>13.08.1954</v>
      </c>
      <c r="L211" s="10">
        <f t="shared" si="34"/>
        <v>24988</v>
      </c>
      <c r="M211" s="8">
        <f t="shared" si="35"/>
        <v>68</v>
      </c>
    </row>
    <row r="212" spans="1:13" x14ac:dyDescent="0.25">
      <c r="A212" s="4" t="s">
        <v>238</v>
      </c>
      <c r="B212" t="s">
        <v>14</v>
      </c>
      <c r="C212" t="s">
        <v>4</v>
      </c>
      <c r="D212" s="3">
        <f t="shared" si="27"/>
        <v>60</v>
      </c>
      <c r="E212" s="4">
        <f t="shared" si="28"/>
        <v>1</v>
      </c>
      <c r="F212" s="4">
        <f t="shared" si="29"/>
        <v>23</v>
      </c>
      <c r="G212" s="3">
        <f>IF(E212&gt;=20,2000,1900) + D212</f>
        <v>1960</v>
      </c>
      <c r="H212">
        <f t="shared" si="30"/>
        <v>1</v>
      </c>
      <c r="I212" s="4">
        <f t="shared" si="31"/>
        <v>23</v>
      </c>
      <c r="J212">
        <f t="shared" si="32"/>
        <v>19600123</v>
      </c>
      <c r="K212" t="str">
        <f t="shared" si="33"/>
        <v>23.01.1960</v>
      </c>
      <c r="L212" s="10">
        <f t="shared" si="34"/>
        <v>22999</v>
      </c>
      <c r="M212" s="8">
        <f t="shared" si="35"/>
        <v>62</v>
      </c>
    </row>
    <row r="213" spans="1:13" x14ac:dyDescent="0.25">
      <c r="A213" s="4" t="s">
        <v>239</v>
      </c>
      <c r="B213" t="s">
        <v>14</v>
      </c>
      <c r="C213" t="s">
        <v>4</v>
      </c>
      <c r="D213" s="3">
        <f t="shared" si="27"/>
        <v>61</v>
      </c>
      <c r="E213" s="4">
        <f t="shared" si="28"/>
        <v>4</v>
      </c>
      <c r="F213" s="4">
        <f t="shared" si="29"/>
        <v>29</v>
      </c>
      <c r="G213" s="3">
        <f>IF(E213&gt;=20,2000,1900) + D213</f>
        <v>1961</v>
      </c>
      <c r="H213">
        <f t="shared" si="30"/>
        <v>4</v>
      </c>
      <c r="I213" s="4">
        <f t="shared" si="31"/>
        <v>29</v>
      </c>
      <c r="J213">
        <f t="shared" si="32"/>
        <v>19610429</v>
      </c>
      <c r="K213" t="str">
        <f t="shared" si="33"/>
        <v>29.04.1961</v>
      </c>
      <c r="L213" s="10">
        <f t="shared" si="34"/>
        <v>22537</v>
      </c>
      <c r="M213" s="8">
        <f t="shared" si="35"/>
        <v>61</v>
      </c>
    </row>
    <row r="214" spans="1:13" x14ac:dyDescent="0.25">
      <c r="A214" s="4" t="s">
        <v>240</v>
      </c>
      <c r="B214" t="s">
        <v>11</v>
      </c>
      <c r="C214" t="s">
        <v>4</v>
      </c>
      <c r="D214" s="3">
        <f t="shared" si="27"/>
        <v>67</v>
      </c>
      <c r="E214" s="4">
        <f t="shared" si="28"/>
        <v>12</v>
      </c>
      <c r="F214" s="4">
        <f t="shared" si="29"/>
        <v>25</v>
      </c>
      <c r="G214" s="3">
        <f>IF(E214&gt;=20,2000,1900) + D214</f>
        <v>1967</v>
      </c>
      <c r="H214">
        <f t="shared" si="30"/>
        <v>12</v>
      </c>
      <c r="I214" s="4">
        <f t="shared" si="31"/>
        <v>25</v>
      </c>
      <c r="J214">
        <f t="shared" si="32"/>
        <v>19671225</v>
      </c>
      <c r="K214" t="str">
        <f t="shared" si="33"/>
        <v>25.12.1967</v>
      </c>
      <c r="L214" s="10">
        <f t="shared" si="34"/>
        <v>20106</v>
      </c>
      <c r="M214" s="8">
        <f t="shared" si="35"/>
        <v>55</v>
      </c>
    </row>
    <row r="215" spans="1:13" x14ac:dyDescent="0.25">
      <c r="A215" s="4" t="s">
        <v>241</v>
      </c>
      <c r="B215" t="s">
        <v>5</v>
      </c>
      <c r="C215" t="s">
        <v>6</v>
      </c>
      <c r="D215" s="3">
        <f t="shared" si="27"/>
        <v>85</v>
      </c>
      <c r="E215" s="4">
        <f t="shared" si="28"/>
        <v>6</v>
      </c>
      <c r="F215" s="4">
        <f t="shared" si="29"/>
        <v>5</v>
      </c>
      <c r="G215" s="3">
        <f>IF(E215&gt;=20,2000,1900) + D215</f>
        <v>1985</v>
      </c>
      <c r="H215">
        <f t="shared" si="30"/>
        <v>6</v>
      </c>
      <c r="I215" s="4">
        <f t="shared" si="31"/>
        <v>5</v>
      </c>
      <c r="J215">
        <f t="shared" si="32"/>
        <v>19850605</v>
      </c>
      <c r="K215" t="str">
        <f t="shared" si="33"/>
        <v>05.06.1985</v>
      </c>
      <c r="L215" s="10">
        <f t="shared" si="34"/>
        <v>13734</v>
      </c>
      <c r="M215" s="8">
        <f t="shared" si="35"/>
        <v>37</v>
      </c>
    </row>
    <row r="216" spans="1:13" x14ac:dyDescent="0.25">
      <c r="A216" s="4" t="s">
        <v>242</v>
      </c>
      <c r="B216" t="s">
        <v>17</v>
      </c>
      <c r="C216" t="s">
        <v>6</v>
      </c>
      <c r="D216" s="3">
        <f t="shared" si="27"/>
        <v>62</v>
      </c>
      <c r="E216" s="4">
        <f t="shared" si="28"/>
        <v>3</v>
      </c>
      <c r="F216" s="4">
        <f t="shared" si="29"/>
        <v>5</v>
      </c>
      <c r="G216" s="3">
        <f>IF(E216&gt;=20,2000,1900) + D216</f>
        <v>1962</v>
      </c>
      <c r="H216">
        <f t="shared" si="30"/>
        <v>3</v>
      </c>
      <c r="I216" s="4">
        <f t="shared" si="31"/>
        <v>5</v>
      </c>
      <c r="J216">
        <f t="shared" si="32"/>
        <v>19620305</v>
      </c>
      <c r="K216" t="str">
        <f t="shared" si="33"/>
        <v>05.03.1962</v>
      </c>
      <c r="L216" s="10">
        <f t="shared" si="34"/>
        <v>22227</v>
      </c>
      <c r="M216" s="8">
        <f t="shared" si="35"/>
        <v>60</v>
      </c>
    </row>
    <row r="217" spans="1:13" x14ac:dyDescent="0.25">
      <c r="A217" s="4" t="s">
        <v>243</v>
      </c>
      <c r="B217" t="s">
        <v>9</v>
      </c>
      <c r="C217" t="s">
        <v>6</v>
      </c>
      <c r="D217" s="3">
        <f t="shared" si="27"/>
        <v>87</v>
      </c>
      <c r="E217" s="4">
        <f t="shared" si="28"/>
        <v>7</v>
      </c>
      <c r="F217" s="4">
        <f t="shared" si="29"/>
        <v>16</v>
      </c>
      <c r="G217" s="3">
        <f>IF(E217&gt;=20,2000,1900) + D217</f>
        <v>1987</v>
      </c>
      <c r="H217">
        <f t="shared" si="30"/>
        <v>7</v>
      </c>
      <c r="I217" s="4">
        <f t="shared" si="31"/>
        <v>16</v>
      </c>
      <c r="J217">
        <f t="shared" si="32"/>
        <v>19870716</v>
      </c>
      <c r="K217" t="str">
        <f t="shared" si="33"/>
        <v>16.07.1987</v>
      </c>
      <c r="L217" s="10">
        <f t="shared" si="34"/>
        <v>12963</v>
      </c>
      <c r="M217" s="8">
        <f t="shared" si="35"/>
        <v>35</v>
      </c>
    </row>
    <row r="218" spans="1:13" x14ac:dyDescent="0.25">
      <c r="A218" s="4" t="s">
        <v>244</v>
      </c>
      <c r="B218" t="s">
        <v>9</v>
      </c>
      <c r="C218" t="s">
        <v>6</v>
      </c>
      <c r="D218" s="3">
        <f t="shared" si="27"/>
        <v>80</v>
      </c>
      <c r="E218" s="4">
        <f t="shared" si="28"/>
        <v>5</v>
      </c>
      <c r="F218" s="4">
        <f t="shared" si="29"/>
        <v>13</v>
      </c>
      <c r="G218" s="3">
        <f>IF(E218&gt;=20,2000,1900) + D218</f>
        <v>1980</v>
      </c>
      <c r="H218">
        <f t="shared" si="30"/>
        <v>5</v>
      </c>
      <c r="I218" s="4">
        <f t="shared" si="31"/>
        <v>13</v>
      </c>
      <c r="J218">
        <f t="shared" si="32"/>
        <v>19800513</v>
      </c>
      <c r="K218" t="str">
        <f t="shared" si="33"/>
        <v>13.05.1980</v>
      </c>
      <c r="L218" s="10">
        <f t="shared" si="34"/>
        <v>15583</v>
      </c>
      <c r="M218" s="8">
        <f t="shared" si="35"/>
        <v>42</v>
      </c>
    </row>
    <row r="219" spans="1:13" x14ac:dyDescent="0.25">
      <c r="A219" s="4" t="s">
        <v>245</v>
      </c>
      <c r="B219" t="s">
        <v>9</v>
      </c>
      <c r="C219" t="s">
        <v>6</v>
      </c>
      <c r="D219" s="3">
        <f t="shared" si="27"/>
        <v>63</v>
      </c>
      <c r="E219" s="4">
        <f t="shared" si="28"/>
        <v>3</v>
      </c>
      <c r="F219" s="4">
        <f t="shared" si="29"/>
        <v>12</v>
      </c>
      <c r="G219" s="3">
        <f>IF(E219&gt;=20,2000,1900) + D219</f>
        <v>1963</v>
      </c>
      <c r="H219">
        <f t="shared" si="30"/>
        <v>3</v>
      </c>
      <c r="I219" s="4">
        <f t="shared" si="31"/>
        <v>12</v>
      </c>
      <c r="J219">
        <f t="shared" si="32"/>
        <v>19630312</v>
      </c>
      <c r="K219" t="str">
        <f t="shared" si="33"/>
        <v>12.03.1963</v>
      </c>
      <c r="L219" s="10">
        <f t="shared" si="34"/>
        <v>21855</v>
      </c>
      <c r="M219" s="8">
        <f t="shared" si="35"/>
        <v>59</v>
      </c>
    </row>
    <row r="220" spans="1:13" x14ac:dyDescent="0.25">
      <c r="A220" s="4" t="s">
        <v>246</v>
      </c>
      <c r="B220" t="s">
        <v>18</v>
      </c>
      <c r="C220" t="s">
        <v>4</v>
      </c>
      <c r="D220" s="3">
        <f t="shared" si="27"/>
        <v>99</v>
      </c>
      <c r="E220" s="4">
        <f t="shared" si="28"/>
        <v>11</v>
      </c>
      <c r="F220" s="4">
        <f t="shared" si="29"/>
        <v>27</v>
      </c>
      <c r="G220" s="3">
        <f>IF(E220&gt;=20,2000,1900) + D220</f>
        <v>1999</v>
      </c>
      <c r="H220">
        <f t="shared" si="30"/>
        <v>11</v>
      </c>
      <c r="I220" s="4">
        <f t="shared" si="31"/>
        <v>27</v>
      </c>
      <c r="J220">
        <f t="shared" si="32"/>
        <v>19991127</v>
      </c>
      <c r="K220" t="str">
        <f t="shared" si="33"/>
        <v>27.11.1999</v>
      </c>
      <c r="L220" s="10">
        <f t="shared" si="34"/>
        <v>8446</v>
      </c>
      <c r="M220" s="8">
        <f t="shared" si="35"/>
        <v>23</v>
      </c>
    </row>
    <row r="221" spans="1:13" x14ac:dyDescent="0.25">
      <c r="A221" s="4" t="s">
        <v>247</v>
      </c>
      <c r="B221" t="s">
        <v>12</v>
      </c>
      <c r="C221" t="s">
        <v>4</v>
      </c>
      <c r="D221" s="3">
        <f t="shared" si="27"/>
        <v>90</v>
      </c>
      <c r="E221" s="4">
        <f t="shared" si="28"/>
        <v>7</v>
      </c>
      <c r="F221" s="4">
        <f t="shared" si="29"/>
        <v>13</v>
      </c>
      <c r="G221" s="3">
        <f>IF(E221&gt;=20,2000,1900) + D221</f>
        <v>1990</v>
      </c>
      <c r="H221">
        <f t="shared" si="30"/>
        <v>7</v>
      </c>
      <c r="I221" s="4">
        <f t="shared" si="31"/>
        <v>13</v>
      </c>
      <c r="J221">
        <f t="shared" si="32"/>
        <v>19900713</v>
      </c>
      <c r="K221" t="str">
        <f t="shared" si="33"/>
        <v>13.07.1990</v>
      </c>
      <c r="L221" s="10">
        <f t="shared" si="34"/>
        <v>11870</v>
      </c>
      <c r="M221" s="8">
        <f t="shared" si="35"/>
        <v>32</v>
      </c>
    </row>
    <row r="222" spans="1:13" x14ac:dyDescent="0.25">
      <c r="A222" s="4" t="s">
        <v>248</v>
      </c>
      <c r="B222" t="s">
        <v>15</v>
      </c>
      <c r="C222" t="s">
        <v>6</v>
      </c>
      <c r="D222" s="3">
        <f t="shared" si="27"/>
        <v>79</v>
      </c>
      <c r="E222" s="4">
        <f t="shared" si="28"/>
        <v>10</v>
      </c>
      <c r="F222" s="4">
        <f t="shared" si="29"/>
        <v>1</v>
      </c>
      <c r="G222" s="3">
        <f>IF(E222&gt;=20,2000,1900) + D222</f>
        <v>1979</v>
      </c>
      <c r="H222">
        <f t="shared" si="30"/>
        <v>10</v>
      </c>
      <c r="I222" s="4">
        <f t="shared" si="31"/>
        <v>1</v>
      </c>
      <c r="J222">
        <f t="shared" si="32"/>
        <v>19791001</v>
      </c>
      <c r="K222" t="str">
        <f t="shared" si="33"/>
        <v>01.10.1979</v>
      </c>
      <c r="L222" s="10">
        <f t="shared" si="34"/>
        <v>15808</v>
      </c>
      <c r="M222" s="8">
        <f t="shared" si="35"/>
        <v>43</v>
      </c>
    </row>
    <row r="223" spans="1:13" x14ac:dyDescent="0.25">
      <c r="A223" s="4" t="s">
        <v>249</v>
      </c>
      <c r="B223" t="s">
        <v>8</v>
      </c>
      <c r="C223" t="s">
        <v>6</v>
      </c>
      <c r="D223" s="3">
        <f t="shared" si="27"/>
        <v>67</v>
      </c>
      <c r="E223" s="4">
        <f t="shared" si="28"/>
        <v>2</v>
      </c>
      <c r="F223" s="4">
        <f t="shared" si="29"/>
        <v>16</v>
      </c>
      <c r="G223" s="3">
        <f>IF(E223&gt;=20,2000,1900) + D223</f>
        <v>1967</v>
      </c>
      <c r="H223">
        <f t="shared" si="30"/>
        <v>2</v>
      </c>
      <c r="I223" s="4">
        <f t="shared" si="31"/>
        <v>16</v>
      </c>
      <c r="J223">
        <f t="shared" si="32"/>
        <v>19670216</v>
      </c>
      <c r="K223" t="str">
        <f t="shared" si="33"/>
        <v>16.02.1967</v>
      </c>
      <c r="L223" s="10">
        <f t="shared" si="34"/>
        <v>20418</v>
      </c>
      <c r="M223" s="8">
        <f t="shared" si="35"/>
        <v>55</v>
      </c>
    </row>
    <row r="224" spans="1:13" x14ac:dyDescent="0.25">
      <c r="A224" s="4" t="s">
        <v>250</v>
      </c>
      <c r="B224" t="s">
        <v>20</v>
      </c>
      <c r="C224" t="s">
        <v>4</v>
      </c>
      <c r="D224" s="3">
        <f t="shared" si="27"/>
        <v>80</v>
      </c>
      <c r="E224" s="4">
        <f t="shared" si="28"/>
        <v>12</v>
      </c>
      <c r="F224" s="4">
        <f t="shared" si="29"/>
        <v>29</v>
      </c>
      <c r="G224" s="3">
        <f>IF(E224&gt;=20,2000,1900) + D224</f>
        <v>1980</v>
      </c>
      <c r="H224">
        <f t="shared" si="30"/>
        <v>12</v>
      </c>
      <c r="I224" s="4">
        <f t="shared" si="31"/>
        <v>29</v>
      </c>
      <c r="J224">
        <f t="shared" si="32"/>
        <v>19801229</v>
      </c>
      <c r="K224" t="str">
        <f t="shared" si="33"/>
        <v>29.12.1980</v>
      </c>
      <c r="L224" s="10">
        <f t="shared" si="34"/>
        <v>15353</v>
      </c>
      <c r="M224" s="8">
        <f t="shared" si="35"/>
        <v>42</v>
      </c>
    </row>
    <row r="225" spans="1:13" x14ac:dyDescent="0.25">
      <c r="A225" s="4" t="s">
        <v>251</v>
      </c>
      <c r="B225" t="s">
        <v>7</v>
      </c>
      <c r="C225" t="s">
        <v>6</v>
      </c>
      <c r="D225" s="3">
        <f t="shared" si="27"/>
        <v>68</v>
      </c>
      <c r="E225" s="4">
        <f t="shared" si="28"/>
        <v>2</v>
      </c>
      <c r="F225" s="4">
        <f t="shared" si="29"/>
        <v>15</v>
      </c>
      <c r="G225" s="3">
        <f>IF(E225&gt;=20,2000,1900) + D225</f>
        <v>1968</v>
      </c>
      <c r="H225">
        <f t="shared" si="30"/>
        <v>2</v>
      </c>
      <c r="I225" s="4">
        <f t="shared" si="31"/>
        <v>15</v>
      </c>
      <c r="J225">
        <f t="shared" si="32"/>
        <v>19680215</v>
      </c>
      <c r="K225" t="str">
        <f t="shared" si="33"/>
        <v>15.02.1968</v>
      </c>
      <c r="L225" s="10">
        <f t="shared" si="34"/>
        <v>20054</v>
      </c>
      <c r="M225" s="8">
        <f t="shared" si="35"/>
        <v>54</v>
      </c>
    </row>
    <row r="226" spans="1:13" x14ac:dyDescent="0.25">
      <c r="A226" s="4" t="s">
        <v>252</v>
      </c>
      <c r="B226" t="s">
        <v>16</v>
      </c>
      <c r="C226" t="s">
        <v>4</v>
      </c>
      <c r="D226" s="3">
        <f t="shared" si="27"/>
        <v>57</v>
      </c>
      <c r="E226" s="4">
        <f t="shared" si="28"/>
        <v>5</v>
      </c>
      <c r="F226" s="4">
        <f t="shared" si="29"/>
        <v>17</v>
      </c>
      <c r="G226" s="3">
        <f>IF(E226&gt;=20,2000,1900) + D226</f>
        <v>1957</v>
      </c>
      <c r="H226">
        <f t="shared" si="30"/>
        <v>5</v>
      </c>
      <c r="I226" s="4">
        <f t="shared" si="31"/>
        <v>17</v>
      </c>
      <c r="J226">
        <f t="shared" si="32"/>
        <v>19570517</v>
      </c>
      <c r="K226" t="str">
        <f t="shared" si="33"/>
        <v>17.05.1957</v>
      </c>
      <c r="L226" s="10">
        <f t="shared" si="34"/>
        <v>23980</v>
      </c>
      <c r="M226" s="8">
        <f t="shared" si="35"/>
        <v>65</v>
      </c>
    </row>
    <row r="227" spans="1:13" x14ac:dyDescent="0.25">
      <c r="A227" s="4" t="s">
        <v>253</v>
      </c>
      <c r="B227" t="s">
        <v>11</v>
      </c>
      <c r="C227" t="s">
        <v>6</v>
      </c>
      <c r="D227" s="3">
        <f t="shared" si="27"/>
        <v>96</v>
      </c>
      <c r="E227" s="4">
        <f t="shared" si="28"/>
        <v>11</v>
      </c>
      <c r="F227" s="4">
        <f t="shared" si="29"/>
        <v>12</v>
      </c>
      <c r="G227" s="3">
        <f>IF(E227&gt;=20,2000,1900) + D227</f>
        <v>1996</v>
      </c>
      <c r="H227">
        <f t="shared" si="30"/>
        <v>11</v>
      </c>
      <c r="I227" s="4">
        <f t="shared" si="31"/>
        <v>12</v>
      </c>
      <c r="J227">
        <f t="shared" si="32"/>
        <v>19961112</v>
      </c>
      <c r="K227" t="str">
        <f t="shared" si="33"/>
        <v>12.11.1996</v>
      </c>
      <c r="L227" s="10">
        <f t="shared" si="34"/>
        <v>9556</v>
      </c>
      <c r="M227" s="8">
        <f t="shared" si="35"/>
        <v>26</v>
      </c>
    </row>
    <row r="228" spans="1:13" x14ac:dyDescent="0.25">
      <c r="A228" s="4" t="s">
        <v>254</v>
      </c>
      <c r="B228" t="s">
        <v>15</v>
      </c>
      <c r="C228" t="s">
        <v>6</v>
      </c>
      <c r="D228" s="3">
        <f t="shared" si="27"/>
        <v>89</v>
      </c>
      <c r="E228" s="4">
        <f t="shared" si="28"/>
        <v>3</v>
      </c>
      <c r="F228" s="4">
        <f t="shared" si="29"/>
        <v>10</v>
      </c>
      <c r="G228" s="3">
        <f>IF(E228&gt;=20,2000,1900) + D228</f>
        <v>1989</v>
      </c>
      <c r="H228">
        <f t="shared" si="30"/>
        <v>3</v>
      </c>
      <c r="I228" s="4">
        <f t="shared" si="31"/>
        <v>10</v>
      </c>
      <c r="J228">
        <f t="shared" si="32"/>
        <v>19890310</v>
      </c>
      <c r="K228" t="str">
        <f t="shared" si="33"/>
        <v>10.03.1989</v>
      </c>
      <c r="L228" s="10">
        <f t="shared" si="34"/>
        <v>12360</v>
      </c>
      <c r="M228" s="8">
        <f t="shared" si="35"/>
        <v>33</v>
      </c>
    </row>
    <row r="229" spans="1:13" x14ac:dyDescent="0.25">
      <c r="A229" s="4" t="s">
        <v>255</v>
      </c>
      <c r="B229" t="s">
        <v>19</v>
      </c>
      <c r="C229" t="s">
        <v>4</v>
      </c>
      <c r="D229" s="3">
        <f t="shared" si="27"/>
        <v>82</v>
      </c>
      <c r="E229" s="4">
        <f t="shared" si="28"/>
        <v>9</v>
      </c>
      <c r="F229" s="4">
        <f t="shared" si="29"/>
        <v>13</v>
      </c>
      <c r="G229" s="3">
        <f>IF(E229&gt;=20,2000,1900) + D229</f>
        <v>1982</v>
      </c>
      <c r="H229">
        <f t="shared" si="30"/>
        <v>9</v>
      </c>
      <c r="I229" s="4">
        <f t="shared" si="31"/>
        <v>13</v>
      </c>
      <c r="J229">
        <f t="shared" si="32"/>
        <v>19820913</v>
      </c>
      <c r="K229" t="str">
        <f t="shared" si="33"/>
        <v>13.09.1982</v>
      </c>
      <c r="L229" s="10">
        <f t="shared" si="34"/>
        <v>14730</v>
      </c>
      <c r="M229" s="8">
        <f t="shared" si="35"/>
        <v>40</v>
      </c>
    </row>
    <row r="230" spans="1:13" x14ac:dyDescent="0.25">
      <c r="A230" s="4" t="s">
        <v>256</v>
      </c>
      <c r="B230" t="s">
        <v>7</v>
      </c>
      <c r="C230" t="s">
        <v>4</v>
      </c>
      <c r="D230" s="3">
        <f t="shared" si="27"/>
        <v>51</v>
      </c>
      <c r="E230" s="4">
        <f t="shared" si="28"/>
        <v>12</v>
      </c>
      <c r="F230" s="4">
        <f t="shared" si="29"/>
        <v>20</v>
      </c>
      <c r="G230" s="3">
        <f>IF(E230&gt;=20,2000,1900) + D230</f>
        <v>1951</v>
      </c>
      <c r="H230">
        <f t="shared" si="30"/>
        <v>12</v>
      </c>
      <c r="I230" s="4">
        <f t="shared" si="31"/>
        <v>20</v>
      </c>
      <c r="J230">
        <f t="shared" si="32"/>
        <v>19511220</v>
      </c>
      <c r="K230" t="str">
        <f t="shared" si="33"/>
        <v>20.12.1951</v>
      </c>
      <c r="L230" s="10">
        <f t="shared" si="34"/>
        <v>25955</v>
      </c>
      <c r="M230" s="8">
        <f t="shared" si="35"/>
        <v>71</v>
      </c>
    </row>
    <row r="231" spans="1:13" x14ac:dyDescent="0.25">
      <c r="A231" s="4" t="s">
        <v>257</v>
      </c>
      <c r="B231" t="s">
        <v>9</v>
      </c>
      <c r="C231" t="s">
        <v>6</v>
      </c>
      <c r="D231" s="3">
        <f t="shared" si="27"/>
        <v>65</v>
      </c>
      <c r="E231" s="4">
        <f t="shared" si="28"/>
        <v>8</v>
      </c>
      <c r="F231" s="4">
        <f t="shared" si="29"/>
        <v>18</v>
      </c>
      <c r="G231" s="3">
        <f>IF(E231&gt;=20,2000,1900) + D231</f>
        <v>1965</v>
      </c>
      <c r="H231">
        <f t="shared" si="30"/>
        <v>8</v>
      </c>
      <c r="I231" s="4">
        <f t="shared" si="31"/>
        <v>18</v>
      </c>
      <c r="J231">
        <f t="shared" si="32"/>
        <v>19650818</v>
      </c>
      <c r="K231" t="str">
        <f t="shared" si="33"/>
        <v>18.08.1965</v>
      </c>
      <c r="L231" s="10">
        <f t="shared" si="34"/>
        <v>20965</v>
      </c>
      <c r="M231" s="8">
        <f t="shared" si="35"/>
        <v>57</v>
      </c>
    </row>
    <row r="232" spans="1:13" x14ac:dyDescent="0.25">
      <c r="A232" s="4" t="s">
        <v>258</v>
      </c>
      <c r="B232" t="s">
        <v>14</v>
      </c>
      <c r="C232" t="s">
        <v>4</v>
      </c>
      <c r="D232" s="3">
        <f t="shared" si="27"/>
        <v>52</v>
      </c>
      <c r="E232" s="4">
        <f t="shared" si="28"/>
        <v>7</v>
      </c>
      <c r="F232" s="4">
        <f t="shared" si="29"/>
        <v>31</v>
      </c>
      <c r="G232" s="3">
        <f>IF(E232&gt;=20,2000,1900) + D232</f>
        <v>1952</v>
      </c>
      <c r="H232">
        <f t="shared" si="30"/>
        <v>7</v>
      </c>
      <c r="I232" s="4">
        <f t="shared" si="31"/>
        <v>31</v>
      </c>
      <c r="J232">
        <f t="shared" si="32"/>
        <v>19520731</v>
      </c>
      <c r="K232" t="str">
        <f t="shared" si="33"/>
        <v>31.07.1952</v>
      </c>
      <c r="L232" s="10">
        <f t="shared" si="34"/>
        <v>25731</v>
      </c>
      <c r="M232" s="8">
        <f t="shared" si="35"/>
        <v>70</v>
      </c>
    </row>
    <row r="233" spans="1:13" x14ac:dyDescent="0.25">
      <c r="A233" s="4" t="s">
        <v>259</v>
      </c>
      <c r="B233" t="s">
        <v>8</v>
      </c>
      <c r="C233" t="s">
        <v>6</v>
      </c>
      <c r="D233" s="3">
        <f t="shared" si="27"/>
        <v>52</v>
      </c>
      <c r="E233" s="4">
        <f t="shared" si="28"/>
        <v>7</v>
      </c>
      <c r="F233" s="4">
        <f t="shared" si="29"/>
        <v>27</v>
      </c>
      <c r="G233" s="3">
        <f>IF(E233&gt;=20,2000,1900) + D233</f>
        <v>1952</v>
      </c>
      <c r="H233">
        <f t="shared" si="30"/>
        <v>7</v>
      </c>
      <c r="I233" s="4">
        <f t="shared" si="31"/>
        <v>27</v>
      </c>
      <c r="J233">
        <f t="shared" si="32"/>
        <v>19520727</v>
      </c>
      <c r="K233" t="str">
        <f t="shared" si="33"/>
        <v>27.07.1952</v>
      </c>
      <c r="L233" s="10">
        <f t="shared" si="34"/>
        <v>25735</v>
      </c>
      <c r="M233" s="8">
        <f t="shared" si="35"/>
        <v>70</v>
      </c>
    </row>
    <row r="234" spans="1:13" x14ac:dyDescent="0.25">
      <c r="A234" s="4" t="s">
        <v>260</v>
      </c>
      <c r="B234" t="s">
        <v>16</v>
      </c>
      <c r="C234" t="s">
        <v>4</v>
      </c>
      <c r="D234" s="3">
        <f t="shared" si="27"/>
        <v>73</v>
      </c>
      <c r="E234" s="4">
        <f t="shared" si="28"/>
        <v>5</v>
      </c>
      <c r="F234" s="4">
        <f t="shared" si="29"/>
        <v>8</v>
      </c>
      <c r="G234" s="3">
        <f>IF(E234&gt;=20,2000,1900) + D234</f>
        <v>1973</v>
      </c>
      <c r="H234">
        <f t="shared" si="30"/>
        <v>5</v>
      </c>
      <c r="I234" s="4">
        <f t="shared" si="31"/>
        <v>8</v>
      </c>
      <c r="J234">
        <f t="shared" si="32"/>
        <v>19730508</v>
      </c>
      <c r="K234" t="str">
        <f t="shared" si="33"/>
        <v>08.05.1973</v>
      </c>
      <c r="L234" s="10">
        <f t="shared" si="34"/>
        <v>18145</v>
      </c>
      <c r="M234" s="8">
        <f t="shared" si="35"/>
        <v>49</v>
      </c>
    </row>
    <row r="235" spans="1:13" x14ac:dyDescent="0.25">
      <c r="A235" s="4" t="s">
        <v>261</v>
      </c>
      <c r="B235" t="s">
        <v>19</v>
      </c>
      <c r="C235" t="s">
        <v>6</v>
      </c>
      <c r="D235" s="3">
        <f t="shared" si="27"/>
        <v>61</v>
      </c>
      <c r="E235" s="4">
        <f t="shared" si="28"/>
        <v>4</v>
      </c>
      <c r="F235" s="4">
        <f t="shared" si="29"/>
        <v>18</v>
      </c>
      <c r="G235" s="3">
        <f>IF(E235&gt;=20,2000,1900) + D235</f>
        <v>1961</v>
      </c>
      <c r="H235">
        <f t="shared" si="30"/>
        <v>4</v>
      </c>
      <c r="I235" s="4">
        <f t="shared" si="31"/>
        <v>18</v>
      </c>
      <c r="J235">
        <f t="shared" si="32"/>
        <v>19610418</v>
      </c>
      <c r="K235" t="str">
        <f t="shared" si="33"/>
        <v>18.04.1961</v>
      </c>
      <c r="L235" s="10">
        <f t="shared" si="34"/>
        <v>22548</v>
      </c>
      <c r="M235" s="8">
        <f t="shared" si="35"/>
        <v>61</v>
      </c>
    </row>
    <row r="236" spans="1:13" x14ac:dyDescent="0.25">
      <c r="A236" s="4" t="s">
        <v>262</v>
      </c>
      <c r="B236" t="s">
        <v>8</v>
      </c>
      <c r="C236" t="s">
        <v>4</v>
      </c>
      <c r="D236" s="3">
        <f t="shared" si="27"/>
        <v>66</v>
      </c>
      <c r="E236" s="4">
        <f t="shared" si="28"/>
        <v>7</v>
      </c>
      <c r="F236" s="4">
        <f t="shared" si="29"/>
        <v>20</v>
      </c>
      <c r="G236" s="3">
        <f>IF(E236&gt;=20,2000,1900) + D236</f>
        <v>1966</v>
      </c>
      <c r="H236">
        <f t="shared" si="30"/>
        <v>7</v>
      </c>
      <c r="I236" s="4">
        <f t="shared" si="31"/>
        <v>20</v>
      </c>
      <c r="J236">
        <f t="shared" si="32"/>
        <v>19660720</v>
      </c>
      <c r="K236" t="str">
        <f t="shared" si="33"/>
        <v>20.07.1966</v>
      </c>
      <c r="L236" s="10">
        <f t="shared" si="34"/>
        <v>20629</v>
      </c>
      <c r="M236" s="8">
        <f t="shared" si="35"/>
        <v>56</v>
      </c>
    </row>
    <row r="237" spans="1:13" x14ac:dyDescent="0.25">
      <c r="A237" s="4" t="s">
        <v>263</v>
      </c>
      <c r="B237" t="s">
        <v>3</v>
      </c>
      <c r="C237" t="s">
        <v>4</v>
      </c>
      <c r="D237" s="3">
        <f t="shared" si="27"/>
        <v>52</v>
      </c>
      <c r="E237" s="4">
        <f t="shared" si="28"/>
        <v>1</v>
      </c>
      <c r="F237" s="4">
        <f t="shared" si="29"/>
        <v>15</v>
      </c>
      <c r="G237" s="3">
        <f>IF(E237&gt;=20,2000,1900) + D237</f>
        <v>1952</v>
      </c>
      <c r="H237">
        <f t="shared" si="30"/>
        <v>1</v>
      </c>
      <c r="I237" s="4">
        <f t="shared" si="31"/>
        <v>15</v>
      </c>
      <c r="J237">
        <f t="shared" si="32"/>
        <v>19520115</v>
      </c>
      <c r="K237" t="str">
        <f t="shared" si="33"/>
        <v>15.01.1952</v>
      </c>
      <c r="L237" s="10">
        <f t="shared" si="34"/>
        <v>25929</v>
      </c>
      <c r="M237" s="8">
        <f t="shared" si="35"/>
        <v>70</v>
      </c>
    </row>
    <row r="238" spans="1:13" x14ac:dyDescent="0.25">
      <c r="A238" s="4" t="s">
        <v>264</v>
      </c>
      <c r="B238" t="s">
        <v>17</v>
      </c>
      <c r="C238" t="s">
        <v>6</v>
      </c>
      <c r="D238" s="3">
        <f t="shared" si="27"/>
        <v>90</v>
      </c>
      <c r="E238" s="4">
        <f t="shared" si="28"/>
        <v>3</v>
      </c>
      <c r="F238" s="4">
        <f t="shared" si="29"/>
        <v>7</v>
      </c>
      <c r="G238" s="3">
        <f>IF(E238&gt;=20,2000,1900) + D238</f>
        <v>1990</v>
      </c>
      <c r="H238">
        <f t="shared" si="30"/>
        <v>3</v>
      </c>
      <c r="I238" s="4">
        <f t="shared" si="31"/>
        <v>7</v>
      </c>
      <c r="J238">
        <f t="shared" si="32"/>
        <v>19900307</v>
      </c>
      <c r="K238" t="str">
        <f t="shared" si="33"/>
        <v>07.03.1990</v>
      </c>
      <c r="L238" s="10">
        <f t="shared" si="34"/>
        <v>11998</v>
      </c>
      <c r="M238" s="8">
        <f t="shared" si="35"/>
        <v>32</v>
      </c>
    </row>
    <row r="239" spans="1:13" x14ac:dyDescent="0.25">
      <c r="A239" s="4" t="s">
        <v>265</v>
      </c>
      <c r="B239" t="s">
        <v>18</v>
      </c>
      <c r="C239" t="s">
        <v>4</v>
      </c>
      <c r="D239" s="3">
        <f t="shared" si="27"/>
        <v>79</v>
      </c>
      <c r="E239" s="4">
        <f t="shared" si="28"/>
        <v>1</v>
      </c>
      <c r="F239" s="4">
        <f t="shared" si="29"/>
        <v>19</v>
      </c>
      <c r="G239" s="3">
        <f>IF(E239&gt;=20,2000,1900) + D239</f>
        <v>1979</v>
      </c>
      <c r="H239">
        <f t="shared" si="30"/>
        <v>1</v>
      </c>
      <c r="I239" s="4">
        <f t="shared" si="31"/>
        <v>19</v>
      </c>
      <c r="J239">
        <f t="shared" si="32"/>
        <v>19790119</v>
      </c>
      <c r="K239" t="str">
        <f t="shared" si="33"/>
        <v>19.01.1979</v>
      </c>
      <c r="L239" s="10">
        <f t="shared" si="34"/>
        <v>16063</v>
      </c>
      <c r="M239" s="8">
        <f t="shared" si="35"/>
        <v>43</v>
      </c>
    </row>
    <row r="240" spans="1:13" x14ac:dyDescent="0.25">
      <c r="A240" s="4" t="s">
        <v>266</v>
      </c>
      <c r="B240" t="s">
        <v>13</v>
      </c>
      <c r="C240" t="s">
        <v>4</v>
      </c>
      <c r="D240" s="3">
        <f t="shared" si="27"/>
        <v>93</v>
      </c>
      <c r="E240" s="4">
        <f t="shared" si="28"/>
        <v>8</v>
      </c>
      <c r="F240" s="4">
        <f t="shared" si="29"/>
        <v>20</v>
      </c>
      <c r="G240" s="3">
        <f>IF(E240&gt;=20,2000,1900) + D240</f>
        <v>1993</v>
      </c>
      <c r="H240">
        <f t="shared" si="30"/>
        <v>8</v>
      </c>
      <c r="I240" s="4">
        <f t="shared" si="31"/>
        <v>20</v>
      </c>
      <c r="J240">
        <f t="shared" si="32"/>
        <v>19930820</v>
      </c>
      <c r="K240" t="str">
        <f t="shared" si="33"/>
        <v>20.08.1993</v>
      </c>
      <c r="L240" s="10">
        <f t="shared" si="34"/>
        <v>10736</v>
      </c>
      <c r="M240" s="8">
        <f t="shared" si="35"/>
        <v>29</v>
      </c>
    </row>
    <row r="241" spans="1:13" x14ac:dyDescent="0.25">
      <c r="A241" s="4" t="s">
        <v>267</v>
      </c>
      <c r="B241" t="s">
        <v>16</v>
      </c>
      <c r="C241" t="s">
        <v>6</v>
      </c>
      <c r="D241" s="3">
        <f t="shared" si="27"/>
        <v>95</v>
      </c>
      <c r="E241" s="4">
        <f t="shared" si="28"/>
        <v>2</v>
      </c>
      <c r="F241" s="4">
        <f t="shared" si="29"/>
        <v>5</v>
      </c>
      <c r="G241" s="3">
        <f>IF(E241&gt;=20,2000,1900) + D241</f>
        <v>1995</v>
      </c>
      <c r="H241">
        <f t="shared" si="30"/>
        <v>2</v>
      </c>
      <c r="I241" s="4">
        <f t="shared" si="31"/>
        <v>5</v>
      </c>
      <c r="J241">
        <f t="shared" si="32"/>
        <v>19950205</v>
      </c>
      <c r="K241" t="str">
        <f t="shared" si="33"/>
        <v>05.02.1995</v>
      </c>
      <c r="L241" s="10">
        <f t="shared" si="34"/>
        <v>10202</v>
      </c>
      <c r="M241" s="8">
        <f t="shared" si="35"/>
        <v>27</v>
      </c>
    </row>
    <row r="242" spans="1:13" x14ac:dyDescent="0.25">
      <c r="A242" s="4" t="s">
        <v>268</v>
      </c>
      <c r="B242" t="s">
        <v>11</v>
      </c>
      <c r="C242" t="s">
        <v>4</v>
      </c>
      <c r="D242" s="3">
        <f t="shared" si="27"/>
        <v>62</v>
      </c>
      <c r="E242" s="4">
        <f t="shared" si="28"/>
        <v>12</v>
      </c>
      <c r="F242" s="4">
        <f t="shared" si="29"/>
        <v>10</v>
      </c>
      <c r="G242" s="3">
        <f>IF(E242&gt;=20,2000,1900) + D242</f>
        <v>1962</v>
      </c>
      <c r="H242">
        <f t="shared" si="30"/>
        <v>12</v>
      </c>
      <c r="I242" s="4">
        <f t="shared" si="31"/>
        <v>10</v>
      </c>
      <c r="J242">
        <f t="shared" si="32"/>
        <v>19621210</v>
      </c>
      <c r="K242" t="str">
        <f t="shared" si="33"/>
        <v>10.12.1962</v>
      </c>
      <c r="L242" s="10">
        <f t="shared" si="34"/>
        <v>21947</v>
      </c>
      <c r="M242" s="8">
        <f t="shared" si="35"/>
        <v>60</v>
      </c>
    </row>
    <row r="243" spans="1:13" x14ac:dyDescent="0.25">
      <c r="A243" s="4" t="s">
        <v>269</v>
      </c>
      <c r="B243" t="s">
        <v>8</v>
      </c>
      <c r="C243" t="s">
        <v>6</v>
      </c>
      <c r="D243" s="3">
        <f t="shared" si="27"/>
        <v>98</v>
      </c>
      <c r="E243" s="4">
        <f t="shared" si="28"/>
        <v>7</v>
      </c>
      <c r="F243" s="4">
        <f t="shared" si="29"/>
        <v>5</v>
      </c>
      <c r="G243" s="3">
        <f>IF(E243&gt;=20,2000,1900) + D243</f>
        <v>1998</v>
      </c>
      <c r="H243">
        <f t="shared" si="30"/>
        <v>7</v>
      </c>
      <c r="I243" s="4">
        <f t="shared" si="31"/>
        <v>5</v>
      </c>
      <c r="J243">
        <f t="shared" si="32"/>
        <v>19980705</v>
      </c>
      <c r="K243" t="str">
        <f t="shared" si="33"/>
        <v>05.07.1998</v>
      </c>
      <c r="L243" s="10">
        <f t="shared" si="34"/>
        <v>8956</v>
      </c>
      <c r="M243" s="8">
        <f t="shared" si="35"/>
        <v>24</v>
      </c>
    </row>
    <row r="244" spans="1:13" x14ac:dyDescent="0.25">
      <c r="A244" s="4" t="s">
        <v>270</v>
      </c>
      <c r="B244" t="s">
        <v>3</v>
      </c>
      <c r="C244" t="s">
        <v>4</v>
      </c>
      <c r="D244" s="3">
        <f t="shared" si="27"/>
        <v>93</v>
      </c>
      <c r="E244" s="4">
        <f t="shared" si="28"/>
        <v>3</v>
      </c>
      <c r="F244" s="4">
        <f t="shared" si="29"/>
        <v>5</v>
      </c>
      <c r="G244" s="3">
        <f>IF(E244&gt;=20,2000,1900) + D244</f>
        <v>1993</v>
      </c>
      <c r="H244">
        <f t="shared" si="30"/>
        <v>3</v>
      </c>
      <c r="I244" s="4">
        <f t="shared" si="31"/>
        <v>5</v>
      </c>
      <c r="J244">
        <f t="shared" si="32"/>
        <v>19930305</v>
      </c>
      <c r="K244" t="str">
        <f t="shared" si="33"/>
        <v>05.03.1993</v>
      </c>
      <c r="L244" s="10">
        <f t="shared" si="34"/>
        <v>10904</v>
      </c>
      <c r="M244" s="8">
        <f t="shared" si="35"/>
        <v>29</v>
      </c>
    </row>
    <row r="245" spans="1:13" x14ac:dyDescent="0.25">
      <c r="A245" s="4" t="s">
        <v>271</v>
      </c>
      <c r="B245" t="s">
        <v>15</v>
      </c>
      <c r="C245" t="s">
        <v>6</v>
      </c>
      <c r="D245" s="3">
        <f t="shared" si="27"/>
        <v>89</v>
      </c>
      <c r="E245" s="4">
        <f t="shared" si="28"/>
        <v>5</v>
      </c>
      <c r="F245" s="4">
        <f t="shared" si="29"/>
        <v>19</v>
      </c>
      <c r="G245" s="3">
        <f>IF(E245&gt;=20,2000,1900) + D245</f>
        <v>1989</v>
      </c>
      <c r="H245">
        <f t="shared" si="30"/>
        <v>5</v>
      </c>
      <c r="I245" s="4">
        <f t="shared" si="31"/>
        <v>19</v>
      </c>
      <c r="J245">
        <f t="shared" si="32"/>
        <v>19890519</v>
      </c>
      <c r="K245" t="str">
        <f t="shared" si="33"/>
        <v>19.05.1989</v>
      </c>
      <c r="L245" s="10">
        <f t="shared" si="34"/>
        <v>12290</v>
      </c>
      <c r="M245" s="8">
        <f t="shared" si="35"/>
        <v>33</v>
      </c>
    </row>
    <row r="246" spans="1:13" x14ac:dyDescent="0.25">
      <c r="A246" s="4" t="s">
        <v>272</v>
      </c>
      <c r="B246" t="s">
        <v>11</v>
      </c>
      <c r="C246" t="s">
        <v>6</v>
      </c>
      <c r="D246" s="3">
        <f t="shared" si="27"/>
        <v>98</v>
      </c>
      <c r="E246" s="4">
        <f t="shared" si="28"/>
        <v>3</v>
      </c>
      <c r="F246" s="4">
        <f t="shared" si="29"/>
        <v>15</v>
      </c>
      <c r="G246" s="3">
        <f>IF(E246&gt;=20,2000,1900) + D246</f>
        <v>1998</v>
      </c>
      <c r="H246">
        <f t="shared" si="30"/>
        <v>3</v>
      </c>
      <c r="I246" s="4">
        <f t="shared" si="31"/>
        <v>15</v>
      </c>
      <c r="J246">
        <f t="shared" si="32"/>
        <v>19980315</v>
      </c>
      <c r="K246" t="str">
        <f t="shared" si="33"/>
        <v>15.03.1998</v>
      </c>
      <c r="L246" s="10">
        <f t="shared" si="34"/>
        <v>9068</v>
      </c>
      <c r="M246" s="8">
        <f t="shared" si="35"/>
        <v>24</v>
      </c>
    </row>
    <row r="247" spans="1:13" x14ac:dyDescent="0.25">
      <c r="A247" s="4" t="s">
        <v>273</v>
      </c>
      <c r="B247" t="s">
        <v>9</v>
      </c>
      <c r="C247" t="s">
        <v>4</v>
      </c>
      <c r="D247" s="3">
        <f t="shared" si="27"/>
        <v>96</v>
      </c>
      <c r="E247" s="4">
        <f t="shared" si="28"/>
        <v>3</v>
      </c>
      <c r="F247" s="4">
        <f t="shared" si="29"/>
        <v>24</v>
      </c>
      <c r="G247" s="3">
        <f>IF(E247&gt;=20,2000,1900) + D247</f>
        <v>1996</v>
      </c>
      <c r="H247">
        <f t="shared" si="30"/>
        <v>3</v>
      </c>
      <c r="I247" s="4">
        <f t="shared" si="31"/>
        <v>24</v>
      </c>
      <c r="J247">
        <f t="shared" si="32"/>
        <v>19960324</v>
      </c>
      <c r="K247" t="str">
        <f t="shared" si="33"/>
        <v>24.03.1996</v>
      </c>
      <c r="L247" s="10">
        <f t="shared" si="34"/>
        <v>9789</v>
      </c>
      <c r="M247" s="8">
        <f t="shared" si="35"/>
        <v>26</v>
      </c>
    </row>
    <row r="248" spans="1:13" x14ac:dyDescent="0.25">
      <c r="A248" s="4" t="s">
        <v>274</v>
      </c>
      <c r="B248" t="s">
        <v>12</v>
      </c>
      <c r="C248" t="s">
        <v>4</v>
      </c>
      <c r="D248" s="3">
        <f t="shared" si="27"/>
        <v>76</v>
      </c>
      <c r="E248" s="4">
        <f t="shared" si="28"/>
        <v>6</v>
      </c>
      <c r="F248" s="4">
        <f t="shared" si="29"/>
        <v>4</v>
      </c>
      <c r="G248" s="3">
        <f>IF(E248&gt;=20,2000,1900) + D248</f>
        <v>1976</v>
      </c>
      <c r="H248">
        <f t="shared" si="30"/>
        <v>6</v>
      </c>
      <c r="I248" s="4">
        <f t="shared" si="31"/>
        <v>4</v>
      </c>
      <c r="J248">
        <f t="shared" si="32"/>
        <v>19760604</v>
      </c>
      <c r="K248" t="str">
        <f t="shared" si="33"/>
        <v>04.06.1976</v>
      </c>
      <c r="L248" s="10">
        <f t="shared" si="34"/>
        <v>17022</v>
      </c>
      <c r="M248" s="8">
        <f t="shared" si="35"/>
        <v>46</v>
      </c>
    </row>
    <row r="249" spans="1:13" x14ac:dyDescent="0.25">
      <c r="A249" s="4" t="s">
        <v>275</v>
      </c>
      <c r="B249" t="s">
        <v>7</v>
      </c>
      <c r="C249" t="s">
        <v>6</v>
      </c>
      <c r="D249" s="3">
        <f t="shared" si="27"/>
        <v>86</v>
      </c>
      <c r="E249" s="4">
        <f t="shared" si="28"/>
        <v>10</v>
      </c>
      <c r="F249" s="4">
        <f t="shared" si="29"/>
        <v>23</v>
      </c>
      <c r="G249" s="3">
        <f>IF(E249&gt;=20,2000,1900) + D249</f>
        <v>1986</v>
      </c>
      <c r="H249">
        <f t="shared" si="30"/>
        <v>10</v>
      </c>
      <c r="I249" s="4">
        <f t="shared" si="31"/>
        <v>23</v>
      </c>
      <c r="J249">
        <f t="shared" si="32"/>
        <v>19861023</v>
      </c>
      <c r="K249" t="str">
        <f t="shared" si="33"/>
        <v>23.10.1986</v>
      </c>
      <c r="L249" s="10">
        <f t="shared" si="34"/>
        <v>13229</v>
      </c>
      <c r="M249" s="8">
        <f t="shared" si="35"/>
        <v>36</v>
      </c>
    </row>
    <row r="250" spans="1:13" x14ac:dyDescent="0.25">
      <c r="A250" s="4" t="s">
        <v>276</v>
      </c>
      <c r="B250" t="s">
        <v>19</v>
      </c>
      <c r="C250" t="s">
        <v>6</v>
      </c>
      <c r="D250" s="3">
        <f t="shared" si="27"/>
        <v>50</v>
      </c>
      <c r="E250" s="4">
        <f t="shared" si="28"/>
        <v>1</v>
      </c>
      <c r="F250" s="4">
        <f t="shared" si="29"/>
        <v>10</v>
      </c>
      <c r="G250" s="3">
        <f>IF(E250&gt;=20,2000,1900) + D250</f>
        <v>1950</v>
      </c>
      <c r="H250">
        <f t="shared" si="30"/>
        <v>1</v>
      </c>
      <c r="I250" s="4">
        <f t="shared" si="31"/>
        <v>10</v>
      </c>
      <c r="J250">
        <f t="shared" si="32"/>
        <v>19500110</v>
      </c>
      <c r="K250" t="str">
        <f t="shared" si="33"/>
        <v>10.01.1950</v>
      </c>
      <c r="L250" s="10">
        <f t="shared" si="34"/>
        <v>26664</v>
      </c>
      <c r="M250" s="8">
        <f t="shared" si="35"/>
        <v>72</v>
      </c>
    </row>
    <row r="251" spans="1:13" x14ac:dyDescent="0.25">
      <c r="A251" s="4" t="s">
        <v>277</v>
      </c>
      <c r="B251" t="s">
        <v>11</v>
      </c>
      <c r="C251" t="s">
        <v>6</v>
      </c>
      <c r="D251" s="3">
        <f t="shared" si="27"/>
        <v>79</v>
      </c>
      <c r="E251" s="4">
        <f t="shared" si="28"/>
        <v>2</v>
      </c>
      <c r="F251" s="4">
        <f t="shared" si="29"/>
        <v>9</v>
      </c>
      <c r="G251" s="3">
        <f>IF(E251&gt;=20,2000,1900) + D251</f>
        <v>1979</v>
      </c>
      <c r="H251">
        <f t="shared" si="30"/>
        <v>2</v>
      </c>
      <c r="I251" s="4">
        <f t="shared" si="31"/>
        <v>9</v>
      </c>
      <c r="J251">
        <f t="shared" si="32"/>
        <v>19790209</v>
      </c>
      <c r="K251" t="str">
        <f t="shared" si="33"/>
        <v>09.02.1979</v>
      </c>
      <c r="L251" s="10">
        <f t="shared" si="34"/>
        <v>16042</v>
      </c>
      <c r="M251" s="8">
        <f t="shared" si="35"/>
        <v>43</v>
      </c>
    </row>
    <row r="252" spans="1:13" x14ac:dyDescent="0.25">
      <c r="A252" s="4" t="s">
        <v>278</v>
      </c>
      <c r="B252" t="s">
        <v>13</v>
      </c>
      <c r="C252" t="s">
        <v>6</v>
      </c>
      <c r="D252" s="3">
        <f t="shared" si="27"/>
        <v>78</v>
      </c>
      <c r="E252" s="4">
        <f t="shared" si="28"/>
        <v>2</v>
      </c>
      <c r="F252" s="4">
        <f t="shared" si="29"/>
        <v>24</v>
      </c>
      <c r="G252" s="3">
        <f>IF(E252&gt;=20,2000,1900) + D252</f>
        <v>1978</v>
      </c>
      <c r="H252">
        <f t="shared" si="30"/>
        <v>2</v>
      </c>
      <c r="I252" s="4">
        <f t="shared" si="31"/>
        <v>24</v>
      </c>
      <c r="J252">
        <f t="shared" si="32"/>
        <v>19780224</v>
      </c>
      <c r="K252" t="str">
        <f t="shared" si="33"/>
        <v>24.02.1978</v>
      </c>
      <c r="L252" s="10">
        <f t="shared" si="34"/>
        <v>16392</v>
      </c>
      <c r="M252" s="8">
        <f t="shared" si="35"/>
        <v>44</v>
      </c>
    </row>
    <row r="253" spans="1:13" x14ac:dyDescent="0.25">
      <c r="A253" s="4" t="s">
        <v>279</v>
      </c>
      <c r="B253" t="s">
        <v>14</v>
      </c>
      <c r="C253" t="s">
        <v>4</v>
      </c>
      <c r="D253" s="3">
        <f t="shared" si="27"/>
        <v>63</v>
      </c>
      <c r="E253" s="4">
        <f t="shared" si="28"/>
        <v>12</v>
      </c>
      <c r="F253" s="4">
        <f t="shared" si="29"/>
        <v>10</v>
      </c>
      <c r="G253" s="3">
        <f>IF(E253&gt;=20,2000,1900) + D253</f>
        <v>1963</v>
      </c>
      <c r="H253">
        <f t="shared" si="30"/>
        <v>12</v>
      </c>
      <c r="I253" s="4">
        <f t="shared" si="31"/>
        <v>10</v>
      </c>
      <c r="J253">
        <f t="shared" si="32"/>
        <v>19631210</v>
      </c>
      <c r="K253" t="str">
        <f t="shared" si="33"/>
        <v>10.12.1963</v>
      </c>
      <c r="L253" s="10">
        <f t="shared" si="34"/>
        <v>21582</v>
      </c>
      <c r="M253" s="8">
        <f t="shared" si="35"/>
        <v>59</v>
      </c>
    </row>
    <row r="254" spans="1:13" x14ac:dyDescent="0.25">
      <c r="A254" s="4" t="s">
        <v>280</v>
      </c>
      <c r="B254" t="s">
        <v>19</v>
      </c>
      <c r="C254" t="s">
        <v>4</v>
      </c>
      <c r="D254" s="3">
        <f t="shared" si="27"/>
        <v>56</v>
      </c>
      <c r="E254" s="4">
        <f t="shared" si="28"/>
        <v>8</v>
      </c>
      <c r="F254" s="4">
        <f t="shared" si="29"/>
        <v>8</v>
      </c>
      <c r="G254" s="3">
        <f>IF(E254&gt;=20,2000,1900) + D254</f>
        <v>1956</v>
      </c>
      <c r="H254">
        <f t="shared" si="30"/>
        <v>8</v>
      </c>
      <c r="I254" s="4">
        <f t="shared" si="31"/>
        <v>8</v>
      </c>
      <c r="J254">
        <f t="shared" si="32"/>
        <v>19560808</v>
      </c>
      <c r="K254" t="str">
        <f t="shared" si="33"/>
        <v>08.08.1956</v>
      </c>
      <c r="L254" s="10">
        <f t="shared" si="34"/>
        <v>24262</v>
      </c>
      <c r="M254" s="8">
        <f t="shared" si="35"/>
        <v>66</v>
      </c>
    </row>
    <row r="255" spans="1:13" x14ac:dyDescent="0.25">
      <c r="A255" s="4" t="s">
        <v>281</v>
      </c>
      <c r="B255" t="s">
        <v>17</v>
      </c>
      <c r="C255" t="s">
        <v>4</v>
      </c>
      <c r="D255" s="3">
        <f t="shared" si="27"/>
        <v>66</v>
      </c>
      <c r="E255" s="4">
        <f t="shared" si="28"/>
        <v>10</v>
      </c>
      <c r="F255" s="4">
        <f t="shared" si="29"/>
        <v>10</v>
      </c>
      <c r="G255" s="3">
        <f>IF(E255&gt;=20,2000,1900) + D255</f>
        <v>1966</v>
      </c>
      <c r="H255">
        <f t="shared" si="30"/>
        <v>10</v>
      </c>
      <c r="I255" s="4">
        <f t="shared" si="31"/>
        <v>10</v>
      </c>
      <c r="J255">
        <f t="shared" si="32"/>
        <v>19661010</v>
      </c>
      <c r="K255" t="str">
        <f t="shared" si="33"/>
        <v>10.10.1966</v>
      </c>
      <c r="L255" s="10">
        <f t="shared" si="34"/>
        <v>20547</v>
      </c>
      <c r="M255" s="8">
        <f t="shared" si="35"/>
        <v>56</v>
      </c>
    </row>
    <row r="256" spans="1:13" x14ac:dyDescent="0.25">
      <c r="A256" s="4" t="s">
        <v>282</v>
      </c>
      <c r="B256" t="s">
        <v>13</v>
      </c>
      <c r="C256" t="s">
        <v>6</v>
      </c>
      <c r="D256" s="3">
        <f t="shared" si="27"/>
        <v>65</v>
      </c>
      <c r="E256" s="4">
        <f t="shared" si="28"/>
        <v>5</v>
      </c>
      <c r="F256" s="4">
        <f t="shared" si="29"/>
        <v>23</v>
      </c>
      <c r="G256" s="3">
        <f>IF(E256&gt;=20,2000,1900) + D256</f>
        <v>1965</v>
      </c>
      <c r="H256">
        <f t="shared" si="30"/>
        <v>5</v>
      </c>
      <c r="I256" s="4">
        <f t="shared" si="31"/>
        <v>23</v>
      </c>
      <c r="J256">
        <f t="shared" si="32"/>
        <v>19650523</v>
      </c>
      <c r="K256" t="str">
        <f t="shared" si="33"/>
        <v>23.05.1965</v>
      </c>
      <c r="L256" s="10">
        <f t="shared" si="34"/>
        <v>21052</v>
      </c>
      <c r="M256" s="8">
        <f t="shared" si="35"/>
        <v>57</v>
      </c>
    </row>
    <row r="257" spans="1:13" x14ac:dyDescent="0.25">
      <c r="A257" s="4" t="s">
        <v>283</v>
      </c>
      <c r="B257" t="s">
        <v>9</v>
      </c>
      <c r="C257" t="s">
        <v>6</v>
      </c>
      <c r="D257" s="3">
        <f t="shared" si="27"/>
        <v>54</v>
      </c>
      <c r="E257" s="4">
        <f t="shared" si="28"/>
        <v>6</v>
      </c>
      <c r="F257" s="4">
        <f t="shared" si="29"/>
        <v>18</v>
      </c>
      <c r="G257" s="3">
        <f>IF(E257&gt;=20,2000,1900) + D257</f>
        <v>1954</v>
      </c>
      <c r="H257">
        <f t="shared" si="30"/>
        <v>6</v>
      </c>
      <c r="I257" s="4">
        <f t="shared" si="31"/>
        <v>18</v>
      </c>
      <c r="J257">
        <f t="shared" si="32"/>
        <v>19540618</v>
      </c>
      <c r="K257" t="str">
        <f t="shared" si="33"/>
        <v>18.06.1954</v>
      </c>
      <c r="L257" s="10">
        <f t="shared" si="34"/>
        <v>25044</v>
      </c>
      <c r="M257" s="8">
        <f t="shared" si="35"/>
        <v>68</v>
      </c>
    </row>
    <row r="258" spans="1:13" x14ac:dyDescent="0.25">
      <c r="A258" s="4" t="s">
        <v>284</v>
      </c>
      <c r="B258" t="s">
        <v>8</v>
      </c>
      <c r="C258" t="s">
        <v>6</v>
      </c>
      <c r="D258" s="3">
        <f t="shared" si="27"/>
        <v>90</v>
      </c>
      <c r="E258" s="4">
        <f t="shared" si="28"/>
        <v>4</v>
      </c>
      <c r="F258" s="4">
        <f t="shared" si="29"/>
        <v>22</v>
      </c>
      <c r="G258" s="3">
        <f>IF(E258&gt;=20,2000,1900) + D258</f>
        <v>1990</v>
      </c>
      <c r="H258">
        <f t="shared" si="30"/>
        <v>4</v>
      </c>
      <c r="I258" s="4">
        <f t="shared" si="31"/>
        <v>22</v>
      </c>
      <c r="J258">
        <f t="shared" si="32"/>
        <v>19900422</v>
      </c>
      <c r="K258" t="str">
        <f t="shared" si="33"/>
        <v>22.04.1990</v>
      </c>
      <c r="L258" s="10">
        <f t="shared" si="34"/>
        <v>11952</v>
      </c>
      <c r="M258" s="8">
        <f t="shared" si="35"/>
        <v>32</v>
      </c>
    </row>
    <row r="259" spans="1:13" x14ac:dyDescent="0.25">
      <c r="A259" s="4" t="s">
        <v>285</v>
      </c>
      <c r="B259" t="s">
        <v>7</v>
      </c>
      <c r="C259" t="s">
        <v>6</v>
      </c>
      <c r="D259" s="3">
        <f t="shared" ref="D259:D322" si="36">MID(A259,1,2)*1</f>
        <v>58</v>
      </c>
      <c r="E259" s="4">
        <f t="shared" ref="E259:E322" si="37">MID(A259,3,2)*1</f>
        <v>1</v>
      </c>
      <c r="F259" s="4">
        <f t="shared" ref="F259:F322" si="38">MID(A259,5,2)*1</f>
        <v>22</v>
      </c>
      <c r="G259" s="3">
        <f>IF(E259&gt;=20,2000,1900) + D259</f>
        <v>1958</v>
      </c>
      <c r="H259">
        <f t="shared" ref="H259:H322" si="39">IF(E259&gt;=20,E259-20,E259)</f>
        <v>1</v>
      </c>
      <c r="I259" s="4">
        <f t="shared" ref="I259:I322" si="40">F259</f>
        <v>22</v>
      </c>
      <c r="J259">
        <f t="shared" ref="J259:J322" si="41">CONCATENATE(G259,IF(LEN(H259)=1,CONCATENATE("0",H259),H259),IF(LEN(F259)=1,CONCATENATE("0",F259),F259))*1</f>
        <v>19580122</v>
      </c>
      <c r="K259" t="str">
        <f t="shared" ref="K259:K322" si="42">CONCATENATE(RIGHT(J259,2),".",MID(J259,5,2),".",LEFT(J259,4))</f>
        <v>22.01.1958</v>
      </c>
      <c r="L259" s="10">
        <f t="shared" ref="L259:L322" si="43">44937-K259</f>
        <v>23730</v>
      </c>
      <c r="M259" s="8">
        <f t="shared" ref="M259:M322" si="44">YEAR(L259)-1900</f>
        <v>64</v>
      </c>
    </row>
    <row r="260" spans="1:13" x14ac:dyDescent="0.25">
      <c r="A260" s="4" t="s">
        <v>286</v>
      </c>
      <c r="B260" t="s">
        <v>15</v>
      </c>
      <c r="C260" t="s">
        <v>4</v>
      </c>
      <c r="D260" s="3">
        <f t="shared" si="36"/>
        <v>88</v>
      </c>
      <c r="E260" s="4">
        <f t="shared" si="37"/>
        <v>2</v>
      </c>
      <c r="F260" s="4">
        <f t="shared" si="38"/>
        <v>2</v>
      </c>
      <c r="G260" s="3">
        <f>IF(E260&gt;=20,2000,1900) + D260</f>
        <v>1988</v>
      </c>
      <c r="H260">
        <f t="shared" si="39"/>
        <v>2</v>
      </c>
      <c r="I260" s="4">
        <f t="shared" si="40"/>
        <v>2</v>
      </c>
      <c r="J260">
        <f t="shared" si="41"/>
        <v>19880202</v>
      </c>
      <c r="K260" t="str">
        <f t="shared" si="42"/>
        <v>02.02.1988</v>
      </c>
      <c r="L260" s="10">
        <f t="shared" si="43"/>
        <v>12762</v>
      </c>
      <c r="M260" s="8">
        <f t="shared" si="44"/>
        <v>34</v>
      </c>
    </row>
    <row r="261" spans="1:13" x14ac:dyDescent="0.25">
      <c r="A261" s="4" t="s">
        <v>287</v>
      </c>
      <c r="B261" t="s">
        <v>19</v>
      </c>
      <c r="C261" t="s">
        <v>6</v>
      </c>
      <c r="D261" s="3">
        <f t="shared" si="36"/>
        <v>74</v>
      </c>
      <c r="E261" s="4">
        <f t="shared" si="37"/>
        <v>7</v>
      </c>
      <c r="F261" s="4">
        <f t="shared" si="38"/>
        <v>23</v>
      </c>
      <c r="G261" s="3">
        <f>IF(E261&gt;=20,2000,1900) + D261</f>
        <v>1974</v>
      </c>
      <c r="H261">
        <f t="shared" si="39"/>
        <v>7</v>
      </c>
      <c r="I261" s="4">
        <f t="shared" si="40"/>
        <v>23</v>
      </c>
      <c r="J261">
        <f t="shared" si="41"/>
        <v>19740723</v>
      </c>
      <c r="K261" t="str">
        <f t="shared" si="42"/>
        <v>23.07.1974</v>
      </c>
      <c r="L261" s="10">
        <f t="shared" si="43"/>
        <v>17704</v>
      </c>
      <c r="M261" s="8">
        <f t="shared" si="44"/>
        <v>48</v>
      </c>
    </row>
    <row r="262" spans="1:13" x14ac:dyDescent="0.25">
      <c r="A262" s="4" t="s">
        <v>288</v>
      </c>
      <c r="B262" t="s">
        <v>19</v>
      </c>
      <c r="C262" t="s">
        <v>6</v>
      </c>
      <c r="D262" s="3">
        <f t="shared" si="36"/>
        <v>72</v>
      </c>
      <c r="E262" s="4">
        <f t="shared" si="37"/>
        <v>12</v>
      </c>
      <c r="F262" s="4">
        <f t="shared" si="38"/>
        <v>27</v>
      </c>
      <c r="G262" s="3">
        <f>IF(E262&gt;=20,2000,1900) + D262</f>
        <v>1972</v>
      </c>
      <c r="H262">
        <f t="shared" si="39"/>
        <v>12</v>
      </c>
      <c r="I262" s="4">
        <f t="shared" si="40"/>
        <v>27</v>
      </c>
      <c r="J262">
        <f t="shared" si="41"/>
        <v>19721227</v>
      </c>
      <c r="K262" t="str">
        <f t="shared" si="42"/>
        <v>27.12.1972</v>
      </c>
      <c r="L262" s="10">
        <f t="shared" si="43"/>
        <v>18277</v>
      </c>
      <c r="M262" s="8">
        <f t="shared" si="44"/>
        <v>50</v>
      </c>
    </row>
    <row r="263" spans="1:13" x14ac:dyDescent="0.25">
      <c r="A263" s="4" t="s">
        <v>289</v>
      </c>
      <c r="B263" t="s">
        <v>16</v>
      </c>
      <c r="C263" t="s">
        <v>6</v>
      </c>
      <c r="D263" s="3">
        <f t="shared" si="36"/>
        <v>76</v>
      </c>
      <c r="E263" s="4">
        <f t="shared" si="37"/>
        <v>8</v>
      </c>
      <c r="F263" s="4">
        <f t="shared" si="38"/>
        <v>18</v>
      </c>
      <c r="G263" s="3">
        <f>IF(E263&gt;=20,2000,1900) + D263</f>
        <v>1976</v>
      </c>
      <c r="H263">
        <f t="shared" si="39"/>
        <v>8</v>
      </c>
      <c r="I263" s="4">
        <f t="shared" si="40"/>
        <v>18</v>
      </c>
      <c r="J263">
        <f t="shared" si="41"/>
        <v>19760818</v>
      </c>
      <c r="K263" t="str">
        <f t="shared" si="42"/>
        <v>18.08.1976</v>
      </c>
      <c r="L263" s="10">
        <f t="shared" si="43"/>
        <v>16947</v>
      </c>
      <c r="M263" s="8">
        <f t="shared" si="44"/>
        <v>46</v>
      </c>
    </row>
    <row r="264" spans="1:13" x14ac:dyDescent="0.25">
      <c r="A264" s="4" t="s">
        <v>290</v>
      </c>
      <c r="B264" t="s">
        <v>10</v>
      </c>
      <c r="C264" t="s">
        <v>6</v>
      </c>
      <c r="D264" s="3">
        <f t="shared" si="36"/>
        <v>79</v>
      </c>
      <c r="E264" s="4">
        <f t="shared" si="37"/>
        <v>4</v>
      </c>
      <c r="F264" s="4">
        <f t="shared" si="38"/>
        <v>25</v>
      </c>
      <c r="G264" s="3">
        <f>IF(E264&gt;=20,2000,1900) + D264</f>
        <v>1979</v>
      </c>
      <c r="H264">
        <f t="shared" si="39"/>
        <v>4</v>
      </c>
      <c r="I264" s="4">
        <f t="shared" si="40"/>
        <v>25</v>
      </c>
      <c r="J264">
        <f t="shared" si="41"/>
        <v>19790425</v>
      </c>
      <c r="K264" t="str">
        <f t="shared" si="42"/>
        <v>25.04.1979</v>
      </c>
      <c r="L264" s="10">
        <f t="shared" si="43"/>
        <v>15967</v>
      </c>
      <c r="M264" s="8">
        <f t="shared" si="44"/>
        <v>43</v>
      </c>
    </row>
    <row r="265" spans="1:13" x14ac:dyDescent="0.25">
      <c r="A265" s="4" t="s">
        <v>291</v>
      </c>
      <c r="B265" t="s">
        <v>7</v>
      </c>
      <c r="C265" t="s">
        <v>4</v>
      </c>
      <c r="D265" s="3">
        <f t="shared" si="36"/>
        <v>57</v>
      </c>
      <c r="E265" s="4">
        <f t="shared" si="37"/>
        <v>7</v>
      </c>
      <c r="F265" s="4">
        <f t="shared" si="38"/>
        <v>17</v>
      </c>
      <c r="G265" s="3">
        <f>IF(E265&gt;=20,2000,1900) + D265</f>
        <v>1957</v>
      </c>
      <c r="H265">
        <f t="shared" si="39"/>
        <v>7</v>
      </c>
      <c r="I265" s="4">
        <f t="shared" si="40"/>
        <v>17</v>
      </c>
      <c r="J265">
        <f t="shared" si="41"/>
        <v>19570717</v>
      </c>
      <c r="K265" t="str">
        <f t="shared" si="42"/>
        <v>17.07.1957</v>
      </c>
      <c r="L265" s="10">
        <f t="shared" si="43"/>
        <v>23919</v>
      </c>
      <c r="M265" s="8">
        <f t="shared" si="44"/>
        <v>65</v>
      </c>
    </row>
    <row r="266" spans="1:13" x14ac:dyDescent="0.25">
      <c r="A266" s="4" t="s">
        <v>292</v>
      </c>
      <c r="B266" t="s">
        <v>5</v>
      </c>
      <c r="C266" t="s">
        <v>4</v>
      </c>
      <c r="D266" s="3">
        <f t="shared" si="36"/>
        <v>69</v>
      </c>
      <c r="E266" s="4">
        <f t="shared" si="37"/>
        <v>4</v>
      </c>
      <c r="F266" s="4">
        <f t="shared" si="38"/>
        <v>28</v>
      </c>
      <c r="G266" s="3">
        <f>IF(E266&gt;=20,2000,1900) + D266</f>
        <v>1969</v>
      </c>
      <c r="H266">
        <f t="shared" si="39"/>
        <v>4</v>
      </c>
      <c r="I266" s="4">
        <f t="shared" si="40"/>
        <v>28</v>
      </c>
      <c r="J266">
        <f t="shared" si="41"/>
        <v>19690428</v>
      </c>
      <c r="K266" t="str">
        <f t="shared" si="42"/>
        <v>28.04.1969</v>
      </c>
      <c r="L266" s="10">
        <f t="shared" si="43"/>
        <v>19616</v>
      </c>
      <c r="M266" s="8">
        <f t="shared" si="44"/>
        <v>53</v>
      </c>
    </row>
    <row r="267" spans="1:13" x14ac:dyDescent="0.25">
      <c r="A267" s="4" t="s">
        <v>293</v>
      </c>
      <c r="B267" t="s">
        <v>9</v>
      </c>
      <c r="C267" t="s">
        <v>4</v>
      </c>
      <c r="D267" s="3">
        <f t="shared" si="36"/>
        <v>51</v>
      </c>
      <c r="E267" s="4">
        <f t="shared" si="37"/>
        <v>12</v>
      </c>
      <c r="F267" s="4">
        <f t="shared" si="38"/>
        <v>28</v>
      </c>
      <c r="G267" s="3">
        <f>IF(E267&gt;=20,2000,1900) + D267</f>
        <v>1951</v>
      </c>
      <c r="H267">
        <f t="shared" si="39"/>
        <v>12</v>
      </c>
      <c r="I267" s="4">
        <f t="shared" si="40"/>
        <v>28</v>
      </c>
      <c r="J267">
        <f t="shared" si="41"/>
        <v>19511228</v>
      </c>
      <c r="K267" t="str">
        <f t="shared" si="42"/>
        <v>28.12.1951</v>
      </c>
      <c r="L267" s="10">
        <f t="shared" si="43"/>
        <v>25947</v>
      </c>
      <c r="M267" s="8">
        <f t="shared" si="44"/>
        <v>71</v>
      </c>
    </row>
    <row r="268" spans="1:13" x14ac:dyDescent="0.25">
      <c r="A268" s="4" t="s">
        <v>294</v>
      </c>
      <c r="B268" t="s">
        <v>14</v>
      </c>
      <c r="C268" t="s">
        <v>6</v>
      </c>
      <c r="D268" s="3">
        <f t="shared" si="36"/>
        <v>60</v>
      </c>
      <c r="E268" s="4">
        <f t="shared" si="37"/>
        <v>10</v>
      </c>
      <c r="F268" s="4">
        <f t="shared" si="38"/>
        <v>6</v>
      </c>
      <c r="G268" s="3">
        <f>IF(E268&gt;=20,2000,1900) + D268</f>
        <v>1960</v>
      </c>
      <c r="H268">
        <f t="shared" si="39"/>
        <v>10</v>
      </c>
      <c r="I268" s="4">
        <f t="shared" si="40"/>
        <v>6</v>
      </c>
      <c r="J268">
        <f t="shared" si="41"/>
        <v>19601006</v>
      </c>
      <c r="K268" t="str">
        <f t="shared" si="42"/>
        <v>06.10.1960</v>
      </c>
      <c r="L268" s="10">
        <f t="shared" si="43"/>
        <v>22742</v>
      </c>
      <c r="M268" s="8">
        <f t="shared" si="44"/>
        <v>62</v>
      </c>
    </row>
    <row r="269" spans="1:13" x14ac:dyDescent="0.25">
      <c r="A269" s="4" t="s">
        <v>295</v>
      </c>
      <c r="B269" t="s">
        <v>15</v>
      </c>
      <c r="C269" t="s">
        <v>6</v>
      </c>
      <c r="D269" s="3">
        <f t="shared" si="36"/>
        <v>71</v>
      </c>
      <c r="E269" s="4">
        <f t="shared" si="37"/>
        <v>3</v>
      </c>
      <c r="F269" s="4">
        <f t="shared" si="38"/>
        <v>26</v>
      </c>
      <c r="G269" s="3">
        <f>IF(E269&gt;=20,2000,1900) + D269</f>
        <v>1971</v>
      </c>
      <c r="H269">
        <f t="shared" si="39"/>
        <v>3</v>
      </c>
      <c r="I269" s="4">
        <f t="shared" si="40"/>
        <v>26</v>
      </c>
      <c r="J269">
        <f t="shared" si="41"/>
        <v>19710326</v>
      </c>
      <c r="K269" t="str">
        <f t="shared" si="42"/>
        <v>26.03.1971</v>
      </c>
      <c r="L269" s="10">
        <f t="shared" si="43"/>
        <v>18919</v>
      </c>
      <c r="M269" s="8">
        <f t="shared" si="44"/>
        <v>51</v>
      </c>
    </row>
    <row r="270" spans="1:13" x14ac:dyDescent="0.25">
      <c r="A270" s="4" t="s">
        <v>296</v>
      </c>
      <c r="B270" t="s">
        <v>8</v>
      </c>
      <c r="C270" t="s">
        <v>4</v>
      </c>
      <c r="D270" s="3">
        <f t="shared" si="36"/>
        <v>65</v>
      </c>
      <c r="E270" s="4">
        <f t="shared" si="37"/>
        <v>2</v>
      </c>
      <c r="F270" s="4">
        <f t="shared" si="38"/>
        <v>1</v>
      </c>
      <c r="G270" s="3">
        <f>IF(E270&gt;=20,2000,1900) + D270</f>
        <v>1965</v>
      </c>
      <c r="H270">
        <f t="shared" si="39"/>
        <v>2</v>
      </c>
      <c r="I270" s="4">
        <f t="shared" si="40"/>
        <v>1</v>
      </c>
      <c r="J270">
        <f t="shared" si="41"/>
        <v>19650201</v>
      </c>
      <c r="K270" t="str">
        <f t="shared" si="42"/>
        <v>01.02.1965</v>
      </c>
      <c r="L270" s="10">
        <f t="shared" si="43"/>
        <v>21163</v>
      </c>
      <c r="M270" s="8">
        <f t="shared" si="44"/>
        <v>57</v>
      </c>
    </row>
    <row r="271" spans="1:13" x14ac:dyDescent="0.25">
      <c r="A271" s="4" t="s">
        <v>297</v>
      </c>
      <c r="B271" t="s">
        <v>11</v>
      </c>
      <c r="C271" t="s">
        <v>4</v>
      </c>
      <c r="D271" s="3">
        <f t="shared" si="36"/>
        <v>96</v>
      </c>
      <c r="E271" s="4">
        <f t="shared" si="37"/>
        <v>3</v>
      </c>
      <c r="F271" s="4">
        <f t="shared" si="38"/>
        <v>7</v>
      </c>
      <c r="G271" s="3">
        <f>IF(E271&gt;=20,2000,1900) + D271</f>
        <v>1996</v>
      </c>
      <c r="H271">
        <f t="shared" si="39"/>
        <v>3</v>
      </c>
      <c r="I271" s="4">
        <f t="shared" si="40"/>
        <v>7</v>
      </c>
      <c r="J271">
        <f t="shared" si="41"/>
        <v>19960307</v>
      </c>
      <c r="K271" t="str">
        <f t="shared" si="42"/>
        <v>07.03.1996</v>
      </c>
      <c r="L271" s="10">
        <f t="shared" si="43"/>
        <v>9806</v>
      </c>
      <c r="M271" s="8">
        <f t="shared" si="44"/>
        <v>26</v>
      </c>
    </row>
    <row r="272" spans="1:13" x14ac:dyDescent="0.25">
      <c r="A272" s="4" t="s">
        <v>298</v>
      </c>
      <c r="B272" t="s">
        <v>11</v>
      </c>
      <c r="C272" t="s">
        <v>6</v>
      </c>
      <c r="D272" s="3">
        <f t="shared" si="36"/>
        <v>58</v>
      </c>
      <c r="E272" s="4">
        <f t="shared" si="37"/>
        <v>7</v>
      </c>
      <c r="F272" s="4">
        <f t="shared" si="38"/>
        <v>24</v>
      </c>
      <c r="G272" s="3">
        <f>IF(E272&gt;=20,2000,1900) + D272</f>
        <v>1958</v>
      </c>
      <c r="H272">
        <f t="shared" si="39"/>
        <v>7</v>
      </c>
      <c r="I272" s="4">
        <f t="shared" si="40"/>
        <v>24</v>
      </c>
      <c r="J272">
        <f t="shared" si="41"/>
        <v>19580724</v>
      </c>
      <c r="K272" t="str">
        <f t="shared" si="42"/>
        <v>24.07.1958</v>
      </c>
      <c r="L272" s="10">
        <f t="shared" si="43"/>
        <v>23547</v>
      </c>
      <c r="M272" s="8">
        <f t="shared" si="44"/>
        <v>64</v>
      </c>
    </row>
    <row r="273" spans="1:13" x14ac:dyDescent="0.25">
      <c r="A273" s="4" t="s">
        <v>299</v>
      </c>
      <c r="B273" t="s">
        <v>19</v>
      </c>
      <c r="C273" t="s">
        <v>6</v>
      </c>
      <c r="D273" s="3">
        <f t="shared" si="36"/>
        <v>76</v>
      </c>
      <c r="E273" s="4">
        <f t="shared" si="37"/>
        <v>12</v>
      </c>
      <c r="F273" s="4">
        <f t="shared" si="38"/>
        <v>19</v>
      </c>
      <c r="G273" s="3">
        <f>IF(E273&gt;=20,2000,1900) + D273</f>
        <v>1976</v>
      </c>
      <c r="H273">
        <f t="shared" si="39"/>
        <v>12</v>
      </c>
      <c r="I273" s="4">
        <f t="shared" si="40"/>
        <v>19</v>
      </c>
      <c r="J273">
        <f t="shared" si="41"/>
        <v>19761219</v>
      </c>
      <c r="K273" t="str">
        <f t="shared" si="42"/>
        <v>19.12.1976</v>
      </c>
      <c r="L273" s="10">
        <f t="shared" si="43"/>
        <v>16824</v>
      </c>
      <c r="M273" s="8">
        <f t="shared" si="44"/>
        <v>46</v>
      </c>
    </row>
    <row r="274" spans="1:13" x14ac:dyDescent="0.25">
      <c r="A274" s="4" t="s">
        <v>300</v>
      </c>
      <c r="B274" t="s">
        <v>17</v>
      </c>
      <c r="C274" t="s">
        <v>4</v>
      </c>
      <c r="D274" s="3">
        <f t="shared" si="36"/>
        <v>63</v>
      </c>
      <c r="E274" s="4">
        <f t="shared" si="37"/>
        <v>10</v>
      </c>
      <c r="F274" s="4">
        <f t="shared" si="38"/>
        <v>22</v>
      </c>
      <c r="G274" s="3">
        <f>IF(E274&gt;=20,2000,1900) + D274</f>
        <v>1963</v>
      </c>
      <c r="H274">
        <f t="shared" si="39"/>
        <v>10</v>
      </c>
      <c r="I274" s="4">
        <f t="shared" si="40"/>
        <v>22</v>
      </c>
      <c r="J274">
        <f t="shared" si="41"/>
        <v>19631022</v>
      </c>
      <c r="K274" t="str">
        <f t="shared" si="42"/>
        <v>22.10.1963</v>
      </c>
      <c r="L274" s="10">
        <f t="shared" si="43"/>
        <v>21631</v>
      </c>
      <c r="M274" s="8">
        <f t="shared" si="44"/>
        <v>59</v>
      </c>
    </row>
    <row r="275" spans="1:13" x14ac:dyDescent="0.25">
      <c r="A275" s="4" t="s">
        <v>301</v>
      </c>
      <c r="B275" t="s">
        <v>15</v>
      </c>
      <c r="C275" t="s">
        <v>6</v>
      </c>
      <c r="D275" s="3">
        <f t="shared" si="36"/>
        <v>60</v>
      </c>
      <c r="E275" s="4">
        <f t="shared" si="37"/>
        <v>10</v>
      </c>
      <c r="F275" s="4">
        <f t="shared" si="38"/>
        <v>20</v>
      </c>
      <c r="G275" s="3">
        <f>IF(E275&gt;=20,2000,1900) + D275</f>
        <v>1960</v>
      </c>
      <c r="H275">
        <f t="shared" si="39"/>
        <v>10</v>
      </c>
      <c r="I275" s="4">
        <f t="shared" si="40"/>
        <v>20</v>
      </c>
      <c r="J275">
        <f t="shared" si="41"/>
        <v>19601020</v>
      </c>
      <c r="K275" t="str">
        <f t="shared" si="42"/>
        <v>20.10.1960</v>
      </c>
      <c r="L275" s="10">
        <f t="shared" si="43"/>
        <v>22728</v>
      </c>
      <c r="M275" s="8">
        <f t="shared" si="44"/>
        <v>62</v>
      </c>
    </row>
    <row r="276" spans="1:13" x14ac:dyDescent="0.25">
      <c r="A276" s="4" t="s">
        <v>302</v>
      </c>
      <c r="B276" t="s">
        <v>18</v>
      </c>
      <c r="C276" t="s">
        <v>4</v>
      </c>
      <c r="D276" s="3">
        <f t="shared" si="36"/>
        <v>79</v>
      </c>
      <c r="E276" s="4">
        <f t="shared" si="37"/>
        <v>11</v>
      </c>
      <c r="F276" s="4">
        <f t="shared" si="38"/>
        <v>6</v>
      </c>
      <c r="G276" s="3">
        <f>IF(E276&gt;=20,2000,1900) + D276</f>
        <v>1979</v>
      </c>
      <c r="H276">
        <f t="shared" si="39"/>
        <v>11</v>
      </c>
      <c r="I276" s="4">
        <f t="shared" si="40"/>
        <v>6</v>
      </c>
      <c r="J276">
        <f t="shared" si="41"/>
        <v>19791106</v>
      </c>
      <c r="K276" t="str">
        <f t="shared" si="42"/>
        <v>06.11.1979</v>
      </c>
      <c r="L276" s="10">
        <f t="shared" si="43"/>
        <v>15772</v>
      </c>
      <c r="M276" s="8">
        <f t="shared" si="44"/>
        <v>43</v>
      </c>
    </row>
    <row r="277" spans="1:13" x14ac:dyDescent="0.25">
      <c r="A277" s="4" t="s">
        <v>303</v>
      </c>
      <c r="B277" t="s">
        <v>8</v>
      </c>
      <c r="C277" t="s">
        <v>4</v>
      </c>
      <c r="D277" s="3">
        <f t="shared" si="36"/>
        <v>56</v>
      </c>
      <c r="E277" s="4">
        <f t="shared" si="37"/>
        <v>3</v>
      </c>
      <c r="F277" s="4">
        <f t="shared" si="38"/>
        <v>13</v>
      </c>
      <c r="G277" s="3">
        <f>IF(E277&gt;=20,2000,1900) + D277</f>
        <v>1956</v>
      </c>
      <c r="H277">
        <f t="shared" si="39"/>
        <v>3</v>
      </c>
      <c r="I277" s="4">
        <f t="shared" si="40"/>
        <v>13</v>
      </c>
      <c r="J277">
        <f t="shared" si="41"/>
        <v>19560313</v>
      </c>
      <c r="K277" t="str">
        <f t="shared" si="42"/>
        <v>13.03.1956</v>
      </c>
      <c r="L277" s="10">
        <f t="shared" si="43"/>
        <v>24410</v>
      </c>
      <c r="M277" s="8">
        <f t="shared" si="44"/>
        <v>66</v>
      </c>
    </row>
    <row r="278" spans="1:13" x14ac:dyDescent="0.25">
      <c r="A278" s="4" t="s">
        <v>304</v>
      </c>
      <c r="B278" t="s">
        <v>8</v>
      </c>
      <c r="C278" t="s">
        <v>6</v>
      </c>
      <c r="D278" s="3">
        <f t="shared" si="36"/>
        <v>88</v>
      </c>
      <c r="E278" s="4">
        <f t="shared" si="37"/>
        <v>3</v>
      </c>
      <c r="F278" s="4">
        <f t="shared" si="38"/>
        <v>19</v>
      </c>
      <c r="G278" s="3">
        <f>IF(E278&gt;=20,2000,1900) + D278</f>
        <v>1988</v>
      </c>
      <c r="H278">
        <f t="shared" si="39"/>
        <v>3</v>
      </c>
      <c r="I278" s="4">
        <f t="shared" si="40"/>
        <v>19</v>
      </c>
      <c r="J278">
        <f t="shared" si="41"/>
        <v>19880319</v>
      </c>
      <c r="K278" t="str">
        <f t="shared" si="42"/>
        <v>19.03.1988</v>
      </c>
      <c r="L278" s="10">
        <f t="shared" si="43"/>
        <v>12716</v>
      </c>
      <c r="M278" s="8">
        <f t="shared" si="44"/>
        <v>34</v>
      </c>
    </row>
    <row r="279" spans="1:13" x14ac:dyDescent="0.25">
      <c r="A279" s="4" t="s">
        <v>305</v>
      </c>
      <c r="B279" t="s">
        <v>16</v>
      </c>
      <c r="C279" t="s">
        <v>4</v>
      </c>
      <c r="D279" s="3">
        <f t="shared" si="36"/>
        <v>60</v>
      </c>
      <c r="E279" s="4">
        <f t="shared" si="37"/>
        <v>10</v>
      </c>
      <c r="F279" s="4">
        <f t="shared" si="38"/>
        <v>2</v>
      </c>
      <c r="G279" s="3">
        <f>IF(E279&gt;=20,2000,1900) + D279</f>
        <v>1960</v>
      </c>
      <c r="H279">
        <f t="shared" si="39"/>
        <v>10</v>
      </c>
      <c r="I279" s="4">
        <f t="shared" si="40"/>
        <v>2</v>
      </c>
      <c r="J279">
        <f t="shared" si="41"/>
        <v>19601002</v>
      </c>
      <c r="K279" t="str">
        <f t="shared" si="42"/>
        <v>02.10.1960</v>
      </c>
      <c r="L279" s="10">
        <f t="shared" si="43"/>
        <v>22746</v>
      </c>
      <c r="M279" s="8">
        <f t="shared" si="44"/>
        <v>62</v>
      </c>
    </row>
    <row r="280" spans="1:13" x14ac:dyDescent="0.25">
      <c r="A280" s="4" t="s">
        <v>306</v>
      </c>
      <c r="B280" t="s">
        <v>16</v>
      </c>
      <c r="C280" t="s">
        <v>6</v>
      </c>
      <c r="D280" s="3">
        <f t="shared" si="36"/>
        <v>70</v>
      </c>
      <c r="E280" s="4">
        <f t="shared" si="37"/>
        <v>8</v>
      </c>
      <c r="F280" s="4">
        <f t="shared" si="38"/>
        <v>4</v>
      </c>
      <c r="G280" s="3">
        <f>IF(E280&gt;=20,2000,1900) + D280</f>
        <v>1970</v>
      </c>
      <c r="H280">
        <f t="shared" si="39"/>
        <v>8</v>
      </c>
      <c r="I280" s="4">
        <f t="shared" si="40"/>
        <v>4</v>
      </c>
      <c r="J280">
        <f t="shared" si="41"/>
        <v>19700804</v>
      </c>
      <c r="K280" t="str">
        <f t="shared" si="42"/>
        <v>04.08.1970</v>
      </c>
      <c r="L280" s="10">
        <f t="shared" si="43"/>
        <v>19153</v>
      </c>
      <c r="M280" s="8">
        <f t="shared" si="44"/>
        <v>52</v>
      </c>
    </row>
    <row r="281" spans="1:13" x14ac:dyDescent="0.25">
      <c r="A281" s="4" t="s">
        <v>307</v>
      </c>
      <c r="B281" t="s">
        <v>20</v>
      </c>
      <c r="C281" t="s">
        <v>4</v>
      </c>
      <c r="D281" s="3">
        <f t="shared" si="36"/>
        <v>71</v>
      </c>
      <c r="E281" s="4">
        <f t="shared" si="37"/>
        <v>11</v>
      </c>
      <c r="F281" s="4">
        <f t="shared" si="38"/>
        <v>19</v>
      </c>
      <c r="G281" s="3">
        <f>IF(E281&gt;=20,2000,1900) + D281</f>
        <v>1971</v>
      </c>
      <c r="H281">
        <f t="shared" si="39"/>
        <v>11</v>
      </c>
      <c r="I281" s="4">
        <f t="shared" si="40"/>
        <v>19</v>
      </c>
      <c r="J281">
        <f t="shared" si="41"/>
        <v>19711119</v>
      </c>
      <c r="K281" t="str">
        <f t="shared" si="42"/>
        <v>19.11.1971</v>
      </c>
      <c r="L281" s="10">
        <f t="shared" si="43"/>
        <v>18681</v>
      </c>
      <c r="M281" s="8">
        <f t="shared" si="44"/>
        <v>51</v>
      </c>
    </row>
    <row r="282" spans="1:13" x14ac:dyDescent="0.25">
      <c r="A282" s="4" t="s">
        <v>308</v>
      </c>
      <c r="B282" t="s">
        <v>16</v>
      </c>
      <c r="C282" t="s">
        <v>4</v>
      </c>
      <c r="D282" s="3">
        <f t="shared" si="36"/>
        <v>77</v>
      </c>
      <c r="E282" s="4">
        <f t="shared" si="37"/>
        <v>4</v>
      </c>
      <c r="F282" s="4">
        <f t="shared" si="38"/>
        <v>18</v>
      </c>
      <c r="G282" s="3">
        <f>IF(E282&gt;=20,2000,1900) + D282</f>
        <v>1977</v>
      </c>
      <c r="H282">
        <f t="shared" si="39"/>
        <v>4</v>
      </c>
      <c r="I282" s="4">
        <f t="shared" si="40"/>
        <v>18</v>
      </c>
      <c r="J282">
        <f t="shared" si="41"/>
        <v>19770418</v>
      </c>
      <c r="K282" t="str">
        <f t="shared" si="42"/>
        <v>18.04.1977</v>
      </c>
      <c r="L282" s="10">
        <f t="shared" si="43"/>
        <v>16704</v>
      </c>
      <c r="M282" s="8">
        <f t="shared" si="44"/>
        <v>45</v>
      </c>
    </row>
    <row r="283" spans="1:13" x14ac:dyDescent="0.25">
      <c r="A283" s="4" t="s">
        <v>309</v>
      </c>
      <c r="B283" t="s">
        <v>16</v>
      </c>
      <c r="C283" t="s">
        <v>6</v>
      </c>
      <c r="D283" s="3">
        <f t="shared" si="36"/>
        <v>61</v>
      </c>
      <c r="E283" s="4">
        <f t="shared" si="37"/>
        <v>8</v>
      </c>
      <c r="F283" s="4">
        <f t="shared" si="38"/>
        <v>24</v>
      </c>
      <c r="G283" s="3">
        <f>IF(E283&gt;=20,2000,1900) + D283</f>
        <v>1961</v>
      </c>
      <c r="H283">
        <f t="shared" si="39"/>
        <v>8</v>
      </c>
      <c r="I283" s="4">
        <f t="shared" si="40"/>
        <v>24</v>
      </c>
      <c r="J283">
        <f t="shared" si="41"/>
        <v>19610824</v>
      </c>
      <c r="K283" t="str">
        <f t="shared" si="42"/>
        <v>24.08.1961</v>
      </c>
      <c r="L283" s="10">
        <f t="shared" si="43"/>
        <v>22420</v>
      </c>
      <c r="M283" s="8">
        <f t="shared" si="44"/>
        <v>61</v>
      </c>
    </row>
    <row r="284" spans="1:13" x14ac:dyDescent="0.25">
      <c r="A284" s="4" t="s">
        <v>310</v>
      </c>
      <c r="B284" t="s">
        <v>13</v>
      </c>
      <c r="C284" t="s">
        <v>4</v>
      </c>
      <c r="D284" s="3">
        <f t="shared" si="36"/>
        <v>53</v>
      </c>
      <c r="E284" s="4">
        <f t="shared" si="37"/>
        <v>8</v>
      </c>
      <c r="F284" s="4">
        <f t="shared" si="38"/>
        <v>3</v>
      </c>
      <c r="G284" s="3">
        <f>IF(E284&gt;=20,2000,1900) + D284</f>
        <v>1953</v>
      </c>
      <c r="H284">
        <f t="shared" si="39"/>
        <v>8</v>
      </c>
      <c r="I284" s="4">
        <f t="shared" si="40"/>
        <v>3</v>
      </c>
      <c r="J284">
        <f t="shared" si="41"/>
        <v>19530803</v>
      </c>
      <c r="K284" t="str">
        <f t="shared" si="42"/>
        <v>03.08.1953</v>
      </c>
      <c r="L284" s="10">
        <f t="shared" si="43"/>
        <v>25363</v>
      </c>
      <c r="M284" s="8">
        <f t="shared" si="44"/>
        <v>69</v>
      </c>
    </row>
    <row r="285" spans="1:13" x14ac:dyDescent="0.25">
      <c r="A285" s="4" t="s">
        <v>311</v>
      </c>
      <c r="B285" t="s">
        <v>20</v>
      </c>
      <c r="C285" t="s">
        <v>6</v>
      </c>
      <c r="D285" s="3">
        <f t="shared" si="36"/>
        <v>81</v>
      </c>
      <c r="E285" s="4">
        <f t="shared" si="37"/>
        <v>9</v>
      </c>
      <c r="F285" s="4">
        <f t="shared" si="38"/>
        <v>21</v>
      </c>
      <c r="G285" s="3">
        <f>IF(E285&gt;=20,2000,1900) + D285</f>
        <v>1981</v>
      </c>
      <c r="H285">
        <f t="shared" si="39"/>
        <v>9</v>
      </c>
      <c r="I285" s="4">
        <f t="shared" si="40"/>
        <v>21</v>
      </c>
      <c r="J285">
        <f t="shared" si="41"/>
        <v>19810921</v>
      </c>
      <c r="K285" t="str">
        <f t="shared" si="42"/>
        <v>21.09.1981</v>
      </c>
      <c r="L285" s="10">
        <f t="shared" si="43"/>
        <v>15087</v>
      </c>
      <c r="M285" s="8">
        <f t="shared" si="44"/>
        <v>41</v>
      </c>
    </row>
    <row r="286" spans="1:13" x14ac:dyDescent="0.25">
      <c r="A286" s="4" t="s">
        <v>312</v>
      </c>
      <c r="B286" t="s">
        <v>13</v>
      </c>
      <c r="C286" t="s">
        <v>4</v>
      </c>
      <c r="D286" s="3">
        <f t="shared" si="36"/>
        <v>83</v>
      </c>
      <c r="E286" s="4">
        <f t="shared" si="37"/>
        <v>10</v>
      </c>
      <c r="F286" s="4">
        <f t="shared" si="38"/>
        <v>20</v>
      </c>
      <c r="G286" s="3">
        <f>IF(E286&gt;=20,2000,1900) + D286</f>
        <v>1983</v>
      </c>
      <c r="H286">
        <f t="shared" si="39"/>
        <v>10</v>
      </c>
      <c r="I286" s="4">
        <f t="shared" si="40"/>
        <v>20</v>
      </c>
      <c r="J286">
        <f t="shared" si="41"/>
        <v>19831020</v>
      </c>
      <c r="K286" t="str">
        <f t="shared" si="42"/>
        <v>20.10.1983</v>
      </c>
      <c r="L286" s="10">
        <f t="shared" si="43"/>
        <v>14328</v>
      </c>
      <c r="M286" s="8">
        <f t="shared" si="44"/>
        <v>39</v>
      </c>
    </row>
    <row r="287" spans="1:13" x14ac:dyDescent="0.25">
      <c r="A287" s="4" t="s">
        <v>313</v>
      </c>
      <c r="B287" t="s">
        <v>10</v>
      </c>
      <c r="C287" t="s">
        <v>6</v>
      </c>
      <c r="D287" s="3">
        <f t="shared" si="36"/>
        <v>57</v>
      </c>
      <c r="E287" s="4">
        <f t="shared" si="37"/>
        <v>8</v>
      </c>
      <c r="F287" s="4">
        <f t="shared" si="38"/>
        <v>7</v>
      </c>
      <c r="G287" s="3">
        <f>IF(E287&gt;=20,2000,1900) + D287</f>
        <v>1957</v>
      </c>
      <c r="H287">
        <f t="shared" si="39"/>
        <v>8</v>
      </c>
      <c r="I287" s="4">
        <f t="shared" si="40"/>
        <v>7</v>
      </c>
      <c r="J287">
        <f t="shared" si="41"/>
        <v>19570807</v>
      </c>
      <c r="K287" t="str">
        <f t="shared" si="42"/>
        <v>07.08.1957</v>
      </c>
      <c r="L287" s="10">
        <f t="shared" si="43"/>
        <v>23898</v>
      </c>
      <c r="M287" s="8">
        <f t="shared" si="44"/>
        <v>65</v>
      </c>
    </row>
    <row r="288" spans="1:13" x14ac:dyDescent="0.25">
      <c r="A288" s="4" t="s">
        <v>314</v>
      </c>
      <c r="B288" t="s">
        <v>17</v>
      </c>
      <c r="C288" t="s">
        <v>4</v>
      </c>
      <c r="D288" s="3">
        <f t="shared" si="36"/>
        <v>96</v>
      </c>
      <c r="E288" s="4">
        <f t="shared" si="37"/>
        <v>9</v>
      </c>
      <c r="F288" s="4">
        <f t="shared" si="38"/>
        <v>28</v>
      </c>
      <c r="G288" s="3">
        <f>IF(E288&gt;=20,2000,1900) + D288</f>
        <v>1996</v>
      </c>
      <c r="H288">
        <f t="shared" si="39"/>
        <v>9</v>
      </c>
      <c r="I288" s="4">
        <f t="shared" si="40"/>
        <v>28</v>
      </c>
      <c r="J288">
        <f t="shared" si="41"/>
        <v>19960928</v>
      </c>
      <c r="K288" t="str">
        <f t="shared" si="42"/>
        <v>28.09.1996</v>
      </c>
      <c r="L288" s="10">
        <f t="shared" si="43"/>
        <v>9601</v>
      </c>
      <c r="M288" s="8">
        <f t="shared" si="44"/>
        <v>26</v>
      </c>
    </row>
    <row r="289" spans="1:13" x14ac:dyDescent="0.25">
      <c r="A289" s="4" t="s">
        <v>315</v>
      </c>
      <c r="B289" t="s">
        <v>18</v>
      </c>
      <c r="C289" t="s">
        <v>4</v>
      </c>
      <c r="D289" s="3">
        <f t="shared" si="36"/>
        <v>61</v>
      </c>
      <c r="E289" s="4">
        <f t="shared" si="37"/>
        <v>4</v>
      </c>
      <c r="F289" s="4">
        <f t="shared" si="38"/>
        <v>8</v>
      </c>
      <c r="G289" s="3">
        <f>IF(E289&gt;=20,2000,1900) + D289</f>
        <v>1961</v>
      </c>
      <c r="H289">
        <f t="shared" si="39"/>
        <v>4</v>
      </c>
      <c r="I289" s="4">
        <f t="shared" si="40"/>
        <v>8</v>
      </c>
      <c r="J289">
        <f t="shared" si="41"/>
        <v>19610408</v>
      </c>
      <c r="K289" t="str">
        <f t="shared" si="42"/>
        <v>08.04.1961</v>
      </c>
      <c r="L289" s="10">
        <f t="shared" si="43"/>
        <v>22558</v>
      </c>
      <c r="M289" s="8">
        <f t="shared" si="44"/>
        <v>61</v>
      </c>
    </row>
    <row r="290" spans="1:13" x14ac:dyDescent="0.25">
      <c r="A290" s="4" t="s">
        <v>316</v>
      </c>
      <c r="B290" t="s">
        <v>13</v>
      </c>
      <c r="C290" t="s">
        <v>6</v>
      </c>
      <c r="D290" s="3">
        <f t="shared" si="36"/>
        <v>56</v>
      </c>
      <c r="E290" s="4">
        <f t="shared" si="37"/>
        <v>11</v>
      </c>
      <c r="F290" s="4">
        <f t="shared" si="38"/>
        <v>24</v>
      </c>
      <c r="G290" s="3">
        <f>IF(E290&gt;=20,2000,1900) + D290</f>
        <v>1956</v>
      </c>
      <c r="H290">
        <f t="shared" si="39"/>
        <v>11</v>
      </c>
      <c r="I290" s="4">
        <f t="shared" si="40"/>
        <v>24</v>
      </c>
      <c r="J290">
        <f t="shared" si="41"/>
        <v>19561124</v>
      </c>
      <c r="K290" t="str">
        <f t="shared" si="42"/>
        <v>24.11.1956</v>
      </c>
      <c r="L290" s="10">
        <f t="shared" si="43"/>
        <v>24154</v>
      </c>
      <c r="M290" s="8">
        <f t="shared" si="44"/>
        <v>66</v>
      </c>
    </row>
    <row r="291" spans="1:13" x14ac:dyDescent="0.25">
      <c r="A291" s="4" t="s">
        <v>317</v>
      </c>
      <c r="B291" t="s">
        <v>7</v>
      </c>
      <c r="C291" t="s">
        <v>6</v>
      </c>
      <c r="D291" s="3">
        <f t="shared" si="36"/>
        <v>73</v>
      </c>
      <c r="E291" s="4">
        <f t="shared" si="37"/>
        <v>3</v>
      </c>
      <c r="F291" s="4">
        <f t="shared" si="38"/>
        <v>31</v>
      </c>
      <c r="G291" s="3">
        <f>IF(E291&gt;=20,2000,1900) + D291</f>
        <v>1973</v>
      </c>
      <c r="H291">
        <f t="shared" si="39"/>
        <v>3</v>
      </c>
      <c r="I291" s="4">
        <f t="shared" si="40"/>
        <v>31</v>
      </c>
      <c r="J291">
        <f t="shared" si="41"/>
        <v>19730331</v>
      </c>
      <c r="K291" t="str">
        <f t="shared" si="42"/>
        <v>31.03.1973</v>
      </c>
      <c r="L291" s="10">
        <f t="shared" si="43"/>
        <v>18183</v>
      </c>
      <c r="M291" s="8">
        <f t="shared" si="44"/>
        <v>49</v>
      </c>
    </row>
    <row r="292" spans="1:13" x14ac:dyDescent="0.25">
      <c r="A292" s="4" t="s">
        <v>318</v>
      </c>
      <c r="B292" t="s">
        <v>16</v>
      </c>
      <c r="C292" t="s">
        <v>4</v>
      </c>
      <c r="D292" s="3">
        <f t="shared" si="36"/>
        <v>59</v>
      </c>
      <c r="E292" s="4">
        <f t="shared" si="37"/>
        <v>7</v>
      </c>
      <c r="F292" s="4">
        <f t="shared" si="38"/>
        <v>11</v>
      </c>
      <c r="G292" s="3">
        <f>IF(E292&gt;=20,2000,1900) + D292</f>
        <v>1959</v>
      </c>
      <c r="H292">
        <f t="shared" si="39"/>
        <v>7</v>
      </c>
      <c r="I292" s="4">
        <f t="shared" si="40"/>
        <v>11</v>
      </c>
      <c r="J292">
        <f t="shared" si="41"/>
        <v>19590711</v>
      </c>
      <c r="K292" t="str">
        <f t="shared" si="42"/>
        <v>11.07.1959</v>
      </c>
      <c r="L292" s="10">
        <f t="shared" si="43"/>
        <v>23195</v>
      </c>
      <c r="M292" s="8">
        <f t="shared" si="44"/>
        <v>63</v>
      </c>
    </row>
    <row r="293" spans="1:13" x14ac:dyDescent="0.25">
      <c r="A293" s="4" t="s">
        <v>319</v>
      </c>
      <c r="B293" t="s">
        <v>11</v>
      </c>
      <c r="C293" t="s">
        <v>6</v>
      </c>
      <c r="D293" s="3">
        <f t="shared" si="36"/>
        <v>53</v>
      </c>
      <c r="E293" s="4">
        <f t="shared" si="37"/>
        <v>6</v>
      </c>
      <c r="F293" s="4">
        <f t="shared" si="38"/>
        <v>26</v>
      </c>
      <c r="G293" s="3">
        <f>IF(E293&gt;=20,2000,1900) + D293</f>
        <v>1953</v>
      </c>
      <c r="H293">
        <f t="shared" si="39"/>
        <v>6</v>
      </c>
      <c r="I293" s="4">
        <f t="shared" si="40"/>
        <v>26</v>
      </c>
      <c r="J293">
        <f t="shared" si="41"/>
        <v>19530626</v>
      </c>
      <c r="K293" t="str">
        <f t="shared" si="42"/>
        <v>26.06.1953</v>
      </c>
      <c r="L293" s="10">
        <f t="shared" si="43"/>
        <v>25401</v>
      </c>
      <c r="M293" s="8">
        <f t="shared" si="44"/>
        <v>69</v>
      </c>
    </row>
    <row r="294" spans="1:13" x14ac:dyDescent="0.25">
      <c r="A294" s="4" t="s">
        <v>320</v>
      </c>
      <c r="B294" t="s">
        <v>5</v>
      </c>
      <c r="C294" t="s">
        <v>6</v>
      </c>
      <c r="D294" s="3">
        <f t="shared" si="36"/>
        <v>94</v>
      </c>
      <c r="E294" s="4">
        <f t="shared" si="37"/>
        <v>9</v>
      </c>
      <c r="F294" s="4">
        <f t="shared" si="38"/>
        <v>17</v>
      </c>
      <c r="G294" s="3">
        <f>IF(E294&gt;=20,2000,1900) + D294</f>
        <v>1994</v>
      </c>
      <c r="H294">
        <f t="shared" si="39"/>
        <v>9</v>
      </c>
      <c r="I294" s="4">
        <f t="shared" si="40"/>
        <v>17</v>
      </c>
      <c r="J294">
        <f t="shared" si="41"/>
        <v>19940917</v>
      </c>
      <c r="K294" t="str">
        <f t="shared" si="42"/>
        <v>17.09.1994</v>
      </c>
      <c r="L294" s="10">
        <f t="shared" si="43"/>
        <v>10343</v>
      </c>
      <c r="M294" s="8">
        <f t="shared" si="44"/>
        <v>28</v>
      </c>
    </row>
    <row r="295" spans="1:13" x14ac:dyDescent="0.25">
      <c r="A295" s="4" t="s">
        <v>321</v>
      </c>
      <c r="B295" t="s">
        <v>18</v>
      </c>
      <c r="C295" t="s">
        <v>6</v>
      </c>
      <c r="D295" s="3">
        <f t="shared" si="36"/>
        <v>66</v>
      </c>
      <c r="E295" s="4">
        <f t="shared" si="37"/>
        <v>8</v>
      </c>
      <c r="F295" s="4">
        <f t="shared" si="38"/>
        <v>24</v>
      </c>
      <c r="G295" s="3">
        <f>IF(E295&gt;=20,2000,1900) + D295</f>
        <v>1966</v>
      </c>
      <c r="H295">
        <f t="shared" si="39"/>
        <v>8</v>
      </c>
      <c r="I295" s="4">
        <f t="shared" si="40"/>
        <v>24</v>
      </c>
      <c r="J295">
        <f t="shared" si="41"/>
        <v>19660824</v>
      </c>
      <c r="K295" t="str">
        <f t="shared" si="42"/>
        <v>24.08.1966</v>
      </c>
      <c r="L295" s="10">
        <f t="shared" si="43"/>
        <v>20594</v>
      </c>
      <c r="M295" s="8">
        <f t="shared" si="44"/>
        <v>56</v>
      </c>
    </row>
    <row r="296" spans="1:13" x14ac:dyDescent="0.25">
      <c r="A296" s="4" t="s">
        <v>322</v>
      </c>
      <c r="B296" t="s">
        <v>18</v>
      </c>
      <c r="C296" t="s">
        <v>4</v>
      </c>
      <c r="D296" s="3">
        <f t="shared" si="36"/>
        <v>70</v>
      </c>
      <c r="E296" s="4">
        <f t="shared" si="37"/>
        <v>12</v>
      </c>
      <c r="F296" s="4">
        <f t="shared" si="38"/>
        <v>4</v>
      </c>
      <c r="G296" s="3">
        <f>IF(E296&gt;=20,2000,1900) + D296</f>
        <v>1970</v>
      </c>
      <c r="H296">
        <f t="shared" si="39"/>
        <v>12</v>
      </c>
      <c r="I296" s="4">
        <f t="shared" si="40"/>
        <v>4</v>
      </c>
      <c r="J296">
        <f t="shared" si="41"/>
        <v>19701204</v>
      </c>
      <c r="K296" t="str">
        <f t="shared" si="42"/>
        <v>04.12.1970</v>
      </c>
      <c r="L296" s="10">
        <f t="shared" si="43"/>
        <v>19031</v>
      </c>
      <c r="M296" s="8">
        <f t="shared" si="44"/>
        <v>52</v>
      </c>
    </row>
    <row r="297" spans="1:13" x14ac:dyDescent="0.25">
      <c r="A297" s="4" t="s">
        <v>323</v>
      </c>
      <c r="B297" t="s">
        <v>17</v>
      </c>
      <c r="C297" t="s">
        <v>6</v>
      </c>
      <c r="D297" s="3">
        <f t="shared" si="36"/>
        <v>99</v>
      </c>
      <c r="E297" s="4">
        <f t="shared" si="37"/>
        <v>7</v>
      </c>
      <c r="F297" s="4">
        <f t="shared" si="38"/>
        <v>23</v>
      </c>
      <c r="G297" s="3">
        <f>IF(E297&gt;=20,2000,1900) + D297</f>
        <v>1999</v>
      </c>
      <c r="H297">
        <f t="shared" si="39"/>
        <v>7</v>
      </c>
      <c r="I297" s="4">
        <f t="shared" si="40"/>
        <v>23</v>
      </c>
      <c r="J297">
        <f t="shared" si="41"/>
        <v>19990723</v>
      </c>
      <c r="K297" t="str">
        <f t="shared" si="42"/>
        <v>23.07.1999</v>
      </c>
      <c r="L297" s="10">
        <f t="shared" si="43"/>
        <v>8573</v>
      </c>
      <c r="M297" s="8">
        <f t="shared" si="44"/>
        <v>23</v>
      </c>
    </row>
    <row r="298" spans="1:13" x14ac:dyDescent="0.25">
      <c r="A298" s="4" t="s">
        <v>324</v>
      </c>
      <c r="B298" t="s">
        <v>17</v>
      </c>
      <c r="C298" t="s">
        <v>4</v>
      </c>
      <c r="D298" s="3">
        <f t="shared" si="36"/>
        <v>52</v>
      </c>
      <c r="E298" s="4">
        <f t="shared" si="37"/>
        <v>3</v>
      </c>
      <c r="F298" s="4">
        <f t="shared" si="38"/>
        <v>21</v>
      </c>
      <c r="G298" s="3">
        <f>IF(E298&gt;=20,2000,1900) + D298</f>
        <v>1952</v>
      </c>
      <c r="H298">
        <f t="shared" si="39"/>
        <v>3</v>
      </c>
      <c r="I298" s="4">
        <f t="shared" si="40"/>
        <v>21</v>
      </c>
      <c r="J298">
        <f t="shared" si="41"/>
        <v>19520321</v>
      </c>
      <c r="K298" t="str">
        <f t="shared" si="42"/>
        <v>21.03.1952</v>
      </c>
      <c r="L298" s="10">
        <f t="shared" si="43"/>
        <v>25863</v>
      </c>
      <c r="M298" s="8">
        <f t="shared" si="44"/>
        <v>70</v>
      </c>
    </row>
    <row r="299" spans="1:13" x14ac:dyDescent="0.25">
      <c r="A299" s="4" t="s">
        <v>325</v>
      </c>
      <c r="B299" t="s">
        <v>3</v>
      </c>
      <c r="C299" t="s">
        <v>6</v>
      </c>
      <c r="D299" s="3">
        <f t="shared" si="36"/>
        <v>89</v>
      </c>
      <c r="E299" s="4">
        <f t="shared" si="37"/>
        <v>10</v>
      </c>
      <c r="F299" s="4">
        <f t="shared" si="38"/>
        <v>11</v>
      </c>
      <c r="G299" s="3">
        <f>IF(E299&gt;=20,2000,1900) + D299</f>
        <v>1989</v>
      </c>
      <c r="H299">
        <f t="shared" si="39"/>
        <v>10</v>
      </c>
      <c r="I299" s="4">
        <f t="shared" si="40"/>
        <v>11</v>
      </c>
      <c r="J299">
        <f t="shared" si="41"/>
        <v>19891011</v>
      </c>
      <c r="K299" t="str">
        <f t="shared" si="42"/>
        <v>11.10.1989</v>
      </c>
      <c r="L299" s="10">
        <f t="shared" si="43"/>
        <v>12145</v>
      </c>
      <c r="M299" s="8">
        <f t="shared" si="44"/>
        <v>33</v>
      </c>
    </row>
    <row r="300" spans="1:13" x14ac:dyDescent="0.25">
      <c r="A300" s="4" t="s">
        <v>326</v>
      </c>
      <c r="B300" t="s">
        <v>14</v>
      </c>
      <c r="C300" t="s">
        <v>6</v>
      </c>
      <c r="D300" s="3">
        <f t="shared" si="36"/>
        <v>79</v>
      </c>
      <c r="E300" s="4">
        <f t="shared" si="37"/>
        <v>8</v>
      </c>
      <c r="F300" s="4">
        <f t="shared" si="38"/>
        <v>30</v>
      </c>
      <c r="G300" s="3">
        <f>IF(E300&gt;=20,2000,1900) + D300</f>
        <v>1979</v>
      </c>
      <c r="H300">
        <f t="shared" si="39"/>
        <v>8</v>
      </c>
      <c r="I300" s="4">
        <f t="shared" si="40"/>
        <v>30</v>
      </c>
      <c r="J300">
        <f t="shared" si="41"/>
        <v>19790830</v>
      </c>
      <c r="K300" t="str">
        <f t="shared" si="42"/>
        <v>30.08.1979</v>
      </c>
      <c r="L300" s="10">
        <f t="shared" si="43"/>
        <v>15840</v>
      </c>
      <c r="M300" s="8">
        <f t="shared" si="44"/>
        <v>43</v>
      </c>
    </row>
    <row r="301" spans="1:13" x14ac:dyDescent="0.25">
      <c r="A301" s="4" t="s">
        <v>327</v>
      </c>
      <c r="B301" t="s">
        <v>5</v>
      </c>
      <c r="C301" t="s">
        <v>4</v>
      </c>
      <c r="D301" s="3">
        <f t="shared" si="36"/>
        <v>93</v>
      </c>
      <c r="E301" s="4">
        <f t="shared" si="37"/>
        <v>2</v>
      </c>
      <c r="F301" s="4">
        <f t="shared" si="38"/>
        <v>15</v>
      </c>
      <c r="G301" s="3">
        <f>IF(E301&gt;=20,2000,1900) + D301</f>
        <v>1993</v>
      </c>
      <c r="H301">
        <f t="shared" si="39"/>
        <v>2</v>
      </c>
      <c r="I301" s="4">
        <f t="shared" si="40"/>
        <v>15</v>
      </c>
      <c r="J301">
        <f t="shared" si="41"/>
        <v>19930215</v>
      </c>
      <c r="K301" t="str">
        <f t="shared" si="42"/>
        <v>15.02.1993</v>
      </c>
      <c r="L301" s="10">
        <f t="shared" si="43"/>
        <v>10922</v>
      </c>
      <c r="M301" s="8">
        <f t="shared" si="44"/>
        <v>29</v>
      </c>
    </row>
    <row r="302" spans="1:13" x14ac:dyDescent="0.25">
      <c r="A302" s="4" t="s">
        <v>328</v>
      </c>
      <c r="B302" t="s">
        <v>17</v>
      </c>
      <c r="C302" t="s">
        <v>4</v>
      </c>
      <c r="D302" s="3">
        <f t="shared" si="36"/>
        <v>92</v>
      </c>
      <c r="E302" s="4">
        <f t="shared" si="37"/>
        <v>11</v>
      </c>
      <c r="F302" s="4">
        <f t="shared" si="38"/>
        <v>24</v>
      </c>
      <c r="G302" s="3">
        <f>IF(E302&gt;=20,2000,1900) + D302</f>
        <v>1992</v>
      </c>
      <c r="H302">
        <f t="shared" si="39"/>
        <v>11</v>
      </c>
      <c r="I302" s="4">
        <f t="shared" si="40"/>
        <v>24</v>
      </c>
      <c r="J302">
        <f t="shared" si="41"/>
        <v>19921124</v>
      </c>
      <c r="K302" t="str">
        <f t="shared" si="42"/>
        <v>24.11.1992</v>
      </c>
      <c r="L302" s="10">
        <f t="shared" si="43"/>
        <v>11005</v>
      </c>
      <c r="M302" s="8">
        <f t="shared" si="44"/>
        <v>30</v>
      </c>
    </row>
    <row r="303" spans="1:13" x14ac:dyDescent="0.25">
      <c r="A303" s="4" t="s">
        <v>329</v>
      </c>
      <c r="B303" t="s">
        <v>20</v>
      </c>
      <c r="C303" t="s">
        <v>6</v>
      </c>
      <c r="D303" s="3">
        <f t="shared" si="36"/>
        <v>51</v>
      </c>
      <c r="E303" s="4">
        <f t="shared" si="37"/>
        <v>12</v>
      </c>
      <c r="F303" s="4">
        <f t="shared" si="38"/>
        <v>11</v>
      </c>
      <c r="G303" s="3">
        <f>IF(E303&gt;=20,2000,1900) + D303</f>
        <v>1951</v>
      </c>
      <c r="H303">
        <f t="shared" si="39"/>
        <v>12</v>
      </c>
      <c r="I303" s="4">
        <f t="shared" si="40"/>
        <v>11</v>
      </c>
      <c r="J303">
        <f t="shared" si="41"/>
        <v>19511211</v>
      </c>
      <c r="K303" t="str">
        <f t="shared" si="42"/>
        <v>11.12.1951</v>
      </c>
      <c r="L303" s="10">
        <f t="shared" si="43"/>
        <v>25964</v>
      </c>
      <c r="M303" s="8">
        <f t="shared" si="44"/>
        <v>71</v>
      </c>
    </row>
    <row r="304" spans="1:13" x14ac:dyDescent="0.25">
      <c r="A304" s="4" t="s">
        <v>330</v>
      </c>
      <c r="B304" t="s">
        <v>15</v>
      </c>
      <c r="C304" t="s">
        <v>6</v>
      </c>
      <c r="D304" s="3">
        <f t="shared" si="36"/>
        <v>85</v>
      </c>
      <c r="E304" s="4">
        <f t="shared" si="37"/>
        <v>11</v>
      </c>
      <c r="F304" s="4">
        <f t="shared" si="38"/>
        <v>14</v>
      </c>
      <c r="G304" s="3">
        <f>IF(E304&gt;=20,2000,1900) + D304</f>
        <v>1985</v>
      </c>
      <c r="H304">
        <f t="shared" si="39"/>
        <v>11</v>
      </c>
      <c r="I304" s="4">
        <f t="shared" si="40"/>
        <v>14</v>
      </c>
      <c r="J304">
        <f t="shared" si="41"/>
        <v>19851114</v>
      </c>
      <c r="K304" t="str">
        <f t="shared" si="42"/>
        <v>14.11.1985</v>
      </c>
      <c r="L304" s="10">
        <f t="shared" si="43"/>
        <v>13572</v>
      </c>
      <c r="M304" s="8">
        <f t="shared" si="44"/>
        <v>37</v>
      </c>
    </row>
    <row r="305" spans="1:13" x14ac:dyDescent="0.25">
      <c r="A305" s="4" t="s">
        <v>331</v>
      </c>
      <c r="B305" t="s">
        <v>20</v>
      </c>
      <c r="C305" t="s">
        <v>4</v>
      </c>
      <c r="D305" s="3">
        <f t="shared" si="36"/>
        <v>98</v>
      </c>
      <c r="E305" s="4">
        <f t="shared" si="37"/>
        <v>1</v>
      </c>
      <c r="F305" s="4">
        <f t="shared" si="38"/>
        <v>20</v>
      </c>
      <c r="G305" s="3">
        <f>IF(E305&gt;=20,2000,1900) + D305</f>
        <v>1998</v>
      </c>
      <c r="H305">
        <f t="shared" si="39"/>
        <v>1</v>
      </c>
      <c r="I305" s="4">
        <f t="shared" si="40"/>
        <v>20</v>
      </c>
      <c r="J305">
        <f t="shared" si="41"/>
        <v>19980120</v>
      </c>
      <c r="K305" t="str">
        <f t="shared" si="42"/>
        <v>20.01.1998</v>
      </c>
      <c r="L305" s="10">
        <f t="shared" si="43"/>
        <v>9122</v>
      </c>
      <c r="M305" s="8">
        <f t="shared" si="44"/>
        <v>24</v>
      </c>
    </row>
    <row r="306" spans="1:13" x14ac:dyDescent="0.25">
      <c r="A306" s="4" t="s">
        <v>332</v>
      </c>
      <c r="B306" t="s">
        <v>15</v>
      </c>
      <c r="C306" t="s">
        <v>4</v>
      </c>
      <c r="D306" s="3">
        <f t="shared" si="36"/>
        <v>72</v>
      </c>
      <c r="E306" s="4">
        <f t="shared" si="37"/>
        <v>7</v>
      </c>
      <c r="F306" s="4">
        <f t="shared" si="38"/>
        <v>10</v>
      </c>
      <c r="G306" s="3">
        <f>IF(E306&gt;=20,2000,1900) + D306</f>
        <v>1972</v>
      </c>
      <c r="H306">
        <f t="shared" si="39"/>
        <v>7</v>
      </c>
      <c r="I306" s="4">
        <f t="shared" si="40"/>
        <v>10</v>
      </c>
      <c r="J306">
        <f t="shared" si="41"/>
        <v>19720710</v>
      </c>
      <c r="K306" t="str">
        <f t="shared" si="42"/>
        <v>10.07.1972</v>
      </c>
      <c r="L306" s="10">
        <f t="shared" si="43"/>
        <v>18447</v>
      </c>
      <c r="M306" s="8">
        <f t="shared" si="44"/>
        <v>50</v>
      </c>
    </row>
    <row r="307" spans="1:13" x14ac:dyDescent="0.25">
      <c r="A307" s="4" t="s">
        <v>333</v>
      </c>
      <c r="B307" t="s">
        <v>10</v>
      </c>
      <c r="C307" t="s">
        <v>4</v>
      </c>
      <c r="D307" s="3">
        <f t="shared" si="36"/>
        <v>69</v>
      </c>
      <c r="E307" s="4">
        <f t="shared" si="37"/>
        <v>4</v>
      </c>
      <c r="F307" s="4">
        <f t="shared" si="38"/>
        <v>9</v>
      </c>
      <c r="G307" s="3">
        <f>IF(E307&gt;=20,2000,1900) + D307</f>
        <v>1969</v>
      </c>
      <c r="H307">
        <f t="shared" si="39"/>
        <v>4</v>
      </c>
      <c r="I307" s="4">
        <f t="shared" si="40"/>
        <v>9</v>
      </c>
      <c r="J307">
        <f t="shared" si="41"/>
        <v>19690409</v>
      </c>
      <c r="K307" t="str">
        <f t="shared" si="42"/>
        <v>09.04.1969</v>
      </c>
      <c r="L307" s="10">
        <f t="shared" si="43"/>
        <v>19635</v>
      </c>
      <c r="M307" s="8">
        <f t="shared" si="44"/>
        <v>53</v>
      </c>
    </row>
    <row r="308" spans="1:13" x14ac:dyDescent="0.25">
      <c r="A308" s="4" t="s">
        <v>334</v>
      </c>
      <c r="B308" t="s">
        <v>5</v>
      </c>
      <c r="C308" t="s">
        <v>4</v>
      </c>
      <c r="D308" s="3">
        <f t="shared" si="36"/>
        <v>69</v>
      </c>
      <c r="E308" s="4">
        <f t="shared" si="37"/>
        <v>9</v>
      </c>
      <c r="F308" s="4">
        <f t="shared" si="38"/>
        <v>4</v>
      </c>
      <c r="G308" s="3">
        <f>IF(E308&gt;=20,2000,1900) + D308</f>
        <v>1969</v>
      </c>
      <c r="H308">
        <f t="shared" si="39"/>
        <v>9</v>
      </c>
      <c r="I308" s="4">
        <f t="shared" si="40"/>
        <v>4</v>
      </c>
      <c r="J308">
        <f t="shared" si="41"/>
        <v>19690904</v>
      </c>
      <c r="K308" t="str">
        <f t="shared" si="42"/>
        <v>04.09.1969</v>
      </c>
      <c r="L308" s="10">
        <f t="shared" si="43"/>
        <v>19487</v>
      </c>
      <c r="M308" s="8">
        <f t="shared" si="44"/>
        <v>53</v>
      </c>
    </row>
    <row r="309" spans="1:13" x14ac:dyDescent="0.25">
      <c r="A309" s="4" t="s">
        <v>335</v>
      </c>
      <c r="B309" t="s">
        <v>19</v>
      </c>
      <c r="C309" t="s">
        <v>4</v>
      </c>
      <c r="D309" s="3">
        <f t="shared" si="36"/>
        <v>50</v>
      </c>
      <c r="E309" s="4">
        <f t="shared" si="37"/>
        <v>6</v>
      </c>
      <c r="F309" s="4">
        <f t="shared" si="38"/>
        <v>21</v>
      </c>
      <c r="G309" s="3">
        <f>IF(E309&gt;=20,2000,1900) + D309</f>
        <v>1950</v>
      </c>
      <c r="H309">
        <f t="shared" si="39"/>
        <v>6</v>
      </c>
      <c r="I309" s="4">
        <f t="shared" si="40"/>
        <v>21</v>
      </c>
      <c r="J309">
        <f t="shared" si="41"/>
        <v>19500621</v>
      </c>
      <c r="K309" t="str">
        <f t="shared" si="42"/>
        <v>21.06.1950</v>
      </c>
      <c r="L309" s="10">
        <f t="shared" si="43"/>
        <v>26502</v>
      </c>
      <c r="M309" s="8">
        <f t="shared" si="44"/>
        <v>72</v>
      </c>
    </row>
    <row r="310" spans="1:13" x14ac:dyDescent="0.25">
      <c r="A310" s="4" t="s">
        <v>336</v>
      </c>
      <c r="B310" t="s">
        <v>14</v>
      </c>
      <c r="C310" t="s">
        <v>6</v>
      </c>
      <c r="D310" s="3">
        <f t="shared" si="36"/>
        <v>96</v>
      </c>
      <c r="E310" s="4">
        <f t="shared" si="37"/>
        <v>12</v>
      </c>
      <c r="F310" s="4">
        <f t="shared" si="38"/>
        <v>30</v>
      </c>
      <c r="G310" s="3">
        <f>IF(E310&gt;=20,2000,1900) + D310</f>
        <v>1996</v>
      </c>
      <c r="H310">
        <f t="shared" si="39"/>
        <v>12</v>
      </c>
      <c r="I310" s="4">
        <f t="shared" si="40"/>
        <v>30</v>
      </c>
      <c r="J310">
        <f t="shared" si="41"/>
        <v>19961230</v>
      </c>
      <c r="K310" t="str">
        <f t="shared" si="42"/>
        <v>30.12.1996</v>
      </c>
      <c r="L310" s="10">
        <f t="shared" si="43"/>
        <v>9508</v>
      </c>
      <c r="M310" s="8">
        <f t="shared" si="44"/>
        <v>26</v>
      </c>
    </row>
    <row r="311" spans="1:13" x14ac:dyDescent="0.25">
      <c r="A311" s="4" t="s">
        <v>337</v>
      </c>
      <c r="B311" t="s">
        <v>11</v>
      </c>
      <c r="C311" t="s">
        <v>4</v>
      </c>
      <c r="D311" s="3">
        <f t="shared" si="36"/>
        <v>50</v>
      </c>
      <c r="E311" s="4">
        <f t="shared" si="37"/>
        <v>4</v>
      </c>
      <c r="F311" s="4">
        <f t="shared" si="38"/>
        <v>7</v>
      </c>
      <c r="G311" s="3">
        <f>IF(E311&gt;=20,2000,1900) + D311</f>
        <v>1950</v>
      </c>
      <c r="H311">
        <f t="shared" si="39"/>
        <v>4</v>
      </c>
      <c r="I311" s="4">
        <f t="shared" si="40"/>
        <v>7</v>
      </c>
      <c r="J311">
        <f t="shared" si="41"/>
        <v>19500407</v>
      </c>
      <c r="K311" t="str">
        <f t="shared" si="42"/>
        <v>07.04.1950</v>
      </c>
      <c r="L311" s="10">
        <f t="shared" si="43"/>
        <v>26577</v>
      </c>
      <c r="M311" s="8">
        <f t="shared" si="44"/>
        <v>72</v>
      </c>
    </row>
    <row r="312" spans="1:13" x14ac:dyDescent="0.25">
      <c r="A312" s="4" t="s">
        <v>338</v>
      </c>
      <c r="B312" t="s">
        <v>19</v>
      </c>
      <c r="C312" t="s">
        <v>4</v>
      </c>
      <c r="D312" s="3">
        <f t="shared" si="36"/>
        <v>86</v>
      </c>
      <c r="E312" s="4">
        <f t="shared" si="37"/>
        <v>6</v>
      </c>
      <c r="F312" s="4">
        <f t="shared" si="38"/>
        <v>30</v>
      </c>
      <c r="G312" s="3">
        <f>IF(E312&gt;=20,2000,1900) + D312</f>
        <v>1986</v>
      </c>
      <c r="H312">
        <f t="shared" si="39"/>
        <v>6</v>
      </c>
      <c r="I312" s="4">
        <f t="shared" si="40"/>
        <v>30</v>
      </c>
      <c r="J312">
        <f t="shared" si="41"/>
        <v>19860630</v>
      </c>
      <c r="K312" t="str">
        <f t="shared" si="42"/>
        <v>30.06.1986</v>
      </c>
      <c r="L312" s="10">
        <f t="shared" si="43"/>
        <v>13344</v>
      </c>
      <c r="M312" s="8">
        <f t="shared" si="44"/>
        <v>36</v>
      </c>
    </row>
    <row r="313" spans="1:13" x14ac:dyDescent="0.25">
      <c r="A313" s="4" t="s">
        <v>339</v>
      </c>
      <c r="B313" t="s">
        <v>17</v>
      </c>
      <c r="C313" t="s">
        <v>4</v>
      </c>
      <c r="D313" s="3">
        <f t="shared" si="36"/>
        <v>64</v>
      </c>
      <c r="E313" s="4">
        <f t="shared" si="37"/>
        <v>7</v>
      </c>
      <c r="F313" s="4">
        <f t="shared" si="38"/>
        <v>5</v>
      </c>
      <c r="G313" s="3">
        <f>IF(E313&gt;=20,2000,1900) + D313</f>
        <v>1964</v>
      </c>
      <c r="H313">
        <f t="shared" si="39"/>
        <v>7</v>
      </c>
      <c r="I313" s="4">
        <f t="shared" si="40"/>
        <v>5</v>
      </c>
      <c r="J313">
        <f t="shared" si="41"/>
        <v>19640705</v>
      </c>
      <c r="K313" t="str">
        <f t="shared" si="42"/>
        <v>05.07.1964</v>
      </c>
      <c r="L313" s="10">
        <f t="shared" si="43"/>
        <v>21374</v>
      </c>
      <c r="M313" s="8">
        <f t="shared" si="44"/>
        <v>58</v>
      </c>
    </row>
    <row r="314" spans="1:13" x14ac:dyDescent="0.25">
      <c r="A314" s="4" t="s">
        <v>340</v>
      </c>
      <c r="B314" t="s">
        <v>12</v>
      </c>
      <c r="C314" t="s">
        <v>4</v>
      </c>
      <c r="D314" s="3">
        <f t="shared" si="36"/>
        <v>61</v>
      </c>
      <c r="E314" s="4">
        <f t="shared" si="37"/>
        <v>11</v>
      </c>
      <c r="F314" s="4">
        <f t="shared" si="38"/>
        <v>14</v>
      </c>
      <c r="G314" s="3">
        <f>IF(E314&gt;=20,2000,1900) + D314</f>
        <v>1961</v>
      </c>
      <c r="H314">
        <f t="shared" si="39"/>
        <v>11</v>
      </c>
      <c r="I314" s="4">
        <f t="shared" si="40"/>
        <v>14</v>
      </c>
      <c r="J314">
        <f t="shared" si="41"/>
        <v>19611114</v>
      </c>
      <c r="K314" t="str">
        <f t="shared" si="42"/>
        <v>14.11.1961</v>
      </c>
      <c r="L314" s="10">
        <f t="shared" si="43"/>
        <v>22338</v>
      </c>
      <c r="M314" s="8">
        <f t="shared" si="44"/>
        <v>61</v>
      </c>
    </row>
    <row r="315" spans="1:13" x14ac:dyDescent="0.25">
      <c r="A315" s="4" t="s">
        <v>341</v>
      </c>
      <c r="B315" t="s">
        <v>5</v>
      </c>
      <c r="C315" t="s">
        <v>6</v>
      </c>
      <c r="D315" s="3">
        <f t="shared" si="36"/>
        <v>55</v>
      </c>
      <c r="E315" s="4">
        <f t="shared" si="37"/>
        <v>8</v>
      </c>
      <c r="F315" s="4">
        <f t="shared" si="38"/>
        <v>14</v>
      </c>
      <c r="G315" s="3">
        <f>IF(E315&gt;=20,2000,1900) + D315</f>
        <v>1955</v>
      </c>
      <c r="H315">
        <f t="shared" si="39"/>
        <v>8</v>
      </c>
      <c r="I315" s="4">
        <f t="shared" si="40"/>
        <v>14</v>
      </c>
      <c r="J315">
        <f t="shared" si="41"/>
        <v>19550814</v>
      </c>
      <c r="K315" t="str">
        <f t="shared" si="42"/>
        <v>14.08.1955</v>
      </c>
      <c r="L315" s="10">
        <f t="shared" si="43"/>
        <v>24622</v>
      </c>
      <c r="M315" s="8">
        <f t="shared" si="44"/>
        <v>67</v>
      </c>
    </row>
    <row r="316" spans="1:13" x14ac:dyDescent="0.25">
      <c r="A316" s="4" t="s">
        <v>342</v>
      </c>
      <c r="B316" t="s">
        <v>5</v>
      </c>
      <c r="C316" t="s">
        <v>6</v>
      </c>
      <c r="D316" s="3">
        <f t="shared" si="36"/>
        <v>68</v>
      </c>
      <c r="E316" s="4">
        <f t="shared" si="37"/>
        <v>10</v>
      </c>
      <c r="F316" s="4">
        <f t="shared" si="38"/>
        <v>14</v>
      </c>
      <c r="G316" s="3">
        <f>IF(E316&gt;=20,2000,1900) + D316</f>
        <v>1968</v>
      </c>
      <c r="H316">
        <f t="shared" si="39"/>
        <v>10</v>
      </c>
      <c r="I316" s="4">
        <f t="shared" si="40"/>
        <v>14</v>
      </c>
      <c r="J316">
        <f t="shared" si="41"/>
        <v>19681014</v>
      </c>
      <c r="K316" t="str">
        <f t="shared" si="42"/>
        <v>14.10.1968</v>
      </c>
      <c r="L316" s="10">
        <f t="shared" si="43"/>
        <v>19812</v>
      </c>
      <c r="M316" s="8">
        <f t="shared" si="44"/>
        <v>54</v>
      </c>
    </row>
    <row r="317" spans="1:13" x14ac:dyDescent="0.25">
      <c r="A317" s="4" t="s">
        <v>343</v>
      </c>
      <c r="B317" t="s">
        <v>17</v>
      </c>
      <c r="C317" t="s">
        <v>6</v>
      </c>
      <c r="D317" s="3">
        <f t="shared" si="36"/>
        <v>96</v>
      </c>
      <c r="E317" s="4">
        <f t="shared" si="37"/>
        <v>7</v>
      </c>
      <c r="F317" s="4">
        <f t="shared" si="38"/>
        <v>21</v>
      </c>
      <c r="G317" s="3">
        <f>IF(E317&gt;=20,2000,1900) + D317</f>
        <v>1996</v>
      </c>
      <c r="H317">
        <f t="shared" si="39"/>
        <v>7</v>
      </c>
      <c r="I317" s="4">
        <f t="shared" si="40"/>
        <v>21</v>
      </c>
      <c r="J317">
        <f t="shared" si="41"/>
        <v>19960721</v>
      </c>
      <c r="K317" t="str">
        <f t="shared" si="42"/>
        <v>21.07.1996</v>
      </c>
      <c r="L317" s="10">
        <f t="shared" si="43"/>
        <v>9670</v>
      </c>
      <c r="M317" s="8">
        <f t="shared" si="44"/>
        <v>26</v>
      </c>
    </row>
    <row r="318" spans="1:13" x14ac:dyDescent="0.25">
      <c r="A318" s="4" t="s">
        <v>344</v>
      </c>
      <c r="B318" t="s">
        <v>8</v>
      </c>
      <c r="C318" t="s">
        <v>6</v>
      </c>
      <c r="D318" s="3">
        <f t="shared" si="36"/>
        <v>53</v>
      </c>
      <c r="E318" s="4">
        <f t="shared" si="37"/>
        <v>11</v>
      </c>
      <c r="F318" s="4">
        <f t="shared" si="38"/>
        <v>13</v>
      </c>
      <c r="G318" s="3">
        <f>IF(E318&gt;=20,2000,1900) + D318</f>
        <v>1953</v>
      </c>
      <c r="H318">
        <f t="shared" si="39"/>
        <v>11</v>
      </c>
      <c r="I318" s="4">
        <f t="shared" si="40"/>
        <v>13</v>
      </c>
      <c r="J318">
        <f t="shared" si="41"/>
        <v>19531113</v>
      </c>
      <c r="K318" t="str">
        <f t="shared" si="42"/>
        <v>13.11.1953</v>
      </c>
      <c r="L318" s="10">
        <f t="shared" si="43"/>
        <v>25261</v>
      </c>
      <c r="M318" s="8">
        <f t="shared" si="44"/>
        <v>69</v>
      </c>
    </row>
    <row r="319" spans="1:13" x14ac:dyDescent="0.25">
      <c r="A319" s="4" t="s">
        <v>345</v>
      </c>
      <c r="B319" t="s">
        <v>5</v>
      </c>
      <c r="C319" t="s">
        <v>6</v>
      </c>
      <c r="D319" s="3">
        <f t="shared" si="36"/>
        <v>66</v>
      </c>
      <c r="E319" s="4">
        <f t="shared" si="37"/>
        <v>5</v>
      </c>
      <c r="F319" s="4">
        <f t="shared" si="38"/>
        <v>4</v>
      </c>
      <c r="G319" s="3">
        <f>IF(E319&gt;=20,2000,1900) + D319</f>
        <v>1966</v>
      </c>
      <c r="H319">
        <f t="shared" si="39"/>
        <v>5</v>
      </c>
      <c r="I319" s="4">
        <f t="shared" si="40"/>
        <v>4</v>
      </c>
      <c r="J319">
        <f t="shared" si="41"/>
        <v>19660504</v>
      </c>
      <c r="K319" t="str">
        <f t="shared" si="42"/>
        <v>04.05.1966</v>
      </c>
      <c r="L319" s="10">
        <f t="shared" si="43"/>
        <v>20706</v>
      </c>
      <c r="M319" s="8">
        <f t="shared" si="44"/>
        <v>56</v>
      </c>
    </row>
    <row r="320" spans="1:13" x14ac:dyDescent="0.25">
      <c r="A320" s="4" t="s">
        <v>346</v>
      </c>
      <c r="B320" t="s">
        <v>8</v>
      </c>
      <c r="C320" t="s">
        <v>6</v>
      </c>
      <c r="D320" s="3">
        <f t="shared" si="36"/>
        <v>50</v>
      </c>
      <c r="E320" s="4">
        <f t="shared" si="37"/>
        <v>11</v>
      </c>
      <c r="F320" s="4">
        <f t="shared" si="38"/>
        <v>25</v>
      </c>
      <c r="G320" s="3">
        <f>IF(E320&gt;=20,2000,1900) + D320</f>
        <v>1950</v>
      </c>
      <c r="H320">
        <f t="shared" si="39"/>
        <v>11</v>
      </c>
      <c r="I320" s="4">
        <f t="shared" si="40"/>
        <v>25</v>
      </c>
      <c r="J320">
        <f t="shared" si="41"/>
        <v>19501125</v>
      </c>
      <c r="K320" t="str">
        <f t="shared" si="42"/>
        <v>25.11.1950</v>
      </c>
      <c r="L320" s="10">
        <f t="shared" si="43"/>
        <v>26345</v>
      </c>
      <c r="M320" s="8">
        <f t="shared" si="44"/>
        <v>72</v>
      </c>
    </row>
    <row r="321" spans="1:13" x14ac:dyDescent="0.25">
      <c r="A321" s="4" t="s">
        <v>347</v>
      </c>
      <c r="B321" t="s">
        <v>17</v>
      </c>
      <c r="C321" t="s">
        <v>4</v>
      </c>
      <c r="D321" s="3">
        <f t="shared" si="36"/>
        <v>66</v>
      </c>
      <c r="E321" s="4">
        <f t="shared" si="37"/>
        <v>4</v>
      </c>
      <c r="F321" s="4">
        <f t="shared" si="38"/>
        <v>15</v>
      </c>
      <c r="G321" s="3">
        <f>IF(E321&gt;=20,2000,1900) + D321</f>
        <v>1966</v>
      </c>
      <c r="H321">
        <f t="shared" si="39"/>
        <v>4</v>
      </c>
      <c r="I321" s="4">
        <f t="shared" si="40"/>
        <v>15</v>
      </c>
      <c r="J321">
        <f t="shared" si="41"/>
        <v>19660415</v>
      </c>
      <c r="K321" t="str">
        <f t="shared" si="42"/>
        <v>15.04.1966</v>
      </c>
      <c r="L321" s="10">
        <f t="shared" si="43"/>
        <v>20725</v>
      </c>
      <c r="M321" s="8">
        <f t="shared" si="44"/>
        <v>56</v>
      </c>
    </row>
    <row r="322" spans="1:13" x14ac:dyDescent="0.25">
      <c r="A322" s="4" t="s">
        <v>348</v>
      </c>
      <c r="B322" t="s">
        <v>9</v>
      </c>
      <c r="C322" t="s">
        <v>4</v>
      </c>
      <c r="D322" s="3">
        <f t="shared" si="36"/>
        <v>54</v>
      </c>
      <c r="E322" s="4">
        <f t="shared" si="37"/>
        <v>11</v>
      </c>
      <c r="F322" s="4">
        <f t="shared" si="38"/>
        <v>11</v>
      </c>
      <c r="G322" s="3">
        <f>IF(E322&gt;=20,2000,1900) + D322</f>
        <v>1954</v>
      </c>
      <c r="H322">
        <f t="shared" si="39"/>
        <v>11</v>
      </c>
      <c r="I322" s="4">
        <f t="shared" si="40"/>
        <v>11</v>
      </c>
      <c r="J322">
        <f t="shared" si="41"/>
        <v>19541111</v>
      </c>
      <c r="K322" t="str">
        <f t="shared" si="42"/>
        <v>11.11.1954</v>
      </c>
      <c r="L322" s="10">
        <f t="shared" si="43"/>
        <v>24898</v>
      </c>
      <c r="M322" s="8">
        <f t="shared" si="44"/>
        <v>68</v>
      </c>
    </row>
    <row r="323" spans="1:13" x14ac:dyDescent="0.25">
      <c r="A323" s="4" t="s">
        <v>349</v>
      </c>
      <c r="B323" t="s">
        <v>14</v>
      </c>
      <c r="C323" t="s">
        <v>6</v>
      </c>
      <c r="D323" s="3">
        <f t="shared" ref="D323:D386" si="45">MID(A323,1,2)*1</f>
        <v>56</v>
      </c>
      <c r="E323" s="4">
        <f t="shared" ref="E323:E386" si="46">MID(A323,3,2)*1</f>
        <v>4</v>
      </c>
      <c r="F323" s="4">
        <f t="shared" ref="F323:F386" si="47">MID(A323,5,2)*1</f>
        <v>2</v>
      </c>
      <c r="G323" s="3">
        <f>IF(E323&gt;=20,2000,1900) + D323</f>
        <v>1956</v>
      </c>
      <c r="H323">
        <f t="shared" ref="H323:H386" si="48">IF(E323&gt;=20,E323-20,E323)</f>
        <v>4</v>
      </c>
      <c r="I323" s="4">
        <f t="shared" ref="I323:I386" si="49">F323</f>
        <v>2</v>
      </c>
      <c r="J323">
        <f t="shared" ref="J323:J386" si="50">CONCATENATE(G323,IF(LEN(H323)=1,CONCATENATE("0",H323),H323),IF(LEN(F323)=1,CONCATENATE("0",F323),F323))*1</f>
        <v>19560402</v>
      </c>
      <c r="K323" t="str">
        <f t="shared" ref="K323:K386" si="51">CONCATENATE(RIGHT(J323,2),".",MID(J323,5,2),".",LEFT(J323,4))</f>
        <v>02.04.1956</v>
      </c>
      <c r="L323" s="10">
        <f t="shared" ref="L323:L386" si="52">44937-K323</f>
        <v>24390</v>
      </c>
      <c r="M323" s="8">
        <f t="shared" ref="M323:M386" si="53">YEAR(L323)-1900</f>
        <v>66</v>
      </c>
    </row>
    <row r="324" spans="1:13" x14ac:dyDescent="0.25">
      <c r="A324" s="4" t="s">
        <v>350</v>
      </c>
      <c r="B324" t="s">
        <v>11</v>
      </c>
      <c r="C324" t="s">
        <v>4</v>
      </c>
      <c r="D324" s="3">
        <f t="shared" si="45"/>
        <v>78</v>
      </c>
      <c r="E324" s="4">
        <f t="shared" si="46"/>
        <v>11</v>
      </c>
      <c r="F324" s="4">
        <f t="shared" si="47"/>
        <v>14</v>
      </c>
      <c r="G324" s="3">
        <f>IF(E324&gt;=20,2000,1900) + D324</f>
        <v>1978</v>
      </c>
      <c r="H324">
        <f t="shared" si="48"/>
        <v>11</v>
      </c>
      <c r="I324" s="4">
        <f t="shared" si="49"/>
        <v>14</v>
      </c>
      <c r="J324">
        <f t="shared" si="50"/>
        <v>19781114</v>
      </c>
      <c r="K324" t="str">
        <f t="shared" si="51"/>
        <v>14.11.1978</v>
      </c>
      <c r="L324" s="10">
        <f t="shared" si="52"/>
        <v>16129</v>
      </c>
      <c r="M324" s="8">
        <f t="shared" si="53"/>
        <v>44</v>
      </c>
    </row>
    <row r="325" spans="1:13" x14ac:dyDescent="0.25">
      <c r="A325" s="4" t="s">
        <v>351</v>
      </c>
      <c r="B325" t="s">
        <v>7</v>
      </c>
      <c r="C325" t="s">
        <v>6</v>
      </c>
      <c r="D325" s="3">
        <f t="shared" si="45"/>
        <v>73</v>
      </c>
      <c r="E325" s="4">
        <f t="shared" si="46"/>
        <v>7</v>
      </c>
      <c r="F325" s="4">
        <f t="shared" si="47"/>
        <v>6</v>
      </c>
      <c r="G325" s="3">
        <f>IF(E325&gt;=20,2000,1900) + D325</f>
        <v>1973</v>
      </c>
      <c r="H325">
        <f t="shared" si="48"/>
        <v>7</v>
      </c>
      <c r="I325" s="4">
        <f t="shared" si="49"/>
        <v>6</v>
      </c>
      <c r="J325">
        <f t="shared" si="50"/>
        <v>19730706</v>
      </c>
      <c r="K325" t="str">
        <f t="shared" si="51"/>
        <v>06.07.1973</v>
      </c>
      <c r="L325" s="10">
        <f t="shared" si="52"/>
        <v>18086</v>
      </c>
      <c r="M325" s="8">
        <f t="shared" si="53"/>
        <v>49</v>
      </c>
    </row>
    <row r="326" spans="1:13" x14ac:dyDescent="0.25">
      <c r="A326" s="4" t="s">
        <v>352</v>
      </c>
      <c r="B326" t="s">
        <v>14</v>
      </c>
      <c r="C326" t="s">
        <v>6</v>
      </c>
      <c r="D326" s="3">
        <f t="shared" si="45"/>
        <v>61</v>
      </c>
      <c r="E326" s="4">
        <f t="shared" si="46"/>
        <v>4</v>
      </c>
      <c r="F326" s="4">
        <f t="shared" si="47"/>
        <v>24</v>
      </c>
      <c r="G326" s="3">
        <f>IF(E326&gt;=20,2000,1900) + D326</f>
        <v>1961</v>
      </c>
      <c r="H326">
        <f t="shared" si="48"/>
        <v>4</v>
      </c>
      <c r="I326" s="4">
        <f t="shared" si="49"/>
        <v>24</v>
      </c>
      <c r="J326">
        <f t="shared" si="50"/>
        <v>19610424</v>
      </c>
      <c r="K326" t="str">
        <f t="shared" si="51"/>
        <v>24.04.1961</v>
      </c>
      <c r="L326" s="10">
        <f t="shared" si="52"/>
        <v>22542</v>
      </c>
      <c r="M326" s="8">
        <f t="shared" si="53"/>
        <v>61</v>
      </c>
    </row>
    <row r="327" spans="1:13" x14ac:dyDescent="0.25">
      <c r="A327" s="4" t="s">
        <v>353</v>
      </c>
      <c r="B327" t="s">
        <v>19</v>
      </c>
      <c r="C327" t="s">
        <v>4</v>
      </c>
      <c r="D327" s="3">
        <f t="shared" si="45"/>
        <v>81</v>
      </c>
      <c r="E327" s="4">
        <f t="shared" si="46"/>
        <v>5</v>
      </c>
      <c r="F327" s="4">
        <f t="shared" si="47"/>
        <v>8</v>
      </c>
      <c r="G327" s="3">
        <f>IF(E327&gt;=20,2000,1900) + D327</f>
        <v>1981</v>
      </c>
      <c r="H327">
        <f t="shared" si="48"/>
        <v>5</v>
      </c>
      <c r="I327" s="4">
        <f t="shared" si="49"/>
        <v>8</v>
      </c>
      <c r="J327">
        <f t="shared" si="50"/>
        <v>19810508</v>
      </c>
      <c r="K327" t="str">
        <f t="shared" si="51"/>
        <v>08.05.1981</v>
      </c>
      <c r="L327" s="10">
        <f t="shared" si="52"/>
        <v>15223</v>
      </c>
      <c r="M327" s="8">
        <f t="shared" si="53"/>
        <v>41</v>
      </c>
    </row>
    <row r="328" spans="1:13" x14ac:dyDescent="0.25">
      <c r="A328" s="4" t="s">
        <v>354</v>
      </c>
      <c r="B328" t="s">
        <v>9</v>
      </c>
      <c r="C328" t="s">
        <v>4</v>
      </c>
      <c r="D328" s="3">
        <f t="shared" si="45"/>
        <v>58</v>
      </c>
      <c r="E328" s="4">
        <f t="shared" si="46"/>
        <v>9</v>
      </c>
      <c r="F328" s="4">
        <f t="shared" si="47"/>
        <v>18</v>
      </c>
      <c r="G328" s="3">
        <f>IF(E328&gt;=20,2000,1900) + D328</f>
        <v>1958</v>
      </c>
      <c r="H328">
        <f t="shared" si="48"/>
        <v>9</v>
      </c>
      <c r="I328" s="4">
        <f t="shared" si="49"/>
        <v>18</v>
      </c>
      <c r="J328">
        <f t="shared" si="50"/>
        <v>19580918</v>
      </c>
      <c r="K328" t="str">
        <f t="shared" si="51"/>
        <v>18.09.1958</v>
      </c>
      <c r="L328" s="10">
        <f t="shared" si="52"/>
        <v>23491</v>
      </c>
      <c r="M328" s="8">
        <f t="shared" si="53"/>
        <v>64</v>
      </c>
    </row>
    <row r="329" spans="1:13" x14ac:dyDescent="0.25">
      <c r="A329" s="4" t="s">
        <v>355</v>
      </c>
      <c r="B329" t="s">
        <v>5</v>
      </c>
      <c r="C329" t="s">
        <v>6</v>
      </c>
      <c r="D329" s="3">
        <f t="shared" si="45"/>
        <v>66</v>
      </c>
      <c r="E329" s="4">
        <f t="shared" si="46"/>
        <v>8</v>
      </c>
      <c r="F329" s="4">
        <f t="shared" si="47"/>
        <v>22</v>
      </c>
      <c r="G329" s="3">
        <f>IF(E329&gt;=20,2000,1900) + D329</f>
        <v>1966</v>
      </c>
      <c r="H329">
        <f t="shared" si="48"/>
        <v>8</v>
      </c>
      <c r="I329" s="4">
        <f t="shared" si="49"/>
        <v>22</v>
      </c>
      <c r="J329">
        <f t="shared" si="50"/>
        <v>19660822</v>
      </c>
      <c r="K329" t="str">
        <f t="shared" si="51"/>
        <v>22.08.1966</v>
      </c>
      <c r="L329" s="10">
        <f t="shared" si="52"/>
        <v>20596</v>
      </c>
      <c r="M329" s="8">
        <f t="shared" si="53"/>
        <v>56</v>
      </c>
    </row>
    <row r="330" spans="1:13" x14ac:dyDescent="0.25">
      <c r="A330" s="4" t="s">
        <v>356</v>
      </c>
      <c r="B330" t="s">
        <v>17</v>
      </c>
      <c r="C330" t="s">
        <v>6</v>
      </c>
      <c r="D330" s="3">
        <f t="shared" si="45"/>
        <v>69</v>
      </c>
      <c r="E330" s="4">
        <f t="shared" si="46"/>
        <v>2</v>
      </c>
      <c r="F330" s="4">
        <f t="shared" si="47"/>
        <v>5</v>
      </c>
      <c r="G330" s="3">
        <f>IF(E330&gt;=20,2000,1900) + D330</f>
        <v>1969</v>
      </c>
      <c r="H330">
        <f t="shared" si="48"/>
        <v>2</v>
      </c>
      <c r="I330" s="4">
        <f t="shared" si="49"/>
        <v>5</v>
      </c>
      <c r="J330">
        <f t="shared" si="50"/>
        <v>19690205</v>
      </c>
      <c r="K330" t="str">
        <f t="shared" si="51"/>
        <v>05.02.1969</v>
      </c>
      <c r="L330" s="10">
        <f t="shared" si="52"/>
        <v>19698</v>
      </c>
      <c r="M330" s="8">
        <f t="shared" si="53"/>
        <v>53</v>
      </c>
    </row>
    <row r="331" spans="1:13" x14ac:dyDescent="0.25">
      <c r="A331" s="4" t="s">
        <v>357</v>
      </c>
      <c r="B331" t="s">
        <v>10</v>
      </c>
      <c r="C331" t="s">
        <v>4</v>
      </c>
      <c r="D331" s="3">
        <f t="shared" si="45"/>
        <v>57</v>
      </c>
      <c r="E331" s="4">
        <f t="shared" si="46"/>
        <v>11</v>
      </c>
      <c r="F331" s="4">
        <f t="shared" si="47"/>
        <v>14</v>
      </c>
      <c r="G331" s="3">
        <f>IF(E331&gt;=20,2000,1900) + D331</f>
        <v>1957</v>
      </c>
      <c r="H331">
        <f t="shared" si="48"/>
        <v>11</v>
      </c>
      <c r="I331" s="4">
        <f t="shared" si="49"/>
        <v>14</v>
      </c>
      <c r="J331">
        <f t="shared" si="50"/>
        <v>19571114</v>
      </c>
      <c r="K331" t="str">
        <f t="shared" si="51"/>
        <v>14.11.1957</v>
      </c>
      <c r="L331" s="10">
        <f t="shared" si="52"/>
        <v>23799</v>
      </c>
      <c r="M331" s="8">
        <f t="shared" si="53"/>
        <v>65</v>
      </c>
    </row>
    <row r="332" spans="1:13" x14ac:dyDescent="0.25">
      <c r="A332" s="4" t="s">
        <v>358</v>
      </c>
      <c r="B332" t="s">
        <v>12</v>
      </c>
      <c r="C332" t="s">
        <v>4</v>
      </c>
      <c r="D332" s="3">
        <f t="shared" si="45"/>
        <v>52</v>
      </c>
      <c r="E332" s="4">
        <f t="shared" si="46"/>
        <v>11</v>
      </c>
      <c r="F332" s="4">
        <f t="shared" si="47"/>
        <v>7</v>
      </c>
      <c r="G332" s="3">
        <f>IF(E332&gt;=20,2000,1900) + D332</f>
        <v>1952</v>
      </c>
      <c r="H332">
        <f t="shared" si="48"/>
        <v>11</v>
      </c>
      <c r="I332" s="4">
        <f t="shared" si="49"/>
        <v>7</v>
      </c>
      <c r="J332">
        <f t="shared" si="50"/>
        <v>19521107</v>
      </c>
      <c r="K332" t="str">
        <f t="shared" si="51"/>
        <v>07.11.1952</v>
      </c>
      <c r="L332" s="10">
        <f t="shared" si="52"/>
        <v>25632</v>
      </c>
      <c r="M332" s="8">
        <f t="shared" si="53"/>
        <v>70</v>
      </c>
    </row>
    <row r="333" spans="1:13" x14ac:dyDescent="0.25">
      <c r="A333" s="4" t="s">
        <v>359</v>
      </c>
      <c r="B333" t="s">
        <v>19</v>
      </c>
      <c r="C333" t="s">
        <v>4</v>
      </c>
      <c r="D333" s="3">
        <f t="shared" si="45"/>
        <v>93</v>
      </c>
      <c r="E333" s="4">
        <f t="shared" si="46"/>
        <v>1</v>
      </c>
      <c r="F333" s="4">
        <f t="shared" si="47"/>
        <v>12</v>
      </c>
      <c r="G333" s="3">
        <f>IF(E333&gt;=20,2000,1900) + D333</f>
        <v>1993</v>
      </c>
      <c r="H333">
        <f t="shared" si="48"/>
        <v>1</v>
      </c>
      <c r="I333" s="4">
        <f t="shared" si="49"/>
        <v>12</v>
      </c>
      <c r="J333">
        <f t="shared" si="50"/>
        <v>19930112</v>
      </c>
      <c r="K333" t="str">
        <f t="shared" si="51"/>
        <v>12.01.1993</v>
      </c>
      <c r="L333" s="10">
        <f t="shared" si="52"/>
        <v>10956</v>
      </c>
      <c r="M333" s="8">
        <f t="shared" si="53"/>
        <v>29</v>
      </c>
    </row>
    <row r="334" spans="1:13" x14ac:dyDescent="0.25">
      <c r="A334" s="4" t="s">
        <v>360</v>
      </c>
      <c r="B334" t="s">
        <v>12</v>
      </c>
      <c r="C334" t="s">
        <v>6</v>
      </c>
      <c r="D334" s="3">
        <f t="shared" si="45"/>
        <v>96</v>
      </c>
      <c r="E334" s="4">
        <f t="shared" si="46"/>
        <v>12</v>
      </c>
      <c r="F334" s="4">
        <f t="shared" si="47"/>
        <v>19</v>
      </c>
      <c r="G334" s="3">
        <f>IF(E334&gt;=20,2000,1900) + D334</f>
        <v>1996</v>
      </c>
      <c r="H334">
        <f t="shared" si="48"/>
        <v>12</v>
      </c>
      <c r="I334" s="4">
        <f t="shared" si="49"/>
        <v>19</v>
      </c>
      <c r="J334">
        <f t="shared" si="50"/>
        <v>19961219</v>
      </c>
      <c r="K334" t="str">
        <f t="shared" si="51"/>
        <v>19.12.1996</v>
      </c>
      <c r="L334" s="10">
        <f t="shared" si="52"/>
        <v>9519</v>
      </c>
      <c r="M334" s="8">
        <f t="shared" si="53"/>
        <v>26</v>
      </c>
    </row>
    <row r="335" spans="1:13" x14ac:dyDescent="0.25">
      <c r="A335" s="4" t="s">
        <v>361</v>
      </c>
      <c r="B335" t="s">
        <v>17</v>
      </c>
      <c r="C335" t="s">
        <v>6</v>
      </c>
      <c r="D335" s="3">
        <f t="shared" si="45"/>
        <v>79</v>
      </c>
      <c r="E335" s="4">
        <f t="shared" si="46"/>
        <v>6</v>
      </c>
      <c r="F335" s="4">
        <f t="shared" si="47"/>
        <v>16</v>
      </c>
      <c r="G335" s="3">
        <f>IF(E335&gt;=20,2000,1900) + D335</f>
        <v>1979</v>
      </c>
      <c r="H335">
        <f t="shared" si="48"/>
        <v>6</v>
      </c>
      <c r="I335" s="4">
        <f t="shared" si="49"/>
        <v>16</v>
      </c>
      <c r="J335">
        <f t="shared" si="50"/>
        <v>19790616</v>
      </c>
      <c r="K335" t="str">
        <f t="shared" si="51"/>
        <v>16.06.1979</v>
      </c>
      <c r="L335" s="10">
        <f t="shared" si="52"/>
        <v>15915</v>
      </c>
      <c r="M335" s="8">
        <f t="shared" si="53"/>
        <v>43</v>
      </c>
    </row>
    <row r="336" spans="1:13" x14ac:dyDescent="0.25">
      <c r="A336" s="4" t="s">
        <v>362</v>
      </c>
      <c r="B336" t="s">
        <v>5</v>
      </c>
      <c r="C336" t="s">
        <v>4</v>
      </c>
      <c r="D336" s="3">
        <f t="shared" si="45"/>
        <v>90</v>
      </c>
      <c r="E336" s="4">
        <f t="shared" si="46"/>
        <v>8</v>
      </c>
      <c r="F336" s="4">
        <f t="shared" si="47"/>
        <v>29</v>
      </c>
      <c r="G336" s="3">
        <f>IF(E336&gt;=20,2000,1900) + D336</f>
        <v>1990</v>
      </c>
      <c r="H336">
        <f t="shared" si="48"/>
        <v>8</v>
      </c>
      <c r="I336" s="4">
        <f t="shared" si="49"/>
        <v>29</v>
      </c>
      <c r="J336">
        <f t="shared" si="50"/>
        <v>19900829</v>
      </c>
      <c r="K336" t="str">
        <f t="shared" si="51"/>
        <v>29.08.1990</v>
      </c>
      <c r="L336" s="10">
        <f t="shared" si="52"/>
        <v>11823</v>
      </c>
      <c r="M336" s="8">
        <f t="shared" si="53"/>
        <v>32</v>
      </c>
    </row>
    <row r="337" spans="1:13" x14ac:dyDescent="0.25">
      <c r="A337" s="4" t="s">
        <v>363</v>
      </c>
      <c r="B337" t="s">
        <v>19</v>
      </c>
      <c r="C337" t="s">
        <v>4</v>
      </c>
      <c r="D337" s="3">
        <f t="shared" si="45"/>
        <v>86</v>
      </c>
      <c r="E337" s="4">
        <f t="shared" si="46"/>
        <v>1</v>
      </c>
      <c r="F337" s="4">
        <f t="shared" si="47"/>
        <v>8</v>
      </c>
      <c r="G337" s="3">
        <f>IF(E337&gt;=20,2000,1900) + D337</f>
        <v>1986</v>
      </c>
      <c r="H337">
        <f t="shared" si="48"/>
        <v>1</v>
      </c>
      <c r="I337" s="4">
        <f t="shared" si="49"/>
        <v>8</v>
      </c>
      <c r="J337">
        <f t="shared" si="50"/>
        <v>19860108</v>
      </c>
      <c r="K337" t="str">
        <f t="shared" si="51"/>
        <v>08.01.1986</v>
      </c>
      <c r="L337" s="10">
        <f t="shared" si="52"/>
        <v>13517</v>
      </c>
      <c r="M337" s="8">
        <f t="shared" si="53"/>
        <v>37</v>
      </c>
    </row>
    <row r="338" spans="1:13" x14ac:dyDescent="0.25">
      <c r="A338" s="4" t="s">
        <v>364</v>
      </c>
      <c r="B338" t="s">
        <v>13</v>
      </c>
      <c r="C338" t="s">
        <v>4</v>
      </c>
      <c r="D338" s="3">
        <f t="shared" si="45"/>
        <v>60</v>
      </c>
      <c r="E338" s="4">
        <f t="shared" si="46"/>
        <v>5</v>
      </c>
      <c r="F338" s="4">
        <f t="shared" si="47"/>
        <v>14</v>
      </c>
      <c r="G338" s="3">
        <f>IF(E338&gt;=20,2000,1900) + D338</f>
        <v>1960</v>
      </c>
      <c r="H338">
        <f t="shared" si="48"/>
        <v>5</v>
      </c>
      <c r="I338" s="4">
        <f t="shared" si="49"/>
        <v>14</v>
      </c>
      <c r="J338">
        <f t="shared" si="50"/>
        <v>19600514</v>
      </c>
      <c r="K338" t="str">
        <f t="shared" si="51"/>
        <v>14.05.1960</v>
      </c>
      <c r="L338" s="10">
        <f t="shared" si="52"/>
        <v>22887</v>
      </c>
      <c r="M338" s="8">
        <f t="shared" si="53"/>
        <v>62</v>
      </c>
    </row>
    <row r="339" spans="1:13" x14ac:dyDescent="0.25">
      <c r="A339" s="4" t="s">
        <v>365</v>
      </c>
      <c r="B339" t="s">
        <v>13</v>
      </c>
      <c r="C339" t="s">
        <v>6</v>
      </c>
      <c r="D339" s="3">
        <f t="shared" si="45"/>
        <v>78</v>
      </c>
      <c r="E339" s="4">
        <f t="shared" si="46"/>
        <v>1</v>
      </c>
      <c r="F339" s="4">
        <f t="shared" si="47"/>
        <v>26</v>
      </c>
      <c r="G339" s="3">
        <f>IF(E339&gt;=20,2000,1900) + D339</f>
        <v>1978</v>
      </c>
      <c r="H339">
        <f t="shared" si="48"/>
        <v>1</v>
      </c>
      <c r="I339" s="4">
        <f t="shared" si="49"/>
        <v>26</v>
      </c>
      <c r="J339">
        <f t="shared" si="50"/>
        <v>19780126</v>
      </c>
      <c r="K339" t="str">
        <f t="shared" si="51"/>
        <v>26.01.1978</v>
      </c>
      <c r="L339" s="10">
        <f t="shared" si="52"/>
        <v>16421</v>
      </c>
      <c r="M339" s="8">
        <f t="shared" si="53"/>
        <v>44</v>
      </c>
    </row>
    <row r="340" spans="1:13" x14ac:dyDescent="0.25">
      <c r="A340" s="4" t="s">
        <v>366</v>
      </c>
      <c r="B340" t="s">
        <v>20</v>
      </c>
      <c r="C340" t="s">
        <v>6</v>
      </c>
      <c r="D340" s="3">
        <f t="shared" si="45"/>
        <v>85</v>
      </c>
      <c r="E340" s="4">
        <f t="shared" si="46"/>
        <v>12</v>
      </c>
      <c r="F340" s="4">
        <f t="shared" si="47"/>
        <v>2</v>
      </c>
      <c r="G340" s="3">
        <f>IF(E340&gt;=20,2000,1900) + D340</f>
        <v>1985</v>
      </c>
      <c r="H340">
        <f t="shared" si="48"/>
        <v>12</v>
      </c>
      <c r="I340" s="4">
        <f t="shared" si="49"/>
        <v>2</v>
      </c>
      <c r="J340">
        <f t="shared" si="50"/>
        <v>19851202</v>
      </c>
      <c r="K340" t="str">
        <f t="shared" si="51"/>
        <v>02.12.1985</v>
      </c>
      <c r="L340" s="10">
        <f t="shared" si="52"/>
        <v>13554</v>
      </c>
      <c r="M340" s="8">
        <f t="shared" si="53"/>
        <v>37</v>
      </c>
    </row>
    <row r="341" spans="1:13" x14ac:dyDescent="0.25">
      <c r="A341" s="4" t="s">
        <v>367</v>
      </c>
      <c r="B341" t="s">
        <v>19</v>
      </c>
      <c r="C341" t="s">
        <v>4</v>
      </c>
      <c r="D341" s="3">
        <f t="shared" si="45"/>
        <v>52</v>
      </c>
      <c r="E341" s="4">
        <f t="shared" si="46"/>
        <v>4</v>
      </c>
      <c r="F341" s="4">
        <f t="shared" si="47"/>
        <v>25</v>
      </c>
      <c r="G341" s="3">
        <f>IF(E341&gt;=20,2000,1900) + D341</f>
        <v>1952</v>
      </c>
      <c r="H341">
        <f t="shared" si="48"/>
        <v>4</v>
      </c>
      <c r="I341" s="4">
        <f t="shared" si="49"/>
        <v>25</v>
      </c>
      <c r="J341">
        <f t="shared" si="50"/>
        <v>19520425</v>
      </c>
      <c r="K341" t="str">
        <f t="shared" si="51"/>
        <v>25.04.1952</v>
      </c>
      <c r="L341" s="10">
        <f t="shared" si="52"/>
        <v>25828</v>
      </c>
      <c r="M341" s="8">
        <f t="shared" si="53"/>
        <v>70</v>
      </c>
    </row>
    <row r="342" spans="1:13" x14ac:dyDescent="0.25">
      <c r="A342" s="4" t="s">
        <v>368</v>
      </c>
      <c r="B342" t="s">
        <v>10</v>
      </c>
      <c r="C342" t="s">
        <v>4</v>
      </c>
      <c r="D342" s="3">
        <f t="shared" si="45"/>
        <v>60</v>
      </c>
      <c r="E342" s="4">
        <f t="shared" si="46"/>
        <v>9</v>
      </c>
      <c r="F342" s="4">
        <f t="shared" si="47"/>
        <v>18</v>
      </c>
      <c r="G342" s="3">
        <f>IF(E342&gt;=20,2000,1900) + D342</f>
        <v>1960</v>
      </c>
      <c r="H342">
        <f t="shared" si="48"/>
        <v>9</v>
      </c>
      <c r="I342" s="4">
        <f t="shared" si="49"/>
        <v>18</v>
      </c>
      <c r="J342">
        <f t="shared" si="50"/>
        <v>19600918</v>
      </c>
      <c r="K342" t="str">
        <f t="shared" si="51"/>
        <v>18.09.1960</v>
      </c>
      <c r="L342" s="10">
        <f t="shared" si="52"/>
        <v>22760</v>
      </c>
      <c r="M342" s="8">
        <f t="shared" si="53"/>
        <v>62</v>
      </c>
    </row>
    <row r="343" spans="1:13" x14ac:dyDescent="0.25">
      <c r="A343" s="4" t="s">
        <v>369</v>
      </c>
      <c r="B343" t="s">
        <v>10</v>
      </c>
      <c r="C343" t="s">
        <v>4</v>
      </c>
      <c r="D343" s="3">
        <f t="shared" si="45"/>
        <v>80</v>
      </c>
      <c r="E343" s="4">
        <f t="shared" si="46"/>
        <v>2</v>
      </c>
      <c r="F343" s="4">
        <f t="shared" si="47"/>
        <v>15</v>
      </c>
      <c r="G343" s="3">
        <f>IF(E343&gt;=20,2000,1900) + D343</f>
        <v>1980</v>
      </c>
      <c r="H343">
        <f t="shared" si="48"/>
        <v>2</v>
      </c>
      <c r="I343" s="4">
        <f t="shared" si="49"/>
        <v>15</v>
      </c>
      <c r="J343">
        <f t="shared" si="50"/>
        <v>19800215</v>
      </c>
      <c r="K343" t="str">
        <f t="shared" si="51"/>
        <v>15.02.1980</v>
      </c>
      <c r="L343" s="10">
        <f t="shared" si="52"/>
        <v>15671</v>
      </c>
      <c r="M343" s="8">
        <f t="shared" si="53"/>
        <v>42</v>
      </c>
    </row>
    <row r="344" spans="1:13" x14ac:dyDescent="0.25">
      <c r="A344" s="4" t="s">
        <v>370</v>
      </c>
      <c r="B344" t="s">
        <v>10</v>
      </c>
      <c r="C344" t="s">
        <v>6</v>
      </c>
      <c r="D344" s="3">
        <f t="shared" si="45"/>
        <v>62</v>
      </c>
      <c r="E344" s="4">
        <f t="shared" si="46"/>
        <v>1</v>
      </c>
      <c r="F344" s="4">
        <f t="shared" si="47"/>
        <v>19</v>
      </c>
      <c r="G344" s="3">
        <f>IF(E344&gt;=20,2000,1900) + D344</f>
        <v>1962</v>
      </c>
      <c r="H344">
        <f t="shared" si="48"/>
        <v>1</v>
      </c>
      <c r="I344" s="4">
        <f t="shared" si="49"/>
        <v>19</v>
      </c>
      <c r="J344">
        <f t="shared" si="50"/>
        <v>19620119</v>
      </c>
      <c r="K344" t="str">
        <f t="shared" si="51"/>
        <v>19.01.1962</v>
      </c>
      <c r="L344" s="10">
        <f t="shared" si="52"/>
        <v>22272</v>
      </c>
      <c r="M344" s="8">
        <f t="shared" si="53"/>
        <v>60</v>
      </c>
    </row>
    <row r="345" spans="1:13" x14ac:dyDescent="0.25">
      <c r="A345" s="4" t="s">
        <v>371</v>
      </c>
      <c r="B345" t="s">
        <v>19</v>
      </c>
      <c r="C345" t="s">
        <v>4</v>
      </c>
      <c r="D345" s="3">
        <f t="shared" si="45"/>
        <v>78</v>
      </c>
      <c r="E345" s="4">
        <f t="shared" si="46"/>
        <v>9</v>
      </c>
      <c r="F345" s="4">
        <f t="shared" si="47"/>
        <v>28</v>
      </c>
      <c r="G345" s="3">
        <f>IF(E345&gt;=20,2000,1900) + D345</f>
        <v>1978</v>
      </c>
      <c r="H345">
        <f t="shared" si="48"/>
        <v>9</v>
      </c>
      <c r="I345" s="4">
        <f t="shared" si="49"/>
        <v>28</v>
      </c>
      <c r="J345">
        <f t="shared" si="50"/>
        <v>19780928</v>
      </c>
      <c r="K345" t="str">
        <f t="shared" si="51"/>
        <v>28.09.1978</v>
      </c>
      <c r="L345" s="10">
        <f t="shared" si="52"/>
        <v>16176</v>
      </c>
      <c r="M345" s="8">
        <f t="shared" si="53"/>
        <v>44</v>
      </c>
    </row>
    <row r="346" spans="1:13" x14ac:dyDescent="0.25">
      <c r="A346" s="4" t="s">
        <v>372</v>
      </c>
      <c r="B346" t="s">
        <v>3</v>
      </c>
      <c r="C346" t="s">
        <v>4</v>
      </c>
      <c r="D346" s="3">
        <f t="shared" si="45"/>
        <v>69</v>
      </c>
      <c r="E346" s="4">
        <f t="shared" si="46"/>
        <v>6</v>
      </c>
      <c r="F346" s="4">
        <f t="shared" si="47"/>
        <v>5</v>
      </c>
      <c r="G346" s="3">
        <f>IF(E346&gt;=20,2000,1900) + D346</f>
        <v>1969</v>
      </c>
      <c r="H346">
        <f t="shared" si="48"/>
        <v>6</v>
      </c>
      <c r="I346" s="4">
        <f t="shared" si="49"/>
        <v>5</v>
      </c>
      <c r="J346">
        <f t="shared" si="50"/>
        <v>19690605</v>
      </c>
      <c r="K346" t="str">
        <f t="shared" si="51"/>
        <v>05.06.1969</v>
      </c>
      <c r="L346" s="10">
        <f t="shared" si="52"/>
        <v>19578</v>
      </c>
      <c r="M346" s="8">
        <f t="shared" si="53"/>
        <v>53</v>
      </c>
    </row>
    <row r="347" spans="1:13" x14ac:dyDescent="0.25">
      <c r="A347" s="4" t="s">
        <v>373</v>
      </c>
      <c r="B347" t="s">
        <v>13</v>
      </c>
      <c r="C347" t="s">
        <v>4</v>
      </c>
      <c r="D347" s="3">
        <f t="shared" si="45"/>
        <v>54</v>
      </c>
      <c r="E347" s="4">
        <f t="shared" si="46"/>
        <v>1</v>
      </c>
      <c r="F347" s="4">
        <f t="shared" si="47"/>
        <v>20</v>
      </c>
      <c r="G347" s="3">
        <f>IF(E347&gt;=20,2000,1900) + D347</f>
        <v>1954</v>
      </c>
      <c r="H347">
        <f t="shared" si="48"/>
        <v>1</v>
      </c>
      <c r="I347" s="4">
        <f t="shared" si="49"/>
        <v>20</v>
      </c>
      <c r="J347">
        <f t="shared" si="50"/>
        <v>19540120</v>
      </c>
      <c r="K347" t="str">
        <f t="shared" si="51"/>
        <v>20.01.1954</v>
      </c>
      <c r="L347" s="10">
        <f t="shared" si="52"/>
        <v>25193</v>
      </c>
      <c r="M347" s="8">
        <f t="shared" si="53"/>
        <v>68</v>
      </c>
    </row>
    <row r="348" spans="1:13" x14ac:dyDescent="0.25">
      <c r="A348" s="4" t="s">
        <v>374</v>
      </c>
      <c r="B348" t="s">
        <v>11</v>
      </c>
      <c r="C348" t="s">
        <v>6</v>
      </c>
      <c r="D348" s="3">
        <f t="shared" si="45"/>
        <v>71</v>
      </c>
      <c r="E348" s="4">
        <f t="shared" si="46"/>
        <v>12</v>
      </c>
      <c r="F348" s="4">
        <f t="shared" si="47"/>
        <v>7</v>
      </c>
      <c r="G348" s="3">
        <f>IF(E348&gt;=20,2000,1900) + D348</f>
        <v>1971</v>
      </c>
      <c r="H348">
        <f t="shared" si="48"/>
        <v>12</v>
      </c>
      <c r="I348" s="4">
        <f t="shared" si="49"/>
        <v>7</v>
      </c>
      <c r="J348">
        <f t="shared" si="50"/>
        <v>19711207</v>
      </c>
      <c r="K348" t="str">
        <f t="shared" si="51"/>
        <v>07.12.1971</v>
      </c>
      <c r="L348" s="10">
        <f t="shared" si="52"/>
        <v>18663</v>
      </c>
      <c r="M348" s="8">
        <f t="shared" si="53"/>
        <v>51</v>
      </c>
    </row>
    <row r="349" spans="1:13" x14ac:dyDescent="0.25">
      <c r="A349" s="4" t="s">
        <v>375</v>
      </c>
      <c r="B349" t="s">
        <v>13</v>
      </c>
      <c r="C349" t="s">
        <v>4</v>
      </c>
      <c r="D349" s="3">
        <f t="shared" si="45"/>
        <v>97</v>
      </c>
      <c r="E349" s="4">
        <f t="shared" si="46"/>
        <v>8</v>
      </c>
      <c r="F349" s="4">
        <f t="shared" si="47"/>
        <v>25</v>
      </c>
      <c r="G349" s="3">
        <f>IF(E349&gt;=20,2000,1900) + D349</f>
        <v>1997</v>
      </c>
      <c r="H349">
        <f t="shared" si="48"/>
        <v>8</v>
      </c>
      <c r="I349" s="4">
        <f t="shared" si="49"/>
        <v>25</v>
      </c>
      <c r="J349">
        <f t="shared" si="50"/>
        <v>19970825</v>
      </c>
      <c r="K349" t="str">
        <f t="shared" si="51"/>
        <v>25.08.1997</v>
      </c>
      <c r="L349" s="10">
        <f t="shared" si="52"/>
        <v>9270</v>
      </c>
      <c r="M349" s="8">
        <f t="shared" si="53"/>
        <v>25</v>
      </c>
    </row>
    <row r="350" spans="1:13" x14ac:dyDescent="0.25">
      <c r="A350" s="4" t="s">
        <v>376</v>
      </c>
      <c r="B350" t="s">
        <v>16</v>
      </c>
      <c r="C350" t="s">
        <v>4</v>
      </c>
      <c r="D350" s="3">
        <f t="shared" si="45"/>
        <v>83</v>
      </c>
      <c r="E350" s="4">
        <f t="shared" si="46"/>
        <v>9</v>
      </c>
      <c r="F350" s="4">
        <f t="shared" si="47"/>
        <v>20</v>
      </c>
      <c r="G350" s="3">
        <f>IF(E350&gt;=20,2000,1900) + D350</f>
        <v>1983</v>
      </c>
      <c r="H350">
        <f t="shared" si="48"/>
        <v>9</v>
      </c>
      <c r="I350" s="4">
        <f t="shared" si="49"/>
        <v>20</v>
      </c>
      <c r="J350">
        <f t="shared" si="50"/>
        <v>19830920</v>
      </c>
      <c r="K350" t="str">
        <f t="shared" si="51"/>
        <v>20.09.1983</v>
      </c>
      <c r="L350" s="10">
        <f t="shared" si="52"/>
        <v>14358</v>
      </c>
      <c r="M350" s="8">
        <f t="shared" si="53"/>
        <v>39</v>
      </c>
    </row>
    <row r="351" spans="1:13" x14ac:dyDescent="0.25">
      <c r="A351" s="4" t="s">
        <v>377</v>
      </c>
      <c r="B351" t="s">
        <v>19</v>
      </c>
      <c r="C351" t="s">
        <v>6</v>
      </c>
      <c r="D351" s="3">
        <f t="shared" si="45"/>
        <v>63</v>
      </c>
      <c r="E351" s="4">
        <f t="shared" si="46"/>
        <v>1</v>
      </c>
      <c r="F351" s="4">
        <f t="shared" si="47"/>
        <v>12</v>
      </c>
      <c r="G351" s="3">
        <f>IF(E351&gt;=20,2000,1900) + D351</f>
        <v>1963</v>
      </c>
      <c r="H351">
        <f t="shared" si="48"/>
        <v>1</v>
      </c>
      <c r="I351" s="4">
        <f t="shared" si="49"/>
        <v>12</v>
      </c>
      <c r="J351">
        <f t="shared" si="50"/>
        <v>19630112</v>
      </c>
      <c r="K351" t="str">
        <f t="shared" si="51"/>
        <v>12.01.1963</v>
      </c>
      <c r="L351" s="10">
        <f t="shared" si="52"/>
        <v>21914</v>
      </c>
      <c r="M351" s="8">
        <f t="shared" si="53"/>
        <v>59</v>
      </c>
    </row>
    <row r="352" spans="1:13" x14ac:dyDescent="0.25">
      <c r="A352" s="4" t="s">
        <v>378</v>
      </c>
      <c r="B352" t="s">
        <v>17</v>
      </c>
      <c r="C352" t="s">
        <v>4</v>
      </c>
      <c r="D352" s="3">
        <f t="shared" si="45"/>
        <v>55</v>
      </c>
      <c r="E352" s="4">
        <f t="shared" si="46"/>
        <v>4</v>
      </c>
      <c r="F352" s="4">
        <f t="shared" si="47"/>
        <v>3</v>
      </c>
      <c r="G352" s="3">
        <f>IF(E352&gt;=20,2000,1900) + D352</f>
        <v>1955</v>
      </c>
      <c r="H352">
        <f t="shared" si="48"/>
        <v>4</v>
      </c>
      <c r="I352" s="4">
        <f t="shared" si="49"/>
        <v>3</v>
      </c>
      <c r="J352">
        <f t="shared" si="50"/>
        <v>19550403</v>
      </c>
      <c r="K352" t="str">
        <f t="shared" si="51"/>
        <v>03.04.1955</v>
      </c>
      <c r="L352" s="10">
        <f t="shared" si="52"/>
        <v>24755</v>
      </c>
      <c r="M352" s="8">
        <f t="shared" si="53"/>
        <v>67</v>
      </c>
    </row>
    <row r="353" spans="1:13" x14ac:dyDescent="0.25">
      <c r="A353" s="4" t="s">
        <v>379</v>
      </c>
      <c r="B353" t="s">
        <v>11</v>
      </c>
      <c r="C353" t="s">
        <v>6</v>
      </c>
      <c r="D353" s="3">
        <f t="shared" si="45"/>
        <v>93</v>
      </c>
      <c r="E353" s="4">
        <f t="shared" si="46"/>
        <v>4</v>
      </c>
      <c r="F353" s="4">
        <f t="shared" si="47"/>
        <v>23</v>
      </c>
      <c r="G353" s="3">
        <f>IF(E353&gt;=20,2000,1900) + D353</f>
        <v>1993</v>
      </c>
      <c r="H353">
        <f t="shared" si="48"/>
        <v>4</v>
      </c>
      <c r="I353" s="4">
        <f t="shared" si="49"/>
        <v>23</v>
      </c>
      <c r="J353">
        <f t="shared" si="50"/>
        <v>19930423</v>
      </c>
      <c r="K353" t="str">
        <f t="shared" si="51"/>
        <v>23.04.1993</v>
      </c>
      <c r="L353" s="10">
        <f t="shared" si="52"/>
        <v>10855</v>
      </c>
      <c r="M353" s="8">
        <f t="shared" si="53"/>
        <v>29</v>
      </c>
    </row>
    <row r="354" spans="1:13" x14ac:dyDescent="0.25">
      <c r="A354" s="4" t="s">
        <v>380</v>
      </c>
      <c r="B354" t="s">
        <v>7</v>
      </c>
      <c r="C354" t="s">
        <v>4</v>
      </c>
      <c r="D354" s="3">
        <f t="shared" si="45"/>
        <v>54</v>
      </c>
      <c r="E354" s="4">
        <f t="shared" si="46"/>
        <v>5</v>
      </c>
      <c r="F354" s="4">
        <f t="shared" si="47"/>
        <v>4</v>
      </c>
      <c r="G354" s="3">
        <f>IF(E354&gt;=20,2000,1900) + D354</f>
        <v>1954</v>
      </c>
      <c r="H354">
        <f t="shared" si="48"/>
        <v>5</v>
      </c>
      <c r="I354" s="4">
        <f t="shared" si="49"/>
        <v>4</v>
      </c>
      <c r="J354">
        <f t="shared" si="50"/>
        <v>19540504</v>
      </c>
      <c r="K354" t="str">
        <f t="shared" si="51"/>
        <v>04.05.1954</v>
      </c>
      <c r="L354" s="10">
        <f t="shared" si="52"/>
        <v>25089</v>
      </c>
      <c r="M354" s="8">
        <f t="shared" si="53"/>
        <v>68</v>
      </c>
    </row>
    <row r="355" spans="1:13" x14ac:dyDescent="0.25">
      <c r="A355" s="4" t="s">
        <v>381</v>
      </c>
      <c r="B355" t="s">
        <v>20</v>
      </c>
      <c r="C355" t="s">
        <v>6</v>
      </c>
      <c r="D355" s="3">
        <f t="shared" si="45"/>
        <v>87</v>
      </c>
      <c r="E355" s="4">
        <f t="shared" si="46"/>
        <v>11</v>
      </c>
      <c r="F355" s="4">
        <f t="shared" si="47"/>
        <v>4</v>
      </c>
      <c r="G355" s="3">
        <f>IF(E355&gt;=20,2000,1900) + D355</f>
        <v>1987</v>
      </c>
      <c r="H355">
        <f t="shared" si="48"/>
        <v>11</v>
      </c>
      <c r="I355" s="4">
        <f t="shared" si="49"/>
        <v>4</v>
      </c>
      <c r="J355">
        <f t="shared" si="50"/>
        <v>19871104</v>
      </c>
      <c r="K355" t="str">
        <f t="shared" si="51"/>
        <v>04.11.1987</v>
      </c>
      <c r="L355" s="10">
        <f t="shared" si="52"/>
        <v>12852</v>
      </c>
      <c r="M355" s="8">
        <f t="shared" si="53"/>
        <v>35</v>
      </c>
    </row>
    <row r="356" spans="1:13" x14ac:dyDescent="0.25">
      <c r="A356" s="4" t="s">
        <v>382</v>
      </c>
      <c r="B356" t="s">
        <v>18</v>
      </c>
      <c r="C356" t="s">
        <v>6</v>
      </c>
      <c r="D356" s="3">
        <f t="shared" si="45"/>
        <v>56</v>
      </c>
      <c r="E356" s="4">
        <f t="shared" si="46"/>
        <v>10</v>
      </c>
      <c r="F356" s="4">
        <f t="shared" si="47"/>
        <v>2</v>
      </c>
      <c r="G356" s="3">
        <f>IF(E356&gt;=20,2000,1900) + D356</f>
        <v>1956</v>
      </c>
      <c r="H356">
        <f t="shared" si="48"/>
        <v>10</v>
      </c>
      <c r="I356" s="4">
        <f t="shared" si="49"/>
        <v>2</v>
      </c>
      <c r="J356">
        <f t="shared" si="50"/>
        <v>19561002</v>
      </c>
      <c r="K356" t="str">
        <f t="shared" si="51"/>
        <v>02.10.1956</v>
      </c>
      <c r="L356" s="10">
        <f t="shared" si="52"/>
        <v>24207</v>
      </c>
      <c r="M356" s="8">
        <f t="shared" si="53"/>
        <v>66</v>
      </c>
    </row>
    <row r="357" spans="1:13" x14ac:dyDescent="0.25">
      <c r="A357" s="4" t="s">
        <v>383</v>
      </c>
      <c r="B357" t="s">
        <v>19</v>
      </c>
      <c r="C357" t="s">
        <v>4</v>
      </c>
      <c r="D357" s="3">
        <f t="shared" si="45"/>
        <v>87</v>
      </c>
      <c r="E357" s="4">
        <f t="shared" si="46"/>
        <v>8</v>
      </c>
      <c r="F357" s="4">
        <f t="shared" si="47"/>
        <v>17</v>
      </c>
      <c r="G357" s="3">
        <f>IF(E357&gt;=20,2000,1900) + D357</f>
        <v>1987</v>
      </c>
      <c r="H357">
        <f t="shared" si="48"/>
        <v>8</v>
      </c>
      <c r="I357" s="4">
        <f t="shared" si="49"/>
        <v>17</v>
      </c>
      <c r="J357">
        <f t="shared" si="50"/>
        <v>19870817</v>
      </c>
      <c r="K357" t="str">
        <f t="shared" si="51"/>
        <v>17.08.1987</v>
      </c>
      <c r="L357" s="10">
        <f t="shared" si="52"/>
        <v>12931</v>
      </c>
      <c r="M357" s="8">
        <f t="shared" si="53"/>
        <v>35</v>
      </c>
    </row>
    <row r="358" spans="1:13" x14ac:dyDescent="0.25">
      <c r="A358" s="4" t="s">
        <v>384</v>
      </c>
      <c r="B358" t="s">
        <v>19</v>
      </c>
      <c r="C358" t="s">
        <v>4</v>
      </c>
      <c r="D358" s="3">
        <f t="shared" si="45"/>
        <v>65</v>
      </c>
      <c r="E358" s="4">
        <f t="shared" si="46"/>
        <v>3</v>
      </c>
      <c r="F358" s="4">
        <f t="shared" si="47"/>
        <v>1</v>
      </c>
      <c r="G358" s="3">
        <f>IF(E358&gt;=20,2000,1900) + D358</f>
        <v>1965</v>
      </c>
      <c r="H358">
        <f t="shared" si="48"/>
        <v>3</v>
      </c>
      <c r="I358" s="4">
        <f t="shared" si="49"/>
        <v>1</v>
      </c>
      <c r="J358">
        <f t="shared" si="50"/>
        <v>19650301</v>
      </c>
      <c r="K358" t="str">
        <f t="shared" si="51"/>
        <v>01.03.1965</v>
      </c>
      <c r="L358" s="10">
        <f t="shared" si="52"/>
        <v>21135</v>
      </c>
      <c r="M358" s="8">
        <f t="shared" si="53"/>
        <v>57</v>
      </c>
    </row>
    <row r="359" spans="1:13" x14ac:dyDescent="0.25">
      <c r="A359" s="4" t="s">
        <v>385</v>
      </c>
      <c r="B359" t="s">
        <v>12</v>
      </c>
      <c r="C359" t="s">
        <v>6</v>
      </c>
      <c r="D359" s="3">
        <f t="shared" si="45"/>
        <v>98</v>
      </c>
      <c r="E359" s="4">
        <f t="shared" si="46"/>
        <v>10</v>
      </c>
      <c r="F359" s="4">
        <f t="shared" si="47"/>
        <v>14</v>
      </c>
      <c r="G359" s="3">
        <f>IF(E359&gt;=20,2000,1900) + D359</f>
        <v>1998</v>
      </c>
      <c r="H359">
        <f t="shared" si="48"/>
        <v>10</v>
      </c>
      <c r="I359" s="4">
        <f t="shared" si="49"/>
        <v>14</v>
      </c>
      <c r="J359">
        <f t="shared" si="50"/>
        <v>19981014</v>
      </c>
      <c r="K359" t="str">
        <f t="shared" si="51"/>
        <v>14.10.1998</v>
      </c>
      <c r="L359" s="10">
        <f t="shared" si="52"/>
        <v>8855</v>
      </c>
      <c r="M359" s="8">
        <f t="shared" si="53"/>
        <v>24</v>
      </c>
    </row>
    <row r="360" spans="1:13" x14ac:dyDescent="0.25">
      <c r="A360" s="4" t="s">
        <v>386</v>
      </c>
      <c r="B360" t="s">
        <v>16</v>
      </c>
      <c r="C360" t="s">
        <v>4</v>
      </c>
      <c r="D360" s="3">
        <f t="shared" si="45"/>
        <v>81</v>
      </c>
      <c r="E360" s="4">
        <f t="shared" si="46"/>
        <v>7</v>
      </c>
      <c r="F360" s="4">
        <f t="shared" si="47"/>
        <v>14</v>
      </c>
      <c r="G360" s="3">
        <f>IF(E360&gt;=20,2000,1900) + D360</f>
        <v>1981</v>
      </c>
      <c r="H360">
        <f t="shared" si="48"/>
        <v>7</v>
      </c>
      <c r="I360" s="4">
        <f t="shared" si="49"/>
        <v>14</v>
      </c>
      <c r="J360">
        <f t="shared" si="50"/>
        <v>19810714</v>
      </c>
      <c r="K360" t="str">
        <f t="shared" si="51"/>
        <v>14.07.1981</v>
      </c>
      <c r="L360" s="10">
        <f t="shared" si="52"/>
        <v>15156</v>
      </c>
      <c r="M360" s="8">
        <f t="shared" si="53"/>
        <v>41</v>
      </c>
    </row>
    <row r="361" spans="1:13" x14ac:dyDescent="0.25">
      <c r="A361" s="4" t="s">
        <v>387</v>
      </c>
      <c r="B361" t="s">
        <v>19</v>
      </c>
      <c r="C361" t="s">
        <v>4</v>
      </c>
      <c r="D361" s="3">
        <f t="shared" si="45"/>
        <v>82</v>
      </c>
      <c r="E361" s="4">
        <f t="shared" si="46"/>
        <v>4</v>
      </c>
      <c r="F361" s="4">
        <f t="shared" si="47"/>
        <v>28</v>
      </c>
      <c r="G361" s="3">
        <f>IF(E361&gt;=20,2000,1900) + D361</f>
        <v>1982</v>
      </c>
      <c r="H361">
        <f t="shared" si="48"/>
        <v>4</v>
      </c>
      <c r="I361" s="4">
        <f t="shared" si="49"/>
        <v>28</v>
      </c>
      <c r="J361">
        <f t="shared" si="50"/>
        <v>19820428</v>
      </c>
      <c r="K361" t="str">
        <f t="shared" si="51"/>
        <v>28.04.1982</v>
      </c>
      <c r="L361" s="10">
        <f t="shared" si="52"/>
        <v>14868</v>
      </c>
      <c r="M361" s="8">
        <f t="shared" si="53"/>
        <v>40</v>
      </c>
    </row>
    <row r="362" spans="1:13" x14ac:dyDescent="0.25">
      <c r="A362" s="4" t="s">
        <v>388</v>
      </c>
      <c r="B362" t="s">
        <v>16</v>
      </c>
      <c r="C362" t="s">
        <v>4</v>
      </c>
      <c r="D362" s="3">
        <f t="shared" si="45"/>
        <v>76</v>
      </c>
      <c r="E362" s="4">
        <f t="shared" si="46"/>
        <v>10</v>
      </c>
      <c r="F362" s="4">
        <f t="shared" si="47"/>
        <v>5</v>
      </c>
      <c r="G362" s="3">
        <f>IF(E362&gt;=20,2000,1900) + D362</f>
        <v>1976</v>
      </c>
      <c r="H362">
        <f t="shared" si="48"/>
        <v>10</v>
      </c>
      <c r="I362" s="4">
        <f t="shared" si="49"/>
        <v>5</v>
      </c>
      <c r="J362">
        <f t="shared" si="50"/>
        <v>19761005</v>
      </c>
      <c r="K362" t="str">
        <f t="shared" si="51"/>
        <v>05.10.1976</v>
      </c>
      <c r="L362" s="10">
        <f t="shared" si="52"/>
        <v>16899</v>
      </c>
      <c r="M362" s="8">
        <f t="shared" si="53"/>
        <v>46</v>
      </c>
    </row>
    <row r="363" spans="1:13" x14ac:dyDescent="0.25">
      <c r="A363" s="4" t="s">
        <v>389</v>
      </c>
      <c r="B363" t="s">
        <v>12</v>
      </c>
      <c r="C363" t="s">
        <v>6</v>
      </c>
      <c r="D363" s="3">
        <f t="shared" si="45"/>
        <v>76</v>
      </c>
      <c r="E363" s="4">
        <f t="shared" si="46"/>
        <v>2</v>
      </c>
      <c r="F363" s="4">
        <f t="shared" si="47"/>
        <v>16</v>
      </c>
      <c r="G363" s="3">
        <f>IF(E363&gt;=20,2000,1900) + D363</f>
        <v>1976</v>
      </c>
      <c r="H363">
        <f t="shared" si="48"/>
        <v>2</v>
      </c>
      <c r="I363" s="4">
        <f t="shared" si="49"/>
        <v>16</v>
      </c>
      <c r="J363">
        <f t="shared" si="50"/>
        <v>19760216</v>
      </c>
      <c r="K363" t="str">
        <f t="shared" si="51"/>
        <v>16.02.1976</v>
      </c>
      <c r="L363" s="10">
        <f t="shared" si="52"/>
        <v>17131</v>
      </c>
      <c r="M363" s="8">
        <f t="shared" si="53"/>
        <v>46</v>
      </c>
    </row>
    <row r="364" spans="1:13" x14ac:dyDescent="0.25">
      <c r="A364" s="4" t="s">
        <v>390</v>
      </c>
      <c r="B364" t="s">
        <v>15</v>
      </c>
      <c r="C364" t="s">
        <v>6</v>
      </c>
      <c r="D364" s="3">
        <f t="shared" si="45"/>
        <v>99</v>
      </c>
      <c r="E364" s="4">
        <f t="shared" si="46"/>
        <v>8</v>
      </c>
      <c r="F364" s="4">
        <f t="shared" si="47"/>
        <v>31</v>
      </c>
      <c r="G364" s="3">
        <f>IF(E364&gt;=20,2000,1900) + D364</f>
        <v>1999</v>
      </c>
      <c r="H364">
        <f t="shared" si="48"/>
        <v>8</v>
      </c>
      <c r="I364" s="4">
        <f t="shared" si="49"/>
        <v>31</v>
      </c>
      <c r="J364">
        <f t="shared" si="50"/>
        <v>19990831</v>
      </c>
      <c r="K364" t="str">
        <f t="shared" si="51"/>
        <v>31.08.1999</v>
      </c>
      <c r="L364" s="10">
        <f t="shared" si="52"/>
        <v>8534</v>
      </c>
      <c r="M364" s="8">
        <f t="shared" si="53"/>
        <v>23</v>
      </c>
    </row>
    <row r="365" spans="1:13" x14ac:dyDescent="0.25">
      <c r="A365" s="4" t="s">
        <v>391</v>
      </c>
      <c r="B365" t="s">
        <v>5</v>
      </c>
      <c r="C365" t="s">
        <v>6</v>
      </c>
      <c r="D365" s="3">
        <f t="shared" si="45"/>
        <v>53</v>
      </c>
      <c r="E365" s="4">
        <f t="shared" si="46"/>
        <v>4</v>
      </c>
      <c r="F365" s="4">
        <f t="shared" si="47"/>
        <v>14</v>
      </c>
      <c r="G365" s="3">
        <f>IF(E365&gt;=20,2000,1900) + D365</f>
        <v>1953</v>
      </c>
      <c r="H365">
        <f t="shared" si="48"/>
        <v>4</v>
      </c>
      <c r="I365" s="4">
        <f t="shared" si="49"/>
        <v>14</v>
      </c>
      <c r="J365">
        <f t="shared" si="50"/>
        <v>19530414</v>
      </c>
      <c r="K365" t="str">
        <f t="shared" si="51"/>
        <v>14.04.1953</v>
      </c>
      <c r="L365" s="10">
        <f t="shared" si="52"/>
        <v>25474</v>
      </c>
      <c r="M365" s="8">
        <f t="shared" si="53"/>
        <v>69</v>
      </c>
    </row>
    <row r="366" spans="1:13" x14ac:dyDescent="0.25">
      <c r="A366" s="4" t="s">
        <v>392</v>
      </c>
      <c r="B366" t="s">
        <v>19</v>
      </c>
      <c r="C366" t="s">
        <v>4</v>
      </c>
      <c r="D366" s="3">
        <f t="shared" si="45"/>
        <v>82</v>
      </c>
      <c r="E366" s="4">
        <f t="shared" si="46"/>
        <v>4</v>
      </c>
      <c r="F366" s="4">
        <f t="shared" si="47"/>
        <v>6</v>
      </c>
      <c r="G366" s="3">
        <f>IF(E366&gt;=20,2000,1900) + D366</f>
        <v>1982</v>
      </c>
      <c r="H366">
        <f t="shared" si="48"/>
        <v>4</v>
      </c>
      <c r="I366" s="4">
        <f t="shared" si="49"/>
        <v>6</v>
      </c>
      <c r="J366">
        <f t="shared" si="50"/>
        <v>19820406</v>
      </c>
      <c r="K366" t="str">
        <f t="shared" si="51"/>
        <v>06.04.1982</v>
      </c>
      <c r="L366" s="10">
        <f t="shared" si="52"/>
        <v>14890</v>
      </c>
      <c r="M366" s="8">
        <f t="shared" si="53"/>
        <v>40</v>
      </c>
    </row>
    <row r="367" spans="1:13" x14ac:dyDescent="0.25">
      <c r="A367" s="4" t="s">
        <v>393</v>
      </c>
      <c r="B367" t="s">
        <v>16</v>
      </c>
      <c r="C367" t="s">
        <v>4</v>
      </c>
      <c r="D367" s="3">
        <f t="shared" si="45"/>
        <v>98</v>
      </c>
      <c r="E367" s="4">
        <f t="shared" si="46"/>
        <v>6</v>
      </c>
      <c r="F367" s="4">
        <f t="shared" si="47"/>
        <v>28</v>
      </c>
      <c r="G367" s="3">
        <f>IF(E367&gt;=20,2000,1900) + D367</f>
        <v>1998</v>
      </c>
      <c r="H367">
        <f t="shared" si="48"/>
        <v>6</v>
      </c>
      <c r="I367" s="4">
        <f t="shared" si="49"/>
        <v>28</v>
      </c>
      <c r="J367">
        <f t="shared" si="50"/>
        <v>19980628</v>
      </c>
      <c r="K367" t="str">
        <f t="shared" si="51"/>
        <v>28.06.1998</v>
      </c>
      <c r="L367" s="10">
        <f t="shared" si="52"/>
        <v>8963</v>
      </c>
      <c r="M367" s="8">
        <f t="shared" si="53"/>
        <v>24</v>
      </c>
    </row>
    <row r="368" spans="1:13" x14ac:dyDescent="0.25">
      <c r="A368" s="4" t="s">
        <v>394</v>
      </c>
      <c r="B368" t="s">
        <v>12</v>
      </c>
      <c r="C368" t="s">
        <v>4</v>
      </c>
      <c r="D368" s="3">
        <f t="shared" si="45"/>
        <v>71</v>
      </c>
      <c r="E368" s="4">
        <f t="shared" si="46"/>
        <v>8</v>
      </c>
      <c r="F368" s="4">
        <f t="shared" si="47"/>
        <v>24</v>
      </c>
      <c r="G368" s="3">
        <f>IF(E368&gt;=20,2000,1900) + D368</f>
        <v>1971</v>
      </c>
      <c r="H368">
        <f t="shared" si="48"/>
        <v>8</v>
      </c>
      <c r="I368" s="4">
        <f t="shared" si="49"/>
        <v>24</v>
      </c>
      <c r="J368">
        <f t="shared" si="50"/>
        <v>19710824</v>
      </c>
      <c r="K368" t="str">
        <f t="shared" si="51"/>
        <v>24.08.1971</v>
      </c>
      <c r="L368" s="10">
        <f t="shared" si="52"/>
        <v>18768</v>
      </c>
      <c r="M368" s="8">
        <f t="shared" si="53"/>
        <v>51</v>
      </c>
    </row>
    <row r="369" spans="1:13" x14ac:dyDescent="0.25">
      <c r="A369" s="4" t="s">
        <v>395</v>
      </c>
      <c r="B369" t="s">
        <v>12</v>
      </c>
      <c r="C369" t="s">
        <v>4</v>
      </c>
      <c r="D369" s="3">
        <f t="shared" si="45"/>
        <v>98</v>
      </c>
      <c r="E369" s="4">
        <f t="shared" si="46"/>
        <v>12</v>
      </c>
      <c r="F369" s="4">
        <f t="shared" si="47"/>
        <v>14</v>
      </c>
      <c r="G369" s="3">
        <f>IF(E369&gt;=20,2000,1900) + D369</f>
        <v>1998</v>
      </c>
      <c r="H369">
        <f t="shared" si="48"/>
        <v>12</v>
      </c>
      <c r="I369" s="4">
        <f t="shared" si="49"/>
        <v>14</v>
      </c>
      <c r="J369">
        <f t="shared" si="50"/>
        <v>19981214</v>
      </c>
      <c r="K369" t="str">
        <f t="shared" si="51"/>
        <v>14.12.1998</v>
      </c>
      <c r="L369" s="10">
        <f t="shared" si="52"/>
        <v>8794</v>
      </c>
      <c r="M369" s="8">
        <f t="shared" si="53"/>
        <v>24</v>
      </c>
    </row>
    <row r="370" spans="1:13" x14ac:dyDescent="0.25">
      <c r="A370" s="4" t="s">
        <v>396</v>
      </c>
      <c r="B370" t="s">
        <v>10</v>
      </c>
      <c r="C370" t="s">
        <v>4</v>
      </c>
      <c r="D370" s="3">
        <f t="shared" si="45"/>
        <v>68</v>
      </c>
      <c r="E370" s="4">
        <f t="shared" si="46"/>
        <v>11</v>
      </c>
      <c r="F370" s="4">
        <f t="shared" si="47"/>
        <v>12</v>
      </c>
      <c r="G370" s="3">
        <f>IF(E370&gt;=20,2000,1900) + D370</f>
        <v>1968</v>
      </c>
      <c r="H370">
        <f t="shared" si="48"/>
        <v>11</v>
      </c>
      <c r="I370" s="4">
        <f t="shared" si="49"/>
        <v>12</v>
      </c>
      <c r="J370">
        <f t="shared" si="50"/>
        <v>19681112</v>
      </c>
      <c r="K370" t="str">
        <f t="shared" si="51"/>
        <v>12.11.1968</v>
      </c>
      <c r="L370" s="10">
        <f t="shared" si="52"/>
        <v>19783</v>
      </c>
      <c r="M370" s="8">
        <f t="shared" si="53"/>
        <v>54</v>
      </c>
    </row>
    <row r="371" spans="1:13" x14ac:dyDescent="0.25">
      <c r="A371" s="4" t="s">
        <v>397</v>
      </c>
      <c r="B371" t="s">
        <v>9</v>
      </c>
      <c r="C371" t="s">
        <v>6</v>
      </c>
      <c r="D371" s="3">
        <f t="shared" si="45"/>
        <v>96</v>
      </c>
      <c r="E371" s="4">
        <f t="shared" si="46"/>
        <v>11</v>
      </c>
      <c r="F371" s="4">
        <f t="shared" si="47"/>
        <v>25</v>
      </c>
      <c r="G371" s="3">
        <f>IF(E371&gt;=20,2000,1900) + D371</f>
        <v>1996</v>
      </c>
      <c r="H371">
        <f t="shared" si="48"/>
        <v>11</v>
      </c>
      <c r="I371" s="4">
        <f t="shared" si="49"/>
        <v>25</v>
      </c>
      <c r="J371">
        <f t="shared" si="50"/>
        <v>19961125</v>
      </c>
      <c r="K371" t="str">
        <f t="shared" si="51"/>
        <v>25.11.1996</v>
      </c>
      <c r="L371" s="10">
        <f t="shared" si="52"/>
        <v>9543</v>
      </c>
      <c r="M371" s="8">
        <f t="shared" si="53"/>
        <v>26</v>
      </c>
    </row>
    <row r="372" spans="1:13" x14ac:dyDescent="0.25">
      <c r="A372" s="4" t="s">
        <v>398</v>
      </c>
      <c r="B372" t="s">
        <v>7</v>
      </c>
      <c r="C372" t="s">
        <v>4</v>
      </c>
      <c r="D372" s="3">
        <f t="shared" si="45"/>
        <v>62</v>
      </c>
      <c r="E372" s="4">
        <f t="shared" si="46"/>
        <v>6</v>
      </c>
      <c r="F372" s="4">
        <f t="shared" si="47"/>
        <v>29</v>
      </c>
      <c r="G372" s="3">
        <f>IF(E372&gt;=20,2000,1900) + D372</f>
        <v>1962</v>
      </c>
      <c r="H372">
        <f t="shared" si="48"/>
        <v>6</v>
      </c>
      <c r="I372" s="4">
        <f t="shared" si="49"/>
        <v>29</v>
      </c>
      <c r="J372">
        <f t="shared" si="50"/>
        <v>19620629</v>
      </c>
      <c r="K372" t="str">
        <f t="shared" si="51"/>
        <v>29.06.1962</v>
      </c>
      <c r="L372" s="10">
        <f t="shared" si="52"/>
        <v>22111</v>
      </c>
      <c r="M372" s="8">
        <f t="shared" si="53"/>
        <v>60</v>
      </c>
    </row>
    <row r="373" spans="1:13" x14ac:dyDescent="0.25">
      <c r="A373" s="4" t="s">
        <v>399</v>
      </c>
      <c r="B373" t="s">
        <v>12</v>
      </c>
      <c r="C373" t="s">
        <v>4</v>
      </c>
      <c r="D373" s="3">
        <f t="shared" si="45"/>
        <v>98</v>
      </c>
      <c r="E373" s="4">
        <f t="shared" si="46"/>
        <v>1</v>
      </c>
      <c r="F373" s="4">
        <f t="shared" si="47"/>
        <v>20</v>
      </c>
      <c r="G373" s="3">
        <f>IF(E373&gt;=20,2000,1900) + D373</f>
        <v>1998</v>
      </c>
      <c r="H373">
        <f t="shared" si="48"/>
        <v>1</v>
      </c>
      <c r="I373" s="4">
        <f t="shared" si="49"/>
        <v>20</v>
      </c>
      <c r="J373">
        <f t="shared" si="50"/>
        <v>19980120</v>
      </c>
      <c r="K373" t="str">
        <f t="shared" si="51"/>
        <v>20.01.1998</v>
      </c>
      <c r="L373" s="10">
        <f t="shared" si="52"/>
        <v>9122</v>
      </c>
      <c r="M373" s="8">
        <f t="shared" si="53"/>
        <v>24</v>
      </c>
    </row>
    <row r="374" spans="1:13" x14ac:dyDescent="0.25">
      <c r="A374" s="4" t="s">
        <v>400</v>
      </c>
      <c r="B374" t="s">
        <v>7</v>
      </c>
      <c r="C374" t="s">
        <v>6</v>
      </c>
      <c r="D374" s="3">
        <f t="shared" si="45"/>
        <v>81</v>
      </c>
      <c r="E374" s="4">
        <f t="shared" si="46"/>
        <v>6</v>
      </c>
      <c r="F374" s="4">
        <f t="shared" si="47"/>
        <v>16</v>
      </c>
      <c r="G374" s="3">
        <f>IF(E374&gt;=20,2000,1900) + D374</f>
        <v>1981</v>
      </c>
      <c r="H374">
        <f t="shared" si="48"/>
        <v>6</v>
      </c>
      <c r="I374" s="4">
        <f t="shared" si="49"/>
        <v>16</v>
      </c>
      <c r="J374">
        <f t="shared" si="50"/>
        <v>19810616</v>
      </c>
      <c r="K374" t="str">
        <f t="shared" si="51"/>
        <v>16.06.1981</v>
      </c>
      <c r="L374" s="10">
        <f t="shared" si="52"/>
        <v>15184</v>
      </c>
      <c r="M374" s="8">
        <f t="shared" si="53"/>
        <v>41</v>
      </c>
    </row>
    <row r="375" spans="1:13" x14ac:dyDescent="0.25">
      <c r="A375" s="4" t="s">
        <v>401</v>
      </c>
      <c r="B375" t="s">
        <v>14</v>
      </c>
      <c r="C375" t="s">
        <v>6</v>
      </c>
      <c r="D375" s="3">
        <f t="shared" si="45"/>
        <v>71</v>
      </c>
      <c r="E375" s="4">
        <f t="shared" si="46"/>
        <v>9</v>
      </c>
      <c r="F375" s="4">
        <f t="shared" si="47"/>
        <v>28</v>
      </c>
      <c r="G375" s="3">
        <f>IF(E375&gt;=20,2000,1900) + D375</f>
        <v>1971</v>
      </c>
      <c r="H375">
        <f t="shared" si="48"/>
        <v>9</v>
      </c>
      <c r="I375" s="4">
        <f t="shared" si="49"/>
        <v>28</v>
      </c>
      <c r="J375">
        <f t="shared" si="50"/>
        <v>19710928</v>
      </c>
      <c r="K375" t="str">
        <f t="shared" si="51"/>
        <v>28.09.1971</v>
      </c>
      <c r="L375" s="10">
        <f t="shared" si="52"/>
        <v>18733</v>
      </c>
      <c r="M375" s="8">
        <f t="shared" si="53"/>
        <v>51</v>
      </c>
    </row>
    <row r="376" spans="1:13" x14ac:dyDescent="0.25">
      <c r="A376" s="4" t="s">
        <v>402</v>
      </c>
      <c r="B376" t="s">
        <v>12</v>
      </c>
      <c r="C376" t="s">
        <v>6</v>
      </c>
      <c r="D376" s="3">
        <f t="shared" si="45"/>
        <v>86</v>
      </c>
      <c r="E376" s="4">
        <f t="shared" si="46"/>
        <v>12</v>
      </c>
      <c r="F376" s="4">
        <f t="shared" si="47"/>
        <v>16</v>
      </c>
      <c r="G376" s="3">
        <f>IF(E376&gt;=20,2000,1900) + D376</f>
        <v>1986</v>
      </c>
      <c r="H376">
        <f t="shared" si="48"/>
        <v>12</v>
      </c>
      <c r="I376" s="4">
        <f t="shared" si="49"/>
        <v>16</v>
      </c>
      <c r="J376">
        <f t="shared" si="50"/>
        <v>19861216</v>
      </c>
      <c r="K376" t="str">
        <f t="shared" si="51"/>
        <v>16.12.1986</v>
      </c>
      <c r="L376" s="10">
        <f t="shared" si="52"/>
        <v>13175</v>
      </c>
      <c r="M376" s="8">
        <f t="shared" si="53"/>
        <v>36</v>
      </c>
    </row>
    <row r="377" spans="1:13" x14ac:dyDescent="0.25">
      <c r="A377" s="4" t="s">
        <v>403</v>
      </c>
      <c r="B377" t="s">
        <v>18</v>
      </c>
      <c r="C377" t="s">
        <v>4</v>
      </c>
      <c r="D377" s="3">
        <f t="shared" si="45"/>
        <v>57</v>
      </c>
      <c r="E377" s="4">
        <f t="shared" si="46"/>
        <v>12</v>
      </c>
      <c r="F377" s="4">
        <f t="shared" si="47"/>
        <v>16</v>
      </c>
      <c r="G377" s="3">
        <f>IF(E377&gt;=20,2000,1900) + D377</f>
        <v>1957</v>
      </c>
      <c r="H377">
        <f t="shared" si="48"/>
        <v>12</v>
      </c>
      <c r="I377" s="4">
        <f t="shared" si="49"/>
        <v>16</v>
      </c>
      <c r="J377">
        <f t="shared" si="50"/>
        <v>19571216</v>
      </c>
      <c r="K377" t="str">
        <f t="shared" si="51"/>
        <v>16.12.1957</v>
      </c>
      <c r="L377" s="10">
        <f t="shared" si="52"/>
        <v>23767</v>
      </c>
      <c r="M377" s="8">
        <f t="shared" si="53"/>
        <v>65</v>
      </c>
    </row>
    <row r="378" spans="1:13" x14ac:dyDescent="0.25">
      <c r="A378" s="4" t="s">
        <v>404</v>
      </c>
      <c r="B378" t="s">
        <v>7</v>
      </c>
      <c r="C378" t="s">
        <v>4</v>
      </c>
      <c r="D378" s="3">
        <f t="shared" si="45"/>
        <v>60</v>
      </c>
      <c r="E378" s="4">
        <f t="shared" si="46"/>
        <v>2</v>
      </c>
      <c r="F378" s="4">
        <f t="shared" si="47"/>
        <v>7</v>
      </c>
      <c r="G378" s="3">
        <f>IF(E378&gt;=20,2000,1900) + D378</f>
        <v>1960</v>
      </c>
      <c r="H378">
        <f t="shared" si="48"/>
        <v>2</v>
      </c>
      <c r="I378" s="4">
        <f t="shared" si="49"/>
        <v>7</v>
      </c>
      <c r="J378">
        <f t="shared" si="50"/>
        <v>19600207</v>
      </c>
      <c r="K378" t="str">
        <f t="shared" si="51"/>
        <v>07.02.1960</v>
      </c>
      <c r="L378" s="10">
        <f t="shared" si="52"/>
        <v>22984</v>
      </c>
      <c r="M378" s="8">
        <f t="shared" si="53"/>
        <v>62</v>
      </c>
    </row>
    <row r="379" spans="1:13" x14ac:dyDescent="0.25">
      <c r="A379" s="4" t="s">
        <v>405</v>
      </c>
      <c r="B379" t="s">
        <v>12</v>
      </c>
      <c r="C379" t="s">
        <v>4</v>
      </c>
      <c r="D379" s="3">
        <f t="shared" si="45"/>
        <v>75</v>
      </c>
      <c r="E379" s="4">
        <f t="shared" si="46"/>
        <v>2</v>
      </c>
      <c r="F379" s="4">
        <f t="shared" si="47"/>
        <v>4</v>
      </c>
      <c r="G379" s="3">
        <f>IF(E379&gt;=20,2000,1900) + D379</f>
        <v>1975</v>
      </c>
      <c r="H379">
        <f t="shared" si="48"/>
        <v>2</v>
      </c>
      <c r="I379" s="4">
        <f t="shared" si="49"/>
        <v>4</v>
      </c>
      <c r="J379">
        <f t="shared" si="50"/>
        <v>19750204</v>
      </c>
      <c r="K379" t="str">
        <f t="shared" si="51"/>
        <v>04.02.1975</v>
      </c>
      <c r="L379" s="10">
        <f t="shared" si="52"/>
        <v>17508</v>
      </c>
      <c r="M379" s="8">
        <f t="shared" si="53"/>
        <v>47</v>
      </c>
    </row>
    <row r="380" spans="1:13" x14ac:dyDescent="0.25">
      <c r="A380" s="4" t="s">
        <v>406</v>
      </c>
      <c r="B380" t="s">
        <v>18</v>
      </c>
      <c r="C380" t="s">
        <v>4</v>
      </c>
      <c r="D380" s="3">
        <f t="shared" si="45"/>
        <v>77</v>
      </c>
      <c r="E380" s="4">
        <f t="shared" si="46"/>
        <v>11</v>
      </c>
      <c r="F380" s="4">
        <f t="shared" si="47"/>
        <v>15</v>
      </c>
      <c r="G380" s="3">
        <f>IF(E380&gt;=20,2000,1900) + D380</f>
        <v>1977</v>
      </c>
      <c r="H380">
        <f t="shared" si="48"/>
        <v>11</v>
      </c>
      <c r="I380" s="4">
        <f t="shared" si="49"/>
        <v>15</v>
      </c>
      <c r="J380">
        <f t="shared" si="50"/>
        <v>19771115</v>
      </c>
      <c r="K380" t="str">
        <f t="shared" si="51"/>
        <v>15.11.1977</v>
      </c>
      <c r="L380" s="10">
        <f t="shared" si="52"/>
        <v>16493</v>
      </c>
      <c r="M380" s="8">
        <f t="shared" si="53"/>
        <v>45</v>
      </c>
    </row>
    <row r="381" spans="1:13" x14ac:dyDescent="0.25">
      <c r="A381" s="4" t="s">
        <v>407</v>
      </c>
      <c r="B381" t="s">
        <v>16</v>
      </c>
      <c r="C381" t="s">
        <v>4</v>
      </c>
      <c r="D381" s="3">
        <f t="shared" si="45"/>
        <v>58</v>
      </c>
      <c r="E381" s="4">
        <f t="shared" si="46"/>
        <v>2</v>
      </c>
      <c r="F381" s="4">
        <f t="shared" si="47"/>
        <v>17</v>
      </c>
      <c r="G381" s="3">
        <f>IF(E381&gt;=20,2000,1900) + D381</f>
        <v>1958</v>
      </c>
      <c r="H381">
        <f t="shared" si="48"/>
        <v>2</v>
      </c>
      <c r="I381" s="4">
        <f t="shared" si="49"/>
        <v>17</v>
      </c>
      <c r="J381">
        <f t="shared" si="50"/>
        <v>19580217</v>
      </c>
      <c r="K381" t="str">
        <f t="shared" si="51"/>
        <v>17.02.1958</v>
      </c>
      <c r="L381" s="10">
        <f t="shared" si="52"/>
        <v>23704</v>
      </c>
      <c r="M381" s="8">
        <f t="shared" si="53"/>
        <v>64</v>
      </c>
    </row>
    <row r="382" spans="1:13" x14ac:dyDescent="0.25">
      <c r="A382" s="4" t="s">
        <v>408</v>
      </c>
      <c r="B382" t="s">
        <v>13</v>
      </c>
      <c r="C382" t="s">
        <v>4</v>
      </c>
      <c r="D382" s="3">
        <f t="shared" si="45"/>
        <v>76</v>
      </c>
      <c r="E382" s="4">
        <f t="shared" si="46"/>
        <v>8</v>
      </c>
      <c r="F382" s="4">
        <f t="shared" si="47"/>
        <v>27</v>
      </c>
      <c r="G382" s="3">
        <f>IF(E382&gt;=20,2000,1900) + D382</f>
        <v>1976</v>
      </c>
      <c r="H382">
        <f t="shared" si="48"/>
        <v>8</v>
      </c>
      <c r="I382" s="4">
        <f t="shared" si="49"/>
        <v>27</v>
      </c>
      <c r="J382">
        <f t="shared" si="50"/>
        <v>19760827</v>
      </c>
      <c r="K382" t="str">
        <f t="shared" si="51"/>
        <v>27.08.1976</v>
      </c>
      <c r="L382" s="10">
        <f t="shared" si="52"/>
        <v>16938</v>
      </c>
      <c r="M382" s="8">
        <f t="shared" si="53"/>
        <v>46</v>
      </c>
    </row>
    <row r="383" spans="1:13" x14ac:dyDescent="0.25">
      <c r="A383" s="4" t="s">
        <v>409</v>
      </c>
      <c r="B383" t="s">
        <v>7</v>
      </c>
      <c r="C383" t="s">
        <v>4</v>
      </c>
      <c r="D383" s="3">
        <f t="shared" si="45"/>
        <v>98</v>
      </c>
      <c r="E383" s="4">
        <f t="shared" si="46"/>
        <v>6</v>
      </c>
      <c r="F383" s="4">
        <f t="shared" si="47"/>
        <v>7</v>
      </c>
      <c r="G383" s="3">
        <f>IF(E383&gt;=20,2000,1900) + D383</f>
        <v>1998</v>
      </c>
      <c r="H383">
        <f t="shared" si="48"/>
        <v>6</v>
      </c>
      <c r="I383" s="4">
        <f t="shared" si="49"/>
        <v>7</v>
      </c>
      <c r="J383">
        <f t="shared" si="50"/>
        <v>19980607</v>
      </c>
      <c r="K383" t="str">
        <f t="shared" si="51"/>
        <v>07.06.1998</v>
      </c>
      <c r="L383" s="10">
        <f t="shared" si="52"/>
        <v>8984</v>
      </c>
      <c r="M383" s="8">
        <f t="shared" si="53"/>
        <v>24</v>
      </c>
    </row>
    <row r="384" spans="1:13" x14ac:dyDescent="0.25">
      <c r="A384" s="4" t="s">
        <v>410</v>
      </c>
      <c r="B384" t="s">
        <v>5</v>
      </c>
      <c r="C384" t="s">
        <v>6</v>
      </c>
      <c r="D384" s="3">
        <f t="shared" si="45"/>
        <v>50</v>
      </c>
      <c r="E384" s="4">
        <f t="shared" si="46"/>
        <v>11</v>
      </c>
      <c r="F384" s="4">
        <f t="shared" si="47"/>
        <v>19</v>
      </c>
      <c r="G384" s="3">
        <f>IF(E384&gt;=20,2000,1900) + D384</f>
        <v>1950</v>
      </c>
      <c r="H384">
        <f t="shared" si="48"/>
        <v>11</v>
      </c>
      <c r="I384" s="4">
        <f t="shared" si="49"/>
        <v>19</v>
      </c>
      <c r="J384">
        <f t="shared" si="50"/>
        <v>19501119</v>
      </c>
      <c r="K384" t="str">
        <f t="shared" si="51"/>
        <v>19.11.1950</v>
      </c>
      <c r="L384" s="10">
        <f t="shared" si="52"/>
        <v>26351</v>
      </c>
      <c r="M384" s="8">
        <f t="shared" si="53"/>
        <v>72</v>
      </c>
    </row>
    <row r="385" spans="1:13" x14ac:dyDescent="0.25">
      <c r="A385" s="4" t="s">
        <v>411</v>
      </c>
      <c r="B385" t="s">
        <v>5</v>
      </c>
      <c r="C385" t="s">
        <v>6</v>
      </c>
      <c r="D385" s="3">
        <f t="shared" si="45"/>
        <v>64</v>
      </c>
      <c r="E385" s="4">
        <f t="shared" si="46"/>
        <v>1</v>
      </c>
      <c r="F385" s="4">
        <f t="shared" si="47"/>
        <v>19</v>
      </c>
      <c r="G385" s="3">
        <f>IF(E385&gt;=20,2000,1900) + D385</f>
        <v>1964</v>
      </c>
      <c r="H385">
        <f t="shared" si="48"/>
        <v>1</v>
      </c>
      <c r="I385" s="4">
        <f t="shared" si="49"/>
        <v>19</v>
      </c>
      <c r="J385">
        <f t="shared" si="50"/>
        <v>19640119</v>
      </c>
      <c r="K385" t="str">
        <f t="shared" si="51"/>
        <v>19.01.1964</v>
      </c>
      <c r="L385" s="10">
        <f t="shared" si="52"/>
        <v>21542</v>
      </c>
      <c r="M385" s="8">
        <f t="shared" si="53"/>
        <v>58</v>
      </c>
    </row>
    <row r="386" spans="1:13" x14ac:dyDescent="0.25">
      <c r="A386" s="4" t="s">
        <v>412</v>
      </c>
      <c r="B386" t="s">
        <v>10</v>
      </c>
      <c r="C386" t="s">
        <v>6</v>
      </c>
      <c r="D386" s="3">
        <f t="shared" si="45"/>
        <v>64</v>
      </c>
      <c r="E386" s="4">
        <f t="shared" si="46"/>
        <v>11</v>
      </c>
      <c r="F386" s="4">
        <f t="shared" si="47"/>
        <v>19</v>
      </c>
      <c r="G386" s="3">
        <f>IF(E386&gt;=20,2000,1900) + D386</f>
        <v>1964</v>
      </c>
      <c r="H386">
        <f t="shared" si="48"/>
        <v>11</v>
      </c>
      <c r="I386" s="4">
        <f t="shared" si="49"/>
        <v>19</v>
      </c>
      <c r="J386">
        <f t="shared" si="50"/>
        <v>19641119</v>
      </c>
      <c r="K386" t="str">
        <f t="shared" si="51"/>
        <v>19.11.1964</v>
      </c>
      <c r="L386" s="10">
        <f t="shared" si="52"/>
        <v>21237</v>
      </c>
      <c r="M386" s="8">
        <f t="shared" si="53"/>
        <v>58</v>
      </c>
    </row>
    <row r="387" spans="1:13" x14ac:dyDescent="0.25">
      <c r="A387" s="4" t="s">
        <v>413</v>
      </c>
      <c r="B387" t="s">
        <v>14</v>
      </c>
      <c r="C387" t="s">
        <v>6</v>
      </c>
      <c r="D387" s="3">
        <f t="shared" ref="D387:D450" si="54">MID(A387,1,2)*1</f>
        <v>67</v>
      </c>
      <c r="E387" s="4">
        <f t="shared" ref="E387:E450" si="55">MID(A387,3,2)*1</f>
        <v>9</v>
      </c>
      <c r="F387" s="4">
        <f t="shared" ref="F387:F450" si="56">MID(A387,5,2)*1</f>
        <v>8</v>
      </c>
      <c r="G387" s="3">
        <f>IF(E387&gt;=20,2000,1900) + D387</f>
        <v>1967</v>
      </c>
      <c r="H387">
        <f t="shared" ref="H387:H450" si="57">IF(E387&gt;=20,E387-20,E387)</f>
        <v>9</v>
      </c>
      <c r="I387" s="4">
        <f t="shared" ref="I387:I450" si="58">F387</f>
        <v>8</v>
      </c>
      <c r="J387">
        <f t="shared" ref="J387:J450" si="59">CONCATENATE(G387,IF(LEN(H387)=1,CONCATENATE("0",H387),H387),IF(LEN(F387)=1,CONCATENATE("0",F387),F387))*1</f>
        <v>19670908</v>
      </c>
      <c r="K387" t="str">
        <f t="shared" ref="K387:K450" si="60">CONCATENATE(RIGHT(J387,2),".",MID(J387,5,2),".",LEFT(J387,4))</f>
        <v>08.09.1967</v>
      </c>
      <c r="L387" s="10">
        <f t="shared" ref="L387:L450" si="61">44937-K387</f>
        <v>20214</v>
      </c>
      <c r="M387" s="8">
        <f t="shared" ref="M387:M450" si="62">YEAR(L387)-1900</f>
        <v>55</v>
      </c>
    </row>
    <row r="388" spans="1:13" x14ac:dyDescent="0.25">
      <c r="A388" s="4" t="s">
        <v>414</v>
      </c>
      <c r="B388" t="s">
        <v>3</v>
      </c>
      <c r="C388" t="s">
        <v>6</v>
      </c>
      <c r="D388" s="3">
        <f t="shared" si="54"/>
        <v>55</v>
      </c>
      <c r="E388" s="4">
        <f t="shared" si="55"/>
        <v>1</v>
      </c>
      <c r="F388" s="4">
        <f t="shared" si="56"/>
        <v>17</v>
      </c>
      <c r="G388" s="3">
        <f>IF(E388&gt;=20,2000,1900) + D388</f>
        <v>1955</v>
      </c>
      <c r="H388">
        <f t="shared" si="57"/>
        <v>1</v>
      </c>
      <c r="I388" s="4">
        <f t="shared" si="58"/>
        <v>17</v>
      </c>
      <c r="J388">
        <f t="shared" si="59"/>
        <v>19550117</v>
      </c>
      <c r="K388" t="str">
        <f t="shared" si="60"/>
        <v>17.01.1955</v>
      </c>
      <c r="L388" s="10">
        <f t="shared" si="61"/>
        <v>24831</v>
      </c>
      <c r="M388" s="8">
        <f t="shared" si="62"/>
        <v>67</v>
      </c>
    </row>
    <row r="389" spans="1:13" x14ac:dyDescent="0.25">
      <c r="A389" s="4" t="s">
        <v>415</v>
      </c>
      <c r="B389" t="s">
        <v>16</v>
      </c>
      <c r="C389" t="s">
        <v>4</v>
      </c>
      <c r="D389" s="3">
        <f t="shared" si="54"/>
        <v>76</v>
      </c>
      <c r="E389" s="4">
        <f t="shared" si="55"/>
        <v>9</v>
      </c>
      <c r="F389" s="4">
        <f t="shared" si="56"/>
        <v>4</v>
      </c>
      <c r="G389" s="3">
        <f>IF(E389&gt;=20,2000,1900) + D389</f>
        <v>1976</v>
      </c>
      <c r="H389">
        <f t="shared" si="57"/>
        <v>9</v>
      </c>
      <c r="I389" s="4">
        <f t="shared" si="58"/>
        <v>4</v>
      </c>
      <c r="J389">
        <f t="shared" si="59"/>
        <v>19760904</v>
      </c>
      <c r="K389" t="str">
        <f t="shared" si="60"/>
        <v>04.09.1976</v>
      </c>
      <c r="L389" s="10">
        <f t="shared" si="61"/>
        <v>16930</v>
      </c>
      <c r="M389" s="8">
        <f t="shared" si="62"/>
        <v>46</v>
      </c>
    </row>
    <row r="390" spans="1:13" x14ac:dyDescent="0.25">
      <c r="A390" s="4" t="s">
        <v>416</v>
      </c>
      <c r="B390" t="s">
        <v>19</v>
      </c>
      <c r="C390" t="s">
        <v>6</v>
      </c>
      <c r="D390" s="3">
        <f t="shared" si="54"/>
        <v>80</v>
      </c>
      <c r="E390" s="4">
        <f t="shared" si="55"/>
        <v>2</v>
      </c>
      <c r="F390" s="4">
        <f t="shared" si="56"/>
        <v>8</v>
      </c>
      <c r="G390" s="3">
        <f>IF(E390&gt;=20,2000,1900) + D390</f>
        <v>1980</v>
      </c>
      <c r="H390">
        <f t="shared" si="57"/>
        <v>2</v>
      </c>
      <c r="I390" s="4">
        <f t="shared" si="58"/>
        <v>8</v>
      </c>
      <c r="J390">
        <f t="shared" si="59"/>
        <v>19800208</v>
      </c>
      <c r="K390" t="str">
        <f t="shared" si="60"/>
        <v>08.02.1980</v>
      </c>
      <c r="L390" s="10">
        <f t="shared" si="61"/>
        <v>15678</v>
      </c>
      <c r="M390" s="8">
        <f t="shared" si="62"/>
        <v>42</v>
      </c>
    </row>
    <row r="391" spans="1:13" x14ac:dyDescent="0.25">
      <c r="A391" s="4" t="s">
        <v>417</v>
      </c>
      <c r="B391" t="s">
        <v>17</v>
      </c>
      <c r="C391" t="s">
        <v>6</v>
      </c>
      <c r="D391" s="3">
        <f t="shared" si="54"/>
        <v>73</v>
      </c>
      <c r="E391" s="4">
        <f t="shared" si="55"/>
        <v>2</v>
      </c>
      <c r="F391" s="4">
        <f t="shared" si="56"/>
        <v>1</v>
      </c>
      <c r="G391" s="3">
        <f>IF(E391&gt;=20,2000,1900) + D391</f>
        <v>1973</v>
      </c>
      <c r="H391">
        <f t="shared" si="57"/>
        <v>2</v>
      </c>
      <c r="I391" s="4">
        <f t="shared" si="58"/>
        <v>1</v>
      </c>
      <c r="J391">
        <f t="shared" si="59"/>
        <v>19730201</v>
      </c>
      <c r="K391" t="str">
        <f t="shared" si="60"/>
        <v>01.02.1973</v>
      </c>
      <c r="L391" s="10">
        <f t="shared" si="61"/>
        <v>18241</v>
      </c>
      <c r="M391" s="8">
        <f t="shared" si="62"/>
        <v>49</v>
      </c>
    </row>
    <row r="392" spans="1:13" x14ac:dyDescent="0.25">
      <c r="A392" s="4" t="s">
        <v>418</v>
      </c>
      <c r="B392" t="s">
        <v>20</v>
      </c>
      <c r="C392" t="s">
        <v>4</v>
      </c>
      <c r="D392" s="3">
        <f t="shared" si="54"/>
        <v>67</v>
      </c>
      <c r="E392" s="4">
        <f t="shared" si="55"/>
        <v>3</v>
      </c>
      <c r="F392" s="4">
        <f t="shared" si="56"/>
        <v>4</v>
      </c>
      <c r="G392" s="3">
        <f>IF(E392&gt;=20,2000,1900) + D392</f>
        <v>1967</v>
      </c>
      <c r="H392">
        <f t="shared" si="57"/>
        <v>3</v>
      </c>
      <c r="I392" s="4">
        <f t="shared" si="58"/>
        <v>4</v>
      </c>
      <c r="J392">
        <f t="shared" si="59"/>
        <v>19670304</v>
      </c>
      <c r="K392" t="str">
        <f t="shared" si="60"/>
        <v>04.03.1967</v>
      </c>
      <c r="L392" s="10">
        <f t="shared" si="61"/>
        <v>20402</v>
      </c>
      <c r="M392" s="8">
        <f t="shared" si="62"/>
        <v>55</v>
      </c>
    </row>
    <row r="393" spans="1:13" x14ac:dyDescent="0.25">
      <c r="A393" s="4" t="s">
        <v>419</v>
      </c>
      <c r="B393" t="s">
        <v>8</v>
      </c>
      <c r="C393" t="s">
        <v>4</v>
      </c>
      <c r="D393" s="3">
        <f t="shared" si="54"/>
        <v>93</v>
      </c>
      <c r="E393" s="4">
        <f t="shared" si="55"/>
        <v>2</v>
      </c>
      <c r="F393" s="4">
        <f t="shared" si="56"/>
        <v>12</v>
      </c>
      <c r="G393" s="3">
        <f>IF(E393&gt;=20,2000,1900) + D393</f>
        <v>1993</v>
      </c>
      <c r="H393">
        <f t="shared" si="57"/>
        <v>2</v>
      </c>
      <c r="I393" s="4">
        <f t="shared" si="58"/>
        <v>12</v>
      </c>
      <c r="J393">
        <f t="shared" si="59"/>
        <v>19930212</v>
      </c>
      <c r="K393" t="str">
        <f t="shared" si="60"/>
        <v>12.02.1993</v>
      </c>
      <c r="L393" s="10">
        <f t="shared" si="61"/>
        <v>10925</v>
      </c>
      <c r="M393" s="8">
        <f t="shared" si="62"/>
        <v>29</v>
      </c>
    </row>
    <row r="394" spans="1:13" x14ac:dyDescent="0.25">
      <c r="A394" s="4" t="s">
        <v>420</v>
      </c>
      <c r="B394" t="s">
        <v>5</v>
      </c>
      <c r="C394" t="s">
        <v>4</v>
      </c>
      <c r="D394" s="3">
        <f t="shared" si="54"/>
        <v>89</v>
      </c>
      <c r="E394" s="4">
        <f t="shared" si="55"/>
        <v>5</v>
      </c>
      <c r="F394" s="4">
        <f t="shared" si="56"/>
        <v>5</v>
      </c>
      <c r="G394" s="3">
        <f>IF(E394&gt;=20,2000,1900) + D394</f>
        <v>1989</v>
      </c>
      <c r="H394">
        <f t="shared" si="57"/>
        <v>5</v>
      </c>
      <c r="I394" s="4">
        <f t="shared" si="58"/>
        <v>5</v>
      </c>
      <c r="J394">
        <f t="shared" si="59"/>
        <v>19890505</v>
      </c>
      <c r="K394" t="str">
        <f t="shared" si="60"/>
        <v>05.05.1989</v>
      </c>
      <c r="L394" s="10">
        <f t="shared" si="61"/>
        <v>12304</v>
      </c>
      <c r="M394" s="8">
        <f t="shared" si="62"/>
        <v>33</v>
      </c>
    </row>
    <row r="395" spans="1:13" x14ac:dyDescent="0.25">
      <c r="A395" s="4" t="s">
        <v>421</v>
      </c>
      <c r="B395" t="s">
        <v>16</v>
      </c>
      <c r="C395" t="s">
        <v>4</v>
      </c>
      <c r="D395" s="3">
        <f t="shared" si="54"/>
        <v>73</v>
      </c>
      <c r="E395" s="4">
        <f t="shared" si="55"/>
        <v>10</v>
      </c>
      <c r="F395" s="4">
        <f t="shared" si="56"/>
        <v>14</v>
      </c>
      <c r="G395" s="3">
        <f>IF(E395&gt;=20,2000,1900) + D395</f>
        <v>1973</v>
      </c>
      <c r="H395">
        <f t="shared" si="57"/>
        <v>10</v>
      </c>
      <c r="I395" s="4">
        <f t="shared" si="58"/>
        <v>14</v>
      </c>
      <c r="J395">
        <f t="shared" si="59"/>
        <v>19731014</v>
      </c>
      <c r="K395" t="str">
        <f t="shared" si="60"/>
        <v>14.10.1973</v>
      </c>
      <c r="L395" s="10">
        <f t="shared" si="61"/>
        <v>17986</v>
      </c>
      <c r="M395" s="8">
        <f t="shared" si="62"/>
        <v>49</v>
      </c>
    </row>
    <row r="396" spans="1:13" x14ac:dyDescent="0.25">
      <c r="A396" s="4" t="s">
        <v>422</v>
      </c>
      <c r="B396" t="s">
        <v>3</v>
      </c>
      <c r="C396" t="s">
        <v>6</v>
      </c>
      <c r="D396" s="3">
        <f t="shared" si="54"/>
        <v>85</v>
      </c>
      <c r="E396" s="4">
        <f t="shared" si="55"/>
        <v>7</v>
      </c>
      <c r="F396" s="4">
        <f t="shared" si="56"/>
        <v>14</v>
      </c>
      <c r="G396" s="3">
        <f>IF(E396&gt;=20,2000,1900) + D396</f>
        <v>1985</v>
      </c>
      <c r="H396">
        <f t="shared" si="57"/>
        <v>7</v>
      </c>
      <c r="I396" s="4">
        <f t="shared" si="58"/>
        <v>14</v>
      </c>
      <c r="J396">
        <f t="shared" si="59"/>
        <v>19850714</v>
      </c>
      <c r="K396" t="str">
        <f t="shared" si="60"/>
        <v>14.07.1985</v>
      </c>
      <c r="L396" s="10">
        <f t="shared" si="61"/>
        <v>13695</v>
      </c>
      <c r="M396" s="8">
        <f t="shared" si="62"/>
        <v>37</v>
      </c>
    </row>
    <row r="397" spans="1:13" x14ac:dyDescent="0.25">
      <c r="A397" s="4" t="s">
        <v>423</v>
      </c>
      <c r="B397" t="s">
        <v>5</v>
      </c>
      <c r="C397" t="s">
        <v>6</v>
      </c>
      <c r="D397" s="3">
        <f t="shared" si="54"/>
        <v>65</v>
      </c>
      <c r="E397" s="4">
        <f t="shared" si="55"/>
        <v>7</v>
      </c>
      <c r="F397" s="4">
        <f t="shared" si="56"/>
        <v>14</v>
      </c>
      <c r="G397" s="3">
        <f>IF(E397&gt;=20,2000,1900) + D397</f>
        <v>1965</v>
      </c>
      <c r="H397">
        <f t="shared" si="57"/>
        <v>7</v>
      </c>
      <c r="I397" s="4">
        <f t="shared" si="58"/>
        <v>14</v>
      </c>
      <c r="J397">
        <f t="shared" si="59"/>
        <v>19650714</v>
      </c>
      <c r="K397" t="str">
        <f t="shared" si="60"/>
        <v>14.07.1965</v>
      </c>
      <c r="L397" s="10">
        <f t="shared" si="61"/>
        <v>21000</v>
      </c>
      <c r="M397" s="8">
        <f t="shared" si="62"/>
        <v>57</v>
      </c>
    </row>
    <row r="398" spans="1:13" x14ac:dyDescent="0.25">
      <c r="A398" s="4" t="s">
        <v>424</v>
      </c>
      <c r="B398" t="s">
        <v>20</v>
      </c>
      <c r="C398" t="s">
        <v>4</v>
      </c>
      <c r="D398" s="3">
        <f t="shared" si="54"/>
        <v>61</v>
      </c>
      <c r="E398" s="4">
        <f t="shared" si="55"/>
        <v>2</v>
      </c>
      <c r="F398" s="4">
        <f t="shared" si="56"/>
        <v>13</v>
      </c>
      <c r="G398" s="3">
        <f>IF(E398&gt;=20,2000,1900) + D398</f>
        <v>1961</v>
      </c>
      <c r="H398">
        <f t="shared" si="57"/>
        <v>2</v>
      </c>
      <c r="I398" s="4">
        <f t="shared" si="58"/>
        <v>13</v>
      </c>
      <c r="J398">
        <f t="shared" si="59"/>
        <v>19610213</v>
      </c>
      <c r="K398" t="str">
        <f t="shared" si="60"/>
        <v>13.02.1961</v>
      </c>
      <c r="L398" s="10">
        <f t="shared" si="61"/>
        <v>22612</v>
      </c>
      <c r="M398" s="8">
        <f t="shared" si="62"/>
        <v>61</v>
      </c>
    </row>
    <row r="399" spans="1:13" x14ac:dyDescent="0.25">
      <c r="A399" s="4" t="s">
        <v>425</v>
      </c>
      <c r="B399" t="s">
        <v>10</v>
      </c>
      <c r="C399" t="s">
        <v>4</v>
      </c>
      <c r="D399" s="3">
        <f t="shared" si="54"/>
        <v>84</v>
      </c>
      <c r="E399" s="4">
        <f t="shared" si="55"/>
        <v>12</v>
      </c>
      <c r="F399" s="4">
        <f t="shared" si="56"/>
        <v>14</v>
      </c>
      <c r="G399" s="3">
        <f>IF(E399&gt;=20,2000,1900) + D399</f>
        <v>1984</v>
      </c>
      <c r="H399">
        <f t="shared" si="57"/>
        <v>12</v>
      </c>
      <c r="I399" s="4">
        <f t="shared" si="58"/>
        <v>14</v>
      </c>
      <c r="J399">
        <f t="shared" si="59"/>
        <v>19841214</v>
      </c>
      <c r="K399" t="str">
        <f t="shared" si="60"/>
        <v>14.12.1984</v>
      </c>
      <c r="L399" s="10">
        <f t="shared" si="61"/>
        <v>13907</v>
      </c>
      <c r="M399" s="8">
        <f t="shared" si="62"/>
        <v>38</v>
      </c>
    </row>
    <row r="400" spans="1:13" x14ac:dyDescent="0.25">
      <c r="A400" s="4" t="s">
        <v>426</v>
      </c>
      <c r="B400" t="s">
        <v>14</v>
      </c>
      <c r="C400" t="s">
        <v>4</v>
      </c>
      <c r="D400" s="3">
        <f t="shared" si="54"/>
        <v>74</v>
      </c>
      <c r="E400" s="4">
        <f t="shared" si="55"/>
        <v>9</v>
      </c>
      <c r="F400" s="4">
        <f t="shared" si="56"/>
        <v>22</v>
      </c>
      <c r="G400" s="3">
        <f>IF(E400&gt;=20,2000,1900) + D400</f>
        <v>1974</v>
      </c>
      <c r="H400">
        <f t="shared" si="57"/>
        <v>9</v>
      </c>
      <c r="I400" s="4">
        <f t="shared" si="58"/>
        <v>22</v>
      </c>
      <c r="J400">
        <f t="shared" si="59"/>
        <v>19740922</v>
      </c>
      <c r="K400" t="str">
        <f t="shared" si="60"/>
        <v>22.09.1974</v>
      </c>
      <c r="L400" s="10">
        <f t="shared" si="61"/>
        <v>17643</v>
      </c>
      <c r="M400" s="8">
        <f t="shared" si="62"/>
        <v>48</v>
      </c>
    </row>
    <row r="401" spans="1:13" x14ac:dyDescent="0.25">
      <c r="A401" s="4" t="s">
        <v>427</v>
      </c>
      <c r="B401" t="s">
        <v>17</v>
      </c>
      <c r="C401" t="s">
        <v>4</v>
      </c>
      <c r="D401" s="3">
        <f t="shared" si="54"/>
        <v>53</v>
      </c>
      <c r="E401" s="4">
        <f t="shared" si="55"/>
        <v>5</v>
      </c>
      <c r="F401" s="4">
        <f t="shared" si="56"/>
        <v>27</v>
      </c>
      <c r="G401" s="3">
        <f>IF(E401&gt;=20,2000,1900) + D401</f>
        <v>1953</v>
      </c>
      <c r="H401">
        <f t="shared" si="57"/>
        <v>5</v>
      </c>
      <c r="I401" s="4">
        <f t="shared" si="58"/>
        <v>27</v>
      </c>
      <c r="J401">
        <f t="shared" si="59"/>
        <v>19530527</v>
      </c>
      <c r="K401" t="str">
        <f t="shared" si="60"/>
        <v>27.05.1953</v>
      </c>
      <c r="L401" s="10">
        <f t="shared" si="61"/>
        <v>25431</v>
      </c>
      <c r="M401" s="8">
        <f t="shared" si="62"/>
        <v>69</v>
      </c>
    </row>
    <row r="402" spans="1:13" x14ac:dyDescent="0.25">
      <c r="A402" s="4" t="s">
        <v>428</v>
      </c>
      <c r="B402" t="s">
        <v>9</v>
      </c>
      <c r="C402" t="s">
        <v>6</v>
      </c>
      <c r="D402" s="3">
        <f t="shared" si="54"/>
        <v>97</v>
      </c>
      <c r="E402" s="4">
        <f t="shared" si="55"/>
        <v>4</v>
      </c>
      <c r="F402" s="4">
        <f t="shared" si="56"/>
        <v>29</v>
      </c>
      <c r="G402" s="3">
        <f>IF(E402&gt;=20,2000,1900) + D402</f>
        <v>1997</v>
      </c>
      <c r="H402">
        <f t="shared" si="57"/>
        <v>4</v>
      </c>
      <c r="I402" s="4">
        <f t="shared" si="58"/>
        <v>29</v>
      </c>
      <c r="J402">
        <f t="shared" si="59"/>
        <v>19970429</v>
      </c>
      <c r="K402" t="str">
        <f t="shared" si="60"/>
        <v>29.04.1997</v>
      </c>
      <c r="L402" s="10">
        <f t="shared" si="61"/>
        <v>9388</v>
      </c>
      <c r="M402" s="8">
        <f t="shared" si="62"/>
        <v>25</v>
      </c>
    </row>
    <row r="403" spans="1:13" x14ac:dyDescent="0.25">
      <c r="A403" s="4" t="s">
        <v>429</v>
      </c>
      <c r="B403" t="s">
        <v>7</v>
      </c>
      <c r="C403" t="s">
        <v>4</v>
      </c>
      <c r="D403" s="3">
        <f t="shared" si="54"/>
        <v>78</v>
      </c>
      <c r="E403" s="4">
        <f t="shared" si="55"/>
        <v>6</v>
      </c>
      <c r="F403" s="4">
        <f t="shared" si="56"/>
        <v>25</v>
      </c>
      <c r="G403" s="3">
        <f>IF(E403&gt;=20,2000,1900) + D403</f>
        <v>1978</v>
      </c>
      <c r="H403">
        <f t="shared" si="57"/>
        <v>6</v>
      </c>
      <c r="I403" s="4">
        <f t="shared" si="58"/>
        <v>25</v>
      </c>
      <c r="J403">
        <f t="shared" si="59"/>
        <v>19780625</v>
      </c>
      <c r="K403" t="str">
        <f t="shared" si="60"/>
        <v>25.06.1978</v>
      </c>
      <c r="L403" s="10">
        <f t="shared" si="61"/>
        <v>16271</v>
      </c>
      <c r="M403" s="8">
        <f t="shared" si="62"/>
        <v>44</v>
      </c>
    </row>
    <row r="404" spans="1:13" x14ac:dyDescent="0.25">
      <c r="A404" s="4" t="s">
        <v>430</v>
      </c>
      <c r="B404" t="s">
        <v>11</v>
      </c>
      <c r="C404" t="s">
        <v>4</v>
      </c>
      <c r="D404" s="3">
        <f t="shared" si="54"/>
        <v>65</v>
      </c>
      <c r="E404" s="4">
        <f t="shared" si="55"/>
        <v>11</v>
      </c>
      <c r="F404" s="4">
        <f t="shared" si="56"/>
        <v>19</v>
      </c>
      <c r="G404" s="3">
        <f>IF(E404&gt;=20,2000,1900) + D404</f>
        <v>1965</v>
      </c>
      <c r="H404">
        <f t="shared" si="57"/>
        <v>11</v>
      </c>
      <c r="I404" s="4">
        <f t="shared" si="58"/>
        <v>19</v>
      </c>
      <c r="J404">
        <f t="shared" si="59"/>
        <v>19651119</v>
      </c>
      <c r="K404" t="str">
        <f t="shared" si="60"/>
        <v>19.11.1965</v>
      </c>
      <c r="L404" s="10">
        <f t="shared" si="61"/>
        <v>20872</v>
      </c>
      <c r="M404" s="8">
        <f t="shared" si="62"/>
        <v>57</v>
      </c>
    </row>
    <row r="405" spans="1:13" x14ac:dyDescent="0.25">
      <c r="A405" s="4" t="s">
        <v>431</v>
      </c>
      <c r="B405" t="s">
        <v>3</v>
      </c>
      <c r="C405" t="s">
        <v>4</v>
      </c>
      <c r="D405" s="3">
        <f t="shared" si="54"/>
        <v>50</v>
      </c>
      <c r="E405" s="4">
        <f t="shared" si="55"/>
        <v>1</v>
      </c>
      <c r="F405" s="4">
        <f t="shared" si="56"/>
        <v>14</v>
      </c>
      <c r="G405" s="3">
        <f>IF(E405&gt;=20,2000,1900) + D405</f>
        <v>1950</v>
      </c>
      <c r="H405">
        <f t="shared" si="57"/>
        <v>1</v>
      </c>
      <c r="I405" s="4">
        <f t="shared" si="58"/>
        <v>14</v>
      </c>
      <c r="J405">
        <f t="shared" si="59"/>
        <v>19500114</v>
      </c>
      <c r="K405" t="str">
        <f t="shared" si="60"/>
        <v>14.01.1950</v>
      </c>
      <c r="L405" s="10">
        <f t="shared" si="61"/>
        <v>26660</v>
      </c>
      <c r="M405" s="8">
        <f t="shared" si="62"/>
        <v>72</v>
      </c>
    </row>
    <row r="406" spans="1:13" x14ac:dyDescent="0.25">
      <c r="A406" s="4" t="s">
        <v>432</v>
      </c>
      <c r="B406" t="s">
        <v>11</v>
      </c>
      <c r="C406" t="s">
        <v>6</v>
      </c>
      <c r="D406" s="3">
        <f t="shared" si="54"/>
        <v>83</v>
      </c>
      <c r="E406" s="4">
        <f t="shared" si="55"/>
        <v>11</v>
      </c>
      <c r="F406" s="4">
        <f t="shared" si="56"/>
        <v>10</v>
      </c>
      <c r="G406" s="3">
        <f>IF(E406&gt;=20,2000,1900) + D406</f>
        <v>1983</v>
      </c>
      <c r="H406">
        <f t="shared" si="57"/>
        <v>11</v>
      </c>
      <c r="I406" s="4">
        <f t="shared" si="58"/>
        <v>10</v>
      </c>
      <c r="J406">
        <f t="shared" si="59"/>
        <v>19831110</v>
      </c>
      <c r="K406" t="str">
        <f t="shared" si="60"/>
        <v>10.11.1983</v>
      </c>
      <c r="L406" s="10">
        <f t="shared" si="61"/>
        <v>14307</v>
      </c>
      <c r="M406" s="8">
        <f t="shared" si="62"/>
        <v>39</v>
      </c>
    </row>
    <row r="407" spans="1:13" x14ac:dyDescent="0.25">
      <c r="A407" s="4" t="s">
        <v>433</v>
      </c>
      <c r="B407" t="s">
        <v>17</v>
      </c>
      <c r="C407" t="s">
        <v>6</v>
      </c>
      <c r="D407" s="3">
        <f t="shared" si="54"/>
        <v>75</v>
      </c>
      <c r="E407" s="4">
        <f t="shared" si="55"/>
        <v>12</v>
      </c>
      <c r="F407" s="4">
        <f t="shared" si="56"/>
        <v>21</v>
      </c>
      <c r="G407" s="3">
        <f>IF(E407&gt;=20,2000,1900) + D407</f>
        <v>1975</v>
      </c>
      <c r="H407">
        <f t="shared" si="57"/>
        <v>12</v>
      </c>
      <c r="I407" s="4">
        <f t="shared" si="58"/>
        <v>21</v>
      </c>
      <c r="J407">
        <f t="shared" si="59"/>
        <v>19751221</v>
      </c>
      <c r="K407" t="str">
        <f t="shared" si="60"/>
        <v>21.12.1975</v>
      </c>
      <c r="L407" s="10">
        <f t="shared" si="61"/>
        <v>17188</v>
      </c>
      <c r="M407" s="8">
        <f t="shared" si="62"/>
        <v>47</v>
      </c>
    </row>
    <row r="408" spans="1:13" x14ac:dyDescent="0.25">
      <c r="A408" s="4" t="s">
        <v>434</v>
      </c>
      <c r="B408" t="s">
        <v>5</v>
      </c>
      <c r="C408" t="s">
        <v>4</v>
      </c>
      <c r="D408" s="3">
        <f t="shared" si="54"/>
        <v>65</v>
      </c>
      <c r="E408" s="4">
        <f t="shared" si="55"/>
        <v>10</v>
      </c>
      <c r="F408" s="4">
        <f t="shared" si="56"/>
        <v>5</v>
      </c>
      <c r="G408" s="3">
        <f>IF(E408&gt;=20,2000,1900) + D408</f>
        <v>1965</v>
      </c>
      <c r="H408">
        <f t="shared" si="57"/>
        <v>10</v>
      </c>
      <c r="I408" s="4">
        <f t="shared" si="58"/>
        <v>5</v>
      </c>
      <c r="J408">
        <f t="shared" si="59"/>
        <v>19651005</v>
      </c>
      <c r="K408" t="str">
        <f t="shared" si="60"/>
        <v>05.10.1965</v>
      </c>
      <c r="L408" s="10">
        <f t="shared" si="61"/>
        <v>20917</v>
      </c>
      <c r="M408" s="8">
        <f t="shared" si="62"/>
        <v>57</v>
      </c>
    </row>
    <row r="409" spans="1:13" x14ac:dyDescent="0.25">
      <c r="A409" s="4" t="s">
        <v>435</v>
      </c>
      <c r="B409" t="s">
        <v>9</v>
      </c>
      <c r="C409" t="s">
        <v>6</v>
      </c>
      <c r="D409" s="3">
        <f t="shared" si="54"/>
        <v>70</v>
      </c>
      <c r="E409" s="4">
        <f t="shared" si="55"/>
        <v>2</v>
      </c>
      <c r="F409" s="4">
        <f t="shared" si="56"/>
        <v>19</v>
      </c>
      <c r="G409" s="3">
        <f>IF(E409&gt;=20,2000,1900) + D409</f>
        <v>1970</v>
      </c>
      <c r="H409">
        <f t="shared" si="57"/>
        <v>2</v>
      </c>
      <c r="I409" s="4">
        <f t="shared" si="58"/>
        <v>19</v>
      </c>
      <c r="J409">
        <f t="shared" si="59"/>
        <v>19700219</v>
      </c>
      <c r="K409" t="str">
        <f t="shared" si="60"/>
        <v>19.02.1970</v>
      </c>
      <c r="L409" s="10">
        <f t="shared" si="61"/>
        <v>19319</v>
      </c>
      <c r="M409" s="8">
        <f t="shared" si="62"/>
        <v>52</v>
      </c>
    </row>
    <row r="410" spans="1:13" x14ac:dyDescent="0.25">
      <c r="A410" s="4" t="s">
        <v>436</v>
      </c>
      <c r="B410" t="s">
        <v>15</v>
      </c>
      <c r="C410" t="s">
        <v>4</v>
      </c>
      <c r="D410" s="3">
        <f t="shared" si="54"/>
        <v>79</v>
      </c>
      <c r="E410" s="4">
        <f t="shared" si="55"/>
        <v>5</v>
      </c>
      <c r="F410" s="4">
        <f t="shared" si="56"/>
        <v>30</v>
      </c>
      <c r="G410" s="3">
        <f>IF(E410&gt;=20,2000,1900) + D410</f>
        <v>1979</v>
      </c>
      <c r="H410">
        <f t="shared" si="57"/>
        <v>5</v>
      </c>
      <c r="I410" s="4">
        <f t="shared" si="58"/>
        <v>30</v>
      </c>
      <c r="J410">
        <f t="shared" si="59"/>
        <v>19790530</v>
      </c>
      <c r="K410" t="str">
        <f t="shared" si="60"/>
        <v>30.05.1979</v>
      </c>
      <c r="L410" s="10">
        <f t="shared" si="61"/>
        <v>15932</v>
      </c>
      <c r="M410" s="8">
        <f t="shared" si="62"/>
        <v>43</v>
      </c>
    </row>
    <row r="411" spans="1:13" x14ac:dyDescent="0.25">
      <c r="A411" s="4" t="s">
        <v>437</v>
      </c>
      <c r="B411" t="s">
        <v>20</v>
      </c>
      <c r="C411" t="s">
        <v>4</v>
      </c>
      <c r="D411" s="3">
        <f t="shared" si="54"/>
        <v>98</v>
      </c>
      <c r="E411" s="4">
        <f t="shared" si="55"/>
        <v>10</v>
      </c>
      <c r="F411" s="4">
        <f t="shared" si="56"/>
        <v>7</v>
      </c>
      <c r="G411" s="3">
        <f>IF(E411&gt;=20,2000,1900) + D411</f>
        <v>1998</v>
      </c>
      <c r="H411">
        <f t="shared" si="57"/>
        <v>10</v>
      </c>
      <c r="I411" s="4">
        <f t="shared" si="58"/>
        <v>7</v>
      </c>
      <c r="J411">
        <f t="shared" si="59"/>
        <v>19981007</v>
      </c>
      <c r="K411" t="str">
        <f t="shared" si="60"/>
        <v>07.10.1998</v>
      </c>
      <c r="L411" s="10">
        <f t="shared" si="61"/>
        <v>8862</v>
      </c>
      <c r="M411" s="8">
        <f t="shared" si="62"/>
        <v>24</v>
      </c>
    </row>
    <row r="412" spans="1:13" x14ac:dyDescent="0.25">
      <c r="A412" s="4" t="s">
        <v>438</v>
      </c>
      <c r="B412" t="s">
        <v>14</v>
      </c>
      <c r="C412" t="s">
        <v>4</v>
      </c>
      <c r="D412" s="3">
        <f t="shared" si="54"/>
        <v>61</v>
      </c>
      <c r="E412" s="4">
        <f t="shared" si="55"/>
        <v>4</v>
      </c>
      <c r="F412" s="4">
        <f t="shared" si="56"/>
        <v>4</v>
      </c>
      <c r="G412" s="3">
        <f>IF(E412&gt;=20,2000,1900) + D412</f>
        <v>1961</v>
      </c>
      <c r="H412">
        <f t="shared" si="57"/>
        <v>4</v>
      </c>
      <c r="I412" s="4">
        <f t="shared" si="58"/>
        <v>4</v>
      </c>
      <c r="J412">
        <f t="shared" si="59"/>
        <v>19610404</v>
      </c>
      <c r="K412" t="str">
        <f t="shared" si="60"/>
        <v>04.04.1961</v>
      </c>
      <c r="L412" s="10">
        <f t="shared" si="61"/>
        <v>22562</v>
      </c>
      <c r="M412" s="8">
        <f t="shared" si="62"/>
        <v>61</v>
      </c>
    </row>
    <row r="413" spans="1:13" x14ac:dyDescent="0.25">
      <c r="A413" s="4" t="s">
        <v>439</v>
      </c>
      <c r="B413" t="s">
        <v>13</v>
      </c>
      <c r="C413" t="s">
        <v>4</v>
      </c>
      <c r="D413" s="3">
        <f t="shared" si="54"/>
        <v>54</v>
      </c>
      <c r="E413" s="4">
        <f t="shared" si="55"/>
        <v>12</v>
      </c>
      <c r="F413" s="4">
        <f t="shared" si="56"/>
        <v>9</v>
      </c>
      <c r="G413" s="3">
        <f>IF(E413&gt;=20,2000,1900) + D413</f>
        <v>1954</v>
      </c>
      <c r="H413">
        <f t="shared" si="57"/>
        <v>12</v>
      </c>
      <c r="I413" s="4">
        <f t="shared" si="58"/>
        <v>9</v>
      </c>
      <c r="J413">
        <f t="shared" si="59"/>
        <v>19541209</v>
      </c>
      <c r="K413" t="str">
        <f t="shared" si="60"/>
        <v>09.12.1954</v>
      </c>
      <c r="L413" s="10">
        <f t="shared" si="61"/>
        <v>24870</v>
      </c>
      <c r="M413" s="8">
        <f t="shared" si="62"/>
        <v>68</v>
      </c>
    </row>
    <row r="414" spans="1:13" x14ac:dyDescent="0.25">
      <c r="A414" s="4" t="s">
        <v>440</v>
      </c>
      <c r="B414" t="s">
        <v>13</v>
      </c>
      <c r="C414" t="s">
        <v>6</v>
      </c>
      <c r="D414" s="3">
        <f t="shared" si="54"/>
        <v>87</v>
      </c>
      <c r="E414" s="4">
        <f t="shared" si="55"/>
        <v>1</v>
      </c>
      <c r="F414" s="4">
        <f t="shared" si="56"/>
        <v>17</v>
      </c>
      <c r="G414" s="3">
        <f>IF(E414&gt;=20,2000,1900) + D414</f>
        <v>1987</v>
      </c>
      <c r="H414">
        <f t="shared" si="57"/>
        <v>1</v>
      </c>
      <c r="I414" s="4">
        <f t="shared" si="58"/>
        <v>17</v>
      </c>
      <c r="J414">
        <f t="shared" si="59"/>
        <v>19870117</v>
      </c>
      <c r="K414" t="str">
        <f t="shared" si="60"/>
        <v>17.01.1987</v>
      </c>
      <c r="L414" s="10">
        <f t="shared" si="61"/>
        <v>13143</v>
      </c>
      <c r="M414" s="8">
        <f t="shared" si="62"/>
        <v>35</v>
      </c>
    </row>
    <row r="415" spans="1:13" x14ac:dyDescent="0.25">
      <c r="A415" s="4" t="s">
        <v>441</v>
      </c>
      <c r="B415" t="s">
        <v>7</v>
      </c>
      <c r="C415" t="s">
        <v>4</v>
      </c>
      <c r="D415" s="3">
        <f t="shared" si="54"/>
        <v>89</v>
      </c>
      <c r="E415" s="4">
        <f t="shared" si="55"/>
        <v>12</v>
      </c>
      <c r="F415" s="4">
        <f t="shared" si="56"/>
        <v>21</v>
      </c>
      <c r="G415" s="3">
        <f>IF(E415&gt;=20,2000,1900) + D415</f>
        <v>1989</v>
      </c>
      <c r="H415">
        <f t="shared" si="57"/>
        <v>12</v>
      </c>
      <c r="I415" s="4">
        <f t="shared" si="58"/>
        <v>21</v>
      </c>
      <c r="J415">
        <f t="shared" si="59"/>
        <v>19891221</v>
      </c>
      <c r="K415" t="str">
        <f t="shared" si="60"/>
        <v>21.12.1989</v>
      </c>
      <c r="L415" s="10">
        <f t="shared" si="61"/>
        <v>12074</v>
      </c>
      <c r="M415" s="8">
        <f t="shared" si="62"/>
        <v>33</v>
      </c>
    </row>
    <row r="416" spans="1:13" x14ac:dyDescent="0.25">
      <c r="A416" s="4" t="s">
        <v>442</v>
      </c>
      <c r="B416" t="s">
        <v>15</v>
      </c>
      <c r="C416" t="s">
        <v>4</v>
      </c>
      <c r="D416" s="3">
        <f t="shared" si="54"/>
        <v>63</v>
      </c>
      <c r="E416" s="4">
        <f t="shared" si="55"/>
        <v>10</v>
      </c>
      <c r="F416" s="4">
        <f t="shared" si="56"/>
        <v>25</v>
      </c>
      <c r="G416" s="3">
        <f>IF(E416&gt;=20,2000,1900) + D416</f>
        <v>1963</v>
      </c>
      <c r="H416">
        <f t="shared" si="57"/>
        <v>10</v>
      </c>
      <c r="I416" s="4">
        <f t="shared" si="58"/>
        <v>25</v>
      </c>
      <c r="J416">
        <f t="shared" si="59"/>
        <v>19631025</v>
      </c>
      <c r="K416" t="str">
        <f t="shared" si="60"/>
        <v>25.10.1963</v>
      </c>
      <c r="L416" s="10">
        <f t="shared" si="61"/>
        <v>21628</v>
      </c>
      <c r="M416" s="8">
        <f t="shared" si="62"/>
        <v>59</v>
      </c>
    </row>
    <row r="417" spans="1:13" x14ac:dyDescent="0.25">
      <c r="A417" s="4" t="s">
        <v>443</v>
      </c>
      <c r="B417" t="s">
        <v>20</v>
      </c>
      <c r="C417" t="s">
        <v>6</v>
      </c>
      <c r="D417" s="3">
        <f t="shared" si="54"/>
        <v>91</v>
      </c>
      <c r="E417" s="4">
        <f t="shared" si="55"/>
        <v>10</v>
      </c>
      <c r="F417" s="4">
        <f t="shared" si="56"/>
        <v>17</v>
      </c>
      <c r="G417" s="3">
        <f>IF(E417&gt;=20,2000,1900) + D417</f>
        <v>1991</v>
      </c>
      <c r="H417">
        <f t="shared" si="57"/>
        <v>10</v>
      </c>
      <c r="I417" s="4">
        <f t="shared" si="58"/>
        <v>17</v>
      </c>
      <c r="J417">
        <f t="shared" si="59"/>
        <v>19911017</v>
      </c>
      <c r="K417" t="str">
        <f t="shared" si="60"/>
        <v>17.10.1991</v>
      </c>
      <c r="L417" s="10">
        <f t="shared" si="61"/>
        <v>11409</v>
      </c>
      <c r="M417" s="8">
        <f t="shared" si="62"/>
        <v>31</v>
      </c>
    </row>
    <row r="418" spans="1:13" x14ac:dyDescent="0.25">
      <c r="A418" s="4" t="s">
        <v>444</v>
      </c>
      <c r="B418" t="s">
        <v>14</v>
      </c>
      <c r="C418" t="s">
        <v>6</v>
      </c>
      <c r="D418" s="3">
        <f t="shared" si="54"/>
        <v>73</v>
      </c>
      <c r="E418" s="4">
        <f t="shared" si="55"/>
        <v>4</v>
      </c>
      <c r="F418" s="4">
        <f t="shared" si="56"/>
        <v>12</v>
      </c>
      <c r="G418" s="3">
        <f>IF(E418&gt;=20,2000,1900) + D418</f>
        <v>1973</v>
      </c>
      <c r="H418">
        <f t="shared" si="57"/>
        <v>4</v>
      </c>
      <c r="I418" s="4">
        <f t="shared" si="58"/>
        <v>12</v>
      </c>
      <c r="J418">
        <f t="shared" si="59"/>
        <v>19730412</v>
      </c>
      <c r="K418" t="str">
        <f t="shared" si="60"/>
        <v>12.04.1973</v>
      </c>
      <c r="L418" s="10">
        <f t="shared" si="61"/>
        <v>18171</v>
      </c>
      <c r="M418" s="8">
        <f t="shared" si="62"/>
        <v>49</v>
      </c>
    </row>
    <row r="419" spans="1:13" x14ac:dyDescent="0.25">
      <c r="A419" s="4" t="s">
        <v>445</v>
      </c>
      <c r="B419" t="s">
        <v>19</v>
      </c>
      <c r="C419" t="s">
        <v>4</v>
      </c>
      <c r="D419" s="3">
        <f t="shared" si="54"/>
        <v>63</v>
      </c>
      <c r="E419" s="4">
        <f t="shared" si="55"/>
        <v>10</v>
      </c>
      <c r="F419" s="4">
        <f t="shared" si="56"/>
        <v>12</v>
      </c>
      <c r="G419" s="3">
        <f>IF(E419&gt;=20,2000,1900) + D419</f>
        <v>1963</v>
      </c>
      <c r="H419">
        <f t="shared" si="57"/>
        <v>10</v>
      </c>
      <c r="I419" s="4">
        <f t="shared" si="58"/>
        <v>12</v>
      </c>
      <c r="J419">
        <f t="shared" si="59"/>
        <v>19631012</v>
      </c>
      <c r="K419" t="str">
        <f t="shared" si="60"/>
        <v>12.10.1963</v>
      </c>
      <c r="L419" s="10">
        <f t="shared" si="61"/>
        <v>21641</v>
      </c>
      <c r="M419" s="8">
        <f t="shared" si="62"/>
        <v>59</v>
      </c>
    </row>
    <row r="420" spans="1:13" x14ac:dyDescent="0.25">
      <c r="A420" s="4" t="s">
        <v>446</v>
      </c>
      <c r="B420" t="s">
        <v>10</v>
      </c>
      <c r="C420" t="s">
        <v>6</v>
      </c>
      <c r="D420" s="3">
        <f t="shared" si="54"/>
        <v>84</v>
      </c>
      <c r="E420" s="4">
        <f t="shared" si="55"/>
        <v>2</v>
      </c>
      <c r="F420" s="4">
        <f t="shared" si="56"/>
        <v>14</v>
      </c>
      <c r="G420" s="3">
        <f>IF(E420&gt;=20,2000,1900) + D420</f>
        <v>1984</v>
      </c>
      <c r="H420">
        <f t="shared" si="57"/>
        <v>2</v>
      </c>
      <c r="I420" s="4">
        <f t="shared" si="58"/>
        <v>14</v>
      </c>
      <c r="J420">
        <f t="shared" si="59"/>
        <v>19840214</v>
      </c>
      <c r="K420" t="str">
        <f t="shared" si="60"/>
        <v>14.02.1984</v>
      </c>
      <c r="L420" s="10">
        <f t="shared" si="61"/>
        <v>14211</v>
      </c>
      <c r="M420" s="8">
        <f t="shared" si="62"/>
        <v>38</v>
      </c>
    </row>
    <row r="421" spans="1:13" x14ac:dyDescent="0.25">
      <c r="A421" s="4" t="s">
        <v>447</v>
      </c>
      <c r="B421" t="s">
        <v>5</v>
      </c>
      <c r="C421" t="s">
        <v>4</v>
      </c>
      <c r="D421" s="3">
        <f t="shared" si="54"/>
        <v>87</v>
      </c>
      <c r="E421" s="4">
        <f t="shared" si="55"/>
        <v>5</v>
      </c>
      <c r="F421" s="4">
        <f t="shared" si="56"/>
        <v>13</v>
      </c>
      <c r="G421" s="3">
        <f>IF(E421&gt;=20,2000,1900) + D421</f>
        <v>1987</v>
      </c>
      <c r="H421">
        <f t="shared" si="57"/>
        <v>5</v>
      </c>
      <c r="I421" s="4">
        <f t="shared" si="58"/>
        <v>13</v>
      </c>
      <c r="J421">
        <f t="shared" si="59"/>
        <v>19870513</v>
      </c>
      <c r="K421" t="str">
        <f t="shared" si="60"/>
        <v>13.05.1987</v>
      </c>
      <c r="L421" s="10">
        <f t="shared" si="61"/>
        <v>13027</v>
      </c>
      <c r="M421" s="8">
        <f t="shared" si="62"/>
        <v>35</v>
      </c>
    </row>
    <row r="422" spans="1:13" x14ac:dyDescent="0.25">
      <c r="A422" s="4" t="s">
        <v>448</v>
      </c>
      <c r="B422" t="s">
        <v>17</v>
      </c>
      <c r="C422" t="s">
        <v>4</v>
      </c>
      <c r="D422" s="3">
        <f t="shared" si="54"/>
        <v>87</v>
      </c>
      <c r="E422" s="4">
        <f t="shared" si="55"/>
        <v>12</v>
      </c>
      <c r="F422" s="4">
        <f t="shared" si="56"/>
        <v>22</v>
      </c>
      <c r="G422" s="3">
        <f>IF(E422&gt;=20,2000,1900) + D422</f>
        <v>1987</v>
      </c>
      <c r="H422">
        <f t="shared" si="57"/>
        <v>12</v>
      </c>
      <c r="I422" s="4">
        <f t="shared" si="58"/>
        <v>22</v>
      </c>
      <c r="J422">
        <f t="shared" si="59"/>
        <v>19871222</v>
      </c>
      <c r="K422" t="str">
        <f t="shared" si="60"/>
        <v>22.12.1987</v>
      </c>
      <c r="L422" s="10">
        <f t="shared" si="61"/>
        <v>12804</v>
      </c>
      <c r="M422" s="8">
        <f t="shared" si="62"/>
        <v>35</v>
      </c>
    </row>
    <row r="423" spans="1:13" x14ac:dyDescent="0.25">
      <c r="A423" s="4" t="s">
        <v>449</v>
      </c>
      <c r="B423" t="s">
        <v>12</v>
      </c>
      <c r="C423" t="s">
        <v>4</v>
      </c>
      <c r="D423" s="3">
        <f t="shared" si="54"/>
        <v>63</v>
      </c>
      <c r="E423" s="4">
        <f t="shared" si="55"/>
        <v>6</v>
      </c>
      <c r="F423" s="4">
        <f t="shared" si="56"/>
        <v>29</v>
      </c>
      <c r="G423" s="3">
        <f>IF(E423&gt;=20,2000,1900) + D423</f>
        <v>1963</v>
      </c>
      <c r="H423">
        <f t="shared" si="57"/>
        <v>6</v>
      </c>
      <c r="I423" s="4">
        <f t="shared" si="58"/>
        <v>29</v>
      </c>
      <c r="J423">
        <f t="shared" si="59"/>
        <v>19630629</v>
      </c>
      <c r="K423" t="str">
        <f t="shared" si="60"/>
        <v>29.06.1963</v>
      </c>
      <c r="L423" s="10">
        <f t="shared" si="61"/>
        <v>21746</v>
      </c>
      <c r="M423" s="8">
        <f t="shared" si="62"/>
        <v>59</v>
      </c>
    </row>
    <row r="424" spans="1:13" x14ac:dyDescent="0.25">
      <c r="A424" s="4" t="s">
        <v>450</v>
      </c>
      <c r="B424" t="s">
        <v>19</v>
      </c>
      <c r="C424" t="s">
        <v>6</v>
      </c>
      <c r="D424" s="3">
        <f t="shared" si="54"/>
        <v>99</v>
      </c>
      <c r="E424" s="4">
        <f t="shared" si="55"/>
        <v>1</v>
      </c>
      <c r="F424" s="4">
        <f t="shared" si="56"/>
        <v>12</v>
      </c>
      <c r="G424" s="3">
        <f>IF(E424&gt;=20,2000,1900) + D424</f>
        <v>1999</v>
      </c>
      <c r="H424">
        <f t="shared" si="57"/>
        <v>1</v>
      </c>
      <c r="I424" s="4">
        <f t="shared" si="58"/>
        <v>12</v>
      </c>
      <c r="J424">
        <f t="shared" si="59"/>
        <v>19990112</v>
      </c>
      <c r="K424" t="str">
        <f t="shared" si="60"/>
        <v>12.01.1999</v>
      </c>
      <c r="L424" s="10">
        <f t="shared" si="61"/>
        <v>8765</v>
      </c>
      <c r="M424" s="8">
        <f t="shared" si="62"/>
        <v>23</v>
      </c>
    </row>
    <row r="425" spans="1:13" x14ac:dyDescent="0.25">
      <c r="A425" s="4" t="s">
        <v>451</v>
      </c>
      <c r="B425" t="s">
        <v>19</v>
      </c>
      <c r="C425" t="s">
        <v>6</v>
      </c>
      <c r="D425" s="3">
        <f t="shared" si="54"/>
        <v>72</v>
      </c>
      <c r="E425" s="4">
        <f t="shared" si="55"/>
        <v>11</v>
      </c>
      <c r="F425" s="4">
        <f t="shared" si="56"/>
        <v>7</v>
      </c>
      <c r="G425" s="3">
        <f>IF(E425&gt;=20,2000,1900) + D425</f>
        <v>1972</v>
      </c>
      <c r="H425">
        <f t="shared" si="57"/>
        <v>11</v>
      </c>
      <c r="I425" s="4">
        <f t="shared" si="58"/>
        <v>7</v>
      </c>
      <c r="J425">
        <f t="shared" si="59"/>
        <v>19721107</v>
      </c>
      <c r="K425" t="str">
        <f t="shared" si="60"/>
        <v>07.11.1972</v>
      </c>
      <c r="L425" s="10">
        <f t="shared" si="61"/>
        <v>18327</v>
      </c>
      <c r="M425" s="8">
        <f t="shared" si="62"/>
        <v>50</v>
      </c>
    </row>
    <row r="426" spans="1:13" x14ac:dyDescent="0.25">
      <c r="A426" s="4" t="s">
        <v>452</v>
      </c>
      <c r="B426" t="s">
        <v>16</v>
      </c>
      <c r="C426" t="s">
        <v>6</v>
      </c>
      <c r="D426" s="3">
        <f t="shared" si="54"/>
        <v>70</v>
      </c>
      <c r="E426" s="4">
        <f t="shared" si="55"/>
        <v>5</v>
      </c>
      <c r="F426" s="4">
        <f t="shared" si="56"/>
        <v>23</v>
      </c>
      <c r="G426" s="3">
        <f>IF(E426&gt;=20,2000,1900) + D426</f>
        <v>1970</v>
      </c>
      <c r="H426">
        <f t="shared" si="57"/>
        <v>5</v>
      </c>
      <c r="I426" s="4">
        <f t="shared" si="58"/>
        <v>23</v>
      </c>
      <c r="J426">
        <f t="shared" si="59"/>
        <v>19700523</v>
      </c>
      <c r="K426" t="str">
        <f t="shared" si="60"/>
        <v>23.05.1970</v>
      </c>
      <c r="L426" s="10">
        <f t="shared" si="61"/>
        <v>19226</v>
      </c>
      <c r="M426" s="8">
        <f t="shared" si="62"/>
        <v>52</v>
      </c>
    </row>
    <row r="427" spans="1:13" x14ac:dyDescent="0.25">
      <c r="A427" s="4" t="s">
        <v>453</v>
      </c>
      <c r="B427" t="s">
        <v>12</v>
      </c>
      <c r="C427" t="s">
        <v>6</v>
      </c>
      <c r="D427" s="3">
        <f t="shared" si="54"/>
        <v>53</v>
      </c>
      <c r="E427" s="4">
        <f t="shared" si="55"/>
        <v>8</v>
      </c>
      <c r="F427" s="4">
        <f t="shared" si="56"/>
        <v>6</v>
      </c>
      <c r="G427" s="3">
        <f>IF(E427&gt;=20,2000,1900) + D427</f>
        <v>1953</v>
      </c>
      <c r="H427">
        <f t="shared" si="57"/>
        <v>8</v>
      </c>
      <c r="I427" s="4">
        <f t="shared" si="58"/>
        <v>6</v>
      </c>
      <c r="J427">
        <f t="shared" si="59"/>
        <v>19530806</v>
      </c>
      <c r="K427" t="str">
        <f t="shared" si="60"/>
        <v>06.08.1953</v>
      </c>
      <c r="L427" s="10">
        <f t="shared" si="61"/>
        <v>25360</v>
      </c>
      <c r="M427" s="8">
        <f t="shared" si="62"/>
        <v>69</v>
      </c>
    </row>
    <row r="428" spans="1:13" x14ac:dyDescent="0.25">
      <c r="A428" s="4" t="s">
        <v>454</v>
      </c>
      <c r="B428" t="s">
        <v>13</v>
      </c>
      <c r="C428" t="s">
        <v>6</v>
      </c>
      <c r="D428" s="3">
        <f t="shared" si="54"/>
        <v>63</v>
      </c>
      <c r="E428" s="4">
        <f t="shared" si="55"/>
        <v>9</v>
      </c>
      <c r="F428" s="4">
        <f t="shared" si="56"/>
        <v>26</v>
      </c>
      <c r="G428" s="3">
        <f>IF(E428&gt;=20,2000,1900) + D428</f>
        <v>1963</v>
      </c>
      <c r="H428">
        <f t="shared" si="57"/>
        <v>9</v>
      </c>
      <c r="I428" s="4">
        <f t="shared" si="58"/>
        <v>26</v>
      </c>
      <c r="J428">
        <f t="shared" si="59"/>
        <v>19630926</v>
      </c>
      <c r="K428" t="str">
        <f t="shared" si="60"/>
        <v>26.09.1963</v>
      </c>
      <c r="L428" s="10">
        <f t="shared" si="61"/>
        <v>21657</v>
      </c>
      <c r="M428" s="8">
        <f t="shared" si="62"/>
        <v>59</v>
      </c>
    </row>
    <row r="429" spans="1:13" x14ac:dyDescent="0.25">
      <c r="A429" s="4" t="s">
        <v>455</v>
      </c>
      <c r="B429" t="s">
        <v>15</v>
      </c>
      <c r="C429" t="s">
        <v>4</v>
      </c>
      <c r="D429" s="3">
        <f t="shared" si="54"/>
        <v>80</v>
      </c>
      <c r="E429" s="4">
        <f t="shared" si="55"/>
        <v>1</v>
      </c>
      <c r="F429" s="4">
        <f t="shared" si="56"/>
        <v>23</v>
      </c>
      <c r="G429" s="3">
        <f>IF(E429&gt;=20,2000,1900) + D429</f>
        <v>1980</v>
      </c>
      <c r="H429">
        <f t="shared" si="57"/>
        <v>1</v>
      </c>
      <c r="I429" s="4">
        <f t="shared" si="58"/>
        <v>23</v>
      </c>
      <c r="J429">
        <f t="shared" si="59"/>
        <v>19800123</v>
      </c>
      <c r="K429" t="str">
        <f t="shared" si="60"/>
        <v>23.01.1980</v>
      </c>
      <c r="L429" s="10">
        <f t="shared" si="61"/>
        <v>15694</v>
      </c>
      <c r="M429" s="8">
        <f t="shared" si="62"/>
        <v>42</v>
      </c>
    </row>
    <row r="430" spans="1:13" x14ac:dyDescent="0.25">
      <c r="A430" s="4" t="s">
        <v>456</v>
      </c>
      <c r="B430" t="s">
        <v>5</v>
      </c>
      <c r="C430" t="s">
        <v>4</v>
      </c>
      <c r="D430" s="3">
        <f t="shared" si="54"/>
        <v>88</v>
      </c>
      <c r="E430" s="4">
        <f t="shared" si="55"/>
        <v>9</v>
      </c>
      <c r="F430" s="4">
        <f t="shared" si="56"/>
        <v>28</v>
      </c>
      <c r="G430" s="3">
        <f>IF(E430&gt;=20,2000,1900) + D430</f>
        <v>1988</v>
      </c>
      <c r="H430">
        <f t="shared" si="57"/>
        <v>9</v>
      </c>
      <c r="I430" s="4">
        <f t="shared" si="58"/>
        <v>28</v>
      </c>
      <c r="J430">
        <f t="shared" si="59"/>
        <v>19880928</v>
      </c>
      <c r="K430" t="str">
        <f t="shared" si="60"/>
        <v>28.09.1988</v>
      </c>
      <c r="L430" s="10">
        <f t="shared" si="61"/>
        <v>12523</v>
      </c>
      <c r="M430" s="8">
        <f t="shared" si="62"/>
        <v>34</v>
      </c>
    </row>
    <row r="431" spans="1:13" x14ac:dyDescent="0.25">
      <c r="A431" s="4" t="s">
        <v>457</v>
      </c>
      <c r="B431" t="s">
        <v>18</v>
      </c>
      <c r="C431" t="s">
        <v>6</v>
      </c>
      <c r="D431" s="3">
        <f t="shared" si="54"/>
        <v>63</v>
      </c>
      <c r="E431" s="4">
        <f t="shared" si="55"/>
        <v>6</v>
      </c>
      <c r="F431" s="4">
        <f t="shared" si="56"/>
        <v>20</v>
      </c>
      <c r="G431" s="3">
        <f>IF(E431&gt;=20,2000,1900) + D431</f>
        <v>1963</v>
      </c>
      <c r="H431">
        <f t="shared" si="57"/>
        <v>6</v>
      </c>
      <c r="I431" s="4">
        <f t="shared" si="58"/>
        <v>20</v>
      </c>
      <c r="J431">
        <f t="shared" si="59"/>
        <v>19630620</v>
      </c>
      <c r="K431" t="str">
        <f t="shared" si="60"/>
        <v>20.06.1963</v>
      </c>
      <c r="L431" s="10">
        <f t="shared" si="61"/>
        <v>21755</v>
      </c>
      <c r="M431" s="8">
        <f t="shared" si="62"/>
        <v>59</v>
      </c>
    </row>
    <row r="432" spans="1:13" x14ac:dyDescent="0.25">
      <c r="A432" s="4" t="s">
        <v>458</v>
      </c>
      <c r="B432" t="s">
        <v>15</v>
      </c>
      <c r="C432" t="s">
        <v>4</v>
      </c>
      <c r="D432" s="3">
        <f t="shared" si="54"/>
        <v>62</v>
      </c>
      <c r="E432" s="4">
        <f t="shared" si="55"/>
        <v>2</v>
      </c>
      <c r="F432" s="4">
        <f t="shared" si="56"/>
        <v>6</v>
      </c>
      <c r="G432" s="3">
        <f>IF(E432&gt;=20,2000,1900) + D432</f>
        <v>1962</v>
      </c>
      <c r="H432">
        <f t="shared" si="57"/>
        <v>2</v>
      </c>
      <c r="I432" s="4">
        <f t="shared" si="58"/>
        <v>6</v>
      </c>
      <c r="J432">
        <f t="shared" si="59"/>
        <v>19620206</v>
      </c>
      <c r="K432" t="str">
        <f t="shared" si="60"/>
        <v>06.02.1962</v>
      </c>
      <c r="L432" s="10">
        <f t="shared" si="61"/>
        <v>22254</v>
      </c>
      <c r="M432" s="8">
        <f t="shared" si="62"/>
        <v>60</v>
      </c>
    </row>
    <row r="433" spans="1:13" x14ac:dyDescent="0.25">
      <c r="A433" s="4" t="s">
        <v>459</v>
      </c>
      <c r="B433" t="s">
        <v>20</v>
      </c>
      <c r="C433" t="s">
        <v>6</v>
      </c>
      <c r="D433" s="3">
        <f t="shared" si="54"/>
        <v>85</v>
      </c>
      <c r="E433" s="4">
        <f t="shared" si="55"/>
        <v>12</v>
      </c>
      <c r="F433" s="4">
        <f t="shared" si="56"/>
        <v>7</v>
      </c>
      <c r="G433" s="3">
        <f>IF(E433&gt;=20,2000,1900) + D433</f>
        <v>1985</v>
      </c>
      <c r="H433">
        <f t="shared" si="57"/>
        <v>12</v>
      </c>
      <c r="I433" s="4">
        <f t="shared" si="58"/>
        <v>7</v>
      </c>
      <c r="J433">
        <f t="shared" si="59"/>
        <v>19851207</v>
      </c>
      <c r="K433" t="str">
        <f t="shared" si="60"/>
        <v>07.12.1985</v>
      </c>
      <c r="L433" s="10">
        <f t="shared" si="61"/>
        <v>13549</v>
      </c>
      <c r="M433" s="8">
        <f t="shared" si="62"/>
        <v>37</v>
      </c>
    </row>
    <row r="434" spans="1:13" x14ac:dyDescent="0.25">
      <c r="A434" s="4" t="s">
        <v>460</v>
      </c>
      <c r="B434" t="s">
        <v>17</v>
      </c>
      <c r="C434" t="s">
        <v>4</v>
      </c>
      <c r="D434" s="3">
        <f t="shared" si="54"/>
        <v>57</v>
      </c>
      <c r="E434" s="4">
        <f t="shared" si="55"/>
        <v>7</v>
      </c>
      <c r="F434" s="4">
        <f t="shared" si="56"/>
        <v>24</v>
      </c>
      <c r="G434" s="3">
        <f>IF(E434&gt;=20,2000,1900) + D434</f>
        <v>1957</v>
      </c>
      <c r="H434">
        <f t="shared" si="57"/>
        <v>7</v>
      </c>
      <c r="I434" s="4">
        <f t="shared" si="58"/>
        <v>24</v>
      </c>
      <c r="J434">
        <f t="shared" si="59"/>
        <v>19570724</v>
      </c>
      <c r="K434" t="str">
        <f t="shared" si="60"/>
        <v>24.07.1957</v>
      </c>
      <c r="L434" s="10">
        <f t="shared" si="61"/>
        <v>23912</v>
      </c>
      <c r="M434" s="8">
        <f t="shared" si="62"/>
        <v>65</v>
      </c>
    </row>
    <row r="435" spans="1:13" x14ac:dyDescent="0.25">
      <c r="A435" s="4" t="s">
        <v>461</v>
      </c>
      <c r="B435" t="s">
        <v>20</v>
      </c>
      <c r="C435" t="s">
        <v>6</v>
      </c>
      <c r="D435" s="3">
        <f t="shared" si="54"/>
        <v>82</v>
      </c>
      <c r="E435" s="4">
        <f t="shared" si="55"/>
        <v>2</v>
      </c>
      <c r="F435" s="4">
        <f t="shared" si="56"/>
        <v>2</v>
      </c>
      <c r="G435" s="3">
        <f>IF(E435&gt;=20,2000,1900) + D435</f>
        <v>1982</v>
      </c>
      <c r="H435">
        <f t="shared" si="57"/>
        <v>2</v>
      </c>
      <c r="I435" s="4">
        <f t="shared" si="58"/>
        <v>2</v>
      </c>
      <c r="J435">
        <f t="shared" si="59"/>
        <v>19820202</v>
      </c>
      <c r="K435" t="str">
        <f t="shared" si="60"/>
        <v>02.02.1982</v>
      </c>
      <c r="L435" s="10">
        <f t="shared" si="61"/>
        <v>14953</v>
      </c>
      <c r="M435" s="8">
        <f t="shared" si="62"/>
        <v>40</v>
      </c>
    </row>
    <row r="436" spans="1:13" x14ac:dyDescent="0.25">
      <c r="A436" s="4" t="s">
        <v>462</v>
      </c>
      <c r="B436" t="s">
        <v>11</v>
      </c>
      <c r="C436" t="s">
        <v>4</v>
      </c>
      <c r="D436" s="3">
        <f t="shared" si="54"/>
        <v>93</v>
      </c>
      <c r="E436" s="4">
        <f t="shared" si="55"/>
        <v>11</v>
      </c>
      <c r="F436" s="4">
        <f t="shared" si="56"/>
        <v>30</v>
      </c>
      <c r="G436" s="3">
        <f>IF(E436&gt;=20,2000,1900) + D436</f>
        <v>1993</v>
      </c>
      <c r="H436">
        <f t="shared" si="57"/>
        <v>11</v>
      </c>
      <c r="I436" s="4">
        <f t="shared" si="58"/>
        <v>30</v>
      </c>
      <c r="J436">
        <f t="shared" si="59"/>
        <v>19931130</v>
      </c>
      <c r="K436" t="str">
        <f t="shared" si="60"/>
        <v>30.11.1993</v>
      </c>
      <c r="L436" s="10">
        <f t="shared" si="61"/>
        <v>10634</v>
      </c>
      <c r="M436" s="8">
        <f t="shared" si="62"/>
        <v>29</v>
      </c>
    </row>
    <row r="437" spans="1:13" x14ac:dyDescent="0.25">
      <c r="A437" s="4" t="s">
        <v>463</v>
      </c>
      <c r="B437" t="s">
        <v>3</v>
      </c>
      <c r="C437" t="s">
        <v>4</v>
      </c>
      <c r="D437" s="3">
        <f t="shared" si="54"/>
        <v>80</v>
      </c>
      <c r="E437" s="4">
        <f t="shared" si="55"/>
        <v>3</v>
      </c>
      <c r="F437" s="4">
        <f t="shared" si="56"/>
        <v>29</v>
      </c>
      <c r="G437" s="3">
        <f>IF(E437&gt;=20,2000,1900) + D437</f>
        <v>1980</v>
      </c>
      <c r="H437">
        <f t="shared" si="57"/>
        <v>3</v>
      </c>
      <c r="I437" s="4">
        <f t="shared" si="58"/>
        <v>29</v>
      </c>
      <c r="J437">
        <f t="shared" si="59"/>
        <v>19800329</v>
      </c>
      <c r="K437" t="str">
        <f t="shared" si="60"/>
        <v>29.03.1980</v>
      </c>
      <c r="L437" s="10">
        <f t="shared" si="61"/>
        <v>15628</v>
      </c>
      <c r="M437" s="8">
        <f t="shared" si="62"/>
        <v>42</v>
      </c>
    </row>
    <row r="438" spans="1:13" x14ac:dyDescent="0.25">
      <c r="A438" s="4" t="s">
        <v>464</v>
      </c>
      <c r="B438" t="s">
        <v>11</v>
      </c>
      <c r="C438" t="s">
        <v>4</v>
      </c>
      <c r="D438" s="3">
        <f t="shared" si="54"/>
        <v>97</v>
      </c>
      <c r="E438" s="4">
        <f t="shared" si="55"/>
        <v>6</v>
      </c>
      <c r="F438" s="4">
        <f t="shared" si="56"/>
        <v>16</v>
      </c>
      <c r="G438" s="3">
        <f>IF(E438&gt;=20,2000,1900) + D438</f>
        <v>1997</v>
      </c>
      <c r="H438">
        <f t="shared" si="57"/>
        <v>6</v>
      </c>
      <c r="I438" s="4">
        <f t="shared" si="58"/>
        <v>16</v>
      </c>
      <c r="J438">
        <f t="shared" si="59"/>
        <v>19970616</v>
      </c>
      <c r="K438" t="str">
        <f t="shared" si="60"/>
        <v>16.06.1997</v>
      </c>
      <c r="L438" s="10">
        <f t="shared" si="61"/>
        <v>9340</v>
      </c>
      <c r="M438" s="8">
        <f t="shared" si="62"/>
        <v>25</v>
      </c>
    </row>
    <row r="439" spans="1:13" x14ac:dyDescent="0.25">
      <c r="A439" s="4" t="s">
        <v>465</v>
      </c>
      <c r="B439" t="s">
        <v>11</v>
      </c>
      <c r="C439" t="s">
        <v>4</v>
      </c>
      <c r="D439" s="3">
        <f t="shared" si="54"/>
        <v>99</v>
      </c>
      <c r="E439" s="4">
        <f t="shared" si="55"/>
        <v>4</v>
      </c>
      <c r="F439" s="4">
        <f t="shared" si="56"/>
        <v>22</v>
      </c>
      <c r="G439" s="3">
        <f>IF(E439&gt;=20,2000,1900) + D439</f>
        <v>1999</v>
      </c>
      <c r="H439">
        <f t="shared" si="57"/>
        <v>4</v>
      </c>
      <c r="I439" s="4">
        <f t="shared" si="58"/>
        <v>22</v>
      </c>
      <c r="J439">
        <f t="shared" si="59"/>
        <v>19990422</v>
      </c>
      <c r="K439" t="str">
        <f t="shared" si="60"/>
        <v>22.04.1999</v>
      </c>
      <c r="L439" s="10">
        <f t="shared" si="61"/>
        <v>8665</v>
      </c>
      <c r="M439" s="8">
        <f t="shared" si="62"/>
        <v>23</v>
      </c>
    </row>
    <row r="440" spans="1:13" x14ac:dyDescent="0.25">
      <c r="A440" s="4" t="s">
        <v>466</v>
      </c>
      <c r="B440" t="s">
        <v>7</v>
      </c>
      <c r="C440" t="s">
        <v>4</v>
      </c>
      <c r="D440" s="3">
        <f t="shared" si="54"/>
        <v>90</v>
      </c>
      <c r="E440" s="4">
        <f t="shared" si="55"/>
        <v>12</v>
      </c>
      <c r="F440" s="4">
        <f t="shared" si="56"/>
        <v>22</v>
      </c>
      <c r="G440" s="3">
        <f>IF(E440&gt;=20,2000,1900) + D440</f>
        <v>1990</v>
      </c>
      <c r="H440">
        <f t="shared" si="57"/>
        <v>12</v>
      </c>
      <c r="I440" s="4">
        <f t="shared" si="58"/>
        <v>22</v>
      </c>
      <c r="J440">
        <f t="shared" si="59"/>
        <v>19901222</v>
      </c>
      <c r="K440" t="str">
        <f t="shared" si="60"/>
        <v>22.12.1990</v>
      </c>
      <c r="L440" s="10">
        <f t="shared" si="61"/>
        <v>11708</v>
      </c>
      <c r="M440" s="8">
        <f t="shared" si="62"/>
        <v>32</v>
      </c>
    </row>
    <row r="441" spans="1:13" x14ac:dyDescent="0.25">
      <c r="A441" s="4" t="s">
        <v>467</v>
      </c>
      <c r="B441" t="s">
        <v>3</v>
      </c>
      <c r="C441" t="s">
        <v>4</v>
      </c>
      <c r="D441" s="3">
        <f t="shared" si="54"/>
        <v>98</v>
      </c>
      <c r="E441" s="4">
        <f t="shared" si="55"/>
        <v>4</v>
      </c>
      <c r="F441" s="4">
        <f t="shared" si="56"/>
        <v>20</v>
      </c>
      <c r="G441" s="3">
        <f>IF(E441&gt;=20,2000,1900) + D441</f>
        <v>1998</v>
      </c>
      <c r="H441">
        <f t="shared" si="57"/>
        <v>4</v>
      </c>
      <c r="I441" s="4">
        <f t="shared" si="58"/>
        <v>20</v>
      </c>
      <c r="J441">
        <f t="shared" si="59"/>
        <v>19980420</v>
      </c>
      <c r="K441" t="str">
        <f t="shared" si="60"/>
        <v>20.04.1998</v>
      </c>
      <c r="L441" s="10">
        <f t="shared" si="61"/>
        <v>9032</v>
      </c>
      <c r="M441" s="8">
        <f t="shared" si="62"/>
        <v>24</v>
      </c>
    </row>
    <row r="442" spans="1:13" x14ac:dyDescent="0.25">
      <c r="A442" s="4" t="s">
        <v>468</v>
      </c>
      <c r="B442" t="s">
        <v>11</v>
      </c>
      <c r="C442" t="s">
        <v>4</v>
      </c>
      <c r="D442" s="3">
        <f t="shared" si="54"/>
        <v>63</v>
      </c>
      <c r="E442" s="4">
        <f t="shared" si="55"/>
        <v>9</v>
      </c>
      <c r="F442" s="4">
        <f t="shared" si="56"/>
        <v>6</v>
      </c>
      <c r="G442" s="3">
        <f>IF(E442&gt;=20,2000,1900) + D442</f>
        <v>1963</v>
      </c>
      <c r="H442">
        <f t="shared" si="57"/>
        <v>9</v>
      </c>
      <c r="I442" s="4">
        <f t="shared" si="58"/>
        <v>6</v>
      </c>
      <c r="J442">
        <f t="shared" si="59"/>
        <v>19630906</v>
      </c>
      <c r="K442" t="str">
        <f t="shared" si="60"/>
        <v>06.09.1963</v>
      </c>
      <c r="L442" s="10">
        <f t="shared" si="61"/>
        <v>21677</v>
      </c>
      <c r="M442" s="8">
        <f t="shared" si="62"/>
        <v>59</v>
      </c>
    </row>
    <row r="443" spans="1:13" x14ac:dyDescent="0.25">
      <c r="A443" s="4" t="s">
        <v>469</v>
      </c>
      <c r="B443" t="s">
        <v>14</v>
      </c>
      <c r="C443" t="s">
        <v>4</v>
      </c>
      <c r="D443" s="3">
        <f t="shared" si="54"/>
        <v>56</v>
      </c>
      <c r="E443" s="4">
        <f t="shared" si="55"/>
        <v>4</v>
      </c>
      <c r="F443" s="4">
        <f t="shared" si="56"/>
        <v>16</v>
      </c>
      <c r="G443" s="3">
        <f>IF(E443&gt;=20,2000,1900) + D443</f>
        <v>1956</v>
      </c>
      <c r="H443">
        <f t="shared" si="57"/>
        <v>4</v>
      </c>
      <c r="I443" s="4">
        <f t="shared" si="58"/>
        <v>16</v>
      </c>
      <c r="J443">
        <f t="shared" si="59"/>
        <v>19560416</v>
      </c>
      <c r="K443" t="str">
        <f t="shared" si="60"/>
        <v>16.04.1956</v>
      </c>
      <c r="L443" s="10">
        <f t="shared" si="61"/>
        <v>24376</v>
      </c>
      <c r="M443" s="8">
        <f t="shared" si="62"/>
        <v>66</v>
      </c>
    </row>
    <row r="444" spans="1:13" x14ac:dyDescent="0.25">
      <c r="A444" s="4" t="s">
        <v>470</v>
      </c>
      <c r="B444" t="s">
        <v>11</v>
      </c>
      <c r="C444" t="s">
        <v>4</v>
      </c>
      <c r="D444" s="3">
        <f t="shared" si="54"/>
        <v>61</v>
      </c>
      <c r="E444" s="4">
        <f t="shared" si="55"/>
        <v>6</v>
      </c>
      <c r="F444" s="4">
        <f t="shared" si="56"/>
        <v>13</v>
      </c>
      <c r="G444" s="3">
        <f>IF(E444&gt;=20,2000,1900) + D444</f>
        <v>1961</v>
      </c>
      <c r="H444">
        <f t="shared" si="57"/>
        <v>6</v>
      </c>
      <c r="I444" s="4">
        <f t="shared" si="58"/>
        <v>13</v>
      </c>
      <c r="J444">
        <f t="shared" si="59"/>
        <v>19610613</v>
      </c>
      <c r="K444" t="str">
        <f t="shared" si="60"/>
        <v>13.06.1961</v>
      </c>
      <c r="L444" s="10">
        <f t="shared" si="61"/>
        <v>22492</v>
      </c>
      <c r="M444" s="8">
        <f t="shared" si="62"/>
        <v>61</v>
      </c>
    </row>
    <row r="445" spans="1:13" x14ac:dyDescent="0.25">
      <c r="A445" s="4" t="s">
        <v>471</v>
      </c>
      <c r="B445" t="s">
        <v>16</v>
      </c>
      <c r="C445" t="s">
        <v>6</v>
      </c>
      <c r="D445" s="3">
        <f t="shared" si="54"/>
        <v>65</v>
      </c>
      <c r="E445" s="4">
        <f t="shared" si="55"/>
        <v>3</v>
      </c>
      <c r="F445" s="4">
        <f t="shared" si="56"/>
        <v>2</v>
      </c>
      <c r="G445" s="3">
        <f>IF(E445&gt;=20,2000,1900) + D445</f>
        <v>1965</v>
      </c>
      <c r="H445">
        <f t="shared" si="57"/>
        <v>3</v>
      </c>
      <c r="I445" s="4">
        <f t="shared" si="58"/>
        <v>2</v>
      </c>
      <c r="J445">
        <f t="shared" si="59"/>
        <v>19650302</v>
      </c>
      <c r="K445" t="str">
        <f t="shared" si="60"/>
        <v>02.03.1965</v>
      </c>
      <c r="L445" s="10">
        <f t="shared" si="61"/>
        <v>21134</v>
      </c>
      <c r="M445" s="8">
        <f t="shared" si="62"/>
        <v>57</v>
      </c>
    </row>
    <row r="446" spans="1:13" x14ac:dyDescent="0.25">
      <c r="A446" s="4" t="s">
        <v>472</v>
      </c>
      <c r="B446" t="s">
        <v>12</v>
      </c>
      <c r="C446" t="s">
        <v>4</v>
      </c>
      <c r="D446" s="3">
        <f t="shared" si="54"/>
        <v>92</v>
      </c>
      <c r="E446" s="4">
        <f t="shared" si="55"/>
        <v>1</v>
      </c>
      <c r="F446" s="4">
        <f t="shared" si="56"/>
        <v>29</v>
      </c>
      <c r="G446" s="3">
        <f>IF(E446&gt;=20,2000,1900) + D446</f>
        <v>1992</v>
      </c>
      <c r="H446">
        <f t="shared" si="57"/>
        <v>1</v>
      </c>
      <c r="I446" s="4">
        <f t="shared" si="58"/>
        <v>29</v>
      </c>
      <c r="J446">
        <f t="shared" si="59"/>
        <v>19920129</v>
      </c>
      <c r="K446" t="str">
        <f t="shared" si="60"/>
        <v>29.01.1992</v>
      </c>
      <c r="L446" s="10">
        <f t="shared" si="61"/>
        <v>11305</v>
      </c>
      <c r="M446" s="8">
        <f t="shared" si="62"/>
        <v>30</v>
      </c>
    </row>
    <row r="447" spans="1:13" x14ac:dyDescent="0.25">
      <c r="A447" s="4" t="s">
        <v>473</v>
      </c>
      <c r="B447" t="s">
        <v>15</v>
      </c>
      <c r="C447" t="s">
        <v>6</v>
      </c>
      <c r="D447" s="3">
        <f t="shared" si="54"/>
        <v>98</v>
      </c>
      <c r="E447" s="4">
        <f t="shared" si="55"/>
        <v>2</v>
      </c>
      <c r="F447" s="4">
        <f t="shared" si="56"/>
        <v>13</v>
      </c>
      <c r="G447" s="3">
        <f>IF(E447&gt;=20,2000,1900) + D447</f>
        <v>1998</v>
      </c>
      <c r="H447">
        <f t="shared" si="57"/>
        <v>2</v>
      </c>
      <c r="I447" s="4">
        <f t="shared" si="58"/>
        <v>13</v>
      </c>
      <c r="J447">
        <f t="shared" si="59"/>
        <v>19980213</v>
      </c>
      <c r="K447" t="str">
        <f t="shared" si="60"/>
        <v>13.02.1998</v>
      </c>
      <c r="L447" s="10">
        <f t="shared" si="61"/>
        <v>9098</v>
      </c>
      <c r="M447" s="8">
        <f t="shared" si="62"/>
        <v>24</v>
      </c>
    </row>
    <row r="448" spans="1:13" x14ac:dyDescent="0.25">
      <c r="A448" s="4" t="s">
        <v>474</v>
      </c>
      <c r="B448" t="s">
        <v>10</v>
      </c>
      <c r="C448" t="s">
        <v>6</v>
      </c>
      <c r="D448" s="3">
        <f t="shared" si="54"/>
        <v>61</v>
      </c>
      <c r="E448" s="4">
        <f t="shared" si="55"/>
        <v>2</v>
      </c>
      <c r="F448" s="4">
        <f t="shared" si="56"/>
        <v>7</v>
      </c>
      <c r="G448" s="3">
        <f>IF(E448&gt;=20,2000,1900) + D448</f>
        <v>1961</v>
      </c>
      <c r="H448">
        <f t="shared" si="57"/>
        <v>2</v>
      </c>
      <c r="I448" s="4">
        <f t="shared" si="58"/>
        <v>7</v>
      </c>
      <c r="J448">
        <f t="shared" si="59"/>
        <v>19610207</v>
      </c>
      <c r="K448" t="str">
        <f t="shared" si="60"/>
        <v>07.02.1961</v>
      </c>
      <c r="L448" s="10">
        <f t="shared" si="61"/>
        <v>22618</v>
      </c>
      <c r="M448" s="8">
        <f t="shared" si="62"/>
        <v>61</v>
      </c>
    </row>
    <row r="449" spans="1:13" x14ac:dyDescent="0.25">
      <c r="A449" s="4" t="s">
        <v>475</v>
      </c>
      <c r="B449" t="s">
        <v>11</v>
      </c>
      <c r="C449" t="s">
        <v>6</v>
      </c>
      <c r="D449" s="3">
        <f t="shared" si="54"/>
        <v>51</v>
      </c>
      <c r="E449" s="4">
        <f t="shared" si="55"/>
        <v>10</v>
      </c>
      <c r="F449" s="4">
        <f t="shared" si="56"/>
        <v>8</v>
      </c>
      <c r="G449" s="3">
        <f>IF(E449&gt;=20,2000,1900) + D449</f>
        <v>1951</v>
      </c>
      <c r="H449">
        <f t="shared" si="57"/>
        <v>10</v>
      </c>
      <c r="I449" s="4">
        <f t="shared" si="58"/>
        <v>8</v>
      </c>
      <c r="J449">
        <f t="shared" si="59"/>
        <v>19511008</v>
      </c>
      <c r="K449" t="str">
        <f t="shared" si="60"/>
        <v>08.10.1951</v>
      </c>
      <c r="L449" s="10">
        <f t="shared" si="61"/>
        <v>26028</v>
      </c>
      <c r="M449" s="8">
        <f t="shared" si="62"/>
        <v>71</v>
      </c>
    </row>
    <row r="450" spans="1:13" x14ac:dyDescent="0.25">
      <c r="A450" s="4" t="s">
        <v>476</v>
      </c>
      <c r="B450" t="s">
        <v>12</v>
      </c>
      <c r="C450" t="s">
        <v>4</v>
      </c>
      <c r="D450" s="3">
        <f t="shared" si="54"/>
        <v>58</v>
      </c>
      <c r="E450" s="4">
        <f t="shared" si="55"/>
        <v>9</v>
      </c>
      <c r="F450" s="4">
        <f t="shared" si="56"/>
        <v>23</v>
      </c>
      <c r="G450" s="3">
        <f>IF(E450&gt;=20,2000,1900) + D450</f>
        <v>1958</v>
      </c>
      <c r="H450">
        <f t="shared" si="57"/>
        <v>9</v>
      </c>
      <c r="I450" s="4">
        <f t="shared" si="58"/>
        <v>23</v>
      </c>
      <c r="J450">
        <f t="shared" si="59"/>
        <v>19580923</v>
      </c>
      <c r="K450" t="str">
        <f t="shared" si="60"/>
        <v>23.09.1958</v>
      </c>
      <c r="L450" s="10">
        <f t="shared" si="61"/>
        <v>23486</v>
      </c>
      <c r="M450" s="8">
        <f t="shared" si="62"/>
        <v>64</v>
      </c>
    </row>
    <row r="451" spans="1:13" x14ac:dyDescent="0.25">
      <c r="A451" s="4" t="s">
        <v>477</v>
      </c>
      <c r="B451" t="s">
        <v>15</v>
      </c>
      <c r="C451" t="s">
        <v>4</v>
      </c>
      <c r="D451" s="3">
        <f t="shared" ref="D451:D514" si="63">MID(A451,1,2)*1</f>
        <v>58</v>
      </c>
      <c r="E451" s="4">
        <f t="shared" ref="E451:E514" si="64">MID(A451,3,2)*1</f>
        <v>8</v>
      </c>
      <c r="F451" s="4">
        <f t="shared" ref="F451:F514" si="65">MID(A451,5,2)*1</f>
        <v>18</v>
      </c>
      <c r="G451" s="3">
        <f>IF(E451&gt;=20,2000,1900) + D451</f>
        <v>1958</v>
      </c>
      <c r="H451">
        <f t="shared" ref="H451:H514" si="66">IF(E451&gt;=20,E451-20,E451)</f>
        <v>8</v>
      </c>
      <c r="I451" s="4">
        <f t="shared" ref="I451:I514" si="67">F451</f>
        <v>18</v>
      </c>
      <c r="J451">
        <f t="shared" ref="J451:J514" si="68">CONCATENATE(G451,IF(LEN(H451)=1,CONCATENATE("0",H451),H451),IF(LEN(F451)=1,CONCATENATE("0",F451),F451))*1</f>
        <v>19580818</v>
      </c>
      <c r="K451" t="str">
        <f t="shared" ref="K451:K514" si="69">CONCATENATE(RIGHT(J451,2),".",MID(J451,5,2),".",LEFT(J451,4))</f>
        <v>18.08.1958</v>
      </c>
      <c r="L451" s="10">
        <f t="shared" ref="L451:L514" si="70">44937-K451</f>
        <v>23522</v>
      </c>
      <c r="M451" s="8">
        <f t="shared" ref="M451:M514" si="71">YEAR(L451)-1900</f>
        <v>64</v>
      </c>
    </row>
    <row r="452" spans="1:13" x14ac:dyDescent="0.25">
      <c r="A452" s="4" t="s">
        <v>478</v>
      </c>
      <c r="B452" t="s">
        <v>17</v>
      </c>
      <c r="C452" t="s">
        <v>4</v>
      </c>
      <c r="D452" s="3">
        <f t="shared" si="63"/>
        <v>51</v>
      </c>
      <c r="E452" s="4">
        <f t="shared" si="64"/>
        <v>11</v>
      </c>
      <c r="F452" s="4">
        <f t="shared" si="65"/>
        <v>20</v>
      </c>
      <c r="G452" s="3">
        <f>IF(E452&gt;=20,2000,1900) + D452</f>
        <v>1951</v>
      </c>
      <c r="H452">
        <f t="shared" si="66"/>
        <v>11</v>
      </c>
      <c r="I452" s="4">
        <f t="shared" si="67"/>
        <v>20</v>
      </c>
      <c r="J452">
        <f t="shared" si="68"/>
        <v>19511120</v>
      </c>
      <c r="K452" t="str">
        <f t="shared" si="69"/>
        <v>20.11.1951</v>
      </c>
      <c r="L452" s="10">
        <f t="shared" si="70"/>
        <v>25985</v>
      </c>
      <c r="M452" s="8">
        <f t="shared" si="71"/>
        <v>71</v>
      </c>
    </row>
    <row r="453" spans="1:13" x14ac:dyDescent="0.25">
      <c r="A453" s="4" t="s">
        <v>479</v>
      </c>
      <c r="B453" t="s">
        <v>15</v>
      </c>
      <c r="C453" t="s">
        <v>4</v>
      </c>
      <c r="D453" s="3">
        <f t="shared" si="63"/>
        <v>89</v>
      </c>
      <c r="E453" s="4">
        <f t="shared" si="64"/>
        <v>1</v>
      </c>
      <c r="F453" s="4">
        <f t="shared" si="65"/>
        <v>1</v>
      </c>
      <c r="G453" s="3">
        <f>IF(E453&gt;=20,2000,1900) + D453</f>
        <v>1989</v>
      </c>
      <c r="H453">
        <f t="shared" si="66"/>
        <v>1</v>
      </c>
      <c r="I453" s="4">
        <f t="shared" si="67"/>
        <v>1</v>
      </c>
      <c r="J453">
        <f t="shared" si="68"/>
        <v>19890101</v>
      </c>
      <c r="K453" t="str">
        <f t="shared" si="69"/>
        <v>01.01.1989</v>
      </c>
      <c r="L453" s="10">
        <f t="shared" si="70"/>
        <v>12428</v>
      </c>
      <c r="M453" s="8">
        <f t="shared" si="71"/>
        <v>34</v>
      </c>
    </row>
    <row r="454" spans="1:13" x14ac:dyDescent="0.25">
      <c r="A454" s="4" t="s">
        <v>480</v>
      </c>
      <c r="B454" t="s">
        <v>14</v>
      </c>
      <c r="C454" t="s">
        <v>6</v>
      </c>
      <c r="D454" s="3">
        <f t="shared" si="63"/>
        <v>84</v>
      </c>
      <c r="E454" s="4">
        <f t="shared" si="64"/>
        <v>2</v>
      </c>
      <c r="F454" s="4">
        <f t="shared" si="65"/>
        <v>11</v>
      </c>
      <c r="G454" s="3">
        <f>IF(E454&gt;=20,2000,1900) + D454</f>
        <v>1984</v>
      </c>
      <c r="H454">
        <f t="shared" si="66"/>
        <v>2</v>
      </c>
      <c r="I454" s="4">
        <f t="shared" si="67"/>
        <v>11</v>
      </c>
      <c r="J454">
        <f t="shared" si="68"/>
        <v>19840211</v>
      </c>
      <c r="K454" t="str">
        <f t="shared" si="69"/>
        <v>11.02.1984</v>
      </c>
      <c r="L454" s="10">
        <f t="shared" si="70"/>
        <v>14214</v>
      </c>
      <c r="M454" s="8">
        <f t="shared" si="71"/>
        <v>38</v>
      </c>
    </row>
    <row r="455" spans="1:13" x14ac:dyDescent="0.25">
      <c r="A455" s="4" t="s">
        <v>481</v>
      </c>
      <c r="B455" t="s">
        <v>9</v>
      </c>
      <c r="C455" t="s">
        <v>6</v>
      </c>
      <c r="D455" s="3">
        <f t="shared" si="63"/>
        <v>66</v>
      </c>
      <c r="E455" s="4">
        <f t="shared" si="64"/>
        <v>7</v>
      </c>
      <c r="F455" s="4">
        <f t="shared" si="65"/>
        <v>11</v>
      </c>
      <c r="G455" s="3">
        <f>IF(E455&gt;=20,2000,1900) + D455</f>
        <v>1966</v>
      </c>
      <c r="H455">
        <f t="shared" si="66"/>
        <v>7</v>
      </c>
      <c r="I455" s="4">
        <f t="shared" si="67"/>
        <v>11</v>
      </c>
      <c r="J455">
        <f t="shared" si="68"/>
        <v>19660711</v>
      </c>
      <c r="K455" t="str">
        <f t="shared" si="69"/>
        <v>11.07.1966</v>
      </c>
      <c r="L455" s="10">
        <f t="shared" si="70"/>
        <v>20638</v>
      </c>
      <c r="M455" s="8">
        <f t="shared" si="71"/>
        <v>56</v>
      </c>
    </row>
    <row r="456" spans="1:13" x14ac:dyDescent="0.25">
      <c r="A456" s="4" t="s">
        <v>482</v>
      </c>
      <c r="B456" t="s">
        <v>9</v>
      </c>
      <c r="C456" t="s">
        <v>6</v>
      </c>
      <c r="D456" s="3">
        <f t="shared" si="63"/>
        <v>64</v>
      </c>
      <c r="E456" s="4">
        <f t="shared" si="64"/>
        <v>11</v>
      </c>
      <c r="F456" s="4">
        <f t="shared" si="65"/>
        <v>5</v>
      </c>
      <c r="G456" s="3">
        <f>IF(E456&gt;=20,2000,1900) + D456</f>
        <v>1964</v>
      </c>
      <c r="H456">
        <f t="shared" si="66"/>
        <v>11</v>
      </c>
      <c r="I456" s="4">
        <f t="shared" si="67"/>
        <v>5</v>
      </c>
      <c r="J456">
        <f t="shared" si="68"/>
        <v>19641105</v>
      </c>
      <c r="K456" t="str">
        <f t="shared" si="69"/>
        <v>05.11.1964</v>
      </c>
      <c r="L456" s="10">
        <f t="shared" si="70"/>
        <v>21251</v>
      </c>
      <c r="M456" s="8">
        <f t="shared" si="71"/>
        <v>58</v>
      </c>
    </row>
    <row r="457" spans="1:13" x14ac:dyDescent="0.25">
      <c r="A457" s="4" t="s">
        <v>483</v>
      </c>
      <c r="B457" t="s">
        <v>7</v>
      </c>
      <c r="C457" t="s">
        <v>6</v>
      </c>
      <c r="D457" s="3">
        <f t="shared" si="63"/>
        <v>80</v>
      </c>
      <c r="E457" s="4">
        <f t="shared" si="64"/>
        <v>9</v>
      </c>
      <c r="F457" s="4">
        <f t="shared" si="65"/>
        <v>7</v>
      </c>
      <c r="G457" s="3">
        <f>IF(E457&gt;=20,2000,1900) + D457</f>
        <v>1980</v>
      </c>
      <c r="H457">
        <f t="shared" si="66"/>
        <v>9</v>
      </c>
      <c r="I457" s="4">
        <f t="shared" si="67"/>
        <v>7</v>
      </c>
      <c r="J457">
        <f t="shared" si="68"/>
        <v>19800907</v>
      </c>
      <c r="K457" t="str">
        <f t="shared" si="69"/>
        <v>07.09.1980</v>
      </c>
      <c r="L457" s="10">
        <f t="shared" si="70"/>
        <v>15466</v>
      </c>
      <c r="M457" s="8">
        <f t="shared" si="71"/>
        <v>42</v>
      </c>
    </row>
    <row r="458" spans="1:13" x14ac:dyDescent="0.25">
      <c r="A458" s="4" t="s">
        <v>484</v>
      </c>
      <c r="B458" t="s">
        <v>17</v>
      </c>
      <c r="C458" t="s">
        <v>4</v>
      </c>
      <c r="D458" s="3">
        <f t="shared" si="63"/>
        <v>60</v>
      </c>
      <c r="E458" s="4">
        <f t="shared" si="64"/>
        <v>8</v>
      </c>
      <c r="F458" s="4">
        <f t="shared" si="65"/>
        <v>10</v>
      </c>
      <c r="G458" s="3">
        <f>IF(E458&gt;=20,2000,1900) + D458</f>
        <v>1960</v>
      </c>
      <c r="H458">
        <f t="shared" si="66"/>
        <v>8</v>
      </c>
      <c r="I458" s="4">
        <f t="shared" si="67"/>
        <v>10</v>
      </c>
      <c r="J458">
        <f t="shared" si="68"/>
        <v>19600810</v>
      </c>
      <c r="K458" t="str">
        <f t="shared" si="69"/>
        <v>10.08.1960</v>
      </c>
      <c r="L458" s="10">
        <f t="shared" si="70"/>
        <v>22799</v>
      </c>
      <c r="M458" s="8">
        <f t="shared" si="71"/>
        <v>62</v>
      </c>
    </row>
    <row r="459" spans="1:13" x14ac:dyDescent="0.25">
      <c r="A459" s="4" t="s">
        <v>485</v>
      </c>
      <c r="B459" t="s">
        <v>5</v>
      </c>
      <c r="C459" t="s">
        <v>6</v>
      </c>
      <c r="D459" s="3">
        <f t="shared" si="63"/>
        <v>81</v>
      </c>
      <c r="E459" s="4">
        <f t="shared" si="64"/>
        <v>6</v>
      </c>
      <c r="F459" s="4">
        <f t="shared" si="65"/>
        <v>6</v>
      </c>
      <c r="G459" s="3">
        <f>IF(E459&gt;=20,2000,1900) + D459</f>
        <v>1981</v>
      </c>
      <c r="H459">
        <f t="shared" si="66"/>
        <v>6</v>
      </c>
      <c r="I459" s="4">
        <f t="shared" si="67"/>
        <v>6</v>
      </c>
      <c r="J459">
        <f t="shared" si="68"/>
        <v>19810606</v>
      </c>
      <c r="K459" t="str">
        <f t="shared" si="69"/>
        <v>06.06.1981</v>
      </c>
      <c r="L459" s="10">
        <f t="shared" si="70"/>
        <v>15194</v>
      </c>
      <c r="M459" s="8">
        <f t="shared" si="71"/>
        <v>41</v>
      </c>
    </row>
    <row r="460" spans="1:13" x14ac:dyDescent="0.25">
      <c r="A460" s="4" t="s">
        <v>486</v>
      </c>
      <c r="B460" t="s">
        <v>19</v>
      </c>
      <c r="C460" t="s">
        <v>4</v>
      </c>
      <c r="D460" s="3">
        <f t="shared" si="63"/>
        <v>72</v>
      </c>
      <c r="E460" s="4">
        <f t="shared" si="64"/>
        <v>4</v>
      </c>
      <c r="F460" s="4">
        <f t="shared" si="65"/>
        <v>11</v>
      </c>
      <c r="G460" s="3">
        <f>IF(E460&gt;=20,2000,1900) + D460</f>
        <v>1972</v>
      </c>
      <c r="H460">
        <f t="shared" si="66"/>
        <v>4</v>
      </c>
      <c r="I460" s="4">
        <f t="shared" si="67"/>
        <v>11</v>
      </c>
      <c r="J460">
        <f t="shared" si="68"/>
        <v>19720411</v>
      </c>
      <c r="K460" t="str">
        <f t="shared" si="69"/>
        <v>11.04.1972</v>
      </c>
      <c r="L460" s="10">
        <f t="shared" si="70"/>
        <v>18537</v>
      </c>
      <c r="M460" s="8">
        <f t="shared" si="71"/>
        <v>50</v>
      </c>
    </row>
    <row r="461" spans="1:13" x14ac:dyDescent="0.25">
      <c r="A461" s="4" t="s">
        <v>487</v>
      </c>
      <c r="B461" t="s">
        <v>15</v>
      </c>
      <c r="C461" t="s">
        <v>6</v>
      </c>
      <c r="D461" s="3">
        <f t="shared" si="63"/>
        <v>93</v>
      </c>
      <c r="E461" s="4">
        <f t="shared" si="64"/>
        <v>5</v>
      </c>
      <c r="F461" s="4">
        <f t="shared" si="65"/>
        <v>2</v>
      </c>
      <c r="G461" s="3">
        <f>IF(E461&gt;=20,2000,1900) + D461</f>
        <v>1993</v>
      </c>
      <c r="H461">
        <f t="shared" si="66"/>
        <v>5</v>
      </c>
      <c r="I461" s="4">
        <f t="shared" si="67"/>
        <v>2</v>
      </c>
      <c r="J461">
        <f t="shared" si="68"/>
        <v>19930502</v>
      </c>
      <c r="K461" t="str">
        <f t="shared" si="69"/>
        <v>02.05.1993</v>
      </c>
      <c r="L461" s="10">
        <f t="shared" si="70"/>
        <v>10846</v>
      </c>
      <c r="M461" s="8">
        <f t="shared" si="71"/>
        <v>29</v>
      </c>
    </row>
    <row r="462" spans="1:13" x14ac:dyDescent="0.25">
      <c r="A462" s="4" t="s">
        <v>488</v>
      </c>
      <c r="B462" t="s">
        <v>5</v>
      </c>
      <c r="C462" t="s">
        <v>6</v>
      </c>
      <c r="D462" s="3">
        <f t="shared" si="63"/>
        <v>57</v>
      </c>
      <c r="E462" s="4">
        <f t="shared" si="64"/>
        <v>11</v>
      </c>
      <c r="F462" s="4">
        <f t="shared" si="65"/>
        <v>10</v>
      </c>
      <c r="G462" s="3">
        <f>IF(E462&gt;=20,2000,1900) + D462</f>
        <v>1957</v>
      </c>
      <c r="H462">
        <f t="shared" si="66"/>
        <v>11</v>
      </c>
      <c r="I462" s="4">
        <f t="shared" si="67"/>
        <v>10</v>
      </c>
      <c r="J462">
        <f t="shared" si="68"/>
        <v>19571110</v>
      </c>
      <c r="K462" t="str">
        <f t="shared" si="69"/>
        <v>10.11.1957</v>
      </c>
      <c r="L462" s="10">
        <f t="shared" si="70"/>
        <v>23803</v>
      </c>
      <c r="M462" s="8">
        <f t="shared" si="71"/>
        <v>65</v>
      </c>
    </row>
    <row r="463" spans="1:13" x14ac:dyDescent="0.25">
      <c r="A463" s="4" t="s">
        <v>489</v>
      </c>
      <c r="B463" t="s">
        <v>7</v>
      </c>
      <c r="C463" t="s">
        <v>6</v>
      </c>
      <c r="D463" s="3">
        <f t="shared" si="63"/>
        <v>95</v>
      </c>
      <c r="E463" s="4">
        <f t="shared" si="64"/>
        <v>12</v>
      </c>
      <c r="F463" s="4">
        <f t="shared" si="65"/>
        <v>1</v>
      </c>
      <c r="G463" s="3">
        <f>IF(E463&gt;=20,2000,1900) + D463</f>
        <v>1995</v>
      </c>
      <c r="H463">
        <f t="shared" si="66"/>
        <v>12</v>
      </c>
      <c r="I463" s="4">
        <f t="shared" si="67"/>
        <v>1</v>
      </c>
      <c r="J463">
        <f t="shared" si="68"/>
        <v>19951201</v>
      </c>
      <c r="K463" t="str">
        <f t="shared" si="69"/>
        <v>01.12.1995</v>
      </c>
      <c r="L463" s="10">
        <f t="shared" si="70"/>
        <v>9903</v>
      </c>
      <c r="M463" s="8">
        <f t="shared" si="71"/>
        <v>27</v>
      </c>
    </row>
    <row r="464" spans="1:13" x14ac:dyDescent="0.25">
      <c r="A464" s="4" t="s">
        <v>490</v>
      </c>
      <c r="B464" t="s">
        <v>7</v>
      </c>
      <c r="C464" t="s">
        <v>6</v>
      </c>
      <c r="D464" s="3">
        <f t="shared" si="63"/>
        <v>50</v>
      </c>
      <c r="E464" s="4">
        <f t="shared" si="64"/>
        <v>3</v>
      </c>
      <c r="F464" s="4">
        <f t="shared" si="65"/>
        <v>5</v>
      </c>
      <c r="G464" s="3">
        <f>IF(E464&gt;=20,2000,1900) + D464</f>
        <v>1950</v>
      </c>
      <c r="H464">
        <f t="shared" si="66"/>
        <v>3</v>
      </c>
      <c r="I464" s="4">
        <f t="shared" si="67"/>
        <v>5</v>
      </c>
      <c r="J464">
        <f t="shared" si="68"/>
        <v>19500305</v>
      </c>
      <c r="K464" t="str">
        <f t="shared" si="69"/>
        <v>05.03.1950</v>
      </c>
      <c r="L464" s="10">
        <f t="shared" si="70"/>
        <v>26610</v>
      </c>
      <c r="M464" s="8">
        <f t="shared" si="71"/>
        <v>72</v>
      </c>
    </row>
    <row r="465" spans="1:13" x14ac:dyDescent="0.25">
      <c r="A465" s="4" t="s">
        <v>491</v>
      </c>
      <c r="B465" t="s">
        <v>12</v>
      </c>
      <c r="C465" t="s">
        <v>6</v>
      </c>
      <c r="D465" s="3">
        <f t="shared" si="63"/>
        <v>99</v>
      </c>
      <c r="E465" s="4">
        <f t="shared" si="64"/>
        <v>3</v>
      </c>
      <c r="F465" s="4">
        <f t="shared" si="65"/>
        <v>7</v>
      </c>
      <c r="G465" s="3">
        <f>IF(E465&gt;=20,2000,1900) + D465</f>
        <v>1999</v>
      </c>
      <c r="H465">
        <f t="shared" si="66"/>
        <v>3</v>
      </c>
      <c r="I465" s="4">
        <f t="shared" si="67"/>
        <v>7</v>
      </c>
      <c r="J465">
        <f t="shared" si="68"/>
        <v>19990307</v>
      </c>
      <c r="K465" t="str">
        <f t="shared" si="69"/>
        <v>07.03.1999</v>
      </c>
      <c r="L465" s="10">
        <f t="shared" si="70"/>
        <v>8711</v>
      </c>
      <c r="M465" s="8">
        <f t="shared" si="71"/>
        <v>23</v>
      </c>
    </row>
    <row r="466" spans="1:13" x14ac:dyDescent="0.25">
      <c r="A466" s="4" t="s">
        <v>492</v>
      </c>
      <c r="B466" t="s">
        <v>5</v>
      </c>
      <c r="C466" t="s">
        <v>6</v>
      </c>
      <c r="D466" s="3">
        <f t="shared" si="63"/>
        <v>86</v>
      </c>
      <c r="E466" s="4">
        <f t="shared" si="64"/>
        <v>1</v>
      </c>
      <c r="F466" s="4">
        <f t="shared" si="65"/>
        <v>28</v>
      </c>
      <c r="G466" s="3">
        <f>IF(E466&gt;=20,2000,1900) + D466</f>
        <v>1986</v>
      </c>
      <c r="H466">
        <f t="shared" si="66"/>
        <v>1</v>
      </c>
      <c r="I466" s="4">
        <f t="shared" si="67"/>
        <v>28</v>
      </c>
      <c r="J466">
        <f t="shared" si="68"/>
        <v>19860128</v>
      </c>
      <c r="K466" t="str">
        <f t="shared" si="69"/>
        <v>28.01.1986</v>
      </c>
      <c r="L466" s="10">
        <f t="shared" si="70"/>
        <v>13497</v>
      </c>
      <c r="M466" s="8">
        <f t="shared" si="71"/>
        <v>36</v>
      </c>
    </row>
    <row r="467" spans="1:13" x14ac:dyDescent="0.25">
      <c r="A467" s="4" t="s">
        <v>493</v>
      </c>
      <c r="B467" t="s">
        <v>16</v>
      </c>
      <c r="C467" t="s">
        <v>4</v>
      </c>
      <c r="D467" s="3">
        <f t="shared" si="63"/>
        <v>77</v>
      </c>
      <c r="E467" s="4">
        <f t="shared" si="64"/>
        <v>7</v>
      </c>
      <c r="F467" s="4">
        <f t="shared" si="65"/>
        <v>9</v>
      </c>
      <c r="G467" s="3">
        <f>IF(E467&gt;=20,2000,1900) + D467</f>
        <v>1977</v>
      </c>
      <c r="H467">
        <f t="shared" si="66"/>
        <v>7</v>
      </c>
      <c r="I467" s="4">
        <f t="shared" si="67"/>
        <v>9</v>
      </c>
      <c r="J467">
        <f t="shared" si="68"/>
        <v>19770709</v>
      </c>
      <c r="K467" t="str">
        <f t="shared" si="69"/>
        <v>09.07.1977</v>
      </c>
      <c r="L467" s="10">
        <f t="shared" si="70"/>
        <v>16622</v>
      </c>
      <c r="M467" s="8">
        <f t="shared" si="71"/>
        <v>45</v>
      </c>
    </row>
    <row r="468" spans="1:13" x14ac:dyDescent="0.25">
      <c r="A468" s="4" t="s">
        <v>494</v>
      </c>
      <c r="B468" t="s">
        <v>3</v>
      </c>
      <c r="C468" t="s">
        <v>4</v>
      </c>
      <c r="D468" s="3">
        <f t="shared" si="63"/>
        <v>81</v>
      </c>
      <c r="E468" s="4">
        <f t="shared" si="64"/>
        <v>11</v>
      </c>
      <c r="F468" s="4">
        <f t="shared" si="65"/>
        <v>7</v>
      </c>
      <c r="G468" s="3">
        <f>IF(E468&gt;=20,2000,1900) + D468</f>
        <v>1981</v>
      </c>
      <c r="H468">
        <f t="shared" si="66"/>
        <v>11</v>
      </c>
      <c r="I468" s="4">
        <f t="shared" si="67"/>
        <v>7</v>
      </c>
      <c r="J468">
        <f t="shared" si="68"/>
        <v>19811107</v>
      </c>
      <c r="K468" t="str">
        <f t="shared" si="69"/>
        <v>07.11.1981</v>
      </c>
      <c r="L468" s="10">
        <f t="shared" si="70"/>
        <v>15040</v>
      </c>
      <c r="M468" s="8">
        <f t="shared" si="71"/>
        <v>41</v>
      </c>
    </row>
    <row r="469" spans="1:13" x14ac:dyDescent="0.25">
      <c r="A469" s="4" t="s">
        <v>495</v>
      </c>
      <c r="B469" t="s">
        <v>7</v>
      </c>
      <c r="C469" t="s">
        <v>4</v>
      </c>
      <c r="D469" s="3">
        <f t="shared" si="63"/>
        <v>77</v>
      </c>
      <c r="E469" s="4">
        <f t="shared" si="64"/>
        <v>11</v>
      </c>
      <c r="F469" s="4">
        <f t="shared" si="65"/>
        <v>11</v>
      </c>
      <c r="G469" s="3">
        <f>IF(E469&gt;=20,2000,1900) + D469</f>
        <v>1977</v>
      </c>
      <c r="H469">
        <f t="shared" si="66"/>
        <v>11</v>
      </c>
      <c r="I469" s="4">
        <f t="shared" si="67"/>
        <v>11</v>
      </c>
      <c r="J469">
        <f t="shared" si="68"/>
        <v>19771111</v>
      </c>
      <c r="K469" t="str">
        <f t="shared" si="69"/>
        <v>11.11.1977</v>
      </c>
      <c r="L469" s="10">
        <f t="shared" si="70"/>
        <v>16497</v>
      </c>
      <c r="M469" s="8">
        <f t="shared" si="71"/>
        <v>45</v>
      </c>
    </row>
    <row r="470" spans="1:13" x14ac:dyDescent="0.25">
      <c r="A470" s="4" t="s">
        <v>496</v>
      </c>
      <c r="B470" t="s">
        <v>13</v>
      </c>
      <c r="C470" t="s">
        <v>4</v>
      </c>
      <c r="D470" s="3">
        <f t="shared" si="63"/>
        <v>70</v>
      </c>
      <c r="E470" s="4">
        <f t="shared" si="64"/>
        <v>10</v>
      </c>
      <c r="F470" s="4">
        <f t="shared" si="65"/>
        <v>1</v>
      </c>
      <c r="G470" s="3">
        <f>IF(E470&gt;=20,2000,1900) + D470</f>
        <v>1970</v>
      </c>
      <c r="H470">
        <f t="shared" si="66"/>
        <v>10</v>
      </c>
      <c r="I470" s="4">
        <f t="shared" si="67"/>
        <v>1</v>
      </c>
      <c r="J470">
        <f t="shared" si="68"/>
        <v>19701001</v>
      </c>
      <c r="K470" t="str">
        <f t="shared" si="69"/>
        <v>01.10.1970</v>
      </c>
      <c r="L470" s="10">
        <f t="shared" si="70"/>
        <v>19095</v>
      </c>
      <c r="M470" s="8">
        <f t="shared" si="71"/>
        <v>52</v>
      </c>
    </row>
    <row r="471" spans="1:13" x14ac:dyDescent="0.25">
      <c r="A471" s="4" t="s">
        <v>497</v>
      </c>
      <c r="B471" t="s">
        <v>15</v>
      </c>
      <c r="C471" t="s">
        <v>6</v>
      </c>
      <c r="D471" s="3">
        <f t="shared" si="63"/>
        <v>65</v>
      </c>
      <c r="E471" s="4">
        <f t="shared" si="64"/>
        <v>2</v>
      </c>
      <c r="F471" s="4">
        <f t="shared" si="65"/>
        <v>15</v>
      </c>
      <c r="G471" s="3">
        <f>IF(E471&gt;=20,2000,1900) + D471</f>
        <v>1965</v>
      </c>
      <c r="H471">
        <f t="shared" si="66"/>
        <v>2</v>
      </c>
      <c r="I471" s="4">
        <f t="shared" si="67"/>
        <v>15</v>
      </c>
      <c r="J471">
        <f t="shared" si="68"/>
        <v>19650215</v>
      </c>
      <c r="K471" t="str">
        <f t="shared" si="69"/>
        <v>15.02.1965</v>
      </c>
      <c r="L471" s="10">
        <f t="shared" si="70"/>
        <v>21149</v>
      </c>
      <c r="M471" s="8">
        <f t="shared" si="71"/>
        <v>57</v>
      </c>
    </row>
    <row r="472" spans="1:13" x14ac:dyDescent="0.25">
      <c r="A472" s="4" t="s">
        <v>498</v>
      </c>
      <c r="B472" t="s">
        <v>20</v>
      </c>
      <c r="C472" t="s">
        <v>4</v>
      </c>
      <c r="D472" s="3">
        <f t="shared" si="63"/>
        <v>85</v>
      </c>
      <c r="E472" s="4">
        <f t="shared" si="64"/>
        <v>6</v>
      </c>
      <c r="F472" s="4">
        <f t="shared" si="65"/>
        <v>8</v>
      </c>
      <c r="G472" s="3">
        <f>IF(E472&gt;=20,2000,1900) + D472</f>
        <v>1985</v>
      </c>
      <c r="H472">
        <f t="shared" si="66"/>
        <v>6</v>
      </c>
      <c r="I472" s="4">
        <f t="shared" si="67"/>
        <v>8</v>
      </c>
      <c r="J472">
        <f t="shared" si="68"/>
        <v>19850608</v>
      </c>
      <c r="K472" t="str">
        <f t="shared" si="69"/>
        <v>08.06.1985</v>
      </c>
      <c r="L472" s="10">
        <f t="shared" si="70"/>
        <v>13731</v>
      </c>
      <c r="M472" s="8">
        <f t="shared" si="71"/>
        <v>37</v>
      </c>
    </row>
    <row r="473" spans="1:13" x14ac:dyDescent="0.25">
      <c r="A473" s="4" t="s">
        <v>499</v>
      </c>
      <c r="B473" t="s">
        <v>5</v>
      </c>
      <c r="C473" t="s">
        <v>6</v>
      </c>
      <c r="D473" s="3">
        <f t="shared" si="63"/>
        <v>71</v>
      </c>
      <c r="E473" s="4">
        <f t="shared" si="64"/>
        <v>5</v>
      </c>
      <c r="F473" s="4">
        <f t="shared" si="65"/>
        <v>6</v>
      </c>
      <c r="G473" s="3">
        <f>IF(E473&gt;=20,2000,1900) + D473</f>
        <v>1971</v>
      </c>
      <c r="H473">
        <f t="shared" si="66"/>
        <v>5</v>
      </c>
      <c r="I473" s="4">
        <f t="shared" si="67"/>
        <v>6</v>
      </c>
      <c r="J473">
        <f t="shared" si="68"/>
        <v>19710506</v>
      </c>
      <c r="K473" t="str">
        <f t="shared" si="69"/>
        <v>06.05.1971</v>
      </c>
      <c r="L473" s="10">
        <f t="shared" si="70"/>
        <v>18878</v>
      </c>
      <c r="M473" s="8">
        <f t="shared" si="71"/>
        <v>51</v>
      </c>
    </row>
    <row r="474" spans="1:13" x14ac:dyDescent="0.25">
      <c r="A474" s="4" t="s">
        <v>500</v>
      </c>
      <c r="B474" t="s">
        <v>10</v>
      </c>
      <c r="C474" t="s">
        <v>6</v>
      </c>
      <c r="D474" s="3">
        <f t="shared" si="63"/>
        <v>59</v>
      </c>
      <c r="E474" s="4">
        <f t="shared" si="64"/>
        <v>7</v>
      </c>
      <c r="F474" s="4">
        <f t="shared" si="65"/>
        <v>17</v>
      </c>
      <c r="G474" s="3">
        <f>IF(E474&gt;=20,2000,1900) + D474</f>
        <v>1959</v>
      </c>
      <c r="H474">
        <f t="shared" si="66"/>
        <v>7</v>
      </c>
      <c r="I474" s="4">
        <f t="shared" si="67"/>
        <v>17</v>
      </c>
      <c r="J474">
        <f t="shared" si="68"/>
        <v>19590717</v>
      </c>
      <c r="K474" t="str">
        <f t="shared" si="69"/>
        <v>17.07.1959</v>
      </c>
      <c r="L474" s="10">
        <f t="shared" si="70"/>
        <v>23189</v>
      </c>
      <c r="M474" s="8">
        <f t="shared" si="71"/>
        <v>63</v>
      </c>
    </row>
    <row r="475" spans="1:13" x14ac:dyDescent="0.25">
      <c r="A475" s="4" t="s">
        <v>501</v>
      </c>
      <c r="B475" t="s">
        <v>19</v>
      </c>
      <c r="C475" t="s">
        <v>6</v>
      </c>
      <c r="D475" s="3">
        <f t="shared" si="63"/>
        <v>95</v>
      </c>
      <c r="E475" s="4">
        <f t="shared" si="64"/>
        <v>3</v>
      </c>
      <c r="F475" s="4">
        <f t="shared" si="65"/>
        <v>24</v>
      </c>
      <c r="G475" s="3">
        <f>IF(E475&gt;=20,2000,1900) + D475</f>
        <v>1995</v>
      </c>
      <c r="H475">
        <f t="shared" si="66"/>
        <v>3</v>
      </c>
      <c r="I475" s="4">
        <f t="shared" si="67"/>
        <v>24</v>
      </c>
      <c r="J475">
        <f t="shared" si="68"/>
        <v>19950324</v>
      </c>
      <c r="K475" t="str">
        <f t="shared" si="69"/>
        <v>24.03.1995</v>
      </c>
      <c r="L475" s="10">
        <f t="shared" si="70"/>
        <v>10155</v>
      </c>
      <c r="M475" s="8">
        <f t="shared" si="71"/>
        <v>27</v>
      </c>
    </row>
    <row r="476" spans="1:13" x14ac:dyDescent="0.25">
      <c r="A476" s="4" t="s">
        <v>502</v>
      </c>
      <c r="B476" t="s">
        <v>9</v>
      </c>
      <c r="C476" t="s">
        <v>4</v>
      </c>
      <c r="D476" s="3">
        <f t="shared" si="63"/>
        <v>89</v>
      </c>
      <c r="E476" s="4">
        <f t="shared" si="64"/>
        <v>6</v>
      </c>
      <c r="F476" s="4">
        <f t="shared" si="65"/>
        <v>17</v>
      </c>
      <c r="G476" s="3">
        <f>IF(E476&gt;=20,2000,1900) + D476</f>
        <v>1989</v>
      </c>
      <c r="H476">
        <f t="shared" si="66"/>
        <v>6</v>
      </c>
      <c r="I476" s="4">
        <f t="shared" si="67"/>
        <v>17</v>
      </c>
      <c r="J476">
        <f t="shared" si="68"/>
        <v>19890617</v>
      </c>
      <c r="K476" t="str">
        <f t="shared" si="69"/>
        <v>17.06.1989</v>
      </c>
      <c r="L476" s="10">
        <f t="shared" si="70"/>
        <v>12261</v>
      </c>
      <c r="M476" s="8">
        <f t="shared" si="71"/>
        <v>33</v>
      </c>
    </row>
    <row r="477" spans="1:13" x14ac:dyDescent="0.25">
      <c r="A477" s="4" t="s">
        <v>503</v>
      </c>
      <c r="B477" t="s">
        <v>17</v>
      </c>
      <c r="C477" t="s">
        <v>4</v>
      </c>
      <c r="D477" s="3">
        <f t="shared" si="63"/>
        <v>51</v>
      </c>
      <c r="E477" s="4">
        <f t="shared" si="64"/>
        <v>8</v>
      </c>
      <c r="F477" s="4">
        <f t="shared" si="65"/>
        <v>8</v>
      </c>
      <c r="G477" s="3">
        <f>IF(E477&gt;=20,2000,1900) + D477</f>
        <v>1951</v>
      </c>
      <c r="H477">
        <f t="shared" si="66"/>
        <v>8</v>
      </c>
      <c r="I477" s="4">
        <f t="shared" si="67"/>
        <v>8</v>
      </c>
      <c r="J477">
        <f t="shared" si="68"/>
        <v>19510808</v>
      </c>
      <c r="K477" t="str">
        <f t="shared" si="69"/>
        <v>08.08.1951</v>
      </c>
      <c r="L477" s="10">
        <f t="shared" si="70"/>
        <v>26089</v>
      </c>
      <c r="M477" s="8">
        <f t="shared" si="71"/>
        <v>71</v>
      </c>
    </row>
    <row r="478" spans="1:13" x14ac:dyDescent="0.25">
      <c r="A478" s="4" t="s">
        <v>504</v>
      </c>
      <c r="B478" t="s">
        <v>19</v>
      </c>
      <c r="C478" t="s">
        <v>4</v>
      </c>
      <c r="D478" s="3">
        <f t="shared" si="63"/>
        <v>57</v>
      </c>
      <c r="E478" s="4">
        <f t="shared" si="64"/>
        <v>2</v>
      </c>
      <c r="F478" s="4">
        <f t="shared" si="65"/>
        <v>21</v>
      </c>
      <c r="G478" s="3">
        <f>IF(E478&gt;=20,2000,1900) + D478</f>
        <v>1957</v>
      </c>
      <c r="H478">
        <f t="shared" si="66"/>
        <v>2</v>
      </c>
      <c r="I478" s="4">
        <f t="shared" si="67"/>
        <v>21</v>
      </c>
      <c r="J478">
        <f t="shared" si="68"/>
        <v>19570221</v>
      </c>
      <c r="K478" t="str">
        <f t="shared" si="69"/>
        <v>21.02.1957</v>
      </c>
      <c r="L478" s="10">
        <f t="shared" si="70"/>
        <v>24065</v>
      </c>
      <c r="M478" s="8">
        <f t="shared" si="71"/>
        <v>65</v>
      </c>
    </row>
    <row r="479" spans="1:13" x14ac:dyDescent="0.25">
      <c r="A479" s="4" t="s">
        <v>505</v>
      </c>
      <c r="B479" t="s">
        <v>16</v>
      </c>
      <c r="C479" t="s">
        <v>4</v>
      </c>
      <c r="D479" s="3">
        <f t="shared" si="63"/>
        <v>83</v>
      </c>
      <c r="E479" s="4">
        <f t="shared" si="64"/>
        <v>4</v>
      </c>
      <c r="F479" s="4">
        <f t="shared" si="65"/>
        <v>1</v>
      </c>
      <c r="G479" s="3">
        <f>IF(E479&gt;=20,2000,1900) + D479</f>
        <v>1983</v>
      </c>
      <c r="H479">
        <f t="shared" si="66"/>
        <v>4</v>
      </c>
      <c r="I479" s="4">
        <f t="shared" si="67"/>
        <v>1</v>
      </c>
      <c r="J479">
        <f t="shared" si="68"/>
        <v>19830401</v>
      </c>
      <c r="K479" t="str">
        <f t="shared" si="69"/>
        <v>01.04.1983</v>
      </c>
      <c r="L479" s="10">
        <f t="shared" si="70"/>
        <v>14530</v>
      </c>
      <c r="M479" s="8">
        <f t="shared" si="71"/>
        <v>39</v>
      </c>
    </row>
    <row r="480" spans="1:13" x14ac:dyDescent="0.25">
      <c r="A480" s="4" t="s">
        <v>506</v>
      </c>
      <c r="B480" t="s">
        <v>17</v>
      </c>
      <c r="C480" t="s">
        <v>6</v>
      </c>
      <c r="D480" s="3">
        <f t="shared" si="63"/>
        <v>94</v>
      </c>
      <c r="E480" s="4">
        <f t="shared" si="64"/>
        <v>7</v>
      </c>
      <c r="F480" s="4">
        <f t="shared" si="65"/>
        <v>30</v>
      </c>
      <c r="G480" s="3">
        <f>IF(E480&gt;=20,2000,1900) + D480</f>
        <v>1994</v>
      </c>
      <c r="H480">
        <f t="shared" si="66"/>
        <v>7</v>
      </c>
      <c r="I480" s="4">
        <f t="shared" si="67"/>
        <v>30</v>
      </c>
      <c r="J480">
        <f t="shared" si="68"/>
        <v>19940730</v>
      </c>
      <c r="K480" t="str">
        <f t="shared" si="69"/>
        <v>30.07.1994</v>
      </c>
      <c r="L480" s="10">
        <f t="shared" si="70"/>
        <v>10392</v>
      </c>
      <c r="M480" s="8">
        <f t="shared" si="71"/>
        <v>28</v>
      </c>
    </row>
    <row r="481" spans="1:13" x14ac:dyDescent="0.25">
      <c r="A481" s="4" t="s">
        <v>507</v>
      </c>
      <c r="B481" t="s">
        <v>20</v>
      </c>
      <c r="C481" t="s">
        <v>6</v>
      </c>
      <c r="D481" s="3">
        <f t="shared" si="63"/>
        <v>85</v>
      </c>
      <c r="E481" s="4">
        <f t="shared" si="64"/>
        <v>8</v>
      </c>
      <c r="F481" s="4">
        <f t="shared" si="65"/>
        <v>26</v>
      </c>
      <c r="G481" s="3">
        <f>IF(E481&gt;=20,2000,1900) + D481</f>
        <v>1985</v>
      </c>
      <c r="H481">
        <f t="shared" si="66"/>
        <v>8</v>
      </c>
      <c r="I481" s="4">
        <f t="shared" si="67"/>
        <v>26</v>
      </c>
      <c r="J481">
        <f t="shared" si="68"/>
        <v>19850826</v>
      </c>
      <c r="K481" t="str">
        <f t="shared" si="69"/>
        <v>26.08.1985</v>
      </c>
      <c r="L481" s="10">
        <f t="shared" si="70"/>
        <v>13652</v>
      </c>
      <c r="M481" s="8">
        <f t="shared" si="71"/>
        <v>37</v>
      </c>
    </row>
    <row r="482" spans="1:13" x14ac:dyDescent="0.25">
      <c r="A482" s="4" t="s">
        <v>508</v>
      </c>
      <c r="B482" t="s">
        <v>8</v>
      </c>
      <c r="C482" t="s">
        <v>6</v>
      </c>
      <c r="D482" s="3">
        <f t="shared" si="63"/>
        <v>68</v>
      </c>
      <c r="E482" s="4">
        <f t="shared" si="64"/>
        <v>7</v>
      </c>
      <c r="F482" s="4">
        <f t="shared" si="65"/>
        <v>11</v>
      </c>
      <c r="G482" s="3">
        <f>IF(E482&gt;=20,2000,1900) + D482</f>
        <v>1968</v>
      </c>
      <c r="H482">
        <f t="shared" si="66"/>
        <v>7</v>
      </c>
      <c r="I482" s="4">
        <f t="shared" si="67"/>
        <v>11</v>
      </c>
      <c r="J482">
        <f t="shared" si="68"/>
        <v>19680711</v>
      </c>
      <c r="K482" t="str">
        <f t="shared" si="69"/>
        <v>11.07.1968</v>
      </c>
      <c r="L482" s="10">
        <f t="shared" si="70"/>
        <v>19907</v>
      </c>
      <c r="M482" s="8">
        <f t="shared" si="71"/>
        <v>54</v>
      </c>
    </row>
    <row r="483" spans="1:13" x14ac:dyDescent="0.25">
      <c r="A483" s="4" t="s">
        <v>509</v>
      </c>
      <c r="B483" t="s">
        <v>8</v>
      </c>
      <c r="C483" t="s">
        <v>4</v>
      </c>
      <c r="D483" s="3">
        <f t="shared" si="63"/>
        <v>66</v>
      </c>
      <c r="E483" s="4">
        <f t="shared" si="64"/>
        <v>12</v>
      </c>
      <c r="F483" s="4">
        <f t="shared" si="65"/>
        <v>24</v>
      </c>
      <c r="G483" s="3">
        <f>IF(E483&gt;=20,2000,1900) + D483</f>
        <v>1966</v>
      </c>
      <c r="H483">
        <f t="shared" si="66"/>
        <v>12</v>
      </c>
      <c r="I483" s="4">
        <f t="shared" si="67"/>
        <v>24</v>
      </c>
      <c r="J483">
        <f t="shared" si="68"/>
        <v>19661224</v>
      </c>
      <c r="K483" t="str">
        <f t="shared" si="69"/>
        <v>24.12.1966</v>
      </c>
      <c r="L483" s="10">
        <f t="shared" si="70"/>
        <v>20472</v>
      </c>
      <c r="M483" s="8">
        <f t="shared" si="71"/>
        <v>56</v>
      </c>
    </row>
    <row r="484" spans="1:13" x14ac:dyDescent="0.25">
      <c r="A484" s="4" t="s">
        <v>510</v>
      </c>
      <c r="B484" t="s">
        <v>12</v>
      </c>
      <c r="C484" t="s">
        <v>4</v>
      </c>
      <c r="D484" s="3">
        <f t="shared" si="63"/>
        <v>83</v>
      </c>
      <c r="E484" s="4">
        <f t="shared" si="64"/>
        <v>11</v>
      </c>
      <c r="F484" s="4">
        <f t="shared" si="65"/>
        <v>25</v>
      </c>
      <c r="G484" s="3">
        <f>IF(E484&gt;=20,2000,1900) + D484</f>
        <v>1983</v>
      </c>
      <c r="H484">
        <f t="shared" si="66"/>
        <v>11</v>
      </c>
      <c r="I484" s="4">
        <f t="shared" si="67"/>
        <v>25</v>
      </c>
      <c r="J484">
        <f t="shared" si="68"/>
        <v>19831125</v>
      </c>
      <c r="K484" t="str">
        <f t="shared" si="69"/>
        <v>25.11.1983</v>
      </c>
      <c r="L484" s="10">
        <f t="shared" si="70"/>
        <v>14292</v>
      </c>
      <c r="M484" s="8">
        <f t="shared" si="71"/>
        <v>39</v>
      </c>
    </row>
    <row r="485" spans="1:13" x14ac:dyDescent="0.25">
      <c r="A485" s="4" t="s">
        <v>511</v>
      </c>
      <c r="B485" t="s">
        <v>20</v>
      </c>
      <c r="C485" t="s">
        <v>4</v>
      </c>
      <c r="D485" s="3">
        <f t="shared" si="63"/>
        <v>72</v>
      </c>
      <c r="E485" s="4">
        <f t="shared" si="64"/>
        <v>3</v>
      </c>
      <c r="F485" s="4">
        <f t="shared" si="65"/>
        <v>29</v>
      </c>
      <c r="G485" s="3">
        <f>IF(E485&gt;=20,2000,1900) + D485</f>
        <v>1972</v>
      </c>
      <c r="H485">
        <f t="shared" si="66"/>
        <v>3</v>
      </c>
      <c r="I485" s="4">
        <f t="shared" si="67"/>
        <v>29</v>
      </c>
      <c r="J485">
        <f t="shared" si="68"/>
        <v>19720329</v>
      </c>
      <c r="K485" t="str">
        <f t="shared" si="69"/>
        <v>29.03.1972</v>
      </c>
      <c r="L485" s="10">
        <f t="shared" si="70"/>
        <v>18550</v>
      </c>
      <c r="M485" s="8">
        <f t="shared" si="71"/>
        <v>50</v>
      </c>
    </row>
    <row r="486" spans="1:13" x14ac:dyDescent="0.25">
      <c r="A486" s="4" t="s">
        <v>512</v>
      </c>
      <c r="B486" t="s">
        <v>11</v>
      </c>
      <c r="C486" t="s">
        <v>6</v>
      </c>
      <c r="D486" s="3">
        <f t="shared" si="63"/>
        <v>99</v>
      </c>
      <c r="E486" s="4">
        <f t="shared" si="64"/>
        <v>4</v>
      </c>
      <c r="F486" s="4">
        <f t="shared" si="65"/>
        <v>14</v>
      </c>
      <c r="G486" s="3">
        <f>IF(E486&gt;=20,2000,1900) + D486</f>
        <v>1999</v>
      </c>
      <c r="H486">
        <f t="shared" si="66"/>
        <v>4</v>
      </c>
      <c r="I486" s="4">
        <f t="shared" si="67"/>
        <v>14</v>
      </c>
      <c r="J486">
        <f t="shared" si="68"/>
        <v>19990414</v>
      </c>
      <c r="K486" t="str">
        <f t="shared" si="69"/>
        <v>14.04.1999</v>
      </c>
      <c r="L486" s="10">
        <f t="shared" si="70"/>
        <v>8673</v>
      </c>
      <c r="M486" s="8">
        <f t="shared" si="71"/>
        <v>23</v>
      </c>
    </row>
    <row r="487" spans="1:13" x14ac:dyDescent="0.25">
      <c r="A487" s="4" t="s">
        <v>513</v>
      </c>
      <c r="B487" t="s">
        <v>3</v>
      </c>
      <c r="C487" t="s">
        <v>4</v>
      </c>
      <c r="D487" s="3">
        <f t="shared" si="63"/>
        <v>99</v>
      </c>
      <c r="E487" s="4">
        <f t="shared" si="64"/>
        <v>8</v>
      </c>
      <c r="F487" s="4">
        <f t="shared" si="65"/>
        <v>20</v>
      </c>
      <c r="G487" s="3">
        <f>IF(E487&gt;=20,2000,1900) + D487</f>
        <v>1999</v>
      </c>
      <c r="H487">
        <f t="shared" si="66"/>
        <v>8</v>
      </c>
      <c r="I487" s="4">
        <f t="shared" si="67"/>
        <v>20</v>
      </c>
      <c r="J487">
        <f t="shared" si="68"/>
        <v>19990820</v>
      </c>
      <c r="K487" t="str">
        <f t="shared" si="69"/>
        <v>20.08.1999</v>
      </c>
      <c r="L487" s="10">
        <f t="shared" si="70"/>
        <v>8545</v>
      </c>
      <c r="M487" s="8">
        <f t="shared" si="71"/>
        <v>23</v>
      </c>
    </row>
    <row r="488" spans="1:13" x14ac:dyDescent="0.25">
      <c r="A488" s="4" t="s">
        <v>514</v>
      </c>
      <c r="B488" t="s">
        <v>16</v>
      </c>
      <c r="C488" t="s">
        <v>6</v>
      </c>
      <c r="D488" s="3">
        <f t="shared" si="63"/>
        <v>62</v>
      </c>
      <c r="E488" s="4">
        <f t="shared" si="64"/>
        <v>12</v>
      </c>
      <c r="F488" s="4">
        <f t="shared" si="65"/>
        <v>30</v>
      </c>
      <c r="G488" s="3">
        <f>IF(E488&gt;=20,2000,1900) + D488</f>
        <v>1962</v>
      </c>
      <c r="H488">
        <f t="shared" si="66"/>
        <v>12</v>
      </c>
      <c r="I488" s="4">
        <f t="shared" si="67"/>
        <v>30</v>
      </c>
      <c r="J488">
        <f t="shared" si="68"/>
        <v>19621230</v>
      </c>
      <c r="K488" t="str">
        <f t="shared" si="69"/>
        <v>30.12.1962</v>
      </c>
      <c r="L488" s="10">
        <f t="shared" si="70"/>
        <v>21927</v>
      </c>
      <c r="M488" s="8">
        <f t="shared" si="71"/>
        <v>60</v>
      </c>
    </row>
    <row r="489" spans="1:13" x14ac:dyDescent="0.25">
      <c r="A489" s="4" t="s">
        <v>515</v>
      </c>
      <c r="B489" t="s">
        <v>10</v>
      </c>
      <c r="C489" t="s">
        <v>4</v>
      </c>
      <c r="D489" s="3">
        <f t="shared" si="63"/>
        <v>65</v>
      </c>
      <c r="E489" s="4">
        <f t="shared" si="64"/>
        <v>3</v>
      </c>
      <c r="F489" s="4">
        <f t="shared" si="65"/>
        <v>17</v>
      </c>
      <c r="G489" s="3">
        <f>IF(E489&gt;=20,2000,1900) + D489</f>
        <v>1965</v>
      </c>
      <c r="H489">
        <f t="shared" si="66"/>
        <v>3</v>
      </c>
      <c r="I489" s="4">
        <f t="shared" si="67"/>
        <v>17</v>
      </c>
      <c r="J489">
        <f t="shared" si="68"/>
        <v>19650317</v>
      </c>
      <c r="K489" t="str">
        <f t="shared" si="69"/>
        <v>17.03.1965</v>
      </c>
      <c r="L489" s="10">
        <f t="shared" si="70"/>
        <v>21119</v>
      </c>
      <c r="M489" s="8">
        <f t="shared" si="71"/>
        <v>57</v>
      </c>
    </row>
    <row r="490" spans="1:13" x14ac:dyDescent="0.25">
      <c r="A490" s="4" t="s">
        <v>516</v>
      </c>
      <c r="B490" t="s">
        <v>8</v>
      </c>
      <c r="C490" t="s">
        <v>6</v>
      </c>
      <c r="D490" s="3">
        <f t="shared" si="63"/>
        <v>66</v>
      </c>
      <c r="E490" s="4">
        <f t="shared" si="64"/>
        <v>3</v>
      </c>
      <c r="F490" s="4">
        <f t="shared" si="65"/>
        <v>15</v>
      </c>
      <c r="G490" s="3">
        <f>IF(E490&gt;=20,2000,1900) + D490</f>
        <v>1966</v>
      </c>
      <c r="H490">
        <f t="shared" si="66"/>
        <v>3</v>
      </c>
      <c r="I490" s="4">
        <f t="shared" si="67"/>
        <v>15</v>
      </c>
      <c r="J490">
        <f t="shared" si="68"/>
        <v>19660315</v>
      </c>
      <c r="K490" t="str">
        <f t="shared" si="69"/>
        <v>15.03.1966</v>
      </c>
      <c r="L490" s="10">
        <f t="shared" si="70"/>
        <v>20756</v>
      </c>
      <c r="M490" s="8">
        <f t="shared" si="71"/>
        <v>56</v>
      </c>
    </row>
    <row r="491" spans="1:13" x14ac:dyDescent="0.25">
      <c r="A491" s="4" t="s">
        <v>517</v>
      </c>
      <c r="B491" t="s">
        <v>17</v>
      </c>
      <c r="C491" t="s">
        <v>4</v>
      </c>
      <c r="D491" s="3">
        <f t="shared" si="63"/>
        <v>84</v>
      </c>
      <c r="E491" s="4">
        <f t="shared" si="64"/>
        <v>12</v>
      </c>
      <c r="F491" s="4">
        <f t="shared" si="65"/>
        <v>12</v>
      </c>
      <c r="G491" s="3">
        <f>IF(E491&gt;=20,2000,1900) + D491</f>
        <v>1984</v>
      </c>
      <c r="H491">
        <f t="shared" si="66"/>
        <v>12</v>
      </c>
      <c r="I491" s="4">
        <f t="shared" si="67"/>
        <v>12</v>
      </c>
      <c r="J491">
        <f t="shared" si="68"/>
        <v>19841212</v>
      </c>
      <c r="K491" t="str">
        <f t="shared" si="69"/>
        <v>12.12.1984</v>
      </c>
      <c r="L491" s="10">
        <f t="shared" si="70"/>
        <v>13909</v>
      </c>
      <c r="M491" s="8">
        <f t="shared" si="71"/>
        <v>38</v>
      </c>
    </row>
    <row r="492" spans="1:13" x14ac:dyDescent="0.25">
      <c r="A492" s="4" t="s">
        <v>518</v>
      </c>
      <c r="B492" t="s">
        <v>8</v>
      </c>
      <c r="C492" t="s">
        <v>6</v>
      </c>
      <c r="D492" s="3">
        <f t="shared" si="63"/>
        <v>56</v>
      </c>
      <c r="E492" s="4">
        <f t="shared" si="64"/>
        <v>6</v>
      </c>
      <c r="F492" s="4">
        <f t="shared" si="65"/>
        <v>2</v>
      </c>
      <c r="G492" s="3">
        <f>IF(E492&gt;=20,2000,1900) + D492</f>
        <v>1956</v>
      </c>
      <c r="H492">
        <f t="shared" si="66"/>
        <v>6</v>
      </c>
      <c r="I492" s="4">
        <f t="shared" si="67"/>
        <v>2</v>
      </c>
      <c r="J492">
        <f t="shared" si="68"/>
        <v>19560602</v>
      </c>
      <c r="K492" t="str">
        <f t="shared" si="69"/>
        <v>02.06.1956</v>
      </c>
      <c r="L492" s="10">
        <f t="shared" si="70"/>
        <v>24329</v>
      </c>
      <c r="M492" s="8">
        <f t="shared" si="71"/>
        <v>66</v>
      </c>
    </row>
    <row r="493" spans="1:13" x14ac:dyDescent="0.25">
      <c r="A493" s="4" t="s">
        <v>519</v>
      </c>
      <c r="B493" t="s">
        <v>13</v>
      </c>
      <c r="C493" t="s">
        <v>4</v>
      </c>
      <c r="D493" s="3">
        <f t="shared" si="63"/>
        <v>88</v>
      </c>
      <c r="E493" s="4">
        <f t="shared" si="64"/>
        <v>6</v>
      </c>
      <c r="F493" s="4">
        <f t="shared" si="65"/>
        <v>2</v>
      </c>
      <c r="G493" s="3">
        <f>IF(E493&gt;=20,2000,1900) + D493</f>
        <v>1988</v>
      </c>
      <c r="H493">
        <f t="shared" si="66"/>
        <v>6</v>
      </c>
      <c r="I493" s="4">
        <f t="shared" si="67"/>
        <v>2</v>
      </c>
      <c r="J493">
        <f t="shared" si="68"/>
        <v>19880602</v>
      </c>
      <c r="K493" t="str">
        <f t="shared" si="69"/>
        <v>02.06.1988</v>
      </c>
      <c r="L493" s="10">
        <f t="shared" si="70"/>
        <v>12641</v>
      </c>
      <c r="M493" s="8">
        <f t="shared" si="71"/>
        <v>34</v>
      </c>
    </row>
    <row r="494" spans="1:13" x14ac:dyDescent="0.25">
      <c r="A494" s="4" t="s">
        <v>520</v>
      </c>
      <c r="B494" t="s">
        <v>19</v>
      </c>
      <c r="C494" t="s">
        <v>6</v>
      </c>
      <c r="D494" s="3">
        <f t="shared" si="63"/>
        <v>93</v>
      </c>
      <c r="E494" s="4">
        <f t="shared" si="64"/>
        <v>7</v>
      </c>
      <c r="F494" s="4">
        <f t="shared" si="65"/>
        <v>16</v>
      </c>
      <c r="G494" s="3">
        <f>IF(E494&gt;=20,2000,1900) + D494</f>
        <v>1993</v>
      </c>
      <c r="H494">
        <f t="shared" si="66"/>
        <v>7</v>
      </c>
      <c r="I494" s="4">
        <f t="shared" si="67"/>
        <v>16</v>
      </c>
      <c r="J494">
        <f t="shared" si="68"/>
        <v>19930716</v>
      </c>
      <c r="K494" t="str">
        <f t="shared" si="69"/>
        <v>16.07.1993</v>
      </c>
      <c r="L494" s="10">
        <f t="shared" si="70"/>
        <v>10771</v>
      </c>
      <c r="M494" s="8">
        <f t="shared" si="71"/>
        <v>29</v>
      </c>
    </row>
    <row r="495" spans="1:13" x14ac:dyDescent="0.25">
      <c r="A495" s="4" t="s">
        <v>521</v>
      </c>
      <c r="B495" t="s">
        <v>9</v>
      </c>
      <c r="C495" t="s">
        <v>4</v>
      </c>
      <c r="D495" s="3">
        <f t="shared" si="63"/>
        <v>56</v>
      </c>
      <c r="E495" s="4">
        <f t="shared" si="64"/>
        <v>3</v>
      </c>
      <c r="F495" s="4">
        <f t="shared" si="65"/>
        <v>22</v>
      </c>
      <c r="G495" s="3">
        <f>IF(E495&gt;=20,2000,1900) + D495</f>
        <v>1956</v>
      </c>
      <c r="H495">
        <f t="shared" si="66"/>
        <v>3</v>
      </c>
      <c r="I495" s="4">
        <f t="shared" si="67"/>
        <v>22</v>
      </c>
      <c r="J495">
        <f t="shared" si="68"/>
        <v>19560322</v>
      </c>
      <c r="K495" t="str">
        <f t="shared" si="69"/>
        <v>22.03.1956</v>
      </c>
      <c r="L495" s="10">
        <f t="shared" si="70"/>
        <v>24401</v>
      </c>
      <c r="M495" s="8">
        <f t="shared" si="71"/>
        <v>66</v>
      </c>
    </row>
    <row r="496" spans="1:13" x14ac:dyDescent="0.25">
      <c r="A496" s="4" t="s">
        <v>522</v>
      </c>
      <c r="B496" t="s">
        <v>7</v>
      </c>
      <c r="C496" t="s">
        <v>4</v>
      </c>
      <c r="D496" s="3">
        <f t="shared" si="63"/>
        <v>64</v>
      </c>
      <c r="E496" s="4">
        <f t="shared" si="64"/>
        <v>8</v>
      </c>
      <c r="F496" s="4">
        <f t="shared" si="65"/>
        <v>11</v>
      </c>
      <c r="G496" s="3">
        <f>IF(E496&gt;=20,2000,1900) + D496</f>
        <v>1964</v>
      </c>
      <c r="H496">
        <f t="shared" si="66"/>
        <v>8</v>
      </c>
      <c r="I496" s="4">
        <f t="shared" si="67"/>
        <v>11</v>
      </c>
      <c r="J496">
        <f t="shared" si="68"/>
        <v>19640811</v>
      </c>
      <c r="K496" t="str">
        <f t="shared" si="69"/>
        <v>11.08.1964</v>
      </c>
      <c r="L496" s="10">
        <f t="shared" si="70"/>
        <v>21337</v>
      </c>
      <c r="M496" s="8">
        <f t="shared" si="71"/>
        <v>58</v>
      </c>
    </row>
    <row r="497" spans="1:13" x14ac:dyDescent="0.25">
      <c r="A497" s="4" t="s">
        <v>523</v>
      </c>
      <c r="B497" t="s">
        <v>10</v>
      </c>
      <c r="C497" t="s">
        <v>4</v>
      </c>
      <c r="D497" s="3">
        <f t="shared" si="63"/>
        <v>62</v>
      </c>
      <c r="E497" s="4">
        <f t="shared" si="64"/>
        <v>4</v>
      </c>
      <c r="F497" s="4">
        <f t="shared" si="65"/>
        <v>6</v>
      </c>
      <c r="G497" s="3">
        <f>IF(E497&gt;=20,2000,1900) + D497</f>
        <v>1962</v>
      </c>
      <c r="H497">
        <f t="shared" si="66"/>
        <v>4</v>
      </c>
      <c r="I497" s="4">
        <f t="shared" si="67"/>
        <v>6</v>
      </c>
      <c r="J497">
        <f t="shared" si="68"/>
        <v>19620406</v>
      </c>
      <c r="K497" t="str">
        <f t="shared" si="69"/>
        <v>06.04.1962</v>
      </c>
      <c r="L497" s="10">
        <f t="shared" si="70"/>
        <v>22195</v>
      </c>
      <c r="M497" s="8">
        <f t="shared" si="71"/>
        <v>60</v>
      </c>
    </row>
    <row r="498" spans="1:13" x14ac:dyDescent="0.25">
      <c r="A498" s="4" t="s">
        <v>524</v>
      </c>
      <c r="B498" t="s">
        <v>14</v>
      </c>
      <c r="C498" t="s">
        <v>4</v>
      </c>
      <c r="D498" s="3">
        <f t="shared" si="63"/>
        <v>87</v>
      </c>
      <c r="E498" s="4">
        <f t="shared" si="64"/>
        <v>3</v>
      </c>
      <c r="F498" s="4">
        <f t="shared" si="65"/>
        <v>21</v>
      </c>
      <c r="G498" s="3">
        <f>IF(E498&gt;=20,2000,1900) + D498</f>
        <v>1987</v>
      </c>
      <c r="H498">
        <f t="shared" si="66"/>
        <v>3</v>
      </c>
      <c r="I498" s="4">
        <f t="shared" si="67"/>
        <v>21</v>
      </c>
      <c r="J498">
        <f t="shared" si="68"/>
        <v>19870321</v>
      </c>
      <c r="K498" t="str">
        <f t="shared" si="69"/>
        <v>21.03.1987</v>
      </c>
      <c r="L498" s="10">
        <f t="shared" si="70"/>
        <v>13080</v>
      </c>
      <c r="M498" s="8">
        <f t="shared" si="71"/>
        <v>35</v>
      </c>
    </row>
    <row r="499" spans="1:13" x14ac:dyDescent="0.25">
      <c r="A499" s="4" t="s">
        <v>525</v>
      </c>
      <c r="B499" t="s">
        <v>7</v>
      </c>
      <c r="C499" t="s">
        <v>4</v>
      </c>
      <c r="D499" s="3">
        <f t="shared" si="63"/>
        <v>73</v>
      </c>
      <c r="E499" s="4">
        <f t="shared" si="64"/>
        <v>10</v>
      </c>
      <c r="F499" s="4">
        <f t="shared" si="65"/>
        <v>14</v>
      </c>
      <c r="G499" s="3">
        <f>IF(E499&gt;=20,2000,1900) + D499</f>
        <v>1973</v>
      </c>
      <c r="H499">
        <f t="shared" si="66"/>
        <v>10</v>
      </c>
      <c r="I499" s="4">
        <f t="shared" si="67"/>
        <v>14</v>
      </c>
      <c r="J499">
        <f t="shared" si="68"/>
        <v>19731014</v>
      </c>
      <c r="K499" t="str">
        <f t="shared" si="69"/>
        <v>14.10.1973</v>
      </c>
      <c r="L499" s="10">
        <f t="shared" si="70"/>
        <v>17986</v>
      </c>
      <c r="M499" s="8">
        <f t="shared" si="71"/>
        <v>49</v>
      </c>
    </row>
    <row r="500" spans="1:13" x14ac:dyDescent="0.25">
      <c r="A500" s="4" t="s">
        <v>526</v>
      </c>
      <c r="B500" t="s">
        <v>19</v>
      </c>
      <c r="C500" t="s">
        <v>6</v>
      </c>
      <c r="D500" s="3">
        <f t="shared" si="63"/>
        <v>56</v>
      </c>
      <c r="E500" s="4">
        <f t="shared" si="64"/>
        <v>11</v>
      </c>
      <c r="F500" s="4">
        <f t="shared" si="65"/>
        <v>12</v>
      </c>
      <c r="G500" s="3">
        <f>IF(E500&gt;=20,2000,1900) + D500</f>
        <v>1956</v>
      </c>
      <c r="H500">
        <f t="shared" si="66"/>
        <v>11</v>
      </c>
      <c r="I500" s="4">
        <f t="shared" si="67"/>
        <v>12</v>
      </c>
      <c r="J500">
        <f t="shared" si="68"/>
        <v>19561112</v>
      </c>
      <c r="K500" t="str">
        <f t="shared" si="69"/>
        <v>12.11.1956</v>
      </c>
      <c r="L500" s="10">
        <f t="shared" si="70"/>
        <v>24166</v>
      </c>
      <c r="M500" s="8">
        <f t="shared" si="71"/>
        <v>66</v>
      </c>
    </row>
    <row r="501" spans="1:13" x14ac:dyDescent="0.25">
      <c r="A501" s="4" t="s">
        <v>527</v>
      </c>
      <c r="B501" t="s">
        <v>8</v>
      </c>
      <c r="C501" t="s">
        <v>4</v>
      </c>
      <c r="D501" s="3">
        <f t="shared" si="63"/>
        <v>83</v>
      </c>
      <c r="E501" s="4">
        <f t="shared" si="64"/>
        <v>3</v>
      </c>
      <c r="F501" s="4">
        <f t="shared" si="65"/>
        <v>26</v>
      </c>
      <c r="G501" s="3">
        <f>IF(E501&gt;=20,2000,1900) + D501</f>
        <v>1983</v>
      </c>
      <c r="H501">
        <f t="shared" si="66"/>
        <v>3</v>
      </c>
      <c r="I501" s="4">
        <f t="shared" si="67"/>
        <v>26</v>
      </c>
      <c r="J501">
        <f t="shared" si="68"/>
        <v>19830326</v>
      </c>
      <c r="K501" t="str">
        <f t="shared" si="69"/>
        <v>26.03.1983</v>
      </c>
      <c r="L501" s="10">
        <f t="shared" si="70"/>
        <v>14536</v>
      </c>
      <c r="M501" s="8">
        <f t="shared" si="71"/>
        <v>39</v>
      </c>
    </row>
    <row r="502" spans="1:13" x14ac:dyDescent="0.25">
      <c r="A502" s="4" t="s">
        <v>528</v>
      </c>
      <c r="B502" t="s">
        <v>9</v>
      </c>
      <c r="C502" t="s">
        <v>4</v>
      </c>
      <c r="D502" s="3">
        <f t="shared" si="63"/>
        <v>88</v>
      </c>
      <c r="E502" s="4">
        <f t="shared" si="64"/>
        <v>5</v>
      </c>
      <c r="F502" s="4">
        <f t="shared" si="65"/>
        <v>10</v>
      </c>
      <c r="G502" s="3">
        <f>IF(E502&gt;=20,2000,1900) + D502</f>
        <v>1988</v>
      </c>
      <c r="H502">
        <f t="shared" si="66"/>
        <v>5</v>
      </c>
      <c r="I502" s="4">
        <f t="shared" si="67"/>
        <v>10</v>
      </c>
      <c r="J502">
        <f t="shared" si="68"/>
        <v>19880510</v>
      </c>
      <c r="K502" t="str">
        <f t="shared" si="69"/>
        <v>10.05.1988</v>
      </c>
      <c r="L502" s="10">
        <f t="shared" si="70"/>
        <v>12664</v>
      </c>
      <c r="M502" s="8">
        <f t="shared" si="71"/>
        <v>34</v>
      </c>
    </row>
    <row r="503" spans="1:13" x14ac:dyDescent="0.25">
      <c r="A503" s="4" t="s">
        <v>529</v>
      </c>
      <c r="B503" t="s">
        <v>14</v>
      </c>
      <c r="C503" t="s">
        <v>4</v>
      </c>
      <c r="D503" s="3">
        <f t="shared" si="63"/>
        <v>50</v>
      </c>
      <c r="E503" s="4">
        <f t="shared" si="64"/>
        <v>1</v>
      </c>
      <c r="F503" s="4">
        <f t="shared" si="65"/>
        <v>26</v>
      </c>
      <c r="G503" s="3">
        <f>IF(E503&gt;=20,2000,1900) + D503</f>
        <v>1950</v>
      </c>
      <c r="H503">
        <f t="shared" si="66"/>
        <v>1</v>
      </c>
      <c r="I503" s="4">
        <f t="shared" si="67"/>
        <v>26</v>
      </c>
      <c r="J503">
        <f t="shared" si="68"/>
        <v>19500126</v>
      </c>
      <c r="K503" t="str">
        <f t="shared" si="69"/>
        <v>26.01.1950</v>
      </c>
      <c r="L503" s="10">
        <f t="shared" si="70"/>
        <v>26648</v>
      </c>
      <c r="M503" s="8">
        <f t="shared" si="71"/>
        <v>72</v>
      </c>
    </row>
    <row r="504" spans="1:13" x14ac:dyDescent="0.25">
      <c r="A504" s="4" t="s">
        <v>530</v>
      </c>
      <c r="B504" t="s">
        <v>9</v>
      </c>
      <c r="C504" t="s">
        <v>6</v>
      </c>
      <c r="D504" s="3">
        <f t="shared" si="63"/>
        <v>96</v>
      </c>
      <c r="E504" s="4">
        <f t="shared" si="64"/>
        <v>4</v>
      </c>
      <c r="F504" s="4">
        <f t="shared" si="65"/>
        <v>2</v>
      </c>
      <c r="G504" s="3">
        <f>IF(E504&gt;=20,2000,1900) + D504</f>
        <v>1996</v>
      </c>
      <c r="H504">
        <f t="shared" si="66"/>
        <v>4</v>
      </c>
      <c r="I504" s="4">
        <f t="shared" si="67"/>
        <v>2</v>
      </c>
      <c r="J504">
        <f t="shared" si="68"/>
        <v>19960402</v>
      </c>
      <c r="K504" t="str">
        <f t="shared" si="69"/>
        <v>02.04.1996</v>
      </c>
      <c r="L504" s="10">
        <f t="shared" si="70"/>
        <v>9780</v>
      </c>
      <c r="M504" s="8">
        <f t="shared" si="71"/>
        <v>26</v>
      </c>
    </row>
    <row r="505" spans="1:13" x14ac:dyDescent="0.25">
      <c r="A505" s="4" t="s">
        <v>531</v>
      </c>
      <c r="B505" t="s">
        <v>7</v>
      </c>
      <c r="C505" t="s">
        <v>4</v>
      </c>
      <c r="D505" s="3">
        <f t="shared" si="63"/>
        <v>91</v>
      </c>
      <c r="E505" s="4">
        <f t="shared" si="64"/>
        <v>4</v>
      </c>
      <c r="F505" s="4">
        <f t="shared" si="65"/>
        <v>10</v>
      </c>
      <c r="G505" s="3">
        <f>IF(E505&gt;=20,2000,1900) + D505</f>
        <v>1991</v>
      </c>
      <c r="H505">
        <f t="shared" si="66"/>
        <v>4</v>
      </c>
      <c r="I505" s="4">
        <f t="shared" si="67"/>
        <v>10</v>
      </c>
      <c r="J505">
        <f t="shared" si="68"/>
        <v>19910410</v>
      </c>
      <c r="K505" t="str">
        <f t="shared" si="69"/>
        <v>10.04.1991</v>
      </c>
      <c r="L505" s="10">
        <f t="shared" si="70"/>
        <v>11599</v>
      </c>
      <c r="M505" s="8">
        <f t="shared" si="71"/>
        <v>31</v>
      </c>
    </row>
    <row r="506" spans="1:13" x14ac:dyDescent="0.25">
      <c r="A506" s="4" t="s">
        <v>532</v>
      </c>
      <c r="B506" t="s">
        <v>14</v>
      </c>
      <c r="C506" t="s">
        <v>6</v>
      </c>
      <c r="D506" s="3">
        <f t="shared" si="63"/>
        <v>75</v>
      </c>
      <c r="E506" s="4">
        <f t="shared" si="64"/>
        <v>6</v>
      </c>
      <c r="F506" s="4">
        <f t="shared" si="65"/>
        <v>17</v>
      </c>
      <c r="G506" s="3">
        <f>IF(E506&gt;=20,2000,1900) + D506</f>
        <v>1975</v>
      </c>
      <c r="H506">
        <f t="shared" si="66"/>
        <v>6</v>
      </c>
      <c r="I506" s="4">
        <f t="shared" si="67"/>
        <v>17</v>
      </c>
      <c r="J506">
        <f t="shared" si="68"/>
        <v>19750617</v>
      </c>
      <c r="K506" t="str">
        <f t="shared" si="69"/>
        <v>17.06.1975</v>
      </c>
      <c r="L506" s="10">
        <f t="shared" si="70"/>
        <v>17375</v>
      </c>
      <c r="M506" s="8">
        <f t="shared" si="71"/>
        <v>47</v>
      </c>
    </row>
    <row r="507" spans="1:13" x14ac:dyDescent="0.25">
      <c r="A507" s="4" t="s">
        <v>533</v>
      </c>
      <c r="B507" t="s">
        <v>8</v>
      </c>
      <c r="C507" t="s">
        <v>4</v>
      </c>
      <c r="D507" s="3">
        <f t="shared" si="63"/>
        <v>52</v>
      </c>
      <c r="E507" s="4">
        <f t="shared" si="64"/>
        <v>2</v>
      </c>
      <c r="F507" s="4">
        <f t="shared" si="65"/>
        <v>4</v>
      </c>
      <c r="G507" s="3">
        <f>IF(E507&gt;=20,2000,1900) + D507</f>
        <v>1952</v>
      </c>
      <c r="H507">
        <f t="shared" si="66"/>
        <v>2</v>
      </c>
      <c r="I507" s="4">
        <f t="shared" si="67"/>
        <v>4</v>
      </c>
      <c r="J507">
        <f t="shared" si="68"/>
        <v>19520204</v>
      </c>
      <c r="K507" t="str">
        <f t="shared" si="69"/>
        <v>04.02.1952</v>
      </c>
      <c r="L507" s="10">
        <f t="shared" si="70"/>
        <v>25909</v>
      </c>
      <c r="M507" s="8">
        <f t="shared" si="71"/>
        <v>70</v>
      </c>
    </row>
    <row r="508" spans="1:13" x14ac:dyDescent="0.25">
      <c r="A508" s="4" t="s">
        <v>534</v>
      </c>
      <c r="B508" t="s">
        <v>15</v>
      </c>
      <c r="C508" t="s">
        <v>4</v>
      </c>
      <c r="D508" s="3">
        <f t="shared" si="63"/>
        <v>94</v>
      </c>
      <c r="E508" s="4">
        <f t="shared" si="64"/>
        <v>2</v>
      </c>
      <c r="F508" s="4">
        <f t="shared" si="65"/>
        <v>17</v>
      </c>
      <c r="G508" s="3">
        <f>IF(E508&gt;=20,2000,1900) + D508</f>
        <v>1994</v>
      </c>
      <c r="H508">
        <f t="shared" si="66"/>
        <v>2</v>
      </c>
      <c r="I508" s="4">
        <f t="shared" si="67"/>
        <v>17</v>
      </c>
      <c r="J508">
        <f t="shared" si="68"/>
        <v>19940217</v>
      </c>
      <c r="K508" t="str">
        <f t="shared" si="69"/>
        <v>17.02.1994</v>
      </c>
      <c r="L508" s="10">
        <f t="shared" si="70"/>
        <v>10555</v>
      </c>
      <c r="M508" s="8">
        <f t="shared" si="71"/>
        <v>28</v>
      </c>
    </row>
    <row r="509" spans="1:13" x14ac:dyDescent="0.25">
      <c r="A509" s="4" t="s">
        <v>535</v>
      </c>
      <c r="B509" t="s">
        <v>8</v>
      </c>
      <c r="C509" t="s">
        <v>6</v>
      </c>
      <c r="D509" s="3">
        <f t="shared" si="63"/>
        <v>54</v>
      </c>
      <c r="E509" s="4">
        <f t="shared" si="64"/>
        <v>6</v>
      </c>
      <c r="F509" s="4">
        <f t="shared" si="65"/>
        <v>14</v>
      </c>
      <c r="G509" s="3">
        <f>IF(E509&gt;=20,2000,1900) + D509</f>
        <v>1954</v>
      </c>
      <c r="H509">
        <f t="shared" si="66"/>
        <v>6</v>
      </c>
      <c r="I509" s="4">
        <f t="shared" si="67"/>
        <v>14</v>
      </c>
      <c r="J509">
        <f t="shared" si="68"/>
        <v>19540614</v>
      </c>
      <c r="K509" t="str">
        <f t="shared" si="69"/>
        <v>14.06.1954</v>
      </c>
      <c r="L509" s="10">
        <f t="shared" si="70"/>
        <v>25048</v>
      </c>
      <c r="M509" s="8">
        <f t="shared" si="71"/>
        <v>68</v>
      </c>
    </row>
    <row r="510" spans="1:13" x14ac:dyDescent="0.25">
      <c r="A510" s="4" t="s">
        <v>536</v>
      </c>
      <c r="B510" t="s">
        <v>9</v>
      </c>
      <c r="C510" t="s">
        <v>6</v>
      </c>
      <c r="D510" s="3">
        <f t="shared" si="63"/>
        <v>60</v>
      </c>
      <c r="E510" s="4">
        <f t="shared" si="64"/>
        <v>1</v>
      </c>
      <c r="F510" s="4">
        <f t="shared" si="65"/>
        <v>26</v>
      </c>
      <c r="G510" s="3">
        <f>IF(E510&gt;=20,2000,1900) + D510</f>
        <v>1960</v>
      </c>
      <c r="H510">
        <f t="shared" si="66"/>
        <v>1</v>
      </c>
      <c r="I510" s="4">
        <f t="shared" si="67"/>
        <v>26</v>
      </c>
      <c r="J510">
        <f t="shared" si="68"/>
        <v>19600126</v>
      </c>
      <c r="K510" t="str">
        <f t="shared" si="69"/>
        <v>26.01.1960</v>
      </c>
      <c r="L510" s="10">
        <f t="shared" si="70"/>
        <v>22996</v>
      </c>
      <c r="M510" s="8">
        <f t="shared" si="71"/>
        <v>62</v>
      </c>
    </row>
    <row r="511" spans="1:13" x14ac:dyDescent="0.25">
      <c r="A511" s="4" t="s">
        <v>537</v>
      </c>
      <c r="B511" t="s">
        <v>14</v>
      </c>
      <c r="C511" t="s">
        <v>6</v>
      </c>
      <c r="D511" s="3">
        <f t="shared" si="63"/>
        <v>64</v>
      </c>
      <c r="E511" s="4">
        <f t="shared" si="64"/>
        <v>3</v>
      </c>
      <c r="F511" s="4">
        <f t="shared" si="65"/>
        <v>13</v>
      </c>
      <c r="G511" s="3">
        <f>IF(E511&gt;=20,2000,1900) + D511</f>
        <v>1964</v>
      </c>
      <c r="H511">
        <f t="shared" si="66"/>
        <v>3</v>
      </c>
      <c r="I511" s="4">
        <f t="shared" si="67"/>
        <v>13</v>
      </c>
      <c r="J511">
        <f t="shared" si="68"/>
        <v>19640313</v>
      </c>
      <c r="K511" t="str">
        <f t="shared" si="69"/>
        <v>13.03.1964</v>
      </c>
      <c r="L511" s="10">
        <f t="shared" si="70"/>
        <v>21488</v>
      </c>
      <c r="M511" s="8">
        <f t="shared" si="71"/>
        <v>58</v>
      </c>
    </row>
    <row r="512" spans="1:13" x14ac:dyDescent="0.25">
      <c r="A512" s="4" t="s">
        <v>538</v>
      </c>
      <c r="B512" t="s">
        <v>20</v>
      </c>
      <c r="C512" t="s">
        <v>6</v>
      </c>
      <c r="D512" s="3">
        <f t="shared" si="63"/>
        <v>76</v>
      </c>
      <c r="E512" s="4">
        <f t="shared" si="64"/>
        <v>3</v>
      </c>
      <c r="F512" s="4">
        <f t="shared" si="65"/>
        <v>25</v>
      </c>
      <c r="G512" s="3">
        <f>IF(E512&gt;=20,2000,1900) + D512</f>
        <v>1976</v>
      </c>
      <c r="H512">
        <f t="shared" si="66"/>
        <v>3</v>
      </c>
      <c r="I512" s="4">
        <f t="shared" si="67"/>
        <v>25</v>
      </c>
      <c r="J512">
        <f t="shared" si="68"/>
        <v>19760325</v>
      </c>
      <c r="K512" t="str">
        <f t="shared" si="69"/>
        <v>25.03.1976</v>
      </c>
      <c r="L512" s="10">
        <f t="shared" si="70"/>
        <v>17093</v>
      </c>
      <c r="M512" s="8">
        <f t="shared" si="71"/>
        <v>46</v>
      </c>
    </row>
    <row r="513" spans="1:13" x14ac:dyDescent="0.25">
      <c r="A513" s="4" t="s">
        <v>539</v>
      </c>
      <c r="B513" t="s">
        <v>11</v>
      </c>
      <c r="C513" t="s">
        <v>4</v>
      </c>
      <c r="D513" s="3">
        <f t="shared" si="63"/>
        <v>94</v>
      </c>
      <c r="E513" s="4">
        <f t="shared" si="64"/>
        <v>4</v>
      </c>
      <c r="F513" s="4">
        <f t="shared" si="65"/>
        <v>22</v>
      </c>
      <c r="G513" s="3">
        <f>IF(E513&gt;=20,2000,1900) + D513</f>
        <v>1994</v>
      </c>
      <c r="H513">
        <f t="shared" si="66"/>
        <v>4</v>
      </c>
      <c r="I513" s="4">
        <f t="shared" si="67"/>
        <v>22</v>
      </c>
      <c r="J513">
        <f t="shared" si="68"/>
        <v>19940422</v>
      </c>
      <c r="K513" t="str">
        <f t="shared" si="69"/>
        <v>22.04.1994</v>
      </c>
      <c r="L513" s="10">
        <f t="shared" si="70"/>
        <v>10491</v>
      </c>
      <c r="M513" s="8">
        <f t="shared" si="71"/>
        <v>28</v>
      </c>
    </row>
    <row r="514" spans="1:13" x14ac:dyDescent="0.25">
      <c r="A514" s="4" t="s">
        <v>540</v>
      </c>
      <c r="B514" t="s">
        <v>16</v>
      </c>
      <c r="C514" t="s">
        <v>6</v>
      </c>
      <c r="D514" s="3">
        <f t="shared" si="63"/>
        <v>72</v>
      </c>
      <c r="E514" s="4">
        <f t="shared" si="64"/>
        <v>1</v>
      </c>
      <c r="F514" s="4">
        <f t="shared" si="65"/>
        <v>12</v>
      </c>
      <c r="G514" s="3">
        <f>IF(E514&gt;=20,2000,1900) + D514</f>
        <v>1972</v>
      </c>
      <c r="H514">
        <f t="shared" si="66"/>
        <v>1</v>
      </c>
      <c r="I514" s="4">
        <f t="shared" si="67"/>
        <v>12</v>
      </c>
      <c r="J514">
        <f t="shared" si="68"/>
        <v>19720112</v>
      </c>
      <c r="K514" t="str">
        <f t="shared" si="69"/>
        <v>12.01.1972</v>
      </c>
      <c r="L514" s="10">
        <f t="shared" si="70"/>
        <v>18627</v>
      </c>
      <c r="M514" s="8">
        <f t="shared" si="71"/>
        <v>50</v>
      </c>
    </row>
    <row r="515" spans="1:13" x14ac:dyDescent="0.25">
      <c r="A515" s="4" t="s">
        <v>541</v>
      </c>
      <c r="B515" t="s">
        <v>12</v>
      </c>
      <c r="C515" t="s">
        <v>6</v>
      </c>
      <c r="D515" s="3">
        <f t="shared" ref="D515:D578" si="72">MID(A515,1,2)*1</f>
        <v>55</v>
      </c>
      <c r="E515" s="4">
        <f t="shared" ref="E515:E578" si="73">MID(A515,3,2)*1</f>
        <v>10</v>
      </c>
      <c r="F515" s="4">
        <f t="shared" ref="F515:F578" si="74">MID(A515,5,2)*1</f>
        <v>16</v>
      </c>
      <c r="G515" s="3">
        <f>IF(E515&gt;=20,2000,1900) + D515</f>
        <v>1955</v>
      </c>
      <c r="H515">
        <f t="shared" ref="H515:H578" si="75">IF(E515&gt;=20,E515-20,E515)</f>
        <v>10</v>
      </c>
      <c r="I515" s="4">
        <f t="shared" ref="I515:I578" si="76">F515</f>
        <v>16</v>
      </c>
      <c r="J515">
        <f t="shared" ref="J515:J578" si="77">CONCATENATE(G515,IF(LEN(H515)=1,CONCATENATE("0",H515),H515),IF(LEN(F515)=1,CONCATENATE("0",F515),F515))*1</f>
        <v>19551016</v>
      </c>
      <c r="K515" t="str">
        <f t="shared" ref="K515:K578" si="78">CONCATENATE(RIGHT(J515,2),".",MID(J515,5,2),".",LEFT(J515,4))</f>
        <v>16.10.1955</v>
      </c>
      <c r="L515" s="10">
        <f t="shared" ref="L515:L578" si="79">44937-K515</f>
        <v>24559</v>
      </c>
      <c r="M515" s="8">
        <f t="shared" ref="M515:M578" si="80">YEAR(L515)-1900</f>
        <v>67</v>
      </c>
    </row>
    <row r="516" spans="1:13" x14ac:dyDescent="0.25">
      <c r="A516" s="4" t="s">
        <v>542</v>
      </c>
      <c r="B516" t="s">
        <v>5</v>
      </c>
      <c r="C516" t="s">
        <v>6</v>
      </c>
      <c r="D516" s="3">
        <f t="shared" si="72"/>
        <v>63</v>
      </c>
      <c r="E516" s="4">
        <f t="shared" si="73"/>
        <v>6</v>
      </c>
      <c r="F516" s="4">
        <f t="shared" si="74"/>
        <v>15</v>
      </c>
      <c r="G516" s="3">
        <f>IF(E516&gt;=20,2000,1900) + D516</f>
        <v>1963</v>
      </c>
      <c r="H516">
        <f t="shared" si="75"/>
        <v>6</v>
      </c>
      <c r="I516" s="4">
        <f t="shared" si="76"/>
        <v>15</v>
      </c>
      <c r="J516">
        <f t="shared" si="77"/>
        <v>19630615</v>
      </c>
      <c r="K516" t="str">
        <f t="shared" si="78"/>
        <v>15.06.1963</v>
      </c>
      <c r="L516" s="10">
        <f t="shared" si="79"/>
        <v>21760</v>
      </c>
      <c r="M516" s="8">
        <f t="shared" si="80"/>
        <v>59</v>
      </c>
    </row>
    <row r="517" spans="1:13" x14ac:dyDescent="0.25">
      <c r="A517" s="4" t="s">
        <v>543</v>
      </c>
      <c r="B517" t="s">
        <v>15</v>
      </c>
      <c r="C517" t="s">
        <v>6</v>
      </c>
      <c r="D517" s="3">
        <f t="shared" si="72"/>
        <v>66</v>
      </c>
      <c r="E517" s="4">
        <f t="shared" si="73"/>
        <v>9</v>
      </c>
      <c r="F517" s="4">
        <f t="shared" si="74"/>
        <v>20</v>
      </c>
      <c r="G517" s="3">
        <f>IF(E517&gt;=20,2000,1900) + D517</f>
        <v>1966</v>
      </c>
      <c r="H517">
        <f t="shared" si="75"/>
        <v>9</v>
      </c>
      <c r="I517" s="4">
        <f t="shared" si="76"/>
        <v>20</v>
      </c>
      <c r="J517">
        <f t="shared" si="77"/>
        <v>19660920</v>
      </c>
      <c r="K517" t="str">
        <f t="shared" si="78"/>
        <v>20.09.1966</v>
      </c>
      <c r="L517" s="10">
        <f t="shared" si="79"/>
        <v>20567</v>
      </c>
      <c r="M517" s="8">
        <f t="shared" si="80"/>
        <v>56</v>
      </c>
    </row>
    <row r="518" spans="1:13" x14ac:dyDescent="0.25">
      <c r="A518" s="4" t="s">
        <v>544</v>
      </c>
      <c r="B518" t="s">
        <v>15</v>
      </c>
      <c r="C518" t="s">
        <v>6</v>
      </c>
      <c r="D518" s="3">
        <f t="shared" si="72"/>
        <v>79</v>
      </c>
      <c r="E518" s="4">
        <f t="shared" si="73"/>
        <v>12</v>
      </c>
      <c r="F518" s="4">
        <f t="shared" si="74"/>
        <v>3</v>
      </c>
      <c r="G518" s="3">
        <f>IF(E518&gt;=20,2000,1900) + D518</f>
        <v>1979</v>
      </c>
      <c r="H518">
        <f t="shared" si="75"/>
        <v>12</v>
      </c>
      <c r="I518" s="4">
        <f t="shared" si="76"/>
        <v>3</v>
      </c>
      <c r="J518">
        <f t="shared" si="77"/>
        <v>19791203</v>
      </c>
      <c r="K518" t="str">
        <f t="shared" si="78"/>
        <v>03.12.1979</v>
      </c>
      <c r="L518" s="10">
        <f t="shared" si="79"/>
        <v>15745</v>
      </c>
      <c r="M518" s="8">
        <f t="shared" si="80"/>
        <v>43</v>
      </c>
    </row>
    <row r="519" spans="1:13" x14ac:dyDescent="0.25">
      <c r="A519" s="4" t="s">
        <v>545</v>
      </c>
      <c r="B519" t="s">
        <v>17</v>
      </c>
      <c r="C519" t="s">
        <v>6</v>
      </c>
      <c r="D519" s="3">
        <f t="shared" si="72"/>
        <v>75</v>
      </c>
      <c r="E519" s="4">
        <f t="shared" si="73"/>
        <v>3</v>
      </c>
      <c r="F519" s="4">
        <f t="shared" si="74"/>
        <v>20</v>
      </c>
      <c r="G519" s="3">
        <f>IF(E519&gt;=20,2000,1900) + D519</f>
        <v>1975</v>
      </c>
      <c r="H519">
        <f t="shared" si="75"/>
        <v>3</v>
      </c>
      <c r="I519" s="4">
        <f t="shared" si="76"/>
        <v>20</v>
      </c>
      <c r="J519">
        <f t="shared" si="77"/>
        <v>19750320</v>
      </c>
      <c r="K519" t="str">
        <f t="shared" si="78"/>
        <v>20.03.1975</v>
      </c>
      <c r="L519" s="10">
        <f t="shared" si="79"/>
        <v>17464</v>
      </c>
      <c r="M519" s="8">
        <f t="shared" si="80"/>
        <v>47</v>
      </c>
    </row>
    <row r="520" spans="1:13" x14ac:dyDescent="0.25">
      <c r="A520" s="4" t="s">
        <v>546</v>
      </c>
      <c r="B520" t="s">
        <v>17</v>
      </c>
      <c r="C520" t="s">
        <v>4</v>
      </c>
      <c r="D520" s="3">
        <f t="shared" si="72"/>
        <v>64</v>
      </c>
      <c r="E520" s="4">
        <f t="shared" si="73"/>
        <v>12</v>
      </c>
      <c r="F520" s="4">
        <f t="shared" si="74"/>
        <v>6</v>
      </c>
      <c r="G520" s="3">
        <f>IF(E520&gt;=20,2000,1900) + D520</f>
        <v>1964</v>
      </c>
      <c r="H520">
        <f t="shared" si="75"/>
        <v>12</v>
      </c>
      <c r="I520" s="4">
        <f t="shared" si="76"/>
        <v>6</v>
      </c>
      <c r="J520">
        <f t="shared" si="77"/>
        <v>19641206</v>
      </c>
      <c r="K520" t="str">
        <f t="shared" si="78"/>
        <v>06.12.1964</v>
      </c>
      <c r="L520" s="10">
        <f t="shared" si="79"/>
        <v>21220</v>
      </c>
      <c r="M520" s="8">
        <f t="shared" si="80"/>
        <v>58</v>
      </c>
    </row>
    <row r="521" spans="1:13" x14ac:dyDescent="0.25">
      <c r="A521" s="4" t="s">
        <v>547</v>
      </c>
      <c r="B521" t="s">
        <v>9</v>
      </c>
      <c r="C521" t="s">
        <v>6</v>
      </c>
      <c r="D521" s="3">
        <f t="shared" si="72"/>
        <v>73</v>
      </c>
      <c r="E521" s="4">
        <f t="shared" si="73"/>
        <v>7</v>
      </c>
      <c r="F521" s="4">
        <f t="shared" si="74"/>
        <v>28</v>
      </c>
      <c r="G521" s="3">
        <f>IF(E521&gt;=20,2000,1900) + D521</f>
        <v>1973</v>
      </c>
      <c r="H521">
        <f t="shared" si="75"/>
        <v>7</v>
      </c>
      <c r="I521" s="4">
        <f t="shared" si="76"/>
        <v>28</v>
      </c>
      <c r="J521">
        <f t="shared" si="77"/>
        <v>19730728</v>
      </c>
      <c r="K521" t="str">
        <f t="shared" si="78"/>
        <v>28.07.1973</v>
      </c>
      <c r="L521" s="10">
        <f t="shared" si="79"/>
        <v>18064</v>
      </c>
      <c r="M521" s="8">
        <f t="shared" si="80"/>
        <v>49</v>
      </c>
    </row>
    <row r="522" spans="1:13" x14ac:dyDescent="0.25">
      <c r="A522" s="4" t="s">
        <v>548</v>
      </c>
      <c r="B522" t="s">
        <v>17</v>
      </c>
      <c r="C522" t="s">
        <v>6</v>
      </c>
      <c r="D522" s="3">
        <f t="shared" si="72"/>
        <v>81</v>
      </c>
      <c r="E522" s="4">
        <f t="shared" si="73"/>
        <v>3</v>
      </c>
      <c r="F522" s="4">
        <f t="shared" si="74"/>
        <v>21</v>
      </c>
      <c r="G522" s="3">
        <f>IF(E522&gt;=20,2000,1900) + D522</f>
        <v>1981</v>
      </c>
      <c r="H522">
        <f t="shared" si="75"/>
        <v>3</v>
      </c>
      <c r="I522" s="4">
        <f t="shared" si="76"/>
        <v>21</v>
      </c>
      <c r="J522">
        <f t="shared" si="77"/>
        <v>19810321</v>
      </c>
      <c r="K522" t="str">
        <f t="shared" si="78"/>
        <v>21.03.1981</v>
      </c>
      <c r="L522" s="10">
        <f t="shared" si="79"/>
        <v>15271</v>
      </c>
      <c r="M522" s="8">
        <f t="shared" si="80"/>
        <v>41</v>
      </c>
    </row>
    <row r="523" spans="1:13" x14ac:dyDescent="0.25">
      <c r="A523" s="4" t="s">
        <v>549</v>
      </c>
      <c r="B523" t="s">
        <v>18</v>
      </c>
      <c r="C523" t="s">
        <v>4</v>
      </c>
      <c r="D523" s="3">
        <f t="shared" si="72"/>
        <v>99</v>
      </c>
      <c r="E523" s="4">
        <f t="shared" si="73"/>
        <v>12</v>
      </c>
      <c r="F523" s="4">
        <f t="shared" si="74"/>
        <v>2</v>
      </c>
      <c r="G523" s="3">
        <f>IF(E523&gt;=20,2000,1900) + D523</f>
        <v>1999</v>
      </c>
      <c r="H523">
        <f t="shared" si="75"/>
        <v>12</v>
      </c>
      <c r="I523" s="4">
        <f t="shared" si="76"/>
        <v>2</v>
      </c>
      <c r="J523">
        <f t="shared" si="77"/>
        <v>19991202</v>
      </c>
      <c r="K523" t="str">
        <f t="shared" si="78"/>
        <v>02.12.1999</v>
      </c>
      <c r="L523" s="10">
        <f t="shared" si="79"/>
        <v>8441</v>
      </c>
      <c r="M523" s="8">
        <f t="shared" si="80"/>
        <v>23</v>
      </c>
    </row>
    <row r="524" spans="1:13" x14ac:dyDescent="0.25">
      <c r="A524" s="4" t="s">
        <v>550</v>
      </c>
      <c r="B524" t="s">
        <v>7</v>
      </c>
      <c r="C524" t="s">
        <v>6</v>
      </c>
      <c r="D524" s="3">
        <f t="shared" si="72"/>
        <v>57</v>
      </c>
      <c r="E524" s="4">
        <f t="shared" si="73"/>
        <v>4</v>
      </c>
      <c r="F524" s="4">
        <f t="shared" si="74"/>
        <v>5</v>
      </c>
      <c r="G524" s="3">
        <f>IF(E524&gt;=20,2000,1900) + D524</f>
        <v>1957</v>
      </c>
      <c r="H524">
        <f t="shared" si="75"/>
        <v>4</v>
      </c>
      <c r="I524" s="4">
        <f t="shared" si="76"/>
        <v>5</v>
      </c>
      <c r="J524">
        <f t="shared" si="77"/>
        <v>19570405</v>
      </c>
      <c r="K524" t="str">
        <f t="shared" si="78"/>
        <v>05.04.1957</v>
      </c>
      <c r="L524" s="10">
        <f t="shared" si="79"/>
        <v>24022</v>
      </c>
      <c r="M524" s="8">
        <f t="shared" si="80"/>
        <v>65</v>
      </c>
    </row>
    <row r="525" spans="1:13" x14ac:dyDescent="0.25">
      <c r="A525" s="4" t="s">
        <v>551</v>
      </c>
      <c r="B525" t="s">
        <v>14</v>
      </c>
      <c r="C525" t="s">
        <v>6</v>
      </c>
      <c r="D525" s="3">
        <f t="shared" si="72"/>
        <v>99</v>
      </c>
      <c r="E525" s="4">
        <f t="shared" si="73"/>
        <v>5</v>
      </c>
      <c r="F525" s="4">
        <f t="shared" si="74"/>
        <v>13</v>
      </c>
      <c r="G525" s="3">
        <f>IF(E525&gt;=20,2000,1900) + D525</f>
        <v>1999</v>
      </c>
      <c r="H525">
        <f t="shared" si="75"/>
        <v>5</v>
      </c>
      <c r="I525" s="4">
        <f t="shared" si="76"/>
        <v>13</v>
      </c>
      <c r="J525">
        <f t="shared" si="77"/>
        <v>19990513</v>
      </c>
      <c r="K525" t="str">
        <f t="shared" si="78"/>
        <v>13.05.1999</v>
      </c>
      <c r="L525" s="10">
        <f t="shared" si="79"/>
        <v>8644</v>
      </c>
      <c r="M525" s="8">
        <f t="shared" si="80"/>
        <v>23</v>
      </c>
    </row>
    <row r="526" spans="1:13" x14ac:dyDescent="0.25">
      <c r="A526" s="4" t="s">
        <v>552</v>
      </c>
      <c r="B526" t="s">
        <v>11</v>
      </c>
      <c r="C526" t="s">
        <v>4</v>
      </c>
      <c r="D526" s="3">
        <f t="shared" si="72"/>
        <v>73</v>
      </c>
      <c r="E526" s="4">
        <f t="shared" si="73"/>
        <v>3</v>
      </c>
      <c r="F526" s="4">
        <f t="shared" si="74"/>
        <v>18</v>
      </c>
      <c r="G526" s="3">
        <f>IF(E526&gt;=20,2000,1900) + D526</f>
        <v>1973</v>
      </c>
      <c r="H526">
        <f t="shared" si="75"/>
        <v>3</v>
      </c>
      <c r="I526" s="4">
        <f t="shared" si="76"/>
        <v>18</v>
      </c>
      <c r="J526">
        <f t="shared" si="77"/>
        <v>19730318</v>
      </c>
      <c r="K526" t="str">
        <f t="shared" si="78"/>
        <v>18.03.1973</v>
      </c>
      <c r="L526" s="10">
        <f t="shared" si="79"/>
        <v>18196</v>
      </c>
      <c r="M526" s="8">
        <f t="shared" si="80"/>
        <v>49</v>
      </c>
    </row>
    <row r="527" spans="1:13" x14ac:dyDescent="0.25">
      <c r="A527" s="4" t="s">
        <v>553</v>
      </c>
      <c r="B527" t="s">
        <v>5</v>
      </c>
      <c r="C527" t="s">
        <v>6</v>
      </c>
      <c r="D527" s="3">
        <f t="shared" si="72"/>
        <v>86</v>
      </c>
      <c r="E527" s="4">
        <f t="shared" si="73"/>
        <v>6</v>
      </c>
      <c r="F527" s="4">
        <f t="shared" si="74"/>
        <v>15</v>
      </c>
      <c r="G527" s="3">
        <f>IF(E527&gt;=20,2000,1900) + D527</f>
        <v>1986</v>
      </c>
      <c r="H527">
        <f t="shared" si="75"/>
        <v>6</v>
      </c>
      <c r="I527" s="4">
        <f t="shared" si="76"/>
        <v>15</v>
      </c>
      <c r="J527">
        <f t="shared" si="77"/>
        <v>19860615</v>
      </c>
      <c r="K527" t="str">
        <f t="shared" si="78"/>
        <v>15.06.1986</v>
      </c>
      <c r="L527" s="10">
        <f t="shared" si="79"/>
        <v>13359</v>
      </c>
      <c r="M527" s="8">
        <f t="shared" si="80"/>
        <v>36</v>
      </c>
    </row>
    <row r="528" spans="1:13" x14ac:dyDescent="0.25">
      <c r="A528" s="4" t="s">
        <v>554</v>
      </c>
      <c r="B528" t="s">
        <v>11</v>
      </c>
      <c r="C528" t="s">
        <v>4</v>
      </c>
      <c r="D528" s="3">
        <f t="shared" si="72"/>
        <v>53</v>
      </c>
      <c r="E528" s="4">
        <f t="shared" si="73"/>
        <v>9</v>
      </c>
      <c r="F528" s="4">
        <f t="shared" si="74"/>
        <v>6</v>
      </c>
      <c r="G528" s="3">
        <f>IF(E528&gt;=20,2000,1900) + D528</f>
        <v>1953</v>
      </c>
      <c r="H528">
        <f t="shared" si="75"/>
        <v>9</v>
      </c>
      <c r="I528" s="4">
        <f t="shared" si="76"/>
        <v>6</v>
      </c>
      <c r="J528">
        <f t="shared" si="77"/>
        <v>19530906</v>
      </c>
      <c r="K528" t="str">
        <f t="shared" si="78"/>
        <v>06.09.1953</v>
      </c>
      <c r="L528" s="10">
        <f t="shared" si="79"/>
        <v>25329</v>
      </c>
      <c r="M528" s="8">
        <f t="shared" si="80"/>
        <v>69</v>
      </c>
    </row>
    <row r="529" spans="1:13" x14ac:dyDescent="0.25">
      <c r="A529" s="4" t="s">
        <v>555</v>
      </c>
      <c r="B529" t="s">
        <v>3</v>
      </c>
      <c r="C529" t="s">
        <v>4</v>
      </c>
      <c r="D529" s="3">
        <f t="shared" si="72"/>
        <v>75</v>
      </c>
      <c r="E529" s="4">
        <f t="shared" si="73"/>
        <v>2</v>
      </c>
      <c r="F529" s="4">
        <f t="shared" si="74"/>
        <v>13</v>
      </c>
      <c r="G529" s="3">
        <f>IF(E529&gt;=20,2000,1900) + D529</f>
        <v>1975</v>
      </c>
      <c r="H529">
        <f t="shared" si="75"/>
        <v>2</v>
      </c>
      <c r="I529" s="4">
        <f t="shared" si="76"/>
        <v>13</v>
      </c>
      <c r="J529">
        <f t="shared" si="77"/>
        <v>19750213</v>
      </c>
      <c r="K529" t="str">
        <f t="shared" si="78"/>
        <v>13.02.1975</v>
      </c>
      <c r="L529" s="10">
        <f t="shared" si="79"/>
        <v>17499</v>
      </c>
      <c r="M529" s="8">
        <f t="shared" si="80"/>
        <v>47</v>
      </c>
    </row>
    <row r="530" spans="1:13" x14ac:dyDescent="0.25">
      <c r="A530" s="4" t="s">
        <v>556</v>
      </c>
      <c r="B530" t="s">
        <v>5</v>
      </c>
      <c r="C530" t="s">
        <v>6</v>
      </c>
      <c r="D530" s="3">
        <f t="shared" si="72"/>
        <v>72</v>
      </c>
      <c r="E530" s="4">
        <f t="shared" si="73"/>
        <v>12</v>
      </c>
      <c r="F530" s="4">
        <f t="shared" si="74"/>
        <v>31</v>
      </c>
      <c r="G530" s="3">
        <f>IF(E530&gt;=20,2000,1900) + D530</f>
        <v>1972</v>
      </c>
      <c r="H530">
        <f t="shared" si="75"/>
        <v>12</v>
      </c>
      <c r="I530" s="4">
        <f t="shared" si="76"/>
        <v>31</v>
      </c>
      <c r="J530">
        <f t="shared" si="77"/>
        <v>19721231</v>
      </c>
      <c r="K530" t="str">
        <f t="shared" si="78"/>
        <v>31.12.1972</v>
      </c>
      <c r="L530" s="10">
        <f t="shared" si="79"/>
        <v>18273</v>
      </c>
      <c r="M530" s="8">
        <f t="shared" si="80"/>
        <v>50</v>
      </c>
    </row>
    <row r="531" spans="1:13" x14ac:dyDescent="0.25">
      <c r="A531" s="4" t="s">
        <v>557</v>
      </c>
      <c r="B531" t="s">
        <v>15</v>
      </c>
      <c r="C531" t="s">
        <v>6</v>
      </c>
      <c r="D531" s="3">
        <f t="shared" si="72"/>
        <v>79</v>
      </c>
      <c r="E531" s="4">
        <f t="shared" si="73"/>
        <v>7</v>
      </c>
      <c r="F531" s="4">
        <f t="shared" si="74"/>
        <v>6</v>
      </c>
      <c r="G531" s="3">
        <f>IF(E531&gt;=20,2000,1900) + D531</f>
        <v>1979</v>
      </c>
      <c r="H531">
        <f t="shared" si="75"/>
        <v>7</v>
      </c>
      <c r="I531" s="4">
        <f t="shared" si="76"/>
        <v>6</v>
      </c>
      <c r="J531">
        <f t="shared" si="77"/>
        <v>19790706</v>
      </c>
      <c r="K531" t="str">
        <f t="shared" si="78"/>
        <v>06.07.1979</v>
      </c>
      <c r="L531" s="10">
        <f t="shared" si="79"/>
        <v>15895</v>
      </c>
      <c r="M531" s="8">
        <f t="shared" si="80"/>
        <v>43</v>
      </c>
    </row>
    <row r="532" spans="1:13" x14ac:dyDescent="0.25">
      <c r="A532" s="4" t="s">
        <v>558</v>
      </c>
      <c r="B532" t="s">
        <v>13</v>
      </c>
      <c r="C532" t="s">
        <v>6</v>
      </c>
      <c r="D532" s="3">
        <f t="shared" si="72"/>
        <v>99</v>
      </c>
      <c r="E532" s="4">
        <f t="shared" si="73"/>
        <v>12</v>
      </c>
      <c r="F532" s="4">
        <f t="shared" si="74"/>
        <v>16</v>
      </c>
      <c r="G532" s="3">
        <f>IF(E532&gt;=20,2000,1900) + D532</f>
        <v>1999</v>
      </c>
      <c r="H532">
        <f t="shared" si="75"/>
        <v>12</v>
      </c>
      <c r="I532" s="4">
        <f t="shared" si="76"/>
        <v>16</v>
      </c>
      <c r="J532">
        <f t="shared" si="77"/>
        <v>19991216</v>
      </c>
      <c r="K532" t="str">
        <f t="shared" si="78"/>
        <v>16.12.1999</v>
      </c>
      <c r="L532" s="10">
        <f t="shared" si="79"/>
        <v>8427</v>
      </c>
      <c r="M532" s="8">
        <f t="shared" si="80"/>
        <v>23</v>
      </c>
    </row>
    <row r="533" spans="1:13" x14ac:dyDescent="0.25">
      <c r="A533" s="4" t="s">
        <v>559</v>
      </c>
      <c r="B533" t="s">
        <v>7</v>
      </c>
      <c r="C533" t="s">
        <v>4</v>
      </c>
      <c r="D533" s="3">
        <f t="shared" si="72"/>
        <v>62</v>
      </c>
      <c r="E533" s="4">
        <f t="shared" si="73"/>
        <v>4</v>
      </c>
      <c r="F533" s="4">
        <f t="shared" si="74"/>
        <v>8</v>
      </c>
      <c r="G533" s="3">
        <f>IF(E533&gt;=20,2000,1900) + D533</f>
        <v>1962</v>
      </c>
      <c r="H533">
        <f t="shared" si="75"/>
        <v>4</v>
      </c>
      <c r="I533" s="4">
        <f t="shared" si="76"/>
        <v>8</v>
      </c>
      <c r="J533">
        <f t="shared" si="77"/>
        <v>19620408</v>
      </c>
      <c r="K533" t="str">
        <f t="shared" si="78"/>
        <v>08.04.1962</v>
      </c>
      <c r="L533" s="10">
        <f t="shared" si="79"/>
        <v>22193</v>
      </c>
      <c r="M533" s="8">
        <f t="shared" si="80"/>
        <v>60</v>
      </c>
    </row>
    <row r="534" spans="1:13" x14ac:dyDescent="0.25">
      <c r="A534" s="4" t="s">
        <v>560</v>
      </c>
      <c r="B534" t="s">
        <v>14</v>
      </c>
      <c r="C534" t="s">
        <v>6</v>
      </c>
      <c r="D534" s="3">
        <f t="shared" si="72"/>
        <v>77</v>
      </c>
      <c r="E534" s="4">
        <f t="shared" si="73"/>
        <v>5</v>
      </c>
      <c r="F534" s="4">
        <f t="shared" si="74"/>
        <v>7</v>
      </c>
      <c r="G534" s="3">
        <f>IF(E534&gt;=20,2000,1900) + D534</f>
        <v>1977</v>
      </c>
      <c r="H534">
        <f t="shared" si="75"/>
        <v>5</v>
      </c>
      <c r="I534" s="4">
        <f t="shared" si="76"/>
        <v>7</v>
      </c>
      <c r="J534">
        <f t="shared" si="77"/>
        <v>19770507</v>
      </c>
      <c r="K534" t="str">
        <f t="shared" si="78"/>
        <v>07.05.1977</v>
      </c>
      <c r="L534" s="10">
        <f t="shared" si="79"/>
        <v>16685</v>
      </c>
      <c r="M534" s="8">
        <f t="shared" si="80"/>
        <v>45</v>
      </c>
    </row>
    <row r="535" spans="1:13" x14ac:dyDescent="0.25">
      <c r="A535" s="4" t="s">
        <v>561</v>
      </c>
      <c r="B535" t="s">
        <v>10</v>
      </c>
      <c r="C535" t="s">
        <v>6</v>
      </c>
      <c r="D535" s="3">
        <f t="shared" si="72"/>
        <v>61</v>
      </c>
      <c r="E535" s="4">
        <f t="shared" si="73"/>
        <v>1</v>
      </c>
      <c r="F535" s="4">
        <f t="shared" si="74"/>
        <v>18</v>
      </c>
      <c r="G535" s="3">
        <f>IF(E535&gt;=20,2000,1900) + D535</f>
        <v>1961</v>
      </c>
      <c r="H535">
        <f t="shared" si="75"/>
        <v>1</v>
      </c>
      <c r="I535" s="4">
        <f t="shared" si="76"/>
        <v>18</v>
      </c>
      <c r="J535">
        <f t="shared" si="77"/>
        <v>19610118</v>
      </c>
      <c r="K535" t="str">
        <f t="shared" si="78"/>
        <v>18.01.1961</v>
      </c>
      <c r="L535" s="10">
        <f t="shared" si="79"/>
        <v>22638</v>
      </c>
      <c r="M535" s="8">
        <f t="shared" si="80"/>
        <v>61</v>
      </c>
    </row>
    <row r="536" spans="1:13" x14ac:dyDescent="0.25">
      <c r="A536" s="4" t="s">
        <v>562</v>
      </c>
      <c r="B536" t="s">
        <v>10</v>
      </c>
      <c r="C536" t="s">
        <v>4</v>
      </c>
      <c r="D536" s="3">
        <f t="shared" si="72"/>
        <v>67</v>
      </c>
      <c r="E536" s="4">
        <f t="shared" si="73"/>
        <v>9</v>
      </c>
      <c r="F536" s="4">
        <f t="shared" si="74"/>
        <v>7</v>
      </c>
      <c r="G536" s="3">
        <f>IF(E536&gt;=20,2000,1900) + D536</f>
        <v>1967</v>
      </c>
      <c r="H536">
        <f t="shared" si="75"/>
        <v>9</v>
      </c>
      <c r="I536" s="4">
        <f t="shared" si="76"/>
        <v>7</v>
      </c>
      <c r="J536">
        <f t="shared" si="77"/>
        <v>19670907</v>
      </c>
      <c r="K536" t="str">
        <f t="shared" si="78"/>
        <v>07.09.1967</v>
      </c>
      <c r="L536" s="10">
        <f t="shared" si="79"/>
        <v>20215</v>
      </c>
      <c r="M536" s="8">
        <f t="shared" si="80"/>
        <v>55</v>
      </c>
    </row>
    <row r="537" spans="1:13" x14ac:dyDescent="0.25">
      <c r="A537" s="4" t="s">
        <v>563</v>
      </c>
      <c r="B537" t="s">
        <v>19</v>
      </c>
      <c r="C537" t="s">
        <v>4</v>
      </c>
      <c r="D537" s="3">
        <f t="shared" si="72"/>
        <v>69</v>
      </c>
      <c r="E537" s="4">
        <f t="shared" si="73"/>
        <v>12</v>
      </c>
      <c r="F537" s="4">
        <f t="shared" si="74"/>
        <v>18</v>
      </c>
      <c r="G537" s="3">
        <f>IF(E537&gt;=20,2000,1900) + D537</f>
        <v>1969</v>
      </c>
      <c r="H537">
        <f t="shared" si="75"/>
        <v>12</v>
      </c>
      <c r="I537" s="4">
        <f t="shared" si="76"/>
        <v>18</v>
      </c>
      <c r="J537">
        <f t="shared" si="77"/>
        <v>19691218</v>
      </c>
      <c r="K537" t="str">
        <f t="shared" si="78"/>
        <v>18.12.1969</v>
      </c>
      <c r="L537" s="10">
        <f t="shared" si="79"/>
        <v>19382</v>
      </c>
      <c r="M537" s="8">
        <f t="shared" si="80"/>
        <v>53</v>
      </c>
    </row>
    <row r="538" spans="1:13" x14ac:dyDescent="0.25">
      <c r="A538" s="4" t="s">
        <v>564</v>
      </c>
      <c r="B538" t="s">
        <v>11</v>
      </c>
      <c r="C538" t="s">
        <v>6</v>
      </c>
      <c r="D538" s="3">
        <f t="shared" si="72"/>
        <v>95</v>
      </c>
      <c r="E538" s="4">
        <f t="shared" si="73"/>
        <v>2</v>
      </c>
      <c r="F538" s="4">
        <f t="shared" si="74"/>
        <v>21</v>
      </c>
      <c r="G538" s="3">
        <f>IF(E538&gt;=20,2000,1900) + D538</f>
        <v>1995</v>
      </c>
      <c r="H538">
        <f t="shared" si="75"/>
        <v>2</v>
      </c>
      <c r="I538" s="4">
        <f t="shared" si="76"/>
        <v>21</v>
      </c>
      <c r="J538">
        <f t="shared" si="77"/>
        <v>19950221</v>
      </c>
      <c r="K538" t="str">
        <f t="shared" si="78"/>
        <v>21.02.1995</v>
      </c>
      <c r="L538" s="10">
        <f t="shared" si="79"/>
        <v>10186</v>
      </c>
      <c r="M538" s="8">
        <f t="shared" si="80"/>
        <v>27</v>
      </c>
    </row>
    <row r="539" spans="1:13" x14ac:dyDescent="0.25">
      <c r="A539" s="4" t="s">
        <v>565</v>
      </c>
      <c r="B539" t="s">
        <v>10</v>
      </c>
      <c r="C539" t="s">
        <v>6</v>
      </c>
      <c r="D539" s="3">
        <f t="shared" si="72"/>
        <v>50</v>
      </c>
      <c r="E539" s="4">
        <f t="shared" si="73"/>
        <v>12</v>
      </c>
      <c r="F539" s="4">
        <f t="shared" si="74"/>
        <v>23</v>
      </c>
      <c r="G539" s="3">
        <f>IF(E539&gt;=20,2000,1900) + D539</f>
        <v>1950</v>
      </c>
      <c r="H539">
        <f t="shared" si="75"/>
        <v>12</v>
      </c>
      <c r="I539" s="4">
        <f t="shared" si="76"/>
        <v>23</v>
      </c>
      <c r="J539">
        <f t="shared" si="77"/>
        <v>19501223</v>
      </c>
      <c r="K539" t="str">
        <f t="shared" si="78"/>
        <v>23.12.1950</v>
      </c>
      <c r="L539" s="10">
        <f t="shared" si="79"/>
        <v>26317</v>
      </c>
      <c r="M539" s="8">
        <f t="shared" si="80"/>
        <v>72</v>
      </c>
    </row>
    <row r="540" spans="1:13" x14ac:dyDescent="0.25">
      <c r="A540" s="4" t="s">
        <v>566</v>
      </c>
      <c r="B540" t="s">
        <v>20</v>
      </c>
      <c r="C540" t="s">
        <v>4</v>
      </c>
      <c r="D540" s="3">
        <f t="shared" si="72"/>
        <v>64</v>
      </c>
      <c r="E540" s="4">
        <f t="shared" si="73"/>
        <v>4</v>
      </c>
      <c r="F540" s="4">
        <f t="shared" si="74"/>
        <v>8</v>
      </c>
      <c r="G540" s="3">
        <f>IF(E540&gt;=20,2000,1900) + D540</f>
        <v>1964</v>
      </c>
      <c r="H540">
        <f t="shared" si="75"/>
        <v>4</v>
      </c>
      <c r="I540" s="4">
        <f t="shared" si="76"/>
        <v>8</v>
      </c>
      <c r="J540">
        <f t="shared" si="77"/>
        <v>19640408</v>
      </c>
      <c r="K540" t="str">
        <f t="shared" si="78"/>
        <v>08.04.1964</v>
      </c>
      <c r="L540" s="10">
        <f t="shared" si="79"/>
        <v>21462</v>
      </c>
      <c r="M540" s="8">
        <f t="shared" si="80"/>
        <v>58</v>
      </c>
    </row>
    <row r="541" spans="1:13" x14ac:dyDescent="0.25">
      <c r="A541" s="4" t="s">
        <v>567</v>
      </c>
      <c r="B541" t="s">
        <v>18</v>
      </c>
      <c r="C541" t="s">
        <v>4</v>
      </c>
      <c r="D541" s="3">
        <f t="shared" si="72"/>
        <v>74</v>
      </c>
      <c r="E541" s="4">
        <f t="shared" si="73"/>
        <v>11</v>
      </c>
      <c r="F541" s="4">
        <f t="shared" si="74"/>
        <v>4</v>
      </c>
      <c r="G541" s="3">
        <f>IF(E541&gt;=20,2000,1900) + D541</f>
        <v>1974</v>
      </c>
      <c r="H541">
        <f t="shared" si="75"/>
        <v>11</v>
      </c>
      <c r="I541" s="4">
        <f t="shared" si="76"/>
        <v>4</v>
      </c>
      <c r="J541">
        <f t="shared" si="77"/>
        <v>19741104</v>
      </c>
      <c r="K541" t="str">
        <f t="shared" si="78"/>
        <v>04.11.1974</v>
      </c>
      <c r="L541" s="10">
        <f t="shared" si="79"/>
        <v>17600</v>
      </c>
      <c r="M541" s="8">
        <f t="shared" si="80"/>
        <v>48</v>
      </c>
    </row>
    <row r="542" spans="1:13" x14ac:dyDescent="0.25">
      <c r="A542" s="4" t="s">
        <v>568</v>
      </c>
      <c r="B542" t="s">
        <v>14</v>
      </c>
      <c r="C542" t="s">
        <v>4</v>
      </c>
      <c r="D542" s="3">
        <f t="shared" si="72"/>
        <v>95</v>
      </c>
      <c r="E542" s="4">
        <f t="shared" si="73"/>
        <v>7</v>
      </c>
      <c r="F542" s="4">
        <f t="shared" si="74"/>
        <v>1</v>
      </c>
      <c r="G542" s="3">
        <f>IF(E542&gt;=20,2000,1900) + D542</f>
        <v>1995</v>
      </c>
      <c r="H542">
        <f t="shared" si="75"/>
        <v>7</v>
      </c>
      <c r="I542" s="4">
        <f t="shared" si="76"/>
        <v>1</v>
      </c>
      <c r="J542">
        <f t="shared" si="77"/>
        <v>19950701</v>
      </c>
      <c r="K542" t="str">
        <f t="shared" si="78"/>
        <v>01.07.1995</v>
      </c>
      <c r="L542" s="10">
        <f t="shared" si="79"/>
        <v>10056</v>
      </c>
      <c r="M542" s="8">
        <f t="shared" si="80"/>
        <v>27</v>
      </c>
    </row>
    <row r="543" spans="1:13" x14ac:dyDescent="0.25">
      <c r="A543" s="4" t="s">
        <v>569</v>
      </c>
      <c r="B543" t="s">
        <v>7</v>
      </c>
      <c r="C543" t="s">
        <v>6</v>
      </c>
      <c r="D543" s="3">
        <f t="shared" si="72"/>
        <v>51</v>
      </c>
      <c r="E543" s="4">
        <f t="shared" si="73"/>
        <v>4</v>
      </c>
      <c r="F543" s="4">
        <f t="shared" si="74"/>
        <v>7</v>
      </c>
      <c r="G543" s="3">
        <f>IF(E543&gt;=20,2000,1900) + D543</f>
        <v>1951</v>
      </c>
      <c r="H543">
        <f t="shared" si="75"/>
        <v>4</v>
      </c>
      <c r="I543" s="4">
        <f t="shared" si="76"/>
        <v>7</v>
      </c>
      <c r="J543">
        <f t="shared" si="77"/>
        <v>19510407</v>
      </c>
      <c r="K543" t="str">
        <f t="shared" si="78"/>
        <v>07.04.1951</v>
      </c>
      <c r="L543" s="10">
        <f t="shared" si="79"/>
        <v>26212</v>
      </c>
      <c r="M543" s="8">
        <f t="shared" si="80"/>
        <v>71</v>
      </c>
    </row>
    <row r="544" spans="1:13" x14ac:dyDescent="0.25">
      <c r="A544" s="4" t="s">
        <v>570</v>
      </c>
      <c r="B544" t="s">
        <v>13</v>
      </c>
      <c r="C544" t="s">
        <v>4</v>
      </c>
      <c r="D544" s="3">
        <f t="shared" si="72"/>
        <v>68</v>
      </c>
      <c r="E544" s="4">
        <f t="shared" si="73"/>
        <v>5</v>
      </c>
      <c r="F544" s="4">
        <f t="shared" si="74"/>
        <v>3</v>
      </c>
      <c r="G544" s="3">
        <f>IF(E544&gt;=20,2000,1900) + D544</f>
        <v>1968</v>
      </c>
      <c r="H544">
        <f t="shared" si="75"/>
        <v>5</v>
      </c>
      <c r="I544" s="4">
        <f t="shared" si="76"/>
        <v>3</v>
      </c>
      <c r="J544">
        <f t="shared" si="77"/>
        <v>19680503</v>
      </c>
      <c r="K544" t="str">
        <f t="shared" si="78"/>
        <v>03.05.1968</v>
      </c>
      <c r="L544" s="10">
        <f t="shared" si="79"/>
        <v>19976</v>
      </c>
      <c r="M544" s="8">
        <f t="shared" si="80"/>
        <v>54</v>
      </c>
    </row>
    <row r="545" spans="1:13" x14ac:dyDescent="0.25">
      <c r="A545" s="4" t="s">
        <v>571</v>
      </c>
      <c r="B545" t="s">
        <v>14</v>
      </c>
      <c r="C545" t="s">
        <v>4</v>
      </c>
      <c r="D545" s="3">
        <f t="shared" si="72"/>
        <v>78</v>
      </c>
      <c r="E545" s="4">
        <f t="shared" si="73"/>
        <v>1</v>
      </c>
      <c r="F545" s="4">
        <f t="shared" si="74"/>
        <v>24</v>
      </c>
      <c r="G545" s="3">
        <f>IF(E545&gt;=20,2000,1900) + D545</f>
        <v>1978</v>
      </c>
      <c r="H545">
        <f t="shared" si="75"/>
        <v>1</v>
      </c>
      <c r="I545" s="4">
        <f t="shared" si="76"/>
        <v>24</v>
      </c>
      <c r="J545">
        <f t="shared" si="77"/>
        <v>19780124</v>
      </c>
      <c r="K545" t="str">
        <f t="shared" si="78"/>
        <v>24.01.1978</v>
      </c>
      <c r="L545" s="10">
        <f t="shared" si="79"/>
        <v>16423</v>
      </c>
      <c r="M545" s="8">
        <f t="shared" si="80"/>
        <v>44</v>
      </c>
    </row>
    <row r="546" spans="1:13" x14ac:dyDescent="0.25">
      <c r="A546" s="4" t="s">
        <v>572</v>
      </c>
      <c r="B546" t="s">
        <v>18</v>
      </c>
      <c r="C546" t="s">
        <v>4</v>
      </c>
      <c r="D546" s="3">
        <f t="shared" si="72"/>
        <v>85</v>
      </c>
      <c r="E546" s="4">
        <f t="shared" si="73"/>
        <v>8</v>
      </c>
      <c r="F546" s="4">
        <f t="shared" si="74"/>
        <v>2</v>
      </c>
      <c r="G546" s="3">
        <f>IF(E546&gt;=20,2000,1900) + D546</f>
        <v>1985</v>
      </c>
      <c r="H546">
        <f t="shared" si="75"/>
        <v>8</v>
      </c>
      <c r="I546" s="4">
        <f t="shared" si="76"/>
        <v>2</v>
      </c>
      <c r="J546">
        <f t="shared" si="77"/>
        <v>19850802</v>
      </c>
      <c r="K546" t="str">
        <f t="shared" si="78"/>
        <v>02.08.1985</v>
      </c>
      <c r="L546" s="10">
        <f t="shared" si="79"/>
        <v>13676</v>
      </c>
      <c r="M546" s="8">
        <f t="shared" si="80"/>
        <v>37</v>
      </c>
    </row>
    <row r="547" spans="1:13" x14ac:dyDescent="0.25">
      <c r="A547" s="4" t="s">
        <v>573</v>
      </c>
      <c r="B547" t="s">
        <v>3</v>
      </c>
      <c r="C547" t="s">
        <v>4</v>
      </c>
      <c r="D547" s="3">
        <f t="shared" si="72"/>
        <v>80</v>
      </c>
      <c r="E547" s="4">
        <f t="shared" si="73"/>
        <v>11</v>
      </c>
      <c r="F547" s="4">
        <f t="shared" si="74"/>
        <v>18</v>
      </c>
      <c r="G547" s="3">
        <f>IF(E547&gt;=20,2000,1900) + D547</f>
        <v>1980</v>
      </c>
      <c r="H547">
        <f t="shared" si="75"/>
        <v>11</v>
      </c>
      <c r="I547" s="4">
        <f t="shared" si="76"/>
        <v>18</v>
      </c>
      <c r="J547">
        <f t="shared" si="77"/>
        <v>19801118</v>
      </c>
      <c r="K547" t="str">
        <f t="shared" si="78"/>
        <v>18.11.1980</v>
      </c>
      <c r="L547" s="10">
        <f t="shared" si="79"/>
        <v>15394</v>
      </c>
      <c r="M547" s="8">
        <f t="shared" si="80"/>
        <v>42</v>
      </c>
    </row>
    <row r="548" spans="1:13" x14ac:dyDescent="0.25">
      <c r="A548" s="4" t="s">
        <v>574</v>
      </c>
      <c r="B548" t="s">
        <v>17</v>
      </c>
      <c r="C548" t="s">
        <v>4</v>
      </c>
      <c r="D548" s="3">
        <f t="shared" si="72"/>
        <v>64</v>
      </c>
      <c r="E548" s="4">
        <f t="shared" si="73"/>
        <v>6</v>
      </c>
      <c r="F548" s="4">
        <f t="shared" si="74"/>
        <v>2</v>
      </c>
      <c r="G548" s="3">
        <f>IF(E548&gt;=20,2000,1900) + D548</f>
        <v>1964</v>
      </c>
      <c r="H548">
        <f t="shared" si="75"/>
        <v>6</v>
      </c>
      <c r="I548" s="4">
        <f t="shared" si="76"/>
        <v>2</v>
      </c>
      <c r="J548">
        <f t="shared" si="77"/>
        <v>19640602</v>
      </c>
      <c r="K548" t="str">
        <f t="shared" si="78"/>
        <v>02.06.1964</v>
      </c>
      <c r="L548" s="10">
        <f t="shared" si="79"/>
        <v>21407</v>
      </c>
      <c r="M548" s="8">
        <f t="shared" si="80"/>
        <v>58</v>
      </c>
    </row>
    <row r="549" spans="1:13" x14ac:dyDescent="0.25">
      <c r="A549" s="4" t="s">
        <v>575</v>
      </c>
      <c r="B549" t="s">
        <v>9</v>
      </c>
      <c r="C549" t="s">
        <v>6</v>
      </c>
      <c r="D549" s="3">
        <f t="shared" si="72"/>
        <v>66</v>
      </c>
      <c r="E549" s="4">
        <f t="shared" si="73"/>
        <v>11</v>
      </c>
      <c r="F549" s="4">
        <f t="shared" si="74"/>
        <v>24</v>
      </c>
      <c r="G549" s="3">
        <f>IF(E549&gt;=20,2000,1900) + D549</f>
        <v>1966</v>
      </c>
      <c r="H549">
        <f t="shared" si="75"/>
        <v>11</v>
      </c>
      <c r="I549" s="4">
        <f t="shared" si="76"/>
        <v>24</v>
      </c>
      <c r="J549">
        <f t="shared" si="77"/>
        <v>19661124</v>
      </c>
      <c r="K549" t="str">
        <f t="shared" si="78"/>
        <v>24.11.1966</v>
      </c>
      <c r="L549" s="10">
        <f t="shared" si="79"/>
        <v>20502</v>
      </c>
      <c r="M549" s="8">
        <f t="shared" si="80"/>
        <v>56</v>
      </c>
    </row>
    <row r="550" spans="1:13" x14ac:dyDescent="0.25">
      <c r="A550" s="4" t="s">
        <v>576</v>
      </c>
      <c r="B550" t="s">
        <v>11</v>
      </c>
      <c r="C550" t="s">
        <v>6</v>
      </c>
      <c r="D550" s="3">
        <f t="shared" si="72"/>
        <v>95</v>
      </c>
      <c r="E550" s="4">
        <f t="shared" si="73"/>
        <v>1</v>
      </c>
      <c r="F550" s="4">
        <f t="shared" si="74"/>
        <v>5</v>
      </c>
      <c r="G550" s="3">
        <f>IF(E550&gt;=20,2000,1900) + D550</f>
        <v>1995</v>
      </c>
      <c r="H550">
        <f t="shared" si="75"/>
        <v>1</v>
      </c>
      <c r="I550" s="4">
        <f t="shared" si="76"/>
        <v>5</v>
      </c>
      <c r="J550">
        <f t="shared" si="77"/>
        <v>19950105</v>
      </c>
      <c r="K550" t="str">
        <f t="shared" si="78"/>
        <v>05.01.1995</v>
      </c>
      <c r="L550" s="10">
        <f t="shared" si="79"/>
        <v>10233</v>
      </c>
      <c r="M550" s="8">
        <f t="shared" si="80"/>
        <v>28</v>
      </c>
    </row>
    <row r="551" spans="1:13" x14ac:dyDescent="0.25">
      <c r="A551" s="4" t="s">
        <v>577</v>
      </c>
      <c r="B551" t="s">
        <v>8</v>
      </c>
      <c r="C551" t="s">
        <v>6</v>
      </c>
      <c r="D551" s="3">
        <f t="shared" si="72"/>
        <v>66</v>
      </c>
      <c r="E551" s="4">
        <f t="shared" si="73"/>
        <v>9</v>
      </c>
      <c r="F551" s="4">
        <f t="shared" si="74"/>
        <v>16</v>
      </c>
      <c r="G551" s="3">
        <f>IF(E551&gt;=20,2000,1900) + D551</f>
        <v>1966</v>
      </c>
      <c r="H551">
        <f t="shared" si="75"/>
        <v>9</v>
      </c>
      <c r="I551" s="4">
        <f t="shared" si="76"/>
        <v>16</v>
      </c>
      <c r="J551">
        <f t="shared" si="77"/>
        <v>19660916</v>
      </c>
      <c r="K551" t="str">
        <f t="shared" si="78"/>
        <v>16.09.1966</v>
      </c>
      <c r="L551" s="10">
        <f t="shared" si="79"/>
        <v>20571</v>
      </c>
      <c r="M551" s="8">
        <f t="shared" si="80"/>
        <v>56</v>
      </c>
    </row>
    <row r="552" spans="1:13" x14ac:dyDescent="0.25">
      <c r="A552" s="4" t="s">
        <v>578</v>
      </c>
      <c r="B552" t="s">
        <v>12</v>
      </c>
      <c r="C552" t="s">
        <v>4</v>
      </c>
      <c r="D552" s="3">
        <f t="shared" si="72"/>
        <v>60</v>
      </c>
      <c r="E552" s="4">
        <f t="shared" si="73"/>
        <v>10</v>
      </c>
      <c r="F552" s="4">
        <f t="shared" si="74"/>
        <v>13</v>
      </c>
      <c r="G552" s="3">
        <f>IF(E552&gt;=20,2000,1900) + D552</f>
        <v>1960</v>
      </c>
      <c r="H552">
        <f t="shared" si="75"/>
        <v>10</v>
      </c>
      <c r="I552" s="4">
        <f t="shared" si="76"/>
        <v>13</v>
      </c>
      <c r="J552">
        <f t="shared" si="77"/>
        <v>19601013</v>
      </c>
      <c r="K552" t="str">
        <f t="shared" si="78"/>
        <v>13.10.1960</v>
      </c>
      <c r="L552" s="10">
        <f t="shared" si="79"/>
        <v>22735</v>
      </c>
      <c r="M552" s="8">
        <f t="shared" si="80"/>
        <v>62</v>
      </c>
    </row>
    <row r="553" spans="1:13" x14ac:dyDescent="0.25">
      <c r="A553" s="4" t="s">
        <v>579</v>
      </c>
      <c r="B553" t="s">
        <v>12</v>
      </c>
      <c r="C553" t="s">
        <v>4</v>
      </c>
      <c r="D553" s="3">
        <f t="shared" si="72"/>
        <v>73</v>
      </c>
      <c r="E553" s="4">
        <f t="shared" si="73"/>
        <v>11</v>
      </c>
      <c r="F553" s="4">
        <f t="shared" si="74"/>
        <v>22</v>
      </c>
      <c r="G553" s="3">
        <f>IF(E553&gt;=20,2000,1900) + D553</f>
        <v>1973</v>
      </c>
      <c r="H553">
        <f t="shared" si="75"/>
        <v>11</v>
      </c>
      <c r="I553" s="4">
        <f t="shared" si="76"/>
        <v>22</v>
      </c>
      <c r="J553">
        <f t="shared" si="77"/>
        <v>19731122</v>
      </c>
      <c r="K553" t="str">
        <f t="shared" si="78"/>
        <v>22.11.1973</v>
      </c>
      <c r="L553" s="10">
        <f t="shared" si="79"/>
        <v>17947</v>
      </c>
      <c r="M553" s="8">
        <f t="shared" si="80"/>
        <v>49</v>
      </c>
    </row>
    <row r="554" spans="1:13" x14ac:dyDescent="0.25">
      <c r="A554" s="4" t="s">
        <v>580</v>
      </c>
      <c r="B554" t="s">
        <v>7</v>
      </c>
      <c r="C554" t="s">
        <v>6</v>
      </c>
      <c r="D554" s="3">
        <f t="shared" si="72"/>
        <v>77</v>
      </c>
      <c r="E554" s="4">
        <f t="shared" si="73"/>
        <v>10</v>
      </c>
      <c r="F554" s="4">
        <f t="shared" si="74"/>
        <v>4</v>
      </c>
      <c r="G554" s="3">
        <f>IF(E554&gt;=20,2000,1900) + D554</f>
        <v>1977</v>
      </c>
      <c r="H554">
        <f t="shared" si="75"/>
        <v>10</v>
      </c>
      <c r="I554" s="4">
        <f t="shared" si="76"/>
        <v>4</v>
      </c>
      <c r="J554">
        <f t="shared" si="77"/>
        <v>19771004</v>
      </c>
      <c r="K554" t="str">
        <f t="shared" si="78"/>
        <v>04.10.1977</v>
      </c>
      <c r="L554" s="10">
        <f t="shared" si="79"/>
        <v>16535</v>
      </c>
      <c r="M554" s="8">
        <f t="shared" si="80"/>
        <v>45</v>
      </c>
    </row>
    <row r="555" spans="1:13" x14ac:dyDescent="0.25">
      <c r="A555" s="4" t="s">
        <v>581</v>
      </c>
      <c r="B555" t="s">
        <v>9</v>
      </c>
      <c r="C555" t="s">
        <v>6</v>
      </c>
      <c r="D555" s="3">
        <f t="shared" si="72"/>
        <v>98</v>
      </c>
      <c r="E555" s="4">
        <f t="shared" si="73"/>
        <v>9</v>
      </c>
      <c r="F555" s="4">
        <f t="shared" si="74"/>
        <v>16</v>
      </c>
      <c r="G555" s="3">
        <f>IF(E555&gt;=20,2000,1900) + D555</f>
        <v>1998</v>
      </c>
      <c r="H555">
        <f t="shared" si="75"/>
        <v>9</v>
      </c>
      <c r="I555" s="4">
        <f t="shared" si="76"/>
        <v>16</v>
      </c>
      <c r="J555">
        <f t="shared" si="77"/>
        <v>19980916</v>
      </c>
      <c r="K555" t="str">
        <f t="shared" si="78"/>
        <v>16.09.1998</v>
      </c>
      <c r="L555" s="10">
        <f t="shared" si="79"/>
        <v>8883</v>
      </c>
      <c r="M555" s="8">
        <f t="shared" si="80"/>
        <v>24</v>
      </c>
    </row>
    <row r="556" spans="1:13" x14ac:dyDescent="0.25">
      <c r="A556" s="4" t="s">
        <v>582</v>
      </c>
      <c r="B556" t="s">
        <v>16</v>
      </c>
      <c r="C556" t="s">
        <v>6</v>
      </c>
      <c r="D556" s="3">
        <f t="shared" si="72"/>
        <v>67</v>
      </c>
      <c r="E556" s="4">
        <f t="shared" si="73"/>
        <v>9</v>
      </c>
      <c r="F556" s="4">
        <f t="shared" si="74"/>
        <v>14</v>
      </c>
      <c r="G556" s="3">
        <f>IF(E556&gt;=20,2000,1900) + D556</f>
        <v>1967</v>
      </c>
      <c r="H556">
        <f t="shared" si="75"/>
        <v>9</v>
      </c>
      <c r="I556" s="4">
        <f t="shared" si="76"/>
        <v>14</v>
      </c>
      <c r="J556">
        <f t="shared" si="77"/>
        <v>19670914</v>
      </c>
      <c r="K556" t="str">
        <f t="shared" si="78"/>
        <v>14.09.1967</v>
      </c>
      <c r="L556" s="10">
        <f t="shared" si="79"/>
        <v>20208</v>
      </c>
      <c r="M556" s="8">
        <f t="shared" si="80"/>
        <v>55</v>
      </c>
    </row>
    <row r="557" spans="1:13" x14ac:dyDescent="0.25">
      <c r="A557" s="4" t="s">
        <v>583</v>
      </c>
      <c r="B557" t="s">
        <v>5</v>
      </c>
      <c r="C557" t="s">
        <v>6</v>
      </c>
      <c r="D557" s="3">
        <f t="shared" si="72"/>
        <v>75</v>
      </c>
      <c r="E557" s="4">
        <f t="shared" si="73"/>
        <v>5</v>
      </c>
      <c r="F557" s="4">
        <f t="shared" si="74"/>
        <v>24</v>
      </c>
      <c r="G557" s="3">
        <f>IF(E557&gt;=20,2000,1900) + D557</f>
        <v>1975</v>
      </c>
      <c r="H557">
        <f t="shared" si="75"/>
        <v>5</v>
      </c>
      <c r="I557" s="4">
        <f t="shared" si="76"/>
        <v>24</v>
      </c>
      <c r="J557">
        <f t="shared" si="77"/>
        <v>19750524</v>
      </c>
      <c r="K557" t="str">
        <f t="shared" si="78"/>
        <v>24.05.1975</v>
      </c>
      <c r="L557" s="10">
        <f t="shared" si="79"/>
        <v>17399</v>
      </c>
      <c r="M557" s="8">
        <f t="shared" si="80"/>
        <v>47</v>
      </c>
    </row>
    <row r="558" spans="1:13" x14ac:dyDescent="0.25">
      <c r="A558" s="4" t="s">
        <v>584</v>
      </c>
      <c r="B558" t="s">
        <v>18</v>
      </c>
      <c r="C558" t="s">
        <v>4</v>
      </c>
      <c r="D558" s="3">
        <f t="shared" si="72"/>
        <v>93</v>
      </c>
      <c r="E558" s="4">
        <f t="shared" si="73"/>
        <v>4</v>
      </c>
      <c r="F558" s="4">
        <f t="shared" si="74"/>
        <v>20</v>
      </c>
      <c r="G558" s="3">
        <f>IF(E558&gt;=20,2000,1900) + D558</f>
        <v>1993</v>
      </c>
      <c r="H558">
        <f t="shared" si="75"/>
        <v>4</v>
      </c>
      <c r="I558" s="4">
        <f t="shared" si="76"/>
        <v>20</v>
      </c>
      <c r="J558">
        <f t="shared" si="77"/>
        <v>19930420</v>
      </c>
      <c r="K558" t="str">
        <f t="shared" si="78"/>
        <v>20.04.1993</v>
      </c>
      <c r="L558" s="10">
        <f t="shared" si="79"/>
        <v>10858</v>
      </c>
      <c r="M558" s="8">
        <f t="shared" si="80"/>
        <v>29</v>
      </c>
    </row>
    <row r="559" spans="1:13" x14ac:dyDescent="0.25">
      <c r="A559" s="4" t="s">
        <v>585</v>
      </c>
      <c r="B559" t="s">
        <v>20</v>
      </c>
      <c r="C559" t="s">
        <v>6</v>
      </c>
      <c r="D559" s="3">
        <f t="shared" si="72"/>
        <v>58</v>
      </c>
      <c r="E559" s="4">
        <f t="shared" si="73"/>
        <v>1</v>
      </c>
      <c r="F559" s="4">
        <f t="shared" si="74"/>
        <v>14</v>
      </c>
      <c r="G559" s="3">
        <f>IF(E559&gt;=20,2000,1900) + D559</f>
        <v>1958</v>
      </c>
      <c r="H559">
        <f t="shared" si="75"/>
        <v>1</v>
      </c>
      <c r="I559" s="4">
        <f t="shared" si="76"/>
        <v>14</v>
      </c>
      <c r="J559">
        <f t="shared" si="77"/>
        <v>19580114</v>
      </c>
      <c r="K559" t="str">
        <f t="shared" si="78"/>
        <v>14.01.1958</v>
      </c>
      <c r="L559" s="10">
        <f t="shared" si="79"/>
        <v>23738</v>
      </c>
      <c r="M559" s="8">
        <f t="shared" si="80"/>
        <v>64</v>
      </c>
    </row>
    <row r="560" spans="1:13" x14ac:dyDescent="0.25">
      <c r="A560" s="4" t="s">
        <v>586</v>
      </c>
      <c r="B560" t="s">
        <v>17</v>
      </c>
      <c r="C560" t="s">
        <v>4</v>
      </c>
      <c r="D560" s="3">
        <f t="shared" si="72"/>
        <v>61</v>
      </c>
      <c r="E560" s="4">
        <f t="shared" si="73"/>
        <v>1</v>
      </c>
      <c r="F560" s="4">
        <f t="shared" si="74"/>
        <v>9</v>
      </c>
      <c r="G560" s="3">
        <f>IF(E560&gt;=20,2000,1900) + D560</f>
        <v>1961</v>
      </c>
      <c r="H560">
        <f t="shared" si="75"/>
        <v>1</v>
      </c>
      <c r="I560" s="4">
        <f t="shared" si="76"/>
        <v>9</v>
      </c>
      <c r="J560">
        <f t="shared" si="77"/>
        <v>19610109</v>
      </c>
      <c r="K560" t="str">
        <f t="shared" si="78"/>
        <v>09.01.1961</v>
      </c>
      <c r="L560" s="10">
        <f t="shared" si="79"/>
        <v>22647</v>
      </c>
      <c r="M560" s="8">
        <f t="shared" si="80"/>
        <v>62</v>
      </c>
    </row>
    <row r="561" spans="1:13" x14ac:dyDescent="0.25">
      <c r="A561" s="4" t="s">
        <v>587</v>
      </c>
      <c r="B561" t="s">
        <v>20</v>
      </c>
      <c r="C561" t="s">
        <v>4</v>
      </c>
      <c r="D561" s="3">
        <f t="shared" si="72"/>
        <v>59</v>
      </c>
      <c r="E561" s="4">
        <f t="shared" si="73"/>
        <v>2</v>
      </c>
      <c r="F561" s="4">
        <f t="shared" si="74"/>
        <v>1</v>
      </c>
      <c r="G561" s="3">
        <f>IF(E561&gt;=20,2000,1900) + D561</f>
        <v>1959</v>
      </c>
      <c r="H561">
        <f t="shared" si="75"/>
        <v>2</v>
      </c>
      <c r="I561" s="4">
        <f t="shared" si="76"/>
        <v>1</v>
      </c>
      <c r="J561">
        <f t="shared" si="77"/>
        <v>19590201</v>
      </c>
      <c r="K561" t="str">
        <f t="shared" si="78"/>
        <v>01.02.1959</v>
      </c>
      <c r="L561" s="10">
        <f t="shared" si="79"/>
        <v>23355</v>
      </c>
      <c r="M561" s="8">
        <f t="shared" si="80"/>
        <v>63</v>
      </c>
    </row>
    <row r="562" spans="1:13" x14ac:dyDescent="0.25">
      <c r="A562" s="4" t="s">
        <v>588</v>
      </c>
      <c r="B562" t="s">
        <v>10</v>
      </c>
      <c r="C562" t="s">
        <v>6</v>
      </c>
      <c r="D562" s="3">
        <f t="shared" si="72"/>
        <v>85</v>
      </c>
      <c r="E562" s="4">
        <f t="shared" si="73"/>
        <v>1</v>
      </c>
      <c r="F562" s="4">
        <f t="shared" si="74"/>
        <v>20</v>
      </c>
      <c r="G562" s="3">
        <f>IF(E562&gt;=20,2000,1900) + D562</f>
        <v>1985</v>
      </c>
      <c r="H562">
        <f t="shared" si="75"/>
        <v>1</v>
      </c>
      <c r="I562" s="4">
        <f t="shared" si="76"/>
        <v>20</v>
      </c>
      <c r="J562">
        <f t="shared" si="77"/>
        <v>19850120</v>
      </c>
      <c r="K562" t="str">
        <f t="shared" si="78"/>
        <v>20.01.1985</v>
      </c>
      <c r="L562" s="10">
        <f t="shared" si="79"/>
        <v>13870</v>
      </c>
      <c r="M562" s="8">
        <f t="shared" si="80"/>
        <v>37</v>
      </c>
    </row>
    <row r="563" spans="1:13" x14ac:dyDescent="0.25">
      <c r="A563" s="4" t="s">
        <v>589</v>
      </c>
      <c r="B563" t="s">
        <v>14</v>
      </c>
      <c r="C563" t="s">
        <v>6</v>
      </c>
      <c r="D563" s="3">
        <f t="shared" si="72"/>
        <v>89</v>
      </c>
      <c r="E563" s="4">
        <f t="shared" si="73"/>
        <v>2</v>
      </c>
      <c r="F563" s="4">
        <f t="shared" si="74"/>
        <v>13</v>
      </c>
      <c r="G563" s="3">
        <f>IF(E563&gt;=20,2000,1900) + D563</f>
        <v>1989</v>
      </c>
      <c r="H563">
        <f t="shared" si="75"/>
        <v>2</v>
      </c>
      <c r="I563" s="4">
        <f t="shared" si="76"/>
        <v>13</v>
      </c>
      <c r="J563">
        <f t="shared" si="77"/>
        <v>19890213</v>
      </c>
      <c r="K563" t="str">
        <f t="shared" si="78"/>
        <v>13.02.1989</v>
      </c>
      <c r="L563" s="10">
        <f t="shared" si="79"/>
        <v>12385</v>
      </c>
      <c r="M563" s="8">
        <f t="shared" si="80"/>
        <v>33</v>
      </c>
    </row>
    <row r="564" spans="1:13" x14ac:dyDescent="0.25">
      <c r="A564" s="4" t="s">
        <v>590</v>
      </c>
      <c r="B564" t="s">
        <v>15</v>
      </c>
      <c r="C564" t="s">
        <v>4</v>
      </c>
      <c r="D564" s="3">
        <f t="shared" si="72"/>
        <v>65</v>
      </c>
      <c r="E564" s="4">
        <f t="shared" si="73"/>
        <v>9</v>
      </c>
      <c r="F564" s="4">
        <f t="shared" si="74"/>
        <v>24</v>
      </c>
      <c r="G564" s="3">
        <f>IF(E564&gt;=20,2000,1900) + D564</f>
        <v>1965</v>
      </c>
      <c r="H564">
        <f t="shared" si="75"/>
        <v>9</v>
      </c>
      <c r="I564" s="4">
        <f t="shared" si="76"/>
        <v>24</v>
      </c>
      <c r="J564">
        <f t="shared" si="77"/>
        <v>19650924</v>
      </c>
      <c r="K564" t="str">
        <f t="shared" si="78"/>
        <v>24.09.1965</v>
      </c>
      <c r="L564" s="10">
        <f t="shared" si="79"/>
        <v>20928</v>
      </c>
      <c r="M564" s="8">
        <f t="shared" si="80"/>
        <v>57</v>
      </c>
    </row>
    <row r="565" spans="1:13" x14ac:dyDescent="0.25">
      <c r="A565" s="4" t="s">
        <v>591</v>
      </c>
      <c r="B565" t="s">
        <v>12</v>
      </c>
      <c r="C565" t="s">
        <v>6</v>
      </c>
      <c r="D565" s="3">
        <f t="shared" si="72"/>
        <v>69</v>
      </c>
      <c r="E565" s="4">
        <f t="shared" si="73"/>
        <v>7</v>
      </c>
      <c r="F565" s="4">
        <f t="shared" si="74"/>
        <v>23</v>
      </c>
      <c r="G565" s="3">
        <f>IF(E565&gt;=20,2000,1900) + D565</f>
        <v>1969</v>
      </c>
      <c r="H565">
        <f t="shared" si="75"/>
        <v>7</v>
      </c>
      <c r="I565" s="4">
        <f t="shared" si="76"/>
        <v>23</v>
      </c>
      <c r="J565">
        <f t="shared" si="77"/>
        <v>19690723</v>
      </c>
      <c r="K565" t="str">
        <f t="shared" si="78"/>
        <v>23.07.1969</v>
      </c>
      <c r="L565" s="10">
        <f t="shared" si="79"/>
        <v>19530</v>
      </c>
      <c r="M565" s="8">
        <f t="shared" si="80"/>
        <v>53</v>
      </c>
    </row>
    <row r="566" spans="1:13" x14ac:dyDescent="0.25">
      <c r="A566" s="4" t="s">
        <v>592</v>
      </c>
      <c r="B566" t="s">
        <v>9</v>
      </c>
      <c r="C566" t="s">
        <v>4</v>
      </c>
      <c r="D566" s="3">
        <f t="shared" si="72"/>
        <v>80</v>
      </c>
      <c r="E566" s="4">
        <f t="shared" si="73"/>
        <v>10</v>
      </c>
      <c r="F566" s="4">
        <f t="shared" si="74"/>
        <v>14</v>
      </c>
      <c r="G566" s="3">
        <f>IF(E566&gt;=20,2000,1900) + D566</f>
        <v>1980</v>
      </c>
      <c r="H566">
        <f t="shared" si="75"/>
        <v>10</v>
      </c>
      <c r="I566" s="4">
        <f t="shared" si="76"/>
        <v>14</v>
      </c>
      <c r="J566">
        <f t="shared" si="77"/>
        <v>19801014</v>
      </c>
      <c r="K566" t="str">
        <f t="shared" si="78"/>
        <v>14.10.1980</v>
      </c>
      <c r="L566" s="10">
        <f t="shared" si="79"/>
        <v>15429</v>
      </c>
      <c r="M566" s="8">
        <f t="shared" si="80"/>
        <v>42</v>
      </c>
    </row>
    <row r="567" spans="1:13" x14ac:dyDescent="0.25">
      <c r="A567" s="4" t="s">
        <v>593</v>
      </c>
      <c r="B567" t="s">
        <v>18</v>
      </c>
      <c r="C567" t="s">
        <v>6</v>
      </c>
      <c r="D567" s="3">
        <f t="shared" si="72"/>
        <v>74</v>
      </c>
      <c r="E567" s="4">
        <f t="shared" si="73"/>
        <v>4</v>
      </c>
      <c r="F567" s="4">
        <f t="shared" si="74"/>
        <v>11</v>
      </c>
      <c r="G567" s="3">
        <f>IF(E567&gt;=20,2000,1900) + D567</f>
        <v>1974</v>
      </c>
      <c r="H567">
        <f t="shared" si="75"/>
        <v>4</v>
      </c>
      <c r="I567" s="4">
        <f t="shared" si="76"/>
        <v>11</v>
      </c>
      <c r="J567">
        <f t="shared" si="77"/>
        <v>19740411</v>
      </c>
      <c r="K567" t="str">
        <f t="shared" si="78"/>
        <v>11.04.1974</v>
      </c>
      <c r="L567" s="10">
        <f t="shared" si="79"/>
        <v>17807</v>
      </c>
      <c r="M567" s="8">
        <f t="shared" si="80"/>
        <v>48</v>
      </c>
    </row>
    <row r="568" spans="1:13" x14ac:dyDescent="0.25">
      <c r="A568" s="4" t="s">
        <v>594</v>
      </c>
      <c r="B568" t="s">
        <v>11</v>
      </c>
      <c r="C568" t="s">
        <v>6</v>
      </c>
      <c r="D568" s="3">
        <f t="shared" si="72"/>
        <v>95</v>
      </c>
      <c r="E568" s="4">
        <f t="shared" si="73"/>
        <v>3</v>
      </c>
      <c r="F568" s="4">
        <f t="shared" si="74"/>
        <v>3</v>
      </c>
      <c r="G568" s="3">
        <f>IF(E568&gt;=20,2000,1900) + D568</f>
        <v>1995</v>
      </c>
      <c r="H568">
        <f t="shared" si="75"/>
        <v>3</v>
      </c>
      <c r="I568" s="4">
        <f t="shared" si="76"/>
        <v>3</v>
      </c>
      <c r="J568">
        <f t="shared" si="77"/>
        <v>19950303</v>
      </c>
      <c r="K568" t="str">
        <f t="shared" si="78"/>
        <v>03.03.1995</v>
      </c>
      <c r="L568" s="10">
        <f t="shared" si="79"/>
        <v>10176</v>
      </c>
      <c r="M568" s="8">
        <f t="shared" si="80"/>
        <v>27</v>
      </c>
    </row>
    <row r="569" spans="1:13" x14ac:dyDescent="0.25">
      <c r="A569" s="4" t="s">
        <v>595</v>
      </c>
      <c r="B569" t="s">
        <v>9</v>
      </c>
      <c r="C569" t="s">
        <v>6</v>
      </c>
      <c r="D569" s="3">
        <f t="shared" si="72"/>
        <v>84</v>
      </c>
      <c r="E569" s="4">
        <f t="shared" si="73"/>
        <v>8</v>
      </c>
      <c r="F569" s="4">
        <f t="shared" si="74"/>
        <v>31</v>
      </c>
      <c r="G569" s="3">
        <f>IF(E569&gt;=20,2000,1900) + D569</f>
        <v>1984</v>
      </c>
      <c r="H569">
        <f t="shared" si="75"/>
        <v>8</v>
      </c>
      <c r="I569" s="4">
        <f t="shared" si="76"/>
        <v>31</v>
      </c>
      <c r="J569">
        <f t="shared" si="77"/>
        <v>19840831</v>
      </c>
      <c r="K569" t="str">
        <f t="shared" si="78"/>
        <v>31.08.1984</v>
      </c>
      <c r="L569" s="10">
        <f t="shared" si="79"/>
        <v>14012</v>
      </c>
      <c r="M569" s="8">
        <f t="shared" si="80"/>
        <v>38</v>
      </c>
    </row>
    <row r="570" spans="1:13" x14ac:dyDescent="0.25">
      <c r="A570" s="4" t="s">
        <v>596</v>
      </c>
      <c r="B570" t="s">
        <v>20</v>
      </c>
      <c r="C570" t="s">
        <v>6</v>
      </c>
      <c r="D570" s="3">
        <f t="shared" si="72"/>
        <v>81</v>
      </c>
      <c r="E570" s="4">
        <f t="shared" si="73"/>
        <v>8</v>
      </c>
      <c r="F570" s="4">
        <f t="shared" si="74"/>
        <v>27</v>
      </c>
      <c r="G570" s="3">
        <f>IF(E570&gt;=20,2000,1900) + D570</f>
        <v>1981</v>
      </c>
      <c r="H570">
        <f t="shared" si="75"/>
        <v>8</v>
      </c>
      <c r="I570" s="4">
        <f t="shared" si="76"/>
        <v>27</v>
      </c>
      <c r="J570">
        <f t="shared" si="77"/>
        <v>19810827</v>
      </c>
      <c r="K570" t="str">
        <f t="shared" si="78"/>
        <v>27.08.1981</v>
      </c>
      <c r="L570" s="10">
        <f t="shared" si="79"/>
        <v>15112</v>
      </c>
      <c r="M570" s="8">
        <f t="shared" si="80"/>
        <v>41</v>
      </c>
    </row>
    <row r="571" spans="1:13" x14ac:dyDescent="0.25">
      <c r="A571" s="4" t="s">
        <v>597</v>
      </c>
      <c r="B571" t="s">
        <v>16</v>
      </c>
      <c r="C571" t="s">
        <v>6</v>
      </c>
      <c r="D571" s="3">
        <f t="shared" si="72"/>
        <v>64</v>
      </c>
      <c r="E571" s="4">
        <f t="shared" si="73"/>
        <v>6</v>
      </c>
      <c r="F571" s="4">
        <f t="shared" si="74"/>
        <v>14</v>
      </c>
      <c r="G571" s="3">
        <f>IF(E571&gt;=20,2000,1900) + D571</f>
        <v>1964</v>
      </c>
      <c r="H571">
        <f t="shared" si="75"/>
        <v>6</v>
      </c>
      <c r="I571" s="4">
        <f t="shared" si="76"/>
        <v>14</v>
      </c>
      <c r="J571">
        <f t="shared" si="77"/>
        <v>19640614</v>
      </c>
      <c r="K571" t="str">
        <f t="shared" si="78"/>
        <v>14.06.1964</v>
      </c>
      <c r="L571" s="10">
        <f t="shared" si="79"/>
        <v>21395</v>
      </c>
      <c r="M571" s="8">
        <f t="shared" si="80"/>
        <v>58</v>
      </c>
    </row>
    <row r="572" spans="1:13" x14ac:dyDescent="0.25">
      <c r="A572" s="4" t="s">
        <v>598</v>
      </c>
      <c r="B572" t="s">
        <v>11</v>
      </c>
      <c r="C572" t="s">
        <v>6</v>
      </c>
      <c r="D572" s="3">
        <f t="shared" si="72"/>
        <v>96</v>
      </c>
      <c r="E572" s="4">
        <f t="shared" si="73"/>
        <v>9</v>
      </c>
      <c r="F572" s="4">
        <f t="shared" si="74"/>
        <v>13</v>
      </c>
      <c r="G572" s="3">
        <f>IF(E572&gt;=20,2000,1900) + D572</f>
        <v>1996</v>
      </c>
      <c r="H572">
        <f t="shared" si="75"/>
        <v>9</v>
      </c>
      <c r="I572" s="4">
        <f t="shared" si="76"/>
        <v>13</v>
      </c>
      <c r="J572">
        <f t="shared" si="77"/>
        <v>19960913</v>
      </c>
      <c r="K572" t="str">
        <f t="shared" si="78"/>
        <v>13.09.1996</v>
      </c>
      <c r="L572" s="10">
        <f t="shared" si="79"/>
        <v>9616</v>
      </c>
      <c r="M572" s="8">
        <f t="shared" si="80"/>
        <v>26</v>
      </c>
    </row>
    <row r="573" spans="1:13" x14ac:dyDescent="0.25">
      <c r="A573" s="4" t="s">
        <v>599</v>
      </c>
      <c r="B573" t="s">
        <v>13</v>
      </c>
      <c r="C573" t="s">
        <v>6</v>
      </c>
      <c r="D573" s="3">
        <f t="shared" si="72"/>
        <v>84</v>
      </c>
      <c r="E573" s="4">
        <f t="shared" si="73"/>
        <v>4</v>
      </c>
      <c r="F573" s="4">
        <f t="shared" si="74"/>
        <v>16</v>
      </c>
      <c r="G573" s="3">
        <f>IF(E573&gt;=20,2000,1900) + D573</f>
        <v>1984</v>
      </c>
      <c r="H573">
        <f t="shared" si="75"/>
        <v>4</v>
      </c>
      <c r="I573" s="4">
        <f t="shared" si="76"/>
        <v>16</v>
      </c>
      <c r="J573">
        <f t="shared" si="77"/>
        <v>19840416</v>
      </c>
      <c r="K573" t="str">
        <f t="shared" si="78"/>
        <v>16.04.1984</v>
      </c>
      <c r="L573" s="10">
        <f t="shared" si="79"/>
        <v>14149</v>
      </c>
      <c r="M573" s="8">
        <f t="shared" si="80"/>
        <v>38</v>
      </c>
    </row>
    <row r="574" spans="1:13" x14ac:dyDescent="0.25">
      <c r="A574" s="4" t="s">
        <v>600</v>
      </c>
      <c r="B574" t="s">
        <v>15</v>
      </c>
      <c r="C574" t="s">
        <v>6</v>
      </c>
      <c r="D574" s="3">
        <f t="shared" si="72"/>
        <v>94</v>
      </c>
      <c r="E574" s="4">
        <f t="shared" si="73"/>
        <v>11</v>
      </c>
      <c r="F574" s="4">
        <f t="shared" si="74"/>
        <v>30</v>
      </c>
      <c r="G574" s="3">
        <f>IF(E574&gt;=20,2000,1900) + D574</f>
        <v>1994</v>
      </c>
      <c r="H574">
        <f t="shared" si="75"/>
        <v>11</v>
      </c>
      <c r="I574" s="4">
        <f t="shared" si="76"/>
        <v>30</v>
      </c>
      <c r="J574">
        <f t="shared" si="77"/>
        <v>19941130</v>
      </c>
      <c r="K574" t="str">
        <f t="shared" si="78"/>
        <v>30.11.1994</v>
      </c>
      <c r="L574" s="10">
        <f t="shared" si="79"/>
        <v>10269</v>
      </c>
      <c r="M574" s="8">
        <f t="shared" si="80"/>
        <v>28</v>
      </c>
    </row>
    <row r="575" spans="1:13" x14ac:dyDescent="0.25">
      <c r="A575" s="4" t="s">
        <v>601</v>
      </c>
      <c r="B575" t="s">
        <v>15</v>
      </c>
      <c r="C575" t="s">
        <v>4</v>
      </c>
      <c r="D575" s="3">
        <f t="shared" si="72"/>
        <v>53</v>
      </c>
      <c r="E575" s="4">
        <f t="shared" si="73"/>
        <v>10</v>
      </c>
      <c r="F575" s="4">
        <f t="shared" si="74"/>
        <v>1</v>
      </c>
      <c r="G575" s="3">
        <f>IF(E575&gt;=20,2000,1900) + D575</f>
        <v>1953</v>
      </c>
      <c r="H575">
        <f t="shared" si="75"/>
        <v>10</v>
      </c>
      <c r="I575" s="4">
        <f t="shared" si="76"/>
        <v>1</v>
      </c>
      <c r="J575">
        <f t="shared" si="77"/>
        <v>19531001</v>
      </c>
      <c r="K575" t="str">
        <f t="shared" si="78"/>
        <v>01.10.1953</v>
      </c>
      <c r="L575" s="10">
        <f t="shared" si="79"/>
        <v>25304</v>
      </c>
      <c r="M575" s="8">
        <f t="shared" si="80"/>
        <v>69</v>
      </c>
    </row>
    <row r="576" spans="1:13" x14ac:dyDescent="0.25">
      <c r="A576" s="4" t="s">
        <v>602</v>
      </c>
      <c r="B576" t="s">
        <v>15</v>
      </c>
      <c r="C576" t="s">
        <v>4</v>
      </c>
      <c r="D576" s="3">
        <f t="shared" si="72"/>
        <v>81</v>
      </c>
      <c r="E576" s="4">
        <f t="shared" si="73"/>
        <v>10</v>
      </c>
      <c r="F576" s="4">
        <f t="shared" si="74"/>
        <v>29</v>
      </c>
      <c r="G576" s="3">
        <f>IF(E576&gt;=20,2000,1900) + D576</f>
        <v>1981</v>
      </c>
      <c r="H576">
        <f t="shared" si="75"/>
        <v>10</v>
      </c>
      <c r="I576" s="4">
        <f t="shared" si="76"/>
        <v>29</v>
      </c>
      <c r="J576">
        <f t="shared" si="77"/>
        <v>19811029</v>
      </c>
      <c r="K576" t="str">
        <f t="shared" si="78"/>
        <v>29.10.1981</v>
      </c>
      <c r="L576" s="10">
        <f t="shared" si="79"/>
        <v>15049</v>
      </c>
      <c r="M576" s="8">
        <f t="shared" si="80"/>
        <v>41</v>
      </c>
    </row>
    <row r="577" spans="1:13" x14ac:dyDescent="0.25">
      <c r="A577" s="4" t="s">
        <v>603</v>
      </c>
      <c r="B577" t="s">
        <v>18</v>
      </c>
      <c r="C577" t="s">
        <v>6</v>
      </c>
      <c r="D577" s="3">
        <f t="shared" si="72"/>
        <v>91</v>
      </c>
      <c r="E577" s="4">
        <f t="shared" si="73"/>
        <v>2</v>
      </c>
      <c r="F577" s="4">
        <f t="shared" si="74"/>
        <v>3</v>
      </c>
      <c r="G577" s="3">
        <f>IF(E577&gt;=20,2000,1900) + D577</f>
        <v>1991</v>
      </c>
      <c r="H577">
        <f t="shared" si="75"/>
        <v>2</v>
      </c>
      <c r="I577" s="4">
        <f t="shared" si="76"/>
        <v>3</v>
      </c>
      <c r="J577">
        <f t="shared" si="77"/>
        <v>19910203</v>
      </c>
      <c r="K577" t="str">
        <f t="shared" si="78"/>
        <v>03.02.1991</v>
      </c>
      <c r="L577" s="10">
        <f t="shared" si="79"/>
        <v>11665</v>
      </c>
      <c r="M577" s="8">
        <f t="shared" si="80"/>
        <v>31</v>
      </c>
    </row>
    <row r="578" spans="1:13" x14ac:dyDescent="0.25">
      <c r="A578" s="4" t="s">
        <v>604</v>
      </c>
      <c r="B578" t="s">
        <v>16</v>
      </c>
      <c r="C578" t="s">
        <v>4</v>
      </c>
      <c r="D578" s="3">
        <f t="shared" si="72"/>
        <v>86</v>
      </c>
      <c r="E578" s="4">
        <f t="shared" si="73"/>
        <v>1</v>
      </c>
      <c r="F578" s="4">
        <f t="shared" si="74"/>
        <v>29</v>
      </c>
      <c r="G578" s="3">
        <f>IF(E578&gt;=20,2000,1900) + D578</f>
        <v>1986</v>
      </c>
      <c r="H578">
        <f t="shared" si="75"/>
        <v>1</v>
      </c>
      <c r="I578" s="4">
        <f t="shared" si="76"/>
        <v>29</v>
      </c>
      <c r="J578">
        <f t="shared" si="77"/>
        <v>19860129</v>
      </c>
      <c r="K578" t="str">
        <f t="shared" si="78"/>
        <v>29.01.1986</v>
      </c>
      <c r="L578" s="10">
        <f t="shared" si="79"/>
        <v>13496</v>
      </c>
      <c r="M578" s="8">
        <f t="shared" si="80"/>
        <v>36</v>
      </c>
    </row>
    <row r="579" spans="1:13" x14ac:dyDescent="0.25">
      <c r="A579" s="4" t="s">
        <v>605</v>
      </c>
      <c r="B579" t="s">
        <v>10</v>
      </c>
      <c r="C579" t="s">
        <v>6</v>
      </c>
      <c r="D579" s="3">
        <f t="shared" ref="D579:D642" si="81">MID(A579,1,2)*1</f>
        <v>95</v>
      </c>
      <c r="E579" s="4">
        <f t="shared" ref="E579:E642" si="82">MID(A579,3,2)*1</f>
        <v>1</v>
      </c>
      <c r="F579" s="4">
        <f t="shared" ref="F579:F642" si="83">MID(A579,5,2)*1</f>
        <v>12</v>
      </c>
      <c r="G579" s="3">
        <f>IF(E579&gt;=20,2000,1900) + D579</f>
        <v>1995</v>
      </c>
      <c r="H579">
        <f t="shared" ref="H579:H642" si="84">IF(E579&gt;=20,E579-20,E579)</f>
        <v>1</v>
      </c>
      <c r="I579" s="4">
        <f t="shared" ref="I579:I642" si="85">F579</f>
        <v>12</v>
      </c>
      <c r="J579">
        <f t="shared" ref="J579:J642" si="86">CONCATENATE(G579,IF(LEN(H579)=1,CONCATENATE("0",H579),H579),IF(LEN(F579)=1,CONCATENATE("0",F579),F579))*1</f>
        <v>19950112</v>
      </c>
      <c r="K579" t="str">
        <f t="shared" ref="K579:K642" si="87">CONCATENATE(RIGHT(J579,2),".",MID(J579,5,2),".",LEFT(J579,4))</f>
        <v>12.01.1995</v>
      </c>
      <c r="L579" s="10">
        <f t="shared" ref="L579:L642" si="88">44937-K579</f>
        <v>10226</v>
      </c>
      <c r="M579" s="8">
        <f t="shared" ref="M579:M642" si="89">YEAR(L579)-1900</f>
        <v>27</v>
      </c>
    </row>
    <row r="580" spans="1:13" x14ac:dyDescent="0.25">
      <c r="A580" s="4" t="s">
        <v>606</v>
      </c>
      <c r="B580" t="s">
        <v>19</v>
      </c>
      <c r="C580" t="s">
        <v>4</v>
      </c>
      <c r="D580" s="3">
        <f t="shared" si="81"/>
        <v>63</v>
      </c>
      <c r="E580" s="4">
        <f t="shared" si="82"/>
        <v>6</v>
      </c>
      <c r="F580" s="4">
        <f t="shared" si="83"/>
        <v>5</v>
      </c>
      <c r="G580" s="3">
        <f>IF(E580&gt;=20,2000,1900) + D580</f>
        <v>1963</v>
      </c>
      <c r="H580">
        <f t="shared" si="84"/>
        <v>6</v>
      </c>
      <c r="I580" s="4">
        <f t="shared" si="85"/>
        <v>5</v>
      </c>
      <c r="J580">
        <f t="shared" si="86"/>
        <v>19630605</v>
      </c>
      <c r="K580" t="str">
        <f t="shared" si="87"/>
        <v>05.06.1963</v>
      </c>
      <c r="L580" s="10">
        <f t="shared" si="88"/>
        <v>21770</v>
      </c>
      <c r="M580" s="8">
        <f t="shared" si="89"/>
        <v>59</v>
      </c>
    </row>
    <row r="581" spans="1:13" x14ac:dyDescent="0.25">
      <c r="A581" s="4" t="s">
        <v>607</v>
      </c>
      <c r="B581" t="s">
        <v>13</v>
      </c>
      <c r="C581" t="s">
        <v>4</v>
      </c>
      <c r="D581" s="3">
        <f t="shared" si="81"/>
        <v>73</v>
      </c>
      <c r="E581" s="4">
        <f t="shared" si="82"/>
        <v>5</v>
      </c>
      <c r="F581" s="4">
        <f t="shared" si="83"/>
        <v>22</v>
      </c>
      <c r="G581" s="3">
        <f>IF(E581&gt;=20,2000,1900) + D581</f>
        <v>1973</v>
      </c>
      <c r="H581">
        <f t="shared" si="84"/>
        <v>5</v>
      </c>
      <c r="I581" s="4">
        <f t="shared" si="85"/>
        <v>22</v>
      </c>
      <c r="J581">
        <f t="shared" si="86"/>
        <v>19730522</v>
      </c>
      <c r="K581" t="str">
        <f t="shared" si="87"/>
        <v>22.05.1973</v>
      </c>
      <c r="L581" s="10">
        <f t="shared" si="88"/>
        <v>18131</v>
      </c>
      <c r="M581" s="8">
        <f t="shared" si="89"/>
        <v>49</v>
      </c>
    </row>
    <row r="582" spans="1:13" x14ac:dyDescent="0.25">
      <c r="A582" s="4" t="s">
        <v>608</v>
      </c>
      <c r="B582" t="s">
        <v>8</v>
      </c>
      <c r="C582" t="s">
        <v>4</v>
      </c>
      <c r="D582" s="3">
        <f t="shared" si="81"/>
        <v>57</v>
      </c>
      <c r="E582" s="4">
        <f t="shared" si="82"/>
        <v>2</v>
      </c>
      <c r="F582" s="4">
        <f t="shared" si="83"/>
        <v>24</v>
      </c>
      <c r="G582" s="3">
        <f>IF(E582&gt;=20,2000,1900) + D582</f>
        <v>1957</v>
      </c>
      <c r="H582">
        <f t="shared" si="84"/>
        <v>2</v>
      </c>
      <c r="I582" s="4">
        <f t="shared" si="85"/>
        <v>24</v>
      </c>
      <c r="J582">
        <f t="shared" si="86"/>
        <v>19570224</v>
      </c>
      <c r="K582" t="str">
        <f t="shared" si="87"/>
        <v>24.02.1957</v>
      </c>
      <c r="L582" s="10">
        <f t="shared" si="88"/>
        <v>24062</v>
      </c>
      <c r="M582" s="8">
        <f t="shared" si="89"/>
        <v>65</v>
      </c>
    </row>
    <row r="583" spans="1:13" x14ac:dyDescent="0.25">
      <c r="A583" s="4" t="s">
        <v>609</v>
      </c>
      <c r="B583" t="s">
        <v>18</v>
      </c>
      <c r="C583" t="s">
        <v>6</v>
      </c>
      <c r="D583" s="3">
        <f t="shared" si="81"/>
        <v>50</v>
      </c>
      <c r="E583" s="4">
        <f t="shared" si="82"/>
        <v>9</v>
      </c>
      <c r="F583" s="4">
        <f t="shared" si="83"/>
        <v>17</v>
      </c>
      <c r="G583" s="3">
        <f>IF(E583&gt;=20,2000,1900) + D583</f>
        <v>1950</v>
      </c>
      <c r="H583">
        <f t="shared" si="84"/>
        <v>9</v>
      </c>
      <c r="I583" s="4">
        <f t="shared" si="85"/>
        <v>17</v>
      </c>
      <c r="J583">
        <f t="shared" si="86"/>
        <v>19500917</v>
      </c>
      <c r="K583" t="str">
        <f t="shared" si="87"/>
        <v>17.09.1950</v>
      </c>
      <c r="L583" s="10">
        <f t="shared" si="88"/>
        <v>26414</v>
      </c>
      <c r="M583" s="8">
        <f t="shared" si="89"/>
        <v>72</v>
      </c>
    </row>
    <row r="584" spans="1:13" x14ac:dyDescent="0.25">
      <c r="A584" s="4" t="s">
        <v>610</v>
      </c>
      <c r="B584" t="s">
        <v>18</v>
      </c>
      <c r="C584" t="s">
        <v>4</v>
      </c>
      <c r="D584" s="3">
        <f t="shared" si="81"/>
        <v>68</v>
      </c>
      <c r="E584" s="4">
        <f t="shared" si="82"/>
        <v>5</v>
      </c>
      <c r="F584" s="4">
        <f t="shared" si="83"/>
        <v>20</v>
      </c>
      <c r="G584" s="3">
        <f>IF(E584&gt;=20,2000,1900) + D584</f>
        <v>1968</v>
      </c>
      <c r="H584">
        <f t="shared" si="84"/>
        <v>5</v>
      </c>
      <c r="I584" s="4">
        <f t="shared" si="85"/>
        <v>20</v>
      </c>
      <c r="J584">
        <f t="shared" si="86"/>
        <v>19680520</v>
      </c>
      <c r="K584" t="str">
        <f t="shared" si="87"/>
        <v>20.05.1968</v>
      </c>
      <c r="L584" s="10">
        <f t="shared" si="88"/>
        <v>19959</v>
      </c>
      <c r="M584" s="8">
        <f t="shared" si="89"/>
        <v>54</v>
      </c>
    </row>
    <row r="585" spans="1:13" x14ac:dyDescent="0.25">
      <c r="A585" s="4" t="s">
        <v>611</v>
      </c>
      <c r="B585" t="s">
        <v>15</v>
      </c>
      <c r="C585" t="s">
        <v>4</v>
      </c>
      <c r="D585" s="3">
        <f t="shared" si="81"/>
        <v>84</v>
      </c>
      <c r="E585" s="4">
        <f t="shared" si="82"/>
        <v>6</v>
      </c>
      <c r="F585" s="4">
        <f t="shared" si="83"/>
        <v>10</v>
      </c>
      <c r="G585" s="3">
        <f>IF(E585&gt;=20,2000,1900) + D585</f>
        <v>1984</v>
      </c>
      <c r="H585">
        <f t="shared" si="84"/>
        <v>6</v>
      </c>
      <c r="I585" s="4">
        <f t="shared" si="85"/>
        <v>10</v>
      </c>
      <c r="J585">
        <f t="shared" si="86"/>
        <v>19840610</v>
      </c>
      <c r="K585" t="str">
        <f t="shared" si="87"/>
        <v>10.06.1984</v>
      </c>
      <c r="L585" s="10">
        <f t="shared" si="88"/>
        <v>14094</v>
      </c>
      <c r="M585" s="8">
        <f t="shared" si="89"/>
        <v>38</v>
      </c>
    </row>
    <row r="586" spans="1:13" x14ac:dyDescent="0.25">
      <c r="A586" s="4" t="s">
        <v>612</v>
      </c>
      <c r="B586" t="s">
        <v>17</v>
      </c>
      <c r="C586" t="s">
        <v>6</v>
      </c>
      <c r="D586" s="3">
        <f t="shared" si="81"/>
        <v>77</v>
      </c>
      <c r="E586" s="4">
        <f t="shared" si="82"/>
        <v>4</v>
      </c>
      <c r="F586" s="4">
        <f t="shared" si="83"/>
        <v>1</v>
      </c>
      <c r="G586" s="3">
        <f>IF(E586&gt;=20,2000,1900) + D586</f>
        <v>1977</v>
      </c>
      <c r="H586">
        <f t="shared" si="84"/>
        <v>4</v>
      </c>
      <c r="I586" s="4">
        <f t="shared" si="85"/>
        <v>1</v>
      </c>
      <c r="J586">
        <f t="shared" si="86"/>
        <v>19770401</v>
      </c>
      <c r="K586" t="str">
        <f t="shared" si="87"/>
        <v>01.04.1977</v>
      </c>
      <c r="L586" s="10">
        <f t="shared" si="88"/>
        <v>16721</v>
      </c>
      <c r="M586" s="8">
        <f t="shared" si="89"/>
        <v>45</v>
      </c>
    </row>
    <row r="587" spans="1:13" x14ac:dyDescent="0.25">
      <c r="A587" s="4" t="s">
        <v>613</v>
      </c>
      <c r="B587" t="s">
        <v>10</v>
      </c>
      <c r="C587" t="s">
        <v>6</v>
      </c>
      <c r="D587" s="3">
        <f t="shared" si="81"/>
        <v>84</v>
      </c>
      <c r="E587" s="4">
        <f t="shared" si="82"/>
        <v>9</v>
      </c>
      <c r="F587" s="4">
        <f t="shared" si="83"/>
        <v>12</v>
      </c>
      <c r="G587" s="3">
        <f>IF(E587&gt;=20,2000,1900) + D587</f>
        <v>1984</v>
      </c>
      <c r="H587">
        <f t="shared" si="84"/>
        <v>9</v>
      </c>
      <c r="I587" s="4">
        <f t="shared" si="85"/>
        <v>12</v>
      </c>
      <c r="J587">
        <f t="shared" si="86"/>
        <v>19840912</v>
      </c>
      <c r="K587" t="str">
        <f t="shared" si="87"/>
        <v>12.09.1984</v>
      </c>
      <c r="L587" s="10">
        <f t="shared" si="88"/>
        <v>14000</v>
      </c>
      <c r="M587" s="8">
        <f t="shared" si="89"/>
        <v>38</v>
      </c>
    </row>
    <row r="588" spans="1:13" x14ac:dyDescent="0.25">
      <c r="A588" s="4" t="s">
        <v>614</v>
      </c>
      <c r="B588" t="s">
        <v>19</v>
      </c>
      <c r="C588" t="s">
        <v>6</v>
      </c>
      <c r="D588" s="3">
        <f t="shared" si="81"/>
        <v>55</v>
      </c>
      <c r="E588" s="4">
        <f t="shared" si="82"/>
        <v>2</v>
      </c>
      <c r="F588" s="4">
        <f t="shared" si="83"/>
        <v>26</v>
      </c>
      <c r="G588" s="3">
        <f>IF(E588&gt;=20,2000,1900) + D588</f>
        <v>1955</v>
      </c>
      <c r="H588">
        <f t="shared" si="84"/>
        <v>2</v>
      </c>
      <c r="I588" s="4">
        <f t="shared" si="85"/>
        <v>26</v>
      </c>
      <c r="J588">
        <f t="shared" si="86"/>
        <v>19550226</v>
      </c>
      <c r="K588" t="str">
        <f t="shared" si="87"/>
        <v>26.02.1955</v>
      </c>
      <c r="L588" s="10">
        <f t="shared" si="88"/>
        <v>24791</v>
      </c>
      <c r="M588" s="8">
        <f t="shared" si="89"/>
        <v>67</v>
      </c>
    </row>
    <row r="589" spans="1:13" x14ac:dyDescent="0.25">
      <c r="A589" s="4" t="s">
        <v>615</v>
      </c>
      <c r="B589" t="s">
        <v>17</v>
      </c>
      <c r="C589" t="s">
        <v>6</v>
      </c>
      <c r="D589" s="3">
        <f t="shared" si="81"/>
        <v>69</v>
      </c>
      <c r="E589" s="4">
        <f t="shared" si="82"/>
        <v>8</v>
      </c>
      <c r="F589" s="4">
        <f t="shared" si="83"/>
        <v>22</v>
      </c>
      <c r="G589" s="3">
        <f>IF(E589&gt;=20,2000,1900) + D589</f>
        <v>1969</v>
      </c>
      <c r="H589">
        <f t="shared" si="84"/>
        <v>8</v>
      </c>
      <c r="I589" s="4">
        <f t="shared" si="85"/>
        <v>22</v>
      </c>
      <c r="J589">
        <f t="shared" si="86"/>
        <v>19690822</v>
      </c>
      <c r="K589" t="str">
        <f t="shared" si="87"/>
        <v>22.08.1969</v>
      </c>
      <c r="L589" s="10">
        <f t="shared" si="88"/>
        <v>19500</v>
      </c>
      <c r="M589" s="8">
        <f t="shared" si="89"/>
        <v>53</v>
      </c>
    </row>
    <row r="590" spans="1:13" x14ac:dyDescent="0.25">
      <c r="A590" s="4" t="s">
        <v>616</v>
      </c>
      <c r="B590" t="s">
        <v>11</v>
      </c>
      <c r="C590" t="s">
        <v>6</v>
      </c>
      <c r="D590" s="3">
        <f t="shared" si="81"/>
        <v>99</v>
      </c>
      <c r="E590" s="4">
        <f t="shared" si="82"/>
        <v>2</v>
      </c>
      <c r="F590" s="4">
        <f t="shared" si="83"/>
        <v>27</v>
      </c>
      <c r="G590" s="3">
        <f>IF(E590&gt;=20,2000,1900) + D590</f>
        <v>1999</v>
      </c>
      <c r="H590">
        <f t="shared" si="84"/>
        <v>2</v>
      </c>
      <c r="I590" s="4">
        <f t="shared" si="85"/>
        <v>27</v>
      </c>
      <c r="J590">
        <f t="shared" si="86"/>
        <v>19990227</v>
      </c>
      <c r="K590" t="str">
        <f t="shared" si="87"/>
        <v>27.02.1999</v>
      </c>
      <c r="L590" s="10">
        <f t="shared" si="88"/>
        <v>8719</v>
      </c>
      <c r="M590" s="8">
        <f t="shared" si="89"/>
        <v>23</v>
      </c>
    </row>
    <row r="591" spans="1:13" x14ac:dyDescent="0.25">
      <c r="A591" s="4" t="s">
        <v>617</v>
      </c>
      <c r="B591" t="s">
        <v>19</v>
      </c>
      <c r="C591" t="s">
        <v>6</v>
      </c>
      <c r="D591" s="3">
        <f t="shared" si="81"/>
        <v>97</v>
      </c>
      <c r="E591" s="4">
        <f t="shared" si="82"/>
        <v>8</v>
      </c>
      <c r="F591" s="4">
        <f t="shared" si="83"/>
        <v>27</v>
      </c>
      <c r="G591" s="3">
        <f>IF(E591&gt;=20,2000,1900) + D591</f>
        <v>1997</v>
      </c>
      <c r="H591">
        <f t="shared" si="84"/>
        <v>8</v>
      </c>
      <c r="I591" s="4">
        <f t="shared" si="85"/>
        <v>27</v>
      </c>
      <c r="J591">
        <f t="shared" si="86"/>
        <v>19970827</v>
      </c>
      <c r="K591" t="str">
        <f t="shared" si="87"/>
        <v>27.08.1997</v>
      </c>
      <c r="L591" s="10">
        <f t="shared" si="88"/>
        <v>9268</v>
      </c>
      <c r="M591" s="8">
        <f t="shared" si="89"/>
        <v>25</v>
      </c>
    </row>
    <row r="592" spans="1:13" x14ac:dyDescent="0.25">
      <c r="A592" s="4" t="s">
        <v>618</v>
      </c>
      <c r="B592" t="s">
        <v>11</v>
      </c>
      <c r="C592" t="s">
        <v>6</v>
      </c>
      <c r="D592" s="3">
        <f t="shared" si="81"/>
        <v>54</v>
      </c>
      <c r="E592" s="4">
        <f t="shared" si="82"/>
        <v>1</v>
      </c>
      <c r="F592" s="4">
        <f t="shared" si="83"/>
        <v>6</v>
      </c>
      <c r="G592" s="3">
        <f>IF(E592&gt;=20,2000,1900) + D592</f>
        <v>1954</v>
      </c>
      <c r="H592">
        <f t="shared" si="84"/>
        <v>1</v>
      </c>
      <c r="I592" s="4">
        <f t="shared" si="85"/>
        <v>6</v>
      </c>
      <c r="J592">
        <f t="shared" si="86"/>
        <v>19540106</v>
      </c>
      <c r="K592" t="str">
        <f t="shared" si="87"/>
        <v>06.01.1954</v>
      </c>
      <c r="L592" s="10">
        <f t="shared" si="88"/>
        <v>25207</v>
      </c>
      <c r="M592" s="8">
        <f t="shared" si="89"/>
        <v>69</v>
      </c>
    </row>
    <row r="593" spans="1:13" x14ac:dyDescent="0.25">
      <c r="A593" s="4" t="s">
        <v>619</v>
      </c>
      <c r="B593" t="s">
        <v>17</v>
      </c>
      <c r="C593" t="s">
        <v>6</v>
      </c>
      <c r="D593" s="3">
        <f t="shared" si="81"/>
        <v>91</v>
      </c>
      <c r="E593" s="4">
        <f t="shared" si="82"/>
        <v>2</v>
      </c>
      <c r="F593" s="4">
        <f t="shared" si="83"/>
        <v>5</v>
      </c>
      <c r="G593" s="3">
        <f>IF(E593&gt;=20,2000,1900) + D593</f>
        <v>1991</v>
      </c>
      <c r="H593">
        <f t="shared" si="84"/>
        <v>2</v>
      </c>
      <c r="I593" s="4">
        <f t="shared" si="85"/>
        <v>5</v>
      </c>
      <c r="J593">
        <f t="shared" si="86"/>
        <v>19910205</v>
      </c>
      <c r="K593" t="str">
        <f t="shared" si="87"/>
        <v>05.02.1991</v>
      </c>
      <c r="L593" s="10">
        <f t="shared" si="88"/>
        <v>11663</v>
      </c>
      <c r="M593" s="8">
        <f t="shared" si="89"/>
        <v>31</v>
      </c>
    </row>
    <row r="594" spans="1:13" x14ac:dyDescent="0.25">
      <c r="A594" s="4" t="s">
        <v>620</v>
      </c>
      <c r="B594" t="s">
        <v>19</v>
      </c>
      <c r="C594" t="s">
        <v>4</v>
      </c>
      <c r="D594" s="3">
        <f t="shared" si="81"/>
        <v>70</v>
      </c>
      <c r="E594" s="4">
        <f t="shared" si="82"/>
        <v>1</v>
      </c>
      <c r="F594" s="4">
        <f t="shared" si="83"/>
        <v>28</v>
      </c>
      <c r="G594" s="3">
        <f>IF(E594&gt;=20,2000,1900) + D594</f>
        <v>1970</v>
      </c>
      <c r="H594">
        <f t="shared" si="84"/>
        <v>1</v>
      </c>
      <c r="I594" s="4">
        <f t="shared" si="85"/>
        <v>28</v>
      </c>
      <c r="J594">
        <f t="shared" si="86"/>
        <v>19700128</v>
      </c>
      <c r="K594" t="str">
        <f t="shared" si="87"/>
        <v>28.01.1970</v>
      </c>
      <c r="L594" s="10">
        <f t="shared" si="88"/>
        <v>19341</v>
      </c>
      <c r="M594" s="8">
        <f t="shared" si="89"/>
        <v>52</v>
      </c>
    </row>
    <row r="595" spans="1:13" x14ac:dyDescent="0.25">
      <c r="A595" s="4" t="s">
        <v>621</v>
      </c>
      <c r="B595" t="s">
        <v>12</v>
      </c>
      <c r="C595" t="s">
        <v>4</v>
      </c>
      <c r="D595" s="3">
        <f t="shared" si="81"/>
        <v>70</v>
      </c>
      <c r="E595" s="4">
        <f t="shared" si="82"/>
        <v>12</v>
      </c>
      <c r="F595" s="4">
        <f t="shared" si="83"/>
        <v>29</v>
      </c>
      <c r="G595" s="3">
        <f>IF(E595&gt;=20,2000,1900) + D595</f>
        <v>1970</v>
      </c>
      <c r="H595">
        <f t="shared" si="84"/>
        <v>12</v>
      </c>
      <c r="I595" s="4">
        <f t="shared" si="85"/>
        <v>29</v>
      </c>
      <c r="J595">
        <f t="shared" si="86"/>
        <v>19701229</v>
      </c>
      <c r="K595" t="str">
        <f t="shared" si="87"/>
        <v>29.12.1970</v>
      </c>
      <c r="L595" s="10">
        <f t="shared" si="88"/>
        <v>19006</v>
      </c>
      <c r="M595" s="8">
        <f t="shared" si="89"/>
        <v>52</v>
      </c>
    </row>
    <row r="596" spans="1:13" x14ac:dyDescent="0.25">
      <c r="A596" s="4" t="s">
        <v>622</v>
      </c>
      <c r="B596" t="s">
        <v>8</v>
      </c>
      <c r="C596" t="s">
        <v>6</v>
      </c>
      <c r="D596" s="3">
        <f t="shared" si="81"/>
        <v>78</v>
      </c>
      <c r="E596" s="4">
        <f t="shared" si="82"/>
        <v>10</v>
      </c>
      <c r="F596" s="4">
        <f t="shared" si="83"/>
        <v>25</v>
      </c>
      <c r="G596" s="3">
        <f>IF(E596&gt;=20,2000,1900) + D596</f>
        <v>1978</v>
      </c>
      <c r="H596">
        <f t="shared" si="84"/>
        <v>10</v>
      </c>
      <c r="I596" s="4">
        <f t="shared" si="85"/>
        <v>25</v>
      </c>
      <c r="J596">
        <f t="shared" si="86"/>
        <v>19781025</v>
      </c>
      <c r="K596" t="str">
        <f t="shared" si="87"/>
        <v>25.10.1978</v>
      </c>
      <c r="L596" s="10">
        <f t="shared" si="88"/>
        <v>16149</v>
      </c>
      <c r="M596" s="8">
        <f t="shared" si="89"/>
        <v>44</v>
      </c>
    </row>
    <row r="597" spans="1:13" x14ac:dyDescent="0.25">
      <c r="A597" s="4" t="s">
        <v>623</v>
      </c>
      <c r="B597" t="s">
        <v>18</v>
      </c>
      <c r="C597" t="s">
        <v>6</v>
      </c>
      <c r="D597" s="3">
        <f t="shared" si="81"/>
        <v>97</v>
      </c>
      <c r="E597" s="4">
        <f t="shared" si="82"/>
        <v>6</v>
      </c>
      <c r="F597" s="4">
        <f t="shared" si="83"/>
        <v>5</v>
      </c>
      <c r="G597" s="3">
        <f>IF(E597&gt;=20,2000,1900) + D597</f>
        <v>1997</v>
      </c>
      <c r="H597">
        <f t="shared" si="84"/>
        <v>6</v>
      </c>
      <c r="I597" s="4">
        <f t="shared" si="85"/>
        <v>5</v>
      </c>
      <c r="J597">
        <f t="shared" si="86"/>
        <v>19970605</v>
      </c>
      <c r="K597" t="str">
        <f t="shared" si="87"/>
        <v>05.06.1997</v>
      </c>
      <c r="L597" s="10">
        <f t="shared" si="88"/>
        <v>9351</v>
      </c>
      <c r="M597" s="8">
        <f t="shared" si="89"/>
        <v>25</v>
      </c>
    </row>
    <row r="598" spans="1:13" x14ac:dyDescent="0.25">
      <c r="A598" s="4" t="s">
        <v>624</v>
      </c>
      <c r="B598" t="s">
        <v>9</v>
      </c>
      <c r="C598" t="s">
        <v>6</v>
      </c>
      <c r="D598" s="3">
        <f t="shared" si="81"/>
        <v>84</v>
      </c>
      <c r="E598" s="4">
        <f t="shared" si="82"/>
        <v>12</v>
      </c>
      <c r="F598" s="4">
        <f t="shared" si="83"/>
        <v>24</v>
      </c>
      <c r="G598" s="3">
        <f>IF(E598&gt;=20,2000,1900) + D598</f>
        <v>1984</v>
      </c>
      <c r="H598">
        <f t="shared" si="84"/>
        <v>12</v>
      </c>
      <c r="I598" s="4">
        <f t="shared" si="85"/>
        <v>24</v>
      </c>
      <c r="J598">
        <f t="shared" si="86"/>
        <v>19841224</v>
      </c>
      <c r="K598" t="str">
        <f t="shared" si="87"/>
        <v>24.12.1984</v>
      </c>
      <c r="L598" s="10">
        <f t="shared" si="88"/>
        <v>13897</v>
      </c>
      <c r="M598" s="8">
        <f t="shared" si="89"/>
        <v>38</v>
      </c>
    </row>
    <row r="599" spans="1:13" x14ac:dyDescent="0.25">
      <c r="A599" s="4" t="s">
        <v>625</v>
      </c>
      <c r="B599" t="s">
        <v>10</v>
      </c>
      <c r="C599" t="s">
        <v>4</v>
      </c>
      <c r="D599" s="3">
        <f t="shared" si="81"/>
        <v>98</v>
      </c>
      <c r="E599" s="4">
        <f t="shared" si="82"/>
        <v>5</v>
      </c>
      <c r="F599" s="4">
        <f t="shared" si="83"/>
        <v>17</v>
      </c>
      <c r="G599" s="3">
        <f>IF(E599&gt;=20,2000,1900) + D599</f>
        <v>1998</v>
      </c>
      <c r="H599">
        <f t="shared" si="84"/>
        <v>5</v>
      </c>
      <c r="I599" s="4">
        <f t="shared" si="85"/>
        <v>17</v>
      </c>
      <c r="J599">
        <f t="shared" si="86"/>
        <v>19980517</v>
      </c>
      <c r="K599" t="str">
        <f t="shared" si="87"/>
        <v>17.05.1998</v>
      </c>
      <c r="L599" s="10">
        <f t="shared" si="88"/>
        <v>9005</v>
      </c>
      <c r="M599" s="8">
        <f t="shared" si="89"/>
        <v>24</v>
      </c>
    </row>
    <row r="600" spans="1:13" x14ac:dyDescent="0.25">
      <c r="A600" s="4" t="s">
        <v>626</v>
      </c>
      <c r="B600" t="s">
        <v>17</v>
      </c>
      <c r="C600" t="s">
        <v>6</v>
      </c>
      <c r="D600" s="3">
        <f t="shared" si="81"/>
        <v>11</v>
      </c>
      <c r="E600" s="4">
        <f t="shared" si="82"/>
        <v>7</v>
      </c>
      <c r="F600" s="4">
        <f t="shared" si="83"/>
        <v>27</v>
      </c>
      <c r="G600" s="3">
        <f>IF(E600&gt;=20,2000,1900) + D600</f>
        <v>1911</v>
      </c>
      <c r="H600">
        <f t="shared" si="84"/>
        <v>7</v>
      </c>
      <c r="I600" s="4">
        <f t="shared" si="85"/>
        <v>27</v>
      </c>
      <c r="J600">
        <f t="shared" si="86"/>
        <v>19110727</v>
      </c>
      <c r="K600" t="str">
        <f t="shared" si="87"/>
        <v>27.07.1911</v>
      </c>
      <c r="L600" s="10">
        <f t="shared" si="88"/>
        <v>40711</v>
      </c>
      <c r="M600" s="8">
        <f t="shared" si="89"/>
        <v>111</v>
      </c>
    </row>
    <row r="601" spans="1:13" x14ac:dyDescent="0.25">
      <c r="A601" s="4" t="s">
        <v>627</v>
      </c>
      <c r="B601" t="s">
        <v>18</v>
      </c>
      <c r="C601" t="s">
        <v>6</v>
      </c>
      <c r="D601" s="3">
        <f t="shared" si="81"/>
        <v>5</v>
      </c>
      <c r="E601" s="4">
        <f t="shared" si="82"/>
        <v>25</v>
      </c>
      <c r="F601" s="4">
        <f t="shared" si="83"/>
        <v>17</v>
      </c>
      <c r="G601" s="3">
        <f>IF(E601&gt;=20,2000,1900) + D601</f>
        <v>2005</v>
      </c>
      <c r="H601">
        <f t="shared" si="84"/>
        <v>5</v>
      </c>
      <c r="I601" s="4">
        <f t="shared" si="85"/>
        <v>17</v>
      </c>
      <c r="J601">
        <f t="shared" si="86"/>
        <v>20050517</v>
      </c>
      <c r="K601" t="str">
        <f t="shared" si="87"/>
        <v>17.05.2005</v>
      </c>
      <c r="L601" s="10">
        <f t="shared" si="88"/>
        <v>6448</v>
      </c>
      <c r="M601" s="8">
        <f t="shared" si="89"/>
        <v>17</v>
      </c>
    </row>
    <row r="602" spans="1:13" x14ac:dyDescent="0.25">
      <c r="A602" s="4" t="s">
        <v>628</v>
      </c>
      <c r="B602" t="s">
        <v>12</v>
      </c>
      <c r="C602" t="s">
        <v>6</v>
      </c>
      <c r="D602" s="3">
        <f t="shared" si="81"/>
        <v>3</v>
      </c>
      <c r="E602" s="4">
        <f t="shared" si="82"/>
        <v>25</v>
      </c>
      <c r="F602" s="4">
        <f t="shared" si="83"/>
        <v>23</v>
      </c>
      <c r="G602" s="3">
        <f>IF(E602&gt;=20,2000,1900) + D602</f>
        <v>2003</v>
      </c>
      <c r="H602">
        <f t="shared" si="84"/>
        <v>5</v>
      </c>
      <c r="I602" s="4">
        <f t="shared" si="85"/>
        <v>23</v>
      </c>
      <c r="J602">
        <f t="shared" si="86"/>
        <v>20030523</v>
      </c>
      <c r="K602" t="str">
        <f t="shared" si="87"/>
        <v>23.05.2003</v>
      </c>
      <c r="L602" s="10">
        <f t="shared" si="88"/>
        <v>7173</v>
      </c>
      <c r="M602" s="8">
        <f t="shared" si="89"/>
        <v>19</v>
      </c>
    </row>
    <row r="603" spans="1:13" x14ac:dyDescent="0.25">
      <c r="A603" s="4" t="s">
        <v>629</v>
      </c>
      <c r="B603" t="s">
        <v>13</v>
      </c>
      <c r="C603" t="s">
        <v>4</v>
      </c>
      <c r="D603" s="3">
        <f t="shared" si="81"/>
        <v>7</v>
      </c>
      <c r="E603" s="4">
        <f t="shared" si="82"/>
        <v>28</v>
      </c>
      <c r="F603" s="4">
        <f t="shared" si="83"/>
        <v>23</v>
      </c>
      <c r="G603" s="3">
        <f>IF(E603&gt;=20,2000,1900) + D603</f>
        <v>2007</v>
      </c>
      <c r="H603">
        <f t="shared" si="84"/>
        <v>8</v>
      </c>
      <c r="I603" s="4">
        <f t="shared" si="85"/>
        <v>23</v>
      </c>
      <c r="J603">
        <f t="shared" si="86"/>
        <v>20070823</v>
      </c>
      <c r="K603" t="str">
        <f t="shared" si="87"/>
        <v>23.08.2007</v>
      </c>
      <c r="L603" s="10">
        <f t="shared" si="88"/>
        <v>5620</v>
      </c>
      <c r="M603" s="8">
        <f t="shared" si="89"/>
        <v>15</v>
      </c>
    </row>
    <row r="604" spans="1:13" x14ac:dyDescent="0.25">
      <c r="A604" s="4" t="s">
        <v>630</v>
      </c>
      <c r="B604" t="s">
        <v>16</v>
      </c>
      <c r="C604" t="s">
        <v>6</v>
      </c>
      <c r="D604" s="3">
        <f t="shared" si="81"/>
        <v>3</v>
      </c>
      <c r="E604" s="4">
        <f t="shared" si="82"/>
        <v>24</v>
      </c>
      <c r="F604" s="4">
        <f t="shared" si="83"/>
        <v>17</v>
      </c>
      <c r="G604" s="3">
        <f>IF(E604&gt;=20,2000,1900) + D604</f>
        <v>2003</v>
      </c>
      <c r="H604">
        <f t="shared" si="84"/>
        <v>4</v>
      </c>
      <c r="I604" s="4">
        <f t="shared" si="85"/>
        <v>17</v>
      </c>
      <c r="J604">
        <f t="shared" si="86"/>
        <v>20030417</v>
      </c>
      <c r="K604" t="str">
        <f t="shared" si="87"/>
        <v>17.04.2003</v>
      </c>
      <c r="L604" s="10">
        <f t="shared" si="88"/>
        <v>7209</v>
      </c>
      <c r="M604" s="8">
        <f t="shared" si="89"/>
        <v>19</v>
      </c>
    </row>
    <row r="605" spans="1:13" x14ac:dyDescent="0.25">
      <c r="A605" s="4" t="s">
        <v>631</v>
      </c>
      <c r="B605" t="s">
        <v>11</v>
      </c>
      <c r="C605" t="s">
        <v>6</v>
      </c>
      <c r="D605" s="3">
        <f t="shared" si="81"/>
        <v>3</v>
      </c>
      <c r="E605" s="4">
        <f t="shared" si="82"/>
        <v>21</v>
      </c>
      <c r="F605" s="4">
        <f t="shared" si="83"/>
        <v>26</v>
      </c>
      <c r="G605" s="3">
        <f>IF(E605&gt;=20,2000,1900) + D605</f>
        <v>2003</v>
      </c>
      <c r="H605">
        <f t="shared" si="84"/>
        <v>1</v>
      </c>
      <c r="I605" s="4">
        <f t="shared" si="85"/>
        <v>26</v>
      </c>
      <c r="J605">
        <f t="shared" si="86"/>
        <v>20030126</v>
      </c>
      <c r="K605" t="str">
        <f t="shared" si="87"/>
        <v>26.01.2003</v>
      </c>
      <c r="L605" s="10">
        <f t="shared" si="88"/>
        <v>7290</v>
      </c>
      <c r="M605" s="8">
        <f t="shared" si="89"/>
        <v>19</v>
      </c>
    </row>
    <row r="606" spans="1:13" x14ac:dyDescent="0.25">
      <c r="A606" s="4" t="s">
        <v>632</v>
      </c>
      <c r="B606" t="s">
        <v>5</v>
      </c>
      <c r="C606" t="s">
        <v>6</v>
      </c>
      <c r="D606" s="3">
        <f t="shared" si="81"/>
        <v>8</v>
      </c>
      <c r="E606" s="4">
        <f t="shared" si="82"/>
        <v>30</v>
      </c>
      <c r="F606" s="4">
        <f t="shared" si="83"/>
        <v>19</v>
      </c>
      <c r="G606" s="3">
        <f>IF(E606&gt;=20,2000,1900) + D606</f>
        <v>2008</v>
      </c>
      <c r="H606">
        <f t="shared" si="84"/>
        <v>10</v>
      </c>
      <c r="I606" s="4">
        <f t="shared" si="85"/>
        <v>19</v>
      </c>
      <c r="J606">
        <f t="shared" si="86"/>
        <v>20081019</v>
      </c>
      <c r="K606" t="str">
        <f t="shared" si="87"/>
        <v>19.10.2008</v>
      </c>
      <c r="L606" s="10">
        <f t="shared" si="88"/>
        <v>5197</v>
      </c>
      <c r="M606" s="8">
        <f t="shared" si="89"/>
        <v>14</v>
      </c>
    </row>
    <row r="607" spans="1:13" x14ac:dyDescent="0.25">
      <c r="A607" s="4" t="s">
        <v>633</v>
      </c>
      <c r="B607" t="s">
        <v>16</v>
      </c>
      <c r="C607" t="s">
        <v>6</v>
      </c>
      <c r="D607" s="3">
        <f t="shared" si="81"/>
        <v>4</v>
      </c>
      <c r="E607" s="4">
        <f t="shared" si="82"/>
        <v>29</v>
      </c>
      <c r="F607" s="4">
        <f t="shared" si="83"/>
        <v>12</v>
      </c>
      <c r="G607" s="3">
        <f>IF(E607&gt;=20,2000,1900) + D607</f>
        <v>2004</v>
      </c>
      <c r="H607">
        <f t="shared" si="84"/>
        <v>9</v>
      </c>
      <c r="I607" s="4">
        <f t="shared" si="85"/>
        <v>12</v>
      </c>
      <c r="J607">
        <f t="shared" si="86"/>
        <v>20040912</v>
      </c>
      <c r="K607" t="str">
        <f t="shared" si="87"/>
        <v>12.09.2004</v>
      </c>
      <c r="L607" s="10">
        <f t="shared" si="88"/>
        <v>6695</v>
      </c>
      <c r="M607" s="8">
        <f t="shared" si="89"/>
        <v>18</v>
      </c>
    </row>
    <row r="608" spans="1:13" x14ac:dyDescent="0.25">
      <c r="A608" s="4" t="s">
        <v>634</v>
      </c>
      <c r="B608" t="s">
        <v>14</v>
      </c>
      <c r="C608" t="s">
        <v>4</v>
      </c>
      <c r="D608" s="3">
        <f t="shared" si="81"/>
        <v>20</v>
      </c>
      <c r="E608" s="4">
        <f t="shared" si="82"/>
        <v>29</v>
      </c>
      <c r="F608" s="4">
        <f t="shared" si="83"/>
        <v>5</v>
      </c>
      <c r="G608" s="3">
        <f>IF(E608&gt;=20,2000,1900) + D608</f>
        <v>2020</v>
      </c>
      <c r="H608">
        <f t="shared" si="84"/>
        <v>9</v>
      </c>
      <c r="I608" s="4">
        <f t="shared" si="85"/>
        <v>5</v>
      </c>
      <c r="J608">
        <f t="shared" si="86"/>
        <v>20200905</v>
      </c>
      <c r="K608" t="str">
        <f t="shared" si="87"/>
        <v>05.09.2020</v>
      </c>
      <c r="L608" s="10">
        <f t="shared" si="88"/>
        <v>858</v>
      </c>
      <c r="M608" s="8">
        <f t="shared" si="89"/>
        <v>2</v>
      </c>
    </row>
    <row r="609" spans="1:13" x14ac:dyDescent="0.25">
      <c r="A609" s="4" t="s">
        <v>635</v>
      </c>
      <c r="B609" t="s">
        <v>14</v>
      </c>
      <c r="C609" t="s">
        <v>6</v>
      </c>
      <c r="D609" s="3">
        <f t="shared" si="81"/>
        <v>13</v>
      </c>
      <c r="E609" s="4">
        <f t="shared" si="82"/>
        <v>30</v>
      </c>
      <c r="F609" s="4">
        <f t="shared" si="83"/>
        <v>26</v>
      </c>
      <c r="G609" s="3">
        <f>IF(E609&gt;=20,2000,1900) + D609</f>
        <v>2013</v>
      </c>
      <c r="H609">
        <f t="shared" si="84"/>
        <v>10</v>
      </c>
      <c r="I609" s="4">
        <f t="shared" si="85"/>
        <v>26</v>
      </c>
      <c r="J609">
        <f t="shared" si="86"/>
        <v>20131026</v>
      </c>
      <c r="K609" t="str">
        <f t="shared" si="87"/>
        <v>26.10.2013</v>
      </c>
      <c r="L609" s="10">
        <f t="shared" si="88"/>
        <v>3364</v>
      </c>
      <c r="M609" s="8">
        <f t="shared" si="89"/>
        <v>9</v>
      </c>
    </row>
    <row r="610" spans="1:13" x14ac:dyDescent="0.25">
      <c r="A610" s="4" t="s">
        <v>636</v>
      </c>
      <c r="B610" t="s">
        <v>20</v>
      </c>
      <c r="C610" t="s">
        <v>6</v>
      </c>
      <c r="D610" s="3">
        <f t="shared" si="81"/>
        <v>9</v>
      </c>
      <c r="E610" s="4">
        <f t="shared" si="82"/>
        <v>21</v>
      </c>
      <c r="F610" s="4">
        <f t="shared" si="83"/>
        <v>4</v>
      </c>
      <c r="G610" s="3">
        <f>IF(E610&gt;=20,2000,1900) + D610</f>
        <v>2009</v>
      </c>
      <c r="H610">
        <f t="shared" si="84"/>
        <v>1</v>
      </c>
      <c r="I610" s="4">
        <f t="shared" si="85"/>
        <v>4</v>
      </c>
      <c r="J610">
        <f t="shared" si="86"/>
        <v>20090104</v>
      </c>
      <c r="K610" t="str">
        <f t="shared" si="87"/>
        <v>04.01.2009</v>
      </c>
      <c r="L610" s="10">
        <f t="shared" si="88"/>
        <v>5120</v>
      </c>
      <c r="M610" s="8">
        <f t="shared" si="89"/>
        <v>14</v>
      </c>
    </row>
    <row r="611" spans="1:13" x14ac:dyDescent="0.25">
      <c r="A611" s="4" t="s">
        <v>637</v>
      </c>
      <c r="B611" t="s">
        <v>20</v>
      </c>
      <c r="C611" t="s">
        <v>4</v>
      </c>
      <c r="D611" s="3">
        <f t="shared" si="81"/>
        <v>0</v>
      </c>
      <c r="E611" s="4">
        <f t="shared" si="82"/>
        <v>21</v>
      </c>
      <c r="F611" s="4">
        <f t="shared" si="83"/>
        <v>18</v>
      </c>
      <c r="G611" s="3">
        <f>IF(E611&gt;=20,2000,1900) + D611</f>
        <v>2000</v>
      </c>
      <c r="H611">
        <f t="shared" si="84"/>
        <v>1</v>
      </c>
      <c r="I611" s="4">
        <f t="shared" si="85"/>
        <v>18</v>
      </c>
      <c r="J611">
        <f t="shared" si="86"/>
        <v>20000118</v>
      </c>
      <c r="K611" t="str">
        <f t="shared" si="87"/>
        <v>18.01.2000</v>
      </c>
      <c r="L611" s="10">
        <f t="shared" si="88"/>
        <v>8394</v>
      </c>
      <c r="M611" s="8">
        <f t="shared" si="89"/>
        <v>22</v>
      </c>
    </row>
    <row r="612" spans="1:13" x14ac:dyDescent="0.25">
      <c r="A612" s="4" t="s">
        <v>638</v>
      </c>
      <c r="B612" t="s">
        <v>9</v>
      </c>
      <c r="C612" t="s">
        <v>4</v>
      </c>
      <c r="D612" s="3">
        <f t="shared" si="81"/>
        <v>2</v>
      </c>
      <c r="E612" s="4">
        <f t="shared" si="82"/>
        <v>25</v>
      </c>
      <c r="F612" s="4">
        <f t="shared" si="83"/>
        <v>12</v>
      </c>
      <c r="G612" s="3">
        <f>IF(E612&gt;=20,2000,1900) + D612</f>
        <v>2002</v>
      </c>
      <c r="H612">
        <f t="shared" si="84"/>
        <v>5</v>
      </c>
      <c r="I612" s="4">
        <f t="shared" si="85"/>
        <v>12</v>
      </c>
      <c r="J612">
        <f t="shared" si="86"/>
        <v>20020512</v>
      </c>
      <c r="K612" t="str">
        <f t="shared" si="87"/>
        <v>12.05.2002</v>
      </c>
      <c r="L612" s="10">
        <f t="shared" si="88"/>
        <v>7549</v>
      </c>
      <c r="M612" s="8">
        <f t="shared" si="89"/>
        <v>20</v>
      </c>
    </row>
    <row r="613" spans="1:13" x14ac:dyDescent="0.25">
      <c r="A613" s="4" t="s">
        <v>639</v>
      </c>
      <c r="B613" t="s">
        <v>20</v>
      </c>
      <c r="C613" t="s">
        <v>4</v>
      </c>
      <c r="D613" s="3">
        <f t="shared" si="81"/>
        <v>3</v>
      </c>
      <c r="E613" s="4">
        <f t="shared" si="82"/>
        <v>23</v>
      </c>
      <c r="F613" s="4">
        <f t="shared" si="83"/>
        <v>11</v>
      </c>
      <c r="G613" s="3">
        <f>IF(E613&gt;=20,2000,1900) + D613</f>
        <v>2003</v>
      </c>
      <c r="H613">
        <f t="shared" si="84"/>
        <v>3</v>
      </c>
      <c r="I613" s="4">
        <f t="shared" si="85"/>
        <v>11</v>
      </c>
      <c r="J613">
        <f t="shared" si="86"/>
        <v>20030311</v>
      </c>
      <c r="K613" t="str">
        <f t="shared" si="87"/>
        <v>11.03.2003</v>
      </c>
      <c r="L613" s="10">
        <f t="shared" si="88"/>
        <v>7246</v>
      </c>
      <c r="M613" s="8">
        <f t="shared" si="89"/>
        <v>19</v>
      </c>
    </row>
    <row r="614" spans="1:13" x14ac:dyDescent="0.25">
      <c r="A614" s="4" t="s">
        <v>640</v>
      </c>
      <c r="B614" t="s">
        <v>3</v>
      </c>
      <c r="C614" t="s">
        <v>6</v>
      </c>
      <c r="D614" s="3">
        <f t="shared" si="81"/>
        <v>4</v>
      </c>
      <c r="E614" s="4">
        <f t="shared" si="82"/>
        <v>24</v>
      </c>
      <c r="F614" s="4">
        <f t="shared" si="83"/>
        <v>3</v>
      </c>
      <c r="G614" s="3">
        <f>IF(E614&gt;=20,2000,1900) + D614</f>
        <v>2004</v>
      </c>
      <c r="H614">
        <f t="shared" si="84"/>
        <v>4</v>
      </c>
      <c r="I614" s="4">
        <f t="shared" si="85"/>
        <v>3</v>
      </c>
      <c r="J614">
        <f t="shared" si="86"/>
        <v>20040403</v>
      </c>
      <c r="K614" t="str">
        <f t="shared" si="87"/>
        <v>03.04.2004</v>
      </c>
      <c r="L614" s="10">
        <f t="shared" si="88"/>
        <v>6857</v>
      </c>
      <c r="M614" s="8">
        <f t="shared" si="89"/>
        <v>18</v>
      </c>
    </row>
    <row r="615" spans="1:13" x14ac:dyDescent="0.25">
      <c r="A615" s="4" t="s">
        <v>641</v>
      </c>
      <c r="B615" t="s">
        <v>5</v>
      </c>
      <c r="C615" t="s">
        <v>4</v>
      </c>
      <c r="D615" s="3">
        <f t="shared" si="81"/>
        <v>3</v>
      </c>
      <c r="E615" s="4">
        <f t="shared" si="82"/>
        <v>29</v>
      </c>
      <c r="F615" s="4">
        <f t="shared" si="83"/>
        <v>12</v>
      </c>
      <c r="G615" s="3">
        <f>IF(E615&gt;=20,2000,1900) + D615</f>
        <v>2003</v>
      </c>
      <c r="H615">
        <f t="shared" si="84"/>
        <v>9</v>
      </c>
      <c r="I615" s="4">
        <f t="shared" si="85"/>
        <v>12</v>
      </c>
      <c r="J615">
        <f t="shared" si="86"/>
        <v>20030912</v>
      </c>
      <c r="K615" t="str">
        <f t="shared" si="87"/>
        <v>12.09.2003</v>
      </c>
      <c r="L615" s="10">
        <f t="shared" si="88"/>
        <v>7061</v>
      </c>
      <c r="M615" s="8">
        <f t="shared" si="89"/>
        <v>19</v>
      </c>
    </row>
    <row r="616" spans="1:13" x14ac:dyDescent="0.25">
      <c r="A616" s="4" t="s">
        <v>642</v>
      </c>
      <c r="B616" t="s">
        <v>10</v>
      </c>
      <c r="C616" t="s">
        <v>6</v>
      </c>
      <c r="D616" s="3">
        <f t="shared" si="81"/>
        <v>22</v>
      </c>
      <c r="E616" s="4">
        <f t="shared" si="82"/>
        <v>28</v>
      </c>
      <c r="F616" s="4">
        <f t="shared" si="83"/>
        <v>15</v>
      </c>
      <c r="G616" s="3">
        <f>IF(E616&gt;=20,2000,1900) + D616</f>
        <v>2022</v>
      </c>
      <c r="H616">
        <f t="shared" si="84"/>
        <v>8</v>
      </c>
      <c r="I616" s="4">
        <f t="shared" si="85"/>
        <v>15</v>
      </c>
      <c r="J616">
        <f t="shared" si="86"/>
        <v>20220815</v>
      </c>
      <c r="K616" t="str">
        <f t="shared" si="87"/>
        <v>15.08.2022</v>
      </c>
      <c r="L616" s="10">
        <f t="shared" si="88"/>
        <v>149</v>
      </c>
      <c r="M616" s="8">
        <f t="shared" si="89"/>
        <v>0</v>
      </c>
    </row>
    <row r="617" spans="1:13" x14ac:dyDescent="0.25">
      <c r="A617" s="4" t="s">
        <v>643</v>
      </c>
      <c r="B617" t="s">
        <v>16</v>
      </c>
      <c r="C617" t="s">
        <v>6</v>
      </c>
      <c r="D617" s="3">
        <f t="shared" si="81"/>
        <v>2</v>
      </c>
      <c r="E617" s="4">
        <f t="shared" si="82"/>
        <v>26</v>
      </c>
      <c r="F617" s="4">
        <f t="shared" si="83"/>
        <v>24</v>
      </c>
      <c r="G617" s="3">
        <f>IF(E617&gt;=20,2000,1900) + D617</f>
        <v>2002</v>
      </c>
      <c r="H617">
        <f t="shared" si="84"/>
        <v>6</v>
      </c>
      <c r="I617" s="4">
        <f t="shared" si="85"/>
        <v>24</v>
      </c>
      <c r="J617">
        <f t="shared" si="86"/>
        <v>20020624</v>
      </c>
      <c r="K617" t="str">
        <f t="shared" si="87"/>
        <v>24.06.2002</v>
      </c>
      <c r="L617" s="10">
        <f t="shared" si="88"/>
        <v>7506</v>
      </c>
      <c r="M617" s="8">
        <f t="shared" si="89"/>
        <v>20</v>
      </c>
    </row>
    <row r="618" spans="1:13" x14ac:dyDescent="0.25">
      <c r="A618" s="4" t="s">
        <v>644</v>
      </c>
      <c r="B618" t="s">
        <v>5</v>
      </c>
      <c r="C618" t="s">
        <v>6</v>
      </c>
      <c r="D618" s="3">
        <f t="shared" si="81"/>
        <v>8</v>
      </c>
      <c r="E618" s="4">
        <f t="shared" si="82"/>
        <v>21</v>
      </c>
      <c r="F618" s="4">
        <f t="shared" si="83"/>
        <v>10</v>
      </c>
      <c r="G618" s="3">
        <f>IF(E618&gt;=20,2000,1900) + D618</f>
        <v>2008</v>
      </c>
      <c r="H618">
        <f t="shared" si="84"/>
        <v>1</v>
      </c>
      <c r="I618" s="4">
        <f t="shared" si="85"/>
        <v>10</v>
      </c>
      <c r="J618">
        <f t="shared" si="86"/>
        <v>20080110</v>
      </c>
      <c r="K618" t="str">
        <f t="shared" si="87"/>
        <v>10.01.2008</v>
      </c>
      <c r="L618" s="10">
        <f t="shared" si="88"/>
        <v>5480</v>
      </c>
      <c r="M618" s="8">
        <f t="shared" si="89"/>
        <v>15</v>
      </c>
    </row>
    <row r="619" spans="1:13" x14ac:dyDescent="0.25">
      <c r="A619" s="4" t="s">
        <v>645</v>
      </c>
      <c r="B619" t="s">
        <v>13</v>
      </c>
      <c r="C619" t="s">
        <v>6</v>
      </c>
      <c r="D619" s="3">
        <f t="shared" si="81"/>
        <v>21</v>
      </c>
      <c r="E619" s="4">
        <f t="shared" si="82"/>
        <v>21</v>
      </c>
      <c r="F619" s="4">
        <f t="shared" si="83"/>
        <v>9</v>
      </c>
      <c r="G619" s="3">
        <f>IF(E619&gt;=20,2000,1900) + D619</f>
        <v>2021</v>
      </c>
      <c r="H619">
        <f t="shared" si="84"/>
        <v>1</v>
      </c>
      <c r="I619" s="4">
        <f t="shared" si="85"/>
        <v>9</v>
      </c>
      <c r="J619">
        <f t="shared" si="86"/>
        <v>20210109</v>
      </c>
      <c r="K619" t="str">
        <f t="shared" si="87"/>
        <v>09.01.2021</v>
      </c>
      <c r="L619" s="10">
        <f t="shared" si="88"/>
        <v>732</v>
      </c>
      <c r="M619" s="8">
        <f t="shared" si="89"/>
        <v>2</v>
      </c>
    </row>
    <row r="620" spans="1:13" x14ac:dyDescent="0.25">
      <c r="A620" s="4" t="s">
        <v>646</v>
      </c>
      <c r="B620" t="s">
        <v>17</v>
      </c>
      <c r="C620" t="s">
        <v>4</v>
      </c>
      <c r="D620" s="3">
        <f t="shared" si="81"/>
        <v>20</v>
      </c>
      <c r="E620" s="4">
        <f t="shared" si="82"/>
        <v>24</v>
      </c>
      <c r="F620" s="4">
        <f t="shared" si="83"/>
        <v>6</v>
      </c>
      <c r="G620" s="3">
        <f>IF(E620&gt;=20,2000,1900) + D620</f>
        <v>2020</v>
      </c>
      <c r="H620">
        <f t="shared" si="84"/>
        <v>4</v>
      </c>
      <c r="I620" s="4">
        <f t="shared" si="85"/>
        <v>6</v>
      </c>
      <c r="J620">
        <f t="shared" si="86"/>
        <v>20200406</v>
      </c>
      <c r="K620" t="str">
        <f t="shared" si="87"/>
        <v>06.04.2020</v>
      </c>
      <c r="L620" s="10">
        <f t="shared" si="88"/>
        <v>1010</v>
      </c>
      <c r="M620" s="8">
        <f t="shared" si="89"/>
        <v>2</v>
      </c>
    </row>
    <row r="621" spans="1:13" x14ac:dyDescent="0.25">
      <c r="A621" s="4" t="s">
        <v>647</v>
      </c>
      <c r="B621" t="s">
        <v>18</v>
      </c>
      <c r="C621" t="s">
        <v>4</v>
      </c>
      <c r="D621" s="3">
        <f t="shared" si="81"/>
        <v>4</v>
      </c>
      <c r="E621" s="4">
        <f t="shared" si="82"/>
        <v>30</v>
      </c>
      <c r="F621" s="4">
        <f t="shared" si="83"/>
        <v>23</v>
      </c>
      <c r="G621" s="3">
        <f>IF(E621&gt;=20,2000,1900) + D621</f>
        <v>2004</v>
      </c>
      <c r="H621">
        <f t="shared" si="84"/>
        <v>10</v>
      </c>
      <c r="I621" s="4">
        <f t="shared" si="85"/>
        <v>23</v>
      </c>
      <c r="J621">
        <f t="shared" si="86"/>
        <v>20041023</v>
      </c>
      <c r="K621" t="str">
        <f t="shared" si="87"/>
        <v>23.10.2004</v>
      </c>
      <c r="L621" s="10">
        <f t="shared" si="88"/>
        <v>6654</v>
      </c>
      <c r="M621" s="8">
        <f t="shared" si="89"/>
        <v>18</v>
      </c>
    </row>
    <row r="622" spans="1:13" x14ac:dyDescent="0.25">
      <c r="A622" s="4" t="s">
        <v>648</v>
      </c>
      <c r="B622" t="s">
        <v>19</v>
      </c>
      <c r="C622" t="s">
        <v>6</v>
      </c>
      <c r="D622" s="3">
        <f t="shared" si="81"/>
        <v>21</v>
      </c>
      <c r="E622" s="4">
        <f t="shared" si="82"/>
        <v>21</v>
      </c>
      <c r="F622" s="4">
        <f t="shared" si="83"/>
        <v>31</v>
      </c>
      <c r="G622" s="3">
        <f>IF(E622&gt;=20,2000,1900) + D622</f>
        <v>2021</v>
      </c>
      <c r="H622">
        <f t="shared" si="84"/>
        <v>1</v>
      </c>
      <c r="I622" s="4">
        <f t="shared" si="85"/>
        <v>31</v>
      </c>
      <c r="J622">
        <f t="shared" si="86"/>
        <v>20210131</v>
      </c>
      <c r="K622" t="str">
        <f t="shared" si="87"/>
        <v>31.01.2021</v>
      </c>
      <c r="L622" s="10">
        <f t="shared" si="88"/>
        <v>710</v>
      </c>
      <c r="M622" s="8">
        <f t="shared" si="89"/>
        <v>1</v>
      </c>
    </row>
    <row r="623" spans="1:13" x14ac:dyDescent="0.25">
      <c r="A623" s="4" t="s">
        <v>649</v>
      </c>
      <c r="B623" t="s">
        <v>7</v>
      </c>
      <c r="C623" t="s">
        <v>6</v>
      </c>
      <c r="D623" s="3">
        <f t="shared" si="81"/>
        <v>12</v>
      </c>
      <c r="E623" s="4">
        <f t="shared" si="82"/>
        <v>22</v>
      </c>
      <c r="F623" s="4">
        <f t="shared" si="83"/>
        <v>16</v>
      </c>
      <c r="G623" s="3">
        <f>IF(E623&gt;=20,2000,1900) + D623</f>
        <v>2012</v>
      </c>
      <c r="H623">
        <f t="shared" si="84"/>
        <v>2</v>
      </c>
      <c r="I623" s="4">
        <f t="shared" si="85"/>
        <v>16</v>
      </c>
      <c r="J623">
        <f t="shared" si="86"/>
        <v>20120216</v>
      </c>
      <c r="K623" t="str">
        <f t="shared" si="87"/>
        <v>16.02.2012</v>
      </c>
      <c r="L623" s="10">
        <f t="shared" si="88"/>
        <v>3982</v>
      </c>
      <c r="M623" s="8">
        <f t="shared" si="89"/>
        <v>10</v>
      </c>
    </row>
    <row r="624" spans="1:13" x14ac:dyDescent="0.25">
      <c r="A624" s="4" t="s">
        <v>650</v>
      </c>
      <c r="B624" t="s">
        <v>17</v>
      </c>
      <c r="C624" t="s">
        <v>6</v>
      </c>
      <c r="D624" s="3">
        <f t="shared" si="81"/>
        <v>0</v>
      </c>
      <c r="E624" s="4">
        <f t="shared" si="82"/>
        <v>29</v>
      </c>
      <c r="F624" s="4">
        <f t="shared" si="83"/>
        <v>27</v>
      </c>
      <c r="G624" s="3">
        <f>IF(E624&gt;=20,2000,1900) + D624</f>
        <v>2000</v>
      </c>
      <c r="H624">
        <f t="shared" si="84"/>
        <v>9</v>
      </c>
      <c r="I624" s="4">
        <f t="shared" si="85"/>
        <v>27</v>
      </c>
      <c r="J624">
        <f t="shared" si="86"/>
        <v>20000927</v>
      </c>
      <c r="K624" t="str">
        <f t="shared" si="87"/>
        <v>27.09.2000</v>
      </c>
      <c r="L624" s="10">
        <f t="shared" si="88"/>
        <v>8141</v>
      </c>
      <c r="M624" s="8">
        <f t="shared" si="89"/>
        <v>22</v>
      </c>
    </row>
    <row r="625" spans="1:13" x14ac:dyDescent="0.25">
      <c r="A625" s="4" t="s">
        <v>651</v>
      </c>
      <c r="B625" t="s">
        <v>15</v>
      </c>
      <c r="C625" t="s">
        <v>4</v>
      </c>
      <c r="D625" s="3">
        <f t="shared" si="81"/>
        <v>9</v>
      </c>
      <c r="E625" s="4">
        <f t="shared" si="82"/>
        <v>28</v>
      </c>
      <c r="F625" s="4">
        <f t="shared" si="83"/>
        <v>8</v>
      </c>
      <c r="G625" s="3">
        <f>IF(E625&gt;=20,2000,1900) + D625</f>
        <v>2009</v>
      </c>
      <c r="H625">
        <f t="shared" si="84"/>
        <v>8</v>
      </c>
      <c r="I625" s="4">
        <f t="shared" si="85"/>
        <v>8</v>
      </c>
      <c r="J625">
        <f t="shared" si="86"/>
        <v>20090808</v>
      </c>
      <c r="K625" t="str">
        <f t="shared" si="87"/>
        <v>08.08.2009</v>
      </c>
      <c r="L625" s="10">
        <f t="shared" si="88"/>
        <v>4904</v>
      </c>
      <c r="M625" s="8">
        <f t="shared" si="89"/>
        <v>13</v>
      </c>
    </row>
    <row r="626" spans="1:13" x14ac:dyDescent="0.25">
      <c r="A626" s="4" t="s">
        <v>652</v>
      </c>
      <c r="B626" t="s">
        <v>12</v>
      </c>
      <c r="C626" t="s">
        <v>4</v>
      </c>
      <c r="D626" s="3">
        <f t="shared" si="81"/>
        <v>7</v>
      </c>
      <c r="E626" s="4">
        <f t="shared" si="82"/>
        <v>23</v>
      </c>
      <c r="F626" s="4">
        <f t="shared" si="83"/>
        <v>1</v>
      </c>
      <c r="G626" s="3">
        <f>IF(E626&gt;=20,2000,1900) + D626</f>
        <v>2007</v>
      </c>
      <c r="H626">
        <f t="shared" si="84"/>
        <v>3</v>
      </c>
      <c r="I626" s="4">
        <f t="shared" si="85"/>
        <v>1</v>
      </c>
      <c r="J626">
        <f t="shared" si="86"/>
        <v>20070301</v>
      </c>
      <c r="K626" t="str">
        <f t="shared" si="87"/>
        <v>01.03.2007</v>
      </c>
      <c r="L626" s="10">
        <f t="shared" si="88"/>
        <v>5795</v>
      </c>
      <c r="M626" s="8">
        <f t="shared" si="89"/>
        <v>15</v>
      </c>
    </row>
    <row r="627" spans="1:13" x14ac:dyDescent="0.25">
      <c r="A627" s="4" t="s">
        <v>653</v>
      </c>
      <c r="B627" t="s">
        <v>12</v>
      </c>
      <c r="C627" t="s">
        <v>6</v>
      </c>
      <c r="D627" s="3">
        <f t="shared" si="81"/>
        <v>13</v>
      </c>
      <c r="E627" s="4">
        <f t="shared" si="82"/>
        <v>24</v>
      </c>
      <c r="F627" s="4">
        <f t="shared" si="83"/>
        <v>27</v>
      </c>
      <c r="G627" s="3">
        <f>IF(E627&gt;=20,2000,1900) + D627</f>
        <v>2013</v>
      </c>
      <c r="H627">
        <f t="shared" si="84"/>
        <v>4</v>
      </c>
      <c r="I627" s="4">
        <f t="shared" si="85"/>
        <v>27</v>
      </c>
      <c r="J627">
        <f t="shared" si="86"/>
        <v>20130427</v>
      </c>
      <c r="K627" t="str">
        <f t="shared" si="87"/>
        <v>27.04.2013</v>
      </c>
      <c r="L627" s="10">
        <f t="shared" si="88"/>
        <v>3546</v>
      </c>
      <c r="M627" s="8">
        <f t="shared" si="89"/>
        <v>9</v>
      </c>
    </row>
    <row r="628" spans="1:13" x14ac:dyDescent="0.25">
      <c r="A628" s="4" t="s">
        <v>654</v>
      </c>
      <c r="B628" t="s">
        <v>13</v>
      </c>
      <c r="C628" t="s">
        <v>6</v>
      </c>
      <c r="D628" s="3">
        <f t="shared" si="81"/>
        <v>19</v>
      </c>
      <c r="E628" s="4">
        <f t="shared" si="82"/>
        <v>30</v>
      </c>
      <c r="F628" s="4">
        <f t="shared" si="83"/>
        <v>16</v>
      </c>
      <c r="G628" s="3">
        <f>IF(E628&gt;=20,2000,1900) + D628</f>
        <v>2019</v>
      </c>
      <c r="H628">
        <f t="shared" si="84"/>
        <v>10</v>
      </c>
      <c r="I628" s="4">
        <f t="shared" si="85"/>
        <v>16</v>
      </c>
      <c r="J628">
        <f t="shared" si="86"/>
        <v>20191016</v>
      </c>
      <c r="K628" t="str">
        <f t="shared" si="87"/>
        <v>16.10.2019</v>
      </c>
      <c r="L628" s="10">
        <f t="shared" si="88"/>
        <v>1183</v>
      </c>
      <c r="M628" s="8">
        <f t="shared" si="89"/>
        <v>3</v>
      </c>
    </row>
    <row r="629" spans="1:13" x14ac:dyDescent="0.25">
      <c r="A629" s="4" t="s">
        <v>655</v>
      </c>
      <c r="B629" t="s">
        <v>3</v>
      </c>
      <c r="C629" t="s">
        <v>4</v>
      </c>
      <c r="D629" s="3">
        <f t="shared" si="81"/>
        <v>21</v>
      </c>
      <c r="E629" s="4">
        <f t="shared" si="82"/>
        <v>32</v>
      </c>
      <c r="F629" s="4">
        <f t="shared" si="83"/>
        <v>22</v>
      </c>
      <c r="G629" s="3">
        <f>IF(E629&gt;=20,2000,1900) + D629</f>
        <v>2021</v>
      </c>
      <c r="H629">
        <f t="shared" si="84"/>
        <v>12</v>
      </c>
      <c r="I629" s="4">
        <f t="shared" si="85"/>
        <v>22</v>
      </c>
      <c r="J629">
        <f t="shared" si="86"/>
        <v>20211222</v>
      </c>
      <c r="K629" t="str">
        <f t="shared" si="87"/>
        <v>22.12.2021</v>
      </c>
      <c r="L629" s="10">
        <f t="shared" si="88"/>
        <v>385</v>
      </c>
      <c r="M629" s="8">
        <f t="shared" si="89"/>
        <v>1</v>
      </c>
    </row>
    <row r="630" spans="1:13" x14ac:dyDescent="0.25">
      <c r="A630" s="4" t="s">
        <v>656</v>
      </c>
      <c r="B630" t="s">
        <v>3</v>
      </c>
      <c r="C630" t="s">
        <v>6</v>
      </c>
      <c r="D630" s="3">
        <f t="shared" si="81"/>
        <v>22</v>
      </c>
      <c r="E630" s="4">
        <f t="shared" si="82"/>
        <v>32</v>
      </c>
      <c r="F630" s="4">
        <f t="shared" si="83"/>
        <v>1</v>
      </c>
      <c r="G630" s="3">
        <f>IF(E630&gt;=20,2000,1900) + D630</f>
        <v>2022</v>
      </c>
      <c r="H630">
        <f t="shared" si="84"/>
        <v>12</v>
      </c>
      <c r="I630" s="4">
        <f t="shared" si="85"/>
        <v>1</v>
      </c>
      <c r="J630">
        <f t="shared" si="86"/>
        <v>20221201</v>
      </c>
      <c r="K630" t="str">
        <f t="shared" si="87"/>
        <v>01.12.2022</v>
      </c>
      <c r="L630" s="10">
        <f t="shared" si="88"/>
        <v>41</v>
      </c>
      <c r="M630" s="8">
        <f t="shared" si="89"/>
        <v>0</v>
      </c>
    </row>
    <row r="631" spans="1:13" x14ac:dyDescent="0.25">
      <c r="A631" s="4" t="s">
        <v>657</v>
      </c>
      <c r="B631" t="s">
        <v>15</v>
      </c>
      <c r="C631" t="s">
        <v>4</v>
      </c>
      <c r="D631" s="3">
        <f t="shared" si="81"/>
        <v>3</v>
      </c>
      <c r="E631" s="4">
        <f t="shared" si="82"/>
        <v>23</v>
      </c>
      <c r="F631" s="4">
        <f t="shared" si="83"/>
        <v>18</v>
      </c>
      <c r="G631" s="3">
        <f>IF(E631&gt;=20,2000,1900) + D631</f>
        <v>2003</v>
      </c>
      <c r="H631">
        <f t="shared" si="84"/>
        <v>3</v>
      </c>
      <c r="I631" s="4">
        <f t="shared" si="85"/>
        <v>18</v>
      </c>
      <c r="J631">
        <f t="shared" si="86"/>
        <v>20030318</v>
      </c>
      <c r="K631" t="str">
        <f t="shared" si="87"/>
        <v>18.03.2003</v>
      </c>
      <c r="L631" s="10">
        <f t="shared" si="88"/>
        <v>7239</v>
      </c>
      <c r="M631" s="8">
        <f t="shared" si="89"/>
        <v>19</v>
      </c>
    </row>
    <row r="632" spans="1:13" x14ac:dyDescent="0.25">
      <c r="A632" s="4" t="s">
        <v>658</v>
      </c>
      <c r="B632" t="s">
        <v>8</v>
      </c>
      <c r="C632" t="s">
        <v>6</v>
      </c>
      <c r="D632" s="3">
        <f t="shared" si="81"/>
        <v>16</v>
      </c>
      <c r="E632" s="4">
        <f t="shared" si="82"/>
        <v>21</v>
      </c>
      <c r="F632" s="4">
        <f t="shared" si="83"/>
        <v>1</v>
      </c>
      <c r="G632" s="3">
        <f>IF(E632&gt;=20,2000,1900) + D632</f>
        <v>2016</v>
      </c>
      <c r="H632">
        <f t="shared" si="84"/>
        <v>1</v>
      </c>
      <c r="I632" s="4">
        <f t="shared" si="85"/>
        <v>1</v>
      </c>
      <c r="J632">
        <f t="shared" si="86"/>
        <v>20160101</v>
      </c>
      <c r="K632" t="str">
        <f t="shared" si="87"/>
        <v>01.01.2016</v>
      </c>
      <c r="L632" s="10">
        <f t="shared" si="88"/>
        <v>2567</v>
      </c>
      <c r="M632" s="8">
        <f t="shared" si="89"/>
        <v>7</v>
      </c>
    </row>
    <row r="633" spans="1:13" x14ac:dyDescent="0.25">
      <c r="A633" s="4" t="s">
        <v>659</v>
      </c>
      <c r="B633" t="s">
        <v>5</v>
      </c>
      <c r="C633" t="s">
        <v>6</v>
      </c>
      <c r="D633" s="3">
        <f t="shared" si="81"/>
        <v>18</v>
      </c>
      <c r="E633" s="4">
        <f t="shared" si="82"/>
        <v>32</v>
      </c>
      <c r="F633" s="4">
        <f t="shared" si="83"/>
        <v>14</v>
      </c>
      <c r="G633" s="3">
        <f>IF(E633&gt;=20,2000,1900) + D633</f>
        <v>2018</v>
      </c>
      <c r="H633">
        <f t="shared" si="84"/>
        <v>12</v>
      </c>
      <c r="I633" s="4">
        <f t="shared" si="85"/>
        <v>14</v>
      </c>
      <c r="J633">
        <f t="shared" si="86"/>
        <v>20181214</v>
      </c>
      <c r="K633" t="str">
        <f t="shared" si="87"/>
        <v>14.12.2018</v>
      </c>
      <c r="L633" s="10">
        <f t="shared" si="88"/>
        <v>1489</v>
      </c>
      <c r="M633" s="8">
        <f t="shared" si="89"/>
        <v>4</v>
      </c>
    </row>
    <row r="634" spans="1:13" x14ac:dyDescent="0.25">
      <c r="A634" s="4" t="s">
        <v>660</v>
      </c>
      <c r="B634" t="s">
        <v>12</v>
      </c>
      <c r="C634" t="s">
        <v>4</v>
      </c>
      <c r="D634" s="3">
        <f t="shared" si="81"/>
        <v>16</v>
      </c>
      <c r="E634" s="4">
        <f t="shared" si="82"/>
        <v>26</v>
      </c>
      <c r="F634" s="4">
        <f t="shared" si="83"/>
        <v>16</v>
      </c>
      <c r="G634" s="3">
        <f>IF(E634&gt;=20,2000,1900) + D634</f>
        <v>2016</v>
      </c>
      <c r="H634">
        <f t="shared" si="84"/>
        <v>6</v>
      </c>
      <c r="I634" s="4">
        <f t="shared" si="85"/>
        <v>16</v>
      </c>
      <c r="J634">
        <f t="shared" si="86"/>
        <v>20160616</v>
      </c>
      <c r="K634" t="str">
        <f t="shared" si="87"/>
        <v>16.06.2016</v>
      </c>
      <c r="L634" s="10">
        <f t="shared" si="88"/>
        <v>2400</v>
      </c>
      <c r="M634" s="8">
        <f t="shared" si="89"/>
        <v>6</v>
      </c>
    </row>
    <row r="635" spans="1:13" x14ac:dyDescent="0.25">
      <c r="A635" s="4" t="s">
        <v>661</v>
      </c>
      <c r="B635" t="s">
        <v>13</v>
      </c>
      <c r="C635" t="s">
        <v>4</v>
      </c>
      <c r="D635" s="3">
        <f t="shared" si="81"/>
        <v>7</v>
      </c>
      <c r="E635" s="4">
        <f t="shared" si="82"/>
        <v>27</v>
      </c>
      <c r="F635" s="4">
        <f t="shared" si="83"/>
        <v>2</v>
      </c>
      <c r="G635" s="3">
        <f>IF(E635&gt;=20,2000,1900) + D635</f>
        <v>2007</v>
      </c>
      <c r="H635">
        <f t="shared" si="84"/>
        <v>7</v>
      </c>
      <c r="I635" s="4">
        <f t="shared" si="85"/>
        <v>2</v>
      </c>
      <c r="J635">
        <f t="shared" si="86"/>
        <v>20070702</v>
      </c>
      <c r="K635" t="str">
        <f t="shared" si="87"/>
        <v>02.07.2007</v>
      </c>
      <c r="L635" s="10">
        <f t="shared" si="88"/>
        <v>5672</v>
      </c>
      <c r="M635" s="8">
        <f t="shared" si="89"/>
        <v>15</v>
      </c>
    </row>
    <row r="636" spans="1:13" x14ac:dyDescent="0.25">
      <c r="A636" s="4" t="s">
        <v>662</v>
      </c>
      <c r="B636" t="s">
        <v>20</v>
      </c>
      <c r="C636" t="s">
        <v>6</v>
      </c>
      <c r="D636" s="3">
        <f t="shared" si="81"/>
        <v>12</v>
      </c>
      <c r="E636" s="4">
        <f t="shared" si="82"/>
        <v>23</v>
      </c>
      <c r="F636" s="4">
        <f t="shared" si="83"/>
        <v>3</v>
      </c>
      <c r="G636" s="3">
        <f>IF(E636&gt;=20,2000,1900) + D636</f>
        <v>2012</v>
      </c>
      <c r="H636">
        <f t="shared" si="84"/>
        <v>3</v>
      </c>
      <c r="I636" s="4">
        <f t="shared" si="85"/>
        <v>3</v>
      </c>
      <c r="J636">
        <f t="shared" si="86"/>
        <v>20120303</v>
      </c>
      <c r="K636" t="str">
        <f t="shared" si="87"/>
        <v>03.03.2012</v>
      </c>
      <c r="L636" s="10">
        <f t="shared" si="88"/>
        <v>3966</v>
      </c>
      <c r="M636" s="8">
        <f t="shared" si="89"/>
        <v>10</v>
      </c>
    </row>
    <row r="637" spans="1:13" x14ac:dyDescent="0.25">
      <c r="A637" s="4" t="s">
        <v>663</v>
      </c>
      <c r="B637" t="s">
        <v>3</v>
      </c>
      <c r="C637" t="s">
        <v>6</v>
      </c>
      <c r="D637" s="3">
        <f t="shared" si="81"/>
        <v>19</v>
      </c>
      <c r="E637" s="4">
        <f t="shared" si="82"/>
        <v>31</v>
      </c>
      <c r="F637" s="4">
        <f t="shared" si="83"/>
        <v>22</v>
      </c>
      <c r="G637" s="3">
        <f>IF(E637&gt;=20,2000,1900) + D637</f>
        <v>2019</v>
      </c>
      <c r="H637">
        <f t="shared" si="84"/>
        <v>11</v>
      </c>
      <c r="I637" s="4">
        <f t="shared" si="85"/>
        <v>22</v>
      </c>
      <c r="J637">
        <f t="shared" si="86"/>
        <v>20191122</v>
      </c>
      <c r="K637" t="str">
        <f t="shared" si="87"/>
        <v>22.11.2019</v>
      </c>
      <c r="L637" s="10">
        <f t="shared" si="88"/>
        <v>1146</v>
      </c>
      <c r="M637" s="8">
        <f t="shared" si="89"/>
        <v>3</v>
      </c>
    </row>
    <row r="638" spans="1:13" x14ac:dyDescent="0.25">
      <c r="A638" s="4" t="s">
        <v>664</v>
      </c>
      <c r="B638" t="s">
        <v>19</v>
      </c>
      <c r="C638" t="s">
        <v>6</v>
      </c>
      <c r="D638" s="3">
        <f t="shared" si="81"/>
        <v>1</v>
      </c>
      <c r="E638" s="4">
        <f t="shared" si="82"/>
        <v>30</v>
      </c>
      <c r="F638" s="4">
        <f t="shared" si="83"/>
        <v>8</v>
      </c>
      <c r="G638" s="3">
        <f>IF(E638&gt;=20,2000,1900) + D638</f>
        <v>2001</v>
      </c>
      <c r="H638">
        <f t="shared" si="84"/>
        <v>10</v>
      </c>
      <c r="I638" s="4">
        <f t="shared" si="85"/>
        <v>8</v>
      </c>
      <c r="J638">
        <f t="shared" si="86"/>
        <v>20011008</v>
      </c>
      <c r="K638" t="str">
        <f t="shared" si="87"/>
        <v>08.10.2001</v>
      </c>
      <c r="L638" s="10">
        <f t="shared" si="88"/>
        <v>7765</v>
      </c>
      <c r="M638" s="8">
        <f t="shared" si="89"/>
        <v>21</v>
      </c>
    </row>
    <row r="639" spans="1:13" x14ac:dyDescent="0.25">
      <c r="A639" s="4" t="s">
        <v>665</v>
      </c>
      <c r="B639" t="s">
        <v>10</v>
      </c>
      <c r="C639" t="s">
        <v>4</v>
      </c>
      <c r="D639" s="3">
        <f t="shared" si="81"/>
        <v>19</v>
      </c>
      <c r="E639" s="4">
        <f t="shared" si="82"/>
        <v>21</v>
      </c>
      <c r="F639" s="4">
        <f t="shared" si="83"/>
        <v>11</v>
      </c>
      <c r="G639" s="3">
        <f>IF(E639&gt;=20,2000,1900) + D639</f>
        <v>2019</v>
      </c>
      <c r="H639">
        <f t="shared" si="84"/>
        <v>1</v>
      </c>
      <c r="I639" s="4">
        <f t="shared" si="85"/>
        <v>11</v>
      </c>
      <c r="J639">
        <f t="shared" si="86"/>
        <v>20190111</v>
      </c>
      <c r="K639" t="str">
        <f t="shared" si="87"/>
        <v>11.01.2019</v>
      </c>
      <c r="L639" s="10">
        <f t="shared" si="88"/>
        <v>1461</v>
      </c>
      <c r="M639" s="8">
        <f t="shared" si="89"/>
        <v>3</v>
      </c>
    </row>
    <row r="640" spans="1:13" x14ac:dyDescent="0.25">
      <c r="A640" s="4" t="s">
        <v>666</v>
      </c>
      <c r="B640" t="s">
        <v>16</v>
      </c>
      <c r="C640" t="s">
        <v>4</v>
      </c>
      <c r="D640" s="3">
        <f t="shared" si="81"/>
        <v>22</v>
      </c>
      <c r="E640" s="4">
        <f t="shared" si="82"/>
        <v>24</v>
      </c>
      <c r="F640" s="4">
        <f t="shared" si="83"/>
        <v>26</v>
      </c>
      <c r="G640" s="3">
        <f>IF(E640&gt;=20,2000,1900) + D640</f>
        <v>2022</v>
      </c>
      <c r="H640">
        <f t="shared" si="84"/>
        <v>4</v>
      </c>
      <c r="I640" s="4">
        <f t="shared" si="85"/>
        <v>26</v>
      </c>
      <c r="J640">
        <f t="shared" si="86"/>
        <v>20220426</v>
      </c>
      <c r="K640" t="str">
        <f t="shared" si="87"/>
        <v>26.04.2022</v>
      </c>
      <c r="L640" s="10">
        <f t="shared" si="88"/>
        <v>260</v>
      </c>
      <c r="M640" s="8">
        <f t="shared" si="89"/>
        <v>0</v>
      </c>
    </row>
    <row r="641" spans="1:13" x14ac:dyDescent="0.25">
      <c r="A641" s="4" t="s">
        <v>667</v>
      </c>
      <c r="B641" t="s">
        <v>8</v>
      </c>
      <c r="C641" t="s">
        <v>6</v>
      </c>
      <c r="D641" s="3">
        <f t="shared" si="81"/>
        <v>22</v>
      </c>
      <c r="E641" s="4">
        <f t="shared" si="82"/>
        <v>23</v>
      </c>
      <c r="F641" s="4">
        <f t="shared" si="83"/>
        <v>11</v>
      </c>
      <c r="G641" s="3">
        <f>IF(E641&gt;=20,2000,1900) + D641</f>
        <v>2022</v>
      </c>
      <c r="H641">
        <f t="shared" si="84"/>
        <v>3</v>
      </c>
      <c r="I641" s="4">
        <f t="shared" si="85"/>
        <v>11</v>
      </c>
      <c r="J641">
        <f t="shared" si="86"/>
        <v>20220311</v>
      </c>
      <c r="K641" t="str">
        <f t="shared" si="87"/>
        <v>11.03.2022</v>
      </c>
      <c r="L641" s="10">
        <f t="shared" si="88"/>
        <v>306</v>
      </c>
      <c r="M641" s="8">
        <f t="shared" si="89"/>
        <v>0</v>
      </c>
    </row>
    <row r="642" spans="1:13" x14ac:dyDescent="0.25">
      <c r="A642" s="4" t="s">
        <v>668</v>
      </c>
      <c r="B642" t="s">
        <v>20</v>
      </c>
      <c r="C642" t="s">
        <v>4</v>
      </c>
      <c r="D642" s="3">
        <f t="shared" si="81"/>
        <v>7</v>
      </c>
      <c r="E642" s="4">
        <f t="shared" si="82"/>
        <v>26</v>
      </c>
      <c r="F642" s="4">
        <f t="shared" si="83"/>
        <v>27</v>
      </c>
      <c r="G642" s="3">
        <f>IF(E642&gt;=20,2000,1900) + D642</f>
        <v>2007</v>
      </c>
      <c r="H642">
        <f t="shared" si="84"/>
        <v>6</v>
      </c>
      <c r="I642" s="4">
        <f t="shared" si="85"/>
        <v>27</v>
      </c>
      <c r="J642">
        <f t="shared" si="86"/>
        <v>20070627</v>
      </c>
      <c r="K642" t="str">
        <f t="shared" si="87"/>
        <v>27.06.2007</v>
      </c>
      <c r="L642" s="10">
        <f t="shared" si="88"/>
        <v>5677</v>
      </c>
      <c r="M642" s="8">
        <f t="shared" si="89"/>
        <v>15</v>
      </c>
    </row>
    <row r="643" spans="1:13" x14ac:dyDescent="0.25">
      <c r="A643" s="4" t="s">
        <v>669</v>
      </c>
      <c r="B643" t="s">
        <v>17</v>
      </c>
      <c r="C643" t="s">
        <v>6</v>
      </c>
      <c r="D643" s="3">
        <f t="shared" ref="D643:D706" si="90">MID(A643,1,2)*1</f>
        <v>10</v>
      </c>
      <c r="E643" s="4">
        <f t="shared" ref="E643:E706" si="91">MID(A643,3,2)*1</f>
        <v>24</v>
      </c>
      <c r="F643" s="4">
        <f t="shared" ref="F643:F706" si="92">MID(A643,5,2)*1</f>
        <v>21</v>
      </c>
      <c r="G643" s="3">
        <f>IF(E643&gt;=20,2000,1900) + D643</f>
        <v>2010</v>
      </c>
      <c r="H643">
        <f t="shared" ref="H643:H706" si="93">IF(E643&gt;=20,E643-20,E643)</f>
        <v>4</v>
      </c>
      <c r="I643" s="4">
        <f t="shared" ref="I643:I706" si="94">F643</f>
        <v>21</v>
      </c>
      <c r="J643">
        <f t="shared" ref="J643:J706" si="95">CONCATENATE(G643,IF(LEN(H643)=1,CONCATENATE("0",H643),H643),IF(LEN(F643)=1,CONCATENATE("0",F643),F643))*1</f>
        <v>20100421</v>
      </c>
      <c r="K643" t="str">
        <f t="shared" ref="K643:K706" si="96">CONCATENATE(RIGHT(J643,2),".",MID(J643,5,2),".",LEFT(J643,4))</f>
        <v>21.04.2010</v>
      </c>
      <c r="L643" s="10">
        <f t="shared" ref="L643:L706" si="97">44937-K643</f>
        <v>4648</v>
      </c>
      <c r="M643" s="8">
        <f t="shared" ref="M643:M706" si="98">YEAR(L643)-1900</f>
        <v>12</v>
      </c>
    </row>
    <row r="644" spans="1:13" x14ac:dyDescent="0.25">
      <c r="A644" s="4" t="s">
        <v>670</v>
      </c>
      <c r="B644" t="s">
        <v>18</v>
      </c>
      <c r="C644" t="s">
        <v>4</v>
      </c>
      <c r="D644" s="3">
        <f t="shared" si="90"/>
        <v>5</v>
      </c>
      <c r="E644" s="4">
        <f t="shared" si="91"/>
        <v>29</v>
      </c>
      <c r="F644" s="4">
        <f t="shared" si="92"/>
        <v>22</v>
      </c>
      <c r="G644" s="3">
        <f>IF(E644&gt;=20,2000,1900) + D644</f>
        <v>2005</v>
      </c>
      <c r="H644">
        <f t="shared" si="93"/>
        <v>9</v>
      </c>
      <c r="I644" s="4">
        <f t="shared" si="94"/>
        <v>22</v>
      </c>
      <c r="J644">
        <f t="shared" si="95"/>
        <v>20050922</v>
      </c>
      <c r="K644" t="str">
        <f t="shared" si="96"/>
        <v>22.09.2005</v>
      </c>
      <c r="L644" s="10">
        <f t="shared" si="97"/>
        <v>6320</v>
      </c>
      <c r="M644" s="8">
        <f t="shared" si="98"/>
        <v>17</v>
      </c>
    </row>
    <row r="645" spans="1:13" x14ac:dyDescent="0.25">
      <c r="A645" s="4" t="s">
        <v>671</v>
      </c>
      <c r="B645" t="s">
        <v>8</v>
      </c>
      <c r="C645" t="s">
        <v>4</v>
      </c>
      <c r="D645" s="3">
        <f t="shared" si="90"/>
        <v>14</v>
      </c>
      <c r="E645" s="4">
        <f t="shared" si="91"/>
        <v>28</v>
      </c>
      <c r="F645" s="4">
        <f t="shared" si="92"/>
        <v>22</v>
      </c>
      <c r="G645" s="3">
        <f>IF(E645&gt;=20,2000,1900) + D645</f>
        <v>2014</v>
      </c>
      <c r="H645">
        <f t="shared" si="93"/>
        <v>8</v>
      </c>
      <c r="I645" s="4">
        <f t="shared" si="94"/>
        <v>22</v>
      </c>
      <c r="J645">
        <f t="shared" si="95"/>
        <v>20140822</v>
      </c>
      <c r="K645" t="str">
        <f t="shared" si="96"/>
        <v>22.08.2014</v>
      </c>
      <c r="L645" s="10">
        <f t="shared" si="97"/>
        <v>3064</v>
      </c>
      <c r="M645" s="8">
        <f t="shared" si="98"/>
        <v>8</v>
      </c>
    </row>
    <row r="646" spans="1:13" x14ac:dyDescent="0.25">
      <c r="A646" s="4" t="s">
        <v>672</v>
      </c>
      <c r="B646" t="s">
        <v>5</v>
      </c>
      <c r="C646" t="s">
        <v>6</v>
      </c>
      <c r="D646" s="3">
        <f t="shared" si="90"/>
        <v>18</v>
      </c>
      <c r="E646" s="4">
        <f t="shared" si="91"/>
        <v>23</v>
      </c>
      <c r="F646" s="4">
        <f t="shared" si="92"/>
        <v>2</v>
      </c>
      <c r="G646" s="3">
        <f>IF(E646&gt;=20,2000,1900) + D646</f>
        <v>2018</v>
      </c>
      <c r="H646">
        <f t="shared" si="93"/>
        <v>3</v>
      </c>
      <c r="I646" s="4">
        <f t="shared" si="94"/>
        <v>2</v>
      </c>
      <c r="J646">
        <f t="shared" si="95"/>
        <v>20180302</v>
      </c>
      <c r="K646" t="str">
        <f t="shared" si="96"/>
        <v>02.03.2018</v>
      </c>
      <c r="L646" s="10">
        <f t="shared" si="97"/>
        <v>1776</v>
      </c>
      <c r="M646" s="8">
        <f t="shared" si="98"/>
        <v>4</v>
      </c>
    </row>
    <row r="647" spans="1:13" x14ac:dyDescent="0.25">
      <c r="A647" s="4" t="s">
        <v>673</v>
      </c>
      <c r="B647" t="s">
        <v>3</v>
      </c>
      <c r="C647" t="s">
        <v>6</v>
      </c>
      <c r="D647" s="3">
        <f t="shared" si="90"/>
        <v>9</v>
      </c>
      <c r="E647" s="4">
        <f t="shared" si="91"/>
        <v>31</v>
      </c>
      <c r="F647" s="4">
        <f t="shared" si="92"/>
        <v>3</v>
      </c>
      <c r="G647" s="3">
        <f>IF(E647&gt;=20,2000,1900) + D647</f>
        <v>2009</v>
      </c>
      <c r="H647">
        <f t="shared" si="93"/>
        <v>11</v>
      </c>
      <c r="I647" s="4">
        <f t="shared" si="94"/>
        <v>3</v>
      </c>
      <c r="J647">
        <f t="shared" si="95"/>
        <v>20091103</v>
      </c>
      <c r="K647" t="str">
        <f t="shared" si="96"/>
        <v>03.11.2009</v>
      </c>
      <c r="L647" s="10">
        <f t="shared" si="97"/>
        <v>4817</v>
      </c>
      <c r="M647" s="8">
        <f t="shared" si="98"/>
        <v>13</v>
      </c>
    </row>
    <row r="648" spans="1:13" x14ac:dyDescent="0.25">
      <c r="A648" s="4" t="s">
        <v>674</v>
      </c>
      <c r="B648" t="s">
        <v>11</v>
      </c>
      <c r="C648" t="s">
        <v>4</v>
      </c>
      <c r="D648" s="3">
        <f t="shared" si="90"/>
        <v>14</v>
      </c>
      <c r="E648" s="4">
        <f t="shared" si="91"/>
        <v>29</v>
      </c>
      <c r="F648" s="4">
        <f t="shared" si="92"/>
        <v>13</v>
      </c>
      <c r="G648" s="3">
        <f>IF(E648&gt;=20,2000,1900) + D648</f>
        <v>2014</v>
      </c>
      <c r="H648">
        <f t="shared" si="93"/>
        <v>9</v>
      </c>
      <c r="I648" s="4">
        <f t="shared" si="94"/>
        <v>13</v>
      </c>
      <c r="J648">
        <f t="shared" si="95"/>
        <v>20140913</v>
      </c>
      <c r="K648" t="str">
        <f t="shared" si="96"/>
        <v>13.09.2014</v>
      </c>
      <c r="L648" s="10">
        <f t="shared" si="97"/>
        <v>3042</v>
      </c>
      <c r="M648" s="8">
        <f t="shared" si="98"/>
        <v>8</v>
      </c>
    </row>
    <row r="649" spans="1:13" x14ac:dyDescent="0.25">
      <c r="A649" s="4" t="s">
        <v>675</v>
      </c>
      <c r="B649" t="s">
        <v>16</v>
      </c>
      <c r="C649" t="s">
        <v>6</v>
      </c>
      <c r="D649" s="3">
        <f t="shared" si="90"/>
        <v>5</v>
      </c>
      <c r="E649" s="4">
        <f t="shared" si="91"/>
        <v>22</v>
      </c>
      <c r="F649" s="4">
        <f t="shared" si="92"/>
        <v>8</v>
      </c>
      <c r="G649" s="3">
        <f>IF(E649&gt;=20,2000,1900) + D649</f>
        <v>2005</v>
      </c>
      <c r="H649">
        <f t="shared" si="93"/>
        <v>2</v>
      </c>
      <c r="I649" s="4">
        <f t="shared" si="94"/>
        <v>8</v>
      </c>
      <c r="J649">
        <f t="shared" si="95"/>
        <v>20050208</v>
      </c>
      <c r="K649" t="str">
        <f t="shared" si="96"/>
        <v>08.02.2005</v>
      </c>
      <c r="L649" s="10">
        <f t="shared" si="97"/>
        <v>6546</v>
      </c>
      <c r="M649" s="8">
        <f t="shared" si="98"/>
        <v>17</v>
      </c>
    </row>
    <row r="650" spans="1:13" x14ac:dyDescent="0.25">
      <c r="A650" s="4" t="s">
        <v>676</v>
      </c>
      <c r="B650" t="s">
        <v>14</v>
      </c>
      <c r="C650" t="s">
        <v>6</v>
      </c>
      <c r="D650" s="3">
        <f t="shared" si="90"/>
        <v>1</v>
      </c>
      <c r="E650" s="4">
        <f t="shared" si="91"/>
        <v>29</v>
      </c>
      <c r="F650" s="4">
        <f t="shared" si="92"/>
        <v>15</v>
      </c>
      <c r="G650" s="3">
        <f>IF(E650&gt;=20,2000,1900) + D650</f>
        <v>2001</v>
      </c>
      <c r="H650">
        <f t="shared" si="93"/>
        <v>9</v>
      </c>
      <c r="I650" s="4">
        <f t="shared" si="94"/>
        <v>15</v>
      </c>
      <c r="J650">
        <f t="shared" si="95"/>
        <v>20010915</v>
      </c>
      <c r="K650" t="str">
        <f t="shared" si="96"/>
        <v>15.09.2001</v>
      </c>
      <c r="L650" s="10">
        <f t="shared" si="97"/>
        <v>7788</v>
      </c>
      <c r="M650" s="8">
        <f t="shared" si="98"/>
        <v>21</v>
      </c>
    </row>
    <row r="651" spans="1:13" x14ac:dyDescent="0.25">
      <c r="A651" s="4" t="s">
        <v>677</v>
      </c>
      <c r="B651" t="s">
        <v>13</v>
      </c>
      <c r="C651" t="s">
        <v>4</v>
      </c>
      <c r="D651" s="3">
        <f t="shared" si="90"/>
        <v>3</v>
      </c>
      <c r="E651" s="4">
        <f t="shared" si="91"/>
        <v>22</v>
      </c>
      <c r="F651" s="4">
        <f t="shared" si="92"/>
        <v>10</v>
      </c>
      <c r="G651" s="3">
        <f>IF(E651&gt;=20,2000,1900) + D651</f>
        <v>2003</v>
      </c>
      <c r="H651">
        <f t="shared" si="93"/>
        <v>2</v>
      </c>
      <c r="I651" s="4">
        <f t="shared" si="94"/>
        <v>10</v>
      </c>
      <c r="J651">
        <f t="shared" si="95"/>
        <v>20030210</v>
      </c>
      <c r="K651" t="str">
        <f t="shared" si="96"/>
        <v>10.02.2003</v>
      </c>
      <c r="L651" s="10">
        <f t="shared" si="97"/>
        <v>7275</v>
      </c>
      <c r="M651" s="8">
        <f t="shared" si="98"/>
        <v>19</v>
      </c>
    </row>
    <row r="652" spans="1:13" x14ac:dyDescent="0.25">
      <c r="A652" s="4" t="s">
        <v>678</v>
      </c>
      <c r="B652" t="s">
        <v>14</v>
      </c>
      <c r="C652" t="s">
        <v>4</v>
      </c>
      <c r="D652" s="3">
        <f t="shared" si="90"/>
        <v>13</v>
      </c>
      <c r="E652" s="4">
        <f t="shared" si="91"/>
        <v>28</v>
      </c>
      <c r="F652" s="4">
        <f t="shared" si="92"/>
        <v>16</v>
      </c>
      <c r="G652" s="3">
        <f>IF(E652&gt;=20,2000,1900) + D652</f>
        <v>2013</v>
      </c>
      <c r="H652">
        <f t="shared" si="93"/>
        <v>8</v>
      </c>
      <c r="I652" s="4">
        <f t="shared" si="94"/>
        <v>16</v>
      </c>
      <c r="J652">
        <f t="shared" si="95"/>
        <v>20130816</v>
      </c>
      <c r="K652" t="str">
        <f t="shared" si="96"/>
        <v>16.08.2013</v>
      </c>
      <c r="L652" s="10">
        <f t="shared" si="97"/>
        <v>3435</v>
      </c>
      <c r="M652" s="8">
        <f t="shared" si="98"/>
        <v>9</v>
      </c>
    </row>
    <row r="653" spans="1:13" x14ac:dyDescent="0.25">
      <c r="A653" s="4" t="s">
        <v>679</v>
      </c>
      <c r="B653" t="s">
        <v>19</v>
      </c>
      <c r="C653" t="s">
        <v>6</v>
      </c>
      <c r="D653" s="3">
        <f t="shared" si="90"/>
        <v>22</v>
      </c>
      <c r="E653" s="4">
        <f t="shared" si="91"/>
        <v>26</v>
      </c>
      <c r="F653" s="4">
        <f t="shared" si="92"/>
        <v>6</v>
      </c>
      <c r="G653" s="3">
        <f>IF(E653&gt;=20,2000,1900) + D653</f>
        <v>2022</v>
      </c>
      <c r="H653">
        <f t="shared" si="93"/>
        <v>6</v>
      </c>
      <c r="I653" s="4">
        <f t="shared" si="94"/>
        <v>6</v>
      </c>
      <c r="J653">
        <f t="shared" si="95"/>
        <v>20220606</v>
      </c>
      <c r="K653" t="str">
        <f t="shared" si="96"/>
        <v>06.06.2022</v>
      </c>
      <c r="L653" s="10">
        <f t="shared" si="97"/>
        <v>219</v>
      </c>
      <c r="M653" s="8">
        <f t="shared" si="98"/>
        <v>0</v>
      </c>
    </row>
    <row r="654" spans="1:13" x14ac:dyDescent="0.25">
      <c r="A654" s="4" t="s">
        <v>680</v>
      </c>
      <c r="B654" t="s">
        <v>5</v>
      </c>
      <c r="C654" t="s">
        <v>4</v>
      </c>
      <c r="D654" s="3">
        <f t="shared" si="90"/>
        <v>16</v>
      </c>
      <c r="E654" s="4">
        <f t="shared" si="91"/>
        <v>26</v>
      </c>
      <c r="F654" s="4">
        <f t="shared" si="92"/>
        <v>29</v>
      </c>
      <c r="G654" s="3">
        <f>IF(E654&gt;=20,2000,1900) + D654</f>
        <v>2016</v>
      </c>
      <c r="H654">
        <f t="shared" si="93"/>
        <v>6</v>
      </c>
      <c r="I654" s="4">
        <f t="shared" si="94"/>
        <v>29</v>
      </c>
      <c r="J654">
        <f t="shared" si="95"/>
        <v>20160629</v>
      </c>
      <c r="K654" t="str">
        <f t="shared" si="96"/>
        <v>29.06.2016</v>
      </c>
      <c r="L654" s="10">
        <f t="shared" si="97"/>
        <v>2387</v>
      </c>
      <c r="M654" s="8">
        <f t="shared" si="98"/>
        <v>6</v>
      </c>
    </row>
    <row r="655" spans="1:13" x14ac:dyDescent="0.25">
      <c r="A655" s="4" t="s">
        <v>681</v>
      </c>
      <c r="B655" t="s">
        <v>7</v>
      </c>
      <c r="C655" t="s">
        <v>4</v>
      </c>
      <c r="D655" s="3">
        <f t="shared" si="90"/>
        <v>3</v>
      </c>
      <c r="E655" s="4">
        <f t="shared" si="91"/>
        <v>26</v>
      </c>
      <c r="F655" s="4">
        <f t="shared" si="92"/>
        <v>25</v>
      </c>
      <c r="G655" s="3">
        <f>IF(E655&gt;=20,2000,1900) + D655</f>
        <v>2003</v>
      </c>
      <c r="H655">
        <f t="shared" si="93"/>
        <v>6</v>
      </c>
      <c r="I655" s="4">
        <f t="shared" si="94"/>
        <v>25</v>
      </c>
      <c r="J655">
        <f t="shared" si="95"/>
        <v>20030625</v>
      </c>
      <c r="K655" t="str">
        <f t="shared" si="96"/>
        <v>25.06.2003</v>
      </c>
      <c r="L655" s="10">
        <f t="shared" si="97"/>
        <v>7140</v>
      </c>
      <c r="M655" s="8">
        <f t="shared" si="98"/>
        <v>19</v>
      </c>
    </row>
    <row r="656" spans="1:13" x14ac:dyDescent="0.25">
      <c r="A656" s="4" t="s">
        <v>682</v>
      </c>
      <c r="B656" t="s">
        <v>18</v>
      </c>
      <c r="C656" t="s">
        <v>6</v>
      </c>
      <c r="D656" s="3">
        <f t="shared" si="90"/>
        <v>8</v>
      </c>
      <c r="E656" s="4">
        <f t="shared" si="91"/>
        <v>26</v>
      </c>
      <c r="F656" s="4">
        <f t="shared" si="92"/>
        <v>16</v>
      </c>
      <c r="G656" s="3">
        <f>IF(E656&gt;=20,2000,1900) + D656</f>
        <v>2008</v>
      </c>
      <c r="H656">
        <f t="shared" si="93"/>
        <v>6</v>
      </c>
      <c r="I656" s="4">
        <f t="shared" si="94"/>
        <v>16</v>
      </c>
      <c r="J656">
        <f t="shared" si="95"/>
        <v>20080616</v>
      </c>
      <c r="K656" t="str">
        <f t="shared" si="96"/>
        <v>16.06.2008</v>
      </c>
      <c r="L656" s="10">
        <f t="shared" si="97"/>
        <v>5322</v>
      </c>
      <c r="M656" s="8">
        <f t="shared" si="98"/>
        <v>14</v>
      </c>
    </row>
    <row r="657" spans="1:13" x14ac:dyDescent="0.25">
      <c r="A657" s="4" t="s">
        <v>683</v>
      </c>
      <c r="B657" t="s">
        <v>19</v>
      </c>
      <c r="C657" t="s">
        <v>4</v>
      </c>
      <c r="D657" s="3">
        <f t="shared" si="90"/>
        <v>7</v>
      </c>
      <c r="E657" s="4">
        <f t="shared" si="91"/>
        <v>22</v>
      </c>
      <c r="F657" s="4">
        <f t="shared" si="92"/>
        <v>16</v>
      </c>
      <c r="G657" s="3">
        <f>IF(E657&gt;=20,2000,1900) + D657</f>
        <v>2007</v>
      </c>
      <c r="H657">
        <f t="shared" si="93"/>
        <v>2</v>
      </c>
      <c r="I657" s="4">
        <f t="shared" si="94"/>
        <v>16</v>
      </c>
      <c r="J657">
        <f t="shared" si="95"/>
        <v>20070216</v>
      </c>
      <c r="K657" t="str">
        <f t="shared" si="96"/>
        <v>16.02.2007</v>
      </c>
      <c r="L657" s="10">
        <f t="shared" si="97"/>
        <v>5808</v>
      </c>
      <c r="M657" s="8">
        <f t="shared" si="98"/>
        <v>15</v>
      </c>
    </row>
    <row r="658" spans="1:13" x14ac:dyDescent="0.25">
      <c r="A658" s="4" t="s">
        <v>684</v>
      </c>
      <c r="B658" t="s">
        <v>19</v>
      </c>
      <c r="C658" t="s">
        <v>4</v>
      </c>
      <c r="D658" s="3">
        <f t="shared" si="90"/>
        <v>3</v>
      </c>
      <c r="E658" s="4">
        <f t="shared" si="91"/>
        <v>22</v>
      </c>
      <c r="F658" s="4">
        <f t="shared" si="92"/>
        <v>10</v>
      </c>
      <c r="G658" s="3">
        <f>IF(E658&gt;=20,2000,1900) + D658</f>
        <v>2003</v>
      </c>
      <c r="H658">
        <f t="shared" si="93"/>
        <v>2</v>
      </c>
      <c r="I658" s="4">
        <f t="shared" si="94"/>
        <v>10</v>
      </c>
      <c r="J658">
        <f t="shared" si="95"/>
        <v>20030210</v>
      </c>
      <c r="K658" t="str">
        <f t="shared" si="96"/>
        <v>10.02.2003</v>
      </c>
      <c r="L658" s="10">
        <f t="shared" si="97"/>
        <v>7275</v>
      </c>
      <c r="M658" s="8">
        <f t="shared" si="98"/>
        <v>19</v>
      </c>
    </row>
    <row r="659" spans="1:13" x14ac:dyDescent="0.25">
      <c r="A659" s="4" t="s">
        <v>685</v>
      </c>
      <c r="B659" t="s">
        <v>9</v>
      </c>
      <c r="C659" t="s">
        <v>4</v>
      </c>
      <c r="D659" s="3">
        <f t="shared" si="90"/>
        <v>11</v>
      </c>
      <c r="E659" s="4">
        <f t="shared" si="91"/>
        <v>26</v>
      </c>
      <c r="F659" s="4">
        <f t="shared" si="92"/>
        <v>8</v>
      </c>
      <c r="G659" s="3">
        <f>IF(E659&gt;=20,2000,1900) + D659</f>
        <v>2011</v>
      </c>
      <c r="H659">
        <f t="shared" si="93"/>
        <v>6</v>
      </c>
      <c r="I659" s="4">
        <f t="shared" si="94"/>
        <v>8</v>
      </c>
      <c r="J659">
        <f t="shared" si="95"/>
        <v>20110608</v>
      </c>
      <c r="K659" t="str">
        <f t="shared" si="96"/>
        <v>08.06.2011</v>
      </c>
      <c r="L659" s="10">
        <f t="shared" si="97"/>
        <v>4235</v>
      </c>
      <c r="M659" s="8">
        <f t="shared" si="98"/>
        <v>11</v>
      </c>
    </row>
    <row r="660" spans="1:13" x14ac:dyDescent="0.25">
      <c r="A660" s="4" t="s">
        <v>686</v>
      </c>
      <c r="B660" t="s">
        <v>7</v>
      </c>
      <c r="C660" t="s">
        <v>4</v>
      </c>
      <c r="D660" s="3">
        <f t="shared" si="90"/>
        <v>14</v>
      </c>
      <c r="E660" s="4">
        <f t="shared" si="91"/>
        <v>24</v>
      </c>
      <c r="F660" s="4">
        <f t="shared" si="92"/>
        <v>11</v>
      </c>
      <c r="G660" s="3">
        <f>IF(E660&gt;=20,2000,1900) + D660</f>
        <v>2014</v>
      </c>
      <c r="H660">
        <f t="shared" si="93"/>
        <v>4</v>
      </c>
      <c r="I660" s="4">
        <f t="shared" si="94"/>
        <v>11</v>
      </c>
      <c r="J660">
        <f t="shared" si="95"/>
        <v>20140411</v>
      </c>
      <c r="K660" t="str">
        <f t="shared" si="96"/>
        <v>11.04.2014</v>
      </c>
      <c r="L660" s="10">
        <f t="shared" si="97"/>
        <v>3197</v>
      </c>
      <c r="M660" s="8">
        <f t="shared" si="98"/>
        <v>8</v>
      </c>
    </row>
    <row r="661" spans="1:13" x14ac:dyDescent="0.25">
      <c r="A661" s="4" t="s">
        <v>687</v>
      </c>
      <c r="B661" t="s">
        <v>19</v>
      </c>
      <c r="C661" t="s">
        <v>4</v>
      </c>
      <c r="D661" s="3">
        <f t="shared" si="90"/>
        <v>12</v>
      </c>
      <c r="E661" s="4">
        <f t="shared" si="91"/>
        <v>24</v>
      </c>
      <c r="F661" s="4">
        <f t="shared" si="92"/>
        <v>12</v>
      </c>
      <c r="G661" s="3">
        <f>IF(E661&gt;=20,2000,1900) + D661</f>
        <v>2012</v>
      </c>
      <c r="H661">
        <f t="shared" si="93"/>
        <v>4</v>
      </c>
      <c r="I661" s="4">
        <f t="shared" si="94"/>
        <v>12</v>
      </c>
      <c r="J661">
        <f t="shared" si="95"/>
        <v>20120412</v>
      </c>
      <c r="K661" t="str">
        <f t="shared" si="96"/>
        <v>12.04.2012</v>
      </c>
      <c r="L661" s="10">
        <f t="shared" si="97"/>
        <v>3926</v>
      </c>
      <c r="M661" s="8">
        <f t="shared" si="98"/>
        <v>10</v>
      </c>
    </row>
    <row r="662" spans="1:13" x14ac:dyDescent="0.25">
      <c r="A662" s="4" t="s">
        <v>688</v>
      </c>
      <c r="B662" t="s">
        <v>20</v>
      </c>
      <c r="C662" t="s">
        <v>6</v>
      </c>
      <c r="D662" s="3">
        <f t="shared" si="90"/>
        <v>4</v>
      </c>
      <c r="E662" s="4">
        <f t="shared" si="91"/>
        <v>21</v>
      </c>
      <c r="F662" s="4">
        <f t="shared" si="92"/>
        <v>31</v>
      </c>
      <c r="G662" s="3">
        <f>IF(E662&gt;=20,2000,1900) + D662</f>
        <v>2004</v>
      </c>
      <c r="H662">
        <f t="shared" si="93"/>
        <v>1</v>
      </c>
      <c r="I662" s="4">
        <f t="shared" si="94"/>
        <v>31</v>
      </c>
      <c r="J662">
        <f t="shared" si="95"/>
        <v>20040131</v>
      </c>
      <c r="K662" t="str">
        <f t="shared" si="96"/>
        <v>31.01.2004</v>
      </c>
      <c r="L662" s="10">
        <f t="shared" si="97"/>
        <v>6920</v>
      </c>
      <c r="M662" s="8">
        <f t="shared" si="98"/>
        <v>18</v>
      </c>
    </row>
    <row r="663" spans="1:13" x14ac:dyDescent="0.25">
      <c r="A663" s="4" t="s">
        <v>689</v>
      </c>
      <c r="B663" t="s">
        <v>10</v>
      </c>
      <c r="C663" t="s">
        <v>4</v>
      </c>
      <c r="D663" s="3">
        <f t="shared" si="90"/>
        <v>10</v>
      </c>
      <c r="E663" s="4">
        <f t="shared" si="91"/>
        <v>24</v>
      </c>
      <c r="F663" s="4">
        <f t="shared" si="92"/>
        <v>7</v>
      </c>
      <c r="G663" s="3">
        <f>IF(E663&gt;=20,2000,1900) + D663</f>
        <v>2010</v>
      </c>
      <c r="H663">
        <f t="shared" si="93"/>
        <v>4</v>
      </c>
      <c r="I663" s="4">
        <f t="shared" si="94"/>
        <v>7</v>
      </c>
      <c r="J663">
        <f t="shared" si="95"/>
        <v>20100407</v>
      </c>
      <c r="K663" t="str">
        <f t="shared" si="96"/>
        <v>07.04.2010</v>
      </c>
      <c r="L663" s="10">
        <f t="shared" si="97"/>
        <v>4662</v>
      </c>
      <c r="M663" s="8">
        <f t="shared" si="98"/>
        <v>12</v>
      </c>
    </row>
    <row r="664" spans="1:13" x14ac:dyDescent="0.25">
      <c r="A664" s="4" t="s">
        <v>690</v>
      </c>
      <c r="B664" t="s">
        <v>17</v>
      </c>
      <c r="C664" t="s">
        <v>6</v>
      </c>
      <c r="D664" s="3">
        <f t="shared" si="90"/>
        <v>19</v>
      </c>
      <c r="E664" s="4">
        <f t="shared" si="91"/>
        <v>25</v>
      </c>
      <c r="F664" s="4">
        <f t="shared" si="92"/>
        <v>11</v>
      </c>
      <c r="G664" s="3">
        <f>IF(E664&gt;=20,2000,1900) + D664</f>
        <v>2019</v>
      </c>
      <c r="H664">
        <f t="shared" si="93"/>
        <v>5</v>
      </c>
      <c r="I664" s="4">
        <f t="shared" si="94"/>
        <v>11</v>
      </c>
      <c r="J664">
        <f t="shared" si="95"/>
        <v>20190511</v>
      </c>
      <c r="K664" t="str">
        <f t="shared" si="96"/>
        <v>11.05.2019</v>
      </c>
      <c r="L664" s="10">
        <f t="shared" si="97"/>
        <v>1341</v>
      </c>
      <c r="M664" s="8">
        <f t="shared" si="98"/>
        <v>3</v>
      </c>
    </row>
    <row r="665" spans="1:13" x14ac:dyDescent="0.25">
      <c r="A665" s="4" t="s">
        <v>691</v>
      </c>
      <c r="B665" t="s">
        <v>14</v>
      </c>
      <c r="C665" t="s">
        <v>4</v>
      </c>
      <c r="D665" s="3">
        <f t="shared" si="90"/>
        <v>2</v>
      </c>
      <c r="E665" s="4">
        <f t="shared" si="91"/>
        <v>21</v>
      </c>
      <c r="F665" s="4">
        <f t="shared" si="92"/>
        <v>8</v>
      </c>
      <c r="G665" s="3">
        <f>IF(E665&gt;=20,2000,1900) + D665</f>
        <v>2002</v>
      </c>
      <c r="H665">
        <f t="shared" si="93"/>
        <v>1</v>
      </c>
      <c r="I665" s="4">
        <f t="shared" si="94"/>
        <v>8</v>
      </c>
      <c r="J665">
        <f t="shared" si="95"/>
        <v>20020108</v>
      </c>
      <c r="K665" t="str">
        <f t="shared" si="96"/>
        <v>08.01.2002</v>
      </c>
      <c r="L665" s="10">
        <f t="shared" si="97"/>
        <v>7673</v>
      </c>
      <c r="M665" s="8">
        <f t="shared" si="98"/>
        <v>21</v>
      </c>
    </row>
    <row r="666" spans="1:13" x14ac:dyDescent="0.25">
      <c r="A666" s="4" t="s">
        <v>692</v>
      </c>
      <c r="B666" t="s">
        <v>19</v>
      </c>
      <c r="C666" t="s">
        <v>4</v>
      </c>
      <c r="D666" s="3">
        <f t="shared" si="90"/>
        <v>16</v>
      </c>
      <c r="E666" s="4">
        <f t="shared" si="91"/>
        <v>32</v>
      </c>
      <c r="F666" s="4">
        <f t="shared" si="92"/>
        <v>3</v>
      </c>
      <c r="G666" s="3">
        <f>IF(E666&gt;=20,2000,1900) + D666</f>
        <v>2016</v>
      </c>
      <c r="H666">
        <f t="shared" si="93"/>
        <v>12</v>
      </c>
      <c r="I666" s="4">
        <f t="shared" si="94"/>
        <v>3</v>
      </c>
      <c r="J666">
        <f t="shared" si="95"/>
        <v>20161203</v>
      </c>
      <c r="K666" t="str">
        <f t="shared" si="96"/>
        <v>03.12.2016</v>
      </c>
      <c r="L666" s="10">
        <f t="shared" si="97"/>
        <v>2230</v>
      </c>
      <c r="M666" s="8">
        <f t="shared" si="98"/>
        <v>6</v>
      </c>
    </row>
    <row r="667" spans="1:13" x14ac:dyDescent="0.25">
      <c r="A667" s="4" t="s">
        <v>693</v>
      </c>
      <c r="B667" t="s">
        <v>14</v>
      </c>
      <c r="C667" t="s">
        <v>4</v>
      </c>
      <c r="D667" s="3">
        <f t="shared" si="90"/>
        <v>22</v>
      </c>
      <c r="E667" s="4">
        <f t="shared" si="91"/>
        <v>29</v>
      </c>
      <c r="F667" s="4">
        <f t="shared" si="92"/>
        <v>5</v>
      </c>
      <c r="G667" s="3">
        <f>IF(E667&gt;=20,2000,1900) + D667</f>
        <v>2022</v>
      </c>
      <c r="H667">
        <f t="shared" si="93"/>
        <v>9</v>
      </c>
      <c r="I667" s="4">
        <f t="shared" si="94"/>
        <v>5</v>
      </c>
      <c r="J667">
        <f t="shared" si="95"/>
        <v>20220905</v>
      </c>
      <c r="K667" t="str">
        <f t="shared" si="96"/>
        <v>05.09.2022</v>
      </c>
      <c r="L667" s="10">
        <f t="shared" si="97"/>
        <v>128</v>
      </c>
      <c r="M667" s="8">
        <f t="shared" si="98"/>
        <v>0</v>
      </c>
    </row>
    <row r="668" spans="1:13" x14ac:dyDescent="0.25">
      <c r="A668" s="4" t="s">
        <v>694</v>
      </c>
      <c r="B668" t="s">
        <v>17</v>
      </c>
      <c r="C668" t="s">
        <v>4</v>
      </c>
      <c r="D668" s="3">
        <f t="shared" si="90"/>
        <v>15</v>
      </c>
      <c r="E668" s="4">
        <f t="shared" si="91"/>
        <v>27</v>
      </c>
      <c r="F668" s="4">
        <f t="shared" si="92"/>
        <v>28</v>
      </c>
      <c r="G668" s="3">
        <f>IF(E668&gt;=20,2000,1900) + D668</f>
        <v>2015</v>
      </c>
      <c r="H668">
        <f t="shared" si="93"/>
        <v>7</v>
      </c>
      <c r="I668" s="4">
        <f t="shared" si="94"/>
        <v>28</v>
      </c>
      <c r="J668">
        <f t="shared" si="95"/>
        <v>20150728</v>
      </c>
      <c r="K668" t="str">
        <f t="shared" si="96"/>
        <v>28.07.2015</v>
      </c>
      <c r="L668" s="10">
        <f t="shared" si="97"/>
        <v>2724</v>
      </c>
      <c r="M668" s="8">
        <f t="shared" si="98"/>
        <v>7</v>
      </c>
    </row>
    <row r="669" spans="1:13" x14ac:dyDescent="0.25">
      <c r="A669" s="4" t="s">
        <v>695</v>
      </c>
      <c r="B669" t="s">
        <v>11</v>
      </c>
      <c r="C669" t="s">
        <v>4</v>
      </c>
      <c r="D669" s="3">
        <f t="shared" si="90"/>
        <v>22</v>
      </c>
      <c r="E669" s="4">
        <f t="shared" si="91"/>
        <v>30</v>
      </c>
      <c r="F669" s="4">
        <f t="shared" si="92"/>
        <v>12</v>
      </c>
      <c r="G669" s="3">
        <f>IF(E669&gt;=20,2000,1900) + D669</f>
        <v>2022</v>
      </c>
      <c r="H669">
        <f t="shared" si="93"/>
        <v>10</v>
      </c>
      <c r="I669" s="4">
        <f t="shared" si="94"/>
        <v>12</v>
      </c>
      <c r="J669">
        <f t="shared" si="95"/>
        <v>20221012</v>
      </c>
      <c r="K669" t="str">
        <f t="shared" si="96"/>
        <v>12.10.2022</v>
      </c>
      <c r="L669" s="10">
        <f t="shared" si="97"/>
        <v>91</v>
      </c>
      <c r="M669" s="8">
        <f t="shared" si="98"/>
        <v>0</v>
      </c>
    </row>
    <row r="670" spans="1:13" x14ac:dyDescent="0.25">
      <c r="A670" s="4" t="s">
        <v>696</v>
      </c>
      <c r="B670" t="s">
        <v>3</v>
      </c>
      <c r="C670" t="s">
        <v>6</v>
      </c>
      <c r="D670" s="3">
        <f t="shared" si="90"/>
        <v>12</v>
      </c>
      <c r="E670" s="4">
        <f t="shared" si="91"/>
        <v>29</v>
      </c>
      <c r="F670" s="4">
        <f t="shared" si="92"/>
        <v>30</v>
      </c>
      <c r="G670" s="3">
        <f>IF(E670&gt;=20,2000,1900) + D670</f>
        <v>2012</v>
      </c>
      <c r="H670">
        <f t="shared" si="93"/>
        <v>9</v>
      </c>
      <c r="I670" s="4">
        <f t="shared" si="94"/>
        <v>30</v>
      </c>
      <c r="J670">
        <f t="shared" si="95"/>
        <v>20120930</v>
      </c>
      <c r="K670" t="str">
        <f t="shared" si="96"/>
        <v>30.09.2012</v>
      </c>
      <c r="L670" s="10">
        <f t="shared" si="97"/>
        <v>3755</v>
      </c>
      <c r="M670" s="8">
        <f t="shared" si="98"/>
        <v>10</v>
      </c>
    </row>
    <row r="671" spans="1:13" x14ac:dyDescent="0.25">
      <c r="A671" s="4" t="s">
        <v>697</v>
      </c>
      <c r="B671" t="s">
        <v>3</v>
      </c>
      <c r="C671" t="s">
        <v>6</v>
      </c>
      <c r="D671" s="3">
        <f t="shared" si="90"/>
        <v>11</v>
      </c>
      <c r="E671" s="4">
        <f t="shared" si="91"/>
        <v>22</v>
      </c>
      <c r="F671" s="4">
        <f t="shared" si="92"/>
        <v>4</v>
      </c>
      <c r="G671" s="3">
        <f>IF(E671&gt;=20,2000,1900) + D671</f>
        <v>2011</v>
      </c>
      <c r="H671">
        <f t="shared" si="93"/>
        <v>2</v>
      </c>
      <c r="I671" s="4">
        <f t="shared" si="94"/>
        <v>4</v>
      </c>
      <c r="J671">
        <f t="shared" si="95"/>
        <v>20110204</v>
      </c>
      <c r="K671" t="str">
        <f t="shared" si="96"/>
        <v>04.02.2011</v>
      </c>
      <c r="L671" s="10">
        <f t="shared" si="97"/>
        <v>4359</v>
      </c>
      <c r="M671" s="8">
        <f t="shared" si="98"/>
        <v>11</v>
      </c>
    </row>
    <row r="672" spans="1:13" x14ac:dyDescent="0.25">
      <c r="A672" s="4" t="s">
        <v>698</v>
      </c>
      <c r="B672" t="s">
        <v>11</v>
      </c>
      <c r="C672" t="s">
        <v>4</v>
      </c>
      <c r="D672" s="3">
        <f t="shared" si="90"/>
        <v>6</v>
      </c>
      <c r="E672" s="4">
        <f t="shared" si="91"/>
        <v>32</v>
      </c>
      <c r="F672" s="4">
        <f t="shared" si="92"/>
        <v>16</v>
      </c>
      <c r="G672" s="3">
        <f>IF(E672&gt;=20,2000,1900) + D672</f>
        <v>2006</v>
      </c>
      <c r="H672">
        <f t="shared" si="93"/>
        <v>12</v>
      </c>
      <c r="I672" s="4">
        <f t="shared" si="94"/>
        <v>16</v>
      </c>
      <c r="J672">
        <f t="shared" si="95"/>
        <v>20061216</v>
      </c>
      <c r="K672" t="str">
        <f t="shared" si="96"/>
        <v>16.12.2006</v>
      </c>
      <c r="L672" s="10">
        <f t="shared" si="97"/>
        <v>5870</v>
      </c>
      <c r="M672" s="8">
        <f t="shared" si="98"/>
        <v>16</v>
      </c>
    </row>
    <row r="673" spans="1:13" x14ac:dyDescent="0.25">
      <c r="A673" s="4" t="s">
        <v>699</v>
      </c>
      <c r="B673" t="s">
        <v>10</v>
      </c>
      <c r="C673" t="s">
        <v>4</v>
      </c>
      <c r="D673" s="3">
        <f t="shared" si="90"/>
        <v>8</v>
      </c>
      <c r="E673" s="4">
        <f t="shared" si="91"/>
        <v>27</v>
      </c>
      <c r="F673" s="4">
        <f t="shared" si="92"/>
        <v>18</v>
      </c>
      <c r="G673" s="3">
        <f>IF(E673&gt;=20,2000,1900) + D673</f>
        <v>2008</v>
      </c>
      <c r="H673">
        <f t="shared" si="93"/>
        <v>7</v>
      </c>
      <c r="I673" s="4">
        <f t="shared" si="94"/>
        <v>18</v>
      </c>
      <c r="J673">
        <f t="shared" si="95"/>
        <v>20080718</v>
      </c>
      <c r="K673" t="str">
        <f t="shared" si="96"/>
        <v>18.07.2008</v>
      </c>
      <c r="L673" s="10">
        <f t="shared" si="97"/>
        <v>5290</v>
      </c>
      <c r="M673" s="8">
        <f t="shared" si="98"/>
        <v>14</v>
      </c>
    </row>
    <row r="674" spans="1:13" x14ac:dyDescent="0.25">
      <c r="A674" s="4" t="s">
        <v>700</v>
      </c>
      <c r="B674" t="s">
        <v>17</v>
      </c>
      <c r="C674" t="s">
        <v>6</v>
      </c>
      <c r="D674" s="3">
        <f t="shared" si="90"/>
        <v>12</v>
      </c>
      <c r="E674" s="4">
        <f t="shared" si="91"/>
        <v>22</v>
      </c>
      <c r="F674" s="4">
        <f t="shared" si="92"/>
        <v>1</v>
      </c>
      <c r="G674" s="3">
        <f>IF(E674&gt;=20,2000,1900) + D674</f>
        <v>2012</v>
      </c>
      <c r="H674">
        <f t="shared" si="93"/>
        <v>2</v>
      </c>
      <c r="I674" s="4">
        <f t="shared" si="94"/>
        <v>1</v>
      </c>
      <c r="J674">
        <f t="shared" si="95"/>
        <v>20120201</v>
      </c>
      <c r="K674" t="str">
        <f t="shared" si="96"/>
        <v>01.02.2012</v>
      </c>
      <c r="L674" s="10">
        <f t="shared" si="97"/>
        <v>3997</v>
      </c>
      <c r="M674" s="8">
        <f t="shared" si="98"/>
        <v>10</v>
      </c>
    </row>
    <row r="675" spans="1:13" x14ac:dyDescent="0.25">
      <c r="A675" s="4" t="s">
        <v>701</v>
      </c>
      <c r="B675" t="s">
        <v>13</v>
      </c>
      <c r="C675" t="s">
        <v>6</v>
      </c>
      <c r="D675" s="3">
        <f t="shared" si="90"/>
        <v>18</v>
      </c>
      <c r="E675" s="4">
        <f t="shared" si="91"/>
        <v>27</v>
      </c>
      <c r="F675" s="4">
        <f t="shared" si="92"/>
        <v>18</v>
      </c>
      <c r="G675" s="3">
        <f>IF(E675&gt;=20,2000,1900) + D675</f>
        <v>2018</v>
      </c>
      <c r="H675">
        <f t="shared" si="93"/>
        <v>7</v>
      </c>
      <c r="I675" s="4">
        <f t="shared" si="94"/>
        <v>18</v>
      </c>
      <c r="J675">
        <f t="shared" si="95"/>
        <v>20180718</v>
      </c>
      <c r="K675" t="str">
        <f t="shared" si="96"/>
        <v>18.07.2018</v>
      </c>
      <c r="L675" s="10">
        <f t="shared" si="97"/>
        <v>1638</v>
      </c>
      <c r="M675" s="8">
        <f t="shared" si="98"/>
        <v>4</v>
      </c>
    </row>
    <row r="676" spans="1:13" x14ac:dyDescent="0.25">
      <c r="A676" s="4" t="s">
        <v>702</v>
      </c>
      <c r="B676" t="s">
        <v>14</v>
      </c>
      <c r="C676" t="s">
        <v>6</v>
      </c>
      <c r="D676" s="3">
        <f t="shared" si="90"/>
        <v>6</v>
      </c>
      <c r="E676" s="4">
        <f t="shared" si="91"/>
        <v>21</v>
      </c>
      <c r="F676" s="4">
        <f t="shared" si="92"/>
        <v>8</v>
      </c>
      <c r="G676" s="3">
        <f>IF(E676&gt;=20,2000,1900) + D676</f>
        <v>2006</v>
      </c>
      <c r="H676">
        <f t="shared" si="93"/>
        <v>1</v>
      </c>
      <c r="I676" s="4">
        <f t="shared" si="94"/>
        <v>8</v>
      </c>
      <c r="J676">
        <f t="shared" si="95"/>
        <v>20060108</v>
      </c>
      <c r="K676" t="str">
        <f t="shared" si="96"/>
        <v>08.01.2006</v>
      </c>
      <c r="L676" s="10">
        <f t="shared" si="97"/>
        <v>6212</v>
      </c>
      <c r="M676" s="8">
        <f t="shared" si="98"/>
        <v>17</v>
      </c>
    </row>
    <row r="677" spans="1:13" x14ac:dyDescent="0.25">
      <c r="A677" s="4" t="s">
        <v>703</v>
      </c>
      <c r="B677" t="s">
        <v>20</v>
      </c>
      <c r="C677" t="s">
        <v>4</v>
      </c>
      <c r="D677" s="3">
        <f t="shared" si="90"/>
        <v>8</v>
      </c>
      <c r="E677" s="4">
        <f t="shared" si="91"/>
        <v>24</v>
      </c>
      <c r="F677" s="4">
        <f t="shared" si="92"/>
        <v>13</v>
      </c>
      <c r="G677" s="3">
        <f>IF(E677&gt;=20,2000,1900) + D677</f>
        <v>2008</v>
      </c>
      <c r="H677">
        <f t="shared" si="93"/>
        <v>4</v>
      </c>
      <c r="I677" s="4">
        <f t="shared" si="94"/>
        <v>13</v>
      </c>
      <c r="J677">
        <f t="shared" si="95"/>
        <v>20080413</v>
      </c>
      <c r="K677" t="str">
        <f t="shared" si="96"/>
        <v>13.04.2008</v>
      </c>
      <c r="L677" s="10">
        <f t="shared" si="97"/>
        <v>5386</v>
      </c>
      <c r="M677" s="8">
        <f t="shared" si="98"/>
        <v>14</v>
      </c>
    </row>
    <row r="678" spans="1:13" x14ac:dyDescent="0.25">
      <c r="A678" s="4" t="s">
        <v>704</v>
      </c>
      <c r="B678" t="s">
        <v>10</v>
      </c>
      <c r="C678" t="s">
        <v>4</v>
      </c>
      <c r="D678" s="3">
        <f t="shared" si="90"/>
        <v>15</v>
      </c>
      <c r="E678" s="4">
        <f t="shared" si="91"/>
        <v>32</v>
      </c>
      <c r="F678" s="4">
        <f t="shared" si="92"/>
        <v>11</v>
      </c>
      <c r="G678" s="3">
        <f>IF(E678&gt;=20,2000,1900) + D678</f>
        <v>2015</v>
      </c>
      <c r="H678">
        <f t="shared" si="93"/>
        <v>12</v>
      </c>
      <c r="I678" s="4">
        <f t="shared" si="94"/>
        <v>11</v>
      </c>
      <c r="J678">
        <f t="shared" si="95"/>
        <v>20151211</v>
      </c>
      <c r="K678" t="str">
        <f t="shared" si="96"/>
        <v>11.12.2015</v>
      </c>
      <c r="L678" s="10">
        <f t="shared" si="97"/>
        <v>2588</v>
      </c>
      <c r="M678" s="8">
        <f t="shared" si="98"/>
        <v>7</v>
      </c>
    </row>
    <row r="679" spans="1:13" x14ac:dyDescent="0.25">
      <c r="A679" s="4" t="s">
        <v>705</v>
      </c>
      <c r="B679" t="s">
        <v>11</v>
      </c>
      <c r="C679" t="s">
        <v>4</v>
      </c>
      <c r="D679" s="3">
        <f t="shared" si="90"/>
        <v>9</v>
      </c>
      <c r="E679" s="4">
        <f t="shared" si="91"/>
        <v>23</v>
      </c>
      <c r="F679" s="4">
        <f t="shared" si="92"/>
        <v>3</v>
      </c>
      <c r="G679" s="3">
        <f>IF(E679&gt;=20,2000,1900) + D679</f>
        <v>2009</v>
      </c>
      <c r="H679">
        <f t="shared" si="93"/>
        <v>3</v>
      </c>
      <c r="I679" s="4">
        <f t="shared" si="94"/>
        <v>3</v>
      </c>
      <c r="J679">
        <f t="shared" si="95"/>
        <v>20090303</v>
      </c>
      <c r="K679" t="str">
        <f t="shared" si="96"/>
        <v>03.03.2009</v>
      </c>
      <c r="L679" s="10">
        <f t="shared" si="97"/>
        <v>5062</v>
      </c>
      <c r="M679" s="8">
        <f t="shared" si="98"/>
        <v>13</v>
      </c>
    </row>
    <row r="680" spans="1:13" x14ac:dyDescent="0.25">
      <c r="A680" s="4" t="s">
        <v>706</v>
      </c>
      <c r="B680" t="s">
        <v>3</v>
      </c>
      <c r="C680" t="s">
        <v>4</v>
      </c>
      <c r="D680" s="3">
        <f t="shared" si="90"/>
        <v>9</v>
      </c>
      <c r="E680" s="4">
        <f t="shared" si="91"/>
        <v>28</v>
      </c>
      <c r="F680" s="4">
        <f t="shared" si="92"/>
        <v>22</v>
      </c>
      <c r="G680" s="3">
        <f>IF(E680&gt;=20,2000,1900) + D680</f>
        <v>2009</v>
      </c>
      <c r="H680">
        <f t="shared" si="93"/>
        <v>8</v>
      </c>
      <c r="I680" s="4">
        <f t="shared" si="94"/>
        <v>22</v>
      </c>
      <c r="J680">
        <f t="shared" si="95"/>
        <v>20090822</v>
      </c>
      <c r="K680" t="str">
        <f t="shared" si="96"/>
        <v>22.08.2009</v>
      </c>
      <c r="L680" s="10">
        <f t="shared" si="97"/>
        <v>4890</v>
      </c>
      <c r="M680" s="8">
        <f t="shared" si="98"/>
        <v>13</v>
      </c>
    </row>
    <row r="681" spans="1:13" x14ac:dyDescent="0.25">
      <c r="A681" s="4" t="s">
        <v>707</v>
      </c>
      <c r="B681" t="s">
        <v>15</v>
      </c>
      <c r="C681" t="s">
        <v>4</v>
      </c>
      <c r="D681" s="3">
        <f t="shared" si="90"/>
        <v>12</v>
      </c>
      <c r="E681" s="4">
        <f t="shared" si="91"/>
        <v>27</v>
      </c>
      <c r="F681" s="4">
        <f t="shared" si="92"/>
        <v>22</v>
      </c>
      <c r="G681" s="3">
        <f>IF(E681&gt;=20,2000,1900) + D681</f>
        <v>2012</v>
      </c>
      <c r="H681">
        <f t="shared" si="93"/>
        <v>7</v>
      </c>
      <c r="I681" s="4">
        <f t="shared" si="94"/>
        <v>22</v>
      </c>
      <c r="J681">
        <f t="shared" si="95"/>
        <v>20120722</v>
      </c>
      <c r="K681" t="str">
        <f t="shared" si="96"/>
        <v>22.07.2012</v>
      </c>
      <c r="L681" s="10">
        <f t="shared" si="97"/>
        <v>3825</v>
      </c>
      <c r="M681" s="8">
        <f t="shared" si="98"/>
        <v>10</v>
      </c>
    </row>
    <row r="682" spans="1:13" x14ac:dyDescent="0.25">
      <c r="A682" s="4" t="s">
        <v>708</v>
      </c>
      <c r="B682" t="s">
        <v>3</v>
      </c>
      <c r="C682" t="s">
        <v>6</v>
      </c>
      <c r="D682" s="3">
        <f t="shared" si="90"/>
        <v>6</v>
      </c>
      <c r="E682" s="4">
        <f t="shared" si="91"/>
        <v>26</v>
      </c>
      <c r="F682" s="4">
        <f t="shared" si="92"/>
        <v>17</v>
      </c>
      <c r="G682" s="3">
        <f>IF(E682&gt;=20,2000,1900) + D682</f>
        <v>2006</v>
      </c>
      <c r="H682">
        <f t="shared" si="93"/>
        <v>6</v>
      </c>
      <c r="I682" s="4">
        <f t="shared" si="94"/>
        <v>17</v>
      </c>
      <c r="J682">
        <f t="shared" si="95"/>
        <v>20060617</v>
      </c>
      <c r="K682" t="str">
        <f t="shared" si="96"/>
        <v>17.06.2006</v>
      </c>
      <c r="L682" s="10">
        <f t="shared" si="97"/>
        <v>6052</v>
      </c>
      <c r="M682" s="8">
        <f t="shared" si="98"/>
        <v>16</v>
      </c>
    </row>
    <row r="683" spans="1:13" x14ac:dyDescent="0.25">
      <c r="A683" s="4" t="s">
        <v>709</v>
      </c>
      <c r="B683" t="s">
        <v>13</v>
      </c>
      <c r="C683" t="s">
        <v>6</v>
      </c>
      <c r="D683" s="3">
        <f t="shared" si="90"/>
        <v>12</v>
      </c>
      <c r="E683" s="4">
        <f t="shared" si="91"/>
        <v>29</v>
      </c>
      <c r="F683" s="4">
        <f t="shared" si="92"/>
        <v>6</v>
      </c>
      <c r="G683" s="3">
        <f>IF(E683&gt;=20,2000,1900) + D683</f>
        <v>2012</v>
      </c>
      <c r="H683">
        <f t="shared" si="93"/>
        <v>9</v>
      </c>
      <c r="I683" s="4">
        <f t="shared" si="94"/>
        <v>6</v>
      </c>
      <c r="J683">
        <f t="shared" si="95"/>
        <v>20120906</v>
      </c>
      <c r="K683" t="str">
        <f t="shared" si="96"/>
        <v>06.09.2012</v>
      </c>
      <c r="L683" s="10">
        <f t="shared" si="97"/>
        <v>3779</v>
      </c>
      <c r="M683" s="8">
        <f t="shared" si="98"/>
        <v>10</v>
      </c>
    </row>
    <row r="684" spans="1:13" x14ac:dyDescent="0.25">
      <c r="A684" s="4" t="s">
        <v>710</v>
      </c>
      <c r="B684" t="s">
        <v>13</v>
      </c>
      <c r="C684" t="s">
        <v>6</v>
      </c>
      <c r="D684" s="3">
        <f t="shared" si="90"/>
        <v>13</v>
      </c>
      <c r="E684" s="4">
        <f t="shared" si="91"/>
        <v>22</v>
      </c>
      <c r="F684" s="4">
        <f t="shared" si="92"/>
        <v>23</v>
      </c>
      <c r="G684" s="3">
        <f>IF(E684&gt;=20,2000,1900) + D684</f>
        <v>2013</v>
      </c>
      <c r="H684">
        <f t="shared" si="93"/>
        <v>2</v>
      </c>
      <c r="I684" s="4">
        <f t="shared" si="94"/>
        <v>23</v>
      </c>
      <c r="J684">
        <f t="shared" si="95"/>
        <v>20130223</v>
      </c>
      <c r="K684" t="str">
        <f t="shared" si="96"/>
        <v>23.02.2013</v>
      </c>
      <c r="L684" s="10">
        <f t="shared" si="97"/>
        <v>3609</v>
      </c>
      <c r="M684" s="8">
        <f t="shared" si="98"/>
        <v>9</v>
      </c>
    </row>
    <row r="685" spans="1:13" x14ac:dyDescent="0.25">
      <c r="A685" s="4" t="s">
        <v>711</v>
      </c>
      <c r="B685" t="s">
        <v>10</v>
      </c>
      <c r="C685" t="s">
        <v>4</v>
      </c>
      <c r="D685" s="3">
        <f t="shared" si="90"/>
        <v>17</v>
      </c>
      <c r="E685" s="4">
        <f t="shared" si="91"/>
        <v>29</v>
      </c>
      <c r="F685" s="4">
        <f t="shared" si="92"/>
        <v>27</v>
      </c>
      <c r="G685" s="3">
        <f>IF(E685&gt;=20,2000,1900) + D685</f>
        <v>2017</v>
      </c>
      <c r="H685">
        <f t="shared" si="93"/>
        <v>9</v>
      </c>
      <c r="I685" s="4">
        <f t="shared" si="94"/>
        <v>27</v>
      </c>
      <c r="J685">
        <f t="shared" si="95"/>
        <v>20170927</v>
      </c>
      <c r="K685" t="str">
        <f t="shared" si="96"/>
        <v>27.09.2017</v>
      </c>
      <c r="L685" s="10">
        <f t="shared" si="97"/>
        <v>1932</v>
      </c>
      <c r="M685" s="8">
        <f t="shared" si="98"/>
        <v>5</v>
      </c>
    </row>
    <row r="686" spans="1:13" x14ac:dyDescent="0.25">
      <c r="A686" s="4" t="s">
        <v>712</v>
      </c>
      <c r="B686" t="s">
        <v>17</v>
      </c>
      <c r="C686" t="s">
        <v>4</v>
      </c>
      <c r="D686" s="3">
        <f t="shared" si="90"/>
        <v>19</v>
      </c>
      <c r="E686" s="4">
        <f t="shared" si="91"/>
        <v>30</v>
      </c>
      <c r="F686" s="4">
        <f t="shared" si="92"/>
        <v>21</v>
      </c>
      <c r="G686" s="3">
        <f>IF(E686&gt;=20,2000,1900) + D686</f>
        <v>2019</v>
      </c>
      <c r="H686">
        <f t="shared" si="93"/>
        <v>10</v>
      </c>
      <c r="I686" s="4">
        <f t="shared" si="94"/>
        <v>21</v>
      </c>
      <c r="J686">
        <f t="shared" si="95"/>
        <v>20191021</v>
      </c>
      <c r="K686" t="str">
        <f t="shared" si="96"/>
        <v>21.10.2019</v>
      </c>
      <c r="L686" s="10">
        <f t="shared" si="97"/>
        <v>1178</v>
      </c>
      <c r="M686" s="8">
        <f t="shared" si="98"/>
        <v>3</v>
      </c>
    </row>
    <row r="687" spans="1:13" x14ac:dyDescent="0.25">
      <c r="A687" s="4" t="s">
        <v>713</v>
      </c>
      <c r="B687" t="s">
        <v>7</v>
      </c>
      <c r="C687" t="s">
        <v>6</v>
      </c>
      <c r="D687" s="3">
        <f t="shared" si="90"/>
        <v>13</v>
      </c>
      <c r="E687" s="4">
        <f t="shared" si="91"/>
        <v>24</v>
      </c>
      <c r="F687" s="4">
        <f t="shared" si="92"/>
        <v>3</v>
      </c>
      <c r="G687" s="3">
        <f>IF(E687&gt;=20,2000,1900) + D687</f>
        <v>2013</v>
      </c>
      <c r="H687">
        <f t="shared" si="93"/>
        <v>4</v>
      </c>
      <c r="I687" s="4">
        <f t="shared" si="94"/>
        <v>3</v>
      </c>
      <c r="J687">
        <f t="shared" si="95"/>
        <v>20130403</v>
      </c>
      <c r="K687" t="str">
        <f t="shared" si="96"/>
        <v>03.04.2013</v>
      </c>
      <c r="L687" s="10">
        <f t="shared" si="97"/>
        <v>3570</v>
      </c>
      <c r="M687" s="8">
        <f t="shared" si="98"/>
        <v>9</v>
      </c>
    </row>
    <row r="688" spans="1:13" x14ac:dyDescent="0.25">
      <c r="A688" s="4" t="s">
        <v>714</v>
      </c>
      <c r="B688" t="s">
        <v>17</v>
      </c>
      <c r="C688" t="s">
        <v>6</v>
      </c>
      <c r="D688" s="3">
        <f t="shared" si="90"/>
        <v>15</v>
      </c>
      <c r="E688" s="4">
        <f t="shared" si="91"/>
        <v>24</v>
      </c>
      <c r="F688" s="4">
        <f t="shared" si="92"/>
        <v>3</v>
      </c>
      <c r="G688" s="3">
        <f>IF(E688&gt;=20,2000,1900) + D688</f>
        <v>2015</v>
      </c>
      <c r="H688">
        <f t="shared" si="93"/>
        <v>4</v>
      </c>
      <c r="I688" s="4">
        <f t="shared" si="94"/>
        <v>3</v>
      </c>
      <c r="J688">
        <f t="shared" si="95"/>
        <v>20150403</v>
      </c>
      <c r="K688" t="str">
        <f t="shared" si="96"/>
        <v>03.04.2015</v>
      </c>
      <c r="L688" s="10">
        <f t="shared" si="97"/>
        <v>2840</v>
      </c>
      <c r="M688" s="8">
        <f t="shared" si="98"/>
        <v>7</v>
      </c>
    </row>
    <row r="689" spans="1:13" x14ac:dyDescent="0.25">
      <c r="A689" s="4" t="s">
        <v>715</v>
      </c>
      <c r="B689" t="s">
        <v>3</v>
      </c>
      <c r="C689" t="s">
        <v>6</v>
      </c>
      <c r="D689" s="3">
        <f t="shared" si="90"/>
        <v>13</v>
      </c>
      <c r="E689" s="4">
        <f t="shared" si="91"/>
        <v>30</v>
      </c>
      <c r="F689" s="4">
        <f t="shared" si="92"/>
        <v>19</v>
      </c>
      <c r="G689" s="3">
        <f>IF(E689&gt;=20,2000,1900) + D689</f>
        <v>2013</v>
      </c>
      <c r="H689">
        <f t="shared" si="93"/>
        <v>10</v>
      </c>
      <c r="I689" s="4">
        <f t="shared" si="94"/>
        <v>19</v>
      </c>
      <c r="J689">
        <f t="shared" si="95"/>
        <v>20131019</v>
      </c>
      <c r="K689" t="str">
        <f t="shared" si="96"/>
        <v>19.10.2013</v>
      </c>
      <c r="L689" s="10">
        <f t="shared" si="97"/>
        <v>3371</v>
      </c>
      <c r="M689" s="8">
        <f t="shared" si="98"/>
        <v>9</v>
      </c>
    </row>
    <row r="690" spans="1:13" x14ac:dyDescent="0.25">
      <c r="A690" s="4" t="s">
        <v>716</v>
      </c>
      <c r="B690" t="s">
        <v>20</v>
      </c>
      <c r="C690" t="s">
        <v>6</v>
      </c>
      <c r="D690" s="3">
        <f t="shared" si="90"/>
        <v>19</v>
      </c>
      <c r="E690" s="4">
        <f t="shared" si="91"/>
        <v>26</v>
      </c>
      <c r="F690" s="4">
        <f t="shared" si="92"/>
        <v>27</v>
      </c>
      <c r="G690" s="3">
        <f>IF(E690&gt;=20,2000,1900) + D690</f>
        <v>2019</v>
      </c>
      <c r="H690">
        <f t="shared" si="93"/>
        <v>6</v>
      </c>
      <c r="I690" s="4">
        <f t="shared" si="94"/>
        <v>27</v>
      </c>
      <c r="J690">
        <f t="shared" si="95"/>
        <v>20190627</v>
      </c>
      <c r="K690" t="str">
        <f t="shared" si="96"/>
        <v>27.06.2019</v>
      </c>
      <c r="L690" s="10">
        <f t="shared" si="97"/>
        <v>1294</v>
      </c>
      <c r="M690" s="8">
        <f t="shared" si="98"/>
        <v>3</v>
      </c>
    </row>
    <row r="691" spans="1:13" x14ac:dyDescent="0.25">
      <c r="A691" s="4" t="s">
        <v>717</v>
      </c>
      <c r="B691" t="s">
        <v>9</v>
      </c>
      <c r="C691" t="s">
        <v>4</v>
      </c>
      <c r="D691" s="3">
        <f t="shared" si="90"/>
        <v>13</v>
      </c>
      <c r="E691" s="4">
        <f t="shared" si="91"/>
        <v>28</v>
      </c>
      <c r="F691" s="4">
        <f t="shared" si="92"/>
        <v>9</v>
      </c>
      <c r="G691" s="3">
        <f>IF(E691&gt;=20,2000,1900) + D691</f>
        <v>2013</v>
      </c>
      <c r="H691">
        <f t="shared" si="93"/>
        <v>8</v>
      </c>
      <c r="I691" s="4">
        <f t="shared" si="94"/>
        <v>9</v>
      </c>
      <c r="J691">
        <f t="shared" si="95"/>
        <v>20130809</v>
      </c>
      <c r="K691" t="str">
        <f t="shared" si="96"/>
        <v>09.08.2013</v>
      </c>
      <c r="L691" s="10">
        <f t="shared" si="97"/>
        <v>3442</v>
      </c>
      <c r="M691" s="8">
        <f t="shared" si="98"/>
        <v>9</v>
      </c>
    </row>
    <row r="692" spans="1:13" x14ac:dyDescent="0.25">
      <c r="A692" s="4" t="s">
        <v>718</v>
      </c>
      <c r="B692" t="s">
        <v>20</v>
      </c>
      <c r="C692" t="s">
        <v>6</v>
      </c>
      <c r="D692" s="3">
        <f t="shared" si="90"/>
        <v>14</v>
      </c>
      <c r="E692" s="4">
        <f t="shared" si="91"/>
        <v>30</v>
      </c>
      <c r="F692" s="4">
        <f t="shared" si="92"/>
        <v>28</v>
      </c>
      <c r="G692" s="3">
        <f>IF(E692&gt;=20,2000,1900) + D692</f>
        <v>2014</v>
      </c>
      <c r="H692">
        <f t="shared" si="93"/>
        <v>10</v>
      </c>
      <c r="I692" s="4">
        <f t="shared" si="94"/>
        <v>28</v>
      </c>
      <c r="J692">
        <f t="shared" si="95"/>
        <v>20141028</v>
      </c>
      <c r="K692" t="str">
        <f t="shared" si="96"/>
        <v>28.10.2014</v>
      </c>
      <c r="L692" s="10">
        <f t="shared" si="97"/>
        <v>2997</v>
      </c>
      <c r="M692" s="8">
        <f t="shared" si="98"/>
        <v>8</v>
      </c>
    </row>
    <row r="693" spans="1:13" x14ac:dyDescent="0.25">
      <c r="A693" s="4" t="s">
        <v>719</v>
      </c>
      <c r="B693" t="s">
        <v>10</v>
      </c>
      <c r="C693" t="s">
        <v>4</v>
      </c>
      <c r="D693" s="3">
        <f t="shared" si="90"/>
        <v>11</v>
      </c>
      <c r="E693" s="4">
        <f t="shared" si="91"/>
        <v>27</v>
      </c>
      <c r="F693" s="4">
        <f t="shared" si="92"/>
        <v>28</v>
      </c>
      <c r="G693" s="3">
        <f>IF(E693&gt;=20,2000,1900) + D693</f>
        <v>2011</v>
      </c>
      <c r="H693">
        <f t="shared" si="93"/>
        <v>7</v>
      </c>
      <c r="I693" s="4">
        <f t="shared" si="94"/>
        <v>28</v>
      </c>
      <c r="J693">
        <f t="shared" si="95"/>
        <v>20110728</v>
      </c>
      <c r="K693" t="str">
        <f t="shared" si="96"/>
        <v>28.07.2011</v>
      </c>
      <c r="L693" s="10">
        <f t="shared" si="97"/>
        <v>4185</v>
      </c>
      <c r="M693" s="8">
        <f t="shared" si="98"/>
        <v>11</v>
      </c>
    </row>
    <row r="694" spans="1:13" x14ac:dyDescent="0.25">
      <c r="A694" s="4" t="s">
        <v>720</v>
      </c>
      <c r="B694" t="s">
        <v>19</v>
      </c>
      <c r="C694" t="s">
        <v>6</v>
      </c>
      <c r="D694" s="3">
        <f t="shared" si="90"/>
        <v>5</v>
      </c>
      <c r="E694" s="4">
        <f t="shared" si="91"/>
        <v>29</v>
      </c>
      <c r="F694" s="4">
        <f t="shared" si="92"/>
        <v>18</v>
      </c>
      <c r="G694" s="3">
        <f>IF(E694&gt;=20,2000,1900) + D694</f>
        <v>2005</v>
      </c>
      <c r="H694">
        <f t="shared" si="93"/>
        <v>9</v>
      </c>
      <c r="I694" s="4">
        <f t="shared" si="94"/>
        <v>18</v>
      </c>
      <c r="J694">
        <f t="shared" si="95"/>
        <v>20050918</v>
      </c>
      <c r="K694" t="str">
        <f t="shared" si="96"/>
        <v>18.09.2005</v>
      </c>
      <c r="L694" s="10">
        <f t="shared" si="97"/>
        <v>6324</v>
      </c>
      <c r="M694" s="8">
        <f t="shared" si="98"/>
        <v>17</v>
      </c>
    </row>
    <row r="695" spans="1:13" x14ac:dyDescent="0.25">
      <c r="A695" s="4" t="s">
        <v>721</v>
      </c>
      <c r="B695" t="s">
        <v>19</v>
      </c>
      <c r="C695" t="s">
        <v>4</v>
      </c>
      <c r="D695" s="3">
        <f t="shared" si="90"/>
        <v>14</v>
      </c>
      <c r="E695" s="4">
        <f t="shared" si="91"/>
        <v>21</v>
      </c>
      <c r="F695" s="4">
        <f t="shared" si="92"/>
        <v>27</v>
      </c>
      <c r="G695" s="3">
        <f>IF(E695&gt;=20,2000,1900) + D695</f>
        <v>2014</v>
      </c>
      <c r="H695">
        <f t="shared" si="93"/>
        <v>1</v>
      </c>
      <c r="I695" s="4">
        <f t="shared" si="94"/>
        <v>27</v>
      </c>
      <c r="J695">
        <f t="shared" si="95"/>
        <v>20140127</v>
      </c>
      <c r="K695" t="str">
        <f t="shared" si="96"/>
        <v>27.01.2014</v>
      </c>
      <c r="L695" s="10">
        <f t="shared" si="97"/>
        <v>3271</v>
      </c>
      <c r="M695" s="8">
        <f t="shared" si="98"/>
        <v>8</v>
      </c>
    </row>
    <row r="696" spans="1:13" x14ac:dyDescent="0.25">
      <c r="A696" s="4" t="s">
        <v>722</v>
      </c>
      <c r="B696" t="s">
        <v>19</v>
      </c>
      <c r="C696" t="s">
        <v>6</v>
      </c>
      <c r="D696" s="3">
        <f t="shared" si="90"/>
        <v>3</v>
      </c>
      <c r="E696" s="4">
        <f t="shared" si="91"/>
        <v>21</v>
      </c>
      <c r="F696" s="4">
        <f t="shared" si="92"/>
        <v>1</v>
      </c>
      <c r="G696" s="3">
        <f>IF(E696&gt;=20,2000,1900) + D696</f>
        <v>2003</v>
      </c>
      <c r="H696">
        <f t="shared" si="93"/>
        <v>1</v>
      </c>
      <c r="I696" s="4">
        <f t="shared" si="94"/>
        <v>1</v>
      </c>
      <c r="J696">
        <f t="shared" si="95"/>
        <v>20030101</v>
      </c>
      <c r="K696" t="str">
        <f t="shared" si="96"/>
        <v>01.01.2003</v>
      </c>
      <c r="L696" s="10">
        <f t="shared" si="97"/>
        <v>7315</v>
      </c>
      <c r="M696" s="8">
        <f t="shared" si="98"/>
        <v>20</v>
      </c>
    </row>
    <row r="697" spans="1:13" x14ac:dyDescent="0.25">
      <c r="A697" s="4" t="s">
        <v>723</v>
      </c>
      <c r="B697" t="s">
        <v>16</v>
      </c>
      <c r="C697" t="s">
        <v>6</v>
      </c>
      <c r="D697" s="3">
        <f t="shared" si="90"/>
        <v>14</v>
      </c>
      <c r="E697" s="4">
        <f t="shared" si="91"/>
        <v>29</v>
      </c>
      <c r="F697" s="4">
        <f t="shared" si="92"/>
        <v>14</v>
      </c>
      <c r="G697" s="3">
        <f>IF(E697&gt;=20,2000,1900) + D697</f>
        <v>2014</v>
      </c>
      <c r="H697">
        <f t="shared" si="93"/>
        <v>9</v>
      </c>
      <c r="I697" s="4">
        <f t="shared" si="94"/>
        <v>14</v>
      </c>
      <c r="J697">
        <f t="shared" si="95"/>
        <v>20140914</v>
      </c>
      <c r="K697" t="str">
        <f t="shared" si="96"/>
        <v>14.09.2014</v>
      </c>
      <c r="L697" s="10">
        <f t="shared" si="97"/>
        <v>3041</v>
      </c>
      <c r="M697" s="8">
        <f t="shared" si="98"/>
        <v>8</v>
      </c>
    </row>
    <row r="698" spans="1:13" x14ac:dyDescent="0.25">
      <c r="A698" s="4" t="s">
        <v>724</v>
      </c>
      <c r="B698" t="s">
        <v>12</v>
      </c>
      <c r="C698" t="s">
        <v>6</v>
      </c>
      <c r="D698" s="3">
        <f t="shared" si="90"/>
        <v>12</v>
      </c>
      <c r="E698" s="4">
        <f t="shared" si="91"/>
        <v>30</v>
      </c>
      <c r="F698" s="4">
        <f t="shared" si="92"/>
        <v>6</v>
      </c>
      <c r="G698" s="3">
        <f>IF(E698&gt;=20,2000,1900) + D698</f>
        <v>2012</v>
      </c>
      <c r="H698">
        <f t="shared" si="93"/>
        <v>10</v>
      </c>
      <c r="I698" s="4">
        <f t="shared" si="94"/>
        <v>6</v>
      </c>
      <c r="J698">
        <f t="shared" si="95"/>
        <v>20121006</v>
      </c>
      <c r="K698" t="str">
        <f t="shared" si="96"/>
        <v>06.10.2012</v>
      </c>
      <c r="L698" s="10">
        <f t="shared" si="97"/>
        <v>3749</v>
      </c>
      <c r="M698" s="8">
        <f t="shared" si="98"/>
        <v>10</v>
      </c>
    </row>
    <row r="699" spans="1:13" x14ac:dyDescent="0.25">
      <c r="A699" s="4" t="s">
        <v>725</v>
      </c>
      <c r="B699" t="s">
        <v>11</v>
      </c>
      <c r="C699" t="s">
        <v>6</v>
      </c>
      <c r="D699" s="3">
        <f t="shared" si="90"/>
        <v>16</v>
      </c>
      <c r="E699" s="4">
        <f t="shared" si="91"/>
        <v>23</v>
      </c>
      <c r="F699" s="4">
        <f t="shared" si="92"/>
        <v>8</v>
      </c>
      <c r="G699" s="3">
        <f>IF(E699&gt;=20,2000,1900) + D699</f>
        <v>2016</v>
      </c>
      <c r="H699">
        <f t="shared" si="93"/>
        <v>3</v>
      </c>
      <c r="I699" s="4">
        <f t="shared" si="94"/>
        <v>8</v>
      </c>
      <c r="J699">
        <f t="shared" si="95"/>
        <v>20160308</v>
      </c>
      <c r="K699" t="str">
        <f t="shared" si="96"/>
        <v>08.03.2016</v>
      </c>
      <c r="L699" s="10">
        <f t="shared" si="97"/>
        <v>2500</v>
      </c>
      <c r="M699" s="8">
        <f t="shared" si="98"/>
        <v>6</v>
      </c>
    </row>
    <row r="700" spans="1:13" x14ac:dyDescent="0.25">
      <c r="A700" s="4" t="s">
        <v>726</v>
      </c>
      <c r="B700" t="s">
        <v>11</v>
      </c>
      <c r="C700" t="s">
        <v>6</v>
      </c>
      <c r="D700" s="3">
        <f t="shared" si="90"/>
        <v>1</v>
      </c>
      <c r="E700" s="4">
        <f t="shared" si="91"/>
        <v>22</v>
      </c>
      <c r="F700" s="4">
        <f t="shared" si="92"/>
        <v>7</v>
      </c>
      <c r="G700" s="3">
        <f>IF(E700&gt;=20,2000,1900) + D700</f>
        <v>2001</v>
      </c>
      <c r="H700">
        <f t="shared" si="93"/>
        <v>2</v>
      </c>
      <c r="I700" s="4">
        <f t="shared" si="94"/>
        <v>7</v>
      </c>
      <c r="J700">
        <f t="shared" si="95"/>
        <v>20010207</v>
      </c>
      <c r="K700" t="str">
        <f t="shared" si="96"/>
        <v>07.02.2001</v>
      </c>
      <c r="L700" s="10">
        <f t="shared" si="97"/>
        <v>8008</v>
      </c>
      <c r="M700" s="8">
        <f t="shared" si="98"/>
        <v>21</v>
      </c>
    </row>
    <row r="701" spans="1:13" x14ac:dyDescent="0.25">
      <c r="A701" s="4" t="s">
        <v>727</v>
      </c>
      <c r="B701" t="s">
        <v>20</v>
      </c>
      <c r="C701" t="s">
        <v>4</v>
      </c>
      <c r="D701" s="3">
        <f t="shared" si="90"/>
        <v>19</v>
      </c>
      <c r="E701" s="4">
        <f t="shared" si="91"/>
        <v>22</v>
      </c>
      <c r="F701" s="4">
        <f t="shared" si="92"/>
        <v>9</v>
      </c>
      <c r="G701" s="3">
        <f>IF(E701&gt;=20,2000,1900) + D701</f>
        <v>2019</v>
      </c>
      <c r="H701">
        <f t="shared" si="93"/>
        <v>2</v>
      </c>
      <c r="I701" s="4">
        <f t="shared" si="94"/>
        <v>9</v>
      </c>
      <c r="J701">
        <f t="shared" si="95"/>
        <v>20190209</v>
      </c>
      <c r="K701" t="str">
        <f t="shared" si="96"/>
        <v>09.02.2019</v>
      </c>
      <c r="L701" s="10">
        <f t="shared" si="97"/>
        <v>1432</v>
      </c>
      <c r="M701" s="8">
        <f t="shared" si="98"/>
        <v>3</v>
      </c>
    </row>
    <row r="702" spans="1:13" x14ac:dyDescent="0.25">
      <c r="A702" s="4" t="s">
        <v>728</v>
      </c>
      <c r="B702" t="s">
        <v>10</v>
      </c>
      <c r="C702" t="s">
        <v>4</v>
      </c>
      <c r="D702" s="3">
        <f t="shared" si="90"/>
        <v>7</v>
      </c>
      <c r="E702" s="4">
        <f t="shared" si="91"/>
        <v>24</v>
      </c>
      <c r="F702" s="4">
        <f t="shared" si="92"/>
        <v>7</v>
      </c>
      <c r="G702" s="3">
        <f>IF(E702&gt;=20,2000,1900) + D702</f>
        <v>2007</v>
      </c>
      <c r="H702">
        <f t="shared" si="93"/>
        <v>4</v>
      </c>
      <c r="I702" s="4">
        <f t="shared" si="94"/>
        <v>7</v>
      </c>
      <c r="J702">
        <f t="shared" si="95"/>
        <v>20070407</v>
      </c>
      <c r="K702" t="str">
        <f t="shared" si="96"/>
        <v>07.04.2007</v>
      </c>
      <c r="L702" s="10">
        <f t="shared" si="97"/>
        <v>5758</v>
      </c>
      <c r="M702" s="8">
        <f t="shared" si="98"/>
        <v>15</v>
      </c>
    </row>
    <row r="703" spans="1:13" x14ac:dyDescent="0.25">
      <c r="A703" s="4" t="s">
        <v>729</v>
      </c>
      <c r="B703" t="s">
        <v>18</v>
      </c>
      <c r="C703" t="s">
        <v>4</v>
      </c>
      <c r="D703" s="3">
        <f t="shared" si="90"/>
        <v>6</v>
      </c>
      <c r="E703" s="4">
        <f t="shared" si="91"/>
        <v>29</v>
      </c>
      <c r="F703" s="4">
        <f t="shared" si="92"/>
        <v>22</v>
      </c>
      <c r="G703" s="3">
        <f>IF(E703&gt;=20,2000,1900) + D703</f>
        <v>2006</v>
      </c>
      <c r="H703">
        <f t="shared" si="93"/>
        <v>9</v>
      </c>
      <c r="I703" s="4">
        <f t="shared" si="94"/>
        <v>22</v>
      </c>
      <c r="J703">
        <f t="shared" si="95"/>
        <v>20060922</v>
      </c>
      <c r="K703" t="str">
        <f t="shared" si="96"/>
        <v>22.09.2006</v>
      </c>
      <c r="L703" s="10">
        <f t="shared" si="97"/>
        <v>5955</v>
      </c>
      <c r="M703" s="8">
        <f t="shared" si="98"/>
        <v>16</v>
      </c>
    </row>
    <row r="704" spans="1:13" x14ac:dyDescent="0.25">
      <c r="A704" s="4" t="s">
        <v>730</v>
      </c>
      <c r="B704" t="s">
        <v>10</v>
      </c>
      <c r="C704" t="s">
        <v>4</v>
      </c>
      <c r="D704" s="3">
        <f t="shared" si="90"/>
        <v>17</v>
      </c>
      <c r="E704" s="4">
        <f t="shared" si="91"/>
        <v>31</v>
      </c>
      <c r="F704" s="4">
        <f t="shared" si="92"/>
        <v>11</v>
      </c>
      <c r="G704" s="3">
        <f>IF(E704&gt;=20,2000,1900) + D704</f>
        <v>2017</v>
      </c>
      <c r="H704">
        <f t="shared" si="93"/>
        <v>11</v>
      </c>
      <c r="I704" s="4">
        <f t="shared" si="94"/>
        <v>11</v>
      </c>
      <c r="J704">
        <f t="shared" si="95"/>
        <v>20171111</v>
      </c>
      <c r="K704" t="str">
        <f t="shared" si="96"/>
        <v>11.11.2017</v>
      </c>
      <c r="L704" s="10">
        <f t="shared" si="97"/>
        <v>1887</v>
      </c>
      <c r="M704" s="8">
        <f t="shared" si="98"/>
        <v>5</v>
      </c>
    </row>
    <row r="705" spans="1:13" x14ac:dyDescent="0.25">
      <c r="A705" s="4" t="s">
        <v>731</v>
      </c>
      <c r="B705" t="s">
        <v>17</v>
      </c>
      <c r="C705" t="s">
        <v>4</v>
      </c>
      <c r="D705" s="3">
        <f t="shared" si="90"/>
        <v>16</v>
      </c>
      <c r="E705" s="4">
        <f t="shared" si="91"/>
        <v>32</v>
      </c>
      <c r="F705" s="4">
        <f t="shared" si="92"/>
        <v>11</v>
      </c>
      <c r="G705" s="3">
        <f>IF(E705&gt;=20,2000,1900) + D705</f>
        <v>2016</v>
      </c>
      <c r="H705">
        <f t="shared" si="93"/>
        <v>12</v>
      </c>
      <c r="I705" s="4">
        <f t="shared" si="94"/>
        <v>11</v>
      </c>
      <c r="J705">
        <f t="shared" si="95"/>
        <v>20161211</v>
      </c>
      <c r="K705" t="str">
        <f t="shared" si="96"/>
        <v>11.12.2016</v>
      </c>
      <c r="L705" s="10">
        <f t="shared" si="97"/>
        <v>2222</v>
      </c>
      <c r="M705" s="8">
        <f t="shared" si="98"/>
        <v>6</v>
      </c>
    </row>
    <row r="706" spans="1:13" x14ac:dyDescent="0.25">
      <c r="A706" s="4" t="s">
        <v>732</v>
      </c>
      <c r="B706" t="s">
        <v>19</v>
      </c>
      <c r="C706" t="s">
        <v>6</v>
      </c>
      <c r="D706" s="3">
        <f t="shared" si="90"/>
        <v>6</v>
      </c>
      <c r="E706" s="4">
        <f t="shared" si="91"/>
        <v>29</v>
      </c>
      <c r="F706" s="4">
        <f t="shared" si="92"/>
        <v>21</v>
      </c>
      <c r="G706" s="3">
        <f>IF(E706&gt;=20,2000,1900) + D706</f>
        <v>2006</v>
      </c>
      <c r="H706">
        <f t="shared" si="93"/>
        <v>9</v>
      </c>
      <c r="I706" s="4">
        <f t="shared" si="94"/>
        <v>21</v>
      </c>
      <c r="J706">
        <f t="shared" si="95"/>
        <v>20060921</v>
      </c>
      <c r="K706" t="str">
        <f t="shared" si="96"/>
        <v>21.09.2006</v>
      </c>
      <c r="L706" s="10">
        <f t="shared" si="97"/>
        <v>5956</v>
      </c>
      <c r="M706" s="8">
        <f t="shared" si="98"/>
        <v>16</v>
      </c>
    </row>
    <row r="707" spans="1:13" x14ac:dyDescent="0.25">
      <c r="A707" s="4" t="s">
        <v>733</v>
      </c>
      <c r="B707" t="s">
        <v>15</v>
      </c>
      <c r="C707" t="s">
        <v>6</v>
      </c>
      <c r="D707" s="3">
        <f t="shared" ref="D707:D770" si="99">MID(A707,1,2)*1</f>
        <v>5</v>
      </c>
      <c r="E707" s="4">
        <f t="shared" ref="E707:E770" si="100">MID(A707,3,2)*1</f>
        <v>23</v>
      </c>
      <c r="F707" s="4">
        <f t="shared" ref="F707:F770" si="101">MID(A707,5,2)*1</f>
        <v>8</v>
      </c>
      <c r="G707" s="3">
        <f>IF(E707&gt;=20,2000,1900) + D707</f>
        <v>2005</v>
      </c>
      <c r="H707">
        <f t="shared" ref="H707:H770" si="102">IF(E707&gt;=20,E707-20,E707)</f>
        <v>3</v>
      </c>
      <c r="I707" s="4">
        <f t="shared" ref="I707:I770" si="103">F707</f>
        <v>8</v>
      </c>
      <c r="J707">
        <f t="shared" ref="J707:J770" si="104">CONCATENATE(G707,IF(LEN(H707)=1,CONCATENATE("0",H707),H707),IF(LEN(F707)=1,CONCATENATE("0",F707),F707))*1</f>
        <v>20050308</v>
      </c>
      <c r="K707" t="str">
        <f t="shared" ref="K707:K770" si="105">CONCATENATE(RIGHT(J707,2),".",MID(J707,5,2),".",LEFT(J707,4))</f>
        <v>08.03.2005</v>
      </c>
      <c r="L707" s="10">
        <f t="shared" ref="L707:L770" si="106">44937-K707</f>
        <v>6518</v>
      </c>
      <c r="M707" s="8">
        <f t="shared" ref="M707:M770" si="107">YEAR(L707)-1900</f>
        <v>17</v>
      </c>
    </row>
    <row r="708" spans="1:13" x14ac:dyDescent="0.25">
      <c r="A708" s="4" t="s">
        <v>734</v>
      </c>
      <c r="B708" t="s">
        <v>7</v>
      </c>
      <c r="C708" t="s">
        <v>4</v>
      </c>
      <c r="D708" s="3">
        <f t="shared" si="99"/>
        <v>18</v>
      </c>
      <c r="E708" s="4">
        <f t="shared" si="100"/>
        <v>27</v>
      </c>
      <c r="F708" s="4">
        <f t="shared" si="101"/>
        <v>14</v>
      </c>
      <c r="G708" s="3">
        <f>IF(E708&gt;=20,2000,1900) + D708</f>
        <v>2018</v>
      </c>
      <c r="H708">
        <f t="shared" si="102"/>
        <v>7</v>
      </c>
      <c r="I708" s="4">
        <f t="shared" si="103"/>
        <v>14</v>
      </c>
      <c r="J708">
        <f t="shared" si="104"/>
        <v>20180714</v>
      </c>
      <c r="K708" t="str">
        <f t="shared" si="105"/>
        <v>14.07.2018</v>
      </c>
      <c r="L708" s="10">
        <f t="shared" si="106"/>
        <v>1642</v>
      </c>
      <c r="M708" s="8">
        <f t="shared" si="107"/>
        <v>4</v>
      </c>
    </row>
    <row r="709" spans="1:13" x14ac:dyDescent="0.25">
      <c r="A709" s="4" t="s">
        <v>735</v>
      </c>
      <c r="B709" t="s">
        <v>5</v>
      </c>
      <c r="C709" t="s">
        <v>4</v>
      </c>
      <c r="D709" s="3">
        <f t="shared" si="99"/>
        <v>6</v>
      </c>
      <c r="E709" s="4">
        <f t="shared" si="100"/>
        <v>32</v>
      </c>
      <c r="F709" s="4">
        <f t="shared" si="101"/>
        <v>12</v>
      </c>
      <c r="G709" s="3">
        <f>IF(E709&gt;=20,2000,1900) + D709</f>
        <v>2006</v>
      </c>
      <c r="H709">
        <f t="shared" si="102"/>
        <v>12</v>
      </c>
      <c r="I709" s="4">
        <f t="shared" si="103"/>
        <v>12</v>
      </c>
      <c r="J709">
        <f t="shared" si="104"/>
        <v>20061212</v>
      </c>
      <c r="K709" t="str">
        <f t="shared" si="105"/>
        <v>12.12.2006</v>
      </c>
      <c r="L709" s="10">
        <f t="shared" si="106"/>
        <v>5874</v>
      </c>
      <c r="M709" s="8">
        <f t="shared" si="107"/>
        <v>16</v>
      </c>
    </row>
    <row r="710" spans="1:13" x14ac:dyDescent="0.25">
      <c r="A710" s="4" t="s">
        <v>736</v>
      </c>
      <c r="B710" t="s">
        <v>8</v>
      </c>
      <c r="C710" t="s">
        <v>6</v>
      </c>
      <c r="D710" s="3">
        <f t="shared" si="99"/>
        <v>18</v>
      </c>
      <c r="E710" s="4">
        <f t="shared" si="100"/>
        <v>26</v>
      </c>
      <c r="F710" s="4">
        <f t="shared" si="101"/>
        <v>26</v>
      </c>
      <c r="G710" s="3">
        <f>IF(E710&gt;=20,2000,1900) + D710</f>
        <v>2018</v>
      </c>
      <c r="H710">
        <f t="shared" si="102"/>
        <v>6</v>
      </c>
      <c r="I710" s="4">
        <f t="shared" si="103"/>
        <v>26</v>
      </c>
      <c r="J710">
        <f t="shared" si="104"/>
        <v>20180626</v>
      </c>
      <c r="K710" t="str">
        <f t="shared" si="105"/>
        <v>26.06.2018</v>
      </c>
      <c r="L710" s="10">
        <f t="shared" si="106"/>
        <v>1660</v>
      </c>
      <c r="M710" s="8">
        <f t="shared" si="107"/>
        <v>4</v>
      </c>
    </row>
    <row r="711" spans="1:13" x14ac:dyDescent="0.25">
      <c r="A711" s="4" t="s">
        <v>737</v>
      </c>
      <c r="B711" t="s">
        <v>7</v>
      </c>
      <c r="C711" t="s">
        <v>4</v>
      </c>
      <c r="D711" s="3">
        <f t="shared" si="99"/>
        <v>7</v>
      </c>
      <c r="E711" s="4">
        <f t="shared" si="100"/>
        <v>26</v>
      </c>
      <c r="F711" s="4">
        <f t="shared" si="101"/>
        <v>12</v>
      </c>
      <c r="G711" s="3">
        <f>IF(E711&gt;=20,2000,1900) + D711</f>
        <v>2007</v>
      </c>
      <c r="H711">
        <f t="shared" si="102"/>
        <v>6</v>
      </c>
      <c r="I711" s="4">
        <f t="shared" si="103"/>
        <v>12</v>
      </c>
      <c r="J711">
        <f t="shared" si="104"/>
        <v>20070612</v>
      </c>
      <c r="K711" t="str">
        <f t="shared" si="105"/>
        <v>12.06.2007</v>
      </c>
      <c r="L711" s="10">
        <f t="shared" si="106"/>
        <v>5692</v>
      </c>
      <c r="M711" s="8">
        <f t="shared" si="107"/>
        <v>15</v>
      </c>
    </row>
    <row r="712" spans="1:13" x14ac:dyDescent="0.25">
      <c r="A712" s="4" t="s">
        <v>738</v>
      </c>
      <c r="B712" t="s">
        <v>16</v>
      </c>
      <c r="C712" t="s">
        <v>4</v>
      </c>
      <c r="D712" s="3">
        <f t="shared" si="99"/>
        <v>8</v>
      </c>
      <c r="E712" s="4">
        <f t="shared" si="100"/>
        <v>30</v>
      </c>
      <c r="F712" s="4">
        <f t="shared" si="101"/>
        <v>6</v>
      </c>
      <c r="G712" s="3">
        <f>IF(E712&gt;=20,2000,1900) + D712</f>
        <v>2008</v>
      </c>
      <c r="H712">
        <f t="shared" si="102"/>
        <v>10</v>
      </c>
      <c r="I712" s="4">
        <f t="shared" si="103"/>
        <v>6</v>
      </c>
      <c r="J712">
        <f t="shared" si="104"/>
        <v>20081006</v>
      </c>
      <c r="K712" t="str">
        <f t="shared" si="105"/>
        <v>06.10.2008</v>
      </c>
      <c r="L712" s="10">
        <f t="shared" si="106"/>
        <v>5210</v>
      </c>
      <c r="M712" s="8">
        <f t="shared" si="107"/>
        <v>14</v>
      </c>
    </row>
    <row r="713" spans="1:13" x14ac:dyDescent="0.25">
      <c r="A713" s="4" t="s">
        <v>739</v>
      </c>
      <c r="B713" t="s">
        <v>10</v>
      </c>
      <c r="C713" t="s">
        <v>6</v>
      </c>
      <c r="D713" s="3">
        <f t="shared" si="99"/>
        <v>8</v>
      </c>
      <c r="E713" s="4">
        <f t="shared" si="100"/>
        <v>22</v>
      </c>
      <c r="F713" s="4">
        <f t="shared" si="101"/>
        <v>11</v>
      </c>
      <c r="G713" s="3">
        <f>IF(E713&gt;=20,2000,1900) + D713</f>
        <v>2008</v>
      </c>
      <c r="H713">
        <f t="shared" si="102"/>
        <v>2</v>
      </c>
      <c r="I713" s="4">
        <f t="shared" si="103"/>
        <v>11</v>
      </c>
      <c r="J713">
        <f t="shared" si="104"/>
        <v>20080211</v>
      </c>
      <c r="K713" t="str">
        <f t="shared" si="105"/>
        <v>11.02.2008</v>
      </c>
      <c r="L713" s="10">
        <f t="shared" si="106"/>
        <v>5448</v>
      </c>
      <c r="M713" s="8">
        <f t="shared" si="107"/>
        <v>14</v>
      </c>
    </row>
    <row r="714" spans="1:13" x14ac:dyDescent="0.25">
      <c r="A714" s="4" t="s">
        <v>740</v>
      </c>
      <c r="B714" t="s">
        <v>10</v>
      </c>
      <c r="C714" t="s">
        <v>4</v>
      </c>
      <c r="D714" s="3">
        <f t="shared" si="99"/>
        <v>5</v>
      </c>
      <c r="E714" s="4">
        <f t="shared" si="100"/>
        <v>22</v>
      </c>
      <c r="F714" s="4">
        <f t="shared" si="101"/>
        <v>1</v>
      </c>
      <c r="G714" s="3">
        <f>IF(E714&gt;=20,2000,1900) + D714</f>
        <v>2005</v>
      </c>
      <c r="H714">
        <f t="shared" si="102"/>
        <v>2</v>
      </c>
      <c r="I714" s="4">
        <f t="shared" si="103"/>
        <v>1</v>
      </c>
      <c r="J714">
        <f t="shared" si="104"/>
        <v>20050201</v>
      </c>
      <c r="K714" t="str">
        <f t="shared" si="105"/>
        <v>01.02.2005</v>
      </c>
      <c r="L714" s="10">
        <f t="shared" si="106"/>
        <v>6553</v>
      </c>
      <c r="M714" s="8">
        <f t="shared" si="107"/>
        <v>17</v>
      </c>
    </row>
    <row r="715" spans="1:13" x14ac:dyDescent="0.25">
      <c r="A715" s="4" t="s">
        <v>741</v>
      </c>
      <c r="B715" t="s">
        <v>12</v>
      </c>
      <c r="C715" t="s">
        <v>4</v>
      </c>
      <c r="D715" s="3">
        <f t="shared" si="99"/>
        <v>11</v>
      </c>
      <c r="E715" s="4">
        <f t="shared" si="100"/>
        <v>22</v>
      </c>
      <c r="F715" s="4">
        <f t="shared" si="101"/>
        <v>20</v>
      </c>
      <c r="G715" s="3">
        <f>IF(E715&gt;=20,2000,1900) + D715</f>
        <v>2011</v>
      </c>
      <c r="H715">
        <f t="shared" si="102"/>
        <v>2</v>
      </c>
      <c r="I715" s="4">
        <f t="shared" si="103"/>
        <v>20</v>
      </c>
      <c r="J715">
        <f t="shared" si="104"/>
        <v>20110220</v>
      </c>
      <c r="K715" t="str">
        <f t="shared" si="105"/>
        <v>20.02.2011</v>
      </c>
      <c r="L715" s="10">
        <f t="shared" si="106"/>
        <v>4343</v>
      </c>
      <c r="M715" s="8">
        <f t="shared" si="107"/>
        <v>11</v>
      </c>
    </row>
    <row r="716" spans="1:13" x14ac:dyDescent="0.25">
      <c r="A716" s="4" t="s">
        <v>742</v>
      </c>
      <c r="B716" t="s">
        <v>18</v>
      </c>
      <c r="C716" t="s">
        <v>4</v>
      </c>
      <c r="D716" s="3">
        <f t="shared" si="99"/>
        <v>18</v>
      </c>
      <c r="E716" s="4">
        <f t="shared" si="100"/>
        <v>32</v>
      </c>
      <c r="F716" s="4">
        <f t="shared" si="101"/>
        <v>2</v>
      </c>
      <c r="G716" s="3">
        <f>IF(E716&gt;=20,2000,1900) + D716</f>
        <v>2018</v>
      </c>
      <c r="H716">
        <f t="shared" si="102"/>
        <v>12</v>
      </c>
      <c r="I716" s="4">
        <f t="shared" si="103"/>
        <v>2</v>
      </c>
      <c r="J716">
        <f t="shared" si="104"/>
        <v>20181202</v>
      </c>
      <c r="K716" t="str">
        <f t="shared" si="105"/>
        <v>02.12.2018</v>
      </c>
      <c r="L716" s="10">
        <f t="shared" si="106"/>
        <v>1501</v>
      </c>
      <c r="M716" s="8">
        <f t="shared" si="107"/>
        <v>4</v>
      </c>
    </row>
    <row r="717" spans="1:13" x14ac:dyDescent="0.25">
      <c r="A717" s="4" t="s">
        <v>743</v>
      </c>
      <c r="B717" t="s">
        <v>3</v>
      </c>
      <c r="C717" t="s">
        <v>6</v>
      </c>
      <c r="D717" s="3">
        <f t="shared" si="99"/>
        <v>19</v>
      </c>
      <c r="E717" s="4">
        <f t="shared" si="100"/>
        <v>30</v>
      </c>
      <c r="F717" s="4">
        <f t="shared" si="101"/>
        <v>30</v>
      </c>
      <c r="G717" s="3">
        <f>IF(E717&gt;=20,2000,1900) + D717</f>
        <v>2019</v>
      </c>
      <c r="H717">
        <f t="shared" si="102"/>
        <v>10</v>
      </c>
      <c r="I717" s="4">
        <f t="shared" si="103"/>
        <v>30</v>
      </c>
      <c r="J717">
        <f t="shared" si="104"/>
        <v>20191030</v>
      </c>
      <c r="K717" t="str">
        <f t="shared" si="105"/>
        <v>30.10.2019</v>
      </c>
      <c r="L717" s="10">
        <f t="shared" si="106"/>
        <v>1169</v>
      </c>
      <c r="M717" s="8">
        <f t="shared" si="107"/>
        <v>3</v>
      </c>
    </row>
    <row r="718" spans="1:13" x14ac:dyDescent="0.25">
      <c r="A718" s="4" t="s">
        <v>744</v>
      </c>
      <c r="B718" t="s">
        <v>3</v>
      </c>
      <c r="C718" t="s">
        <v>6</v>
      </c>
      <c r="D718" s="3">
        <f t="shared" si="99"/>
        <v>16</v>
      </c>
      <c r="E718" s="4">
        <f t="shared" si="100"/>
        <v>29</v>
      </c>
      <c r="F718" s="4">
        <f t="shared" si="101"/>
        <v>13</v>
      </c>
      <c r="G718" s="3">
        <f>IF(E718&gt;=20,2000,1900) + D718</f>
        <v>2016</v>
      </c>
      <c r="H718">
        <f t="shared" si="102"/>
        <v>9</v>
      </c>
      <c r="I718" s="4">
        <f t="shared" si="103"/>
        <v>13</v>
      </c>
      <c r="J718">
        <f t="shared" si="104"/>
        <v>20160913</v>
      </c>
      <c r="K718" t="str">
        <f t="shared" si="105"/>
        <v>13.09.2016</v>
      </c>
      <c r="L718" s="10">
        <f t="shared" si="106"/>
        <v>2311</v>
      </c>
      <c r="M718" s="8">
        <f t="shared" si="107"/>
        <v>6</v>
      </c>
    </row>
    <row r="719" spans="1:13" x14ac:dyDescent="0.25">
      <c r="A719" s="4" t="s">
        <v>745</v>
      </c>
      <c r="B719" t="s">
        <v>18</v>
      </c>
      <c r="C719" t="s">
        <v>4</v>
      </c>
      <c r="D719" s="3">
        <f t="shared" si="99"/>
        <v>8</v>
      </c>
      <c r="E719" s="4">
        <f t="shared" si="100"/>
        <v>25</v>
      </c>
      <c r="F719" s="4">
        <f t="shared" si="101"/>
        <v>6</v>
      </c>
      <c r="G719" s="3">
        <f>IF(E719&gt;=20,2000,1900) + D719</f>
        <v>2008</v>
      </c>
      <c r="H719">
        <f t="shared" si="102"/>
        <v>5</v>
      </c>
      <c r="I719" s="4">
        <f t="shared" si="103"/>
        <v>6</v>
      </c>
      <c r="J719">
        <f t="shared" si="104"/>
        <v>20080506</v>
      </c>
      <c r="K719" t="str">
        <f t="shared" si="105"/>
        <v>06.05.2008</v>
      </c>
      <c r="L719" s="10">
        <f t="shared" si="106"/>
        <v>5363</v>
      </c>
      <c r="M719" s="8">
        <f t="shared" si="107"/>
        <v>14</v>
      </c>
    </row>
    <row r="720" spans="1:13" x14ac:dyDescent="0.25">
      <c r="A720" s="4" t="s">
        <v>746</v>
      </c>
      <c r="B720" t="s">
        <v>20</v>
      </c>
      <c r="C720" t="s">
        <v>6</v>
      </c>
      <c r="D720" s="3">
        <f t="shared" si="99"/>
        <v>5</v>
      </c>
      <c r="E720" s="4">
        <f t="shared" si="100"/>
        <v>26</v>
      </c>
      <c r="F720" s="4">
        <f t="shared" si="101"/>
        <v>30</v>
      </c>
      <c r="G720" s="3">
        <f>IF(E720&gt;=20,2000,1900) + D720</f>
        <v>2005</v>
      </c>
      <c r="H720">
        <f t="shared" si="102"/>
        <v>6</v>
      </c>
      <c r="I720" s="4">
        <f t="shared" si="103"/>
        <v>30</v>
      </c>
      <c r="J720">
        <f t="shared" si="104"/>
        <v>20050630</v>
      </c>
      <c r="K720" t="str">
        <f t="shared" si="105"/>
        <v>30.06.2005</v>
      </c>
      <c r="L720" s="10">
        <f t="shared" si="106"/>
        <v>6404</v>
      </c>
      <c r="M720" s="8">
        <f t="shared" si="107"/>
        <v>17</v>
      </c>
    </row>
    <row r="721" spans="1:13" x14ac:dyDescent="0.25">
      <c r="A721" s="4" t="s">
        <v>747</v>
      </c>
      <c r="B721" t="s">
        <v>13</v>
      </c>
      <c r="C721" t="s">
        <v>6</v>
      </c>
      <c r="D721" s="3">
        <f t="shared" si="99"/>
        <v>0</v>
      </c>
      <c r="E721" s="4">
        <f t="shared" si="100"/>
        <v>21</v>
      </c>
      <c r="F721" s="4">
        <f t="shared" si="101"/>
        <v>31</v>
      </c>
      <c r="G721" s="3">
        <f>IF(E721&gt;=20,2000,1900) + D721</f>
        <v>2000</v>
      </c>
      <c r="H721">
        <f t="shared" si="102"/>
        <v>1</v>
      </c>
      <c r="I721" s="4">
        <f t="shared" si="103"/>
        <v>31</v>
      </c>
      <c r="J721">
        <f t="shared" si="104"/>
        <v>20000131</v>
      </c>
      <c r="K721" t="str">
        <f t="shared" si="105"/>
        <v>31.01.2000</v>
      </c>
      <c r="L721" s="10">
        <f t="shared" si="106"/>
        <v>8381</v>
      </c>
      <c r="M721" s="8">
        <f t="shared" si="107"/>
        <v>22</v>
      </c>
    </row>
    <row r="722" spans="1:13" x14ac:dyDescent="0.25">
      <c r="A722" s="4" t="s">
        <v>748</v>
      </c>
      <c r="B722" t="s">
        <v>18</v>
      </c>
      <c r="C722" t="s">
        <v>6</v>
      </c>
      <c r="D722" s="3">
        <f t="shared" si="99"/>
        <v>8</v>
      </c>
      <c r="E722" s="4">
        <f t="shared" si="100"/>
        <v>32</v>
      </c>
      <c r="F722" s="4">
        <f t="shared" si="101"/>
        <v>27</v>
      </c>
      <c r="G722" s="3">
        <f>IF(E722&gt;=20,2000,1900) + D722</f>
        <v>2008</v>
      </c>
      <c r="H722">
        <f t="shared" si="102"/>
        <v>12</v>
      </c>
      <c r="I722" s="4">
        <f t="shared" si="103"/>
        <v>27</v>
      </c>
      <c r="J722">
        <f t="shared" si="104"/>
        <v>20081227</v>
      </c>
      <c r="K722" t="str">
        <f t="shared" si="105"/>
        <v>27.12.2008</v>
      </c>
      <c r="L722" s="10">
        <f t="shared" si="106"/>
        <v>5128</v>
      </c>
      <c r="M722" s="8">
        <f t="shared" si="107"/>
        <v>14</v>
      </c>
    </row>
    <row r="723" spans="1:13" x14ac:dyDescent="0.25">
      <c r="A723" s="4" t="s">
        <v>749</v>
      </c>
      <c r="B723" t="s">
        <v>5</v>
      </c>
      <c r="C723" t="s">
        <v>4</v>
      </c>
      <c r="D723" s="3">
        <f t="shared" si="99"/>
        <v>16</v>
      </c>
      <c r="E723" s="4">
        <f t="shared" si="100"/>
        <v>25</v>
      </c>
      <c r="F723" s="4">
        <f t="shared" si="101"/>
        <v>15</v>
      </c>
      <c r="G723" s="3">
        <f>IF(E723&gt;=20,2000,1900) + D723</f>
        <v>2016</v>
      </c>
      <c r="H723">
        <f t="shared" si="102"/>
        <v>5</v>
      </c>
      <c r="I723" s="4">
        <f t="shared" si="103"/>
        <v>15</v>
      </c>
      <c r="J723">
        <f t="shared" si="104"/>
        <v>20160515</v>
      </c>
      <c r="K723" t="str">
        <f t="shared" si="105"/>
        <v>15.05.2016</v>
      </c>
      <c r="L723" s="10">
        <f t="shared" si="106"/>
        <v>2432</v>
      </c>
      <c r="M723" s="8">
        <f t="shared" si="107"/>
        <v>6</v>
      </c>
    </row>
    <row r="724" spans="1:13" x14ac:dyDescent="0.25">
      <c r="A724" s="4" t="s">
        <v>750</v>
      </c>
      <c r="B724" t="s">
        <v>13</v>
      </c>
      <c r="C724" t="s">
        <v>6</v>
      </c>
      <c r="D724" s="3">
        <f t="shared" si="99"/>
        <v>10</v>
      </c>
      <c r="E724" s="4">
        <f t="shared" si="100"/>
        <v>29</v>
      </c>
      <c r="F724" s="4">
        <f t="shared" si="101"/>
        <v>27</v>
      </c>
      <c r="G724" s="3">
        <f>IF(E724&gt;=20,2000,1900) + D724</f>
        <v>2010</v>
      </c>
      <c r="H724">
        <f t="shared" si="102"/>
        <v>9</v>
      </c>
      <c r="I724" s="4">
        <f t="shared" si="103"/>
        <v>27</v>
      </c>
      <c r="J724">
        <f t="shared" si="104"/>
        <v>20100927</v>
      </c>
      <c r="K724" t="str">
        <f t="shared" si="105"/>
        <v>27.09.2010</v>
      </c>
      <c r="L724" s="10">
        <f t="shared" si="106"/>
        <v>4489</v>
      </c>
      <c r="M724" s="8">
        <f t="shared" si="107"/>
        <v>12</v>
      </c>
    </row>
    <row r="725" spans="1:13" x14ac:dyDescent="0.25">
      <c r="A725" s="4" t="s">
        <v>751</v>
      </c>
      <c r="B725" t="s">
        <v>13</v>
      </c>
      <c r="C725" t="s">
        <v>6</v>
      </c>
      <c r="D725" s="3">
        <f t="shared" si="99"/>
        <v>14</v>
      </c>
      <c r="E725" s="4">
        <f t="shared" si="100"/>
        <v>23</v>
      </c>
      <c r="F725" s="4">
        <f t="shared" si="101"/>
        <v>13</v>
      </c>
      <c r="G725" s="3">
        <f>IF(E725&gt;=20,2000,1900) + D725</f>
        <v>2014</v>
      </c>
      <c r="H725">
        <f t="shared" si="102"/>
        <v>3</v>
      </c>
      <c r="I725" s="4">
        <f t="shared" si="103"/>
        <v>13</v>
      </c>
      <c r="J725">
        <f t="shared" si="104"/>
        <v>20140313</v>
      </c>
      <c r="K725" t="str">
        <f t="shared" si="105"/>
        <v>13.03.2014</v>
      </c>
      <c r="L725" s="10">
        <f t="shared" si="106"/>
        <v>3226</v>
      </c>
      <c r="M725" s="8">
        <f t="shared" si="107"/>
        <v>8</v>
      </c>
    </row>
    <row r="726" spans="1:13" x14ac:dyDescent="0.25">
      <c r="A726" s="4" t="s">
        <v>752</v>
      </c>
      <c r="B726" t="s">
        <v>14</v>
      </c>
      <c r="C726" t="s">
        <v>4</v>
      </c>
      <c r="D726" s="3">
        <f t="shared" si="99"/>
        <v>21</v>
      </c>
      <c r="E726" s="4">
        <f t="shared" si="100"/>
        <v>22</v>
      </c>
      <c r="F726" s="4">
        <f t="shared" si="101"/>
        <v>26</v>
      </c>
      <c r="G726" s="3">
        <f>IF(E726&gt;=20,2000,1900) + D726</f>
        <v>2021</v>
      </c>
      <c r="H726">
        <f t="shared" si="102"/>
        <v>2</v>
      </c>
      <c r="I726" s="4">
        <f t="shared" si="103"/>
        <v>26</v>
      </c>
      <c r="J726">
        <f t="shared" si="104"/>
        <v>20210226</v>
      </c>
      <c r="K726" t="str">
        <f t="shared" si="105"/>
        <v>26.02.2021</v>
      </c>
      <c r="L726" s="10">
        <f t="shared" si="106"/>
        <v>684</v>
      </c>
      <c r="M726" s="8">
        <f t="shared" si="107"/>
        <v>1</v>
      </c>
    </row>
    <row r="727" spans="1:13" x14ac:dyDescent="0.25">
      <c r="A727" s="4" t="s">
        <v>753</v>
      </c>
      <c r="B727" t="s">
        <v>17</v>
      </c>
      <c r="C727" t="s">
        <v>6</v>
      </c>
      <c r="D727" s="3">
        <f t="shared" si="99"/>
        <v>12</v>
      </c>
      <c r="E727" s="4">
        <f t="shared" si="100"/>
        <v>29</v>
      </c>
      <c r="F727" s="4">
        <f t="shared" si="101"/>
        <v>22</v>
      </c>
      <c r="G727" s="3">
        <f>IF(E727&gt;=20,2000,1900) + D727</f>
        <v>2012</v>
      </c>
      <c r="H727">
        <f t="shared" si="102"/>
        <v>9</v>
      </c>
      <c r="I727" s="4">
        <f t="shared" si="103"/>
        <v>22</v>
      </c>
      <c r="J727">
        <f t="shared" si="104"/>
        <v>20120922</v>
      </c>
      <c r="K727" t="str">
        <f t="shared" si="105"/>
        <v>22.09.2012</v>
      </c>
      <c r="L727" s="10">
        <f t="shared" si="106"/>
        <v>3763</v>
      </c>
      <c r="M727" s="8">
        <f t="shared" si="107"/>
        <v>10</v>
      </c>
    </row>
    <row r="728" spans="1:13" x14ac:dyDescent="0.25">
      <c r="A728" s="4" t="s">
        <v>754</v>
      </c>
      <c r="B728" t="s">
        <v>13</v>
      </c>
      <c r="C728" t="s">
        <v>6</v>
      </c>
      <c r="D728" s="3">
        <f t="shared" si="99"/>
        <v>7</v>
      </c>
      <c r="E728" s="4">
        <f t="shared" si="100"/>
        <v>28</v>
      </c>
      <c r="F728" s="4">
        <f t="shared" si="101"/>
        <v>29</v>
      </c>
      <c r="G728" s="3">
        <f>IF(E728&gt;=20,2000,1900) + D728</f>
        <v>2007</v>
      </c>
      <c r="H728">
        <f t="shared" si="102"/>
        <v>8</v>
      </c>
      <c r="I728" s="4">
        <f t="shared" si="103"/>
        <v>29</v>
      </c>
      <c r="J728">
        <f t="shared" si="104"/>
        <v>20070829</v>
      </c>
      <c r="K728" t="str">
        <f t="shared" si="105"/>
        <v>29.08.2007</v>
      </c>
      <c r="L728" s="10">
        <f t="shared" si="106"/>
        <v>5614</v>
      </c>
      <c r="M728" s="8">
        <f t="shared" si="107"/>
        <v>15</v>
      </c>
    </row>
    <row r="729" spans="1:13" x14ac:dyDescent="0.25">
      <c r="A729" s="4" t="s">
        <v>755</v>
      </c>
      <c r="B729" t="s">
        <v>19</v>
      </c>
      <c r="C729" t="s">
        <v>6</v>
      </c>
      <c r="D729" s="3">
        <f t="shared" si="99"/>
        <v>9</v>
      </c>
      <c r="E729" s="4">
        <f t="shared" si="100"/>
        <v>22</v>
      </c>
      <c r="F729" s="4">
        <f t="shared" si="101"/>
        <v>5</v>
      </c>
      <c r="G729" s="3">
        <f>IF(E729&gt;=20,2000,1900) + D729</f>
        <v>2009</v>
      </c>
      <c r="H729">
        <f t="shared" si="102"/>
        <v>2</v>
      </c>
      <c r="I729" s="4">
        <f t="shared" si="103"/>
        <v>5</v>
      </c>
      <c r="J729">
        <f t="shared" si="104"/>
        <v>20090205</v>
      </c>
      <c r="K729" t="str">
        <f t="shared" si="105"/>
        <v>05.02.2009</v>
      </c>
      <c r="L729" s="10">
        <f t="shared" si="106"/>
        <v>5088</v>
      </c>
      <c r="M729" s="8">
        <f t="shared" si="107"/>
        <v>13</v>
      </c>
    </row>
    <row r="730" spans="1:13" x14ac:dyDescent="0.25">
      <c r="A730" s="4" t="s">
        <v>756</v>
      </c>
      <c r="B730" t="s">
        <v>18</v>
      </c>
      <c r="C730" t="s">
        <v>6</v>
      </c>
      <c r="D730" s="3">
        <f t="shared" si="99"/>
        <v>21</v>
      </c>
      <c r="E730" s="4">
        <f t="shared" si="100"/>
        <v>23</v>
      </c>
      <c r="F730" s="4">
        <f t="shared" si="101"/>
        <v>1</v>
      </c>
      <c r="G730" s="3">
        <f>IF(E730&gt;=20,2000,1900) + D730</f>
        <v>2021</v>
      </c>
      <c r="H730">
        <f t="shared" si="102"/>
        <v>3</v>
      </c>
      <c r="I730" s="4">
        <f t="shared" si="103"/>
        <v>1</v>
      </c>
      <c r="J730">
        <f t="shared" si="104"/>
        <v>20210301</v>
      </c>
      <c r="K730" t="str">
        <f t="shared" si="105"/>
        <v>01.03.2021</v>
      </c>
      <c r="L730" s="10">
        <f t="shared" si="106"/>
        <v>681</v>
      </c>
      <c r="M730" s="8">
        <f t="shared" si="107"/>
        <v>1</v>
      </c>
    </row>
    <row r="731" spans="1:13" x14ac:dyDescent="0.25">
      <c r="A731" s="4" t="s">
        <v>757</v>
      </c>
      <c r="B731" t="s">
        <v>16</v>
      </c>
      <c r="C731" t="s">
        <v>4</v>
      </c>
      <c r="D731" s="3">
        <f t="shared" si="99"/>
        <v>11</v>
      </c>
      <c r="E731" s="4">
        <f t="shared" si="100"/>
        <v>31</v>
      </c>
      <c r="F731" s="4">
        <f t="shared" si="101"/>
        <v>23</v>
      </c>
      <c r="G731" s="3">
        <f>IF(E731&gt;=20,2000,1900) + D731</f>
        <v>2011</v>
      </c>
      <c r="H731">
        <f t="shared" si="102"/>
        <v>11</v>
      </c>
      <c r="I731" s="4">
        <f t="shared" si="103"/>
        <v>23</v>
      </c>
      <c r="J731">
        <f t="shared" si="104"/>
        <v>20111123</v>
      </c>
      <c r="K731" t="str">
        <f t="shared" si="105"/>
        <v>23.11.2011</v>
      </c>
      <c r="L731" s="10">
        <f t="shared" si="106"/>
        <v>4067</v>
      </c>
      <c r="M731" s="8">
        <f t="shared" si="107"/>
        <v>11</v>
      </c>
    </row>
    <row r="732" spans="1:13" x14ac:dyDescent="0.25">
      <c r="A732" s="4" t="s">
        <v>758</v>
      </c>
      <c r="B732" t="s">
        <v>14</v>
      </c>
      <c r="C732" t="s">
        <v>4</v>
      </c>
      <c r="D732" s="3">
        <f t="shared" si="99"/>
        <v>9</v>
      </c>
      <c r="E732" s="4">
        <f t="shared" si="100"/>
        <v>24</v>
      </c>
      <c r="F732" s="4">
        <f t="shared" si="101"/>
        <v>6</v>
      </c>
      <c r="G732" s="3">
        <f>IF(E732&gt;=20,2000,1900) + D732</f>
        <v>2009</v>
      </c>
      <c r="H732">
        <f t="shared" si="102"/>
        <v>4</v>
      </c>
      <c r="I732" s="4">
        <f t="shared" si="103"/>
        <v>6</v>
      </c>
      <c r="J732">
        <f t="shared" si="104"/>
        <v>20090406</v>
      </c>
      <c r="K732" t="str">
        <f t="shared" si="105"/>
        <v>06.04.2009</v>
      </c>
      <c r="L732" s="10">
        <f t="shared" si="106"/>
        <v>5028</v>
      </c>
      <c r="M732" s="8">
        <f t="shared" si="107"/>
        <v>13</v>
      </c>
    </row>
    <row r="733" spans="1:13" x14ac:dyDescent="0.25">
      <c r="A733" s="4" t="s">
        <v>759</v>
      </c>
      <c r="B733" t="s">
        <v>15</v>
      </c>
      <c r="C733" t="s">
        <v>6</v>
      </c>
      <c r="D733" s="3">
        <f t="shared" si="99"/>
        <v>0</v>
      </c>
      <c r="E733" s="4">
        <f t="shared" si="100"/>
        <v>31</v>
      </c>
      <c r="F733" s="4">
        <f t="shared" si="101"/>
        <v>21</v>
      </c>
      <c r="G733" s="3">
        <f>IF(E733&gt;=20,2000,1900) + D733</f>
        <v>2000</v>
      </c>
      <c r="H733">
        <f t="shared" si="102"/>
        <v>11</v>
      </c>
      <c r="I733" s="4">
        <f t="shared" si="103"/>
        <v>21</v>
      </c>
      <c r="J733">
        <f t="shared" si="104"/>
        <v>20001121</v>
      </c>
      <c r="K733" t="str">
        <f t="shared" si="105"/>
        <v>21.11.2000</v>
      </c>
      <c r="L733" s="10">
        <f t="shared" si="106"/>
        <v>8086</v>
      </c>
      <c r="M733" s="8">
        <f t="shared" si="107"/>
        <v>22</v>
      </c>
    </row>
    <row r="734" spans="1:13" x14ac:dyDescent="0.25">
      <c r="A734" s="4" t="s">
        <v>760</v>
      </c>
      <c r="B734" t="s">
        <v>20</v>
      </c>
      <c r="C734" t="s">
        <v>4</v>
      </c>
      <c r="D734" s="3">
        <f t="shared" si="99"/>
        <v>8</v>
      </c>
      <c r="E734" s="4">
        <f t="shared" si="100"/>
        <v>28</v>
      </c>
      <c r="F734" s="4">
        <f t="shared" si="101"/>
        <v>11</v>
      </c>
      <c r="G734" s="3">
        <f>IF(E734&gt;=20,2000,1900) + D734</f>
        <v>2008</v>
      </c>
      <c r="H734">
        <f t="shared" si="102"/>
        <v>8</v>
      </c>
      <c r="I734" s="4">
        <f t="shared" si="103"/>
        <v>11</v>
      </c>
      <c r="J734">
        <f t="shared" si="104"/>
        <v>20080811</v>
      </c>
      <c r="K734" t="str">
        <f t="shared" si="105"/>
        <v>11.08.2008</v>
      </c>
      <c r="L734" s="10">
        <f t="shared" si="106"/>
        <v>5266</v>
      </c>
      <c r="M734" s="8">
        <f t="shared" si="107"/>
        <v>14</v>
      </c>
    </row>
    <row r="735" spans="1:13" x14ac:dyDescent="0.25">
      <c r="A735" s="4" t="s">
        <v>761</v>
      </c>
      <c r="B735" t="s">
        <v>17</v>
      </c>
      <c r="C735" t="s">
        <v>6</v>
      </c>
      <c r="D735" s="3">
        <f t="shared" si="99"/>
        <v>5</v>
      </c>
      <c r="E735" s="4">
        <f t="shared" si="100"/>
        <v>22</v>
      </c>
      <c r="F735" s="4">
        <f t="shared" si="101"/>
        <v>12</v>
      </c>
      <c r="G735" s="3">
        <f>IF(E735&gt;=20,2000,1900) + D735</f>
        <v>2005</v>
      </c>
      <c r="H735">
        <f t="shared" si="102"/>
        <v>2</v>
      </c>
      <c r="I735" s="4">
        <f t="shared" si="103"/>
        <v>12</v>
      </c>
      <c r="J735">
        <f t="shared" si="104"/>
        <v>20050212</v>
      </c>
      <c r="K735" t="str">
        <f t="shared" si="105"/>
        <v>12.02.2005</v>
      </c>
      <c r="L735" s="10">
        <f t="shared" si="106"/>
        <v>6542</v>
      </c>
      <c r="M735" s="8">
        <f t="shared" si="107"/>
        <v>17</v>
      </c>
    </row>
    <row r="736" spans="1:13" x14ac:dyDescent="0.25">
      <c r="A736" s="4" t="s">
        <v>762</v>
      </c>
      <c r="B736" t="s">
        <v>11</v>
      </c>
      <c r="C736" t="s">
        <v>4</v>
      </c>
      <c r="D736" s="3">
        <f t="shared" si="99"/>
        <v>16</v>
      </c>
      <c r="E736" s="4">
        <f t="shared" si="100"/>
        <v>21</v>
      </c>
      <c r="F736" s="4">
        <f t="shared" si="101"/>
        <v>24</v>
      </c>
      <c r="G736" s="3">
        <f>IF(E736&gt;=20,2000,1900) + D736</f>
        <v>2016</v>
      </c>
      <c r="H736">
        <f t="shared" si="102"/>
        <v>1</v>
      </c>
      <c r="I736" s="4">
        <f t="shared" si="103"/>
        <v>24</v>
      </c>
      <c r="J736">
        <f t="shared" si="104"/>
        <v>20160124</v>
      </c>
      <c r="K736" t="str">
        <f t="shared" si="105"/>
        <v>24.01.2016</v>
      </c>
      <c r="L736" s="10">
        <f t="shared" si="106"/>
        <v>2544</v>
      </c>
      <c r="M736" s="8">
        <f t="shared" si="107"/>
        <v>6</v>
      </c>
    </row>
    <row r="737" spans="1:13" x14ac:dyDescent="0.25">
      <c r="A737" s="4" t="s">
        <v>763</v>
      </c>
      <c r="B737" t="s">
        <v>20</v>
      </c>
      <c r="C737" t="s">
        <v>4</v>
      </c>
      <c r="D737" s="3">
        <f t="shared" si="99"/>
        <v>15</v>
      </c>
      <c r="E737" s="4">
        <f t="shared" si="100"/>
        <v>30</v>
      </c>
      <c r="F737" s="4">
        <f t="shared" si="101"/>
        <v>6</v>
      </c>
      <c r="G737" s="3">
        <f>IF(E737&gt;=20,2000,1900) + D737</f>
        <v>2015</v>
      </c>
      <c r="H737">
        <f t="shared" si="102"/>
        <v>10</v>
      </c>
      <c r="I737" s="4">
        <f t="shared" si="103"/>
        <v>6</v>
      </c>
      <c r="J737">
        <f t="shared" si="104"/>
        <v>20151006</v>
      </c>
      <c r="K737" t="str">
        <f t="shared" si="105"/>
        <v>06.10.2015</v>
      </c>
      <c r="L737" s="10">
        <f t="shared" si="106"/>
        <v>2654</v>
      </c>
      <c r="M737" s="8">
        <f t="shared" si="107"/>
        <v>7</v>
      </c>
    </row>
    <row r="738" spans="1:13" x14ac:dyDescent="0.25">
      <c r="A738" s="4" t="s">
        <v>764</v>
      </c>
      <c r="B738" t="s">
        <v>5</v>
      </c>
      <c r="C738" t="s">
        <v>4</v>
      </c>
      <c r="D738" s="3">
        <f t="shared" si="99"/>
        <v>15</v>
      </c>
      <c r="E738" s="4">
        <f t="shared" si="100"/>
        <v>29</v>
      </c>
      <c r="F738" s="4">
        <f t="shared" si="101"/>
        <v>18</v>
      </c>
      <c r="G738" s="3">
        <f>IF(E738&gt;=20,2000,1900) + D738</f>
        <v>2015</v>
      </c>
      <c r="H738">
        <f t="shared" si="102"/>
        <v>9</v>
      </c>
      <c r="I738" s="4">
        <f t="shared" si="103"/>
        <v>18</v>
      </c>
      <c r="J738">
        <f t="shared" si="104"/>
        <v>20150918</v>
      </c>
      <c r="K738" t="str">
        <f t="shared" si="105"/>
        <v>18.09.2015</v>
      </c>
      <c r="L738" s="10">
        <f t="shared" si="106"/>
        <v>2672</v>
      </c>
      <c r="M738" s="8">
        <f t="shared" si="107"/>
        <v>7</v>
      </c>
    </row>
    <row r="739" spans="1:13" x14ac:dyDescent="0.25">
      <c r="A739" s="4" t="s">
        <v>765</v>
      </c>
      <c r="B739" t="s">
        <v>19</v>
      </c>
      <c r="C739" t="s">
        <v>6</v>
      </c>
      <c r="D739" s="3">
        <f t="shared" si="99"/>
        <v>19</v>
      </c>
      <c r="E739" s="4">
        <f t="shared" si="100"/>
        <v>30</v>
      </c>
      <c r="F739" s="4">
        <f t="shared" si="101"/>
        <v>15</v>
      </c>
      <c r="G739" s="3">
        <f>IF(E739&gt;=20,2000,1900) + D739</f>
        <v>2019</v>
      </c>
      <c r="H739">
        <f t="shared" si="102"/>
        <v>10</v>
      </c>
      <c r="I739" s="4">
        <f t="shared" si="103"/>
        <v>15</v>
      </c>
      <c r="J739">
        <f t="shared" si="104"/>
        <v>20191015</v>
      </c>
      <c r="K739" t="str">
        <f t="shared" si="105"/>
        <v>15.10.2019</v>
      </c>
      <c r="L739" s="10">
        <f t="shared" si="106"/>
        <v>1184</v>
      </c>
      <c r="M739" s="8">
        <f t="shared" si="107"/>
        <v>3</v>
      </c>
    </row>
    <row r="740" spans="1:13" x14ac:dyDescent="0.25">
      <c r="A740" s="4" t="s">
        <v>766</v>
      </c>
      <c r="B740" t="s">
        <v>12</v>
      </c>
      <c r="C740" t="s">
        <v>4</v>
      </c>
      <c r="D740" s="3">
        <f t="shared" si="99"/>
        <v>3</v>
      </c>
      <c r="E740" s="4">
        <f t="shared" si="100"/>
        <v>21</v>
      </c>
      <c r="F740" s="4">
        <f t="shared" si="101"/>
        <v>14</v>
      </c>
      <c r="G740" s="3">
        <f>IF(E740&gt;=20,2000,1900) + D740</f>
        <v>2003</v>
      </c>
      <c r="H740">
        <f t="shared" si="102"/>
        <v>1</v>
      </c>
      <c r="I740" s="4">
        <f t="shared" si="103"/>
        <v>14</v>
      </c>
      <c r="J740">
        <f t="shared" si="104"/>
        <v>20030114</v>
      </c>
      <c r="K740" t="str">
        <f t="shared" si="105"/>
        <v>14.01.2003</v>
      </c>
      <c r="L740" s="10">
        <f t="shared" si="106"/>
        <v>7302</v>
      </c>
      <c r="M740" s="8">
        <f t="shared" si="107"/>
        <v>19</v>
      </c>
    </row>
    <row r="741" spans="1:13" x14ac:dyDescent="0.25">
      <c r="A741" s="4" t="s">
        <v>767</v>
      </c>
      <c r="B741" t="s">
        <v>11</v>
      </c>
      <c r="C741" t="s">
        <v>4</v>
      </c>
      <c r="D741" s="3">
        <f t="shared" si="99"/>
        <v>6</v>
      </c>
      <c r="E741" s="4">
        <f t="shared" si="100"/>
        <v>24</v>
      </c>
      <c r="F741" s="4">
        <f t="shared" si="101"/>
        <v>21</v>
      </c>
      <c r="G741" s="3">
        <f>IF(E741&gt;=20,2000,1900) + D741</f>
        <v>2006</v>
      </c>
      <c r="H741">
        <f t="shared" si="102"/>
        <v>4</v>
      </c>
      <c r="I741" s="4">
        <f t="shared" si="103"/>
        <v>21</v>
      </c>
      <c r="J741">
        <f t="shared" si="104"/>
        <v>20060421</v>
      </c>
      <c r="K741" t="str">
        <f t="shared" si="105"/>
        <v>21.04.2006</v>
      </c>
      <c r="L741" s="10">
        <f t="shared" si="106"/>
        <v>6109</v>
      </c>
      <c r="M741" s="8">
        <f t="shared" si="107"/>
        <v>16</v>
      </c>
    </row>
    <row r="742" spans="1:13" x14ac:dyDescent="0.25">
      <c r="A742" s="4" t="s">
        <v>768</v>
      </c>
      <c r="B742" t="s">
        <v>17</v>
      </c>
      <c r="C742" t="s">
        <v>4</v>
      </c>
      <c r="D742" s="3">
        <f t="shared" si="99"/>
        <v>3</v>
      </c>
      <c r="E742" s="4">
        <f t="shared" si="100"/>
        <v>25</v>
      </c>
      <c r="F742" s="4">
        <f t="shared" si="101"/>
        <v>28</v>
      </c>
      <c r="G742" s="3">
        <f>IF(E742&gt;=20,2000,1900) + D742</f>
        <v>2003</v>
      </c>
      <c r="H742">
        <f t="shared" si="102"/>
        <v>5</v>
      </c>
      <c r="I742" s="4">
        <f t="shared" si="103"/>
        <v>28</v>
      </c>
      <c r="J742">
        <f t="shared" si="104"/>
        <v>20030528</v>
      </c>
      <c r="K742" t="str">
        <f t="shared" si="105"/>
        <v>28.05.2003</v>
      </c>
      <c r="L742" s="10">
        <f t="shared" si="106"/>
        <v>7168</v>
      </c>
      <c r="M742" s="8">
        <f t="shared" si="107"/>
        <v>19</v>
      </c>
    </row>
    <row r="743" spans="1:13" x14ac:dyDescent="0.25">
      <c r="A743" s="4" t="s">
        <v>769</v>
      </c>
      <c r="B743" t="s">
        <v>12</v>
      </c>
      <c r="C743" t="s">
        <v>4</v>
      </c>
      <c r="D743" s="3">
        <f t="shared" si="99"/>
        <v>16</v>
      </c>
      <c r="E743" s="4">
        <f t="shared" si="100"/>
        <v>29</v>
      </c>
      <c r="F743" s="4">
        <f t="shared" si="101"/>
        <v>29</v>
      </c>
      <c r="G743" s="3">
        <f>IF(E743&gt;=20,2000,1900) + D743</f>
        <v>2016</v>
      </c>
      <c r="H743">
        <f t="shared" si="102"/>
        <v>9</v>
      </c>
      <c r="I743" s="4">
        <f t="shared" si="103"/>
        <v>29</v>
      </c>
      <c r="J743">
        <f t="shared" si="104"/>
        <v>20160929</v>
      </c>
      <c r="K743" t="str">
        <f t="shared" si="105"/>
        <v>29.09.2016</v>
      </c>
      <c r="L743" s="10">
        <f t="shared" si="106"/>
        <v>2295</v>
      </c>
      <c r="M743" s="8">
        <f t="shared" si="107"/>
        <v>6</v>
      </c>
    </row>
    <row r="744" spans="1:13" x14ac:dyDescent="0.25">
      <c r="A744" s="4" t="s">
        <v>770</v>
      </c>
      <c r="B744" t="s">
        <v>16</v>
      </c>
      <c r="C744" t="s">
        <v>6</v>
      </c>
      <c r="D744" s="3">
        <f t="shared" si="99"/>
        <v>0</v>
      </c>
      <c r="E744" s="4">
        <f t="shared" si="100"/>
        <v>27</v>
      </c>
      <c r="F744" s="4">
        <f t="shared" si="101"/>
        <v>27</v>
      </c>
      <c r="G744" s="3">
        <f>IF(E744&gt;=20,2000,1900) + D744</f>
        <v>2000</v>
      </c>
      <c r="H744">
        <f t="shared" si="102"/>
        <v>7</v>
      </c>
      <c r="I744" s="4">
        <f t="shared" si="103"/>
        <v>27</v>
      </c>
      <c r="J744">
        <f t="shared" si="104"/>
        <v>20000727</v>
      </c>
      <c r="K744" t="str">
        <f t="shared" si="105"/>
        <v>27.07.2000</v>
      </c>
      <c r="L744" s="10">
        <f t="shared" si="106"/>
        <v>8203</v>
      </c>
      <c r="M744" s="8">
        <f t="shared" si="107"/>
        <v>22</v>
      </c>
    </row>
    <row r="745" spans="1:13" x14ac:dyDescent="0.25">
      <c r="A745" s="4" t="s">
        <v>771</v>
      </c>
      <c r="B745" t="s">
        <v>12</v>
      </c>
      <c r="C745" t="s">
        <v>6</v>
      </c>
      <c r="D745" s="3">
        <f t="shared" si="99"/>
        <v>6</v>
      </c>
      <c r="E745" s="4">
        <f t="shared" si="100"/>
        <v>25</v>
      </c>
      <c r="F745" s="4">
        <f t="shared" si="101"/>
        <v>21</v>
      </c>
      <c r="G745" s="3">
        <f>IF(E745&gt;=20,2000,1900) + D745</f>
        <v>2006</v>
      </c>
      <c r="H745">
        <f t="shared" si="102"/>
        <v>5</v>
      </c>
      <c r="I745" s="4">
        <f t="shared" si="103"/>
        <v>21</v>
      </c>
      <c r="J745">
        <f t="shared" si="104"/>
        <v>20060521</v>
      </c>
      <c r="K745" t="str">
        <f t="shared" si="105"/>
        <v>21.05.2006</v>
      </c>
      <c r="L745" s="10">
        <f t="shared" si="106"/>
        <v>6079</v>
      </c>
      <c r="M745" s="8">
        <f t="shared" si="107"/>
        <v>16</v>
      </c>
    </row>
    <row r="746" spans="1:13" x14ac:dyDescent="0.25">
      <c r="A746" s="4" t="s">
        <v>772</v>
      </c>
      <c r="B746" t="s">
        <v>12</v>
      </c>
      <c r="C746" t="s">
        <v>6</v>
      </c>
      <c r="D746" s="3">
        <f t="shared" si="99"/>
        <v>12</v>
      </c>
      <c r="E746" s="4">
        <f t="shared" si="100"/>
        <v>24</v>
      </c>
      <c r="F746" s="4">
        <f t="shared" si="101"/>
        <v>17</v>
      </c>
      <c r="G746" s="3">
        <f>IF(E746&gt;=20,2000,1900) + D746</f>
        <v>2012</v>
      </c>
      <c r="H746">
        <f t="shared" si="102"/>
        <v>4</v>
      </c>
      <c r="I746" s="4">
        <f t="shared" si="103"/>
        <v>17</v>
      </c>
      <c r="J746">
        <f t="shared" si="104"/>
        <v>20120417</v>
      </c>
      <c r="K746" t="str">
        <f t="shared" si="105"/>
        <v>17.04.2012</v>
      </c>
      <c r="L746" s="10">
        <f t="shared" si="106"/>
        <v>3921</v>
      </c>
      <c r="M746" s="8">
        <f t="shared" si="107"/>
        <v>10</v>
      </c>
    </row>
    <row r="747" spans="1:13" x14ac:dyDescent="0.25">
      <c r="A747" s="4" t="s">
        <v>773</v>
      </c>
      <c r="B747" t="s">
        <v>19</v>
      </c>
      <c r="C747" t="s">
        <v>6</v>
      </c>
      <c r="D747" s="3">
        <f t="shared" si="99"/>
        <v>17</v>
      </c>
      <c r="E747" s="4">
        <f t="shared" si="100"/>
        <v>25</v>
      </c>
      <c r="F747" s="4">
        <f t="shared" si="101"/>
        <v>1</v>
      </c>
      <c r="G747" s="3">
        <f>IF(E747&gt;=20,2000,1900) + D747</f>
        <v>2017</v>
      </c>
      <c r="H747">
        <f t="shared" si="102"/>
        <v>5</v>
      </c>
      <c r="I747" s="4">
        <f t="shared" si="103"/>
        <v>1</v>
      </c>
      <c r="J747">
        <f t="shared" si="104"/>
        <v>20170501</v>
      </c>
      <c r="K747" t="str">
        <f t="shared" si="105"/>
        <v>01.05.2017</v>
      </c>
      <c r="L747" s="10">
        <f t="shared" si="106"/>
        <v>2081</v>
      </c>
      <c r="M747" s="8">
        <f t="shared" si="107"/>
        <v>5</v>
      </c>
    </row>
    <row r="748" spans="1:13" x14ac:dyDescent="0.25">
      <c r="A748" s="4" t="s">
        <v>774</v>
      </c>
      <c r="B748" t="s">
        <v>5</v>
      </c>
      <c r="C748" t="s">
        <v>6</v>
      </c>
      <c r="D748" s="3">
        <f t="shared" si="99"/>
        <v>15</v>
      </c>
      <c r="E748" s="4">
        <f t="shared" si="100"/>
        <v>31</v>
      </c>
      <c r="F748" s="4">
        <f t="shared" si="101"/>
        <v>26</v>
      </c>
      <c r="G748" s="3">
        <f>IF(E748&gt;=20,2000,1900) + D748</f>
        <v>2015</v>
      </c>
      <c r="H748">
        <f t="shared" si="102"/>
        <v>11</v>
      </c>
      <c r="I748" s="4">
        <f t="shared" si="103"/>
        <v>26</v>
      </c>
      <c r="J748">
        <f t="shared" si="104"/>
        <v>20151126</v>
      </c>
      <c r="K748" t="str">
        <f t="shared" si="105"/>
        <v>26.11.2015</v>
      </c>
      <c r="L748" s="10">
        <f t="shared" si="106"/>
        <v>2603</v>
      </c>
      <c r="M748" s="8">
        <f t="shared" si="107"/>
        <v>7</v>
      </c>
    </row>
    <row r="749" spans="1:13" x14ac:dyDescent="0.25">
      <c r="A749" s="4" t="s">
        <v>775</v>
      </c>
      <c r="B749" t="s">
        <v>14</v>
      </c>
      <c r="C749" t="s">
        <v>4</v>
      </c>
      <c r="D749" s="3">
        <f t="shared" si="99"/>
        <v>11</v>
      </c>
      <c r="E749" s="4">
        <f t="shared" si="100"/>
        <v>26</v>
      </c>
      <c r="F749" s="4">
        <f t="shared" si="101"/>
        <v>13</v>
      </c>
      <c r="G749" s="3">
        <f>IF(E749&gt;=20,2000,1900) + D749</f>
        <v>2011</v>
      </c>
      <c r="H749">
        <f t="shared" si="102"/>
        <v>6</v>
      </c>
      <c r="I749" s="4">
        <f t="shared" si="103"/>
        <v>13</v>
      </c>
      <c r="J749">
        <f t="shared" si="104"/>
        <v>20110613</v>
      </c>
      <c r="K749" t="str">
        <f t="shared" si="105"/>
        <v>13.06.2011</v>
      </c>
      <c r="L749" s="10">
        <f t="shared" si="106"/>
        <v>4230</v>
      </c>
      <c r="M749" s="8">
        <f t="shared" si="107"/>
        <v>11</v>
      </c>
    </row>
    <row r="750" spans="1:13" x14ac:dyDescent="0.25">
      <c r="A750" s="4" t="s">
        <v>776</v>
      </c>
      <c r="B750" t="s">
        <v>13</v>
      </c>
      <c r="C750" t="s">
        <v>4</v>
      </c>
      <c r="D750" s="3">
        <f t="shared" si="99"/>
        <v>11</v>
      </c>
      <c r="E750" s="4">
        <f t="shared" si="100"/>
        <v>27</v>
      </c>
      <c r="F750" s="4">
        <f t="shared" si="101"/>
        <v>8</v>
      </c>
      <c r="G750" s="3">
        <f>IF(E750&gt;=20,2000,1900) + D750</f>
        <v>2011</v>
      </c>
      <c r="H750">
        <f t="shared" si="102"/>
        <v>7</v>
      </c>
      <c r="I750" s="4">
        <f t="shared" si="103"/>
        <v>8</v>
      </c>
      <c r="J750">
        <f t="shared" si="104"/>
        <v>20110708</v>
      </c>
      <c r="K750" t="str">
        <f t="shared" si="105"/>
        <v>08.07.2011</v>
      </c>
      <c r="L750" s="10">
        <f t="shared" si="106"/>
        <v>4205</v>
      </c>
      <c r="M750" s="8">
        <f t="shared" si="107"/>
        <v>11</v>
      </c>
    </row>
    <row r="751" spans="1:13" x14ac:dyDescent="0.25">
      <c r="A751" s="4" t="s">
        <v>777</v>
      </c>
      <c r="B751" t="s">
        <v>15</v>
      </c>
      <c r="C751" t="s">
        <v>4</v>
      </c>
      <c r="D751" s="3">
        <f t="shared" si="99"/>
        <v>13</v>
      </c>
      <c r="E751" s="4">
        <f t="shared" si="100"/>
        <v>25</v>
      </c>
      <c r="F751" s="4">
        <f t="shared" si="101"/>
        <v>10</v>
      </c>
      <c r="G751" s="3">
        <f>IF(E751&gt;=20,2000,1900) + D751</f>
        <v>2013</v>
      </c>
      <c r="H751">
        <f t="shared" si="102"/>
        <v>5</v>
      </c>
      <c r="I751" s="4">
        <f t="shared" si="103"/>
        <v>10</v>
      </c>
      <c r="J751">
        <f t="shared" si="104"/>
        <v>20130510</v>
      </c>
      <c r="K751" t="str">
        <f t="shared" si="105"/>
        <v>10.05.2013</v>
      </c>
      <c r="L751" s="10">
        <f t="shared" si="106"/>
        <v>3533</v>
      </c>
      <c r="M751" s="8">
        <f t="shared" si="107"/>
        <v>9</v>
      </c>
    </row>
    <row r="752" spans="1:13" x14ac:dyDescent="0.25">
      <c r="A752" s="4" t="s">
        <v>778</v>
      </c>
      <c r="B752" t="s">
        <v>20</v>
      </c>
      <c r="C752" t="s">
        <v>4</v>
      </c>
      <c r="D752" s="3">
        <f t="shared" si="99"/>
        <v>16</v>
      </c>
      <c r="E752" s="4">
        <f t="shared" si="100"/>
        <v>25</v>
      </c>
      <c r="F752" s="4">
        <f t="shared" si="101"/>
        <v>14</v>
      </c>
      <c r="G752" s="3">
        <f>IF(E752&gt;=20,2000,1900) + D752</f>
        <v>2016</v>
      </c>
      <c r="H752">
        <f t="shared" si="102"/>
        <v>5</v>
      </c>
      <c r="I752" s="4">
        <f t="shared" si="103"/>
        <v>14</v>
      </c>
      <c r="J752">
        <f t="shared" si="104"/>
        <v>20160514</v>
      </c>
      <c r="K752" t="str">
        <f t="shared" si="105"/>
        <v>14.05.2016</v>
      </c>
      <c r="L752" s="10">
        <f t="shared" si="106"/>
        <v>2433</v>
      </c>
      <c r="M752" s="8">
        <f t="shared" si="107"/>
        <v>6</v>
      </c>
    </row>
    <row r="753" spans="1:13" x14ac:dyDescent="0.25">
      <c r="A753" s="4" t="s">
        <v>779</v>
      </c>
      <c r="B753" t="s">
        <v>12</v>
      </c>
      <c r="C753" t="s">
        <v>6</v>
      </c>
      <c r="D753" s="3">
        <f t="shared" si="99"/>
        <v>21</v>
      </c>
      <c r="E753" s="4">
        <f t="shared" si="100"/>
        <v>27</v>
      </c>
      <c r="F753" s="4">
        <f t="shared" si="101"/>
        <v>2</v>
      </c>
      <c r="G753" s="3">
        <f>IF(E753&gt;=20,2000,1900) + D753</f>
        <v>2021</v>
      </c>
      <c r="H753">
        <f t="shared" si="102"/>
        <v>7</v>
      </c>
      <c r="I753" s="4">
        <f t="shared" si="103"/>
        <v>2</v>
      </c>
      <c r="J753">
        <f t="shared" si="104"/>
        <v>20210702</v>
      </c>
      <c r="K753" t="str">
        <f t="shared" si="105"/>
        <v>02.07.2021</v>
      </c>
      <c r="L753" s="10">
        <f t="shared" si="106"/>
        <v>558</v>
      </c>
      <c r="M753" s="8">
        <f t="shared" si="107"/>
        <v>1</v>
      </c>
    </row>
    <row r="754" spans="1:13" x14ac:dyDescent="0.25">
      <c r="A754" s="4" t="s">
        <v>780</v>
      </c>
      <c r="B754" t="s">
        <v>16</v>
      </c>
      <c r="C754" t="s">
        <v>6</v>
      </c>
      <c r="D754" s="3">
        <f t="shared" si="99"/>
        <v>7</v>
      </c>
      <c r="E754" s="4">
        <f t="shared" si="100"/>
        <v>23</v>
      </c>
      <c r="F754" s="4">
        <f t="shared" si="101"/>
        <v>31</v>
      </c>
      <c r="G754" s="3">
        <f>IF(E754&gt;=20,2000,1900) + D754</f>
        <v>2007</v>
      </c>
      <c r="H754">
        <f t="shared" si="102"/>
        <v>3</v>
      </c>
      <c r="I754" s="4">
        <f t="shared" si="103"/>
        <v>31</v>
      </c>
      <c r="J754">
        <f t="shared" si="104"/>
        <v>20070331</v>
      </c>
      <c r="K754" t="str">
        <f t="shared" si="105"/>
        <v>31.03.2007</v>
      </c>
      <c r="L754" s="10">
        <f t="shared" si="106"/>
        <v>5765</v>
      </c>
      <c r="M754" s="8">
        <f t="shared" si="107"/>
        <v>15</v>
      </c>
    </row>
    <row r="755" spans="1:13" x14ac:dyDescent="0.25">
      <c r="A755" s="4" t="s">
        <v>781</v>
      </c>
      <c r="B755" t="s">
        <v>14</v>
      </c>
      <c r="C755" t="s">
        <v>4</v>
      </c>
      <c r="D755" s="3">
        <f t="shared" si="99"/>
        <v>6</v>
      </c>
      <c r="E755" s="4">
        <f t="shared" si="100"/>
        <v>24</v>
      </c>
      <c r="F755" s="4">
        <f t="shared" si="101"/>
        <v>6</v>
      </c>
      <c r="G755" s="3">
        <f>IF(E755&gt;=20,2000,1900) + D755</f>
        <v>2006</v>
      </c>
      <c r="H755">
        <f t="shared" si="102"/>
        <v>4</v>
      </c>
      <c r="I755" s="4">
        <f t="shared" si="103"/>
        <v>6</v>
      </c>
      <c r="J755">
        <f t="shared" si="104"/>
        <v>20060406</v>
      </c>
      <c r="K755" t="str">
        <f t="shared" si="105"/>
        <v>06.04.2006</v>
      </c>
      <c r="L755" s="10">
        <f t="shared" si="106"/>
        <v>6124</v>
      </c>
      <c r="M755" s="8">
        <f t="shared" si="107"/>
        <v>16</v>
      </c>
    </row>
    <row r="756" spans="1:13" x14ac:dyDescent="0.25">
      <c r="A756" s="4" t="s">
        <v>782</v>
      </c>
      <c r="B756" t="s">
        <v>8</v>
      </c>
      <c r="C756" t="s">
        <v>4</v>
      </c>
      <c r="D756" s="3">
        <f t="shared" si="99"/>
        <v>8</v>
      </c>
      <c r="E756" s="4">
        <f t="shared" si="100"/>
        <v>23</v>
      </c>
      <c r="F756" s="4">
        <f t="shared" si="101"/>
        <v>7</v>
      </c>
      <c r="G756" s="3">
        <f>IF(E756&gt;=20,2000,1900) + D756</f>
        <v>2008</v>
      </c>
      <c r="H756">
        <f t="shared" si="102"/>
        <v>3</v>
      </c>
      <c r="I756" s="4">
        <f t="shared" si="103"/>
        <v>7</v>
      </c>
      <c r="J756">
        <f t="shared" si="104"/>
        <v>20080307</v>
      </c>
      <c r="K756" t="str">
        <f t="shared" si="105"/>
        <v>07.03.2008</v>
      </c>
      <c r="L756" s="10">
        <f t="shared" si="106"/>
        <v>5423</v>
      </c>
      <c r="M756" s="8">
        <f t="shared" si="107"/>
        <v>14</v>
      </c>
    </row>
    <row r="757" spans="1:13" x14ac:dyDescent="0.25">
      <c r="A757" s="4" t="s">
        <v>783</v>
      </c>
      <c r="B757" t="s">
        <v>19</v>
      </c>
      <c r="C757" t="s">
        <v>4</v>
      </c>
      <c r="D757" s="3">
        <f t="shared" si="99"/>
        <v>10</v>
      </c>
      <c r="E757" s="4">
        <f t="shared" si="100"/>
        <v>27</v>
      </c>
      <c r="F757" s="4">
        <f t="shared" si="101"/>
        <v>26</v>
      </c>
      <c r="G757" s="3">
        <f>IF(E757&gt;=20,2000,1900) + D757</f>
        <v>2010</v>
      </c>
      <c r="H757">
        <f t="shared" si="102"/>
        <v>7</v>
      </c>
      <c r="I757" s="4">
        <f t="shared" si="103"/>
        <v>26</v>
      </c>
      <c r="J757">
        <f t="shared" si="104"/>
        <v>20100726</v>
      </c>
      <c r="K757" t="str">
        <f t="shared" si="105"/>
        <v>26.07.2010</v>
      </c>
      <c r="L757" s="10">
        <f t="shared" si="106"/>
        <v>4552</v>
      </c>
      <c r="M757" s="8">
        <f t="shared" si="107"/>
        <v>12</v>
      </c>
    </row>
    <row r="758" spans="1:13" x14ac:dyDescent="0.25">
      <c r="A758" s="4" t="s">
        <v>784</v>
      </c>
      <c r="B758" t="s">
        <v>18</v>
      </c>
      <c r="C758" t="s">
        <v>4</v>
      </c>
      <c r="D758" s="3">
        <f t="shared" si="99"/>
        <v>2</v>
      </c>
      <c r="E758" s="4">
        <f t="shared" si="100"/>
        <v>22</v>
      </c>
      <c r="F758" s="4">
        <f t="shared" si="101"/>
        <v>26</v>
      </c>
      <c r="G758" s="3">
        <f>IF(E758&gt;=20,2000,1900) + D758</f>
        <v>2002</v>
      </c>
      <c r="H758">
        <f t="shared" si="102"/>
        <v>2</v>
      </c>
      <c r="I758" s="4">
        <f t="shared" si="103"/>
        <v>26</v>
      </c>
      <c r="J758">
        <f t="shared" si="104"/>
        <v>20020226</v>
      </c>
      <c r="K758" t="str">
        <f t="shared" si="105"/>
        <v>26.02.2002</v>
      </c>
      <c r="L758" s="10">
        <f t="shared" si="106"/>
        <v>7624</v>
      </c>
      <c r="M758" s="8">
        <f t="shared" si="107"/>
        <v>20</v>
      </c>
    </row>
    <row r="759" spans="1:13" x14ac:dyDescent="0.25">
      <c r="A759" s="4" t="s">
        <v>785</v>
      </c>
      <c r="B759" t="s">
        <v>8</v>
      </c>
      <c r="C759" t="s">
        <v>4</v>
      </c>
      <c r="D759" s="3">
        <f t="shared" si="99"/>
        <v>2</v>
      </c>
      <c r="E759" s="4">
        <f t="shared" si="100"/>
        <v>30</v>
      </c>
      <c r="F759" s="4">
        <f t="shared" si="101"/>
        <v>2</v>
      </c>
      <c r="G759" s="3">
        <f>IF(E759&gt;=20,2000,1900) + D759</f>
        <v>2002</v>
      </c>
      <c r="H759">
        <f t="shared" si="102"/>
        <v>10</v>
      </c>
      <c r="I759" s="4">
        <f t="shared" si="103"/>
        <v>2</v>
      </c>
      <c r="J759">
        <f t="shared" si="104"/>
        <v>20021002</v>
      </c>
      <c r="K759" t="str">
        <f t="shared" si="105"/>
        <v>02.10.2002</v>
      </c>
      <c r="L759" s="10">
        <f t="shared" si="106"/>
        <v>7406</v>
      </c>
      <c r="M759" s="8">
        <f t="shared" si="107"/>
        <v>20</v>
      </c>
    </row>
    <row r="760" spans="1:13" x14ac:dyDescent="0.25">
      <c r="A760" s="4" t="s">
        <v>786</v>
      </c>
      <c r="B760" t="s">
        <v>5</v>
      </c>
      <c r="C760" t="s">
        <v>4</v>
      </c>
      <c r="D760" s="3">
        <f t="shared" si="99"/>
        <v>2</v>
      </c>
      <c r="E760" s="4">
        <f t="shared" si="100"/>
        <v>32</v>
      </c>
      <c r="F760" s="4">
        <f t="shared" si="101"/>
        <v>1</v>
      </c>
      <c r="G760" s="3">
        <f>IF(E760&gt;=20,2000,1900) + D760</f>
        <v>2002</v>
      </c>
      <c r="H760">
        <f t="shared" si="102"/>
        <v>12</v>
      </c>
      <c r="I760" s="4">
        <f t="shared" si="103"/>
        <v>1</v>
      </c>
      <c r="J760">
        <f t="shared" si="104"/>
        <v>20021201</v>
      </c>
      <c r="K760" t="str">
        <f t="shared" si="105"/>
        <v>01.12.2002</v>
      </c>
      <c r="L760" s="10">
        <f t="shared" si="106"/>
        <v>7346</v>
      </c>
      <c r="M760" s="8">
        <f t="shared" si="107"/>
        <v>20</v>
      </c>
    </row>
    <row r="761" spans="1:13" x14ac:dyDescent="0.25">
      <c r="A761" s="4" t="s">
        <v>787</v>
      </c>
      <c r="B761" t="s">
        <v>17</v>
      </c>
      <c r="C761" t="s">
        <v>4</v>
      </c>
      <c r="D761" s="3">
        <f t="shared" si="99"/>
        <v>10</v>
      </c>
      <c r="E761" s="4">
        <f t="shared" si="100"/>
        <v>23</v>
      </c>
      <c r="F761" s="4">
        <f t="shared" si="101"/>
        <v>13</v>
      </c>
      <c r="G761" s="3">
        <f>IF(E761&gt;=20,2000,1900) + D761</f>
        <v>2010</v>
      </c>
      <c r="H761">
        <f t="shared" si="102"/>
        <v>3</v>
      </c>
      <c r="I761" s="4">
        <f t="shared" si="103"/>
        <v>13</v>
      </c>
      <c r="J761">
        <f t="shared" si="104"/>
        <v>20100313</v>
      </c>
      <c r="K761" t="str">
        <f t="shared" si="105"/>
        <v>13.03.2010</v>
      </c>
      <c r="L761" s="10">
        <f t="shared" si="106"/>
        <v>4687</v>
      </c>
      <c r="M761" s="8">
        <f t="shared" si="107"/>
        <v>12</v>
      </c>
    </row>
    <row r="762" spans="1:13" x14ac:dyDescent="0.25">
      <c r="A762" s="4" t="s">
        <v>788</v>
      </c>
      <c r="B762" t="s">
        <v>5</v>
      </c>
      <c r="C762" t="s">
        <v>6</v>
      </c>
      <c r="D762" s="3">
        <f t="shared" si="99"/>
        <v>1</v>
      </c>
      <c r="E762" s="4">
        <f t="shared" si="100"/>
        <v>21</v>
      </c>
      <c r="F762" s="4">
        <f t="shared" si="101"/>
        <v>16</v>
      </c>
      <c r="G762" s="3">
        <f>IF(E762&gt;=20,2000,1900) + D762</f>
        <v>2001</v>
      </c>
      <c r="H762">
        <f t="shared" si="102"/>
        <v>1</v>
      </c>
      <c r="I762" s="4">
        <f t="shared" si="103"/>
        <v>16</v>
      </c>
      <c r="J762">
        <f t="shared" si="104"/>
        <v>20010116</v>
      </c>
      <c r="K762" t="str">
        <f t="shared" si="105"/>
        <v>16.01.2001</v>
      </c>
      <c r="L762" s="10">
        <f t="shared" si="106"/>
        <v>8030</v>
      </c>
      <c r="M762" s="8">
        <f t="shared" si="107"/>
        <v>21</v>
      </c>
    </row>
    <row r="763" spans="1:13" x14ac:dyDescent="0.25">
      <c r="A763" s="4" t="s">
        <v>789</v>
      </c>
      <c r="B763" t="s">
        <v>3</v>
      </c>
      <c r="C763" t="s">
        <v>4</v>
      </c>
      <c r="D763" s="3">
        <f t="shared" si="99"/>
        <v>19</v>
      </c>
      <c r="E763" s="4">
        <f t="shared" si="100"/>
        <v>22</v>
      </c>
      <c r="F763" s="4">
        <f t="shared" si="101"/>
        <v>19</v>
      </c>
      <c r="G763" s="3">
        <f>IF(E763&gt;=20,2000,1900) + D763</f>
        <v>2019</v>
      </c>
      <c r="H763">
        <f t="shared" si="102"/>
        <v>2</v>
      </c>
      <c r="I763" s="4">
        <f t="shared" si="103"/>
        <v>19</v>
      </c>
      <c r="J763">
        <f t="shared" si="104"/>
        <v>20190219</v>
      </c>
      <c r="K763" t="str">
        <f t="shared" si="105"/>
        <v>19.02.2019</v>
      </c>
      <c r="L763" s="10">
        <f t="shared" si="106"/>
        <v>1422</v>
      </c>
      <c r="M763" s="8">
        <f t="shared" si="107"/>
        <v>3</v>
      </c>
    </row>
    <row r="764" spans="1:13" x14ac:dyDescent="0.25">
      <c r="A764" s="4" t="s">
        <v>790</v>
      </c>
      <c r="B764" t="s">
        <v>16</v>
      </c>
      <c r="C764" t="s">
        <v>4</v>
      </c>
      <c r="D764" s="3">
        <f t="shared" si="99"/>
        <v>21</v>
      </c>
      <c r="E764" s="4">
        <f t="shared" si="100"/>
        <v>24</v>
      </c>
      <c r="F764" s="4">
        <f t="shared" si="101"/>
        <v>21</v>
      </c>
      <c r="G764" s="3">
        <f>IF(E764&gt;=20,2000,1900) + D764</f>
        <v>2021</v>
      </c>
      <c r="H764">
        <f t="shared" si="102"/>
        <v>4</v>
      </c>
      <c r="I764" s="4">
        <f t="shared" si="103"/>
        <v>21</v>
      </c>
      <c r="J764">
        <f t="shared" si="104"/>
        <v>20210421</v>
      </c>
      <c r="K764" t="str">
        <f t="shared" si="105"/>
        <v>21.04.2021</v>
      </c>
      <c r="L764" s="10">
        <f t="shared" si="106"/>
        <v>630</v>
      </c>
      <c r="M764" s="8">
        <f t="shared" si="107"/>
        <v>1</v>
      </c>
    </row>
    <row r="765" spans="1:13" x14ac:dyDescent="0.25">
      <c r="A765" s="4" t="s">
        <v>791</v>
      </c>
      <c r="B765" t="s">
        <v>12</v>
      </c>
      <c r="C765" t="s">
        <v>4</v>
      </c>
      <c r="D765" s="3">
        <f t="shared" si="99"/>
        <v>21</v>
      </c>
      <c r="E765" s="4">
        <f t="shared" si="100"/>
        <v>22</v>
      </c>
      <c r="F765" s="4">
        <f t="shared" si="101"/>
        <v>3</v>
      </c>
      <c r="G765" s="3">
        <f>IF(E765&gt;=20,2000,1900) + D765</f>
        <v>2021</v>
      </c>
      <c r="H765">
        <f t="shared" si="102"/>
        <v>2</v>
      </c>
      <c r="I765" s="4">
        <f t="shared" si="103"/>
        <v>3</v>
      </c>
      <c r="J765">
        <f t="shared" si="104"/>
        <v>20210203</v>
      </c>
      <c r="K765" t="str">
        <f t="shared" si="105"/>
        <v>03.02.2021</v>
      </c>
      <c r="L765" s="10">
        <f t="shared" si="106"/>
        <v>707</v>
      </c>
      <c r="M765" s="8">
        <f t="shared" si="107"/>
        <v>1</v>
      </c>
    </row>
    <row r="766" spans="1:13" x14ac:dyDescent="0.25">
      <c r="A766" s="4" t="s">
        <v>792</v>
      </c>
      <c r="B766" t="s">
        <v>7</v>
      </c>
      <c r="C766" t="s">
        <v>4</v>
      </c>
      <c r="D766" s="3">
        <f t="shared" si="99"/>
        <v>2</v>
      </c>
      <c r="E766" s="4">
        <f t="shared" si="100"/>
        <v>30</v>
      </c>
      <c r="F766" s="4">
        <f t="shared" si="101"/>
        <v>13</v>
      </c>
      <c r="G766" s="3">
        <f>IF(E766&gt;=20,2000,1900) + D766</f>
        <v>2002</v>
      </c>
      <c r="H766">
        <f t="shared" si="102"/>
        <v>10</v>
      </c>
      <c r="I766" s="4">
        <f t="shared" si="103"/>
        <v>13</v>
      </c>
      <c r="J766">
        <f t="shared" si="104"/>
        <v>20021013</v>
      </c>
      <c r="K766" t="str">
        <f t="shared" si="105"/>
        <v>13.10.2002</v>
      </c>
      <c r="L766" s="10">
        <f t="shared" si="106"/>
        <v>7395</v>
      </c>
      <c r="M766" s="8">
        <f t="shared" si="107"/>
        <v>20</v>
      </c>
    </row>
    <row r="767" spans="1:13" x14ac:dyDescent="0.25">
      <c r="A767" s="4" t="s">
        <v>793</v>
      </c>
      <c r="B767" t="s">
        <v>16</v>
      </c>
      <c r="C767" t="s">
        <v>4</v>
      </c>
      <c r="D767" s="3">
        <f t="shared" si="99"/>
        <v>0</v>
      </c>
      <c r="E767" s="4">
        <f t="shared" si="100"/>
        <v>32</v>
      </c>
      <c r="F767" s="4">
        <f t="shared" si="101"/>
        <v>25</v>
      </c>
      <c r="G767" s="3">
        <f>IF(E767&gt;=20,2000,1900) + D767</f>
        <v>2000</v>
      </c>
      <c r="H767">
        <f t="shared" si="102"/>
        <v>12</v>
      </c>
      <c r="I767" s="4">
        <f t="shared" si="103"/>
        <v>25</v>
      </c>
      <c r="J767">
        <f t="shared" si="104"/>
        <v>20001225</v>
      </c>
      <c r="K767" t="str">
        <f t="shared" si="105"/>
        <v>25.12.2000</v>
      </c>
      <c r="L767" s="10">
        <f t="shared" si="106"/>
        <v>8052</v>
      </c>
      <c r="M767" s="8">
        <f t="shared" si="107"/>
        <v>22</v>
      </c>
    </row>
    <row r="768" spans="1:13" x14ac:dyDescent="0.25">
      <c r="A768" s="4" t="s">
        <v>794</v>
      </c>
      <c r="B768" t="s">
        <v>15</v>
      </c>
      <c r="C768" t="s">
        <v>4</v>
      </c>
      <c r="D768" s="3">
        <f t="shared" si="99"/>
        <v>13</v>
      </c>
      <c r="E768" s="4">
        <f t="shared" si="100"/>
        <v>28</v>
      </c>
      <c r="F768" s="4">
        <f t="shared" si="101"/>
        <v>11</v>
      </c>
      <c r="G768" s="3">
        <f>IF(E768&gt;=20,2000,1900) + D768</f>
        <v>2013</v>
      </c>
      <c r="H768">
        <f t="shared" si="102"/>
        <v>8</v>
      </c>
      <c r="I768" s="4">
        <f t="shared" si="103"/>
        <v>11</v>
      </c>
      <c r="J768">
        <f t="shared" si="104"/>
        <v>20130811</v>
      </c>
      <c r="K768" t="str">
        <f t="shared" si="105"/>
        <v>11.08.2013</v>
      </c>
      <c r="L768" s="10">
        <f t="shared" si="106"/>
        <v>3440</v>
      </c>
      <c r="M768" s="8">
        <f t="shared" si="107"/>
        <v>9</v>
      </c>
    </row>
    <row r="769" spans="1:13" x14ac:dyDescent="0.25">
      <c r="A769" s="4" t="s">
        <v>795</v>
      </c>
      <c r="B769" t="s">
        <v>14</v>
      </c>
      <c r="C769" t="s">
        <v>4</v>
      </c>
      <c r="D769" s="3">
        <f t="shared" si="99"/>
        <v>8</v>
      </c>
      <c r="E769" s="4">
        <f t="shared" si="100"/>
        <v>29</v>
      </c>
      <c r="F769" s="4">
        <f t="shared" si="101"/>
        <v>11</v>
      </c>
      <c r="G769" s="3">
        <f>IF(E769&gt;=20,2000,1900) + D769</f>
        <v>2008</v>
      </c>
      <c r="H769">
        <f t="shared" si="102"/>
        <v>9</v>
      </c>
      <c r="I769" s="4">
        <f t="shared" si="103"/>
        <v>11</v>
      </c>
      <c r="J769">
        <f t="shared" si="104"/>
        <v>20080911</v>
      </c>
      <c r="K769" t="str">
        <f t="shared" si="105"/>
        <v>11.09.2008</v>
      </c>
      <c r="L769" s="10">
        <f t="shared" si="106"/>
        <v>5235</v>
      </c>
      <c r="M769" s="8">
        <f t="shared" si="107"/>
        <v>14</v>
      </c>
    </row>
    <row r="770" spans="1:13" x14ac:dyDescent="0.25">
      <c r="A770" s="4" t="s">
        <v>796</v>
      </c>
      <c r="B770" t="s">
        <v>10</v>
      </c>
      <c r="C770" t="s">
        <v>6</v>
      </c>
      <c r="D770" s="3">
        <f t="shared" si="99"/>
        <v>9</v>
      </c>
      <c r="E770" s="4">
        <f t="shared" si="100"/>
        <v>21</v>
      </c>
      <c r="F770" s="4">
        <f t="shared" si="101"/>
        <v>10</v>
      </c>
      <c r="G770" s="3">
        <f>IF(E770&gt;=20,2000,1900) + D770</f>
        <v>2009</v>
      </c>
      <c r="H770">
        <f t="shared" si="102"/>
        <v>1</v>
      </c>
      <c r="I770" s="4">
        <f t="shared" si="103"/>
        <v>10</v>
      </c>
      <c r="J770">
        <f t="shared" si="104"/>
        <v>20090110</v>
      </c>
      <c r="K770" t="str">
        <f t="shared" si="105"/>
        <v>10.01.2009</v>
      </c>
      <c r="L770" s="10">
        <f t="shared" si="106"/>
        <v>5114</v>
      </c>
      <c r="M770" s="8">
        <f t="shared" si="107"/>
        <v>13</v>
      </c>
    </row>
    <row r="771" spans="1:13" x14ac:dyDescent="0.25">
      <c r="A771" s="4" t="s">
        <v>797</v>
      </c>
      <c r="B771" t="s">
        <v>13</v>
      </c>
      <c r="C771" t="s">
        <v>4</v>
      </c>
      <c r="D771" s="3">
        <f t="shared" ref="D771:D834" si="108">MID(A771,1,2)*1</f>
        <v>4</v>
      </c>
      <c r="E771" s="4">
        <f t="shared" ref="E771:E834" si="109">MID(A771,3,2)*1</f>
        <v>32</v>
      </c>
      <c r="F771" s="4">
        <f t="shared" ref="F771:F834" si="110">MID(A771,5,2)*1</f>
        <v>26</v>
      </c>
      <c r="G771" s="3">
        <f>IF(E771&gt;=20,2000,1900) + D771</f>
        <v>2004</v>
      </c>
      <c r="H771">
        <f t="shared" ref="H771:H834" si="111">IF(E771&gt;=20,E771-20,E771)</f>
        <v>12</v>
      </c>
      <c r="I771" s="4">
        <f t="shared" ref="I771:I834" si="112">F771</f>
        <v>26</v>
      </c>
      <c r="J771">
        <f t="shared" ref="J771:J834" si="113">CONCATENATE(G771,IF(LEN(H771)=1,CONCATENATE("0",H771),H771),IF(LEN(F771)=1,CONCATENATE("0",F771),F771))*1</f>
        <v>20041226</v>
      </c>
      <c r="K771" t="str">
        <f t="shared" ref="K771:K834" si="114">CONCATENATE(RIGHT(J771,2),".",MID(J771,5,2),".",LEFT(J771,4))</f>
        <v>26.12.2004</v>
      </c>
      <c r="L771" s="10">
        <f t="shared" ref="L771:L834" si="115">44937-K771</f>
        <v>6590</v>
      </c>
      <c r="M771" s="8">
        <f t="shared" ref="M771:M834" si="116">YEAR(L771)-1900</f>
        <v>18</v>
      </c>
    </row>
    <row r="772" spans="1:13" x14ac:dyDescent="0.25">
      <c r="A772" s="4" t="s">
        <v>798</v>
      </c>
      <c r="B772" t="s">
        <v>7</v>
      </c>
      <c r="C772" t="s">
        <v>4</v>
      </c>
      <c r="D772" s="3">
        <f t="shared" si="108"/>
        <v>21</v>
      </c>
      <c r="E772" s="4">
        <f t="shared" si="109"/>
        <v>29</v>
      </c>
      <c r="F772" s="4">
        <f t="shared" si="110"/>
        <v>19</v>
      </c>
      <c r="G772" s="3">
        <f>IF(E772&gt;=20,2000,1900) + D772</f>
        <v>2021</v>
      </c>
      <c r="H772">
        <f t="shared" si="111"/>
        <v>9</v>
      </c>
      <c r="I772" s="4">
        <f t="shared" si="112"/>
        <v>19</v>
      </c>
      <c r="J772">
        <f t="shared" si="113"/>
        <v>20210919</v>
      </c>
      <c r="K772" t="str">
        <f t="shared" si="114"/>
        <v>19.09.2021</v>
      </c>
      <c r="L772" s="10">
        <f t="shared" si="115"/>
        <v>479</v>
      </c>
      <c r="M772" s="8">
        <f t="shared" si="116"/>
        <v>1</v>
      </c>
    </row>
    <row r="773" spans="1:13" x14ac:dyDescent="0.25">
      <c r="A773" s="4" t="s">
        <v>799</v>
      </c>
      <c r="B773" t="s">
        <v>3</v>
      </c>
      <c r="C773" t="s">
        <v>6</v>
      </c>
      <c r="D773" s="3">
        <f t="shared" si="108"/>
        <v>12</v>
      </c>
      <c r="E773" s="4">
        <f t="shared" si="109"/>
        <v>27</v>
      </c>
      <c r="F773" s="4">
        <f t="shared" si="110"/>
        <v>22</v>
      </c>
      <c r="G773" s="3">
        <f>IF(E773&gt;=20,2000,1900) + D773</f>
        <v>2012</v>
      </c>
      <c r="H773">
        <f t="shared" si="111"/>
        <v>7</v>
      </c>
      <c r="I773" s="4">
        <f t="shared" si="112"/>
        <v>22</v>
      </c>
      <c r="J773">
        <f t="shared" si="113"/>
        <v>20120722</v>
      </c>
      <c r="K773" t="str">
        <f t="shared" si="114"/>
        <v>22.07.2012</v>
      </c>
      <c r="L773" s="10">
        <f t="shared" si="115"/>
        <v>3825</v>
      </c>
      <c r="M773" s="8">
        <f t="shared" si="116"/>
        <v>10</v>
      </c>
    </row>
    <row r="774" spans="1:13" x14ac:dyDescent="0.25">
      <c r="A774" s="4" t="s">
        <v>800</v>
      </c>
      <c r="B774" t="s">
        <v>7</v>
      </c>
      <c r="C774" t="s">
        <v>4</v>
      </c>
      <c r="D774" s="3">
        <f t="shared" si="108"/>
        <v>10</v>
      </c>
      <c r="E774" s="4">
        <f t="shared" si="109"/>
        <v>27</v>
      </c>
      <c r="F774" s="4">
        <f t="shared" si="110"/>
        <v>10</v>
      </c>
      <c r="G774" s="3">
        <f>IF(E774&gt;=20,2000,1900) + D774</f>
        <v>2010</v>
      </c>
      <c r="H774">
        <f t="shared" si="111"/>
        <v>7</v>
      </c>
      <c r="I774" s="4">
        <f t="shared" si="112"/>
        <v>10</v>
      </c>
      <c r="J774">
        <f t="shared" si="113"/>
        <v>20100710</v>
      </c>
      <c r="K774" t="str">
        <f t="shared" si="114"/>
        <v>10.07.2010</v>
      </c>
      <c r="L774" s="10">
        <f t="shared" si="115"/>
        <v>4568</v>
      </c>
      <c r="M774" s="8">
        <f t="shared" si="116"/>
        <v>12</v>
      </c>
    </row>
    <row r="775" spans="1:13" x14ac:dyDescent="0.25">
      <c r="A775" s="4" t="s">
        <v>801</v>
      </c>
      <c r="B775" t="s">
        <v>9</v>
      </c>
      <c r="C775" t="s">
        <v>4</v>
      </c>
      <c r="D775" s="3">
        <f t="shared" si="108"/>
        <v>13</v>
      </c>
      <c r="E775" s="4">
        <f t="shared" si="109"/>
        <v>28</v>
      </c>
      <c r="F775" s="4">
        <f t="shared" si="110"/>
        <v>17</v>
      </c>
      <c r="G775" s="3">
        <f>IF(E775&gt;=20,2000,1900) + D775</f>
        <v>2013</v>
      </c>
      <c r="H775">
        <f t="shared" si="111"/>
        <v>8</v>
      </c>
      <c r="I775" s="4">
        <f t="shared" si="112"/>
        <v>17</v>
      </c>
      <c r="J775">
        <f t="shared" si="113"/>
        <v>20130817</v>
      </c>
      <c r="K775" t="str">
        <f t="shared" si="114"/>
        <v>17.08.2013</v>
      </c>
      <c r="L775" s="10">
        <f t="shared" si="115"/>
        <v>3434</v>
      </c>
      <c r="M775" s="8">
        <f t="shared" si="116"/>
        <v>9</v>
      </c>
    </row>
    <row r="776" spans="1:13" x14ac:dyDescent="0.25">
      <c r="A776" s="4" t="s">
        <v>802</v>
      </c>
      <c r="B776" t="s">
        <v>12</v>
      </c>
      <c r="C776" t="s">
        <v>6</v>
      </c>
      <c r="D776" s="3">
        <f t="shared" si="108"/>
        <v>8</v>
      </c>
      <c r="E776" s="4">
        <f t="shared" si="109"/>
        <v>32</v>
      </c>
      <c r="F776" s="4">
        <f t="shared" si="110"/>
        <v>14</v>
      </c>
      <c r="G776" s="3">
        <f>IF(E776&gt;=20,2000,1900) + D776</f>
        <v>2008</v>
      </c>
      <c r="H776">
        <f t="shared" si="111"/>
        <v>12</v>
      </c>
      <c r="I776" s="4">
        <f t="shared" si="112"/>
        <v>14</v>
      </c>
      <c r="J776">
        <f t="shared" si="113"/>
        <v>20081214</v>
      </c>
      <c r="K776" t="str">
        <f t="shared" si="114"/>
        <v>14.12.2008</v>
      </c>
      <c r="L776" s="10">
        <f t="shared" si="115"/>
        <v>5141</v>
      </c>
      <c r="M776" s="8">
        <f t="shared" si="116"/>
        <v>14</v>
      </c>
    </row>
    <row r="777" spans="1:13" x14ac:dyDescent="0.25">
      <c r="A777" s="4" t="s">
        <v>803</v>
      </c>
      <c r="B777" t="s">
        <v>12</v>
      </c>
      <c r="C777" t="s">
        <v>4</v>
      </c>
      <c r="D777" s="3">
        <f t="shared" si="108"/>
        <v>3</v>
      </c>
      <c r="E777" s="4">
        <f t="shared" si="109"/>
        <v>24</v>
      </c>
      <c r="F777" s="4">
        <f t="shared" si="110"/>
        <v>11</v>
      </c>
      <c r="G777" s="3">
        <f>IF(E777&gt;=20,2000,1900) + D777</f>
        <v>2003</v>
      </c>
      <c r="H777">
        <f t="shared" si="111"/>
        <v>4</v>
      </c>
      <c r="I777" s="4">
        <f t="shared" si="112"/>
        <v>11</v>
      </c>
      <c r="J777">
        <f t="shared" si="113"/>
        <v>20030411</v>
      </c>
      <c r="K777" t="str">
        <f t="shared" si="114"/>
        <v>11.04.2003</v>
      </c>
      <c r="L777" s="10">
        <f t="shared" si="115"/>
        <v>7215</v>
      </c>
      <c r="M777" s="8">
        <f t="shared" si="116"/>
        <v>19</v>
      </c>
    </row>
    <row r="778" spans="1:13" x14ac:dyDescent="0.25">
      <c r="A778" s="4" t="s">
        <v>804</v>
      </c>
      <c r="B778" t="s">
        <v>11</v>
      </c>
      <c r="C778" t="s">
        <v>4</v>
      </c>
      <c r="D778" s="3">
        <f t="shared" si="108"/>
        <v>6</v>
      </c>
      <c r="E778" s="4">
        <f t="shared" si="109"/>
        <v>26</v>
      </c>
      <c r="F778" s="4">
        <f t="shared" si="110"/>
        <v>18</v>
      </c>
      <c r="G778" s="3">
        <f>IF(E778&gt;=20,2000,1900) + D778</f>
        <v>2006</v>
      </c>
      <c r="H778">
        <f t="shared" si="111"/>
        <v>6</v>
      </c>
      <c r="I778" s="4">
        <f t="shared" si="112"/>
        <v>18</v>
      </c>
      <c r="J778">
        <f t="shared" si="113"/>
        <v>20060618</v>
      </c>
      <c r="K778" t="str">
        <f t="shared" si="114"/>
        <v>18.06.2006</v>
      </c>
      <c r="L778" s="10">
        <f t="shared" si="115"/>
        <v>6051</v>
      </c>
      <c r="M778" s="8">
        <f t="shared" si="116"/>
        <v>16</v>
      </c>
    </row>
    <row r="779" spans="1:13" x14ac:dyDescent="0.25">
      <c r="A779" s="4" t="s">
        <v>805</v>
      </c>
      <c r="B779" t="s">
        <v>8</v>
      </c>
      <c r="C779" t="s">
        <v>4</v>
      </c>
      <c r="D779" s="3">
        <f t="shared" si="108"/>
        <v>1</v>
      </c>
      <c r="E779" s="4">
        <f t="shared" si="109"/>
        <v>32</v>
      </c>
      <c r="F779" s="4">
        <f t="shared" si="110"/>
        <v>26</v>
      </c>
      <c r="G779" s="3">
        <f>IF(E779&gt;=20,2000,1900) + D779</f>
        <v>2001</v>
      </c>
      <c r="H779">
        <f t="shared" si="111"/>
        <v>12</v>
      </c>
      <c r="I779" s="4">
        <f t="shared" si="112"/>
        <v>26</v>
      </c>
      <c r="J779">
        <f t="shared" si="113"/>
        <v>20011226</v>
      </c>
      <c r="K779" t="str">
        <f t="shared" si="114"/>
        <v>26.12.2001</v>
      </c>
      <c r="L779" s="10">
        <f t="shared" si="115"/>
        <v>7686</v>
      </c>
      <c r="M779" s="8">
        <f t="shared" si="116"/>
        <v>21</v>
      </c>
    </row>
    <row r="780" spans="1:13" x14ac:dyDescent="0.25">
      <c r="A780" s="4" t="s">
        <v>806</v>
      </c>
      <c r="B780" t="s">
        <v>5</v>
      </c>
      <c r="C780" t="s">
        <v>6</v>
      </c>
      <c r="D780" s="3">
        <f t="shared" si="108"/>
        <v>2</v>
      </c>
      <c r="E780" s="4">
        <f t="shared" si="109"/>
        <v>21</v>
      </c>
      <c r="F780" s="4">
        <f t="shared" si="110"/>
        <v>22</v>
      </c>
      <c r="G780" s="3">
        <f>IF(E780&gt;=20,2000,1900) + D780</f>
        <v>2002</v>
      </c>
      <c r="H780">
        <f t="shared" si="111"/>
        <v>1</v>
      </c>
      <c r="I780" s="4">
        <f t="shared" si="112"/>
        <v>22</v>
      </c>
      <c r="J780">
        <f t="shared" si="113"/>
        <v>20020122</v>
      </c>
      <c r="K780" t="str">
        <f t="shared" si="114"/>
        <v>22.01.2002</v>
      </c>
      <c r="L780" s="10">
        <f t="shared" si="115"/>
        <v>7659</v>
      </c>
      <c r="M780" s="8">
        <f t="shared" si="116"/>
        <v>20</v>
      </c>
    </row>
    <row r="781" spans="1:13" x14ac:dyDescent="0.25">
      <c r="A781" s="4" t="s">
        <v>807</v>
      </c>
      <c r="B781" t="s">
        <v>10</v>
      </c>
      <c r="C781" t="s">
        <v>4</v>
      </c>
      <c r="D781" s="3">
        <f t="shared" si="108"/>
        <v>16</v>
      </c>
      <c r="E781" s="4">
        <f t="shared" si="109"/>
        <v>24</v>
      </c>
      <c r="F781" s="4">
        <f t="shared" si="110"/>
        <v>5</v>
      </c>
      <c r="G781" s="3">
        <f>IF(E781&gt;=20,2000,1900) + D781</f>
        <v>2016</v>
      </c>
      <c r="H781">
        <f t="shared" si="111"/>
        <v>4</v>
      </c>
      <c r="I781" s="4">
        <f t="shared" si="112"/>
        <v>5</v>
      </c>
      <c r="J781">
        <f t="shared" si="113"/>
        <v>20160405</v>
      </c>
      <c r="K781" t="str">
        <f t="shared" si="114"/>
        <v>05.04.2016</v>
      </c>
      <c r="L781" s="10">
        <f t="shared" si="115"/>
        <v>2472</v>
      </c>
      <c r="M781" s="8">
        <f t="shared" si="116"/>
        <v>6</v>
      </c>
    </row>
    <row r="782" spans="1:13" x14ac:dyDescent="0.25">
      <c r="A782" s="4" t="s">
        <v>808</v>
      </c>
      <c r="B782" t="s">
        <v>16</v>
      </c>
      <c r="C782" t="s">
        <v>6</v>
      </c>
      <c r="D782" s="3">
        <f t="shared" si="108"/>
        <v>3</v>
      </c>
      <c r="E782" s="4">
        <f t="shared" si="109"/>
        <v>26</v>
      </c>
      <c r="F782" s="4">
        <f t="shared" si="110"/>
        <v>3</v>
      </c>
      <c r="G782" s="3">
        <f>IF(E782&gt;=20,2000,1900) + D782</f>
        <v>2003</v>
      </c>
      <c r="H782">
        <f t="shared" si="111"/>
        <v>6</v>
      </c>
      <c r="I782" s="4">
        <f t="shared" si="112"/>
        <v>3</v>
      </c>
      <c r="J782">
        <f t="shared" si="113"/>
        <v>20030603</v>
      </c>
      <c r="K782" t="str">
        <f t="shared" si="114"/>
        <v>03.06.2003</v>
      </c>
      <c r="L782" s="10">
        <f t="shared" si="115"/>
        <v>7162</v>
      </c>
      <c r="M782" s="8">
        <f t="shared" si="116"/>
        <v>19</v>
      </c>
    </row>
    <row r="783" spans="1:13" x14ac:dyDescent="0.25">
      <c r="A783" s="4" t="s">
        <v>809</v>
      </c>
      <c r="B783" t="s">
        <v>5</v>
      </c>
      <c r="C783" t="s">
        <v>4</v>
      </c>
      <c r="D783" s="3">
        <f t="shared" si="108"/>
        <v>1</v>
      </c>
      <c r="E783" s="4">
        <f t="shared" si="109"/>
        <v>22</v>
      </c>
      <c r="F783" s="4">
        <f t="shared" si="110"/>
        <v>2</v>
      </c>
      <c r="G783" s="3">
        <f>IF(E783&gt;=20,2000,1900) + D783</f>
        <v>2001</v>
      </c>
      <c r="H783">
        <f t="shared" si="111"/>
        <v>2</v>
      </c>
      <c r="I783" s="4">
        <f t="shared" si="112"/>
        <v>2</v>
      </c>
      <c r="J783">
        <f t="shared" si="113"/>
        <v>20010202</v>
      </c>
      <c r="K783" t="str">
        <f t="shared" si="114"/>
        <v>02.02.2001</v>
      </c>
      <c r="L783" s="10">
        <f t="shared" si="115"/>
        <v>8013</v>
      </c>
      <c r="M783" s="8">
        <f t="shared" si="116"/>
        <v>21</v>
      </c>
    </row>
    <row r="784" spans="1:13" x14ac:dyDescent="0.25">
      <c r="A784" s="4" t="s">
        <v>810</v>
      </c>
      <c r="B784" t="s">
        <v>8</v>
      </c>
      <c r="C784" t="s">
        <v>6</v>
      </c>
      <c r="D784" s="3">
        <f t="shared" si="108"/>
        <v>6</v>
      </c>
      <c r="E784" s="4">
        <f t="shared" si="109"/>
        <v>21</v>
      </c>
      <c r="F784" s="4">
        <f t="shared" si="110"/>
        <v>8</v>
      </c>
      <c r="G784" s="3">
        <f>IF(E784&gt;=20,2000,1900) + D784</f>
        <v>2006</v>
      </c>
      <c r="H784">
        <f t="shared" si="111"/>
        <v>1</v>
      </c>
      <c r="I784" s="4">
        <f t="shared" si="112"/>
        <v>8</v>
      </c>
      <c r="J784">
        <f t="shared" si="113"/>
        <v>20060108</v>
      </c>
      <c r="K784" t="str">
        <f t="shared" si="114"/>
        <v>08.01.2006</v>
      </c>
      <c r="L784" s="10">
        <f t="shared" si="115"/>
        <v>6212</v>
      </c>
      <c r="M784" s="8">
        <f t="shared" si="116"/>
        <v>17</v>
      </c>
    </row>
    <row r="785" spans="1:13" x14ac:dyDescent="0.25">
      <c r="A785" s="4" t="s">
        <v>811</v>
      </c>
      <c r="B785" t="s">
        <v>10</v>
      </c>
      <c r="C785" t="s">
        <v>6</v>
      </c>
      <c r="D785" s="3">
        <f t="shared" si="108"/>
        <v>11</v>
      </c>
      <c r="E785" s="4">
        <f t="shared" si="109"/>
        <v>32</v>
      </c>
      <c r="F785" s="4">
        <f t="shared" si="110"/>
        <v>17</v>
      </c>
      <c r="G785" s="3">
        <f>IF(E785&gt;=20,2000,1900) + D785</f>
        <v>2011</v>
      </c>
      <c r="H785">
        <f t="shared" si="111"/>
        <v>12</v>
      </c>
      <c r="I785" s="4">
        <f t="shared" si="112"/>
        <v>17</v>
      </c>
      <c r="J785">
        <f t="shared" si="113"/>
        <v>20111217</v>
      </c>
      <c r="K785" t="str">
        <f t="shared" si="114"/>
        <v>17.12.2011</v>
      </c>
      <c r="L785" s="10">
        <f t="shared" si="115"/>
        <v>4043</v>
      </c>
      <c r="M785" s="8">
        <f t="shared" si="116"/>
        <v>11</v>
      </c>
    </row>
    <row r="786" spans="1:13" x14ac:dyDescent="0.25">
      <c r="A786" s="4" t="s">
        <v>812</v>
      </c>
      <c r="B786" t="s">
        <v>5</v>
      </c>
      <c r="C786" t="s">
        <v>4</v>
      </c>
      <c r="D786" s="3">
        <f t="shared" si="108"/>
        <v>8</v>
      </c>
      <c r="E786" s="4">
        <f t="shared" si="109"/>
        <v>29</v>
      </c>
      <c r="F786" s="4">
        <f t="shared" si="110"/>
        <v>15</v>
      </c>
      <c r="G786" s="3">
        <f>IF(E786&gt;=20,2000,1900) + D786</f>
        <v>2008</v>
      </c>
      <c r="H786">
        <f t="shared" si="111"/>
        <v>9</v>
      </c>
      <c r="I786" s="4">
        <f t="shared" si="112"/>
        <v>15</v>
      </c>
      <c r="J786">
        <f t="shared" si="113"/>
        <v>20080915</v>
      </c>
      <c r="K786" t="str">
        <f t="shared" si="114"/>
        <v>15.09.2008</v>
      </c>
      <c r="L786" s="10">
        <f t="shared" si="115"/>
        <v>5231</v>
      </c>
      <c r="M786" s="8">
        <f t="shared" si="116"/>
        <v>14</v>
      </c>
    </row>
    <row r="787" spans="1:13" x14ac:dyDescent="0.25">
      <c r="A787" s="4" t="s">
        <v>813</v>
      </c>
      <c r="B787" t="s">
        <v>15</v>
      </c>
      <c r="C787" t="s">
        <v>4</v>
      </c>
      <c r="D787" s="3">
        <f t="shared" si="108"/>
        <v>17</v>
      </c>
      <c r="E787" s="4">
        <f t="shared" si="109"/>
        <v>31</v>
      </c>
      <c r="F787" s="4">
        <f t="shared" si="110"/>
        <v>11</v>
      </c>
      <c r="G787" s="3">
        <f>IF(E787&gt;=20,2000,1900) + D787</f>
        <v>2017</v>
      </c>
      <c r="H787">
        <f t="shared" si="111"/>
        <v>11</v>
      </c>
      <c r="I787" s="4">
        <f t="shared" si="112"/>
        <v>11</v>
      </c>
      <c r="J787">
        <f t="shared" si="113"/>
        <v>20171111</v>
      </c>
      <c r="K787" t="str">
        <f t="shared" si="114"/>
        <v>11.11.2017</v>
      </c>
      <c r="L787" s="10">
        <f t="shared" si="115"/>
        <v>1887</v>
      </c>
      <c r="M787" s="8">
        <f t="shared" si="116"/>
        <v>5</v>
      </c>
    </row>
    <row r="788" spans="1:13" x14ac:dyDescent="0.25">
      <c r="A788" s="4" t="s">
        <v>814</v>
      </c>
      <c r="B788" t="s">
        <v>13</v>
      </c>
      <c r="C788" t="s">
        <v>6</v>
      </c>
      <c r="D788" s="3">
        <f t="shared" si="108"/>
        <v>4</v>
      </c>
      <c r="E788" s="4">
        <f t="shared" si="109"/>
        <v>22</v>
      </c>
      <c r="F788" s="4">
        <f t="shared" si="110"/>
        <v>1</v>
      </c>
      <c r="G788" s="3">
        <f>IF(E788&gt;=20,2000,1900) + D788</f>
        <v>2004</v>
      </c>
      <c r="H788">
        <f t="shared" si="111"/>
        <v>2</v>
      </c>
      <c r="I788" s="4">
        <f t="shared" si="112"/>
        <v>1</v>
      </c>
      <c r="J788">
        <f t="shared" si="113"/>
        <v>20040201</v>
      </c>
      <c r="K788" t="str">
        <f t="shared" si="114"/>
        <v>01.02.2004</v>
      </c>
      <c r="L788" s="10">
        <f t="shared" si="115"/>
        <v>6919</v>
      </c>
      <c r="M788" s="8">
        <f t="shared" si="116"/>
        <v>18</v>
      </c>
    </row>
    <row r="789" spans="1:13" x14ac:dyDescent="0.25">
      <c r="A789" s="4" t="s">
        <v>815</v>
      </c>
      <c r="B789" t="s">
        <v>8</v>
      </c>
      <c r="C789" t="s">
        <v>4</v>
      </c>
      <c r="D789" s="3">
        <f t="shared" si="108"/>
        <v>22</v>
      </c>
      <c r="E789" s="4">
        <f t="shared" si="109"/>
        <v>24</v>
      </c>
      <c r="F789" s="4">
        <f t="shared" si="110"/>
        <v>10</v>
      </c>
      <c r="G789" s="3">
        <f>IF(E789&gt;=20,2000,1900) + D789</f>
        <v>2022</v>
      </c>
      <c r="H789">
        <f t="shared" si="111"/>
        <v>4</v>
      </c>
      <c r="I789" s="4">
        <f t="shared" si="112"/>
        <v>10</v>
      </c>
      <c r="J789">
        <f t="shared" si="113"/>
        <v>20220410</v>
      </c>
      <c r="K789" t="str">
        <f t="shared" si="114"/>
        <v>10.04.2022</v>
      </c>
      <c r="L789" s="10">
        <f t="shared" si="115"/>
        <v>276</v>
      </c>
      <c r="M789" s="8">
        <f t="shared" si="116"/>
        <v>0</v>
      </c>
    </row>
    <row r="790" spans="1:13" x14ac:dyDescent="0.25">
      <c r="A790" s="4" t="s">
        <v>816</v>
      </c>
      <c r="B790" t="s">
        <v>9</v>
      </c>
      <c r="C790" t="s">
        <v>4</v>
      </c>
      <c r="D790" s="3">
        <f t="shared" si="108"/>
        <v>13</v>
      </c>
      <c r="E790" s="4">
        <f t="shared" si="109"/>
        <v>29</v>
      </c>
      <c r="F790" s="4">
        <f t="shared" si="110"/>
        <v>18</v>
      </c>
      <c r="G790" s="3">
        <f>IF(E790&gt;=20,2000,1900) + D790</f>
        <v>2013</v>
      </c>
      <c r="H790">
        <f t="shared" si="111"/>
        <v>9</v>
      </c>
      <c r="I790" s="4">
        <f t="shared" si="112"/>
        <v>18</v>
      </c>
      <c r="J790">
        <f t="shared" si="113"/>
        <v>20130918</v>
      </c>
      <c r="K790" t="str">
        <f t="shared" si="114"/>
        <v>18.09.2013</v>
      </c>
      <c r="L790" s="10">
        <f t="shared" si="115"/>
        <v>3402</v>
      </c>
      <c r="M790" s="8">
        <f t="shared" si="116"/>
        <v>9</v>
      </c>
    </row>
    <row r="791" spans="1:13" x14ac:dyDescent="0.25">
      <c r="A791" s="4" t="s">
        <v>817</v>
      </c>
      <c r="B791" t="s">
        <v>8</v>
      </c>
      <c r="C791" t="s">
        <v>6</v>
      </c>
      <c r="D791" s="3">
        <f t="shared" si="108"/>
        <v>14</v>
      </c>
      <c r="E791" s="4">
        <f t="shared" si="109"/>
        <v>29</v>
      </c>
      <c r="F791" s="4">
        <f t="shared" si="110"/>
        <v>27</v>
      </c>
      <c r="G791" s="3">
        <f>IF(E791&gt;=20,2000,1900) + D791</f>
        <v>2014</v>
      </c>
      <c r="H791">
        <f t="shared" si="111"/>
        <v>9</v>
      </c>
      <c r="I791" s="4">
        <f t="shared" si="112"/>
        <v>27</v>
      </c>
      <c r="J791">
        <f t="shared" si="113"/>
        <v>20140927</v>
      </c>
      <c r="K791" t="str">
        <f t="shared" si="114"/>
        <v>27.09.2014</v>
      </c>
      <c r="L791" s="10">
        <f t="shared" si="115"/>
        <v>3028</v>
      </c>
      <c r="M791" s="8">
        <f t="shared" si="116"/>
        <v>8</v>
      </c>
    </row>
    <row r="792" spans="1:13" x14ac:dyDescent="0.25">
      <c r="A792" s="4" t="s">
        <v>818</v>
      </c>
      <c r="B792" t="s">
        <v>9</v>
      </c>
      <c r="C792" t="s">
        <v>4</v>
      </c>
      <c r="D792" s="3">
        <f t="shared" si="108"/>
        <v>20</v>
      </c>
      <c r="E792" s="4">
        <f t="shared" si="109"/>
        <v>25</v>
      </c>
      <c r="F792" s="4">
        <f t="shared" si="110"/>
        <v>24</v>
      </c>
      <c r="G792" s="3">
        <f>IF(E792&gt;=20,2000,1900) + D792</f>
        <v>2020</v>
      </c>
      <c r="H792">
        <f t="shared" si="111"/>
        <v>5</v>
      </c>
      <c r="I792" s="4">
        <f t="shared" si="112"/>
        <v>24</v>
      </c>
      <c r="J792">
        <f t="shared" si="113"/>
        <v>20200524</v>
      </c>
      <c r="K792" t="str">
        <f t="shared" si="114"/>
        <v>24.05.2020</v>
      </c>
      <c r="L792" s="10">
        <f t="shared" si="115"/>
        <v>962</v>
      </c>
      <c r="M792" s="8">
        <f t="shared" si="116"/>
        <v>2</v>
      </c>
    </row>
    <row r="793" spans="1:13" x14ac:dyDescent="0.25">
      <c r="A793" s="4" t="s">
        <v>819</v>
      </c>
      <c r="B793" t="s">
        <v>18</v>
      </c>
      <c r="C793" t="s">
        <v>6</v>
      </c>
      <c r="D793" s="3">
        <f t="shared" si="108"/>
        <v>1</v>
      </c>
      <c r="E793" s="4">
        <f t="shared" si="109"/>
        <v>22</v>
      </c>
      <c r="F793" s="4">
        <f t="shared" si="110"/>
        <v>11</v>
      </c>
      <c r="G793" s="3">
        <f>IF(E793&gt;=20,2000,1900) + D793</f>
        <v>2001</v>
      </c>
      <c r="H793">
        <f t="shared" si="111"/>
        <v>2</v>
      </c>
      <c r="I793" s="4">
        <f t="shared" si="112"/>
        <v>11</v>
      </c>
      <c r="J793">
        <f t="shared" si="113"/>
        <v>20010211</v>
      </c>
      <c r="K793" t="str">
        <f t="shared" si="114"/>
        <v>11.02.2001</v>
      </c>
      <c r="L793" s="10">
        <f t="shared" si="115"/>
        <v>8004</v>
      </c>
      <c r="M793" s="8">
        <f t="shared" si="116"/>
        <v>21</v>
      </c>
    </row>
    <row r="794" spans="1:13" x14ac:dyDescent="0.25">
      <c r="A794" s="4" t="s">
        <v>820</v>
      </c>
      <c r="B794" t="s">
        <v>9</v>
      </c>
      <c r="C794" t="s">
        <v>6</v>
      </c>
      <c r="D794" s="3">
        <f t="shared" si="108"/>
        <v>5</v>
      </c>
      <c r="E794" s="4">
        <f t="shared" si="109"/>
        <v>29</v>
      </c>
      <c r="F794" s="4">
        <f t="shared" si="110"/>
        <v>3</v>
      </c>
      <c r="G794" s="3">
        <f>IF(E794&gt;=20,2000,1900) + D794</f>
        <v>2005</v>
      </c>
      <c r="H794">
        <f t="shared" si="111"/>
        <v>9</v>
      </c>
      <c r="I794" s="4">
        <f t="shared" si="112"/>
        <v>3</v>
      </c>
      <c r="J794">
        <f t="shared" si="113"/>
        <v>20050903</v>
      </c>
      <c r="K794" t="str">
        <f t="shared" si="114"/>
        <v>03.09.2005</v>
      </c>
      <c r="L794" s="10">
        <f t="shared" si="115"/>
        <v>6339</v>
      </c>
      <c r="M794" s="8">
        <f t="shared" si="116"/>
        <v>17</v>
      </c>
    </row>
    <row r="795" spans="1:13" x14ac:dyDescent="0.25">
      <c r="A795" s="4" t="s">
        <v>821</v>
      </c>
      <c r="B795" t="s">
        <v>9</v>
      </c>
      <c r="C795" t="s">
        <v>6</v>
      </c>
      <c r="D795" s="3">
        <f t="shared" si="108"/>
        <v>8</v>
      </c>
      <c r="E795" s="4">
        <f t="shared" si="109"/>
        <v>25</v>
      </c>
      <c r="F795" s="4">
        <f t="shared" si="110"/>
        <v>15</v>
      </c>
      <c r="G795" s="3">
        <f>IF(E795&gt;=20,2000,1900) + D795</f>
        <v>2008</v>
      </c>
      <c r="H795">
        <f t="shared" si="111"/>
        <v>5</v>
      </c>
      <c r="I795" s="4">
        <f t="shared" si="112"/>
        <v>15</v>
      </c>
      <c r="J795">
        <f t="shared" si="113"/>
        <v>20080515</v>
      </c>
      <c r="K795" t="str">
        <f t="shared" si="114"/>
        <v>15.05.2008</v>
      </c>
      <c r="L795" s="10">
        <f t="shared" si="115"/>
        <v>5354</v>
      </c>
      <c r="M795" s="8">
        <f t="shared" si="116"/>
        <v>14</v>
      </c>
    </row>
    <row r="796" spans="1:13" x14ac:dyDescent="0.25">
      <c r="A796" s="4" t="s">
        <v>822</v>
      </c>
      <c r="B796" t="s">
        <v>5</v>
      </c>
      <c r="C796" t="s">
        <v>4</v>
      </c>
      <c r="D796" s="3">
        <f t="shared" si="108"/>
        <v>1</v>
      </c>
      <c r="E796" s="4">
        <f t="shared" si="109"/>
        <v>24</v>
      </c>
      <c r="F796" s="4">
        <f t="shared" si="110"/>
        <v>23</v>
      </c>
      <c r="G796" s="3">
        <f>IF(E796&gt;=20,2000,1900) + D796</f>
        <v>2001</v>
      </c>
      <c r="H796">
        <f t="shared" si="111"/>
        <v>4</v>
      </c>
      <c r="I796" s="4">
        <f t="shared" si="112"/>
        <v>23</v>
      </c>
      <c r="J796">
        <f t="shared" si="113"/>
        <v>20010423</v>
      </c>
      <c r="K796" t="str">
        <f t="shared" si="114"/>
        <v>23.04.2001</v>
      </c>
      <c r="L796" s="10">
        <f t="shared" si="115"/>
        <v>7933</v>
      </c>
      <c r="M796" s="8">
        <f t="shared" si="116"/>
        <v>21</v>
      </c>
    </row>
    <row r="797" spans="1:13" x14ac:dyDescent="0.25">
      <c r="A797" s="4" t="s">
        <v>823</v>
      </c>
      <c r="B797" t="s">
        <v>5</v>
      </c>
      <c r="C797" t="s">
        <v>6</v>
      </c>
      <c r="D797" s="3">
        <f t="shared" si="108"/>
        <v>19</v>
      </c>
      <c r="E797" s="4">
        <f t="shared" si="109"/>
        <v>22</v>
      </c>
      <c r="F797" s="4">
        <f t="shared" si="110"/>
        <v>19</v>
      </c>
      <c r="G797" s="3">
        <f>IF(E797&gt;=20,2000,1900) + D797</f>
        <v>2019</v>
      </c>
      <c r="H797">
        <f t="shared" si="111"/>
        <v>2</v>
      </c>
      <c r="I797" s="4">
        <f t="shared" si="112"/>
        <v>19</v>
      </c>
      <c r="J797">
        <f t="shared" si="113"/>
        <v>20190219</v>
      </c>
      <c r="K797" t="str">
        <f t="shared" si="114"/>
        <v>19.02.2019</v>
      </c>
      <c r="L797" s="10">
        <f t="shared" si="115"/>
        <v>1422</v>
      </c>
      <c r="M797" s="8">
        <f t="shared" si="116"/>
        <v>3</v>
      </c>
    </row>
    <row r="798" spans="1:13" x14ac:dyDescent="0.25">
      <c r="A798" s="4" t="s">
        <v>824</v>
      </c>
      <c r="B798" t="s">
        <v>17</v>
      </c>
      <c r="C798" t="s">
        <v>4</v>
      </c>
      <c r="D798" s="3">
        <f t="shared" si="108"/>
        <v>2</v>
      </c>
      <c r="E798" s="4">
        <f t="shared" si="109"/>
        <v>24</v>
      </c>
      <c r="F798" s="4">
        <f t="shared" si="110"/>
        <v>22</v>
      </c>
      <c r="G798" s="3">
        <f>IF(E798&gt;=20,2000,1900) + D798</f>
        <v>2002</v>
      </c>
      <c r="H798">
        <f t="shared" si="111"/>
        <v>4</v>
      </c>
      <c r="I798" s="4">
        <f t="shared" si="112"/>
        <v>22</v>
      </c>
      <c r="J798">
        <f t="shared" si="113"/>
        <v>20020422</v>
      </c>
      <c r="K798" t="str">
        <f t="shared" si="114"/>
        <v>22.04.2002</v>
      </c>
      <c r="L798" s="10">
        <f t="shared" si="115"/>
        <v>7569</v>
      </c>
      <c r="M798" s="8">
        <f t="shared" si="116"/>
        <v>20</v>
      </c>
    </row>
    <row r="799" spans="1:13" x14ac:dyDescent="0.25">
      <c r="A799" s="4" t="s">
        <v>825</v>
      </c>
      <c r="B799" t="s">
        <v>3</v>
      </c>
      <c r="C799" t="s">
        <v>4</v>
      </c>
      <c r="D799" s="3">
        <f t="shared" si="108"/>
        <v>15</v>
      </c>
      <c r="E799" s="4">
        <f t="shared" si="109"/>
        <v>22</v>
      </c>
      <c r="F799" s="4">
        <f t="shared" si="110"/>
        <v>3</v>
      </c>
      <c r="G799" s="3">
        <f>IF(E799&gt;=20,2000,1900) + D799</f>
        <v>2015</v>
      </c>
      <c r="H799">
        <f t="shared" si="111"/>
        <v>2</v>
      </c>
      <c r="I799" s="4">
        <f t="shared" si="112"/>
        <v>3</v>
      </c>
      <c r="J799">
        <f t="shared" si="113"/>
        <v>20150203</v>
      </c>
      <c r="K799" t="str">
        <f t="shared" si="114"/>
        <v>03.02.2015</v>
      </c>
      <c r="L799" s="10">
        <f t="shared" si="115"/>
        <v>2899</v>
      </c>
      <c r="M799" s="8">
        <f t="shared" si="116"/>
        <v>7</v>
      </c>
    </row>
    <row r="800" spans="1:13" x14ac:dyDescent="0.25">
      <c r="A800" s="4" t="s">
        <v>826</v>
      </c>
      <c r="B800" t="s">
        <v>11</v>
      </c>
      <c r="C800" t="s">
        <v>4</v>
      </c>
      <c r="D800" s="3">
        <f t="shared" si="108"/>
        <v>5</v>
      </c>
      <c r="E800" s="4">
        <f t="shared" si="109"/>
        <v>27</v>
      </c>
      <c r="F800" s="4">
        <f t="shared" si="110"/>
        <v>1</v>
      </c>
      <c r="G800" s="3">
        <f>IF(E800&gt;=20,2000,1900) + D800</f>
        <v>2005</v>
      </c>
      <c r="H800">
        <f t="shared" si="111"/>
        <v>7</v>
      </c>
      <c r="I800" s="4">
        <f t="shared" si="112"/>
        <v>1</v>
      </c>
      <c r="J800">
        <f t="shared" si="113"/>
        <v>20050701</v>
      </c>
      <c r="K800" t="str">
        <f t="shared" si="114"/>
        <v>01.07.2005</v>
      </c>
      <c r="L800" s="10">
        <f t="shared" si="115"/>
        <v>6403</v>
      </c>
      <c r="M800" s="8">
        <f t="shared" si="116"/>
        <v>17</v>
      </c>
    </row>
    <row r="801" spans="1:13" x14ac:dyDescent="0.25">
      <c r="A801" s="4" t="s">
        <v>827</v>
      </c>
      <c r="B801" t="s">
        <v>13</v>
      </c>
      <c r="C801" t="s">
        <v>6</v>
      </c>
      <c r="D801" s="3">
        <f t="shared" si="108"/>
        <v>7</v>
      </c>
      <c r="E801" s="4">
        <f t="shared" si="109"/>
        <v>21</v>
      </c>
      <c r="F801" s="4">
        <f t="shared" si="110"/>
        <v>24</v>
      </c>
      <c r="G801" s="3">
        <f>IF(E801&gt;=20,2000,1900) + D801</f>
        <v>2007</v>
      </c>
      <c r="H801">
        <f t="shared" si="111"/>
        <v>1</v>
      </c>
      <c r="I801" s="4">
        <f t="shared" si="112"/>
        <v>24</v>
      </c>
      <c r="J801">
        <f t="shared" si="113"/>
        <v>20070124</v>
      </c>
      <c r="K801" t="str">
        <f t="shared" si="114"/>
        <v>24.01.2007</v>
      </c>
      <c r="L801" s="10">
        <f t="shared" si="115"/>
        <v>5831</v>
      </c>
      <c r="M801" s="8">
        <f t="shared" si="116"/>
        <v>15</v>
      </c>
    </row>
    <row r="802" spans="1:13" x14ac:dyDescent="0.25">
      <c r="A802" s="4" t="s">
        <v>828</v>
      </c>
      <c r="B802" t="s">
        <v>8</v>
      </c>
      <c r="C802" t="s">
        <v>4</v>
      </c>
      <c r="D802" s="3">
        <f t="shared" si="108"/>
        <v>6</v>
      </c>
      <c r="E802" s="4">
        <f t="shared" si="109"/>
        <v>21</v>
      </c>
      <c r="F802" s="4">
        <f t="shared" si="110"/>
        <v>7</v>
      </c>
      <c r="G802" s="3">
        <f>IF(E802&gt;=20,2000,1900) + D802</f>
        <v>2006</v>
      </c>
      <c r="H802">
        <f t="shared" si="111"/>
        <v>1</v>
      </c>
      <c r="I802" s="4">
        <f t="shared" si="112"/>
        <v>7</v>
      </c>
      <c r="J802">
        <f t="shared" si="113"/>
        <v>20060107</v>
      </c>
      <c r="K802" t="str">
        <f t="shared" si="114"/>
        <v>07.01.2006</v>
      </c>
      <c r="L802" s="10">
        <f t="shared" si="115"/>
        <v>6213</v>
      </c>
      <c r="M802" s="8">
        <f t="shared" si="116"/>
        <v>17</v>
      </c>
    </row>
    <row r="803" spans="1:13" x14ac:dyDescent="0.25">
      <c r="A803" s="4" t="s">
        <v>829</v>
      </c>
      <c r="B803" t="s">
        <v>15</v>
      </c>
      <c r="C803" t="s">
        <v>6</v>
      </c>
      <c r="D803" s="3">
        <f t="shared" si="108"/>
        <v>11</v>
      </c>
      <c r="E803" s="4">
        <f t="shared" si="109"/>
        <v>23</v>
      </c>
      <c r="F803" s="4">
        <f t="shared" si="110"/>
        <v>5</v>
      </c>
      <c r="G803" s="3">
        <f>IF(E803&gt;=20,2000,1900) + D803</f>
        <v>2011</v>
      </c>
      <c r="H803">
        <f t="shared" si="111"/>
        <v>3</v>
      </c>
      <c r="I803" s="4">
        <f t="shared" si="112"/>
        <v>5</v>
      </c>
      <c r="J803">
        <f t="shared" si="113"/>
        <v>20110305</v>
      </c>
      <c r="K803" t="str">
        <f t="shared" si="114"/>
        <v>05.03.2011</v>
      </c>
      <c r="L803" s="10">
        <f t="shared" si="115"/>
        <v>4330</v>
      </c>
      <c r="M803" s="8">
        <f t="shared" si="116"/>
        <v>11</v>
      </c>
    </row>
    <row r="804" spans="1:13" x14ac:dyDescent="0.25">
      <c r="A804" s="4" t="s">
        <v>830</v>
      </c>
      <c r="B804" t="s">
        <v>8</v>
      </c>
      <c r="C804" t="s">
        <v>6</v>
      </c>
      <c r="D804" s="3">
        <f t="shared" si="108"/>
        <v>9</v>
      </c>
      <c r="E804" s="4">
        <f t="shared" si="109"/>
        <v>30</v>
      </c>
      <c r="F804" s="4">
        <f t="shared" si="110"/>
        <v>1</v>
      </c>
      <c r="G804" s="3">
        <f>IF(E804&gt;=20,2000,1900) + D804</f>
        <v>2009</v>
      </c>
      <c r="H804">
        <f t="shared" si="111"/>
        <v>10</v>
      </c>
      <c r="I804" s="4">
        <f t="shared" si="112"/>
        <v>1</v>
      </c>
      <c r="J804">
        <f t="shared" si="113"/>
        <v>20091001</v>
      </c>
      <c r="K804" t="str">
        <f t="shared" si="114"/>
        <v>01.10.2009</v>
      </c>
      <c r="L804" s="10">
        <f t="shared" si="115"/>
        <v>4850</v>
      </c>
      <c r="M804" s="8">
        <f t="shared" si="116"/>
        <v>13</v>
      </c>
    </row>
    <row r="805" spans="1:13" x14ac:dyDescent="0.25">
      <c r="A805" s="4" t="s">
        <v>831</v>
      </c>
      <c r="B805" t="s">
        <v>3</v>
      </c>
      <c r="C805" t="s">
        <v>4</v>
      </c>
      <c r="D805" s="3">
        <f t="shared" si="108"/>
        <v>11</v>
      </c>
      <c r="E805" s="4">
        <f t="shared" si="109"/>
        <v>21</v>
      </c>
      <c r="F805" s="4">
        <f t="shared" si="110"/>
        <v>30</v>
      </c>
      <c r="G805" s="3">
        <f>IF(E805&gt;=20,2000,1900) + D805</f>
        <v>2011</v>
      </c>
      <c r="H805">
        <f t="shared" si="111"/>
        <v>1</v>
      </c>
      <c r="I805" s="4">
        <f t="shared" si="112"/>
        <v>30</v>
      </c>
      <c r="J805">
        <f t="shared" si="113"/>
        <v>20110130</v>
      </c>
      <c r="K805" t="str">
        <f t="shared" si="114"/>
        <v>30.01.2011</v>
      </c>
      <c r="L805" s="10">
        <f t="shared" si="115"/>
        <v>4364</v>
      </c>
      <c r="M805" s="8">
        <f t="shared" si="116"/>
        <v>11</v>
      </c>
    </row>
    <row r="806" spans="1:13" x14ac:dyDescent="0.25">
      <c r="A806" s="4" t="s">
        <v>832</v>
      </c>
      <c r="B806" t="s">
        <v>14</v>
      </c>
      <c r="C806" t="s">
        <v>6</v>
      </c>
      <c r="D806" s="3">
        <f t="shared" si="108"/>
        <v>11</v>
      </c>
      <c r="E806" s="4">
        <f t="shared" si="109"/>
        <v>32</v>
      </c>
      <c r="F806" s="4">
        <f t="shared" si="110"/>
        <v>4</v>
      </c>
      <c r="G806" s="3">
        <f>IF(E806&gt;=20,2000,1900) + D806</f>
        <v>2011</v>
      </c>
      <c r="H806">
        <f t="shared" si="111"/>
        <v>12</v>
      </c>
      <c r="I806" s="4">
        <f t="shared" si="112"/>
        <v>4</v>
      </c>
      <c r="J806">
        <f t="shared" si="113"/>
        <v>20111204</v>
      </c>
      <c r="K806" t="str">
        <f t="shared" si="114"/>
        <v>04.12.2011</v>
      </c>
      <c r="L806" s="10">
        <f t="shared" si="115"/>
        <v>4056</v>
      </c>
      <c r="M806" s="8">
        <f t="shared" si="116"/>
        <v>11</v>
      </c>
    </row>
    <row r="807" spans="1:13" x14ac:dyDescent="0.25">
      <c r="A807" s="4" t="s">
        <v>833</v>
      </c>
      <c r="B807" t="s">
        <v>5</v>
      </c>
      <c r="C807" t="s">
        <v>4</v>
      </c>
      <c r="D807" s="3">
        <f t="shared" si="108"/>
        <v>20</v>
      </c>
      <c r="E807" s="4">
        <f t="shared" si="109"/>
        <v>31</v>
      </c>
      <c r="F807" s="4">
        <f t="shared" si="110"/>
        <v>25</v>
      </c>
      <c r="G807" s="3">
        <f>IF(E807&gt;=20,2000,1900) + D807</f>
        <v>2020</v>
      </c>
      <c r="H807">
        <f t="shared" si="111"/>
        <v>11</v>
      </c>
      <c r="I807" s="4">
        <f t="shared" si="112"/>
        <v>25</v>
      </c>
      <c r="J807">
        <f t="shared" si="113"/>
        <v>20201125</v>
      </c>
      <c r="K807" t="str">
        <f t="shared" si="114"/>
        <v>25.11.2020</v>
      </c>
      <c r="L807" s="10">
        <f t="shared" si="115"/>
        <v>777</v>
      </c>
      <c r="M807" s="8">
        <f t="shared" si="116"/>
        <v>2</v>
      </c>
    </row>
    <row r="808" spans="1:13" x14ac:dyDescent="0.25">
      <c r="A808" s="4" t="s">
        <v>834</v>
      </c>
      <c r="B808" t="s">
        <v>14</v>
      </c>
      <c r="C808" t="s">
        <v>4</v>
      </c>
      <c r="D808" s="3">
        <f t="shared" si="108"/>
        <v>14</v>
      </c>
      <c r="E808" s="4">
        <f t="shared" si="109"/>
        <v>28</v>
      </c>
      <c r="F808" s="4">
        <f t="shared" si="110"/>
        <v>5</v>
      </c>
      <c r="G808" s="3">
        <f>IF(E808&gt;=20,2000,1900) + D808</f>
        <v>2014</v>
      </c>
      <c r="H808">
        <f t="shared" si="111"/>
        <v>8</v>
      </c>
      <c r="I808" s="4">
        <f t="shared" si="112"/>
        <v>5</v>
      </c>
      <c r="J808">
        <f t="shared" si="113"/>
        <v>20140805</v>
      </c>
      <c r="K808" t="str">
        <f t="shared" si="114"/>
        <v>05.08.2014</v>
      </c>
      <c r="L808" s="10">
        <f t="shared" si="115"/>
        <v>3081</v>
      </c>
      <c r="M808" s="8">
        <f t="shared" si="116"/>
        <v>8</v>
      </c>
    </row>
    <row r="809" spans="1:13" x14ac:dyDescent="0.25">
      <c r="A809" s="4" t="s">
        <v>835</v>
      </c>
      <c r="B809" t="s">
        <v>15</v>
      </c>
      <c r="C809" t="s">
        <v>4</v>
      </c>
      <c r="D809" s="3">
        <f t="shared" si="108"/>
        <v>3</v>
      </c>
      <c r="E809" s="4">
        <f t="shared" si="109"/>
        <v>22</v>
      </c>
      <c r="F809" s="4">
        <f t="shared" si="110"/>
        <v>10</v>
      </c>
      <c r="G809" s="3">
        <f>IF(E809&gt;=20,2000,1900) + D809</f>
        <v>2003</v>
      </c>
      <c r="H809">
        <f t="shared" si="111"/>
        <v>2</v>
      </c>
      <c r="I809" s="4">
        <f t="shared" si="112"/>
        <v>10</v>
      </c>
      <c r="J809">
        <f t="shared" si="113"/>
        <v>20030210</v>
      </c>
      <c r="K809" t="str">
        <f t="shared" si="114"/>
        <v>10.02.2003</v>
      </c>
      <c r="L809" s="10">
        <f t="shared" si="115"/>
        <v>7275</v>
      </c>
      <c r="M809" s="8">
        <f t="shared" si="116"/>
        <v>19</v>
      </c>
    </row>
    <row r="810" spans="1:13" x14ac:dyDescent="0.25">
      <c r="A810" s="4" t="s">
        <v>836</v>
      </c>
      <c r="B810" t="s">
        <v>13</v>
      </c>
      <c r="C810" t="s">
        <v>6</v>
      </c>
      <c r="D810" s="3">
        <f t="shared" si="108"/>
        <v>16</v>
      </c>
      <c r="E810" s="4">
        <f t="shared" si="109"/>
        <v>29</v>
      </c>
      <c r="F810" s="4">
        <f t="shared" si="110"/>
        <v>16</v>
      </c>
      <c r="G810" s="3">
        <f>IF(E810&gt;=20,2000,1900) + D810</f>
        <v>2016</v>
      </c>
      <c r="H810">
        <f t="shared" si="111"/>
        <v>9</v>
      </c>
      <c r="I810" s="4">
        <f t="shared" si="112"/>
        <v>16</v>
      </c>
      <c r="J810">
        <f t="shared" si="113"/>
        <v>20160916</v>
      </c>
      <c r="K810" t="str">
        <f t="shared" si="114"/>
        <v>16.09.2016</v>
      </c>
      <c r="L810" s="10">
        <f t="shared" si="115"/>
        <v>2308</v>
      </c>
      <c r="M810" s="8">
        <f t="shared" si="116"/>
        <v>6</v>
      </c>
    </row>
    <row r="811" spans="1:13" x14ac:dyDescent="0.25">
      <c r="A811" s="4" t="s">
        <v>837</v>
      </c>
      <c r="B811" t="s">
        <v>11</v>
      </c>
      <c r="C811" t="s">
        <v>4</v>
      </c>
      <c r="D811" s="3">
        <f t="shared" si="108"/>
        <v>0</v>
      </c>
      <c r="E811" s="4">
        <f t="shared" si="109"/>
        <v>29</v>
      </c>
      <c r="F811" s="4">
        <f t="shared" si="110"/>
        <v>18</v>
      </c>
      <c r="G811" s="3">
        <f>IF(E811&gt;=20,2000,1900) + D811</f>
        <v>2000</v>
      </c>
      <c r="H811">
        <f t="shared" si="111"/>
        <v>9</v>
      </c>
      <c r="I811" s="4">
        <f t="shared" si="112"/>
        <v>18</v>
      </c>
      <c r="J811">
        <f t="shared" si="113"/>
        <v>20000918</v>
      </c>
      <c r="K811" t="str">
        <f t="shared" si="114"/>
        <v>18.09.2000</v>
      </c>
      <c r="L811" s="10">
        <f t="shared" si="115"/>
        <v>8150</v>
      </c>
      <c r="M811" s="8">
        <f t="shared" si="116"/>
        <v>22</v>
      </c>
    </row>
    <row r="812" spans="1:13" x14ac:dyDescent="0.25">
      <c r="A812" s="4" t="s">
        <v>838</v>
      </c>
      <c r="B812" t="s">
        <v>5</v>
      </c>
      <c r="C812" t="s">
        <v>4</v>
      </c>
      <c r="D812" s="3">
        <f t="shared" si="108"/>
        <v>11</v>
      </c>
      <c r="E812" s="4">
        <f t="shared" si="109"/>
        <v>30</v>
      </c>
      <c r="F812" s="4">
        <f t="shared" si="110"/>
        <v>20</v>
      </c>
      <c r="G812" s="3">
        <f>IF(E812&gt;=20,2000,1900) + D812</f>
        <v>2011</v>
      </c>
      <c r="H812">
        <f t="shared" si="111"/>
        <v>10</v>
      </c>
      <c r="I812" s="4">
        <f t="shared" si="112"/>
        <v>20</v>
      </c>
      <c r="J812">
        <f t="shared" si="113"/>
        <v>20111020</v>
      </c>
      <c r="K812" t="str">
        <f t="shared" si="114"/>
        <v>20.10.2011</v>
      </c>
      <c r="L812" s="10">
        <f t="shared" si="115"/>
        <v>4101</v>
      </c>
      <c r="M812" s="8">
        <f t="shared" si="116"/>
        <v>11</v>
      </c>
    </row>
    <row r="813" spans="1:13" x14ac:dyDescent="0.25">
      <c r="A813" s="4" t="s">
        <v>839</v>
      </c>
      <c r="B813" t="s">
        <v>8</v>
      </c>
      <c r="C813" t="s">
        <v>6</v>
      </c>
      <c r="D813" s="3">
        <f t="shared" si="108"/>
        <v>4</v>
      </c>
      <c r="E813" s="4">
        <f t="shared" si="109"/>
        <v>27</v>
      </c>
      <c r="F813" s="4">
        <f t="shared" si="110"/>
        <v>20</v>
      </c>
      <c r="G813" s="3">
        <f>IF(E813&gt;=20,2000,1900) + D813</f>
        <v>2004</v>
      </c>
      <c r="H813">
        <f t="shared" si="111"/>
        <v>7</v>
      </c>
      <c r="I813" s="4">
        <f t="shared" si="112"/>
        <v>20</v>
      </c>
      <c r="J813">
        <f t="shared" si="113"/>
        <v>20040720</v>
      </c>
      <c r="K813" t="str">
        <f t="shared" si="114"/>
        <v>20.07.2004</v>
      </c>
      <c r="L813" s="10">
        <f t="shared" si="115"/>
        <v>6749</v>
      </c>
      <c r="M813" s="8">
        <f t="shared" si="116"/>
        <v>18</v>
      </c>
    </row>
    <row r="814" spans="1:13" x14ac:dyDescent="0.25">
      <c r="A814" s="4" t="s">
        <v>840</v>
      </c>
      <c r="B814" t="s">
        <v>14</v>
      </c>
      <c r="C814" t="s">
        <v>4</v>
      </c>
      <c r="D814" s="3">
        <f t="shared" si="108"/>
        <v>0</v>
      </c>
      <c r="E814" s="4">
        <f t="shared" si="109"/>
        <v>26</v>
      </c>
      <c r="F814" s="4">
        <f t="shared" si="110"/>
        <v>28</v>
      </c>
      <c r="G814" s="3">
        <f>IF(E814&gt;=20,2000,1900) + D814</f>
        <v>2000</v>
      </c>
      <c r="H814">
        <f t="shared" si="111"/>
        <v>6</v>
      </c>
      <c r="I814" s="4">
        <f t="shared" si="112"/>
        <v>28</v>
      </c>
      <c r="J814">
        <f t="shared" si="113"/>
        <v>20000628</v>
      </c>
      <c r="K814" t="str">
        <f t="shared" si="114"/>
        <v>28.06.2000</v>
      </c>
      <c r="L814" s="10">
        <f t="shared" si="115"/>
        <v>8232</v>
      </c>
      <c r="M814" s="8">
        <f t="shared" si="116"/>
        <v>22</v>
      </c>
    </row>
    <row r="815" spans="1:13" x14ac:dyDescent="0.25">
      <c r="A815" s="4" t="s">
        <v>841</v>
      </c>
      <c r="B815" t="s">
        <v>20</v>
      </c>
      <c r="C815" t="s">
        <v>4</v>
      </c>
      <c r="D815" s="3">
        <f t="shared" si="108"/>
        <v>7</v>
      </c>
      <c r="E815" s="4">
        <f t="shared" si="109"/>
        <v>26</v>
      </c>
      <c r="F815" s="4">
        <f t="shared" si="110"/>
        <v>30</v>
      </c>
      <c r="G815" s="3">
        <f>IF(E815&gt;=20,2000,1900) + D815</f>
        <v>2007</v>
      </c>
      <c r="H815">
        <f t="shared" si="111"/>
        <v>6</v>
      </c>
      <c r="I815" s="4">
        <f t="shared" si="112"/>
        <v>30</v>
      </c>
      <c r="J815">
        <f t="shared" si="113"/>
        <v>20070630</v>
      </c>
      <c r="K815" t="str">
        <f t="shared" si="114"/>
        <v>30.06.2007</v>
      </c>
      <c r="L815" s="10">
        <f t="shared" si="115"/>
        <v>5674</v>
      </c>
      <c r="M815" s="8">
        <f t="shared" si="116"/>
        <v>15</v>
      </c>
    </row>
    <row r="816" spans="1:13" x14ac:dyDescent="0.25">
      <c r="A816" s="4" t="s">
        <v>842</v>
      </c>
      <c r="B816" t="s">
        <v>13</v>
      </c>
      <c r="C816" t="s">
        <v>6</v>
      </c>
      <c r="D816" s="3">
        <f t="shared" si="108"/>
        <v>2</v>
      </c>
      <c r="E816" s="4">
        <f t="shared" si="109"/>
        <v>21</v>
      </c>
      <c r="F816" s="4">
        <f t="shared" si="110"/>
        <v>1</v>
      </c>
      <c r="G816" s="3">
        <f>IF(E816&gt;=20,2000,1900) + D816</f>
        <v>2002</v>
      </c>
      <c r="H816">
        <f t="shared" si="111"/>
        <v>1</v>
      </c>
      <c r="I816" s="4">
        <f t="shared" si="112"/>
        <v>1</v>
      </c>
      <c r="J816">
        <f t="shared" si="113"/>
        <v>20020101</v>
      </c>
      <c r="K816" t="str">
        <f t="shared" si="114"/>
        <v>01.01.2002</v>
      </c>
      <c r="L816" s="10">
        <f t="shared" si="115"/>
        <v>7680</v>
      </c>
      <c r="M816" s="8">
        <f t="shared" si="116"/>
        <v>21</v>
      </c>
    </row>
    <row r="817" spans="1:13" x14ac:dyDescent="0.25">
      <c r="A817" s="4" t="s">
        <v>843</v>
      </c>
      <c r="B817" t="s">
        <v>11</v>
      </c>
      <c r="C817" t="s">
        <v>4</v>
      </c>
      <c r="D817" s="3">
        <f t="shared" si="108"/>
        <v>11</v>
      </c>
      <c r="E817" s="4">
        <f t="shared" si="109"/>
        <v>30</v>
      </c>
      <c r="F817" s="4">
        <f t="shared" si="110"/>
        <v>18</v>
      </c>
      <c r="G817" s="3">
        <f>IF(E817&gt;=20,2000,1900) + D817</f>
        <v>2011</v>
      </c>
      <c r="H817">
        <f t="shared" si="111"/>
        <v>10</v>
      </c>
      <c r="I817" s="4">
        <f t="shared" si="112"/>
        <v>18</v>
      </c>
      <c r="J817">
        <f t="shared" si="113"/>
        <v>20111018</v>
      </c>
      <c r="K817" t="str">
        <f t="shared" si="114"/>
        <v>18.10.2011</v>
      </c>
      <c r="L817" s="10">
        <f t="shared" si="115"/>
        <v>4103</v>
      </c>
      <c r="M817" s="8">
        <f t="shared" si="116"/>
        <v>11</v>
      </c>
    </row>
    <row r="818" spans="1:13" x14ac:dyDescent="0.25">
      <c r="A818" s="4" t="s">
        <v>844</v>
      </c>
      <c r="B818" t="s">
        <v>8</v>
      </c>
      <c r="C818" t="s">
        <v>4</v>
      </c>
      <c r="D818" s="3">
        <f t="shared" si="108"/>
        <v>10</v>
      </c>
      <c r="E818" s="4">
        <f t="shared" si="109"/>
        <v>29</v>
      </c>
      <c r="F818" s="4">
        <f t="shared" si="110"/>
        <v>25</v>
      </c>
      <c r="G818" s="3">
        <f>IF(E818&gt;=20,2000,1900) + D818</f>
        <v>2010</v>
      </c>
      <c r="H818">
        <f t="shared" si="111"/>
        <v>9</v>
      </c>
      <c r="I818" s="4">
        <f t="shared" si="112"/>
        <v>25</v>
      </c>
      <c r="J818">
        <f t="shared" si="113"/>
        <v>20100925</v>
      </c>
      <c r="K818" t="str">
        <f t="shared" si="114"/>
        <v>25.09.2010</v>
      </c>
      <c r="L818" s="10">
        <f t="shared" si="115"/>
        <v>4491</v>
      </c>
      <c r="M818" s="8">
        <f t="shared" si="116"/>
        <v>12</v>
      </c>
    </row>
    <row r="819" spans="1:13" x14ac:dyDescent="0.25">
      <c r="A819" s="4" t="s">
        <v>845</v>
      </c>
      <c r="B819" t="s">
        <v>16</v>
      </c>
      <c r="C819" t="s">
        <v>6</v>
      </c>
      <c r="D819" s="3">
        <f t="shared" si="108"/>
        <v>19</v>
      </c>
      <c r="E819" s="4">
        <f t="shared" si="109"/>
        <v>30</v>
      </c>
      <c r="F819" s="4">
        <f t="shared" si="110"/>
        <v>26</v>
      </c>
      <c r="G819" s="3">
        <f>IF(E819&gt;=20,2000,1900) + D819</f>
        <v>2019</v>
      </c>
      <c r="H819">
        <f t="shared" si="111"/>
        <v>10</v>
      </c>
      <c r="I819" s="4">
        <f t="shared" si="112"/>
        <v>26</v>
      </c>
      <c r="J819">
        <f t="shared" si="113"/>
        <v>20191026</v>
      </c>
      <c r="K819" t="str">
        <f t="shared" si="114"/>
        <v>26.10.2019</v>
      </c>
      <c r="L819" s="10">
        <f t="shared" si="115"/>
        <v>1173</v>
      </c>
      <c r="M819" s="8">
        <f t="shared" si="116"/>
        <v>3</v>
      </c>
    </row>
    <row r="820" spans="1:13" x14ac:dyDescent="0.25">
      <c r="A820" s="4" t="s">
        <v>846</v>
      </c>
      <c r="B820" t="s">
        <v>16</v>
      </c>
      <c r="C820" t="s">
        <v>6</v>
      </c>
      <c r="D820" s="3">
        <f t="shared" si="108"/>
        <v>2</v>
      </c>
      <c r="E820" s="4">
        <f t="shared" si="109"/>
        <v>29</v>
      </c>
      <c r="F820" s="4">
        <f t="shared" si="110"/>
        <v>6</v>
      </c>
      <c r="G820" s="3">
        <f>IF(E820&gt;=20,2000,1900) + D820</f>
        <v>2002</v>
      </c>
      <c r="H820">
        <f t="shared" si="111"/>
        <v>9</v>
      </c>
      <c r="I820" s="4">
        <f t="shared" si="112"/>
        <v>6</v>
      </c>
      <c r="J820">
        <f t="shared" si="113"/>
        <v>20020906</v>
      </c>
      <c r="K820" t="str">
        <f t="shared" si="114"/>
        <v>06.09.2002</v>
      </c>
      <c r="L820" s="10">
        <f t="shared" si="115"/>
        <v>7432</v>
      </c>
      <c r="M820" s="8">
        <f t="shared" si="116"/>
        <v>20</v>
      </c>
    </row>
    <row r="821" spans="1:13" x14ac:dyDescent="0.25">
      <c r="A821" s="4" t="s">
        <v>847</v>
      </c>
      <c r="B821" t="s">
        <v>5</v>
      </c>
      <c r="C821" t="s">
        <v>6</v>
      </c>
      <c r="D821" s="3">
        <f t="shared" si="108"/>
        <v>1</v>
      </c>
      <c r="E821" s="4">
        <f t="shared" si="109"/>
        <v>30</v>
      </c>
      <c r="F821" s="4">
        <f t="shared" si="110"/>
        <v>26</v>
      </c>
      <c r="G821" s="3">
        <f>IF(E821&gt;=20,2000,1900) + D821</f>
        <v>2001</v>
      </c>
      <c r="H821">
        <f t="shared" si="111"/>
        <v>10</v>
      </c>
      <c r="I821" s="4">
        <f t="shared" si="112"/>
        <v>26</v>
      </c>
      <c r="J821">
        <f t="shared" si="113"/>
        <v>20011026</v>
      </c>
      <c r="K821" t="str">
        <f t="shared" si="114"/>
        <v>26.10.2001</v>
      </c>
      <c r="L821" s="10">
        <f t="shared" si="115"/>
        <v>7747</v>
      </c>
      <c r="M821" s="8">
        <f t="shared" si="116"/>
        <v>21</v>
      </c>
    </row>
    <row r="822" spans="1:13" x14ac:dyDescent="0.25">
      <c r="A822" s="4" t="s">
        <v>848</v>
      </c>
      <c r="B822" t="s">
        <v>15</v>
      </c>
      <c r="C822" t="s">
        <v>6</v>
      </c>
      <c r="D822" s="3">
        <f t="shared" si="108"/>
        <v>19</v>
      </c>
      <c r="E822" s="4">
        <f t="shared" si="109"/>
        <v>30</v>
      </c>
      <c r="F822" s="4">
        <f t="shared" si="110"/>
        <v>26</v>
      </c>
      <c r="G822" s="3">
        <f>IF(E822&gt;=20,2000,1900) + D822</f>
        <v>2019</v>
      </c>
      <c r="H822">
        <f t="shared" si="111"/>
        <v>10</v>
      </c>
      <c r="I822" s="4">
        <f t="shared" si="112"/>
        <v>26</v>
      </c>
      <c r="J822">
        <f t="shared" si="113"/>
        <v>20191026</v>
      </c>
      <c r="K822" t="str">
        <f t="shared" si="114"/>
        <v>26.10.2019</v>
      </c>
      <c r="L822" s="10">
        <f t="shared" si="115"/>
        <v>1173</v>
      </c>
      <c r="M822" s="8">
        <f t="shared" si="116"/>
        <v>3</v>
      </c>
    </row>
    <row r="823" spans="1:13" x14ac:dyDescent="0.25">
      <c r="A823" s="4" t="s">
        <v>849</v>
      </c>
      <c r="B823" t="s">
        <v>16</v>
      </c>
      <c r="C823" t="s">
        <v>6</v>
      </c>
      <c r="D823" s="3">
        <f t="shared" si="108"/>
        <v>12</v>
      </c>
      <c r="E823" s="4">
        <f t="shared" si="109"/>
        <v>26</v>
      </c>
      <c r="F823" s="4">
        <f t="shared" si="110"/>
        <v>6</v>
      </c>
      <c r="G823" s="3">
        <f>IF(E823&gt;=20,2000,1900) + D823</f>
        <v>2012</v>
      </c>
      <c r="H823">
        <f t="shared" si="111"/>
        <v>6</v>
      </c>
      <c r="I823" s="4">
        <f t="shared" si="112"/>
        <v>6</v>
      </c>
      <c r="J823">
        <f t="shared" si="113"/>
        <v>20120606</v>
      </c>
      <c r="K823" t="str">
        <f t="shared" si="114"/>
        <v>06.06.2012</v>
      </c>
      <c r="L823" s="10">
        <f t="shared" si="115"/>
        <v>3871</v>
      </c>
      <c r="M823" s="8">
        <f t="shared" si="116"/>
        <v>10</v>
      </c>
    </row>
    <row r="824" spans="1:13" x14ac:dyDescent="0.25">
      <c r="A824" s="4" t="s">
        <v>850</v>
      </c>
      <c r="B824" t="s">
        <v>20</v>
      </c>
      <c r="C824" t="s">
        <v>4</v>
      </c>
      <c r="D824" s="3">
        <f t="shared" si="108"/>
        <v>0</v>
      </c>
      <c r="E824" s="4">
        <f t="shared" si="109"/>
        <v>24</v>
      </c>
      <c r="F824" s="4">
        <f t="shared" si="110"/>
        <v>16</v>
      </c>
      <c r="G824" s="3">
        <f>IF(E824&gt;=20,2000,1900) + D824</f>
        <v>2000</v>
      </c>
      <c r="H824">
        <f t="shared" si="111"/>
        <v>4</v>
      </c>
      <c r="I824" s="4">
        <f t="shared" si="112"/>
        <v>16</v>
      </c>
      <c r="J824">
        <f t="shared" si="113"/>
        <v>20000416</v>
      </c>
      <c r="K824" t="str">
        <f t="shared" si="114"/>
        <v>16.04.2000</v>
      </c>
      <c r="L824" s="10">
        <f t="shared" si="115"/>
        <v>8305</v>
      </c>
      <c r="M824" s="8">
        <f t="shared" si="116"/>
        <v>22</v>
      </c>
    </row>
    <row r="825" spans="1:13" x14ac:dyDescent="0.25">
      <c r="A825" s="4" t="s">
        <v>851</v>
      </c>
      <c r="B825" t="s">
        <v>5</v>
      </c>
      <c r="C825" t="s">
        <v>4</v>
      </c>
      <c r="D825" s="3">
        <f t="shared" si="108"/>
        <v>0</v>
      </c>
      <c r="E825" s="4">
        <f t="shared" si="109"/>
        <v>29</v>
      </c>
      <c r="F825" s="4">
        <f t="shared" si="110"/>
        <v>14</v>
      </c>
      <c r="G825" s="3">
        <f>IF(E825&gt;=20,2000,1900) + D825</f>
        <v>2000</v>
      </c>
      <c r="H825">
        <f t="shared" si="111"/>
        <v>9</v>
      </c>
      <c r="I825" s="4">
        <f t="shared" si="112"/>
        <v>14</v>
      </c>
      <c r="J825">
        <f t="shared" si="113"/>
        <v>20000914</v>
      </c>
      <c r="K825" t="str">
        <f t="shared" si="114"/>
        <v>14.09.2000</v>
      </c>
      <c r="L825" s="10">
        <f t="shared" si="115"/>
        <v>8154</v>
      </c>
      <c r="M825" s="8">
        <f t="shared" si="116"/>
        <v>22</v>
      </c>
    </row>
    <row r="826" spans="1:13" x14ac:dyDescent="0.25">
      <c r="A826" s="4" t="s">
        <v>852</v>
      </c>
      <c r="B826" t="s">
        <v>19</v>
      </c>
      <c r="C826" t="s">
        <v>4</v>
      </c>
      <c r="D826" s="3">
        <f t="shared" si="108"/>
        <v>9</v>
      </c>
      <c r="E826" s="4">
        <f t="shared" si="109"/>
        <v>28</v>
      </c>
      <c r="F826" s="4">
        <f t="shared" si="110"/>
        <v>16</v>
      </c>
      <c r="G826" s="3">
        <f>IF(E826&gt;=20,2000,1900) + D826</f>
        <v>2009</v>
      </c>
      <c r="H826">
        <f t="shared" si="111"/>
        <v>8</v>
      </c>
      <c r="I826" s="4">
        <f t="shared" si="112"/>
        <v>16</v>
      </c>
      <c r="J826">
        <f t="shared" si="113"/>
        <v>20090816</v>
      </c>
      <c r="K826" t="str">
        <f t="shared" si="114"/>
        <v>16.08.2009</v>
      </c>
      <c r="L826" s="10">
        <f t="shared" si="115"/>
        <v>4896</v>
      </c>
      <c r="M826" s="8">
        <f t="shared" si="116"/>
        <v>13</v>
      </c>
    </row>
    <row r="827" spans="1:13" x14ac:dyDescent="0.25">
      <c r="A827" s="4" t="s">
        <v>853</v>
      </c>
      <c r="B827" t="s">
        <v>11</v>
      </c>
      <c r="C827" t="s">
        <v>4</v>
      </c>
      <c r="D827" s="3">
        <f t="shared" si="108"/>
        <v>5</v>
      </c>
      <c r="E827" s="4">
        <f t="shared" si="109"/>
        <v>27</v>
      </c>
      <c r="F827" s="4">
        <f t="shared" si="110"/>
        <v>10</v>
      </c>
      <c r="G827" s="3">
        <f>IF(E827&gt;=20,2000,1900) + D827</f>
        <v>2005</v>
      </c>
      <c r="H827">
        <f t="shared" si="111"/>
        <v>7</v>
      </c>
      <c r="I827" s="4">
        <f t="shared" si="112"/>
        <v>10</v>
      </c>
      <c r="J827">
        <f t="shared" si="113"/>
        <v>20050710</v>
      </c>
      <c r="K827" t="str">
        <f t="shared" si="114"/>
        <v>10.07.2005</v>
      </c>
      <c r="L827" s="10">
        <f t="shared" si="115"/>
        <v>6394</v>
      </c>
      <c r="M827" s="8">
        <f t="shared" si="116"/>
        <v>17</v>
      </c>
    </row>
    <row r="828" spans="1:13" x14ac:dyDescent="0.25">
      <c r="A828" s="4" t="s">
        <v>854</v>
      </c>
      <c r="B828" t="s">
        <v>19</v>
      </c>
      <c r="C828" t="s">
        <v>4</v>
      </c>
      <c r="D828" s="3">
        <f t="shared" si="108"/>
        <v>20</v>
      </c>
      <c r="E828" s="4">
        <f t="shared" si="109"/>
        <v>22</v>
      </c>
      <c r="F828" s="4">
        <f t="shared" si="110"/>
        <v>26</v>
      </c>
      <c r="G828" s="3">
        <f>IF(E828&gt;=20,2000,1900) + D828</f>
        <v>2020</v>
      </c>
      <c r="H828">
        <f t="shared" si="111"/>
        <v>2</v>
      </c>
      <c r="I828" s="4">
        <f t="shared" si="112"/>
        <v>26</v>
      </c>
      <c r="J828">
        <f t="shared" si="113"/>
        <v>20200226</v>
      </c>
      <c r="K828" t="str">
        <f t="shared" si="114"/>
        <v>26.02.2020</v>
      </c>
      <c r="L828" s="10">
        <f t="shared" si="115"/>
        <v>1050</v>
      </c>
      <c r="M828" s="8">
        <f t="shared" si="116"/>
        <v>2</v>
      </c>
    </row>
    <row r="829" spans="1:13" x14ac:dyDescent="0.25">
      <c r="A829" s="4" t="s">
        <v>855</v>
      </c>
      <c r="B829" t="s">
        <v>18</v>
      </c>
      <c r="C829" t="s">
        <v>6</v>
      </c>
      <c r="D829" s="3">
        <f t="shared" si="108"/>
        <v>2</v>
      </c>
      <c r="E829" s="4">
        <f t="shared" si="109"/>
        <v>28</v>
      </c>
      <c r="F829" s="4">
        <f t="shared" si="110"/>
        <v>31</v>
      </c>
      <c r="G829" s="3">
        <f>IF(E829&gt;=20,2000,1900) + D829</f>
        <v>2002</v>
      </c>
      <c r="H829">
        <f t="shared" si="111"/>
        <v>8</v>
      </c>
      <c r="I829" s="4">
        <f t="shared" si="112"/>
        <v>31</v>
      </c>
      <c r="J829">
        <f t="shared" si="113"/>
        <v>20020831</v>
      </c>
      <c r="K829" t="str">
        <f t="shared" si="114"/>
        <v>31.08.2002</v>
      </c>
      <c r="L829" s="10">
        <f t="shared" si="115"/>
        <v>7438</v>
      </c>
      <c r="M829" s="8">
        <f t="shared" si="116"/>
        <v>20</v>
      </c>
    </row>
    <row r="830" spans="1:13" x14ac:dyDescent="0.25">
      <c r="A830" s="4" t="s">
        <v>856</v>
      </c>
      <c r="B830" t="s">
        <v>11</v>
      </c>
      <c r="C830" t="s">
        <v>6</v>
      </c>
      <c r="D830" s="3">
        <f t="shared" si="108"/>
        <v>19</v>
      </c>
      <c r="E830" s="4">
        <f t="shared" si="109"/>
        <v>23</v>
      </c>
      <c r="F830" s="4">
        <f t="shared" si="110"/>
        <v>10</v>
      </c>
      <c r="G830" s="3">
        <f>IF(E830&gt;=20,2000,1900) + D830</f>
        <v>2019</v>
      </c>
      <c r="H830">
        <f t="shared" si="111"/>
        <v>3</v>
      </c>
      <c r="I830" s="4">
        <f t="shared" si="112"/>
        <v>10</v>
      </c>
      <c r="J830">
        <f t="shared" si="113"/>
        <v>20190310</v>
      </c>
      <c r="K830" t="str">
        <f t="shared" si="114"/>
        <v>10.03.2019</v>
      </c>
      <c r="L830" s="10">
        <f t="shared" si="115"/>
        <v>1403</v>
      </c>
      <c r="M830" s="8">
        <f t="shared" si="116"/>
        <v>3</v>
      </c>
    </row>
    <row r="831" spans="1:13" x14ac:dyDescent="0.25">
      <c r="A831" s="4" t="s">
        <v>857</v>
      </c>
      <c r="B831" t="s">
        <v>10</v>
      </c>
      <c r="C831" t="s">
        <v>6</v>
      </c>
      <c r="D831" s="3">
        <f t="shared" si="108"/>
        <v>9</v>
      </c>
      <c r="E831" s="4">
        <f t="shared" si="109"/>
        <v>30</v>
      </c>
      <c r="F831" s="4">
        <f t="shared" si="110"/>
        <v>16</v>
      </c>
      <c r="G831" s="3">
        <f>IF(E831&gt;=20,2000,1900) + D831</f>
        <v>2009</v>
      </c>
      <c r="H831">
        <f t="shared" si="111"/>
        <v>10</v>
      </c>
      <c r="I831" s="4">
        <f t="shared" si="112"/>
        <v>16</v>
      </c>
      <c r="J831">
        <f t="shared" si="113"/>
        <v>20091016</v>
      </c>
      <c r="K831" t="str">
        <f t="shared" si="114"/>
        <v>16.10.2009</v>
      </c>
      <c r="L831" s="10">
        <f t="shared" si="115"/>
        <v>4835</v>
      </c>
      <c r="M831" s="8">
        <f t="shared" si="116"/>
        <v>13</v>
      </c>
    </row>
    <row r="832" spans="1:13" x14ac:dyDescent="0.25">
      <c r="A832" s="4" t="s">
        <v>858</v>
      </c>
      <c r="B832" t="s">
        <v>3</v>
      </c>
      <c r="C832" t="s">
        <v>4</v>
      </c>
      <c r="D832" s="3">
        <f t="shared" si="108"/>
        <v>12</v>
      </c>
      <c r="E832" s="4">
        <f t="shared" si="109"/>
        <v>29</v>
      </c>
      <c r="F832" s="4">
        <f t="shared" si="110"/>
        <v>26</v>
      </c>
      <c r="G832" s="3">
        <f>IF(E832&gt;=20,2000,1900) + D832</f>
        <v>2012</v>
      </c>
      <c r="H832">
        <f t="shared" si="111"/>
        <v>9</v>
      </c>
      <c r="I832" s="4">
        <f t="shared" si="112"/>
        <v>26</v>
      </c>
      <c r="J832">
        <f t="shared" si="113"/>
        <v>20120926</v>
      </c>
      <c r="K832" t="str">
        <f t="shared" si="114"/>
        <v>26.09.2012</v>
      </c>
      <c r="L832" s="10">
        <f t="shared" si="115"/>
        <v>3759</v>
      </c>
      <c r="M832" s="8">
        <f t="shared" si="116"/>
        <v>10</v>
      </c>
    </row>
    <row r="833" spans="1:13" x14ac:dyDescent="0.25">
      <c r="A833" s="4" t="s">
        <v>859</v>
      </c>
      <c r="B833" t="s">
        <v>9</v>
      </c>
      <c r="C833" t="s">
        <v>6</v>
      </c>
      <c r="D833" s="3">
        <f t="shared" si="108"/>
        <v>0</v>
      </c>
      <c r="E833" s="4">
        <f t="shared" si="109"/>
        <v>22</v>
      </c>
      <c r="F833" s="4">
        <f t="shared" si="110"/>
        <v>1</v>
      </c>
      <c r="G833" s="3">
        <f>IF(E833&gt;=20,2000,1900) + D833</f>
        <v>2000</v>
      </c>
      <c r="H833">
        <f t="shared" si="111"/>
        <v>2</v>
      </c>
      <c r="I833" s="4">
        <f t="shared" si="112"/>
        <v>1</v>
      </c>
      <c r="J833">
        <f t="shared" si="113"/>
        <v>20000201</v>
      </c>
      <c r="K833" t="str">
        <f t="shared" si="114"/>
        <v>01.02.2000</v>
      </c>
      <c r="L833" s="10">
        <f t="shared" si="115"/>
        <v>8380</v>
      </c>
      <c r="M833" s="8">
        <f t="shared" si="116"/>
        <v>22</v>
      </c>
    </row>
    <row r="834" spans="1:13" x14ac:dyDescent="0.25">
      <c r="A834" s="4" t="s">
        <v>860</v>
      </c>
      <c r="B834" t="s">
        <v>18</v>
      </c>
      <c r="C834" t="s">
        <v>4</v>
      </c>
      <c r="D834" s="3">
        <f t="shared" si="108"/>
        <v>18</v>
      </c>
      <c r="E834" s="4">
        <f t="shared" si="109"/>
        <v>26</v>
      </c>
      <c r="F834" s="4">
        <f t="shared" si="110"/>
        <v>18</v>
      </c>
      <c r="G834" s="3">
        <f>IF(E834&gt;=20,2000,1900) + D834</f>
        <v>2018</v>
      </c>
      <c r="H834">
        <f t="shared" si="111"/>
        <v>6</v>
      </c>
      <c r="I834" s="4">
        <f t="shared" si="112"/>
        <v>18</v>
      </c>
      <c r="J834">
        <f t="shared" si="113"/>
        <v>20180618</v>
      </c>
      <c r="K834" t="str">
        <f t="shared" si="114"/>
        <v>18.06.2018</v>
      </c>
      <c r="L834" s="10">
        <f t="shared" si="115"/>
        <v>1668</v>
      </c>
      <c r="M834" s="8">
        <f t="shared" si="116"/>
        <v>4</v>
      </c>
    </row>
    <row r="835" spans="1:13" x14ac:dyDescent="0.25">
      <c r="A835" s="4" t="s">
        <v>861</v>
      </c>
      <c r="B835" t="s">
        <v>18</v>
      </c>
      <c r="C835" t="s">
        <v>4</v>
      </c>
      <c r="D835" s="3">
        <f t="shared" ref="D835:D898" si="117">MID(A835,1,2)*1</f>
        <v>22</v>
      </c>
      <c r="E835" s="4">
        <f t="shared" ref="E835:E898" si="118">MID(A835,3,2)*1</f>
        <v>28</v>
      </c>
      <c r="F835" s="4">
        <f t="shared" ref="F835:F898" si="119">MID(A835,5,2)*1</f>
        <v>6</v>
      </c>
      <c r="G835" s="3">
        <f>IF(E835&gt;=20,2000,1900) + D835</f>
        <v>2022</v>
      </c>
      <c r="H835">
        <f t="shared" ref="H835:H898" si="120">IF(E835&gt;=20,E835-20,E835)</f>
        <v>8</v>
      </c>
      <c r="I835" s="4">
        <f t="shared" ref="I835:I898" si="121">F835</f>
        <v>6</v>
      </c>
      <c r="J835">
        <f t="shared" ref="J835:J898" si="122">CONCATENATE(G835,IF(LEN(H835)=1,CONCATENATE("0",H835),H835),IF(LEN(F835)=1,CONCATENATE("0",F835),F835))*1</f>
        <v>20220806</v>
      </c>
      <c r="K835" t="str">
        <f t="shared" ref="K835:K898" si="123">CONCATENATE(RIGHT(J835,2),".",MID(J835,5,2),".",LEFT(J835,4))</f>
        <v>06.08.2022</v>
      </c>
      <c r="L835" s="10">
        <f t="shared" ref="L835:L898" si="124">44937-K835</f>
        <v>158</v>
      </c>
      <c r="M835" s="8">
        <f t="shared" ref="M835:M898" si="125">YEAR(L835)-1900</f>
        <v>0</v>
      </c>
    </row>
    <row r="836" spans="1:13" x14ac:dyDescent="0.25">
      <c r="A836" s="4" t="s">
        <v>862</v>
      </c>
      <c r="B836" t="s">
        <v>19</v>
      </c>
      <c r="C836" t="s">
        <v>6</v>
      </c>
      <c r="D836" s="3">
        <f t="shared" si="117"/>
        <v>21</v>
      </c>
      <c r="E836" s="4">
        <f t="shared" si="118"/>
        <v>22</v>
      </c>
      <c r="F836" s="4">
        <f t="shared" si="119"/>
        <v>13</v>
      </c>
      <c r="G836" s="3">
        <f>IF(E836&gt;=20,2000,1900) + D836</f>
        <v>2021</v>
      </c>
      <c r="H836">
        <f t="shared" si="120"/>
        <v>2</v>
      </c>
      <c r="I836" s="4">
        <f t="shared" si="121"/>
        <v>13</v>
      </c>
      <c r="J836">
        <f t="shared" si="122"/>
        <v>20210213</v>
      </c>
      <c r="K836" t="str">
        <f t="shared" si="123"/>
        <v>13.02.2021</v>
      </c>
      <c r="L836" s="10">
        <f t="shared" si="124"/>
        <v>697</v>
      </c>
      <c r="M836" s="8">
        <f t="shared" si="125"/>
        <v>1</v>
      </c>
    </row>
    <row r="837" spans="1:13" x14ac:dyDescent="0.25">
      <c r="A837" s="4" t="s">
        <v>863</v>
      </c>
      <c r="B837" t="s">
        <v>5</v>
      </c>
      <c r="C837" t="s">
        <v>4</v>
      </c>
      <c r="D837" s="3">
        <f t="shared" si="117"/>
        <v>4</v>
      </c>
      <c r="E837" s="4">
        <f t="shared" si="118"/>
        <v>24</v>
      </c>
      <c r="F837" s="4">
        <f t="shared" si="119"/>
        <v>2</v>
      </c>
      <c r="G837" s="3">
        <f>IF(E837&gt;=20,2000,1900) + D837</f>
        <v>2004</v>
      </c>
      <c r="H837">
        <f t="shared" si="120"/>
        <v>4</v>
      </c>
      <c r="I837" s="4">
        <f t="shared" si="121"/>
        <v>2</v>
      </c>
      <c r="J837">
        <f t="shared" si="122"/>
        <v>20040402</v>
      </c>
      <c r="K837" t="str">
        <f t="shared" si="123"/>
        <v>02.04.2004</v>
      </c>
      <c r="L837" s="10">
        <f t="shared" si="124"/>
        <v>6858</v>
      </c>
      <c r="M837" s="8">
        <f t="shared" si="125"/>
        <v>18</v>
      </c>
    </row>
    <row r="838" spans="1:13" x14ac:dyDescent="0.25">
      <c r="A838" s="4" t="s">
        <v>864</v>
      </c>
      <c r="B838" t="s">
        <v>15</v>
      </c>
      <c r="C838" t="s">
        <v>6</v>
      </c>
      <c r="D838" s="3">
        <f t="shared" si="117"/>
        <v>12</v>
      </c>
      <c r="E838" s="4">
        <f t="shared" si="118"/>
        <v>31</v>
      </c>
      <c r="F838" s="4">
        <f t="shared" si="119"/>
        <v>24</v>
      </c>
      <c r="G838" s="3">
        <f>IF(E838&gt;=20,2000,1900) + D838</f>
        <v>2012</v>
      </c>
      <c r="H838">
        <f t="shared" si="120"/>
        <v>11</v>
      </c>
      <c r="I838" s="4">
        <f t="shared" si="121"/>
        <v>24</v>
      </c>
      <c r="J838">
        <f t="shared" si="122"/>
        <v>20121124</v>
      </c>
      <c r="K838" t="str">
        <f t="shared" si="123"/>
        <v>24.11.2012</v>
      </c>
      <c r="L838" s="10">
        <f t="shared" si="124"/>
        <v>3700</v>
      </c>
      <c r="M838" s="8">
        <f t="shared" si="125"/>
        <v>10</v>
      </c>
    </row>
    <row r="839" spans="1:13" x14ac:dyDescent="0.25">
      <c r="A839" s="4" t="s">
        <v>865</v>
      </c>
      <c r="B839" t="s">
        <v>3</v>
      </c>
      <c r="C839" t="s">
        <v>6</v>
      </c>
      <c r="D839" s="3">
        <f t="shared" si="117"/>
        <v>9</v>
      </c>
      <c r="E839" s="4">
        <f t="shared" si="118"/>
        <v>28</v>
      </c>
      <c r="F839" s="4">
        <f t="shared" si="119"/>
        <v>15</v>
      </c>
      <c r="G839" s="3">
        <f>IF(E839&gt;=20,2000,1900) + D839</f>
        <v>2009</v>
      </c>
      <c r="H839">
        <f t="shared" si="120"/>
        <v>8</v>
      </c>
      <c r="I839" s="4">
        <f t="shared" si="121"/>
        <v>15</v>
      </c>
      <c r="J839">
        <f t="shared" si="122"/>
        <v>20090815</v>
      </c>
      <c r="K839" t="str">
        <f t="shared" si="123"/>
        <v>15.08.2009</v>
      </c>
      <c r="L839" s="10">
        <f t="shared" si="124"/>
        <v>4897</v>
      </c>
      <c r="M839" s="8">
        <f t="shared" si="125"/>
        <v>13</v>
      </c>
    </row>
    <row r="840" spans="1:13" x14ac:dyDescent="0.25">
      <c r="A840" s="4" t="s">
        <v>866</v>
      </c>
      <c r="B840" t="s">
        <v>3</v>
      </c>
      <c r="C840" t="s">
        <v>6</v>
      </c>
      <c r="D840" s="3">
        <f t="shared" si="117"/>
        <v>15</v>
      </c>
      <c r="E840" s="4">
        <f t="shared" si="118"/>
        <v>25</v>
      </c>
      <c r="F840" s="4">
        <f t="shared" si="119"/>
        <v>30</v>
      </c>
      <c r="G840" s="3">
        <f>IF(E840&gt;=20,2000,1900) + D840</f>
        <v>2015</v>
      </c>
      <c r="H840">
        <f t="shared" si="120"/>
        <v>5</v>
      </c>
      <c r="I840" s="4">
        <f t="shared" si="121"/>
        <v>30</v>
      </c>
      <c r="J840">
        <f t="shared" si="122"/>
        <v>20150530</v>
      </c>
      <c r="K840" t="str">
        <f t="shared" si="123"/>
        <v>30.05.2015</v>
      </c>
      <c r="L840" s="10">
        <f t="shared" si="124"/>
        <v>2783</v>
      </c>
      <c r="M840" s="8">
        <f t="shared" si="125"/>
        <v>7</v>
      </c>
    </row>
    <row r="841" spans="1:13" x14ac:dyDescent="0.25">
      <c r="A841" s="4" t="s">
        <v>867</v>
      </c>
      <c r="B841" t="s">
        <v>13</v>
      </c>
      <c r="C841" t="s">
        <v>4</v>
      </c>
      <c r="D841" s="3">
        <f t="shared" si="117"/>
        <v>10</v>
      </c>
      <c r="E841" s="4">
        <f t="shared" si="118"/>
        <v>22</v>
      </c>
      <c r="F841" s="4">
        <f t="shared" si="119"/>
        <v>9</v>
      </c>
      <c r="G841" s="3">
        <f>IF(E841&gt;=20,2000,1900) + D841</f>
        <v>2010</v>
      </c>
      <c r="H841">
        <f t="shared" si="120"/>
        <v>2</v>
      </c>
      <c r="I841" s="4">
        <f t="shared" si="121"/>
        <v>9</v>
      </c>
      <c r="J841">
        <f t="shared" si="122"/>
        <v>20100209</v>
      </c>
      <c r="K841" t="str">
        <f t="shared" si="123"/>
        <v>09.02.2010</v>
      </c>
      <c r="L841" s="10">
        <f t="shared" si="124"/>
        <v>4719</v>
      </c>
      <c r="M841" s="8">
        <f t="shared" si="125"/>
        <v>12</v>
      </c>
    </row>
    <row r="842" spans="1:13" x14ac:dyDescent="0.25">
      <c r="A842" s="4" t="s">
        <v>868</v>
      </c>
      <c r="B842" t="s">
        <v>5</v>
      </c>
      <c r="C842" t="s">
        <v>4</v>
      </c>
      <c r="D842" s="3">
        <f t="shared" si="117"/>
        <v>5</v>
      </c>
      <c r="E842" s="4">
        <f t="shared" si="118"/>
        <v>23</v>
      </c>
      <c r="F842" s="4">
        <f t="shared" si="119"/>
        <v>14</v>
      </c>
      <c r="G842" s="3">
        <f>IF(E842&gt;=20,2000,1900) + D842</f>
        <v>2005</v>
      </c>
      <c r="H842">
        <f t="shared" si="120"/>
        <v>3</v>
      </c>
      <c r="I842" s="4">
        <f t="shared" si="121"/>
        <v>14</v>
      </c>
      <c r="J842">
        <f t="shared" si="122"/>
        <v>20050314</v>
      </c>
      <c r="K842" t="str">
        <f t="shared" si="123"/>
        <v>14.03.2005</v>
      </c>
      <c r="L842" s="10">
        <f t="shared" si="124"/>
        <v>6512</v>
      </c>
      <c r="M842" s="8">
        <f t="shared" si="125"/>
        <v>17</v>
      </c>
    </row>
    <row r="843" spans="1:13" x14ac:dyDescent="0.25">
      <c r="A843" s="4" t="s">
        <v>869</v>
      </c>
      <c r="B843" t="s">
        <v>10</v>
      </c>
      <c r="C843" t="s">
        <v>6</v>
      </c>
      <c r="D843" s="3">
        <f t="shared" si="117"/>
        <v>4</v>
      </c>
      <c r="E843" s="4">
        <f t="shared" si="118"/>
        <v>31</v>
      </c>
      <c r="F843" s="4">
        <f t="shared" si="119"/>
        <v>24</v>
      </c>
      <c r="G843" s="3">
        <f>IF(E843&gt;=20,2000,1900) + D843</f>
        <v>2004</v>
      </c>
      <c r="H843">
        <f t="shared" si="120"/>
        <v>11</v>
      </c>
      <c r="I843" s="4">
        <f t="shared" si="121"/>
        <v>24</v>
      </c>
      <c r="J843">
        <f t="shared" si="122"/>
        <v>20041124</v>
      </c>
      <c r="K843" t="str">
        <f t="shared" si="123"/>
        <v>24.11.2004</v>
      </c>
      <c r="L843" s="10">
        <f t="shared" si="124"/>
        <v>6622</v>
      </c>
      <c r="M843" s="8">
        <f t="shared" si="125"/>
        <v>18</v>
      </c>
    </row>
    <row r="844" spans="1:13" x14ac:dyDescent="0.25">
      <c r="A844" s="4" t="s">
        <v>870</v>
      </c>
      <c r="B844" t="s">
        <v>9</v>
      </c>
      <c r="C844" t="s">
        <v>6</v>
      </c>
      <c r="D844" s="3">
        <f t="shared" si="117"/>
        <v>22</v>
      </c>
      <c r="E844" s="4">
        <f t="shared" si="118"/>
        <v>29</v>
      </c>
      <c r="F844" s="4">
        <f t="shared" si="119"/>
        <v>5</v>
      </c>
      <c r="G844" s="3">
        <f>IF(E844&gt;=20,2000,1900) + D844</f>
        <v>2022</v>
      </c>
      <c r="H844">
        <f t="shared" si="120"/>
        <v>9</v>
      </c>
      <c r="I844" s="4">
        <f t="shared" si="121"/>
        <v>5</v>
      </c>
      <c r="J844">
        <f t="shared" si="122"/>
        <v>20220905</v>
      </c>
      <c r="K844" t="str">
        <f t="shared" si="123"/>
        <v>05.09.2022</v>
      </c>
      <c r="L844" s="10">
        <f t="shared" si="124"/>
        <v>128</v>
      </c>
      <c r="M844" s="8">
        <f t="shared" si="125"/>
        <v>0</v>
      </c>
    </row>
    <row r="845" spans="1:13" x14ac:dyDescent="0.25">
      <c r="A845" s="4" t="s">
        <v>871</v>
      </c>
      <c r="B845" t="s">
        <v>3</v>
      </c>
      <c r="C845" t="s">
        <v>4</v>
      </c>
      <c r="D845" s="3">
        <f t="shared" si="117"/>
        <v>19</v>
      </c>
      <c r="E845" s="4">
        <f t="shared" si="118"/>
        <v>28</v>
      </c>
      <c r="F845" s="4">
        <f t="shared" si="119"/>
        <v>9</v>
      </c>
      <c r="G845" s="3">
        <f>IF(E845&gt;=20,2000,1900) + D845</f>
        <v>2019</v>
      </c>
      <c r="H845">
        <f t="shared" si="120"/>
        <v>8</v>
      </c>
      <c r="I845" s="4">
        <f t="shared" si="121"/>
        <v>9</v>
      </c>
      <c r="J845">
        <f t="shared" si="122"/>
        <v>20190809</v>
      </c>
      <c r="K845" t="str">
        <f t="shared" si="123"/>
        <v>09.08.2019</v>
      </c>
      <c r="L845" s="10">
        <f t="shared" si="124"/>
        <v>1251</v>
      </c>
      <c r="M845" s="8">
        <f t="shared" si="125"/>
        <v>3</v>
      </c>
    </row>
    <row r="846" spans="1:13" x14ac:dyDescent="0.25">
      <c r="A846" s="4" t="s">
        <v>872</v>
      </c>
      <c r="B846" t="s">
        <v>20</v>
      </c>
      <c r="C846" t="s">
        <v>6</v>
      </c>
      <c r="D846" s="3">
        <f t="shared" si="117"/>
        <v>11</v>
      </c>
      <c r="E846" s="4">
        <f t="shared" si="118"/>
        <v>25</v>
      </c>
      <c r="F846" s="4">
        <f t="shared" si="119"/>
        <v>10</v>
      </c>
      <c r="G846" s="3">
        <f>IF(E846&gt;=20,2000,1900) + D846</f>
        <v>2011</v>
      </c>
      <c r="H846">
        <f t="shared" si="120"/>
        <v>5</v>
      </c>
      <c r="I846" s="4">
        <f t="shared" si="121"/>
        <v>10</v>
      </c>
      <c r="J846">
        <f t="shared" si="122"/>
        <v>20110510</v>
      </c>
      <c r="K846" t="str">
        <f t="shared" si="123"/>
        <v>10.05.2011</v>
      </c>
      <c r="L846" s="10">
        <f t="shared" si="124"/>
        <v>4264</v>
      </c>
      <c r="M846" s="8">
        <f t="shared" si="125"/>
        <v>11</v>
      </c>
    </row>
    <row r="847" spans="1:13" x14ac:dyDescent="0.25">
      <c r="A847" s="4" t="s">
        <v>873</v>
      </c>
      <c r="B847" t="s">
        <v>13</v>
      </c>
      <c r="C847" t="s">
        <v>4</v>
      </c>
      <c r="D847" s="3">
        <f t="shared" si="117"/>
        <v>6</v>
      </c>
      <c r="E847" s="4">
        <f t="shared" si="118"/>
        <v>22</v>
      </c>
      <c r="F847" s="4">
        <f t="shared" si="119"/>
        <v>4</v>
      </c>
      <c r="G847" s="3">
        <f>IF(E847&gt;=20,2000,1900) + D847</f>
        <v>2006</v>
      </c>
      <c r="H847">
        <f t="shared" si="120"/>
        <v>2</v>
      </c>
      <c r="I847" s="4">
        <f t="shared" si="121"/>
        <v>4</v>
      </c>
      <c r="J847">
        <f t="shared" si="122"/>
        <v>20060204</v>
      </c>
      <c r="K847" t="str">
        <f t="shared" si="123"/>
        <v>04.02.2006</v>
      </c>
      <c r="L847" s="10">
        <f t="shared" si="124"/>
        <v>6185</v>
      </c>
      <c r="M847" s="8">
        <f t="shared" si="125"/>
        <v>16</v>
      </c>
    </row>
    <row r="848" spans="1:13" x14ac:dyDescent="0.25">
      <c r="A848" s="4" t="s">
        <v>874</v>
      </c>
      <c r="B848" t="s">
        <v>3</v>
      </c>
      <c r="C848" t="s">
        <v>4</v>
      </c>
      <c r="D848" s="3">
        <f t="shared" si="117"/>
        <v>7</v>
      </c>
      <c r="E848" s="4">
        <f t="shared" si="118"/>
        <v>28</v>
      </c>
      <c r="F848" s="4">
        <f t="shared" si="119"/>
        <v>21</v>
      </c>
      <c r="G848" s="3">
        <f>IF(E848&gt;=20,2000,1900) + D848</f>
        <v>2007</v>
      </c>
      <c r="H848">
        <f t="shared" si="120"/>
        <v>8</v>
      </c>
      <c r="I848" s="4">
        <f t="shared" si="121"/>
        <v>21</v>
      </c>
      <c r="J848">
        <f t="shared" si="122"/>
        <v>20070821</v>
      </c>
      <c r="K848" t="str">
        <f t="shared" si="123"/>
        <v>21.08.2007</v>
      </c>
      <c r="L848" s="10">
        <f t="shared" si="124"/>
        <v>5622</v>
      </c>
      <c r="M848" s="8">
        <f t="shared" si="125"/>
        <v>15</v>
      </c>
    </row>
    <row r="849" spans="1:13" x14ac:dyDescent="0.25">
      <c r="A849" s="4" t="s">
        <v>875</v>
      </c>
      <c r="B849" t="s">
        <v>11</v>
      </c>
      <c r="C849" t="s">
        <v>6</v>
      </c>
      <c r="D849" s="3">
        <f t="shared" si="117"/>
        <v>0</v>
      </c>
      <c r="E849" s="4">
        <f t="shared" si="118"/>
        <v>32</v>
      </c>
      <c r="F849" s="4">
        <f t="shared" si="119"/>
        <v>12</v>
      </c>
      <c r="G849" s="3">
        <f>IF(E849&gt;=20,2000,1900) + D849</f>
        <v>2000</v>
      </c>
      <c r="H849">
        <f t="shared" si="120"/>
        <v>12</v>
      </c>
      <c r="I849" s="4">
        <f t="shared" si="121"/>
        <v>12</v>
      </c>
      <c r="J849">
        <f t="shared" si="122"/>
        <v>20001212</v>
      </c>
      <c r="K849" t="str">
        <f t="shared" si="123"/>
        <v>12.12.2000</v>
      </c>
      <c r="L849" s="10">
        <f t="shared" si="124"/>
        <v>8065</v>
      </c>
      <c r="M849" s="8">
        <f t="shared" si="125"/>
        <v>22</v>
      </c>
    </row>
    <row r="850" spans="1:13" x14ac:dyDescent="0.25">
      <c r="A850" s="4" t="s">
        <v>876</v>
      </c>
      <c r="B850" t="s">
        <v>16</v>
      </c>
      <c r="C850" t="s">
        <v>4</v>
      </c>
      <c r="D850" s="3">
        <f t="shared" si="117"/>
        <v>17</v>
      </c>
      <c r="E850" s="4">
        <f t="shared" si="118"/>
        <v>23</v>
      </c>
      <c r="F850" s="4">
        <f t="shared" si="119"/>
        <v>1</v>
      </c>
      <c r="G850" s="3">
        <f>IF(E850&gt;=20,2000,1900) + D850</f>
        <v>2017</v>
      </c>
      <c r="H850">
        <f t="shared" si="120"/>
        <v>3</v>
      </c>
      <c r="I850" s="4">
        <f t="shared" si="121"/>
        <v>1</v>
      </c>
      <c r="J850">
        <f t="shared" si="122"/>
        <v>20170301</v>
      </c>
      <c r="K850" t="str">
        <f t="shared" si="123"/>
        <v>01.03.2017</v>
      </c>
      <c r="L850" s="10">
        <f t="shared" si="124"/>
        <v>2142</v>
      </c>
      <c r="M850" s="8">
        <f t="shared" si="125"/>
        <v>5</v>
      </c>
    </row>
    <row r="851" spans="1:13" x14ac:dyDescent="0.25">
      <c r="A851" s="4" t="s">
        <v>877</v>
      </c>
      <c r="B851" t="s">
        <v>11</v>
      </c>
      <c r="C851" t="s">
        <v>4</v>
      </c>
      <c r="D851" s="3">
        <f t="shared" si="117"/>
        <v>10</v>
      </c>
      <c r="E851" s="4">
        <f t="shared" si="118"/>
        <v>25</v>
      </c>
      <c r="F851" s="4">
        <f t="shared" si="119"/>
        <v>29</v>
      </c>
      <c r="G851" s="3">
        <f>IF(E851&gt;=20,2000,1900) + D851</f>
        <v>2010</v>
      </c>
      <c r="H851">
        <f t="shared" si="120"/>
        <v>5</v>
      </c>
      <c r="I851" s="4">
        <f t="shared" si="121"/>
        <v>29</v>
      </c>
      <c r="J851">
        <f t="shared" si="122"/>
        <v>20100529</v>
      </c>
      <c r="K851" t="str">
        <f t="shared" si="123"/>
        <v>29.05.2010</v>
      </c>
      <c r="L851" s="10">
        <f t="shared" si="124"/>
        <v>4610</v>
      </c>
      <c r="M851" s="8">
        <f t="shared" si="125"/>
        <v>12</v>
      </c>
    </row>
    <row r="852" spans="1:13" x14ac:dyDescent="0.25">
      <c r="A852" s="4" t="s">
        <v>878</v>
      </c>
      <c r="B852" t="s">
        <v>12</v>
      </c>
      <c r="C852" t="s">
        <v>6</v>
      </c>
      <c r="D852" s="3">
        <f t="shared" si="117"/>
        <v>11</v>
      </c>
      <c r="E852" s="4">
        <f t="shared" si="118"/>
        <v>22</v>
      </c>
      <c r="F852" s="4">
        <f t="shared" si="119"/>
        <v>19</v>
      </c>
      <c r="G852" s="3">
        <f>IF(E852&gt;=20,2000,1900) + D852</f>
        <v>2011</v>
      </c>
      <c r="H852">
        <f t="shared" si="120"/>
        <v>2</v>
      </c>
      <c r="I852" s="4">
        <f t="shared" si="121"/>
        <v>19</v>
      </c>
      <c r="J852">
        <f t="shared" si="122"/>
        <v>20110219</v>
      </c>
      <c r="K852" t="str">
        <f t="shared" si="123"/>
        <v>19.02.2011</v>
      </c>
      <c r="L852" s="10">
        <f t="shared" si="124"/>
        <v>4344</v>
      </c>
      <c r="M852" s="8">
        <f t="shared" si="125"/>
        <v>11</v>
      </c>
    </row>
    <row r="853" spans="1:13" x14ac:dyDescent="0.25">
      <c r="A853" s="4" t="s">
        <v>879</v>
      </c>
      <c r="B853" t="s">
        <v>14</v>
      </c>
      <c r="C853" t="s">
        <v>4</v>
      </c>
      <c r="D853" s="3">
        <f t="shared" si="117"/>
        <v>1</v>
      </c>
      <c r="E853" s="4">
        <f t="shared" si="118"/>
        <v>26</v>
      </c>
      <c r="F853" s="4">
        <f t="shared" si="119"/>
        <v>22</v>
      </c>
      <c r="G853" s="3">
        <f>IF(E853&gt;=20,2000,1900) + D853</f>
        <v>2001</v>
      </c>
      <c r="H853">
        <f t="shared" si="120"/>
        <v>6</v>
      </c>
      <c r="I853" s="4">
        <f t="shared" si="121"/>
        <v>22</v>
      </c>
      <c r="J853">
        <f t="shared" si="122"/>
        <v>20010622</v>
      </c>
      <c r="K853" t="str">
        <f t="shared" si="123"/>
        <v>22.06.2001</v>
      </c>
      <c r="L853" s="10">
        <f t="shared" si="124"/>
        <v>7873</v>
      </c>
      <c r="M853" s="8">
        <f t="shared" si="125"/>
        <v>21</v>
      </c>
    </row>
    <row r="854" spans="1:13" x14ac:dyDescent="0.25">
      <c r="A854" s="4" t="s">
        <v>880</v>
      </c>
      <c r="B854" t="s">
        <v>14</v>
      </c>
      <c r="C854" t="s">
        <v>6</v>
      </c>
      <c r="D854" s="3">
        <f t="shared" si="117"/>
        <v>8</v>
      </c>
      <c r="E854" s="4">
        <f t="shared" si="118"/>
        <v>23</v>
      </c>
      <c r="F854" s="4">
        <f t="shared" si="119"/>
        <v>29</v>
      </c>
      <c r="G854" s="3">
        <f>IF(E854&gt;=20,2000,1900) + D854</f>
        <v>2008</v>
      </c>
      <c r="H854">
        <f t="shared" si="120"/>
        <v>3</v>
      </c>
      <c r="I854" s="4">
        <f t="shared" si="121"/>
        <v>29</v>
      </c>
      <c r="J854">
        <f t="shared" si="122"/>
        <v>20080329</v>
      </c>
      <c r="K854" t="str">
        <f t="shared" si="123"/>
        <v>29.03.2008</v>
      </c>
      <c r="L854" s="10">
        <f t="shared" si="124"/>
        <v>5401</v>
      </c>
      <c r="M854" s="8">
        <f t="shared" si="125"/>
        <v>14</v>
      </c>
    </row>
    <row r="855" spans="1:13" x14ac:dyDescent="0.25">
      <c r="A855" s="4" t="s">
        <v>881</v>
      </c>
      <c r="B855" t="s">
        <v>3</v>
      </c>
      <c r="C855" t="s">
        <v>4</v>
      </c>
      <c r="D855" s="3">
        <f t="shared" si="117"/>
        <v>15</v>
      </c>
      <c r="E855" s="4">
        <f t="shared" si="118"/>
        <v>25</v>
      </c>
      <c r="F855" s="4">
        <f t="shared" si="119"/>
        <v>20</v>
      </c>
      <c r="G855" s="3">
        <f>IF(E855&gt;=20,2000,1900) + D855</f>
        <v>2015</v>
      </c>
      <c r="H855">
        <f t="shared" si="120"/>
        <v>5</v>
      </c>
      <c r="I855" s="4">
        <f t="shared" si="121"/>
        <v>20</v>
      </c>
      <c r="J855">
        <f t="shared" si="122"/>
        <v>20150520</v>
      </c>
      <c r="K855" t="str">
        <f t="shared" si="123"/>
        <v>20.05.2015</v>
      </c>
      <c r="L855" s="10">
        <f t="shared" si="124"/>
        <v>2793</v>
      </c>
      <c r="M855" s="8">
        <f t="shared" si="125"/>
        <v>7</v>
      </c>
    </row>
    <row r="856" spans="1:13" x14ac:dyDescent="0.25">
      <c r="A856" s="4" t="s">
        <v>882</v>
      </c>
      <c r="B856" t="s">
        <v>10</v>
      </c>
      <c r="C856" t="s">
        <v>6</v>
      </c>
      <c r="D856" s="3">
        <f t="shared" si="117"/>
        <v>12</v>
      </c>
      <c r="E856" s="4">
        <f t="shared" si="118"/>
        <v>27</v>
      </c>
      <c r="F856" s="4">
        <f t="shared" si="119"/>
        <v>6</v>
      </c>
      <c r="G856" s="3">
        <f>IF(E856&gt;=20,2000,1900) + D856</f>
        <v>2012</v>
      </c>
      <c r="H856">
        <f t="shared" si="120"/>
        <v>7</v>
      </c>
      <c r="I856" s="4">
        <f t="shared" si="121"/>
        <v>6</v>
      </c>
      <c r="J856">
        <f t="shared" si="122"/>
        <v>20120706</v>
      </c>
      <c r="K856" t="str">
        <f t="shared" si="123"/>
        <v>06.07.2012</v>
      </c>
      <c r="L856" s="10">
        <f t="shared" si="124"/>
        <v>3841</v>
      </c>
      <c r="M856" s="8">
        <f t="shared" si="125"/>
        <v>10</v>
      </c>
    </row>
    <row r="857" spans="1:13" x14ac:dyDescent="0.25">
      <c r="A857" s="4" t="s">
        <v>883</v>
      </c>
      <c r="B857" t="s">
        <v>3</v>
      </c>
      <c r="C857" t="s">
        <v>4</v>
      </c>
      <c r="D857" s="3">
        <f t="shared" si="117"/>
        <v>6</v>
      </c>
      <c r="E857" s="4">
        <f t="shared" si="118"/>
        <v>29</v>
      </c>
      <c r="F857" s="4">
        <f t="shared" si="119"/>
        <v>28</v>
      </c>
      <c r="G857" s="3">
        <f>IF(E857&gt;=20,2000,1900) + D857</f>
        <v>2006</v>
      </c>
      <c r="H857">
        <f t="shared" si="120"/>
        <v>9</v>
      </c>
      <c r="I857" s="4">
        <f t="shared" si="121"/>
        <v>28</v>
      </c>
      <c r="J857">
        <f t="shared" si="122"/>
        <v>20060928</v>
      </c>
      <c r="K857" t="str">
        <f t="shared" si="123"/>
        <v>28.09.2006</v>
      </c>
      <c r="L857" s="10">
        <f t="shared" si="124"/>
        <v>5949</v>
      </c>
      <c r="M857" s="8">
        <f t="shared" si="125"/>
        <v>16</v>
      </c>
    </row>
    <row r="858" spans="1:13" x14ac:dyDescent="0.25">
      <c r="A858" s="4" t="s">
        <v>884</v>
      </c>
      <c r="B858" t="s">
        <v>16</v>
      </c>
      <c r="C858" t="s">
        <v>6</v>
      </c>
      <c r="D858" s="3">
        <f t="shared" si="117"/>
        <v>20</v>
      </c>
      <c r="E858" s="4">
        <f t="shared" si="118"/>
        <v>25</v>
      </c>
      <c r="F858" s="4">
        <f t="shared" si="119"/>
        <v>12</v>
      </c>
      <c r="G858" s="3">
        <f>IF(E858&gt;=20,2000,1900) + D858</f>
        <v>2020</v>
      </c>
      <c r="H858">
        <f t="shared" si="120"/>
        <v>5</v>
      </c>
      <c r="I858" s="4">
        <f t="shared" si="121"/>
        <v>12</v>
      </c>
      <c r="J858">
        <f t="shared" si="122"/>
        <v>20200512</v>
      </c>
      <c r="K858" t="str">
        <f t="shared" si="123"/>
        <v>12.05.2020</v>
      </c>
      <c r="L858" s="10">
        <f t="shared" si="124"/>
        <v>974</v>
      </c>
      <c r="M858" s="8">
        <f t="shared" si="125"/>
        <v>2</v>
      </c>
    </row>
    <row r="859" spans="1:13" x14ac:dyDescent="0.25">
      <c r="A859" s="4" t="s">
        <v>885</v>
      </c>
      <c r="B859" t="s">
        <v>9</v>
      </c>
      <c r="C859" t="s">
        <v>4</v>
      </c>
      <c r="D859" s="3">
        <f t="shared" si="117"/>
        <v>15</v>
      </c>
      <c r="E859" s="4">
        <f t="shared" si="118"/>
        <v>24</v>
      </c>
      <c r="F859" s="4">
        <f t="shared" si="119"/>
        <v>1</v>
      </c>
      <c r="G859" s="3">
        <f>IF(E859&gt;=20,2000,1900) + D859</f>
        <v>2015</v>
      </c>
      <c r="H859">
        <f t="shared" si="120"/>
        <v>4</v>
      </c>
      <c r="I859" s="4">
        <f t="shared" si="121"/>
        <v>1</v>
      </c>
      <c r="J859">
        <f t="shared" si="122"/>
        <v>20150401</v>
      </c>
      <c r="K859" t="str">
        <f t="shared" si="123"/>
        <v>01.04.2015</v>
      </c>
      <c r="L859" s="10">
        <f t="shared" si="124"/>
        <v>2842</v>
      </c>
      <c r="M859" s="8">
        <f t="shared" si="125"/>
        <v>7</v>
      </c>
    </row>
    <row r="860" spans="1:13" x14ac:dyDescent="0.25">
      <c r="A860" s="4" t="s">
        <v>886</v>
      </c>
      <c r="B860" t="s">
        <v>16</v>
      </c>
      <c r="C860" t="s">
        <v>4</v>
      </c>
      <c r="D860" s="3">
        <f t="shared" si="117"/>
        <v>12</v>
      </c>
      <c r="E860" s="4">
        <f t="shared" si="118"/>
        <v>22</v>
      </c>
      <c r="F860" s="4">
        <f t="shared" si="119"/>
        <v>6</v>
      </c>
      <c r="G860" s="3">
        <f>IF(E860&gt;=20,2000,1900) + D860</f>
        <v>2012</v>
      </c>
      <c r="H860">
        <f t="shared" si="120"/>
        <v>2</v>
      </c>
      <c r="I860" s="4">
        <f t="shared" si="121"/>
        <v>6</v>
      </c>
      <c r="J860">
        <f t="shared" si="122"/>
        <v>20120206</v>
      </c>
      <c r="K860" t="str">
        <f t="shared" si="123"/>
        <v>06.02.2012</v>
      </c>
      <c r="L860" s="10">
        <f t="shared" si="124"/>
        <v>3992</v>
      </c>
      <c r="M860" s="8">
        <f t="shared" si="125"/>
        <v>10</v>
      </c>
    </row>
    <row r="861" spans="1:13" x14ac:dyDescent="0.25">
      <c r="A861" s="4" t="s">
        <v>887</v>
      </c>
      <c r="B861" t="s">
        <v>13</v>
      </c>
      <c r="C861" t="s">
        <v>4</v>
      </c>
      <c r="D861" s="3">
        <f t="shared" si="117"/>
        <v>1</v>
      </c>
      <c r="E861" s="4">
        <f t="shared" si="118"/>
        <v>23</v>
      </c>
      <c r="F861" s="4">
        <f t="shared" si="119"/>
        <v>30</v>
      </c>
      <c r="G861" s="3">
        <f>IF(E861&gt;=20,2000,1900) + D861</f>
        <v>2001</v>
      </c>
      <c r="H861">
        <f t="shared" si="120"/>
        <v>3</v>
      </c>
      <c r="I861" s="4">
        <f t="shared" si="121"/>
        <v>30</v>
      </c>
      <c r="J861">
        <f t="shared" si="122"/>
        <v>20010330</v>
      </c>
      <c r="K861" t="str">
        <f t="shared" si="123"/>
        <v>30.03.2001</v>
      </c>
      <c r="L861" s="10">
        <f t="shared" si="124"/>
        <v>7957</v>
      </c>
      <c r="M861" s="8">
        <f t="shared" si="125"/>
        <v>21</v>
      </c>
    </row>
    <row r="862" spans="1:13" x14ac:dyDescent="0.25">
      <c r="A862" s="4" t="s">
        <v>888</v>
      </c>
      <c r="B862" t="s">
        <v>12</v>
      </c>
      <c r="C862" t="s">
        <v>6</v>
      </c>
      <c r="D862" s="3">
        <f t="shared" si="117"/>
        <v>3</v>
      </c>
      <c r="E862" s="4">
        <f t="shared" si="118"/>
        <v>31</v>
      </c>
      <c r="F862" s="4">
        <f t="shared" si="119"/>
        <v>17</v>
      </c>
      <c r="G862" s="3">
        <f>IF(E862&gt;=20,2000,1900) + D862</f>
        <v>2003</v>
      </c>
      <c r="H862">
        <f t="shared" si="120"/>
        <v>11</v>
      </c>
      <c r="I862" s="4">
        <f t="shared" si="121"/>
        <v>17</v>
      </c>
      <c r="J862">
        <f t="shared" si="122"/>
        <v>20031117</v>
      </c>
      <c r="K862" t="str">
        <f t="shared" si="123"/>
        <v>17.11.2003</v>
      </c>
      <c r="L862" s="10">
        <f t="shared" si="124"/>
        <v>6995</v>
      </c>
      <c r="M862" s="8">
        <f t="shared" si="125"/>
        <v>19</v>
      </c>
    </row>
    <row r="863" spans="1:13" x14ac:dyDescent="0.25">
      <c r="A863" s="4" t="s">
        <v>889</v>
      </c>
      <c r="B863" t="s">
        <v>7</v>
      </c>
      <c r="C863" t="s">
        <v>4</v>
      </c>
      <c r="D863" s="3">
        <f t="shared" si="117"/>
        <v>5</v>
      </c>
      <c r="E863" s="4">
        <f t="shared" si="118"/>
        <v>26</v>
      </c>
      <c r="F863" s="4">
        <f t="shared" si="119"/>
        <v>15</v>
      </c>
      <c r="G863" s="3">
        <f>IF(E863&gt;=20,2000,1900) + D863</f>
        <v>2005</v>
      </c>
      <c r="H863">
        <f t="shared" si="120"/>
        <v>6</v>
      </c>
      <c r="I863" s="4">
        <f t="shared" si="121"/>
        <v>15</v>
      </c>
      <c r="J863">
        <f t="shared" si="122"/>
        <v>20050615</v>
      </c>
      <c r="K863" t="str">
        <f t="shared" si="123"/>
        <v>15.06.2005</v>
      </c>
      <c r="L863" s="10">
        <f t="shared" si="124"/>
        <v>6419</v>
      </c>
      <c r="M863" s="8">
        <f t="shared" si="125"/>
        <v>17</v>
      </c>
    </row>
    <row r="864" spans="1:13" x14ac:dyDescent="0.25">
      <c r="A864" s="4" t="s">
        <v>890</v>
      </c>
      <c r="B864" t="s">
        <v>16</v>
      </c>
      <c r="C864" t="s">
        <v>4</v>
      </c>
      <c r="D864" s="3">
        <f t="shared" si="117"/>
        <v>19</v>
      </c>
      <c r="E864" s="4">
        <f t="shared" si="118"/>
        <v>31</v>
      </c>
      <c r="F864" s="4">
        <f t="shared" si="119"/>
        <v>26</v>
      </c>
      <c r="G864" s="3">
        <f>IF(E864&gt;=20,2000,1900) + D864</f>
        <v>2019</v>
      </c>
      <c r="H864">
        <f t="shared" si="120"/>
        <v>11</v>
      </c>
      <c r="I864" s="4">
        <f t="shared" si="121"/>
        <v>26</v>
      </c>
      <c r="J864">
        <f t="shared" si="122"/>
        <v>20191126</v>
      </c>
      <c r="K864" t="str">
        <f t="shared" si="123"/>
        <v>26.11.2019</v>
      </c>
      <c r="L864" s="10">
        <f t="shared" si="124"/>
        <v>1142</v>
      </c>
      <c r="M864" s="8">
        <f t="shared" si="125"/>
        <v>3</v>
      </c>
    </row>
    <row r="865" spans="1:13" x14ac:dyDescent="0.25">
      <c r="A865" s="4" t="s">
        <v>891</v>
      </c>
      <c r="B865" t="s">
        <v>19</v>
      </c>
      <c r="C865" t="s">
        <v>6</v>
      </c>
      <c r="D865" s="3">
        <f t="shared" si="117"/>
        <v>16</v>
      </c>
      <c r="E865" s="4">
        <f t="shared" si="118"/>
        <v>29</v>
      </c>
      <c r="F865" s="4">
        <f t="shared" si="119"/>
        <v>17</v>
      </c>
      <c r="G865" s="3">
        <f>IF(E865&gt;=20,2000,1900) + D865</f>
        <v>2016</v>
      </c>
      <c r="H865">
        <f t="shared" si="120"/>
        <v>9</v>
      </c>
      <c r="I865" s="4">
        <f t="shared" si="121"/>
        <v>17</v>
      </c>
      <c r="J865">
        <f t="shared" si="122"/>
        <v>20160917</v>
      </c>
      <c r="K865" t="str">
        <f t="shared" si="123"/>
        <v>17.09.2016</v>
      </c>
      <c r="L865" s="10">
        <f t="shared" si="124"/>
        <v>2307</v>
      </c>
      <c r="M865" s="8">
        <f t="shared" si="125"/>
        <v>6</v>
      </c>
    </row>
    <row r="866" spans="1:13" x14ac:dyDescent="0.25">
      <c r="A866" s="4" t="s">
        <v>892</v>
      </c>
      <c r="B866" t="s">
        <v>18</v>
      </c>
      <c r="C866" t="s">
        <v>6</v>
      </c>
      <c r="D866" s="3">
        <f t="shared" si="117"/>
        <v>7</v>
      </c>
      <c r="E866" s="4">
        <f t="shared" si="118"/>
        <v>22</v>
      </c>
      <c r="F866" s="4">
        <f t="shared" si="119"/>
        <v>10</v>
      </c>
      <c r="G866" s="3">
        <f>IF(E866&gt;=20,2000,1900) + D866</f>
        <v>2007</v>
      </c>
      <c r="H866">
        <f t="shared" si="120"/>
        <v>2</v>
      </c>
      <c r="I866" s="4">
        <f t="shared" si="121"/>
        <v>10</v>
      </c>
      <c r="J866">
        <f t="shared" si="122"/>
        <v>20070210</v>
      </c>
      <c r="K866" t="str">
        <f t="shared" si="123"/>
        <v>10.02.2007</v>
      </c>
      <c r="L866" s="10">
        <f t="shared" si="124"/>
        <v>5814</v>
      </c>
      <c r="M866" s="8">
        <f t="shared" si="125"/>
        <v>15</v>
      </c>
    </row>
    <row r="867" spans="1:13" x14ac:dyDescent="0.25">
      <c r="A867" s="4" t="s">
        <v>893</v>
      </c>
      <c r="B867" t="s">
        <v>17</v>
      </c>
      <c r="C867" t="s">
        <v>4</v>
      </c>
      <c r="D867" s="3">
        <f t="shared" si="117"/>
        <v>6</v>
      </c>
      <c r="E867" s="4">
        <f t="shared" si="118"/>
        <v>27</v>
      </c>
      <c r="F867" s="4">
        <f t="shared" si="119"/>
        <v>17</v>
      </c>
      <c r="G867" s="3">
        <f>IF(E867&gt;=20,2000,1900) + D867</f>
        <v>2006</v>
      </c>
      <c r="H867">
        <f t="shared" si="120"/>
        <v>7</v>
      </c>
      <c r="I867" s="4">
        <f t="shared" si="121"/>
        <v>17</v>
      </c>
      <c r="J867">
        <f t="shared" si="122"/>
        <v>20060717</v>
      </c>
      <c r="K867" t="str">
        <f t="shared" si="123"/>
        <v>17.07.2006</v>
      </c>
      <c r="L867" s="10">
        <f t="shared" si="124"/>
        <v>6022</v>
      </c>
      <c r="M867" s="8">
        <f t="shared" si="125"/>
        <v>16</v>
      </c>
    </row>
    <row r="868" spans="1:13" x14ac:dyDescent="0.25">
      <c r="A868" s="4" t="s">
        <v>894</v>
      </c>
      <c r="B868" t="s">
        <v>17</v>
      </c>
      <c r="C868" t="s">
        <v>6</v>
      </c>
      <c r="D868" s="3">
        <f t="shared" si="117"/>
        <v>18</v>
      </c>
      <c r="E868" s="4">
        <f t="shared" si="118"/>
        <v>23</v>
      </c>
      <c r="F868" s="4">
        <f t="shared" si="119"/>
        <v>8</v>
      </c>
      <c r="G868" s="3">
        <f>IF(E868&gt;=20,2000,1900) + D868</f>
        <v>2018</v>
      </c>
      <c r="H868">
        <f t="shared" si="120"/>
        <v>3</v>
      </c>
      <c r="I868" s="4">
        <f t="shared" si="121"/>
        <v>8</v>
      </c>
      <c r="J868">
        <f t="shared" si="122"/>
        <v>20180308</v>
      </c>
      <c r="K868" t="str">
        <f t="shared" si="123"/>
        <v>08.03.2018</v>
      </c>
      <c r="L868" s="10">
        <f t="shared" si="124"/>
        <v>1770</v>
      </c>
      <c r="M868" s="8">
        <f t="shared" si="125"/>
        <v>4</v>
      </c>
    </row>
    <row r="869" spans="1:13" x14ac:dyDescent="0.25">
      <c r="A869" s="4" t="s">
        <v>895</v>
      </c>
      <c r="B869" t="s">
        <v>5</v>
      </c>
      <c r="C869" t="s">
        <v>6</v>
      </c>
      <c r="D869" s="3">
        <f t="shared" si="117"/>
        <v>17</v>
      </c>
      <c r="E869" s="4">
        <f t="shared" si="118"/>
        <v>25</v>
      </c>
      <c r="F869" s="4">
        <f t="shared" si="119"/>
        <v>15</v>
      </c>
      <c r="G869" s="3">
        <f>IF(E869&gt;=20,2000,1900) + D869</f>
        <v>2017</v>
      </c>
      <c r="H869">
        <f t="shared" si="120"/>
        <v>5</v>
      </c>
      <c r="I869" s="4">
        <f t="shared" si="121"/>
        <v>15</v>
      </c>
      <c r="J869">
        <f t="shared" si="122"/>
        <v>20170515</v>
      </c>
      <c r="K869" t="str">
        <f t="shared" si="123"/>
        <v>15.05.2017</v>
      </c>
      <c r="L869" s="10">
        <f t="shared" si="124"/>
        <v>2067</v>
      </c>
      <c r="M869" s="8">
        <f t="shared" si="125"/>
        <v>5</v>
      </c>
    </row>
    <row r="870" spans="1:13" x14ac:dyDescent="0.25">
      <c r="A870" s="4" t="s">
        <v>896</v>
      </c>
      <c r="B870" t="s">
        <v>17</v>
      </c>
      <c r="C870" t="s">
        <v>6</v>
      </c>
      <c r="D870" s="3">
        <f t="shared" si="117"/>
        <v>19</v>
      </c>
      <c r="E870" s="4">
        <f t="shared" si="118"/>
        <v>22</v>
      </c>
      <c r="F870" s="4">
        <f t="shared" si="119"/>
        <v>22</v>
      </c>
      <c r="G870" s="3">
        <f>IF(E870&gt;=20,2000,1900) + D870</f>
        <v>2019</v>
      </c>
      <c r="H870">
        <f t="shared" si="120"/>
        <v>2</v>
      </c>
      <c r="I870" s="4">
        <f t="shared" si="121"/>
        <v>22</v>
      </c>
      <c r="J870">
        <f t="shared" si="122"/>
        <v>20190222</v>
      </c>
      <c r="K870" t="str">
        <f t="shared" si="123"/>
        <v>22.02.2019</v>
      </c>
      <c r="L870" s="10">
        <f t="shared" si="124"/>
        <v>1419</v>
      </c>
      <c r="M870" s="8">
        <f t="shared" si="125"/>
        <v>3</v>
      </c>
    </row>
    <row r="871" spans="1:13" x14ac:dyDescent="0.25">
      <c r="A871" s="4" t="s">
        <v>897</v>
      </c>
      <c r="B871" t="s">
        <v>5</v>
      </c>
      <c r="C871" t="s">
        <v>6</v>
      </c>
      <c r="D871" s="3">
        <f t="shared" si="117"/>
        <v>21</v>
      </c>
      <c r="E871" s="4">
        <f t="shared" si="118"/>
        <v>29</v>
      </c>
      <c r="F871" s="4">
        <f t="shared" si="119"/>
        <v>15</v>
      </c>
      <c r="G871" s="3">
        <f>IF(E871&gt;=20,2000,1900) + D871</f>
        <v>2021</v>
      </c>
      <c r="H871">
        <f t="shared" si="120"/>
        <v>9</v>
      </c>
      <c r="I871" s="4">
        <f t="shared" si="121"/>
        <v>15</v>
      </c>
      <c r="J871">
        <f t="shared" si="122"/>
        <v>20210915</v>
      </c>
      <c r="K871" t="str">
        <f t="shared" si="123"/>
        <v>15.09.2021</v>
      </c>
      <c r="L871" s="10">
        <f t="shared" si="124"/>
        <v>483</v>
      </c>
      <c r="M871" s="8">
        <f t="shared" si="125"/>
        <v>1</v>
      </c>
    </row>
    <row r="872" spans="1:13" x14ac:dyDescent="0.25">
      <c r="A872" s="4" t="s">
        <v>898</v>
      </c>
      <c r="B872" t="s">
        <v>17</v>
      </c>
      <c r="C872" t="s">
        <v>6</v>
      </c>
      <c r="D872" s="3">
        <f t="shared" si="117"/>
        <v>20</v>
      </c>
      <c r="E872" s="4">
        <f t="shared" si="118"/>
        <v>25</v>
      </c>
      <c r="F872" s="4">
        <f t="shared" si="119"/>
        <v>15</v>
      </c>
      <c r="G872" s="3">
        <f>IF(E872&gt;=20,2000,1900) + D872</f>
        <v>2020</v>
      </c>
      <c r="H872">
        <f t="shared" si="120"/>
        <v>5</v>
      </c>
      <c r="I872" s="4">
        <f t="shared" si="121"/>
        <v>15</v>
      </c>
      <c r="J872">
        <f t="shared" si="122"/>
        <v>20200515</v>
      </c>
      <c r="K872" t="str">
        <f t="shared" si="123"/>
        <v>15.05.2020</v>
      </c>
      <c r="L872" s="10">
        <f t="shared" si="124"/>
        <v>971</v>
      </c>
      <c r="M872" s="8">
        <f t="shared" si="125"/>
        <v>2</v>
      </c>
    </row>
    <row r="873" spans="1:13" x14ac:dyDescent="0.25">
      <c r="A873" s="4" t="s">
        <v>899</v>
      </c>
      <c r="B873" t="s">
        <v>18</v>
      </c>
      <c r="C873" t="s">
        <v>6</v>
      </c>
      <c r="D873" s="3">
        <f t="shared" si="117"/>
        <v>4</v>
      </c>
      <c r="E873" s="4">
        <f t="shared" si="118"/>
        <v>29</v>
      </c>
      <c r="F873" s="4">
        <f t="shared" si="119"/>
        <v>23</v>
      </c>
      <c r="G873" s="3">
        <f>IF(E873&gt;=20,2000,1900) + D873</f>
        <v>2004</v>
      </c>
      <c r="H873">
        <f t="shared" si="120"/>
        <v>9</v>
      </c>
      <c r="I873" s="4">
        <f t="shared" si="121"/>
        <v>23</v>
      </c>
      <c r="J873">
        <f t="shared" si="122"/>
        <v>20040923</v>
      </c>
      <c r="K873" t="str">
        <f t="shared" si="123"/>
        <v>23.09.2004</v>
      </c>
      <c r="L873" s="10">
        <f t="shared" si="124"/>
        <v>6684</v>
      </c>
      <c r="M873" s="8">
        <f t="shared" si="125"/>
        <v>18</v>
      </c>
    </row>
    <row r="874" spans="1:13" x14ac:dyDescent="0.25">
      <c r="A874" s="4" t="s">
        <v>900</v>
      </c>
      <c r="B874" t="s">
        <v>17</v>
      </c>
      <c r="C874" t="s">
        <v>4</v>
      </c>
      <c r="D874" s="3">
        <f t="shared" si="117"/>
        <v>19</v>
      </c>
      <c r="E874" s="4">
        <f t="shared" si="118"/>
        <v>21</v>
      </c>
      <c r="F874" s="4">
        <f t="shared" si="119"/>
        <v>23</v>
      </c>
      <c r="G874" s="3">
        <f>IF(E874&gt;=20,2000,1900) + D874</f>
        <v>2019</v>
      </c>
      <c r="H874">
        <f t="shared" si="120"/>
        <v>1</v>
      </c>
      <c r="I874" s="4">
        <f t="shared" si="121"/>
        <v>23</v>
      </c>
      <c r="J874">
        <f t="shared" si="122"/>
        <v>20190123</v>
      </c>
      <c r="K874" t="str">
        <f t="shared" si="123"/>
        <v>23.01.2019</v>
      </c>
      <c r="L874" s="10">
        <f t="shared" si="124"/>
        <v>1449</v>
      </c>
      <c r="M874" s="8">
        <f t="shared" si="125"/>
        <v>3</v>
      </c>
    </row>
    <row r="875" spans="1:13" x14ac:dyDescent="0.25">
      <c r="A875" s="4" t="s">
        <v>901</v>
      </c>
      <c r="B875" t="s">
        <v>3</v>
      </c>
      <c r="C875" t="s">
        <v>6</v>
      </c>
      <c r="D875" s="3">
        <f t="shared" si="117"/>
        <v>3</v>
      </c>
      <c r="E875" s="4">
        <f t="shared" si="118"/>
        <v>21</v>
      </c>
      <c r="F875" s="4">
        <f t="shared" si="119"/>
        <v>28</v>
      </c>
      <c r="G875" s="3">
        <f>IF(E875&gt;=20,2000,1900) + D875</f>
        <v>2003</v>
      </c>
      <c r="H875">
        <f t="shared" si="120"/>
        <v>1</v>
      </c>
      <c r="I875" s="4">
        <f t="shared" si="121"/>
        <v>28</v>
      </c>
      <c r="J875">
        <f t="shared" si="122"/>
        <v>20030128</v>
      </c>
      <c r="K875" t="str">
        <f t="shared" si="123"/>
        <v>28.01.2003</v>
      </c>
      <c r="L875" s="10">
        <f t="shared" si="124"/>
        <v>7288</v>
      </c>
      <c r="M875" s="8">
        <f t="shared" si="125"/>
        <v>19</v>
      </c>
    </row>
    <row r="876" spans="1:13" x14ac:dyDescent="0.25">
      <c r="A876" s="4" t="s">
        <v>902</v>
      </c>
      <c r="B876" t="s">
        <v>20</v>
      </c>
      <c r="C876" t="s">
        <v>6</v>
      </c>
      <c r="D876" s="3">
        <f t="shared" si="117"/>
        <v>8</v>
      </c>
      <c r="E876" s="4">
        <f t="shared" si="118"/>
        <v>23</v>
      </c>
      <c r="F876" s="4">
        <f t="shared" si="119"/>
        <v>19</v>
      </c>
      <c r="G876" s="3">
        <f>IF(E876&gt;=20,2000,1900) + D876</f>
        <v>2008</v>
      </c>
      <c r="H876">
        <f t="shared" si="120"/>
        <v>3</v>
      </c>
      <c r="I876" s="4">
        <f t="shared" si="121"/>
        <v>19</v>
      </c>
      <c r="J876">
        <f t="shared" si="122"/>
        <v>20080319</v>
      </c>
      <c r="K876" t="str">
        <f t="shared" si="123"/>
        <v>19.03.2008</v>
      </c>
      <c r="L876" s="10">
        <f t="shared" si="124"/>
        <v>5411</v>
      </c>
      <c r="M876" s="8">
        <f t="shared" si="125"/>
        <v>14</v>
      </c>
    </row>
    <row r="877" spans="1:13" x14ac:dyDescent="0.25">
      <c r="A877" s="4" t="s">
        <v>903</v>
      </c>
      <c r="B877" t="s">
        <v>20</v>
      </c>
      <c r="C877" t="s">
        <v>4</v>
      </c>
      <c r="D877" s="3">
        <f t="shared" si="117"/>
        <v>18</v>
      </c>
      <c r="E877" s="4">
        <f t="shared" si="118"/>
        <v>29</v>
      </c>
      <c r="F877" s="4">
        <f t="shared" si="119"/>
        <v>2</v>
      </c>
      <c r="G877" s="3">
        <f>IF(E877&gt;=20,2000,1900) + D877</f>
        <v>2018</v>
      </c>
      <c r="H877">
        <f t="shared" si="120"/>
        <v>9</v>
      </c>
      <c r="I877" s="4">
        <f t="shared" si="121"/>
        <v>2</v>
      </c>
      <c r="J877">
        <f t="shared" si="122"/>
        <v>20180902</v>
      </c>
      <c r="K877" t="str">
        <f t="shared" si="123"/>
        <v>02.09.2018</v>
      </c>
      <c r="L877" s="10">
        <f t="shared" si="124"/>
        <v>1592</v>
      </c>
      <c r="M877" s="8">
        <f t="shared" si="125"/>
        <v>4</v>
      </c>
    </row>
    <row r="878" spans="1:13" x14ac:dyDescent="0.25">
      <c r="A878" s="4" t="s">
        <v>904</v>
      </c>
      <c r="B878" t="s">
        <v>9</v>
      </c>
      <c r="C878" t="s">
        <v>6</v>
      </c>
      <c r="D878" s="3">
        <f t="shared" si="117"/>
        <v>14</v>
      </c>
      <c r="E878" s="4">
        <f t="shared" si="118"/>
        <v>27</v>
      </c>
      <c r="F878" s="4">
        <f t="shared" si="119"/>
        <v>9</v>
      </c>
      <c r="G878" s="3">
        <f>IF(E878&gt;=20,2000,1900) + D878</f>
        <v>2014</v>
      </c>
      <c r="H878">
        <f t="shared" si="120"/>
        <v>7</v>
      </c>
      <c r="I878" s="4">
        <f t="shared" si="121"/>
        <v>9</v>
      </c>
      <c r="J878">
        <f t="shared" si="122"/>
        <v>20140709</v>
      </c>
      <c r="K878" t="str">
        <f t="shared" si="123"/>
        <v>09.07.2014</v>
      </c>
      <c r="L878" s="10">
        <f t="shared" si="124"/>
        <v>3108</v>
      </c>
      <c r="M878" s="8">
        <f t="shared" si="125"/>
        <v>8</v>
      </c>
    </row>
    <row r="879" spans="1:13" x14ac:dyDescent="0.25">
      <c r="A879" s="4" t="s">
        <v>905</v>
      </c>
      <c r="B879" t="s">
        <v>3</v>
      </c>
      <c r="C879" t="s">
        <v>4</v>
      </c>
      <c r="D879" s="3">
        <f t="shared" si="117"/>
        <v>21</v>
      </c>
      <c r="E879" s="4">
        <f t="shared" si="118"/>
        <v>32</v>
      </c>
      <c r="F879" s="4">
        <f t="shared" si="119"/>
        <v>5</v>
      </c>
      <c r="G879" s="3">
        <f>IF(E879&gt;=20,2000,1900) + D879</f>
        <v>2021</v>
      </c>
      <c r="H879">
        <f t="shared" si="120"/>
        <v>12</v>
      </c>
      <c r="I879" s="4">
        <f t="shared" si="121"/>
        <v>5</v>
      </c>
      <c r="J879">
        <f t="shared" si="122"/>
        <v>20211205</v>
      </c>
      <c r="K879" t="str">
        <f t="shared" si="123"/>
        <v>05.12.2021</v>
      </c>
      <c r="L879" s="10">
        <f t="shared" si="124"/>
        <v>402</v>
      </c>
      <c r="M879" s="8">
        <f t="shared" si="125"/>
        <v>1</v>
      </c>
    </row>
    <row r="880" spans="1:13" x14ac:dyDescent="0.25">
      <c r="A880" s="4" t="s">
        <v>906</v>
      </c>
      <c r="B880" t="s">
        <v>14</v>
      </c>
      <c r="C880" t="s">
        <v>6</v>
      </c>
      <c r="D880" s="3">
        <f t="shared" si="117"/>
        <v>15</v>
      </c>
      <c r="E880" s="4">
        <f t="shared" si="118"/>
        <v>28</v>
      </c>
      <c r="F880" s="4">
        <f t="shared" si="119"/>
        <v>2</v>
      </c>
      <c r="G880" s="3">
        <f>IF(E880&gt;=20,2000,1900) + D880</f>
        <v>2015</v>
      </c>
      <c r="H880">
        <f t="shared" si="120"/>
        <v>8</v>
      </c>
      <c r="I880" s="4">
        <f t="shared" si="121"/>
        <v>2</v>
      </c>
      <c r="J880">
        <f t="shared" si="122"/>
        <v>20150802</v>
      </c>
      <c r="K880" t="str">
        <f t="shared" si="123"/>
        <v>02.08.2015</v>
      </c>
      <c r="L880" s="10">
        <f t="shared" si="124"/>
        <v>2719</v>
      </c>
      <c r="M880" s="8">
        <f t="shared" si="125"/>
        <v>7</v>
      </c>
    </row>
    <row r="881" spans="1:13" x14ac:dyDescent="0.25">
      <c r="A881" s="4" t="s">
        <v>907</v>
      </c>
      <c r="B881" t="s">
        <v>12</v>
      </c>
      <c r="C881" t="s">
        <v>4</v>
      </c>
      <c r="D881" s="3">
        <f t="shared" si="117"/>
        <v>8</v>
      </c>
      <c r="E881" s="4">
        <f t="shared" si="118"/>
        <v>23</v>
      </c>
      <c r="F881" s="4">
        <f t="shared" si="119"/>
        <v>16</v>
      </c>
      <c r="G881" s="3">
        <f>IF(E881&gt;=20,2000,1900) + D881</f>
        <v>2008</v>
      </c>
      <c r="H881">
        <f t="shared" si="120"/>
        <v>3</v>
      </c>
      <c r="I881" s="4">
        <f t="shared" si="121"/>
        <v>16</v>
      </c>
      <c r="J881">
        <f t="shared" si="122"/>
        <v>20080316</v>
      </c>
      <c r="K881" t="str">
        <f t="shared" si="123"/>
        <v>16.03.2008</v>
      </c>
      <c r="L881" s="10">
        <f t="shared" si="124"/>
        <v>5414</v>
      </c>
      <c r="M881" s="8">
        <f t="shared" si="125"/>
        <v>14</v>
      </c>
    </row>
    <row r="882" spans="1:13" x14ac:dyDescent="0.25">
      <c r="A882" s="4" t="s">
        <v>908</v>
      </c>
      <c r="B882" t="s">
        <v>15</v>
      </c>
      <c r="C882" t="s">
        <v>6</v>
      </c>
      <c r="D882" s="3">
        <f t="shared" si="117"/>
        <v>4</v>
      </c>
      <c r="E882" s="4">
        <f t="shared" si="118"/>
        <v>27</v>
      </c>
      <c r="F882" s="4">
        <f t="shared" si="119"/>
        <v>29</v>
      </c>
      <c r="G882" s="3">
        <f>IF(E882&gt;=20,2000,1900) + D882</f>
        <v>2004</v>
      </c>
      <c r="H882">
        <f t="shared" si="120"/>
        <v>7</v>
      </c>
      <c r="I882" s="4">
        <f t="shared" si="121"/>
        <v>29</v>
      </c>
      <c r="J882">
        <f t="shared" si="122"/>
        <v>20040729</v>
      </c>
      <c r="K882" t="str">
        <f t="shared" si="123"/>
        <v>29.07.2004</v>
      </c>
      <c r="L882" s="10">
        <f t="shared" si="124"/>
        <v>6740</v>
      </c>
      <c r="M882" s="8">
        <f t="shared" si="125"/>
        <v>18</v>
      </c>
    </row>
    <row r="883" spans="1:13" x14ac:dyDescent="0.25">
      <c r="A883" s="4" t="s">
        <v>909</v>
      </c>
      <c r="B883" t="s">
        <v>19</v>
      </c>
      <c r="C883" t="s">
        <v>4</v>
      </c>
      <c r="D883" s="3">
        <f t="shared" si="117"/>
        <v>6</v>
      </c>
      <c r="E883" s="4">
        <f t="shared" si="118"/>
        <v>29</v>
      </c>
      <c r="F883" s="4">
        <f t="shared" si="119"/>
        <v>7</v>
      </c>
      <c r="G883" s="3">
        <f>IF(E883&gt;=20,2000,1900) + D883</f>
        <v>2006</v>
      </c>
      <c r="H883">
        <f t="shared" si="120"/>
        <v>9</v>
      </c>
      <c r="I883" s="4">
        <f t="shared" si="121"/>
        <v>7</v>
      </c>
      <c r="J883">
        <f t="shared" si="122"/>
        <v>20060907</v>
      </c>
      <c r="K883" t="str">
        <f t="shared" si="123"/>
        <v>07.09.2006</v>
      </c>
      <c r="L883" s="10">
        <f t="shared" si="124"/>
        <v>5970</v>
      </c>
      <c r="M883" s="8">
        <f t="shared" si="125"/>
        <v>16</v>
      </c>
    </row>
    <row r="884" spans="1:13" x14ac:dyDescent="0.25">
      <c r="A884" s="4" t="s">
        <v>910</v>
      </c>
      <c r="B884" t="s">
        <v>11</v>
      </c>
      <c r="C884" t="s">
        <v>4</v>
      </c>
      <c r="D884" s="3">
        <f t="shared" si="117"/>
        <v>0</v>
      </c>
      <c r="E884" s="4">
        <f t="shared" si="118"/>
        <v>30</v>
      </c>
      <c r="F884" s="4">
        <f t="shared" si="119"/>
        <v>12</v>
      </c>
      <c r="G884" s="3">
        <f>IF(E884&gt;=20,2000,1900) + D884</f>
        <v>2000</v>
      </c>
      <c r="H884">
        <f t="shared" si="120"/>
        <v>10</v>
      </c>
      <c r="I884" s="4">
        <f t="shared" si="121"/>
        <v>12</v>
      </c>
      <c r="J884">
        <f t="shared" si="122"/>
        <v>20001012</v>
      </c>
      <c r="K884" t="str">
        <f t="shared" si="123"/>
        <v>12.10.2000</v>
      </c>
      <c r="L884" s="10">
        <f t="shared" si="124"/>
        <v>8126</v>
      </c>
      <c r="M884" s="8">
        <f t="shared" si="125"/>
        <v>22</v>
      </c>
    </row>
    <row r="885" spans="1:13" x14ac:dyDescent="0.25">
      <c r="A885" s="4" t="s">
        <v>911</v>
      </c>
      <c r="B885" t="s">
        <v>13</v>
      </c>
      <c r="C885" t="s">
        <v>6</v>
      </c>
      <c r="D885" s="3">
        <f t="shared" si="117"/>
        <v>18</v>
      </c>
      <c r="E885" s="4">
        <f t="shared" si="118"/>
        <v>21</v>
      </c>
      <c r="F885" s="4">
        <f t="shared" si="119"/>
        <v>12</v>
      </c>
      <c r="G885" s="3">
        <f>IF(E885&gt;=20,2000,1900) + D885</f>
        <v>2018</v>
      </c>
      <c r="H885">
        <f t="shared" si="120"/>
        <v>1</v>
      </c>
      <c r="I885" s="4">
        <f t="shared" si="121"/>
        <v>12</v>
      </c>
      <c r="J885">
        <f t="shared" si="122"/>
        <v>20180112</v>
      </c>
      <c r="K885" t="str">
        <f t="shared" si="123"/>
        <v>12.01.2018</v>
      </c>
      <c r="L885" s="10">
        <f t="shared" si="124"/>
        <v>1825</v>
      </c>
      <c r="M885" s="8">
        <f t="shared" si="125"/>
        <v>4</v>
      </c>
    </row>
    <row r="886" spans="1:13" x14ac:dyDescent="0.25">
      <c r="A886" s="4" t="s">
        <v>912</v>
      </c>
      <c r="B886" t="s">
        <v>13</v>
      </c>
      <c r="C886" t="s">
        <v>4</v>
      </c>
      <c r="D886" s="3">
        <f t="shared" si="117"/>
        <v>5</v>
      </c>
      <c r="E886" s="4">
        <f t="shared" si="118"/>
        <v>28</v>
      </c>
      <c r="F886" s="4">
        <f t="shared" si="119"/>
        <v>23</v>
      </c>
      <c r="G886" s="3">
        <f>IF(E886&gt;=20,2000,1900) + D886</f>
        <v>2005</v>
      </c>
      <c r="H886">
        <f t="shared" si="120"/>
        <v>8</v>
      </c>
      <c r="I886" s="4">
        <f t="shared" si="121"/>
        <v>23</v>
      </c>
      <c r="J886">
        <f t="shared" si="122"/>
        <v>20050823</v>
      </c>
      <c r="K886" t="str">
        <f t="shared" si="123"/>
        <v>23.08.2005</v>
      </c>
      <c r="L886" s="10">
        <f t="shared" si="124"/>
        <v>6350</v>
      </c>
      <c r="M886" s="8">
        <f t="shared" si="125"/>
        <v>17</v>
      </c>
    </row>
    <row r="887" spans="1:13" x14ac:dyDescent="0.25">
      <c r="A887" s="4" t="s">
        <v>913</v>
      </c>
      <c r="B887" t="s">
        <v>16</v>
      </c>
      <c r="C887" t="s">
        <v>4</v>
      </c>
      <c r="D887" s="3">
        <f t="shared" si="117"/>
        <v>18</v>
      </c>
      <c r="E887" s="4">
        <f t="shared" si="118"/>
        <v>24</v>
      </c>
      <c r="F887" s="4">
        <f t="shared" si="119"/>
        <v>14</v>
      </c>
      <c r="G887" s="3">
        <f>IF(E887&gt;=20,2000,1900) + D887</f>
        <v>2018</v>
      </c>
      <c r="H887">
        <f t="shared" si="120"/>
        <v>4</v>
      </c>
      <c r="I887" s="4">
        <f t="shared" si="121"/>
        <v>14</v>
      </c>
      <c r="J887">
        <f t="shared" si="122"/>
        <v>20180414</v>
      </c>
      <c r="K887" t="str">
        <f t="shared" si="123"/>
        <v>14.04.2018</v>
      </c>
      <c r="L887" s="10">
        <f t="shared" si="124"/>
        <v>1733</v>
      </c>
      <c r="M887" s="8">
        <f t="shared" si="125"/>
        <v>4</v>
      </c>
    </row>
    <row r="888" spans="1:13" x14ac:dyDescent="0.25">
      <c r="A888" s="4" t="s">
        <v>914</v>
      </c>
      <c r="B888" t="s">
        <v>20</v>
      </c>
      <c r="C888" t="s">
        <v>6</v>
      </c>
      <c r="D888" s="3">
        <f t="shared" si="117"/>
        <v>16</v>
      </c>
      <c r="E888" s="4">
        <f t="shared" si="118"/>
        <v>31</v>
      </c>
      <c r="F888" s="4">
        <f t="shared" si="119"/>
        <v>20</v>
      </c>
      <c r="G888" s="3">
        <f>IF(E888&gt;=20,2000,1900) + D888</f>
        <v>2016</v>
      </c>
      <c r="H888">
        <f t="shared" si="120"/>
        <v>11</v>
      </c>
      <c r="I888" s="4">
        <f t="shared" si="121"/>
        <v>20</v>
      </c>
      <c r="J888">
        <f t="shared" si="122"/>
        <v>20161120</v>
      </c>
      <c r="K888" t="str">
        <f t="shared" si="123"/>
        <v>20.11.2016</v>
      </c>
      <c r="L888" s="10">
        <f t="shared" si="124"/>
        <v>2243</v>
      </c>
      <c r="M888" s="8">
        <f t="shared" si="125"/>
        <v>6</v>
      </c>
    </row>
    <row r="889" spans="1:13" x14ac:dyDescent="0.25">
      <c r="A889" s="4" t="s">
        <v>915</v>
      </c>
      <c r="B889" t="s">
        <v>9</v>
      </c>
      <c r="C889" t="s">
        <v>4</v>
      </c>
      <c r="D889" s="3">
        <f t="shared" si="117"/>
        <v>9</v>
      </c>
      <c r="E889" s="4">
        <f t="shared" si="118"/>
        <v>32</v>
      </c>
      <c r="F889" s="4">
        <f t="shared" si="119"/>
        <v>15</v>
      </c>
      <c r="G889" s="3">
        <f>IF(E889&gt;=20,2000,1900) + D889</f>
        <v>2009</v>
      </c>
      <c r="H889">
        <f t="shared" si="120"/>
        <v>12</v>
      </c>
      <c r="I889" s="4">
        <f t="shared" si="121"/>
        <v>15</v>
      </c>
      <c r="J889">
        <f t="shared" si="122"/>
        <v>20091215</v>
      </c>
      <c r="K889" t="str">
        <f t="shared" si="123"/>
        <v>15.12.2009</v>
      </c>
      <c r="L889" s="10">
        <f t="shared" si="124"/>
        <v>4775</v>
      </c>
      <c r="M889" s="8">
        <f t="shared" si="125"/>
        <v>13</v>
      </c>
    </row>
    <row r="890" spans="1:13" x14ac:dyDescent="0.25">
      <c r="A890" s="4" t="s">
        <v>916</v>
      </c>
      <c r="B890" t="s">
        <v>10</v>
      </c>
      <c r="C890" t="s">
        <v>6</v>
      </c>
      <c r="D890" s="3">
        <f t="shared" si="117"/>
        <v>8</v>
      </c>
      <c r="E890" s="4">
        <f t="shared" si="118"/>
        <v>27</v>
      </c>
      <c r="F890" s="4">
        <f t="shared" si="119"/>
        <v>17</v>
      </c>
      <c r="G890" s="3">
        <f>IF(E890&gt;=20,2000,1900) + D890</f>
        <v>2008</v>
      </c>
      <c r="H890">
        <f t="shared" si="120"/>
        <v>7</v>
      </c>
      <c r="I890" s="4">
        <f t="shared" si="121"/>
        <v>17</v>
      </c>
      <c r="J890">
        <f t="shared" si="122"/>
        <v>20080717</v>
      </c>
      <c r="K890" t="str">
        <f t="shared" si="123"/>
        <v>17.07.2008</v>
      </c>
      <c r="L890" s="10">
        <f t="shared" si="124"/>
        <v>5291</v>
      </c>
      <c r="M890" s="8">
        <f t="shared" si="125"/>
        <v>14</v>
      </c>
    </row>
    <row r="891" spans="1:13" x14ac:dyDescent="0.25">
      <c r="A891" s="4" t="s">
        <v>917</v>
      </c>
      <c r="B891" t="s">
        <v>9</v>
      </c>
      <c r="C891" t="s">
        <v>6</v>
      </c>
      <c r="D891" s="3">
        <f t="shared" si="117"/>
        <v>10</v>
      </c>
      <c r="E891" s="4">
        <f t="shared" si="118"/>
        <v>31</v>
      </c>
      <c r="F891" s="4">
        <f t="shared" si="119"/>
        <v>10</v>
      </c>
      <c r="G891" s="3">
        <f>IF(E891&gt;=20,2000,1900) + D891</f>
        <v>2010</v>
      </c>
      <c r="H891">
        <f t="shared" si="120"/>
        <v>11</v>
      </c>
      <c r="I891" s="4">
        <f t="shared" si="121"/>
        <v>10</v>
      </c>
      <c r="J891">
        <f t="shared" si="122"/>
        <v>20101110</v>
      </c>
      <c r="K891" t="str">
        <f t="shared" si="123"/>
        <v>10.11.2010</v>
      </c>
      <c r="L891" s="10">
        <f t="shared" si="124"/>
        <v>4445</v>
      </c>
      <c r="M891" s="8">
        <f t="shared" si="125"/>
        <v>12</v>
      </c>
    </row>
    <row r="892" spans="1:13" x14ac:dyDescent="0.25">
      <c r="A892" s="4" t="s">
        <v>918</v>
      </c>
      <c r="B892" t="s">
        <v>19</v>
      </c>
      <c r="C892" t="s">
        <v>4</v>
      </c>
      <c r="D892" s="3">
        <f t="shared" si="117"/>
        <v>14</v>
      </c>
      <c r="E892" s="4">
        <f t="shared" si="118"/>
        <v>28</v>
      </c>
      <c r="F892" s="4">
        <f t="shared" si="119"/>
        <v>12</v>
      </c>
      <c r="G892" s="3">
        <f>IF(E892&gt;=20,2000,1900) + D892</f>
        <v>2014</v>
      </c>
      <c r="H892">
        <f t="shared" si="120"/>
        <v>8</v>
      </c>
      <c r="I892" s="4">
        <f t="shared" si="121"/>
        <v>12</v>
      </c>
      <c r="J892">
        <f t="shared" si="122"/>
        <v>20140812</v>
      </c>
      <c r="K892" t="str">
        <f t="shared" si="123"/>
        <v>12.08.2014</v>
      </c>
      <c r="L892" s="10">
        <f t="shared" si="124"/>
        <v>3074</v>
      </c>
      <c r="M892" s="8">
        <f t="shared" si="125"/>
        <v>8</v>
      </c>
    </row>
    <row r="893" spans="1:13" x14ac:dyDescent="0.25">
      <c r="A893" s="4" t="s">
        <v>919</v>
      </c>
      <c r="B893" t="s">
        <v>13</v>
      </c>
      <c r="C893" t="s">
        <v>6</v>
      </c>
      <c r="D893" s="3">
        <f t="shared" si="117"/>
        <v>3</v>
      </c>
      <c r="E893" s="4">
        <f t="shared" si="118"/>
        <v>24</v>
      </c>
      <c r="F893" s="4">
        <f t="shared" si="119"/>
        <v>15</v>
      </c>
      <c r="G893" s="3">
        <f>IF(E893&gt;=20,2000,1900) + D893</f>
        <v>2003</v>
      </c>
      <c r="H893">
        <f t="shared" si="120"/>
        <v>4</v>
      </c>
      <c r="I893" s="4">
        <f t="shared" si="121"/>
        <v>15</v>
      </c>
      <c r="J893">
        <f t="shared" si="122"/>
        <v>20030415</v>
      </c>
      <c r="K893" t="str">
        <f t="shared" si="123"/>
        <v>15.04.2003</v>
      </c>
      <c r="L893" s="10">
        <f t="shared" si="124"/>
        <v>7211</v>
      </c>
      <c r="M893" s="8">
        <f t="shared" si="125"/>
        <v>19</v>
      </c>
    </row>
    <row r="894" spans="1:13" x14ac:dyDescent="0.25">
      <c r="A894" s="4" t="s">
        <v>920</v>
      </c>
      <c r="B894" t="s">
        <v>16</v>
      </c>
      <c r="C894" t="s">
        <v>4</v>
      </c>
      <c r="D894" s="3">
        <f t="shared" si="117"/>
        <v>2</v>
      </c>
      <c r="E894" s="4">
        <f t="shared" si="118"/>
        <v>27</v>
      </c>
      <c r="F894" s="4">
        <f t="shared" si="119"/>
        <v>20</v>
      </c>
      <c r="G894" s="3">
        <f>IF(E894&gt;=20,2000,1900) + D894</f>
        <v>2002</v>
      </c>
      <c r="H894">
        <f t="shared" si="120"/>
        <v>7</v>
      </c>
      <c r="I894" s="4">
        <f t="shared" si="121"/>
        <v>20</v>
      </c>
      <c r="J894">
        <f t="shared" si="122"/>
        <v>20020720</v>
      </c>
      <c r="K894" t="str">
        <f t="shared" si="123"/>
        <v>20.07.2002</v>
      </c>
      <c r="L894" s="10">
        <f t="shared" si="124"/>
        <v>7480</v>
      </c>
      <c r="M894" s="8">
        <f t="shared" si="125"/>
        <v>20</v>
      </c>
    </row>
    <row r="895" spans="1:13" x14ac:dyDescent="0.25">
      <c r="A895" s="4" t="s">
        <v>921</v>
      </c>
      <c r="B895" t="s">
        <v>13</v>
      </c>
      <c r="C895" t="s">
        <v>4</v>
      </c>
      <c r="D895" s="3">
        <f t="shared" si="117"/>
        <v>17</v>
      </c>
      <c r="E895" s="4">
        <f t="shared" si="118"/>
        <v>28</v>
      </c>
      <c r="F895" s="4">
        <f t="shared" si="119"/>
        <v>23</v>
      </c>
      <c r="G895" s="3">
        <f>IF(E895&gt;=20,2000,1900) + D895</f>
        <v>2017</v>
      </c>
      <c r="H895">
        <f t="shared" si="120"/>
        <v>8</v>
      </c>
      <c r="I895" s="4">
        <f t="shared" si="121"/>
        <v>23</v>
      </c>
      <c r="J895">
        <f t="shared" si="122"/>
        <v>20170823</v>
      </c>
      <c r="K895" t="str">
        <f t="shared" si="123"/>
        <v>23.08.2017</v>
      </c>
      <c r="L895" s="10">
        <f t="shared" si="124"/>
        <v>1967</v>
      </c>
      <c r="M895" s="8">
        <f t="shared" si="125"/>
        <v>5</v>
      </c>
    </row>
    <row r="896" spans="1:13" x14ac:dyDescent="0.25">
      <c r="A896" s="4" t="s">
        <v>922</v>
      </c>
      <c r="B896" t="s">
        <v>5</v>
      </c>
      <c r="C896" t="s">
        <v>6</v>
      </c>
      <c r="D896" s="3">
        <f t="shared" si="117"/>
        <v>3</v>
      </c>
      <c r="E896" s="4">
        <f t="shared" si="118"/>
        <v>24</v>
      </c>
      <c r="F896" s="4">
        <f t="shared" si="119"/>
        <v>18</v>
      </c>
      <c r="G896" s="3">
        <f>IF(E896&gt;=20,2000,1900) + D896</f>
        <v>2003</v>
      </c>
      <c r="H896">
        <f t="shared" si="120"/>
        <v>4</v>
      </c>
      <c r="I896" s="4">
        <f t="shared" si="121"/>
        <v>18</v>
      </c>
      <c r="J896">
        <f t="shared" si="122"/>
        <v>20030418</v>
      </c>
      <c r="K896" t="str">
        <f t="shared" si="123"/>
        <v>18.04.2003</v>
      </c>
      <c r="L896" s="10">
        <f t="shared" si="124"/>
        <v>7208</v>
      </c>
      <c r="M896" s="8">
        <f t="shared" si="125"/>
        <v>19</v>
      </c>
    </row>
    <row r="897" spans="1:13" x14ac:dyDescent="0.25">
      <c r="A897" s="4" t="s">
        <v>923</v>
      </c>
      <c r="B897" t="s">
        <v>9</v>
      </c>
      <c r="C897" t="s">
        <v>6</v>
      </c>
      <c r="D897" s="3">
        <f t="shared" si="117"/>
        <v>10</v>
      </c>
      <c r="E897" s="4">
        <f t="shared" si="118"/>
        <v>21</v>
      </c>
      <c r="F897" s="4">
        <f t="shared" si="119"/>
        <v>7</v>
      </c>
      <c r="G897" s="3">
        <f>IF(E897&gt;=20,2000,1900) + D897</f>
        <v>2010</v>
      </c>
      <c r="H897">
        <f t="shared" si="120"/>
        <v>1</v>
      </c>
      <c r="I897" s="4">
        <f t="shared" si="121"/>
        <v>7</v>
      </c>
      <c r="J897">
        <f t="shared" si="122"/>
        <v>20100107</v>
      </c>
      <c r="K897" t="str">
        <f t="shared" si="123"/>
        <v>07.01.2010</v>
      </c>
      <c r="L897" s="10">
        <f t="shared" si="124"/>
        <v>4752</v>
      </c>
      <c r="M897" s="8">
        <f t="shared" si="125"/>
        <v>13</v>
      </c>
    </row>
    <row r="898" spans="1:13" x14ac:dyDescent="0.25">
      <c r="A898" s="4" t="s">
        <v>924</v>
      </c>
      <c r="B898" t="s">
        <v>19</v>
      </c>
      <c r="C898" t="s">
        <v>4</v>
      </c>
      <c r="D898" s="3">
        <f t="shared" si="117"/>
        <v>12</v>
      </c>
      <c r="E898" s="4">
        <f t="shared" si="118"/>
        <v>31</v>
      </c>
      <c r="F898" s="4">
        <f t="shared" si="119"/>
        <v>7</v>
      </c>
      <c r="G898" s="3">
        <f>IF(E898&gt;=20,2000,1900) + D898</f>
        <v>2012</v>
      </c>
      <c r="H898">
        <f t="shared" si="120"/>
        <v>11</v>
      </c>
      <c r="I898" s="4">
        <f t="shared" si="121"/>
        <v>7</v>
      </c>
      <c r="J898">
        <f t="shared" si="122"/>
        <v>20121107</v>
      </c>
      <c r="K898" t="str">
        <f t="shared" si="123"/>
        <v>07.11.2012</v>
      </c>
      <c r="L898" s="10">
        <f t="shared" si="124"/>
        <v>3717</v>
      </c>
      <c r="M898" s="8">
        <f t="shared" si="125"/>
        <v>10</v>
      </c>
    </row>
    <row r="899" spans="1:13" x14ac:dyDescent="0.25">
      <c r="A899" s="4" t="s">
        <v>925</v>
      </c>
      <c r="B899" t="s">
        <v>10</v>
      </c>
      <c r="C899" t="s">
        <v>6</v>
      </c>
      <c r="D899" s="3">
        <f t="shared" ref="D899:D962" si="126">MID(A899,1,2)*1</f>
        <v>14</v>
      </c>
      <c r="E899" s="4">
        <f t="shared" ref="E899:E962" si="127">MID(A899,3,2)*1</f>
        <v>26</v>
      </c>
      <c r="F899" s="4">
        <f t="shared" ref="F899:F962" si="128">MID(A899,5,2)*1</f>
        <v>28</v>
      </c>
      <c r="G899" s="3">
        <f>IF(E899&gt;=20,2000,1900) + D899</f>
        <v>2014</v>
      </c>
      <c r="H899">
        <f t="shared" ref="H899:H962" si="129">IF(E899&gt;=20,E899-20,E899)</f>
        <v>6</v>
      </c>
      <c r="I899" s="4">
        <f t="shared" ref="I899:I962" si="130">F899</f>
        <v>28</v>
      </c>
      <c r="J899">
        <f t="shared" ref="J899:J962" si="131">CONCATENATE(G899,IF(LEN(H899)=1,CONCATENATE("0",H899),H899),IF(LEN(F899)=1,CONCATENATE("0",F899),F899))*1</f>
        <v>20140628</v>
      </c>
      <c r="K899" t="str">
        <f t="shared" ref="K899:K962" si="132">CONCATENATE(RIGHT(J899,2),".",MID(J899,5,2),".",LEFT(J899,4))</f>
        <v>28.06.2014</v>
      </c>
      <c r="L899" s="10">
        <f t="shared" ref="L899:L962" si="133">44937-K899</f>
        <v>3119</v>
      </c>
      <c r="M899" s="8">
        <f t="shared" ref="M899:M962" si="134">YEAR(L899)-1900</f>
        <v>8</v>
      </c>
    </row>
    <row r="900" spans="1:13" x14ac:dyDescent="0.25">
      <c r="A900" s="4" t="s">
        <v>926</v>
      </c>
      <c r="B900" t="s">
        <v>3</v>
      </c>
      <c r="C900" t="s">
        <v>6</v>
      </c>
      <c r="D900" s="3">
        <f t="shared" si="126"/>
        <v>16</v>
      </c>
      <c r="E900" s="4">
        <f t="shared" si="127"/>
        <v>22</v>
      </c>
      <c r="F900" s="4">
        <f t="shared" si="128"/>
        <v>14</v>
      </c>
      <c r="G900" s="3">
        <f>IF(E900&gt;=20,2000,1900) + D900</f>
        <v>2016</v>
      </c>
      <c r="H900">
        <f t="shared" si="129"/>
        <v>2</v>
      </c>
      <c r="I900" s="4">
        <f t="shared" si="130"/>
        <v>14</v>
      </c>
      <c r="J900">
        <f t="shared" si="131"/>
        <v>20160214</v>
      </c>
      <c r="K900" t="str">
        <f t="shared" si="132"/>
        <v>14.02.2016</v>
      </c>
      <c r="L900" s="10">
        <f t="shared" si="133"/>
        <v>2523</v>
      </c>
      <c r="M900" s="8">
        <f t="shared" si="134"/>
        <v>6</v>
      </c>
    </row>
    <row r="901" spans="1:13" x14ac:dyDescent="0.25">
      <c r="A901" s="4" t="s">
        <v>927</v>
      </c>
      <c r="B901" t="s">
        <v>12</v>
      </c>
      <c r="C901" t="s">
        <v>4</v>
      </c>
      <c r="D901" s="3">
        <f t="shared" si="126"/>
        <v>6</v>
      </c>
      <c r="E901" s="4">
        <f t="shared" si="127"/>
        <v>24</v>
      </c>
      <c r="F901" s="4">
        <f t="shared" si="128"/>
        <v>9</v>
      </c>
      <c r="G901" s="3">
        <f>IF(E901&gt;=20,2000,1900) + D901</f>
        <v>2006</v>
      </c>
      <c r="H901">
        <f t="shared" si="129"/>
        <v>4</v>
      </c>
      <c r="I901" s="4">
        <f t="shared" si="130"/>
        <v>9</v>
      </c>
      <c r="J901">
        <f t="shared" si="131"/>
        <v>20060409</v>
      </c>
      <c r="K901" t="str">
        <f t="shared" si="132"/>
        <v>09.04.2006</v>
      </c>
      <c r="L901" s="10">
        <f t="shared" si="133"/>
        <v>6121</v>
      </c>
      <c r="M901" s="8">
        <f t="shared" si="134"/>
        <v>16</v>
      </c>
    </row>
    <row r="902" spans="1:13" x14ac:dyDescent="0.25">
      <c r="A902" s="4" t="s">
        <v>928</v>
      </c>
      <c r="B902" t="s">
        <v>9</v>
      </c>
      <c r="C902" t="s">
        <v>4</v>
      </c>
      <c r="D902" s="3">
        <f t="shared" si="126"/>
        <v>20</v>
      </c>
      <c r="E902" s="4">
        <f t="shared" si="127"/>
        <v>23</v>
      </c>
      <c r="F902" s="4">
        <f t="shared" si="128"/>
        <v>12</v>
      </c>
      <c r="G902" s="3">
        <f>IF(E902&gt;=20,2000,1900) + D902</f>
        <v>2020</v>
      </c>
      <c r="H902">
        <f t="shared" si="129"/>
        <v>3</v>
      </c>
      <c r="I902" s="4">
        <f t="shared" si="130"/>
        <v>12</v>
      </c>
      <c r="J902">
        <f t="shared" si="131"/>
        <v>20200312</v>
      </c>
      <c r="K902" t="str">
        <f t="shared" si="132"/>
        <v>12.03.2020</v>
      </c>
      <c r="L902" s="10">
        <f t="shared" si="133"/>
        <v>1035</v>
      </c>
      <c r="M902" s="8">
        <f t="shared" si="134"/>
        <v>2</v>
      </c>
    </row>
    <row r="903" spans="1:13" x14ac:dyDescent="0.25">
      <c r="A903" s="4" t="s">
        <v>929</v>
      </c>
      <c r="B903" t="s">
        <v>16</v>
      </c>
      <c r="C903" t="s">
        <v>6</v>
      </c>
      <c r="D903" s="3">
        <f t="shared" si="126"/>
        <v>2</v>
      </c>
      <c r="E903" s="4">
        <f t="shared" si="127"/>
        <v>26</v>
      </c>
      <c r="F903" s="4">
        <f t="shared" si="128"/>
        <v>9</v>
      </c>
      <c r="G903" s="3">
        <f>IF(E903&gt;=20,2000,1900) + D903</f>
        <v>2002</v>
      </c>
      <c r="H903">
        <f t="shared" si="129"/>
        <v>6</v>
      </c>
      <c r="I903" s="4">
        <f t="shared" si="130"/>
        <v>9</v>
      </c>
      <c r="J903">
        <f t="shared" si="131"/>
        <v>20020609</v>
      </c>
      <c r="K903" t="str">
        <f t="shared" si="132"/>
        <v>09.06.2002</v>
      </c>
      <c r="L903" s="10">
        <f t="shared" si="133"/>
        <v>7521</v>
      </c>
      <c r="M903" s="8">
        <f t="shared" si="134"/>
        <v>20</v>
      </c>
    </row>
    <row r="904" spans="1:13" x14ac:dyDescent="0.25">
      <c r="A904" s="4" t="s">
        <v>930</v>
      </c>
      <c r="B904" t="s">
        <v>3</v>
      </c>
      <c r="C904" t="s">
        <v>6</v>
      </c>
      <c r="D904" s="3">
        <f t="shared" si="126"/>
        <v>15</v>
      </c>
      <c r="E904" s="4">
        <f t="shared" si="127"/>
        <v>30</v>
      </c>
      <c r="F904" s="4">
        <f t="shared" si="128"/>
        <v>4</v>
      </c>
      <c r="G904" s="3">
        <f>IF(E904&gt;=20,2000,1900) + D904</f>
        <v>2015</v>
      </c>
      <c r="H904">
        <f t="shared" si="129"/>
        <v>10</v>
      </c>
      <c r="I904" s="4">
        <f t="shared" si="130"/>
        <v>4</v>
      </c>
      <c r="J904">
        <f t="shared" si="131"/>
        <v>20151004</v>
      </c>
      <c r="K904" t="str">
        <f t="shared" si="132"/>
        <v>04.10.2015</v>
      </c>
      <c r="L904" s="10">
        <f t="shared" si="133"/>
        <v>2656</v>
      </c>
      <c r="M904" s="8">
        <f t="shared" si="134"/>
        <v>7</v>
      </c>
    </row>
    <row r="905" spans="1:13" x14ac:dyDescent="0.25">
      <c r="A905" s="4" t="s">
        <v>931</v>
      </c>
      <c r="B905" t="s">
        <v>7</v>
      </c>
      <c r="C905" t="s">
        <v>4</v>
      </c>
      <c r="D905" s="3">
        <f t="shared" si="126"/>
        <v>12</v>
      </c>
      <c r="E905" s="4">
        <f t="shared" si="127"/>
        <v>24</v>
      </c>
      <c r="F905" s="4">
        <f t="shared" si="128"/>
        <v>16</v>
      </c>
      <c r="G905" s="3">
        <f>IF(E905&gt;=20,2000,1900) + D905</f>
        <v>2012</v>
      </c>
      <c r="H905">
        <f t="shared" si="129"/>
        <v>4</v>
      </c>
      <c r="I905" s="4">
        <f t="shared" si="130"/>
        <v>16</v>
      </c>
      <c r="J905">
        <f t="shared" si="131"/>
        <v>20120416</v>
      </c>
      <c r="K905" t="str">
        <f t="shared" si="132"/>
        <v>16.04.2012</v>
      </c>
      <c r="L905" s="10">
        <f t="shared" si="133"/>
        <v>3922</v>
      </c>
      <c r="M905" s="8">
        <f t="shared" si="134"/>
        <v>10</v>
      </c>
    </row>
    <row r="906" spans="1:13" x14ac:dyDescent="0.25">
      <c r="A906" s="4" t="s">
        <v>932</v>
      </c>
      <c r="B906" t="s">
        <v>11</v>
      </c>
      <c r="C906" t="s">
        <v>6</v>
      </c>
      <c r="D906" s="3">
        <f t="shared" si="126"/>
        <v>13</v>
      </c>
      <c r="E906" s="4">
        <f t="shared" si="127"/>
        <v>22</v>
      </c>
      <c r="F906" s="4">
        <f t="shared" si="128"/>
        <v>24</v>
      </c>
      <c r="G906" s="3">
        <f>IF(E906&gt;=20,2000,1900) + D906</f>
        <v>2013</v>
      </c>
      <c r="H906">
        <f t="shared" si="129"/>
        <v>2</v>
      </c>
      <c r="I906" s="4">
        <f t="shared" si="130"/>
        <v>24</v>
      </c>
      <c r="J906">
        <f t="shared" si="131"/>
        <v>20130224</v>
      </c>
      <c r="K906" t="str">
        <f t="shared" si="132"/>
        <v>24.02.2013</v>
      </c>
      <c r="L906" s="10">
        <f t="shared" si="133"/>
        <v>3608</v>
      </c>
      <c r="M906" s="8">
        <f t="shared" si="134"/>
        <v>9</v>
      </c>
    </row>
    <row r="907" spans="1:13" x14ac:dyDescent="0.25">
      <c r="A907" s="4" t="s">
        <v>933</v>
      </c>
      <c r="B907" t="s">
        <v>8</v>
      </c>
      <c r="C907" t="s">
        <v>4</v>
      </c>
      <c r="D907" s="3">
        <f t="shared" si="126"/>
        <v>20</v>
      </c>
      <c r="E907" s="4">
        <f t="shared" si="127"/>
        <v>30</v>
      </c>
      <c r="F907" s="4">
        <f t="shared" si="128"/>
        <v>31</v>
      </c>
      <c r="G907" s="3">
        <f>IF(E907&gt;=20,2000,1900) + D907</f>
        <v>2020</v>
      </c>
      <c r="H907">
        <f t="shared" si="129"/>
        <v>10</v>
      </c>
      <c r="I907" s="4">
        <f t="shared" si="130"/>
        <v>31</v>
      </c>
      <c r="J907">
        <f t="shared" si="131"/>
        <v>20201031</v>
      </c>
      <c r="K907" t="str">
        <f t="shared" si="132"/>
        <v>31.10.2020</v>
      </c>
      <c r="L907" s="10">
        <f t="shared" si="133"/>
        <v>802</v>
      </c>
      <c r="M907" s="8">
        <f t="shared" si="134"/>
        <v>2</v>
      </c>
    </row>
    <row r="908" spans="1:13" x14ac:dyDescent="0.25">
      <c r="A908" s="4" t="s">
        <v>934</v>
      </c>
      <c r="B908" t="s">
        <v>16</v>
      </c>
      <c r="C908" t="s">
        <v>4</v>
      </c>
      <c r="D908" s="3">
        <f t="shared" si="126"/>
        <v>14</v>
      </c>
      <c r="E908" s="4">
        <f t="shared" si="127"/>
        <v>27</v>
      </c>
      <c r="F908" s="4">
        <f t="shared" si="128"/>
        <v>18</v>
      </c>
      <c r="G908" s="3">
        <f>IF(E908&gt;=20,2000,1900) + D908</f>
        <v>2014</v>
      </c>
      <c r="H908">
        <f t="shared" si="129"/>
        <v>7</v>
      </c>
      <c r="I908" s="4">
        <f t="shared" si="130"/>
        <v>18</v>
      </c>
      <c r="J908">
        <f t="shared" si="131"/>
        <v>20140718</v>
      </c>
      <c r="K908" t="str">
        <f t="shared" si="132"/>
        <v>18.07.2014</v>
      </c>
      <c r="L908" s="10">
        <f t="shared" si="133"/>
        <v>3099</v>
      </c>
      <c r="M908" s="8">
        <f t="shared" si="134"/>
        <v>8</v>
      </c>
    </row>
    <row r="909" spans="1:13" x14ac:dyDescent="0.25">
      <c r="A909" s="4" t="s">
        <v>935</v>
      </c>
      <c r="B909" t="s">
        <v>7</v>
      </c>
      <c r="C909" t="s">
        <v>4</v>
      </c>
      <c r="D909" s="3">
        <f t="shared" si="126"/>
        <v>6</v>
      </c>
      <c r="E909" s="4">
        <f t="shared" si="127"/>
        <v>22</v>
      </c>
      <c r="F909" s="4">
        <f t="shared" si="128"/>
        <v>3</v>
      </c>
      <c r="G909" s="3">
        <f>IF(E909&gt;=20,2000,1900) + D909</f>
        <v>2006</v>
      </c>
      <c r="H909">
        <f t="shared" si="129"/>
        <v>2</v>
      </c>
      <c r="I909" s="4">
        <f t="shared" si="130"/>
        <v>3</v>
      </c>
      <c r="J909">
        <f t="shared" si="131"/>
        <v>20060203</v>
      </c>
      <c r="K909" t="str">
        <f t="shared" si="132"/>
        <v>03.02.2006</v>
      </c>
      <c r="L909" s="10">
        <f t="shared" si="133"/>
        <v>6186</v>
      </c>
      <c r="M909" s="8">
        <f t="shared" si="134"/>
        <v>16</v>
      </c>
    </row>
    <row r="910" spans="1:13" x14ac:dyDescent="0.25">
      <c r="A910" s="4" t="s">
        <v>936</v>
      </c>
      <c r="B910" t="s">
        <v>13</v>
      </c>
      <c r="C910" t="s">
        <v>4</v>
      </c>
      <c r="D910" s="3">
        <f t="shared" si="126"/>
        <v>7</v>
      </c>
      <c r="E910" s="4">
        <f t="shared" si="127"/>
        <v>23</v>
      </c>
      <c r="F910" s="4">
        <f t="shared" si="128"/>
        <v>16</v>
      </c>
      <c r="G910" s="3">
        <f>IF(E910&gt;=20,2000,1900) + D910</f>
        <v>2007</v>
      </c>
      <c r="H910">
        <f t="shared" si="129"/>
        <v>3</v>
      </c>
      <c r="I910" s="4">
        <f t="shared" si="130"/>
        <v>16</v>
      </c>
      <c r="J910">
        <f t="shared" si="131"/>
        <v>20070316</v>
      </c>
      <c r="K910" t="str">
        <f t="shared" si="132"/>
        <v>16.03.2007</v>
      </c>
      <c r="L910" s="10">
        <f t="shared" si="133"/>
        <v>5780</v>
      </c>
      <c r="M910" s="8">
        <f t="shared" si="134"/>
        <v>15</v>
      </c>
    </row>
    <row r="911" spans="1:13" x14ac:dyDescent="0.25">
      <c r="A911" s="4" t="s">
        <v>937</v>
      </c>
      <c r="B911" t="s">
        <v>16</v>
      </c>
      <c r="C911" t="s">
        <v>4</v>
      </c>
      <c r="D911" s="3">
        <f t="shared" si="126"/>
        <v>7</v>
      </c>
      <c r="E911" s="4">
        <f t="shared" si="127"/>
        <v>28</v>
      </c>
      <c r="F911" s="4">
        <f t="shared" si="128"/>
        <v>21</v>
      </c>
      <c r="G911" s="3">
        <f>IF(E911&gt;=20,2000,1900) + D911</f>
        <v>2007</v>
      </c>
      <c r="H911">
        <f t="shared" si="129"/>
        <v>8</v>
      </c>
      <c r="I911" s="4">
        <f t="shared" si="130"/>
        <v>21</v>
      </c>
      <c r="J911">
        <f t="shared" si="131"/>
        <v>20070821</v>
      </c>
      <c r="K911" t="str">
        <f t="shared" si="132"/>
        <v>21.08.2007</v>
      </c>
      <c r="L911" s="10">
        <f t="shared" si="133"/>
        <v>5622</v>
      </c>
      <c r="M911" s="8">
        <f t="shared" si="134"/>
        <v>15</v>
      </c>
    </row>
    <row r="912" spans="1:13" x14ac:dyDescent="0.25">
      <c r="A912" s="4" t="s">
        <v>938</v>
      </c>
      <c r="B912" t="s">
        <v>15</v>
      </c>
      <c r="C912" t="s">
        <v>6</v>
      </c>
      <c r="D912" s="3">
        <f t="shared" si="126"/>
        <v>13</v>
      </c>
      <c r="E912" s="4">
        <f t="shared" si="127"/>
        <v>24</v>
      </c>
      <c r="F912" s="4">
        <f t="shared" si="128"/>
        <v>27</v>
      </c>
      <c r="G912" s="3">
        <f>IF(E912&gt;=20,2000,1900) + D912</f>
        <v>2013</v>
      </c>
      <c r="H912">
        <f t="shared" si="129"/>
        <v>4</v>
      </c>
      <c r="I912" s="4">
        <f t="shared" si="130"/>
        <v>27</v>
      </c>
      <c r="J912">
        <f t="shared" si="131"/>
        <v>20130427</v>
      </c>
      <c r="K912" t="str">
        <f t="shared" si="132"/>
        <v>27.04.2013</v>
      </c>
      <c r="L912" s="10">
        <f t="shared" si="133"/>
        <v>3546</v>
      </c>
      <c r="M912" s="8">
        <f t="shared" si="134"/>
        <v>9</v>
      </c>
    </row>
    <row r="913" spans="1:13" x14ac:dyDescent="0.25">
      <c r="A913" s="4" t="s">
        <v>939</v>
      </c>
      <c r="B913" t="s">
        <v>19</v>
      </c>
      <c r="C913" t="s">
        <v>6</v>
      </c>
      <c r="D913" s="3">
        <f t="shared" si="126"/>
        <v>22</v>
      </c>
      <c r="E913" s="4">
        <f t="shared" si="127"/>
        <v>27</v>
      </c>
      <c r="F913" s="4">
        <f t="shared" si="128"/>
        <v>1</v>
      </c>
      <c r="G913" s="3">
        <f>IF(E913&gt;=20,2000,1900) + D913</f>
        <v>2022</v>
      </c>
      <c r="H913">
        <f t="shared" si="129"/>
        <v>7</v>
      </c>
      <c r="I913" s="4">
        <f t="shared" si="130"/>
        <v>1</v>
      </c>
      <c r="J913">
        <f t="shared" si="131"/>
        <v>20220701</v>
      </c>
      <c r="K913" t="str">
        <f t="shared" si="132"/>
        <v>01.07.2022</v>
      </c>
      <c r="L913" s="10">
        <f t="shared" si="133"/>
        <v>194</v>
      </c>
      <c r="M913" s="8">
        <f t="shared" si="134"/>
        <v>0</v>
      </c>
    </row>
    <row r="914" spans="1:13" x14ac:dyDescent="0.25">
      <c r="A914" s="4" t="s">
        <v>940</v>
      </c>
      <c r="B914" t="s">
        <v>3</v>
      </c>
      <c r="C914" t="s">
        <v>6</v>
      </c>
      <c r="D914" s="3">
        <f t="shared" si="126"/>
        <v>15</v>
      </c>
      <c r="E914" s="4">
        <f t="shared" si="127"/>
        <v>22</v>
      </c>
      <c r="F914" s="4">
        <f t="shared" si="128"/>
        <v>3</v>
      </c>
      <c r="G914" s="3">
        <f>IF(E914&gt;=20,2000,1900) + D914</f>
        <v>2015</v>
      </c>
      <c r="H914">
        <f t="shared" si="129"/>
        <v>2</v>
      </c>
      <c r="I914" s="4">
        <f t="shared" si="130"/>
        <v>3</v>
      </c>
      <c r="J914">
        <f t="shared" si="131"/>
        <v>20150203</v>
      </c>
      <c r="K914" t="str">
        <f t="shared" si="132"/>
        <v>03.02.2015</v>
      </c>
      <c r="L914" s="10">
        <f t="shared" si="133"/>
        <v>2899</v>
      </c>
      <c r="M914" s="8">
        <f t="shared" si="134"/>
        <v>7</v>
      </c>
    </row>
    <row r="915" spans="1:13" x14ac:dyDescent="0.25">
      <c r="A915" s="4" t="s">
        <v>941</v>
      </c>
      <c r="B915" t="s">
        <v>14</v>
      </c>
      <c r="C915" t="s">
        <v>6</v>
      </c>
      <c r="D915" s="3">
        <f t="shared" si="126"/>
        <v>16</v>
      </c>
      <c r="E915" s="4">
        <f t="shared" si="127"/>
        <v>32</v>
      </c>
      <c r="F915" s="4">
        <f t="shared" si="128"/>
        <v>30</v>
      </c>
      <c r="G915" s="3">
        <f>IF(E915&gt;=20,2000,1900) + D915</f>
        <v>2016</v>
      </c>
      <c r="H915">
        <f t="shared" si="129"/>
        <v>12</v>
      </c>
      <c r="I915" s="4">
        <f t="shared" si="130"/>
        <v>30</v>
      </c>
      <c r="J915">
        <f t="shared" si="131"/>
        <v>20161230</v>
      </c>
      <c r="K915" t="str">
        <f t="shared" si="132"/>
        <v>30.12.2016</v>
      </c>
      <c r="L915" s="10">
        <f t="shared" si="133"/>
        <v>2203</v>
      </c>
      <c r="M915" s="8">
        <f t="shared" si="134"/>
        <v>6</v>
      </c>
    </row>
    <row r="916" spans="1:13" x14ac:dyDescent="0.25">
      <c r="A916" s="4" t="s">
        <v>942</v>
      </c>
      <c r="B916" t="s">
        <v>14</v>
      </c>
      <c r="C916" t="s">
        <v>4</v>
      </c>
      <c r="D916" s="3">
        <f t="shared" si="126"/>
        <v>17</v>
      </c>
      <c r="E916" s="4">
        <f t="shared" si="127"/>
        <v>21</v>
      </c>
      <c r="F916" s="4">
        <f t="shared" si="128"/>
        <v>29</v>
      </c>
      <c r="G916" s="3">
        <f>IF(E916&gt;=20,2000,1900) + D916</f>
        <v>2017</v>
      </c>
      <c r="H916">
        <f t="shared" si="129"/>
        <v>1</v>
      </c>
      <c r="I916" s="4">
        <f t="shared" si="130"/>
        <v>29</v>
      </c>
      <c r="J916">
        <f t="shared" si="131"/>
        <v>20170129</v>
      </c>
      <c r="K916" t="str">
        <f t="shared" si="132"/>
        <v>29.01.2017</v>
      </c>
      <c r="L916" s="10">
        <f t="shared" si="133"/>
        <v>2173</v>
      </c>
      <c r="M916" s="8">
        <f t="shared" si="134"/>
        <v>5</v>
      </c>
    </row>
    <row r="917" spans="1:13" x14ac:dyDescent="0.25">
      <c r="A917" s="4" t="s">
        <v>943</v>
      </c>
      <c r="B917" t="s">
        <v>7</v>
      </c>
      <c r="C917" t="s">
        <v>6</v>
      </c>
      <c r="D917" s="3">
        <f t="shared" si="126"/>
        <v>6</v>
      </c>
      <c r="E917" s="4">
        <f t="shared" si="127"/>
        <v>28</v>
      </c>
      <c r="F917" s="4">
        <f t="shared" si="128"/>
        <v>9</v>
      </c>
      <c r="G917" s="3">
        <f>IF(E917&gt;=20,2000,1900) + D917</f>
        <v>2006</v>
      </c>
      <c r="H917">
        <f t="shared" si="129"/>
        <v>8</v>
      </c>
      <c r="I917" s="4">
        <f t="shared" si="130"/>
        <v>9</v>
      </c>
      <c r="J917">
        <f t="shared" si="131"/>
        <v>20060809</v>
      </c>
      <c r="K917" t="str">
        <f t="shared" si="132"/>
        <v>09.08.2006</v>
      </c>
      <c r="L917" s="10">
        <f t="shared" si="133"/>
        <v>5999</v>
      </c>
      <c r="M917" s="8">
        <f t="shared" si="134"/>
        <v>16</v>
      </c>
    </row>
    <row r="918" spans="1:13" x14ac:dyDescent="0.25">
      <c r="A918" s="4" t="s">
        <v>944</v>
      </c>
      <c r="B918" t="s">
        <v>15</v>
      </c>
      <c r="C918" t="s">
        <v>6</v>
      </c>
      <c r="D918" s="3">
        <f t="shared" si="126"/>
        <v>20</v>
      </c>
      <c r="E918" s="4">
        <f t="shared" si="127"/>
        <v>30</v>
      </c>
      <c r="F918" s="4">
        <f t="shared" si="128"/>
        <v>12</v>
      </c>
      <c r="G918" s="3">
        <f>IF(E918&gt;=20,2000,1900) + D918</f>
        <v>2020</v>
      </c>
      <c r="H918">
        <f t="shared" si="129"/>
        <v>10</v>
      </c>
      <c r="I918" s="4">
        <f t="shared" si="130"/>
        <v>12</v>
      </c>
      <c r="J918">
        <f t="shared" si="131"/>
        <v>20201012</v>
      </c>
      <c r="K918" t="str">
        <f t="shared" si="132"/>
        <v>12.10.2020</v>
      </c>
      <c r="L918" s="10">
        <f t="shared" si="133"/>
        <v>821</v>
      </c>
      <c r="M918" s="8">
        <f t="shared" si="134"/>
        <v>2</v>
      </c>
    </row>
    <row r="919" spans="1:13" x14ac:dyDescent="0.25">
      <c r="A919" s="4" t="s">
        <v>945</v>
      </c>
      <c r="B919" t="s">
        <v>3</v>
      </c>
      <c r="C919" t="s">
        <v>6</v>
      </c>
      <c r="D919" s="3">
        <f t="shared" si="126"/>
        <v>1</v>
      </c>
      <c r="E919" s="4">
        <f t="shared" si="127"/>
        <v>30</v>
      </c>
      <c r="F919" s="4">
        <f t="shared" si="128"/>
        <v>8</v>
      </c>
      <c r="G919" s="3">
        <f>IF(E919&gt;=20,2000,1900) + D919</f>
        <v>2001</v>
      </c>
      <c r="H919">
        <f t="shared" si="129"/>
        <v>10</v>
      </c>
      <c r="I919" s="4">
        <f t="shared" si="130"/>
        <v>8</v>
      </c>
      <c r="J919">
        <f t="shared" si="131"/>
        <v>20011008</v>
      </c>
      <c r="K919" t="str">
        <f t="shared" si="132"/>
        <v>08.10.2001</v>
      </c>
      <c r="L919" s="10">
        <f t="shared" si="133"/>
        <v>7765</v>
      </c>
      <c r="M919" s="8">
        <f t="shared" si="134"/>
        <v>21</v>
      </c>
    </row>
    <row r="920" spans="1:13" x14ac:dyDescent="0.25">
      <c r="A920" s="4" t="s">
        <v>946</v>
      </c>
      <c r="B920" t="s">
        <v>3</v>
      </c>
      <c r="C920" t="s">
        <v>6</v>
      </c>
      <c r="D920" s="3">
        <f t="shared" si="126"/>
        <v>21</v>
      </c>
      <c r="E920" s="4">
        <f t="shared" si="127"/>
        <v>29</v>
      </c>
      <c r="F920" s="4">
        <f t="shared" si="128"/>
        <v>28</v>
      </c>
      <c r="G920" s="3">
        <f>IF(E920&gt;=20,2000,1900) + D920</f>
        <v>2021</v>
      </c>
      <c r="H920">
        <f t="shared" si="129"/>
        <v>9</v>
      </c>
      <c r="I920" s="4">
        <f t="shared" si="130"/>
        <v>28</v>
      </c>
      <c r="J920">
        <f t="shared" si="131"/>
        <v>20210928</v>
      </c>
      <c r="K920" t="str">
        <f t="shared" si="132"/>
        <v>28.09.2021</v>
      </c>
      <c r="L920" s="10">
        <f t="shared" si="133"/>
        <v>470</v>
      </c>
      <c r="M920" s="8">
        <f t="shared" si="134"/>
        <v>1</v>
      </c>
    </row>
    <row r="921" spans="1:13" x14ac:dyDescent="0.25">
      <c r="A921" s="4" t="s">
        <v>947</v>
      </c>
      <c r="B921" t="s">
        <v>17</v>
      </c>
      <c r="C921" t="s">
        <v>6</v>
      </c>
      <c r="D921" s="3">
        <f t="shared" si="126"/>
        <v>9</v>
      </c>
      <c r="E921" s="4">
        <f t="shared" si="127"/>
        <v>31</v>
      </c>
      <c r="F921" s="4">
        <f t="shared" si="128"/>
        <v>9</v>
      </c>
      <c r="G921" s="3">
        <f>IF(E921&gt;=20,2000,1900) + D921</f>
        <v>2009</v>
      </c>
      <c r="H921">
        <f t="shared" si="129"/>
        <v>11</v>
      </c>
      <c r="I921" s="4">
        <f t="shared" si="130"/>
        <v>9</v>
      </c>
      <c r="J921">
        <f t="shared" si="131"/>
        <v>20091109</v>
      </c>
      <c r="K921" t="str">
        <f t="shared" si="132"/>
        <v>09.11.2009</v>
      </c>
      <c r="L921" s="10">
        <f t="shared" si="133"/>
        <v>4811</v>
      </c>
      <c r="M921" s="8">
        <f t="shared" si="134"/>
        <v>13</v>
      </c>
    </row>
    <row r="922" spans="1:13" x14ac:dyDescent="0.25">
      <c r="A922" s="4" t="s">
        <v>948</v>
      </c>
      <c r="B922" t="s">
        <v>11</v>
      </c>
      <c r="C922" t="s">
        <v>6</v>
      </c>
      <c r="D922" s="3">
        <f t="shared" si="126"/>
        <v>0</v>
      </c>
      <c r="E922" s="4">
        <f t="shared" si="127"/>
        <v>30</v>
      </c>
      <c r="F922" s="4">
        <f t="shared" si="128"/>
        <v>19</v>
      </c>
      <c r="G922" s="3">
        <f>IF(E922&gt;=20,2000,1900) + D922</f>
        <v>2000</v>
      </c>
      <c r="H922">
        <f t="shared" si="129"/>
        <v>10</v>
      </c>
      <c r="I922" s="4">
        <f t="shared" si="130"/>
        <v>19</v>
      </c>
      <c r="J922">
        <f t="shared" si="131"/>
        <v>20001019</v>
      </c>
      <c r="K922" t="str">
        <f t="shared" si="132"/>
        <v>19.10.2000</v>
      </c>
      <c r="L922" s="10">
        <f t="shared" si="133"/>
        <v>8119</v>
      </c>
      <c r="M922" s="8">
        <f t="shared" si="134"/>
        <v>22</v>
      </c>
    </row>
    <row r="923" spans="1:13" x14ac:dyDescent="0.25">
      <c r="A923" s="4" t="s">
        <v>949</v>
      </c>
      <c r="B923" t="s">
        <v>15</v>
      </c>
      <c r="C923" t="s">
        <v>6</v>
      </c>
      <c r="D923" s="3">
        <f t="shared" si="126"/>
        <v>1</v>
      </c>
      <c r="E923" s="4">
        <f t="shared" si="127"/>
        <v>24</v>
      </c>
      <c r="F923" s="4">
        <f t="shared" si="128"/>
        <v>13</v>
      </c>
      <c r="G923" s="3">
        <f>IF(E923&gt;=20,2000,1900) + D923</f>
        <v>2001</v>
      </c>
      <c r="H923">
        <f t="shared" si="129"/>
        <v>4</v>
      </c>
      <c r="I923" s="4">
        <f t="shared" si="130"/>
        <v>13</v>
      </c>
      <c r="J923">
        <f t="shared" si="131"/>
        <v>20010413</v>
      </c>
      <c r="K923" t="str">
        <f t="shared" si="132"/>
        <v>13.04.2001</v>
      </c>
      <c r="L923" s="10">
        <f t="shared" si="133"/>
        <v>7943</v>
      </c>
      <c r="M923" s="8">
        <f t="shared" si="134"/>
        <v>21</v>
      </c>
    </row>
    <row r="924" spans="1:13" x14ac:dyDescent="0.25">
      <c r="A924" s="4" t="s">
        <v>950</v>
      </c>
      <c r="B924" t="s">
        <v>7</v>
      </c>
      <c r="C924" t="s">
        <v>4</v>
      </c>
      <c r="D924" s="3">
        <f t="shared" si="126"/>
        <v>20</v>
      </c>
      <c r="E924" s="4">
        <f t="shared" si="127"/>
        <v>24</v>
      </c>
      <c r="F924" s="4">
        <f t="shared" si="128"/>
        <v>22</v>
      </c>
      <c r="G924" s="3">
        <f>IF(E924&gt;=20,2000,1900) + D924</f>
        <v>2020</v>
      </c>
      <c r="H924">
        <f t="shared" si="129"/>
        <v>4</v>
      </c>
      <c r="I924" s="4">
        <f t="shared" si="130"/>
        <v>22</v>
      </c>
      <c r="J924">
        <f t="shared" si="131"/>
        <v>20200422</v>
      </c>
      <c r="K924" t="str">
        <f t="shared" si="132"/>
        <v>22.04.2020</v>
      </c>
      <c r="L924" s="10">
        <f t="shared" si="133"/>
        <v>994</v>
      </c>
      <c r="M924" s="8">
        <f t="shared" si="134"/>
        <v>2</v>
      </c>
    </row>
    <row r="925" spans="1:13" x14ac:dyDescent="0.25">
      <c r="A925" s="4" t="s">
        <v>951</v>
      </c>
      <c r="B925" t="s">
        <v>7</v>
      </c>
      <c r="C925" t="s">
        <v>4</v>
      </c>
      <c r="D925" s="3">
        <f t="shared" si="126"/>
        <v>0</v>
      </c>
      <c r="E925" s="4">
        <f t="shared" si="127"/>
        <v>23</v>
      </c>
      <c r="F925" s="4">
        <f t="shared" si="128"/>
        <v>11</v>
      </c>
      <c r="G925" s="3">
        <f>IF(E925&gt;=20,2000,1900) + D925</f>
        <v>2000</v>
      </c>
      <c r="H925">
        <f t="shared" si="129"/>
        <v>3</v>
      </c>
      <c r="I925" s="4">
        <f t="shared" si="130"/>
        <v>11</v>
      </c>
      <c r="J925">
        <f t="shared" si="131"/>
        <v>20000311</v>
      </c>
      <c r="K925" t="str">
        <f t="shared" si="132"/>
        <v>11.03.2000</v>
      </c>
      <c r="L925" s="10">
        <f t="shared" si="133"/>
        <v>8341</v>
      </c>
      <c r="M925" s="8">
        <f t="shared" si="134"/>
        <v>22</v>
      </c>
    </row>
    <row r="926" spans="1:13" x14ac:dyDescent="0.25">
      <c r="A926" s="4" t="s">
        <v>952</v>
      </c>
      <c r="B926" t="s">
        <v>15</v>
      </c>
      <c r="C926" t="s">
        <v>4</v>
      </c>
      <c r="D926" s="3">
        <f t="shared" si="126"/>
        <v>15</v>
      </c>
      <c r="E926" s="4">
        <f t="shared" si="127"/>
        <v>27</v>
      </c>
      <c r="F926" s="4">
        <f t="shared" si="128"/>
        <v>26</v>
      </c>
      <c r="G926" s="3">
        <f>IF(E926&gt;=20,2000,1900) + D926</f>
        <v>2015</v>
      </c>
      <c r="H926">
        <f t="shared" si="129"/>
        <v>7</v>
      </c>
      <c r="I926" s="4">
        <f t="shared" si="130"/>
        <v>26</v>
      </c>
      <c r="J926">
        <f t="shared" si="131"/>
        <v>20150726</v>
      </c>
      <c r="K926" t="str">
        <f t="shared" si="132"/>
        <v>26.07.2015</v>
      </c>
      <c r="L926" s="10">
        <f t="shared" si="133"/>
        <v>2726</v>
      </c>
      <c r="M926" s="8">
        <f t="shared" si="134"/>
        <v>7</v>
      </c>
    </row>
    <row r="927" spans="1:13" x14ac:dyDescent="0.25">
      <c r="A927" s="4" t="s">
        <v>953</v>
      </c>
      <c r="B927" t="s">
        <v>3</v>
      </c>
      <c r="C927" t="s">
        <v>4</v>
      </c>
      <c r="D927" s="3">
        <f t="shared" si="126"/>
        <v>22</v>
      </c>
      <c r="E927" s="4">
        <f t="shared" si="127"/>
        <v>30</v>
      </c>
      <c r="F927" s="4">
        <f t="shared" si="128"/>
        <v>23</v>
      </c>
      <c r="G927" s="3">
        <f>IF(E927&gt;=20,2000,1900) + D927</f>
        <v>2022</v>
      </c>
      <c r="H927">
        <f t="shared" si="129"/>
        <v>10</v>
      </c>
      <c r="I927" s="4">
        <f t="shared" si="130"/>
        <v>23</v>
      </c>
      <c r="J927">
        <f t="shared" si="131"/>
        <v>20221023</v>
      </c>
      <c r="K927" t="str">
        <f t="shared" si="132"/>
        <v>23.10.2022</v>
      </c>
      <c r="L927" s="10">
        <f t="shared" si="133"/>
        <v>80</v>
      </c>
      <c r="M927" s="8">
        <f t="shared" si="134"/>
        <v>0</v>
      </c>
    </row>
    <row r="928" spans="1:13" x14ac:dyDescent="0.25">
      <c r="A928" s="4" t="s">
        <v>954</v>
      </c>
      <c r="B928" t="s">
        <v>9</v>
      </c>
      <c r="C928" t="s">
        <v>6</v>
      </c>
      <c r="D928" s="3">
        <f t="shared" si="126"/>
        <v>17</v>
      </c>
      <c r="E928" s="4">
        <f t="shared" si="127"/>
        <v>24</v>
      </c>
      <c r="F928" s="4">
        <f t="shared" si="128"/>
        <v>15</v>
      </c>
      <c r="G928" s="3">
        <f>IF(E928&gt;=20,2000,1900) + D928</f>
        <v>2017</v>
      </c>
      <c r="H928">
        <f t="shared" si="129"/>
        <v>4</v>
      </c>
      <c r="I928" s="4">
        <f t="shared" si="130"/>
        <v>15</v>
      </c>
      <c r="J928">
        <f t="shared" si="131"/>
        <v>20170415</v>
      </c>
      <c r="K928" t="str">
        <f t="shared" si="132"/>
        <v>15.04.2017</v>
      </c>
      <c r="L928" s="10">
        <f t="shared" si="133"/>
        <v>2097</v>
      </c>
      <c r="M928" s="8">
        <f t="shared" si="134"/>
        <v>5</v>
      </c>
    </row>
    <row r="929" spans="1:13" x14ac:dyDescent="0.25">
      <c r="A929" s="4" t="s">
        <v>955</v>
      </c>
      <c r="B929" t="s">
        <v>9</v>
      </c>
      <c r="C929" t="s">
        <v>6</v>
      </c>
      <c r="D929" s="3">
        <f t="shared" si="126"/>
        <v>11</v>
      </c>
      <c r="E929" s="4">
        <f t="shared" si="127"/>
        <v>27</v>
      </c>
      <c r="F929" s="4">
        <f t="shared" si="128"/>
        <v>29</v>
      </c>
      <c r="G929" s="3">
        <f>IF(E929&gt;=20,2000,1900) + D929</f>
        <v>2011</v>
      </c>
      <c r="H929">
        <f t="shared" si="129"/>
        <v>7</v>
      </c>
      <c r="I929" s="4">
        <f t="shared" si="130"/>
        <v>29</v>
      </c>
      <c r="J929">
        <f t="shared" si="131"/>
        <v>20110729</v>
      </c>
      <c r="K929" t="str">
        <f t="shared" si="132"/>
        <v>29.07.2011</v>
      </c>
      <c r="L929" s="10">
        <f t="shared" si="133"/>
        <v>4184</v>
      </c>
      <c r="M929" s="8">
        <f t="shared" si="134"/>
        <v>11</v>
      </c>
    </row>
    <row r="930" spans="1:13" x14ac:dyDescent="0.25">
      <c r="A930" s="4" t="s">
        <v>956</v>
      </c>
      <c r="B930" t="s">
        <v>14</v>
      </c>
      <c r="C930" t="s">
        <v>4</v>
      </c>
      <c r="D930" s="3">
        <f t="shared" si="126"/>
        <v>15</v>
      </c>
      <c r="E930" s="4">
        <f t="shared" si="127"/>
        <v>32</v>
      </c>
      <c r="F930" s="4">
        <f t="shared" si="128"/>
        <v>31</v>
      </c>
      <c r="G930" s="3">
        <f>IF(E930&gt;=20,2000,1900) + D930</f>
        <v>2015</v>
      </c>
      <c r="H930">
        <f t="shared" si="129"/>
        <v>12</v>
      </c>
      <c r="I930" s="4">
        <f t="shared" si="130"/>
        <v>31</v>
      </c>
      <c r="J930">
        <f t="shared" si="131"/>
        <v>20151231</v>
      </c>
      <c r="K930" t="str">
        <f t="shared" si="132"/>
        <v>31.12.2015</v>
      </c>
      <c r="L930" s="10">
        <f t="shared" si="133"/>
        <v>2568</v>
      </c>
      <c r="M930" s="8">
        <f t="shared" si="134"/>
        <v>7</v>
      </c>
    </row>
    <row r="931" spans="1:13" x14ac:dyDescent="0.25">
      <c r="A931" s="4" t="s">
        <v>957</v>
      </c>
      <c r="B931" t="s">
        <v>5</v>
      </c>
      <c r="C931" t="s">
        <v>4</v>
      </c>
      <c r="D931" s="3">
        <f t="shared" si="126"/>
        <v>9</v>
      </c>
      <c r="E931" s="4">
        <f t="shared" si="127"/>
        <v>26</v>
      </c>
      <c r="F931" s="4">
        <f t="shared" si="128"/>
        <v>22</v>
      </c>
      <c r="G931" s="3">
        <f>IF(E931&gt;=20,2000,1900) + D931</f>
        <v>2009</v>
      </c>
      <c r="H931">
        <f t="shared" si="129"/>
        <v>6</v>
      </c>
      <c r="I931" s="4">
        <f t="shared" si="130"/>
        <v>22</v>
      </c>
      <c r="J931">
        <f t="shared" si="131"/>
        <v>20090622</v>
      </c>
      <c r="K931" t="str">
        <f t="shared" si="132"/>
        <v>22.06.2009</v>
      </c>
      <c r="L931" s="10">
        <f t="shared" si="133"/>
        <v>4951</v>
      </c>
      <c r="M931" s="8">
        <f t="shared" si="134"/>
        <v>13</v>
      </c>
    </row>
    <row r="932" spans="1:13" x14ac:dyDescent="0.25">
      <c r="A932" s="4" t="s">
        <v>958</v>
      </c>
      <c r="B932" t="s">
        <v>18</v>
      </c>
      <c r="C932" t="s">
        <v>4</v>
      </c>
      <c r="D932" s="3">
        <f t="shared" si="126"/>
        <v>21</v>
      </c>
      <c r="E932" s="4">
        <f t="shared" si="127"/>
        <v>22</v>
      </c>
      <c r="F932" s="4">
        <f t="shared" si="128"/>
        <v>6</v>
      </c>
      <c r="G932" s="3">
        <f>IF(E932&gt;=20,2000,1900) + D932</f>
        <v>2021</v>
      </c>
      <c r="H932">
        <f t="shared" si="129"/>
        <v>2</v>
      </c>
      <c r="I932" s="4">
        <f t="shared" si="130"/>
        <v>6</v>
      </c>
      <c r="J932">
        <f t="shared" si="131"/>
        <v>20210206</v>
      </c>
      <c r="K932" t="str">
        <f t="shared" si="132"/>
        <v>06.02.2021</v>
      </c>
      <c r="L932" s="10">
        <f t="shared" si="133"/>
        <v>704</v>
      </c>
      <c r="M932" s="8">
        <f t="shared" si="134"/>
        <v>1</v>
      </c>
    </row>
    <row r="933" spans="1:13" x14ac:dyDescent="0.25">
      <c r="A933" s="4" t="s">
        <v>959</v>
      </c>
      <c r="B933" t="s">
        <v>14</v>
      </c>
      <c r="C933" t="s">
        <v>4</v>
      </c>
      <c r="D933" s="3">
        <f t="shared" si="126"/>
        <v>8</v>
      </c>
      <c r="E933" s="4">
        <f t="shared" si="127"/>
        <v>32</v>
      </c>
      <c r="F933" s="4">
        <f t="shared" si="128"/>
        <v>16</v>
      </c>
      <c r="G933" s="3">
        <f>IF(E933&gt;=20,2000,1900) + D933</f>
        <v>2008</v>
      </c>
      <c r="H933">
        <f t="shared" si="129"/>
        <v>12</v>
      </c>
      <c r="I933" s="4">
        <f t="shared" si="130"/>
        <v>16</v>
      </c>
      <c r="J933">
        <f t="shared" si="131"/>
        <v>20081216</v>
      </c>
      <c r="K933" t="str">
        <f t="shared" si="132"/>
        <v>16.12.2008</v>
      </c>
      <c r="L933" s="10">
        <f t="shared" si="133"/>
        <v>5139</v>
      </c>
      <c r="M933" s="8">
        <f t="shared" si="134"/>
        <v>14</v>
      </c>
    </row>
    <row r="934" spans="1:13" x14ac:dyDescent="0.25">
      <c r="A934" s="4" t="s">
        <v>960</v>
      </c>
      <c r="B934" t="s">
        <v>7</v>
      </c>
      <c r="C934" t="s">
        <v>4</v>
      </c>
      <c r="D934" s="3">
        <f t="shared" si="126"/>
        <v>4</v>
      </c>
      <c r="E934" s="4">
        <f t="shared" si="127"/>
        <v>32</v>
      </c>
      <c r="F934" s="4">
        <f t="shared" si="128"/>
        <v>21</v>
      </c>
      <c r="G934" s="3">
        <f>IF(E934&gt;=20,2000,1900) + D934</f>
        <v>2004</v>
      </c>
      <c r="H934">
        <f t="shared" si="129"/>
        <v>12</v>
      </c>
      <c r="I934" s="4">
        <f t="shared" si="130"/>
        <v>21</v>
      </c>
      <c r="J934">
        <f t="shared" si="131"/>
        <v>20041221</v>
      </c>
      <c r="K934" t="str">
        <f t="shared" si="132"/>
        <v>21.12.2004</v>
      </c>
      <c r="L934" s="10">
        <f t="shared" si="133"/>
        <v>6595</v>
      </c>
      <c r="M934" s="8">
        <f t="shared" si="134"/>
        <v>18</v>
      </c>
    </row>
    <row r="935" spans="1:13" x14ac:dyDescent="0.25">
      <c r="A935" s="4" t="s">
        <v>961</v>
      </c>
      <c r="B935" t="s">
        <v>5</v>
      </c>
      <c r="C935" t="s">
        <v>4</v>
      </c>
      <c r="D935" s="3">
        <f t="shared" si="126"/>
        <v>10</v>
      </c>
      <c r="E935" s="4">
        <f t="shared" si="127"/>
        <v>30</v>
      </c>
      <c r="F935" s="4">
        <f t="shared" si="128"/>
        <v>17</v>
      </c>
      <c r="G935" s="3">
        <f>IF(E935&gt;=20,2000,1900) + D935</f>
        <v>2010</v>
      </c>
      <c r="H935">
        <f t="shared" si="129"/>
        <v>10</v>
      </c>
      <c r="I935" s="4">
        <f t="shared" si="130"/>
        <v>17</v>
      </c>
      <c r="J935">
        <f t="shared" si="131"/>
        <v>20101017</v>
      </c>
      <c r="K935" t="str">
        <f t="shared" si="132"/>
        <v>17.10.2010</v>
      </c>
      <c r="L935" s="10">
        <f t="shared" si="133"/>
        <v>4469</v>
      </c>
      <c r="M935" s="8">
        <f t="shared" si="134"/>
        <v>12</v>
      </c>
    </row>
    <row r="936" spans="1:13" x14ac:dyDescent="0.25">
      <c r="A936" s="4" t="s">
        <v>962</v>
      </c>
      <c r="B936" t="s">
        <v>17</v>
      </c>
      <c r="C936" t="s">
        <v>6</v>
      </c>
      <c r="D936" s="3">
        <f t="shared" si="126"/>
        <v>9</v>
      </c>
      <c r="E936" s="4">
        <f t="shared" si="127"/>
        <v>27</v>
      </c>
      <c r="F936" s="4">
        <f t="shared" si="128"/>
        <v>16</v>
      </c>
      <c r="G936" s="3">
        <f>IF(E936&gt;=20,2000,1900) + D936</f>
        <v>2009</v>
      </c>
      <c r="H936">
        <f t="shared" si="129"/>
        <v>7</v>
      </c>
      <c r="I936" s="4">
        <f t="shared" si="130"/>
        <v>16</v>
      </c>
      <c r="J936">
        <f t="shared" si="131"/>
        <v>20090716</v>
      </c>
      <c r="K936" t="str">
        <f t="shared" si="132"/>
        <v>16.07.2009</v>
      </c>
      <c r="L936" s="10">
        <f t="shared" si="133"/>
        <v>4927</v>
      </c>
      <c r="M936" s="8">
        <f t="shared" si="134"/>
        <v>13</v>
      </c>
    </row>
    <row r="937" spans="1:13" x14ac:dyDescent="0.25">
      <c r="A937" s="4" t="s">
        <v>963</v>
      </c>
      <c r="B937" t="s">
        <v>15</v>
      </c>
      <c r="C937" t="s">
        <v>6</v>
      </c>
      <c r="D937" s="3">
        <f t="shared" si="126"/>
        <v>18</v>
      </c>
      <c r="E937" s="4">
        <f t="shared" si="127"/>
        <v>32</v>
      </c>
      <c r="F937" s="4">
        <f t="shared" si="128"/>
        <v>1</v>
      </c>
      <c r="G937" s="3">
        <f>IF(E937&gt;=20,2000,1900) + D937</f>
        <v>2018</v>
      </c>
      <c r="H937">
        <f t="shared" si="129"/>
        <v>12</v>
      </c>
      <c r="I937" s="4">
        <f t="shared" si="130"/>
        <v>1</v>
      </c>
      <c r="J937">
        <f t="shared" si="131"/>
        <v>20181201</v>
      </c>
      <c r="K937" t="str">
        <f t="shared" si="132"/>
        <v>01.12.2018</v>
      </c>
      <c r="L937" s="10">
        <f t="shared" si="133"/>
        <v>1502</v>
      </c>
      <c r="M937" s="8">
        <f t="shared" si="134"/>
        <v>4</v>
      </c>
    </row>
    <row r="938" spans="1:13" x14ac:dyDescent="0.25">
      <c r="A938" s="4" t="s">
        <v>964</v>
      </c>
      <c r="B938" t="s">
        <v>5</v>
      </c>
      <c r="C938" t="s">
        <v>4</v>
      </c>
      <c r="D938" s="3">
        <f t="shared" si="126"/>
        <v>10</v>
      </c>
      <c r="E938" s="4">
        <f t="shared" si="127"/>
        <v>26</v>
      </c>
      <c r="F938" s="4">
        <f t="shared" si="128"/>
        <v>22</v>
      </c>
      <c r="G938" s="3">
        <f>IF(E938&gt;=20,2000,1900) + D938</f>
        <v>2010</v>
      </c>
      <c r="H938">
        <f t="shared" si="129"/>
        <v>6</v>
      </c>
      <c r="I938" s="4">
        <f t="shared" si="130"/>
        <v>22</v>
      </c>
      <c r="J938">
        <f t="shared" si="131"/>
        <v>20100622</v>
      </c>
      <c r="K938" t="str">
        <f t="shared" si="132"/>
        <v>22.06.2010</v>
      </c>
      <c r="L938" s="10">
        <f t="shared" si="133"/>
        <v>4586</v>
      </c>
      <c r="M938" s="8">
        <f t="shared" si="134"/>
        <v>12</v>
      </c>
    </row>
    <row r="939" spans="1:13" x14ac:dyDescent="0.25">
      <c r="A939" s="4" t="s">
        <v>965</v>
      </c>
      <c r="B939" t="s">
        <v>7</v>
      </c>
      <c r="C939" t="s">
        <v>6</v>
      </c>
      <c r="D939" s="3">
        <f t="shared" si="126"/>
        <v>21</v>
      </c>
      <c r="E939" s="4">
        <f t="shared" si="127"/>
        <v>30</v>
      </c>
      <c r="F939" s="4">
        <f t="shared" si="128"/>
        <v>31</v>
      </c>
      <c r="G939" s="3">
        <f>IF(E939&gt;=20,2000,1900) + D939</f>
        <v>2021</v>
      </c>
      <c r="H939">
        <f t="shared" si="129"/>
        <v>10</v>
      </c>
      <c r="I939" s="4">
        <f t="shared" si="130"/>
        <v>31</v>
      </c>
      <c r="J939">
        <f t="shared" si="131"/>
        <v>20211031</v>
      </c>
      <c r="K939" t="str">
        <f t="shared" si="132"/>
        <v>31.10.2021</v>
      </c>
      <c r="L939" s="10">
        <f t="shared" si="133"/>
        <v>437</v>
      </c>
      <c r="M939" s="8">
        <f t="shared" si="134"/>
        <v>1</v>
      </c>
    </row>
    <row r="940" spans="1:13" x14ac:dyDescent="0.25">
      <c r="A940" s="4" t="s">
        <v>966</v>
      </c>
      <c r="B940" t="s">
        <v>20</v>
      </c>
      <c r="C940" t="s">
        <v>4</v>
      </c>
      <c r="D940" s="3">
        <f t="shared" si="126"/>
        <v>10</v>
      </c>
      <c r="E940" s="4">
        <f t="shared" si="127"/>
        <v>29</v>
      </c>
      <c r="F940" s="4">
        <f t="shared" si="128"/>
        <v>30</v>
      </c>
      <c r="G940" s="3">
        <f>IF(E940&gt;=20,2000,1900) + D940</f>
        <v>2010</v>
      </c>
      <c r="H940">
        <f t="shared" si="129"/>
        <v>9</v>
      </c>
      <c r="I940" s="4">
        <f t="shared" si="130"/>
        <v>30</v>
      </c>
      <c r="J940">
        <f t="shared" si="131"/>
        <v>20100930</v>
      </c>
      <c r="K940" t="str">
        <f t="shared" si="132"/>
        <v>30.09.2010</v>
      </c>
      <c r="L940" s="10">
        <f t="shared" si="133"/>
        <v>4486</v>
      </c>
      <c r="M940" s="8">
        <f t="shared" si="134"/>
        <v>12</v>
      </c>
    </row>
    <row r="941" spans="1:13" x14ac:dyDescent="0.25">
      <c r="A941" s="4" t="s">
        <v>967</v>
      </c>
      <c r="B941" t="s">
        <v>18</v>
      </c>
      <c r="C941" t="s">
        <v>4</v>
      </c>
      <c r="D941" s="3">
        <f t="shared" si="126"/>
        <v>9</v>
      </c>
      <c r="E941" s="4">
        <f t="shared" si="127"/>
        <v>21</v>
      </c>
      <c r="F941" s="4">
        <f t="shared" si="128"/>
        <v>1</v>
      </c>
      <c r="G941" s="3">
        <f>IF(E941&gt;=20,2000,1900) + D941</f>
        <v>2009</v>
      </c>
      <c r="H941">
        <f t="shared" si="129"/>
        <v>1</v>
      </c>
      <c r="I941" s="4">
        <f t="shared" si="130"/>
        <v>1</v>
      </c>
      <c r="J941">
        <f t="shared" si="131"/>
        <v>20090101</v>
      </c>
      <c r="K941" t="str">
        <f t="shared" si="132"/>
        <v>01.01.2009</v>
      </c>
      <c r="L941" s="10">
        <f t="shared" si="133"/>
        <v>5123</v>
      </c>
      <c r="M941" s="8">
        <f t="shared" si="134"/>
        <v>14</v>
      </c>
    </row>
    <row r="942" spans="1:13" x14ac:dyDescent="0.25">
      <c r="A942" s="4" t="s">
        <v>968</v>
      </c>
      <c r="B942" t="s">
        <v>11</v>
      </c>
      <c r="C942" t="s">
        <v>6</v>
      </c>
      <c r="D942" s="3">
        <f t="shared" si="126"/>
        <v>20</v>
      </c>
      <c r="E942" s="4">
        <f t="shared" si="127"/>
        <v>26</v>
      </c>
      <c r="F942" s="4">
        <f t="shared" si="128"/>
        <v>4</v>
      </c>
      <c r="G942" s="3">
        <f>IF(E942&gt;=20,2000,1900) + D942</f>
        <v>2020</v>
      </c>
      <c r="H942">
        <f t="shared" si="129"/>
        <v>6</v>
      </c>
      <c r="I942" s="4">
        <f t="shared" si="130"/>
        <v>4</v>
      </c>
      <c r="J942">
        <f t="shared" si="131"/>
        <v>20200604</v>
      </c>
      <c r="K942" t="str">
        <f t="shared" si="132"/>
        <v>04.06.2020</v>
      </c>
      <c r="L942" s="10">
        <f t="shared" si="133"/>
        <v>951</v>
      </c>
      <c r="M942" s="8">
        <f t="shared" si="134"/>
        <v>2</v>
      </c>
    </row>
    <row r="943" spans="1:13" x14ac:dyDescent="0.25">
      <c r="A943" s="4" t="s">
        <v>969</v>
      </c>
      <c r="B943" t="s">
        <v>11</v>
      </c>
      <c r="C943" t="s">
        <v>4</v>
      </c>
      <c r="D943" s="3">
        <f t="shared" si="126"/>
        <v>17</v>
      </c>
      <c r="E943" s="4">
        <f t="shared" si="127"/>
        <v>30</v>
      </c>
      <c r="F943" s="4">
        <f t="shared" si="128"/>
        <v>22</v>
      </c>
      <c r="G943" s="3">
        <f>IF(E943&gt;=20,2000,1900) + D943</f>
        <v>2017</v>
      </c>
      <c r="H943">
        <f t="shared" si="129"/>
        <v>10</v>
      </c>
      <c r="I943" s="4">
        <f t="shared" si="130"/>
        <v>22</v>
      </c>
      <c r="J943">
        <f t="shared" si="131"/>
        <v>20171022</v>
      </c>
      <c r="K943" t="str">
        <f t="shared" si="132"/>
        <v>22.10.2017</v>
      </c>
      <c r="L943" s="10">
        <f t="shared" si="133"/>
        <v>1907</v>
      </c>
      <c r="M943" s="8">
        <f t="shared" si="134"/>
        <v>5</v>
      </c>
    </row>
    <row r="944" spans="1:13" x14ac:dyDescent="0.25">
      <c r="A944" s="4" t="s">
        <v>970</v>
      </c>
      <c r="B944" t="s">
        <v>16</v>
      </c>
      <c r="C944" t="s">
        <v>4</v>
      </c>
      <c r="D944" s="3">
        <f t="shared" si="126"/>
        <v>2</v>
      </c>
      <c r="E944" s="4">
        <f t="shared" si="127"/>
        <v>32</v>
      </c>
      <c r="F944" s="4">
        <f t="shared" si="128"/>
        <v>2</v>
      </c>
      <c r="G944" s="3">
        <f>IF(E944&gt;=20,2000,1900) + D944</f>
        <v>2002</v>
      </c>
      <c r="H944">
        <f t="shared" si="129"/>
        <v>12</v>
      </c>
      <c r="I944" s="4">
        <f t="shared" si="130"/>
        <v>2</v>
      </c>
      <c r="J944">
        <f t="shared" si="131"/>
        <v>20021202</v>
      </c>
      <c r="K944" t="str">
        <f t="shared" si="132"/>
        <v>02.12.2002</v>
      </c>
      <c r="L944" s="10">
        <f t="shared" si="133"/>
        <v>7345</v>
      </c>
      <c r="M944" s="8">
        <f t="shared" si="134"/>
        <v>20</v>
      </c>
    </row>
    <row r="945" spans="1:13" x14ac:dyDescent="0.25">
      <c r="A945" s="4" t="s">
        <v>971</v>
      </c>
      <c r="B945" t="s">
        <v>11</v>
      </c>
      <c r="C945" t="s">
        <v>6</v>
      </c>
      <c r="D945" s="3">
        <f t="shared" si="126"/>
        <v>18</v>
      </c>
      <c r="E945" s="4">
        <f t="shared" si="127"/>
        <v>26</v>
      </c>
      <c r="F945" s="4">
        <f t="shared" si="128"/>
        <v>3</v>
      </c>
      <c r="G945" s="3">
        <f>IF(E945&gt;=20,2000,1900) + D945</f>
        <v>2018</v>
      </c>
      <c r="H945">
        <f t="shared" si="129"/>
        <v>6</v>
      </c>
      <c r="I945" s="4">
        <f t="shared" si="130"/>
        <v>3</v>
      </c>
      <c r="J945">
        <f t="shared" si="131"/>
        <v>20180603</v>
      </c>
      <c r="K945" t="str">
        <f t="shared" si="132"/>
        <v>03.06.2018</v>
      </c>
      <c r="L945" s="10">
        <f t="shared" si="133"/>
        <v>1683</v>
      </c>
      <c r="M945" s="8">
        <f t="shared" si="134"/>
        <v>4</v>
      </c>
    </row>
    <row r="946" spans="1:13" x14ac:dyDescent="0.25">
      <c r="A946" s="4" t="s">
        <v>972</v>
      </c>
      <c r="B946" t="s">
        <v>11</v>
      </c>
      <c r="C946" t="s">
        <v>4</v>
      </c>
      <c r="D946" s="3">
        <f t="shared" si="126"/>
        <v>4</v>
      </c>
      <c r="E946" s="4">
        <f t="shared" si="127"/>
        <v>22</v>
      </c>
      <c r="F946" s="4">
        <f t="shared" si="128"/>
        <v>29</v>
      </c>
      <c r="G946" s="3">
        <f>IF(E946&gt;=20,2000,1900) + D946</f>
        <v>2004</v>
      </c>
      <c r="H946">
        <f t="shared" si="129"/>
        <v>2</v>
      </c>
      <c r="I946" s="4">
        <f t="shared" si="130"/>
        <v>29</v>
      </c>
      <c r="J946">
        <f t="shared" si="131"/>
        <v>20040229</v>
      </c>
      <c r="K946" t="str">
        <f t="shared" si="132"/>
        <v>29.02.2004</v>
      </c>
      <c r="L946" s="10">
        <f t="shared" si="133"/>
        <v>6891</v>
      </c>
      <c r="M946" s="8">
        <f t="shared" si="134"/>
        <v>18</v>
      </c>
    </row>
    <row r="947" spans="1:13" x14ac:dyDescent="0.25">
      <c r="A947" s="4" t="s">
        <v>973</v>
      </c>
      <c r="B947" t="s">
        <v>14</v>
      </c>
      <c r="C947" t="s">
        <v>4</v>
      </c>
      <c r="D947" s="3">
        <f t="shared" si="126"/>
        <v>5</v>
      </c>
      <c r="E947" s="4">
        <f t="shared" si="127"/>
        <v>26</v>
      </c>
      <c r="F947" s="4">
        <f t="shared" si="128"/>
        <v>12</v>
      </c>
      <c r="G947" s="3">
        <f>IF(E947&gt;=20,2000,1900) + D947</f>
        <v>2005</v>
      </c>
      <c r="H947">
        <f t="shared" si="129"/>
        <v>6</v>
      </c>
      <c r="I947" s="4">
        <f t="shared" si="130"/>
        <v>12</v>
      </c>
      <c r="J947">
        <f t="shared" si="131"/>
        <v>20050612</v>
      </c>
      <c r="K947" t="str">
        <f t="shared" si="132"/>
        <v>12.06.2005</v>
      </c>
      <c r="L947" s="10">
        <f t="shared" si="133"/>
        <v>6422</v>
      </c>
      <c r="M947" s="8">
        <f t="shared" si="134"/>
        <v>17</v>
      </c>
    </row>
    <row r="948" spans="1:13" x14ac:dyDescent="0.25">
      <c r="A948" s="4" t="s">
        <v>974</v>
      </c>
      <c r="B948" t="s">
        <v>9</v>
      </c>
      <c r="C948" t="s">
        <v>4</v>
      </c>
      <c r="D948" s="3">
        <f t="shared" si="126"/>
        <v>15</v>
      </c>
      <c r="E948" s="4">
        <f t="shared" si="127"/>
        <v>32</v>
      </c>
      <c r="F948" s="4">
        <f t="shared" si="128"/>
        <v>6</v>
      </c>
      <c r="G948" s="3">
        <f>IF(E948&gt;=20,2000,1900) + D948</f>
        <v>2015</v>
      </c>
      <c r="H948">
        <f t="shared" si="129"/>
        <v>12</v>
      </c>
      <c r="I948" s="4">
        <f t="shared" si="130"/>
        <v>6</v>
      </c>
      <c r="J948">
        <f t="shared" si="131"/>
        <v>20151206</v>
      </c>
      <c r="K948" t="str">
        <f t="shared" si="132"/>
        <v>06.12.2015</v>
      </c>
      <c r="L948" s="10">
        <f t="shared" si="133"/>
        <v>2593</v>
      </c>
      <c r="M948" s="8">
        <f t="shared" si="134"/>
        <v>7</v>
      </c>
    </row>
    <row r="949" spans="1:13" x14ac:dyDescent="0.25">
      <c r="A949" s="4" t="s">
        <v>975</v>
      </c>
      <c r="B949" t="s">
        <v>9</v>
      </c>
      <c r="C949" t="s">
        <v>6</v>
      </c>
      <c r="D949" s="3">
        <f t="shared" si="126"/>
        <v>14</v>
      </c>
      <c r="E949" s="4">
        <f t="shared" si="127"/>
        <v>29</v>
      </c>
      <c r="F949" s="4">
        <f t="shared" si="128"/>
        <v>26</v>
      </c>
      <c r="G949" s="3">
        <f>IF(E949&gt;=20,2000,1900) + D949</f>
        <v>2014</v>
      </c>
      <c r="H949">
        <f t="shared" si="129"/>
        <v>9</v>
      </c>
      <c r="I949" s="4">
        <f t="shared" si="130"/>
        <v>26</v>
      </c>
      <c r="J949">
        <f t="shared" si="131"/>
        <v>20140926</v>
      </c>
      <c r="K949" t="str">
        <f t="shared" si="132"/>
        <v>26.09.2014</v>
      </c>
      <c r="L949" s="10">
        <f t="shared" si="133"/>
        <v>3029</v>
      </c>
      <c r="M949" s="8">
        <f t="shared" si="134"/>
        <v>8</v>
      </c>
    </row>
    <row r="950" spans="1:13" x14ac:dyDescent="0.25">
      <c r="A950" s="4" t="s">
        <v>976</v>
      </c>
      <c r="B950" t="s">
        <v>18</v>
      </c>
      <c r="C950" t="s">
        <v>4</v>
      </c>
      <c r="D950" s="3">
        <f t="shared" si="126"/>
        <v>15</v>
      </c>
      <c r="E950" s="4">
        <f t="shared" si="127"/>
        <v>21</v>
      </c>
      <c r="F950" s="4">
        <f t="shared" si="128"/>
        <v>3</v>
      </c>
      <c r="G950" s="3">
        <f>IF(E950&gt;=20,2000,1900) + D950</f>
        <v>2015</v>
      </c>
      <c r="H950">
        <f t="shared" si="129"/>
        <v>1</v>
      </c>
      <c r="I950" s="4">
        <f t="shared" si="130"/>
        <v>3</v>
      </c>
      <c r="J950">
        <f t="shared" si="131"/>
        <v>20150103</v>
      </c>
      <c r="K950" t="str">
        <f t="shared" si="132"/>
        <v>03.01.2015</v>
      </c>
      <c r="L950" s="10">
        <f t="shared" si="133"/>
        <v>2930</v>
      </c>
      <c r="M950" s="8">
        <f t="shared" si="134"/>
        <v>8</v>
      </c>
    </row>
    <row r="951" spans="1:13" x14ac:dyDescent="0.25">
      <c r="A951" s="4" t="s">
        <v>977</v>
      </c>
      <c r="B951" t="s">
        <v>19</v>
      </c>
      <c r="C951" t="s">
        <v>6</v>
      </c>
      <c r="D951" s="3">
        <f t="shared" si="126"/>
        <v>11</v>
      </c>
      <c r="E951" s="4">
        <f t="shared" si="127"/>
        <v>28</v>
      </c>
      <c r="F951" s="4">
        <f t="shared" si="128"/>
        <v>28</v>
      </c>
      <c r="G951" s="3">
        <f>IF(E951&gt;=20,2000,1900) + D951</f>
        <v>2011</v>
      </c>
      <c r="H951">
        <f t="shared" si="129"/>
        <v>8</v>
      </c>
      <c r="I951" s="4">
        <f t="shared" si="130"/>
        <v>28</v>
      </c>
      <c r="J951">
        <f t="shared" si="131"/>
        <v>20110828</v>
      </c>
      <c r="K951" t="str">
        <f t="shared" si="132"/>
        <v>28.08.2011</v>
      </c>
      <c r="L951" s="10">
        <f t="shared" si="133"/>
        <v>4154</v>
      </c>
      <c r="M951" s="8">
        <f t="shared" si="134"/>
        <v>11</v>
      </c>
    </row>
    <row r="952" spans="1:13" x14ac:dyDescent="0.25">
      <c r="A952" s="4" t="s">
        <v>978</v>
      </c>
      <c r="B952" t="s">
        <v>14</v>
      </c>
      <c r="C952" t="s">
        <v>6</v>
      </c>
      <c r="D952" s="3">
        <f t="shared" si="126"/>
        <v>21</v>
      </c>
      <c r="E952" s="4">
        <f t="shared" si="127"/>
        <v>27</v>
      </c>
      <c r="F952" s="4">
        <f t="shared" si="128"/>
        <v>8</v>
      </c>
      <c r="G952" s="3">
        <f>IF(E952&gt;=20,2000,1900) + D952</f>
        <v>2021</v>
      </c>
      <c r="H952">
        <f t="shared" si="129"/>
        <v>7</v>
      </c>
      <c r="I952" s="4">
        <f t="shared" si="130"/>
        <v>8</v>
      </c>
      <c r="J952">
        <f t="shared" si="131"/>
        <v>20210708</v>
      </c>
      <c r="K952" t="str">
        <f t="shared" si="132"/>
        <v>08.07.2021</v>
      </c>
      <c r="L952" s="10">
        <f t="shared" si="133"/>
        <v>552</v>
      </c>
      <c r="M952" s="8">
        <f t="shared" si="134"/>
        <v>1</v>
      </c>
    </row>
    <row r="953" spans="1:13" x14ac:dyDescent="0.25">
      <c r="A953" s="4" t="s">
        <v>979</v>
      </c>
      <c r="B953" t="s">
        <v>10</v>
      </c>
      <c r="C953" t="s">
        <v>4</v>
      </c>
      <c r="D953" s="3">
        <f t="shared" si="126"/>
        <v>7</v>
      </c>
      <c r="E953" s="4">
        <f t="shared" si="127"/>
        <v>27</v>
      </c>
      <c r="F953" s="4">
        <f t="shared" si="128"/>
        <v>18</v>
      </c>
      <c r="G953" s="3">
        <f>IF(E953&gt;=20,2000,1900) + D953</f>
        <v>2007</v>
      </c>
      <c r="H953">
        <f t="shared" si="129"/>
        <v>7</v>
      </c>
      <c r="I953" s="4">
        <f t="shared" si="130"/>
        <v>18</v>
      </c>
      <c r="J953">
        <f t="shared" si="131"/>
        <v>20070718</v>
      </c>
      <c r="K953" t="str">
        <f t="shared" si="132"/>
        <v>18.07.2007</v>
      </c>
      <c r="L953" s="10">
        <f t="shared" si="133"/>
        <v>5656</v>
      </c>
      <c r="M953" s="8">
        <f t="shared" si="134"/>
        <v>15</v>
      </c>
    </row>
    <row r="954" spans="1:13" x14ac:dyDescent="0.25">
      <c r="A954" s="4" t="s">
        <v>980</v>
      </c>
      <c r="B954" t="s">
        <v>20</v>
      </c>
      <c r="C954" t="s">
        <v>6</v>
      </c>
      <c r="D954" s="3">
        <f t="shared" si="126"/>
        <v>5</v>
      </c>
      <c r="E954" s="4">
        <f t="shared" si="127"/>
        <v>28</v>
      </c>
      <c r="F954" s="4">
        <f t="shared" si="128"/>
        <v>18</v>
      </c>
      <c r="G954" s="3">
        <f>IF(E954&gt;=20,2000,1900) + D954</f>
        <v>2005</v>
      </c>
      <c r="H954">
        <f t="shared" si="129"/>
        <v>8</v>
      </c>
      <c r="I954" s="4">
        <f t="shared" si="130"/>
        <v>18</v>
      </c>
      <c r="J954">
        <f t="shared" si="131"/>
        <v>20050818</v>
      </c>
      <c r="K954" t="str">
        <f t="shared" si="132"/>
        <v>18.08.2005</v>
      </c>
      <c r="L954" s="10">
        <f t="shared" si="133"/>
        <v>6355</v>
      </c>
      <c r="M954" s="8">
        <f t="shared" si="134"/>
        <v>17</v>
      </c>
    </row>
    <row r="955" spans="1:13" x14ac:dyDescent="0.25">
      <c r="A955" s="4" t="s">
        <v>981</v>
      </c>
      <c r="B955" t="s">
        <v>10</v>
      </c>
      <c r="C955" t="s">
        <v>4</v>
      </c>
      <c r="D955" s="3">
        <f t="shared" si="126"/>
        <v>9</v>
      </c>
      <c r="E955" s="4">
        <f t="shared" si="127"/>
        <v>25</v>
      </c>
      <c r="F955" s="4">
        <f t="shared" si="128"/>
        <v>28</v>
      </c>
      <c r="G955" s="3">
        <f>IF(E955&gt;=20,2000,1900) + D955</f>
        <v>2009</v>
      </c>
      <c r="H955">
        <f t="shared" si="129"/>
        <v>5</v>
      </c>
      <c r="I955" s="4">
        <f t="shared" si="130"/>
        <v>28</v>
      </c>
      <c r="J955">
        <f t="shared" si="131"/>
        <v>20090528</v>
      </c>
      <c r="K955" t="str">
        <f t="shared" si="132"/>
        <v>28.05.2009</v>
      </c>
      <c r="L955" s="10">
        <f t="shared" si="133"/>
        <v>4976</v>
      </c>
      <c r="M955" s="8">
        <f t="shared" si="134"/>
        <v>13</v>
      </c>
    </row>
    <row r="956" spans="1:13" x14ac:dyDescent="0.25">
      <c r="A956" s="4" t="s">
        <v>982</v>
      </c>
      <c r="B956" t="s">
        <v>18</v>
      </c>
      <c r="C956" t="s">
        <v>4</v>
      </c>
      <c r="D956" s="3">
        <f t="shared" si="126"/>
        <v>0</v>
      </c>
      <c r="E956" s="4">
        <f t="shared" si="127"/>
        <v>29</v>
      </c>
      <c r="F956" s="4">
        <f t="shared" si="128"/>
        <v>13</v>
      </c>
      <c r="G956" s="3">
        <f>IF(E956&gt;=20,2000,1900) + D956</f>
        <v>2000</v>
      </c>
      <c r="H956">
        <f t="shared" si="129"/>
        <v>9</v>
      </c>
      <c r="I956" s="4">
        <f t="shared" si="130"/>
        <v>13</v>
      </c>
      <c r="J956">
        <f t="shared" si="131"/>
        <v>20000913</v>
      </c>
      <c r="K956" t="str">
        <f t="shared" si="132"/>
        <v>13.09.2000</v>
      </c>
      <c r="L956" s="10">
        <f t="shared" si="133"/>
        <v>8155</v>
      </c>
      <c r="M956" s="8">
        <f t="shared" si="134"/>
        <v>22</v>
      </c>
    </row>
    <row r="957" spans="1:13" x14ac:dyDescent="0.25">
      <c r="A957" s="4" t="s">
        <v>983</v>
      </c>
      <c r="B957" t="s">
        <v>12</v>
      </c>
      <c r="C957" t="s">
        <v>6</v>
      </c>
      <c r="D957" s="3">
        <f t="shared" si="126"/>
        <v>4</v>
      </c>
      <c r="E957" s="4">
        <f t="shared" si="127"/>
        <v>28</v>
      </c>
      <c r="F957" s="4">
        <f t="shared" si="128"/>
        <v>9</v>
      </c>
      <c r="G957" s="3">
        <f>IF(E957&gt;=20,2000,1900) + D957</f>
        <v>2004</v>
      </c>
      <c r="H957">
        <f t="shared" si="129"/>
        <v>8</v>
      </c>
      <c r="I957" s="4">
        <f t="shared" si="130"/>
        <v>9</v>
      </c>
      <c r="J957">
        <f t="shared" si="131"/>
        <v>20040809</v>
      </c>
      <c r="K957" t="str">
        <f t="shared" si="132"/>
        <v>09.08.2004</v>
      </c>
      <c r="L957" s="10">
        <f t="shared" si="133"/>
        <v>6729</v>
      </c>
      <c r="M957" s="8">
        <f t="shared" si="134"/>
        <v>18</v>
      </c>
    </row>
    <row r="958" spans="1:13" x14ac:dyDescent="0.25">
      <c r="A958" s="4" t="s">
        <v>984</v>
      </c>
      <c r="B958" t="s">
        <v>7</v>
      </c>
      <c r="C958" t="s">
        <v>6</v>
      </c>
      <c r="D958" s="3">
        <f t="shared" si="126"/>
        <v>2</v>
      </c>
      <c r="E958" s="4">
        <f t="shared" si="127"/>
        <v>22</v>
      </c>
      <c r="F958" s="4">
        <f t="shared" si="128"/>
        <v>9</v>
      </c>
      <c r="G958" s="3">
        <f>IF(E958&gt;=20,2000,1900) + D958</f>
        <v>2002</v>
      </c>
      <c r="H958">
        <f t="shared" si="129"/>
        <v>2</v>
      </c>
      <c r="I958" s="4">
        <f t="shared" si="130"/>
        <v>9</v>
      </c>
      <c r="J958">
        <f t="shared" si="131"/>
        <v>20020209</v>
      </c>
      <c r="K958" t="str">
        <f t="shared" si="132"/>
        <v>09.02.2002</v>
      </c>
      <c r="L958" s="10">
        <f t="shared" si="133"/>
        <v>7641</v>
      </c>
      <c r="M958" s="8">
        <f t="shared" si="134"/>
        <v>20</v>
      </c>
    </row>
    <row r="959" spans="1:13" x14ac:dyDescent="0.25">
      <c r="A959" s="4" t="s">
        <v>985</v>
      </c>
      <c r="B959" t="s">
        <v>16</v>
      </c>
      <c r="C959" t="s">
        <v>6</v>
      </c>
      <c r="D959" s="3">
        <f t="shared" si="126"/>
        <v>2</v>
      </c>
      <c r="E959" s="4">
        <f t="shared" si="127"/>
        <v>21</v>
      </c>
      <c r="F959" s="4">
        <f t="shared" si="128"/>
        <v>1</v>
      </c>
      <c r="G959" s="3">
        <f>IF(E959&gt;=20,2000,1900) + D959</f>
        <v>2002</v>
      </c>
      <c r="H959">
        <f t="shared" si="129"/>
        <v>1</v>
      </c>
      <c r="I959" s="4">
        <f t="shared" si="130"/>
        <v>1</v>
      </c>
      <c r="J959">
        <f t="shared" si="131"/>
        <v>20020101</v>
      </c>
      <c r="K959" t="str">
        <f t="shared" si="132"/>
        <v>01.01.2002</v>
      </c>
      <c r="L959" s="10">
        <f t="shared" si="133"/>
        <v>7680</v>
      </c>
      <c r="M959" s="8">
        <f t="shared" si="134"/>
        <v>21</v>
      </c>
    </row>
    <row r="960" spans="1:13" x14ac:dyDescent="0.25">
      <c r="A960" s="4" t="s">
        <v>986</v>
      </c>
      <c r="B960" t="s">
        <v>8</v>
      </c>
      <c r="C960" t="s">
        <v>6</v>
      </c>
      <c r="D960" s="3">
        <f t="shared" si="126"/>
        <v>9</v>
      </c>
      <c r="E960" s="4">
        <f t="shared" si="127"/>
        <v>24</v>
      </c>
      <c r="F960" s="4">
        <f t="shared" si="128"/>
        <v>11</v>
      </c>
      <c r="G960" s="3">
        <f>IF(E960&gt;=20,2000,1900) + D960</f>
        <v>2009</v>
      </c>
      <c r="H960">
        <f t="shared" si="129"/>
        <v>4</v>
      </c>
      <c r="I960" s="4">
        <f t="shared" si="130"/>
        <v>11</v>
      </c>
      <c r="J960">
        <f t="shared" si="131"/>
        <v>20090411</v>
      </c>
      <c r="K960" t="str">
        <f t="shared" si="132"/>
        <v>11.04.2009</v>
      </c>
      <c r="L960" s="10">
        <f t="shared" si="133"/>
        <v>5023</v>
      </c>
      <c r="M960" s="8">
        <f t="shared" si="134"/>
        <v>13</v>
      </c>
    </row>
    <row r="961" spans="1:13" x14ac:dyDescent="0.25">
      <c r="A961" s="4" t="s">
        <v>987</v>
      </c>
      <c r="B961" t="s">
        <v>18</v>
      </c>
      <c r="C961" t="s">
        <v>6</v>
      </c>
      <c r="D961" s="3">
        <f t="shared" si="126"/>
        <v>9</v>
      </c>
      <c r="E961" s="4">
        <f t="shared" si="127"/>
        <v>24</v>
      </c>
      <c r="F961" s="4">
        <f t="shared" si="128"/>
        <v>13</v>
      </c>
      <c r="G961" s="3">
        <f>IF(E961&gt;=20,2000,1900) + D961</f>
        <v>2009</v>
      </c>
      <c r="H961">
        <f t="shared" si="129"/>
        <v>4</v>
      </c>
      <c r="I961" s="4">
        <f t="shared" si="130"/>
        <v>13</v>
      </c>
      <c r="J961">
        <f t="shared" si="131"/>
        <v>20090413</v>
      </c>
      <c r="K961" t="str">
        <f t="shared" si="132"/>
        <v>13.04.2009</v>
      </c>
      <c r="L961" s="10">
        <f t="shared" si="133"/>
        <v>5021</v>
      </c>
      <c r="M961" s="8">
        <f t="shared" si="134"/>
        <v>13</v>
      </c>
    </row>
    <row r="962" spans="1:13" x14ac:dyDescent="0.25">
      <c r="A962" s="4" t="s">
        <v>988</v>
      </c>
      <c r="B962" t="s">
        <v>7</v>
      </c>
      <c r="C962" t="s">
        <v>6</v>
      </c>
      <c r="D962" s="3">
        <f t="shared" si="126"/>
        <v>13</v>
      </c>
      <c r="E962" s="4">
        <f t="shared" si="127"/>
        <v>31</v>
      </c>
      <c r="F962" s="4">
        <f t="shared" si="128"/>
        <v>28</v>
      </c>
      <c r="G962" s="3">
        <f>IF(E962&gt;=20,2000,1900) + D962</f>
        <v>2013</v>
      </c>
      <c r="H962">
        <f t="shared" si="129"/>
        <v>11</v>
      </c>
      <c r="I962" s="4">
        <f t="shared" si="130"/>
        <v>28</v>
      </c>
      <c r="J962">
        <f t="shared" si="131"/>
        <v>20131128</v>
      </c>
      <c r="K962" t="str">
        <f t="shared" si="132"/>
        <v>28.11.2013</v>
      </c>
      <c r="L962" s="10">
        <f t="shared" si="133"/>
        <v>3331</v>
      </c>
      <c r="M962" s="8">
        <f t="shared" si="134"/>
        <v>9</v>
      </c>
    </row>
    <row r="963" spans="1:13" x14ac:dyDescent="0.25">
      <c r="A963" s="4" t="s">
        <v>989</v>
      </c>
      <c r="B963" t="s">
        <v>5</v>
      </c>
      <c r="C963" t="s">
        <v>6</v>
      </c>
      <c r="D963" s="3">
        <f t="shared" ref="D963:D1001" si="135">MID(A963,1,2)*1</f>
        <v>13</v>
      </c>
      <c r="E963" s="4">
        <f t="shared" ref="E963:E1001" si="136">MID(A963,3,2)*1</f>
        <v>26</v>
      </c>
      <c r="F963" s="4">
        <f t="shared" ref="F963:F1001" si="137">MID(A963,5,2)*1</f>
        <v>22</v>
      </c>
      <c r="G963" s="3">
        <f>IF(E963&gt;=20,2000,1900) + D963</f>
        <v>2013</v>
      </c>
      <c r="H963">
        <f t="shared" ref="H963:H1001" si="138">IF(E963&gt;=20,E963-20,E963)</f>
        <v>6</v>
      </c>
      <c r="I963" s="4">
        <f t="shared" ref="I963:I1001" si="139">F963</f>
        <v>22</v>
      </c>
      <c r="J963">
        <f t="shared" ref="J963:J1001" si="140">CONCATENATE(G963,IF(LEN(H963)=1,CONCATENATE("0",H963),H963),IF(LEN(F963)=1,CONCATENATE("0",F963),F963))*1</f>
        <v>20130622</v>
      </c>
      <c r="K963" t="str">
        <f t="shared" ref="K963:K1001" si="141">CONCATENATE(RIGHT(J963,2),".",MID(J963,5,2),".",LEFT(J963,4))</f>
        <v>22.06.2013</v>
      </c>
      <c r="L963" s="10">
        <f t="shared" ref="L963:L1001" si="142">44937-K963</f>
        <v>3490</v>
      </c>
      <c r="M963" s="8">
        <f t="shared" ref="M963:M1001" si="143">YEAR(L963)-1900</f>
        <v>9</v>
      </c>
    </row>
    <row r="964" spans="1:13" x14ac:dyDescent="0.25">
      <c r="A964" s="4" t="s">
        <v>990</v>
      </c>
      <c r="B964" t="s">
        <v>7</v>
      </c>
      <c r="C964" t="s">
        <v>4</v>
      </c>
      <c r="D964" s="3">
        <f t="shared" si="135"/>
        <v>21</v>
      </c>
      <c r="E964" s="4">
        <f t="shared" si="136"/>
        <v>22</v>
      </c>
      <c r="F964" s="4">
        <f t="shared" si="137"/>
        <v>7</v>
      </c>
      <c r="G964" s="3">
        <f>IF(E964&gt;=20,2000,1900) + D964</f>
        <v>2021</v>
      </c>
      <c r="H964">
        <f t="shared" si="138"/>
        <v>2</v>
      </c>
      <c r="I964" s="4">
        <f t="shared" si="139"/>
        <v>7</v>
      </c>
      <c r="J964">
        <f t="shared" si="140"/>
        <v>20210207</v>
      </c>
      <c r="K964" t="str">
        <f t="shared" si="141"/>
        <v>07.02.2021</v>
      </c>
      <c r="L964" s="10">
        <f t="shared" si="142"/>
        <v>703</v>
      </c>
      <c r="M964" s="8">
        <f t="shared" si="143"/>
        <v>1</v>
      </c>
    </row>
    <row r="965" spans="1:13" x14ac:dyDescent="0.25">
      <c r="A965" s="4" t="s">
        <v>991</v>
      </c>
      <c r="B965" t="s">
        <v>10</v>
      </c>
      <c r="C965" t="s">
        <v>6</v>
      </c>
      <c r="D965" s="3">
        <f t="shared" si="135"/>
        <v>6</v>
      </c>
      <c r="E965" s="4">
        <f t="shared" si="136"/>
        <v>26</v>
      </c>
      <c r="F965" s="4">
        <f t="shared" si="137"/>
        <v>17</v>
      </c>
      <c r="G965" s="3">
        <f>IF(E965&gt;=20,2000,1900) + D965</f>
        <v>2006</v>
      </c>
      <c r="H965">
        <f t="shared" si="138"/>
        <v>6</v>
      </c>
      <c r="I965" s="4">
        <f t="shared" si="139"/>
        <v>17</v>
      </c>
      <c r="J965">
        <f t="shared" si="140"/>
        <v>20060617</v>
      </c>
      <c r="K965" t="str">
        <f t="shared" si="141"/>
        <v>17.06.2006</v>
      </c>
      <c r="L965" s="10">
        <f t="shared" si="142"/>
        <v>6052</v>
      </c>
      <c r="M965" s="8">
        <f t="shared" si="143"/>
        <v>16</v>
      </c>
    </row>
    <row r="966" spans="1:13" x14ac:dyDescent="0.25">
      <c r="A966" s="4" t="s">
        <v>992</v>
      </c>
      <c r="B966" t="s">
        <v>16</v>
      </c>
      <c r="C966" t="s">
        <v>4</v>
      </c>
      <c r="D966" s="3">
        <f t="shared" si="135"/>
        <v>14</v>
      </c>
      <c r="E966" s="4">
        <f t="shared" si="136"/>
        <v>22</v>
      </c>
      <c r="F966" s="4">
        <f t="shared" si="137"/>
        <v>26</v>
      </c>
      <c r="G966" s="3">
        <f>IF(E966&gt;=20,2000,1900) + D966</f>
        <v>2014</v>
      </c>
      <c r="H966">
        <f t="shared" si="138"/>
        <v>2</v>
      </c>
      <c r="I966" s="4">
        <f t="shared" si="139"/>
        <v>26</v>
      </c>
      <c r="J966">
        <f t="shared" si="140"/>
        <v>20140226</v>
      </c>
      <c r="K966" t="str">
        <f t="shared" si="141"/>
        <v>26.02.2014</v>
      </c>
      <c r="L966" s="10">
        <f t="shared" si="142"/>
        <v>3241</v>
      </c>
      <c r="M966" s="8">
        <f t="shared" si="143"/>
        <v>8</v>
      </c>
    </row>
    <row r="967" spans="1:13" x14ac:dyDescent="0.25">
      <c r="A967" s="4" t="s">
        <v>993</v>
      </c>
      <c r="B967" t="s">
        <v>8</v>
      </c>
      <c r="C967" t="s">
        <v>6</v>
      </c>
      <c r="D967" s="3">
        <f t="shared" si="135"/>
        <v>19</v>
      </c>
      <c r="E967" s="4">
        <f t="shared" si="136"/>
        <v>32</v>
      </c>
      <c r="F967" s="4">
        <f t="shared" si="137"/>
        <v>12</v>
      </c>
      <c r="G967" s="3">
        <f>IF(E967&gt;=20,2000,1900) + D967</f>
        <v>2019</v>
      </c>
      <c r="H967">
        <f t="shared" si="138"/>
        <v>12</v>
      </c>
      <c r="I967" s="4">
        <f t="shared" si="139"/>
        <v>12</v>
      </c>
      <c r="J967">
        <f t="shared" si="140"/>
        <v>20191212</v>
      </c>
      <c r="K967" t="str">
        <f t="shared" si="141"/>
        <v>12.12.2019</v>
      </c>
      <c r="L967" s="10">
        <f t="shared" si="142"/>
        <v>1126</v>
      </c>
      <c r="M967" s="8">
        <f t="shared" si="143"/>
        <v>3</v>
      </c>
    </row>
    <row r="968" spans="1:13" x14ac:dyDescent="0.25">
      <c r="A968" s="4" t="s">
        <v>994</v>
      </c>
      <c r="B968" t="s">
        <v>9</v>
      </c>
      <c r="C968" t="s">
        <v>4</v>
      </c>
      <c r="D968" s="3">
        <f t="shared" si="135"/>
        <v>8</v>
      </c>
      <c r="E968" s="4">
        <f t="shared" si="136"/>
        <v>23</v>
      </c>
      <c r="F968" s="4">
        <f t="shared" si="137"/>
        <v>19</v>
      </c>
      <c r="G968" s="3">
        <f>IF(E968&gt;=20,2000,1900) + D968</f>
        <v>2008</v>
      </c>
      <c r="H968">
        <f t="shared" si="138"/>
        <v>3</v>
      </c>
      <c r="I968" s="4">
        <f t="shared" si="139"/>
        <v>19</v>
      </c>
      <c r="J968">
        <f t="shared" si="140"/>
        <v>20080319</v>
      </c>
      <c r="K968" t="str">
        <f t="shared" si="141"/>
        <v>19.03.2008</v>
      </c>
      <c r="L968" s="10">
        <f t="shared" si="142"/>
        <v>5411</v>
      </c>
      <c r="M968" s="8">
        <f t="shared" si="143"/>
        <v>14</v>
      </c>
    </row>
    <row r="969" spans="1:13" x14ac:dyDescent="0.25">
      <c r="A969" s="4" t="s">
        <v>995</v>
      </c>
      <c r="B969" t="s">
        <v>16</v>
      </c>
      <c r="C969" t="s">
        <v>6</v>
      </c>
      <c r="D969" s="3">
        <f t="shared" si="135"/>
        <v>15</v>
      </c>
      <c r="E969" s="4">
        <f t="shared" si="136"/>
        <v>29</v>
      </c>
      <c r="F969" s="4">
        <f t="shared" si="137"/>
        <v>12</v>
      </c>
      <c r="G969" s="3">
        <f>IF(E969&gt;=20,2000,1900) + D969</f>
        <v>2015</v>
      </c>
      <c r="H969">
        <f t="shared" si="138"/>
        <v>9</v>
      </c>
      <c r="I969" s="4">
        <f t="shared" si="139"/>
        <v>12</v>
      </c>
      <c r="J969">
        <f t="shared" si="140"/>
        <v>20150912</v>
      </c>
      <c r="K969" t="str">
        <f t="shared" si="141"/>
        <v>12.09.2015</v>
      </c>
      <c r="L969" s="10">
        <f t="shared" si="142"/>
        <v>2678</v>
      </c>
      <c r="M969" s="8">
        <f t="shared" si="143"/>
        <v>7</v>
      </c>
    </row>
    <row r="970" spans="1:13" x14ac:dyDescent="0.25">
      <c r="A970" s="4" t="s">
        <v>996</v>
      </c>
      <c r="B970" t="s">
        <v>17</v>
      </c>
      <c r="C970" t="s">
        <v>6</v>
      </c>
      <c r="D970" s="3">
        <f t="shared" si="135"/>
        <v>8</v>
      </c>
      <c r="E970" s="4">
        <f t="shared" si="136"/>
        <v>26</v>
      </c>
      <c r="F970" s="4">
        <f t="shared" si="137"/>
        <v>4</v>
      </c>
      <c r="G970" s="3">
        <f>IF(E970&gt;=20,2000,1900) + D970</f>
        <v>2008</v>
      </c>
      <c r="H970">
        <f t="shared" si="138"/>
        <v>6</v>
      </c>
      <c r="I970" s="4">
        <f t="shared" si="139"/>
        <v>4</v>
      </c>
      <c r="J970">
        <f t="shared" si="140"/>
        <v>20080604</v>
      </c>
      <c r="K970" t="str">
        <f t="shared" si="141"/>
        <v>04.06.2008</v>
      </c>
      <c r="L970" s="10">
        <f t="shared" si="142"/>
        <v>5334</v>
      </c>
      <c r="M970" s="8">
        <f t="shared" si="143"/>
        <v>14</v>
      </c>
    </row>
    <row r="971" spans="1:13" x14ac:dyDescent="0.25">
      <c r="A971" s="4" t="s">
        <v>997</v>
      </c>
      <c r="B971" t="s">
        <v>10</v>
      </c>
      <c r="C971" t="s">
        <v>6</v>
      </c>
      <c r="D971" s="3">
        <f t="shared" si="135"/>
        <v>8</v>
      </c>
      <c r="E971" s="4">
        <f t="shared" si="136"/>
        <v>24</v>
      </c>
      <c r="F971" s="4">
        <f t="shared" si="137"/>
        <v>2</v>
      </c>
      <c r="G971" s="3">
        <f>IF(E971&gt;=20,2000,1900) + D971</f>
        <v>2008</v>
      </c>
      <c r="H971">
        <f t="shared" si="138"/>
        <v>4</v>
      </c>
      <c r="I971" s="4">
        <f t="shared" si="139"/>
        <v>2</v>
      </c>
      <c r="J971">
        <f t="shared" si="140"/>
        <v>20080402</v>
      </c>
      <c r="K971" t="str">
        <f t="shared" si="141"/>
        <v>02.04.2008</v>
      </c>
      <c r="L971" s="10">
        <f t="shared" si="142"/>
        <v>5397</v>
      </c>
      <c r="M971" s="8">
        <f t="shared" si="143"/>
        <v>14</v>
      </c>
    </row>
    <row r="972" spans="1:13" x14ac:dyDescent="0.25">
      <c r="A972" s="4" t="s">
        <v>998</v>
      </c>
      <c r="B972" t="s">
        <v>17</v>
      </c>
      <c r="C972" t="s">
        <v>4</v>
      </c>
      <c r="D972" s="3">
        <f t="shared" si="135"/>
        <v>19</v>
      </c>
      <c r="E972" s="4">
        <f t="shared" si="136"/>
        <v>23</v>
      </c>
      <c r="F972" s="4">
        <f t="shared" si="137"/>
        <v>10</v>
      </c>
      <c r="G972" s="3">
        <f>IF(E972&gt;=20,2000,1900) + D972</f>
        <v>2019</v>
      </c>
      <c r="H972">
        <f t="shared" si="138"/>
        <v>3</v>
      </c>
      <c r="I972" s="4">
        <f t="shared" si="139"/>
        <v>10</v>
      </c>
      <c r="J972">
        <f t="shared" si="140"/>
        <v>20190310</v>
      </c>
      <c r="K972" t="str">
        <f t="shared" si="141"/>
        <v>10.03.2019</v>
      </c>
      <c r="L972" s="10">
        <f t="shared" si="142"/>
        <v>1403</v>
      </c>
      <c r="M972" s="8">
        <f t="shared" si="143"/>
        <v>3</v>
      </c>
    </row>
    <row r="973" spans="1:13" x14ac:dyDescent="0.25">
      <c r="A973" s="4" t="s">
        <v>999</v>
      </c>
      <c r="B973" t="s">
        <v>8</v>
      </c>
      <c r="C973" t="s">
        <v>6</v>
      </c>
      <c r="D973" s="3">
        <f t="shared" si="135"/>
        <v>14</v>
      </c>
      <c r="E973" s="4">
        <f t="shared" si="136"/>
        <v>28</v>
      </c>
      <c r="F973" s="4">
        <f t="shared" si="137"/>
        <v>12</v>
      </c>
      <c r="G973" s="3">
        <f>IF(E973&gt;=20,2000,1900) + D973</f>
        <v>2014</v>
      </c>
      <c r="H973">
        <f t="shared" si="138"/>
        <v>8</v>
      </c>
      <c r="I973" s="4">
        <f t="shared" si="139"/>
        <v>12</v>
      </c>
      <c r="J973">
        <f t="shared" si="140"/>
        <v>20140812</v>
      </c>
      <c r="K973" t="str">
        <f t="shared" si="141"/>
        <v>12.08.2014</v>
      </c>
      <c r="L973" s="10">
        <f t="shared" si="142"/>
        <v>3074</v>
      </c>
      <c r="M973" s="8">
        <f t="shared" si="143"/>
        <v>8</v>
      </c>
    </row>
    <row r="974" spans="1:13" x14ac:dyDescent="0.25">
      <c r="A974" s="4" t="s">
        <v>1000</v>
      </c>
      <c r="B974" t="s">
        <v>7</v>
      </c>
      <c r="C974" t="s">
        <v>4</v>
      </c>
      <c r="D974" s="3">
        <f t="shared" si="135"/>
        <v>7</v>
      </c>
      <c r="E974" s="4">
        <f t="shared" si="136"/>
        <v>28</v>
      </c>
      <c r="F974" s="4">
        <f t="shared" si="137"/>
        <v>2</v>
      </c>
      <c r="G974" s="3">
        <f>IF(E974&gt;=20,2000,1900) + D974</f>
        <v>2007</v>
      </c>
      <c r="H974">
        <f t="shared" si="138"/>
        <v>8</v>
      </c>
      <c r="I974" s="4">
        <f t="shared" si="139"/>
        <v>2</v>
      </c>
      <c r="J974">
        <f t="shared" si="140"/>
        <v>20070802</v>
      </c>
      <c r="K974" t="str">
        <f t="shared" si="141"/>
        <v>02.08.2007</v>
      </c>
      <c r="L974" s="10">
        <f t="shared" si="142"/>
        <v>5641</v>
      </c>
      <c r="M974" s="8">
        <f t="shared" si="143"/>
        <v>15</v>
      </c>
    </row>
    <row r="975" spans="1:13" x14ac:dyDescent="0.25">
      <c r="A975" s="4" t="s">
        <v>1001</v>
      </c>
      <c r="B975" t="s">
        <v>3</v>
      </c>
      <c r="C975" t="s">
        <v>6</v>
      </c>
      <c r="D975" s="3">
        <f t="shared" si="135"/>
        <v>6</v>
      </c>
      <c r="E975" s="4">
        <f t="shared" si="136"/>
        <v>26</v>
      </c>
      <c r="F975" s="4">
        <f t="shared" si="137"/>
        <v>25</v>
      </c>
      <c r="G975" s="3">
        <f>IF(E975&gt;=20,2000,1900) + D975</f>
        <v>2006</v>
      </c>
      <c r="H975">
        <f t="shared" si="138"/>
        <v>6</v>
      </c>
      <c r="I975" s="4">
        <f t="shared" si="139"/>
        <v>25</v>
      </c>
      <c r="J975">
        <f t="shared" si="140"/>
        <v>20060625</v>
      </c>
      <c r="K975" t="str">
        <f t="shared" si="141"/>
        <v>25.06.2006</v>
      </c>
      <c r="L975" s="10">
        <f t="shared" si="142"/>
        <v>6044</v>
      </c>
      <c r="M975" s="8">
        <f t="shared" si="143"/>
        <v>16</v>
      </c>
    </row>
    <row r="976" spans="1:13" x14ac:dyDescent="0.25">
      <c r="A976" s="4" t="s">
        <v>1002</v>
      </c>
      <c r="B976" t="s">
        <v>7</v>
      </c>
      <c r="C976" t="s">
        <v>6</v>
      </c>
      <c r="D976" s="3">
        <f t="shared" si="135"/>
        <v>15</v>
      </c>
      <c r="E976" s="4">
        <f t="shared" si="136"/>
        <v>24</v>
      </c>
      <c r="F976" s="4">
        <f t="shared" si="137"/>
        <v>27</v>
      </c>
      <c r="G976" s="3">
        <f>IF(E976&gt;=20,2000,1900) + D976</f>
        <v>2015</v>
      </c>
      <c r="H976">
        <f t="shared" si="138"/>
        <v>4</v>
      </c>
      <c r="I976" s="4">
        <f t="shared" si="139"/>
        <v>27</v>
      </c>
      <c r="J976">
        <f t="shared" si="140"/>
        <v>20150427</v>
      </c>
      <c r="K976" t="str">
        <f t="shared" si="141"/>
        <v>27.04.2015</v>
      </c>
      <c r="L976" s="10">
        <f t="shared" si="142"/>
        <v>2816</v>
      </c>
      <c r="M976" s="8">
        <f t="shared" si="143"/>
        <v>7</v>
      </c>
    </row>
    <row r="977" spans="1:13" x14ac:dyDescent="0.25">
      <c r="A977" s="4" t="s">
        <v>1003</v>
      </c>
      <c r="B977" t="s">
        <v>9</v>
      </c>
      <c r="C977" t="s">
        <v>6</v>
      </c>
      <c r="D977" s="3">
        <f t="shared" si="135"/>
        <v>14</v>
      </c>
      <c r="E977" s="4">
        <f t="shared" si="136"/>
        <v>26</v>
      </c>
      <c r="F977" s="4">
        <f t="shared" si="137"/>
        <v>22</v>
      </c>
      <c r="G977" s="3">
        <f>IF(E977&gt;=20,2000,1900) + D977</f>
        <v>2014</v>
      </c>
      <c r="H977">
        <f t="shared" si="138"/>
        <v>6</v>
      </c>
      <c r="I977" s="4">
        <f t="shared" si="139"/>
        <v>22</v>
      </c>
      <c r="J977">
        <f t="shared" si="140"/>
        <v>20140622</v>
      </c>
      <c r="K977" t="str">
        <f t="shared" si="141"/>
        <v>22.06.2014</v>
      </c>
      <c r="L977" s="10">
        <f t="shared" si="142"/>
        <v>3125</v>
      </c>
      <c r="M977" s="8">
        <f t="shared" si="143"/>
        <v>8</v>
      </c>
    </row>
    <row r="978" spans="1:13" x14ac:dyDescent="0.25">
      <c r="A978" s="4" t="s">
        <v>1004</v>
      </c>
      <c r="B978" t="s">
        <v>12</v>
      </c>
      <c r="C978" t="s">
        <v>4</v>
      </c>
      <c r="D978" s="3">
        <f t="shared" si="135"/>
        <v>1</v>
      </c>
      <c r="E978" s="4">
        <f t="shared" si="136"/>
        <v>21</v>
      </c>
      <c r="F978" s="4">
        <f t="shared" si="137"/>
        <v>29</v>
      </c>
      <c r="G978" s="3">
        <f>IF(E978&gt;=20,2000,1900) + D978</f>
        <v>2001</v>
      </c>
      <c r="H978">
        <f t="shared" si="138"/>
        <v>1</v>
      </c>
      <c r="I978" s="4">
        <f t="shared" si="139"/>
        <v>29</v>
      </c>
      <c r="J978">
        <f t="shared" si="140"/>
        <v>20010129</v>
      </c>
      <c r="K978" t="str">
        <f t="shared" si="141"/>
        <v>29.01.2001</v>
      </c>
      <c r="L978" s="10">
        <f t="shared" si="142"/>
        <v>8017</v>
      </c>
      <c r="M978" s="8">
        <f t="shared" si="143"/>
        <v>21</v>
      </c>
    </row>
    <row r="979" spans="1:13" x14ac:dyDescent="0.25">
      <c r="A979" s="4" t="s">
        <v>1005</v>
      </c>
      <c r="B979" t="s">
        <v>5</v>
      </c>
      <c r="C979" t="s">
        <v>4</v>
      </c>
      <c r="D979" s="3">
        <f t="shared" si="135"/>
        <v>21</v>
      </c>
      <c r="E979" s="4">
        <f t="shared" si="136"/>
        <v>21</v>
      </c>
      <c r="F979" s="4">
        <f t="shared" si="137"/>
        <v>2</v>
      </c>
      <c r="G979" s="3">
        <f>IF(E979&gt;=20,2000,1900) + D979</f>
        <v>2021</v>
      </c>
      <c r="H979">
        <f t="shared" si="138"/>
        <v>1</v>
      </c>
      <c r="I979" s="4">
        <f t="shared" si="139"/>
        <v>2</v>
      </c>
      <c r="J979">
        <f t="shared" si="140"/>
        <v>20210102</v>
      </c>
      <c r="K979" t="str">
        <f t="shared" si="141"/>
        <v>02.01.2021</v>
      </c>
      <c r="L979" s="10">
        <f t="shared" si="142"/>
        <v>739</v>
      </c>
      <c r="M979" s="8">
        <f t="shared" si="143"/>
        <v>2</v>
      </c>
    </row>
    <row r="980" spans="1:13" x14ac:dyDescent="0.25">
      <c r="A980" s="4" t="s">
        <v>1006</v>
      </c>
      <c r="B980" t="s">
        <v>18</v>
      </c>
      <c r="C980" t="s">
        <v>4</v>
      </c>
      <c r="D980" s="3">
        <f t="shared" si="135"/>
        <v>16</v>
      </c>
      <c r="E980" s="4">
        <f t="shared" si="136"/>
        <v>28</v>
      </c>
      <c r="F980" s="4">
        <f t="shared" si="137"/>
        <v>24</v>
      </c>
      <c r="G980" s="3">
        <f>IF(E980&gt;=20,2000,1900) + D980</f>
        <v>2016</v>
      </c>
      <c r="H980">
        <f t="shared" si="138"/>
        <v>8</v>
      </c>
      <c r="I980" s="4">
        <f t="shared" si="139"/>
        <v>24</v>
      </c>
      <c r="J980">
        <f t="shared" si="140"/>
        <v>20160824</v>
      </c>
      <c r="K980" t="str">
        <f t="shared" si="141"/>
        <v>24.08.2016</v>
      </c>
      <c r="L980" s="10">
        <f t="shared" si="142"/>
        <v>2331</v>
      </c>
      <c r="M980" s="8">
        <f t="shared" si="143"/>
        <v>6</v>
      </c>
    </row>
    <row r="981" spans="1:13" x14ac:dyDescent="0.25">
      <c r="A981" s="4" t="s">
        <v>1007</v>
      </c>
      <c r="B981" t="s">
        <v>14</v>
      </c>
      <c r="C981" t="s">
        <v>6</v>
      </c>
      <c r="D981" s="3">
        <f t="shared" si="135"/>
        <v>2</v>
      </c>
      <c r="E981" s="4">
        <f t="shared" si="136"/>
        <v>24</v>
      </c>
      <c r="F981" s="4">
        <f t="shared" si="137"/>
        <v>12</v>
      </c>
      <c r="G981" s="3">
        <f>IF(E981&gt;=20,2000,1900) + D981</f>
        <v>2002</v>
      </c>
      <c r="H981">
        <f t="shared" si="138"/>
        <v>4</v>
      </c>
      <c r="I981" s="4">
        <f t="shared" si="139"/>
        <v>12</v>
      </c>
      <c r="J981">
        <f t="shared" si="140"/>
        <v>20020412</v>
      </c>
      <c r="K981" t="str">
        <f t="shared" si="141"/>
        <v>12.04.2002</v>
      </c>
      <c r="L981" s="10">
        <f t="shared" si="142"/>
        <v>7579</v>
      </c>
      <c r="M981" s="8">
        <f t="shared" si="143"/>
        <v>20</v>
      </c>
    </row>
    <row r="982" spans="1:13" x14ac:dyDescent="0.25">
      <c r="A982" s="4" t="s">
        <v>1008</v>
      </c>
      <c r="B982" t="s">
        <v>20</v>
      </c>
      <c r="C982" t="s">
        <v>4</v>
      </c>
      <c r="D982" s="3">
        <f t="shared" si="135"/>
        <v>6</v>
      </c>
      <c r="E982" s="4">
        <f t="shared" si="136"/>
        <v>31</v>
      </c>
      <c r="F982" s="4">
        <f t="shared" si="137"/>
        <v>5</v>
      </c>
      <c r="G982" s="3">
        <f>IF(E982&gt;=20,2000,1900) + D982</f>
        <v>2006</v>
      </c>
      <c r="H982">
        <f t="shared" si="138"/>
        <v>11</v>
      </c>
      <c r="I982" s="4">
        <f t="shared" si="139"/>
        <v>5</v>
      </c>
      <c r="J982">
        <f t="shared" si="140"/>
        <v>20061105</v>
      </c>
      <c r="K982" t="str">
        <f t="shared" si="141"/>
        <v>05.11.2006</v>
      </c>
      <c r="L982" s="10">
        <f t="shared" si="142"/>
        <v>5911</v>
      </c>
      <c r="M982" s="8">
        <f t="shared" si="143"/>
        <v>16</v>
      </c>
    </row>
    <row r="983" spans="1:13" x14ac:dyDescent="0.25">
      <c r="A983" s="4" t="s">
        <v>1009</v>
      </c>
      <c r="B983" t="s">
        <v>19</v>
      </c>
      <c r="C983" t="s">
        <v>6</v>
      </c>
      <c r="D983" s="3">
        <f t="shared" si="135"/>
        <v>18</v>
      </c>
      <c r="E983" s="4">
        <f t="shared" si="136"/>
        <v>21</v>
      </c>
      <c r="F983" s="4">
        <f t="shared" si="137"/>
        <v>9</v>
      </c>
      <c r="G983" s="3">
        <f>IF(E983&gt;=20,2000,1900) + D983</f>
        <v>2018</v>
      </c>
      <c r="H983">
        <f t="shared" si="138"/>
        <v>1</v>
      </c>
      <c r="I983" s="4">
        <f t="shared" si="139"/>
        <v>9</v>
      </c>
      <c r="J983">
        <f t="shared" si="140"/>
        <v>20180109</v>
      </c>
      <c r="K983" t="str">
        <f t="shared" si="141"/>
        <v>09.01.2018</v>
      </c>
      <c r="L983" s="10">
        <f t="shared" si="142"/>
        <v>1828</v>
      </c>
      <c r="M983" s="8">
        <f t="shared" si="143"/>
        <v>5</v>
      </c>
    </row>
    <row r="984" spans="1:13" x14ac:dyDescent="0.25">
      <c r="A984" s="4" t="s">
        <v>1010</v>
      </c>
      <c r="B984" t="s">
        <v>9</v>
      </c>
      <c r="C984" t="s">
        <v>4</v>
      </c>
      <c r="D984" s="3">
        <f t="shared" si="135"/>
        <v>21</v>
      </c>
      <c r="E984" s="4">
        <f t="shared" si="136"/>
        <v>24</v>
      </c>
      <c r="F984" s="4">
        <f t="shared" si="137"/>
        <v>30</v>
      </c>
      <c r="G984" s="3">
        <f>IF(E984&gt;=20,2000,1900) + D984</f>
        <v>2021</v>
      </c>
      <c r="H984">
        <f t="shared" si="138"/>
        <v>4</v>
      </c>
      <c r="I984" s="4">
        <f t="shared" si="139"/>
        <v>30</v>
      </c>
      <c r="J984">
        <f t="shared" si="140"/>
        <v>20210430</v>
      </c>
      <c r="K984" t="str">
        <f t="shared" si="141"/>
        <v>30.04.2021</v>
      </c>
      <c r="L984" s="10">
        <f t="shared" si="142"/>
        <v>621</v>
      </c>
      <c r="M984" s="8">
        <f t="shared" si="143"/>
        <v>1</v>
      </c>
    </row>
    <row r="985" spans="1:13" x14ac:dyDescent="0.25">
      <c r="A985" s="4" t="s">
        <v>1011</v>
      </c>
      <c r="B985" t="s">
        <v>13</v>
      </c>
      <c r="C985" t="s">
        <v>6</v>
      </c>
      <c r="D985" s="3">
        <f t="shared" si="135"/>
        <v>0</v>
      </c>
      <c r="E985" s="4">
        <f t="shared" si="136"/>
        <v>25</v>
      </c>
      <c r="F985" s="4">
        <f t="shared" si="137"/>
        <v>12</v>
      </c>
      <c r="G985" s="3">
        <f>IF(E985&gt;=20,2000,1900) + D985</f>
        <v>2000</v>
      </c>
      <c r="H985">
        <f t="shared" si="138"/>
        <v>5</v>
      </c>
      <c r="I985" s="4">
        <f t="shared" si="139"/>
        <v>12</v>
      </c>
      <c r="J985">
        <f t="shared" si="140"/>
        <v>20000512</v>
      </c>
      <c r="K985" t="str">
        <f t="shared" si="141"/>
        <v>12.05.2000</v>
      </c>
      <c r="L985" s="10">
        <f t="shared" si="142"/>
        <v>8279</v>
      </c>
      <c r="M985" s="8">
        <f t="shared" si="143"/>
        <v>22</v>
      </c>
    </row>
    <row r="986" spans="1:13" x14ac:dyDescent="0.25">
      <c r="A986" s="4" t="s">
        <v>1012</v>
      </c>
      <c r="B986" t="s">
        <v>10</v>
      </c>
      <c r="C986" t="s">
        <v>6</v>
      </c>
      <c r="D986" s="3">
        <f t="shared" si="135"/>
        <v>0</v>
      </c>
      <c r="E986" s="4">
        <f t="shared" si="136"/>
        <v>27</v>
      </c>
      <c r="F986" s="4">
        <f t="shared" si="137"/>
        <v>4</v>
      </c>
      <c r="G986" s="3">
        <f>IF(E986&gt;=20,2000,1900) + D986</f>
        <v>2000</v>
      </c>
      <c r="H986">
        <f t="shared" si="138"/>
        <v>7</v>
      </c>
      <c r="I986" s="4">
        <f t="shared" si="139"/>
        <v>4</v>
      </c>
      <c r="J986">
        <f t="shared" si="140"/>
        <v>20000704</v>
      </c>
      <c r="K986" t="str">
        <f t="shared" si="141"/>
        <v>04.07.2000</v>
      </c>
      <c r="L986" s="10">
        <f t="shared" si="142"/>
        <v>8226</v>
      </c>
      <c r="M986" s="8">
        <f t="shared" si="143"/>
        <v>22</v>
      </c>
    </row>
    <row r="987" spans="1:13" x14ac:dyDescent="0.25">
      <c r="A987" s="4" t="s">
        <v>1013</v>
      </c>
      <c r="B987" t="s">
        <v>11</v>
      </c>
      <c r="C987" t="s">
        <v>4</v>
      </c>
      <c r="D987" s="3">
        <f t="shared" si="135"/>
        <v>6</v>
      </c>
      <c r="E987" s="4">
        <f t="shared" si="136"/>
        <v>21</v>
      </c>
      <c r="F987" s="4">
        <f t="shared" si="137"/>
        <v>13</v>
      </c>
      <c r="G987" s="3">
        <f>IF(E987&gt;=20,2000,1900) + D987</f>
        <v>2006</v>
      </c>
      <c r="H987">
        <f t="shared" si="138"/>
        <v>1</v>
      </c>
      <c r="I987" s="4">
        <f t="shared" si="139"/>
        <v>13</v>
      </c>
      <c r="J987">
        <f t="shared" si="140"/>
        <v>20060113</v>
      </c>
      <c r="K987" t="str">
        <f t="shared" si="141"/>
        <v>13.01.2006</v>
      </c>
      <c r="L987" s="10">
        <f t="shared" si="142"/>
        <v>6207</v>
      </c>
      <c r="M987" s="8">
        <f t="shared" si="143"/>
        <v>16</v>
      </c>
    </row>
    <row r="988" spans="1:13" x14ac:dyDescent="0.25">
      <c r="A988" s="4" t="s">
        <v>1014</v>
      </c>
      <c r="B988" t="s">
        <v>18</v>
      </c>
      <c r="C988" t="s">
        <v>6</v>
      </c>
      <c r="D988" s="3">
        <f t="shared" si="135"/>
        <v>17</v>
      </c>
      <c r="E988" s="4">
        <f t="shared" si="136"/>
        <v>21</v>
      </c>
      <c r="F988" s="4">
        <f t="shared" si="137"/>
        <v>22</v>
      </c>
      <c r="G988" s="3">
        <f>IF(E988&gt;=20,2000,1900) + D988</f>
        <v>2017</v>
      </c>
      <c r="H988">
        <f t="shared" si="138"/>
        <v>1</v>
      </c>
      <c r="I988" s="4">
        <f t="shared" si="139"/>
        <v>22</v>
      </c>
      <c r="J988">
        <f t="shared" si="140"/>
        <v>20170122</v>
      </c>
      <c r="K988" t="str">
        <f t="shared" si="141"/>
        <v>22.01.2017</v>
      </c>
      <c r="L988" s="10">
        <f t="shared" si="142"/>
        <v>2180</v>
      </c>
      <c r="M988" s="8">
        <f t="shared" si="143"/>
        <v>5</v>
      </c>
    </row>
    <row r="989" spans="1:13" x14ac:dyDescent="0.25">
      <c r="A989" s="4" t="s">
        <v>1015</v>
      </c>
      <c r="B989" t="s">
        <v>7</v>
      </c>
      <c r="C989" t="s">
        <v>6</v>
      </c>
      <c r="D989" s="3">
        <f t="shared" si="135"/>
        <v>11</v>
      </c>
      <c r="E989" s="4">
        <f t="shared" si="136"/>
        <v>24</v>
      </c>
      <c r="F989" s="4">
        <f t="shared" si="137"/>
        <v>15</v>
      </c>
      <c r="G989" s="3">
        <f>IF(E989&gt;=20,2000,1900) + D989</f>
        <v>2011</v>
      </c>
      <c r="H989">
        <f t="shared" si="138"/>
        <v>4</v>
      </c>
      <c r="I989" s="4">
        <f t="shared" si="139"/>
        <v>15</v>
      </c>
      <c r="J989">
        <f t="shared" si="140"/>
        <v>20110415</v>
      </c>
      <c r="K989" t="str">
        <f t="shared" si="141"/>
        <v>15.04.2011</v>
      </c>
      <c r="L989" s="10">
        <f t="shared" si="142"/>
        <v>4289</v>
      </c>
      <c r="M989" s="8">
        <f t="shared" si="143"/>
        <v>11</v>
      </c>
    </row>
    <row r="990" spans="1:13" x14ac:dyDescent="0.25">
      <c r="A990" s="4" t="s">
        <v>1016</v>
      </c>
      <c r="B990" t="s">
        <v>12</v>
      </c>
      <c r="C990" t="s">
        <v>4</v>
      </c>
      <c r="D990" s="3">
        <f t="shared" si="135"/>
        <v>18</v>
      </c>
      <c r="E990" s="4">
        <f t="shared" si="136"/>
        <v>22</v>
      </c>
      <c r="F990" s="4">
        <f t="shared" si="137"/>
        <v>22</v>
      </c>
      <c r="G990" s="3">
        <f>IF(E990&gt;=20,2000,1900) + D990</f>
        <v>2018</v>
      </c>
      <c r="H990">
        <f t="shared" si="138"/>
        <v>2</v>
      </c>
      <c r="I990" s="4">
        <f t="shared" si="139"/>
        <v>22</v>
      </c>
      <c r="J990">
        <f t="shared" si="140"/>
        <v>20180222</v>
      </c>
      <c r="K990" t="str">
        <f t="shared" si="141"/>
        <v>22.02.2018</v>
      </c>
      <c r="L990" s="10">
        <f t="shared" si="142"/>
        <v>1784</v>
      </c>
      <c r="M990" s="8">
        <f t="shared" si="143"/>
        <v>4</v>
      </c>
    </row>
    <row r="991" spans="1:13" x14ac:dyDescent="0.25">
      <c r="A991" s="4" t="s">
        <v>1017</v>
      </c>
      <c r="B991" t="s">
        <v>10</v>
      </c>
      <c r="C991" t="s">
        <v>4</v>
      </c>
      <c r="D991" s="3">
        <f t="shared" si="135"/>
        <v>4</v>
      </c>
      <c r="E991" s="4">
        <f t="shared" si="136"/>
        <v>31</v>
      </c>
      <c r="F991" s="4">
        <f t="shared" si="137"/>
        <v>19</v>
      </c>
      <c r="G991" s="3">
        <f>IF(E991&gt;=20,2000,1900) + D991</f>
        <v>2004</v>
      </c>
      <c r="H991">
        <f t="shared" si="138"/>
        <v>11</v>
      </c>
      <c r="I991" s="4">
        <f t="shared" si="139"/>
        <v>19</v>
      </c>
      <c r="J991">
        <f t="shared" si="140"/>
        <v>20041119</v>
      </c>
      <c r="K991" t="str">
        <f t="shared" si="141"/>
        <v>19.11.2004</v>
      </c>
      <c r="L991" s="10">
        <f t="shared" si="142"/>
        <v>6627</v>
      </c>
      <c r="M991" s="8">
        <f t="shared" si="143"/>
        <v>18</v>
      </c>
    </row>
    <row r="992" spans="1:13" x14ac:dyDescent="0.25">
      <c r="A992" s="4" t="s">
        <v>1018</v>
      </c>
      <c r="B992" t="s">
        <v>3</v>
      </c>
      <c r="C992" t="s">
        <v>6</v>
      </c>
      <c r="D992" s="3">
        <f t="shared" si="135"/>
        <v>6</v>
      </c>
      <c r="E992" s="4">
        <f t="shared" si="136"/>
        <v>26</v>
      </c>
      <c r="F992" s="4">
        <f t="shared" si="137"/>
        <v>1</v>
      </c>
      <c r="G992" s="3">
        <f>IF(E992&gt;=20,2000,1900) + D992</f>
        <v>2006</v>
      </c>
      <c r="H992">
        <f t="shared" si="138"/>
        <v>6</v>
      </c>
      <c r="I992" s="4">
        <f t="shared" si="139"/>
        <v>1</v>
      </c>
      <c r="J992">
        <f t="shared" si="140"/>
        <v>20060601</v>
      </c>
      <c r="K992" t="str">
        <f t="shared" si="141"/>
        <v>01.06.2006</v>
      </c>
      <c r="L992" s="10">
        <f t="shared" si="142"/>
        <v>6068</v>
      </c>
      <c r="M992" s="8">
        <f t="shared" si="143"/>
        <v>16</v>
      </c>
    </row>
    <row r="993" spans="1:13" x14ac:dyDescent="0.25">
      <c r="A993" s="4" t="s">
        <v>1019</v>
      </c>
      <c r="B993" t="s">
        <v>13</v>
      </c>
      <c r="C993" t="s">
        <v>6</v>
      </c>
      <c r="D993" s="3">
        <f t="shared" si="135"/>
        <v>6</v>
      </c>
      <c r="E993" s="4">
        <f t="shared" si="136"/>
        <v>22</v>
      </c>
      <c r="F993" s="4">
        <f t="shared" si="137"/>
        <v>4</v>
      </c>
      <c r="G993" s="3">
        <f>IF(E993&gt;=20,2000,1900) + D993</f>
        <v>2006</v>
      </c>
      <c r="H993">
        <f t="shared" si="138"/>
        <v>2</v>
      </c>
      <c r="I993" s="4">
        <f t="shared" si="139"/>
        <v>4</v>
      </c>
      <c r="J993">
        <f t="shared" si="140"/>
        <v>20060204</v>
      </c>
      <c r="K993" t="str">
        <f t="shared" si="141"/>
        <v>04.02.2006</v>
      </c>
      <c r="L993" s="10">
        <f t="shared" si="142"/>
        <v>6185</v>
      </c>
      <c r="M993" s="8">
        <f t="shared" si="143"/>
        <v>16</v>
      </c>
    </row>
    <row r="994" spans="1:13" x14ac:dyDescent="0.25">
      <c r="A994" s="4" t="s">
        <v>1020</v>
      </c>
      <c r="B994" t="s">
        <v>11</v>
      </c>
      <c r="C994" t="s">
        <v>4</v>
      </c>
      <c r="D994" s="3">
        <f t="shared" si="135"/>
        <v>22</v>
      </c>
      <c r="E994" s="4">
        <f t="shared" si="136"/>
        <v>26</v>
      </c>
      <c r="F994" s="4">
        <f t="shared" si="137"/>
        <v>12</v>
      </c>
      <c r="G994" s="3">
        <f>IF(E994&gt;=20,2000,1900) + D994</f>
        <v>2022</v>
      </c>
      <c r="H994">
        <f t="shared" si="138"/>
        <v>6</v>
      </c>
      <c r="I994" s="4">
        <f t="shared" si="139"/>
        <v>12</v>
      </c>
      <c r="J994">
        <f t="shared" si="140"/>
        <v>20220612</v>
      </c>
      <c r="K994" t="str">
        <f t="shared" si="141"/>
        <v>12.06.2022</v>
      </c>
      <c r="L994" s="10">
        <f t="shared" si="142"/>
        <v>213</v>
      </c>
      <c r="M994" s="8">
        <f t="shared" si="143"/>
        <v>0</v>
      </c>
    </row>
    <row r="995" spans="1:13" x14ac:dyDescent="0.25">
      <c r="A995" s="4" t="s">
        <v>1021</v>
      </c>
      <c r="B995" t="s">
        <v>13</v>
      </c>
      <c r="C995" t="s">
        <v>6</v>
      </c>
      <c r="D995" s="3">
        <f t="shared" si="135"/>
        <v>19</v>
      </c>
      <c r="E995" s="4">
        <f t="shared" si="136"/>
        <v>29</v>
      </c>
      <c r="F995" s="4">
        <f t="shared" si="137"/>
        <v>15</v>
      </c>
      <c r="G995" s="3">
        <f>IF(E995&gt;=20,2000,1900) + D995</f>
        <v>2019</v>
      </c>
      <c r="H995">
        <f t="shared" si="138"/>
        <v>9</v>
      </c>
      <c r="I995" s="4">
        <f t="shared" si="139"/>
        <v>15</v>
      </c>
      <c r="J995">
        <f t="shared" si="140"/>
        <v>20190915</v>
      </c>
      <c r="K995" t="str">
        <f t="shared" si="141"/>
        <v>15.09.2019</v>
      </c>
      <c r="L995" s="10">
        <f t="shared" si="142"/>
        <v>1214</v>
      </c>
      <c r="M995" s="8">
        <f t="shared" si="143"/>
        <v>3</v>
      </c>
    </row>
    <row r="996" spans="1:13" x14ac:dyDescent="0.25">
      <c r="A996" s="4" t="s">
        <v>1022</v>
      </c>
      <c r="B996" t="s">
        <v>5</v>
      </c>
      <c r="C996" t="s">
        <v>4</v>
      </c>
      <c r="D996" s="3">
        <f t="shared" si="135"/>
        <v>1</v>
      </c>
      <c r="E996" s="4">
        <f t="shared" si="136"/>
        <v>31</v>
      </c>
      <c r="F996" s="4">
        <f t="shared" si="137"/>
        <v>3</v>
      </c>
      <c r="G996" s="3">
        <f>IF(E996&gt;=20,2000,1900) + D996</f>
        <v>2001</v>
      </c>
      <c r="H996">
        <f t="shared" si="138"/>
        <v>11</v>
      </c>
      <c r="I996" s="4">
        <f t="shared" si="139"/>
        <v>3</v>
      </c>
      <c r="J996">
        <f t="shared" si="140"/>
        <v>20011103</v>
      </c>
      <c r="K996" t="str">
        <f t="shared" si="141"/>
        <v>03.11.2001</v>
      </c>
      <c r="L996" s="10">
        <f t="shared" si="142"/>
        <v>7739</v>
      </c>
      <c r="M996" s="8">
        <f t="shared" si="143"/>
        <v>21</v>
      </c>
    </row>
    <row r="997" spans="1:13" x14ac:dyDescent="0.25">
      <c r="A997" s="4" t="s">
        <v>1023</v>
      </c>
      <c r="B997" t="s">
        <v>15</v>
      </c>
      <c r="C997" t="s">
        <v>6</v>
      </c>
      <c r="D997" s="3">
        <f t="shared" si="135"/>
        <v>16</v>
      </c>
      <c r="E997" s="4">
        <f t="shared" si="136"/>
        <v>23</v>
      </c>
      <c r="F997" s="4">
        <f t="shared" si="137"/>
        <v>24</v>
      </c>
      <c r="G997" s="3">
        <f>IF(E997&gt;=20,2000,1900) + D997</f>
        <v>2016</v>
      </c>
      <c r="H997">
        <f t="shared" si="138"/>
        <v>3</v>
      </c>
      <c r="I997" s="4">
        <f t="shared" si="139"/>
        <v>24</v>
      </c>
      <c r="J997">
        <f t="shared" si="140"/>
        <v>20160324</v>
      </c>
      <c r="K997" t="str">
        <f t="shared" si="141"/>
        <v>24.03.2016</v>
      </c>
      <c r="L997" s="10">
        <f t="shared" si="142"/>
        <v>2484</v>
      </c>
      <c r="M997" s="8">
        <f t="shared" si="143"/>
        <v>6</v>
      </c>
    </row>
    <row r="998" spans="1:13" x14ac:dyDescent="0.25">
      <c r="A998" s="4" t="s">
        <v>1024</v>
      </c>
      <c r="B998" t="s">
        <v>19</v>
      </c>
      <c r="C998" t="s">
        <v>6</v>
      </c>
      <c r="D998" s="3">
        <f t="shared" si="135"/>
        <v>2</v>
      </c>
      <c r="E998" s="4">
        <f t="shared" si="136"/>
        <v>24</v>
      </c>
      <c r="F998" s="4">
        <f t="shared" si="137"/>
        <v>7</v>
      </c>
      <c r="G998" s="3">
        <f>IF(E998&gt;=20,2000,1900) + D998</f>
        <v>2002</v>
      </c>
      <c r="H998">
        <f t="shared" si="138"/>
        <v>4</v>
      </c>
      <c r="I998" s="4">
        <f t="shared" si="139"/>
        <v>7</v>
      </c>
      <c r="J998">
        <f t="shared" si="140"/>
        <v>20020407</v>
      </c>
      <c r="K998" t="str">
        <f t="shared" si="141"/>
        <v>07.04.2002</v>
      </c>
      <c r="L998" s="10">
        <f t="shared" si="142"/>
        <v>7584</v>
      </c>
      <c r="M998" s="8">
        <f t="shared" si="143"/>
        <v>20</v>
      </c>
    </row>
    <row r="999" spans="1:13" x14ac:dyDescent="0.25">
      <c r="A999" s="4" t="s">
        <v>1025</v>
      </c>
      <c r="B999" t="s">
        <v>7</v>
      </c>
      <c r="C999" t="s">
        <v>4</v>
      </c>
      <c r="D999" s="3">
        <f t="shared" si="135"/>
        <v>6</v>
      </c>
      <c r="E999" s="4">
        <f t="shared" si="136"/>
        <v>27</v>
      </c>
      <c r="F999" s="4">
        <f t="shared" si="137"/>
        <v>4</v>
      </c>
      <c r="G999" s="3">
        <f>IF(E999&gt;=20,2000,1900) + D999</f>
        <v>2006</v>
      </c>
      <c r="H999">
        <f t="shared" si="138"/>
        <v>7</v>
      </c>
      <c r="I999" s="4">
        <f t="shared" si="139"/>
        <v>4</v>
      </c>
      <c r="J999">
        <f t="shared" si="140"/>
        <v>20060704</v>
      </c>
      <c r="K999" t="str">
        <f t="shared" si="141"/>
        <v>04.07.2006</v>
      </c>
      <c r="L999" s="10">
        <f t="shared" si="142"/>
        <v>6035</v>
      </c>
      <c r="M999" s="8">
        <f t="shared" si="143"/>
        <v>16</v>
      </c>
    </row>
    <row r="1000" spans="1:13" x14ac:dyDescent="0.25">
      <c r="A1000" s="4" t="s">
        <v>1026</v>
      </c>
      <c r="B1000" t="s">
        <v>8</v>
      </c>
      <c r="C1000" t="s">
        <v>4</v>
      </c>
      <c r="D1000" s="3">
        <f t="shared" si="135"/>
        <v>4</v>
      </c>
      <c r="E1000" s="4">
        <f t="shared" si="136"/>
        <v>24</v>
      </c>
      <c r="F1000" s="4">
        <f t="shared" si="137"/>
        <v>18</v>
      </c>
      <c r="G1000" s="3">
        <f>IF(E1000&gt;=20,2000,1900) + D1000</f>
        <v>2004</v>
      </c>
      <c r="H1000">
        <f t="shared" si="138"/>
        <v>4</v>
      </c>
      <c r="I1000" s="4">
        <f t="shared" si="139"/>
        <v>18</v>
      </c>
      <c r="J1000">
        <f t="shared" si="140"/>
        <v>20040418</v>
      </c>
      <c r="K1000" t="str">
        <f t="shared" si="141"/>
        <v>18.04.2004</v>
      </c>
      <c r="L1000" s="10">
        <f t="shared" si="142"/>
        <v>6842</v>
      </c>
      <c r="M1000" s="8">
        <f t="shared" si="143"/>
        <v>18</v>
      </c>
    </row>
    <row r="1001" spans="1:13" x14ac:dyDescent="0.25">
      <c r="A1001" s="4" t="s">
        <v>1027</v>
      </c>
      <c r="B1001" t="s">
        <v>14</v>
      </c>
      <c r="C1001" t="s">
        <v>6</v>
      </c>
      <c r="D1001" s="3">
        <f t="shared" si="135"/>
        <v>17</v>
      </c>
      <c r="E1001" s="4">
        <f t="shared" si="136"/>
        <v>32</v>
      </c>
      <c r="F1001" s="4">
        <f t="shared" si="137"/>
        <v>4</v>
      </c>
      <c r="G1001" s="3">
        <f>IF(E1001&gt;=20,2000,1900) + D1001</f>
        <v>2017</v>
      </c>
      <c r="H1001">
        <f t="shared" si="138"/>
        <v>12</v>
      </c>
      <c r="I1001" s="4">
        <f t="shared" si="139"/>
        <v>4</v>
      </c>
      <c r="J1001">
        <f t="shared" si="140"/>
        <v>20171204</v>
      </c>
      <c r="K1001" t="str">
        <f t="shared" si="141"/>
        <v>04.12.2017</v>
      </c>
      <c r="L1001" s="10">
        <f t="shared" si="142"/>
        <v>1864</v>
      </c>
      <c r="M1001" s="8">
        <f t="shared" si="143"/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"/>
  <sheetViews>
    <sheetView workbookViewId="0">
      <selection activeCell="B4" sqref="B4"/>
    </sheetView>
  </sheetViews>
  <sheetFormatPr defaultRowHeight="15" x14ac:dyDescent="0.25"/>
  <cols>
    <col min="1" max="1" width="17.7109375" customWidth="1"/>
    <col min="2" max="2" width="12.85546875" bestFit="1" customWidth="1"/>
  </cols>
  <sheetData>
    <row r="3" spans="1:2" x14ac:dyDescent="0.25">
      <c r="A3" s="1" t="s">
        <v>1056</v>
      </c>
      <c r="B3" t="s">
        <v>1057</v>
      </c>
    </row>
    <row r="4" spans="1:2" x14ac:dyDescent="0.25">
      <c r="A4" s="2">
        <v>1</v>
      </c>
      <c r="B4" s="3">
        <v>89</v>
      </c>
    </row>
    <row r="5" spans="1:2" x14ac:dyDescent="0.25">
      <c r="A5" s="2">
        <v>2</v>
      </c>
      <c r="B5" s="3">
        <v>100</v>
      </c>
    </row>
    <row r="6" spans="1:2" x14ac:dyDescent="0.25">
      <c r="A6" s="2">
        <v>3</v>
      </c>
      <c r="B6" s="3">
        <v>72</v>
      </c>
    </row>
    <row r="7" spans="1:2" x14ac:dyDescent="0.25">
      <c r="A7" s="2">
        <v>4</v>
      </c>
      <c r="B7" s="3">
        <v>100</v>
      </c>
    </row>
    <row r="8" spans="1:2" x14ac:dyDescent="0.25">
      <c r="A8" s="2">
        <v>5</v>
      </c>
      <c r="B8" s="3">
        <v>57</v>
      </c>
    </row>
    <row r="9" spans="1:2" x14ac:dyDescent="0.25">
      <c r="A9" s="2">
        <v>6</v>
      </c>
      <c r="B9" s="3">
        <v>82</v>
      </c>
    </row>
    <row r="10" spans="1:2" x14ac:dyDescent="0.25">
      <c r="A10" s="2">
        <v>7</v>
      </c>
      <c r="B10" s="3">
        <v>79</v>
      </c>
    </row>
    <row r="11" spans="1:2" x14ac:dyDescent="0.25">
      <c r="A11" s="2">
        <v>8</v>
      </c>
      <c r="B11" s="3">
        <v>78</v>
      </c>
    </row>
    <row r="12" spans="1:2" x14ac:dyDescent="0.25">
      <c r="A12" s="2">
        <v>9</v>
      </c>
      <c r="B12" s="3">
        <v>95</v>
      </c>
    </row>
    <row r="13" spans="1:2" x14ac:dyDescent="0.25">
      <c r="A13" s="2">
        <v>10</v>
      </c>
      <c r="B13" s="3">
        <v>83</v>
      </c>
    </row>
    <row r="14" spans="1:2" x14ac:dyDescent="0.25">
      <c r="A14" s="2">
        <v>11</v>
      </c>
      <c r="B14" s="3">
        <v>81</v>
      </c>
    </row>
    <row r="15" spans="1:2" x14ac:dyDescent="0.25">
      <c r="A15" s="2">
        <v>12</v>
      </c>
      <c r="B15" s="3">
        <v>84</v>
      </c>
    </row>
    <row r="16" spans="1:2" x14ac:dyDescent="0.25">
      <c r="A16" s="2" t="s">
        <v>1035</v>
      </c>
      <c r="B16" s="3"/>
    </row>
    <row r="17" spans="1:2" x14ac:dyDescent="0.25">
      <c r="A17" s="2" t="s">
        <v>22</v>
      </c>
      <c r="B17" s="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sqref="A1:K1048576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  <col min="4" max="6" width="9.140625" style="3"/>
    <col min="7" max="7" width="16.7109375" style="3" customWidth="1"/>
    <col min="10" max="10" width="12.7109375" bestFit="1" customWidth="1"/>
    <col min="11" max="11" width="12.85546875" customWidth="1"/>
  </cols>
  <sheetData>
    <row r="1" spans="1:11" x14ac:dyDescent="0.25">
      <c r="A1" s="4" t="s">
        <v>0</v>
      </c>
      <c r="B1" t="s">
        <v>1</v>
      </c>
      <c r="C1" t="s">
        <v>2</v>
      </c>
      <c r="D1" s="3" t="s">
        <v>27</v>
      </c>
      <c r="E1" s="3" t="s">
        <v>1028</v>
      </c>
      <c r="F1" s="3" t="s">
        <v>1029</v>
      </c>
      <c r="G1" s="3" t="s">
        <v>27</v>
      </c>
      <c r="H1" s="3" t="s">
        <v>1028</v>
      </c>
      <c r="I1" s="3" t="s">
        <v>1029</v>
      </c>
      <c r="J1" s="3" t="s">
        <v>1030</v>
      </c>
      <c r="K1" s="3" t="s">
        <v>1041</v>
      </c>
    </row>
    <row r="2" spans="1:11" x14ac:dyDescent="0.25">
      <c r="A2" s="4" t="s">
        <v>28</v>
      </c>
      <c r="B2" t="s">
        <v>3</v>
      </c>
      <c r="C2" t="s">
        <v>4</v>
      </c>
      <c r="D2" s="3">
        <f>MID(A2,1,2)*1</f>
        <v>93</v>
      </c>
      <c r="E2" s="4">
        <f>MID(A2,3,2)*1</f>
        <v>7</v>
      </c>
      <c r="F2" s="4">
        <f>MID(A2,5,2)*1</f>
        <v>12</v>
      </c>
      <c r="G2" s="3">
        <f>IF(E2&gt;=20,2000,1900) + D2</f>
        <v>1993</v>
      </c>
      <c r="H2">
        <f>IF(E2&gt;=20,E2-20,E2)</f>
        <v>7</v>
      </c>
      <c r="I2" s="4">
        <f>F2</f>
        <v>12</v>
      </c>
      <c r="J2">
        <f>CONCATENATE(G2,IF(LEN(E2)=1,CONCATENATE("0",E2),E2),IF(LEN(F2)=1,CONCATENATE("0",F2),F2))*1</f>
        <v>19930712</v>
      </c>
      <c r="K2" t="str">
        <f>CONCATENATE(RIGHT(J2,2),".",MID(J2,5,2),".",LEFT(J2,4))</f>
        <v>12.07.1993</v>
      </c>
    </row>
    <row r="3" spans="1:11" x14ac:dyDescent="0.25">
      <c r="A3" s="4" t="s">
        <v>29</v>
      </c>
      <c r="B3" t="s">
        <v>5</v>
      </c>
      <c r="C3" t="s">
        <v>6</v>
      </c>
      <c r="D3" s="3">
        <f t="shared" ref="D3:D66" si="0">MID(A3,1,2)*1</f>
        <v>71</v>
      </c>
      <c r="E3" s="4">
        <f t="shared" ref="E3:E66" si="1">MID(A3,3,2)*1</f>
        <v>10</v>
      </c>
      <c r="F3" s="4">
        <f t="shared" ref="F3:F66" si="2">MID(A3,5,2)*1</f>
        <v>1</v>
      </c>
      <c r="G3" s="3">
        <f>IF(E3&gt;=20,2000,1900) + D3</f>
        <v>1971</v>
      </c>
      <c r="H3">
        <f t="shared" ref="H3:H66" si="3">IF(E3&gt;=20,E3-20,E3)</f>
        <v>10</v>
      </c>
      <c r="I3" s="4">
        <f t="shared" ref="I3:I66" si="4">F3</f>
        <v>1</v>
      </c>
      <c r="J3">
        <f t="shared" ref="J3:J66" si="5">CONCATENATE(G3,IF(LEN(E3)=1,CONCATENATE("0",E3),E3),IF(LEN(F3)=1,CONCATENATE("0",F3),F3))*1</f>
        <v>19711001</v>
      </c>
      <c r="K3" t="str">
        <f t="shared" ref="K3:K66" si="6">CONCATENATE(RIGHT(J3,2),".",MID(J3,5,2),".",LEFT(J3,4))</f>
        <v>01.10.1971</v>
      </c>
    </row>
    <row r="4" spans="1:11" x14ac:dyDescent="0.25">
      <c r="A4" s="4" t="s">
        <v>30</v>
      </c>
      <c r="B4" t="s">
        <v>7</v>
      </c>
      <c r="C4" t="s">
        <v>6</v>
      </c>
      <c r="D4" s="3">
        <f t="shared" si="0"/>
        <v>81</v>
      </c>
      <c r="E4" s="4">
        <f t="shared" si="1"/>
        <v>4</v>
      </c>
      <c r="F4" s="4">
        <f t="shared" si="2"/>
        <v>23</v>
      </c>
      <c r="G4" s="3">
        <f>IF(E4&gt;=20,2000,1900) + D4</f>
        <v>1981</v>
      </c>
      <c r="H4">
        <f t="shared" si="3"/>
        <v>4</v>
      </c>
      <c r="I4" s="4">
        <f t="shared" si="4"/>
        <v>23</v>
      </c>
      <c r="J4">
        <f t="shared" si="5"/>
        <v>19810423</v>
      </c>
      <c r="K4" t="str">
        <f t="shared" si="6"/>
        <v>23.04.1981</v>
      </c>
    </row>
    <row r="5" spans="1:11" x14ac:dyDescent="0.25">
      <c r="A5" s="4" t="s">
        <v>31</v>
      </c>
      <c r="B5" t="s">
        <v>8</v>
      </c>
      <c r="C5" t="s">
        <v>4</v>
      </c>
      <c r="D5" s="3">
        <f t="shared" si="0"/>
        <v>72</v>
      </c>
      <c r="E5" s="4">
        <f t="shared" si="1"/>
        <v>8</v>
      </c>
      <c r="F5" s="4">
        <f t="shared" si="2"/>
        <v>31</v>
      </c>
      <c r="G5" s="3">
        <f>IF(E5&gt;=20,2000,1900) + D5</f>
        <v>1972</v>
      </c>
      <c r="H5">
        <f t="shared" si="3"/>
        <v>8</v>
      </c>
      <c r="I5" s="4">
        <f t="shared" si="4"/>
        <v>31</v>
      </c>
      <c r="J5">
        <f t="shared" si="5"/>
        <v>19720831</v>
      </c>
      <c r="K5" t="str">
        <f t="shared" si="6"/>
        <v>31.08.1972</v>
      </c>
    </row>
    <row r="6" spans="1:11" x14ac:dyDescent="0.25">
      <c r="A6" s="4" t="s">
        <v>32</v>
      </c>
      <c r="B6" t="s">
        <v>9</v>
      </c>
      <c r="C6" t="s">
        <v>6</v>
      </c>
      <c r="D6" s="3">
        <f t="shared" si="0"/>
        <v>50</v>
      </c>
      <c r="E6" s="4">
        <f t="shared" si="1"/>
        <v>7</v>
      </c>
      <c r="F6" s="4">
        <f t="shared" si="2"/>
        <v>28</v>
      </c>
      <c r="G6" s="3">
        <f>IF(E6&gt;=20,2000,1900) + D6</f>
        <v>1950</v>
      </c>
      <c r="H6">
        <f t="shared" si="3"/>
        <v>7</v>
      </c>
      <c r="I6" s="4">
        <f t="shared" si="4"/>
        <v>28</v>
      </c>
      <c r="J6">
        <f t="shared" si="5"/>
        <v>19500728</v>
      </c>
      <c r="K6" t="str">
        <f t="shared" si="6"/>
        <v>28.07.1950</v>
      </c>
    </row>
    <row r="7" spans="1:11" x14ac:dyDescent="0.25">
      <c r="A7" s="4" t="s">
        <v>33</v>
      </c>
      <c r="B7" t="s">
        <v>10</v>
      </c>
      <c r="C7" t="s">
        <v>6</v>
      </c>
      <c r="D7" s="3">
        <f t="shared" si="0"/>
        <v>93</v>
      </c>
      <c r="E7" s="4">
        <f t="shared" si="1"/>
        <v>5</v>
      </c>
      <c r="F7" s="4">
        <f t="shared" si="2"/>
        <v>7</v>
      </c>
      <c r="G7" s="3">
        <f>IF(E7&gt;=20,2000,1900) + D7</f>
        <v>1993</v>
      </c>
      <c r="H7">
        <f t="shared" si="3"/>
        <v>5</v>
      </c>
      <c r="I7" s="4">
        <f t="shared" si="4"/>
        <v>7</v>
      </c>
      <c r="J7">
        <f t="shared" si="5"/>
        <v>19930507</v>
      </c>
      <c r="K7" t="str">
        <f t="shared" si="6"/>
        <v>07.05.1993</v>
      </c>
    </row>
    <row r="8" spans="1:11" x14ac:dyDescent="0.25">
      <c r="A8" s="4" t="s">
        <v>34</v>
      </c>
      <c r="B8" t="s">
        <v>9</v>
      </c>
      <c r="C8" t="s">
        <v>6</v>
      </c>
      <c r="D8" s="3">
        <f t="shared" si="0"/>
        <v>72</v>
      </c>
      <c r="E8" s="4">
        <f t="shared" si="1"/>
        <v>8</v>
      </c>
      <c r="F8" s="4">
        <f t="shared" si="2"/>
        <v>14</v>
      </c>
      <c r="G8" s="3">
        <f>IF(E8&gt;=20,2000,1900) + D8</f>
        <v>1972</v>
      </c>
      <c r="H8">
        <f t="shared" si="3"/>
        <v>8</v>
      </c>
      <c r="I8" s="4">
        <f t="shared" si="4"/>
        <v>14</v>
      </c>
      <c r="J8">
        <f t="shared" si="5"/>
        <v>19720814</v>
      </c>
      <c r="K8" t="str">
        <f t="shared" si="6"/>
        <v>14.08.1972</v>
      </c>
    </row>
    <row r="9" spans="1:11" x14ac:dyDescent="0.25">
      <c r="A9" s="4" t="s">
        <v>35</v>
      </c>
      <c r="B9" t="s">
        <v>8</v>
      </c>
      <c r="C9" t="s">
        <v>6</v>
      </c>
      <c r="D9" s="3">
        <f t="shared" si="0"/>
        <v>95</v>
      </c>
      <c r="E9" s="4">
        <f t="shared" si="1"/>
        <v>9</v>
      </c>
      <c r="F9" s="4">
        <f t="shared" si="2"/>
        <v>8</v>
      </c>
      <c r="G9" s="3">
        <f>IF(E9&gt;=20,2000,1900) + D9</f>
        <v>1995</v>
      </c>
      <c r="H9">
        <f t="shared" si="3"/>
        <v>9</v>
      </c>
      <c r="I9" s="4">
        <f t="shared" si="4"/>
        <v>8</v>
      </c>
      <c r="J9">
        <f t="shared" si="5"/>
        <v>19950908</v>
      </c>
      <c r="K9" t="str">
        <f t="shared" si="6"/>
        <v>08.09.1995</v>
      </c>
    </row>
    <row r="10" spans="1:11" x14ac:dyDescent="0.25">
      <c r="A10" s="4" t="s">
        <v>36</v>
      </c>
      <c r="B10" t="s">
        <v>3</v>
      </c>
      <c r="C10" t="s">
        <v>4</v>
      </c>
      <c r="D10" s="3">
        <f t="shared" si="0"/>
        <v>61</v>
      </c>
      <c r="E10" s="4">
        <f t="shared" si="1"/>
        <v>12</v>
      </c>
      <c r="F10" s="4">
        <f t="shared" si="2"/>
        <v>10</v>
      </c>
      <c r="G10" s="3">
        <f>IF(E10&gt;=20,2000,1900) + D10</f>
        <v>1961</v>
      </c>
      <c r="H10">
        <f t="shared" si="3"/>
        <v>12</v>
      </c>
      <c r="I10" s="4">
        <f t="shared" si="4"/>
        <v>10</v>
      </c>
      <c r="J10">
        <f t="shared" si="5"/>
        <v>19611210</v>
      </c>
      <c r="K10" t="str">
        <f t="shared" si="6"/>
        <v>10.12.1961</v>
      </c>
    </row>
    <row r="11" spans="1:11" x14ac:dyDescent="0.25">
      <c r="A11" s="4" t="s">
        <v>37</v>
      </c>
      <c r="B11" t="s">
        <v>10</v>
      </c>
      <c r="C11" t="s">
        <v>6</v>
      </c>
      <c r="D11" s="3">
        <f t="shared" si="0"/>
        <v>81</v>
      </c>
      <c r="E11" s="4">
        <f t="shared" si="1"/>
        <v>5</v>
      </c>
      <c r="F11" s="4">
        <f t="shared" si="2"/>
        <v>17</v>
      </c>
      <c r="G11" s="3">
        <f>IF(E11&gt;=20,2000,1900) + D11</f>
        <v>1981</v>
      </c>
      <c r="H11">
        <f t="shared" si="3"/>
        <v>5</v>
      </c>
      <c r="I11" s="4">
        <f t="shared" si="4"/>
        <v>17</v>
      </c>
      <c r="J11">
        <f t="shared" si="5"/>
        <v>19810517</v>
      </c>
      <c r="K11" t="str">
        <f t="shared" si="6"/>
        <v>17.05.1981</v>
      </c>
    </row>
    <row r="12" spans="1:11" x14ac:dyDescent="0.25">
      <c r="A12" s="4" t="s">
        <v>38</v>
      </c>
      <c r="B12" t="s">
        <v>5</v>
      </c>
      <c r="C12" t="s">
        <v>6</v>
      </c>
      <c r="D12" s="3">
        <f t="shared" si="0"/>
        <v>95</v>
      </c>
      <c r="E12" s="4">
        <f t="shared" si="1"/>
        <v>6</v>
      </c>
      <c r="F12" s="4">
        <f t="shared" si="2"/>
        <v>17</v>
      </c>
      <c r="G12" s="3">
        <f>IF(E12&gt;=20,2000,1900) + D12</f>
        <v>1995</v>
      </c>
      <c r="H12">
        <f t="shared" si="3"/>
        <v>6</v>
      </c>
      <c r="I12" s="4">
        <f t="shared" si="4"/>
        <v>17</v>
      </c>
      <c r="J12">
        <f t="shared" si="5"/>
        <v>19950617</v>
      </c>
      <c r="K12" t="str">
        <f t="shared" si="6"/>
        <v>17.06.1995</v>
      </c>
    </row>
    <row r="13" spans="1:11" x14ac:dyDescent="0.25">
      <c r="A13" s="4" t="s">
        <v>39</v>
      </c>
      <c r="B13" t="s">
        <v>11</v>
      </c>
      <c r="C13" t="s">
        <v>6</v>
      </c>
      <c r="D13" s="3">
        <f t="shared" si="0"/>
        <v>50</v>
      </c>
      <c r="E13" s="4">
        <f t="shared" si="1"/>
        <v>8</v>
      </c>
      <c r="F13" s="4">
        <f t="shared" si="2"/>
        <v>8</v>
      </c>
      <c r="G13" s="3">
        <f>IF(E13&gt;=20,2000,1900) + D13</f>
        <v>1950</v>
      </c>
      <c r="H13">
        <f t="shared" si="3"/>
        <v>8</v>
      </c>
      <c r="I13" s="4">
        <f t="shared" si="4"/>
        <v>8</v>
      </c>
      <c r="J13">
        <f t="shared" si="5"/>
        <v>19500808</v>
      </c>
      <c r="K13" t="str">
        <f t="shared" si="6"/>
        <v>08.08.1950</v>
      </c>
    </row>
    <row r="14" spans="1:11" x14ac:dyDescent="0.25">
      <c r="A14" s="4" t="s">
        <v>40</v>
      </c>
      <c r="B14" t="s">
        <v>12</v>
      </c>
      <c r="C14" t="s">
        <v>6</v>
      </c>
      <c r="D14" s="3">
        <f t="shared" si="0"/>
        <v>79</v>
      </c>
      <c r="E14" s="4">
        <f t="shared" si="1"/>
        <v>9</v>
      </c>
      <c r="F14" s="4">
        <f t="shared" si="2"/>
        <v>28</v>
      </c>
      <c r="G14" s="3">
        <f>IF(E14&gt;=20,2000,1900) + D14</f>
        <v>1979</v>
      </c>
      <c r="H14">
        <f t="shared" si="3"/>
        <v>9</v>
      </c>
      <c r="I14" s="4">
        <f t="shared" si="4"/>
        <v>28</v>
      </c>
      <c r="J14">
        <f t="shared" si="5"/>
        <v>19790928</v>
      </c>
      <c r="K14" t="str">
        <f t="shared" si="6"/>
        <v>28.09.1979</v>
      </c>
    </row>
    <row r="15" spans="1:11" x14ac:dyDescent="0.25">
      <c r="A15" s="4" t="s">
        <v>41</v>
      </c>
      <c r="B15" t="s">
        <v>13</v>
      </c>
      <c r="C15" t="s">
        <v>6</v>
      </c>
      <c r="D15" s="3">
        <f t="shared" si="0"/>
        <v>66</v>
      </c>
      <c r="E15" s="4">
        <f t="shared" si="1"/>
        <v>9</v>
      </c>
      <c r="F15" s="4">
        <f t="shared" si="2"/>
        <v>11</v>
      </c>
      <c r="G15" s="3">
        <f>IF(E15&gt;=20,2000,1900) + D15</f>
        <v>1966</v>
      </c>
      <c r="H15">
        <f t="shared" si="3"/>
        <v>9</v>
      </c>
      <c r="I15" s="4">
        <f t="shared" si="4"/>
        <v>11</v>
      </c>
      <c r="J15">
        <f t="shared" si="5"/>
        <v>19660911</v>
      </c>
      <c r="K15" t="str">
        <f t="shared" si="6"/>
        <v>11.09.1966</v>
      </c>
    </row>
    <row r="16" spans="1:11" x14ac:dyDescent="0.25">
      <c r="A16" s="4" t="s">
        <v>42</v>
      </c>
      <c r="B16" t="s">
        <v>12</v>
      </c>
      <c r="C16" t="s">
        <v>4</v>
      </c>
      <c r="D16" s="3">
        <f t="shared" si="0"/>
        <v>84</v>
      </c>
      <c r="E16" s="4">
        <f t="shared" si="1"/>
        <v>8</v>
      </c>
      <c r="F16" s="4">
        <f t="shared" si="2"/>
        <v>10</v>
      </c>
      <c r="G16" s="3">
        <f>IF(E16&gt;=20,2000,1900) + D16</f>
        <v>1984</v>
      </c>
      <c r="H16">
        <f t="shared" si="3"/>
        <v>8</v>
      </c>
      <c r="I16" s="4">
        <f t="shared" si="4"/>
        <v>10</v>
      </c>
      <c r="J16">
        <f t="shared" si="5"/>
        <v>19840810</v>
      </c>
      <c r="K16" t="str">
        <f t="shared" si="6"/>
        <v>10.08.1984</v>
      </c>
    </row>
    <row r="17" spans="1:11" x14ac:dyDescent="0.25">
      <c r="A17" s="4" t="s">
        <v>43</v>
      </c>
      <c r="B17" t="s">
        <v>11</v>
      </c>
      <c r="C17" t="s">
        <v>6</v>
      </c>
      <c r="D17" s="3">
        <f t="shared" si="0"/>
        <v>76</v>
      </c>
      <c r="E17" s="4">
        <f t="shared" si="1"/>
        <v>1</v>
      </c>
      <c r="F17" s="4">
        <f t="shared" si="2"/>
        <v>24</v>
      </c>
      <c r="G17" s="3">
        <f>IF(E17&gt;=20,2000,1900) + D17</f>
        <v>1976</v>
      </c>
      <c r="H17">
        <f t="shared" si="3"/>
        <v>1</v>
      </c>
      <c r="I17" s="4">
        <f t="shared" si="4"/>
        <v>24</v>
      </c>
      <c r="J17">
        <f t="shared" si="5"/>
        <v>19760124</v>
      </c>
      <c r="K17" t="str">
        <f t="shared" si="6"/>
        <v>24.01.1976</v>
      </c>
    </row>
    <row r="18" spans="1:11" x14ac:dyDescent="0.25">
      <c r="A18" s="4" t="s">
        <v>44</v>
      </c>
      <c r="B18" t="s">
        <v>10</v>
      </c>
      <c r="C18" t="s">
        <v>6</v>
      </c>
      <c r="D18" s="3">
        <f t="shared" si="0"/>
        <v>60</v>
      </c>
      <c r="E18" s="4">
        <f t="shared" si="1"/>
        <v>11</v>
      </c>
      <c r="F18" s="4">
        <f t="shared" si="2"/>
        <v>23</v>
      </c>
      <c r="G18" s="3">
        <f>IF(E18&gt;=20,2000,1900) + D18</f>
        <v>1960</v>
      </c>
      <c r="H18">
        <f t="shared" si="3"/>
        <v>11</v>
      </c>
      <c r="I18" s="4">
        <f t="shared" si="4"/>
        <v>23</v>
      </c>
      <c r="J18">
        <f t="shared" si="5"/>
        <v>19601123</v>
      </c>
      <c r="K18" t="str">
        <f t="shared" si="6"/>
        <v>23.11.1960</v>
      </c>
    </row>
    <row r="19" spans="1:11" x14ac:dyDescent="0.25">
      <c r="A19" s="4" t="s">
        <v>45</v>
      </c>
      <c r="B19" t="s">
        <v>5</v>
      </c>
      <c r="C19" t="s">
        <v>6</v>
      </c>
      <c r="D19" s="3">
        <f t="shared" si="0"/>
        <v>95</v>
      </c>
      <c r="E19" s="4">
        <f t="shared" si="1"/>
        <v>10</v>
      </c>
      <c r="F19" s="4">
        <f t="shared" si="2"/>
        <v>9</v>
      </c>
      <c r="G19" s="3">
        <f>IF(E19&gt;=20,2000,1900) + D19</f>
        <v>1995</v>
      </c>
      <c r="H19">
        <f t="shared" si="3"/>
        <v>10</v>
      </c>
      <c r="I19" s="4">
        <f t="shared" si="4"/>
        <v>9</v>
      </c>
      <c r="J19">
        <f t="shared" si="5"/>
        <v>19951009</v>
      </c>
      <c r="K19" t="str">
        <f t="shared" si="6"/>
        <v>09.10.1995</v>
      </c>
    </row>
    <row r="20" spans="1:11" x14ac:dyDescent="0.25">
      <c r="A20" s="4" t="s">
        <v>46</v>
      </c>
      <c r="B20" t="s">
        <v>14</v>
      </c>
      <c r="C20" t="s">
        <v>6</v>
      </c>
      <c r="D20" s="3">
        <f t="shared" si="0"/>
        <v>91</v>
      </c>
      <c r="E20" s="4">
        <f t="shared" si="1"/>
        <v>11</v>
      </c>
      <c r="F20" s="4">
        <f t="shared" si="2"/>
        <v>16</v>
      </c>
      <c r="G20" s="3">
        <f>IF(E20&gt;=20,2000,1900) + D20</f>
        <v>1991</v>
      </c>
      <c r="H20">
        <f t="shared" si="3"/>
        <v>11</v>
      </c>
      <c r="I20" s="4">
        <f t="shared" si="4"/>
        <v>16</v>
      </c>
      <c r="J20">
        <f t="shared" si="5"/>
        <v>19911116</v>
      </c>
      <c r="K20" t="str">
        <f t="shared" si="6"/>
        <v>16.11.1991</v>
      </c>
    </row>
    <row r="21" spans="1:11" x14ac:dyDescent="0.25">
      <c r="A21" s="4" t="s">
        <v>47</v>
      </c>
      <c r="B21" t="s">
        <v>15</v>
      </c>
      <c r="C21" t="s">
        <v>4</v>
      </c>
      <c r="D21" s="3">
        <f t="shared" si="0"/>
        <v>74</v>
      </c>
      <c r="E21" s="4">
        <f t="shared" si="1"/>
        <v>1</v>
      </c>
      <c r="F21" s="4">
        <f t="shared" si="2"/>
        <v>26</v>
      </c>
      <c r="G21" s="3">
        <f>IF(E21&gt;=20,2000,1900) + D21</f>
        <v>1974</v>
      </c>
      <c r="H21">
        <f t="shared" si="3"/>
        <v>1</v>
      </c>
      <c r="I21" s="4">
        <f t="shared" si="4"/>
        <v>26</v>
      </c>
      <c r="J21">
        <f t="shared" si="5"/>
        <v>19740126</v>
      </c>
      <c r="K21" t="str">
        <f t="shared" si="6"/>
        <v>26.01.1974</v>
      </c>
    </row>
    <row r="22" spans="1:11" x14ac:dyDescent="0.25">
      <c r="A22" s="4" t="s">
        <v>48</v>
      </c>
      <c r="B22" t="s">
        <v>16</v>
      </c>
      <c r="C22" t="s">
        <v>6</v>
      </c>
      <c r="D22" s="3">
        <f t="shared" si="0"/>
        <v>83</v>
      </c>
      <c r="E22" s="4">
        <f t="shared" si="1"/>
        <v>4</v>
      </c>
      <c r="F22" s="4">
        <f t="shared" si="2"/>
        <v>10</v>
      </c>
      <c r="G22" s="3">
        <f>IF(E22&gt;=20,2000,1900) + D22</f>
        <v>1983</v>
      </c>
      <c r="H22">
        <f t="shared" si="3"/>
        <v>4</v>
      </c>
      <c r="I22" s="4">
        <f t="shared" si="4"/>
        <v>10</v>
      </c>
      <c r="J22">
        <f t="shared" si="5"/>
        <v>19830410</v>
      </c>
      <c r="K22" t="str">
        <f t="shared" si="6"/>
        <v>10.04.1983</v>
      </c>
    </row>
    <row r="23" spans="1:11" x14ac:dyDescent="0.25">
      <c r="A23" s="4" t="s">
        <v>49</v>
      </c>
      <c r="B23" t="s">
        <v>17</v>
      </c>
      <c r="C23" t="s">
        <v>4</v>
      </c>
      <c r="D23" s="3">
        <f t="shared" si="0"/>
        <v>61</v>
      </c>
      <c r="E23" s="4">
        <f t="shared" si="1"/>
        <v>12</v>
      </c>
      <c r="F23" s="4">
        <f t="shared" si="2"/>
        <v>26</v>
      </c>
      <c r="G23" s="3">
        <f>IF(E23&gt;=20,2000,1900) + D23</f>
        <v>1961</v>
      </c>
      <c r="H23">
        <f t="shared" si="3"/>
        <v>12</v>
      </c>
      <c r="I23" s="4">
        <f t="shared" si="4"/>
        <v>26</v>
      </c>
      <c r="J23">
        <f t="shared" si="5"/>
        <v>19611226</v>
      </c>
      <c r="K23" t="str">
        <f t="shared" si="6"/>
        <v>26.12.1961</v>
      </c>
    </row>
    <row r="24" spans="1:11" x14ac:dyDescent="0.25">
      <c r="A24" s="4" t="s">
        <v>50</v>
      </c>
      <c r="B24" t="s">
        <v>18</v>
      </c>
      <c r="C24" t="s">
        <v>4</v>
      </c>
      <c r="D24" s="3">
        <f t="shared" si="0"/>
        <v>91</v>
      </c>
      <c r="E24" s="4">
        <f t="shared" si="1"/>
        <v>12</v>
      </c>
      <c r="F24" s="4">
        <f t="shared" si="2"/>
        <v>4</v>
      </c>
      <c r="G24" s="3">
        <f>IF(E24&gt;=20,2000,1900) + D24</f>
        <v>1991</v>
      </c>
      <c r="H24">
        <f t="shared" si="3"/>
        <v>12</v>
      </c>
      <c r="I24" s="4">
        <f t="shared" si="4"/>
        <v>4</v>
      </c>
      <c r="J24">
        <f t="shared" si="5"/>
        <v>19911204</v>
      </c>
      <c r="K24" t="str">
        <f t="shared" si="6"/>
        <v>04.12.1991</v>
      </c>
    </row>
    <row r="25" spans="1:11" x14ac:dyDescent="0.25">
      <c r="A25" s="4" t="s">
        <v>51</v>
      </c>
      <c r="B25" t="s">
        <v>19</v>
      </c>
      <c r="C25" t="s">
        <v>4</v>
      </c>
      <c r="D25" s="3">
        <f t="shared" si="0"/>
        <v>72</v>
      </c>
      <c r="E25" s="4">
        <f t="shared" si="1"/>
        <v>8</v>
      </c>
      <c r="F25" s="4">
        <f t="shared" si="2"/>
        <v>26</v>
      </c>
      <c r="G25" s="3">
        <f>IF(E25&gt;=20,2000,1900) + D25</f>
        <v>1972</v>
      </c>
      <c r="H25">
        <f t="shared" si="3"/>
        <v>8</v>
      </c>
      <c r="I25" s="4">
        <f t="shared" si="4"/>
        <v>26</v>
      </c>
      <c r="J25">
        <f t="shared" si="5"/>
        <v>19720826</v>
      </c>
      <c r="K25" t="str">
        <f t="shared" si="6"/>
        <v>26.08.1972</v>
      </c>
    </row>
    <row r="26" spans="1:11" x14ac:dyDescent="0.25">
      <c r="A26" s="4" t="s">
        <v>52</v>
      </c>
      <c r="B26" t="s">
        <v>10</v>
      </c>
      <c r="C26" t="s">
        <v>4</v>
      </c>
      <c r="D26" s="3">
        <f t="shared" si="0"/>
        <v>97</v>
      </c>
      <c r="E26" s="4">
        <f t="shared" si="1"/>
        <v>12</v>
      </c>
      <c r="F26" s="4">
        <f t="shared" si="2"/>
        <v>28</v>
      </c>
      <c r="G26" s="3">
        <f>IF(E26&gt;=20,2000,1900) + D26</f>
        <v>1997</v>
      </c>
      <c r="H26">
        <f t="shared" si="3"/>
        <v>12</v>
      </c>
      <c r="I26" s="4">
        <f t="shared" si="4"/>
        <v>28</v>
      </c>
      <c r="J26">
        <f t="shared" si="5"/>
        <v>19971228</v>
      </c>
      <c r="K26" t="str">
        <f t="shared" si="6"/>
        <v>28.12.1997</v>
      </c>
    </row>
    <row r="27" spans="1:11" x14ac:dyDescent="0.25">
      <c r="A27" s="4" t="s">
        <v>53</v>
      </c>
      <c r="B27" t="s">
        <v>20</v>
      </c>
      <c r="C27" t="s">
        <v>6</v>
      </c>
      <c r="D27" s="3">
        <f t="shared" si="0"/>
        <v>56</v>
      </c>
      <c r="E27" s="4">
        <f t="shared" si="1"/>
        <v>7</v>
      </c>
      <c r="F27" s="4">
        <f t="shared" si="2"/>
        <v>10</v>
      </c>
      <c r="G27" s="3">
        <f>IF(E27&gt;=20,2000,1900) + D27</f>
        <v>1956</v>
      </c>
      <c r="H27">
        <f t="shared" si="3"/>
        <v>7</v>
      </c>
      <c r="I27" s="4">
        <f t="shared" si="4"/>
        <v>10</v>
      </c>
      <c r="J27">
        <f t="shared" si="5"/>
        <v>19560710</v>
      </c>
      <c r="K27" t="str">
        <f t="shared" si="6"/>
        <v>10.07.1956</v>
      </c>
    </row>
    <row r="28" spans="1:11" x14ac:dyDescent="0.25">
      <c r="A28" s="4" t="s">
        <v>54</v>
      </c>
      <c r="B28" t="s">
        <v>3</v>
      </c>
      <c r="C28" t="s">
        <v>4</v>
      </c>
      <c r="D28" s="3">
        <f t="shared" si="0"/>
        <v>83</v>
      </c>
      <c r="E28" s="4">
        <f t="shared" si="1"/>
        <v>2</v>
      </c>
      <c r="F28" s="4">
        <f t="shared" si="2"/>
        <v>1</v>
      </c>
      <c r="G28" s="3">
        <f>IF(E28&gt;=20,2000,1900) + D28</f>
        <v>1983</v>
      </c>
      <c r="H28">
        <f t="shared" si="3"/>
        <v>2</v>
      </c>
      <c r="I28" s="4">
        <f t="shared" si="4"/>
        <v>1</v>
      </c>
      <c r="J28">
        <f t="shared" si="5"/>
        <v>19830201</v>
      </c>
      <c r="K28" t="str">
        <f t="shared" si="6"/>
        <v>01.02.1983</v>
      </c>
    </row>
    <row r="29" spans="1:11" x14ac:dyDescent="0.25">
      <c r="A29" s="4" t="s">
        <v>55</v>
      </c>
      <c r="B29" t="s">
        <v>14</v>
      </c>
      <c r="C29" t="s">
        <v>4</v>
      </c>
      <c r="D29" s="3">
        <f t="shared" si="0"/>
        <v>86</v>
      </c>
      <c r="E29" s="4">
        <f t="shared" si="1"/>
        <v>4</v>
      </c>
      <c r="F29" s="4">
        <f t="shared" si="2"/>
        <v>8</v>
      </c>
      <c r="G29" s="3">
        <f>IF(E29&gt;=20,2000,1900) + D29</f>
        <v>1986</v>
      </c>
      <c r="H29">
        <f t="shared" si="3"/>
        <v>4</v>
      </c>
      <c r="I29" s="4">
        <f t="shared" si="4"/>
        <v>8</v>
      </c>
      <c r="J29">
        <f t="shared" si="5"/>
        <v>19860408</v>
      </c>
      <c r="K29" t="str">
        <f t="shared" si="6"/>
        <v>08.04.1986</v>
      </c>
    </row>
    <row r="30" spans="1:11" x14ac:dyDescent="0.25">
      <c r="A30" s="4" t="s">
        <v>56</v>
      </c>
      <c r="B30" t="s">
        <v>3</v>
      </c>
      <c r="C30" t="s">
        <v>4</v>
      </c>
      <c r="D30" s="3">
        <f t="shared" si="0"/>
        <v>56</v>
      </c>
      <c r="E30" s="4">
        <f t="shared" si="1"/>
        <v>10</v>
      </c>
      <c r="F30" s="4">
        <f t="shared" si="2"/>
        <v>27</v>
      </c>
      <c r="G30" s="3">
        <f>IF(E30&gt;=20,2000,1900) + D30</f>
        <v>1956</v>
      </c>
      <c r="H30">
        <f t="shared" si="3"/>
        <v>10</v>
      </c>
      <c r="I30" s="4">
        <f t="shared" si="4"/>
        <v>27</v>
      </c>
      <c r="J30">
        <f t="shared" si="5"/>
        <v>19561027</v>
      </c>
      <c r="K30" t="str">
        <f t="shared" si="6"/>
        <v>27.10.1956</v>
      </c>
    </row>
    <row r="31" spans="1:11" x14ac:dyDescent="0.25">
      <c r="A31" s="4" t="s">
        <v>57</v>
      </c>
      <c r="B31" t="s">
        <v>10</v>
      </c>
      <c r="C31" t="s">
        <v>6</v>
      </c>
      <c r="D31" s="3">
        <f t="shared" si="0"/>
        <v>57</v>
      </c>
      <c r="E31" s="4">
        <f t="shared" si="1"/>
        <v>1</v>
      </c>
      <c r="F31" s="4">
        <f t="shared" si="2"/>
        <v>11</v>
      </c>
      <c r="G31" s="3">
        <f>IF(E31&gt;=20,2000,1900) + D31</f>
        <v>1957</v>
      </c>
      <c r="H31">
        <f t="shared" si="3"/>
        <v>1</v>
      </c>
      <c r="I31" s="4">
        <f t="shared" si="4"/>
        <v>11</v>
      </c>
      <c r="J31">
        <f t="shared" si="5"/>
        <v>19570111</v>
      </c>
      <c r="K31" t="str">
        <f t="shared" si="6"/>
        <v>11.01.1957</v>
      </c>
    </row>
    <row r="32" spans="1:11" x14ac:dyDescent="0.25">
      <c r="A32" s="4" t="s">
        <v>58</v>
      </c>
      <c r="B32" t="s">
        <v>12</v>
      </c>
      <c r="C32" t="s">
        <v>4</v>
      </c>
      <c r="D32" s="3">
        <f t="shared" si="0"/>
        <v>88</v>
      </c>
      <c r="E32" s="4">
        <f t="shared" si="1"/>
        <v>4</v>
      </c>
      <c r="F32" s="4">
        <f t="shared" si="2"/>
        <v>9</v>
      </c>
      <c r="G32" s="3">
        <f>IF(E32&gt;=20,2000,1900) + D32</f>
        <v>1988</v>
      </c>
      <c r="H32">
        <f t="shared" si="3"/>
        <v>4</v>
      </c>
      <c r="I32" s="4">
        <f t="shared" si="4"/>
        <v>9</v>
      </c>
      <c r="J32">
        <f t="shared" si="5"/>
        <v>19880409</v>
      </c>
      <c r="K32" t="str">
        <f t="shared" si="6"/>
        <v>09.04.1988</v>
      </c>
    </row>
    <row r="33" spans="1:11" x14ac:dyDescent="0.25">
      <c r="A33" s="4" t="s">
        <v>59</v>
      </c>
      <c r="B33" t="s">
        <v>9</v>
      </c>
      <c r="C33" t="s">
        <v>6</v>
      </c>
      <c r="D33" s="3">
        <f t="shared" si="0"/>
        <v>86</v>
      </c>
      <c r="E33" s="4">
        <f t="shared" si="1"/>
        <v>11</v>
      </c>
      <c r="F33" s="4">
        <f t="shared" si="2"/>
        <v>26</v>
      </c>
      <c r="G33" s="3">
        <f>IF(E33&gt;=20,2000,1900) + D33</f>
        <v>1986</v>
      </c>
      <c r="H33">
        <f t="shared" si="3"/>
        <v>11</v>
      </c>
      <c r="I33" s="4">
        <f t="shared" si="4"/>
        <v>26</v>
      </c>
      <c r="J33">
        <f t="shared" si="5"/>
        <v>19861126</v>
      </c>
      <c r="K33" t="str">
        <f t="shared" si="6"/>
        <v>26.11.1986</v>
      </c>
    </row>
    <row r="34" spans="1:11" x14ac:dyDescent="0.25">
      <c r="A34" s="4" t="s">
        <v>60</v>
      </c>
      <c r="B34" t="s">
        <v>19</v>
      </c>
      <c r="C34" t="s">
        <v>6</v>
      </c>
      <c r="D34" s="3">
        <f t="shared" si="0"/>
        <v>71</v>
      </c>
      <c r="E34" s="4">
        <f t="shared" si="1"/>
        <v>1</v>
      </c>
      <c r="F34" s="4">
        <f t="shared" si="2"/>
        <v>8</v>
      </c>
      <c r="G34" s="3">
        <f>IF(E34&gt;=20,2000,1900) + D34</f>
        <v>1971</v>
      </c>
      <c r="H34">
        <f t="shared" si="3"/>
        <v>1</v>
      </c>
      <c r="I34" s="4">
        <f t="shared" si="4"/>
        <v>8</v>
      </c>
      <c r="J34">
        <f t="shared" si="5"/>
        <v>19710108</v>
      </c>
      <c r="K34" t="str">
        <f t="shared" si="6"/>
        <v>08.01.1971</v>
      </c>
    </row>
    <row r="35" spans="1:11" x14ac:dyDescent="0.25">
      <c r="A35" s="4" t="s">
        <v>61</v>
      </c>
      <c r="B35" t="s">
        <v>13</v>
      </c>
      <c r="C35" t="s">
        <v>6</v>
      </c>
      <c r="D35" s="3">
        <f t="shared" si="0"/>
        <v>94</v>
      </c>
      <c r="E35" s="4">
        <f t="shared" si="1"/>
        <v>6</v>
      </c>
      <c r="F35" s="4">
        <f t="shared" si="2"/>
        <v>23</v>
      </c>
      <c r="G35" s="3">
        <f>IF(E35&gt;=20,2000,1900) + D35</f>
        <v>1994</v>
      </c>
      <c r="H35">
        <f t="shared" si="3"/>
        <v>6</v>
      </c>
      <c r="I35" s="4">
        <f t="shared" si="4"/>
        <v>23</v>
      </c>
      <c r="J35">
        <f t="shared" si="5"/>
        <v>19940623</v>
      </c>
      <c r="K35" t="str">
        <f t="shared" si="6"/>
        <v>23.06.1994</v>
      </c>
    </row>
    <row r="36" spans="1:11" x14ac:dyDescent="0.25">
      <c r="A36" s="4" t="s">
        <v>62</v>
      </c>
      <c r="B36" t="s">
        <v>16</v>
      </c>
      <c r="C36" t="s">
        <v>6</v>
      </c>
      <c r="D36" s="3">
        <f t="shared" si="0"/>
        <v>61</v>
      </c>
      <c r="E36" s="4">
        <f t="shared" si="1"/>
        <v>12</v>
      </c>
      <c r="F36" s="4">
        <f t="shared" si="2"/>
        <v>2</v>
      </c>
      <c r="G36" s="3">
        <f>IF(E36&gt;=20,2000,1900) + D36</f>
        <v>1961</v>
      </c>
      <c r="H36">
        <f t="shared" si="3"/>
        <v>12</v>
      </c>
      <c r="I36" s="4">
        <f t="shared" si="4"/>
        <v>2</v>
      </c>
      <c r="J36">
        <f t="shared" si="5"/>
        <v>19611202</v>
      </c>
      <c r="K36" t="str">
        <f t="shared" si="6"/>
        <v>02.12.1961</v>
      </c>
    </row>
    <row r="37" spans="1:11" x14ac:dyDescent="0.25">
      <c r="A37" s="4" t="s">
        <v>63</v>
      </c>
      <c r="B37" t="s">
        <v>13</v>
      </c>
      <c r="C37" t="s">
        <v>6</v>
      </c>
      <c r="D37" s="3">
        <f t="shared" si="0"/>
        <v>81</v>
      </c>
      <c r="E37" s="4">
        <f t="shared" si="1"/>
        <v>6</v>
      </c>
      <c r="F37" s="4">
        <f t="shared" si="2"/>
        <v>12</v>
      </c>
      <c r="G37" s="3">
        <f>IF(E37&gt;=20,2000,1900) + D37</f>
        <v>1981</v>
      </c>
      <c r="H37">
        <f t="shared" si="3"/>
        <v>6</v>
      </c>
      <c r="I37" s="4">
        <f t="shared" si="4"/>
        <v>12</v>
      </c>
      <c r="J37">
        <f t="shared" si="5"/>
        <v>19810612</v>
      </c>
      <c r="K37" t="str">
        <f t="shared" si="6"/>
        <v>12.06.1981</v>
      </c>
    </row>
    <row r="38" spans="1:11" x14ac:dyDescent="0.25">
      <c r="A38" s="4" t="s">
        <v>64</v>
      </c>
      <c r="B38" t="s">
        <v>12</v>
      </c>
      <c r="C38" t="s">
        <v>6</v>
      </c>
      <c r="D38" s="3">
        <f t="shared" si="0"/>
        <v>82</v>
      </c>
      <c r="E38" s="4">
        <f t="shared" si="1"/>
        <v>3</v>
      </c>
      <c r="F38" s="4">
        <f t="shared" si="2"/>
        <v>6</v>
      </c>
      <c r="G38" s="3">
        <f>IF(E38&gt;=20,2000,1900) + D38</f>
        <v>1982</v>
      </c>
      <c r="H38">
        <f t="shared" si="3"/>
        <v>3</v>
      </c>
      <c r="I38" s="4">
        <f t="shared" si="4"/>
        <v>6</v>
      </c>
      <c r="J38">
        <f t="shared" si="5"/>
        <v>19820306</v>
      </c>
      <c r="K38" t="str">
        <f t="shared" si="6"/>
        <v>06.03.1982</v>
      </c>
    </row>
    <row r="39" spans="1:11" x14ac:dyDescent="0.25">
      <c r="A39" s="4" t="s">
        <v>65</v>
      </c>
      <c r="B39" t="s">
        <v>14</v>
      </c>
      <c r="C39" t="s">
        <v>6</v>
      </c>
      <c r="D39" s="3">
        <f t="shared" si="0"/>
        <v>94</v>
      </c>
      <c r="E39" s="4">
        <f t="shared" si="1"/>
        <v>2</v>
      </c>
      <c r="F39" s="4">
        <f t="shared" si="2"/>
        <v>28</v>
      </c>
      <c r="G39" s="3">
        <f>IF(E39&gt;=20,2000,1900) + D39</f>
        <v>1994</v>
      </c>
      <c r="H39">
        <f t="shared" si="3"/>
        <v>2</v>
      </c>
      <c r="I39" s="4">
        <f t="shared" si="4"/>
        <v>28</v>
      </c>
      <c r="J39">
        <f t="shared" si="5"/>
        <v>19940228</v>
      </c>
      <c r="K39" t="str">
        <f t="shared" si="6"/>
        <v>28.02.1994</v>
      </c>
    </row>
    <row r="40" spans="1:11" x14ac:dyDescent="0.25">
      <c r="A40" s="4" t="s">
        <v>66</v>
      </c>
      <c r="B40" t="s">
        <v>19</v>
      </c>
      <c r="C40" t="s">
        <v>6</v>
      </c>
      <c r="D40" s="3">
        <f t="shared" si="0"/>
        <v>99</v>
      </c>
      <c r="E40" s="4">
        <f t="shared" si="1"/>
        <v>2</v>
      </c>
      <c r="F40" s="4">
        <f t="shared" si="2"/>
        <v>1</v>
      </c>
      <c r="G40" s="3">
        <f>IF(E40&gt;=20,2000,1900) + D40</f>
        <v>1999</v>
      </c>
      <c r="H40">
        <f t="shared" si="3"/>
        <v>2</v>
      </c>
      <c r="I40" s="4">
        <f t="shared" si="4"/>
        <v>1</v>
      </c>
      <c r="J40">
        <f t="shared" si="5"/>
        <v>19990201</v>
      </c>
      <c r="K40" t="str">
        <f t="shared" si="6"/>
        <v>01.02.1999</v>
      </c>
    </row>
    <row r="41" spans="1:11" x14ac:dyDescent="0.25">
      <c r="A41" s="4" t="s">
        <v>67</v>
      </c>
      <c r="B41" t="s">
        <v>19</v>
      </c>
      <c r="C41" t="s">
        <v>4</v>
      </c>
      <c r="D41" s="3">
        <f t="shared" si="0"/>
        <v>82</v>
      </c>
      <c r="E41" s="4">
        <f t="shared" si="1"/>
        <v>8</v>
      </c>
      <c r="F41" s="4">
        <f t="shared" si="2"/>
        <v>2</v>
      </c>
      <c r="G41" s="3">
        <f>IF(E41&gt;=20,2000,1900) + D41</f>
        <v>1982</v>
      </c>
      <c r="H41">
        <f t="shared" si="3"/>
        <v>8</v>
      </c>
      <c r="I41" s="4">
        <f t="shared" si="4"/>
        <v>2</v>
      </c>
      <c r="J41">
        <f t="shared" si="5"/>
        <v>19820802</v>
      </c>
      <c r="K41" t="str">
        <f t="shared" si="6"/>
        <v>02.08.1982</v>
      </c>
    </row>
    <row r="42" spans="1:11" x14ac:dyDescent="0.25">
      <c r="A42" s="4" t="s">
        <v>68</v>
      </c>
      <c r="B42" t="s">
        <v>19</v>
      </c>
      <c r="C42" t="s">
        <v>6</v>
      </c>
      <c r="D42" s="3">
        <f t="shared" si="0"/>
        <v>66</v>
      </c>
      <c r="E42" s="4">
        <f t="shared" si="1"/>
        <v>2</v>
      </c>
      <c r="F42" s="4">
        <f t="shared" si="2"/>
        <v>1</v>
      </c>
      <c r="G42" s="3">
        <f>IF(E42&gt;=20,2000,1900) + D42</f>
        <v>1966</v>
      </c>
      <c r="H42">
        <f t="shared" si="3"/>
        <v>2</v>
      </c>
      <c r="I42" s="4">
        <f t="shared" si="4"/>
        <v>1</v>
      </c>
      <c r="J42">
        <f t="shared" si="5"/>
        <v>19660201</v>
      </c>
      <c r="K42" t="str">
        <f t="shared" si="6"/>
        <v>01.02.1966</v>
      </c>
    </row>
    <row r="43" spans="1:11" x14ac:dyDescent="0.25">
      <c r="A43" s="4" t="s">
        <v>69</v>
      </c>
      <c r="B43" t="s">
        <v>17</v>
      </c>
      <c r="C43" t="s">
        <v>4</v>
      </c>
      <c r="D43" s="3">
        <f t="shared" si="0"/>
        <v>86</v>
      </c>
      <c r="E43" s="4">
        <f t="shared" si="1"/>
        <v>3</v>
      </c>
      <c r="F43" s="4">
        <f t="shared" si="2"/>
        <v>28</v>
      </c>
      <c r="G43" s="3">
        <f>IF(E43&gt;=20,2000,1900) + D43</f>
        <v>1986</v>
      </c>
      <c r="H43">
        <f t="shared" si="3"/>
        <v>3</v>
      </c>
      <c r="I43" s="4">
        <f t="shared" si="4"/>
        <v>28</v>
      </c>
      <c r="J43">
        <f t="shared" si="5"/>
        <v>19860328</v>
      </c>
      <c r="K43" t="str">
        <f t="shared" si="6"/>
        <v>28.03.1986</v>
      </c>
    </row>
    <row r="44" spans="1:11" x14ac:dyDescent="0.25">
      <c r="A44" s="4" t="s">
        <v>70</v>
      </c>
      <c r="B44" t="s">
        <v>12</v>
      </c>
      <c r="C44" t="s">
        <v>6</v>
      </c>
      <c r="D44" s="3">
        <f t="shared" si="0"/>
        <v>83</v>
      </c>
      <c r="E44" s="4">
        <f t="shared" si="1"/>
        <v>11</v>
      </c>
      <c r="F44" s="4">
        <f t="shared" si="2"/>
        <v>18</v>
      </c>
      <c r="G44" s="3">
        <f>IF(E44&gt;=20,2000,1900) + D44</f>
        <v>1983</v>
      </c>
      <c r="H44">
        <f t="shared" si="3"/>
        <v>11</v>
      </c>
      <c r="I44" s="4">
        <f t="shared" si="4"/>
        <v>18</v>
      </c>
      <c r="J44">
        <f t="shared" si="5"/>
        <v>19831118</v>
      </c>
      <c r="K44" t="str">
        <f t="shared" si="6"/>
        <v>18.11.1983</v>
      </c>
    </row>
    <row r="45" spans="1:11" x14ac:dyDescent="0.25">
      <c r="A45" s="4" t="s">
        <v>71</v>
      </c>
      <c r="B45" t="s">
        <v>14</v>
      </c>
      <c r="C45" t="s">
        <v>6</v>
      </c>
      <c r="D45" s="3">
        <f t="shared" si="0"/>
        <v>67</v>
      </c>
      <c r="E45" s="4">
        <f t="shared" si="1"/>
        <v>9</v>
      </c>
      <c r="F45" s="4">
        <f t="shared" si="2"/>
        <v>25</v>
      </c>
      <c r="G45" s="3">
        <f>IF(E45&gt;=20,2000,1900) + D45</f>
        <v>1967</v>
      </c>
      <c r="H45">
        <f t="shared" si="3"/>
        <v>9</v>
      </c>
      <c r="I45" s="4">
        <f t="shared" si="4"/>
        <v>25</v>
      </c>
      <c r="J45">
        <f t="shared" si="5"/>
        <v>19670925</v>
      </c>
      <c r="K45" t="str">
        <f t="shared" si="6"/>
        <v>25.09.1967</v>
      </c>
    </row>
    <row r="46" spans="1:11" x14ac:dyDescent="0.25">
      <c r="A46" s="4" t="s">
        <v>72</v>
      </c>
      <c r="B46" t="s">
        <v>19</v>
      </c>
      <c r="C46" t="s">
        <v>4</v>
      </c>
      <c r="D46" s="3">
        <f t="shared" si="0"/>
        <v>55</v>
      </c>
      <c r="E46" s="4">
        <f t="shared" si="1"/>
        <v>3</v>
      </c>
      <c r="F46" s="4">
        <f t="shared" si="2"/>
        <v>23</v>
      </c>
      <c r="G46" s="3">
        <f>IF(E46&gt;=20,2000,1900) + D46</f>
        <v>1955</v>
      </c>
      <c r="H46">
        <f t="shared" si="3"/>
        <v>3</v>
      </c>
      <c r="I46" s="4">
        <f t="shared" si="4"/>
        <v>23</v>
      </c>
      <c r="J46">
        <f t="shared" si="5"/>
        <v>19550323</v>
      </c>
      <c r="K46" t="str">
        <f t="shared" si="6"/>
        <v>23.03.1955</v>
      </c>
    </row>
    <row r="47" spans="1:11" x14ac:dyDescent="0.25">
      <c r="A47" s="4" t="s">
        <v>73</v>
      </c>
      <c r="B47" t="s">
        <v>17</v>
      </c>
      <c r="C47" t="s">
        <v>4</v>
      </c>
      <c r="D47" s="3">
        <f t="shared" si="0"/>
        <v>68</v>
      </c>
      <c r="E47" s="4">
        <f t="shared" si="1"/>
        <v>11</v>
      </c>
      <c r="F47" s="4">
        <f t="shared" si="2"/>
        <v>15</v>
      </c>
      <c r="G47" s="3">
        <f>IF(E47&gt;=20,2000,1900) + D47</f>
        <v>1968</v>
      </c>
      <c r="H47">
        <f t="shared" si="3"/>
        <v>11</v>
      </c>
      <c r="I47" s="4">
        <f t="shared" si="4"/>
        <v>15</v>
      </c>
      <c r="J47">
        <f t="shared" si="5"/>
        <v>19681115</v>
      </c>
      <c r="K47" t="str">
        <f t="shared" si="6"/>
        <v>15.11.1968</v>
      </c>
    </row>
    <row r="48" spans="1:11" x14ac:dyDescent="0.25">
      <c r="A48" s="4" t="s">
        <v>74</v>
      </c>
      <c r="B48" t="s">
        <v>19</v>
      </c>
      <c r="C48" t="s">
        <v>4</v>
      </c>
      <c r="D48" s="3">
        <f t="shared" si="0"/>
        <v>72</v>
      </c>
      <c r="E48" s="4">
        <f t="shared" si="1"/>
        <v>5</v>
      </c>
      <c r="F48" s="4">
        <f t="shared" si="2"/>
        <v>1</v>
      </c>
      <c r="G48" s="3">
        <f>IF(E48&gt;=20,2000,1900) + D48</f>
        <v>1972</v>
      </c>
      <c r="H48">
        <f t="shared" si="3"/>
        <v>5</v>
      </c>
      <c r="I48" s="4">
        <f t="shared" si="4"/>
        <v>1</v>
      </c>
      <c r="J48">
        <f t="shared" si="5"/>
        <v>19720501</v>
      </c>
      <c r="K48" t="str">
        <f t="shared" si="6"/>
        <v>01.05.1972</v>
      </c>
    </row>
    <row r="49" spans="1:11" x14ac:dyDescent="0.25">
      <c r="A49" s="4" t="s">
        <v>75</v>
      </c>
      <c r="B49" t="s">
        <v>17</v>
      </c>
      <c r="C49" t="s">
        <v>4</v>
      </c>
      <c r="D49" s="3">
        <f t="shared" si="0"/>
        <v>89</v>
      </c>
      <c r="E49" s="4">
        <f t="shared" si="1"/>
        <v>11</v>
      </c>
      <c r="F49" s="4">
        <f t="shared" si="2"/>
        <v>6</v>
      </c>
      <c r="G49" s="3">
        <f>IF(E49&gt;=20,2000,1900) + D49</f>
        <v>1989</v>
      </c>
      <c r="H49">
        <f t="shared" si="3"/>
        <v>11</v>
      </c>
      <c r="I49" s="4">
        <f t="shared" si="4"/>
        <v>6</v>
      </c>
      <c r="J49">
        <f t="shared" si="5"/>
        <v>19891106</v>
      </c>
      <c r="K49" t="str">
        <f t="shared" si="6"/>
        <v>06.11.1989</v>
      </c>
    </row>
    <row r="50" spans="1:11" x14ac:dyDescent="0.25">
      <c r="A50" s="4" t="s">
        <v>76</v>
      </c>
      <c r="B50" t="s">
        <v>14</v>
      </c>
      <c r="C50" t="s">
        <v>6</v>
      </c>
      <c r="D50" s="3">
        <f t="shared" si="0"/>
        <v>92</v>
      </c>
      <c r="E50" s="4">
        <f t="shared" si="1"/>
        <v>6</v>
      </c>
      <c r="F50" s="4">
        <f t="shared" si="2"/>
        <v>29</v>
      </c>
      <c r="G50" s="3">
        <f>IF(E50&gt;=20,2000,1900) + D50</f>
        <v>1992</v>
      </c>
      <c r="H50">
        <f t="shared" si="3"/>
        <v>6</v>
      </c>
      <c r="I50" s="4">
        <f t="shared" si="4"/>
        <v>29</v>
      </c>
      <c r="J50">
        <f t="shared" si="5"/>
        <v>19920629</v>
      </c>
      <c r="K50" t="str">
        <f t="shared" si="6"/>
        <v>29.06.1992</v>
      </c>
    </row>
    <row r="51" spans="1:11" x14ac:dyDescent="0.25">
      <c r="A51" s="4" t="s">
        <v>77</v>
      </c>
      <c r="B51" t="s">
        <v>17</v>
      </c>
      <c r="C51" t="s">
        <v>6</v>
      </c>
      <c r="D51" s="3">
        <f t="shared" si="0"/>
        <v>96</v>
      </c>
      <c r="E51" s="4">
        <f t="shared" si="1"/>
        <v>2</v>
      </c>
      <c r="F51" s="4">
        <f t="shared" si="2"/>
        <v>27</v>
      </c>
      <c r="G51" s="3">
        <f>IF(E51&gt;=20,2000,1900) + D51</f>
        <v>1996</v>
      </c>
      <c r="H51">
        <f t="shared" si="3"/>
        <v>2</v>
      </c>
      <c r="I51" s="4">
        <f t="shared" si="4"/>
        <v>27</v>
      </c>
      <c r="J51">
        <f t="shared" si="5"/>
        <v>19960227</v>
      </c>
      <c r="K51" t="str">
        <f t="shared" si="6"/>
        <v>27.02.1996</v>
      </c>
    </row>
    <row r="52" spans="1:11" x14ac:dyDescent="0.25">
      <c r="A52" s="4" t="s">
        <v>78</v>
      </c>
      <c r="B52" t="s">
        <v>12</v>
      </c>
      <c r="C52" t="s">
        <v>6</v>
      </c>
      <c r="D52" s="3">
        <f t="shared" si="0"/>
        <v>67</v>
      </c>
      <c r="E52" s="4">
        <f t="shared" si="1"/>
        <v>8</v>
      </c>
      <c r="F52" s="4">
        <f t="shared" si="2"/>
        <v>27</v>
      </c>
      <c r="G52" s="3">
        <f>IF(E52&gt;=20,2000,1900) + D52</f>
        <v>1967</v>
      </c>
      <c r="H52">
        <f t="shared" si="3"/>
        <v>8</v>
      </c>
      <c r="I52" s="4">
        <f t="shared" si="4"/>
        <v>27</v>
      </c>
      <c r="J52">
        <f t="shared" si="5"/>
        <v>19670827</v>
      </c>
      <c r="K52" t="str">
        <f t="shared" si="6"/>
        <v>27.08.1967</v>
      </c>
    </row>
    <row r="53" spans="1:11" x14ac:dyDescent="0.25">
      <c r="A53" s="4" t="s">
        <v>79</v>
      </c>
      <c r="B53" t="s">
        <v>13</v>
      </c>
      <c r="C53" t="s">
        <v>6</v>
      </c>
      <c r="D53" s="3">
        <f t="shared" si="0"/>
        <v>53</v>
      </c>
      <c r="E53" s="4">
        <f t="shared" si="1"/>
        <v>4</v>
      </c>
      <c r="F53" s="4">
        <f t="shared" si="2"/>
        <v>13</v>
      </c>
      <c r="G53" s="3">
        <f>IF(E53&gt;=20,2000,1900) + D53</f>
        <v>1953</v>
      </c>
      <c r="H53">
        <f t="shared" si="3"/>
        <v>4</v>
      </c>
      <c r="I53" s="4">
        <f t="shared" si="4"/>
        <v>13</v>
      </c>
      <c r="J53">
        <f t="shared" si="5"/>
        <v>19530413</v>
      </c>
      <c r="K53" t="str">
        <f t="shared" si="6"/>
        <v>13.04.1953</v>
      </c>
    </row>
    <row r="54" spans="1:11" x14ac:dyDescent="0.25">
      <c r="A54" s="4" t="s">
        <v>80</v>
      </c>
      <c r="B54" t="s">
        <v>15</v>
      </c>
      <c r="C54" t="s">
        <v>6</v>
      </c>
      <c r="D54" s="3">
        <f t="shared" si="0"/>
        <v>85</v>
      </c>
      <c r="E54" s="4">
        <f t="shared" si="1"/>
        <v>7</v>
      </c>
      <c r="F54" s="4">
        <f t="shared" si="2"/>
        <v>4</v>
      </c>
      <c r="G54" s="3">
        <f>IF(E54&gt;=20,2000,1900) + D54</f>
        <v>1985</v>
      </c>
      <c r="H54">
        <f t="shared" si="3"/>
        <v>7</v>
      </c>
      <c r="I54" s="4">
        <f t="shared" si="4"/>
        <v>4</v>
      </c>
      <c r="J54">
        <f t="shared" si="5"/>
        <v>19850704</v>
      </c>
      <c r="K54" t="str">
        <f t="shared" si="6"/>
        <v>04.07.1985</v>
      </c>
    </row>
    <row r="55" spans="1:11" x14ac:dyDescent="0.25">
      <c r="A55" s="4" t="s">
        <v>81</v>
      </c>
      <c r="B55" t="s">
        <v>3</v>
      </c>
      <c r="C55" t="s">
        <v>4</v>
      </c>
      <c r="D55" s="3">
        <f t="shared" si="0"/>
        <v>67</v>
      </c>
      <c r="E55" s="4">
        <f t="shared" si="1"/>
        <v>11</v>
      </c>
      <c r="F55" s="4">
        <f t="shared" si="2"/>
        <v>4</v>
      </c>
      <c r="G55" s="3">
        <f>IF(E55&gt;=20,2000,1900) + D55</f>
        <v>1967</v>
      </c>
      <c r="H55">
        <f t="shared" si="3"/>
        <v>11</v>
      </c>
      <c r="I55" s="4">
        <f t="shared" si="4"/>
        <v>4</v>
      </c>
      <c r="J55">
        <f t="shared" si="5"/>
        <v>19671104</v>
      </c>
      <c r="K55" t="str">
        <f t="shared" si="6"/>
        <v>04.11.1967</v>
      </c>
    </row>
    <row r="56" spans="1:11" x14ac:dyDescent="0.25">
      <c r="A56" s="4" t="s">
        <v>82</v>
      </c>
      <c r="B56" t="s">
        <v>16</v>
      </c>
      <c r="C56" t="s">
        <v>4</v>
      </c>
      <c r="D56" s="3">
        <f t="shared" si="0"/>
        <v>76</v>
      </c>
      <c r="E56" s="4">
        <f t="shared" si="1"/>
        <v>11</v>
      </c>
      <c r="F56" s="4">
        <f t="shared" si="2"/>
        <v>29</v>
      </c>
      <c r="G56" s="3">
        <f>IF(E56&gt;=20,2000,1900) + D56</f>
        <v>1976</v>
      </c>
      <c r="H56">
        <f t="shared" si="3"/>
        <v>11</v>
      </c>
      <c r="I56" s="4">
        <f t="shared" si="4"/>
        <v>29</v>
      </c>
      <c r="J56">
        <f t="shared" si="5"/>
        <v>19761129</v>
      </c>
      <c r="K56" t="str">
        <f t="shared" si="6"/>
        <v>29.11.1976</v>
      </c>
    </row>
    <row r="57" spans="1:11" x14ac:dyDescent="0.25">
      <c r="A57" s="4" t="s">
        <v>83</v>
      </c>
      <c r="B57" t="s">
        <v>7</v>
      </c>
      <c r="C57" t="s">
        <v>6</v>
      </c>
      <c r="D57" s="3">
        <f t="shared" si="0"/>
        <v>78</v>
      </c>
      <c r="E57" s="4">
        <f t="shared" si="1"/>
        <v>7</v>
      </c>
      <c r="F57" s="4">
        <f t="shared" si="2"/>
        <v>23</v>
      </c>
      <c r="G57" s="3">
        <f>IF(E57&gt;=20,2000,1900) + D57</f>
        <v>1978</v>
      </c>
      <c r="H57">
        <f t="shared" si="3"/>
        <v>7</v>
      </c>
      <c r="I57" s="4">
        <f t="shared" si="4"/>
        <v>23</v>
      </c>
      <c r="J57">
        <f t="shared" si="5"/>
        <v>19780723</v>
      </c>
      <c r="K57" t="str">
        <f t="shared" si="6"/>
        <v>23.07.1978</v>
      </c>
    </row>
    <row r="58" spans="1:11" x14ac:dyDescent="0.25">
      <c r="A58" s="4" t="s">
        <v>84</v>
      </c>
      <c r="B58" t="s">
        <v>13</v>
      </c>
      <c r="C58" t="s">
        <v>6</v>
      </c>
      <c r="D58" s="3">
        <f t="shared" si="0"/>
        <v>50</v>
      </c>
      <c r="E58" s="4">
        <f t="shared" si="1"/>
        <v>9</v>
      </c>
      <c r="F58" s="4">
        <f t="shared" si="2"/>
        <v>27</v>
      </c>
      <c r="G58" s="3">
        <f>IF(E58&gt;=20,2000,1900) + D58</f>
        <v>1950</v>
      </c>
      <c r="H58">
        <f t="shared" si="3"/>
        <v>9</v>
      </c>
      <c r="I58" s="4">
        <f t="shared" si="4"/>
        <v>27</v>
      </c>
      <c r="J58">
        <f t="shared" si="5"/>
        <v>19500927</v>
      </c>
      <c r="K58" t="str">
        <f t="shared" si="6"/>
        <v>27.09.1950</v>
      </c>
    </row>
    <row r="59" spans="1:11" x14ac:dyDescent="0.25">
      <c r="A59" s="4" t="s">
        <v>85</v>
      </c>
      <c r="B59" t="s">
        <v>10</v>
      </c>
      <c r="C59" t="s">
        <v>4</v>
      </c>
      <c r="D59" s="3">
        <f t="shared" si="0"/>
        <v>67</v>
      </c>
      <c r="E59" s="4">
        <f t="shared" si="1"/>
        <v>9</v>
      </c>
      <c r="F59" s="4">
        <f t="shared" si="2"/>
        <v>9</v>
      </c>
      <c r="G59" s="3">
        <f>IF(E59&gt;=20,2000,1900) + D59</f>
        <v>1967</v>
      </c>
      <c r="H59">
        <f t="shared" si="3"/>
        <v>9</v>
      </c>
      <c r="I59" s="4">
        <f t="shared" si="4"/>
        <v>9</v>
      </c>
      <c r="J59">
        <f t="shared" si="5"/>
        <v>19670909</v>
      </c>
      <c r="K59" t="str">
        <f t="shared" si="6"/>
        <v>09.09.1967</v>
      </c>
    </row>
    <row r="60" spans="1:11" x14ac:dyDescent="0.25">
      <c r="A60" s="4" t="s">
        <v>86</v>
      </c>
      <c r="B60" t="s">
        <v>3</v>
      </c>
      <c r="C60" t="s">
        <v>6</v>
      </c>
      <c r="D60" s="3">
        <f t="shared" si="0"/>
        <v>94</v>
      </c>
      <c r="E60" s="4">
        <f t="shared" si="1"/>
        <v>7</v>
      </c>
      <c r="F60" s="4">
        <f t="shared" si="2"/>
        <v>7</v>
      </c>
      <c r="G60" s="3">
        <f>IF(E60&gt;=20,2000,1900) + D60</f>
        <v>1994</v>
      </c>
      <c r="H60">
        <f t="shared" si="3"/>
        <v>7</v>
      </c>
      <c r="I60" s="4">
        <f t="shared" si="4"/>
        <v>7</v>
      </c>
      <c r="J60">
        <f t="shared" si="5"/>
        <v>19940707</v>
      </c>
      <c r="K60" t="str">
        <f t="shared" si="6"/>
        <v>07.07.1994</v>
      </c>
    </row>
    <row r="61" spans="1:11" x14ac:dyDescent="0.25">
      <c r="A61" s="4" t="s">
        <v>87</v>
      </c>
      <c r="B61" t="s">
        <v>13</v>
      </c>
      <c r="C61" t="s">
        <v>4</v>
      </c>
      <c r="D61" s="3">
        <f t="shared" si="0"/>
        <v>78</v>
      </c>
      <c r="E61" s="4">
        <f t="shared" si="1"/>
        <v>3</v>
      </c>
      <c r="F61" s="4">
        <f t="shared" si="2"/>
        <v>14</v>
      </c>
      <c r="G61" s="3">
        <f>IF(E61&gt;=20,2000,1900) + D61</f>
        <v>1978</v>
      </c>
      <c r="H61">
        <f t="shared" si="3"/>
        <v>3</v>
      </c>
      <c r="I61" s="4">
        <f t="shared" si="4"/>
        <v>14</v>
      </c>
      <c r="J61">
        <f t="shared" si="5"/>
        <v>19780314</v>
      </c>
      <c r="K61" t="str">
        <f t="shared" si="6"/>
        <v>14.03.1978</v>
      </c>
    </row>
    <row r="62" spans="1:11" x14ac:dyDescent="0.25">
      <c r="A62" s="4" t="s">
        <v>88</v>
      </c>
      <c r="B62" t="s">
        <v>9</v>
      </c>
      <c r="C62" t="s">
        <v>4</v>
      </c>
      <c r="D62" s="3">
        <f t="shared" si="0"/>
        <v>75</v>
      </c>
      <c r="E62" s="4">
        <f t="shared" si="1"/>
        <v>11</v>
      </c>
      <c r="F62" s="4">
        <f t="shared" si="2"/>
        <v>18</v>
      </c>
      <c r="G62" s="3">
        <f>IF(E62&gt;=20,2000,1900) + D62</f>
        <v>1975</v>
      </c>
      <c r="H62">
        <f t="shared" si="3"/>
        <v>11</v>
      </c>
      <c r="I62" s="4">
        <f t="shared" si="4"/>
        <v>18</v>
      </c>
      <c r="J62">
        <f t="shared" si="5"/>
        <v>19751118</v>
      </c>
      <c r="K62" t="str">
        <f t="shared" si="6"/>
        <v>18.11.1975</v>
      </c>
    </row>
    <row r="63" spans="1:11" x14ac:dyDescent="0.25">
      <c r="A63" s="4" t="s">
        <v>89</v>
      </c>
      <c r="B63" t="s">
        <v>20</v>
      </c>
      <c r="C63" t="s">
        <v>4</v>
      </c>
      <c r="D63" s="3">
        <f t="shared" si="0"/>
        <v>84</v>
      </c>
      <c r="E63" s="4">
        <f t="shared" si="1"/>
        <v>1</v>
      </c>
      <c r="F63" s="4">
        <f t="shared" si="2"/>
        <v>17</v>
      </c>
      <c r="G63" s="3">
        <f>IF(E63&gt;=20,2000,1900) + D63</f>
        <v>1984</v>
      </c>
      <c r="H63">
        <f t="shared" si="3"/>
        <v>1</v>
      </c>
      <c r="I63" s="4">
        <f t="shared" si="4"/>
        <v>17</v>
      </c>
      <c r="J63">
        <f t="shared" si="5"/>
        <v>19840117</v>
      </c>
      <c r="K63" t="str">
        <f t="shared" si="6"/>
        <v>17.01.1984</v>
      </c>
    </row>
    <row r="64" spans="1:11" x14ac:dyDescent="0.25">
      <c r="A64" s="4" t="s">
        <v>90</v>
      </c>
      <c r="B64" t="s">
        <v>8</v>
      </c>
      <c r="C64" t="s">
        <v>6</v>
      </c>
      <c r="D64" s="3">
        <f t="shared" si="0"/>
        <v>73</v>
      </c>
      <c r="E64" s="4">
        <f t="shared" si="1"/>
        <v>10</v>
      </c>
      <c r="F64" s="4">
        <f t="shared" si="2"/>
        <v>19</v>
      </c>
      <c r="G64" s="3">
        <f>IF(E64&gt;=20,2000,1900) + D64</f>
        <v>1973</v>
      </c>
      <c r="H64">
        <f t="shared" si="3"/>
        <v>10</v>
      </c>
      <c r="I64" s="4">
        <f t="shared" si="4"/>
        <v>19</v>
      </c>
      <c r="J64">
        <f t="shared" si="5"/>
        <v>19731019</v>
      </c>
      <c r="K64" t="str">
        <f t="shared" si="6"/>
        <v>19.10.1973</v>
      </c>
    </row>
    <row r="65" spans="1:11" x14ac:dyDescent="0.25">
      <c r="A65" s="4" t="s">
        <v>91</v>
      </c>
      <c r="B65" t="s">
        <v>20</v>
      </c>
      <c r="C65" t="s">
        <v>6</v>
      </c>
      <c r="D65" s="3">
        <f t="shared" si="0"/>
        <v>98</v>
      </c>
      <c r="E65" s="4">
        <f t="shared" si="1"/>
        <v>11</v>
      </c>
      <c r="F65" s="4">
        <f t="shared" si="2"/>
        <v>25</v>
      </c>
      <c r="G65" s="3">
        <f>IF(E65&gt;=20,2000,1900) + D65</f>
        <v>1998</v>
      </c>
      <c r="H65">
        <f t="shared" si="3"/>
        <v>11</v>
      </c>
      <c r="I65" s="4">
        <f t="shared" si="4"/>
        <v>25</v>
      </c>
      <c r="J65">
        <f t="shared" si="5"/>
        <v>19981125</v>
      </c>
      <c r="K65" t="str">
        <f t="shared" si="6"/>
        <v>25.11.1998</v>
      </c>
    </row>
    <row r="66" spans="1:11" x14ac:dyDescent="0.25">
      <c r="A66" s="4" t="s">
        <v>92</v>
      </c>
      <c r="B66" t="s">
        <v>14</v>
      </c>
      <c r="C66" t="s">
        <v>4</v>
      </c>
      <c r="D66" s="3">
        <f t="shared" si="0"/>
        <v>80</v>
      </c>
      <c r="E66" s="4">
        <f t="shared" si="1"/>
        <v>2</v>
      </c>
      <c r="F66" s="4">
        <f t="shared" si="2"/>
        <v>5</v>
      </c>
      <c r="G66" s="3">
        <f>IF(E66&gt;=20,2000,1900) + D66</f>
        <v>1980</v>
      </c>
      <c r="H66">
        <f t="shared" si="3"/>
        <v>2</v>
      </c>
      <c r="I66" s="4">
        <f t="shared" si="4"/>
        <v>5</v>
      </c>
      <c r="J66">
        <f t="shared" si="5"/>
        <v>19800205</v>
      </c>
      <c r="K66" t="str">
        <f t="shared" si="6"/>
        <v>05.02.1980</v>
      </c>
    </row>
    <row r="67" spans="1:11" x14ac:dyDescent="0.25">
      <c r="A67" s="4" t="s">
        <v>93</v>
      </c>
      <c r="B67" t="s">
        <v>17</v>
      </c>
      <c r="C67" t="s">
        <v>4</v>
      </c>
      <c r="D67" s="3">
        <f t="shared" ref="D67:D130" si="7">MID(A67,1,2)*1</f>
        <v>78</v>
      </c>
      <c r="E67" s="4">
        <f t="shared" ref="E67:E130" si="8">MID(A67,3,2)*1</f>
        <v>9</v>
      </c>
      <c r="F67" s="4">
        <f t="shared" ref="F67:F130" si="9">MID(A67,5,2)*1</f>
        <v>6</v>
      </c>
      <c r="G67" s="3">
        <f>IF(E67&gt;=20,2000,1900) + D67</f>
        <v>1978</v>
      </c>
      <c r="H67">
        <f t="shared" ref="H67:H130" si="10">IF(E67&gt;=20,E67-20,E67)</f>
        <v>9</v>
      </c>
      <c r="I67" s="4">
        <f t="shared" ref="I67:I130" si="11">F67</f>
        <v>6</v>
      </c>
      <c r="J67">
        <f t="shared" ref="J67:J130" si="12">CONCATENATE(G67,IF(LEN(E67)=1,CONCATENATE("0",E67),E67),IF(LEN(F67)=1,CONCATENATE("0",F67),F67))*1</f>
        <v>19780906</v>
      </c>
      <c r="K67" t="str">
        <f t="shared" ref="K67:K130" si="13">CONCATENATE(RIGHT(J67,2),".",MID(J67,5,2),".",LEFT(J67,4))</f>
        <v>06.09.1978</v>
      </c>
    </row>
    <row r="68" spans="1:11" x14ac:dyDescent="0.25">
      <c r="A68" s="4" t="s">
        <v>94</v>
      </c>
      <c r="B68" t="s">
        <v>8</v>
      </c>
      <c r="C68" t="s">
        <v>4</v>
      </c>
      <c r="D68" s="3">
        <f t="shared" si="7"/>
        <v>85</v>
      </c>
      <c r="E68" s="4">
        <f t="shared" si="8"/>
        <v>10</v>
      </c>
      <c r="F68" s="4">
        <f t="shared" si="9"/>
        <v>4</v>
      </c>
      <c r="G68" s="3">
        <f>IF(E68&gt;=20,2000,1900) + D68</f>
        <v>1985</v>
      </c>
      <c r="H68">
        <f t="shared" si="10"/>
        <v>10</v>
      </c>
      <c r="I68" s="4">
        <f t="shared" si="11"/>
        <v>4</v>
      </c>
      <c r="J68">
        <f t="shared" si="12"/>
        <v>19851004</v>
      </c>
      <c r="K68" t="str">
        <f t="shared" si="13"/>
        <v>04.10.1985</v>
      </c>
    </row>
    <row r="69" spans="1:11" x14ac:dyDescent="0.25">
      <c r="A69" s="4" t="s">
        <v>95</v>
      </c>
      <c r="B69" t="s">
        <v>17</v>
      </c>
      <c r="C69" t="s">
        <v>6</v>
      </c>
      <c r="D69" s="3">
        <f t="shared" si="7"/>
        <v>62</v>
      </c>
      <c r="E69" s="4">
        <f t="shared" si="8"/>
        <v>10</v>
      </c>
      <c r="F69" s="4">
        <f t="shared" si="9"/>
        <v>30</v>
      </c>
      <c r="G69" s="3">
        <f>IF(E69&gt;=20,2000,1900) + D69</f>
        <v>1962</v>
      </c>
      <c r="H69">
        <f t="shared" si="10"/>
        <v>10</v>
      </c>
      <c r="I69" s="4">
        <f t="shared" si="11"/>
        <v>30</v>
      </c>
      <c r="J69">
        <f t="shared" si="12"/>
        <v>19621030</v>
      </c>
      <c r="K69" t="str">
        <f t="shared" si="13"/>
        <v>30.10.1962</v>
      </c>
    </row>
    <row r="70" spans="1:11" x14ac:dyDescent="0.25">
      <c r="A70" s="4" t="s">
        <v>96</v>
      </c>
      <c r="B70" t="s">
        <v>20</v>
      </c>
      <c r="C70" t="s">
        <v>6</v>
      </c>
      <c r="D70" s="3">
        <f t="shared" si="7"/>
        <v>64</v>
      </c>
      <c r="E70" s="4">
        <f t="shared" si="8"/>
        <v>9</v>
      </c>
      <c r="F70" s="4">
        <f t="shared" si="9"/>
        <v>21</v>
      </c>
      <c r="G70" s="3">
        <f>IF(E70&gt;=20,2000,1900) + D70</f>
        <v>1964</v>
      </c>
      <c r="H70">
        <f t="shared" si="10"/>
        <v>9</v>
      </c>
      <c r="I70" s="4">
        <f t="shared" si="11"/>
        <v>21</v>
      </c>
      <c r="J70">
        <f t="shared" si="12"/>
        <v>19640921</v>
      </c>
      <c r="K70" t="str">
        <f t="shared" si="13"/>
        <v>21.09.1964</v>
      </c>
    </row>
    <row r="71" spans="1:11" x14ac:dyDescent="0.25">
      <c r="A71" s="4" t="s">
        <v>97</v>
      </c>
      <c r="B71" t="s">
        <v>19</v>
      </c>
      <c r="C71" t="s">
        <v>4</v>
      </c>
      <c r="D71" s="3">
        <f t="shared" si="7"/>
        <v>72</v>
      </c>
      <c r="E71" s="4">
        <f t="shared" si="8"/>
        <v>11</v>
      </c>
      <c r="F71" s="4">
        <f t="shared" si="9"/>
        <v>28</v>
      </c>
      <c r="G71" s="3">
        <f>IF(E71&gt;=20,2000,1900) + D71</f>
        <v>1972</v>
      </c>
      <c r="H71">
        <f t="shared" si="10"/>
        <v>11</v>
      </c>
      <c r="I71" s="4">
        <f t="shared" si="11"/>
        <v>28</v>
      </c>
      <c r="J71">
        <f t="shared" si="12"/>
        <v>19721128</v>
      </c>
      <c r="K71" t="str">
        <f t="shared" si="13"/>
        <v>28.11.1972</v>
      </c>
    </row>
    <row r="72" spans="1:11" x14ac:dyDescent="0.25">
      <c r="A72" s="4" t="s">
        <v>98</v>
      </c>
      <c r="B72" t="s">
        <v>15</v>
      </c>
      <c r="C72" t="s">
        <v>6</v>
      </c>
      <c r="D72" s="3">
        <f t="shared" si="7"/>
        <v>90</v>
      </c>
      <c r="E72" s="4">
        <f t="shared" si="8"/>
        <v>7</v>
      </c>
      <c r="F72" s="4">
        <f t="shared" si="9"/>
        <v>11</v>
      </c>
      <c r="G72" s="3">
        <f>IF(E72&gt;=20,2000,1900) + D72</f>
        <v>1990</v>
      </c>
      <c r="H72">
        <f t="shared" si="10"/>
        <v>7</v>
      </c>
      <c r="I72" s="4">
        <f t="shared" si="11"/>
        <v>11</v>
      </c>
      <c r="J72">
        <f t="shared" si="12"/>
        <v>19900711</v>
      </c>
      <c r="K72" t="str">
        <f t="shared" si="13"/>
        <v>11.07.1990</v>
      </c>
    </row>
    <row r="73" spans="1:11" x14ac:dyDescent="0.25">
      <c r="A73" s="4" t="s">
        <v>99</v>
      </c>
      <c r="B73" t="s">
        <v>10</v>
      </c>
      <c r="C73" t="s">
        <v>4</v>
      </c>
      <c r="D73" s="3">
        <f t="shared" si="7"/>
        <v>80</v>
      </c>
      <c r="E73" s="4">
        <f t="shared" si="8"/>
        <v>10</v>
      </c>
      <c r="F73" s="4">
        <f t="shared" si="9"/>
        <v>7</v>
      </c>
      <c r="G73" s="3">
        <f>IF(E73&gt;=20,2000,1900) + D73</f>
        <v>1980</v>
      </c>
      <c r="H73">
        <f t="shared" si="10"/>
        <v>10</v>
      </c>
      <c r="I73" s="4">
        <f t="shared" si="11"/>
        <v>7</v>
      </c>
      <c r="J73">
        <f t="shared" si="12"/>
        <v>19801007</v>
      </c>
      <c r="K73" t="str">
        <f t="shared" si="13"/>
        <v>07.10.1980</v>
      </c>
    </row>
    <row r="74" spans="1:11" x14ac:dyDescent="0.25">
      <c r="A74" s="4" t="s">
        <v>100</v>
      </c>
      <c r="B74" t="s">
        <v>19</v>
      </c>
      <c r="C74" t="s">
        <v>4</v>
      </c>
      <c r="D74" s="3">
        <f t="shared" si="7"/>
        <v>67</v>
      </c>
      <c r="E74" s="4">
        <f t="shared" si="8"/>
        <v>11</v>
      </c>
      <c r="F74" s="4">
        <f t="shared" si="9"/>
        <v>16</v>
      </c>
      <c r="G74" s="3">
        <f>IF(E74&gt;=20,2000,1900) + D74</f>
        <v>1967</v>
      </c>
      <c r="H74">
        <f t="shared" si="10"/>
        <v>11</v>
      </c>
      <c r="I74" s="4">
        <f t="shared" si="11"/>
        <v>16</v>
      </c>
      <c r="J74">
        <f t="shared" si="12"/>
        <v>19671116</v>
      </c>
      <c r="K74" t="str">
        <f t="shared" si="13"/>
        <v>16.11.1967</v>
      </c>
    </row>
    <row r="75" spans="1:11" x14ac:dyDescent="0.25">
      <c r="A75" s="4" t="s">
        <v>101</v>
      </c>
      <c r="B75" t="s">
        <v>9</v>
      </c>
      <c r="C75" t="s">
        <v>4</v>
      </c>
      <c r="D75" s="3">
        <f t="shared" si="7"/>
        <v>87</v>
      </c>
      <c r="E75" s="4">
        <f t="shared" si="8"/>
        <v>10</v>
      </c>
      <c r="F75" s="4">
        <f t="shared" si="9"/>
        <v>4</v>
      </c>
      <c r="G75" s="3">
        <f>IF(E75&gt;=20,2000,1900) + D75</f>
        <v>1987</v>
      </c>
      <c r="H75">
        <f t="shared" si="10"/>
        <v>10</v>
      </c>
      <c r="I75" s="4">
        <f t="shared" si="11"/>
        <v>4</v>
      </c>
      <c r="J75">
        <f t="shared" si="12"/>
        <v>19871004</v>
      </c>
      <c r="K75" t="str">
        <f t="shared" si="13"/>
        <v>04.10.1987</v>
      </c>
    </row>
    <row r="76" spans="1:11" x14ac:dyDescent="0.25">
      <c r="A76" s="4" t="s">
        <v>102</v>
      </c>
      <c r="B76" t="s">
        <v>20</v>
      </c>
      <c r="C76" t="s">
        <v>4</v>
      </c>
      <c r="D76" s="3">
        <f t="shared" si="7"/>
        <v>64</v>
      </c>
      <c r="E76" s="4">
        <f t="shared" si="8"/>
        <v>9</v>
      </c>
      <c r="F76" s="4">
        <f t="shared" si="9"/>
        <v>1</v>
      </c>
      <c r="G76" s="3">
        <f>IF(E76&gt;=20,2000,1900) + D76</f>
        <v>1964</v>
      </c>
      <c r="H76">
        <f t="shared" si="10"/>
        <v>9</v>
      </c>
      <c r="I76" s="4">
        <f t="shared" si="11"/>
        <v>1</v>
      </c>
      <c r="J76">
        <f t="shared" si="12"/>
        <v>19640901</v>
      </c>
      <c r="K76" t="str">
        <f t="shared" si="13"/>
        <v>01.09.1964</v>
      </c>
    </row>
    <row r="77" spans="1:11" x14ac:dyDescent="0.25">
      <c r="A77" s="4" t="s">
        <v>103</v>
      </c>
      <c r="B77" t="s">
        <v>3</v>
      </c>
      <c r="C77" t="s">
        <v>4</v>
      </c>
      <c r="D77" s="3">
        <f t="shared" si="7"/>
        <v>61</v>
      </c>
      <c r="E77" s="4">
        <f t="shared" si="8"/>
        <v>6</v>
      </c>
      <c r="F77" s="4">
        <f t="shared" si="9"/>
        <v>17</v>
      </c>
      <c r="G77" s="3">
        <f>IF(E77&gt;=20,2000,1900) + D77</f>
        <v>1961</v>
      </c>
      <c r="H77">
        <f t="shared" si="10"/>
        <v>6</v>
      </c>
      <c r="I77" s="4">
        <f t="shared" si="11"/>
        <v>17</v>
      </c>
      <c r="J77">
        <f t="shared" si="12"/>
        <v>19610617</v>
      </c>
      <c r="K77" t="str">
        <f t="shared" si="13"/>
        <v>17.06.1961</v>
      </c>
    </row>
    <row r="78" spans="1:11" x14ac:dyDescent="0.25">
      <c r="A78" s="4" t="s">
        <v>104</v>
      </c>
      <c r="B78" t="s">
        <v>9</v>
      </c>
      <c r="C78" t="s">
        <v>6</v>
      </c>
      <c r="D78" s="3">
        <f t="shared" si="7"/>
        <v>66</v>
      </c>
      <c r="E78" s="4">
        <f t="shared" si="8"/>
        <v>12</v>
      </c>
      <c r="F78" s="4">
        <f t="shared" si="9"/>
        <v>15</v>
      </c>
      <c r="G78" s="3">
        <f>IF(E78&gt;=20,2000,1900) + D78</f>
        <v>1966</v>
      </c>
      <c r="H78">
        <f t="shared" si="10"/>
        <v>12</v>
      </c>
      <c r="I78" s="4">
        <f t="shared" si="11"/>
        <v>15</v>
      </c>
      <c r="J78">
        <f t="shared" si="12"/>
        <v>19661215</v>
      </c>
      <c r="K78" t="str">
        <f t="shared" si="13"/>
        <v>15.12.1966</v>
      </c>
    </row>
    <row r="79" spans="1:11" x14ac:dyDescent="0.25">
      <c r="A79" s="4" t="s">
        <v>105</v>
      </c>
      <c r="B79" t="s">
        <v>14</v>
      </c>
      <c r="C79" t="s">
        <v>4</v>
      </c>
      <c r="D79" s="3">
        <f t="shared" si="7"/>
        <v>92</v>
      </c>
      <c r="E79" s="4">
        <f t="shared" si="8"/>
        <v>10</v>
      </c>
      <c r="F79" s="4">
        <f t="shared" si="9"/>
        <v>29</v>
      </c>
      <c r="G79" s="3">
        <f>IF(E79&gt;=20,2000,1900) + D79</f>
        <v>1992</v>
      </c>
      <c r="H79">
        <f t="shared" si="10"/>
        <v>10</v>
      </c>
      <c r="I79" s="4">
        <f t="shared" si="11"/>
        <v>29</v>
      </c>
      <c r="J79">
        <f t="shared" si="12"/>
        <v>19921029</v>
      </c>
      <c r="K79" t="str">
        <f t="shared" si="13"/>
        <v>29.10.1992</v>
      </c>
    </row>
    <row r="80" spans="1:11" x14ac:dyDescent="0.25">
      <c r="A80" s="4" t="s">
        <v>106</v>
      </c>
      <c r="B80" t="s">
        <v>3</v>
      </c>
      <c r="C80" t="s">
        <v>4</v>
      </c>
      <c r="D80" s="3">
        <f t="shared" si="7"/>
        <v>97</v>
      </c>
      <c r="E80" s="4">
        <f t="shared" si="8"/>
        <v>1</v>
      </c>
      <c r="F80" s="4">
        <f t="shared" si="9"/>
        <v>19</v>
      </c>
      <c r="G80" s="3">
        <f>IF(E80&gt;=20,2000,1900) + D80</f>
        <v>1997</v>
      </c>
      <c r="H80">
        <f t="shared" si="10"/>
        <v>1</v>
      </c>
      <c r="I80" s="4">
        <f t="shared" si="11"/>
        <v>19</v>
      </c>
      <c r="J80">
        <f t="shared" si="12"/>
        <v>19970119</v>
      </c>
      <c r="K80" t="str">
        <f t="shared" si="13"/>
        <v>19.01.1997</v>
      </c>
    </row>
    <row r="81" spans="1:11" x14ac:dyDescent="0.25">
      <c r="A81" s="4" t="s">
        <v>107</v>
      </c>
      <c r="B81" t="s">
        <v>14</v>
      </c>
      <c r="C81" t="s">
        <v>6</v>
      </c>
      <c r="D81" s="3">
        <f t="shared" si="7"/>
        <v>75</v>
      </c>
      <c r="E81" s="4">
        <f t="shared" si="8"/>
        <v>4</v>
      </c>
      <c r="F81" s="4">
        <f t="shared" si="9"/>
        <v>20</v>
      </c>
      <c r="G81" s="3">
        <f>IF(E81&gt;=20,2000,1900) + D81</f>
        <v>1975</v>
      </c>
      <c r="H81">
        <f t="shared" si="10"/>
        <v>4</v>
      </c>
      <c r="I81" s="4">
        <f t="shared" si="11"/>
        <v>20</v>
      </c>
      <c r="J81">
        <f t="shared" si="12"/>
        <v>19750420</v>
      </c>
      <c r="K81" t="str">
        <f t="shared" si="13"/>
        <v>20.04.1975</v>
      </c>
    </row>
    <row r="82" spans="1:11" x14ac:dyDescent="0.25">
      <c r="A82" s="4" t="s">
        <v>108</v>
      </c>
      <c r="B82" t="s">
        <v>15</v>
      </c>
      <c r="C82" t="s">
        <v>4</v>
      </c>
      <c r="D82" s="3">
        <f t="shared" si="7"/>
        <v>51</v>
      </c>
      <c r="E82" s="4">
        <f t="shared" si="8"/>
        <v>10</v>
      </c>
      <c r="F82" s="4">
        <f t="shared" si="9"/>
        <v>1</v>
      </c>
      <c r="G82" s="3">
        <f>IF(E82&gt;=20,2000,1900) + D82</f>
        <v>1951</v>
      </c>
      <c r="H82">
        <f t="shared" si="10"/>
        <v>10</v>
      </c>
      <c r="I82" s="4">
        <f t="shared" si="11"/>
        <v>1</v>
      </c>
      <c r="J82">
        <f t="shared" si="12"/>
        <v>19511001</v>
      </c>
      <c r="K82" t="str">
        <f t="shared" si="13"/>
        <v>01.10.1951</v>
      </c>
    </row>
    <row r="83" spans="1:11" x14ac:dyDescent="0.25">
      <c r="A83" s="4" t="s">
        <v>109</v>
      </c>
      <c r="B83" t="s">
        <v>15</v>
      </c>
      <c r="C83" t="s">
        <v>4</v>
      </c>
      <c r="D83" s="3">
        <f t="shared" si="7"/>
        <v>72</v>
      </c>
      <c r="E83" s="4">
        <f t="shared" si="8"/>
        <v>7</v>
      </c>
      <c r="F83" s="4">
        <f t="shared" si="9"/>
        <v>30</v>
      </c>
      <c r="G83" s="3">
        <f>IF(E83&gt;=20,2000,1900) + D83</f>
        <v>1972</v>
      </c>
      <c r="H83">
        <f t="shared" si="10"/>
        <v>7</v>
      </c>
      <c r="I83" s="4">
        <f t="shared" si="11"/>
        <v>30</v>
      </c>
      <c r="J83">
        <f t="shared" si="12"/>
        <v>19720730</v>
      </c>
      <c r="K83" t="str">
        <f t="shared" si="13"/>
        <v>30.07.1972</v>
      </c>
    </row>
    <row r="84" spans="1:11" x14ac:dyDescent="0.25">
      <c r="A84" s="4" t="s">
        <v>110</v>
      </c>
      <c r="B84" t="s">
        <v>5</v>
      </c>
      <c r="C84" t="s">
        <v>4</v>
      </c>
      <c r="D84" s="3">
        <f t="shared" si="7"/>
        <v>95</v>
      </c>
      <c r="E84" s="4">
        <f t="shared" si="8"/>
        <v>7</v>
      </c>
      <c r="F84" s="4">
        <f t="shared" si="9"/>
        <v>15</v>
      </c>
      <c r="G84" s="3">
        <f>IF(E84&gt;=20,2000,1900) + D84</f>
        <v>1995</v>
      </c>
      <c r="H84">
        <f t="shared" si="10"/>
        <v>7</v>
      </c>
      <c r="I84" s="4">
        <f t="shared" si="11"/>
        <v>15</v>
      </c>
      <c r="J84">
        <f t="shared" si="12"/>
        <v>19950715</v>
      </c>
      <c r="K84" t="str">
        <f t="shared" si="13"/>
        <v>15.07.1995</v>
      </c>
    </row>
    <row r="85" spans="1:11" x14ac:dyDescent="0.25">
      <c r="A85" s="4" t="s">
        <v>111</v>
      </c>
      <c r="B85" t="s">
        <v>9</v>
      </c>
      <c r="C85" t="s">
        <v>4</v>
      </c>
      <c r="D85" s="3">
        <f t="shared" si="7"/>
        <v>64</v>
      </c>
      <c r="E85" s="4">
        <f t="shared" si="8"/>
        <v>8</v>
      </c>
      <c r="F85" s="4">
        <f t="shared" si="9"/>
        <v>27</v>
      </c>
      <c r="G85" s="3">
        <f>IF(E85&gt;=20,2000,1900) + D85</f>
        <v>1964</v>
      </c>
      <c r="H85">
        <f t="shared" si="10"/>
        <v>8</v>
      </c>
      <c r="I85" s="4">
        <f t="shared" si="11"/>
        <v>27</v>
      </c>
      <c r="J85">
        <f t="shared" si="12"/>
        <v>19640827</v>
      </c>
      <c r="K85" t="str">
        <f t="shared" si="13"/>
        <v>27.08.1964</v>
      </c>
    </row>
    <row r="86" spans="1:11" x14ac:dyDescent="0.25">
      <c r="A86" s="4" t="s">
        <v>112</v>
      </c>
      <c r="B86" t="s">
        <v>5</v>
      </c>
      <c r="C86" t="s">
        <v>4</v>
      </c>
      <c r="D86" s="3">
        <f t="shared" si="7"/>
        <v>74</v>
      </c>
      <c r="E86" s="4">
        <f t="shared" si="8"/>
        <v>10</v>
      </c>
      <c r="F86" s="4">
        <f t="shared" si="9"/>
        <v>20</v>
      </c>
      <c r="G86" s="3">
        <f>IF(E86&gt;=20,2000,1900) + D86</f>
        <v>1974</v>
      </c>
      <c r="H86">
        <f t="shared" si="10"/>
        <v>10</v>
      </c>
      <c r="I86" s="4">
        <f t="shared" si="11"/>
        <v>20</v>
      </c>
      <c r="J86">
        <f t="shared" si="12"/>
        <v>19741020</v>
      </c>
      <c r="K86" t="str">
        <f t="shared" si="13"/>
        <v>20.10.1974</v>
      </c>
    </row>
    <row r="87" spans="1:11" x14ac:dyDescent="0.25">
      <c r="A87" s="4" t="s">
        <v>113</v>
      </c>
      <c r="B87" t="s">
        <v>14</v>
      </c>
      <c r="C87" t="s">
        <v>6</v>
      </c>
      <c r="D87" s="3">
        <f t="shared" si="7"/>
        <v>57</v>
      </c>
      <c r="E87" s="4">
        <f t="shared" si="8"/>
        <v>8</v>
      </c>
      <c r="F87" s="4">
        <f t="shared" si="9"/>
        <v>13</v>
      </c>
      <c r="G87" s="3">
        <f>IF(E87&gt;=20,2000,1900) + D87</f>
        <v>1957</v>
      </c>
      <c r="H87">
        <f t="shared" si="10"/>
        <v>8</v>
      </c>
      <c r="I87" s="4">
        <f t="shared" si="11"/>
        <v>13</v>
      </c>
      <c r="J87">
        <f t="shared" si="12"/>
        <v>19570813</v>
      </c>
      <c r="K87" t="str">
        <f t="shared" si="13"/>
        <v>13.08.1957</v>
      </c>
    </row>
    <row r="88" spans="1:11" x14ac:dyDescent="0.25">
      <c r="A88" s="4" t="s">
        <v>114</v>
      </c>
      <c r="B88" t="s">
        <v>8</v>
      </c>
      <c r="C88" t="s">
        <v>4</v>
      </c>
      <c r="D88" s="3">
        <f t="shared" si="7"/>
        <v>63</v>
      </c>
      <c r="E88" s="4">
        <f t="shared" si="8"/>
        <v>9</v>
      </c>
      <c r="F88" s="4">
        <f t="shared" si="9"/>
        <v>18</v>
      </c>
      <c r="G88" s="3">
        <f>IF(E88&gt;=20,2000,1900) + D88</f>
        <v>1963</v>
      </c>
      <c r="H88">
        <f t="shared" si="10"/>
        <v>9</v>
      </c>
      <c r="I88" s="4">
        <f t="shared" si="11"/>
        <v>18</v>
      </c>
      <c r="J88">
        <f t="shared" si="12"/>
        <v>19630918</v>
      </c>
      <c r="K88" t="str">
        <f t="shared" si="13"/>
        <v>18.09.1963</v>
      </c>
    </row>
    <row r="89" spans="1:11" x14ac:dyDescent="0.25">
      <c r="A89" s="4" t="s">
        <v>115</v>
      </c>
      <c r="B89" t="s">
        <v>16</v>
      </c>
      <c r="C89" t="s">
        <v>4</v>
      </c>
      <c r="D89" s="3">
        <f t="shared" si="7"/>
        <v>90</v>
      </c>
      <c r="E89" s="4">
        <f t="shared" si="8"/>
        <v>4</v>
      </c>
      <c r="F89" s="4">
        <f t="shared" si="9"/>
        <v>2</v>
      </c>
      <c r="G89" s="3">
        <f>IF(E89&gt;=20,2000,1900) + D89</f>
        <v>1990</v>
      </c>
      <c r="H89">
        <f t="shared" si="10"/>
        <v>4</v>
      </c>
      <c r="I89" s="4">
        <f t="shared" si="11"/>
        <v>2</v>
      </c>
      <c r="J89">
        <f t="shared" si="12"/>
        <v>19900402</v>
      </c>
      <c r="K89" t="str">
        <f t="shared" si="13"/>
        <v>02.04.1990</v>
      </c>
    </row>
    <row r="90" spans="1:11" x14ac:dyDescent="0.25">
      <c r="A90" s="4" t="s">
        <v>116</v>
      </c>
      <c r="B90" t="s">
        <v>17</v>
      </c>
      <c r="C90" t="s">
        <v>4</v>
      </c>
      <c r="D90" s="3">
        <f t="shared" si="7"/>
        <v>93</v>
      </c>
      <c r="E90" s="4">
        <f t="shared" si="8"/>
        <v>2</v>
      </c>
      <c r="F90" s="4">
        <f t="shared" si="9"/>
        <v>10</v>
      </c>
      <c r="G90" s="3">
        <f>IF(E90&gt;=20,2000,1900) + D90</f>
        <v>1993</v>
      </c>
      <c r="H90">
        <f t="shared" si="10"/>
        <v>2</v>
      </c>
      <c r="I90" s="4">
        <f t="shared" si="11"/>
        <v>10</v>
      </c>
      <c r="J90">
        <f t="shared" si="12"/>
        <v>19930210</v>
      </c>
      <c r="K90" t="str">
        <f t="shared" si="13"/>
        <v>10.02.1993</v>
      </c>
    </row>
    <row r="91" spans="1:11" x14ac:dyDescent="0.25">
      <c r="A91" s="4" t="s">
        <v>117</v>
      </c>
      <c r="B91" t="s">
        <v>20</v>
      </c>
      <c r="C91" t="s">
        <v>4</v>
      </c>
      <c r="D91" s="3">
        <f t="shared" si="7"/>
        <v>71</v>
      </c>
      <c r="E91" s="4">
        <f t="shared" si="8"/>
        <v>6</v>
      </c>
      <c r="F91" s="4">
        <f t="shared" si="9"/>
        <v>9</v>
      </c>
      <c r="G91" s="3">
        <f>IF(E91&gt;=20,2000,1900) + D91</f>
        <v>1971</v>
      </c>
      <c r="H91">
        <f t="shared" si="10"/>
        <v>6</v>
      </c>
      <c r="I91" s="4">
        <f t="shared" si="11"/>
        <v>9</v>
      </c>
      <c r="J91">
        <f t="shared" si="12"/>
        <v>19710609</v>
      </c>
      <c r="K91" t="str">
        <f t="shared" si="13"/>
        <v>09.06.1971</v>
      </c>
    </row>
    <row r="92" spans="1:11" x14ac:dyDescent="0.25">
      <c r="A92" s="4" t="s">
        <v>118</v>
      </c>
      <c r="B92" t="s">
        <v>18</v>
      </c>
      <c r="C92" t="s">
        <v>4</v>
      </c>
      <c r="D92" s="3">
        <f t="shared" si="7"/>
        <v>66</v>
      </c>
      <c r="E92" s="4">
        <f t="shared" si="8"/>
        <v>4</v>
      </c>
      <c r="F92" s="4">
        <f t="shared" si="9"/>
        <v>28</v>
      </c>
      <c r="G92" s="3">
        <f>IF(E92&gt;=20,2000,1900) + D92</f>
        <v>1966</v>
      </c>
      <c r="H92">
        <f t="shared" si="10"/>
        <v>4</v>
      </c>
      <c r="I92" s="4">
        <f t="shared" si="11"/>
        <v>28</v>
      </c>
      <c r="J92">
        <f t="shared" si="12"/>
        <v>19660428</v>
      </c>
      <c r="K92" t="str">
        <f t="shared" si="13"/>
        <v>28.04.1966</v>
      </c>
    </row>
    <row r="93" spans="1:11" x14ac:dyDescent="0.25">
      <c r="A93" s="4" t="s">
        <v>119</v>
      </c>
      <c r="B93" t="s">
        <v>3</v>
      </c>
      <c r="C93" t="s">
        <v>4</v>
      </c>
      <c r="D93" s="3">
        <f t="shared" si="7"/>
        <v>97</v>
      </c>
      <c r="E93" s="4">
        <f t="shared" si="8"/>
        <v>8</v>
      </c>
      <c r="F93" s="4">
        <f t="shared" si="9"/>
        <v>2</v>
      </c>
      <c r="G93" s="3">
        <f>IF(E93&gt;=20,2000,1900) + D93</f>
        <v>1997</v>
      </c>
      <c r="H93">
        <f t="shared" si="10"/>
        <v>8</v>
      </c>
      <c r="I93" s="4">
        <f t="shared" si="11"/>
        <v>2</v>
      </c>
      <c r="J93">
        <f t="shared" si="12"/>
        <v>19970802</v>
      </c>
      <c r="K93" t="str">
        <f t="shared" si="13"/>
        <v>02.08.1997</v>
      </c>
    </row>
    <row r="94" spans="1:11" x14ac:dyDescent="0.25">
      <c r="A94" s="4" t="s">
        <v>120</v>
      </c>
      <c r="B94" t="s">
        <v>16</v>
      </c>
      <c r="C94" t="s">
        <v>6</v>
      </c>
      <c r="D94" s="3">
        <f t="shared" si="7"/>
        <v>81</v>
      </c>
      <c r="E94" s="4">
        <f t="shared" si="8"/>
        <v>5</v>
      </c>
      <c r="F94" s="4">
        <f t="shared" si="9"/>
        <v>30</v>
      </c>
      <c r="G94" s="3">
        <f>IF(E94&gt;=20,2000,1900) + D94</f>
        <v>1981</v>
      </c>
      <c r="H94">
        <f t="shared" si="10"/>
        <v>5</v>
      </c>
      <c r="I94" s="4">
        <f t="shared" si="11"/>
        <v>30</v>
      </c>
      <c r="J94">
        <f t="shared" si="12"/>
        <v>19810530</v>
      </c>
      <c r="K94" t="str">
        <f t="shared" si="13"/>
        <v>30.05.1981</v>
      </c>
    </row>
    <row r="95" spans="1:11" x14ac:dyDescent="0.25">
      <c r="A95" s="4" t="s">
        <v>121</v>
      </c>
      <c r="B95" t="s">
        <v>13</v>
      </c>
      <c r="C95" t="s">
        <v>6</v>
      </c>
      <c r="D95" s="3">
        <f t="shared" si="7"/>
        <v>91</v>
      </c>
      <c r="E95" s="4">
        <f t="shared" si="8"/>
        <v>2</v>
      </c>
      <c r="F95" s="4">
        <f t="shared" si="9"/>
        <v>24</v>
      </c>
      <c r="G95" s="3">
        <f>IF(E95&gt;=20,2000,1900) + D95</f>
        <v>1991</v>
      </c>
      <c r="H95">
        <f t="shared" si="10"/>
        <v>2</v>
      </c>
      <c r="I95" s="4">
        <f t="shared" si="11"/>
        <v>24</v>
      </c>
      <c r="J95">
        <f t="shared" si="12"/>
        <v>19910224</v>
      </c>
      <c r="K95" t="str">
        <f t="shared" si="13"/>
        <v>24.02.1991</v>
      </c>
    </row>
    <row r="96" spans="1:11" x14ac:dyDescent="0.25">
      <c r="A96" s="4" t="s">
        <v>122</v>
      </c>
      <c r="B96" t="s">
        <v>15</v>
      </c>
      <c r="C96" t="s">
        <v>6</v>
      </c>
      <c r="D96" s="3">
        <f t="shared" si="7"/>
        <v>75</v>
      </c>
      <c r="E96" s="4">
        <f t="shared" si="8"/>
        <v>9</v>
      </c>
      <c r="F96" s="4">
        <f t="shared" si="9"/>
        <v>1</v>
      </c>
      <c r="G96" s="3">
        <f>IF(E96&gt;=20,2000,1900) + D96</f>
        <v>1975</v>
      </c>
      <c r="H96">
        <f t="shared" si="10"/>
        <v>9</v>
      </c>
      <c r="I96" s="4">
        <f t="shared" si="11"/>
        <v>1</v>
      </c>
      <c r="J96">
        <f t="shared" si="12"/>
        <v>19750901</v>
      </c>
      <c r="K96" t="str">
        <f t="shared" si="13"/>
        <v>01.09.1975</v>
      </c>
    </row>
    <row r="97" spans="1:11" x14ac:dyDescent="0.25">
      <c r="A97" s="4" t="s">
        <v>123</v>
      </c>
      <c r="B97" t="s">
        <v>5</v>
      </c>
      <c r="C97" t="s">
        <v>6</v>
      </c>
      <c r="D97" s="3">
        <f t="shared" si="7"/>
        <v>84</v>
      </c>
      <c r="E97" s="4">
        <f t="shared" si="8"/>
        <v>7</v>
      </c>
      <c r="F97" s="4">
        <f t="shared" si="9"/>
        <v>1</v>
      </c>
      <c r="G97" s="3">
        <f>IF(E97&gt;=20,2000,1900) + D97</f>
        <v>1984</v>
      </c>
      <c r="H97">
        <f t="shared" si="10"/>
        <v>7</v>
      </c>
      <c r="I97" s="4">
        <f t="shared" si="11"/>
        <v>1</v>
      </c>
      <c r="J97">
        <f t="shared" si="12"/>
        <v>19840701</v>
      </c>
      <c r="K97" t="str">
        <f t="shared" si="13"/>
        <v>01.07.1984</v>
      </c>
    </row>
    <row r="98" spans="1:11" x14ac:dyDescent="0.25">
      <c r="A98" s="4" t="s">
        <v>124</v>
      </c>
      <c r="B98" t="s">
        <v>18</v>
      </c>
      <c r="C98" t="s">
        <v>4</v>
      </c>
      <c r="D98" s="3">
        <f t="shared" si="7"/>
        <v>66</v>
      </c>
      <c r="E98" s="4">
        <f t="shared" si="8"/>
        <v>4</v>
      </c>
      <c r="F98" s="4">
        <f t="shared" si="9"/>
        <v>30</v>
      </c>
      <c r="G98" s="3">
        <f>IF(E98&gt;=20,2000,1900) + D98</f>
        <v>1966</v>
      </c>
      <c r="H98">
        <f t="shared" si="10"/>
        <v>4</v>
      </c>
      <c r="I98" s="4">
        <f t="shared" si="11"/>
        <v>30</v>
      </c>
      <c r="J98">
        <f t="shared" si="12"/>
        <v>19660430</v>
      </c>
      <c r="K98" t="str">
        <f t="shared" si="13"/>
        <v>30.04.1966</v>
      </c>
    </row>
    <row r="99" spans="1:11" x14ac:dyDescent="0.25">
      <c r="A99" s="4" t="s">
        <v>125</v>
      </c>
      <c r="B99" t="s">
        <v>17</v>
      </c>
      <c r="C99" t="s">
        <v>6</v>
      </c>
      <c r="D99" s="3">
        <f t="shared" si="7"/>
        <v>50</v>
      </c>
      <c r="E99" s="4">
        <f t="shared" si="8"/>
        <v>12</v>
      </c>
      <c r="F99" s="4">
        <f t="shared" si="9"/>
        <v>12</v>
      </c>
      <c r="G99" s="3">
        <f>IF(E99&gt;=20,2000,1900) + D99</f>
        <v>1950</v>
      </c>
      <c r="H99">
        <f t="shared" si="10"/>
        <v>12</v>
      </c>
      <c r="I99" s="4">
        <f t="shared" si="11"/>
        <v>12</v>
      </c>
      <c r="J99">
        <f t="shared" si="12"/>
        <v>19501212</v>
      </c>
      <c r="K99" t="str">
        <f t="shared" si="13"/>
        <v>12.12.1950</v>
      </c>
    </row>
    <row r="100" spans="1:11" x14ac:dyDescent="0.25">
      <c r="A100" s="4" t="s">
        <v>126</v>
      </c>
      <c r="B100" t="s">
        <v>14</v>
      </c>
      <c r="C100" t="s">
        <v>6</v>
      </c>
      <c r="D100" s="3">
        <f t="shared" si="7"/>
        <v>85</v>
      </c>
      <c r="E100" s="4">
        <f t="shared" si="8"/>
        <v>12</v>
      </c>
      <c r="F100" s="4">
        <f t="shared" si="9"/>
        <v>21</v>
      </c>
      <c r="G100" s="3">
        <f>IF(E100&gt;=20,2000,1900) + D100</f>
        <v>1985</v>
      </c>
      <c r="H100">
        <f t="shared" si="10"/>
        <v>12</v>
      </c>
      <c r="I100" s="4">
        <f t="shared" si="11"/>
        <v>21</v>
      </c>
      <c r="J100">
        <f t="shared" si="12"/>
        <v>19851221</v>
      </c>
      <c r="K100" t="str">
        <f t="shared" si="13"/>
        <v>21.12.1985</v>
      </c>
    </row>
    <row r="101" spans="1:11" x14ac:dyDescent="0.25">
      <c r="A101" s="4" t="s">
        <v>127</v>
      </c>
      <c r="B101" t="s">
        <v>13</v>
      </c>
      <c r="C101" t="s">
        <v>6</v>
      </c>
      <c r="D101" s="3">
        <f t="shared" si="7"/>
        <v>90</v>
      </c>
      <c r="E101" s="4">
        <f t="shared" si="8"/>
        <v>1</v>
      </c>
      <c r="F101" s="4">
        <f t="shared" si="9"/>
        <v>4</v>
      </c>
      <c r="G101" s="3">
        <f>IF(E101&gt;=20,2000,1900) + D101</f>
        <v>1990</v>
      </c>
      <c r="H101">
        <f t="shared" si="10"/>
        <v>1</v>
      </c>
      <c r="I101" s="4">
        <f t="shared" si="11"/>
        <v>4</v>
      </c>
      <c r="J101">
        <f t="shared" si="12"/>
        <v>19900104</v>
      </c>
      <c r="K101" t="str">
        <f t="shared" si="13"/>
        <v>04.01.1990</v>
      </c>
    </row>
    <row r="102" spans="1:11" x14ac:dyDescent="0.25">
      <c r="A102" s="4" t="s">
        <v>128</v>
      </c>
      <c r="B102" t="s">
        <v>9</v>
      </c>
      <c r="C102" t="s">
        <v>6</v>
      </c>
      <c r="D102" s="3">
        <f t="shared" si="7"/>
        <v>72</v>
      </c>
      <c r="E102" s="4">
        <f t="shared" si="8"/>
        <v>10</v>
      </c>
      <c r="F102" s="4">
        <f t="shared" si="9"/>
        <v>7</v>
      </c>
      <c r="G102" s="3">
        <f>IF(E102&gt;=20,2000,1900) + D102</f>
        <v>1972</v>
      </c>
      <c r="H102">
        <f t="shared" si="10"/>
        <v>10</v>
      </c>
      <c r="I102" s="4">
        <f t="shared" si="11"/>
        <v>7</v>
      </c>
      <c r="J102">
        <f t="shared" si="12"/>
        <v>19721007</v>
      </c>
      <c r="K102" t="str">
        <f t="shared" si="13"/>
        <v>07.10.1972</v>
      </c>
    </row>
    <row r="103" spans="1:11" x14ac:dyDescent="0.25">
      <c r="A103" s="4" t="s">
        <v>129</v>
      </c>
      <c r="B103" t="s">
        <v>18</v>
      </c>
      <c r="C103" t="s">
        <v>6</v>
      </c>
      <c r="D103" s="3">
        <f t="shared" si="7"/>
        <v>54</v>
      </c>
      <c r="E103" s="4">
        <f t="shared" si="8"/>
        <v>8</v>
      </c>
      <c r="F103" s="4">
        <f t="shared" si="9"/>
        <v>26</v>
      </c>
      <c r="G103" s="3">
        <f>IF(E103&gt;=20,2000,1900) + D103</f>
        <v>1954</v>
      </c>
      <c r="H103">
        <f t="shared" si="10"/>
        <v>8</v>
      </c>
      <c r="I103" s="4">
        <f t="shared" si="11"/>
        <v>26</v>
      </c>
      <c r="J103">
        <f t="shared" si="12"/>
        <v>19540826</v>
      </c>
      <c r="K103" t="str">
        <f t="shared" si="13"/>
        <v>26.08.1954</v>
      </c>
    </row>
    <row r="104" spans="1:11" x14ac:dyDescent="0.25">
      <c r="A104" s="4" t="s">
        <v>130</v>
      </c>
      <c r="B104" t="s">
        <v>8</v>
      </c>
      <c r="C104" t="s">
        <v>4</v>
      </c>
      <c r="D104" s="3">
        <f t="shared" si="7"/>
        <v>60</v>
      </c>
      <c r="E104" s="4">
        <f t="shared" si="8"/>
        <v>8</v>
      </c>
      <c r="F104" s="4">
        <f t="shared" si="9"/>
        <v>26</v>
      </c>
      <c r="G104" s="3">
        <f>IF(E104&gt;=20,2000,1900) + D104</f>
        <v>1960</v>
      </c>
      <c r="H104">
        <f t="shared" si="10"/>
        <v>8</v>
      </c>
      <c r="I104" s="4">
        <f t="shared" si="11"/>
        <v>26</v>
      </c>
      <c r="J104">
        <f t="shared" si="12"/>
        <v>19600826</v>
      </c>
      <c r="K104" t="str">
        <f t="shared" si="13"/>
        <v>26.08.1960</v>
      </c>
    </row>
    <row r="105" spans="1:11" x14ac:dyDescent="0.25">
      <c r="A105" s="4" t="s">
        <v>131</v>
      </c>
      <c r="B105" t="s">
        <v>13</v>
      </c>
      <c r="C105" t="s">
        <v>6</v>
      </c>
      <c r="D105" s="3">
        <f t="shared" si="7"/>
        <v>57</v>
      </c>
      <c r="E105" s="4">
        <f t="shared" si="8"/>
        <v>9</v>
      </c>
      <c r="F105" s="4">
        <f t="shared" si="9"/>
        <v>16</v>
      </c>
      <c r="G105" s="3">
        <f>IF(E105&gt;=20,2000,1900) + D105</f>
        <v>1957</v>
      </c>
      <c r="H105">
        <f t="shared" si="10"/>
        <v>9</v>
      </c>
      <c r="I105" s="4">
        <f t="shared" si="11"/>
        <v>16</v>
      </c>
      <c r="J105">
        <f t="shared" si="12"/>
        <v>19570916</v>
      </c>
      <c r="K105" t="str">
        <f t="shared" si="13"/>
        <v>16.09.1957</v>
      </c>
    </row>
    <row r="106" spans="1:11" x14ac:dyDescent="0.25">
      <c r="A106" s="4" t="s">
        <v>132</v>
      </c>
      <c r="B106" t="s">
        <v>20</v>
      </c>
      <c r="C106" t="s">
        <v>6</v>
      </c>
      <c r="D106" s="3">
        <f t="shared" si="7"/>
        <v>87</v>
      </c>
      <c r="E106" s="4">
        <f t="shared" si="8"/>
        <v>11</v>
      </c>
      <c r="F106" s="4">
        <f t="shared" si="9"/>
        <v>10</v>
      </c>
      <c r="G106" s="3">
        <f>IF(E106&gt;=20,2000,1900) + D106</f>
        <v>1987</v>
      </c>
      <c r="H106">
        <f t="shared" si="10"/>
        <v>11</v>
      </c>
      <c r="I106" s="4">
        <f t="shared" si="11"/>
        <v>10</v>
      </c>
      <c r="J106">
        <f t="shared" si="12"/>
        <v>19871110</v>
      </c>
      <c r="K106" t="str">
        <f t="shared" si="13"/>
        <v>10.11.1987</v>
      </c>
    </row>
    <row r="107" spans="1:11" x14ac:dyDescent="0.25">
      <c r="A107" s="4" t="s">
        <v>133</v>
      </c>
      <c r="B107" t="s">
        <v>11</v>
      </c>
      <c r="C107" t="s">
        <v>6</v>
      </c>
      <c r="D107" s="3">
        <f t="shared" si="7"/>
        <v>50</v>
      </c>
      <c r="E107" s="4">
        <f t="shared" si="8"/>
        <v>4</v>
      </c>
      <c r="F107" s="4">
        <f t="shared" si="9"/>
        <v>7</v>
      </c>
      <c r="G107" s="3">
        <f>IF(E107&gt;=20,2000,1900) + D107</f>
        <v>1950</v>
      </c>
      <c r="H107">
        <f t="shared" si="10"/>
        <v>4</v>
      </c>
      <c r="I107" s="4">
        <f t="shared" si="11"/>
        <v>7</v>
      </c>
      <c r="J107">
        <f t="shared" si="12"/>
        <v>19500407</v>
      </c>
      <c r="K107" t="str">
        <f t="shared" si="13"/>
        <v>07.04.1950</v>
      </c>
    </row>
    <row r="108" spans="1:11" x14ac:dyDescent="0.25">
      <c r="A108" s="4" t="s">
        <v>134</v>
      </c>
      <c r="B108" t="s">
        <v>8</v>
      </c>
      <c r="C108" t="s">
        <v>4</v>
      </c>
      <c r="D108" s="3">
        <f t="shared" si="7"/>
        <v>68</v>
      </c>
      <c r="E108" s="4">
        <f t="shared" si="8"/>
        <v>10</v>
      </c>
      <c r="F108" s="4">
        <f t="shared" si="9"/>
        <v>10</v>
      </c>
      <c r="G108" s="3">
        <f>IF(E108&gt;=20,2000,1900) + D108</f>
        <v>1968</v>
      </c>
      <c r="H108">
        <f t="shared" si="10"/>
        <v>10</v>
      </c>
      <c r="I108" s="4">
        <f t="shared" si="11"/>
        <v>10</v>
      </c>
      <c r="J108">
        <f t="shared" si="12"/>
        <v>19681010</v>
      </c>
      <c r="K108" t="str">
        <f t="shared" si="13"/>
        <v>10.10.1968</v>
      </c>
    </row>
    <row r="109" spans="1:11" x14ac:dyDescent="0.25">
      <c r="A109" s="4" t="s">
        <v>135</v>
      </c>
      <c r="B109" t="s">
        <v>7</v>
      </c>
      <c r="C109" t="s">
        <v>6</v>
      </c>
      <c r="D109" s="3">
        <f t="shared" si="7"/>
        <v>62</v>
      </c>
      <c r="E109" s="4">
        <f t="shared" si="8"/>
        <v>3</v>
      </c>
      <c r="F109" s="4">
        <f t="shared" si="9"/>
        <v>30</v>
      </c>
      <c r="G109" s="3">
        <f>IF(E109&gt;=20,2000,1900) + D109</f>
        <v>1962</v>
      </c>
      <c r="H109">
        <f t="shared" si="10"/>
        <v>3</v>
      </c>
      <c r="I109" s="4">
        <f t="shared" si="11"/>
        <v>30</v>
      </c>
      <c r="J109">
        <f t="shared" si="12"/>
        <v>19620330</v>
      </c>
      <c r="K109" t="str">
        <f t="shared" si="13"/>
        <v>30.03.1962</v>
      </c>
    </row>
    <row r="110" spans="1:11" x14ac:dyDescent="0.25">
      <c r="A110" s="4" t="s">
        <v>136</v>
      </c>
      <c r="B110" t="s">
        <v>20</v>
      </c>
      <c r="C110" t="s">
        <v>6</v>
      </c>
      <c r="D110" s="3">
        <f t="shared" si="7"/>
        <v>79</v>
      </c>
      <c r="E110" s="4">
        <f t="shared" si="8"/>
        <v>7</v>
      </c>
      <c r="F110" s="4">
        <f t="shared" si="9"/>
        <v>27</v>
      </c>
      <c r="G110" s="3">
        <f>IF(E110&gt;=20,2000,1900) + D110</f>
        <v>1979</v>
      </c>
      <c r="H110">
        <f t="shared" si="10"/>
        <v>7</v>
      </c>
      <c r="I110" s="4">
        <f t="shared" si="11"/>
        <v>27</v>
      </c>
      <c r="J110">
        <f t="shared" si="12"/>
        <v>19790727</v>
      </c>
      <c r="K110" t="str">
        <f t="shared" si="13"/>
        <v>27.07.1979</v>
      </c>
    </row>
    <row r="111" spans="1:11" x14ac:dyDescent="0.25">
      <c r="A111" s="4" t="s">
        <v>137</v>
      </c>
      <c r="B111" t="s">
        <v>15</v>
      </c>
      <c r="C111" t="s">
        <v>6</v>
      </c>
      <c r="D111" s="3">
        <f t="shared" si="7"/>
        <v>94</v>
      </c>
      <c r="E111" s="4">
        <f t="shared" si="8"/>
        <v>5</v>
      </c>
      <c r="F111" s="4">
        <f t="shared" si="9"/>
        <v>10</v>
      </c>
      <c r="G111" s="3">
        <f>IF(E111&gt;=20,2000,1900) + D111</f>
        <v>1994</v>
      </c>
      <c r="H111">
        <f t="shared" si="10"/>
        <v>5</v>
      </c>
      <c r="I111" s="4">
        <f t="shared" si="11"/>
        <v>10</v>
      </c>
      <c r="J111">
        <f t="shared" si="12"/>
        <v>19940510</v>
      </c>
      <c r="K111" t="str">
        <f t="shared" si="13"/>
        <v>10.05.1994</v>
      </c>
    </row>
    <row r="112" spans="1:11" x14ac:dyDescent="0.25">
      <c r="A112" s="4" t="s">
        <v>138</v>
      </c>
      <c r="B112" t="s">
        <v>17</v>
      </c>
      <c r="C112" t="s">
        <v>6</v>
      </c>
      <c r="D112" s="3">
        <f t="shared" si="7"/>
        <v>98</v>
      </c>
      <c r="E112" s="4">
        <f t="shared" si="8"/>
        <v>1</v>
      </c>
      <c r="F112" s="4">
        <f t="shared" si="9"/>
        <v>5</v>
      </c>
      <c r="G112" s="3">
        <f>IF(E112&gt;=20,2000,1900) + D112</f>
        <v>1998</v>
      </c>
      <c r="H112">
        <f t="shared" si="10"/>
        <v>1</v>
      </c>
      <c r="I112" s="4">
        <f t="shared" si="11"/>
        <v>5</v>
      </c>
      <c r="J112">
        <f t="shared" si="12"/>
        <v>19980105</v>
      </c>
      <c r="K112" t="str">
        <f t="shared" si="13"/>
        <v>05.01.1998</v>
      </c>
    </row>
    <row r="113" spans="1:11" x14ac:dyDescent="0.25">
      <c r="A113" s="4" t="s">
        <v>139</v>
      </c>
      <c r="B113" t="s">
        <v>7</v>
      </c>
      <c r="C113" t="s">
        <v>4</v>
      </c>
      <c r="D113" s="3">
        <f t="shared" si="7"/>
        <v>98</v>
      </c>
      <c r="E113" s="4">
        <f t="shared" si="8"/>
        <v>5</v>
      </c>
      <c r="F113" s="4">
        <f t="shared" si="9"/>
        <v>24</v>
      </c>
      <c r="G113" s="3">
        <f>IF(E113&gt;=20,2000,1900) + D113</f>
        <v>1998</v>
      </c>
      <c r="H113">
        <f t="shared" si="10"/>
        <v>5</v>
      </c>
      <c r="I113" s="4">
        <f t="shared" si="11"/>
        <v>24</v>
      </c>
      <c r="J113">
        <f t="shared" si="12"/>
        <v>19980524</v>
      </c>
      <c r="K113" t="str">
        <f t="shared" si="13"/>
        <v>24.05.1998</v>
      </c>
    </row>
    <row r="114" spans="1:11" x14ac:dyDescent="0.25">
      <c r="A114" s="4" t="s">
        <v>140</v>
      </c>
      <c r="B114" t="s">
        <v>15</v>
      </c>
      <c r="C114" t="s">
        <v>4</v>
      </c>
      <c r="D114" s="3">
        <f t="shared" si="7"/>
        <v>86</v>
      </c>
      <c r="E114" s="4">
        <f t="shared" si="8"/>
        <v>7</v>
      </c>
      <c r="F114" s="4">
        <f t="shared" si="9"/>
        <v>29</v>
      </c>
      <c r="G114" s="3">
        <f>IF(E114&gt;=20,2000,1900) + D114</f>
        <v>1986</v>
      </c>
      <c r="H114">
        <f t="shared" si="10"/>
        <v>7</v>
      </c>
      <c r="I114" s="4">
        <f t="shared" si="11"/>
        <v>29</v>
      </c>
      <c r="J114">
        <f t="shared" si="12"/>
        <v>19860729</v>
      </c>
      <c r="K114" t="str">
        <f t="shared" si="13"/>
        <v>29.07.1986</v>
      </c>
    </row>
    <row r="115" spans="1:11" x14ac:dyDescent="0.25">
      <c r="A115" s="4" t="s">
        <v>141</v>
      </c>
      <c r="B115" t="s">
        <v>11</v>
      </c>
      <c r="C115" t="s">
        <v>4</v>
      </c>
      <c r="D115" s="3">
        <f t="shared" si="7"/>
        <v>76</v>
      </c>
      <c r="E115" s="4">
        <f t="shared" si="8"/>
        <v>6</v>
      </c>
      <c r="F115" s="4">
        <f t="shared" si="9"/>
        <v>16</v>
      </c>
      <c r="G115" s="3">
        <f>IF(E115&gt;=20,2000,1900) + D115</f>
        <v>1976</v>
      </c>
      <c r="H115">
        <f t="shared" si="10"/>
        <v>6</v>
      </c>
      <c r="I115" s="4">
        <f t="shared" si="11"/>
        <v>16</v>
      </c>
      <c r="J115">
        <f t="shared" si="12"/>
        <v>19760616</v>
      </c>
      <c r="K115" t="str">
        <f t="shared" si="13"/>
        <v>16.06.1976</v>
      </c>
    </row>
    <row r="116" spans="1:11" x14ac:dyDescent="0.25">
      <c r="A116" s="4" t="s">
        <v>142</v>
      </c>
      <c r="B116" t="s">
        <v>3</v>
      </c>
      <c r="C116" t="s">
        <v>4</v>
      </c>
      <c r="D116" s="3">
        <f t="shared" si="7"/>
        <v>69</v>
      </c>
      <c r="E116" s="4">
        <f t="shared" si="8"/>
        <v>1</v>
      </c>
      <c r="F116" s="4">
        <f t="shared" si="9"/>
        <v>17</v>
      </c>
      <c r="G116" s="3">
        <f>IF(E116&gt;=20,2000,1900) + D116</f>
        <v>1969</v>
      </c>
      <c r="H116">
        <f t="shared" si="10"/>
        <v>1</v>
      </c>
      <c r="I116" s="4">
        <f t="shared" si="11"/>
        <v>17</v>
      </c>
      <c r="J116">
        <f t="shared" si="12"/>
        <v>19690117</v>
      </c>
      <c r="K116" t="str">
        <f t="shared" si="13"/>
        <v>17.01.1969</v>
      </c>
    </row>
    <row r="117" spans="1:11" x14ac:dyDescent="0.25">
      <c r="A117" s="4" t="s">
        <v>143</v>
      </c>
      <c r="B117" t="s">
        <v>9</v>
      </c>
      <c r="C117" t="s">
        <v>4</v>
      </c>
      <c r="D117" s="3">
        <f t="shared" si="7"/>
        <v>72</v>
      </c>
      <c r="E117" s="4">
        <f t="shared" si="8"/>
        <v>5</v>
      </c>
      <c r="F117" s="4">
        <f t="shared" si="9"/>
        <v>31</v>
      </c>
      <c r="G117" s="3">
        <f>IF(E117&gt;=20,2000,1900) + D117</f>
        <v>1972</v>
      </c>
      <c r="H117">
        <f t="shared" si="10"/>
        <v>5</v>
      </c>
      <c r="I117" s="4">
        <f t="shared" si="11"/>
        <v>31</v>
      </c>
      <c r="J117">
        <f t="shared" si="12"/>
        <v>19720531</v>
      </c>
      <c r="K117" t="str">
        <f t="shared" si="13"/>
        <v>31.05.1972</v>
      </c>
    </row>
    <row r="118" spans="1:11" x14ac:dyDescent="0.25">
      <c r="A118" s="4" t="s">
        <v>144</v>
      </c>
      <c r="B118" t="s">
        <v>10</v>
      </c>
      <c r="C118" t="s">
        <v>6</v>
      </c>
      <c r="D118" s="3">
        <f t="shared" si="7"/>
        <v>92</v>
      </c>
      <c r="E118" s="4">
        <f t="shared" si="8"/>
        <v>11</v>
      </c>
      <c r="F118" s="4">
        <f t="shared" si="9"/>
        <v>11</v>
      </c>
      <c r="G118" s="3">
        <f>IF(E118&gt;=20,2000,1900) + D118</f>
        <v>1992</v>
      </c>
      <c r="H118">
        <f t="shared" si="10"/>
        <v>11</v>
      </c>
      <c r="I118" s="4">
        <f t="shared" si="11"/>
        <v>11</v>
      </c>
      <c r="J118">
        <f t="shared" si="12"/>
        <v>19921111</v>
      </c>
      <c r="K118" t="str">
        <f t="shared" si="13"/>
        <v>11.11.1992</v>
      </c>
    </row>
    <row r="119" spans="1:11" x14ac:dyDescent="0.25">
      <c r="A119" s="4" t="s">
        <v>145</v>
      </c>
      <c r="B119" t="s">
        <v>5</v>
      </c>
      <c r="C119" t="s">
        <v>6</v>
      </c>
      <c r="D119" s="3">
        <f t="shared" si="7"/>
        <v>56</v>
      </c>
      <c r="E119" s="4">
        <f t="shared" si="8"/>
        <v>12</v>
      </c>
      <c r="F119" s="4">
        <f t="shared" si="9"/>
        <v>26</v>
      </c>
      <c r="G119" s="3">
        <f>IF(E119&gt;=20,2000,1900) + D119</f>
        <v>1956</v>
      </c>
      <c r="H119">
        <f t="shared" si="10"/>
        <v>12</v>
      </c>
      <c r="I119" s="4">
        <f t="shared" si="11"/>
        <v>26</v>
      </c>
      <c r="J119">
        <f t="shared" si="12"/>
        <v>19561226</v>
      </c>
      <c r="K119" t="str">
        <f t="shared" si="13"/>
        <v>26.12.1956</v>
      </c>
    </row>
    <row r="120" spans="1:11" x14ac:dyDescent="0.25">
      <c r="A120" s="4" t="s">
        <v>146</v>
      </c>
      <c r="B120" t="s">
        <v>18</v>
      </c>
      <c r="C120" t="s">
        <v>6</v>
      </c>
      <c r="D120" s="3">
        <f t="shared" si="7"/>
        <v>78</v>
      </c>
      <c r="E120" s="4">
        <f t="shared" si="8"/>
        <v>2</v>
      </c>
      <c r="F120" s="4">
        <f t="shared" si="9"/>
        <v>21</v>
      </c>
      <c r="G120" s="3">
        <f>IF(E120&gt;=20,2000,1900) + D120</f>
        <v>1978</v>
      </c>
      <c r="H120">
        <f t="shared" si="10"/>
        <v>2</v>
      </c>
      <c r="I120" s="4">
        <f t="shared" si="11"/>
        <v>21</v>
      </c>
      <c r="J120">
        <f t="shared" si="12"/>
        <v>19780221</v>
      </c>
      <c r="K120" t="str">
        <f t="shared" si="13"/>
        <v>21.02.1978</v>
      </c>
    </row>
    <row r="121" spans="1:11" x14ac:dyDescent="0.25">
      <c r="A121" s="4" t="s">
        <v>147</v>
      </c>
      <c r="B121" t="s">
        <v>16</v>
      </c>
      <c r="C121" t="s">
        <v>4</v>
      </c>
      <c r="D121" s="3">
        <f t="shared" si="7"/>
        <v>93</v>
      </c>
      <c r="E121" s="4">
        <f t="shared" si="8"/>
        <v>6</v>
      </c>
      <c r="F121" s="4">
        <f t="shared" si="9"/>
        <v>23</v>
      </c>
      <c r="G121" s="3">
        <f>IF(E121&gt;=20,2000,1900) + D121</f>
        <v>1993</v>
      </c>
      <c r="H121">
        <f t="shared" si="10"/>
        <v>6</v>
      </c>
      <c r="I121" s="4">
        <f t="shared" si="11"/>
        <v>23</v>
      </c>
      <c r="J121">
        <f t="shared" si="12"/>
        <v>19930623</v>
      </c>
      <c r="K121" t="str">
        <f t="shared" si="13"/>
        <v>23.06.1993</v>
      </c>
    </row>
    <row r="122" spans="1:11" x14ac:dyDescent="0.25">
      <c r="A122" s="4" t="s">
        <v>148</v>
      </c>
      <c r="B122" t="s">
        <v>13</v>
      </c>
      <c r="C122" t="s">
        <v>4</v>
      </c>
      <c r="D122" s="3">
        <f t="shared" si="7"/>
        <v>68</v>
      </c>
      <c r="E122" s="4">
        <f t="shared" si="8"/>
        <v>11</v>
      </c>
      <c r="F122" s="4">
        <f t="shared" si="9"/>
        <v>12</v>
      </c>
      <c r="G122" s="3">
        <f>IF(E122&gt;=20,2000,1900) + D122</f>
        <v>1968</v>
      </c>
      <c r="H122">
        <f t="shared" si="10"/>
        <v>11</v>
      </c>
      <c r="I122" s="4">
        <f t="shared" si="11"/>
        <v>12</v>
      </c>
      <c r="J122">
        <f t="shared" si="12"/>
        <v>19681112</v>
      </c>
      <c r="K122" t="str">
        <f t="shared" si="13"/>
        <v>12.11.1968</v>
      </c>
    </row>
    <row r="123" spans="1:11" x14ac:dyDescent="0.25">
      <c r="A123" s="4" t="s">
        <v>149</v>
      </c>
      <c r="B123" t="s">
        <v>8</v>
      </c>
      <c r="C123" t="s">
        <v>6</v>
      </c>
      <c r="D123" s="3">
        <f t="shared" si="7"/>
        <v>78</v>
      </c>
      <c r="E123" s="4">
        <f t="shared" si="8"/>
        <v>7</v>
      </c>
      <c r="F123" s="4">
        <f t="shared" si="9"/>
        <v>14</v>
      </c>
      <c r="G123" s="3">
        <f>IF(E123&gt;=20,2000,1900) + D123</f>
        <v>1978</v>
      </c>
      <c r="H123">
        <f t="shared" si="10"/>
        <v>7</v>
      </c>
      <c r="I123" s="4">
        <f t="shared" si="11"/>
        <v>14</v>
      </c>
      <c r="J123">
        <f t="shared" si="12"/>
        <v>19780714</v>
      </c>
      <c r="K123" t="str">
        <f t="shared" si="13"/>
        <v>14.07.1978</v>
      </c>
    </row>
    <row r="124" spans="1:11" x14ac:dyDescent="0.25">
      <c r="A124" s="4" t="s">
        <v>150</v>
      </c>
      <c r="B124" t="s">
        <v>16</v>
      </c>
      <c r="C124" t="s">
        <v>4</v>
      </c>
      <c r="D124" s="3">
        <f t="shared" si="7"/>
        <v>76</v>
      </c>
      <c r="E124" s="4">
        <f t="shared" si="8"/>
        <v>5</v>
      </c>
      <c r="F124" s="4">
        <f t="shared" si="9"/>
        <v>19</v>
      </c>
      <c r="G124" s="3">
        <f>IF(E124&gt;=20,2000,1900) + D124</f>
        <v>1976</v>
      </c>
      <c r="H124">
        <f t="shared" si="10"/>
        <v>5</v>
      </c>
      <c r="I124" s="4">
        <f t="shared" si="11"/>
        <v>19</v>
      </c>
      <c r="J124">
        <f t="shared" si="12"/>
        <v>19760519</v>
      </c>
      <c r="K124" t="str">
        <f t="shared" si="13"/>
        <v>19.05.1976</v>
      </c>
    </row>
    <row r="125" spans="1:11" x14ac:dyDescent="0.25">
      <c r="A125" s="4" t="s">
        <v>151</v>
      </c>
      <c r="B125" t="s">
        <v>3</v>
      </c>
      <c r="C125" t="s">
        <v>6</v>
      </c>
      <c r="D125" s="3">
        <f t="shared" si="7"/>
        <v>64</v>
      </c>
      <c r="E125" s="4">
        <f t="shared" si="8"/>
        <v>6</v>
      </c>
      <c r="F125" s="4">
        <f t="shared" si="9"/>
        <v>29</v>
      </c>
      <c r="G125" s="3">
        <f>IF(E125&gt;=20,2000,1900) + D125</f>
        <v>1964</v>
      </c>
      <c r="H125">
        <f t="shared" si="10"/>
        <v>6</v>
      </c>
      <c r="I125" s="4">
        <f t="shared" si="11"/>
        <v>29</v>
      </c>
      <c r="J125">
        <f t="shared" si="12"/>
        <v>19640629</v>
      </c>
      <c r="K125" t="str">
        <f t="shared" si="13"/>
        <v>29.06.1964</v>
      </c>
    </row>
    <row r="126" spans="1:11" x14ac:dyDescent="0.25">
      <c r="A126" s="4" t="s">
        <v>152</v>
      </c>
      <c r="B126" t="s">
        <v>18</v>
      </c>
      <c r="C126" t="s">
        <v>4</v>
      </c>
      <c r="D126" s="3">
        <f t="shared" si="7"/>
        <v>88</v>
      </c>
      <c r="E126" s="4">
        <f t="shared" si="8"/>
        <v>4</v>
      </c>
      <c r="F126" s="4">
        <f t="shared" si="9"/>
        <v>6</v>
      </c>
      <c r="G126" s="3">
        <f>IF(E126&gt;=20,2000,1900) + D126</f>
        <v>1988</v>
      </c>
      <c r="H126">
        <f t="shared" si="10"/>
        <v>4</v>
      </c>
      <c r="I126" s="4">
        <f t="shared" si="11"/>
        <v>6</v>
      </c>
      <c r="J126">
        <f t="shared" si="12"/>
        <v>19880406</v>
      </c>
      <c r="K126" t="str">
        <f t="shared" si="13"/>
        <v>06.04.1988</v>
      </c>
    </row>
    <row r="127" spans="1:11" x14ac:dyDescent="0.25">
      <c r="A127" s="4" t="s">
        <v>153</v>
      </c>
      <c r="B127" t="s">
        <v>19</v>
      </c>
      <c r="C127" t="s">
        <v>4</v>
      </c>
      <c r="D127" s="3">
        <f t="shared" si="7"/>
        <v>82</v>
      </c>
      <c r="E127" s="4">
        <f t="shared" si="8"/>
        <v>10</v>
      </c>
      <c r="F127" s="4">
        <f t="shared" si="9"/>
        <v>29</v>
      </c>
      <c r="G127" s="3">
        <f>IF(E127&gt;=20,2000,1900) + D127</f>
        <v>1982</v>
      </c>
      <c r="H127">
        <f t="shared" si="10"/>
        <v>10</v>
      </c>
      <c r="I127" s="4">
        <f t="shared" si="11"/>
        <v>29</v>
      </c>
      <c r="J127">
        <f t="shared" si="12"/>
        <v>19821029</v>
      </c>
      <c r="K127" t="str">
        <f t="shared" si="13"/>
        <v>29.10.1982</v>
      </c>
    </row>
    <row r="128" spans="1:11" x14ac:dyDescent="0.25">
      <c r="A128" s="4" t="s">
        <v>154</v>
      </c>
      <c r="B128" t="s">
        <v>15</v>
      </c>
      <c r="C128" t="s">
        <v>6</v>
      </c>
      <c r="D128" s="3">
        <f t="shared" si="7"/>
        <v>80</v>
      </c>
      <c r="E128" s="4">
        <f t="shared" si="8"/>
        <v>11</v>
      </c>
      <c r="F128" s="4">
        <f t="shared" si="9"/>
        <v>15</v>
      </c>
      <c r="G128" s="3">
        <f>IF(E128&gt;=20,2000,1900) + D128</f>
        <v>1980</v>
      </c>
      <c r="H128">
        <f t="shared" si="10"/>
        <v>11</v>
      </c>
      <c r="I128" s="4">
        <f t="shared" si="11"/>
        <v>15</v>
      </c>
      <c r="J128">
        <f t="shared" si="12"/>
        <v>19801115</v>
      </c>
      <c r="K128" t="str">
        <f t="shared" si="13"/>
        <v>15.11.1980</v>
      </c>
    </row>
    <row r="129" spans="1:11" x14ac:dyDescent="0.25">
      <c r="A129" s="4" t="s">
        <v>155</v>
      </c>
      <c r="B129" t="s">
        <v>10</v>
      </c>
      <c r="C129" t="s">
        <v>6</v>
      </c>
      <c r="D129" s="3">
        <f t="shared" si="7"/>
        <v>73</v>
      </c>
      <c r="E129" s="4">
        <f t="shared" si="8"/>
        <v>4</v>
      </c>
      <c r="F129" s="4">
        <f t="shared" si="9"/>
        <v>21</v>
      </c>
      <c r="G129" s="3">
        <f>IF(E129&gt;=20,2000,1900) + D129</f>
        <v>1973</v>
      </c>
      <c r="H129">
        <f t="shared" si="10"/>
        <v>4</v>
      </c>
      <c r="I129" s="4">
        <f t="shared" si="11"/>
        <v>21</v>
      </c>
      <c r="J129">
        <f t="shared" si="12"/>
        <v>19730421</v>
      </c>
      <c r="K129" t="str">
        <f t="shared" si="13"/>
        <v>21.04.1973</v>
      </c>
    </row>
    <row r="130" spans="1:11" x14ac:dyDescent="0.25">
      <c r="A130" s="4" t="s">
        <v>156</v>
      </c>
      <c r="B130" t="s">
        <v>13</v>
      </c>
      <c r="C130" t="s">
        <v>4</v>
      </c>
      <c r="D130" s="3">
        <f t="shared" si="7"/>
        <v>71</v>
      </c>
      <c r="E130" s="4">
        <f t="shared" si="8"/>
        <v>11</v>
      </c>
      <c r="F130" s="4">
        <f t="shared" si="9"/>
        <v>16</v>
      </c>
      <c r="G130" s="3">
        <f>IF(E130&gt;=20,2000,1900) + D130</f>
        <v>1971</v>
      </c>
      <c r="H130">
        <f t="shared" si="10"/>
        <v>11</v>
      </c>
      <c r="I130" s="4">
        <f t="shared" si="11"/>
        <v>16</v>
      </c>
      <c r="J130">
        <f t="shared" si="12"/>
        <v>19711116</v>
      </c>
      <c r="K130" t="str">
        <f t="shared" si="13"/>
        <v>16.11.1971</v>
      </c>
    </row>
    <row r="131" spans="1:11" x14ac:dyDescent="0.25">
      <c r="A131" s="4" t="s">
        <v>157</v>
      </c>
      <c r="B131" t="s">
        <v>3</v>
      </c>
      <c r="C131" t="s">
        <v>6</v>
      </c>
      <c r="D131" s="3">
        <f t="shared" ref="D131:D194" si="14">MID(A131,1,2)*1</f>
        <v>52</v>
      </c>
      <c r="E131" s="4">
        <f t="shared" ref="E131:E194" si="15">MID(A131,3,2)*1</f>
        <v>4</v>
      </c>
      <c r="F131" s="4">
        <f t="shared" ref="F131:F194" si="16">MID(A131,5,2)*1</f>
        <v>24</v>
      </c>
      <c r="G131" s="3">
        <f>IF(E131&gt;=20,2000,1900) + D131</f>
        <v>1952</v>
      </c>
      <c r="H131">
        <f t="shared" ref="H131:H194" si="17">IF(E131&gt;=20,E131-20,E131)</f>
        <v>4</v>
      </c>
      <c r="I131" s="4">
        <f t="shared" ref="I131:I194" si="18">F131</f>
        <v>24</v>
      </c>
      <c r="J131">
        <f t="shared" ref="J131:J194" si="19">CONCATENATE(G131,IF(LEN(E131)=1,CONCATENATE("0",E131),E131),IF(LEN(F131)=1,CONCATENATE("0",F131),F131))*1</f>
        <v>19520424</v>
      </c>
      <c r="K131" t="str">
        <f t="shared" ref="K131:K194" si="20">CONCATENATE(RIGHT(J131,2),".",MID(J131,5,2),".",LEFT(J131,4))</f>
        <v>24.04.1952</v>
      </c>
    </row>
    <row r="132" spans="1:11" x14ac:dyDescent="0.25">
      <c r="A132" s="4" t="s">
        <v>158</v>
      </c>
      <c r="B132" t="s">
        <v>17</v>
      </c>
      <c r="C132" t="s">
        <v>4</v>
      </c>
      <c r="D132" s="3">
        <f t="shared" si="14"/>
        <v>94</v>
      </c>
      <c r="E132" s="4">
        <f t="shared" si="15"/>
        <v>11</v>
      </c>
      <c r="F132" s="4">
        <f t="shared" si="16"/>
        <v>5</v>
      </c>
      <c r="G132" s="3">
        <f>IF(E132&gt;=20,2000,1900) + D132</f>
        <v>1994</v>
      </c>
      <c r="H132">
        <f t="shared" si="17"/>
        <v>11</v>
      </c>
      <c r="I132" s="4">
        <f t="shared" si="18"/>
        <v>5</v>
      </c>
      <c r="J132">
        <f t="shared" si="19"/>
        <v>19941105</v>
      </c>
      <c r="K132" t="str">
        <f t="shared" si="20"/>
        <v>05.11.1994</v>
      </c>
    </row>
    <row r="133" spans="1:11" x14ac:dyDescent="0.25">
      <c r="A133" s="4" t="s">
        <v>159</v>
      </c>
      <c r="B133" t="s">
        <v>7</v>
      </c>
      <c r="C133" t="s">
        <v>4</v>
      </c>
      <c r="D133" s="3">
        <f t="shared" si="14"/>
        <v>97</v>
      </c>
      <c r="E133" s="4">
        <f t="shared" si="15"/>
        <v>7</v>
      </c>
      <c r="F133" s="4">
        <f t="shared" si="16"/>
        <v>3</v>
      </c>
      <c r="G133" s="3">
        <f>IF(E133&gt;=20,2000,1900) + D133</f>
        <v>1997</v>
      </c>
      <c r="H133">
        <f t="shared" si="17"/>
        <v>7</v>
      </c>
      <c r="I133" s="4">
        <f t="shared" si="18"/>
        <v>3</v>
      </c>
      <c r="J133">
        <f t="shared" si="19"/>
        <v>19970703</v>
      </c>
      <c r="K133" t="str">
        <f t="shared" si="20"/>
        <v>03.07.1997</v>
      </c>
    </row>
    <row r="134" spans="1:11" x14ac:dyDescent="0.25">
      <c r="A134" s="4" t="s">
        <v>160</v>
      </c>
      <c r="B134" t="s">
        <v>3</v>
      </c>
      <c r="C134" t="s">
        <v>4</v>
      </c>
      <c r="D134" s="3">
        <f t="shared" si="14"/>
        <v>68</v>
      </c>
      <c r="E134" s="4">
        <f t="shared" si="15"/>
        <v>2</v>
      </c>
      <c r="F134" s="4">
        <f t="shared" si="16"/>
        <v>1</v>
      </c>
      <c r="G134" s="3">
        <f>IF(E134&gt;=20,2000,1900) + D134</f>
        <v>1968</v>
      </c>
      <c r="H134">
        <f t="shared" si="17"/>
        <v>2</v>
      </c>
      <c r="I134" s="4">
        <f t="shared" si="18"/>
        <v>1</v>
      </c>
      <c r="J134">
        <f t="shared" si="19"/>
        <v>19680201</v>
      </c>
      <c r="K134" t="str">
        <f t="shared" si="20"/>
        <v>01.02.1968</v>
      </c>
    </row>
    <row r="135" spans="1:11" x14ac:dyDescent="0.25">
      <c r="A135" s="4" t="s">
        <v>161</v>
      </c>
      <c r="B135" t="s">
        <v>10</v>
      </c>
      <c r="C135" t="s">
        <v>6</v>
      </c>
      <c r="D135" s="3">
        <f t="shared" si="14"/>
        <v>61</v>
      </c>
      <c r="E135" s="4">
        <f t="shared" si="15"/>
        <v>3</v>
      </c>
      <c r="F135" s="4">
        <f t="shared" si="16"/>
        <v>23</v>
      </c>
      <c r="G135" s="3">
        <f>IF(E135&gt;=20,2000,1900) + D135</f>
        <v>1961</v>
      </c>
      <c r="H135">
        <f t="shared" si="17"/>
        <v>3</v>
      </c>
      <c r="I135" s="4">
        <f t="shared" si="18"/>
        <v>23</v>
      </c>
      <c r="J135">
        <f t="shared" si="19"/>
        <v>19610323</v>
      </c>
      <c r="K135" t="str">
        <f t="shared" si="20"/>
        <v>23.03.1961</v>
      </c>
    </row>
    <row r="136" spans="1:11" x14ac:dyDescent="0.25">
      <c r="A136" s="4" t="s">
        <v>162</v>
      </c>
      <c r="B136" t="s">
        <v>15</v>
      </c>
      <c r="C136" t="s">
        <v>6</v>
      </c>
      <c r="D136" s="3">
        <f t="shared" si="14"/>
        <v>89</v>
      </c>
      <c r="E136" s="4">
        <f t="shared" si="15"/>
        <v>5</v>
      </c>
      <c r="F136" s="4">
        <f t="shared" si="16"/>
        <v>18</v>
      </c>
      <c r="G136" s="3">
        <f>IF(E136&gt;=20,2000,1900) + D136</f>
        <v>1989</v>
      </c>
      <c r="H136">
        <f t="shared" si="17"/>
        <v>5</v>
      </c>
      <c r="I136" s="4">
        <f t="shared" si="18"/>
        <v>18</v>
      </c>
      <c r="J136">
        <f t="shared" si="19"/>
        <v>19890518</v>
      </c>
      <c r="K136" t="str">
        <f t="shared" si="20"/>
        <v>18.05.1989</v>
      </c>
    </row>
    <row r="137" spans="1:11" x14ac:dyDescent="0.25">
      <c r="A137" s="4" t="s">
        <v>163</v>
      </c>
      <c r="B137" t="s">
        <v>19</v>
      </c>
      <c r="C137" t="s">
        <v>4</v>
      </c>
      <c r="D137" s="3">
        <f t="shared" si="14"/>
        <v>97</v>
      </c>
      <c r="E137" s="4">
        <f t="shared" si="15"/>
        <v>9</v>
      </c>
      <c r="F137" s="4">
        <f t="shared" si="16"/>
        <v>7</v>
      </c>
      <c r="G137" s="3">
        <f>IF(E137&gt;=20,2000,1900) + D137</f>
        <v>1997</v>
      </c>
      <c r="H137">
        <f t="shared" si="17"/>
        <v>9</v>
      </c>
      <c r="I137" s="4">
        <f t="shared" si="18"/>
        <v>7</v>
      </c>
      <c r="J137">
        <f t="shared" si="19"/>
        <v>19970907</v>
      </c>
      <c r="K137" t="str">
        <f t="shared" si="20"/>
        <v>07.09.1997</v>
      </c>
    </row>
    <row r="138" spans="1:11" x14ac:dyDescent="0.25">
      <c r="A138" s="4" t="s">
        <v>164</v>
      </c>
      <c r="B138" t="s">
        <v>7</v>
      </c>
      <c r="C138" t="s">
        <v>6</v>
      </c>
      <c r="D138" s="3">
        <f t="shared" si="14"/>
        <v>61</v>
      </c>
      <c r="E138" s="4">
        <f t="shared" si="15"/>
        <v>8</v>
      </c>
      <c r="F138" s="4">
        <f t="shared" si="16"/>
        <v>5</v>
      </c>
      <c r="G138" s="3">
        <f>IF(E138&gt;=20,2000,1900) + D138</f>
        <v>1961</v>
      </c>
      <c r="H138">
        <f t="shared" si="17"/>
        <v>8</v>
      </c>
      <c r="I138" s="4">
        <f t="shared" si="18"/>
        <v>5</v>
      </c>
      <c r="J138">
        <f t="shared" si="19"/>
        <v>19610805</v>
      </c>
      <c r="K138" t="str">
        <f t="shared" si="20"/>
        <v>05.08.1961</v>
      </c>
    </row>
    <row r="139" spans="1:11" x14ac:dyDescent="0.25">
      <c r="A139" s="4" t="s">
        <v>165</v>
      </c>
      <c r="B139" t="s">
        <v>18</v>
      </c>
      <c r="C139" t="s">
        <v>6</v>
      </c>
      <c r="D139" s="3">
        <f t="shared" si="14"/>
        <v>66</v>
      </c>
      <c r="E139" s="4">
        <f t="shared" si="15"/>
        <v>2</v>
      </c>
      <c r="F139" s="4">
        <f t="shared" si="16"/>
        <v>22</v>
      </c>
      <c r="G139" s="3">
        <f>IF(E139&gt;=20,2000,1900) + D139</f>
        <v>1966</v>
      </c>
      <c r="H139">
        <f t="shared" si="17"/>
        <v>2</v>
      </c>
      <c r="I139" s="4">
        <f t="shared" si="18"/>
        <v>22</v>
      </c>
      <c r="J139">
        <f t="shared" si="19"/>
        <v>19660222</v>
      </c>
      <c r="K139" t="str">
        <f t="shared" si="20"/>
        <v>22.02.1966</v>
      </c>
    </row>
    <row r="140" spans="1:11" x14ac:dyDescent="0.25">
      <c r="A140" s="4" t="s">
        <v>166</v>
      </c>
      <c r="B140" t="s">
        <v>14</v>
      </c>
      <c r="C140" t="s">
        <v>4</v>
      </c>
      <c r="D140" s="3">
        <f t="shared" si="14"/>
        <v>53</v>
      </c>
      <c r="E140" s="4">
        <f t="shared" si="15"/>
        <v>12</v>
      </c>
      <c r="F140" s="4">
        <f t="shared" si="16"/>
        <v>9</v>
      </c>
      <c r="G140" s="3">
        <f>IF(E140&gt;=20,2000,1900) + D140</f>
        <v>1953</v>
      </c>
      <c r="H140">
        <f t="shared" si="17"/>
        <v>12</v>
      </c>
      <c r="I140" s="4">
        <f t="shared" si="18"/>
        <v>9</v>
      </c>
      <c r="J140">
        <f t="shared" si="19"/>
        <v>19531209</v>
      </c>
      <c r="K140" t="str">
        <f t="shared" si="20"/>
        <v>09.12.1953</v>
      </c>
    </row>
    <row r="141" spans="1:11" x14ac:dyDescent="0.25">
      <c r="A141" s="4" t="s">
        <v>167</v>
      </c>
      <c r="B141" t="s">
        <v>3</v>
      </c>
      <c r="C141" t="s">
        <v>4</v>
      </c>
      <c r="D141" s="3">
        <f t="shared" si="14"/>
        <v>84</v>
      </c>
      <c r="E141" s="4">
        <f t="shared" si="15"/>
        <v>1</v>
      </c>
      <c r="F141" s="4">
        <f t="shared" si="16"/>
        <v>5</v>
      </c>
      <c r="G141" s="3">
        <f>IF(E141&gt;=20,2000,1900) + D141</f>
        <v>1984</v>
      </c>
      <c r="H141">
        <f t="shared" si="17"/>
        <v>1</v>
      </c>
      <c r="I141" s="4">
        <f t="shared" si="18"/>
        <v>5</v>
      </c>
      <c r="J141">
        <f t="shared" si="19"/>
        <v>19840105</v>
      </c>
      <c r="K141" t="str">
        <f t="shared" si="20"/>
        <v>05.01.1984</v>
      </c>
    </row>
    <row r="142" spans="1:11" x14ac:dyDescent="0.25">
      <c r="A142" s="4" t="s">
        <v>168</v>
      </c>
      <c r="B142" t="s">
        <v>13</v>
      </c>
      <c r="C142" t="s">
        <v>6</v>
      </c>
      <c r="D142" s="3">
        <f t="shared" si="14"/>
        <v>94</v>
      </c>
      <c r="E142" s="4">
        <f t="shared" si="15"/>
        <v>11</v>
      </c>
      <c r="F142" s="4">
        <f t="shared" si="16"/>
        <v>16</v>
      </c>
      <c r="G142" s="3">
        <f>IF(E142&gt;=20,2000,1900) + D142</f>
        <v>1994</v>
      </c>
      <c r="H142">
        <f t="shared" si="17"/>
        <v>11</v>
      </c>
      <c r="I142" s="4">
        <f t="shared" si="18"/>
        <v>16</v>
      </c>
      <c r="J142">
        <f t="shared" si="19"/>
        <v>19941116</v>
      </c>
      <c r="K142" t="str">
        <f t="shared" si="20"/>
        <v>16.11.1994</v>
      </c>
    </row>
    <row r="143" spans="1:11" x14ac:dyDescent="0.25">
      <c r="A143" s="4" t="s">
        <v>169</v>
      </c>
      <c r="B143" t="s">
        <v>9</v>
      </c>
      <c r="C143" t="s">
        <v>4</v>
      </c>
      <c r="D143" s="3">
        <f t="shared" si="14"/>
        <v>83</v>
      </c>
      <c r="E143" s="4">
        <f t="shared" si="15"/>
        <v>8</v>
      </c>
      <c r="F143" s="4">
        <f t="shared" si="16"/>
        <v>9</v>
      </c>
      <c r="G143" s="3">
        <f>IF(E143&gt;=20,2000,1900) + D143</f>
        <v>1983</v>
      </c>
      <c r="H143">
        <f t="shared" si="17"/>
        <v>8</v>
      </c>
      <c r="I143" s="4">
        <f t="shared" si="18"/>
        <v>9</v>
      </c>
      <c r="J143">
        <f t="shared" si="19"/>
        <v>19830809</v>
      </c>
      <c r="K143" t="str">
        <f t="shared" si="20"/>
        <v>09.08.1983</v>
      </c>
    </row>
    <row r="144" spans="1:11" x14ac:dyDescent="0.25">
      <c r="A144" s="4" t="s">
        <v>170</v>
      </c>
      <c r="B144" t="s">
        <v>8</v>
      </c>
      <c r="C144" t="s">
        <v>4</v>
      </c>
      <c r="D144" s="3">
        <f t="shared" si="14"/>
        <v>99</v>
      </c>
      <c r="E144" s="4">
        <f t="shared" si="15"/>
        <v>2</v>
      </c>
      <c r="F144" s="4">
        <f t="shared" si="16"/>
        <v>6</v>
      </c>
      <c r="G144" s="3">
        <f>IF(E144&gt;=20,2000,1900) + D144</f>
        <v>1999</v>
      </c>
      <c r="H144">
        <f t="shared" si="17"/>
        <v>2</v>
      </c>
      <c r="I144" s="4">
        <f t="shared" si="18"/>
        <v>6</v>
      </c>
      <c r="J144">
        <f t="shared" si="19"/>
        <v>19990206</v>
      </c>
      <c r="K144" t="str">
        <f t="shared" si="20"/>
        <v>06.02.1999</v>
      </c>
    </row>
    <row r="145" spans="1:11" x14ac:dyDescent="0.25">
      <c r="A145" s="4" t="s">
        <v>171</v>
      </c>
      <c r="B145" t="s">
        <v>17</v>
      </c>
      <c r="C145" t="s">
        <v>6</v>
      </c>
      <c r="D145" s="3">
        <f t="shared" si="14"/>
        <v>99</v>
      </c>
      <c r="E145" s="4">
        <f t="shared" si="15"/>
        <v>11</v>
      </c>
      <c r="F145" s="4">
        <f t="shared" si="16"/>
        <v>13</v>
      </c>
      <c r="G145" s="3">
        <f>IF(E145&gt;=20,2000,1900) + D145</f>
        <v>1999</v>
      </c>
      <c r="H145">
        <f t="shared" si="17"/>
        <v>11</v>
      </c>
      <c r="I145" s="4">
        <f t="shared" si="18"/>
        <v>13</v>
      </c>
      <c r="J145">
        <f t="shared" si="19"/>
        <v>19991113</v>
      </c>
      <c r="K145" t="str">
        <f t="shared" si="20"/>
        <v>13.11.1999</v>
      </c>
    </row>
    <row r="146" spans="1:11" x14ac:dyDescent="0.25">
      <c r="A146" s="4" t="s">
        <v>172</v>
      </c>
      <c r="B146" t="s">
        <v>20</v>
      </c>
      <c r="C146" t="s">
        <v>4</v>
      </c>
      <c r="D146" s="3">
        <f t="shared" si="14"/>
        <v>51</v>
      </c>
      <c r="E146" s="4">
        <f t="shared" si="15"/>
        <v>9</v>
      </c>
      <c r="F146" s="4">
        <f t="shared" si="16"/>
        <v>25</v>
      </c>
      <c r="G146" s="3">
        <f>IF(E146&gt;=20,2000,1900) + D146</f>
        <v>1951</v>
      </c>
      <c r="H146">
        <f t="shared" si="17"/>
        <v>9</v>
      </c>
      <c r="I146" s="4">
        <f t="shared" si="18"/>
        <v>25</v>
      </c>
      <c r="J146">
        <f t="shared" si="19"/>
        <v>19510925</v>
      </c>
      <c r="K146" t="str">
        <f t="shared" si="20"/>
        <v>25.09.1951</v>
      </c>
    </row>
    <row r="147" spans="1:11" x14ac:dyDescent="0.25">
      <c r="A147" s="4" t="s">
        <v>173</v>
      </c>
      <c r="B147" t="s">
        <v>9</v>
      </c>
      <c r="C147" t="s">
        <v>4</v>
      </c>
      <c r="D147" s="3">
        <f t="shared" si="14"/>
        <v>56</v>
      </c>
      <c r="E147" s="4">
        <f t="shared" si="15"/>
        <v>2</v>
      </c>
      <c r="F147" s="4">
        <f t="shared" si="16"/>
        <v>14</v>
      </c>
      <c r="G147" s="3">
        <f>IF(E147&gt;=20,2000,1900) + D147</f>
        <v>1956</v>
      </c>
      <c r="H147">
        <f t="shared" si="17"/>
        <v>2</v>
      </c>
      <c r="I147" s="4">
        <f t="shared" si="18"/>
        <v>14</v>
      </c>
      <c r="J147">
        <f t="shared" si="19"/>
        <v>19560214</v>
      </c>
      <c r="K147" t="str">
        <f t="shared" si="20"/>
        <v>14.02.1956</v>
      </c>
    </row>
    <row r="148" spans="1:11" x14ac:dyDescent="0.25">
      <c r="A148" s="4" t="s">
        <v>174</v>
      </c>
      <c r="B148" t="s">
        <v>13</v>
      </c>
      <c r="C148" t="s">
        <v>4</v>
      </c>
      <c r="D148" s="3">
        <f t="shared" si="14"/>
        <v>61</v>
      </c>
      <c r="E148" s="4">
        <f t="shared" si="15"/>
        <v>5</v>
      </c>
      <c r="F148" s="4">
        <f t="shared" si="16"/>
        <v>23</v>
      </c>
      <c r="G148" s="3">
        <f>IF(E148&gt;=20,2000,1900) + D148</f>
        <v>1961</v>
      </c>
      <c r="H148">
        <f t="shared" si="17"/>
        <v>5</v>
      </c>
      <c r="I148" s="4">
        <f t="shared" si="18"/>
        <v>23</v>
      </c>
      <c r="J148">
        <f t="shared" si="19"/>
        <v>19610523</v>
      </c>
      <c r="K148" t="str">
        <f t="shared" si="20"/>
        <v>23.05.1961</v>
      </c>
    </row>
    <row r="149" spans="1:11" x14ac:dyDescent="0.25">
      <c r="A149" s="4" t="s">
        <v>175</v>
      </c>
      <c r="B149" t="s">
        <v>13</v>
      </c>
      <c r="C149" t="s">
        <v>4</v>
      </c>
      <c r="D149" s="3">
        <f t="shared" si="14"/>
        <v>51</v>
      </c>
      <c r="E149" s="4">
        <f t="shared" si="15"/>
        <v>12</v>
      </c>
      <c r="F149" s="4">
        <f t="shared" si="16"/>
        <v>28</v>
      </c>
      <c r="G149" s="3">
        <f>IF(E149&gt;=20,2000,1900) + D149</f>
        <v>1951</v>
      </c>
      <c r="H149">
        <f t="shared" si="17"/>
        <v>12</v>
      </c>
      <c r="I149" s="4">
        <f t="shared" si="18"/>
        <v>28</v>
      </c>
      <c r="J149">
        <f t="shared" si="19"/>
        <v>19511228</v>
      </c>
      <c r="K149" t="str">
        <f t="shared" si="20"/>
        <v>28.12.1951</v>
      </c>
    </row>
    <row r="150" spans="1:11" x14ac:dyDescent="0.25">
      <c r="A150" s="4" t="s">
        <v>176</v>
      </c>
      <c r="B150" t="s">
        <v>19</v>
      </c>
      <c r="C150" t="s">
        <v>4</v>
      </c>
      <c r="D150" s="3">
        <f t="shared" si="14"/>
        <v>71</v>
      </c>
      <c r="E150" s="4">
        <f t="shared" si="15"/>
        <v>6</v>
      </c>
      <c r="F150" s="4">
        <f t="shared" si="16"/>
        <v>30</v>
      </c>
      <c r="G150" s="3">
        <f>IF(E150&gt;=20,2000,1900) + D150</f>
        <v>1971</v>
      </c>
      <c r="H150">
        <f t="shared" si="17"/>
        <v>6</v>
      </c>
      <c r="I150" s="4">
        <f t="shared" si="18"/>
        <v>30</v>
      </c>
      <c r="J150">
        <f t="shared" si="19"/>
        <v>19710630</v>
      </c>
      <c r="K150" t="str">
        <f t="shared" si="20"/>
        <v>30.06.1971</v>
      </c>
    </row>
    <row r="151" spans="1:11" x14ac:dyDescent="0.25">
      <c r="A151" s="4" t="s">
        <v>177</v>
      </c>
      <c r="B151" t="s">
        <v>5</v>
      </c>
      <c r="C151" t="s">
        <v>6</v>
      </c>
      <c r="D151" s="3">
        <f t="shared" si="14"/>
        <v>74</v>
      </c>
      <c r="E151" s="4">
        <f t="shared" si="15"/>
        <v>7</v>
      </c>
      <c r="F151" s="4">
        <f t="shared" si="16"/>
        <v>22</v>
      </c>
      <c r="G151" s="3">
        <f>IF(E151&gt;=20,2000,1900) + D151</f>
        <v>1974</v>
      </c>
      <c r="H151">
        <f t="shared" si="17"/>
        <v>7</v>
      </c>
      <c r="I151" s="4">
        <f t="shared" si="18"/>
        <v>22</v>
      </c>
      <c r="J151">
        <f t="shared" si="19"/>
        <v>19740722</v>
      </c>
      <c r="K151" t="str">
        <f t="shared" si="20"/>
        <v>22.07.1974</v>
      </c>
    </row>
    <row r="152" spans="1:11" x14ac:dyDescent="0.25">
      <c r="A152" s="4" t="s">
        <v>178</v>
      </c>
      <c r="B152" t="s">
        <v>10</v>
      </c>
      <c r="C152" t="s">
        <v>4</v>
      </c>
      <c r="D152" s="3">
        <f t="shared" si="14"/>
        <v>91</v>
      </c>
      <c r="E152" s="4">
        <f t="shared" si="15"/>
        <v>9</v>
      </c>
      <c r="F152" s="4">
        <f t="shared" si="16"/>
        <v>14</v>
      </c>
      <c r="G152" s="3">
        <f>IF(E152&gt;=20,2000,1900) + D152</f>
        <v>1991</v>
      </c>
      <c r="H152">
        <f t="shared" si="17"/>
        <v>9</v>
      </c>
      <c r="I152" s="4">
        <f t="shared" si="18"/>
        <v>14</v>
      </c>
      <c r="J152">
        <f t="shared" si="19"/>
        <v>19910914</v>
      </c>
      <c r="K152" t="str">
        <f t="shared" si="20"/>
        <v>14.09.1991</v>
      </c>
    </row>
    <row r="153" spans="1:11" x14ac:dyDescent="0.25">
      <c r="A153" s="4" t="s">
        <v>179</v>
      </c>
      <c r="B153" t="s">
        <v>9</v>
      </c>
      <c r="C153" t="s">
        <v>6</v>
      </c>
      <c r="D153" s="3">
        <f t="shared" si="14"/>
        <v>57</v>
      </c>
      <c r="E153" s="4">
        <f t="shared" si="15"/>
        <v>12</v>
      </c>
      <c r="F153" s="4">
        <f t="shared" si="16"/>
        <v>23</v>
      </c>
      <c r="G153" s="3">
        <f>IF(E153&gt;=20,2000,1900) + D153</f>
        <v>1957</v>
      </c>
      <c r="H153">
        <f t="shared" si="17"/>
        <v>12</v>
      </c>
      <c r="I153" s="4">
        <f t="shared" si="18"/>
        <v>23</v>
      </c>
      <c r="J153">
        <f t="shared" si="19"/>
        <v>19571223</v>
      </c>
      <c r="K153" t="str">
        <f t="shared" si="20"/>
        <v>23.12.1957</v>
      </c>
    </row>
    <row r="154" spans="1:11" x14ac:dyDescent="0.25">
      <c r="A154" s="4" t="s">
        <v>180</v>
      </c>
      <c r="B154" t="s">
        <v>7</v>
      </c>
      <c r="C154" t="s">
        <v>6</v>
      </c>
      <c r="D154" s="3">
        <f t="shared" si="14"/>
        <v>99</v>
      </c>
      <c r="E154" s="4">
        <f t="shared" si="15"/>
        <v>4</v>
      </c>
      <c r="F154" s="4">
        <f t="shared" si="16"/>
        <v>14</v>
      </c>
      <c r="G154" s="3">
        <f>IF(E154&gt;=20,2000,1900) + D154</f>
        <v>1999</v>
      </c>
      <c r="H154">
        <f t="shared" si="17"/>
        <v>4</v>
      </c>
      <c r="I154" s="4">
        <f t="shared" si="18"/>
        <v>14</v>
      </c>
      <c r="J154">
        <f t="shared" si="19"/>
        <v>19990414</v>
      </c>
      <c r="K154" t="str">
        <f t="shared" si="20"/>
        <v>14.04.1999</v>
      </c>
    </row>
    <row r="155" spans="1:11" x14ac:dyDescent="0.25">
      <c r="A155" s="4" t="s">
        <v>181</v>
      </c>
      <c r="B155" t="s">
        <v>18</v>
      </c>
      <c r="C155" t="s">
        <v>4</v>
      </c>
      <c r="D155" s="3">
        <f t="shared" si="14"/>
        <v>67</v>
      </c>
      <c r="E155" s="4">
        <f t="shared" si="15"/>
        <v>10</v>
      </c>
      <c r="F155" s="4">
        <f t="shared" si="16"/>
        <v>3</v>
      </c>
      <c r="G155" s="3">
        <f>IF(E155&gt;=20,2000,1900) + D155</f>
        <v>1967</v>
      </c>
      <c r="H155">
        <f t="shared" si="17"/>
        <v>10</v>
      </c>
      <c r="I155" s="4">
        <f t="shared" si="18"/>
        <v>3</v>
      </c>
      <c r="J155">
        <f t="shared" si="19"/>
        <v>19671003</v>
      </c>
      <c r="K155" t="str">
        <f t="shared" si="20"/>
        <v>03.10.1967</v>
      </c>
    </row>
    <row r="156" spans="1:11" x14ac:dyDescent="0.25">
      <c r="A156" s="4" t="s">
        <v>182</v>
      </c>
      <c r="B156" t="s">
        <v>17</v>
      </c>
      <c r="C156" t="s">
        <v>4</v>
      </c>
      <c r="D156" s="3">
        <f t="shared" si="14"/>
        <v>82</v>
      </c>
      <c r="E156" s="4">
        <f t="shared" si="15"/>
        <v>6</v>
      </c>
      <c r="F156" s="4">
        <f t="shared" si="16"/>
        <v>20</v>
      </c>
      <c r="G156" s="3">
        <f>IF(E156&gt;=20,2000,1900) + D156</f>
        <v>1982</v>
      </c>
      <c r="H156">
        <f t="shared" si="17"/>
        <v>6</v>
      </c>
      <c r="I156" s="4">
        <f t="shared" si="18"/>
        <v>20</v>
      </c>
      <c r="J156">
        <f t="shared" si="19"/>
        <v>19820620</v>
      </c>
      <c r="K156" t="str">
        <f t="shared" si="20"/>
        <v>20.06.1982</v>
      </c>
    </row>
    <row r="157" spans="1:11" x14ac:dyDescent="0.25">
      <c r="A157" s="4" t="s">
        <v>183</v>
      </c>
      <c r="B157" t="s">
        <v>11</v>
      </c>
      <c r="C157" t="s">
        <v>4</v>
      </c>
      <c r="D157" s="3">
        <f t="shared" si="14"/>
        <v>57</v>
      </c>
      <c r="E157" s="4">
        <f t="shared" si="15"/>
        <v>12</v>
      </c>
      <c r="F157" s="4">
        <f t="shared" si="16"/>
        <v>20</v>
      </c>
      <c r="G157" s="3">
        <f>IF(E157&gt;=20,2000,1900) + D157</f>
        <v>1957</v>
      </c>
      <c r="H157">
        <f t="shared" si="17"/>
        <v>12</v>
      </c>
      <c r="I157" s="4">
        <f t="shared" si="18"/>
        <v>20</v>
      </c>
      <c r="J157">
        <f t="shared" si="19"/>
        <v>19571220</v>
      </c>
      <c r="K157" t="str">
        <f t="shared" si="20"/>
        <v>20.12.1957</v>
      </c>
    </row>
    <row r="158" spans="1:11" x14ac:dyDescent="0.25">
      <c r="A158" s="4" t="s">
        <v>184</v>
      </c>
      <c r="B158" t="s">
        <v>16</v>
      </c>
      <c r="C158" t="s">
        <v>6</v>
      </c>
      <c r="D158" s="3">
        <f t="shared" si="14"/>
        <v>67</v>
      </c>
      <c r="E158" s="4">
        <f t="shared" si="15"/>
        <v>11</v>
      </c>
      <c r="F158" s="4">
        <f t="shared" si="16"/>
        <v>21</v>
      </c>
      <c r="G158" s="3">
        <f>IF(E158&gt;=20,2000,1900) + D158</f>
        <v>1967</v>
      </c>
      <c r="H158">
        <f t="shared" si="17"/>
        <v>11</v>
      </c>
      <c r="I158" s="4">
        <f t="shared" si="18"/>
        <v>21</v>
      </c>
      <c r="J158">
        <f t="shared" si="19"/>
        <v>19671121</v>
      </c>
      <c r="K158" t="str">
        <f t="shared" si="20"/>
        <v>21.11.1967</v>
      </c>
    </row>
    <row r="159" spans="1:11" x14ac:dyDescent="0.25">
      <c r="A159" s="4" t="s">
        <v>185</v>
      </c>
      <c r="B159" t="s">
        <v>9</v>
      </c>
      <c r="C159" t="s">
        <v>4</v>
      </c>
      <c r="D159" s="3">
        <f t="shared" si="14"/>
        <v>87</v>
      </c>
      <c r="E159" s="4">
        <f t="shared" si="15"/>
        <v>9</v>
      </c>
      <c r="F159" s="4">
        <f t="shared" si="16"/>
        <v>2</v>
      </c>
      <c r="G159" s="3">
        <f>IF(E159&gt;=20,2000,1900) + D159</f>
        <v>1987</v>
      </c>
      <c r="H159">
        <f t="shared" si="17"/>
        <v>9</v>
      </c>
      <c r="I159" s="4">
        <f t="shared" si="18"/>
        <v>2</v>
      </c>
      <c r="J159">
        <f t="shared" si="19"/>
        <v>19870902</v>
      </c>
      <c r="K159" t="str">
        <f t="shared" si="20"/>
        <v>02.09.1987</v>
      </c>
    </row>
    <row r="160" spans="1:11" x14ac:dyDescent="0.25">
      <c r="A160" s="4" t="s">
        <v>186</v>
      </c>
      <c r="B160" t="s">
        <v>7</v>
      </c>
      <c r="C160" t="s">
        <v>6</v>
      </c>
      <c r="D160" s="3">
        <f t="shared" si="14"/>
        <v>61</v>
      </c>
      <c r="E160" s="4">
        <f t="shared" si="15"/>
        <v>3</v>
      </c>
      <c r="F160" s="4">
        <f t="shared" si="16"/>
        <v>24</v>
      </c>
      <c r="G160" s="3">
        <f>IF(E160&gt;=20,2000,1900) + D160</f>
        <v>1961</v>
      </c>
      <c r="H160">
        <f t="shared" si="17"/>
        <v>3</v>
      </c>
      <c r="I160" s="4">
        <f t="shared" si="18"/>
        <v>24</v>
      </c>
      <c r="J160">
        <f t="shared" si="19"/>
        <v>19610324</v>
      </c>
      <c r="K160" t="str">
        <f t="shared" si="20"/>
        <v>24.03.1961</v>
      </c>
    </row>
    <row r="161" spans="1:11" x14ac:dyDescent="0.25">
      <c r="A161" s="4" t="s">
        <v>187</v>
      </c>
      <c r="B161" t="s">
        <v>5</v>
      </c>
      <c r="C161" t="s">
        <v>6</v>
      </c>
      <c r="D161" s="3">
        <f t="shared" si="14"/>
        <v>64</v>
      </c>
      <c r="E161" s="4">
        <f t="shared" si="15"/>
        <v>8</v>
      </c>
      <c r="F161" s="4">
        <f t="shared" si="16"/>
        <v>7</v>
      </c>
      <c r="G161" s="3">
        <f>IF(E161&gt;=20,2000,1900) + D161</f>
        <v>1964</v>
      </c>
      <c r="H161">
        <f t="shared" si="17"/>
        <v>8</v>
      </c>
      <c r="I161" s="4">
        <f t="shared" si="18"/>
        <v>7</v>
      </c>
      <c r="J161">
        <f t="shared" si="19"/>
        <v>19640807</v>
      </c>
      <c r="K161" t="str">
        <f t="shared" si="20"/>
        <v>07.08.1964</v>
      </c>
    </row>
    <row r="162" spans="1:11" x14ac:dyDescent="0.25">
      <c r="A162" s="4" t="s">
        <v>188</v>
      </c>
      <c r="B162" t="s">
        <v>9</v>
      </c>
      <c r="C162" t="s">
        <v>6</v>
      </c>
      <c r="D162" s="3">
        <f t="shared" si="14"/>
        <v>59</v>
      </c>
      <c r="E162" s="4">
        <f t="shared" si="15"/>
        <v>6</v>
      </c>
      <c r="F162" s="4">
        <f t="shared" si="16"/>
        <v>27</v>
      </c>
      <c r="G162" s="3">
        <f>IF(E162&gt;=20,2000,1900) + D162</f>
        <v>1959</v>
      </c>
      <c r="H162">
        <f t="shared" si="17"/>
        <v>6</v>
      </c>
      <c r="I162" s="4">
        <f t="shared" si="18"/>
        <v>27</v>
      </c>
      <c r="J162">
        <f t="shared" si="19"/>
        <v>19590627</v>
      </c>
      <c r="K162" t="str">
        <f t="shared" si="20"/>
        <v>27.06.1959</v>
      </c>
    </row>
    <row r="163" spans="1:11" x14ac:dyDescent="0.25">
      <c r="A163" s="4" t="s">
        <v>189</v>
      </c>
      <c r="B163" t="s">
        <v>20</v>
      </c>
      <c r="C163" t="s">
        <v>6</v>
      </c>
      <c r="D163" s="3">
        <f t="shared" si="14"/>
        <v>65</v>
      </c>
      <c r="E163" s="4">
        <f t="shared" si="15"/>
        <v>4</v>
      </c>
      <c r="F163" s="4">
        <f t="shared" si="16"/>
        <v>6</v>
      </c>
      <c r="G163" s="3">
        <f>IF(E163&gt;=20,2000,1900) + D163</f>
        <v>1965</v>
      </c>
      <c r="H163">
        <f t="shared" si="17"/>
        <v>4</v>
      </c>
      <c r="I163" s="4">
        <f t="shared" si="18"/>
        <v>6</v>
      </c>
      <c r="J163">
        <f t="shared" si="19"/>
        <v>19650406</v>
      </c>
      <c r="K163" t="str">
        <f t="shared" si="20"/>
        <v>06.04.1965</v>
      </c>
    </row>
    <row r="164" spans="1:11" x14ac:dyDescent="0.25">
      <c r="A164" s="4" t="s">
        <v>190</v>
      </c>
      <c r="B164" t="s">
        <v>13</v>
      </c>
      <c r="C164" t="s">
        <v>6</v>
      </c>
      <c r="D164" s="3">
        <f t="shared" si="14"/>
        <v>94</v>
      </c>
      <c r="E164" s="4">
        <f t="shared" si="15"/>
        <v>12</v>
      </c>
      <c r="F164" s="4">
        <f t="shared" si="16"/>
        <v>26</v>
      </c>
      <c r="G164" s="3">
        <f>IF(E164&gt;=20,2000,1900) + D164</f>
        <v>1994</v>
      </c>
      <c r="H164">
        <f t="shared" si="17"/>
        <v>12</v>
      </c>
      <c r="I164" s="4">
        <f t="shared" si="18"/>
        <v>26</v>
      </c>
      <c r="J164">
        <f t="shared" si="19"/>
        <v>19941226</v>
      </c>
      <c r="K164" t="str">
        <f t="shared" si="20"/>
        <v>26.12.1994</v>
      </c>
    </row>
    <row r="165" spans="1:11" x14ac:dyDescent="0.25">
      <c r="A165" s="4" t="s">
        <v>191</v>
      </c>
      <c r="B165" t="s">
        <v>20</v>
      </c>
      <c r="C165" t="s">
        <v>4</v>
      </c>
      <c r="D165" s="3">
        <f t="shared" si="14"/>
        <v>58</v>
      </c>
      <c r="E165" s="4">
        <f t="shared" si="15"/>
        <v>9</v>
      </c>
      <c r="F165" s="4">
        <f t="shared" si="16"/>
        <v>13</v>
      </c>
      <c r="G165" s="3">
        <f>IF(E165&gt;=20,2000,1900) + D165</f>
        <v>1958</v>
      </c>
      <c r="H165">
        <f t="shared" si="17"/>
        <v>9</v>
      </c>
      <c r="I165" s="4">
        <f t="shared" si="18"/>
        <v>13</v>
      </c>
      <c r="J165">
        <f t="shared" si="19"/>
        <v>19580913</v>
      </c>
      <c r="K165" t="str">
        <f t="shared" si="20"/>
        <v>13.09.1958</v>
      </c>
    </row>
    <row r="166" spans="1:11" x14ac:dyDescent="0.25">
      <c r="A166" s="4" t="s">
        <v>192</v>
      </c>
      <c r="B166" t="s">
        <v>7</v>
      </c>
      <c r="C166" t="s">
        <v>4</v>
      </c>
      <c r="D166" s="3">
        <f t="shared" si="14"/>
        <v>73</v>
      </c>
      <c r="E166" s="4">
        <f t="shared" si="15"/>
        <v>11</v>
      </c>
      <c r="F166" s="4">
        <f t="shared" si="16"/>
        <v>23</v>
      </c>
      <c r="G166" s="3">
        <f>IF(E166&gt;=20,2000,1900) + D166</f>
        <v>1973</v>
      </c>
      <c r="H166">
        <f t="shared" si="17"/>
        <v>11</v>
      </c>
      <c r="I166" s="4">
        <f t="shared" si="18"/>
        <v>23</v>
      </c>
      <c r="J166">
        <f t="shared" si="19"/>
        <v>19731123</v>
      </c>
      <c r="K166" t="str">
        <f t="shared" si="20"/>
        <v>23.11.1973</v>
      </c>
    </row>
    <row r="167" spans="1:11" x14ac:dyDescent="0.25">
      <c r="A167" s="4" t="s">
        <v>193</v>
      </c>
      <c r="B167" t="s">
        <v>16</v>
      </c>
      <c r="C167" t="s">
        <v>4</v>
      </c>
      <c r="D167" s="3">
        <f t="shared" si="14"/>
        <v>61</v>
      </c>
      <c r="E167" s="4">
        <f t="shared" si="15"/>
        <v>5</v>
      </c>
      <c r="F167" s="4">
        <f t="shared" si="16"/>
        <v>28</v>
      </c>
      <c r="G167" s="3">
        <f>IF(E167&gt;=20,2000,1900) + D167</f>
        <v>1961</v>
      </c>
      <c r="H167">
        <f t="shared" si="17"/>
        <v>5</v>
      </c>
      <c r="I167" s="4">
        <f t="shared" si="18"/>
        <v>28</v>
      </c>
      <c r="J167">
        <f t="shared" si="19"/>
        <v>19610528</v>
      </c>
      <c r="K167" t="str">
        <f t="shared" si="20"/>
        <v>28.05.1961</v>
      </c>
    </row>
    <row r="168" spans="1:11" x14ac:dyDescent="0.25">
      <c r="A168" s="4" t="s">
        <v>194</v>
      </c>
      <c r="B168" t="s">
        <v>18</v>
      </c>
      <c r="C168" t="s">
        <v>6</v>
      </c>
      <c r="D168" s="3">
        <f t="shared" si="14"/>
        <v>71</v>
      </c>
      <c r="E168" s="4">
        <f t="shared" si="15"/>
        <v>2</v>
      </c>
      <c r="F168" s="4">
        <f t="shared" si="16"/>
        <v>16</v>
      </c>
      <c r="G168" s="3">
        <f>IF(E168&gt;=20,2000,1900) + D168</f>
        <v>1971</v>
      </c>
      <c r="H168">
        <f t="shared" si="17"/>
        <v>2</v>
      </c>
      <c r="I168" s="4">
        <f t="shared" si="18"/>
        <v>16</v>
      </c>
      <c r="J168">
        <f t="shared" si="19"/>
        <v>19710216</v>
      </c>
      <c r="K168" t="str">
        <f t="shared" si="20"/>
        <v>16.02.1971</v>
      </c>
    </row>
    <row r="169" spans="1:11" x14ac:dyDescent="0.25">
      <c r="A169" s="4" t="s">
        <v>195</v>
      </c>
      <c r="B169" t="s">
        <v>15</v>
      </c>
      <c r="C169" t="s">
        <v>6</v>
      </c>
      <c r="D169" s="3">
        <f t="shared" si="14"/>
        <v>56</v>
      </c>
      <c r="E169" s="4">
        <f t="shared" si="15"/>
        <v>8</v>
      </c>
      <c r="F169" s="4">
        <f t="shared" si="16"/>
        <v>22</v>
      </c>
      <c r="G169" s="3">
        <f>IF(E169&gt;=20,2000,1900) + D169</f>
        <v>1956</v>
      </c>
      <c r="H169">
        <f t="shared" si="17"/>
        <v>8</v>
      </c>
      <c r="I169" s="4">
        <f t="shared" si="18"/>
        <v>22</v>
      </c>
      <c r="J169">
        <f t="shared" si="19"/>
        <v>19560822</v>
      </c>
      <c r="K169" t="str">
        <f t="shared" si="20"/>
        <v>22.08.1956</v>
      </c>
    </row>
    <row r="170" spans="1:11" x14ac:dyDescent="0.25">
      <c r="A170" s="4" t="s">
        <v>196</v>
      </c>
      <c r="B170" t="s">
        <v>19</v>
      </c>
      <c r="C170" t="s">
        <v>6</v>
      </c>
      <c r="D170" s="3">
        <f t="shared" si="14"/>
        <v>99</v>
      </c>
      <c r="E170" s="4">
        <f t="shared" si="15"/>
        <v>10</v>
      </c>
      <c r="F170" s="4">
        <f t="shared" si="16"/>
        <v>12</v>
      </c>
      <c r="G170" s="3">
        <f>IF(E170&gt;=20,2000,1900) + D170</f>
        <v>1999</v>
      </c>
      <c r="H170">
        <f t="shared" si="17"/>
        <v>10</v>
      </c>
      <c r="I170" s="4">
        <f t="shared" si="18"/>
        <v>12</v>
      </c>
      <c r="J170">
        <f t="shared" si="19"/>
        <v>19991012</v>
      </c>
      <c r="K170" t="str">
        <f t="shared" si="20"/>
        <v>12.10.1999</v>
      </c>
    </row>
    <row r="171" spans="1:11" x14ac:dyDescent="0.25">
      <c r="A171" s="4" t="s">
        <v>197</v>
      </c>
      <c r="B171" t="s">
        <v>18</v>
      </c>
      <c r="C171" t="s">
        <v>6</v>
      </c>
      <c r="D171" s="3">
        <f t="shared" si="14"/>
        <v>52</v>
      </c>
      <c r="E171" s="4">
        <f t="shared" si="15"/>
        <v>10</v>
      </c>
      <c r="F171" s="4">
        <f t="shared" si="16"/>
        <v>17</v>
      </c>
      <c r="G171" s="3">
        <f>IF(E171&gt;=20,2000,1900) + D171</f>
        <v>1952</v>
      </c>
      <c r="H171">
        <f t="shared" si="17"/>
        <v>10</v>
      </c>
      <c r="I171" s="4">
        <f t="shared" si="18"/>
        <v>17</v>
      </c>
      <c r="J171">
        <f t="shared" si="19"/>
        <v>19521017</v>
      </c>
      <c r="K171" t="str">
        <f t="shared" si="20"/>
        <v>17.10.1952</v>
      </c>
    </row>
    <row r="172" spans="1:11" x14ac:dyDescent="0.25">
      <c r="A172" s="4" t="s">
        <v>198</v>
      </c>
      <c r="B172" t="s">
        <v>11</v>
      </c>
      <c r="C172" t="s">
        <v>6</v>
      </c>
      <c r="D172" s="3">
        <f t="shared" si="14"/>
        <v>86</v>
      </c>
      <c r="E172" s="4">
        <f t="shared" si="15"/>
        <v>9</v>
      </c>
      <c r="F172" s="4">
        <f t="shared" si="16"/>
        <v>16</v>
      </c>
      <c r="G172" s="3">
        <f>IF(E172&gt;=20,2000,1900) + D172</f>
        <v>1986</v>
      </c>
      <c r="H172">
        <f t="shared" si="17"/>
        <v>9</v>
      </c>
      <c r="I172" s="4">
        <f t="shared" si="18"/>
        <v>16</v>
      </c>
      <c r="J172">
        <f t="shared" si="19"/>
        <v>19860916</v>
      </c>
      <c r="K172" t="str">
        <f t="shared" si="20"/>
        <v>16.09.1986</v>
      </c>
    </row>
    <row r="173" spans="1:11" x14ac:dyDescent="0.25">
      <c r="A173" s="4" t="s">
        <v>199</v>
      </c>
      <c r="B173" t="s">
        <v>10</v>
      </c>
      <c r="C173" t="s">
        <v>4</v>
      </c>
      <c r="D173" s="3">
        <f t="shared" si="14"/>
        <v>58</v>
      </c>
      <c r="E173" s="4">
        <f t="shared" si="15"/>
        <v>7</v>
      </c>
      <c r="F173" s="4">
        <f t="shared" si="16"/>
        <v>19</v>
      </c>
      <c r="G173" s="3">
        <f>IF(E173&gt;=20,2000,1900) + D173</f>
        <v>1958</v>
      </c>
      <c r="H173">
        <f t="shared" si="17"/>
        <v>7</v>
      </c>
      <c r="I173" s="4">
        <f t="shared" si="18"/>
        <v>19</v>
      </c>
      <c r="J173">
        <f t="shared" si="19"/>
        <v>19580719</v>
      </c>
      <c r="K173" t="str">
        <f t="shared" si="20"/>
        <v>19.07.1958</v>
      </c>
    </row>
    <row r="174" spans="1:11" x14ac:dyDescent="0.25">
      <c r="A174" s="4" t="s">
        <v>200</v>
      </c>
      <c r="B174" t="s">
        <v>16</v>
      </c>
      <c r="C174" t="s">
        <v>6</v>
      </c>
      <c r="D174" s="3">
        <f t="shared" si="14"/>
        <v>95</v>
      </c>
      <c r="E174" s="4">
        <f t="shared" si="15"/>
        <v>3</v>
      </c>
      <c r="F174" s="4">
        <f t="shared" si="16"/>
        <v>4</v>
      </c>
      <c r="G174" s="3">
        <f>IF(E174&gt;=20,2000,1900) + D174</f>
        <v>1995</v>
      </c>
      <c r="H174">
        <f t="shared" si="17"/>
        <v>3</v>
      </c>
      <c r="I174" s="4">
        <f t="shared" si="18"/>
        <v>4</v>
      </c>
      <c r="J174">
        <f t="shared" si="19"/>
        <v>19950304</v>
      </c>
      <c r="K174" t="str">
        <f t="shared" si="20"/>
        <v>04.03.1995</v>
      </c>
    </row>
    <row r="175" spans="1:11" x14ac:dyDescent="0.25">
      <c r="A175" s="4" t="s">
        <v>201</v>
      </c>
      <c r="B175" t="s">
        <v>13</v>
      </c>
      <c r="C175" t="s">
        <v>6</v>
      </c>
      <c r="D175" s="3">
        <f t="shared" si="14"/>
        <v>91</v>
      </c>
      <c r="E175" s="4">
        <f t="shared" si="15"/>
        <v>11</v>
      </c>
      <c r="F175" s="4">
        <f t="shared" si="16"/>
        <v>3</v>
      </c>
      <c r="G175" s="3">
        <f>IF(E175&gt;=20,2000,1900) + D175</f>
        <v>1991</v>
      </c>
      <c r="H175">
        <f t="shared" si="17"/>
        <v>11</v>
      </c>
      <c r="I175" s="4">
        <f t="shared" si="18"/>
        <v>3</v>
      </c>
      <c r="J175">
        <f t="shared" si="19"/>
        <v>19911103</v>
      </c>
      <c r="K175" t="str">
        <f t="shared" si="20"/>
        <v>03.11.1991</v>
      </c>
    </row>
    <row r="176" spans="1:11" x14ac:dyDescent="0.25">
      <c r="A176" s="4" t="s">
        <v>202</v>
      </c>
      <c r="B176" t="s">
        <v>16</v>
      </c>
      <c r="C176" t="s">
        <v>6</v>
      </c>
      <c r="D176" s="3">
        <f t="shared" si="14"/>
        <v>56</v>
      </c>
      <c r="E176" s="4">
        <f t="shared" si="15"/>
        <v>1</v>
      </c>
      <c r="F176" s="4">
        <f t="shared" si="16"/>
        <v>6</v>
      </c>
      <c r="G176" s="3">
        <f>IF(E176&gt;=20,2000,1900) + D176</f>
        <v>1956</v>
      </c>
      <c r="H176">
        <f t="shared" si="17"/>
        <v>1</v>
      </c>
      <c r="I176" s="4">
        <f t="shared" si="18"/>
        <v>6</v>
      </c>
      <c r="J176">
        <f t="shared" si="19"/>
        <v>19560106</v>
      </c>
      <c r="K176" t="str">
        <f t="shared" si="20"/>
        <v>06.01.1956</v>
      </c>
    </row>
    <row r="177" spans="1:11" x14ac:dyDescent="0.25">
      <c r="A177" s="4" t="s">
        <v>203</v>
      </c>
      <c r="B177" t="s">
        <v>18</v>
      </c>
      <c r="C177" t="s">
        <v>4</v>
      </c>
      <c r="D177" s="3">
        <f t="shared" si="14"/>
        <v>75</v>
      </c>
      <c r="E177" s="4">
        <f t="shared" si="15"/>
        <v>6</v>
      </c>
      <c r="F177" s="4">
        <f t="shared" si="16"/>
        <v>27</v>
      </c>
      <c r="G177" s="3">
        <f>IF(E177&gt;=20,2000,1900) + D177</f>
        <v>1975</v>
      </c>
      <c r="H177">
        <f t="shared" si="17"/>
        <v>6</v>
      </c>
      <c r="I177" s="4">
        <f t="shared" si="18"/>
        <v>27</v>
      </c>
      <c r="J177">
        <f t="shared" si="19"/>
        <v>19750627</v>
      </c>
      <c r="K177" t="str">
        <f t="shared" si="20"/>
        <v>27.06.1975</v>
      </c>
    </row>
    <row r="178" spans="1:11" x14ac:dyDescent="0.25">
      <c r="A178" s="4" t="s">
        <v>204</v>
      </c>
      <c r="B178" t="s">
        <v>17</v>
      </c>
      <c r="C178" t="s">
        <v>4</v>
      </c>
      <c r="D178" s="3">
        <f t="shared" si="14"/>
        <v>94</v>
      </c>
      <c r="E178" s="4">
        <f t="shared" si="15"/>
        <v>11</v>
      </c>
      <c r="F178" s="4">
        <f t="shared" si="16"/>
        <v>11</v>
      </c>
      <c r="G178" s="3">
        <f>IF(E178&gt;=20,2000,1900) + D178</f>
        <v>1994</v>
      </c>
      <c r="H178">
        <f t="shared" si="17"/>
        <v>11</v>
      </c>
      <c r="I178" s="4">
        <f t="shared" si="18"/>
        <v>11</v>
      </c>
      <c r="J178">
        <f t="shared" si="19"/>
        <v>19941111</v>
      </c>
      <c r="K178" t="str">
        <f t="shared" si="20"/>
        <v>11.11.1994</v>
      </c>
    </row>
    <row r="179" spans="1:11" x14ac:dyDescent="0.25">
      <c r="A179" s="4" t="s">
        <v>205</v>
      </c>
      <c r="B179" t="s">
        <v>12</v>
      </c>
      <c r="C179" t="s">
        <v>6</v>
      </c>
      <c r="D179" s="3">
        <f t="shared" si="14"/>
        <v>81</v>
      </c>
      <c r="E179" s="4">
        <f t="shared" si="15"/>
        <v>2</v>
      </c>
      <c r="F179" s="4">
        <f t="shared" si="16"/>
        <v>15</v>
      </c>
      <c r="G179" s="3">
        <f>IF(E179&gt;=20,2000,1900) + D179</f>
        <v>1981</v>
      </c>
      <c r="H179">
        <f t="shared" si="17"/>
        <v>2</v>
      </c>
      <c r="I179" s="4">
        <f t="shared" si="18"/>
        <v>15</v>
      </c>
      <c r="J179">
        <f t="shared" si="19"/>
        <v>19810215</v>
      </c>
      <c r="K179" t="str">
        <f t="shared" si="20"/>
        <v>15.02.1981</v>
      </c>
    </row>
    <row r="180" spans="1:11" x14ac:dyDescent="0.25">
      <c r="A180" s="4" t="s">
        <v>206</v>
      </c>
      <c r="B180" t="s">
        <v>11</v>
      </c>
      <c r="C180" t="s">
        <v>6</v>
      </c>
      <c r="D180" s="3">
        <f t="shared" si="14"/>
        <v>90</v>
      </c>
      <c r="E180" s="4">
        <f t="shared" si="15"/>
        <v>10</v>
      </c>
      <c r="F180" s="4">
        <f t="shared" si="16"/>
        <v>31</v>
      </c>
      <c r="G180" s="3">
        <f>IF(E180&gt;=20,2000,1900) + D180</f>
        <v>1990</v>
      </c>
      <c r="H180">
        <f t="shared" si="17"/>
        <v>10</v>
      </c>
      <c r="I180" s="4">
        <f t="shared" si="18"/>
        <v>31</v>
      </c>
      <c r="J180">
        <f t="shared" si="19"/>
        <v>19901031</v>
      </c>
      <c r="K180" t="str">
        <f t="shared" si="20"/>
        <v>31.10.1990</v>
      </c>
    </row>
    <row r="181" spans="1:11" x14ac:dyDescent="0.25">
      <c r="A181" s="4" t="s">
        <v>207</v>
      </c>
      <c r="B181" t="s">
        <v>11</v>
      </c>
      <c r="C181" t="s">
        <v>6</v>
      </c>
      <c r="D181" s="3">
        <f t="shared" si="14"/>
        <v>72</v>
      </c>
      <c r="E181" s="4">
        <f t="shared" si="15"/>
        <v>3</v>
      </c>
      <c r="F181" s="4">
        <f t="shared" si="16"/>
        <v>31</v>
      </c>
      <c r="G181" s="3">
        <f>IF(E181&gt;=20,2000,1900) + D181</f>
        <v>1972</v>
      </c>
      <c r="H181">
        <f t="shared" si="17"/>
        <v>3</v>
      </c>
      <c r="I181" s="4">
        <f t="shared" si="18"/>
        <v>31</v>
      </c>
      <c r="J181">
        <f t="shared" si="19"/>
        <v>19720331</v>
      </c>
      <c r="K181" t="str">
        <f t="shared" si="20"/>
        <v>31.03.1972</v>
      </c>
    </row>
    <row r="182" spans="1:11" x14ac:dyDescent="0.25">
      <c r="A182" s="4" t="s">
        <v>208</v>
      </c>
      <c r="B182" t="s">
        <v>16</v>
      </c>
      <c r="C182" t="s">
        <v>6</v>
      </c>
      <c r="D182" s="3">
        <f t="shared" si="14"/>
        <v>90</v>
      </c>
      <c r="E182" s="4">
        <f t="shared" si="15"/>
        <v>1</v>
      </c>
      <c r="F182" s="4">
        <f t="shared" si="16"/>
        <v>4</v>
      </c>
      <c r="G182" s="3">
        <f>IF(E182&gt;=20,2000,1900) + D182</f>
        <v>1990</v>
      </c>
      <c r="H182">
        <f t="shared" si="17"/>
        <v>1</v>
      </c>
      <c r="I182" s="4">
        <f t="shared" si="18"/>
        <v>4</v>
      </c>
      <c r="J182">
        <f t="shared" si="19"/>
        <v>19900104</v>
      </c>
      <c r="K182" t="str">
        <f t="shared" si="20"/>
        <v>04.01.1990</v>
      </c>
    </row>
    <row r="183" spans="1:11" x14ac:dyDescent="0.25">
      <c r="A183" s="4" t="s">
        <v>209</v>
      </c>
      <c r="B183" t="s">
        <v>7</v>
      </c>
      <c r="C183" t="s">
        <v>4</v>
      </c>
      <c r="D183" s="3">
        <f t="shared" si="14"/>
        <v>93</v>
      </c>
      <c r="E183" s="4">
        <f t="shared" si="15"/>
        <v>10</v>
      </c>
      <c r="F183" s="4">
        <f t="shared" si="16"/>
        <v>11</v>
      </c>
      <c r="G183" s="3">
        <f>IF(E183&gt;=20,2000,1900) + D183</f>
        <v>1993</v>
      </c>
      <c r="H183">
        <f t="shared" si="17"/>
        <v>10</v>
      </c>
      <c r="I183" s="4">
        <f t="shared" si="18"/>
        <v>11</v>
      </c>
      <c r="J183">
        <f t="shared" si="19"/>
        <v>19931011</v>
      </c>
      <c r="K183" t="str">
        <f t="shared" si="20"/>
        <v>11.10.1993</v>
      </c>
    </row>
    <row r="184" spans="1:11" x14ac:dyDescent="0.25">
      <c r="A184" s="4" t="s">
        <v>210</v>
      </c>
      <c r="B184" t="s">
        <v>20</v>
      </c>
      <c r="C184" t="s">
        <v>4</v>
      </c>
      <c r="D184" s="3">
        <f t="shared" si="14"/>
        <v>96</v>
      </c>
      <c r="E184" s="4">
        <f t="shared" si="15"/>
        <v>9</v>
      </c>
      <c r="F184" s="4">
        <f t="shared" si="16"/>
        <v>15</v>
      </c>
      <c r="G184" s="3">
        <f>IF(E184&gt;=20,2000,1900) + D184</f>
        <v>1996</v>
      </c>
      <c r="H184">
        <f t="shared" si="17"/>
        <v>9</v>
      </c>
      <c r="I184" s="4">
        <f t="shared" si="18"/>
        <v>15</v>
      </c>
      <c r="J184">
        <f t="shared" si="19"/>
        <v>19960915</v>
      </c>
      <c r="K184" t="str">
        <f t="shared" si="20"/>
        <v>15.09.1996</v>
      </c>
    </row>
    <row r="185" spans="1:11" x14ac:dyDescent="0.25">
      <c r="A185" s="4" t="s">
        <v>211</v>
      </c>
      <c r="B185" t="s">
        <v>15</v>
      </c>
      <c r="C185" t="s">
        <v>4</v>
      </c>
      <c r="D185" s="3">
        <f t="shared" si="14"/>
        <v>65</v>
      </c>
      <c r="E185" s="4">
        <f t="shared" si="15"/>
        <v>1</v>
      </c>
      <c r="F185" s="4">
        <f t="shared" si="16"/>
        <v>10</v>
      </c>
      <c r="G185" s="3">
        <f>IF(E185&gt;=20,2000,1900) + D185</f>
        <v>1965</v>
      </c>
      <c r="H185">
        <f t="shared" si="17"/>
        <v>1</v>
      </c>
      <c r="I185" s="4">
        <f t="shared" si="18"/>
        <v>10</v>
      </c>
      <c r="J185">
        <f t="shared" si="19"/>
        <v>19650110</v>
      </c>
      <c r="K185" t="str">
        <f t="shared" si="20"/>
        <v>10.01.1965</v>
      </c>
    </row>
    <row r="186" spans="1:11" x14ac:dyDescent="0.25">
      <c r="A186" s="4" t="s">
        <v>212</v>
      </c>
      <c r="B186" t="s">
        <v>9</v>
      </c>
      <c r="C186" t="s">
        <v>6</v>
      </c>
      <c r="D186" s="3">
        <f t="shared" si="14"/>
        <v>53</v>
      </c>
      <c r="E186" s="4">
        <f t="shared" si="15"/>
        <v>12</v>
      </c>
      <c r="F186" s="4">
        <f t="shared" si="16"/>
        <v>31</v>
      </c>
      <c r="G186" s="3">
        <f>IF(E186&gt;=20,2000,1900) + D186</f>
        <v>1953</v>
      </c>
      <c r="H186">
        <f t="shared" si="17"/>
        <v>12</v>
      </c>
      <c r="I186" s="4">
        <f t="shared" si="18"/>
        <v>31</v>
      </c>
      <c r="J186">
        <f t="shared" si="19"/>
        <v>19531231</v>
      </c>
      <c r="K186" t="str">
        <f t="shared" si="20"/>
        <v>31.12.1953</v>
      </c>
    </row>
    <row r="187" spans="1:11" x14ac:dyDescent="0.25">
      <c r="A187" s="4" t="s">
        <v>213</v>
      </c>
      <c r="B187" t="s">
        <v>14</v>
      </c>
      <c r="C187" t="s">
        <v>6</v>
      </c>
      <c r="D187" s="3">
        <f t="shared" si="14"/>
        <v>73</v>
      </c>
      <c r="E187" s="4">
        <f t="shared" si="15"/>
        <v>6</v>
      </c>
      <c r="F187" s="4">
        <f t="shared" si="16"/>
        <v>2</v>
      </c>
      <c r="G187" s="3">
        <f>IF(E187&gt;=20,2000,1900) + D187</f>
        <v>1973</v>
      </c>
      <c r="H187">
        <f t="shared" si="17"/>
        <v>6</v>
      </c>
      <c r="I187" s="4">
        <f t="shared" si="18"/>
        <v>2</v>
      </c>
      <c r="J187">
        <f t="shared" si="19"/>
        <v>19730602</v>
      </c>
      <c r="K187" t="str">
        <f t="shared" si="20"/>
        <v>02.06.1973</v>
      </c>
    </row>
    <row r="188" spans="1:11" x14ac:dyDescent="0.25">
      <c r="A188" s="4" t="s">
        <v>214</v>
      </c>
      <c r="B188" t="s">
        <v>14</v>
      </c>
      <c r="C188" t="s">
        <v>4</v>
      </c>
      <c r="D188" s="3">
        <f t="shared" si="14"/>
        <v>77</v>
      </c>
      <c r="E188" s="4">
        <f t="shared" si="15"/>
        <v>12</v>
      </c>
      <c r="F188" s="4">
        <f t="shared" si="16"/>
        <v>19</v>
      </c>
      <c r="G188" s="3">
        <f>IF(E188&gt;=20,2000,1900) + D188</f>
        <v>1977</v>
      </c>
      <c r="H188">
        <f t="shared" si="17"/>
        <v>12</v>
      </c>
      <c r="I188" s="4">
        <f t="shared" si="18"/>
        <v>19</v>
      </c>
      <c r="J188">
        <f t="shared" si="19"/>
        <v>19771219</v>
      </c>
      <c r="K188" t="str">
        <f t="shared" si="20"/>
        <v>19.12.1977</v>
      </c>
    </row>
    <row r="189" spans="1:11" x14ac:dyDescent="0.25">
      <c r="A189" s="4" t="s">
        <v>215</v>
      </c>
      <c r="B189" t="s">
        <v>7</v>
      </c>
      <c r="C189" t="s">
        <v>4</v>
      </c>
      <c r="D189" s="3">
        <f t="shared" si="14"/>
        <v>68</v>
      </c>
      <c r="E189" s="4">
        <f t="shared" si="15"/>
        <v>3</v>
      </c>
      <c r="F189" s="4">
        <f t="shared" si="16"/>
        <v>10</v>
      </c>
      <c r="G189" s="3">
        <f>IF(E189&gt;=20,2000,1900) + D189</f>
        <v>1968</v>
      </c>
      <c r="H189">
        <f t="shared" si="17"/>
        <v>3</v>
      </c>
      <c r="I189" s="4">
        <f t="shared" si="18"/>
        <v>10</v>
      </c>
      <c r="J189">
        <f t="shared" si="19"/>
        <v>19680310</v>
      </c>
      <c r="K189" t="str">
        <f t="shared" si="20"/>
        <v>10.03.1968</v>
      </c>
    </row>
    <row r="190" spans="1:11" x14ac:dyDescent="0.25">
      <c r="A190" s="4" t="s">
        <v>216</v>
      </c>
      <c r="B190" t="s">
        <v>16</v>
      </c>
      <c r="C190" t="s">
        <v>6</v>
      </c>
      <c r="D190" s="3">
        <f t="shared" si="14"/>
        <v>98</v>
      </c>
      <c r="E190" s="4">
        <f t="shared" si="15"/>
        <v>10</v>
      </c>
      <c r="F190" s="4">
        <f t="shared" si="16"/>
        <v>6</v>
      </c>
      <c r="G190" s="3">
        <f>IF(E190&gt;=20,2000,1900) + D190</f>
        <v>1998</v>
      </c>
      <c r="H190">
        <f t="shared" si="17"/>
        <v>10</v>
      </c>
      <c r="I190" s="4">
        <f t="shared" si="18"/>
        <v>6</v>
      </c>
      <c r="J190">
        <f t="shared" si="19"/>
        <v>19981006</v>
      </c>
      <c r="K190" t="str">
        <f t="shared" si="20"/>
        <v>06.10.1998</v>
      </c>
    </row>
    <row r="191" spans="1:11" x14ac:dyDescent="0.25">
      <c r="A191" s="4" t="s">
        <v>217</v>
      </c>
      <c r="B191" t="s">
        <v>12</v>
      </c>
      <c r="C191" t="s">
        <v>4</v>
      </c>
      <c r="D191" s="3">
        <f t="shared" si="14"/>
        <v>76</v>
      </c>
      <c r="E191" s="4">
        <f t="shared" si="15"/>
        <v>7</v>
      </c>
      <c r="F191" s="4">
        <f t="shared" si="16"/>
        <v>29</v>
      </c>
      <c r="G191" s="3">
        <f>IF(E191&gt;=20,2000,1900) + D191</f>
        <v>1976</v>
      </c>
      <c r="H191">
        <f t="shared" si="17"/>
        <v>7</v>
      </c>
      <c r="I191" s="4">
        <f t="shared" si="18"/>
        <v>29</v>
      </c>
      <c r="J191">
        <f t="shared" si="19"/>
        <v>19760729</v>
      </c>
      <c r="K191" t="str">
        <f t="shared" si="20"/>
        <v>29.07.1976</v>
      </c>
    </row>
    <row r="192" spans="1:11" x14ac:dyDescent="0.25">
      <c r="A192" s="4" t="s">
        <v>218</v>
      </c>
      <c r="B192" t="s">
        <v>15</v>
      </c>
      <c r="C192" t="s">
        <v>4</v>
      </c>
      <c r="D192" s="3">
        <f t="shared" si="14"/>
        <v>55</v>
      </c>
      <c r="E192" s="4">
        <f t="shared" si="15"/>
        <v>4</v>
      </c>
      <c r="F192" s="4">
        <f t="shared" si="16"/>
        <v>14</v>
      </c>
      <c r="G192" s="3">
        <f>IF(E192&gt;=20,2000,1900) + D192</f>
        <v>1955</v>
      </c>
      <c r="H192">
        <f t="shared" si="17"/>
        <v>4</v>
      </c>
      <c r="I192" s="4">
        <f t="shared" si="18"/>
        <v>14</v>
      </c>
      <c r="J192">
        <f t="shared" si="19"/>
        <v>19550414</v>
      </c>
      <c r="K192" t="str">
        <f t="shared" si="20"/>
        <v>14.04.1955</v>
      </c>
    </row>
    <row r="193" spans="1:11" x14ac:dyDescent="0.25">
      <c r="A193" s="4" t="s">
        <v>219</v>
      </c>
      <c r="B193" t="s">
        <v>13</v>
      </c>
      <c r="C193" t="s">
        <v>4</v>
      </c>
      <c r="D193" s="3">
        <f t="shared" si="14"/>
        <v>96</v>
      </c>
      <c r="E193" s="4">
        <f t="shared" si="15"/>
        <v>1</v>
      </c>
      <c r="F193" s="4">
        <f t="shared" si="16"/>
        <v>6</v>
      </c>
      <c r="G193" s="3">
        <f>IF(E193&gt;=20,2000,1900) + D193</f>
        <v>1996</v>
      </c>
      <c r="H193">
        <f t="shared" si="17"/>
        <v>1</v>
      </c>
      <c r="I193" s="4">
        <f t="shared" si="18"/>
        <v>6</v>
      </c>
      <c r="J193">
        <f t="shared" si="19"/>
        <v>19960106</v>
      </c>
      <c r="K193" t="str">
        <f t="shared" si="20"/>
        <v>06.01.1996</v>
      </c>
    </row>
    <row r="194" spans="1:11" x14ac:dyDescent="0.25">
      <c r="A194" s="4" t="s">
        <v>220</v>
      </c>
      <c r="B194" t="s">
        <v>14</v>
      </c>
      <c r="C194" t="s">
        <v>6</v>
      </c>
      <c r="D194" s="3">
        <f t="shared" si="14"/>
        <v>84</v>
      </c>
      <c r="E194" s="4">
        <f t="shared" si="15"/>
        <v>3</v>
      </c>
      <c r="F194" s="4">
        <f t="shared" si="16"/>
        <v>23</v>
      </c>
      <c r="G194" s="3">
        <f>IF(E194&gt;=20,2000,1900) + D194</f>
        <v>1984</v>
      </c>
      <c r="H194">
        <f t="shared" si="17"/>
        <v>3</v>
      </c>
      <c r="I194" s="4">
        <f t="shared" si="18"/>
        <v>23</v>
      </c>
      <c r="J194">
        <f t="shared" si="19"/>
        <v>19840323</v>
      </c>
      <c r="K194" t="str">
        <f t="shared" si="20"/>
        <v>23.03.1984</v>
      </c>
    </row>
    <row r="195" spans="1:11" x14ac:dyDescent="0.25">
      <c r="A195" s="4" t="s">
        <v>221</v>
      </c>
      <c r="B195" t="s">
        <v>10</v>
      </c>
      <c r="C195" t="s">
        <v>4</v>
      </c>
      <c r="D195" s="3">
        <f t="shared" ref="D195:D258" si="21">MID(A195,1,2)*1</f>
        <v>50</v>
      </c>
      <c r="E195" s="4">
        <f t="shared" ref="E195:E258" si="22">MID(A195,3,2)*1</f>
        <v>10</v>
      </c>
      <c r="F195" s="4">
        <f t="shared" ref="F195:F258" si="23">MID(A195,5,2)*1</f>
        <v>14</v>
      </c>
      <c r="G195" s="3">
        <f>IF(E195&gt;=20,2000,1900) + D195</f>
        <v>1950</v>
      </c>
      <c r="H195">
        <f t="shared" ref="H195:H258" si="24">IF(E195&gt;=20,E195-20,E195)</f>
        <v>10</v>
      </c>
      <c r="I195" s="4">
        <f t="shared" ref="I195:I258" si="25">F195</f>
        <v>14</v>
      </c>
      <c r="J195">
        <f t="shared" ref="J195:J258" si="26">CONCATENATE(G195,IF(LEN(E195)=1,CONCATENATE("0",E195),E195),IF(LEN(F195)=1,CONCATENATE("0",F195),F195))*1</f>
        <v>19501014</v>
      </c>
      <c r="K195" t="str">
        <f t="shared" ref="K195:K258" si="27">CONCATENATE(RIGHT(J195,2),".",MID(J195,5,2),".",LEFT(J195,4))</f>
        <v>14.10.1950</v>
      </c>
    </row>
    <row r="196" spans="1:11" x14ac:dyDescent="0.25">
      <c r="A196" s="4" t="s">
        <v>222</v>
      </c>
      <c r="B196" t="s">
        <v>19</v>
      </c>
      <c r="C196" t="s">
        <v>6</v>
      </c>
      <c r="D196" s="3">
        <f t="shared" si="21"/>
        <v>54</v>
      </c>
      <c r="E196" s="4">
        <f t="shared" si="22"/>
        <v>12</v>
      </c>
      <c r="F196" s="4">
        <f t="shared" si="23"/>
        <v>22</v>
      </c>
      <c r="G196" s="3">
        <f>IF(E196&gt;=20,2000,1900) + D196</f>
        <v>1954</v>
      </c>
      <c r="H196">
        <f t="shared" si="24"/>
        <v>12</v>
      </c>
      <c r="I196" s="4">
        <f t="shared" si="25"/>
        <v>22</v>
      </c>
      <c r="J196">
        <f t="shared" si="26"/>
        <v>19541222</v>
      </c>
      <c r="K196" t="str">
        <f t="shared" si="27"/>
        <v>22.12.1954</v>
      </c>
    </row>
    <row r="197" spans="1:11" x14ac:dyDescent="0.25">
      <c r="A197" s="4" t="s">
        <v>223</v>
      </c>
      <c r="B197" t="s">
        <v>12</v>
      </c>
      <c r="C197" t="s">
        <v>4</v>
      </c>
      <c r="D197" s="3">
        <f t="shared" si="21"/>
        <v>67</v>
      </c>
      <c r="E197" s="4">
        <f t="shared" si="22"/>
        <v>9</v>
      </c>
      <c r="F197" s="4">
        <f t="shared" si="23"/>
        <v>24</v>
      </c>
      <c r="G197" s="3">
        <f>IF(E197&gt;=20,2000,1900) + D197</f>
        <v>1967</v>
      </c>
      <c r="H197">
        <f t="shared" si="24"/>
        <v>9</v>
      </c>
      <c r="I197" s="4">
        <f t="shared" si="25"/>
        <v>24</v>
      </c>
      <c r="J197">
        <f t="shared" si="26"/>
        <v>19670924</v>
      </c>
      <c r="K197" t="str">
        <f t="shared" si="27"/>
        <v>24.09.1967</v>
      </c>
    </row>
    <row r="198" spans="1:11" x14ac:dyDescent="0.25">
      <c r="A198" s="4" t="s">
        <v>224</v>
      </c>
      <c r="B198" t="s">
        <v>7</v>
      </c>
      <c r="C198" t="s">
        <v>4</v>
      </c>
      <c r="D198" s="3">
        <f t="shared" si="21"/>
        <v>67</v>
      </c>
      <c r="E198" s="4">
        <f t="shared" si="22"/>
        <v>2</v>
      </c>
      <c r="F198" s="4">
        <f t="shared" si="23"/>
        <v>23</v>
      </c>
      <c r="G198" s="3">
        <f>IF(E198&gt;=20,2000,1900) + D198</f>
        <v>1967</v>
      </c>
      <c r="H198">
        <f t="shared" si="24"/>
        <v>2</v>
      </c>
      <c r="I198" s="4">
        <f t="shared" si="25"/>
        <v>23</v>
      </c>
      <c r="J198">
        <f t="shared" si="26"/>
        <v>19670223</v>
      </c>
      <c r="K198" t="str">
        <f t="shared" si="27"/>
        <v>23.02.1967</v>
      </c>
    </row>
    <row r="199" spans="1:11" x14ac:dyDescent="0.25">
      <c r="A199" s="4" t="s">
        <v>225</v>
      </c>
      <c r="B199" t="s">
        <v>14</v>
      </c>
      <c r="C199" t="s">
        <v>6</v>
      </c>
      <c r="D199" s="3">
        <f t="shared" si="21"/>
        <v>97</v>
      </c>
      <c r="E199" s="4">
        <f t="shared" si="22"/>
        <v>4</v>
      </c>
      <c r="F199" s="4">
        <f t="shared" si="23"/>
        <v>19</v>
      </c>
      <c r="G199" s="3">
        <f>IF(E199&gt;=20,2000,1900) + D199</f>
        <v>1997</v>
      </c>
      <c r="H199">
        <f t="shared" si="24"/>
        <v>4</v>
      </c>
      <c r="I199" s="4">
        <f t="shared" si="25"/>
        <v>19</v>
      </c>
      <c r="J199">
        <f t="shared" si="26"/>
        <v>19970419</v>
      </c>
      <c r="K199" t="str">
        <f t="shared" si="27"/>
        <v>19.04.1997</v>
      </c>
    </row>
    <row r="200" spans="1:11" x14ac:dyDescent="0.25">
      <c r="A200" s="4" t="s">
        <v>226</v>
      </c>
      <c r="B200" t="s">
        <v>13</v>
      </c>
      <c r="C200" t="s">
        <v>6</v>
      </c>
      <c r="D200" s="3">
        <f t="shared" si="21"/>
        <v>99</v>
      </c>
      <c r="E200" s="4">
        <f t="shared" si="22"/>
        <v>1</v>
      </c>
      <c r="F200" s="4">
        <f t="shared" si="23"/>
        <v>12</v>
      </c>
      <c r="G200" s="3">
        <f>IF(E200&gt;=20,2000,1900) + D200</f>
        <v>1999</v>
      </c>
      <c r="H200">
        <f t="shared" si="24"/>
        <v>1</v>
      </c>
      <c r="I200" s="4">
        <f t="shared" si="25"/>
        <v>12</v>
      </c>
      <c r="J200">
        <f t="shared" si="26"/>
        <v>19990112</v>
      </c>
      <c r="K200" t="str">
        <f t="shared" si="27"/>
        <v>12.01.1999</v>
      </c>
    </row>
    <row r="201" spans="1:11" x14ac:dyDescent="0.25">
      <c r="A201" s="4" t="s">
        <v>227</v>
      </c>
      <c r="B201" t="s">
        <v>11</v>
      </c>
      <c r="C201" t="s">
        <v>6</v>
      </c>
      <c r="D201" s="3">
        <f t="shared" si="21"/>
        <v>57</v>
      </c>
      <c r="E201" s="4">
        <f t="shared" si="22"/>
        <v>7</v>
      </c>
      <c r="F201" s="4">
        <f t="shared" si="23"/>
        <v>12</v>
      </c>
      <c r="G201" s="3">
        <f>IF(E201&gt;=20,2000,1900) + D201</f>
        <v>1957</v>
      </c>
      <c r="H201">
        <f t="shared" si="24"/>
        <v>7</v>
      </c>
      <c r="I201" s="4">
        <f t="shared" si="25"/>
        <v>12</v>
      </c>
      <c r="J201">
        <f t="shared" si="26"/>
        <v>19570712</v>
      </c>
      <c r="K201" t="str">
        <f t="shared" si="27"/>
        <v>12.07.1957</v>
      </c>
    </row>
    <row r="202" spans="1:11" x14ac:dyDescent="0.25">
      <c r="A202" s="4" t="s">
        <v>228</v>
      </c>
      <c r="B202" t="s">
        <v>17</v>
      </c>
      <c r="C202" t="s">
        <v>6</v>
      </c>
      <c r="D202" s="3">
        <f t="shared" si="21"/>
        <v>93</v>
      </c>
      <c r="E202" s="4">
        <f t="shared" si="22"/>
        <v>1</v>
      </c>
      <c r="F202" s="4">
        <f t="shared" si="23"/>
        <v>29</v>
      </c>
      <c r="G202" s="3">
        <f>IF(E202&gt;=20,2000,1900) + D202</f>
        <v>1993</v>
      </c>
      <c r="H202">
        <f t="shared" si="24"/>
        <v>1</v>
      </c>
      <c r="I202" s="4">
        <f t="shared" si="25"/>
        <v>29</v>
      </c>
      <c r="J202">
        <f t="shared" si="26"/>
        <v>19930129</v>
      </c>
      <c r="K202" t="str">
        <f t="shared" si="27"/>
        <v>29.01.1993</v>
      </c>
    </row>
    <row r="203" spans="1:11" x14ac:dyDescent="0.25">
      <c r="A203" s="4" t="s">
        <v>229</v>
      </c>
      <c r="B203" t="s">
        <v>9</v>
      </c>
      <c r="C203" t="s">
        <v>4</v>
      </c>
      <c r="D203" s="3">
        <f t="shared" si="21"/>
        <v>59</v>
      </c>
      <c r="E203" s="4">
        <f t="shared" si="22"/>
        <v>8</v>
      </c>
      <c r="F203" s="4">
        <f t="shared" si="23"/>
        <v>27</v>
      </c>
      <c r="G203" s="3">
        <f>IF(E203&gt;=20,2000,1900) + D203</f>
        <v>1959</v>
      </c>
      <c r="H203">
        <f t="shared" si="24"/>
        <v>8</v>
      </c>
      <c r="I203" s="4">
        <f t="shared" si="25"/>
        <v>27</v>
      </c>
      <c r="J203">
        <f t="shared" si="26"/>
        <v>19590827</v>
      </c>
      <c r="K203" t="str">
        <f t="shared" si="27"/>
        <v>27.08.1959</v>
      </c>
    </row>
    <row r="204" spans="1:11" x14ac:dyDescent="0.25">
      <c r="A204" s="4" t="s">
        <v>230</v>
      </c>
      <c r="B204" t="s">
        <v>20</v>
      </c>
      <c r="C204" t="s">
        <v>4</v>
      </c>
      <c r="D204" s="3">
        <f t="shared" si="21"/>
        <v>81</v>
      </c>
      <c r="E204" s="4">
        <f t="shared" si="22"/>
        <v>9</v>
      </c>
      <c r="F204" s="4">
        <f t="shared" si="23"/>
        <v>16</v>
      </c>
      <c r="G204" s="3">
        <f>IF(E204&gt;=20,2000,1900) + D204</f>
        <v>1981</v>
      </c>
      <c r="H204">
        <f t="shared" si="24"/>
        <v>9</v>
      </c>
      <c r="I204" s="4">
        <f t="shared" si="25"/>
        <v>16</v>
      </c>
      <c r="J204">
        <f t="shared" si="26"/>
        <v>19810916</v>
      </c>
      <c r="K204" t="str">
        <f t="shared" si="27"/>
        <v>16.09.1981</v>
      </c>
    </row>
    <row r="205" spans="1:11" x14ac:dyDescent="0.25">
      <c r="A205" s="4" t="s">
        <v>231</v>
      </c>
      <c r="B205" t="s">
        <v>14</v>
      </c>
      <c r="C205" t="s">
        <v>4</v>
      </c>
      <c r="D205" s="3">
        <f t="shared" si="21"/>
        <v>71</v>
      </c>
      <c r="E205" s="4">
        <f t="shared" si="22"/>
        <v>2</v>
      </c>
      <c r="F205" s="4">
        <f t="shared" si="23"/>
        <v>28</v>
      </c>
      <c r="G205" s="3">
        <f>IF(E205&gt;=20,2000,1900) + D205</f>
        <v>1971</v>
      </c>
      <c r="H205">
        <f t="shared" si="24"/>
        <v>2</v>
      </c>
      <c r="I205" s="4">
        <f t="shared" si="25"/>
        <v>28</v>
      </c>
      <c r="J205">
        <f t="shared" si="26"/>
        <v>19710228</v>
      </c>
      <c r="K205" t="str">
        <f t="shared" si="27"/>
        <v>28.02.1971</v>
      </c>
    </row>
    <row r="206" spans="1:11" x14ac:dyDescent="0.25">
      <c r="A206" s="4" t="s">
        <v>232</v>
      </c>
      <c r="B206" t="s">
        <v>9</v>
      </c>
      <c r="C206" t="s">
        <v>6</v>
      </c>
      <c r="D206" s="3">
        <f t="shared" si="21"/>
        <v>74</v>
      </c>
      <c r="E206" s="4">
        <f t="shared" si="22"/>
        <v>12</v>
      </c>
      <c r="F206" s="4">
        <f t="shared" si="23"/>
        <v>30</v>
      </c>
      <c r="G206" s="3">
        <f>IF(E206&gt;=20,2000,1900) + D206</f>
        <v>1974</v>
      </c>
      <c r="H206">
        <f t="shared" si="24"/>
        <v>12</v>
      </c>
      <c r="I206" s="4">
        <f t="shared" si="25"/>
        <v>30</v>
      </c>
      <c r="J206">
        <f t="shared" si="26"/>
        <v>19741230</v>
      </c>
      <c r="K206" t="str">
        <f t="shared" si="27"/>
        <v>30.12.1974</v>
      </c>
    </row>
    <row r="207" spans="1:11" x14ac:dyDescent="0.25">
      <c r="A207" s="4" t="s">
        <v>233</v>
      </c>
      <c r="B207" t="s">
        <v>20</v>
      </c>
      <c r="C207" t="s">
        <v>6</v>
      </c>
      <c r="D207" s="3">
        <f t="shared" si="21"/>
        <v>88</v>
      </c>
      <c r="E207" s="4">
        <f t="shared" si="22"/>
        <v>6</v>
      </c>
      <c r="F207" s="4">
        <f t="shared" si="23"/>
        <v>4</v>
      </c>
      <c r="G207" s="3">
        <f>IF(E207&gt;=20,2000,1900) + D207</f>
        <v>1988</v>
      </c>
      <c r="H207">
        <f t="shared" si="24"/>
        <v>6</v>
      </c>
      <c r="I207" s="4">
        <f t="shared" si="25"/>
        <v>4</v>
      </c>
      <c r="J207">
        <f t="shared" si="26"/>
        <v>19880604</v>
      </c>
      <c r="K207" t="str">
        <f t="shared" si="27"/>
        <v>04.06.1988</v>
      </c>
    </row>
    <row r="208" spans="1:11" x14ac:dyDescent="0.25">
      <c r="A208" s="4" t="s">
        <v>234</v>
      </c>
      <c r="B208" t="s">
        <v>20</v>
      </c>
      <c r="C208" t="s">
        <v>6</v>
      </c>
      <c r="D208" s="3">
        <f t="shared" si="21"/>
        <v>85</v>
      </c>
      <c r="E208" s="4">
        <f t="shared" si="22"/>
        <v>1</v>
      </c>
      <c r="F208" s="4">
        <f t="shared" si="23"/>
        <v>27</v>
      </c>
      <c r="G208" s="3">
        <f>IF(E208&gt;=20,2000,1900) + D208</f>
        <v>1985</v>
      </c>
      <c r="H208">
        <f t="shared" si="24"/>
        <v>1</v>
      </c>
      <c r="I208" s="4">
        <f t="shared" si="25"/>
        <v>27</v>
      </c>
      <c r="J208">
        <f t="shared" si="26"/>
        <v>19850127</v>
      </c>
      <c r="K208" t="str">
        <f t="shared" si="27"/>
        <v>27.01.1985</v>
      </c>
    </row>
    <row r="209" spans="1:11" x14ac:dyDescent="0.25">
      <c r="A209" s="4" t="s">
        <v>235</v>
      </c>
      <c r="B209" t="s">
        <v>12</v>
      </c>
      <c r="C209" t="s">
        <v>4</v>
      </c>
      <c r="D209" s="3">
        <f t="shared" si="21"/>
        <v>94</v>
      </c>
      <c r="E209" s="4">
        <f t="shared" si="22"/>
        <v>11</v>
      </c>
      <c r="F209" s="4">
        <f t="shared" si="23"/>
        <v>21</v>
      </c>
      <c r="G209" s="3">
        <f>IF(E209&gt;=20,2000,1900) + D209</f>
        <v>1994</v>
      </c>
      <c r="H209">
        <f t="shared" si="24"/>
        <v>11</v>
      </c>
      <c r="I209" s="4">
        <f t="shared" si="25"/>
        <v>21</v>
      </c>
      <c r="J209">
        <f t="shared" si="26"/>
        <v>19941121</v>
      </c>
      <c r="K209" t="str">
        <f t="shared" si="27"/>
        <v>21.11.1994</v>
      </c>
    </row>
    <row r="210" spans="1:11" x14ac:dyDescent="0.25">
      <c r="A210" s="4" t="s">
        <v>236</v>
      </c>
      <c r="B210" t="s">
        <v>12</v>
      </c>
      <c r="C210" t="s">
        <v>4</v>
      </c>
      <c r="D210" s="3">
        <f t="shared" si="21"/>
        <v>68</v>
      </c>
      <c r="E210" s="4">
        <f t="shared" si="22"/>
        <v>9</v>
      </c>
      <c r="F210" s="4">
        <f t="shared" si="23"/>
        <v>16</v>
      </c>
      <c r="G210" s="3">
        <f>IF(E210&gt;=20,2000,1900) + D210</f>
        <v>1968</v>
      </c>
      <c r="H210">
        <f t="shared" si="24"/>
        <v>9</v>
      </c>
      <c r="I210" s="4">
        <f t="shared" si="25"/>
        <v>16</v>
      </c>
      <c r="J210">
        <f t="shared" si="26"/>
        <v>19680916</v>
      </c>
      <c r="K210" t="str">
        <f t="shared" si="27"/>
        <v>16.09.1968</v>
      </c>
    </row>
    <row r="211" spans="1:11" x14ac:dyDescent="0.25">
      <c r="A211" s="4" t="s">
        <v>237</v>
      </c>
      <c r="B211" t="s">
        <v>14</v>
      </c>
      <c r="C211" t="s">
        <v>6</v>
      </c>
      <c r="D211" s="3">
        <f t="shared" si="21"/>
        <v>54</v>
      </c>
      <c r="E211" s="4">
        <f t="shared" si="22"/>
        <v>8</v>
      </c>
      <c r="F211" s="4">
        <f t="shared" si="23"/>
        <v>13</v>
      </c>
      <c r="G211" s="3">
        <f>IF(E211&gt;=20,2000,1900) + D211</f>
        <v>1954</v>
      </c>
      <c r="H211">
        <f t="shared" si="24"/>
        <v>8</v>
      </c>
      <c r="I211" s="4">
        <f t="shared" si="25"/>
        <v>13</v>
      </c>
      <c r="J211">
        <f t="shared" si="26"/>
        <v>19540813</v>
      </c>
      <c r="K211" t="str">
        <f t="shared" si="27"/>
        <v>13.08.1954</v>
      </c>
    </row>
    <row r="212" spans="1:11" x14ac:dyDescent="0.25">
      <c r="A212" s="4" t="s">
        <v>238</v>
      </c>
      <c r="B212" t="s">
        <v>14</v>
      </c>
      <c r="C212" t="s">
        <v>4</v>
      </c>
      <c r="D212" s="3">
        <f t="shared" si="21"/>
        <v>60</v>
      </c>
      <c r="E212" s="4">
        <f t="shared" si="22"/>
        <v>1</v>
      </c>
      <c r="F212" s="4">
        <f t="shared" si="23"/>
        <v>23</v>
      </c>
      <c r="G212" s="3">
        <f>IF(E212&gt;=20,2000,1900) + D212</f>
        <v>1960</v>
      </c>
      <c r="H212">
        <f t="shared" si="24"/>
        <v>1</v>
      </c>
      <c r="I212" s="4">
        <f t="shared" si="25"/>
        <v>23</v>
      </c>
      <c r="J212">
        <f t="shared" si="26"/>
        <v>19600123</v>
      </c>
      <c r="K212" t="str">
        <f t="shared" si="27"/>
        <v>23.01.1960</v>
      </c>
    </row>
    <row r="213" spans="1:11" x14ac:dyDescent="0.25">
      <c r="A213" s="4" t="s">
        <v>239</v>
      </c>
      <c r="B213" t="s">
        <v>14</v>
      </c>
      <c r="C213" t="s">
        <v>4</v>
      </c>
      <c r="D213" s="3">
        <f t="shared" si="21"/>
        <v>61</v>
      </c>
      <c r="E213" s="4">
        <f t="shared" si="22"/>
        <v>4</v>
      </c>
      <c r="F213" s="4">
        <f t="shared" si="23"/>
        <v>29</v>
      </c>
      <c r="G213" s="3">
        <f>IF(E213&gt;=20,2000,1900) + D213</f>
        <v>1961</v>
      </c>
      <c r="H213">
        <f t="shared" si="24"/>
        <v>4</v>
      </c>
      <c r="I213" s="4">
        <f t="shared" si="25"/>
        <v>29</v>
      </c>
      <c r="J213">
        <f t="shared" si="26"/>
        <v>19610429</v>
      </c>
      <c r="K213" t="str">
        <f t="shared" si="27"/>
        <v>29.04.1961</v>
      </c>
    </row>
    <row r="214" spans="1:11" x14ac:dyDescent="0.25">
      <c r="A214" s="4" t="s">
        <v>240</v>
      </c>
      <c r="B214" t="s">
        <v>11</v>
      </c>
      <c r="C214" t="s">
        <v>4</v>
      </c>
      <c r="D214" s="3">
        <f t="shared" si="21"/>
        <v>67</v>
      </c>
      <c r="E214" s="4">
        <f t="shared" si="22"/>
        <v>12</v>
      </c>
      <c r="F214" s="4">
        <f t="shared" si="23"/>
        <v>25</v>
      </c>
      <c r="G214" s="3">
        <f>IF(E214&gt;=20,2000,1900) + D214</f>
        <v>1967</v>
      </c>
      <c r="H214">
        <f t="shared" si="24"/>
        <v>12</v>
      </c>
      <c r="I214" s="4">
        <f t="shared" si="25"/>
        <v>25</v>
      </c>
      <c r="J214">
        <f t="shared" si="26"/>
        <v>19671225</v>
      </c>
      <c r="K214" t="str">
        <f t="shared" si="27"/>
        <v>25.12.1967</v>
      </c>
    </row>
    <row r="215" spans="1:11" x14ac:dyDescent="0.25">
      <c r="A215" s="4" t="s">
        <v>241</v>
      </c>
      <c r="B215" t="s">
        <v>5</v>
      </c>
      <c r="C215" t="s">
        <v>6</v>
      </c>
      <c r="D215" s="3">
        <f t="shared" si="21"/>
        <v>85</v>
      </c>
      <c r="E215" s="4">
        <f t="shared" si="22"/>
        <v>6</v>
      </c>
      <c r="F215" s="4">
        <f t="shared" si="23"/>
        <v>5</v>
      </c>
      <c r="G215" s="3">
        <f>IF(E215&gt;=20,2000,1900) + D215</f>
        <v>1985</v>
      </c>
      <c r="H215">
        <f t="shared" si="24"/>
        <v>6</v>
      </c>
      <c r="I215" s="4">
        <f t="shared" si="25"/>
        <v>5</v>
      </c>
      <c r="J215">
        <f t="shared" si="26"/>
        <v>19850605</v>
      </c>
      <c r="K215" t="str">
        <f t="shared" si="27"/>
        <v>05.06.1985</v>
      </c>
    </row>
    <row r="216" spans="1:11" x14ac:dyDescent="0.25">
      <c r="A216" s="4" t="s">
        <v>242</v>
      </c>
      <c r="B216" t="s">
        <v>17</v>
      </c>
      <c r="C216" t="s">
        <v>6</v>
      </c>
      <c r="D216" s="3">
        <f t="shared" si="21"/>
        <v>62</v>
      </c>
      <c r="E216" s="4">
        <f t="shared" si="22"/>
        <v>3</v>
      </c>
      <c r="F216" s="4">
        <f t="shared" si="23"/>
        <v>5</v>
      </c>
      <c r="G216" s="3">
        <f>IF(E216&gt;=20,2000,1900) + D216</f>
        <v>1962</v>
      </c>
      <c r="H216">
        <f t="shared" si="24"/>
        <v>3</v>
      </c>
      <c r="I216" s="4">
        <f t="shared" si="25"/>
        <v>5</v>
      </c>
      <c r="J216">
        <f t="shared" si="26"/>
        <v>19620305</v>
      </c>
      <c r="K216" t="str">
        <f t="shared" si="27"/>
        <v>05.03.1962</v>
      </c>
    </row>
    <row r="217" spans="1:11" x14ac:dyDescent="0.25">
      <c r="A217" s="4" t="s">
        <v>243</v>
      </c>
      <c r="B217" t="s">
        <v>9</v>
      </c>
      <c r="C217" t="s">
        <v>6</v>
      </c>
      <c r="D217" s="3">
        <f t="shared" si="21"/>
        <v>87</v>
      </c>
      <c r="E217" s="4">
        <f t="shared" si="22"/>
        <v>7</v>
      </c>
      <c r="F217" s="4">
        <f t="shared" si="23"/>
        <v>16</v>
      </c>
      <c r="G217" s="3">
        <f>IF(E217&gt;=20,2000,1900) + D217</f>
        <v>1987</v>
      </c>
      <c r="H217">
        <f t="shared" si="24"/>
        <v>7</v>
      </c>
      <c r="I217" s="4">
        <f t="shared" si="25"/>
        <v>16</v>
      </c>
      <c r="J217">
        <f t="shared" si="26"/>
        <v>19870716</v>
      </c>
      <c r="K217" t="str">
        <f t="shared" si="27"/>
        <v>16.07.1987</v>
      </c>
    </row>
    <row r="218" spans="1:11" x14ac:dyDescent="0.25">
      <c r="A218" s="4" t="s">
        <v>244</v>
      </c>
      <c r="B218" t="s">
        <v>9</v>
      </c>
      <c r="C218" t="s">
        <v>6</v>
      </c>
      <c r="D218" s="3">
        <f t="shared" si="21"/>
        <v>80</v>
      </c>
      <c r="E218" s="4">
        <f t="shared" si="22"/>
        <v>5</v>
      </c>
      <c r="F218" s="4">
        <f t="shared" si="23"/>
        <v>13</v>
      </c>
      <c r="G218" s="3">
        <f>IF(E218&gt;=20,2000,1900) + D218</f>
        <v>1980</v>
      </c>
      <c r="H218">
        <f t="shared" si="24"/>
        <v>5</v>
      </c>
      <c r="I218" s="4">
        <f t="shared" si="25"/>
        <v>13</v>
      </c>
      <c r="J218">
        <f t="shared" si="26"/>
        <v>19800513</v>
      </c>
      <c r="K218" t="str">
        <f t="shared" si="27"/>
        <v>13.05.1980</v>
      </c>
    </row>
    <row r="219" spans="1:11" x14ac:dyDescent="0.25">
      <c r="A219" s="4" t="s">
        <v>245</v>
      </c>
      <c r="B219" t="s">
        <v>9</v>
      </c>
      <c r="C219" t="s">
        <v>6</v>
      </c>
      <c r="D219" s="3">
        <f t="shared" si="21"/>
        <v>63</v>
      </c>
      <c r="E219" s="4">
        <f t="shared" si="22"/>
        <v>3</v>
      </c>
      <c r="F219" s="4">
        <f t="shared" si="23"/>
        <v>12</v>
      </c>
      <c r="G219" s="3">
        <f>IF(E219&gt;=20,2000,1900) + D219</f>
        <v>1963</v>
      </c>
      <c r="H219">
        <f t="shared" si="24"/>
        <v>3</v>
      </c>
      <c r="I219" s="4">
        <f t="shared" si="25"/>
        <v>12</v>
      </c>
      <c r="J219">
        <f t="shared" si="26"/>
        <v>19630312</v>
      </c>
      <c r="K219" t="str">
        <f t="shared" si="27"/>
        <v>12.03.1963</v>
      </c>
    </row>
    <row r="220" spans="1:11" x14ac:dyDescent="0.25">
      <c r="A220" s="4" t="s">
        <v>246</v>
      </c>
      <c r="B220" t="s">
        <v>18</v>
      </c>
      <c r="C220" t="s">
        <v>4</v>
      </c>
      <c r="D220" s="3">
        <f t="shared" si="21"/>
        <v>99</v>
      </c>
      <c r="E220" s="4">
        <f t="shared" si="22"/>
        <v>11</v>
      </c>
      <c r="F220" s="4">
        <f t="shared" si="23"/>
        <v>27</v>
      </c>
      <c r="G220" s="3">
        <f>IF(E220&gt;=20,2000,1900) + D220</f>
        <v>1999</v>
      </c>
      <c r="H220">
        <f t="shared" si="24"/>
        <v>11</v>
      </c>
      <c r="I220" s="4">
        <f t="shared" si="25"/>
        <v>27</v>
      </c>
      <c r="J220">
        <f t="shared" si="26"/>
        <v>19991127</v>
      </c>
      <c r="K220" t="str">
        <f t="shared" si="27"/>
        <v>27.11.1999</v>
      </c>
    </row>
    <row r="221" spans="1:11" x14ac:dyDescent="0.25">
      <c r="A221" s="4" t="s">
        <v>247</v>
      </c>
      <c r="B221" t="s">
        <v>12</v>
      </c>
      <c r="C221" t="s">
        <v>4</v>
      </c>
      <c r="D221" s="3">
        <f t="shared" si="21"/>
        <v>90</v>
      </c>
      <c r="E221" s="4">
        <f t="shared" si="22"/>
        <v>7</v>
      </c>
      <c r="F221" s="4">
        <f t="shared" si="23"/>
        <v>13</v>
      </c>
      <c r="G221" s="3">
        <f>IF(E221&gt;=20,2000,1900) + D221</f>
        <v>1990</v>
      </c>
      <c r="H221">
        <f t="shared" si="24"/>
        <v>7</v>
      </c>
      <c r="I221" s="4">
        <f t="shared" si="25"/>
        <v>13</v>
      </c>
      <c r="J221">
        <f t="shared" si="26"/>
        <v>19900713</v>
      </c>
      <c r="K221" t="str">
        <f t="shared" si="27"/>
        <v>13.07.1990</v>
      </c>
    </row>
    <row r="222" spans="1:11" x14ac:dyDescent="0.25">
      <c r="A222" s="4" t="s">
        <v>248</v>
      </c>
      <c r="B222" t="s">
        <v>15</v>
      </c>
      <c r="C222" t="s">
        <v>6</v>
      </c>
      <c r="D222" s="3">
        <f t="shared" si="21"/>
        <v>79</v>
      </c>
      <c r="E222" s="4">
        <f t="shared" si="22"/>
        <v>10</v>
      </c>
      <c r="F222" s="4">
        <f t="shared" si="23"/>
        <v>1</v>
      </c>
      <c r="G222" s="3">
        <f>IF(E222&gt;=20,2000,1900) + D222</f>
        <v>1979</v>
      </c>
      <c r="H222">
        <f t="shared" si="24"/>
        <v>10</v>
      </c>
      <c r="I222" s="4">
        <f t="shared" si="25"/>
        <v>1</v>
      </c>
      <c r="J222">
        <f t="shared" si="26"/>
        <v>19791001</v>
      </c>
      <c r="K222" t="str">
        <f t="shared" si="27"/>
        <v>01.10.1979</v>
      </c>
    </row>
    <row r="223" spans="1:11" x14ac:dyDescent="0.25">
      <c r="A223" s="4" t="s">
        <v>249</v>
      </c>
      <c r="B223" t="s">
        <v>8</v>
      </c>
      <c r="C223" t="s">
        <v>6</v>
      </c>
      <c r="D223" s="3">
        <f t="shared" si="21"/>
        <v>67</v>
      </c>
      <c r="E223" s="4">
        <f t="shared" si="22"/>
        <v>2</v>
      </c>
      <c r="F223" s="4">
        <f t="shared" si="23"/>
        <v>16</v>
      </c>
      <c r="G223" s="3">
        <f>IF(E223&gt;=20,2000,1900) + D223</f>
        <v>1967</v>
      </c>
      <c r="H223">
        <f t="shared" si="24"/>
        <v>2</v>
      </c>
      <c r="I223" s="4">
        <f t="shared" si="25"/>
        <v>16</v>
      </c>
      <c r="J223">
        <f t="shared" si="26"/>
        <v>19670216</v>
      </c>
      <c r="K223" t="str">
        <f t="shared" si="27"/>
        <v>16.02.1967</v>
      </c>
    </row>
    <row r="224" spans="1:11" x14ac:dyDescent="0.25">
      <c r="A224" s="4" t="s">
        <v>250</v>
      </c>
      <c r="B224" t="s">
        <v>20</v>
      </c>
      <c r="C224" t="s">
        <v>4</v>
      </c>
      <c r="D224" s="3">
        <f t="shared" si="21"/>
        <v>80</v>
      </c>
      <c r="E224" s="4">
        <f t="shared" si="22"/>
        <v>12</v>
      </c>
      <c r="F224" s="4">
        <f t="shared" si="23"/>
        <v>29</v>
      </c>
      <c r="G224" s="3">
        <f>IF(E224&gt;=20,2000,1900) + D224</f>
        <v>1980</v>
      </c>
      <c r="H224">
        <f t="shared" si="24"/>
        <v>12</v>
      </c>
      <c r="I224" s="4">
        <f t="shared" si="25"/>
        <v>29</v>
      </c>
      <c r="J224">
        <f t="shared" si="26"/>
        <v>19801229</v>
      </c>
      <c r="K224" t="str">
        <f t="shared" si="27"/>
        <v>29.12.1980</v>
      </c>
    </row>
    <row r="225" spans="1:11" x14ac:dyDescent="0.25">
      <c r="A225" s="4" t="s">
        <v>251</v>
      </c>
      <c r="B225" t="s">
        <v>7</v>
      </c>
      <c r="C225" t="s">
        <v>6</v>
      </c>
      <c r="D225" s="3">
        <f t="shared" si="21"/>
        <v>68</v>
      </c>
      <c r="E225" s="4">
        <f t="shared" si="22"/>
        <v>2</v>
      </c>
      <c r="F225" s="4">
        <f t="shared" si="23"/>
        <v>15</v>
      </c>
      <c r="G225" s="3">
        <f>IF(E225&gt;=20,2000,1900) + D225</f>
        <v>1968</v>
      </c>
      <c r="H225">
        <f t="shared" si="24"/>
        <v>2</v>
      </c>
      <c r="I225" s="4">
        <f t="shared" si="25"/>
        <v>15</v>
      </c>
      <c r="J225">
        <f t="shared" si="26"/>
        <v>19680215</v>
      </c>
      <c r="K225" t="str">
        <f t="shared" si="27"/>
        <v>15.02.1968</v>
      </c>
    </row>
    <row r="226" spans="1:11" x14ac:dyDescent="0.25">
      <c r="A226" s="4" t="s">
        <v>252</v>
      </c>
      <c r="B226" t="s">
        <v>16</v>
      </c>
      <c r="C226" t="s">
        <v>4</v>
      </c>
      <c r="D226" s="3">
        <f t="shared" si="21"/>
        <v>57</v>
      </c>
      <c r="E226" s="4">
        <f t="shared" si="22"/>
        <v>5</v>
      </c>
      <c r="F226" s="4">
        <f t="shared" si="23"/>
        <v>17</v>
      </c>
      <c r="G226" s="3">
        <f>IF(E226&gt;=20,2000,1900) + D226</f>
        <v>1957</v>
      </c>
      <c r="H226">
        <f t="shared" si="24"/>
        <v>5</v>
      </c>
      <c r="I226" s="4">
        <f t="shared" si="25"/>
        <v>17</v>
      </c>
      <c r="J226">
        <f t="shared" si="26"/>
        <v>19570517</v>
      </c>
      <c r="K226" t="str">
        <f t="shared" si="27"/>
        <v>17.05.1957</v>
      </c>
    </row>
    <row r="227" spans="1:11" x14ac:dyDescent="0.25">
      <c r="A227" s="4" t="s">
        <v>253</v>
      </c>
      <c r="B227" t="s">
        <v>11</v>
      </c>
      <c r="C227" t="s">
        <v>6</v>
      </c>
      <c r="D227" s="3">
        <f t="shared" si="21"/>
        <v>96</v>
      </c>
      <c r="E227" s="4">
        <f t="shared" si="22"/>
        <v>11</v>
      </c>
      <c r="F227" s="4">
        <f t="shared" si="23"/>
        <v>12</v>
      </c>
      <c r="G227" s="3">
        <f>IF(E227&gt;=20,2000,1900) + D227</f>
        <v>1996</v>
      </c>
      <c r="H227">
        <f t="shared" si="24"/>
        <v>11</v>
      </c>
      <c r="I227" s="4">
        <f t="shared" si="25"/>
        <v>12</v>
      </c>
      <c r="J227">
        <f t="shared" si="26"/>
        <v>19961112</v>
      </c>
      <c r="K227" t="str">
        <f t="shared" si="27"/>
        <v>12.11.1996</v>
      </c>
    </row>
    <row r="228" spans="1:11" x14ac:dyDescent="0.25">
      <c r="A228" s="4" t="s">
        <v>254</v>
      </c>
      <c r="B228" t="s">
        <v>15</v>
      </c>
      <c r="C228" t="s">
        <v>6</v>
      </c>
      <c r="D228" s="3">
        <f t="shared" si="21"/>
        <v>89</v>
      </c>
      <c r="E228" s="4">
        <f t="shared" si="22"/>
        <v>3</v>
      </c>
      <c r="F228" s="4">
        <f t="shared" si="23"/>
        <v>10</v>
      </c>
      <c r="G228" s="3">
        <f>IF(E228&gt;=20,2000,1900) + D228</f>
        <v>1989</v>
      </c>
      <c r="H228">
        <f t="shared" si="24"/>
        <v>3</v>
      </c>
      <c r="I228" s="4">
        <f t="shared" si="25"/>
        <v>10</v>
      </c>
      <c r="J228">
        <f t="shared" si="26"/>
        <v>19890310</v>
      </c>
      <c r="K228" t="str">
        <f t="shared" si="27"/>
        <v>10.03.1989</v>
      </c>
    </row>
    <row r="229" spans="1:11" x14ac:dyDescent="0.25">
      <c r="A229" s="4" t="s">
        <v>255</v>
      </c>
      <c r="B229" t="s">
        <v>19</v>
      </c>
      <c r="C229" t="s">
        <v>4</v>
      </c>
      <c r="D229" s="3">
        <f t="shared" si="21"/>
        <v>82</v>
      </c>
      <c r="E229" s="4">
        <f t="shared" si="22"/>
        <v>9</v>
      </c>
      <c r="F229" s="4">
        <f t="shared" si="23"/>
        <v>13</v>
      </c>
      <c r="G229" s="3">
        <f>IF(E229&gt;=20,2000,1900) + D229</f>
        <v>1982</v>
      </c>
      <c r="H229">
        <f t="shared" si="24"/>
        <v>9</v>
      </c>
      <c r="I229" s="4">
        <f t="shared" si="25"/>
        <v>13</v>
      </c>
      <c r="J229">
        <f t="shared" si="26"/>
        <v>19820913</v>
      </c>
      <c r="K229" t="str">
        <f t="shared" si="27"/>
        <v>13.09.1982</v>
      </c>
    </row>
    <row r="230" spans="1:11" x14ac:dyDescent="0.25">
      <c r="A230" s="4" t="s">
        <v>256</v>
      </c>
      <c r="B230" t="s">
        <v>7</v>
      </c>
      <c r="C230" t="s">
        <v>4</v>
      </c>
      <c r="D230" s="3">
        <f t="shared" si="21"/>
        <v>51</v>
      </c>
      <c r="E230" s="4">
        <f t="shared" si="22"/>
        <v>12</v>
      </c>
      <c r="F230" s="4">
        <f t="shared" si="23"/>
        <v>20</v>
      </c>
      <c r="G230" s="3">
        <f>IF(E230&gt;=20,2000,1900) + D230</f>
        <v>1951</v>
      </c>
      <c r="H230">
        <f t="shared" si="24"/>
        <v>12</v>
      </c>
      <c r="I230" s="4">
        <f t="shared" si="25"/>
        <v>20</v>
      </c>
      <c r="J230">
        <f t="shared" si="26"/>
        <v>19511220</v>
      </c>
      <c r="K230" t="str">
        <f t="shared" si="27"/>
        <v>20.12.1951</v>
      </c>
    </row>
    <row r="231" spans="1:11" x14ac:dyDescent="0.25">
      <c r="A231" s="4" t="s">
        <v>257</v>
      </c>
      <c r="B231" t="s">
        <v>9</v>
      </c>
      <c r="C231" t="s">
        <v>6</v>
      </c>
      <c r="D231" s="3">
        <f t="shared" si="21"/>
        <v>65</v>
      </c>
      <c r="E231" s="4">
        <f t="shared" si="22"/>
        <v>8</v>
      </c>
      <c r="F231" s="4">
        <f t="shared" si="23"/>
        <v>18</v>
      </c>
      <c r="G231" s="3">
        <f>IF(E231&gt;=20,2000,1900) + D231</f>
        <v>1965</v>
      </c>
      <c r="H231">
        <f t="shared" si="24"/>
        <v>8</v>
      </c>
      <c r="I231" s="4">
        <f t="shared" si="25"/>
        <v>18</v>
      </c>
      <c r="J231">
        <f t="shared" si="26"/>
        <v>19650818</v>
      </c>
      <c r="K231" t="str">
        <f t="shared" si="27"/>
        <v>18.08.1965</v>
      </c>
    </row>
    <row r="232" spans="1:11" x14ac:dyDescent="0.25">
      <c r="A232" s="4" t="s">
        <v>258</v>
      </c>
      <c r="B232" t="s">
        <v>14</v>
      </c>
      <c r="C232" t="s">
        <v>4</v>
      </c>
      <c r="D232" s="3">
        <f t="shared" si="21"/>
        <v>52</v>
      </c>
      <c r="E232" s="4">
        <f t="shared" si="22"/>
        <v>7</v>
      </c>
      <c r="F232" s="4">
        <f t="shared" si="23"/>
        <v>31</v>
      </c>
      <c r="G232" s="3">
        <f>IF(E232&gt;=20,2000,1900) + D232</f>
        <v>1952</v>
      </c>
      <c r="H232">
        <f t="shared" si="24"/>
        <v>7</v>
      </c>
      <c r="I232" s="4">
        <f t="shared" si="25"/>
        <v>31</v>
      </c>
      <c r="J232">
        <f t="shared" si="26"/>
        <v>19520731</v>
      </c>
      <c r="K232" t="str">
        <f t="shared" si="27"/>
        <v>31.07.1952</v>
      </c>
    </row>
    <row r="233" spans="1:11" x14ac:dyDescent="0.25">
      <c r="A233" s="4" t="s">
        <v>259</v>
      </c>
      <c r="B233" t="s">
        <v>8</v>
      </c>
      <c r="C233" t="s">
        <v>6</v>
      </c>
      <c r="D233" s="3">
        <f t="shared" si="21"/>
        <v>52</v>
      </c>
      <c r="E233" s="4">
        <f t="shared" si="22"/>
        <v>7</v>
      </c>
      <c r="F233" s="4">
        <f t="shared" si="23"/>
        <v>27</v>
      </c>
      <c r="G233" s="3">
        <f>IF(E233&gt;=20,2000,1900) + D233</f>
        <v>1952</v>
      </c>
      <c r="H233">
        <f t="shared" si="24"/>
        <v>7</v>
      </c>
      <c r="I233" s="4">
        <f t="shared" si="25"/>
        <v>27</v>
      </c>
      <c r="J233">
        <f t="shared" si="26"/>
        <v>19520727</v>
      </c>
      <c r="K233" t="str">
        <f t="shared" si="27"/>
        <v>27.07.1952</v>
      </c>
    </row>
    <row r="234" spans="1:11" x14ac:dyDescent="0.25">
      <c r="A234" s="4" t="s">
        <v>260</v>
      </c>
      <c r="B234" t="s">
        <v>16</v>
      </c>
      <c r="C234" t="s">
        <v>4</v>
      </c>
      <c r="D234" s="3">
        <f t="shared" si="21"/>
        <v>73</v>
      </c>
      <c r="E234" s="4">
        <f t="shared" si="22"/>
        <v>5</v>
      </c>
      <c r="F234" s="4">
        <f t="shared" si="23"/>
        <v>8</v>
      </c>
      <c r="G234" s="3">
        <f>IF(E234&gt;=20,2000,1900) + D234</f>
        <v>1973</v>
      </c>
      <c r="H234">
        <f t="shared" si="24"/>
        <v>5</v>
      </c>
      <c r="I234" s="4">
        <f t="shared" si="25"/>
        <v>8</v>
      </c>
      <c r="J234">
        <f t="shared" si="26"/>
        <v>19730508</v>
      </c>
      <c r="K234" t="str">
        <f t="shared" si="27"/>
        <v>08.05.1973</v>
      </c>
    </row>
    <row r="235" spans="1:11" x14ac:dyDescent="0.25">
      <c r="A235" s="4" t="s">
        <v>261</v>
      </c>
      <c r="B235" t="s">
        <v>19</v>
      </c>
      <c r="C235" t="s">
        <v>6</v>
      </c>
      <c r="D235" s="3">
        <f t="shared" si="21"/>
        <v>61</v>
      </c>
      <c r="E235" s="4">
        <f t="shared" si="22"/>
        <v>4</v>
      </c>
      <c r="F235" s="4">
        <f t="shared" si="23"/>
        <v>18</v>
      </c>
      <c r="G235" s="3">
        <f>IF(E235&gt;=20,2000,1900) + D235</f>
        <v>1961</v>
      </c>
      <c r="H235">
        <f t="shared" si="24"/>
        <v>4</v>
      </c>
      <c r="I235" s="4">
        <f t="shared" si="25"/>
        <v>18</v>
      </c>
      <c r="J235">
        <f t="shared" si="26"/>
        <v>19610418</v>
      </c>
      <c r="K235" t="str">
        <f t="shared" si="27"/>
        <v>18.04.1961</v>
      </c>
    </row>
    <row r="236" spans="1:11" x14ac:dyDescent="0.25">
      <c r="A236" s="4" t="s">
        <v>262</v>
      </c>
      <c r="B236" t="s">
        <v>8</v>
      </c>
      <c r="C236" t="s">
        <v>4</v>
      </c>
      <c r="D236" s="3">
        <f t="shared" si="21"/>
        <v>66</v>
      </c>
      <c r="E236" s="4">
        <f t="shared" si="22"/>
        <v>7</v>
      </c>
      <c r="F236" s="4">
        <f t="shared" si="23"/>
        <v>20</v>
      </c>
      <c r="G236" s="3">
        <f>IF(E236&gt;=20,2000,1900) + D236</f>
        <v>1966</v>
      </c>
      <c r="H236">
        <f t="shared" si="24"/>
        <v>7</v>
      </c>
      <c r="I236" s="4">
        <f t="shared" si="25"/>
        <v>20</v>
      </c>
      <c r="J236">
        <f t="shared" si="26"/>
        <v>19660720</v>
      </c>
      <c r="K236" t="str">
        <f t="shared" si="27"/>
        <v>20.07.1966</v>
      </c>
    </row>
    <row r="237" spans="1:11" x14ac:dyDescent="0.25">
      <c r="A237" s="4" t="s">
        <v>263</v>
      </c>
      <c r="B237" t="s">
        <v>3</v>
      </c>
      <c r="C237" t="s">
        <v>4</v>
      </c>
      <c r="D237" s="3">
        <f t="shared" si="21"/>
        <v>52</v>
      </c>
      <c r="E237" s="4">
        <f t="shared" si="22"/>
        <v>1</v>
      </c>
      <c r="F237" s="4">
        <f t="shared" si="23"/>
        <v>15</v>
      </c>
      <c r="G237" s="3">
        <f>IF(E237&gt;=20,2000,1900) + D237</f>
        <v>1952</v>
      </c>
      <c r="H237">
        <f t="shared" si="24"/>
        <v>1</v>
      </c>
      <c r="I237" s="4">
        <f t="shared" si="25"/>
        <v>15</v>
      </c>
      <c r="J237">
        <f t="shared" si="26"/>
        <v>19520115</v>
      </c>
      <c r="K237" t="str">
        <f t="shared" si="27"/>
        <v>15.01.1952</v>
      </c>
    </row>
    <row r="238" spans="1:11" x14ac:dyDescent="0.25">
      <c r="A238" s="4" t="s">
        <v>264</v>
      </c>
      <c r="B238" t="s">
        <v>17</v>
      </c>
      <c r="C238" t="s">
        <v>6</v>
      </c>
      <c r="D238" s="3">
        <f t="shared" si="21"/>
        <v>90</v>
      </c>
      <c r="E238" s="4">
        <f t="shared" si="22"/>
        <v>3</v>
      </c>
      <c r="F238" s="4">
        <f t="shared" si="23"/>
        <v>7</v>
      </c>
      <c r="G238" s="3">
        <f>IF(E238&gt;=20,2000,1900) + D238</f>
        <v>1990</v>
      </c>
      <c r="H238">
        <f t="shared" si="24"/>
        <v>3</v>
      </c>
      <c r="I238" s="4">
        <f t="shared" si="25"/>
        <v>7</v>
      </c>
      <c r="J238">
        <f t="shared" si="26"/>
        <v>19900307</v>
      </c>
      <c r="K238" t="str">
        <f t="shared" si="27"/>
        <v>07.03.1990</v>
      </c>
    </row>
    <row r="239" spans="1:11" x14ac:dyDescent="0.25">
      <c r="A239" s="4" t="s">
        <v>265</v>
      </c>
      <c r="B239" t="s">
        <v>18</v>
      </c>
      <c r="C239" t="s">
        <v>4</v>
      </c>
      <c r="D239" s="3">
        <f t="shared" si="21"/>
        <v>79</v>
      </c>
      <c r="E239" s="4">
        <f t="shared" si="22"/>
        <v>1</v>
      </c>
      <c r="F239" s="4">
        <f t="shared" si="23"/>
        <v>19</v>
      </c>
      <c r="G239" s="3">
        <f>IF(E239&gt;=20,2000,1900) + D239</f>
        <v>1979</v>
      </c>
      <c r="H239">
        <f t="shared" si="24"/>
        <v>1</v>
      </c>
      <c r="I239" s="4">
        <f t="shared" si="25"/>
        <v>19</v>
      </c>
      <c r="J239">
        <f t="shared" si="26"/>
        <v>19790119</v>
      </c>
      <c r="K239" t="str">
        <f t="shared" si="27"/>
        <v>19.01.1979</v>
      </c>
    </row>
    <row r="240" spans="1:11" x14ac:dyDescent="0.25">
      <c r="A240" s="4" t="s">
        <v>266</v>
      </c>
      <c r="B240" t="s">
        <v>13</v>
      </c>
      <c r="C240" t="s">
        <v>4</v>
      </c>
      <c r="D240" s="3">
        <f t="shared" si="21"/>
        <v>93</v>
      </c>
      <c r="E240" s="4">
        <f t="shared" si="22"/>
        <v>8</v>
      </c>
      <c r="F240" s="4">
        <f t="shared" si="23"/>
        <v>20</v>
      </c>
      <c r="G240" s="3">
        <f>IF(E240&gt;=20,2000,1900) + D240</f>
        <v>1993</v>
      </c>
      <c r="H240">
        <f t="shared" si="24"/>
        <v>8</v>
      </c>
      <c r="I240" s="4">
        <f t="shared" si="25"/>
        <v>20</v>
      </c>
      <c r="J240">
        <f t="shared" si="26"/>
        <v>19930820</v>
      </c>
      <c r="K240" t="str">
        <f t="shared" si="27"/>
        <v>20.08.1993</v>
      </c>
    </row>
    <row r="241" spans="1:11" x14ac:dyDescent="0.25">
      <c r="A241" s="4" t="s">
        <v>267</v>
      </c>
      <c r="B241" t="s">
        <v>16</v>
      </c>
      <c r="C241" t="s">
        <v>6</v>
      </c>
      <c r="D241" s="3">
        <f t="shared" si="21"/>
        <v>95</v>
      </c>
      <c r="E241" s="4">
        <f t="shared" si="22"/>
        <v>2</v>
      </c>
      <c r="F241" s="4">
        <f t="shared" si="23"/>
        <v>5</v>
      </c>
      <c r="G241" s="3">
        <f>IF(E241&gt;=20,2000,1900) + D241</f>
        <v>1995</v>
      </c>
      <c r="H241">
        <f t="shared" si="24"/>
        <v>2</v>
      </c>
      <c r="I241" s="4">
        <f t="shared" si="25"/>
        <v>5</v>
      </c>
      <c r="J241">
        <f t="shared" si="26"/>
        <v>19950205</v>
      </c>
      <c r="K241" t="str">
        <f t="shared" si="27"/>
        <v>05.02.1995</v>
      </c>
    </row>
    <row r="242" spans="1:11" x14ac:dyDescent="0.25">
      <c r="A242" s="4" t="s">
        <v>268</v>
      </c>
      <c r="B242" t="s">
        <v>11</v>
      </c>
      <c r="C242" t="s">
        <v>4</v>
      </c>
      <c r="D242" s="3">
        <f t="shared" si="21"/>
        <v>62</v>
      </c>
      <c r="E242" s="4">
        <f t="shared" si="22"/>
        <v>12</v>
      </c>
      <c r="F242" s="4">
        <f t="shared" si="23"/>
        <v>10</v>
      </c>
      <c r="G242" s="3">
        <f>IF(E242&gt;=20,2000,1900) + D242</f>
        <v>1962</v>
      </c>
      <c r="H242">
        <f t="shared" si="24"/>
        <v>12</v>
      </c>
      <c r="I242" s="4">
        <f t="shared" si="25"/>
        <v>10</v>
      </c>
      <c r="J242">
        <f t="shared" si="26"/>
        <v>19621210</v>
      </c>
      <c r="K242" t="str">
        <f t="shared" si="27"/>
        <v>10.12.1962</v>
      </c>
    </row>
    <row r="243" spans="1:11" x14ac:dyDescent="0.25">
      <c r="A243" s="4" t="s">
        <v>269</v>
      </c>
      <c r="B243" t="s">
        <v>8</v>
      </c>
      <c r="C243" t="s">
        <v>6</v>
      </c>
      <c r="D243" s="3">
        <f t="shared" si="21"/>
        <v>98</v>
      </c>
      <c r="E243" s="4">
        <f t="shared" si="22"/>
        <v>7</v>
      </c>
      <c r="F243" s="4">
        <f t="shared" si="23"/>
        <v>5</v>
      </c>
      <c r="G243" s="3">
        <f>IF(E243&gt;=20,2000,1900) + D243</f>
        <v>1998</v>
      </c>
      <c r="H243">
        <f t="shared" si="24"/>
        <v>7</v>
      </c>
      <c r="I243" s="4">
        <f t="shared" si="25"/>
        <v>5</v>
      </c>
      <c r="J243">
        <f t="shared" si="26"/>
        <v>19980705</v>
      </c>
      <c r="K243" t="str">
        <f t="shared" si="27"/>
        <v>05.07.1998</v>
      </c>
    </row>
    <row r="244" spans="1:11" x14ac:dyDescent="0.25">
      <c r="A244" s="4" t="s">
        <v>270</v>
      </c>
      <c r="B244" t="s">
        <v>3</v>
      </c>
      <c r="C244" t="s">
        <v>4</v>
      </c>
      <c r="D244" s="3">
        <f t="shared" si="21"/>
        <v>93</v>
      </c>
      <c r="E244" s="4">
        <f t="shared" si="22"/>
        <v>3</v>
      </c>
      <c r="F244" s="4">
        <f t="shared" si="23"/>
        <v>5</v>
      </c>
      <c r="G244" s="3">
        <f>IF(E244&gt;=20,2000,1900) + D244</f>
        <v>1993</v>
      </c>
      <c r="H244">
        <f t="shared" si="24"/>
        <v>3</v>
      </c>
      <c r="I244" s="4">
        <f t="shared" si="25"/>
        <v>5</v>
      </c>
      <c r="J244">
        <f t="shared" si="26"/>
        <v>19930305</v>
      </c>
      <c r="K244" t="str">
        <f t="shared" si="27"/>
        <v>05.03.1993</v>
      </c>
    </row>
    <row r="245" spans="1:11" x14ac:dyDescent="0.25">
      <c r="A245" s="4" t="s">
        <v>271</v>
      </c>
      <c r="B245" t="s">
        <v>15</v>
      </c>
      <c r="C245" t="s">
        <v>6</v>
      </c>
      <c r="D245" s="3">
        <f t="shared" si="21"/>
        <v>89</v>
      </c>
      <c r="E245" s="4">
        <f t="shared" si="22"/>
        <v>5</v>
      </c>
      <c r="F245" s="4">
        <f t="shared" si="23"/>
        <v>19</v>
      </c>
      <c r="G245" s="3">
        <f>IF(E245&gt;=20,2000,1900) + D245</f>
        <v>1989</v>
      </c>
      <c r="H245">
        <f t="shared" si="24"/>
        <v>5</v>
      </c>
      <c r="I245" s="4">
        <f t="shared" si="25"/>
        <v>19</v>
      </c>
      <c r="J245">
        <f t="shared" si="26"/>
        <v>19890519</v>
      </c>
      <c r="K245" t="str">
        <f t="shared" si="27"/>
        <v>19.05.1989</v>
      </c>
    </row>
    <row r="246" spans="1:11" x14ac:dyDescent="0.25">
      <c r="A246" s="4" t="s">
        <v>272</v>
      </c>
      <c r="B246" t="s">
        <v>11</v>
      </c>
      <c r="C246" t="s">
        <v>6</v>
      </c>
      <c r="D246" s="3">
        <f t="shared" si="21"/>
        <v>98</v>
      </c>
      <c r="E246" s="4">
        <f t="shared" si="22"/>
        <v>3</v>
      </c>
      <c r="F246" s="4">
        <f t="shared" si="23"/>
        <v>15</v>
      </c>
      <c r="G246" s="3">
        <f>IF(E246&gt;=20,2000,1900) + D246</f>
        <v>1998</v>
      </c>
      <c r="H246">
        <f t="shared" si="24"/>
        <v>3</v>
      </c>
      <c r="I246" s="4">
        <f t="shared" si="25"/>
        <v>15</v>
      </c>
      <c r="J246">
        <f t="shared" si="26"/>
        <v>19980315</v>
      </c>
      <c r="K246" t="str">
        <f t="shared" si="27"/>
        <v>15.03.1998</v>
      </c>
    </row>
    <row r="247" spans="1:11" x14ac:dyDescent="0.25">
      <c r="A247" s="4" t="s">
        <v>273</v>
      </c>
      <c r="B247" t="s">
        <v>9</v>
      </c>
      <c r="C247" t="s">
        <v>4</v>
      </c>
      <c r="D247" s="3">
        <f t="shared" si="21"/>
        <v>96</v>
      </c>
      <c r="E247" s="4">
        <f t="shared" si="22"/>
        <v>3</v>
      </c>
      <c r="F247" s="4">
        <f t="shared" si="23"/>
        <v>24</v>
      </c>
      <c r="G247" s="3">
        <f>IF(E247&gt;=20,2000,1900) + D247</f>
        <v>1996</v>
      </c>
      <c r="H247">
        <f t="shared" si="24"/>
        <v>3</v>
      </c>
      <c r="I247" s="4">
        <f t="shared" si="25"/>
        <v>24</v>
      </c>
      <c r="J247">
        <f t="shared" si="26"/>
        <v>19960324</v>
      </c>
      <c r="K247" t="str">
        <f t="shared" si="27"/>
        <v>24.03.1996</v>
      </c>
    </row>
    <row r="248" spans="1:11" x14ac:dyDescent="0.25">
      <c r="A248" s="4" t="s">
        <v>274</v>
      </c>
      <c r="B248" t="s">
        <v>12</v>
      </c>
      <c r="C248" t="s">
        <v>4</v>
      </c>
      <c r="D248" s="3">
        <f t="shared" si="21"/>
        <v>76</v>
      </c>
      <c r="E248" s="4">
        <f t="shared" si="22"/>
        <v>6</v>
      </c>
      <c r="F248" s="4">
        <f t="shared" si="23"/>
        <v>4</v>
      </c>
      <c r="G248" s="3">
        <f>IF(E248&gt;=20,2000,1900) + D248</f>
        <v>1976</v>
      </c>
      <c r="H248">
        <f t="shared" si="24"/>
        <v>6</v>
      </c>
      <c r="I248" s="4">
        <f t="shared" si="25"/>
        <v>4</v>
      </c>
      <c r="J248">
        <f t="shared" si="26"/>
        <v>19760604</v>
      </c>
      <c r="K248" t="str">
        <f t="shared" si="27"/>
        <v>04.06.1976</v>
      </c>
    </row>
    <row r="249" spans="1:11" x14ac:dyDescent="0.25">
      <c r="A249" s="4" t="s">
        <v>275</v>
      </c>
      <c r="B249" t="s">
        <v>7</v>
      </c>
      <c r="C249" t="s">
        <v>6</v>
      </c>
      <c r="D249" s="3">
        <f t="shared" si="21"/>
        <v>86</v>
      </c>
      <c r="E249" s="4">
        <f t="shared" si="22"/>
        <v>10</v>
      </c>
      <c r="F249" s="4">
        <f t="shared" si="23"/>
        <v>23</v>
      </c>
      <c r="G249" s="3">
        <f>IF(E249&gt;=20,2000,1900) + D249</f>
        <v>1986</v>
      </c>
      <c r="H249">
        <f t="shared" si="24"/>
        <v>10</v>
      </c>
      <c r="I249" s="4">
        <f t="shared" si="25"/>
        <v>23</v>
      </c>
      <c r="J249">
        <f t="shared" si="26"/>
        <v>19861023</v>
      </c>
      <c r="K249" t="str">
        <f t="shared" si="27"/>
        <v>23.10.1986</v>
      </c>
    </row>
    <row r="250" spans="1:11" x14ac:dyDescent="0.25">
      <c r="A250" s="4" t="s">
        <v>276</v>
      </c>
      <c r="B250" t="s">
        <v>19</v>
      </c>
      <c r="C250" t="s">
        <v>6</v>
      </c>
      <c r="D250" s="3">
        <f t="shared" si="21"/>
        <v>50</v>
      </c>
      <c r="E250" s="4">
        <f t="shared" si="22"/>
        <v>1</v>
      </c>
      <c r="F250" s="4">
        <f t="shared" si="23"/>
        <v>10</v>
      </c>
      <c r="G250" s="3">
        <f>IF(E250&gt;=20,2000,1900) + D250</f>
        <v>1950</v>
      </c>
      <c r="H250">
        <f t="shared" si="24"/>
        <v>1</v>
      </c>
      <c r="I250" s="4">
        <f t="shared" si="25"/>
        <v>10</v>
      </c>
      <c r="J250">
        <f t="shared" si="26"/>
        <v>19500110</v>
      </c>
      <c r="K250" t="str">
        <f t="shared" si="27"/>
        <v>10.01.1950</v>
      </c>
    </row>
    <row r="251" spans="1:11" x14ac:dyDescent="0.25">
      <c r="A251" s="4" t="s">
        <v>277</v>
      </c>
      <c r="B251" t="s">
        <v>11</v>
      </c>
      <c r="C251" t="s">
        <v>6</v>
      </c>
      <c r="D251" s="3">
        <f t="shared" si="21"/>
        <v>79</v>
      </c>
      <c r="E251" s="4">
        <f t="shared" si="22"/>
        <v>2</v>
      </c>
      <c r="F251" s="4">
        <f t="shared" si="23"/>
        <v>9</v>
      </c>
      <c r="G251" s="3">
        <f>IF(E251&gt;=20,2000,1900) + D251</f>
        <v>1979</v>
      </c>
      <c r="H251">
        <f t="shared" si="24"/>
        <v>2</v>
      </c>
      <c r="I251" s="4">
        <f t="shared" si="25"/>
        <v>9</v>
      </c>
      <c r="J251">
        <f t="shared" si="26"/>
        <v>19790209</v>
      </c>
      <c r="K251" t="str">
        <f t="shared" si="27"/>
        <v>09.02.1979</v>
      </c>
    </row>
    <row r="252" spans="1:11" x14ac:dyDescent="0.25">
      <c r="A252" s="4" t="s">
        <v>278</v>
      </c>
      <c r="B252" t="s">
        <v>13</v>
      </c>
      <c r="C252" t="s">
        <v>6</v>
      </c>
      <c r="D252" s="3">
        <f t="shared" si="21"/>
        <v>78</v>
      </c>
      <c r="E252" s="4">
        <f t="shared" si="22"/>
        <v>2</v>
      </c>
      <c r="F252" s="4">
        <f t="shared" si="23"/>
        <v>24</v>
      </c>
      <c r="G252" s="3">
        <f>IF(E252&gt;=20,2000,1900) + D252</f>
        <v>1978</v>
      </c>
      <c r="H252">
        <f t="shared" si="24"/>
        <v>2</v>
      </c>
      <c r="I252" s="4">
        <f t="shared" si="25"/>
        <v>24</v>
      </c>
      <c r="J252">
        <f t="shared" si="26"/>
        <v>19780224</v>
      </c>
      <c r="K252" t="str">
        <f t="shared" si="27"/>
        <v>24.02.1978</v>
      </c>
    </row>
    <row r="253" spans="1:11" x14ac:dyDescent="0.25">
      <c r="A253" s="4" t="s">
        <v>279</v>
      </c>
      <c r="B253" t="s">
        <v>14</v>
      </c>
      <c r="C253" t="s">
        <v>4</v>
      </c>
      <c r="D253" s="3">
        <f t="shared" si="21"/>
        <v>63</v>
      </c>
      <c r="E253" s="4">
        <f t="shared" si="22"/>
        <v>12</v>
      </c>
      <c r="F253" s="4">
        <f t="shared" si="23"/>
        <v>10</v>
      </c>
      <c r="G253" s="3">
        <f>IF(E253&gt;=20,2000,1900) + D253</f>
        <v>1963</v>
      </c>
      <c r="H253">
        <f t="shared" si="24"/>
        <v>12</v>
      </c>
      <c r="I253" s="4">
        <f t="shared" si="25"/>
        <v>10</v>
      </c>
      <c r="J253">
        <f t="shared" si="26"/>
        <v>19631210</v>
      </c>
      <c r="K253" t="str">
        <f t="shared" si="27"/>
        <v>10.12.1963</v>
      </c>
    </row>
    <row r="254" spans="1:11" x14ac:dyDescent="0.25">
      <c r="A254" s="4" t="s">
        <v>280</v>
      </c>
      <c r="B254" t="s">
        <v>19</v>
      </c>
      <c r="C254" t="s">
        <v>4</v>
      </c>
      <c r="D254" s="3">
        <f t="shared" si="21"/>
        <v>56</v>
      </c>
      <c r="E254" s="4">
        <f t="shared" si="22"/>
        <v>8</v>
      </c>
      <c r="F254" s="4">
        <f t="shared" si="23"/>
        <v>8</v>
      </c>
      <c r="G254" s="3">
        <f>IF(E254&gt;=20,2000,1900) + D254</f>
        <v>1956</v>
      </c>
      <c r="H254">
        <f t="shared" si="24"/>
        <v>8</v>
      </c>
      <c r="I254" s="4">
        <f t="shared" si="25"/>
        <v>8</v>
      </c>
      <c r="J254">
        <f t="shared" si="26"/>
        <v>19560808</v>
      </c>
      <c r="K254" t="str">
        <f t="shared" si="27"/>
        <v>08.08.1956</v>
      </c>
    </row>
    <row r="255" spans="1:11" x14ac:dyDescent="0.25">
      <c r="A255" s="4" t="s">
        <v>281</v>
      </c>
      <c r="B255" t="s">
        <v>17</v>
      </c>
      <c r="C255" t="s">
        <v>4</v>
      </c>
      <c r="D255" s="3">
        <f t="shared" si="21"/>
        <v>66</v>
      </c>
      <c r="E255" s="4">
        <f t="shared" si="22"/>
        <v>10</v>
      </c>
      <c r="F255" s="4">
        <f t="shared" si="23"/>
        <v>10</v>
      </c>
      <c r="G255" s="3">
        <f>IF(E255&gt;=20,2000,1900) + D255</f>
        <v>1966</v>
      </c>
      <c r="H255">
        <f t="shared" si="24"/>
        <v>10</v>
      </c>
      <c r="I255" s="4">
        <f t="shared" si="25"/>
        <v>10</v>
      </c>
      <c r="J255">
        <f t="shared" si="26"/>
        <v>19661010</v>
      </c>
      <c r="K255" t="str">
        <f t="shared" si="27"/>
        <v>10.10.1966</v>
      </c>
    </row>
    <row r="256" spans="1:11" x14ac:dyDescent="0.25">
      <c r="A256" s="4" t="s">
        <v>282</v>
      </c>
      <c r="B256" t="s">
        <v>13</v>
      </c>
      <c r="C256" t="s">
        <v>6</v>
      </c>
      <c r="D256" s="3">
        <f t="shared" si="21"/>
        <v>65</v>
      </c>
      <c r="E256" s="4">
        <f t="shared" si="22"/>
        <v>5</v>
      </c>
      <c r="F256" s="4">
        <f t="shared" si="23"/>
        <v>23</v>
      </c>
      <c r="G256" s="3">
        <f>IF(E256&gt;=20,2000,1900) + D256</f>
        <v>1965</v>
      </c>
      <c r="H256">
        <f t="shared" si="24"/>
        <v>5</v>
      </c>
      <c r="I256" s="4">
        <f t="shared" si="25"/>
        <v>23</v>
      </c>
      <c r="J256">
        <f t="shared" si="26"/>
        <v>19650523</v>
      </c>
      <c r="K256" t="str">
        <f t="shared" si="27"/>
        <v>23.05.1965</v>
      </c>
    </row>
    <row r="257" spans="1:11" x14ac:dyDescent="0.25">
      <c r="A257" s="4" t="s">
        <v>283</v>
      </c>
      <c r="B257" t="s">
        <v>9</v>
      </c>
      <c r="C257" t="s">
        <v>6</v>
      </c>
      <c r="D257" s="3">
        <f t="shared" si="21"/>
        <v>54</v>
      </c>
      <c r="E257" s="4">
        <f t="shared" si="22"/>
        <v>6</v>
      </c>
      <c r="F257" s="4">
        <f t="shared" si="23"/>
        <v>18</v>
      </c>
      <c r="G257" s="3">
        <f>IF(E257&gt;=20,2000,1900) + D257</f>
        <v>1954</v>
      </c>
      <c r="H257">
        <f t="shared" si="24"/>
        <v>6</v>
      </c>
      <c r="I257" s="4">
        <f t="shared" si="25"/>
        <v>18</v>
      </c>
      <c r="J257">
        <f t="shared" si="26"/>
        <v>19540618</v>
      </c>
      <c r="K257" t="str">
        <f t="shared" si="27"/>
        <v>18.06.1954</v>
      </c>
    </row>
    <row r="258" spans="1:11" x14ac:dyDescent="0.25">
      <c r="A258" s="4" t="s">
        <v>284</v>
      </c>
      <c r="B258" t="s">
        <v>8</v>
      </c>
      <c r="C258" t="s">
        <v>6</v>
      </c>
      <c r="D258" s="3">
        <f t="shared" si="21"/>
        <v>90</v>
      </c>
      <c r="E258" s="4">
        <f t="shared" si="22"/>
        <v>4</v>
      </c>
      <c r="F258" s="4">
        <f t="shared" si="23"/>
        <v>22</v>
      </c>
      <c r="G258" s="3">
        <f>IF(E258&gt;=20,2000,1900) + D258</f>
        <v>1990</v>
      </c>
      <c r="H258">
        <f t="shared" si="24"/>
        <v>4</v>
      </c>
      <c r="I258" s="4">
        <f t="shared" si="25"/>
        <v>22</v>
      </c>
      <c r="J258">
        <f t="shared" si="26"/>
        <v>19900422</v>
      </c>
      <c r="K258" t="str">
        <f t="shared" si="27"/>
        <v>22.04.1990</v>
      </c>
    </row>
    <row r="259" spans="1:11" x14ac:dyDescent="0.25">
      <c r="A259" s="4" t="s">
        <v>285</v>
      </c>
      <c r="B259" t="s">
        <v>7</v>
      </c>
      <c r="C259" t="s">
        <v>6</v>
      </c>
      <c r="D259" s="3">
        <f t="shared" ref="D259:D322" si="28">MID(A259,1,2)*1</f>
        <v>58</v>
      </c>
      <c r="E259" s="4">
        <f t="shared" ref="E259:E322" si="29">MID(A259,3,2)*1</f>
        <v>1</v>
      </c>
      <c r="F259" s="4">
        <f t="shared" ref="F259:F322" si="30">MID(A259,5,2)*1</f>
        <v>22</v>
      </c>
      <c r="G259" s="3">
        <f>IF(E259&gt;=20,2000,1900) + D259</f>
        <v>1958</v>
      </c>
      <c r="H259">
        <f t="shared" ref="H259:H322" si="31">IF(E259&gt;=20,E259-20,E259)</f>
        <v>1</v>
      </c>
      <c r="I259" s="4">
        <f t="shared" ref="I259:I322" si="32">F259</f>
        <v>22</v>
      </c>
      <c r="J259">
        <f t="shared" ref="J259:J322" si="33">CONCATENATE(G259,IF(LEN(E259)=1,CONCATENATE("0",E259),E259),IF(LEN(F259)=1,CONCATENATE("0",F259),F259))*1</f>
        <v>19580122</v>
      </c>
      <c r="K259" t="str">
        <f t="shared" ref="K259:K322" si="34">CONCATENATE(RIGHT(J259,2),".",MID(J259,5,2),".",LEFT(J259,4))</f>
        <v>22.01.1958</v>
      </c>
    </row>
    <row r="260" spans="1:11" x14ac:dyDescent="0.25">
      <c r="A260" s="4" t="s">
        <v>286</v>
      </c>
      <c r="B260" t="s">
        <v>15</v>
      </c>
      <c r="C260" t="s">
        <v>4</v>
      </c>
      <c r="D260" s="3">
        <f t="shared" si="28"/>
        <v>88</v>
      </c>
      <c r="E260" s="4">
        <f t="shared" si="29"/>
        <v>2</v>
      </c>
      <c r="F260" s="4">
        <f t="shared" si="30"/>
        <v>2</v>
      </c>
      <c r="G260" s="3">
        <f>IF(E260&gt;=20,2000,1900) + D260</f>
        <v>1988</v>
      </c>
      <c r="H260">
        <f t="shared" si="31"/>
        <v>2</v>
      </c>
      <c r="I260" s="4">
        <f t="shared" si="32"/>
        <v>2</v>
      </c>
      <c r="J260">
        <f t="shared" si="33"/>
        <v>19880202</v>
      </c>
      <c r="K260" t="str">
        <f t="shared" si="34"/>
        <v>02.02.1988</v>
      </c>
    </row>
    <row r="261" spans="1:11" x14ac:dyDescent="0.25">
      <c r="A261" s="4" t="s">
        <v>287</v>
      </c>
      <c r="B261" t="s">
        <v>19</v>
      </c>
      <c r="C261" t="s">
        <v>6</v>
      </c>
      <c r="D261" s="3">
        <f t="shared" si="28"/>
        <v>74</v>
      </c>
      <c r="E261" s="4">
        <f t="shared" si="29"/>
        <v>7</v>
      </c>
      <c r="F261" s="4">
        <f t="shared" si="30"/>
        <v>23</v>
      </c>
      <c r="G261" s="3">
        <f>IF(E261&gt;=20,2000,1900) + D261</f>
        <v>1974</v>
      </c>
      <c r="H261">
        <f t="shared" si="31"/>
        <v>7</v>
      </c>
      <c r="I261" s="4">
        <f t="shared" si="32"/>
        <v>23</v>
      </c>
      <c r="J261">
        <f t="shared" si="33"/>
        <v>19740723</v>
      </c>
      <c r="K261" t="str">
        <f t="shared" si="34"/>
        <v>23.07.1974</v>
      </c>
    </row>
    <row r="262" spans="1:11" x14ac:dyDescent="0.25">
      <c r="A262" s="4" t="s">
        <v>288</v>
      </c>
      <c r="B262" t="s">
        <v>19</v>
      </c>
      <c r="C262" t="s">
        <v>6</v>
      </c>
      <c r="D262" s="3">
        <f t="shared" si="28"/>
        <v>72</v>
      </c>
      <c r="E262" s="4">
        <f t="shared" si="29"/>
        <v>12</v>
      </c>
      <c r="F262" s="4">
        <f t="shared" si="30"/>
        <v>27</v>
      </c>
      <c r="G262" s="3">
        <f>IF(E262&gt;=20,2000,1900) + D262</f>
        <v>1972</v>
      </c>
      <c r="H262">
        <f t="shared" si="31"/>
        <v>12</v>
      </c>
      <c r="I262" s="4">
        <f t="shared" si="32"/>
        <v>27</v>
      </c>
      <c r="J262">
        <f t="shared" si="33"/>
        <v>19721227</v>
      </c>
      <c r="K262" t="str">
        <f t="shared" si="34"/>
        <v>27.12.1972</v>
      </c>
    </row>
    <row r="263" spans="1:11" x14ac:dyDescent="0.25">
      <c r="A263" s="4" t="s">
        <v>289</v>
      </c>
      <c r="B263" t="s">
        <v>16</v>
      </c>
      <c r="C263" t="s">
        <v>6</v>
      </c>
      <c r="D263" s="3">
        <f t="shared" si="28"/>
        <v>76</v>
      </c>
      <c r="E263" s="4">
        <f t="shared" si="29"/>
        <v>8</v>
      </c>
      <c r="F263" s="4">
        <f t="shared" si="30"/>
        <v>18</v>
      </c>
      <c r="G263" s="3">
        <f>IF(E263&gt;=20,2000,1900) + D263</f>
        <v>1976</v>
      </c>
      <c r="H263">
        <f t="shared" si="31"/>
        <v>8</v>
      </c>
      <c r="I263" s="4">
        <f t="shared" si="32"/>
        <v>18</v>
      </c>
      <c r="J263">
        <f t="shared" si="33"/>
        <v>19760818</v>
      </c>
      <c r="K263" t="str">
        <f t="shared" si="34"/>
        <v>18.08.1976</v>
      </c>
    </row>
    <row r="264" spans="1:11" x14ac:dyDescent="0.25">
      <c r="A264" s="4" t="s">
        <v>290</v>
      </c>
      <c r="B264" t="s">
        <v>10</v>
      </c>
      <c r="C264" t="s">
        <v>6</v>
      </c>
      <c r="D264" s="3">
        <f t="shared" si="28"/>
        <v>79</v>
      </c>
      <c r="E264" s="4">
        <f t="shared" si="29"/>
        <v>4</v>
      </c>
      <c r="F264" s="4">
        <f t="shared" si="30"/>
        <v>25</v>
      </c>
      <c r="G264" s="3">
        <f>IF(E264&gt;=20,2000,1900) + D264</f>
        <v>1979</v>
      </c>
      <c r="H264">
        <f t="shared" si="31"/>
        <v>4</v>
      </c>
      <c r="I264" s="4">
        <f t="shared" si="32"/>
        <v>25</v>
      </c>
      <c r="J264">
        <f t="shared" si="33"/>
        <v>19790425</v>
      </c>
      <c r="K264" t="str">
        <f t="shared" si="34"/>
        <v>25.04.1979</v>
      </c>
    </row>
    <row r="265" spans="1:11" x14ac:dyDescent="0.25">
      <c r="A265" s="4" t="s">
        <v>291</v>
      </c>
      <c r="B265" t="s">
        <v>7</v>
      </c>
      <c r="C265" t="s">
        <v>4</v>
      </c>
      <c r="D265" s="3">
        <f t="shared" si="28"/>
        <v>57</v>
      </c>
      <c r="E265" s="4">
        <f t="shared" si="29"/>
        <v>7</v>
      </c>
      <c r="F265" s="4">
        <f t="shared" si="30"/>
        <v>17</v>
      </c>
      <c r="G265" s="3">
        <f>IF(E265&gt;=20,2000,1900) + D265</f>
        <v>1957</v>
      </c>
      <c r="H265">
        <f t="shared" si="31"/>
        <v>7</v>
      </c>
      <c r="I265" s="4">
        <f t="shared" si="32"/>
        <v>17</v>
      </c>
      <c r="J265">
        <f t="shared" si="33"/>
        <v>19570717</v>
      </c>
      <c r="K265" t="str">
        <f t="shared" si="34"/>
        <v>17.07.1957</v>
      </c>
    </row>
    <row r="266" spans="1:11" x14ac:dyDescent="0.25">
      <c r="A266" s="4" t="s">
        <v>292</v>
      </c>
      <c r="B266" t="s">
        <v>5</v>
      </c>
      <c r="C266" t="s">
        <v>4</v>
      </c>
      <c r="D266" s="3">
        <f t="shared" si="28"/>
        <v>69</v>
      </c>
      <c r="E266" s="4">
        <f t="shared" si="29"/>
        <v>4</v>
      </c>
      <c r="F266" s="4">
        <f t="shared" si="30"/>
        <v>28</v>
      </c>
      <c r="G266" s="3">
        <f>IF(E266&gt;=20,2000,1900) + D266</f>
        <v>1969</v>
      </c>
      <c r="H266">
        <f t="shared" si="31"/>
        <v>4</v>
      </c>
      <c r="I266" s="4">
        <f t="shared" si="32"/>
        <v>28</v>
      </c>
      <c r="J266">
        <f t="shared" si="33"/>
        <v>19690428</v>
      </c>
      <c r="K266" t="str">
        <f t="shared" si="34"/>
        <v>28.04.1969</v>
      </c>
    </row>
    <row r="267" spans="1:11" x14ac:dyDescent="0.25">
      <c r="A267" s="4" t="s">
        <v>293</v>
      </c>
      <c r="B267" t="s">
        <v>9</v>
      </c>
      <c r="C267" t="s">
        <v>4</v>
      </c>
      <c r="D267" s="3">
        <f t="shared" si="28"/>
        <v>51</v>
      </c>
      <c r="E267" s="4">
        <f t="shared" si="29"/>
        <v>12</v>
      </c>
      <c r="F267" s="4">
        <f t="shared" si="30"/>
        <v>28</v>
      </c>
      <c r="G267" s="3">
        <f>IF(E267&gt;=20,2000,1900) + D267</f>
        <v>1951</v>
      </c>
      <c r="H267">
        <f t="shared" si="31"/>
        <v>12</v>
      </c>
      <c r="I267" s="4">
        <f t="shared" si="32"/>
        <v>28</v>
      </c>
      <c r="J267">
        <f t="shared" si="33"/>
        <v>19511228</v>
      </c>
      <c r="K267" t="str">
        <f t="shared" si="34"/>
        <v>28.12.1951</v>
      </c>
    </row>
    <row r="268" spans="1:11" x14ac:dyDescent="0.25">
      <c r="A268" s="4" t="s">
        <v>294</v>
      </c>
      <c r="B268" t="s">
        <v>14</v>
      </c>
      <c r="C268" t="s">
        <v>6</v>
      </c>
      <c r="D268" s="3">
        <f t="shared" si="28"/>
        <v>60</v>
      </c>
      <c r="E268" s="4">
        <f t="shared" si="29"/>
        <v>10</v>
      </c>
      <c r="F268" s="4">
        <f t="shared" si="30"/>
        <v>6</v>
      </c>
      <c r="G268" s="3">
        <f>IF(E268&gt;=20,2000,1900) + D268</f>
        <v>1960</v>
      </c>
      <c r="H268">
        <f t="shared" si="31"/>
        <v>10</v>
      </c>
      <c r="I268" s="4">
        <f t="shared" si="32"/>
        <v>6</v>
      </c>
      <c r="J268">
        <f t="shared" si="33"/>
        <v>19601006</v>
      </c>
      <c r="K268" t="str">
        <f t="shared" si="34"/>
        <v>06.10.1960</v>
      </c>
    </row>
    <row r="269" spans="1:11" x14ac:dyDescent="0.25">
      <c r="A269" s="4" t="s">
        <v>295</v>
      </c>
      <c r="B269" t="s">
        <v>15</v>
      </c>
      <c r="C269" t="s">
        <v>6</v>
      </c>
      <c r="D269" s="3">
        <f t="shared" si="28"/>
        <v>71</v>
      </c>
      <c r="E269" s="4">
        <f t="shared" si="29"/>
        <v>3</v>
      </c>
      <c r="F269" s="4">
        <f t="shared" si="30"/>
        <v>26</v>
      </c>
      <c r="G269" s="3">
        <f>IF(E269&gt;=20,2000,1900) + D269</f>
        <v>1971</v>
      </c>
      <c r="H269">
        <f t="shared" si="31"/>
        <v>3</v>
      </c>
      <c r="I269" s="4">
        <f t="shared" si="32"/>
        <v>26</v>
      </c>
      <c r="J269">
        <f t="shared" si="33"/>
        <v>19710326</v>
      </c>
      <c r="K269" t="str">
        <f t="shared" si="34"/>
        <v>26.03.1971</v>
      </c>
    </row>
    <row r="270" spans="1:11" x14ac:dyDescent="0.25">
      <c r="A270" s="4" t="s">
        <v>296</v>
      </c>
      <c r="B270" t="s">
        <v>8</v>
      </c>
      <c r="C270" t="s">
        <v>4</v>
      </c>
      <c r="D270" s="3">
        <f t="shared" si="28"/>
        <v>65</v>
      </c>
      <c r="E270" s="4">
        <f t="shared" si="29"/>
        <v>2</v>
      </c>
      <c r="F270" s="4">
        <f t="shared" si="30"/>
        <v>1</v>
      </c>
      <c r="G270" s="3">
        <f>IF(E270&gt;=20,2000,1900) + D270</f>
        <v>1965</v>
      </c>
      <c r="H270">
        <f t="shared" si="31"/>
        <v>2</v>
      </c>
      <c r="I270" s="4">
        <f t="shared" si="32"/>
        <v>1</v>
      </c>
      <c r="J270">
        <f t="shared" si="33"/>
        <v>19650201</v>
      </c>
      <c r="K270" t="str">
        <f t="shared" si="34"/>
        <v>01.02.1965</v>
      </c>
    </row>
    <row r="271" spans="1:11" x14ac:dyDescent="0.25">
      <c r="A271" s="4" t="s">
        <v>297</v>
      </c>
      <c r="B271" t="s">
        <v>11</v>
      </c>
      <c r="C271" t="s">
        <v>4</v>
      </c>
      <c r="D271" s="3">
        <f t="shared" si="28"/>
        <v>96</v>
      </c>
      <c r="E271" s="4">
        <f t="shared" si="29"/>
        <v>3</v>
      </c>
      <c r="F271" s="4">
        <f t="shared" si="30"/>
        <v>7</v>
      </c>
      <c r="G271" s="3">
        <f>IF(E271&gt;=20,2000,1900) + D271</f>
        <v>1996</v>
      </c>
      <c r="H271">
        <f t="shared" si="31"/>
        <v>3</v>
      </c>
      <c r="I271" s="4">
        <f t="shared" si="32"/>
        <v>7</v>
      </c>
      <c r="J271">
        <f t="shared" si="33"/>
        <v>19960307</v>
      </c>
      <c r="K271" t="str">
        <f t="shared" si="34"/>
        <v>07.03.1996</v>
      </c>
    </row>
    <row r="272" spans="1:11" x14ac:dyDescent="0.25">
      <c r="A272" s="4" t="s">
        <v>298</v>
      </c>
      <c r="B272" t="s">
        <v>11</v>
      </c>
      <c r="C272" t="s">
        <v>6</v>
      </c>
      <c r="D272" s="3">
        <f t="shared" si="28"/>
        <v>58</v>
      </c>
      <c r="E272" s="4">
        <f t="shared" si="29"/>
        <v>7</v>
      </c>
      <c r="F272" s="4">
        <f t="shared" si="30"/>
        <v>24</v>
      </c>
      <c r="G272" s="3">
        <f>IF(E272&gt;=20,2000,1900) + D272</f>
        <v>1958</v>
      </c>
      <c r="H272">
        <f t="shared" si="31"/>
        <v>7</v>
      </c>
      <c r="I272" s="4">
        <f t="shared" si="32"/>
        <v>24</v>
      </c>
      <c r="J272">
        <f t="shared" si="33"/>
        <v>19580724</v>
      </c>
      <c r="K272" t="str">
        <f t="shared" si="34"/>
        <v>24.07.1958</v>
      </c>
    </row>
    <row r="273" spans="1:11" x14ac:dyDescent="0.25">
      <c r="A273" s="4" t="s">
        <v>299</v>
      </c>
      <c r="B273" t="s">
        <v>19</v>
      </c>
      <c r="C273" t="s">
        <v>6</v>
      </c>
      <c r="D273" s="3">
        <f t="shared" si="28"/>
        <v>76</v>
      </c>
      <c r="E273" s="4">
        <f t="shared" si="29"/>
        <v>12</v>
      </c>
      <c r="F273" s="4">
        <f t="shared" si="30"/>
        <v>19</v>
      </c>
      <c r="G273" s="3">
        <f>IF(E273&gt;=20,2000,1900) + D273</f>
        <v>1976</v>
      </c>
      <c r="H273">
        <f t="shared" si="31"/>
        <v>12</v>
      </c>
      <c r="I273" s="4">
        <f t="shared" si="32"/>
        <v>19</v>
      </c>
      <c r="J273">
        <f t="shared" si="33"/>
        <v>19761219</v>
      </c>
      <c r="K273" t="str">
        <f t="shared" si="34"/>
        <v>19.12.1976</v>
      </c>
    </row>
    <row r="274" spans="1:11" x14ac:dyDescent="0.25">
      <c r="A274" s="4" t="s">
        <v>300</v>
      </c>
      <c r="B274" t="s">
        <v>17</v>
      </c>
      <c r="C274" t="s">
        <v>4</v>
      </c>
      <c r="D274" s="3">
        <f t="shared" si="28"/>
        <v>63</v>
      </c>
      <c r="E274" s="4">
        <f t="shared" si="29"/>
        <v>10</v>
      </c>
      <c r="F274" s="4">
        <f t="shared" si="30"/>
        <v>22</v>
      </c>
      <c r="G274" s="3">
        <f>IF(E274&gt;=20,2000,1900) + D274</f>
        <v>1963</v>
      </c>
      <c r="H274">
        <f t="shared" si="31"/>
        <v>10</v>
      </c>
      <c r="I274" s="4">
        <f t="shared" si="32"/>
        <v>22</v>
      </c>
      <c r="J274">
        <f t="shared" si="33"/>
        <v>19631022</v>
      </c>
      <c r="K274" t="str">
        <f t="shared" si="34"/>
        <v>22.10.1963</v>
      </c>
    </row>
    <row r="275" spans="1:11" x14ac:dyDescent="0.25">
      <c r="A275" s="4" t="s">
        <v>301</v>
      </c>
      <c r="B275" t="s">
        <v>15</v>
      </c>
      <c r="C275" t="s">
        <v>6</v>
      </c>
      <c r="D275" s="3">
        <f t="shared" si="28"/>
        <v>60</v>
      </c>
      <c r="E275" s="4">
        <f t="shared" si="29"/>
        <v>10</v>
      </c>
      <c r="F275" s="4">
        <f t="shared" si="30"/>
        <v>20</v>
      </c>
      <c r="G275" s="3">
        <f>IF(E275&gt;=20,2000,1900) + D275</f>
        <v>1960</v>
      </c>
      <c r="H275">
        <f t="shared" si="31"/>
        <v>10</v>
      </c>
      <c r="I275" s="4">
        <f t="shared" si="32"/>
        <v>20</v>
      </c>
      <c r="J275">
        <f t="shared" si="33"/>
        <v>19601020</v>
      </c>
      <c r="K275" t="str">
        <f t="shared" si="34"/>
        <v>20.10.1960</v>
      </c>
    </row>
    <row r="276" spans="1:11" x14ac:dyDescent="0.25">
      <c r="A276" s="4" t="s">
        <v>302</v>
      </c>
      <c r="B276" t="s">
        <v>18</v>
      </c>
      <c r="C276" t="s">
        <v>4</v>
      </c>
      <c r="D276" s="3">
        <f t="shared" si="28"/>
        <v>79</v>
      </c>
      <c r="E276" s="4">
        <f t="shared" si="29"/>
        <v>11</v>
      </c>
      <c r="F276" s="4">
        <f t="shared" si="30"/>
        <v>6</v>
      </c>
      <c r="G276" s="3">
        <f>IF(E276&gt;=20,2000,1900) + D276</f>
        <v>1979</v>
      </c>
      <c r="H276">
        <f t="shared" si="31"/>
        <v>11</v>
      </c>
      <c r="I276" s="4">
        <f t="shared" si="32"/>
        <v>6</v>
      </c>
      <c r="J276">
        <f t="shared" si="33"/>
        <v>19791106</v>
      </c>
      <c r="K276" t="str">
        <f t="shared" si="34"/>
        <v>06.11.1979</v>
      </c>
    </row>
    <row r="277" spans="1:11" x14ac:dyDescent="0.25">
      <c r="A277" s="4" t="s">
        <v>303</v>
      </c>
      <c r="B277" t="s">
        <v>8</v>
      </c>
      <c r="C277" t="s">
        <v>4</v>
      </c>
      <c r="D277" s="3">
        <f t="shared" si="28"/>
        <v>56</v>
      </c>
      <c r="E277" s="4">
        <f t="shared" si="29"/>
        <v>3</v>
      </c>
      <c r="F277" s="4">
        <f t="shared" si="30"/>
        <v>13</v>
      </c>
      <c r="G277" s="3">
        <f>IF(E277&gt;=20,2000,1900) + D277</f>
        <v>1956</v>
      </c>
      <c r="H277">
        <f t="shared" si="31"/>
        <v>3</v>
      </c>
      <c r="I277" s="4">
        <f t="shared" si="32"/>
        <v>13</v>
      </c>
      <c r="J277">
        <f t="shared" si="33"/>
        <v>19560313</v>
      </c>
      <c r="K277" t="str">
        <f t="shared" si="34"/>
        <v>13.03.1956</v>
      </c>
    </row>
    <row r="278" spans="1:11" x14ac:dyDescent="0.25">
      <c r="A278" s="4" t="s">
        <v>304</v>
      </c>
      <c r="B278" t="s">
        <v>8</v>
      </c>
      <c r="C278" t="s">
        <v>6</v>
      </c>
      <c r="D278" s="3">
        <f t="shared" si="28"/>
        <v>88</v>
      </c>
      <c r="E278" s="4">
        <f t="shared" si="29"/>
        <v>3</v>
      </c>
      <c r="F278" s="4">
        <f t="shared" si="30"/>
        <v>19</v>
      </c>
      <c r="G278" s="3">
        <f>IF(E278&gt;=20,2000,1900) + D278</f>
        <v>1988</v>
      </c>
      <c r="H278">
        <f t="shared" si="31"/>
        <v>3</v>
      </c>
      <c r="I278" s="4">
        <f t="shared" si="32"/>
        <v>19</v>
      </c>
      <c r="J278">
        <f t="shared" si="33"/>
        <v>19880319</v>
      </c>
      <c r="K278" t="str">
        <f t="shared" si="34"/>
        <v>19.03.1988</v>
      </c>
    </row>
    <row r="279" spans="1:11" x14ac:dyDescent="0.25">
      <c r="A279" s="4" t="s">
        <v>305</v>
      </c>
      <c r="B279" t="s">
        <v>16</v>
      </c>
      <c r="C279" t="s">
        <v>4</v>
      </c>
      <c r="D279" s="3">
        <f t="shared" si="28"/>
        <v>60</v>
      </c>
      <c r="E279" s="4">
        <f t="shared" si="29"/>
        <v>10</v>
      </c>
      <c r="F279" s="4">
        <f t="shared" si="30"/>
        <v>2</v>
      </c>
      <c r="G279" s="3">
        <f>IF(E279&gt;=20,2000,1900) + D279</f>
        <v>1960</v>
      </c>
      <c r="H279">
        <f t="shared" si="31"/>
        <v>10</v>
      </c>
      <c r="I279" s="4">
        <f t="shared" si="32"/>
        <v>2</v>
      </c>
      <c r="J279">
        <f t="shared" si="33"/>
        <v>19601002</v>
      </c>
      <c r="K279" t="str">
        <f t="shared" si="34"/>
        <v>02.10.1960</v>
      </c>
    </row>
    <row r="280" spans="1:11" x14ac:dyDescent="0.25">
      <c r="A280" s="4" t="s">
        <v>306</v>
      </c>
      <c r="B280" t="s">
        <v>16</v>
      </c>
      <c r="C280" t="s">
        <v>6</v>
      </c>
      <c r="D280" s="3">
        <f t="shared" si="28"/>
        <v>70</v>
      </c>
      <c r="E280" s="4">
        <f t="shared" si="29"/>
        <v>8</v>
      </c>
      <c r="F280" s="4">
        <f t="shared" si="30"/>
        <v>4</v>
      </c>
      <c r="G280" s="3">
        <f>IF(E280&gt;=20,2000,1900) + D280</f>
        <v>1970</v>
      </c>
      <c r="H280">
        <f t="shared" si="31"/>
        <v>8</v>
      </c>
      <c r="I280" s="4">
        <f t="shared" si="32"/>
        <v>4</v>
      </c>
      <c r="J280">
        <f t="shared" si="33"/>
        <v>19700804</v>
      </c>
      <c r="K280" t="str">
        <f t="shared" si="34"/>
        <v>04.08.1970</v>
      </c>
    </row>
    <row r="281" spans="1:11" x14ac:dyDescent="0.25">
      <c r="A281" s="4" t="s">
        <v>307</v>
      </c>
      <c r="B281" t="s">
        <v>20</v>
      </c>
      <c r="C281" t="s">
        <v>4</v>
      </c>
      <c r="D281" s="3">
        <f t="shared" si="28"/>
        <v>71</v>
      </c>
      <c r="E281" s="4">
        <f t="shared" si="29"/>
        <v>11</v>
      </c>
      <c r="F281" s="4">
        <f t="shared" si="30"/>
        <v>19</v>
      </c>
      <c r="G281" s="3">
        <f>IF(E281&gt;=20,2000,1900) + D281</f>
        <v>1971</v>
      </c>
      <c r="H281">
        <f t="shared" si="31"/>
        <v>11</v>
      </c>
      <c r="I281" s="4">
        <f t="shared" si="32"/>
        <v>19</v>
      </c>
      <c r="J281">
        <f t="shared" si="33"/>
        <v>19711119</v>
      </c>
      <c r="K281" t="str">
        <f t="shared" si="34"/>
        <v>19.11.1971</v>
      </c>
    </row>
    <row r="282" spans="1:11" x14ac:dyDescent="0.25">
      <c r="A282" s="4" t="s">
        <v>308</v>
      </c>
      <c r="B282" t="s">
        <v>16</v>
      </c>
      <c r="C282" t="s">
        <v>4</v>
      </c>
      <c r="D282" s="3">
        <f t="shared" si="28"/>
        <v>77</v>
      </c>
      <c r="E282" s="4">
        <f t="shared" si="29"/>
        <v>4</v>
      </c>
      <c r="F282" s="4">
        <f t="shared" si="30"/>
        <v>18</v>
      </c>
      <c r="G282" s="3">
        <f>IF(E282&gt;=20,2000,1900) + D282</f>
        <v>1977</v>
      </c>
      <c r="H282">
        <f t="shared" si="31"/>
        <v>4</v>
      </c>
      <c r="I282" s="4">
        <f t="shared" si="32"/>
        <v>18</v>
      </c>
      <c r="J282">
        <f t="shared" si="33"/>
        <v>19770418</v>
      </c>
      <c r="K282" t="str">
        <f t="shared" si="34"/>
        <v>18.04.1977</v>
      </c>
    </row>
    <row r="283" spans="1:11" x14ac:dyDescent="0.25">
      <c r="A283" s="4" t="s">
        <v>309</v>
      </c>
      <c r="B283" t="s">
        <v>16</v>
      </c>
      <c r="C283" t="s">
        <v>6</v>
      </c>
      <c r="D283" s="3">
        <f t="shared" si="28"/>
        <v>61</v>
      </c>
      <c r="E283" s="4">
        <f t="shared" si="29"/>
        <v>8</v>
      </c>
      <c r="F283" s="4">
        <f t="shared" si="30"/>
        <v>24</v>
      </c>
      <c r="G283" s="3">
        <f>IF(E283&gt;=20,2000,1900) + D283</f>
        <v>1961</v>
      </c>
      <c r="H283">
        <f t="shared" si="31"/>
        <v>8</v>
      </c>
      <c r="I283" s="4">
        <f t="shared" si="32"/>
        <v>24</v>
      </c>
      <c r="J283">
        <f t="shared" si="33"/>
        <v>19610824</v>
      </c>
      <c r="K283" t="str">
        <f t="shared" si="34"/>
        <v>24.08.1961</v>
      </c>
    </row>
    <row r="284" spans="1:11" x14ac:dyDescent="0.25">
      <c r="A284" s="4" t="s">
        <v>310</v>
      </c>
      <c r="B284" t="s">
        <v>13</v>
      </c>
      <c r="C284" t="s">
        <v>4</v>
      </c>
      <c r="D284" s="3">
        <f t="shared" si="28"/>
        <v>53</v>
      </c>
      <c r="E284" s="4">
        <f t="shared" si="29"/>
        <v>8</v>
      </c>
      <c r="F284" s="4">
        <f t="shared" si="30"/>
        <v>3</v>
      </c>
      <c r="G284" s="3">
        <f>IF(E284&gt;=20,2000,1900) + D284</f>
        <v>1953</v>
      </c>
      <c r="H284">
        <f t="shared" si="31"/>
        <v>8</v>
      </c>
      <c r="I284" s="4">
        <f t="shared" si="32"/>
        <v>3</v>
      </c>
      <c r="J284">
        <f t="shared" si="33"/>
        <v>19530803</v>
      </c>
      <c r="K284" t="str">
        <f t="shared" si="34"/>
        <v>03.08.1953</v>
      </c>
    </row>
    <row r="285" spans="1:11" x14ac:dyDescent="0.25">
      <c r="A285" s="4" t="s">
        <v>311</v>
      </c>
      <c r="B285" t="s">
        <v>20</v>
      </c>
      <c r="C285" t="s">
        <v>6</v>
      </c>
      <c r="D285" s="3">
        <f t="shared" si="28"/>
        <v>81</v>
      </c>
      <c r="E285" s="4">
        <f t="shared" si="29"/>
        <v>9</v>
      </c>
      <c r="F285" s="4">
        <f t="shared" si="30"/>
        <v>21</v>
      </c>
      <c r="G285" s="3">
        <f>IF(E285&gt;=20,2000,1900) + D285</f>
        <v>1981</v>
      </c>
      <c r="H285">
        <f t="shared" si="31"/>
        <v>9</v>
      </c>
      <c r="I285" s="4">
        <f t="shared" si="32"/>
        <v>21</v>
      </c>
      <c r="J285">
        <f t="shared" si="33"/>
        <v>19810921</v>
      </c>
      <c r="K285" t="str">
        <f t="shared" si="34"/>
        <v>21.09.1981</v>
      </c>
    </row>
    <row r="286" spans="1:11" x14ac:dyDescent="0.25">
      <c r="A286" s="4" t="s">
        <v>312</v>
      </c>
      <c r="B286" t="s">
        <v>13</v>
      </c>
      <c r="C286" t="s">
        <v>4</v>
      </c>
      <c r="D286" s="3">
        <f t="shared" si="28"/>
        <v>83</v>
      </c>
      <c r="E286" s="4">
        <f t="shared" si="29"/>
        <v>10</v>
      </c>
      <c r="F286" s="4">
        <f t="shared" si="30"/>
        <v>20</v>
      </c>
      <c r="G286" s="3">
        <f>IF(E286&gt;=20,2000,1900) + D286</f>
        <v>1983</v>
      </c>
      <c r="H286">
        <f t="shared" si="31"/>
        <v>10</v>
      </c>
      <c r="I286" s="4">
        <f t="shared" si="32"/>
        <v>20</v>
      </c>
      <c r="J286">
        <f t="shared" si="33"/>
        <v>19831020</v>
      </c>
      <c r="K286" t="str">
        <f t="shared" si="34"/>
        <v>20.10.1983</v>
      </c>
    </row>
    <row r="287" spans="1:11" x14ac:dyDescent="0.25">
      <c r="A287" s="4" t="s">
        <v>313</v>
      </c>
      <c r="B287" t="s">
        <v>10</v>
      </c>
      <c r="C287" t="s">
        <v>6</v>
      </c>
      <c r="D287" s="3">
        <f t="shared" si="28"/>
        <v>57</v>
      </c>
      <c r="E287" s="4">
        <f t="shared" si="29"/>
        <v>8</v>
      </c>
      <c r="F287" s="4">
        <f t="shared" si="30"/>
        <v>7</v>
      </c>
      <c r="G287" s="3">
        <f>IF(E287&gt;=20,2000,1900) + D287</f>
        <v>1957</v>
      </c>
      <c r="H287">
        <f t="shared" si="31"/>
        <v>8</v>
      </c>
      <c r="I287" s="4">
        <f t="shared" si="32"/>
        <v>7</v>
      </c>
      <c r="J287">
        <f t="shared" si="33"/>
        <v>19570807</v>
      </c>
      <c r="K287" t="str">
        <f t="shared" si="34"/>
        <v>07.08.1957</v>
      </c>
    </row>
    <row r="288" spans="1:11" x14ac:dyDescent="0.25">
      <c r="A288" s="4" t="s">
        <v>314</v>
      </c>
      <c r="B288" t="s">
        <v>17</v>
      </c>
      <c r="C288" t="s">
        <v>4</v>
      </c>
      <c r="D288" s="3">
        <f t="shared" si="28"/>
        <v>96</v>
      </c>
      <c r="E288" s="4">
        <f t="shared" si="29"/>
        <v>9</v>
      </c>
      <c r="F288" s="4">
        <f t="shared" si="30"/>
        <v>28</v>
      </c>
      <c r="G288" s="3">
        <f>IF(E288&gt;=20,2000,1900) + D288</f>
        <v>1996</v>
      </c>
      <c r="H288">
        <f t="shared" si="31"/>
        <v>9</v>
      </c>
      <c r="I288" s="4">
        <f t="shared" si="32"/>
        <v>28</v>
      </c>
      <c r="J288">
        <f t="shared" si="33"/>
        <v>19960928</v>
      </c>
      <c r="K288" t="str">
        <f t="shared" si="34"/>
        <v>28.09.1996</v>
      </c>
    </row>
    <row r="289" spans="1:11" x14ac:dyDescent="0.25">
      <c r="A289" s="4" t="s">
        <v>315</v>
      </c>
      <c r="B289" t="s">
        <v>18</v>
      </c>
      <c r="C289" t="s">
        <v>4</v>
      </c>
      <c r="D289" s="3">
        <f t="shared" si="28"/>
        <v>61</v>
      </c>
      <c r="E289" s="4">
        <f t="shared" si="29"/>
        <v>4</v>
      </c>
      <c r="F289" s="4">
        <f t="shared" si="30"/>
        <v>8</v>
      </c>
      <c r="G289" s="3">
        <f>IF(E289&gt;=20,2000,1900) + D289</f>
        <v>1961</v>
      </c>
      <c r="H289">
        <f t="shared" si="31"/>
        <v>4</v>
      </c>
      <c r="I289" s="4">
        <f t="shared" si="32"/>
        <v>8</v>
      </c>
      <c r="J289">
        <f t="shared" si="33"/>
        <v>19610408</v>
      </c>
      <c r="K289" t="str">
        <f t="shared" si="34"/>
        <v>08.04.1961</v>
      </c>
    </row>
    <row r="290" spans="1:11" x14ac:dyDescent="0.25">
      <c r="A290" s="4" t="s">
        <v>316</v>
      </c>
      <c r="B290" t="s">
        <v>13</v>
      </c>
      <c r="C290" t="s">
        <v>6</v>
      </c>
      <c r="D290" s="3">
        <f t="shared" si="28"/>
        <v>56</v>
      </c>
      <c r="E290" s="4">
        <f t="shared" si="29"/>
        <v>11</v>
      </c>
      <c r="F290" s="4">
        <f t="shared" si="30"/>
        <v>24</v>
      </c>
      <c r="G290" s="3">
        <f>IF(E290&gt;=20,2000,1900) + D290</f>
        <v>1956</v>
      </c>
      <c r="H290">
        <f t="shared" si="31"/>
        <v>11</v>
      </c>
      <c r="I290" s="4">
        <f t="shared" si="32"/>
        <v>24</v>
      </c>
      <c r="J290">
        <f t="shared" si="33"/>
        <v>19561124</v>
      </c>
      <c r="K290" t="str">
        <f t="shared" si="34"/>
        <v>24.11.1956</v>
      </c>
    </row>
    <row r="291" spans="1:11" x14ac:dyDescent="0.25">
      <c r="A291" s="4" t="s">
        <v>317</v>
      </c>
      <c r="B291" t="s">
        <v>7</v>
      </c>
      <c r="C291" t="s">
        <v>6</v>
      </c>
      <c r="D291" s="3">
        <f t="shared" si="28"/>
        <v>73</v>
      </c>
      <c r="E291" s="4">
        <f t="shared" si="29"/>
        <v>3</v>
      </c>
      <c r="F291" s="4">
        <f t="shared" si="30"/>
        <v>31</v>
      </c>
      <c r="G291" s="3">
        <f>IF(E291&gt;=20,2000,1900) + D291</f>
        <v>1973</v>
      </c>
      <c r="H291">
        <f t="shared" si="31"/>
        <v>3</v>
      </c>
      <c r="I291" s="4">
        <f t="shared" si="32"/>
        <v>31</v>
      </c>
      <c r="J291">
        <f t="shared" si="33"/>
        <v>19730331</v>
      </c>
      <c r="K291" t="str">
        <f t="shared" si="34"/>
        <v>31.03.1973</v>
      </c>
    </row>
    <row r="292" spans="1:11" x14ac:dyDescent="0.25">
      <c r="A292" s="4" t="s">
        <v>318</v>
      </c>
      <c r="B292" t="s">
        <v>16</v>
      </c>
      <c r="C292" t="s">
        <v>4</v>
      </c>
      <c r="D292" s="3">
        <f t="shared" si="28"/>
        <v>59</v>
      </c>
      <c r="E292" s="4">
        <f t="shared" si="29"/>
        <v>7</v>
      </c>
      <c r="F292" s="4">
        <f t="shared" si="30"/>
        <v>11</v>
      </c>
      <c r="G292" s="3">
        <f>IF(E292&gt;=20,2000,1900) + D292</f>
        <v>1959</v>
      </c>
      <c r="H292">
        <f t="shared" si="31"/>
        <v>7</v>
      </c>
      <c r="I292" s="4">
        <f t="shared" si="32"/>
        <v>11</v>
      </c>
      <c r="J292">
        <f t="shared" si="33"/>
        <v>19590711</v>
      </c>
      <c r="K292" t="str">
        <f t="shared" si="34"/>
        <v>11.07.1959</v>
      </c>
    </row>
    <row r="293" spans="1:11" x14ac:dyDescent="0.25">
      <c r="A293" s="4" t="s">
        <v>319</v>
      </c>
      <c r="B293" t="s">
        <v>11</v>
      </c>
      <c r="C293" t="s">
        <v>6</v>
      </c>
      <c r="D293" s="3">
        <f t="shared" si="28"/>
        <v>53</v>
      </c>
      <c r="E293" s="4">
        <f t="shared" si="29"/>
        <v>6</v>
      </c>
      <c r="F293" s="4">
        <f t="shared" si="30"/>
        <v>26</v>
      </c>
      <c r="G293" s="3">
        <f>IF(E293&gt;=20,2000,1900) + D293</f>
        <v>1953</v>
      </c>
      <c r="H293">
        <f t="shared" si="31"/>
        <v>6</v>
      </c>
      <c r="I293" s="4">
        <f t="shared" si="32"/>
        <v>26</v>
      </c>
      <c r="J293">
        <f t="shared" si="33"/>
        <v>19530626</v>
      </c>
      <c r="K293" t="str">
        <f t="shared" si="34"/>
        <v>26.06.1953</v>
      </c>
    </row>
    <row r="294" spans="1:11" x14ac:dyDescent="0.25">
      <c r="A294" s="4" t="s">
        <v>320</v>
      </c>
      <c r="B294" t="s">
        <v>5</v>
      </c>
      <c r="C294" t="s">
        <v>6</v>
      </c>
      <c r="D294" s="3">
        <f t="shared" si="28"/>
        <v>94</v>
      </c>
      <c r="E294" s="4">
        <f t="shared" si="29"/>
        <v>9</v>
      </c>
      <c r="F294" s="4">
        <f t="shared" si="30"/>
        <v>17</v>
      </c>
      <c r="G294" s="3">
        <f>IF(E294&gt;=20,2000,1900) + D294</f>
        <v>1994</v>
      </c>
      <c r="H294">
        <f t="shared" si="31"/>
        <v>9</v>
      </c>
      <c r="I294" s="4">
        <f t="shared" si="32"/>
        <v>17</v>
      </c>
      <c r="J294">
        <f t="shared" si="33"/>
        <v>19940917</v>
      </c>
      <c r="K294" t="str">
        <f t="shared" si="34"/>
        <v>17.09.1994</v>
      </c>
    </row>
    <row r="295" spans="1:11" x14ac:dyDescent="0.25">
      <c r="A295" s="4" t="s">
        <v>321</v>
      </c>
      <c r="B295" t="s">
        <v>18</v>
      </c>
      <c r="C295" t="s">
        <v>6</v>
      </c>
      <c r="D295" s="3">
        <f t="shared" si="28"/>
        <v>66</v>
      </c>
      <c r="E295" s="4">
        <f t="shared" si="29"/>
        <v>8</v>
      </c>
      <c r="F295" s="4">
        <f t="shared" si="30"/>
        <v>24</v>
      </c>
      <c r="G295" s="3">
        <f>IF(E295&gt;=20,2000,1900) + D295</f>
        <v>1966</v>
      </c>
      <c r="H295">
        <f t="shared" si="31"/>
        <v>8</v>
      </c>
      <c r="I295" s="4">
        <f t="shared" si="32"/>
        <v>24</v>
      </c>
      <c r="J295">
        <f t="shared" si="33"/>
        <v>19660824</v>
      </c>
      <c r="K295" t="str">
        <f t="shared" si="34"/>
        <v>24.08.1966</v>
      </c>
    </row>
    <row r="296" spans="1:11" x14ac:dyDescent="0.25">
      <c r="A296" s="4" t="s">
        <v>322</v>
      </c>
      <c r="B296" t="s">
        <v>18</v>
      </c>
      <c r="C296" t="s">
        <v>4</v>
      </c>
      <c r="D296" s="3">
        <f t="shared" si="28"/>
        <v>70</v>
      </c>
      <c r="E296" s="4">
        <f t="shared" si="29"/>
        <v>12</v>
      </c>
      <c r="F296" s="4">
        <f t="shared" si="30"/>
        <v>4</v>
      </c>
      <c r="G296" s="3">
        <f>IF(E296&gt;=20,2000,1900) + D296</f>
        <v>1970</v>
      </c>
      <c r="H296">
        <f t="shared" si="31"/>
        <v>12</v>
      </c>
      <c r="I296" s="4">
        <f t="shared" si="32"/>
        <v>4</v>
      </c>
      <c r="J296">
        <f t="shared" si="33"/>
        <v>19701204</v>
      </c>
      <c r="K296" t="str">
        <f t="shared" si="34"/>
        <v>04.12.1970</v>
      </c>
    </row>
    <row r="297" spans="1:11" x14ac:dyDescent="0.25">
      <c r="A297" s="4" t="s">
        <v>323</v>
      </c>
      <c r="B297" t="s">
        <v>17</v>
      </c>
      <c r="C297" t="s">
        <v>6</v>
      </c>
      <c r="D297" s="3">
        <f t="shared" si="28"/>
        <v>99</v>
      </c>
      <c r="E297" s="4">
        <f t="shared" si="29"/>
        <v>7</v>
      </c>
      <c r="F297" s="4">
        <f t="shared" si="30"/>
        <v>23</v>
      </c>
      <c r="G297" s="3">
        <f>IF(E297&gt;=20,2000,1900) + D297</f>
        <v>1999</v>
      </c>
      <c r="H297">
        <f t="shared" si="31"/>
        <v>7</v>
      </c>
      <c r="I297" s="4">
        <f t="shared" si="32"/>
        <v>23</v>
      </c>
      <c r="J297">
        <f t="shared" si="33"/>
        <v>19990723</v>
      </c>
      <c r="K297" t="str">
        <f t="shared" si="34"/>
        <v>23.07.1999</v>
      </c>
    </row>
    <row r="298" spans="1:11" x14ac:dyDescent="0.25">
      <c r="A298" s="4" t="s">
        <v>324</v>
      </c>
      <c r="B298" t="s">
        <v>17</v>
      </c>
      <c r="C298" t="s">
        <v>4</v>
      </c>
      <c r="D298" s="3">
        <f t="shared" si="28"/>
        <v>52</v>
      </c>
      <c r="E298" s="4">
        <f t="shared" si="29"/>
        <v>3</v>
      </c>
      <c r="F298" s="4">
        <f t="shared" si="30"/>
        <v>21</v>
      </c>
      <c r="G298" s="3">
        <f>IF(E298&gt;=20,2000,1900) + D298</f>
        <v>1952</v>
      </c>
      <c r="H298">
        <f t="shared" si="31"/>
        <v>3</v>
      </c>
      <c r="I298" s="4">
        <f t="shared" si="32"/>
        <v>21</v>
      </c>
      <c r="J298">
        <f t="shared" si="33"/>
        <v>19520321</v>
      </c>
      <c r="K298" t="str">
        <f t="shared" si="34"/>
        <v>21.03.1952</v>
      </c>
    </row>
    <row r="299" spans="1:11" x14ac:dyDescent="0.25">
      <c r="A299" s="4" t="s">
        <v>325</v>
      </c>
      <c r="B299" t="s">
        <v>3</v>
      </c>
      <c r="C299" t="s">
        <v>6</v>
      </c>
      <c r="D299" s="3">
        <f t="shared" si="28"/>
        <v>89</v>
      </c>
      <c r="E299" s="4">
        <f t="shared" si="29"/>
        <v>10</v>
      </c>
      <c r="F299" s="4">
        <f t="shared" si="30"/>
        <v>11</v>
      </c>
      <c r="G299" s="3">
        <f>IF(E299&gt;=20,2000,1900) + D299</f>
        <v>1989</v>
      </c>
      <c r="H299">
        <f t="shared" si="31"/>
        <v>10</v>
      </c>
      <c r="I299" s="4">
        <f t="shared" si="32"/>
        <v>11</v>
      </c>
      <c r="J299">
        <f t="shared" si="33"/>
        <v>19891011</v>
      </c>
      <c r="K299" t="str">
        <f t="shared" si="34"/>
        <v>11.10.1989</v>
      </c>
    </row>
    <row r="300" spans="1:11" x14ac:dyDescent="0.25">
      <c r="A300" s="4" t="s">
        <v>326</v>
      </c>
      <c r="B300" t="s">
        <v>14</v>
      </c>
      <c r="C300" t="s">
        <v>6</v>
      </c>
      <c r="D300" s="3">
        <f t="shared" si="28"/>
        <v>79</v>
      </c>
      <c r="E300" s="4">
        <f t="shared" si="29"/>
        <v>8</v>
      </c>
      <c r="F300" s="4">
        <f t="shared" si="30"/>
        <v>30</v>
      </c>
      <c r="G300" s="3">
        <f>IF(E300&gt;=20,2000,1900) + D300</f>
        <v>1979</v>
      </c>
      <c r="H300">
        <f t="shared" si="31"/>
        <v>8</v>
      </c>
      <c r="I300" s="4">
        <f t="shared" si="32"/>
        <v>30</v>
      </c>
      <c r="J300">
        <f t="shared" si="33"/>
        <v>19790830</v>
      </c>
      <c r="K300" t="str">
        <f t="shared" si="34"/>
        <v>30.08.1979</v>
      </c>
    </row>
    <row r="301" spans="1:11" x14ac:dyDescent="0.25">
      <c r="A301" s="4" t="s">
        <v>327</v>
      </c>
      <c r="B301" t="s">
        <v>5</v>
      </c>
      <c r="C301" t="s">
        <v>4</v>
      </c>
      <c r="D301" s="3">
        <f t="shared" si="28"/>
        <v>93</v>
      </c>
      <c r="E301" s="4">
        <f t="shared" si="29"/>
        <v>2</v>
      </c>
      <c r="F301" s="4">
        <f t="shared" si="30"/>
        <v>15</v>
      </c>
      <c r="G301" s="3">
        <f>IF(E301&gt;=20,2000,1900) + D301</f>
        <v>1993</v>
      </c>
      <c r="H301">
        <f t="shared" si="31"/>
        <v>2</v>
      </c>
      <c r="I301" s="4">
        <f t="shared" si="32"/>
        <v>15</v>
      </c>
      <c r="J301">
        <f t="shared" si="33"/>
        <v>19930215</v>
      </c>
      <c r="K301" t="str">
        <f t="shared" si="34"/>
        <v>15.02.1993</v>
      </c>
    </row>
    <row r="302" spans="1:11" x14ac:dyDescent="0.25">
      <c r="A302" s="4" t="s">
        <v>328</v>
      </c>
      <c r="B302" t="s">
        <v>17</v>
      </c>
      <c r="C302" t="s">
        <v>4</v>
      </c>
      <c r="D302" s="3">
        <f t="shared" si="28"/>
        <v>92</v>
      </c>
      <c r="E302" s="4">
        <f t="shared" si="29"/>
        <v>11</v>
      </c>
      <c r="F302" s="4">
        <f t="shared" si="30"/>
        <v>24</v>
      </c>
      <c r="G302" s="3">
        <f>IF(E302&gt;=20,2000,1900) + D302</f>
        <v>1992</v>
      </c>
      <c r="H302">
        <f t="shared" si="31"/>
        <v>11</v>
      </c>
      <c r="I302" s="4">
        <f t="shared" si="32"/>
        <v>24</v>
      </c>
      <c r="J302">
        <f t="shared" si="33"/>
        <v>19921124</v>
      </c>
      <c r="K302" t="str">
        <f t="shared" si="34"/>
        <v>24.11.1992</v>
      </c>
    </row>
    <row r="303" spans="1:11" x14ac:dyDescent="0.25">
      <c r="A303" s="4" t="s">
        <v>329</v>
      </c>
      <c r="B303" t="s">
        <v>20</v>
      </c>
      <c r="C303" t="s">
        <v>6</v>
      </c>
      <c r="D303" s="3">
        <f t="shared" si="28"/>
        <v>51</v>
      </c>
      <c r="E303" s="4">
        <f t="shared" si="29"/>
        <v>12</v>
      </c>
      <c r="F303" s="4">
        <f t="shared" si="30"/>
        <v>11</v>
      </c>
      <c r="G303" s="3">
        <f>IF(E303&gt;=20,2000,1900) + D303</f>
        <v>1951</v>
      </c>
      <c r="H303">
        <f t="shared" si="31"/>
        <v>12</v>
      </c>
      <c r="I303" s="4">
        <f t="shared" si="32"/>
        <v>11</v>
      </c>
      <c r="J303">
        <f t="shared" si="33"/>
        <v>19511211</v>
      </c>
      <c r="K303" t="str">
        <f t="shared" si="34"/>
        <v>11.12.1951</v>
      </c>
    </row>
    <row r="304" spans="1:11" x14ac:dyDescent="0.25">
      <c r="A304" s="4" t="s">
        <v>330</v>
      </c>
      <c r="B304" t="s">
        <v>15</v>
      </c>
      <c r="C304" t="s">
        <v>6</v>
      </c>
      <c r="D304" s="3">
        <f t="shared" si="28"/>
        <v>85</v>
      </c>
      <c r="E304" s="4">
        <f t="shared" si="29"/>
        <v>11</v>
      </c>
      <c r="F304" s="4">
        <f t="shared" si="30"/>
        <v>14</v>
      </c>
      <c r="G304" s="3">
        <f>IF(E304&gt;=20,2000,1900) + D304</f>
        <v>1985</v>
      </c>
      <c r="H304">
        <f t="shared" si="31"/>
        <v>11</v>
      </c>
      <c r="I304" s="4">
        <f t="shared" si="32"/>
        <v>14</v>
      </c>
      <c r="J304">
        <f t="shared" si="33"/>
        <v>19851114</v>
      </c>
      <c r="K304" t="str">
        <f t="shared" si="34"/>
        <v>14.11.1985</v>
      </c>
    </row>
    <row r="305" spans="1:11" x14ac:dyDescent="0.25">
      <c r="A305" s="4" t="s">
        <v>331</v>
      </c>
      <c r="B305" t="s">
        <v>20</v>
      </c>
      <c r="C305" t="s">
        <v>4</v>
      </c>
      <c r="D305" s="3">
        <f t="shared" si="28"/>
        <v>98</v>
      </c>
      <c r="E305" s="4">
        <f t="shared" si="29"/>
        <v>1</v>
      </c>
      <c r="F305" s="4">
        <f t="shared" si="30"/>
        <v>20</v>
      </c>
      <c r="G305" s="3">
        <f>IF(E305&gt;=20,2000,1900) + D305</f>
        <v>1998</v>
      </c>
      <c r="H305">
        <f t="shared" si="31"/>
        <v>1</v>
      </c>
      <c r="I305" s="4">
        <f t="shared" si="32"/>
        <v>20</v>
      </c>
      <c r="J305">
        <f t="shared" si="33"/>
        <v>19980120</v>
      </c>
      <c r="K305" t="str">
        <f t="shared" si="34"/>
        <v>20.01.1998</v>
      </c>
    </row>
    <row r="306" spans="1:11" x14ac:dyDescent="0.25">
      <c r="A306" s="4" t="s">
        <v>332</v>
      </c>
      <c r="B306" t="s">
        <v>15</v>
      </c>
      <c r="C306" t="s">
        <v>4</v>
      </c>
      <c r="D306" s="3">
        <f t="shared" si="28"/>
        <v>72</v>
      </c>
      <c r="E306" s="4">
        <f t="shared" si="29"/>
        <v>7</v>
      </c>
      <c r="F306" s="4">
        <f t="shared" si="30"/>
        <v>10</v>
      </c>
      <c r="G306" s="3">
        <f>IF(E306&gt;=20,2000,1900) + D306</f>
        <v>1972</v>
      </c>
      <c r="H306">
        <f t="shared" si="31"/>
        <v>7</v>
      </c>
      <c r="I306" s="4">
        <f t="shared" si="32"/>
        <v>10</v>
      </c>
      <c r="J306">
        <f t="shared" si="33"/>
        <v>19720710</v>
      </c>
      <c r="K306" t="str">
        <f t="shared" si="34"/>
        <v>10.07.1972</v>
      </c>
    </row>
    <row r="307" spans="1:11" x14ac:dyDescent="0.25">
      <c r="A307" s="4" t="s">
        <v>333</v>
      </c>
      <c r="B307" t="s">
        <v>10</v>
      </c>
      <c r="C307" t="s">
        <v>4</v>
      </c>
      <c r="D307" s="3">
        <f t="shared" si="28"/>
        <v>69</v>
      </c>
      <c r="E307" s="4">
        <f t="shared" si="29"/>
        <v>4</v>
      </c>
      <c r="F307" s="4">
        <f t="shared" si="30"/>
        <v>9</v>
      </c>
      <c r="G307" s="3">
        <f>IF(E307&gt;=20,2000,1900) + D307</f>
        <v>1969</v>
      </c>
      <c r="H307">
        <f t="shared" si="31"/>
        <v>4</v>
      </c>
      <c r="I307" s="4">
        <f t="shared" si="32"/>
        <v>9</v>
      </c>
      <c r="J307">
        <f t="shared" si="33"/>
        <v>19690409</v>
      </c>
      <c r="K307" t="str">
        <f t="shared" si="34"/>
        <v>09.04.1969</v>
      </c>
    </row>
    <row r="308" spans="1:11" x14ac:dyDescent="0.25">
      <c r="A308" s="4" t="s">
        <v>334</v>
      </c>
      <c r="B308" t="s">
        <v>5</v>
      </c>
      <c r="C308" t="s">
        <v>4</v>
      </c>
      <c r="D308" s="3">
        <f t="shared" si="28"/>
        <v>69</v>
      </c>
      <c r="E308" s="4">
        <f t="shared" si="29"/>
        <v>9</v>
      </c>
      <c r="F308" s="4">
        <f t="shared" si="30"/>
        <v>4</v>
      </c>
      <c r="G308" s="3">
        <f>IF(E308&gt;=20,2000,1900) + D308</f>
        <v>1969</v>
      </c>
      <c r="H308">
        <f t="shared" si="31"/>
        <v>9</v>
      </c>
      <c r="I308" s="4">
        <f t="shared" si="32"/>
        <v>4</v>
      </c>
      <c r="J308">
        <f t="shared" si="33"/>
        <v>19690904</v>
      </c>
      <c r="K308" t="str">
        <f t="shared" si="34"/>
        <v>04.09.1969</v>
      </c>
    </row>
    <row r="309" spans="1:11" x14ac:dyDescent="0.25">
      <c r="A309" s="4" t="s">
        <v>335</v>
      </c>
      <c r="B309" t="s">
        <v>19</v>
      </c>
      <c r="C309" t="s">
        <v>4</v>
      </c>
      <c r="D309" s="3">
        <f t="shared" si="28"/>
        <v>50</v>
      </c>
      <c r="E309" s="4">
        <f t="shared" si="29"/>
        <v>6</v>
      </c>
      <c r="F309" s="4">
        <f t="shared" si="30"/>
        <v>21</v>
      </c>
      <c r="G309" s="3">
        <f>IF(E309&gt;=20,2000,1900) + D309</f>
        <v>1950</v>
      </c>
      <c r="H309">
        <f t="shared" si="31"/>
        <v>6</v>
      </c>
      <c r="I309" s="4">
        <f t="shared" si="32"/>
        <v>21</v>
      </c>
      <c r="J309">
        <f t="shared" si="33"/>
        <v>19500621</v>
      </c>
      <c r="K309" t="str">
        <f t="shared" si="34"/>
        <v>21.06.1950</v>
      </c>
    </row>
    <row r="310" spans="1:11" x14ac:dyDescent="0.25">
      <c r="A310" s="4" t="s">
        <v>336</v>
      </c>
      <c r="B310" t="s">
        <v>14</v>
      </c>
      <c r="C310" t="s">
        <v>6</v>
      </c>
      <c r="D310" s="3">
        <f t="shared" si="28"/>
        <v>96</v>
      </c>
      <c r="E310" s="4">
        <f t="shared" si="29"/>
        <v>12</v>
      </c>
      <c r="F310" s="4">
        <f t="shared" si="30"/>
        <v>30</v>
      </c>
      <c r="G310" s="3">
        <f>IF(E310&gt;=20,2000,1900) + D310</f>
        <v>1996</v>
      </c>
      <c r="H310">
        <f t="shared" si="31"/>
        <v>12</v>
      </c>
      <c r="I310" s="4">
        <f t="shared" si="32"/>
        <v>30</v>
      </c>
      <c r="J310">
        <f t="shared" si="33"/>
        <v>19961230</v>
      </c>
      <c r="K310" t="str">
        <f t="shared" si="34"/>
        <v>30.12.1996</v>
      </c>
    </row>
    <row r="311" spans="1:11" x14ac:dyDescent="0.25">
      <c r="A311" s="4" t="s">
        <v>337</v>
      </c>
      <c r="B311" t="s">
        <v>11</v>
      </c>
      <c r="C311" t="s">
        <v>4</v>
      </c>
      <c r="D311" s="3">
        <f t="shared" si="28"/>
        <v>50</v>
      </c>
      <c r="E311" s="4">
        <f t="shared" si="29"/>
        <v>4</v>
      </c>
      <c r="F311" s="4">
        <f t="shared" si="30"/>
        <v>7</v>
      </c>
      <c r="G311" s="3">
        <f>IF(E311&gt;=20,2000,1900) + D311</f>
        <v>1950</v>
      </c>
      <c r="H311">
        <f t="shared" si="31"/>
        <v>4</v>
      </c>
      <c r="I311" s="4">
        <f t="shared" si="32"/>
        <v>7</v>
      </c>
      <c r="J311">
        <f t="shared" si="33"/>
        <v>19500407</v>
      </c>
      <c r="K311" t="str">
        <f t="shared" si="34"/>
        <v>07.04.1950</v>
      </c>
    </row>
    <row r="312" spans="1:11" x14ac:dyDescent="0.25">
      <c r="A312" s="4" t="s">
        <v>338</v>
      </c>
      <c r="B312" t="s">
        <v>19</v>
      </c>
      <c r="C312" t="s">
        <v>4</v>
      </c>
      <c r="D312" s="3">
        <f t="shared" si="28"/>
        <v>86</v>
      </c>
      <c r="E312" s="4">
        <f t="shared" si="29"/>
        <v>6</v>
      </c>
      <c r="F312" s="4">
        <f t="shared" si="30"/>
        <v>30</v>
      </c>
      <c r="G312" s="3">
        <f>IF(E312&gt;=20,2000,1900) + D312</f>
        <v>1986</v>
      </c>
      <c r="H312">
        <f t="shared" si="31"/>
        <v>6</v>
      </c>
      <c r="I312" s="4">
        <f t="shared" si="32"/>
        <v>30</v>
      </c>
      <c r="J312">
        <f t="shared" si="33"/>
        <v>19860630</v>
      </c>
      <c r="K312" t="str">
        <f t="shared" si="34"/>
        <v>30.06.1986</v>
      </c>
    </row>
    <row r="313" spans="1:11" x14ac:dyDescent="0.25">
      <c r="A313" s="4" t="s">
        <v>339</v>
      </c>
      <c r="B313" t="s">
        <v>17</v>
      </c>
      <c r="C313" t="s">
        <v>4</v>
      </c>
      <c r="D313" s="3">
        <f t="shared" si="28"/>
        <v>64</v>
      </c>
      <c r="E313" s="4">
        <f t="shared" si="29"/>
        <v>7</v>
      </c>
      <c r="F313" s="4">
        <f t="shared" si="30"/>
        <v>5</v>
      </c>
      <c r="G313" s="3">
        <f>IF(E313&gt;=20,2000,1900) + D313</f>
        <v>1964</v>
      </c>
      <c r="H313">
        <f t="shared" si="31"/>
        <v>7</v>
      </c>
      <c r="I313" s="4">
        <f t="shared" si="32"/>
        <v>5</v>
      </c>
      <c r="J313">
        <f t="shared" si="33"/>
        <v>19640705</v>
      </c>
      <c r="K313" t="str">
        <f t="shared" si="34"/>
        <v>05.07.1964</v>
      </c>
    </row>
    <row r="314" spans="1:11" x14ac:dyDescent="0.25">
      <c r="A314" s="4" t="s">
        <v>340</v>
      </c>
      <c r="B314" t="s">
        <v>12</v>
      </c>
      <c r="C314" t="s">
        <v>4</v>
      </c>
      <c r="D314" s="3">
        <f t="shared" si="28"/>
        <v>61</v>
      </c>
      <c r="E314" s="4">
        <f t="shared" si="29"/>
        <v>11</v>
      </c>
      <c r="F314" s="4">
        <f t="shared" si="30"/>
        <v>14</v>
      </c>
      <c r="G314" s="3">
        <f>IF(E314&gt;=20,2000,1900) + D314</f>
        <v>1961</v>
      </c>
      <c r="H314">
        <f t="shared" si="31"/>
        <v>11</v>
      </c>
      <c r="I314" s="4">
        <f t="shared" si="32"/>
        <v>14</v>
      </c>
      <c r="J314">
        <f t="shared" si="33"/>
        <v>19611114</v>
      </c>
      <c r="K314" t="str">
        <f t="shared" si="34"/>
        <v>14.11.1961</v>
      </c>
    </row>
    <row r="315" spans="1:11" x14ac:dyDescent="0.25">
      <c r="A315" s="4" t="s">
        <v>341</v>
      </c>
      <c r="B315" t="s">
        <v>5</v>
      </c>
      <c r="C315" t="s">
        <v>6</v>
      </c>
      <c r="D315" s="3">
        <f t="shared" si="28"/>
        <v>55</v>
      </c>
      <c r="E315" s="4">
        <f t="shared" si="29"/>
        <v>8</v>
      </c>
      <c r="F315" s="4">
        <f t="shared" si="30"/>
        <v>14</v>
      </c>
      <c r="G315" s="3">
        <f>IF(E315&gt;=20,2000,1900) + D315</f>
        <v>1955</v>
      </c>
      <c r="H315">
        <f t="shared" si="31"/>
        <v>8</v>
      </c>
      <c r="I315" s="4">
        <f t="shared" si="32"/>
        <v>14</v>
      </c>
      <c r="J315">
        <f t="shared" si="33"/>
        <v>19550814</v>
      </c>
      <c r="K315" t="str">
        <f t="shared" si="34"/>
        <v>14.08.1955</v>
      </c>
    </row>
    <row r="316" spans="1:11" x14ac:dyDescent="0.25">
      <c r="A316" s="4" t="s">
        <v>342</v>
      </c>
      <c r="B316" t="s">
        <v>5</v>
      </c>
      <c r="C316" t="s">
        <v>6</v>
      </c>
      <c r="D316" s="3">
        <f t="shared" si="28"/>
        <v>68</v>
      </c>
      <c r="E316" s="4">
        <f t="shared" si="29"/>
        <v>10</v>
      </c>
      <c r="F316" s="4">
        <f t="shared" si="30"/>
        <v>14</v>
      </c>
      <c r="G316" s="3">
        <f>IF(E316&gt;=20,2000,1900) + D316</f>
        <v>1968</v>
      </c>
      <c r="H316">
        <f t="shared" si="31"/>
        <v>10</v>
      </c>
      <c r="I316" s="4">
        <f t="shared" si="32"/>
        <v>14</v>
      </c>
      <c r="J316">
        <f t="shared" si="33"/>
        <v>19681014</v>
      </c>
      <c r="K316" t="str">
        <f t="shared" si="34"/>
        <v>14.10.1968</v>
      </c>
    </row>
    <row r="317" spans="1:11" x14ac:dyDescent="0.25">
      <c r="A317" s="4" t="s">
        <v>343</v>
      </c>
      <c r="B317" t="s">
        <v>17</v>
      </c>
      <c r="C317" t="s">
        <v>6</v>
      </c>
      <c r="D317" s="3">
        <f t="shared" si="28"/>
        <v>96</v>
      </c>
      <c r="E317" s="4">
        <f t="shared" si="29"/>
        <v>7</v>
      </c>
      <c r="F317" s="4">
        <f t="shared" si="30"/>
        <v>21</v>
      </c>
      <c r="G317" s="3">
        <f>IF(E317&gt;=20,2000,1900) + D317</f>
        <v>1996</v>
      </c>
      <c r="H317">
        <f t="shared" si="31"/>
        <v>7</v>
      </c>
      <c r="I317" s="4">
        <f t="shared" si="32"/>
        <v>21</v>
      </c>
      <c r="J317">
        <f t="shared" si="33"/>
        <v>19960721</v>
      </c>
      <c r="K317" t="str">
        <f t="shared" si="34"/>
        <v>21.07.1996</v>
      </c>
    </row>
    <row r="318" spans="1:11" x14ac:dyDescent="0.25">
      <c r="A318" s="4" t="s">
        <v>344</v>
      </c>
      <c r="B318" t="s">
        <v>8</v>
      </c>
      <c r="C318" t="s">
        <v>6</v>
      </c>
      <c r="D318" s="3">
        <f t="shared" si="28"/>
        <v>53</v>
      </c>
      <c r="E318" s="4">
        <f t="shared" si="29"/>
        <v>11</v>
      </c>
      <c r="F318" s="4">
        <f t="shared" si="30"/>
        <v>13</v>
      </c>
      <c r="G318" s="3">
        <f>IF(E318&gt;=20,2000,1900) + D318</f>
        <v>1953</v>
      </c>
      <c r="H318">
        <f t="shared" si="31"/>
        <v>11</v>
      </c>
      <c r="I318" s="4">
        <f t="shared" si="32"/>
        <v>13</v>
      </c>
      <c r="J318">
        <f t="shared" si="33"/>
        <v>19531113</v>
      </c>
      <c r="K318" t="str">
        <f t="shared" si="34"/>
        <v>13.11.1953</v>
      </c>
    </row>
    <row r="319" spans="1:11" x14ac:dyDescent="0.25">
      <c r="A319" s="4" t="s">
        <v>345</v>
      </c>
      <c r="B319" t="s">
        <v>5</v>
      </c>
      <c r="C319" t="s">
        <v>6</v>
      </c>
      <c r="D319" s="3">
        <f t="shared" si="28"/>
        <v>66</v>
      </c>
      <c r="E319" s="4">
        <f t="shared" si="29"/>
        <v>5</v>
      </c>
      <c r="F319" s="4">
        <f t="shared" si="30"/>
        <v>4</v>
      </c>
      <c r="G319" s="3">
        <f>IF(E319&gt;=20,2000,1900) + D319</f>
        <v>1966</v>
      </c>
      <c r="H319">
        <f t="shared" si="31"/>
        <v>5</v>
      </c>
      <c r="I319" s="4">
        <f t="shared" si="32"/>
        <v>4</v>
      </c>
      <c r="J319">
        <f t="shared" si="33"/>
        <v>19660504</v>
      </c>
      <c r="K319" t="str">
        <f t="shared" si="34"/>
        <v>04.05.1966</v>
      </c>
    </row>
    <row r="320" spans="1:11" x14ac:dyDescent="0.25">
      <c r="A320" s="4" t="s">
        <v>346</v>
      </c>
      <c r="B320" t="s">
        <v>8</v>
      </c>
      <c r="C320" t="s">
        <v>6</v>
      </c>
      <c r="D320" s="3">
        <f t="shared" si="28"/>
        <v>50</v>
      </c>
      <c r="E320" s="4">
        <f t="shared" si="29"/>
        <v>11</v>
      </c>
      <c r="F320" s="4">
        <f t="shared" si="30"/>
        <v>25</v>
      </c>
      <c r="G320" s="3">
        <f>IF(E320&gt;=20,2000,1900) + D320</f>
        <v>1950</v>
      </c>
      <c r="H320">
        <f t="shared" si="31"/>
        <v>11</v>
      </c>
      <c r="I320" s="4">
        <f t="shared" si="32"/>
        <v>25</v>
      </c>
      <c r="J320">
        <f t="shared" si="33"/>
        <v>19501125</v>
      </c>
      <c r="K320" t="str">
        <f t="shared" si="34"/>
        <v>25.11.1950</v>
      </c>
    </row>
    <row r="321" spans="1:11" x14ac:dyDescent="0.25">
      <c r="A321" s="4" t="s">
        <v>347</v>
      </c>
      <c r="B321" t="s">
        <v>17</v>
      </c>
      <c r="C321" t="s">
        <v>4</v>
      </c>
      <c r="D321" s="3">
        <f t="shared" si="28"/>
        <v>66</v>
      </c>
      <c r="E321" s="4">
        <f t="shared" si="29"/>
        <v>4</v>
      </c>
      <c r="F321" s="4">
        <f t="shared" si="30"/>
        <v>15</v>
      </c>
      <c r="G321" s="3">
        <f>IF(E321&gt;=20,2000,1900) + D321</f>
        <v>1966</v>
      </c>
      <c r="H321">
        <f t="shared" si="31"/>
        <v>4</v>
      </c>
      <c r="I321" s="4">
        <f t="shared" si="32"/>
        <v>15</v>
      </c>
      <c r="J321">
        <f t="shared" si="33"/>
        <v>19660415</v>
      </c>
      <c r="K321" t="str">
        <f t="shared" si="34"/>
        <v>15.04.1966</v>
      </c>
    </row>
    <row r="322" spans="1:11" x14ac:dyDescent="0.25">
      <c r="A322" s="4" t="s">
        <v>348</v>
      </c>
      <c r="B322" t="s">
        <v>9</v>
      </c>
      <c r="C322" t="s">
        <v>4</v>
      </c>
      <c r="D322" s="3">
        <f t="shared" si="28"/>
        <v>54</v>
      </c>
      <c r="E322" s="4">
        <f t="shared" si="29"/>
        <v>11</v>
      </c>
      <c r="F322" s="4">
        <f t="shared" si="30"/>
        <v>11</v>
      </c>
      <c r="G322" s="3">
        <f>IF(E322&gt;=20,2000,1900) + D322</f>
        <v>1954</v>
      </c>
      <c r="H322">
        <f t="shared" si="31"/>
        <v>11</v>
      </c>
      <c r="I322" s="4">
        <f t="shared" si="32"/>
        <v>11</v>
      </c>
      <c r="J322">
        <f t="shared" si="33"/>
        <v>19541111</v>
      </c>
      <c r="K322" t="str">
        <f t="shared" si="34"/>
        <v>11.11.1954</v>
      </c>
    </row>
    <row r="323" spans="1:11" x14ac:dyDescent="0.25">
      <c r="A323" s="4" t="s">
        <v>349</v>
      </c>
      <c r="B323" t="s">
        <v>14</v>
      </c>
      <c r="C323" t="s">
        <v>6</v>
      </c>
      <c r="D323" s="3">
        <f t="shared" ref="D323:D386" si="35">MID(A323,1,2)*1</f>
        <v>56</v>
      </c>
      <c r="E323" s="4">
        <f t="shared" ref="E323:E386" si="36">MID(A323,3,2)*1</f>
        <v>4</v>
      </c>
      <c r="F323" s="4">
        <f t="shared" ref="F323:F386" si="37">MID(A323,5,2)*1</f>
        <v>2</v>
      </c>
      <c r="G323" s="3">
        <f>IF(E323&gt;=20,2000,1900) + D323</f>
        <v>1956</v>
      </c>
      <c r="H323">
        <f t="shared" ref="H323:H386" si="38">IF(E323&gt;=20,E323-20,E323)</f>
        <v>4</v>
      </c>
      <c r="I323" s="4">
        <f t="shared" ref="I323:I386" si="39">F323</f>
        <v>2</v>
      </c>
      <c r="J323">
        <f t="shared" ref="J323:J386" si="40">CONCATENATE(G323,IF(LEN(E323)=1,CONCATENATE("0",E323),E323),IF(LEN(F323)=1,CONCATENATE("0",F323),F323))*1</f>
        <v>19560402</v>
      </c>
      <c r="K323" t="str">
        <f t="shared" ref="K323:K386" si="41">CONCATENATE(RIGHT(J323,2),".",MID(J323,5,2),".",LEFT(J323,4))</f>
        <v>02.04.1956</v>
      </c>
    </row>
    <row r="324" spans="1:11" x14ac:dyDescent="0.25">
      <c r="A324" s="4" t="s">
        <v>350</v>
      </c>
      <c r="B324" t="s">
        <v>11</v>
      </c>
      <c r="C324" t="s">
        <v>4</v>
      </c>
      <c r="D324" s="3">
        <f t="shared" si="35"/>
        <v>78</v>
      </c>
      <c r="E324" s="4">
        <f t="shared" si="36"/>
        <v>11</v>
      </c>
      <c r="F324" s="4">
        <f t="shared" si="37"/>
        <v>14</v>
      </c>
      <c r="G324" s="3">
        <f>IF(E324&gt;=20,2000,1900) + D324</f>
        <v>1978</v>
      </c>
      <c r="H324">
        <f t="shared" si="38"/>
        <v>11</v>
      </c>
      <c r="I324" s="4">
        <f t="shared" si="39"/>
        <v>14</v>
      </c>
      <c r="J324">
        <f t="shared" si="40"/>
        <v>19781114</v>
      </c>
      <c r="K324" t="str">
        <f t="shared" si="41"/>
        <v>14.11.1978</v>
      </c>
    </row>
    <row r="325" spans="1:11" x14ac:dyDescent="0.25">
      <c r="A325" s="4" t="s">
        <v>351</v>
      </c>
      <c r="B325" t="s">
        <v>7</v>
      </c>
      <c r="C325" t="s">
        <v>6</v>
      </c>
      <c r="D325" s="3">
        <f t="shared" si="35"/>
        <v>73</v>
      </c>
      <c r="E325" s="4">
        <f t="shared" si="36"/>
        <v>7</v>
      </c>
      <c r="F325" s="4">
        <f t="shared" si="37"/>
        <v>6</v>
      </c>
      <c r="G325" s="3">
        <f>IF(E325&gt;=20,2000,1900) + D325</f>
        <v>1973</v>
      </c>
      <c r="H325">
        <f t="shared" si="38"/>
        <v>7</v>
      </c>
      <c r="I325" s="4">
        <f t="shared" si="39"/>
        <v>6</v>
      </c>
      <c r="J325">
        <f t="shared" si="40"/>
        <v>19730706</v>
      </c>
      <c r="K325" t="str">
        <f t="shared" si="41"/>
        <v>06.07.1973</v>
      </c>
    </row>
    <row r="326" spans="1:11" x14ac:dyDescent="0.25">
      <c r="A326" s="4" t="s">
        <v>352</v>
      </c>
      <c r="B326" t="s">
        <v>14</v>
      </c>
      <c r="C326" t="s">
        <v>6</v>
      </c>
      <c r="D326" s="3">
        <f t="shared" si="35"/>
        <v>61</v>
      </c>
      <c r="E326" s="4">
        <f t="shared" si="36"/>
        <v>4</v>
      </c>
      <c r="F326" s="4">
        <f t="shared" si="37"/>
        <v>24</v>
      </c>
      <c r="G326" s="3">
        <f>IF(E326&gt;=20,2000,1900) + D326</f>
        <v>1961</v>
      </c>
      <c r="H326">
        <f t="shared" si="38"/>
        <v>4</v>
      </c>
      <c r="I326" s="4">
        <f t="shared" si="39"/>
        <v>24</v>
      </c>
      <c r="J326">
        <f t="shared" si="40"/>
        <v>19610424</v>
      </c>
      <c r="K326" t="str">
        <f t="shared" si="41"/>
        <v>24.04.1961</v>
      </c>
    </row>
    <row r="327" spans="1:11" x14ac:dyDescent="0.25">
      <c r="A327" s="4" t="s">
        <v>353</v>
      </c>
      <c r="B327" t="s">
        <v>19</v>
      </c>
      <c r="C327" t="s">
        <v>4</v>
      </c>
      <c r="D327" s="3">
        <f t="shared" si="35"/>
        <v>81</v>
      </c>
      <c r="E327" s="4">
        <f t="shared" si="36"/>
        <v>5</v>
      </c>
      <c r="F327" s="4">
        <f t="shared" si="37"/>
        <v>8</v>
      </c>
      <c r="G327" s="3">
        <f>IF(E327&gt;=20,2000,1900) + D327</f>
        <v>1981</v>
      </c>
      <c r="H327">
        <f t="shared" si="38"/>
        <v>5</v>
      </c>
      <c r="I327" s="4">
        <f t="shared" si="39"/>
        <v>8</v>
      </c>
      <c r="J327">
        <f t="shared" si="40"/>
        <v>19810508</v>
      </c>
      <c r="K327" t="str">
        <f t="shared" si="41"/>
        <v>08.05.1981</v>
      </c>
    </row>
    <row r="328" spans="1:11" x14ac:dyDescent="0.25">
      <c r="A328" s="4" t="s">
        <v>354</v>
      </c>
      <c r="B328" t="s">
        <v>9</v>
      </c>
      <c r="C328" t="s">
        <v>4</v>
      </c>
      <c r="D328" s="3">
        <f t="shared" si="35"/>
        <v>58</v>
      </c>
      <c r="E328" s="4">
        <f t="shared" si="36"/>
        <v>9</v>
      </c>
      <c r="F328" s="4">
        <f t="shared" si="37"/>
        <v>18</v>
      </c>
      <c r="G328" s="3">
        <f>IF(E328&gt;=20,2000,1900) + D328</f>
        <v>1958</v>
      </c>
      <c r="H328">
        <f t="shared" si="38"/>
        <v>9</v>
      </c>
      <c r="I328" s="4">
        <f t="shared" si="39"/>
        <v>18</v>
      </c>
      <c r="J328">
        <f t="shared" si="40"/>
        <v>19580918</v>
      </c>
      <c r="K328" t="str">
        <f t="shared" si="41"/>
        <v>18.09.1958</v>
      </c>
    </row>
    <row r="329" spans="1:11" x14ac:dyDescent="0.25">
      <c r="A329" s="4" t="s">
        <v>355</v>
      </c>
      <c r="B329" t="s">
        <v>5</v>
      </c>
      <c r="C329" t="s">
        <v>6</v>
      </c>
      <c r="D329" s="3">
        <f t="shared" si="35"/>
        <v>66</v>
      </c>
      <c r="E329" s="4">
        <f t="shared" si="36"/>
        <v>8</v>
      </c>
      <c r="F329" s="4">
        <f t="shared" si="37"/>
        <v>22</v>
      </c>
      <c r="G329" s="3">
        <f>IF(E329&gt;=20,2000,1900) + D329</f>
        <v>1966</v>
      </c>
      <c r="H329">
        <f t="shared" si="38"/>
        <v>8</v>
      </c>
      <c r="I329" s="4">
        <f t="shared" si="39"/>
        <v>22</v>
      </c>
      <c r="J329">
        <f t="shared" si="40"/>
        <v>19660822</v>
      </c>
      <c r="K329" t="str">
        <f t="shared" si="41"/>
        <v>22.08.1966</v>
      </c>
    </row>
    <row r="330" spans="1:11" x14ac:dyDescent="0.25">
      <c r="A330" s="4" t="s">
        <v>356</v>
      </c>
      <c r="B330" t="s">
        <v>17</v>
      </c>
      <c r="C330" t="s">
        <v>6</v>
      </c>
      <c r="D330" s="3">
        <f t="shared" si="35"/>
        <v>69</v>
      </c>
      <c r="E330" s="4">
        <f t="shared" si="36"/>
        <v>2</v>
      </c>
      <c r="F330" s="4">
        <f t="shared" si="37"/>
        <v>5</v>
      </c>
      <c r="G330" s="3">
        <f>IF(E330&gt;=20,2000,1900) + D330</f>
        <v>1969</v>
      </c>
      <c r="H330">
        <f t="shared" si="38"/>
        <v>2</v>
      </c>
      <c r="I330" s="4">
        <f t="shared" si="39"/>
        <v>5</v>
      </c>
      <c r="J330">
        <f t="shared" si="40"/>
        <v>19690205</v>
      </c>
      <c r="K330" t="str">
        <f t="shared" si="41"/>
        <v>05.02.1969</v>
      </c>
    </row>
    <row r="331" spans="1:11" x14ac:dyDescent="0.25">
      <c r="A331" s="4" t="s">
        <v>357</v>
      </c>
      <c r="B331" t="s">
        <v>10</v>
      </c>
      <c r="C331" t="s">
        <v>4</v>
      </c>
      <c r="D331" s="3">
        <f t="shared" si="35"/>
        <v>57</v>
      </c>
      <c r="E331" s="4">
        <f t="shared" si="36"/>
        <v>11</v>
      </c>
      <c r="F331" s="4">
        <f t="shared" si="37"/>
        <v>14</v>
      </c>
      <c r="G331" s="3">
        <f>IF(E331&gt;=20,2000,1900) + D331</f>
        <v>1957</v>
      </c>
      <c r="H331">
        <f t="shared" si="38"/>
        <v>11</v>
      </c>
      <c r="I331" s="4">
        <f t="shared" si="39"/>
        <v>14</v>
      </c>
      <c r="J331">
        <f t="shared" si="40"/>
        <v>19571114</v>
      </c>
      <c r="K331" t="str">
        <f t="shared" si="41"/>
        <v>14.11.1957</v>
      </c>
    </row>
    <row r="332" spans="1:11" x14ac:dyDescent="0.25">
      <c r="A332" s="4" t="s">
        <v>358</v>
      </c>
      <c r="B332" t="s">
        <v>12</v>
      </c>
      <c r="C332" t="s">
        <v>4</v>
      </c>
      <c r="D332" s="3">
        <f t="shared" si="35"/>
        <v>52</v>
      </c>
      <c r="E332" s="4">
        <f t="shared" si="36"/>
        <v>11</v>
      </c>
      <c r="F332" s="4">
        <f t="shared" si="37"/>
        <v>7</v>
      </c>
      <c r="G332" s="3">
        <f>IF(E332&gt;=20,2000,1900) + D332</f>
        <v>1952</v>
      </c>
      <c r="H332">
        <f t="shared" si="38"/>
        <v>11</v>
      </c>
      <c r="I332" s="4">
        <f t="shared" si="39"/>
        <v>7</v>
      </c>
      <c r="J332">
        <f t="shared" si="40"/>
        <v>19521107</v>
      </c>
      <c r="K332" t="str">
        <f t="shared" si="41"/>
        <v>07.11.1952</v>
      </c>
    </row>
    <row r="333" spans="1:11" x14ac:dyDescent="0.25">
      <c r="A333" s="4" t="s">
        <v>359</v>
      </c>
      <c r="B333" t="s">
        <v>19</v>
      </c>
      <c r="C333" t="s">
        <v>4</v>
      </c>
      <c r="D333" s="3">
        <f t="shared" si="35"/>
        <v>93</v>
      </c>
      <c r="E333" s="4">
        <f t="shared" si="36"/>
        <v>1</v>
      </c>
      <c r="F333" s="4">
        <f t="shared" si="37"/>
        <v>12</v>
      </c>
      <c r="G333" s="3">
        <f>IF(E333&gt;=20,2000,1900) + D333</f>
        <v>1993</v>
      </c>
      <c r="H333">
        <f t="shared" si="38"/>
        <v>1</v>
      </c>
      <c r="I333" s="4">
        <f t="shared" si="39"/>
        <v>12</v>
      </c>
      <c r="J333">
        <f t="shared" si="40"/>
        <v>19930112</v>
      </c>
      <c r="K333" t="str">
        <f t="shared" si="41"/>
        <v>12.01.1993</v>
      </c>
    </row>
    <row r="334" spans="1:11" x14ac:dyDescent="0.25">
      <c r="A334" s="4" t="s">
        <v>360</v>
      </c>
      <c r="B334" t="s">
        <v>12</v>
      </c>
      <c r="C334" t="s">
        <v>6</v>
      </c>
      <c r="D334" s="3">
        <f t="shared" si="35"/>
        <v>96</v>
      </c>
      <c r="E334" s="4">
        <f t="shared" si="36"/>
        <v>12</v>
      </c>
      <c r="F334" s="4">
        <f t="shared" si="37"/>
        <v>19</v>
      </c>
      <c r="G334" s="3">
        <f>IF(E334&gt;=20,2000,1900) + D334</f>
        <v>1996</v>
      </c>
      <c r="H334">
        <f t="shared" si="38"/>
        <v>12</v>
      </c>
      <c r="I334" s="4">
        <f t="shared" si="39"/>
        <v>19</v>
      </c>
      <c r="J334">
        <f t="shared" si="40"/>
        <v>19961219</v>
      </c>
      <c r="K334" t="str">
        <f t="shared" si="41"/>
        <v>19.12.1996</v>
      </c>
    </row>
    <row r="335" spans="1:11" x14ac:dyDescent="0.25">
      <c r="A335" s="4" t="s">
        <v>361</v>
      </c>
      <c r="B335" t="s">
        <v>17</v>
      </c>
      <c r="C335" t="s">
        <v>6</v>
      </c>
      <c r="D335" s="3">
        <f t="shared" si="35"/>
        <v>79</v>
      </c>
      <c r="E335" s="4">
        <f t="shared" si="36"/>
        <v>6</v>
      </c>
      <c r="F335" s="4">
        <f t="shared" si="37"/>
        <v>16</v>
      </c>
      <c r="G335" s="3">
        <f>IF(E335&gt;=20,2000,1900) + D335</f>
        <v>1979</v>
      </c>
      <c r="H335">
        <f t="shared" si="38"/>
        <v>6</v>
      </c>
      <c r="I335" s="4">
        <f t="shared" si="39"/>
        <v>16</v>
      </c>
      <c r="J335">
        <f t="shared" si="40"/>
        <v>19790616</v>
      </c>
      <c r="K335" t="str">
        <f t="shared" si="41"/>
        <v>16.06.1979</v>
      </c>
    </row>
    <row r="336" spans="1:11" x14ac:dyDescent="0.25">
      <c r="A336" s="4" t="s">
        <v>362</v>
      </c>
      <c r="B336" t="s">
        <v>5</v>
      </c>
      <c r="C336" t="s">
        <v>4</v>
      </c>
      <c r="D336" s="3">
        <f t="shared" si="35"/>
        <v>90</v>
      </c>
      <c r="E336" s="4">
        <f t="shared" si="36"/>
        <v>8</v>
      </c>
      <c r="F336" s="4">
        <f t="shared" si="37"/>
        <v>29</v>
      </c>
      <c r="G336" s="3">
        <f>IF(E336&gt;=20,2000,1900) + D336</f>
        <v>1990</v>
      </c>
      <c r="H336">
        <f t="shared" si="38"/>
        <v>8</v>
      </c>
      <c r="I336" s="4">
        <f t="shared" si="39"/>
        <v>29</v>
      </c>
      <c r="J336">
        <f t="shared" si="40"/>
        <v>19900829</v>
      </c>
      <c r="K336" t="str">
        <f t="shared" si="41"/>
        <v>29.08.1990</v>
      </c>
    </row>
    <row r="337" spans="1:11" x14ac:dyDescent="0.25">
      <c r="A337" s="4" t="s">
        <v>363</v>
      </c>
      <c r="B337" t="s">
        <v>19</v>
      </c>
      <c r="C337" t="s">
        <v>4</v>
      </c>
      <c r="D337" s="3">
        <f t="shared" si="35"/>
        <v>86</v>
      </c>
      <c r="E337" s="4">
        <f t="shared" si="36"/>
        <v>1</v>
      </c>
      <c r="F337" s="4">
        <f t="shared" si="37"/>
        <v>8</v>
      </c>
      <c r="G337" s="3">
        <f>IF(E337&gt;=20,2000,1900) + D337</f>
        <v>1986</v>
      </c>
      <c r="H337">
        <f t="shared" si="38"/>
        <v>1</v>
      </c>
      <c r="I337" s="4">
        <f t="shared" si="39"/>
        <v>8</v>
      </c>
      <c r="J337">
        <f t="shared" si="40"/>
        <v>19860108</v>
      </c>
      <c r="K337" t="str">
        <f t="shared" si="41"/>
        <v>08.01.1986</v>
      </c>
    </row>
    <row r="338" spans="1:11" x14ac:dyDescent="0.25">
      <c r="A338" s="4" t="s">
        <v>364</v>
      </c>
      <c r="B338" t="s">
        <v>13</v>
      </c>
      <c r="C338" t="s">
        <v>4</v>
      </c>
      <c r="D338" s="3">
        <f t="shared" si="35"/>
        <v>60</v>
      </c>
      <c r="E338" s="4">
        <f t="shared" si="36"/>
        <v>5</v>
      </c>
      <c r="F338" s="4">
        <f t="shared" si="37"/>
        <v>14</v>
      </c>
      <c r="G338" s="3">
        <f>IF(E338&gt;=20,2000,1900) + D338</f>
        <v>1960</v>
      </c>
      <c r="H338">
        <f t="shared" si="38"/>
        <v>5</v>
      </c>
      <c r="I338" s="4">
        <f t="shared" si="39"/>
        <v>14</v>
      </c>
      <c r="J338">
        <f t="shared" si="40"/>
        <v>19600514</v>
      </c>
      <c r="K338" t="str">
        <f t="shared" si="41"/>
        <v>14.05.1960</v>
      </c>
    </row>
    <row r="339" spans="1:11" x14ac:dyDescent="0.25">
      <c r="A339" s="4" t="s">
        <v>365</v>
      </c>
      <c r="B339" t="s">
        <v>13</v>
      </c>
      <c r="C339" t="s">
        <v>6</v>
      </c>
      <c r="D339" s="3">
        <f t="shared" si="35"/>
        <v>78</v>
      </c>
      <c r="E339" s="4">
        <f t="shared" si="36"/>
        <v>1</v>
      </c>
      <c r="F339" s="4">
        <f t="shared" si="37"/>
        <v>26</v>
      </c>
      <c r="G339" s="3">
        <f>IF(E339&gt;=20,2000,1900) + D339</f>
        <v>1978</v>
      </c>
      <c r="H339">
        <f t="shared" si="38"/>
        <v>1</v>
      </c>
      <c r="I339" s="4">
        <f t="shared" si="39"/>
        <v>26</v>
      </c>
      <c r="J339">
        <f t="shared" si="40"/>
        <v>19780126</v>
      </c>
      <c r="K339" t="str">
        <f t="shared" si="41"/>
        <v>26.01.1978</v>
      </c>
    </row>
    <row r="340" spans="1:11" x14ac:dyDescent="0.25">
      <c r="A340" s="4" t="s">
        <v>366</v>
      </c>
      <c r="B340" t="s">
        <v>20</v>
      </c>
      <c r="C340" t="s">
        <v>6</v>
      </c>
      <c r="D340" s="3">
        <f t="shared" si="35"/>
        <v>85</v>
      </c>
      <c r="E340" s="4">
        <f t="shared" si="36"/>
        <v>12</v>
      </c>
      <c r="F340" s="4">
        <f t="shared" si="37"/>
        <v>2</v>
      </c>
      <c r="G340" s="3">
        <f>IF(E340&gt;=20,2000,1900) + D340</f>
        <v>1985</v>
      </c>
      <c r="H340">
        <f t="shared" si="38"/>
        <v>12</v>
      </c>
      <c r="I340" s="4">
        <f t="shared" si="39"/>
        <v>2</v>
      </c>
      <c r="J340">
        <f t="shared" si="40"/>
        <v>19851202</v>
      </c>
      <c r="K340" t="str">
        <f t="shared" si="41"/>
        <v>02.12.1985</v>
      </c>
    </row>
    <row r="341" spans="1:11" x14ac:dyDescent="0.25">
      <c r="A341" s="4" t="s">
        <v>367</v>
      </c>
      <c r="B341" t="s">
        <v>19</v>
      </c>
      <c r="C341" t="s">
        <v>4</v>
      </c>
      <c r="D341" s="3">
        <f t="shared" si="35"/>
        <v>52</v>
      </c>
      <c r="E341" s="4">
        <f t="shared" si="36"/>
        <v>4</v>
      </c>
      <c r="F341" s="4">
        <f t="shared" si="37"/>
        <v>25</v>
      </c>
      <c r="G341" s="3">
        <f>IF(E341&gt;=20,2000,1900) + D341</f>
        <v>1952</v>
      </c>
      <c r="H341">
        <f t="shared" si="38"/>
        <v>4</v>
      </c>
      <c r="I341" s="4">
        <f t="shared" si="39"/>
        <v>25</v>
      </c>
      <c r="J341">
        <f t="shared" si="40"/>
        <v>19520425</v>
      </c>
      <c r="K341" t="str">
        <f t="shared" si="41"/>
        <v>25.04.1952</v>
      </c>
    </row>
    <row r="342" spans="1:11" x14ac:dyDescent="0.25">
      <c r="A342" s="4" t="s">
        <v>368</v>
      </c>
      <c r="B342" t="s">
        <v>10</v>
      </c>
      <c r="C342" t="s">
        <v>4</v>
      </c>
      <c r="D342" s="3">
        <f t="shared" si="35"/>
        <v>60</v>
      </c>
      <c r="E342" s="4">
        <f t="shared" si="36"/>
        <v>9</v>
      </c>
      <c r="F342" s="4">
        <f t="shared" si="37"/>
        <v>18</v>
      </c>
      <c r="G342" s="3">
        <f>IF(E342&gt;=20,2000,1900) + D342</f>
        <v>1960</v>
      </c>
      <c r="H342">
        <f t="shared" si="38"/>
        <v>9</v>
      </c>
      <c r="I342" s="4">
        <f t="shared" si="39"/>
        <v>18</v>
      </c>
      <c r="J342">
        <f t="shared" si="40"/>
        <v>19600918</v>
      </c>
      <c r="K342" t="str">
        <f t="shared" si="41"/>
        <v>18.09.1960</v>
      </c>
    </row>
    <row r="343" spans="1:11" x14ac:dyDescent="0.25">
      <c r="A343" s="4" t="s">
        <v>369</v>
      </c>
      <c r="B343" t="s">
        <v>10</v>
      </c>
      <c r="C343" t="s">
        <v>4</v>
      </c>
      <c r="D343" s="3">
        <f t="shared" si="35"/>
        <v>80</v>
      </c>
      <c r="E343" s="4">
        <f t="shared" si="36"/>
        <v>2</v>
      </c>
      <c r="F343" s="4">
        <f t="shared" si="37"/>
        <v>15</v>
      </c>
      <c r="G343" s="3">
        <f>IF(E343&gt;=20,2000,1900) + D343</f>
        <v>1980</v>
      </c>
      <c r="H343">
        <f t="shared" si="38"/>
        <v>2</v>
      </c>
      <c r="I343" s="4">
        <f t="shared" si="39"/>
        <v>15</v>
      </c>
      <c r="J343">
        <f t="shared" si="40"/>
        <v>19800215</v>
      </c>
      <c r="K343" t="str">
        <f t="shared" si="41"/>
        <v>15.02.1980</v>
      </c>
    </row>
    <row r="344" spans="1:11" x14ac:dyDescent="0.25">
      <c r="A344" s="4" t="s">
        <v>370</v>
      </c>
      <c r="B344" t="s">
        <v>10</v>
      </c>
      <c r="C344" t="s">
        <v>6</v>
      </c>
      <c r="D344" s="3">
        <f t="shared" si="35"/>
        <v>62</v>
      </c>
      <c r="E344" s="4">
        <f t="shared" si="36"/>
        <v>1</v>
      </c>
      <c r="F344" s="4">
        <f t="shared" si="37"/>
        <v>19</v>
      </c>
      <c r="G344" s="3">
        <f>IF(E344&gt;=20,2000,1900) + D344</f>
        <v>1962</v>
      </c>
      <c r="H344">
        <f t="shared" si="38"/>
        <v>1</v>
      </c>
      <c r="I344" s="4">
        <f t="shared" si="39"/>
        <v>19</v>
      </c>
      <c r="J344">
        <f t="shared" si="40"/>
        <v>19620119</v>
      </c>
      <c r="K344" t="str">
        <f t="shared" si="41"/>
        <v>19.01.1962</v>
      </c>
    </row>
    <row r="345" spans="1:11" x14ac:dyDescent="0.25">
      <c r="A345" s="4" t="s">
        <v>371</v>
      </c>
      <c r="B345" t="s">
        <v>19</v>
      </c>
      <c r="C345" t="s">
        <v>4</v>
      </c>
      <c r="D345" s="3">
        <f t="shared" si="35"/>
        <v>78</v>
      </c>
      <c r="E345" s="4">
        <f t="shared" si="36"/>
        <v>9</v>
      </c>
      <c r="F345" s="4">
        <f t="shared" si="37"/>
        <v>28</v>
      </c>
      <c r="G345" s="3">
        <f>IF(E345&gt;=20,2000,1900) + D345</f>
        <v>1978</v>
      </c>
      <c r="H345">
        <f t="shared" si="38"/>
        <v>9</v>
      </c>
      <c r="I345" s="4">
        <f t="shared" si="39"/>
        <v>28</v>
      </c>
      <c r="J345">
        <f t="shared" si="40"/>
        <v>19780928</v>
      </c>
      <c r="K345" t="str">
        <f t="shared" si="41"/>
        <v>28.09.1978</v>
      </c>
    </row>
    <row r="346" spans="1:11" x14ac:dyDescent="0.25">
      <c r="A346" s="4" t="s">
        <v>372</v>
      </c>
      <c r="B346" t="s">
        <v>3</v>
      </c>
      <c r="C346" t="s">
        <v>4</v>
      </c>
      <c r="D346" s="3">
        <f t="shared" si="35"/>
        <v>69</v>
      </c>
      <c r="E346" s="4">
        <f t="shared" si="36"/>
        <v>6</v>
      </c>
      <c r="F346" s="4">
        <f t="shared" si="37"/>
        <v>5</v>
      </c>
      <c r="G346" s="3">
        <f>IF(E346&gt;=20,2000,1900) + D346</f>
        <v>1969</v>
      </c>
      <c r="H346">
        <f t="shared" si="38"/>
        <v>6</v>
      </c>
      <c r="I346" s="4">
        <f t="shared" si="39"/>
        <v>5</v>
      </c>
      <c r="J346">
        <f t="shared" si="40"/>
        <v>19690605</v>
      </c>
      <c r="K346" t="str">
        <f t="shared" si="41"/>
        <v>05.06.1969</v>
      </c>
    </row>
    <row r="347" spans="1:11" x14ac:dyDescent="0.25">
      <c r="A347" s="4" t="s">
        <v>373</v>
      </c>
      <c r="B347" t="s">
        <v>13</v>
      </c>
      <c r="C347" t="s">
        <v>4</v>
      </c>
      <c r="D347" s="3">
        <f t="shared" si="35"/>
        <v>54</v>
      </c>
      <c r="E347" s="4">
        <f t="shared" si="36"/>
        <v>1</v>
      </c>
      <c r="F347" s="4">
        <f t="shared" si="37"/>
        <v>20</v>
      </c>
      <c r="G347" s="3">
        <f>IF(E347&gt;=20,2000,1900) + D347</f>
        <v>1954</v>
      </c>
      <c r="H347">
        <f t="shared" si="38"/>
        <v>1</v>
      </c>
      <c r="I347" s="4">
        <f t="shared" si="39"/>
        <v>20</v>
      </c>
      <c r="J347">
        <f t="shared" si="40"/>
        <v>19540120</v>
      </c>
      <c r="K347" t="str">
        <f t="shared" si="41"/>
        <v>20.01.1954</v>
      </c>
    </row>
    <row r="348" spans="1:11" x14ac:dyDescent="0.25">
      <c r="A348" s="4" t="s">
        <v>374</v>
      </c>
      <c r="B348" t="s">
        <v>11</v>
      </c>
      <c r="C348" t="s">
        <v>6</v>
      </c>
      <c r="D348" s="3">
        <f t="shared" si="35"/>
        <v>71</v>
      </c>
      <c r="E348" s="4">
        <f t="shared" si="36"/>
        <v>12</v>
      </c>
      <c r="F348" s="4">
        <f t="shared" si="37"/>
        <v>7</v>
      </c>
      <c r="G348" s="3">
        <f>IF(E348&gt;=20,2000,1900) + D348</f>
        <v>1971</v>
      </c>
      <c r="H348">
        <f t="shared" si="38"/>
        <v>12</v>
      </c>
      <c r="I348" s="4">
        <f t="shared" si="39"/>
        <v>7</v>
      </c>
      <c r="J348">
        <f t="shared" si="40"/>
        <v>19711207</v>
      </c>
      <c r="K348" t="str">
        <f t="shared" si="41"/>
        <v>07.12.1971</v>
      </c>
    </row>
    <row r="349" spans="1:11" x14ac:dyDescent="0.25">
      <c r="A349" s="4" t="s">
        <v>375</v>
      </c>
      <c r="B349" t="s">
        <v>13</v>
      </c>
      <c r="C349" t="s">
        <v>4</v>
      </c>
      <c r="D349" s="3">
        <f t="shared" si="35"/>
        <v>97</v>
      </c>
      <c r="E349" s="4">
        <f t="shared" si="36"/>
        <v>8</v>
      </c>
      <c r="F349" s="4">
        <f t="shared" si="37"/>
        <v>25</v>
      </c>
      <c r="G349" s="3">
        <f>IF(E349&gt;=20,2000,1900) + D349</f>
        <v>1997</v>
      </c>
      <c r="H349">
        <f t="shared" si="38"/>
        <v>8</v>
      </c>
      <c r="I349" s="4">
        <f t="shared" si="39"/>
        <v>25</v>
      </c>
      <c r="J349">
        <f t="shared" si="40"/>
        <v>19970825</v>
      </c>
      <c r="K349" t="str">
        <f t="shared" si="41"/>
        <v>25.08.1997</v>
      </c>
    </row>
    <row r="350" spans="1:11" x14ac:dyDescent="0.25">
      <c r="A350" s="4" t="s">
        <v>376</v>
      </c>
      <c r="B350" t="s">
        <v>16</v>
      </c>
      <c r="C350" t="s">
        <v>4</v>
      </c>
      <c r="D350" s="3">
        <f t="shared" si="35"/>
        <v>83</v>
      </c>
      <c r="E350" s="4">
        <f t="shared" si="36"/>
        <v>9</v>
      </c>
      <c r="F350" s="4">
        <f t="shared" si="37"/>
        <v>20</v>
      </c>
      <c r="G350" s="3">
        <f>IF(E350&gt;=20,2000,1900) + D350</f>
        <v>1983</v>
      </c>
      <c r="H350">
        <f t="shared" si="38"/>
        <v>9</v>
      </c>
      <c r="I350" s="4">
        <f t="shared" si="39"/>
        <v>20</v>
      </c>
      <c r="J350">
        <f t="shared" si="40"/>
        <v>19830920</v>
      </c>
      <c r="K350" t="str">
        <f t="shared" si="41"/>
        <v>20.09.1983</v>
      </c>
    </row>
    <row r="351" spans="1:11" x14ac:dyDescent="0.25">
      <c r="A351" s="4" t="s">
        <v>377</v>
      </c>
      <c r="B351" t="s">
        <v>19</v>
      </c>
      <c r="C351" t="s">
        <v>6</v>
      </c>
      <c r="D351" s="3">
        <f t="shared" si="35"/>
        <v>63</v>
      </c>
      <c r="E351" s="4">
        <f t="shared" si="36"/>
        <v>1</v>
      </c>
      <c r="F351" s="4">
        <f t="shared" si="37"/>
        <v>12</v>
      </c>
      <c r="G351" s="3">
        <f>IF(E351&gt;=20,2000,1900) + D351</f>
        <v>1963</v>
      </c>
      <c r="H351">
        <f t="shared" si="38"/>
        <v>1</v>
      </c>
      <c r="I351" s="4">
        <f t="shared" si="39"/>
        <v>12</v>
      </c>
      <c r="J351">
        <f t="shared" si="40"/>
        <v>19630112</v>
      </c>
      <c r="K351" t="str">
        <f t="shared" si="41"/>
        <v>12.01.1963</v>
      </c>
    </row>
    <row r="352" spans="1:11" x14ac:dyDescent="0.25">
      <c r="A352" s="4" t="s">
        <v>378</v>
      </c>
      <c r="B352" t="s">
        <v>17</v>
      </c>
      <c r="C352" t="s">
        <v>4</v>
      </c>
      <c r="D352" s="3">
        <f t="shared" si="35"/>
        <v>55</v>
      </c>
      <c r="E352" s="4">
        <f t="shared" si="36"/>
        <v>4</v>
      </c>
      <c r="F352" s="4">
        <f t="shared" si="37"/>
        <v>3</v>
      </c>
      <c r="G352" s="3">
        <f>IF(E352&gt;=20,2000,1900) + D352</f>
        <v>1955</v>
      </c>
      <c r="H352">
        <f t="shared" si="38"/>
        <v>4</v>
      </c>
      <c r="I352" s="4">
        <f t="shared" si="39"/>
        <v>3</v>
      </c>
      <c r="J352">
        <f t="shared" si="40"/>
        <v>19550403</v>
      </c>
      <c r="K352" t="str">
        <f t="shared" si="41"/>
        <v>03.04.1955</v>
      </c>
    </row>
    <row r="353" spans="1:11" x14ac:dyDescent="0.25">
      <c r="A353" s="4" t="s">
        <v>379</v>
      </c>
      <c r="B353" t="s">
        <v>11</v>
      </c>
      <c r="C353" t="s">
        <v>6</v>
      </c>
      <c r="D353" s="3">
        <f t="shared" si="35"/>
        <v>93</v>
      </c>
      <c r="E353" s="4">
        <f t="shared" si="36"/>
        <v>4</v>
      </c>
      <c r="F353" s="4">
        <f t="shared" si="37"/>
        <v>23</v>
      </c>
      <c r="G353" s="3">
        <f>IF(E353&gt;=20,2000,1900) + D353</f>
        <v>1993</v>
      </c>
      <c r="H353">
        <f t="shared" si="38"/>
        <v>4</v>
      </c>
      <c r="I353" s="4">
        <f t="shared" si="39"/>
        <v>23</v>
      </c>
      <c r="J353">
        <f t="shared" si="40"/>
        <v>19930423</v>
      </c>
      <c r="K353" t="str">
        <f t="shared" si="41"/>
        <v>23.04.1993</v>
      </c>
    </row>
    <row r="354" spans="1:11" x14ac:dyDescent="0.25">
      <c r="A354" s="4" t="s">
        <v>380</v>
      </c>
      <c r="B354" t="s">
        <v>7</v>
      </c>
      <c r="C354" t="s">
        <v>4</v>
      </c>
      <c r="D354" s="3">
        <f t="shared" si="35"/>
        <v>54</v>
      </c>
      <c r="E354" s="4">
        <f t="shared" si="36"/>
        <v>5</v>
      </c>
      <c r="F354" s="4">
        <f t="shared" si="37"/>
        <v>4</v>
      </c>
      <c r="G354" s="3">
        <f>IF(E354&gt;=20,2000,1900) + D354</f>
        <v>1954</v>
      </c>
      <c r="H354">
        <f t="shared" si="38"/>
        <v>5</v>
      </c>
      <c r="I354" s="4">
        <f t="shared" si="39"/>
        <v>4</v>
      </c>
      <c r="J354">
        <f t="shared" si="40"/>
        <v>19540504</v>
      </c>
      <c r="K354" t="str">
        <f t="shared" si="41"/>
        <v>04.05.1954</v>
      </c>
    </row>
    <row r="355" spans="1:11" x14ac:dyDescent="0.25">
      <c r="A355" s="4" t="s">
        <v>381</v>
      </c>
      <c r="B355" t="s">
        <v>20</v>
      </c>
      <c r="C355" t="s">
        <v>6</v>
      </c>
      <c r="D355" s="3">
        <f t="shared" si="35"/>
        <v>87</v>
      </c>
      <c r="E355" s="4">
        <f t="shared" si="36"/>
        <v>11</v>
      </c>
      <c r="F355" s="4">
        <f t="shared" si="37"/>
        <v>4</v>
      </c>
      <c r="G355" s="3">
        <f>IF(E355&gt;=20,2000,1900) + D355</f>
        <v>1987</v>
      </c>
      <c r="H355">
        <f t="shared" si="38"/>
        <v>11</v>
      </c>
      <c r="I355" s="4">
        <f t="shared" si="39"/>
        <v>4</v>
      </c>
      <c r="J355">
        <f t="shared" si="40"/>
        <v>19871104</v>
      </c>
      <c r="K355" t="str">
        <f t="shared" si="41"/>
        <v>04.11.1987</v>
      </c>
    </row>
    <row r="356" spans="1:11" x14ac:dyDescent="0.25">
      <c r="A356" s="4" t="s">
        <v>382</v>
      </c>
      <c r="B356" t="s">
        <v>18</v>
      </c>
      <c r="C356" t="s">
        <v>6</v>
      </c>
      <c r="D356" s="3">
        <f t="shared" si="35"/>
        <v>56</v>
      </c>
      <c r="E356" s="4">
        <f t="shared" si="36"/>
        <v>10</v>
      </c>
      <c r="F356" s="4">
        <f t="shared" si="37"/>
        <v>2</v>
      </c>
      <c r="G356" s="3">
        <f>IF(E356&gt;=20,2000,1900) + D356</f>
        <v>1956</v>
      </c>
      <c r="H356">
        <f t="shared" si="38"/>
        <v>10</v>
      </c>
      <c r="I356" s="4">
        <f t="shared" si="39"/>
        <v>2</v>
      </c>
      <c r="J356">
        <f t="shared" si="40"/>
        <v>19561002</v>
      </c>
      <c r="K356" t="str">
        <f t="shared" si="41"/>
        <v>02.10.1956</v>
      </c>
    </row>
    <row r="357" spans="1:11" x14ac:dyDescent="0.25">
      <c r="A357" s="4" t="s">
        <v>383</v>
      </c>
      <c r="B357" t="s">
        <v>19</v>
      </c>
      <c r="C357" t="s">
        <v>4</v>
      </c>
      <c r="D357" s="3">
        <f t="shared" si="35"/>
        <v>87</v>
      </c>
      <c r="E357" s="4">
        <f t="shared" si="36"/>
        <v>8</v>
      </c>
      <c r="F357" s="4">
        <f t="shared" si="37"/>
        <v>17</v>
      </c>
      <c r="G357" s="3">
        <f>IF(E357&gt;=20,2000,1900) + D357</f>
        <v>1987</v>
      </c>
      <c r="H357">
        <f t="shared" si="38"/>
        <v>8</v>
      </c>
      <c r="I357" s="4">
        <f t="shared" si="39"/>
        <v>17</v>
      </c>
      <c r="J357">
        <f t="shared" si="40"/>
        <v>19870817</v>
      </c>
      <c r="K357" t="str">
        <f t="shared" si="41"/>
        <v>17.08.1987</v>
      </c>
    </row>
    <row r="358" spans="1:11" x14ac:dyDescent="0.25">
      <c r="A358" s="4" t="s">
        <v>384</v>
      </c>
      <c r="B358" t="s">
        <v>19</v>
      </c>
      <c r="C358" t="s">
        <v>4</v>
      </c>
      <c r="D358" s="3">
        <f t="shared" si="35"/>
        <v>65</v>
      </c>
      <c r="E358" s="4">
        <f t="shared" si="36"/>
        <v>3</v>
      </c>
      <c r="F358" s="4">
        <f t="shared" si="37"/>
        <v>1</v>
      </c>
      <c r="G358" s="3">
        <f>IF(E358&gt;=20,2000,1900) + D358</f>
        <v>1965</v>
      </c>
      <c r="H358">
        <f t="shared" si="38"/>
        <v>3</v>
      </c>
      <c r="I358" s="4">
        <f t="shared" si="39"/>
        <v>1</v>
      </c>
      <c r="J358">
        <f t="shared" si="40"/>
        <v>19650301</v>
      </c>
      <c r="K358" t="str">
        <f t="shared" si="41"/>
        <v>01.03.1965</v>
      </c>
    </row>
    <row r="359" spans="1:11" x14ac:dyDescent="0.25">
      <c r="A359" s="4" t="s">
        <v>385</v>
      </c>
      <c r="B359" t="s">
        <v>12</v>
      </c>
      <c r="C359" t="s">
        <v>6</v>
      </c>
      <c r="D359" s="3">
        <f t="shared" si="35"/>
        <v>98</v>
      </c>
      <c r="E359" s="4">
        <f t="shared" si="36"/>
        <v>10</v>
      </c>
      <c r="F359" s="4">
        <f t="shared" si="37"/>
        <v>14</v>
      </c>
      <c r="G359" s="3">
        <f>IF(E359&gt;=20,2000,1900) + D359</f>
        <v>1998</v>
      </c>
      <c r="H359">
        <f t="shared" si="38"/>
        <v>10</v>
      </c>
      <c r="I359" s="4">
        <f t="shared" si="39"/>
        <v>14</v>
      </c>
      <c r="J359">
        <f t="shared" si="40"/>
        <v>19981014</v>
      </c>
      <c r="K359" t="str">
        <f t="shared" si="41"/>
        <v>14.10.1998</v>
      </c>
    </row>
    <row r="360" spans="1:11" x14ac:dyDescent="0.25">
      <c r="A360" s="4" t="s">
        <v>386</v>
      </c>
      <c r="B360" t="s">
        <v>16</v>
      </c>
      <c r="C360" t="s">
        <v>4</v>
      </c>
      <c r="D360" s="3">
        <f t="shared" si="35"/>
        <v>81</v>
      </c>
      <c r="E360" s="4">
        <f t="shared" si="36"/>
        <v>7</v>
      </c>
      <c r="F360" s="4">
        <f t="shared" si="37"/>
        <v>14</v>
      </c>
      <c r="G360" s="3">
        <f>IF(E360&gt;=20,2000,1900) + D360</f>
        <v>1981</v>
      </c>
      <c r="H360">
        <f t="shared" si="38"/>
        <v>7</v>
      </c>
      <c r="I360" s="4">
        <f t="shared" si="39"/>
        <v>14</v>
      </c>
      <c r="J360">
        <f t="shared" si="40"/>
        <v>19810714</v>
      </c>
      <c r="K360" t="str">
        <f t="shared" si="41"/>
        <v>14.07.1981</v>
      </c>
    </row>
    <row r="361" spans="1:11" x14ac:dyDescent="0.25">
      <c r="A361" s="4" t="s">
        <v>387</v>
      </c>
      <c r="B361" t="s">
        <v>19</v>
      </c>
      <c r="C361" t="s">
        <v>4</v>
      </c>
      <c r="D361" s="3">
        <f t="shared" si="35"/>
        <v>82</v>
      </c>
      <c r="E361" s="4">
        <f t="shared" si="36"/>
        <v>4</v>
      </c>
      <c r="F361" s="4">
        <f t="shared" si="37"/>
        <v>28</v>
      </c>
      <c r="G361" s="3">
        <f>IF(E361&gt;=20,2000,1900) + D361</f>
        <v>1982</v>
      </c>
      <c r="H361">
        <f t="shared" si="38"/>
        <v>4</v>
      </c>
      <c r="I361" s="4">
        <f t="shared" si="39"/>
        <v>28</v>
      </c>
      <c r="J361">
        <f t="shared" si="40"/>
        <v>19820428</v>
      </c>
      <c r="K361" t="str">
        <f t="shared" si="41"/>
        <v>28.04.1982</v>
      </c>
    </row>
    <row r="362" spans="1:11" x14ac:dyDescent="0.25">
      <c r="A362" s="4" t="s">
        <v>388</v>
      </c>
      <c r="B362" t="s">
        <v>16</v>
      </c>
      <c r="C362" t="s">
        <v>4</v>
      </c>
      <c r="D362" s="3">
        <f t="shared" si="35"/>
        <v>76</v>
      </c>
      <c r="E362" s="4">
        <f t="shared" si="36"/>
        <v>10</v>
      </c>
      <c r="F362" s="4">
        <f t="shared" si="37"/>
        <v>5</v>
      </c>
      <c r="G362" s="3">
        <f>IF(E362&gt;=20,2000,1900) + D362</f>
        <v>1976</v>
      </c>
      <c r="H362">
        <f t="shared" si="38"/>
        <v>10</v>
      </c>
      <c r="I362" s="4">
        <f t="shared" si="39"/>
        <v>5</v>
      </c>
      <c r="J362">
        <f t="shared" si="40"/>
        <v>19761005</v>
      </c>
      <c r="K362" t="str">
        <f t="shared" si="41"/>
        <v>05.10.1976</v>
      </c>
    </row>
    <row r="363" spans="1:11" x14ac:dyDescent="0.25">
      <c r="A363" s="4" t="s">
        <v>389</v>
      </c>
      <c r="B363" t="s">
        <v>12</v>
      </c>
      <c r="C363" t="s">
        <v>6</v>
      </c>
      <c r="D363" s="3">
        <f t="shared" si="35"/>
        <v>76</v>
      </c>
      <c r="E363" s="4">
        <f t="shared" si="36"/>
        <v>2</v>
      </c>
      <c r="F363" s="4">
        <f t="shared" si="37"/>
        <v>16</v>
      </c>
      <c r="G363" s="3">
        <f>IF(E363&gt;=20,2000,1900) + D363</f>
        <v>1976</v>
      </c>
      <c r="H363">
        <f t="shared" si="38"/>
        <v>2</v>
      </c>
      <c r="I363" s="4">
        <f t="shared" si="39"/>
        <v>16</v>
      </c>
      <c r="J363">
        <f t="shared" si="40"/>
        <v>19760216</v>
      </c>
      <c r="K363" t="str">
        <f t="shared" si="41"/>
        <v>16.02.1976</v>
      </c>
    </row>
    <row r="364" spans="1:11" x14ac:dyDescent="0.25">
      <c r="A364" s="4" t="s">
        <v>390</v>
      </c>
      <c r="B364" t="s">
        <v>15</v>
      </c>
      <c r="C364" t="s">
        <v>6</v>
      </c>
      <c r="D364" s="3">
        <f t="shared" si="35"/>
        <v>99</v>
      </c>
      <c r="E364" s="4">
        <f t="shared" si="36"/>
        <v>8</v>
      </c>
      <c r="F364" s="4">
        <f t="shared" si="37"/>
        <v>31</v>
      </c>
      <c r="G364" s="3">
        <f>IF(E364&gt;=20,2000,1900) + D364</f>
        <v>1999</v>
      </c>
      <c r="H364">
        <f t="shared" si="38"/>
        <v>8</v>
      </c>
      <c r="I364" s="4">
        <f t="shared" si="39"/>
        <v>31</v>
      </c>
      <c r="J364">
        <f t="shared" si="40"/>
        <v>19990831</v>
      </c>
      <c r="K364" t="str">
        <f t="shared" si="41"/>
        <v>31.08.1999</v>
      </c>
    </row>
    <row r="365" spans="1:11" x14ac:dyDescent="0.25">
      <c r="A365" s="4" t="s">
        <v>391</v>
      </c>
      <c r="B365" t="s">
        <v>5</v>
      </c>
      <c r="C365" t="s">
        <v>6</v>
      </c>
      <c r="D365" s="3">
        <f t="shared" si="35"/>
        <v>53</v>
      </c>
      <c r="E365" s="4">
        <f t="shared" si="36"/>
        <v>4</v>
      </c>
      <c r="F365" s="4">
        <f t="shared" si="37"/>
        <v>14</v>
      </c>
      <c r="G365" s="3">
        <f>IF(E365&gt;=20,2000,1900) + D365</f>
        <v>1953</v>
      </c>
      <c r="H365">
        <f t="shared" si="38"/>
        <v>4</v>
      </c>
      <c r="I365" s="4">
        <f t="shared" si="39"/>
        <v>14</v>
      </c>
      <c r="J365">
        <f t="shared" si="40"/>
        <v>19530414</v>
      </c>
      <c r="K365" t="str">
        <f t="shared" si="41"/>
        <v>14.04.1953</v>
      </c>
    </row>
    <row r="366" spans="1:11" x14ac:dyDescent="0.25">
      <c r="A366" s="4" t="s">
        <v>392</v>
      </c>
      <c r="B366" t="s">
        <v>19</v>
      </c>
      <c r="C366" t="s">
        <v>4</v>
      </c>
      <c r="D366" s="3">
        <f t="shared" si="35"/>
        <v>82</v>
      </c>
      <c r="E366" s="4">
        <f t="shared" si="36"/>
        <v>4</v>
      </c>
      <c r="F366" s="4">
        <f t="shared" si="37"/>
        <v>6</v>
      </c>
      <c r="G366" s="3">
        <f>IF(E366&gt;=20,2000,1900) + D366</f>
        <v>1982</v>
      </c>
      <c r="H366">
        <f t="shared" si="38"/>
        <v>4</v>
      </c>
      <c r="I366" s="4">
        <f t="shared" si="39"/>
        <v>6</v>
      </c>
      <c r="J366">
        <f t="shared" si="40"/>
        <v>19820406</v>
      </c>
      <c r="K366" t="str">
        <f t="shared" si="41"/>
        <v>06.04.1982</v>
      </c>
    </row>
    <row r="367" spans="1:11" x14ac:dyDescent="0.25">
      <c r="A367" s="4" t="s">
        <v>393</v>
      </c>
      <c r="B367" t="s">
        <v>16</v>
      </c>
      <c r="C367" t="s">
        <v>4</v>
      </c>
      <c r="D367" s="3">
        <f t="shared" si="35"/>
        <v>98</v>
      </c>
      <c r="E367" s="4">
        <f t="shared" si="36"/>
        <v>6</v>
      </c>
      <c r="F367" s="4">
        <f t="shared" si="37"/>
        <v>28</v>
      </c>
      <c r="G367" s="3">
        <f>IF(E367&gt;=20,2000,1900) + D367</f>
        <v>1998</v>
      </c>
      <c r="H367">
        <f t="shared" si="38"/>
        <v>6</v>
      </c>
      <c r="I367" s="4">
        <f t="shared" si="39"/>
        <v>28</v>
      </c>
      <c r="J367">
        <f t="shared" si="40"/>
        <v>19980628</v>
      </c>
      <c r="K367" t="str">
        <f t="shared" si="41"/>
        <v>28.06.1998</v>
      </c>
    </row>
    <row r="368" spans="1:11" x14ac:dyDescent="0.25">
      <c r="A368" s="4" t="s">
        <v>394</v>
      </c>
      <c r="B368" t="s">
        <v>12</v>
      </c>
      <c r="C368" t="s">
        <v>4</v>
      </c>
      <c r="D368" s="3">
        <f t="shared" si="35"/>
        <v>71</v>
      </c>
      <c r="E368" s="4">
        <f t="shared" si="36"/>
        <v>8</v>
      </c>
      <c r="F368" s="4">
        <f t="shared" si="37"/>
        <v>24</v>
      </c>
      <c r="G368" s="3">
        <f>IF(E368&gt;=20,2000,1900) + D368</f>
        <v>1971</v>
      </c>
      <c r="H368">
        <f t="shared" si="38"/>
        <v>8</v>
      </c>
      <c r="I368" s="4">
        <f t="shared" si="39"/>
        <v>24</v>
      </c>
      <c r="J368">
        <f t="shared" si="40"/>
        <v>19710824</v>
      </c>
      <c r="K368" t="str">
        <f t="shared" si="41"/>
        <v>24.08.1971</v>
      </c>
    </row>
    <row r="369" spans="1:11" x14ac:dyDescent="0.25">
      <c r="A369" s="4" t="s">
        <v>395</v>
      </c>
      <c r="B369" t="s">
        <v>12</v>
      </c>
      <c r="C369" t="s">
        <v>4</v>
      </c>
      <c r="D369" s="3">
        <f t="shared" si="35"/>
        <v>98</v>
      </c>
      <c r="E369" s="4">
        <f t="shared" si="36"/>
        <v>12</v>
      </c>
      <c r="F369" s="4">
        <f t="shared" si="37"/>
        <v>14</v>
      </c>
      <c r="G369" s="3">
        <f>IF(E369&gt;=20,2000,1900) + D369</f>
        <v>1998</v>
      </c>
      <c r="H369">
        <f t="shared" si="38"/>
        <v>12</v>
      </c>
      <c r="I369" s="4">
        <f t="shared" si="39"/>
        <v>14</v>
      </c>
      <c r="J369">
        <f t="shared" si="40"/>
        <v>19981214</v>
      </c>
      <c r="K369" t="str">
        <f t="shared" si="41"/>
        <v>14.12.1998</v>
      </c>
    </row>
    <row r="370" spans="1:11" x14ac:dyDescent="0.25">
      <c r="A370" s="4" t="s">
        <v>396</v>
      </c>
      <c r="B370" t="s">
        <v>10</v>
      </c>
      <c r="C370" t="s">
        <v>4</v>
      </c>
      <c r="D370" s="3">
        <f t="shared" si="35"/>
        <v>68</v>
      </c>
      <c r="E370" s="4">
        <f t="shared" si="36"/>
        <v>11</v>
      </c>
      <c r="F370" s="4">
        <f t="shared" si="37"/>
        <v>12</v>
      </c>
      <c r="G370" s="3">
        <f>IF(E370&gt;=20,2000,1900) + D370</f>
        <v>1968</v>
      </c>
      <c r="H370">
        <f t="shared" si="38"/>
        <v>11</v>
      </c>
      <c r="I370" s="4">
        <f t="shared" si="39"/>
        <v>12</v>
      </c>
      <c r="J370">
        <f t="shared" si="40"/>
        <v>19681112</v>
      </c>
      <c r="K370" t="str">
        <f t="shared" si="41"/>
        <v>12.11.1968</v>
      </c>
    </row>
    <row r="371" spans="1:11" x14ac:dyDescent="0.25">
      <c r="A371" s="4" t="s">
        <v>397</v>
      </c>
      <c r="B371" t="s">
        <v>9</v>
      </c>
      <c r="C371" t="s">
        <v>6</v>
      </c>
      <c r="D371" s="3">
        <f t="shared" si="35"/>
        <v>96</v>
      </c>
      <c r="E371" s="4">
        <f t="shared" si="36"/>
        <v>11</v>
      </c>
      <c r="F371" s="4">
        <f t="shared" si="37"/>
        <v>25</v>
      </c>
      <c r="G371" s="3">
        <f>IF(E371&gt;=20,2000,1900) + D371</f>
        <v>1996</v>
      </c>
      <c r="H371">
        <f t="shared" si="38"/>
        <v>11</v>
      </c>
      <c r="I371" s="4">
        <f t="shared" si="39"/>
        <v>25</v>
      </c>
      <c r="J371">
        <f t="shared" si="40"/>
        <v>19961125</v>
      </c>
      <c r="K371" t="str">
        <f t="shared" si="41"/>
        <v>25.11.1996</v>
      </c>
    </row>
    <row r="372" spans="1:11" x14ac:dyDescent="0.25">
      <c r="A372" s="4" t="s">
        <v>398</v>
      </c>
      <c r="B372" t="s">
        <v>7</v>
      </c>
      <c r="C372" t="s">
        <v>4</v>
      </c>
      <c r="D372" s="3">
        <f t="shared" si="35"/>
        <v>62</v>
      </c>
      <c r="E372" s="4">
        <f t="shared" si="36"/>
        <v>6</v>
      </c>
      <c r="F372" s="4">
        <f t="shared" si="37"/>
        <v>29</v>
      </c>
      <c r="G372" s="3">
        <f>IF(E372&gt;=20,2000,1900) + D372</f>
        <v>1962</v>
      </c>
      <c r="H372">
        <f t="shared" si="38"/>
        <v>6</v>
      </c>
      <c r="I372" s="4">
        <f t="shared" si="39"/>
        <v>29</v>
      </c>
      <c r="J372">
        <f t="shared" si="40"/>
        <v>19620629</v>
      </c>
      <c r="K372" t="str">
        <f t="shared" si="41"/>
        <v>29.06.1962</v>
      </c>
    </row>
    <row r="373" spans="1:11" x14ac:dyDescent="0.25">
      <c r="A373" s="4" t="s">
        <v>399</v>
      </c>
      <c r="B373" t="s">
        <v>12</v>
      </c>
      <c r="C373" t="s">
        <v>4</v>
      </c>
      <c r="D373" s="3">
        <f t="shared" si="35"/>
        <v>98</v>
      </c>
      <c r="E373" s="4">
        <f t="shared" si="36"/>
        <v>1</v>
      </c>
      <c r="F373" s="4">
        <f t="shared" si="37"/>
        <v>20</v>
      </c>
      <c r="G373" s="3">
        <f>IF(E373&gt;=20,2000,1900) + D373</f>
        <v>1998</v>
      </c>
      <c r="H373">
        <f t="shared" si="38"/>
        <v>1</v>
      </c>
      <c r="I373" s="4">
        <f t="shared" si="39"/>
        <v>20</v>
      </c>
      <c r="J373">
        <f t="shared" si="40"/>
        <v>19980120</v>
      </c>
      <c r="K373" t="str">
        <f t="shared" si="41"/>
        <v>20.01.1998</v>
      </c>
    </row>
    <row r="374" spans="1:11" x14ac:dyDescent="0.25">
      <c r="A374" s="4" t="s">
        <v>400</v>
      </c>
      <c r="B374" t="s">
        <v>7</v>
      </c>
      <c r="C374" t="s">
        <v>6</v>
      </c>
      <c r="D374" s="3">
        <f t="shared" si="35"/>
        <v>81</v>
      </c>
      <c r="E374" s="4">
        <f t="shared" si="36"/>
        <v>6</v>
      </c>
      <c r="F374" s="4">
        <f t="shared" si="37"/>
        <v>16</v>
      </c>
      <c r="G374" s="3">
        <f>IF(E374&gt;=20,2000,1900) + D374</f>
        <v>1981</v>
      </c>
      <c r="H374">
        <f t="shared" si="38"/>
        <v>6</v>
      </c>
      <c r="I374" s="4">
        <f t="shared" si="39"/>
        <v>16</v>
      </c>
      <c r="J374">
        <f t="shared" si="40"/>
        <v>19810616</v>
      </c>
      <c r="K374" t="str">
        <f t="shared" si="41"/>
        <v>16.06.1981</v>
      </c>
    </row>
    <row r="375" spans="1:11" x14ac:dyDescent="0.25">
      <c r="A375" s="4" t="s">
        <v>401</v>
      </c>
      <c r="B375" t="s">
        <v>14</v>
      </c>
      <c r="C375" t="s">
        <v>6</v>
      </c>
      <c r="D375" s="3">
        <f t="shared" si="35"/>
        <v>71</v>
      </c>
      <c r="E375" s="4">
        <f t="shared" si="36"/>
        <v>9</v>
      </c>
      <c r="F375" s="4">
        <f t="shared" si="37"/>
        <v>28</v>
      </c>
      <c r="G375" s="3">
        <f>IF(E375&gt;=20,2000,1900) + D375</f>
        <v>1971</v>
      </c>
      <c r="H375">
        <f t="shared" si="38"/>
        <v>9</v>
      </c>
      <c r="I375" s="4">
        <f t="shared" si="39"/>
        <v>28</v>
      </c>
      <c r="J375">
        <f t="shared" si="40"/>
        <v>19710928</v>
      </c>
      <c r="K375" t="str">
        <f t="shared" si="41"/>
        <v>28.09.1971</v>
      </c>
    </row>
    <row r="376" spans="1:11" x14ac:dyDescent="0.25">
      <c r="A376" s="4" t="s">
        <v>402</v>
      </c>
      <c r="B376" t="s">
        <v>12</v>
      </c>
      <c r="C376" t="s">
        <v>6</v>
      </c>
      <c r="D376" s="3">
        <f t="shared" si="35"/>
        <v>86</v>
      </c>
      <c r="E376" s="4">
        <f t="shared" si="36"/>
        <v>12</v>
      </c>
      <c r="F376" s="4">
        <f t="shared" si="37"/>
        <v>16</v>
      </c>
      <c r="G376" s="3">
        <f>IF(E376&gt;=20,2000,1900) + D376</f>
        <v>1986</v>
      </c>
      <c r="H376">
        <f t="shared" si="38"/>
        <v>12</v>
      </c>
      <c r="I376" s="4">
        <f t="shared" si="39"/>
        <v>16</v>
      </c>
      <c r="J376">
        <f t="shared" si="40"/>
        <v>19861216</v>
      </c>
      <c r="K376" t="str">
        <f t="shared" si="41"/>
        <v>16.12.1986</v>
      </c>
    </row>
    <row r="377" spans="1:11" x14ac:dyDescent="0.25">
      <c r="A377" s="4" t="s">
        <v>403</v>
      </c>
      <c r="B377" t="s">
        <v>18</v>
      </c>
      <c r="C377" t="s">
        <v>4</v>
      </c>
      <c r="D377" s="3">
        <f t="shared" si="35"/>
        <v>57</v>
      </c>
      <c r="E377" s="4">
        <f t="shared" si="36"/>
        <v>12</v>
      </c>
      <c r="F377" s="4">
        <f t="shared" si="37"/>
        <v>16</v>
      </c>
      <c r="G377" s="3">
        <f>IF(E377&gt;=20,2000,1900) + D377</f>
        <v>1957</v>
      </c>
      <c r="H377">
        <f t="shared" si="38"/>
        <v>12</v>
      </c>
      <c r="I377" s="4">
        <f t="shared" si="39"/>
        <v>16</v>
      </c>
      <c r="J377">
        <f t="shared" si="40"/>
        <v>19571216</v>
      </c>
      <c r="K377" t="str">
        <f t="shared" si="41"/>
        <v>16.12.1957</v>
      </c>
    </row>
    <row r="378" spans="1:11" x14ac:dyDescent="0.25">
      <c r="A378" s="4" t="s">
        <v>404</v>
      </c>
      <c r="B378" t="s">
        <v>7</v>
      </c>
      <c r="C378" t="s">
        <v>4</v>
      </c>
      <c r="D378" s="3">
        <f t="shared" si="35"/>
        <v>60</v>
      </c>
      <c r="E378" s="4">
        <f t="shared" si="36"/>
        <v>2</v>
      </c>
      <c r="F378" s="4">
        <f t="shared" si="37"/>
        <v>7</v>
      </c>
      <c r="G378" s="3">
        <f>IF(E378&gt;=20,2000,1900) + D378</f>
        <v>1960</v>
      </c>
      <c r="H378">
        <f t="shared" si="38"/>
        <v>2</v>
      </c>
      <c r="I378" s="4">
        <f t="shared" si="39"/>
        <v>7</v>
      </c>
      <c r="J378">
        <f t="shared" si="40"/>
        <v>19600207</v>
      </c>
      <c r="K378" t="str">
        <f t="shared" si="41"/>
        <v>07.02.1960</v>
      </c>
    </row>
    <row r="379" spans="1:11" x14ac:dyDescent="0.25">
      <c r="A379" s="4" t="s">
        <v>405</v>
      </c>
      <c r="B379" t="s">
        <v>12</v>
      </c>
      <c r="C379" t="s">
        <v>4</v>
      </c>
      <c r="D379" s="3">
        <f t="shared" si="35"/>
        <v>75</v>
      </c>
      <c r="E379" s="4">
        <f t="shared" si="36"/>
        <v>2</v>
      </c>
      <c r="F379" s="4">
        <f t="shared" si="37"/>
        <v>4</v>
      </c>
      <c r="G379" s="3">
        <f>IF(E379&gt;=20,2000,1900) + D379</f>
        <v>1975</v>
      </c>
      <c r="H379">
        <f t="shared" si="38"/>
        <v>2</v>
      </c>
      <c r="I379" s="4">
        <f t="shared" si="39"/>
        <v>4</v>
      </c>
      <c r="J379">
        <f t="shared" si="40"/>
        <v>19750204</v>
      </c>
      <c r="K379" t="str">
        <f t="shared" si="41"/>
        <v>04.02.1975</v>
      </c>
    </row>
    <row r="380" spans="1:11" x14ac:dyDescent="0.25">
      <c r="A380" s="4" t="s">
        <v>406</v>
      </c>
      <c r="B380" t="s">
        <v>18</v>
      </c>
      <c r="C380" t="s">
        <v>4</v>
      </c>
      <c r="D380" s="3">
        <f t="shared" si="35"/>
        <v>77</v>
      </c>
      <c r="E380" s="4">
        <f t="shared" si="36"/>
        <v>11</v>
      </c>
      <c r="F380" s="4">
        <f t="shared" si="37"/>
        <v>15</v>
      </c>
      <c r="G380" s="3">
        <f>IF(E380&gt;=20,2000,1900) + D380</f>
        <v>1977</v>
      </c>
      <c r="H380">
        <f t="shared" si="38"/>
        <v>11</v>
      </c>
      <c r="I380" s="4">
        <f t="shared" si="39"/>
        <v>15</v>
      </c>
      <c r="J380">
        <f t="shared" si="40"/>
        <v>19771115</v>
      </c>
      <c r="K380" t="str">
        <f t="shared" si="41"/>
        <v>15.11.1977</v>
      </c>
    </row>
    <row r="381" spans="1:11" x14ac:dyDescent="0.25">
      <c r="A381" s="4" t="s">
        <v>407</v>
      </c>
      <c r="B381" t="s">
        <v>16</v>
      </c>
      <c r="C381" t="s">
        <v>4</v>
      </c>
      <c r="D381" s="3">
        <f t="shared" si="35"/>
        <v>58</v>
      </c>
      <c r="E381" s="4">
        <f t="shared" si="36"/>
        <v>2</v>
      </c>
      <c r="F381" s="4">
        <f t="shared" si="37"/>
        <v>17</v>
      </c>
      <c r="G381" s="3">
        <f>IF(E381&gt;=20,2000,1900) + D381</f>
        <v>1958</v>
      </c>
      <c r="H381">
        <f t="shared" si="38"/>
        <v>2</v>
      </c>
      <c r="I381" s="4">
        <f t="shared" si="39"/>
        <v>17</v>
      </c>
      <c r="J381">
        <f t="shared" si="40"/>
        <v>19580217</v>
      </c>
      <c r="K381" t="str">
        <f t="shared" si="41"/>
        <v>17.02.1958</v>
      </c>
    </row>
    <row r="382" spans="1:11" x14ac:dyDescent="0.25">
      <c r="A382" s="4" t="s">
        <v>408</v>
      </c>
      <c r="B382" t="s">
        <v>13</v>
      </c>
      <c r="C382" t="s">
        <v>4</v>
      </c>
      <c r="D382" s="3">
        <f t="shared" si="35"/>
        <v>76</v>
      </c>
      <c r="E382" s="4">
        <f t="shared" si="36"/>
        <v>8</v>
      </c>
      <c r="F382" s="4">
        <f t="shared" si="37"/>
        <v>27</v>
      </c>
      <c r="G382" s="3">
        <f>IF(E382&gt;=20,2000,1900) + D382</f>
        <v>1976</v>
      </c>
      <c r="H382">
        <f t="shared" si="38"/>
        <v>8</v>
      </c>
      <c r="I382" s="4">
        <f t="shared" si="39"/>
        <v>27</v>
      </c>
      <c r="J382">
        <f t="shared" si="40"/>
        <v>19760827</v>
      </c>
      <c r="K382" t="str">
        <f t="shared" si="41"/>
        <v>27.08.1976</v>
      </c>
    </row>
    <row r="383" spans="1:11" x14ac:dyDescent="0.25">
      <c r="A383" s="4" t="s">
        <v>409</v>
      </c>
      <c r="B383" t="s">
        <v>7</v>
      </c>
      <c r="C383" t="s">
        <v>4</v>
      </c>
      <c r="D383" s="3">
        <f t="shared" si="35"/>
        <v>98</v>
      </c>
      <c r="E383" s="4">
        <f t="shared" si="36"/>
        <v>6</v>
      </c>
      <c r="F383" s="4">
        <f t="shared" si="37"/>
        <v>7</v>
      </c>
      <c r="G383" s="3">
        <f>IF(E383&gt;=20,2000,1900) + D383</f>
        <v>1998</v>
      </c>
      <c r="H383">
        <f t="shared" si="38"/>
        <v>6</v>
      </c>
      <c r="I383" s="4">
        <f t="shared" si="39"/>
        <v>7</v>
      </c>
      <c r="J383">
        <f t="shared" si="40"/>
        <v>19980607</v>
      </c>
      <c r="K383" t="str">
        <f t="shared" si="41"/>
        <v>07.06.1998</v>
      </c>
    </row>
    <row r="384" spans="1:11" x14ac:dyDescent="0.25">
      <c r="A384" s="4" t="s">
        <v>410</v>
      </c>
      <c r="B384" t="s">
        <v>5</v>
      </c>
      <c r="C384" t="s">
        <v>6</v>
      </c>
      <c r="D384" s="3">
        <f t="shared" si="35"/>
        <v>50</v>
      </c>
      <c r="E384" s="4">
        <f t="shared" si="36"/>
        <v>11</v>
      </c>
      <c r="F384" s="4">
        <f t="shared" si="37"/>
        <v>19</v>
      </c>
      <c r="G384" s="3">
        <f>IF(E384&gt;=20,2000,1900) + D384</f>
        <v>1950</v>
      </c>
      <c r="H384">
        <f t="shared" si="38"/>
        <v>11</v>
      </c>
      <c r="I384" s="4">
        <f t="shared" si="39"/>
        <v>19</v>
      </c>
      <c r="J384">
        <f t="shared" si="40"/>
        <v>19501119</v>
      </c>
      <c r="K384" t="str">
        <f t="shared" si="41"/>
        <v>19.11.1950</v>
      </c>
    </row>
    <row r="385" spans="1:11" x14ac:dyDescent="0.25">
      <c r="A385" s="4" t="s">
        <v>411</v>
      </c>
      <c r="B385" t="s">
        <v>5</v>
      </c>
      <c r="C385" t="s">
        <v>6</v>
      </c>
      <c r="D385" s="3">
        <f t="shared" si="35"/>
        <v>64</v>
      </c>
      <c r="E385" s="4">
        <f t="shared" si="36"/>
        <v>1</v>
      </c>
      <c r="F385" s="4">
        <f t="shared" si="37"/>
        <v>19</v>
      </c>
      <c r="G385" s="3">
        <f>IF(E385&gt;=20,2000,1900) + D385</f>
        <v>1964</v>
      </c>
      <c r="H385">
        <f t="shared" si="38"/>
        <v>1</v>
      </c>
      <c r="I385" s="4">
        <f t="shared" si="39"/>
        <v>19</v>
      </c>
      <c r="J385">
        <f t="shared" si="40"/>
        <v>19640119</v>
      </c>
      <c r="K385" t="str">
        <f t="shared" si="41"/>
        <v>19.01.1964</v>
      </c>
    </row>
    <row r="386" spans="1:11" x14ac:dyDescent="0.25">
      <c r="A386" s="4" t="s">
        <v>412</v>
      </c>
      <c r="B386" t="s">
        <v>10</v>
      </c>
      <c r="C386" t="s">
        <v>6</v>
      </c>
      <c r="D386" s="3">
        <f t="shared" si="35"/>
        <v>64</v>
      </c>
      <c r="E386" s="4">
        <f t="shared" si="36"/>
        <v>11</v>
      </c>
      <c r="F386" s="4">
        <f t="shared" si="37"/>
        <v>19</v>
      </c>
      <c r="G386" s="3">
        <f>IF(E386&gt;=20,2000,1900) + D386</f>
        <v>1964</v>
      </c>
      <c r="H386">
        <f t="shared" si="38"/>
        <v>11</v>
      </c>
      <c r="I386" s="4">
        <f t="shared" si="39"/>
        <v>19</v>
      </c>
      <c r="J386">
        <f t="shared" si="40"/>
        <v>19641119</v>
      </c>
      <c r="K386" t="str">
        <f t="shared" si="41"/>
        <v>19.11.1964</v>
      </c>
    </row>
    <row r="387" spans="1:11" x14ac:dyDescent="0.25">
      <c r="A387" s="4" t="s">
        <v>413</v>
      </c>
      <c r="B387" t="s">
        <v>14</v>
      </c>
      <c r="C387" t="s">
        <v>6</v>
      </c>
      <c r="D387" s="3">
        <f t="shared" ref="D387:D450" si="42">MID(A387,1,2)*1</f>
        <v>67</v>
      </c>
      <c r="E387" s="4">
        <f t="shared" ref="E387:E450" si="43">MID(A387,3,2)*1</f>
        <v>9</v>
      </c>
      <c r="F387" s="4">
        <f t="shared" ref="F387:F450" si="44">MID(A387,5,2)*1</f>
        <v>8</v>
      </c>
      <c r="G387" s="3">
        <f>IF(E387&gt;=20,2000,1900) + D387</f>
        <v>1967</v>
      </c>
      <c r="H387">
        <f t="shared" ref="H387:H450" si="45">IF(E387&gt;=20,E387-20,E387)</f>
        <v>9</v>
      </c>
      <c r="I387" s="4">
        <f t="shared" ref="I387:I450" si="46">F387</f>
        <v>8</v>
      </c>
      <c r="J387">
        <f t="shared" ref="J387:J450" si="47">CONCATENATE(G387,IF(LEN(E387)=1,CONCATENATE("0",E387),E387),IF(LEN(F387)=1,CONCATENATE("0",F387),F387))*1</f>
        <v>19670908</v>
      </c>
      <c r="K387" t="str">
        <f t="shared" ref="K387:K450" si="48">CONCATENATE(RIGHT(J387,2),".",MID(J387,5,2),".",LEFT(J387,4))</f>
        <v>08.09.1967</v>
      </c>
    </row>
    <row r="388" spans="1:11" x14ac:dyDescent="0.25">
      <c r="A388" s="4" t="s">
        <v>414</v>
      </c>
      <c r="B388" t="s">
        <v>3</v>
      </c>
      <c r="C388" t="s">
        <v>6</v>
      </c>
      <c r="D388" s="3">
        <f t="shared" si="42"/>
        <v>55</v>
      </c>
      <c r="E388" s="4">
        <f t="shared" si="43"/>
        <v>1</v>
      </c>
      <c r="F388" s="4">
        <f t="shared" si="44"/>
        <v>17</v>
      </c>
      <c r="G388" s="3">
        <f>IF(E388&gt;=20,2000,1900) + D388</f>
        <v>1955</v>
      </c>
      <c r="H388">
        <f t="shared" si="45"/>
        <v>1</v>
      </c>
      <c r="I388" s="4">
        <f t="shared" si="46"/>
        <v>17</v>
      </c>
      <c r="J388">
        <f t="shared" si="47"/>
        <v>19550117</v>
      </c>
      <c r="K388" t="str">
        <f t="shared" si="48"/>
        <v>17.01.1955</v>
      </c>
    </row>
    <row r="389" spans="1:11" x14ac:dyDescent="0.25">
      <c r="A389" s="4" t="s">
        <v>415</v>
      </c>
      <c r="B389" t="s">
        <v>16</v>
      </c>
      <c r="C389" t="s">
        <v>4</v>
      </c>
      <c r="D389" s="3">
        <f t="shared" si="42"/>
        <v>76</v>
      </c>
      <c r="E389" s="4">
        <f t="shared" si="43"/>
        <v>9</v>
      </c>
      <c r="F389" s="4">
        <f t="shared" si="44"/>
        <v>4</v>
      </c>
      <c r="G389" s="3">
        <f>IF(E389&gt;=20,2000,1900) + D389</f>
        <v>1976</v>
      </c>
      <c r="H389">
        <f t="shared" si="45"/>
        <v>9</v>
      </c>
      <c r="I389" s="4">
        <f t="shared" si="46"/>
        <v>4</v>
      </c>
      <c r="J389">
        <f t="shared" si="47"/>
        <v>19760904</v>
      </c>
      <c r="K389" t="str">
        <f t="shared" si="48"/>
        <v>04.09.1976</v>
      </c>
    </row>
    <row r="390" spans="1:11" x14ac:dyDescent="0.25">
      <c r="A390" s="4" t="s">
        <v>416</v>
      </c>
      <c r="B390" t="s">
        <v>19</v>
      </c>
      <c r="C390" t="s">
        <v>6</v>
      </c>
      <c r="D390" s="3">
        <f t="shared" si="42"/>
        <v>80</v>
      </c>
      <c r="E390" s="4">
        <f t="shared" si="43"/>
        <v>2</v>
      </c>
      <c r="F390" s="4">
        <f t="shared" si="44"/>
        <v>8</v>
      </c>
      <c r="G390" s="3">
        <f>IF(E390&gt;=20,2000,1900) + D390</f>
        <v>1980</v>
      </c>
      <c r="H390">
        <f t="shared" si="45"/>
        <v>2</v>
      </c>
      <c r="I390" s="4">
        <f t="shared" si="46"/>
        <v>8</v>
      </c>
      <c r="J390">
        <f t="shared" si="47"/>
        <v>19800208</v>
      </c>
      <c r="K390" t="str">
        <f t="shared" si="48"/>
        <v>08.02.1980</v>
      </c>
    </row>
    <row r="391" spans="1:11" x14ac:dyDescent="0.25">
      <c r="A391" s="4" t="s">
        <v>417</v>
      </c>
      <c r="B391" t="s">
        <v>17</v>
      </c>
      <c r="C391" t="s">
        <v>6</v>
      </c>
      <c r="D391" s="3">
        <f t="shared" si="42"/>
        <v>73</v>
      </c>
      <c r="E391" s="4">
        <f t="shared" si="43"/>
        <v>2</v>
      </c>
      <c r="F391" s="4">
        <f t="shared" si="44"/>
        <v>1</v>
      </c>
      <c r="G391" s="3">
        <f>IF(E391&gt;=20,2000,1900) + D391</f>
        <v>1973</v>
      </c>
      <c r="H391">
        <f t="shared" si="45"/>
        <v>2</v>
      </c>
      <c r="I391" s="4">
        <f t="shared" si="46"/>
        <v>1</v>
      </c>
      <c r="J391">
        <f t="shared" si="47"/>
        <v>19730201</v>
      </c>
      <c r="K391" t="str">
        <f t="shared" si="48"/>
        <v>01.02.1973</v>
      </c>
    </row>
    <row r="392" spans="1:11" x14ac:dyDescent="0.25">
      <c r="A392" s="4" t="s">
        <v>418</v>
      </c>
      <c r="B392" t="s">
        <v>20</v>
      </c>
      <c r="C392" t="s">
        <v>4</v>
      </c>
      <c r="D392" s="3">
        <f t="shared" si="42"/>
        <v>67</v>
      </c>
      <c r="E392" s="4">
        <f t="shared" si="43"/>
        <v>3</v>
      </c>
      <c r="F392" s="4">
        <f t="shared" si="44"/>
        <v>4</v>
      </c>
      <c r="G392" s="3">
        <f>IF(E392&gt;=20,2000,1900) + D392</f>
        <v>1967</v>
      </c>
      <c r="H392">
        <f t="shared" si="45"/>
        <v>3</v>
      </c>
      <c r="I392" s="4">
        <f t="shared" si="46"/>
        <v>4</v>
      </c>
      <c r="J392">
        <f t="shared" si="47"/>
        <v>19670304</v>
      </c>
      <c r="K392" t="str">
        <f t="shared" si="48"/>
        <v>04.03.1967</v>
      </c>
    </row>
    <row r="393" spans="1:11" x14ac:dyDescent="0.25">
      <c r="A393" s="4" t="s">
        <v>419</v>
      </c>
      <c r="B393" t="s">
        <v>8</v>
      </c>
      <c r="C393" t="s">
        <v>4</v>
      </c>
      <c r="D393" s="3">
        <f t="shared" si="42"/>
        <v>93</v>
      </c>
      <c r="E393" s="4">
        <f t="shared" si="43"/>
        <v>2</v>
      </c>
      <c r="F393" s="4">
        <f t="shared" si="44"/>
        <v>12</v>
      </c>
      <c r="G393" s="3">
        <f>IF(E393&gt;=20,2000,1900) + D393</f>
        <v>1993</v>
      </c>
      <c r="H393">
        <f t="shared" si="45"/>
        <v>2</v>
      </c>
      <c r="I393" s="4">
        <f t="shared" si="46"/>
        <v>12</v>
      </c>
      <c r="J393">
        <f t="shared" si="47"/>
        <v>19930212</v>
      </c>
      <c r="K393" t="str">
        <f t="shared" si="48"/>
        <v>12.02.1993</v>
      </c>
    </row>
    <row r="394" spans="1:11" x14ac:dyDescent="0.25">
      <c r="A394" s="4" t="s">
        <v>420</v>
      </c>
      <c r="B394" t="s">
        <v>5</v>
      </c>
      <c r="C394" t="s">
        <v>4</v>
      </c>
      <c r="D394" s="3">
        <f t="shared" si="42"/>
        <v>89</v>
      </c>
      <c r="E394" s="4">
        <f t="shared" si="43"/>
        <v>5</v>
      </c>
      <c r="F394" s="4">
        <f t="shared" si="44"/>
        <v>5</v>
      </c>
      <c r="G394" s="3">
        <f>IF(E394&gt;=20,2000,1900) + D394</f>
        <v>1989</v>
      </c>
      <c r="H394">
        <f t="shared" si="45"/>
        <v>5</v>
      </c>
      <c r="I394" s="4">
        <f t="shared" si="46"/>
        <v>5</v>
      </c>
      <c r="J394">
        <f t="shared" si="47"/>
        <v>19890505</v>
      </c>
      <c r="K394" t="str">
        <f t="shared" si="48"/>
        <v>05.05.1989</v>
      </c>
    </row>
    <row r="395" spans="1:11" x14ac:dyDescent="0.25">
      <c r="A395" s="4" t="s">
        <v>421</v>
      </c>
      <c r="B395" t="s">
        <v>16</v>
      </c>
      <c r="C395" t="s">
        <v>4</v>
      </c>
      <c r="D395" s="3">
        <f t="shared" si="42"/>
        <v>73</v>
      </c>
      <c r="E395" s="4">
        <f t="shared" si="43"/>
        <v>10</v>
      </c>
      <c r="F395" s="4">
        <f t="shared" si="44"/>
        <v>14</v>
      </c>
      <c r="G395" s="3">
        <f>IF(E395&gt;=20,2000,1900) + D395</f>
        <v>1973</v>
      </c>
      <c r="H395">
        <f t="shared" si="45"/>
        <v>10</v>
      </c>
      <c r="I395" s="4">
        <f t="shared" si="46"/>
        <v>14</v>
      </c>
      <c r="J395">
        <f t="shared" si="47"/>
        <v>19731014</v>
      </c>
      <c r="K395" t="str">
        <f t="shared" si="48"/>
        <v>14.10.1973</v>
      </c>
    </row>
    <row r="396" spans="1:11" x14ac:dyDescent="0.25">
      <c r="A396" s="4" t="s">
        <v>422</v>
      </c>
      <c r="B396" t="s">
        <v>3</v>
      </c>
      <c r="C396" t="s">
        <v>6</v>
      </c>
      <c r="D396" s="3">
        <f t="shared" si="42"/>
        <v>85</v>
      </c>
      <c r="E396" s="4">
        <f t="shared" si="43"/>
        <v>7</v>
      </c>
      <c r="F396" s="4">
        <f t="shared" si="44"/>
        <v>14</v>
      </c>
      <c r="G396" s="3">
        <f>IF(E396&gt;=20,2000,1900) + D396</f>
        <v>1985</v>
      </c>
      <c r="H396">
        <f t="shared" si="45"/>
        <v>7</v>
      </c>
      <c r="I396" s="4">
        <f t="shared" si="46"/>
        <v>14</v>
      </c>
      <c r="J396">
        <f t="shared" si="47"/>
        <v>19850714</v>
      </c>
      <c r="K396" t="str">
        <f t="shared" si="48"/>
        <v>14.07.1985</v>
      </c>
    </row>
    <row r="397" spans="1:11" x14ac:dyDescent="0.25">
      <c r="A397" s="4" t="s">
        <v>423</v>
      </c>
      <c r="B397" t="s">
        <v>5</v>
      </c>
      <c r="C397" t="s">
        <v>6</v>
      </c>
      <c r="D397" s="3">
        <f t="shared" si="42"/>
        <v>65</v>
      </c>
      <c r="E397" s="4">
        <f t="shared" si="43"/>
        <v>7</v>
      </c>
      <c r="F397" s="4">
        <f t="shared" si="44"/>
        <v>14</v>
      </c>
      <c r="G397" s="3">
        <f>IF(E397&gt;=20,2000,1900) + D397</f>
        <v>1965</v>
      </c>
      <c r="H397">
        <f t="shared" si="45"/>
        <v>7</v>
      </c>
      <c r="I397" s="4">
        <f t="shared" si="46"/>
        <v>14</v>
      </c>
      <c r="J397">
        <f t="shared" si="47"/>
        <v>19650714</v>
      </c>
      <c r="K397" t="str">
        <f t="shared" si="48"/>
        <v>14.07.1965</v>
      </c>
    </row>
    <row r="398" spans="1:11" x14ac:dyDescent="0.25">
      <c r="A398" s="4" t="s">
        <v>424</v>
      </c>
      <c r="B398" t="s">
        <v>20</v>
      </c>
      <c r="C398" t="s">
        <v>4</v>
      </c>
      <c r="D398" s="3">
        <f t="shared" si="42"/>
        <v>61</v>
      </c>
      <c r="E398" s="4">
        <f t="shared" si="43"/>
        <v>2</v>
      </c>
      <c r="F398" s="4">
        <f t="shared" si="44"/>
        <v>13</v>
      </c>
      <c r="G398" s="3">
        <f>IF(E398&gt;=20,2000,1900) + D398</f>
        <v>1961</v>
      </c>
      <c r="H398">
        <f t="shared" si="45"/>
        <v>2</v>
      </c>
      <c r="I398" s="4">
        <f t="shared" si="46"/>
        <v>13</v>
      </c>
      <c r="J398">
        <f t="shared" si="47"/>
        <v>19610213</v>
      </c>
      <c r="K398" t="str">
        <f t="shared" si="48"/>
        <v>13.02.1961</v>
      </c>
    </row>
    <row r="399" spans="1:11" x14ac:dyDescent="0.25">
      <c r="A399" s="4" t="s">
        <v>425</v>
      </c>
      <c r="B399" t="s">
        <v>10</v>
      </c>
      <c r="C399" t="s">
        <v>4</v>
      </c>
      <c r="D399" s="3">
        <f t="shared" si="42"/>
        <v>84</v>
      </c>
      <c r="E399" s="4">
        <f t="shared" si="43"/>
        <v>12</v>
      </c>
      <c r="F399" s="4">
        <f t="shared" si="44"/>
        <v>14</v>
      </c>
      <c r="G399" s="3">
        <f>IF(E399&gt;=20,2000,1900) + D399</f>
        <v>1984</v>
      </c>
      <c r="H399">
        <f t="shared" si="45"/>
        <v>12</v>
      </c>
      <c r="I399" s="4">
        <f t="shared" si="46"/>
        <v>14</v>
      </c>
      <c r="J399">
        <f t="shared" si="47"/>
        <v>19841214</v>
      </c>
      <c r="K399" t="str">
        <f t="shared" si="48"/>
        <v>14.12.1984</v>
      </c>
    </row>
    <row r="400" spans="1:11" x14ac:dyDescent="0.25">
      <c r="A400" s="4" t="s">
        <v>426</v>
      </c>
      <c r="B400" t="s">
        <v>14</v>
      </c>
      <c r="C400" t="s">
        <v>4</v>
      </c>
      <c r="D400" s="3">
        <f t="shared" si="42"/>
        <v>74</v>
      </c>
      <c r="E400" s="4">
        <f t="shared" si="43"/>
        <v>9</v>
      </c>
      <c r="F400" s="4">
        <f t="shared" si="44"/>
        <v>22</v>
      </c>
      <c r="G400" s="3">
        <f>IF(E400&gt;=20,2000,1900) + D400</f>
        <v>1974</v>
      </c>
      <c r="H400">
        <f t="shared" si="45"/>
        <v>9</v>
      </c>
      <c r="I400" s="4">
        <f t="shared" si="46"/>
        <v>22</v>
      </c>
      <c r="J400">
        <f t="shared" si="47"/>
        <v>19740922</v>
      </c>
      <c r="K400" t="str">
        <f t="shared" si="48"/>
        <v>22.09.1974</v>
      </c>
    </row>
    <row r="401" spans="1:11" x14ac:dyDescent="0.25">
      <c r="A401" s="4" t="s">
        <v>427</v>
      </c>
      <c r="B401" t="s">
        <v>17</v>
      </c>
      <c r="C401" t="s">
        <v>4</v>
      </c>
      <c r="D401" s="3">
        <f t="shared" si="42"/>
        <v>53</v>
      </c>
      <c r="E401" s="4">
        <f t="shared" si="43"/>
        <v>5</v>
      </c>
      <c r="F401" s="4">
        <f t="shared" si="44"/>
        <v>27</v>
      </c>
      <c r="G401" s="3">
        <f>IF(E401&gt;=20,2000,1900) + D401</f>
        <v>1953</v>
      </c>
      <c r="H401">
        <f t="shared" si="45"/>
        <v>5</v>
      </c>
      <c r="I401" s="4">
        <f t="shared" si="46"/>
        <v>27</v>
      </c>
      <c r="J401">
        <f t="shared" si="47"/>
        <v>19530527</v>
      </c>
      <c r="K401" t="str">
        <f t="shared" si="48"/>
        <v>27.05.1953</v>
      </c>
    </row>
    <row r="402" spans="1:11" x14ac:dyDescent="0.25">
      <c r="A402" s="4" t="s">
        <v>428</v>
      </c>
      <c r="B402" t="s">
        <v>9</v>
      </c>
      <c r="C402" t="s">
        <v>6</v>
      </c>
      <c r="D402" s="3">
        <f t="shared" si="42"/>
        <v>97</v>
      </c>
      <c r="E402" s="4">
        <f t="shared" si="43"/>
        <v>4</v>
      </c>
      <c r="F402" s="4">
        <f t="shared" si="44"/>
        <v>29</v>
      </c>
      <c r="G402" s="3">
        <f>IF(E402&gt;=20,2000,1900) + D402</f>
        <v>1997</v>
      </c>
      <c r="H402">
        <f t="shared" si="45"/>
        <v>4</v>
      </c>
      <c r="I402" s="4">
        <f t="shared" si="46"/>
        <v>29</v>
      </c>
      <c r="J402">
        <f t="shared" si="47"/>
        <v>19970429</v>
      </c>
      <c r="K402" t="str">
        <f t="shared" si="48"/>
        <v>29.04.1997</v>
      </c>
    </row>
    <row r="403" spans="1:11" x14ac:dyDescent="0.25">
      <c r="A403" s="4" t="s">
        <v>429</v>
      </c>
      <c r="B403" t="s">
        <v>7</v>
      </c>
      <c r="C403" t="s">
        <v>4</v>
      </c>
      <c r="D403" s="3">
        <f t="shared" si="42"/>
        <v>78</v>
      </c>
      <c r="E403" s="4">
        <f t="shared" si="43"/>
        <v>6</v>
      </c>
      <c r="F403" s="4">
        <f t="shared" si="44"/>
        <v>25</v>
      </c>
      <c r="G403" s="3">
        <f>IF(E403&gt;=20,2000,1900) + D403</f>
        <v>1978</v>
      </c>
      <c r="H403">
        <f t="shared" si="45"/>
        <v>6</v>
      </c>
      <c r="I403" s="4">
        <f t="shared" si="46"/>
        <v>25</v>
      </c>
      <c r="J403">
        <f t="shared" si="47"/>
        <v>19780625</v>
      </c>
      <c r="K403" t="str">
        <f t="shared" si="48"/>
        <v>25.06.1978</v>
      </c>
    </row>
    <row r="404" spans="1:11" x14ac:dyDescent="0.25">
      <c r="A404" s="4" t="s">
        <v>430</v>
      </c>
      <c r="B404" t="s">
        <v>11</v>
      </c>
      <c r="C404" t="s">
        <v>4</v>
      </c>
      <c r="D404" s="3">
        <f t="shared" si="42"/>
        <v>65</v>
      </c>
      <c r="E404" s="4">
        <f t="shared" si="43"/>
        <v>11</v>
      </c>
      <c r="F404" s="4">
        <f t="shared" si="44"/>
        <v>19</v>
      </c>
      <c r="G404" s="3">
        <f>IF(E404&gt;=20,2000,1900) + D404</f>
        <v>1965</v>
      </c>
      <c r="H404">
        <f t="shared" si="45"/>
        <v>11</v>
      </c>
      <c r="I404" s="4">
        <f t="shared" si="46"/>
        <v>19</v>
      </c>
      <c r="J404">
        <f t="shared" si="47"/>
        <v>19651119</v>
      </c>
      <c r="K404" t="str">
        <f t="shared" si="48"/>
        <v>19.11.1965</v>
      </c>
    </row>
    <row r="405" spans="1:11" x14ac:dyDescent="0.25">
      <c r="A405" s="4" t="s">
        <v>431</v>
      </c>
      <c r="B405" t="s">
        <v>3</v>
      </c>
      <c r="C405" t="s">
        <v>4</v>
      </c>
      <c r="D405" s="3">
        <f t="shared" si="42"/>
        <v>50</v>
      </c>
      <c r="E405" s="4">
        <f t="shared" si="43"/>
        <v>1</v>
      </c>
      <c r="F405" s="4">
        <f t="shared" si="44"/>
        <v>14</v>
      </c>
      <c r="G405" s="3">
        <f>IF(E405&gt;=20,2000,1900) + D405</f>
        <v>1950</v>
      </c>
      <c r="H405">
        <f t="shared" si="45"/>
        <v>1</v>
      </c>
      <c r="I405" s="4">
        <f t="shared" si="46"/>
        <v>14</v>
      </c>
      <c r="J405">
        <f t="shared" si="47"/>
        <v>19500114</v>
      </c>
      <c r="K405" t="str">
        <f t="shared" si="48"/>
        <v>14.01.1950</v>
      </c>
    </row>
    <row r="406" spans="1:11" x14ac:dyDescent="0.25">
      <c r="A406" s="4" t="s">
        <v>432</v>
      </c>
      <c r="B406" t="s">
        <v>11</v>
      </c>
      <c r="C406" t="s">
        <v>6</v>
      </c>
      <c r="D406" s="3">
        <f t="shared" si="42"/>
        <v>83</v>
      </c>
      <c r="E406" s="4">
        <f t="shared" si="43"/>
        <v>11</v>
      </c>
      <c r="F406" s="4">
        <f t="shared" si="44"/>
        <v>10</v>
      </c>
      <c r="G406" s="3">
        <f>IF(E406&gt;=20,2000,1900) + D406</f>
        <v>1983</v>
      </c>
      <c r="H406">
        <f t="shared" si="45"/>
        <v>11</v>
      </c>
      <c r="I406" s="4">
        <f t="shared" si="46"/>
        <v>10</v>
      </c>
      <c r="J406">
        <f t="shared" si="47"/>
        <v>19831110</v>
      </c>
      <c r="K406" t="str">
        <f t="shared" si="48"/>
        <v>10.11.1983</v>
      </c>
    </row>
    <row r="407" spans="1:11" x14ac:dyDescent="0.25">
      <c r="A407" s="4" t="s">
        <v>433</v>
      </c>
      <c r="B407" t="s">
        <v>17</v>
      </c>
      <c r="C407" t="s">
        <v>6</v>
      </c>
      <c r="D407" s="3">
        <f t="shared" si="42"/>
        <v>75</v>
      </c>
      <c r="E407" s="4">
        <f t="shared" si="43"/>
        <v>12</v>
      </c>
      <c r="F407" s="4">
        <f t="shared" si="44"/>
        <v>21</v>
      </c>
      <c r="G407" s="3">
        <f>IF(E407&gt;=20,2000,1900) + D407</f>
        <v>1975</v>
      </c>
      <c r="H407">
        <f t="shared" si="45"/>
        <v>12</v>
      </c>
      <c r="I407" s="4">
        <f t="shared" si="46"/>
        <v>21</v>
      </c>
      <c r="J407">
        <f t="shared" si="47"/>
        <v>19751221</v>
      </c>
      <c r="K407" t="str">
        <f t="shared" si="48"/>
        <v>21.12.1975</v>
      </c>
    </row>
    <row r="408" spans="1:11" x14ac:dyDescent="0.25">
      <c r="A408" s="4" t="s">
        <v>434</v>
      </c>
      <c r="B408" t="s">
        <v>5</v>
      </c>
      <c r="C408" t="s">
        <v>4</v>
      </c>
      <c r="D408" s="3">
        <f t="shared" si="42"/>
        <v>65</v>
      </c>
      <c r="E408" s="4">
        <f t="shared" si="43"/>
        <v>10</v>
      </c>
      <c r="F408" s="4">
        <f t="shared" si="44"/>
        <v>5</v>
      </c>
      <c r="G408" s="3">
        <f>IF(E408&gt;=20,2000,1900) + D408</f>
        <v>1965</v>
      </c>
      <c r="H408">
        <f t="shared" si="45"/>
        <v>10</v>
      </c>
      <c r="I408" s="4">
        <f t="shared" si="46"/>
        <v>5</v>
      </c>
      <c r="J408">
        <f t="shared" si="47"/>
        <v>19651005</v>
      </c>
      <c r="K408" t="str">
        <f t="shared" si="48"/>
        <v>05.10.1965</v>
      </c>
    </row>
    <row r="409" spans="1:11" x14ac:dyDescent="0.25">
      <c r="A409" s="4" t="s">
        <v>435</v>
      </c>
      <c r="B409" t="s">
        <v>9</v>
      </c>
      <c r="C409" t="s">
        <v>6</v>
      </c>
      <c r="D409" s="3">
        <f t="shared" si="42"/>
        <v>70</v>
      </c>
      <c r="E409" s="4">
        <f t="shared" si="43"/>
        <v>2</v>
      </c>
      <c r="F409" s="4">
        <f t="shared" si="44"/>
        <v>19</v>
      </c>
      <c r="G409" s="3">
        <f>IF(E409&gt;=20,2000,1900) + D409</f>
        <v>1970</v>
      </c>
      <c r="H409">
        <f t="shared" si="45"/>
        <v>2</v>
      </c>
      <c r="I409" s="4">
        <f t="shared" si="46"/>
        <v>19</v>
      </c>
      <c r="J409">
        <f t="shared" si="47"/>
        <v>19700219</v>
      </c>
      <c r="K409" t="str">
        <f t="shared" si="48"/>
        <v>19.02.1970</v>
      </c>
    </row>
    <row r="410" spans="1:11" x14ac:dyDescent="0.25">
      <c r="A410" s="4" t="s">
        <v>436</v>
      </c>
      <c r="B410" t="s">
        <v>15</v>
      </c>
      <c r="C410" t="s">
        <v>4</v>
      </c>
      <c r="D410" s="3">
        <f t="shared" si="42"/>
        <v>79</v>
      </c>
      <c r="E410" s="4">
        <f t="shared" si="43"/>
        <v>5</v>
      </c>
      <c r="F410" s="4">
        <f t="shared" si="44"/>
        <v>30</v>
      </c>
      <c r="G410" s="3">
        <f>IF(E410&gt;=20,2000,1900) + D410</f>
        <v>1979</v>
      </c>
      <c r="H410">
        <f t="shared" si="45"/>
        <v>5</v>
      </c>
      <c r="I410" s="4">
        <f t="shared" si="46"/>
        <v>30</v>
      </c>
      <c r="J410">
        <f t="shared" si="47"/>
        <v>19790530</v>
      </c>
      <c r="K410" t="str">
        <f t="shared" si="48"/>
        <v>30.05.1979</v>
      </c>
    </row>
    <row r="411" spans="1:11" x14ac:dyDescent="0.25">
      <c r="A411" s="4" t="s">
        <v>437</v>
      </c>
      <c r="B411" t="s">
        <v>20</v>
      </c>
      <c r="C411" t="s">
        <v>4</v>
      </c>
      <c r="D411" s="3">
        <f t="shared" si="42"/>
        <v>98</v>
      </c>
      <c r="E411" s="4">
        <f t="shared" si="43"/>
        <v>10</v>
      </c>
      <c r="F411" s="4">
        <f t="shared" si="44"/>
        <v>7</v>
      </c>
      <c r="G411" s="3">
        <f>IF(E411&gt;=20,2000,1900) + D411</f>
        <v>1998</v>
      </c>
      <c r="H411">
        <f t="shared" si="45"/>
        <v>10</v>
      </c>
      <c r="I411" s="4">
        <f t="shared" si="46"/>
        <v>7</v>
      </c>
      <c r="J411">
        <f t="shared" si="47"/>
        <v>19981007</v>
      </c>
      <c r="K411" t="str">
        <f t="shared" si="48"/>
        <v>07.10.1998</v>
      </c>
    </row>
    <row r="412" spans="1:11" x14ac:dyDescent="0.25">
      <c r="A412" s="4" t="s">
        <v>438</v>
      </c>
      <c r="B412" t="s">
        <v>14</v>
      </c>
      <c r="C412" t="s">
        <v>4</v>
      </c>
      <c r="D412" s="3">
        <f t="shared" si="42"/>
        <v>61</v>
      </c>
      <c r="E412" s="4">
        <f t="shared" si="43"/>
        <v>4</v>
      </c>
      <c r="F412" s="4">
        <f t="shared" si="44"/>
        <v>4</v>
      </c>
      <c r="G412" s="3">
        <f>IF(E412&gt;=20,2000,1900) + D412</f>
        <v>1961</v>
      </c>
      <c r="H412">
        <f t="shared" si="45"/>
        <v>4</v>
      </c>
      <c r="I412" s="4">
        <f t="shared" si="46"/>
        <v>4</v>
      </c>
      <c r="J412">
        <f t="shared" si="47"/>
        <v>19610404</v>
      </c>
      <c r="K412" t="str">
        <f t="shared" si="48"/>
        <v>04.04.1961</v>
      </c>
    </row>
    <row r="413" spans="1:11" x14ac:dyDescent="0.25">
      <c r="A413" s="4" t="s">
        <v>439</v>
      </c>
      <c r="B413" t="s">
        <v>13</v>
      </c>
      <c r="C413" t="s">
        <v>4</v>
      </c>
      <c r="D413" s="3">
        <f t="shared" si="42"/>
        <v>54</v>
      </c>
      <c r="E413" s="4">
        <f t="shared" si="43"/>
        <v>12</v>
      </c>
      <c r="F413" s="4">
        <f t="shared" si="44"/>
        <v>9</v>
      </c>
      <c r="G413" s="3">
        <f>IF(E413&gt;=20,2000,1900) + D413</f>
        <v>1954</v>
      </c>
      <c r="H413">
        <f t="shared" si="45"/>
        <v>12</v>
      </c>
      <c r="I413" s="4">
        <f t="shared" si="46"/>
        <v>9</v>
      </c>
      <c r="J413">
        <f t="shared" si="47"/>
        <v>19541209</v>
      </c>
      <c r="K413" t="str">
        <f t="shared" si="48"/>
        <v>09.12.1954</v>
      </c>
    </row>
    <row r="414" spans="1:11" x14ac:dyDescent="0.25">
      <c r="A414" s="4" t="s">
        <v>440</v>
      </c>
      <c r="B414" t="s">
        <v>13</v>
      </c>
      <c r="C414" t="s">
        <v>6</v>
      </c>
      <c r="D414" s="3">
        <f t="shared" si="42"/>
        <v>87</v>
      </c>
      <c r="E414" s="4">
        <f t="shared" si="43"/>
        <v>1</v>
      </c>
      <c r="F414" s="4">
        <f t="shared" si="44"/>
        <v>17</v>
      </c>
      <c r="G414" s="3">
        <f>IF(E414&gt;=20,2000,1900) + D414</f>
        <v>1987</v>
      </c>
      <c r="H414">
        <f t="shared" si="45"/>
        <v>1</v>
      </c>
      <c r="I414" s="4">
        <f t="shared" si="46"/>
        <v>17</v>
      </c>
      <c r="J414">
        <f t="shared" si="47"/>
        <v>19870117</v>
      </c>
      <c r="K414" t="str">
        <f t="shared" si="48"/>
        <v>17.01.1987</v>
      </c>
    </row>
    <row r="415" spans="1:11" x14ac:dyDescent="0.25">
      <c r="A415" s="4" t="s">
        <v>441</v>
      </c>
      <c r="B415" t="s">
        <v>7</v>
      </c>
      <c r="C415" t="s">
        <v>4</v>
      </c>
      <c r="D415" s="3">
        <f t="shared" si="42"/>
        <v>89</v>
      </c>
      <c r="E415" s="4">
        <f t="shared" si="43"/>
        <v>12</v>
      </c>
      <c r="F415" s="4">
        <f t="shared" si="44"/>
        <v>21</v>
      </c>
      <c r="G415" s="3">
        <f>IF(E415&gt;=20,2000,1900) + D415</f>
        <v>1989</v>
      </c>
      <c r="H415">
        <f t="shared" si="45"/>
        <v>12</v>
      </c>
      <c r="I415" s="4">
        <f t="shared" si="46"/>
        <v>21</v>
      </c>
      <c r="J415">
        <f t="shared" si="47"/>
        <v>19891221</v>
      </c>
      <c r="K415" t="str">
        <f t="shared" si="48"/>
        <v>21.12.1989</v>
      </c>
    </row>
    <row r="416" spans="1:11" x14ac:dyDescent="0.25">
      <c r="A416" s="4" t="s">
        <v>442</v>
      </c>
      <c r="B416" t="s">
        <v>15</v>
      </c>
      <c r="C416" t="s">
        <v>4</v>
      </c>
      <c r="D416" s="3">
        <f t="shared" si="42"/>
        <v>63</v>
      </c>
      <c r="E416" s="4">
        <f t="shared" si="43"/>
        <v>10</v>
      </c>
      <c r="F416" s="4">
        <f t="shared" si="44"/>
        <v>25</v>
      </c>
      <c r="G416" s="3">
        <f>IF(E416&gt;=20,2000,1900) + D416</f>
        <v>1963</v>
      </c>
      <c r="H416">
        <f t="shared" si="45"/>
        <v>10</v>
      </c>
      <c r="I416" s="4">
        <f t="shared" si="46"/>
        <v>25</v>
      </c>
      <c r="J416">
        <f t="shared" si="47"/>
        <v>19631025</v>
      </c>
      <c r="K416" t="str">
        <f t="shared" si="48"/>
        <v>25.10.1963</v>
      </c>
    </row>
    <row r="417" spans="1:11" x14ac:dyDescent="0.25">
      <c r="A417" s="4" t="s">
        <v>443</v>
      </c>
      <c r="B417" t="s">
        <v>20</v>
      </c>
      <c r="C417" t="s">
        <v>6</v>
      </c>
      <c r="D417" s="3">
        <f t="shared" si="42"/>
        <v>91</v>
      </c>
      <c r="E417" s="4">
        <f t="shared" si="43"/>
        <v>10</v>
      </c>
      <c r="F417" s="4">
        <f t="shared" si="44"/>
        <v>17</v>
      </c>
      <c r="G417" s="3">
        <f>IF(E417&gt;=20,2000,1900) + D417</f>
        <v>1991</v>
      </c>
      <c r="H417">
        <f t="shared" si="45"/>
        <v>10</v>
      </c>
      <c r="I417" s="4">
        <f t="shared" si="46"/>
        <v>17</v>
      </c>
      <c r="J417">
        <f t="shared" si="47"/>
        <v>19911017</v>
      </c>
      <c r="K417" t="str">
        <f t="shared" si="48"/>
        <v>17.10.1991</v>
      </c>
    </row>
    <row r="418" spans="1:11" x14ac:dyDescent="0.25">
      <c r="A418" s="4" t="s">
        <v>444</v>
      </c>
      <c r="B418" t="s">
        <v>14</v>
      </c>
      <c r="C418" t="s">
        <v>6</v>
      </c>
      <c r="D418" s="3">
        <f t="shared" si="42"/>
        <v>73</v>
      </c>
      <c r="E418" s="4">
        <f t="shared" si="43"/>
        <v>4</v>
      </c>
      <c r="F418" s="4">
        <f t="shared" si="44"/>
        <v>12</v>
      </c>
      <c r="G418" s="3">
        <f>IF(E418&gt;=20,2000,1900) + D418</f>
        <v>1973</v>
      </c>
      <c r="H418">
        <f t="shared" si="45"/>
        <v>4</v>
      </c>
      <c r="I418" s="4">
        <f t="shared" si="46"/>
        <v>12</v>
      </c>
      <c r="J418">
        <f t="shared" si="47"/>
        <v>19730412</v>
      </c>
      <c r="K418" t="str">
        <f t="shared" si="48"/>
        <v>12.04.1973</v>
      </c>
    </row>
    <row r="419" spans="1:11" x14ac:dyDescent="0.25">
      <c r="A419" s="4" t="s">
        <v>445</v>
      </c>
      <c r="B419" t="s">
        <v>19</v>
      </c>
      <c r="C419" t="s">
        <v>4</v>
      </c>
      <c r="D419" s="3">
        <f t="shared" si="42"/>
        <v>63</v>
      </c>
      <c r="E419" s="4">
        <f t="shared" si="43"/>
        <v>10</v>
      </c>
      <c r="F419" s="4">
        <f t="shared" si="44"/>
        <v>12</v>
      </c>
      <c r="G419" s="3">
        <f>IF(E419&gt;=20,2000,1900) + D419</f>
        <v>1963</v>
      </c>
      <c r="H419">
        <f t="shared" si="45"/>
        <v>10</v>
      </c>
      <c r="I419" s="4">
        <f t="shared" si="46"/>
        <v>12</v>
      </c>
      <c r="J419">
        <f t="shared" si="47"/>
        <v>19631012</v>
      </c>
      <c r="K419" t="str">
        <f t="shared" si="48"/>
        <v>12.10.1963</v>
      </c>
    </row>
    <row r="420" spans="1:11" x14ac:dyDescent="0.25">
      <c r="A420" s="4" t="s">
        <v>446</v>
      </c>
      <c r="B420" t="s">
        <v>10</v>
      </c>
      <c r="C420" t="s">
        <v>6</v>
      </c>
      <c r="D420" s="3">
        <f t="shared" si="42"/>
        <v>84</v>
      </c>
      <c r="E420" s="4">
        <f t="shared" si="43"/>
        <v>2</v>
      </c>
      <c r="F420" s="4">
        <f t="shared" si="44"/>
        <v>14</v>
      </c>
      <c r="G420" s="3">
        <f>IF(E420&gt;=20,2000,1900) + D420</f>
        <v>1984</v>
      </c>
      <c r="H420">
        <f t="shared" si="45"/>
        <v>2</v>
      </c>
      <c r="I420" s="4">
        <f t="shared" si="46"/>
        <v>14</v>
      </c>
      <c r="J420">
        <f t="shared" si="47"/>
        <v>19840214</v>
      </c>
      <c r="K420" t="str">
        <f t="shared" si="48"/>
        <v>14.02.1984</v>
      </c>
    </row>
    <row r="421" spans="1:11" x14ac:dyDescent="0.25">
      <c r="A421" s="4" t="s">
        <v>447</v>
      </c>
      <c r="B421" t="s">
        <v>5</v>
      </c>
      <c r="C421" t="s">
        <v>4</v>
      </c>
      <c r="D421" s="3">
        <f t="shared" si="42"/>
        <v>87</v>
      </c>
      <c r="E421" s="4">
        <f t="shared" si="43"/>
        <v>5</v>
      </c>
      <c r="F421" s="4">
        <f t="shared" si="44"/>
        <v>13</v>
      </c>
      <c r="G421" s="3">
        <f>IF(E421&gt;=20,2000,1900) + D421</f>
        <v>1987</v>
      </c>
      <c r="H421">
        <f t="shared" si="45"/>
        <v>5</v>
      </c>
      <c r="I421" s="4">
        <f t="shared" si="46"/>
        <v>13</v>
      </c>
      <c r="J421">
        <f t="shared" si="47"/>
        <v>19870513</v>
      </c>
      <c r="K421" t="str">
        <f t="shared" si="48"/>
        <v>13.05.1987</v>
      </c>
    </row>
    <row r="422" spans="1:11" x14ac:dyDescent="0.25">
      <c r="A422" s="4" t="s">
        <v>448</v>
      </c>
      <c r="B422" t="s">
        <v>17</v>
      </c>
      <c r="C422" t="s">
        <v>4</v>
      </c>
      <c r="D422" s="3">
        <f t="shared" si="42"/>
        <v>87</v>
      </c>
      <c r="E422" s="4">
        <f t="shared" si="43"/>
        <v>12</v>
      </c>
      <c r="F422" s="4">
        <f t="shared" si="44"/>
        <v>22</v>
      </c>
      <c r="G422" s="3">
        <f>IF(E422&gt;=20,2000,1900) + D422</f>
        <v>1987</v>
      </c>
      <c r="H422">
        <f t="shared" si="45"/>
        <v>12</v>
      </c>
      <c r="I422" s="4">
        <f t="shared" si="46"/>
        <v>22</v>
      </c>
      <c r="J422">
        <f t="shared" si="47"/>
        <v>19871222</v>
      </c>
      <c r="K422" t="str">
        <f t="shared" si="48"/>
        <v>22.12.1987</v>
      </c>
    </row>
    <row r="423" spans="1:11" x14ac:dyDescent="0.25">
      <c r="A423" s="4" t="s">
        <v>449</v>
      </c>
      <c r="B423" t="s">
        <v>12</v>
      </c>
      <c r="C423" t="s">
        <v>4</v>
      </c>
      <c r="D423" s="3">
        <f t="shared" si="42"/>
        <v>63</v>
      </c>
      <c r="E423" s="4">
        <f t="shared" si="43"/>
        <v>6</v>
      </c>
      <c r="F423" s="4">
        <f t="shared" si="44"/>
        <v>29</v>
      </c>
      <c r="G423" s="3">
        <f>IF(E423&gt;=20,2000,1900) + D423</f>
        <v>1963</v>
      </c>
      <c r="H423">
        <f t="shared" si="45"/>
        <v>6</v>
      </c>
      <c r="I423" s="4">
        <f t="shared" si="46"/>
        <v>29</v>
      </c>
      <c r="J423">
        <f t="shared" si="47"/>
        <v>19630629</v>
      </c>
      <c r="K423" t="str">
        <f t="shared" si="48"/>
        <v>29.06.1963</v>
      </c>
    </row>
    <row r="424" spans="1:11" x14ac:dyDescent="0.25">
      <c r="A424" s="4" t="s">
        <v>450</v>
      </c>
      <c r="B424" t="s">
        <v>19</v>
      </c>
      <c r="C424" t="s">
        <v>6</v>
      </c>
      <c r="D424" s="3">
        <f t="shared" si="42"/>
        <v>99</v>
      </c>
      <c r="E424" s="4">
        <f t="shared" si="43"/>
        <v>1</v>
      </c>
      <c r="F424" s="4">
        <f t="shared" si="44"/>
        <v>12</v>
      </c>
      <c r="G424" s="3">
        <f>IF(E424&gt;=20,2000,1900) + D424</f>
        <v>1999</v>
      </c>
      <c r="H424">
        <f t="shared" si="45"/>
        <v>1</v>
      </c>
      <c r="I424" s="4">
        <f t="shared" si="46"/>
        <v>12</v>
      </c>
      <c r="J424">
        <f t="shared" si="47"/>
        <v>19990112</v>
      </c>
      <c r="K424" t="str">
        <f t="shared" si="48"/>
        <v>12.01.1999</v>
      </c>
    </row>
    <row r="425" spans="1:11" x14ac:dyDescent="0.25">
      <c r="A425" s="4" t="s">
        <v>451</v>
      </c>
      <c r="B425" t="s">
        <v>19</v>
      </c>
      <c r="C425" t="s">
        <v>6</v>
      </c>
      <c r="D425" s="3">
        <f t="shared" si="42"/>
        <v>72</v>
      </c>
      <c r="E425" s="4">
        <f t="shared" si="43"/>
        <v>11</v>
      </c>
      <c r="F425" s="4">
        <f t="shared" si="44"/>
        <v>7</v>
      </c>
      <c r="G425" s="3">
        <f>IF(E425&gt;=20,2000,1900) + D425</f>
        <v>1972</v>
      </c>
      <c r="H425">
        <f t="shared" si="45"/>
        <v>11</v>
      </c>
      <c r="I425" s="4">
        <f t="shared" si="46"/>
        <v>7</v>
      </c>
      <c r="J425">
        <f t="shared" si="47"/>
        <v>19721107</v>
      </c>
      <c r="K425" t="str">
        <f t="shared" si="48"/>
        <v>07.11.1972</v>
      </c>
    </row>
    <row r="426" spans="1:11" x14ac:dyDescent="0.25">
      <c r="A426" s="4" t="s">
        <v>452</v>
      </c>
      <c r="B426" t="s">
        <v>16</v>
      </c>
      <c r="C426" t="s">
        <v>6</v>
      </c>
      <c r="D426" s="3">
        <f t="shared" si="42"/>
        <v>70</v>
      </c>
      <c r="E426" s="4">
        <f t="shared" si="43"/>
        <v>5</v>
      </c>
      <c r="F426" s="4">
        <f t="shared" si="44"/>
        <v>23</v>
      </c>
      <c r="G426" s="3">
        <f>IF(E426&gt;=20,2000,1900) + D426</f>
        <v>1970</v>
      </c>
      <c r="H426">
        <f t="shared" si="45"/>
        <v>5</v>
      </c>
      <c r="I426" s="4">
        <f t="shared" si="46"/>
        <v>23</v>
      </c>
      <c r="J426">
        <f t="shared" si="47"/>
        <v>19700523</v>
      </c>
      <c r="K426" t="str">
        <f t="shared" si="48"/>
        <v>23.05.1970</v>
      </c>
    </row>
    <row r="427" spans="1:11" x14ac:dyDescent="0.25">
      <c r="A427" s="4" t="s">
        <v>453</v>
      </c>
      <c r="B427" t="s">
        <v>12</v>
      </c>
      <c r="C427" t="s">
        <v>6</v>
      </c>
      <c r="D427" s="3">
        <f t="shared" si="42"/>
        <v>53</v>
      </c>
      <c r="E427" s="4">
        <f t="shared" si="43"/>
        <v>8</v>
      </c>
      <c r="F427" s="4">
        <f t="shared" si="44"/>
        <v>6</v>
      </c>
      <c r="G427" s="3">
        <f>IF(E427&gt;=20,2000,1900) + D427</f>
        <v>1953</v>
      </c>
      <c r="H427">
        <f t="shared" si="45"/>
        <v>8</v>
      </c>
      <c r="I427" s="4">
        <f t="shared" si="46"/>
        <v>6</v>
      </c>
      <c r="J427">
        <f t="shared" si="47"/>
        <v>19530806</v>
      </c>
      <c r="K427" t="str">
        <f t="shared" si="48"/>
        <v>06.08.1953</v>
      </c>
    </row>
    <row r="428" spans="1:11" x14ac:dyDescent="0.25">
      <c r="A428" s="4" t="s">
        <v>454</v>
      </c>
      <c r="B428" t="s">
        <v>13</v>
      </c>
      <c r="C428" t="s">
        <v>6</v>
      </c>
      <c r="D428" s="3">
        <f t="shared" si="42"/>
        <v>63</v>
      </c>
      <c r="E428" s="4">
        <f t="shared" si="43"/>
        <v>9</v>
      </c>
      <c r="F428" s="4">
        <f t="shared" si="44"/>
        <v>26</v>
      </c>
      <c r="G428" s="3">
        <f>IF(E428&gt;=20,2000,1900) + D428</f>
        <v>1963</v>
      </c>
      <c r="H428">
        <f t="shared" si="45"/>
        <v>9</v>
      </c>
      <c r="I428" s="4">
        <f t="shared" si="46"/>
        <v>26</v>
      </c>
      <c r="J428">
        <f t="shared" si="47"/>
        <v>19630926</v>
      </c>
      <c r="K428" t="str">
        <f t="shared" si="48"/>
        <v>26.09.1963</v>
      </c>
    </row>
    <row r="429" spans="1:11" x14ac:dyDescent="0.25">
      <c r="A429" s="4" t="s">
        <v>455</v>
      </c>
      <c r="B429" t="s">
        <v>15</v>
      </c>
      <c r="C429" t="s">
        <v>4</v>
      </c>
      <c r="D429" s="3">
        <f t="shared" si="42"/>
        <v>80</v>
      </c>
      <c r="E429" s="4">
        <f t="shared" si="43"/>
        <v>1</v>
      </c>
      <c r="F429" s="4">
        <f t="shared" si="44"/>
        <v>23</v>
      </c>
      <c r="G429" s="3">
        <f>IF(E429&gt;=20,2000,1900) + D429</f>
        <v>1980</v>
      </c>
      <c r="H429">
        <f t="shared" si="45"/>
        <v>1</v>
      </c>
      <c r="I429" s="4">
        <f t="shared" si="46"/>
        <v>23</v>
      </c>
      <c r="J429">
        <f t="shared" si="47"/>
        <v>19800123</v>
      </c>
      <c r="K429" t="str">
        <f t="shared" si="48"/>
        <v>23.01.1980</v>
      </c>
    </row>
    <row r="430" spans="1:11" x14ac:dyDescent="0.25">
      <c r="A430" s="4" t="s">
        <v>456</v>
      </c>
      <c r="B430" t="s">
        <v>5</v>
      </c>
      <c r="C430" t="s">
        <v>4</v>
      </c>
      <c r="D430" s="3">
        <f t="shared" si="42"/>
        <v>88</v>
      </c>
      <c r="E430" s="4">
        <f t="shared" si="43"/>
        <v>9</v>
      </c>
      <c r="F430" s="4">
        <f t="shared" si="44"/>
        <v>28</v>
      </c>
      <c r="G430" s="3">
        <f>IF(E430&gt;=20,2000,1900) + D430</f>
        <v>1988</v>
      </c>
      <c r="H430">
        <f t="shared" si="45"/>
        <v>9</v>
      </c>
      <c r="I430" s="4">
        <f t="shared" si="46"/>
        <v>28</v>
      </c>
      <c r="J430">
        <f t="shared" si="47"/>
        <v>19880928</v>
      </c>
      <c r="K430" t="str">
        <f t="shared" si="48"/>
        <v>28.09.1988</v>
      </c>
    </row>
    <row r="431" spans="1:11" x14ac:dyDescent="0.25">
      <c r="A431" s="4" t="s">
        <v>457</v>
      </c>
      <c r="B431" t="s">
        <v>18</v>
      </c>
      <c r="C431" t="s">
        <v>6</v>
      </c>
      <c r="D431" s="3">
        <f t="shared" si="42"/>
        <v>63</v>
      </c>
      <c r="E431" s="4">
        <f t="shared" si="43"/>
        <v>6</v>
      </c>
      <c r="F431" s="4">
        <f t="shared" si="44"/>
        <v>20</v>
      </c>
      <c r="G431" s="3">
        <f>IF(E431&gt;=20,2000,1900) + D431</f>
        <v>1963</v>
      </c>
      <c r="H431">
        <f t="shared" si="45"/>
        <v>6</v>
      </c>
      <c r="I431" s="4">
        <f t="shared" si="46"/>
        <v>20</v>
      </c>
      <c r="J431">
        <f t="shared" si="47"/>
        <v>19630620</v>
      </c>
      <c r="K431" t="str">
        <f t="shared" si="48"/>
        <v>20.06.1963</v>
      </c>
    </row>
    <row r="432" spans="1:11" x14ac:dyDescent="0.25">
      <c r="A432" s="4" t="s">
        <v>458</v>
      </c>
      <c r="B432" t="s">
        <v>15</v>
      </c>
      <c r="C432" t="s">
        <v>4</v>
      </c>
      <c r="D432" s="3">
        <f t="shared" si="42"/>
        <v>62</v>
      </c>
      <c r="E432" s="4">
        <f t="shared" si="43"/>
        <v>2</v>
      </c>
      <c r="F432" s="4">
        <f t="shared" si="44"/>
        <v>6</v>
      </c>
      <c r="G432" s="3">
        <f>IF(E432&gt;=20,2000,1900) + D432</f>
        <v>1962</v>
      </c>
      <c r="H432">
        <f t="shared" si="45"/>
        <v>2</v>
      </c>
      <c r="I432" s="4">
        <f t="shared" si="46"/>
        <v>6</v>
      </c>
      <c r="J432">
        <f t="shared" si="47"/>
        <v>19620206</v>
      </c>
      <c r="K432" t="str">
        <f t="shared" si="48"/>
        <v>06.02.1962</v>
      </c>
    </row>
    <row r="433" spans="1:11" x14ac:dyDescent="0.25">
      <c r="A433" s="4" t="s">
        <v>459</v>
      </c>
      <c r="B433" t="s">
        <v>20</v>
      </c>
      <c r="C433" t="s">
        <v>6</v>
      </c>
      <c r="D433" s="3">
        <f t="shared" si="42"/>
        <v>85</v>
      </c>
      <c r="E433" s="4">
        <f t="shared" si="43"/>
        <v>12</v>
      </c>
      <c r="F433" s="4">
        <f t="shared" si="44"/>
        <v>7</v>
      </c>
      <c r="G433" s="3">
        <f>IF(E433&gt;=20,2000,1900) + D433</f>
        <v>1985</v>
      </c>
      <c r="H433">
        <f t="shared" si="45"/>
        <v>12</v>
      </c>
      <c r="I433" s="4">
        <f t="shared" si="46"/>
        <v>7</v>
      </c>
      <c r="J433">
        <f t="shared" si="47"/>
        <v>19851207</v>
      </c>
      <c r="K433" t="str">
        <f t="shared" si="48"/>
        <v>07.12.1985</v>
      </c>
    </row>
    <row r="434" spans="1:11" x14ac:dyDescent="0.25">
      <c r="A434" s="4" t="s">
        <v>460</v>
      </c>
      <c r="B434" t="s">
        <v>17</v>
      </c>
      <c r="C434" t="s">
        <v>4</v>
      </c>
      <c r="D434" s="3">
        <f t="shared" si="42"/>
        <v>57</v>
      </c>
      <c r="E434" s="4">
        <f t="shared" si="43"/>
        <v>7</v>
      </c>
      <c r="F434" s="4">
        <f t="shared" si="44"/>
        <v>24</v>
      </c>
      <c r="G434" s="3">
        <f>IF(E434&gt;=20,2000,1900) + D434</f>
        <v>1957</v>
      </c>
      <c r="H434">
        <f t="shared" si="45"/>
        <v>7</v>
      </c>
      <c r="I434" s="4">
        <f t="shared" si="46"/>
        <v>24</v>
      </c>
      <c r="J434">
        <f t="shared" si="47"/>
        <v>19570724</v>
      </c>
      <c r="K434" t="str">
        <f t="shared" si="48"/>
        <v>24.07.1957</v>
      </c>
    </row>
    <row r="435" spans="1:11" x14ac:dyDescent="0.25">
      <c r="A435" s="4" t="s">
        <v>461</v>
      </c>
      <c r="B435" t="s">
        <v>20</v>
      </c>
      <c r="C435" t="s">
        <v>6</v>
      </c>
      <c r="D435" s="3">
        <f t="shared" si="42"/>
        <v>82</v>
      </c>
      <c r="E435" s="4">
        <f t="shared" si="43"/>
        <v>2</v>
      </c>
      <c r="F435" s="4">
        <f t="shared" si="44"/>
        <v>2</v>
      </c>
      <c r="G435" s="3">
        <f>IF(E435&gt;=20,2000,1900) + D435</f>
        <v>1982</v>
      </c>
      <c r="H435">
        <f t="shared" si="45"/>
        <v>2</v>
      </c>
      <c r="I435" s="4">
        <f t="shared" si="46"/>
        <v>2</v>
      </c>
      <c r="J435">
        <f t="shared" si="47"/>
        <v>19820202</v>
      </c>
      <c r="K435" t="str">
        <f t="shared" si="48"/>
        <v>02.02.1982</v>
      </c>
    </row>
    <row r="436" spans="1:11" x14ac:dyDescent="0.25">
      <c r="A436" s="4" t="s">
        <v>462</v>
      </c>
      <c r="B436" t="s">
        <v>11</v>
      </c>
      <c r="C436" t="s">
        <v>4</v>
      </c>
      <c r="D436" s="3">
        <f t="shared" si="42"/>
        <v>93</v>
      </c>
      <c r="E436" s="4">
        <f t="shared" si="43"/>
        <v>11</v>
      </c>
      <c r="F436" s="4">
        <f t="shared" si="44"/>
        <v>30</v>
      </c>
      <c r="G436" s="3">
        <f>IF(E436&gt;=20,2000,1900) + D436</f>
        <v>1993</v>
      </c>
      <c r="H436">
        <f t="shared" si="45"/>
        <v>11</v>
      </c>
      <c r="I436" s="4">
        <f t="shared" si="46"/>
        <v>30</v>
      </c>
      <c r="J436">
        <f t="shared" si="47"/>
        <v>19931130</v>
      </c>
      <c r="K436" t="str">
        <f t="shared" si="48"/>
        <v>30.11.1993</v>
      </c>
    </row>
    <row r="437" spans="1:11" x14ac:dyDescent="0.25">
      <c r="A437" s="4" t="s">
        <v>463</v>
      </c>
      <c r="B437" t="s">
        <v>3</v>
      </c>
      <c r="C437" t="s">
        <v>4</v>
      </c>
      <c r="D437" s="3">
        <f t="shared" si="42"/>
        <v>80</v>
      </c>
      <c r="E437" s="4">
        <f t="shared" si="43"/>
        <v>3</v>
      </c>
      <c r="F437" s="4">
        <f t="shared" si="44"/>
        <v>29</v>
      </c>
      <c r="G437" s="3">
        <f>IF(E437&gt;=20,2000,1900) + D437</f>
        <v>1980</v>
      </c>
      <c r="H437">
        <f t="shared" si="45"/>
        <v>3</v>
      </c>
      <c r="I437" s="4">
        <f t="shared" si="46"/>
        <v>29</v>
      </c>
      <c r="J437">
        <f t="shared" si="47"/>
        <v>19800329</v>
      </c>
      <c r="K437" t="str">
        <f t="shared" si="48"/>
        <v>29.03.1980</v>
      </c>
    </row>
    <row r="438" spans="1:11" x14ac:dyDescent="0.25">
      <c r="A438" s="4" t="s">
        <v>464</v>
      </c>
      <c r="B438" t="s">
        <v>11</v>
      </c>
      <c r="C438" t="s">
        <v>4</v>
      </c>
      <c r="D438" s="3">
        <f t="shared" si="42"/>
        <v>97</v>
      </c>
      <c r="E438" s="4">
        <f t="shared" si="43"/>
        <v>6</v>
      </c>
      <c r="F438" s="4">
        <f t="shared" si="44"/>
        <v>16</v>
      </c>
      <c r="G438" s="3">
        <f>IF(E438&gt;=20,2000,1900) + D438</f>
        <v>1997</v>
      </c>
      <c r="H438">
        <f t="shared" si="45"/>
        <v>6</v>
      </c>
      <c r="I438" s="4">
        <f t="shared" si="46"/>
        <v>16</v>
      </c>
      <c r="J438">
        <f t="shared" si="47"/>
        <v>19970616</v>
      </c>
      <c r="K438" t="str">
        <f t="shared" si="48"/>
        <v>16.06.1997</v>
      </c>
    </row>
    <row r="439" spans="1:11" x14ac:dyDescent="0.25">
      <c r="A439" s="4" t="s">
        <v>465</v>
      </c>
      <c r="B439" t="s">
        <v>11</v>
      </c>
      <c r="C439" t="s">
        <v>4</v>
      </c>
      <c r="D439" s="3">
        <f t="shared" si="42"/>
        <v>99</v>
      </c>
      <c r="E439" s="4">
        <f t="shared" si="43"/>
        <v>4</v>
      </c>
      <c r="F439" s="4">
        <f t="shared" si="44"/>
        <v>22</v>
      </c>
      <c r="G439" s="3">
        <f>IF(E439&gt;=20,2000,1900) + D439</f>
        <v>1999</v>
      </c>
      <c r="H439">
        <f t="shared" si="45"/>
        <v>4</v>
      </c>
      <c r="I439" s="4">
        <f t="shared" si="46"/>
        <v>22</v>
      </c>
      <c r="J439">
        <f t="shared" si="47"/>
        <v>19990422</v>
      </c>
      <c r="K439" t="str">
        <f t="shared" si="48"/>
        <v>22.04.1999</v>
      </c>
    </row>
    <row r="440" spans="1:11" x14ac:dyDescent="0.25">
      <c r="A440" s="4" t="s">
        <v>466</v>
      </c>
      <c r="B440" t="s">
        <v>7</v>
      </c>
      <c r="C440" t="s">
        <v>4</v>
      </c>
      <c r="D440" s="3">
        <f t="shared" si="42"/>
        <v>90</v>
      </c>
      <c r="E440" s="4">
        <f t="shared" si="43"/>
        <v>12</v>
      </c>
      <c r="F440" s="4">
        <f t="shared" si="44"/>
        <v>22</v>
      </c>
      <c r="G440" s="3">
        <f>IF(E440&gt;=20,2000,1900) + D440</f>
        <v>1990</v>
      </c>
      <c r="H440">
        <f t="shared" si="45"/>
        <v>12</v>
      </c>
      <c r="I440" s="4">
        <f t="shared" si="46"/>
        <v>22</v>
      </c>
      <c r="J440">
        <f t="shared" si="47"/>
        <v>19901222</v>
      </c>
      <c r="K440" t="str">
        <f t="shared" si="48"/>
        <v>22.12.1990</v>
      </c>
    </row>
    <row r="441" spans="1:11" x14ac:dyDescent="0.25">
      <c r="A441" s="4" t="s">
        <v>467</v>
      </c>
      <c r="B441" t="s">
        <v>3</v>
      </c>
      <c r="C441" t="s">
        <v>4</v>
      </c>
      <c r="D441" s="3">
        <f t="shared" si="42"/>
        <v>98</v>
      </c>
      <c r="E441" s="4">
        <f t="shared" si="43"/>
        <v>4</v>
      </c>
      <c r="F441" s="4">
        <f t="shared" si="44"/>
        <v>20</v>
      </c>
      <c r="G441" s="3">
        <f>IF(E441&gt;=20,2000,1900) + D441</f>
        <v>1998</v>
      </c>
      <c r="H441">
        <f t="shared" si="45"/>
        <v>4</v>
      </c>
      <c r="I441" s="4">
        <f t="shared" si="46"/>
        <v>20</v>
      </c>
      <c r="J441">
        <f t="shared" si="47"/>
        <v>19980420</v>
      </c>
      <c r="K441" t="str">
        <f t="shared" si="48"/>
        <v>20.04.1998</v>
      </c>
    </row>
    <row r="442" spans="1:11" x14ac:dyDescent="0.25">
      <c r="A442" s="4" t="s">
        <v>468</v>
      </c>
      <c r="B442" t="s">
        <v>11</v>
      </c>
      <c r="C442" t="s">
        <v>4</v>
      </c>
      <c r="D442" s="3">
        <f t="shared" si="42"/>
        <v>63</v>
      </c>
      <c r="E442" s="4">
        <f t="shared" si="43"/>
        <v>9</v>
      </c>
      <c r="F442" s="4">
        <f t="shared" si="44"/>
        <v>6</v>
      </c>
      <c r="G442" s="3">
        <f>IF(E442&gt;=20,2000,1900) + D442</f>
        <v>1963</v>
      </c>
      <c r="H442">
        <f t="shared" si="45"/>
        <v>9</v>
      </c>
      <c r="I442" s="4">
        <f t="shared" si="46"/>
        <v>6</v>
      </c>
      <c r="J442">
        <f t="shared" si="47"/>
        <v>19630906</v>
      </c>
      <c r="K442" t="str">
        <f t="shared" si="48"/>
        <v>06.09.1963</v>
      </c>
    </row>
    <row r="443" spans="1:11" x14ac:dyDescent="0.25">
      <c r="A443" s="4" t="s">
        <v>469</v>
      </c>
      <c r="B443" t="s">
        <v>14</v>
      </c>
      <c r="C443" t="s">
        <v>4</v>
      </c>
      <c r="D443" s="3">
        <f t="shared" si="42"/>
        <v>56</v>
      </c>
      <c r="E443" s="4">
        <f t="shared" si="43"/>
        <v>4</v>
      </c>
      <c r="F443" s="4">
        <f t="shared" si="44"/>
        <v>16</v>
      </c>
      <c r="G443" s="3">
        <f>IF(E443&gt;=20,2000,1900) + D443</f>
        <v>1956</v>
      </c>
      <c r="H443">
        <f t="shared" si="45"/>
        <v>4</v>
      </c>
      <c r="I443" s="4">
        <f t="shared" si="46"/>
        <v>16</v>
      </c>
      <c r="J443">
        <f t="shared" si="47"/>
        <v>19560416</v>
      </c>
      <c r="K443" t="str">
        <f t="shared" si="48"/>
        <v>16.04.1956</v>
      </c>
    </row>
    <row r="444" spans="1:11" x14ac:dyDescent="0.25">
      <c r="A444" s="4" t="s">
        <v>470</v>
      </c>
      <c r="B444" t="s">
        <v>11</v>
      </c>
      <c r="C444" t="s">
        <v>4</v>
      </c>
      <c r="D444" s="3">
        <f t="shared" si="42"/>
        <v>61</v>
      </c>
      <c r="E444" s="4">
        <f t="shared" si="43"/>
        <v>6</v>
      </c>
      <c r="F444" s="4">
        <f t="shared" si="44"/>
        <v>13</v>
      </c>
      <c r="G444" s="3">
        <f>IF(E444&gt;=20,2000,1900) + D444</f>
        <v>1961</v>
      </c>
      <c r="H444">
        <f t="shared" si="45"/>
        <v>6</v>
      </c>
      <c r="I444" s="4">
        <f t="shared" si="46"/>
        <v>13</v>
      </c>
      <c r="J444">
        <f t="shared" si="47"/>
        <v>19610613</v>
      </c>
      <c r="K444" t="str">
        <f t="shared" si="48"/>
        <v>13.06.1961</v>
      </c>
    </row>
    <row r="445" spans="1:11" x14ac:dyDescent="0.25">
      <c r="A445" s="4" t="s">
        <v>471</v>
      </c>
      <c r="B445" t="s">
        <v>16</v>
      </c>
      <c r="C445" t="s">
        <v>6</v>
      </c>
      <c r="D445" s="3">
        <f t="shared" si="42"/>
        <v>65</v>
      </c>
      <c r="E445" s="4">
        <f t="shared" si="43"/>
        <v>3</v>
      </c>
      <c r="F445" s="4">
        <f t="shared" si="44"/>
        <v>2</v>
      </c>
      <c r="G445" s="3">
        <f>IF(E445&gt;=20,2000,1900) + D445</f>
        <v>1965</v>
      </c>
      <c r="H445">
        <f t="shared" si="45"/>
        <v>3</v>
      </c>
      <c r="I445" s="4">
        <f t="shared" si="46"/>
        <v>2</v>
      </c>
      <c r="J445">
        <f t="shared" si="47"/>
        <v>19650302</v>
      </c>
      <c r="K445" t="str">
        <f t="shared" si="48"/>
        <v>02.03.1965</v>
      </c>
    </row>
    <row r="446" spans="1:11" x14ac:dyDescent="0.25">
      <c r="A446" s="4" t="s">
        <v>472</v>
      </c>
      <c r="B446" t="s">
        <v>12</v>
      </c>
      <c r="C446" t="s">
        <v>4</v>
      </c>
      <c r="D446" s="3">
        <f t="shared" si="42"/>
        <v>92</v>
      </c>
      <c r="E446" s="4">
        <f t="shared" si="43"/>
        <v>1</v>
      </c>
      <c r="F446" s="4">
        <f t="shared" si="44"/>
        <v>29</v>
      </c>
      <c r="G446" s="3">
        <f>IF(E446&gt;=20,2000,1900) + D446</f>
        <v>1992</v>
      </c>
      <c r="H446">
        <f t="shared" si="45"/>
        <v>1</v>
      </c>
      <c r="I446" s="4">
        <f t="shared" si="46"/>
        <v>29</v>
      </c>
      <c r="J446">
        <f t="shared" si="47"/>
        <v>19920129</v>
      </c>
      <c r="K446" t="str">
        <f t="shared" si="48"/>
        <v>29.01.1992</v>
      </c>
    </row>
    <row r="447" spans="1:11" x14ac:dyDescent="0.25">
      <c r="A447" s="4" t="s">
        <v>473</v>
      </c>
      <c r="B447" t="s">
        <v>15</v>
      </c>
      <c r="C447" t="s">
        <v>6</v>
      </c>
      <c r="D447" s="3">
        <f t="shared" si="42"/>
        <v>98</v>
      </c>
      <c r="E447" s="4">
        <f t="shared" si="43"/>
        <v>2</v>
      </c>
      <c r="F447" s="4">
        <f t="shared" si="44"/>
        <v>13</v>
      </c>
      <c r="G447" s="3">
        <f>IF(E447&gt;=20,2000,1900) + D447</f>
        <v>1998</v>
      </c>
      <c r="H447">
        <f t="shared" si="45"/>
        <v>2</v>
      </c>
      <c r="I447" s="4">
        <f t="shared" si="46"/>
        <v>13</v>
      </c>
      <c r="J447">
        <f t="shared" si="47"/>
        <v>19980213</v>
      </c>
      <c r="K447" t="str">
        <f t="shared" si="48"/>
        <v>13.02.1998</v>
      </c>
    </row>
    <row r="448" spans="1:11" x14ac:dyDescent="0.25">
      <c r="A448" s="4" t="s">
        <v>474</v>
      </c>
      <c r="B448" t="s">
        <v>10</v>
      </c>
      <c r="C448" t="s">
        <v>6</v>
      </c>
      <c r="D448" s="3">
        <f t="shared" si="42"/>
        <v>61</v>
      </c>
      <c r="E448" s="4">
        <f t="shared" si="43"/>
        <v>2</v>
      </c>
      <c r="F448" s="4">
        <f t="shared" si="44"/>
        <v>7</v>
      </c>
      <c r="G448" s="3">
        <f>IF(E448&gt;=20,2000,1900) + D448</f>
        <v>1961</v>
      </c>
      <c r="H448">
        <f t="shared" si="45"/>
        <v>2</v>
      </c>
      <c r="I448" s="4">
        <f t="shared" si="46"/>
        <v>7</v>
      </c>
      <c r="J448">
        <f t="shared" si="47"/>
        <v>19610207</v>
      </c>
      <c r="K448" t="str">
        <f t="shared" si="48"/>
        <v>07.02.1961</v>
      </c>
    </row>
    <row r="449" spans="1:11" x14ac:dyDescent="0.25">
      <c r="A449" s="4" t="s">
        <v>475</v>
      </c>
      <c r="B449" t="s">
        <v>11</v>
      </c>
      <c r="C449" t="s">
        <v>6</v>
      </c>
      <c r="D449" s="3">
        <f t="shared" si="42"/>
        <v>51</v>
      </c>
      <c r="E449" s="4">
        <f t="shared" si="43"/>
        <v>10</v>
      </c>
      <c r="F449" s="4">
        <f t="shared" si="44"/>
        <v>8</v>
      </c>
      <c r="G449" s="3">
        <f>IF(E449&gt;=20,2000,1900) + D449</f>
        <v>1951</v>
      </c>
      <c r="H449">
        <f t="shared" si="45"/>
        <v>10</v>
      </c>
      <c r="I449" s="4">
        <f t="shared" si="46"/>
        <v>8</v>
      </c>
      <c r="J449">
        <f t="shared" si="47"/>
        <v>19511008</v>
      </c>
      <c r="K449" t="str">
        <f t="shared" si="48"/>
        <v>08.10.1951</v>
      </c>
    </row>
    <row r="450" spans="1:11" x14ac:dyDescent="0.25">
      <c r="A450" s="4" t="s">
        <v>476</v>
      </c>
      <c r="B450" t="s">
        <v>12</v>
      </c>
      <c r="C450" t="s">
        <v>4</v>
      </c>
      <c r="D450" s="3">
        <f t="shared" si="42"/>
        <v>58</v>
      </c>
      <c r="E450" s="4">
        <f t="shared" si="43"/>
        <v>9</v>
      </c>
      <c r="F450" s="4">
        <f t="shared" si="44"/>
        <v>23</v>
      </c>
      <c r="G450" s="3">
        <f>IF(E450&gt;=20,2000,1900) + D450</f>
        <v>1958</v>
      </c>
      <c r="H450">
        <f t="shared" si="45"/>
        <v>9</v>
      </c>
      <c r="I450" s="4">
        <f t="shared" si="46"/>
        <v>23</v>
      </c>
      <c r="J450">
        <f t="shared" si="47"/>
        <v>19580923</v>
      </c>
      <c r="K450" t="str">
        <f t="shared" si="48"/>
        <v>23.09.1958</v>
      </c>
    </row>
    <row r="451" spans="1:11" x14ac:dyDescent="0.25">
      <c r="A451" s="4" t="s">
        <v>477</v>
      </c>
      <c r="B451" t="s">
        <v>15</v>
      </c>
      <c r="C451" t="s">
        <v>4</v>
      </c>
      <c r="D451" s="3">
        <f t="shared" ref="D451:D514" si="49">MID(A451,1,2)*1</f>
        <v>58</v>
      </c>
      <c r="E451" s="4">
        <f t="shared" ref="E451:E514" si="50">MID(A451,3,2)*1</f>
        <v>8</v>
      </c>
      <c r="F451" s="4">
        <f t="shared" ref="F451:F514" si="51">MID(A451,5,2)*1</f>
        <v>18</v>
      </c>
      <c r="G451" s="3">
        <f>IF(E451&gt;=20,2000,1900) + D451</f>
        <v>1958</v>
      </c>
      <c r="H451">
        <f t="shared" ref="H451:H514" si="52">IF(E451&gt;=20,E451-20,E451)</f>
        <v>8</v>
      </c>
      <c r="I451" s="4">
        <f t="shared" ref="I451:I514" si="53">F451</f>
        <v>18</v>
      </c>
      <c r="J451">
        <f t="shared" ref="J451:J514" si="54">CONCATENATE(G451,IF(LEN(E451)=1,CONCATENATE("0",E451),E451),IF(LEN(F451)=1,CONCATENATE("0",F451),F451))*1</f>
        <v>19580818</v>
      </c>
      <c r="K451" t="str">
        <f t="shared" ref="K451:K514" si="55">CONCATENATE(RIGHT(J451,2),".",MID(J451,5,2),".",LEFT(J451,4))</f>
        <v>18.08.1958</v>
      </c>
    </row>
    <row r="452" spans="1:11" x14ac:dyDescent="0.25">
      <c r="A452" s="4" t="s">
        <v>478</v>
      </c>
      <c r="B452" t="s">
        <v>17</v>
      </c>
      <c r="C452" t="s">
        <v>4</v>
      </c>
      <c r="D452" s="3">
        <f t="shared" si="49"/>
        <v>51</v>
      </c>
      <c r="E452" s="4">
        <f t="shared" si="50"/>
        <v>11</v>
      </c>
      <c r="F452" s="4">
        <f t="shared" si="51"/>
        <v>20</v>
      </c>
      <c r="G452" s="3">
        <f>IF(E452&gt;=20,2000,1900) + D452</f>
        <v>1951</v>
      </c>
      <c r="H452">
        <f t="shared" si="52"/>
        <v>11</v>
      </c>
      <c r="I452" s="4">
        <f t="shared" si="53"/>
        <v>20</v>
      </c>
      <c r="J452">
        <f t="shared" si="54"/>
        <v>19511120</v>
      </c>
      <c r="K452" t="str">
        <f t="shared" si="55"/>
        <v>20.11.1951</v>
      </c>
    </row>
    <row r="453" spans="1:11" x14ac:dyDescent="0.25">
      <c r="A453" s="4" t="s">
        <v>479</v>
      </c>
      <c r="B453" t="s">
        <v>15</v>
      </c>
      <c r="C453" t="s">
        <v>4</v>
      </c>
      <c r="D453" s="3">
        <f t="shared" si="49"/>
        <v>89</v>
      </c>
      <c r="E453" s="4">
        <f t="shared" si="50"/>
        <v>1</v>
      </c>
      <c r="F453" s="4">
        <f t="shared" si="51"/>
        <v>1</v>
      </c>
      <c r="G453" s="3">
        <f>IF(E453&gt;=20,2000,1900) + D453</f>
        <v>1989</v>
      </c>
      <c r="H453">
        <f t="shared" si="52"/>
        <v>1</v>
      </c>
      <c r="I453" s="4">
        <f t="shared" si="53"/>
        <v>1</v>
      </c>
      <c r="J453">
        <f t="shared" si="54"/>
        <v>19890101</v>
      </c>
      <c r="K453" t="str">
        <f t="shared" si="55"/>
        <v>01.01.1989</v>
      </c>
    </row>
    <row r="454" spans="1:11" x14ac:dyDescent="0.25">
      <c r="A454" s="4" t="s">
        <v>480</v>
      </c>
      <c r="B454" t="s">
        <v>14</v>
      </c>
      <c r="C454" t="s">
        <v>6</v>
      </c>
      <c r="D454" s="3">
        <f t="shared" si="49"/>
        <v>84</v>
      </c>
      <c r="E454" s="4">
        <f t="shared" si="50"/>
        <v>2</v>
      </c>
      <c r="F454" s="4">
        <f t="shared" si="51"/>
        <v>11</v>
      </c>
      <c r="G454" s="3">
        <f>IF(E454&gt;=20,2000,1900) + D454</f>
        <v>1984</v>
      </c>
      <c r="H454">
        <f t="shared" si="52"/>
        <v>2</v>
      </c>
      <c r="I454" s="4">
        <f t="shared" si="53"/>
        <v>11</v>
      </c>
      <c r="J454">
        <f t="shared" si="54"/>
        <v>19840211</v>
      </c>
      <c r="K454" t="str">
        <f t="shared" si="55"/>
        <v>11.02.1984</v>
      </c>
    </row>
    <row r="455" spans="1:11" x14ac:dyDescent="0.25">
      <c r="A455" s="4" t="s">
        <v>481</v>
      </c>
      <c r="B455" t="s">
        <v>9</v>
      </c>
      <c r="C455" t="s">
        <v>6</v>
      </c>
      <c r="D455" s="3">
        <f t="shared" si="49"/>
        <v>66</v>
      </c>
      <c r="E455" s="4">
        <f t="shared" si="50"/>
        <v>7</v>
      </c>
      <c r="F455" s="4">
        <f t="shared" si="51"/>
        <v>11</v>
      </c>
      <c r="G455" s="3">
        <f>IF(E455&gt;=20,2000,1900) + D455</f>
        <v>1966</v>
      </c>
      <c r="H455">
        <f t="shared" si="52"/>
        <v>7</v>
      </c>
      <c r="I455" s="4">
        <f t="shared" si="53"/>
        <v>11</v>
      </c>
      <c r="J455">
        <f t="shared" si="54"/>
        <v>19660711</v>
      </c>
      <c r="K455" t="str">
        <f t="shared" si="55"/>
        <v>11.07.1966</v>
      </c>
    </row>
    <row r="456" spans="1:11" x14ac:dyDescent="0.25">
      <c r="A456" s="4" t="s">
        <v>482</v>
      </c>
      <c r="B456" t="s">
        <v>9</v>
      </c>
      <c r="C456" t="s">
        <v>6</v>
      </c>
      <c r="D456" s="3">
        <f t="shared" si="49"/>
        <v>64</v>
      </c>
      <c r="E456" s="4">
        <f t="shared" si="50"/>
        <v>11</v>
      </c>
      <c r="F456" s="4">
        <f t="shared" si="51"/>
        <v>5</v>
      </c>
      <c r="G456" s="3">
        <f>IF(E456&gt;=20,2000,1900) + D456</f>
        <v>1964</v>
      </c>
      <c r="H456">
        <f t="shared" si="52"/>
        <v>11</v>
      </c>
      <c r="I456" s="4">
        <f t="shared" si="53"/>
        <v>5</v>
      </c>
      <c r="J456">
        <f t="shared" si="54"/>
        <v>19641105</v>
      </c>
      <c r="K456" t="str">
        <f t="shared" si="55"/>
        <v>05.11.1964</v>
      </c>
    </row>
    <row r="457" spans="1:11" x14ac:dyDescent="0.25">
      <c r="A457" s="4" t="s">
        <v>483</v>
      </c>
      <c r="B457" t="s">
        <v>7</v>
      </c>
      <c r="C457" t="s">
        <v>6</v>
      </c>
      <c r="D457" s="3">
        <f t="shared" si="49"/>
        <v>80</v>
      </c>
      <c r="E457" s="4">
        <f t="shared" si="50"/>
        <v>9</v>
      </c>
      <c r="F457" s="4">
        <f t="shared" si="51"/>
        <v>7</v>
      </c>
      <c r="G457" s="3">
        <f>IF(E457&gt;=20,2000,1900) + D457</f>
        <v>1980</v>
      </c>
      <c r="H457">
        <f t="shared" si="52"/>
        <v>9</v>
      </c>
      <c r="I457" s="4">
        <f t="shared" si="53"/>
        <v>7</v>
      </c>
      <c r="J457">
        <f t="shared" si="54"/>
        <v>19800907</v>
      </c>
      <c r="K457" t="str">
        <f t="shared" si="55"/>
        <v>07.09.1980</v>
      </c>
    </row>
    <row r="458" spans="1:11" x14ac:dyDescent="0.25">
      <c r="A458" s="4" t="s">
        <v>484</v>
      </c>
      <c r="B458" t="s">
        <v>17</v>
      </c>
      <c r="C458" t="s">
        <v>4</v>
      </c>
      <c r="D458" s="3">
        <f t="shared" si="49"/>
        <v>60</v>
      </c>
      <c r="E458" s="4">
        <f t="shared" si="50"/>
        <v>8</v>
      </c>
      <c r="F458" s="4">
        <f t="shared" si="51"/>
        <v>10</v>
      </c>
      <c r="G458" s="3">
        <f>IF(E458&gt;=20,2000,1900) + D458</f>
        <v>1960</v>
      </c>
      <c r="H458">
        <f t="shared" si="52"/>
        <v>8</v>
      </c>
      <c r="I458" s="4">
        <f t="shared" si="53"/>
        <v>10</v>
      </c>
      <c r="J458">
        <f t="shared" si="54"/>
        <v>19600810</v>
      </c>
      <c r="K458" t="str">
        <f t="shared" si="55"/>
        <v>10.08.1960</v>
      </c>
    </row>
    <row r="459" spans="1:11" x14ac:dyDescent="0.25">
      <c r="A459" s="4" t="s">
        <v>485</v>
      </c>
      <c r="B459" t="s">
        <v>5</v>
      </c>
      <c r="C459" t="s">
        <v>6</v>
      </c>
      <c r="D459" s="3">
        <f t="shared" si="49"/>
        <v>81</v>
      </c>
      <c r="E459" s="4">
        <f t="shared" si="50"/>
        <v>6</v>
      </c>
      <c r="F459" s="4">
        <f t="shared" si="51"/>
        <v>6</v>
      </c>
      <c r="G459" s="3">
        <f>IF(E459&gt;=20,2000,1900) + D459</f>
        <v>1981</v>
      </c>
      <c r="H459">
        <f t="shared" si="52"/>
        <v>6</v>
      </c>
      <c r="I459" s="4">
        <f t="shared" si="53"/>
        <v>6</v>
      </c>
      <c r="J459">
        <f t="shared" si="54"/>
        <v>19810606</v>
      </c>
      <c r="K459" t="str">
        <f t="shared" si="55"/>
        <v>06.06.1981</v>
      </c>
    </row>
    <row r="460" spans="1:11" x14ac:dyDescent="0.25">
      <c r="A460" s="4" t="s">
        <v>486</v>
      </c>
      <c r="B460" t="s">
        <v>19</v>
      </c>
      <c r="C460" t="s">
        <v>4</v>
      </c>
      <c r="D460" s="3">
        <f t="shared" si="49"/>
        <v>72</v>
      </c>
      <c r="E460" s="4">
        <f t="shared" si="50"/>
        <v>4</v>
      </c>
      <c r="F460" s="4">
        <f t="shared" si="51"/>
        <v>11</v>
      </c>
      <c r="G460" s="3">
        <f>IF(E460&gt;=20,2000,1900) + D460</f>
        <v>1972</v>
      </c>
      <c r="H460">
        <f t="shared" si="52"/>
        <v>4</v>
      </c>
      <c r="I460" s="4">
        <f t="shared" si="53"/>
        <v>11</v>
      </c>
      <c r="J460">
        <f t="shared" si="54"/>
        <v>19720411</v>
      </c>
      <c r="K460" t="str">
        <f t="shared" si="55"/>
        <v>11.04.1972</v>
      </c>
    </row>
    <row r="461" spans="1:11" x14ac:dyDescent="0.25">
      <c r="A461" s="4" t="s">
        <v>487</v>
      </c>
      <c r="B461" t="s">
        <v>15</v>
      </c>
      <c r="C461" t="s">
        <v>6</v>
      </c>
      <c r="D461" s="3">
        <f t="shared" si="49"/>
        <v>93</v>
      </c>
      <c r="E461" s="4">
        <f t="shared" si="50"/>
        <v>5</v>
      </c>
      <c r="F461" s="4">
        <f t="shared" si="51"/>
        <v>2</v>
      </c>
      <c r="G461" s="3">
        <f>IF(E461&gt;=20,2000,1900) + D461</f>
        <v>1993</v>
      </c>
      <c r="H461">
        <f t="shared" si="52"/>
        <v>5</v>
      </c>
      <c r="I461" s="4">
        <f t="shared" si="53"/>
        <v>2</v>
      </c>
      <c r="J461">
        <f t="shared" si="54"/>
        <v>19930502</v>
      </c>
      <c r="K461" t="str">
        <f t="shared" si="55"/>
        <v>02.05.1993</v>
      </c>
    </row>
    <row r="462" spans="1:11" x14ac:dyDescent="0.25">
      <c r="A462" s="4" t="s">
        <v>488</v>
      </c>
      <c r="B462" t="s">
        <v>5</v>
      </c>
      <c r="C462" t="s">
        <v>6</v>
      </c>
      <c r="D462" s="3">
        <f t="shared" si="49"/>
        <v>57</v>
      </c>
      <c r="E462" s="4">
        <f t="shared" si="50"/>
        <v>11</v>
      </c>
      <c r="F462" s="4">
        <f t="shared" si="51"/>
        <v>10</v>
      </c>
      <c r="G462" s="3">
        <f>IF(E462&gt;=20,2000,1900) + D462</f>
        <v>1957</v>
      </c>
      <c r="H462">
        <f t="shared" si="52"/>
        <v>11</v>
      </c>
      <c r="I462" s="4">
        <f t="shared" si="53"/>
        <v>10</v>
      </c>
      <c r="J462">
        <f t="shared" si="54"/>
        <v>19571110</v>
      </c>
      <c r="K462" t="str">
        <f t="shared" si="55"/>
        <v>10.11.1957</v>
      </c>
    </row>
    <row r="463" spans="1:11" x14ac:dyDescent="0.25">
      <c r="A463" s="4" t="s">
        <v>489</v>
      </c>
      <c r="B463" t="s">
        <v>7</v>
      </c>
      <c r="C463" t="s">
        <v>6</v>
      </c>
      <c r="D463" s="3">
        <f t="shared" si="49"/>
        <v>95</v>
      </c>
      <c r="E463" s="4">
        <f t="shared" si="50"/>
        <v>12</v>
      </c>
      <c r="F463" s="4">
        <f t="shared" si="51"/>
        <v>1</v>
      </c>
      <c r="G463" s="3">
        <f>IF(E463&gt;=20,2000,1900) + D463</f>
        <v>1995</v>
      </c>
      <c r="H463">
        <f t="shared" si="52"/>
        <v>12</v>
      </c>
      <c r="I463" s="4">
        <f t="shared" si="53"/>
        <v>1</v>
      </c>
      <c r="J463">
        <f t="shared" si="54"/>
        <v>19951201</v>
      </c>
      <c r="K463" t="str">
        <f t="shared" si="55"/>
        <v>01.12.1995</v>
      </c>
    </row>
    <row r="464" spans="1:11" x14ac:dyDescent="0.25">
      <c r="A464" s="4" t="s">
        <v>490</v>
      </c>
      <c r="B464" t="s">
        <v>7</v>
      </c>
      <c r="C464" t="s">
        <v>6</v>
      </c>
      <c r="D464" s="3">
        <f t="shared" si="49"/>
        <v>50</v>
      </c>
      <c r="E464" s="4">
        <f t="shared" si="50"/>
        <v>3</v>
      </c>
      <c r="F464" s="4">
        <f t="shared" si="51"/>
        <v>5</v>
      </c>
      <c r="G464" s="3">
        <f>IF(E464&gt;=20,2000,1900) + D464</f>
        <v>1950</v>
      </c>
      <c r="H464">
        <f t="shared" si="52"/>
        <v>3</v>
      </c>
      <c r="I464" s="4">
        <f t="shared" si="53"/>
        <v>5</v>
      </c>
      <c r="J464">
        <f t="shared" si="54"/>
        <v>19500305</v>
      </c>
      <c r="K464" t="str">
        <f t="shared" si="55"/>
        <v>05.03.1950</v>
      </c>
    </row>
    <row r="465" spans="1:11" x14ac:dyDescent="0.25">
      <c r="A465" s="4" t="s">
        <v>491</v>
      </c>
      <c r="B465" t="s">
        <v>12</v>
      </c>
      <c r="C465" t="s">
        <v>6</v>
      </c>
      <c r="D465" s="3">
        <f t="shared" si="49"/>
        <v>99</v>
      </c>
      <c r="E465" s="4">
        <f t="shared" si="50"/>
        <v>3</v>
      </c>
      <c r="F465" s="4">
        <f t="shared" si="51"/>
        <v>7</v>
      </c>
      <c r="G465" s="3">
        <f>IF(E465&gt;=20,2000,1900) + D465</f>
        <v>1999</v>
      </c>
      <c r="H465">
        <f t="shared" si="52"/>
        <v>3</v>
      </c>
      <c r="I465" s="4">
        <f t="shared" si="53"/>
        <v>7</v>
      </c>
      <c r="J465">
        <f t="shared" si="54"/>
        <v>19990307</v>
      </c>
      <c r="K465" t="str">
        <f t="shared" si="55"/>
        <v>07.03.1999</v>
      </c>
    </row>
    <row r="466" spans="1:11" x14ac:dyDescent="0.25">
      <c r="A466" s="4" t="s">
        <v>492</v>
      </c>
      <c r="B466" t="s">
        <v>5</v>
      </c>
      <c r="C466" t="s">
        <v>6</v>
      </c>
      <c r="D466" s="3">
        <f t="shared" si="49"/>
        <v>86</v>
      </c>
      <c r="E466" s="4">
        <f t="shared" si="50"/>
        <v>1</v>
      </c>
      <c r="F466" s="4">
        <f t="shared" si="51"/>
        <v>28</v>
      </c>
      <c r="G466" s="3">
        <f>IF(E466&gt;=20,2000,1900) + D466</f>
        <v>1986</v>
      </c>
      <c r="H466">
        <f t="shared" si="52"/>
        <v>1</v>
      </c>
      <c r="I466" s="4">
        <f t="shared" si="53"/>
        <v>28</v>
      </c>
      <c r="J466">
        <f t="shared" si="54"/>
        <v>19860128</v>
      </c>
      <c r="K466" t="str">
        <f t="shared" si="55"/>
        <v>28.01.1986</v>
      </c>
    </row>
    <row r="467" spans="1:11" x14ac:dyDescent="0.25">
      <c r="A467" s="4" t="s">
        <v>493</v>
      </c>
      <c r="B467" t="s">
        <v>16</v>
      </c>
      <c r="C467" t="s">
        <v>4</v>
      </c>
      <c r="D467" s="3">
        <f t="shared" si="49"/>
        <v>77</v>
      </c>
      <c r="E467" s="4">
        <f t="shared" si="50"/>
        <v>7</v>
      </c>
      <c r="F467" s="4">
        <f t="shared" si="51"/>
        <v>9</v>
      </c>
      <c r="G467" s="3">
        <f>IF(E467&gt;=20,2000,1900) + D467</f>
        <v>1977</v>
      </c>
      <c r="H467">
        <f t="shared" si="52"/>
        <v>7</v>
      </c>
      <c r="I467" s="4">
        <f t="shared" si="53"/>
        <v>9</v>
      </c>
      <c r="J467">
        <f t="shared" si="54"/>
        <v>19770709</v>
      </c>
      <c r="K467" t="str">
        <f t="shared" si="55"/>
        <v>09.07.1977</v>
      </c>
    </row>
    <row r="468" spans="1:11" x14ac:dyDescent="0.25">
      <c r="A468" s="4" t="s">
        <v>494</v>
      </c>
      <c r="B468" t="s">
        <v>3</v>
      </c>
      <c r="C468" t="s">
        <v>4</v>
      </c>
      <c r="D468" s="3">
        <f t="shared" si="49"/>
        <v>81</v>
      </c>
      <c r="E468" s="4">
        <f t="shared" si="50"/>
        <v>11</v>
      </c>
      <c r="F468" s="4">
        <f t="shared" si="51"/>
        <v>7</v>
      </c>
      <c r="G468" s="3">
        <f>IF(E468&gt;=20,2000,1900) + D468</f>
        <v>1981</v>
      </c>
      <c r="H468">
        <f t="shared" si="52"/>
        <v>11</v>
      </c>
      <c r="I468" s="4">
        <f t="shared" si="53"/>
        <v>7</v>
      </c>
      <c r="J468">
        <f t="shared" si="54"/>
        <v>19811107</v>
      </c>
      <c r="K468" t="str">
        <f t="shared" si="55"/>
        <v>07.11.1981</v>
      </c>
    </row>
    <row r="469" spans="1:11" x14ac:dyDescent="0.25">
      <c r="A469" s="4" t="s">
        <v>495</v>
      </c>
      <c r="B469" t="s">
        <v>7</v>
      </c>
      <c r="C469" t="s">
        <v>4</v>
      </c>
      <c r="D469" s="3">
        <f t="shared" si="49"/>
        <v>77</v>
      </c>
      <c r="E469" s="4">
        <f t="shared" si="50"/>
        <v>11</v>
      </c>
      <c r="F469" s="4">
        <f t="shared" si="51"/>
        <v>11</v>
      </c>
      <c r="G469" s="3">
        <f>IF(E469&gt;=20,2000,1900) + D469</f>
        <v>1977</v>
      </c>
      <c r="H469">
        <f t="shared" si="52"/>
        <v>11</v>
      </c>
      <c r="I469" s="4">
        <f t="shared" si="53"/>
        <v>11</v>
      </c>
      <c r="J469">
        <f t="shared" si="54"/>
        <v>19771111</v>
      </c>
      <c r="K469" t="str">
        <f t="shared" si="55"/>
        <v>11.11.1977</v>
      </c>
    </row>
    <row r="470" spans="1:11" x14ac:dyDescent="0.25">
      <c r="A470" s="4" t="s">
        <v>496</v>
      </c>
      <c r="B470" t="s">
        <v>13</v>
      </c>
      <c r="C470" t="s">
        <v>4</v>
      </c>
      <c r="D470" s="3">
        <f t="shared" si="49"/>
        <v>70</v>
      </c>
      <c r="E470" s="4">
        <f t="shared" si="50"/>
        <v>10</v>
      </c>
      <c r="F470" s="4">
        <f t="shared" si="51"/>
        <v>1</v>
      </c>
      <c r="G470" s="3">
        <f>IF(E470&gt;=20,2000,1900) + D470</f>
        <v>1970</v>
      </c>
      <c r="H470">
        <f t="shared" si="52"/>
        <v>10</v>
      </c>
      <c r="I470" s="4">
        <f t="shared" si="53"/>
        <v>1</v>
      </c>
      <c r="J470">
        <f t="shared" si="54"/>
        <v>19701001</v>
      </c>
      <c r="K470" t="str">
        <f t="shared" si="55"/>
        <v>01.10.1970</v>
      </c>
    </row>
    <row r="471" spans="1:11" x14ac:dyDescent="0.25">
      <c r="A471" s="4" t="s">
        <v>497</v>
      </c>
      <c r="B471" t="s">
        <v>15</v>
      </c>
      <c r="C471" t="s">
        <v>6</v>
      </c>
      <c r="D471" s="3">
        <f t="shared" si="49"/>
        <v>65</v>
      </c>
      <c r="E471" s="4">
        <f t="shared" si="50"/>
        <v>2</v>
      </c>
      <c r="F471" s="4">
        <f t="shared" si="51"/>
        <v>15</v>
      </c>
      <c r="G471" s="3">
        <f>IF(E471&gt;=20,2000,1900) + D471</f>
        <v>1965</v>
      </c>
      <c r="H471">
        <f t="shared" si="52"/>
        <v>2</v>
      </c>
      <c r="I471" s="4">
        <f t="shared" si="53"/>
        <v>15</v>
      </c>
      <c r="J471">
        <f t="shared" si="54"/>
        <v>19650215</v>
      </c>
      <c r="K471" t="str">
        <f t="shared" si="55"/>
        <v>15.02.1965</v>
      </c>
    </row>
    <row r="472" spans="1:11" x14ac:dyDescent="0.25">
      <c r="A472" s="4" t="s">
        <v>498</v>
      </c>
      <c r="B472" t="s">
        <v>20</v>
      </c>
      <c r="C472" t="s">
        <v>4</v>
      </c>
      <c r="D472" s="3">
        <f t="shared" si="49"/>
        <v>85</v>
      </c>
      <c r="E472" s="4">
        <f t="shared" si="50"/>
        <v>6</v>
      </c>
      <c r="F472" s="4">
        <f t="shared" si="51"/>
        <v>8</v>
      </c>
      <c r="G472" s="3">
        <f>IF(E472&gt;=20,2000,1900) + D472</f>
        <v>1985</v>
      </c>
      <c r="H472">
        <f t="shared" si="52"/>
        <v>6</v>
      </c>
      <c r="I472" s="4">
        <f t="shared" si="53"/>
        <v>8</v>
      </c>
      <c r="J472">
        <f t="shared" si="54"/>
        <v>19850608</v>
      </c>
      <c r="K472" t="str">
        <f t="shared" si="55"/>
        <v>08.06.1985</v>
      </c>
    </row>
    <row r="473" spans="1:11" x14ac:dyDescent="0.25">
      <c r="A473" s="4" t="s">
        <v>499</v>
      </c>
      <c r="B473" t="s">
        <v>5</v>
      </c>
      <c r="C473" t="s">
        <v>6</v>
      </c>
      <c r="D473" s="3">
        <f t="shared" si="49"/>
        <v>71</v>
      </c>
      <c r="E473" s="4">
        <f t="shared" si="50"/>
        <v>5</v>
      </c>
      <c r="F473" s="4">
        <f t="shared" si="51"/>
        <v>6</v>
      </c>
      <c r="G473" s="3">
        <f>IF(E473&gt;=20,2000,1900) + D473</f>
        <v>1971</v>
      </c>
      <c r="H473">
        <f t="shared" si="52"/>
        <v>5</v>
      </c>
      <c r="I473" s="4">
        <f t="shared" si="53"/>
        <v>6</v>
      </c>
      <c r="J473">
        <f t="shared" si="54"/>
        <v>19710506</v>
      </c>
      <c r="K473" t="str">
        <f t="shared" si="55"/>
        <v>06.05.1971</v>
      </c>
    </row>
    <row r="474" spans="1:11" x14ac:dyDescent="0.25">
      <c r="A474" s="4" t="s">
        <v>500</v>
      </c>
      <c r="B474" t="s">
        <v>10</v>
      </c>
      <c r="C474" t="s">
        <v>6</v>
      </c>
      <c r="D474" s="3">
        <f t="shared" si="49"/>
        <v>59</v>
      </c>
      <c r="E474" s="4">
        <f t="shared" si="50"/>
        <v>7</v>
      </c>
      <c r="F474" s="4">
        <f t="shared" si="51"/>
        <v>17</v>
      </c>
      <c r="G474" s="3">
        <f>IF(E474&gt;=20,2000,1900) + D474</f>
        <v>1959</v>
      </c>
      <c r="H474">
        <f t="shared" si="52"/>
        <v>7</v>
      </c>
      <c r="I474" s="4">
        <f t="shared" si="53"/>
        <v>17</v>
      </c>
      <c r="J474">
        <f t="shared" si="54"/>
        <v>19590717</v>
      </c>
      <c r="K474" t="str">
        <f t="shared" si="55"/>
        <v>17.07.1959</v>
      </c>
    </row>
    <row r="475" spans="1:11" x14ac:dyDescent="0.25">
      <c r="A475" s="4" t="s">
        <v>501</v>
      </c>
      <c r="B475" t="s">
        <v>19</v>
      </c>
      <c r="C475" t="s">
        <v>6</v>
      </c>
      <c r="D475" s="3">
        <f t="shared" si="49"/>
        <v>95</v>
      </c>
      <c r="E475" s="4">
        <f t="shared" si="50"/>
        <v>3</v>
      </c>
      <c r="F475" s="4">
        <f t="shared" si="51"/>
        <v>24</v>
      </c>
      <c r="G475" s="3">
        <f>IF(E475&gt;=20,2000,1900) + D475</f>
        <v>1995</v>
      </c>
      <c r="H475">
        <f t="shared" si="52"/>
        <v>3</v>
      </c>
      <c r="I475" s="4">
        <f t="shared" si="53"/>
        <v>24</v>
      </c>
      <c r="J475">
        <f t="shared" si="54"/>
        <v>19950324</v>
      </c>
      <c r="K475" t="str">
        <f t="shared" si="55"/>
        <v>24.03.1995</v>
      </c>
    </row>
    <row r="476" spans="1:11" x14ac:dyDescent="0.25">
      <c r="A476" s="4" t="s">
        <v>502</v>
      </c>
      <c r="B476" t="s">
        <v>9</v>
      </c>
      <c r="C476" t="s">
        <v>4</v>
      </c>
      <c r="D476" s="3">
        <f t="shared" si="49"/>
        <v>89</v>
      </c>
      <c r="E476" s="4">
        <f t="shared" si="50"/>
        <v>6</v>
      </c>
      <c r="F476" s="4">
        <f t="shared" si="51"/>
        <v>17</v>
      </c>
      <c r="G476" s="3">
        <f>IF(E476&gt;=20,2000,1900) + D476</f>
        <v>1989</v>
      </c>
      <c r="H476">
        <f t="shared" si="52"/>
        <v>6</v>
      </c>
      <c r="I476" s="4">
        <f t="shared" si="53"/>
        <v>17</v>
      </c>
      <c r="J476">
        <f t="shared" si="54"/>
        <v>19890617</v>
      </c>
      <c r="K476" t="str">
        <f t="shared" si="55"/>
        <v>17.06.1989</v>
      </c>
    </row>
    <row r="477" spans="1:11" x14ac:dyDescent="0.25">
      <c r="A477" s="4" t="s">
        <v>503</v>
      </c>
      <c r="B477" t="s">
        <v>17</v>
      </c>
      <c r="C477" t="s">
        <v>4</v>
      </c>
      <c r="D477" s="3">
        <f t="shared" si="49"/>
        <v>51</v>
      </c>
      <c r="E477" s="4">
        <f t="shared" si="50"/>
        <v>8</v>
      </c>
      <c r="F477" s="4">
        <f t="shared" si="51"/>
        <v>8</v>
      </c>
      <c r="G477" s="3">
        <f>IF(E477&gt;=20,2000,1900) + D477</f>
        <v>1951</v>
      </c>
      <c r="H477">
        <f t="shared" si="52"/>
        <v>8</v>
      </c>
      <c r="I477" s="4">
        <f t="shared" si="53"/>
        <v>8</v>
      </c>
      <c r="J477">
        <f t="shared" si="54"/>
        <v>19510808</v>
      </c>
      <c r="K477" t="str">
        <f t="shared" si="55"/>
        <v>08.08.1951</v>
      </c>
    </row>
    <row r="478" spans="1:11" x14ac:dyDescent="0.25">
      <c r="A478" s="4" t="s">
        <v>504</v>
      </c>
      <c r="B478" t="s">
        <v>19</v>
      </c>
      <c r="C478" t="s">
        <v>4</v>
      </c>
      <c r="D478" s="3">
        <f t="shared" si="49"/>
        <v>57</v>
      </c>
      <c r="E478" s="4">
        <f t="shared" si="50"/>
        <v>2</v>
      </c>
      <c r="F478" s="4">
        <f t="shared" si="51"/>
        <v>21</v>
      </c>
      <c r="G478" s="3">
        <f>IF(E478&gt;=20,2000,1900) + D478</f>
        <v>1957</v>
      </c>
      <c r="H478">
        <f t="shared" si="52"/>
        <v>2</v>
      </c>
      <c r="I478" s="4">
        <f t="shared" si="53"/>
        <v>21</v>
      </c>
      <c r="J478">
        <f t="shared" si="54"/>
        <v>19570221</v>
      </c>
      <c r="K478" t="str">
        <f t="shared" si="55"/>
        <v>21.02.1957</v>
      </c>
    </row>
    <row r="479" spans="1:11" x14ac:dyDescent="0.25">
      <c r="A479" s="4" t="s">
        <v>505</v>
      </c>
      <c r="B479" t="s">
        <v>16</v>
      </c>
      <c r="C479" t="s">
        <v>4</v>
      </c>
      <c r="D479" s="3">
        <f t="shared" si="49"/>
        <v>83</v>
      </c>
      <c r="E479" s="4">
        <f t="shared" si="50"/>
        <v>4</v>
      </c>
      <c r="F479" s="4">
        <f t="shared" si="51"/>
        <v>1</v>
      </c>
      <c r="G479" s="3">
        <f>IF(E479&gt;=20,2000,1900) + D479</f>
        <v>1983</v>
      </c>
      <c r="H479">
        <f t="shared" si="52"/>
        <v>4</v>
      </c>
      <c r="I479" s="4">
        <f t="shared" si="53"/>
        <v>1</v>
      </c>
      <c r="J479">
        <f t="shared" si="54"/>
        <v>19830401</v>
      </c>
      <c r="K479" t="str">
        <f t="shared" si="55"/>
        <v>01.04.1983</v>
      </c>
    </row>
    <row r="480" spans="1:11" x14ac:dyDescent="0.25">
      <c r="A480" s="4" t="s">
        <v>506</v>
      </c>
      <c r="B480" t="s">
        <v>17</v>
      </c>
      <c r="C480" t="s">
        <v>6</v>
      </c>
      <c r="D480" s="3">
        <f t="shared" si="49"/>
        <v>94</v>
      </c>
      <c r="E480" s="4">
        <f t="shared" si="50"/>
        <v>7</v>
      </c>
      <c r="F480" s="4">
        <f t="shared" si="51"/>
        <v>30</v>
      </c>
      <c r="G480" s="3">
        <f>IF(E480&gt;=20,2000,1900) + D480</f>
        <v>1994</v>
      </c>
      <c r="H480">
        <f t="shared" si="52"/>
        <v>7</v>
      </c>
      <c r="I480" s="4">
        <f t="shared" si="53"/>
        <v>30</v>
      </c>
      <c r="J480">
        <f t="shared" si="54"/>
        <v>19940730</v>
      </c>
      <c r="K480" t="str">
        <f t="shared" si="55"/>
        <v>30.07.1994</v>
      </c>
    </row>
    <row r="481" spans="1:11" x14ac:dyDescent="0.25">
      <c r="A481" s="4" t="s">
        <v>507</v>
      </c>
      <c r="B481" t="s">
        <v>20</v>
      </c>
      <c r="C481" t="s">
        <v>6</v>
      </c>
      <c r="D481" s="3">
        <f t="shared" si="49"/>
        <v>85</v>
      </c>
      <c r="E481" s="4">
        <f t="shared" si="50"/>
        <v>8</v>
      </c>
      <c r="F481" s="4">
        <f t="shared" si="51"/>
        <v>26</v>
      </c>
      <c r="G481" s="3">
        <f>IF(E481&gt;=20,2000,1900) + D481</f>
        <v>1985</v>
      </c>
      <c r="H481">
        <f t="shared" si="52"/>
        <v>8</v>
      </c>
      <c r="I481" s="4">
        <f t="shared" si="53"/>
        <v>26</v>
      </c>
      <c r="J481">
        <f t="shared" si="54"/>
        <v>19850826</v>
      </c>
      <c r="K481" t="str">
        <f t="shared" si="55"/>
        <v>26.08.1985</v>
      </c>
    </row>
    <row r="482" spans="1:11" x14ac:dyDescent="0.25">
      <c r="A482" s="4" t="s">
        <v>508</v>
      </c>
      <c r="B482" t="s">
        <v>8</v>
      </c>
      <c r="C482" t="s">
        <v>6</v>
      </c>
      <c r="D482" s="3">
        <f t="shared" si="49"/>
        <v>68</v>
      </c>
      <c r="E482" s="4">
        <f t="shared" si="50"/>
        <v>7</v>
      </c>
      <c r="F482" s="4">
        <f t="shared" si="51"/>
        <v>11</v>
      </c>
      <c r="G482" s="3">
        <f>IF(E482&gt;=20,2000,1900) + D482</f>
        <v>1968</v>
      </c>
      <c r="H482">
        <f t="shared" si="52"/>
        <v>7</v>
      </c>
      <c r="I482" s="4">
        <f t="shared" si="53"/>
        <v>11</v>
      </c>
      <c r="J482">
        <f t="shared" si="54"/>
        <v>19680711</v>
      </c>
      <c r="K482" t="str">
        <f t="shared" si="55"/>
        <v>11.07.1968</v>
      </c>
    </row>
    <row r="483" spans="1:11" x14ac:dyDescent="0.25">
      <c r="A483" s="4" t="s">
        <v>509</v>
      </c>
      <c r="B483" t="s">
        <v>8</v>
      </c>
      <c r="C483" t="s">
        <v>4</v>
      </c>
      <c r="D483" s="3">
        <f t="shared" si="49"/>
        <v>66</v>
      </c>
      <c r="E483" s="4">
        <f t="shared" si="50"/>
        <v>12</v>
      </c>
      <c r="F483" s="4">
        <f t="shared" si="51"/>
        <v>24</v>
      </c>
      <c r="G483" s="3">
        <f>IF(E483&gt;=20,2000,1900) + D483</f>
        <v>1966</v>
      </c>
      <c r="H483">
        <f t="shared" si="52"/>
        <v>12</v>
      </c>
      <c r="I483" s="4">
        <f t="shared" si="53"/>
        <v>24</v>
      </c>
      <c r="J483">
        <f t="shared" si="54"/>
        <v>19661224</v>
      </c>
      <c r="K483" t="str">
        <f t="shared" si="55"/>
        <v>24.12.1966</v>
      </c>
    </row>
    <row r="484" spans="1:11" x14ac:dyDescent="0.25">
      <c r="A484" s="4" t="s">
        <v>510</v>
      </c>
      <c r="B484" t="s">
        <v>12</v>
      </c>
      <c r="C484" t="s">
        <v>4</v>
      </c>
      <c r="D484" s="3">
        <f t="shared" si="49"/>
        <v>83</v>
      </c>
      <c r="E484" s="4">
        <f t="shared" si="50"/>
        <v>11</v>
      </c>
      <c r="F484" s="4">
        <f t="shared" si="51"/>
        <v>25</v>
      </c>
      <c r="G484" s="3">
        <f>IF(E484&gt;=20,2000,1900) + D484</f>
        <v>1983</v>
      </c>
      <c r="H484">
        <f t="shared" si="52"/>
        <v>11</v>
      </c>
      <c r="I484" s="4">
        <f t="shared" si="53"/>
        <v>25</v>
      </c>
      <c r="J484">
        <f t="shared" si="54"/>
        <v>19831125</v>
      </c>
      <c r="K484" t="str">
        <f t="shared" si="55"/>
        <v>25.11.1983</v>
      </c>
    </row>
    <row r="485" spans="1:11" x14ac:dyDescent="0.25">
      <c r="A485" s="4" t="s">
        <v>511</v>
      </c>
      <c r="B485" t="s">
        <v>20</v>
      </c>
      <c r="C485" t="s">
        <v>4</v>
      </c>
      <c r="D485" s="3">
        <f t="shared" si="49"/>
        <v>72</v>
      </c>
      <c r="E485" s="4">
        <f t="shared" si="50"/>
        <v>3</v>
      </c>
      <c r="F485" s="4">
        <f t="shared" si="51"/>
        <v>29</v>
      </c>
      <c r="G485" s="3">
        <f>IF(E485&gt;=20,2000,1900) + D485</f>
        <v>1972</v>
      </c>
      <c r="H485">
        <f t="shared" si="52"/>
        <v>3</v>
      </c>
      <c r="I485" s="4">
        <f t="shared" si="53"/>
        <v>29</v>
      </c>
      <c r="J485">
        <f t="shared" si="54"/>
        <v>19720329</v>
      </c>
      <c r="K485" t="str">
        <f t="shared" si="55"/>
        <v>29.03.1972</v>
      </c>
    </row>
    <row r="486" spans="1:11" x14ac:dyDescent="0.25">
      <c r="A486" s="4" t="s">
        <v>512</v>
      </c>
      <c r="B486" t="s">
        <v>11</v>
      </c>
      <c r="C486" t="s">
        <v>6</v>
      </c>
      <c r="D486" s="3">
        <f t="shared" si="49"/>
        <v>99</v>
      </c>
      <c r="E486" s="4">
        <f t="shared" si="50"/>
        <v>4</v>
      </c>
      <c r="F486" s="4">
        <f t="shared" si="51"/>
        <v>14</v>
      </c>
      <c r="G486" s="3">
        <f>IF(E486&gt;=20,2000,1900) + D486</f>
        <v>1999</v>
      </c>
      <c r="H486">
        <f t="shared" si="52"/>
        <v>4</v>
      </c>
      <c r="I486" s="4">
        <f t="shared" si="53"/>
        <v>14</v>
      </c>
      <c r="J486">
        <f t="shared" si="54"/>
        <v>19990414</v>
      </c>
      <c r="K486" t="str">
        <f t="shared" si="55"/>
        <v>14.04.1999</v>
      </c>
    </row>
    <row r="487" spans="1:11" x14ac:dyDescent="0.25">
      <c r="A487" s="4" t="s">
        <v>513</v>
      </c>
      <c r="B487" t="s">
        <v>3</v>
      </c>
      <c r="C487" t="s">
        <v>4</v>
      </c>
      <c r="D487" s="3">
        <f t="shared" si="49"/>
        <v>99</v>
      </c>
      <c r="E487" s="4">
        <f t="shared" si="50"/>
        <v>8</v>
      </c>
      <c r="F487" s="4">
        <f t="shared" si="51"/>
        <v>20</v>
      </c>
      <c r="G487" s="3">
        <f>IF(E487&gt;=20,2000,1900) + D487</f>
        <v>1999</v>
      </c>
      <c r="H487">
        <f t="shared" si="52"/>
        <v>8</v>
      </c>
      <c r="I487" s="4">
        <f t="shared" si="53"/>
        <v>20</v>
      </c>
      <c r="J487">
        <f t="shared" si="54"/>
        <v>19990820</v>
      </c>
      <c r="K487" t="str">
        <f t="shared" si="55"/>
        <v>20.08.1999</v>
      </c>
    </row>
    <row r="488" spans="1:11" x14ac:dyDescent="0.25">
      <c r="A488" s="4" t="s">
        <v>514</v>
      </c>
      <c r="B488" t="s">
        <v>16</v>
      </c>
      <c r="C488" t="s">
        <v>6</v>
      </c>
      <c r="D488" s="3">
        <f t="shared" si="49"/>
        <v>62</v>
      </c>
      <c r="E488" s="4">
        <f t="shared" si="50"/>
        <v>12</v>
      </c>
      <c r="F488" s="4">
        <f t="shared" si="51"/>
        <v>30</v>
      </c>
      <c r="G488" s="3">
        <f>IF(E488&gt;=20,2000,1900) + D488</f>
        <v>1962</v>
      </c>
      <c r="H488">
        <f t="shared" si="52"/>
        <v>12</v>
      </c>
      <c r="I488" s="4">
        <f t="shared" si="53"/>
        <v>30</v>
      </c>
      <c r="J488">
        <f t="shared" si="54"/>
        <v>19621230</v>
      </c>
      <c r="K488" t="str">
        <f t="shared" si="55"/>
        <v>30.12.1962</v>
      </c>
    </row>
    <row r="489" spans="1:11" x14ac:dyDescent="0.25">
      <c r="A489" s="4" t="s">
        <v>515</v>
      </c>
      <c r="B489" t="s">
        <v>10</v>
      </c>
      <c r="C489" t="s">
        <v>4</v>
      </c>
      <c r="D489" s="3">
        <f t="shared" si="49"/>
        <v>65</v>
      </c>
      <c r="E489" s="4">
        <f t="shared" si="50"/>
        <v>3</v>
      </c>
      <c r="F489" s="4">
        <f t="shared" si="51"/>
        <v>17</v>
      </c>
      <c r="G489" s="3">
        <f>IF(E489&gt;=20,2000,1900) + D489</f>
        <v>1965</v>
      </c>
      <c r="H489">
        <f t="shared" si="52"/>
        <v>3</v>
      </c>
      <c r="I489" s="4">
        <f t="shared" si="53"/>
        <v>17</v>
      </c>
      <c r="J489">
        <f t="shared" si="54"/>
        <v>19650317</v>
      </c>
      <c r="K489" t="str">
        <f t="shared" si="55"/>
        <v>17.03.1965</v>
      </c>
    </row>
    <row r="490" spans="1:11" x14ac:dyDescent="0.25">
      <c r="A490" s="4" t="s">
        <v>516</v>
      </c>
      <c r="B490" t="s">
        <v>8</v>
      </c>
      <c r="C490" t="s">
        <v>6</v>
      </c>
      <c r="D490" s="3">
        <f t="shared" si="49"/>
        <v>66</v>
      </c>
      <c r="E490" s="4">
        <f t="shared" si="50"/>
        <v>3</v>
      </c>
      <c r="F490" s="4">
        <f t="shared" si="51"/>
        <v>15</v>
      </c>
      <c r="G490" s="3">
        <f>IF(E490&gt;=20,2000,1900) + D490</f>
        <v>1966</v>
      </c>
      <c r="H490">
        <f t="shared" si="52"/>
        <v>3</v>
      </c>
      <c r="I490" s="4">
        <f t="shared" si="53"/>
        <v>15</v>
      </c>
      <c r="J490">
        <f t="shared" si="54"/>
        <v>19660315</v>
      </c>
      <c r="K490" t="str">
        <f t="shared" si="55"/>
        <v>15.03.1966</v>
      </c>
    </row>
    <row r="491" spans="1:11" x14ac:dyDescent="0.25">
      <c r="A491" s="4" t="s">
        <v>517</v>
      </c>
      <c r="B491" t="s">
        <v>17</v>
      </c>
      <c r="C491" t="s">
        <v>4</v>
      </c>
      <c r="D491" s="3">
        <f t="shared" si="49"/>
        <v>84</v>
      </c>
      <c r="E491" s="4">
        <f t="shared" si="50"/>
        <v>12</v>
      </c>
      <c r="F491" s="4">
        <f t="shared" si="51"/>
        <v>12</v>
      </c>
      <c r="G491" s="3">
        <f>IF(E491&gt;=20,2000,1900) + D491</f>
        <v>1984</v>
      </c>
      <c r="H491">
        <f t="shared" si="52"/>
        <v>12</v>
      </c>
      <c r="I491" s="4">
        <f t="shared" si="53"/>
        <v>12</v>
      </c>
      <c r="J491">
        <f t="shared" si="54"/>
        <v>19841212</v>
      </c>
      <c r="K491" t="str">
        <f t="shared" si="55"/>
        <v>12.12.1984</v>
      </c>
    </row>
    <row r="492" spans="1:11" x14ac:dyDescent="0.25">
      <c r="A492" s="4" t="s">
        <v>518</v>
      </c>
      <c r="B492" t="s">
        <v>8</v>
      </c>
      <c r="C492" t="s">
        <v>6</v>
      </c>
      <c r="D492" s="3">
        <f t="shared" si="49"/>
        <v>56</v>
      </c>
      <c r="E492" s="4">
        <f t="shared" si="50"/>
        <v>6</v>
      </c>
      <c r="F492" s="4">
        <f t="shared" si="51"/>
        <v>2</v>
      </c>
      <c r="G492" s="3">
        <f>IF(E492&gt;=20,2000,1900) + D492</f>
        <v>1956</v>
      </c>
      <c r="H492">
        <f t="shared" si="52"/>
        <v>6</v>
      </c>
      <c r="I492" s="4">
        <f t="shared" si="53"/>
        <v>2</v>
      </c>
      <c r="J492">
        <f t="shared" si="54"/>
        <v>19560602</v>
      </c>
      <c r="K492" t="str">
        <f t="shared" si="55"/>
        <v>02.06.1956</v>
      </c>
    </row>
    <row r="493" spans="1:11" x14ac:dyDescent="0.25">
      <c r="A493" s="4" t="s">
        <v>519</v>
      </c>
      <c r="B493" t="s">
        <v>13</v>
      </c>
      <c r="C493" t="s">
        <v>4</v>
      </c>
      <c r="D493" s="3">
        <f t="shared" si="49"/>
        <v>88</v>
      </c>
      <c r="E493" s="4">
        <f t="shared" si="50"/>
        <v>6</v>
      </c>
      <c r="F493" s="4">
        <f t="shared" si="51"/>
        <v>2</v>
      </c>
      <c r="G493" s="3">
        <f>IF(E493&gt;=20,2000,1900) + D493</f>
        <v>1988</v>
      </c>
      <c r="H493">
        <f t="shared" si="52"/>
        <v>6</v>
      </c>
      <c r="I493" s="4">
        <f t="shared" si="53"/>
        <v>2</v>
      </c>
      <c r="J493">
        <f t="shared" si="54"/>
        <v>19880602</v>
      </c>
      <c r="K493" t="str">
        <f t="shared" si="55"/>
        <v>02.06.1988</v>
      </c>
    </row>
    <row r="494" spans="1:11" x14ac:dyDescent="0.25">
      <c r="A494" s="4" t="s">
        <v>520</v>
      </c>
      <c r="B494" t="s">
        <v>19</v>
      </c>
      <c r="C494" t="s">
        <v>6</v>
      </c>
      <c r="D494" s="3">
        <f t="shared" si="49"/>
        <v>93</v>
      </c>
      <c r="E494" s="4">
        <f t="shared" si="50"/>
        <v>7</v>
      </c>
      <c r="F494" s="4">
        <f t="shared" si="51"/>
        <v>16</v>
      </c>
      <c r="G494" s="3">
        <f>IF(E494&gt;=20,2000,1900) + D494</f>
        <v>1993</v>
      </c>
      <c r="H494">
        <f t="shared" si="52"/>
        <v>7</v>
      </c>
      <c r="I494" s="4">
        <f t="shared" si="53"/>
        <v>16</v>
      </c>
      <c r="J494">
        <f t="shared" si="54"/>
        <v>19930716</v>
      </c>
      <c r="K494" t="str">
        <f t="shared" si="55"/>
        <v>16.07.1993</v>
      </c>
    </row>
    <row r="495" spans="1:11" x14ac:dyDescent="0.25">
      <c r="A495" s="4" t="s">
        <v>521</v>
      </c>
      <c r="B495" t="s">
        <v>9</v>
      </c>
      <c r="C495" t="s">
        <v>4</v>
      </c>
      <c r="D495" s="3">
        <f t="shared" si="49"/>
        <v>56</v>
      </c>
      <c r="E495" s="4">
        <f t="shared" si="50"/>
        <v>3</v>
      </c>
      <c r="F495" s="4">
        <f t="shared" si="51"/>
        <v>22</v>
      </c>
      <c r="G495" s="3">
        <f>IF(E495&gt;=20,2000,1900) + D495</f>
        <v>1956</v>
      </c>
      <c r="H495">
        <f t="shared" si="52"/>
        <v>3</v>
      </c>
      <c r="I495" s="4">
        <f t="shared" si="53"/>
        <v>22</v>
      </c>
      <c r="J495">
        <f t="shared" si="54"/>
        <v>19560322</v>
      </c>
      <c r="K495" t="str">
        <f t="shared" si="55"/>
        <v>22.03.1956</v>
      </c>
    </row>
    <row r="496" spans="1:11" x14ac:dyDescent="0.25">
      <c r="A496" s="4" t="s">
        <v>522</v>
      </c>
      <c r="B496" t="s">
        <v>7</v>
      </c>
      <c r="C496" t="s">
        <v>4</v>
      </c>
      <c r="D496" s="3">
        <f t="shared" si="49"/>
        <v>64</v>
      </c>
      <c r="E496" s="4">
        <f t="shared" si="50"/>
        <v>8</v>
      </c>
      <c r="F496" s="4">
        <f t="shared" si="51"/>
        <v>11</v>
      </c>
      <c r="G496" s="3">
        <f>IF(E496&gt;=20,2000,1900) + D496</f>
        <v>1964</v>
      </c>
      <c r="H496">
        <f t="shared" si="52"/>
        <v>8</v>
      </c>
      <c r="I496" s="4">
        <f t="shared" si="53"/>
        <v>11</v>
      </c>
      <c r="J496">
        <f t="shared" si="54"/>
        <v>19640811</v>
      </c>
      <c r="K496" t="str">
        <f t="shared" si="55"/>
        <v>11.08.1964</v>
      </c>
    </row>
    <row r="497" spans="1:11" x14ac:dyDescent="0.25">
      <c r="A497" s="4" t="s">
        <v>523</v>
      </c>
      <c r="B497" t="s">
        <v>10</v>
      </c>
      <c r="C497" t="s">
        <v>4</v>
      </c>
      <c r="D497" s="3">
        <f t="shared" si="49"/>
        <v>62</v>
      </c>
      <c r="E497" s="4">
        <f t="shared" si="50"/>
        <v>4</v>
      </c>
      <c r="F497" s="4">
        <f t="shared" si="51"/>
        <v>6</v>
      </c>
      <c r="G497" s="3">
        <f>IF(E497&gt;=20,2000,1900) + D497</f>
        <v>1962</v>
      </c>
      <c r="H497">
        <f t="shared" si="52"/>
        <v>4</v>
      </c>
      <c r="I497" s="4">
        <f t="shared" si="53"/>
        <v>6</v>
      </c>
      <c r="J497">
        <f t="shared" si="54"/>
        <v>19620406</v>
      </c>
      <c r="K497" t="str">
        <f t="shared" si="55"/>
        <v>06.04.1962</v>
      </c>
    </row>
    <row r="498" spans="1:11" x14ac:dyDescent="0.25">
      <c r="A498" s="4" t="s">
        <v>524</v>
      </c>
      <c r="B498" t="s">
        <v>14</v>
      </c>
      <c r="C498" t="s">
        <v>4</v>
      </c>
      <c r="D498" s="3">
        <f t="shared" si="49"/>
        <v>87</v>
      </c>
      <c r="E498" s="4">
        <f t="shared" si="50"/>
        <v>3</v>
      </c>
      <c r="F498" s="4">
        <f t="shared" si="51"/>
        <v>21</v>
      </c>
      <c r="G498" s="3">
        <f>IF(E498&gt;=20,2000,1900) + D498</f>
        <v>1987</v>
      </c>
      <c r="H498">
        <f t="shared" si="52"/>
        <v>3</v>
      </c>
      <c r="I498" s="4">
        <f t="shared" si="53"/>
        <v>21</v>
      </c>
      <c r="J498">
        <f t="shared" si="54"/>
        <v>19870321</v>
      </c>
      <c r="K498" t="str">
        <f t="shared" si="55"/>
        <v>21.03.1987</v>
      </c>
    </row>
    <row r="499" spans="1:11" x14ac:dyDescent="0.25">
      <c r="A499" s="4" t="s">
        <v>525</v>
      </c>
      <c r="B499" t="s">
        <v>7</v>
      </c>
      <c r="C499" t="s">
        <v>4</v>
      </c>
      <c r="D499" s="3">
        <f t="shared" si="49"/>
        <v>73</v>
      </c>
      <c r="E499" s="4">
        <f t="shared" si="50"/>
        <v>10</v>
      </c>
      <c r="F499" s="4">
        <f t="shared" si="51"/>
        <v>14</v>
      </c>
      <c r="G499" s="3">
        <f>IF(E499&gt;=20,2000,1900) + D499</f>
        <v>1973</v>
      </c>
      <c r="H499">
        <f t="shared" si="52"/>
        <v>10</v>
      </c>
      <c r="I499" s="4">
        <f t="shared" si="53"/>
        <v>14</v>
      </c>
      <c r="J499">
        <f t="shared" si="54"/>
        <v>19731014</v>
      </c>
      <c r="K499" t="str">
        <f t="shared" si="55"/>
        <v>14.10.1973</v>
      </c>
    </row>
    <row r="500" spans="1:11" x14ac:dyDescent="0.25">
      <c r="A500" s="4" t="s">
        <v>526</v>
      </c>
      <c r="B500" t="s">
        <v>19</v>
      </c>
      <c r="C500" t="s">
        <v>6</v>
      </c>
      <c r="D500" s="3">
        <f t="shared" si="49"/>
        <v>56</v>
      </c>
      <c r="E500" s="4">
        <f t="shared" si="50"/>
        <v>11</v>
      </c>
      <c r="F500" s="4">
        <f t="shared" si="51"/>
        <v>12</v>
      </c>
      <c r="G500" s="3">
        <f>IF(E500&gt;=20,2000,1900) + D500</f>
        <v>1956</v>
      </c>
      <c r="H500">
        <f t="shared" si="52"/>
        <v>11</v>
      </c>
      <c r="I500" s="4">
        <f t="shared" si="53"/>
        <v>12</v>
      </c>
      <c r="J500">
        <f t="shared" si="54"/>
        <v>19561112</v>
      </c>
      <c r="K500" t="str">
        <f t="shared" si="55"/>
        <v>12.11.1956</v>
      </c>
    </row>
    <row r="501" spans="1:11" x14ac:dyDescent="0.25">
      <c r="A501" s="4" t="s">
        <v>527</v>
      </c>
      <c r="B501" t="s">
        <v>8</v>
      </c>
      <c r="C501" t="s">
        <v>4</v>
      </c>
      <c r="D501" s="3">
        <f t="shared" si="49"/>
        <v>83</v>
      </c>
      <c r="E501" s="4">
        <f t="shared" si="50"/>
        <v>3</v>
      </c>
      <c r="F501" s="4">
        <f t="shared" si="51"/>
        <v>26</v>
      </c>
      <c r="G501" s="3">
        <f>IF(E501&gt;=20,2000,1900) + D501</f>
        <v>1983</v>
      </c>
      <c r="H501">
        <f t="shared" si="52"/>
        <v>3</v>
      </c>
      <c r="I501" s="4">
        <f t="shared" si="53"/>
        <v>26</v>
      </c>
      <c r="J501">
        <f t="shared" si="54"/>
        <v>19830326</v>
      </c>
      <c r="K501" t="str">
        <f t="shared" si="55"/>
        <v>26.03.1983</v>
      </c>
    </row>
    <row r="502" spans="1:11" x14ac:dyDescent="0.25">
      <c r="A502" s="4" t="s">
        <v>528</v>
      </c>
      <c r="B502" t="s">
        <v>9</v>
      </c>
      <c r="C502" t="s">
        <v>4</v>
      </c>
      <c r="D502" s="3">
        <f t="shared" si="49"/>
        <v>88</v>
      </c>
      <c r="E502" s="4">
        <f t="shared" si="50"/>
        <v>5</v>
      </c>
      <c r="F502" s="4">
        <f t="shared" si="51"/>
        <v>10</v>
      </c>
      <c r="G502" s="3">
        <f>IF(E502&gt;=20,2000,1900) + D502</f>
        <v>1988</v>
      </c>
      <c r="H502">
        <f t="shared" si="52"/>
        <v>5</v>
      </c>
      <c r="I502" s="4">
        <f t="shared" si="53"/>
        <v>10</v>
      </c>
      <c r="J502">
        <f t="shared" si="54"/>
        <v>19880510</v>
      </c>
      <c r="K502" t="str">
        <f t="shared" si="55"/>
        <v>10.05.1988</v>
      </c>
    </row>
    <row r="503" spans="1:11" x14ac:dyDescent="0.25">
      <c r="A503" s="4" t="s">
        <v>529</v>
      </c>
      <c r="B503" t="s">
        <v>14</v>
      </c>
      <c r="C503" t="s">
        <v>4</v>
      </c>
      <c r="D503" s="3">
        <f t="shared" si="49"/>
        <v>50</v>
      </c>
      <c r="E503" s="4">
        <f t="shared" si="50"/>
        <v>1</v>
      </c>
      <c r="F503" s="4">
        <f t="shared" si="51"/>
        <v>26</v>
      </c>
      <c r="G503" s="3">
        <f>IF(E503&gt;=20,2000,1900) + D503</f>
        <v>1950</v>
      </c>
      <c r="H503">
        <f t="shared" si="52"/>
        <v>1</v>
      </c>
      <c r="I503" s="4">
        <f t="shared" si="53"/>
        <v>26</v>
      </c>
      <c r="J503">
        <f t="shared" si="54"/>
        <v>19500126</v>
      </c>
      <c r="K503" t="str">
        <f t="shared" si="55"/>
        <v>26.01.1950</v>
      </c>
    </row>
    <row r="504" spans="1:11" x14ac:dyDescent="0.25">
      <c r="A504" s="4" t="s">
        <v>530</v>
      </c>
      <c r="B504" t="s">
        <v>9</v>
      </c>
      <c r="C504" t="s">
        <v>6</v>
      </c>
      <c r="D504" s="3">
        <f t="shared" si="49"/>
        <v>96</v>
      </c>
      <c r="E504" s="4">
        <f t="shared" si="50"/>
        <v>4</v>
      </c>
      <c r="F504" s="4">
        <f t="shared" si="51"/>
        <v>2</v>
      </c>
      <c r="G504" s="3">
        <f>IF(E504&gt;=20,2000,1900) + D504</f>
        <v>1996</v>
      </c>
      <c r="H504">
        <f t="shared" si="52"/>
        <v>4</v>
      </c>
      <c r="I504" s="4">
        <f t="shared" si="53"/>
        <v>2</v>
      </c>
      <c r="J504">
        <f t="shared" si="54"/>
        <v>19960402</v>
      </c>
      <c r="K504" t="str">
        <f t="shared" si="55"/>
        <v>02.04.1996</v>
      </c>
    </row>
    <row r="505" spans="1:11" x14ac:dyDescent="0.25">
      <c r="A505" s="4" t="s">
        <v>531</v>
      </c>
      <c r="B505" t="s">
        <v>7</v>
      </c>
      <c r="C505" t="s">
        <v>4</v>
      </c>
      <c r="D505" s="3">
        <f t="shared" si="49"/>
        <v>91</v>
      </c>
      <c r="E505" s="4">
        <f t="shared" si="50"/>
        <v>4</v>
      </c>
      <c r="F505" s="4">
        <f t="shared" si="51"/>
        <v>10</v>
      </c>
      <c r="G505" s="3">
        <f>IF(E505&gt;=20,2000,1900) + D505</f>
        <v>1991</v>
      </c>
      <c r="H505">
        <f t="shared" si="52"/>
        <v>4</v>
      </c>
      <c r="I505" s="4">
        <f t="shared" si="53"/>
        <v>10</v>
      </c>
      <c r="J505">
        <f t="shared" si="54"/>
        <v>19910410</v>
      </c>
      <c r="K505" t="str">
        <f t="shared" si="55"/>
        <v>10.04.1991</v>
      </c>
    </row>
    <row r="506" spans="1:11" x14ac:dyDescent="0.25">
      <c r="A506" s="4" t="s">
        <v>532</v>
      </c>
      <c r="B506" t="s">
        <v>14</v>
      </c>
      <c r="C506" t="s">
        <v>6</v>
      </c>
      <c r="D506" s="3">
        <f t="shared" si="49"/>
        <v>75</v>
      </c>
      <c r="E506" s="4">
        <f t="shared" si="50"/>
        <v>6</v>
      </c>
      <c r="F506" s="4">
        <f t="shared" si="51"/>
        <v>17</v>
      </c>
      <c r="G506" s="3">
        <f>IF(E506&gt;=20,2000,1900) + D506</f>
        <v>1975</v>
      </c>
      <c r="H506">
        <f t="shared" si="52"/>
        <v>6</v>
      </c>
      <c r="I506" s="4">
        <f t="shared" si="53"/>
        <v>17</v>
      </c>
      <c r="J506">
        <f t="shared" si="54"/>
        <v>19750617</v>
      </c>
      <c r="K506" t="str">
        <f t="shared" si="55"/>
        <v>17.06.1975</v>
      </c>
    </row>
    <row r="507" spans="1:11" x14ac:dyDescent="0.25">
      <c r="A507" s="4" t="s">
        <v>533</v>
      </c>
      <c r="B507" t="s">
        <v>8</v>
      </c>
      <c r="C507" t="s">
        <v>4</v>
      </c>
      <c r="D507" s="3">
        <f t="shared" si="49"/>
        <v>52</v>
      </c>
      <c r="E507" s="4">
        <f t="shared" si="50"/>
        <v>2</v>
      </c>
      <c r="F507" s="4">
        <f t="shared" si="51"/>
        <v>4</v>
      </c>
      <c r="G507" s="3">
        <f>IF(E507&gt;=20,2000,1900) + D507</f>
        <v>1952</v>
      </c>
      <c r="H507">
        <f t="shared" si="52"/>
        <v>2</v>
      </c>
      <c r="I507" s="4">
        <f t="shared" si="53"/>
        <v>4</v>
      </c>
      <c r="J507">
        <f t="shared" si="54"/>
        <v>19520204</v>
      </c>
      <c r="K507" t="str">
        <f t="shared" si="55"/>
        <v>04.02.1952</v>
      </c>
    </row>
    <row r="508" spans="1:11" x14ac:dyDescent="0.25">
      <c r="A508" s="4" t="s">
        <v>534</v>
      </c>
      <c r="B508" t="s">
        <v>15</v>
      </c>
      <c r="C508" t="s">
        <v>4</v>
      </c>
      <c r="D508" s="3">
        <f t="shared" si="49"/>
        <v>94</v>
      </c>
      <c r="E508" s="4">
        <f t="shared" si="50"/>
        <v>2</v>
      </c>
      <c r="F508" s="4">
        <f t="shared" si="51"/>
        <v>17</v>
      </c>
      <c r="G508" s="3">
        <f>IF(E508&gt;=20,2000,1900) + D508</f>
        <v>1994</v>
      </c>
      <c r="H508">
        <f t="shared" si="52"/>
        <v>2</v>
      </c>
      <c r="I508" s="4">
        <f t="shared" si="53"/>
        <v>17</v>
      </c>
      <c r="J508">
        <f t="shared" si="54"/>
        <v>19940217</v>
      </c>
      <c r="K508" t="str">
        <f t="shared" si="55"/>
        <v>17.02.1994</v>
      </c>
    </row>
    <row r="509" spans="1:11" x14ac:dyDescent="0.25">
      <c r="A509" s="4" t="s">
        <v>535</v>
      </c>
      <c r="B509" t="s">
        <v>8</v>
      </c>
      <c r="C509" t="s">
        <v>6</v>
      </c>
      <c r="D509" s="3">
        <f t="shared" si="49"/>
        <v>54</v>
      </c>
      <c r="E509" s="4">
        <f t="shared" si="50"/>
        <v>6</v>
      </c>
      <c r="F509" s="4">
        <f t="shared" si="51"/>
        <v>14</v>
      </c>
      <c r="G509" s="3">
        <f>IF(E509&gt;=20,2000,1900) + D509</f>
        <v>1954</v>
      </c>
      <c r="H509">
        <f t="shared" si="52"/>
        <v>6</v>
      </c>
      <c r="I509" s="4">
        <f t="shared" si="53"/>
        <v>14</v>
      </c>
      <c r="J509">
        <f t="shared" si="54"/>
        <v>19540614</v>
      </c>
      <c r="K509" t="str">
        <f t="shared" si="55"/>
        <v>14.06.1954</v>
      </c>
    </row>
    <row r="510" spans="1:11" x14ac:dyDescent="0.25">
      <c r="A510" s="4" t="s">
        <v>536</v>
      </c>
      <c r="B510" t="s">
        <v>9</v>
      </c>
      <c r="C510" t="s">
        <v>6</v>
      </c>
      <c r="D510" s="3">
        <f t="shared" si="49"/>
        <v>60</v>
      </c>
      <c r="E510" s="4">
        <f t="shared" si="50"/>
        <v>1</v>
      </c>
      <c r="F510" s="4">
        <f t="shared" si="51"/>
        <v>26</v>
      </c>
      <c r="G510" s="3">
        <f>IF(E510&gt;=20,2000,1900) + D510</f>
        <v>1960</v>
      </c>
      <c r="H510">
        <f t="shared" si="52"/>
        <v>1</v>
      </c>
      <c r="I510" s="4">
        <f t="shared" si="53"/>
        <v>26</v>
      </c>
      <c r="J510">
        <f t="shared" si="54"/>
        <v>19600126</v>
      </c>
      <c r="K510" t="str">
        <f t="shared" si="55"/>
        <v>26.01.1960</v>
      </c>
    </row>
    <row r="511" spans="1:11" x14ac:dyDescent="0.25">
      <c r="A511" s="4" t="s">
        <v>537</v>
      </c>
      <c r="B511" t="s">
        <v>14</v>
      </c>
      <c r="C511" t="s">
        <v>6</v>
      </c>
      <c r="D511" s="3">
        <f t="shared" si="49"/>
        <v>64</v>
      </c>
      <c r="E511" s="4">
        <f t="shared" si="50"/>
        <v>3</v>
      </c>
      <c r="F511" s="4">
        <f t="shared" si="51"/>
        <v>13</v>
      </c>
      <c r="G511" s="3">
        <f>IF(E511&gt;=20,2000,1900) + D511</f>
        <v>1964</v>
      </c>
      <c r="H511">
        <f t="shared" si="52"/>
        <v>3</v>
      </c>
      <c r="I511" s="4">
        <f t="shared" si="53"/>
        <v>13</v>
      </c>
      <c r="J511">
        <f t="shared" si="54"/>
        <v>19640313</v>
      </c>
      <c r="K511" t="str">
        <f t="shared" si="55"/>
        <v>13.03.1964</v>
      </c>
    </row>
    <row r="512" spans="1:11" x14ac:dyDescent="0.25">
      <c r="A512" s="4" t="s">
        <v>538</v>
      </c>
      <c r="B512" t="s">
        <v>20</v>
      </c>
      <c r="C512" t="s">
        <v>6</v>
      </c>
      <c r="D512" s="3">
        <f t="shared" si="49"/>
        <v>76</v>
      </c>
      <c r="E512" s="4">
        <f t="shared" si="50"/>
        <v>3</v>
      </c>
      <c r="F512" s="4">
        <f t="shared" si="51"/>
        <v>25</v>
      </c>
      <c r="G512" s="3">
        <f>IF(E512&gt;=20,2000,1900) + D512</f>
        <v>1976</v>
      </c>
      <c r="H512">
        <f t="shared" si="52"/>
        <v>3</v>
      </c>
      <c r="I512" s="4">
        <f t="shared" si="53"/>
        <v>25</v>
      </c>
      <c r="J512">
        <f t="shared" si="54"/>
        <v>19760325</v>
      </c>
      <c r="K512" t="str">
        <f t="shared" si="55"/>
        <v>25.03.1976</v>
      </c>
    </row>
    <row r="513" spans="1:11" x14ac:dyDescent="0.25">
      <c r="A513" s="4" t="s">
        <v>539</v>
      </c>
      <c r="B513" t="s">
        <v>11</v>
      </c>
      <c r="C513" t="s">
        <v>4</v>
      </c>
      <c r="D513" s="3">
        <f t="shared" si="49"/>
        <v>94</v>
      </c>
      <c r="E513" s="4">
        <f t="shared" si="50"/>
        <v>4</v>
      </c>
      <c r="F513" s="4">
        <f t="shared" si="51"/>
        <v>22</v>
      </c>
      <c r="G513" s="3">
        <f>IF(E513&gt;=20,2000,1900) + D513</f>
        <v>1994</v>
      </c>
      <c r="H513">
        <f t="shared" si="52"/>
        <v>4</v>
      </c>
      <c r="I513" s="4">
        <f t="shared" si="53"/>
        <v>22</v>
      </c>
      <c r="J513">
        <f t="shared" si="54"/>
        <v>19940422</v>
      </c>
      <c r="K513" t="str">
        <f t="shared" si="55"/>
        <v>22.04.1994</v>
      </c>
    </row>
    <row r="514" spans="1:11" x14ac:dyDescent="0.25">
      <c r="A514" s="4" t="s">
        <v>540</v>
      </c>
      <c r="B514" t="s">
        <v>16</v>
      </c>
      <c r="C514" t="s">
        <v>6</v>
      </c>
      <c r="D514" s="3">
        <f t="shared" si="49"/>
        <v>72</v>
      </c>
      <c r="E514" s="4">
        <f t="shared" si="50"/>
        <v>1</v>
      </c>
      <c r="F514" s="4">
        <f t="shared" si="51"/>
        <v>12</v>
      </c>
      <c r="G514" s="3">
        <f>IF(E514&gt;=20,2000,1900) + D514</f>
        <v>1972</v>
      </c>
      <c r="H514">
        <f t="shared" si="52"/>
        <v>1</v>
      </c>
      <c r="I514" s="4">
        <f t="shared" si="53"/>
        <v>12</v>
      </c>
      <c r="J514">
        <f t="shared" si="54"/>
        <v>19720112</v>
      </c>
      <c r="K514" t="str">
        <f t="shared" si="55"/>
        <v>12.01.1972</v>
      </c>
    </row>
    <row r="515" spans="1:11" x14ac:dyDescent="0.25">
      <c r="A515" s="4" t="s">
        <v>541</v>
      </c>
      <c r="B515" t="s">
        <v>12</v>
      </c>
      <c r="C515" t="s">
        <v>6</v>
      </c>
      <c r="D515" s="3">
        <f t="shared" ref="D515:D578" si="56">MID(A515,1,2)*1</f>
        <v>55</v>
      </c>
      <c r="E515" s="4">
        <f t="shared" ref="E515:E578" si="57">MID(A515,3,2)*1</f>
        <v>10</v>
      </c>
      <c r="F515" s="4">
        <f t="shared" ref="F515:F578" si="58">MID(A515,5,2)*1</f>
        <v>16</v>
      </c>
      <c r="G515" s="3">
        <f>IF(E515&gt;=20,2000,1900) + D515</f>
        <v>1955</v>
      </c>
      <c r="H515">
        <f t="shared" ref="H515:H578" si="59">IF(E515&gt;=20,E515-20,E515)</f>
        <v>10</v>
      </c>
      <c r="I515" s="4">
        <f t="shared" ref="I515:I578" si="60">F515</f>
        <v>16</v>
      </c>
      <c r="J515">
        <f t="shared" ref="J515:J578" si="61">CONCATENATE(G515,IF(LEN(E515)=1,CONCATENATE("0",E515),E515),IF(LEN(F515)=1,CONCATENATE("0",F515),F515))*1</f>
        <v>19551016</v>
      </c>
      <c r="K515" t="str">
        <f t="shared" ref="K515:K578" si="62">CONCATENATE(RIGHT(J515,2),".",MID(J515,5,2),".",LEFT(J515,4))</f>
        <v>16.10.1955</v>
      </c>
    </row>
    <row r="516" spans="1:11" x14ac:dyDescent="0.25">
      <c r="A516" s="4" t="s">
        <v>542</v>
      </c>
      <c r="B516" t="s">
        <v>5</v>
      </c>
      <c r="C516" t="s">
        <v>6</v>
      </c>
      <c r="D516" s="3">
        <f t="shared" si="56"/>
        <v>63</v>
      </c>
      <c r="E516" s="4">
        <f t="shared" si="57"/>
        <v>6</v>
      </c>
      <c r="F516" s="4">
        <f t="shared" si="58"/>
        <v>15</v>
      </c>
      <c r="G516" s="3">
        <f>IF(E516&gt;=20,2000,1900) + D516</f>
        <v>1963</v>
      </c>
      <c r="H516">
        <f t="shared" si="59"/>
        <v>6</v>
      </c>
      <c r="I516" s="4">
        <f t="shared" si="60"/>
        <v>15</v>
      </c>
      <c r="J516">
        <f t="shared" si="61"/>
        <v>19630615</v>
      </c>
      <c r="K516" t="str">
        <f t="shared" si="62"/>
        <v>15.06.1963</v>
      </c>
    </row>
    <row r="517" spans="1:11" x14ac:dyDescent="0.25">
      <c r="A517" s="4" t="s">
        <v>543</v>
      </c>
      <c r="B517" t="s">
        <v>15</v>
      </c>
      <c r="C517" t="s">
        <v>6</v>
      </c>
      <c r="D517" s="3">
        <f t="shared" si="56"/>
        <v>66</v>
      </c>
      <c r="E517" s="4">
        <f t="shared" si="57"/>
        <v>9</v>
      </c>
      <c r="F517" s="4">
        <f t="shared" si="58"/>
        <v>20</v>
      </c>
      <c r="G517" s="3">
        <f>IF(E517&gt;=20,2000,1900) + D517</f>
        <v>1966</v>
      </c>
      <c r="H517">
        <f t="shared" si="59"/>
        <v>9</v>
      </c>
      <c r="I517" s="4">
        <f t="shared" si="60"/>
        <v>20</v>
      </c>
      <c r="J517">
        <f t="shared" si="61"/>
        <v>19660920</v>
      </c>
      <c r="K517" t="str">
        <f t="shared" si="62"/>
        <v>20.09.1966</v>
      </c>
    </row>
    <row r="518" spans="1:11" x14ac:dyDescent="0.25">
      <c r="A518" s="4" t="s">
        <v>544</v>
      </c>
      <c r="B518" t="s">
        <v>15</v>
      </c>
      <c r="C518" t="s">
        <v>6</v>
      </c>
      <c r="D518" s="3">
        <f t="shared" si="56"/>
        <v>79</v>
      </c>
      <c r="E518" s="4">
        <f t="shared" si="57"/>
        <v>12</v>
      </c>
      <c r="F518" s="4">
        <f t="shared" si="58"/>
        <v>3</v>
      </c>
      <c r="G518" s="3">
        <f>IF(E518&gt;=20,2000,1900) + D518</f>
        <v>1979</v>
      </c>
      <c r="H518">
        <f t="shared" si="59"/>
        <v>12</v>
      </c>
      <c r="I518" s="4">
        <f t="shared" si="60"/>
        <v>3</v>
      </c>
      <c r="J518">
        <f t="shared" si="61"/>
        <v>19791203</v>
      </c>
      <c r="K518" t="str">
        <f t="shared" si="62"/>
        <v>03.12.1979</v>
      </c>
    </row>
    <row r="519" spans="1:11" x14ac:dyDescent="0.25">
      <c r="A519" s="4" t="s">
        <v>545</v>
      </c>
      <c r="B519" t="s">
        <v>17</v>
      </c>
      <c r="C519" t="s">
        <v>6</v>
      </c>
      <c r="D519" s="3">
        <f t="shared" si="56"/>
        <v>75</v>
      </c>
      <c r="E519" s="4">
        <f t="shared" si="57"/>
        <v>3</v>
      </c>
      <c r="F519" s="4">
        <f t="shared" si="58"/>
        <v>20</v>
      </c>
      <c r="G519" s="3">
        <f>IF(E519&gt;=20,2000,1900) + D519</f>
        <v>1975</v>
      </c>
      <c r="H519">
        <f t="shared" si="59"/>
        <v>3</v>
      </c>
      <c r="I519" s="4">
        <f t="shared" si="60"/>
        <v>20</v>
      </c>
      <c r="J519">
        <f t="shared" si="61"/>
        <v>19750320</v>
      </c>
      <c r="K519" t="str">
        <f t="shared" si="62"/>
        <v>20.03.1975</v>
      </c>
    </row>
    <row r="520" spans="1:11" x14ac:dyDescent="0.25">
      <c r="A520" s="4" t="s">
        <v>546</v>
      </c>
      <c r="B520" t="s">
        <v>17</v>
      </c>
      <c r="C520" t="s">
        <v>4</v>
      </c>
      <c r="D520" s="3">
        <f t="shared" si="56"/>
        <v>64</v>
      </c>
      <c r="E520" s="4">
        <f t="shared" si="57"/>
        <v>12</v>
      </c>
      <c r="F520" s="4">
        <f t="shared" si="58"/>
        <v>6</v>
      </c>
      <c r="G520" s="3">
        <f>IF(E520&gt;=20,2000,1900) + D520</f>
        <v>1964</v>
      </c>
      <c r="H520">
        <f t="shared" si="59"/>
        <v>12</v>
      </c>
      <c r="I520" s="4">
        <f t="shared" si="60"/>
        <v>6</v>
      </c>
      <c r="J520">
        <f t="shared" si="61"/>
        <v>19641206</v>
      </c>
      <c r="K520" t="str">
        <f t="shared" si="62"/>
        <v>06.12.1964</v>
      </c>
    </row>
    <row r="521" spans="1:11" x14ac:dyDescent="0.25">
      <c r="A521" s="4" t="s">
        <v>547</v>
      </c>
      <c r="B521" t="s">
        <v>9</v>
      </c>
      <c r="C521" t="s">
        <v>6</v>
      </c>
      <c r="D521" s="3">
        <f t="shared" si="56"/>
        <v>73</v>
      </c>
      <c r="E521" s="4">
        <f t="shared" si="57"/>
        <v>7</v>
      </c>
      <c r="F521" s="4">
        <f t="shared" si="58"/>
        <v>28</v>
      </c>
      <c r="G521" s="3">
        <f>IF(E521&gt;=20,2000,1900) + D521</f>
        <v>1973</v>
      </c>
      <c r="H521">
        <f t="shared" si="59"/>
        <v>7</v>
      </c>
      <c r="I521" s="4">
        <f t="shared" si="60"/>
        <v>28</v>
      </c>
      <c r="J521">
        <f t="shared" si="61"/>
        <v>19730728</v>
      </c>
      <c r="K521" t="str">
        <f t="shared" si="62"/>
        <v>28.07.1973</v>
      </c>
    </row>
    <row r="522" spans="1:11" x14ac:dyDescent="0.25">
      <c r="A522" s="4" t="s">
        <v>548</v>
      </c>
      <c r="B522" t="s">
        <v>17</v>
      </c>
      <c r="C522" t="s">
        <v>6</v>
      </c>
      <c r="D522" s="3">
        <f t="shared" si="56"/>
        <v>81</v>
      </c>
      <c r="E522" s="4">
        <f t="shared" si="57"/>
        <v>3</v>
      </c>
      <c r="F522" s="4">
        <f t="shared" si="58"/>
        <v>21</v>
      </c>
      <c r="G522" s="3">
        <f>IF(E522&gt;=20,2000,1900) + D522</f>
        <v>1981</v>
      </c>
      <c r="H522">
        <f t="shared" si="59"/>
        <v>3</v>
      </c>
      <c r="I522" s="4">
        <f t="shared" si="60"/>
        <v>21</v>
      </c>
      <c r="J522">
        <f t="shared" si="61"/>
        <v>19810321</v>
      </c>
      <c r="K522" t="str">
        <f t="shared" si="62"/>
        <v>21.03.1981</v>
      </c>
    </row>
    <row r="523" spans="1:11" x14ac:dyDescent="0.25">
      <c r="A523" s="4" t="s">
        <v>549</v>
      </c>
      <c r="B523" t="s">
        <v>18</v>
      </c>
      <c r="C523" t="s">
        <v>4</v>
      </c>
      <c r="D523" s="3">
        <f t="shared" si="56"/>
        <v>99</v>
      </c>
      <c r="E523" s="4">
        <f t="shared" si="57"/>
        <v>12</v>
      </c>
      <c r="F523" s="4">
        <f t="shared" si="58"/>
        <v>2</v>
      </c>
      <c r="G523" s="3">
        <f>IF(E523&gt;=20,2000,1900) + D523</f>
        <v>1999</v>
      </c>
      <c r="H523">
        <f t="shared" si="59"/>
        <v>12</v>
      </c>
      <c r="I523" s="4">
        <f t="shared" si="60"/>
        <v>2</v>
      </c>
      <c r="J523">
        <f t="shared" si="61"/>
        <v>19991202</v>
      </c>
      <c r="K523" t="str">
        <f t="shared" si="62"/>
        <v>02.12.1999</v>
      </c>
    </row>
    <row r="524" spans="1:11" x14ac:dyDescent="0.25">
      <c r="A524" s="4" t="s">
        <v>550</v>
      </c>
      <c r="B524" t="s">
        <v>7</v>
      </c>
      <c r="C524" t="s">
        <v>6</v>
      </c>
      <c r="D524" s="3">
        <f t="shared" si="56"/>
        <v>57</v>
      </c>
      <c r="E524" s="4">
        <f t="shared" si="57"/>
        <v>4</v>
      </c>
      <c r="F524" s="4">
        <f t="shared" si="58"/>
        <v>5</v>
      </c>
      <c r="G524" s="3">
        <f>IF(E524&gt;=20,2000,1900) + D524</f>
        <v>1957</v>
      </c>
      <c r="H524">
        <f t="shared" si="59"/>
        <v>4</v>
      </c>
      <c r="I524" s="4">
        <f t="shared" si="60"/>
        <v>5</v>
      </c>
      <c r="J524">
        <f t="shared" si="61"/>
        <v>19570405</v>
      </c>
      <c r="K524" t="str">
        <f t="shared" si="62"/>
        <v>05.04.1957</v>
      </c>
    </row>
    <row r="525" spans="1:11" x14ac:dyDescent="0.25">
      <c r="A525" s="4" t="s">
        <v>551</v>
      </c>
      <c r="B525" t="s">
        <v>14</v>
      </c>
      <c r="C525" t="s">
        <v>6</v>
      </c>
      <c r="D525" s="3">
        <f t="shared" si="56"/>
        <v>99</v>
      </c>
      <c r="E525" s="4">
        <f t="shared" si="57"/>
        <v>5</v>
      </c>
      <c r="F525" s="4">
        <f t="shared" si="58"/>
        <v>13</v>
      </c>
      <c r="G525" s="3">
        <f>IF(E525&gt;=20,2000,1900) + D525</f>
        <v>1999</v>
      </c>
      <c r="H525">
        <f t="shared" si="59"/>
        <v>5</v>
      </c>
      <c r="I525" s="4">
        <f t="shared" si="60"/>
        <v>13</v>
      </c>
      <c r="J525">
        <f t="shared" si="61"/>
        <v>19990513</v>
      </c>
      <c r="K525" t="str">
        <f t="shared" si="62"/>
        <v>13.05.1999</v>
      </c>
    </row>
    <row r="526" spans="1:11" x14ac:dyDescent="0.25">
      <c r="A526" s="4" t="s">
        <v>552</v>
      </c>
      <c r="B526" t="s">
        <v>11</v>
      </c>
      <c r="C526" t="s">
        <v>4</v>
      </c>
      <c r="D526" s="3">
        <f t="shared" si="56"/>
        <v>73</v>
      </c>
      <c r="E526" s="4">
        <f t="shared" si="57"/>
        <v>3</v>
      </c>
      <c r="F526" s="4">
        <f t="shared" si="58"/>
        <v>18</v>
      </c>
      <c r="G526" s="3">
        <f>IF(E526&gt;=20,2000,1900) + D526</f>
        <v>1973</v>
      </c>
      <c r="H526">
        <f t="shared" si="59"/>
        <v>3</v>
      </c>
      <c r="I526" s="4">
        <f t="shared" si="60"/>
        <v>18</v>
      </c>
      <c r="J526">
        <f t="shared" si="61"/>
        <v>19730318</v>
      </c>
      <c r="K526" t="str">
        <f t="shared" si="62"/>
        <v>18.03.1973</v>
      </c>
    </row>
    <row r="527" spans="1:11" x14ac:dyDescent="0.25">
      <c r="A527" s="4" t="s">
        <v>553</v>
      </c>
      <c r="B527" t="s">
        <v>5</v>
      </c>
      <c r="C527" t="s">
        <v>6</v>
      </c>
      <c r="D527" s="3">
        <f t="shared" si="56"/>
        <v>86</v>
      </c>
      <c r="E527" s="4">
        <f t="shared" si="57"/>
        <v>6</v>
      </c>
      <c r="F527" s="4">
        <f t="shared" si="58"/>
        <v>15</v>
      </c>
      <c r="G527" s="3">
        <f>IF(E527&gt;=20,2000,1900) + D527</f>
        <v>1986</v>
      </c>
      <c r="H527">
        <f t="shared" si="59"/>
        <v>6</v>
      </c>
      <c r="I527" s="4">
        <f t="shared" si="60"/>
        <v>15</v>
      </c>
      <c r="J527">
        <f t="shared" si="61"/>
        <v>19860615</v>
      </c>
      <c r="K527" t="str">
        <f t="shared" si="62"/>
        <v>15.06.1986</v>
      </c>
    </row>
    <row r="528" spans="1:11" x14ac:dyDescent="0.25">
      <c r="A528" s="4" t="s">
        <v>554</v>
      </c>
      <c r="B528" t="s">
        <v>11</v>
      </c>
      <c r="C528" t="s">
        <v>4</v>
      </c>
      <c r="D528" s="3">
        <f t="shared" si="56"/>
        <v>53</v>
      </c>
      <c r="E528" s="4">
        <f t="shared" si="57"/>
        <v>9</v>
      </c>
      <c r="F528" s="4">
        <f t="shared" si="58"/>
        <v>6</v>
      </c>
      <c r="G528" s="3">
        <f>IF(E528&gt;=20,2000,1900) + D528</f>
        <v>1953</v>
      </c>
      <c r="H528">
        <f t="shared" si="59"/>
        <v>9</v>
      </c>
      <c r="I528" s="4">
        <f t="shared" si="60"/>
        <v>6</v>
      </c>
      <c r="J528">
        <f t="shared" si="61"/>
        <v>19530906</v>
      </c>
      <c r="K528" t="str">
        <f t="shared" si="62"/>
        <v>06.09.1953</v>
      </c>
    </row>
    <row r="529" spans="1:11" x14ac:dyDescent="0.25">
      <c r="A529" s="4" t="s">
        <v>555</v>
      </c>
      <c r="B529" t="s">
        <v>3</v>
      </c>
      <c r="C529" t="s">
        <v>4</v>
      </c>
      <c r="D529" s="3">
        <f t="shared" si="56"/>
        <v>75</v>
      </c>
      <c r="E529" s="4">
        <f t="shared" si="57"/>
        <v>2</v>
      </c>
      <c r="F529" s="4">
        <f t="shared" si="58"/>
        <v>13</v>
      </c>
      <c r="G529" s="3">
        <f>IF(E529&gt;=20,2000,1900) + D529</f>
        <v>1975</v>
      </c>
      <c r="H529">
        <f t="shared" si="59"/>
        <v>2</v>
      </c>
      <c r="I529" s="4">
        <f t="shared" si="60"/>
        <v>13</v>
      </c>
      <c r="J529">
        <f t="shared" si="61"/>
        <v>19750213</v>
      </c>
      <c r="K529" t="str">
        <f t="shared" si="62"/>
        <v>13.02.1975</v>
      </c>
    </row>
    <row r="530" spans="1:11" x14ac:dyDescent="0.25">
      <c r="A530" s="4" t="s">
        <v>556</v>
      </c>
      <c r="B530" t="s">
        <v>5</v>
      </c>
      <c r="C530" t="s">
        <v>6</v>
      </c>
      <c r="D530" s="3">
        <f t="shared" si="56"/>
        <v>72</v>
      </c>
      <c r="E530" s="4">
        <f t="shared" si="57"/>
        <v>12</v>
      </c>
      <c r="F530" s="4">
        <f t="shared" si="58"/>
        <v>31</v>
      </c>
      <c r="G530" s="3">
        <f>IF(E530&gt;=20,2000,1900) + D530</f>
        <v>1972</v>
      </c>
      <c r="H530">
        <f t="shared" si="59"/>
        <v>12</v>
      </c>
      <c r="I530" s="4">
        <f t="shared" si="60"/>
        <v>31</v>
      </c>
      <c r="J530">
        <f t="shared" si="61"/>
        <v>19721231</v>
      </c>
      <c r="K530" t="str">
        <f t="shared" si="62"/>
        <v>31.12.1972</v>
      </c>
    </row>
    <row r="531" spans="1:11" x14ac:dyDescent="0.25">
      <c r="A531" s="4" t="s">
        <v>557</v>
      </c>
      <c r="B531" t="s">
        <v>15</v>
      </c>
      <c r="C531" t="s">
        <v>6</v>
      </c>
      <c r="D531" s="3">
        <f t="shared" si="56"/>
        <v>79</v>
      </c>
      <c r="E531" s="4">
        <f t="shared" si="57"/>
        <v>7</v>
      </c>
      <c r="F531" s="4">
        <f t="shared" si="58"/>
        <v>6</v>
      </c>
      <c r="G531" s="3">
        <f>IF(E531&gt;=20,2000,1900) + D531</f>
        <v>1979</v>
      </c>
      <c r="H531">
        <f t="shared" si="59"/>
        <v>7</v>
      </c>
      <c r="I531" s="4">
        <f t="shared" si="60"/>
        <v>6</v>
      </c>
      <c r="J531">
        <f t="shared" si="61"/>
        <v>19790706</v>
      </c>
      <c r="K531" t="str">
        <f t="shared" si="62"/>
        <v>06.07.1979</v>
      </c>
    </row>
    <row r="532" spans="1:11" x14ac:dyDescent="0.25">
      <c r="A532" s="4" t="s">
        <v>558</v>
      </c>
      <c r="B532" t="s">
        <v>13</v>
      </c>
      <c r="C532" t="s">
        <v>6</v>
      </c>
      <c r="D532" s="3">
        <f t="shared" si="56"/>
        <v>99</v>
      </c>
      <c r="E532" s="4">
        <f t="shared" si="57"/>
        <v>12</v>
      </c>
      <c r="F532" s="4">
        <f t="shared" si="58"/>
        <v>16</v>
      </c>
      <c r="G532" s="3">
        <f>IF(E532&gt;=20,2000,1900) + D532</f>
        <v>1999</v>
      </c>
      <c r="H532">
        <f t="shared" si="59"/>
        <v>12</v>
      </c>
      <c r="I532" s="4">
        <f t="shared" si="60"/>
        <v>16</v>
      </c>
      <c r="J532">
        <f t="shared" si="61"/>
        <v>19991216</v>
      </c>
      <c r="K532" t="str">
        <f t="shared" si="62"/>
        <v>16.12.1999</v>
      </c>
    </row>
    <row r="533" spans="1:11" x14ac:dyDescent="0.25">
      <c r="A533" s="4" t="s">
        <v>559</v>
      </c>
      <c r="B533" t="s">
        <v>7</v>
      </c>
      <c r="C533" t="s">
        <v>4</v>
      </c>
      <c r="D533" s="3">
        <f t="shared" si="56"/>
        <v>62</v>
      </c>
      <c r="E533" s="4">
        <f t="shared" si="57"/>
        <v>4</v>
      </c>
      <c r="F533" s="4">
        <f t="shared" si="58"/>
        <v>8</v>
      </c>
      <c r="G533" s="3">
        <f>IF(E533&gt;=20,2000,1900) + D533</f>
        <v>1962</v>
      </c>
      <c r="H533">
        <f t="shared" si="59"/>
        <v>4</v>
      </c>
      <c r="I533" s="4">
        <f t="shared" si="60"/>
        <v>8</v>
      </c>
      <c r="J533">
        <f t="shared" si="61"/>
        <v>19620408</v>
      </c>
      <c r="K533" t="str">
        <f t="shared" si="62"/>
        <v>08.04.1962</v>
      </c>
    </row>
    <row r="534" spans="1:11" x14ac:dyDescent="0.25">
      <c r="A534" s="4" t="s">
        <v>560</v>
      </c>
      <c r="B534" t="s">
        <v>14</v>
      </c>
      <c r="C534" t="s">
        <v>6</v>
      </c>
      <c r="D534" s="3">
        <f t="shared" si="56"/>
        <v>77</v>
      </c>
      <c r="E534" s="4">
        <f t="shared" si="57"/>
        <v>5</v>
      </c>
      <c r="F534" s="4">
        <f t="shared" si="58"/>
        <v>7</v>
      </c>
      <c r="G534" s="3">
        <f>IF(E534&gt;=20,2000,1900) + D534</f>
        <v>1977</v>
      </c>
      <c r="H534">
        <f t="shared" si="59"/>
        <v>5</v>
      </c>
      <c r="I534" s="4">
        <f t="shared" si="60"/>
        <v>7</v>
      </c>
      <c r="J534">
        <f t="shared" si="61"/>
        <v>19770507</v>
      </c>
      <c r="K534" t="str">
        <f t="shared" si="62"/>
        <v>07.05.1977</v>
      </c>
    </row>
    <row r="535" spans="1:11" x14ac:dyDescent="0.25">
      <c r="A535" s="4" t="s">
        <v>561</v>
      </c>
      <c r="B535" t="s">
        <v>10</v>
      </c>
      <c r="C535" t="s">
        <v>6</v>
      </c>
      <c r="D535" s="3">
        <f t="shared" si="56"/>
        <v>61</v>
      </c>
      <c r="E535" s="4">
        <f t="shared" si="57"/>
        <v>1</v>
      </c>
      <c r="F535" s="4">
        <f t="shared" si="58"/>
        <v>18</v>
      </c>
      <c r="G535" s="3">
        <f>IF(E535&gt;=20,2000,1900) + D535</f>
        <v>1961</v>
      </c>
      <c r="H535">
        <f t="shared" si="59"/>
        <v>1</v>
      </c>
      <c r="I535" s="4">
        <f t="shared" si="60"/>
        <v>18</v>
      </c>
      <c r="J535">
        <f t="shared" si="61"/>
        <v>19610118</v>
      </c>
      <c r="K535" t="str">
        <f t="shared" si="62"/>
        <v>18.01.1961</v>
      </c>
    </row>
    <row r="536" spans="1:11" x14ac:dyDescent="0.25">
      <c r="A536" s="4" t="s">
        <v>562</v>
      </c>
      <c r="B536" t="s">
        <v>10</v>
      </c>
      <c r="C536" t="s">
        <v>4</v>
      </c>
      <c r="D536" s="3">
        <f t="shared" si="56"/>
        <v>67</v>
      </c>
      <c r="E536" s="4">
        <f t="shared" si="57"/>
        <v>9</v>
      </c>
      <c r="F536" s="4">
        <f t="shared" si="58"/>
        <v>7</v>
      </c>
      <c r="G536" s="3">
        <f>IF(E536&gt;=20,2000,1900) + D536</f>
        <v>1967</v>
      </c>
      <c r="H536">
        <f t="shared" si="59"/>
        <v>9</v>
      </c>
      <c r="I536" s="4">
        <f t="shared" si="60"/>
        <v>7</v>
      </c>
      <c r="J536">
        <f t="shared" si="61"/>
        <v>19670907</v>
      </c>
      <c r="K536" t="str">
        <f t="shared" si="62"/>
        <v>07.09.1967</v>
      </c>
    </row>
    <row r="537" spans="1:11" x14ac:dyDescent="0.25">
      <c r="A537" s="4" t="s">
        <v>563</v>
      </c>
      <c r="B537" t="s">
        <v>19</v>
      </c>
      <c r="C537" t="s">
        <v>4</v>
      </c>
      <c r="D537" s="3">
        <f t="shared" si="56"/>
        <v>69</v>
      </c>
      <c r="E537" s="4">
        <f t="shared" si="57"/>
        <v>12</v>
      </c>
      <c r="F537" s="4">
        <f t="shared" si="58"/>
        <v>18</v>
      </c>
      <c r="G537" s="3">
        <f>IF(E537&gt;=20,2000,1900) + D537</f>
        <v>1969</v>
      </c>
      <c r="H537">
        <f t="shared" si="59"/>
        <v>12</v>
      </c>
      <c r="I537" s="4">
        <f t="shared" si="60"/>
        <v>18</v>
      </c>
      <c r="J537">
        <f t="shared" si="61"/>
        <v>19691218</v>
      </c>
      <c r="K537" t="str">
        <f t="shared" si="62"/>
        <v>18.12.1969</v>
      </c>
    </row>
    <row r="538" spans="1:11" x14ac:dyDescent="0.25">
      <c r="A538" s="4" t="s">
        <v>564</v>
      </c>
      <c r="B538" t="s">
        <v>11</v>
      </c>
      <c r="C538" t="s">
        <v>6</v>
      </c>
      <c r="D538" s="3">
        <f t="shared" si="56"/>
        <v>95</v>
      </c>
      <c r="E538" s="4">
        <f t="shared" si="57"/>
        <v>2</v>
      </c>
      <c r="F538" s="4">
        <f t="shared" si="58"/>
        <v>21</v>
      </c>
      <c r="G538" s="3">
        <f>IF(E538&gt;=20,2000,1900) + D538</f>
        <v>1995</v>
      </c>
      <c r="H538">
        <f t="shared" si="59"/>
        <v>2</v>
      </c>
      <c r="I538" s="4">
        <f t="shared" si="60"/>
        <v>21</v>
      </c>
      <c r="J538">
        <f t="shared" si="61"/>
        <v>19950221</v>
      </c>
      <c r="K538" t="str">
        <f t="shared" si="62"/>
        <v>21.02.1995</v>
      </c>
    </row>
    <row r="539" spans="1:11" x14ac:dyDescent="0.25">
      <c r="A539" s="4" t="s">
        <v>565</v>
      </c>
      <c r="B539" t="s">
        <v>10</v>
      </c>
      <c r="C539" t="s">
        <v>6</v>
      </c>
      <c r="D539" s="3">
        <f t="shared" si="56"/>
        <v>50</v>
      </c>
      <c r="E539" s="4">
        <f t="shared" si="57"/>
        <v>12</v>
      </c>
      <c r="F539" s="4">
        <f t="shared" si="58"/>
        <v>23</v>
      </c>
      <c r="G539" s="3">
        <f>IF(E539&gt;=20,2000,1900) + D539</f>
        <v>1950</v>
      </c>
      <c r="H539">
        <f t="shared" si="59"/>
        <v>12</v>
      </c>
      <c r="I539" s="4">
        <f t="shared" si="60"/>
        <v>23</v>
      </c>
      <c r="J539">
        <f t="shared" si="61"/>
        <v>19501223</v>
      </c>
      <c r="K539" t="str">
        <f t="shared" si="62"/>
        <v>23.12.1950</v>
      </c>
    </row>
    <row r="540" spans="1:11" x14ac:dyDescent="0.25">
      <c r="A540" s="4" t="s">
        <v>566</v>
      </c>
      <c r="B540" t="s">
        <v>20</v>
      </c>
      <c r="C540" t="s">
        <v>4</v>
      </c>
      <c r="D540" s="3">
        <f t="shared" si="56"/>
        <v>64</v>
      </c>
      <c r="E540" s="4">
        <f t="shared" si="57"/>
        <v>4</v>
      </c>
      <c r="F540" s="4">
        <f t="shared" si="58"/>
        <v>8</v>
      </c>
      <c r="G540" s="3">
        <f>IF(E540&gt;=20,2000,1900) + D540</f>
        <v>1964</v>
      </c>
      <c r="H540">
        <f t="shared" si="59"/>
        <v>4</v>
      </c>
      <c r="I540" s="4">
        <f t="shared" si="60"/>
        <v>8</v>
      </c>
      <c r="J540">
        <f t="shared" si="61"/>
        <v>19640408</v>
      </c>
      <c r="K540" t="str">
        <f t="shared" si="62"/>
        <v>08.04.1964</v>
      </c>
    </row>
    <row r="541" spans="1:11" x14ac:dyDescent="0.25">
      <c r="A541" s="4" t="s">
        <v>567</v>
      </c>
      <c r="B541" t="s">
        <v>18</v>
      </c>
      <c r="C541" t="s">
        <v>4</v>
      </c>
      <c r="D541" s="3">
        <f t="shared" si="56"/>
        <v>74</v>
      </c>
      <c r="E541" s="4">
        <f t="shared" si="57"/>
        <v>11</v>
      </c>
      <c r="F541" s="4">
        <f t="shared" si="58"/>
        <v>4</v>
      </c>
      <c r="G541" s="3">
        <f>IF(E541&gt;=20,2000,1900) + D541</f>
        <v>1974</v>
      </c>
      <c r="H541">
        <f t="shared" si="59"/>
        <v>11</v>
      </c>
      <c r="I541" s="4">
        <f t="shared" si="60"/>
        <v>4</v>
      </c>
      <c r="J541">
        <f t="shared" si="61"/>
        <v>19741104</v>
      </c>
      <c r="K541" t="str">
        <f t="shared" si="62"/>
        <v>04.11.1974</v>
      </c>
    </row>
    <row r="542" spans="1:11" x14ac:dyDescent="0.25">
      <c r="A542" s="4" t="s">
        <v>568</v>
      </c>
      <c r="B542" t="s">
        <v>14</v>
      </c>
      <c r="C542" t="s">
        <v>4</v>
      </c>
      <c r="D542" s="3">
        <f t="shared" si="56"/>
        <v>95</v>
      </c>
      <c r="E542" s="4">
        <f t="shared" si="57"/>
        <v>7</v>
      </c>
      <c r="F542" s="4">
        <f t="shared" si="58"/>
        <v>1</v>
      </c>
      <c r="G542" s="3">
        <f>IF(E542&gt;=20,2000,1900) + D542</f>
        <v>1995</v>
      </c>
      <c r="H542">
        <f t="shared" si="59"/>
        <v>7</v>
      </c>
      <c r="I542" s="4">
        <f t="shared" si="60"/>
        <v>1</v>
      </c>
      <c r="J542">
        <f t="shared" si="61"/>
        <v>19950701</v>
      </c>
      <c r="K542" t="str">
        <f t="shared" si="62"/>
        <v>01.07.1995</v>
      </c>
    </row>
    <row r="543" spans="1:11" x14ac:dyDescent="0.25">
      <c r="A543" s="4" t="s">
        <v>569</v>
      </c>
      <c r="B543" t="s">
        <v>7</v>
      </c>
      <c r="C543" t="s">
        <v>6</v>
      </c>
      <c r="D543" s="3">
        <f t="shared" si="56"/>
        <v>51</v>
      </c>
      <c r="E543" s="4">
        <f t="shared" si="57"/>
        <v>4</v>
      </c>
      <c r="F543" s="4">
        <f t="shared" si="58"/>
        <v>7</v>
      </c>
      <c r="G543" s="3">
        <f>IF(E543&gt;=20,2000,1900) + D543</f>
        <v>1951</v>
      </c>
      <c r="H543">
        <f t="shared" si="59"/>
        <v>4</v>
      </c>
      <c r="I543" s="4">
        <f t="shared" si="60"/>
        <v>7</v>
      </c>
      <c r="J543">
        <f t="shared" si="61"/>
        <v>19510407</v>
      </c>
      <c r="K543" t="str">
        <f t="shared" si="62"/>
        <v>07.04.1951</v>
      </c>
    </row>
    <row r="544" spans="1:11" x14ac:dyDescent="0.25">
      <c r="A544" s="4" t="s">
        <v>570</v>
      </c>
      <c r="B544" t="s">
        <v>13</v>
      </c>
      <c r="C544" t="s">
        <v>4</v>
      </c>
      <c r="D544" s="3">
        <f t="shared" si="56"/>
        <v>68</v>
      </c>
      <c r="E544" s="4">
        <f t="shared" si="57"/>
        <v>5</v>
      </c>
      <c r="F544" s="4">
        <f t="shared" si="58"/>
        <v>3</v>
      </c>
      <c r="G544" s="3">
        <f>IF(E544&gt;=20,2000,1900) + D544</f>
        <v>1968</v>
      </c>
      <c r="H544">
        <f t="shared" si="59"/>
        <v>5</v>
      </c>
      <c r="I544" s="4">
        <f t="shared" si="60"/>
        <v>3</v>
      </c>
      <c r="J544">
        <f t="shared" si="61"/>
        <v>19680503</v>
      </c>
      <c r="K544" t="str">
        <f t="shared" si="62"/>
        <v>03.05.1968</v>
      </c>
    </row>
    <row r="545" spans="1:11" x14ac:dyDescent="0.25">
      <c r="A545" s="4" t="s">
        <v>571</v>
      </c>
      <c r="B545" t="s">
        <v>14</v>
      </c>
      <c r="C545" t="s">
        <v>4</v>
      </c>
      <c r="D545" s="3">
        <f t="shared" si="56"/>
        <v>78</v>
      </c>
      <c r="E545" s="4">
        <f t="shared" si="57"/>
        <v>1</v>
      </c>
      <c r="F545" s="4">
        <f t="shared" si="58"/>
        <v>24</v>
      </c>
      <c r="G545" s="3">
        <f>IF(E545&gt;=20,2000,1900) + D545</f>
        <v>1978</v>
      </c>
      <c r="H545">
        <f t="shared" si="59"/>
        <v>1</v>
      </c>
      <c r="I545" s="4">
        <f t="shared" si="60"/>
        <v>24</v>
      </c>
      <c r="J545">
        <f t="shared" si="61"/>
        <v>19780124</v>
      </c>
      <c r="K545" t="str">
        <f t="shared" si="62"/>
        <v>24.01.1978</v>
      </c>
    </row>
    <row r="546" spans="1:11" x14ac:dyDescent="0.25">
      <c r="A546" s="4" t="s">
        <v>572</v>
      </c>
      <c r="B546" t="s">
        <v>18</v>
      </c>
      <c r="C546" t="s">
        <v>4</v>
      </c>
      <c r="D546" s="3">
        <f t="shared" si="56"/>
        <v>85</v>
      </c>
      <c r="E546" s="4">
        <f t="shared" si="57"/>
        <v>8</v>
      </c>
      <c r="F546" s="4">
        <f t="shared" si="58"/>
        <v>2</v>
      </c>
      <c r="G546" s="3">
        <f>IF(E546&gt;=20,2000,1900) + D546</f>
        <v>1985</v>
      </c>
      <c r="H546">
        <f t="shared" si="59"/>
        <v>8</v>
      </c>
      <c r="I546" s="4">
        <f t="shared" si="60"/>
        <v>2</v>
      </c>
      <c r="J546">
        <f t="shared" si="61"/>
        <v>19850802</v>
      </c>
      <c r="K546" t="str">
        <f t="shared" si="62"/>
        <v>02.08.1985</v>
      </c>
    </row>
    <row r="547" spans="1:11" x14ac:dyDescent="0.25">
      <c r="A547" s="4" t="s">
        <v>573</v>
      </c>
      <c r="B547" t="s">
        <v>3</v>
      </c>
      <c r="C547" t="s">
        <v>4</v>
      </c>
      <c r="D547" s="3">
        <f t="shared" si="56"/>
        <v>80</v>
      </c>
      <c r="E547" s="4">
        <f t="shared" si="57"/>
        <v>11</v>
      </c>
      <c r="F547" s="4">
        <f t="shared" si="58"/>
        <v>18</v>
      </c>
      <c r="G547" s="3">
        <f>IF(E547&gt;=20,2000,1900) + D547</f>
        <v>1980</v>
      </c>
      <c r="H547">
        <f t="shared" si="59"/>
        <v>11</v>
      </c>
      <c r="I547" s="4">
        <f t="shared" si="60"/>
        <v>18</v>
      </c>
      <c r="J547">
        <f t="shared" si="61"/>
        <v>19801118</v>
      </c>
      <c r="K547" t="str">
        <f t="shared" si="62"/>
        <v>18.11.1980</v>
      </c>
    </row>
    <row r="548" spans="1:11" x14ac:dyDescent="0.25">
      <c r="A548" s="4" t="s">
        <v>574</v>
      </c>
      <c r="B548" t="s">
        <v>17</v>
      </c>
      <c r="C548" t="s">
        <v>4</v>
      </c>
      <c r="D548" s="3">
        <f t="shared" si="56"/>
        <v>64</v>
      </c>
      <c r="E548" s="4">
        <f t="shared" si="57"/>
        <v>6</v>
      </c>
      <c r="F548" s="4">
        <f t="shared" si="58"/>
        <v>2</v>
      </c>
      <c r="G548" s="3">
        <f>IF(E548&gt;=20,2000,1900) + D548</f>
        <v>1964</v>
      </c>
      <c r="H548">
        <f t="shared" si="59"/>
        <v>6</v>
      </c>
      <c r="I548" s="4">
        <f t="shared" si="60"/>
        <v>2</v>
      </c>
      <c r="J548">
        <f t="shared" si="61"/>
        <v>19640602</v>
      </c>
      <c r="K548" t="str">
        <f t="shared" si="62"/>
        <v>02.06.1964</v>
      </c>
    </row>
    <row r="549" spans="1:11" x14ac:dyDescent="0.25">
      <c r="A549" s="4" t="s">
        <v>575</v>
      </c>
      <c r="B549" t="s">
        <v>9</v>
      </c>
      <c r="C549" t="s">
        <v>6</v>
      </c>
      <c r="D549" s="3">
        <f t="shared" si="56"/>
        <v>66</v>
      </c>
      <c r="E549" s="4">
        <f t="shared" si="57"/>
        <v>11</v>
      </c>
      <c r="F549" s="4">
        <f t="shared" si="58"/>
        <v>24</v>
      </c>
      <c r="G549" s="3">
        <f>IF(E549&gt;=20,2000,1900) + D549</f>
        <v>1966</v>
      </c>
      <c r="H549">
        <f t="shared" si="59"/>
        <v>11</v>
      </c>
      <c r="I549" s="4">
        <f t="shared" si="60"/>
        <v>24</v>
      </c>
      <c r="J549">
        <f t="shared" si="61"/>
        <v>19661124</v>
      </c>
      <c r="K549" t="str">
        <f t="shared" si="62"/>
        <v>24.11.1966</v>
      </c>
    </row>
    <row r="550" spans="1:11" x14ac:dyDescent="0.25">
      <c r="A550" s="4" t="s">
        <v>576</v>
      </c>
      <c r="B550" t="s">
        <v>11</v>
      </c>
      <c r="C550" t="s">
        <v>6</v>
      </c>
      <c r="D550" s="3">
        <f t="shared" si="56"/>
        <v>95</v>
      </c>
      <c r="E550" s="4">
        <f t="shared" si="57"/>
        <v>1</v>
      </c>
      <c r="F550" s="4">
        <f t="shared" si="58"/>
        <v>5</v>
      </c>
      <c r="G550" s="3">
        <f>IF(E550&gt;=20,2000,1900) + D550</f>
        <v>1995</v>
      </c>
      <c r="H550">
        <f t="shared" si="59"/>
        <v>1</v>
      </c>
      <c r="I550" s="4">
        <f t="shared" si="60"/>
        <v>5</v>
      </c>
      <c r="J550">
        <f t="shared" si="61"/>
        <v>19950105</v>
      </c>
      <c r="K550" t="str">
        <f t="shared" si="62"/>
        <v>05.01.1995</v>
      </c>
    </row>
    <row r="551" spans="1:11" x14ac:dyDescent="0.25">
      <c r="A551" s="4" t="s">
        <v>577</v>
      </c>
      <c r="B551" t="s">
        <v>8</v>
      </c>
      <c r="C551" t="s">
        <v>6</v>
      </c>
      <c r="D551" s="3">
        <f t="shared" si="56"/>
        <v>66</v>
      </c>
      <c r="E551" s="4">
        <f t="shared" si="57"/>
        <v>9</v>
      </c>
      <c r="F551" s="4">
        <f t="shared" si="58"/>
        <v>16</v>
      </c>
      <c r="G551" s="3">
        <f>IF(E551&gt;=20,2000,1900) + D551</f>
        <v>1966</v>
      </c>
      <c r="H551">
        <f t="shared" si="59"/>
        <v>9</v>
      </c>
      <c r="I551" s="4">
        <f t="shared" si="60"/>
        <v>16</v>
      </c>
      <c r="J551">
        <f t="shared" si="61"/>
        <v>19660916</v>
      </c>
      <c r="K551" t="str">
        <f t="shared" si="62"/>
        <v>16.09.1966</v>
      </c>
    </row>
    <row r="552" spans="1:11" x14ac:dyDescent="0.25">
      <c r="A552" s="4" t="s">
        <v>578</v>
      </c>
      <c r="B552" t="s">
        <v>12</v>
      </c>
      <c r="C552" t="s">
        <v>4</v>
      </c>
      <c r="D552" s="3">
        <f t="shared" si="56"/>
        <v>60</v>
      </c>
      <c r="E552" s="4">
        <f t="shared" si="57"/>
        <v>10</v>
      </c>
      <c r="F552" s="4">
        <f t="shared" si="58"/>
        <v>13</v>
      </c>
      <c r="G552" s="3">
        <f>IF(E552&gt;=20,2000,1900) + D552</f>
        <v>1960</v>
      </c>
      <c r="H552">
        <f t="shared" si="59"/>
        <v>10</v>
      </c>
      <c r="I552" s="4">
        <f t="shared" si="60"/>
        <v>13</v>
      </c>
      <c r="J552">
        <f t="shared" si="61"/>
        <v>19601013</v>
      </c>
      <c r="K552" t="str">
        <f t="shared" si="62"/>
        <v>13.10.1960</v>
      </c>
    </row>
    <row r="553" spans="1:11" x14ac:dyDescent="0.25">
      <c r="A553" s="4" t="s">
        <v>579</v>
      </c>
      <c r="B553" t="s">
        <v>12</v>
      </c>
      <c r="C553" t="s">
        <v>4</v>
      </c>
      <c r="D553" s="3">
        <f t="shared" si="56"/>
        <v>73</v>
      </c>
      <c r="E553" s="4">
        <f t="shared" si="57"/>
        <v>11</v>
      </c>
      <c r="F553" s="4">
        <f t="shared" si="58"/>
        <v>22</v>
      </c>
      <c r="G553" s="3">
        <f>IF(E553&gt;=20,2000,1900) + D553</f>
        <v>1973</v>
      </c>
      <c r="H553">
        <f t="shared" si="59"/>
        <v>11</v>
      </c>
      <c r="I553" s="4">
        <f t="shared" si="60"/>
        <v>22</v>
      </c>
      <c r="J553">
        <f t="shared" si="61"/>
        <v>19731122</v>
      </c>
      <c r="K553" t="str">
        <f t="shared" si="62"/>
        <v>22.11.1973</v>
      </c>
    </row>
    <row r="554" spans="1:11" x14ac:dyDescent="0.25">
      <c r="A554" s="4" t="s">
        <v>580</v>
      </c>
      <c r="B554" t="s">
        <v>7</v>
      </c>
      <c r="C554" t="s">
        <v>6</v>
      </c>
      <c r="D554" s="3">
        <f t="shared" si="56"/>
        <v>77</v>
      </c>
      <c r="E554" s="4">
        <f t="shared" si="57"/>
        <v>10</v>
      </c>
      <c r="F554" s="4">
        <f t="shared" si="58"/>
        <v>4</v>
      </c>
      <c r="G554" s="3">
        <f>IF(E554&gt;=20,2000,1900) + D554</f>
        <v>1977</v>
      </c>
      <c r="H554">
        <f t="shared" si="59"/>
        <v>10</v>
      </c>
      <c r="I554" s="4">
        <f t="shared" si="60"/>
        <v>4</v>
      </c>
      <c r="J554">
        <f t="shared" si="61"/>
        <v>19771004</v>
      </c>
      <c r="K554" t="str">
        <f t="shared" si="62"/>
        <v>04.10.1977</v>
      </c>
    </row>
    <row r="555" spans="1:11" x14ac:dyDescent="0.25">
      <c r="A555" s="4" t="s">
        <v>581</v>
      </c>
      <c r="B555" t="s">
        <v>9</v>
      </c>
      <c r="C555" t="s">
        <v>6</v>
      </c>
      <c r="D555" s="3">
        <f t="shared" si="56"/>
        <v>98</v>
      </c>
      <c r="E555" s="4">
        <f t="shared" si="57"/>
        <v>9</v>
      </c>
      <c r="F555" s="4">
        <f t="shared" si="58"/>
        <v>16</v>
      </c>
      <c r="G555" s="3">
        <f>IF(E555&gt;=20,2000,1900) + D555</f>
        <v>1998</v>
      </c>
      <c r="H555">
        <f t="shared" si="59"/>
        <v>9</v>
      </c>
      <c r="I555" s="4">
        <f t="shared" si="60"/>
        <v>16</v>
      </c>
      <c r="J555">
        <f t="shared" si="61"/>
        <v>19980916</v>
      </c>
      <c r="K555" t="str">
        <f t="shared" si="62"/>
        <v>16.09.1998</v>
      </c>
    </row>
    <row r="556" spans="1:11" x14ac:dyDescent="0.25">
      <c r="A556" s="4" t="s">
        <v>582</v>
      </c>
      <c r="B556" t="s">
        <v>16</v>
      </c>
      <c r="C556" t="s">
        <v>6</v>
      </c>
      <c r="D556" s="3">
        <f t="shared" si="56"/>
        <v>67</v>
      </c>
      <c r="E556" s="4">
        <f t="shared" si="57"/>
        <v>9</v>
      </c>
      <c r="F556" s="4">
        <f t="shared" si="58"/>
        <v>14</v>
      </c>
      <c r="G556" s="3">
        <f>IF(E556&gt;=20,2000,1900) + D556</f>
        <v>1967</v>
      </c>
      <c r="H556">
        <f t="shared" si="59"/>
        <v>9</v>
      </c>
      <c r="I556" s="4">
        <f t="shared" si="60"/>
        <v>14</v>
      </c>
      <c r="J556">
        <f t="shared" si="61"/>
        <v>19670914</v>
      </c>
      <c r="K556" t="str">
        <f t="shared" si="62"/>
        <v>14.09.1967</v>
      </c>
    </row>
    <row r="557" spans="1:11" x14ac:dyDescent="0.25">
      <c r="A557" s="4" t="s">
        <v>583</v>
      </c>
      <c r="B557" t="s">
        <v>5</v>
      </c>
      <c r="C557" t="s">
        <v>6</v>
      </c>
      <c r="D557" s="3">
        <f t="shared" si="56"/>
        <v>75</v>
      </c>
      <c r="E557" s="4">
        <f t="shared" si="57"/>
        <v>5</v>
      </c>
      <c r="F557" s="4">
        <f t="shared" si="58"/>
        <v>24</v>
      </c>
      <c r="G557" s="3">
        <f>IF(E557&gt;=20,2000,1900) + D557</f>
        <v>1975</v>
      </c>
      <c r="H557">
        <f t="shared" si="59"/>
        <v>5</v>
      </c>
      <c r="I557" s="4">
        <f t="shared" si="60"/>
        <v>24</v>
      </c>
      <c r="J557">
        <f t="shared" si="61"/>
        <v>19750524</v>
      </c>
      <c r="K557" t="str">
        <f t="shared" si="62"/>
        <v>24.05.1975</v>
      </c>
    </row>
    <row r="558" spans="1:11" x14ac:dyDescent="0.25">
      <c r="A558" s="4" t="s">
        <v>584</v>
      </c>
      <c r="B558" t="s">
        <v>18</v>
      </c>
      <c r="C558" t="s">
        <v>4</v>
      </c>
      <c r="D558" s="3">
        <f t="shared" si="56"/>
        <v>93</v>
      </c>
      <c r="E558" s="4">
        <f t="shared" si="57"/>
        <v>4</v>
      </c>
      <c r="F558" s="4">
        <f t="shared" si="58"/>
        <v>20</v>
      </c>
      <c r="G558" s="3">
        <f>IF(E558&gt;=20,2000,1900) + D558</f>
        <v>1993</v>
      </c>
      <c r="H558">
        <f t="shared" si="59"/>
        <v>4</v>
      </c>
      <c r="I558" s="4">
        <f t="shared" si="60"/>
        <v>20</v>
      </c>
      <c r="J558">
        <f t="shared" si="61"/>
        <v>19930420</v>
      </c>
      <c r="K558" t="str">
        <f t="shared" si="62"/>
        <v>20.04.1993</v>
      </c>
    </row>
    <row r="559" spans="1:11" x14ac:dyDescent="0.25">
      <c r="A559" s="4" t="s">
        <v>585</v>
      </c>
      <c r="B559" t="s">
        <v>20</v>
      </c>
      <c r="C559" t="s">
        <v>6</v>
      </c>
      <c r="D559" s="3">
        <f t="shared" si="56"/>
        <v>58</v>
      </c>
      <c r="E559" s="4">
        <f t="shared" si="57"/>
        <v>1</v>
      </c>
      <c r="F559" s="4">
        <f t="shared" si="58"/>
        <v>14</v>
      </c>
      <c r="G559" s="3">
        <f>IF(E559&gt;=20,2000,1900) + D559</f>
        <v>1958</v>
      </c>
      <c r="H559">
        <f t="shared" si="59"/>
        <v>1</v>
      </c>
      <c r="I559" s="4">
        <f t="shared" si="60"/>
        <v>14</v>
      </c>
      <c r="J559">
        <f t="shared" si="61"/>
        <v>19580114</v>
      </c>
      <c r="K559" t="str">
        <f t="shared" si="62"/>
        <v>14.01.1958</v>
      </c>
    </row>
    <row r="560" spans="1:11" x14ac:dyDescent="0.25">
      <c r="A560" s="4" t="s">
        <v>586</v>
      </c>
      <c r="B560" t="s">
        <v>17</v>
      </c>
      <c r="C560" t="s">
        <v>4</v>
      </c>
      <c r="D560" s="3">
        <f t="shared" si="56"/>
        <v>61</v>
      </c>
      <c r="E560" s="4">
        <f t="shared" si="57"/>
        <v>1</v>
      </c>
      <c r="F560" s="4">
        <f t="shared" si="58"/>
        <v>9</v>
      </c>
      <c r="G560" s="3">
        <f>IF(E560&gt;=20,2000,1900) + D560</f>
        <v>1961</v>
      </c>
      <c r="H560">
        <f t="shared" si="59"/>
        <v>1</v>
      </c>
      <c r="I560" s="4">
        <f t="shared" si="60"/>
        <v>9</v>
      </c>
      <c r="J560">
        <f t="shared" si="61"/>
        <v>19610109</v>
      </c>
      <c r="K560" t="str">
        <f t="shared" si="62"/>
        <v>09.01.1961</v>
      </c>
    </row>
    <row r="561" spans="1:11" x14ac:dyDescent="0.25">
      <c r="A561" s="4" t="s">
        <v>587</v>
      </c>
      <c r="B561" t="s">
        <v>20</v>
      </c>
      <c r="C561" t="s">
        <v>4</v>
      </c>
      <c r="D561" s="3">
        <f t="shared" si="56"/>
        <v>59</v>
      </c>
      <c r="E561" s="4">
        <f t="shared" si="57"/>
        <v>2</v>
      </c>
      <c r="F561" s="4">
        <f t="shared" si="58"/>
        <v>1</v>
      </c>
      <c r="G561" s="3">
        <f>IF(E561&gt;=20,2000,1900) + D561</f>
        <v>1959</v>
      </c>
      <c r="H561">
        <f t="shared" si="59"/>
        <v>2</v>
      </c>
      <c r="I561" s="4">
        <f t="shared" si="60"/>
        <v>1</v>
      </c>
      <c r="J561">
        <f t="shared" si="61"/>
        <v>19590201</v>
      </c>
      <c r="K561" t="str">
        <f t="shared" si="62"/>
        <v>01.02.1959</v>
      </c>
    </row>
    <row r="562" spans="1:11" x14ac:dyDescent="0.25">
      <c r="A562" s="4" t="s">
        <v>588</v>
      </c>
      <c r="B562" t="s">
        <v>10</v>
      </c>
      <c r="C562" t="s">
        <v>6</v>
      </c>
      <c r="D562" s="3">
        <f t="shared" si="56"/>
        <v>85</v>
      </c>
      <c r="E562" s="4">
        <f t="shared" si="57"/>
        <v>1</v>
      </c>
      <c r="F562" s="4">
        <f t="shared" si="58"/>
        <v>20</v>
      </c>
      <c r="G562" s="3">
        <f>IF(E562&gt;=20,2000,1900) + D562</f>
        <v>1985</v>
      </c>
      <c r="H562">
        <f t="shared" si="59"/>
        <v>1</v>
      </c>
      <c r="I562" s="4">
        <f t="shared" si="60"/>
        <v>20</v>
      </c>
      <c r="J562">
        <f t="shared" si="61"/>
        <v>19850120</v>
      </c>
      <c r="K562" t="str">
        <f t="shared" si="62"/>
        <v>20.01.1985</v>
      </c>
    </row>
    <row r="563" spans="1:11" x14ac:dyDescent="0.25">
      <c r="A563" s="4" t="s">
        <v>589</v>
      </c>
      <c r="B563" t="s">
        <v>14</v>
      </c>
      <c r="C563" t="s">
        <v>6</v>
      </c>
      <c r="D563" s="3">
        <f t="shared" si="56"/>
        <v>89</v>
      </c>
      <c r="E563" s="4">
        <f t="shared" si="57"/>
        <v>2</v>
      </c>
      <c r="F563" s="4">
        <f t="shared" si="58"/>
        <v>13</v>
      </c>
      <c r="G563" s="3">
        <f>IF(E563&gt;=20,2000,1900) + D563</f>
        <v>1989</v>
      </c>
      <c r="H563">
        <f t="shared" si="59"/>
        <v>2</v>
      </c>
      <c r="I563" s="4">
        <f t="shared" si="60"/>
        <v>13</v>
      </c>
      <c r="J563">
        <f t="shared" si="61"/>
        <v>19890213</v>
      </c>
      <c r="K563" t="str">
        <f t="shared" si="62"/>
        <v>13.02.1989</v>
      </c>
    </row>
    <row r="564" spans="1:11" x14ac:dyDescent="0.25">
      <c r="A564" s="4" t="s">
        <v>590</v>
      </c>
      <c r="B564" t="s">
        <v>15</v>
      </c>
      <c r="C564" t="s">
        <v>4</v>
      </c>
      <c r="D564" s="3">
        <f t="shared" si="56"/>
        <v>65</v>
      </c>
      <c r="E564" s="4">
        <f t="shared" si="57"/>
        <v>9</v>
      </c>
      <c r="F564" s="4">
        <f t="shared" si="58"/>
        <v>24</v>
      </c>
      <c r="G564" s="3">
        <f>IF(E564&gt;=20,2000,1900) + D564</f>
        <v>1965</v>
      </c>
      <c r="H564">
        <f t="shared" si="59"/>
        <v>9</v>
      </c>
      <c r="I564" s="4">
        <f t="shared" si="60"/>
        <v>24</v>
      </c>
      <c r="J564">
        <f t="shared" si="61"/>
        <v>19650924</v>
      </c>
      <c r="K564" t="str">
        <f t="shared" si="62"/>
        <v>24.09.1965</v>
      </c>
    </row>
    <row r="565" spans="1:11" x14ac:dyDescent="0.25">
      <c r="A565" s="4" t="s">
        <v>591</v>
      </c>
      <c r="B565" t="s">
        <v>12</v>
      </c>
      <c r="C565" t="s">
        <v>6</v>
      </c>
      <c r="D565" s="3">
        <f t="shared" si="56"/>
        <v>69</v>
      </c>
      <c r="E565" s="4">
        <f t="shared" si="57"/>
        <v>7</v>
      </c>
      <c r="F565" s="4">
        <f t="shared" si="58"/>
        <v>23</v>
      </c>
      <c r="G565" s="3">
        <f>IF(E565&gt;=20,2000,1900) + D565</f>
        <v>1969</v>
      </c>
      <c r="H565">
        <f t="shared" si="59"/>
        <v>7</v>
      </c>
      <c r="I565" s="4">
        <f t="shared" si="60"/>
        <v>23</v>
      </c>
      <c r="J565">
        <f t="shared" si="61"/>
        <v>19690723</v>
      </c>
      <c r="K565" t="str">
        <f t="shared" si="62"/>
        <v>23.07.1969</v>
      </c>
    </row>
    <row r="566" spans="1:11" x14ac:dyDescent="0.25">
      <c r="A566" s="4" t="s">
        <v>592</v>
      </c>
      <c r="B566" t="s">
        <v>9</v>
      </c>
      <c r="C566" t="s">
        <v>4</v>
      </c>
      <c r="D566" s="3">
        <f t="shared" si="56"/>
        <v>80</v>
      </c>
      <c r="E566" s="4">
        <f t="shared" si="57"/>
        <v>10</v>
      </c>
      <c r="F566" s="4">
        <f t="shared" si="58"/>
        <v>14</v>
      </c>
      <c r="G566" s="3">
        <f>IF(E566&gt;=20,2000,1900) + D566</f>
        <v>1980</v>
      </c>
      <c r="H566">
        <f t="shared" si="59"/>
        <v>10</v>
      </c>
      <c r="I566" s="4">
        <f t="shared" si="60"/>
        <v>14</v>
      </c>
      <c r="J566">
        <f t="shared" si="61"/>
        <v>19801014</v>
      </c>
      <c r="K566" t="str">
        <f t="shared" si="62"/>
        <v>14.10.1980</v>
      </c>
    </row>
    <row r="567" spans="1:11" x14ac:dyDescent="0.25">
      <c r="A567" s="4" t="s">
        <v>593</v>
      </c>
      <c r="B567" t="s">
        <v>18</v>
      </c>
      <c r="C567" t="s">
        <v>6</v>
      </c>
      <c r="D567" s="3">
        <f t="shared" si="56"/>
        <v>74</v>
      </c>
      <c r="E567" s="4">
        <f t="shared" si="57"/>
        <v>4</v>
      </c>
      <c r="F567" s="4">
        <f t="shared" si="58"/>
        <v>11</v>
      </c>
      <c r="G567" s="3">
        <f>IF(E567&gt;=20,2000,1900) + D567</f>
        <v>1974</v>
      </c>
      <c r="H567">
        <f t="shared" si="59"/>
        <v>4</v>
      </c>
      <c r="I567" s="4">
        <f t="shared" si="60"/>
        <v>11</v>
      </c>
      <c r="J567">
        <f t="shared" si="61"/>
        <v>19740411</v>
      </c>
      <c r="K567" t="str">
        <f t="shared" si="62"/>
        <v>11.04.1974</v>
      </c>
    </row>
    <row r="568" spans="1:11" x14ac:dyDescent="0.25">
      <c r="A568" s="4" t="s">
        <v>594</v>
      </c>
      <c r="B568" t="s">
        <v>11</v>
      </c>
      <c r="C568" t="s">
        <v>6</v>
      </c>
      <c r="D568" s="3">
        <f t="shared" si="56"/>
        <v>95</v>
      </c>
      <c r="E568" s="4">
        <f t="shared" si="57"/>
        <v>3</v>
      </c>
      <c r="F568" s="4">
        <f t="shared" si="58"/>
        <v>3</v>
      </c>
      <c r="G568" s="3">
        <f>IF(E568&gt;=20,2000,1900) + D568</f>
        <v>1995</v>
      </c>
      <c r="H568">
        <f t="shared" si="59"/>
        <v>3</v>
      </c>
      <c r="I568" s="4">
        <f t="shared" si="60"/>
        <v>3</v>
      </c>
      <c r="J568">
        <f t="shared" si="61"/>
        <v>19950303</v>
      </c>
      <c r="K568" t="str">
        <f t="shared" si="62"/>
        <v>03.03.1995</v>
      </c>
    </row>
    <row r="569" spans="1:11" x14ac:dyDescent="0.25">
      <c r="A569" s="4" t="s">
        <v>595</v>
      </c>
      <c r="B569" t="s">
        <v>9</v>
      </c>
      <c r="C569" t="s">
        <v>6</v>
      </c>
      <c r="D569" s="3">
        <f t="shared" si="56"/>
        <v>84</v>
      </c>
      <c r="E569" s="4">
        <f t="shared" si="57"/>
        <v>8</v>
      </c>
      <c r="F569" s="4">
        <f t="shared" si="58"/>
        <v>31</v>
      </c>
      <c r="G569" s="3">
        <f>IF(E569&gt;=20,2000,1900) + D569</f>
        <v>1984</v>
      </c>
      <c r="H569">
        <f t="shared" si="59"/>
        <v>8</v>
      </c>
      <c r="I569" s="4">
        <f t="shared" si="60"/>
        <v>31</v>
      </c>
      <c r="J569">
        <f t="shared" si="61"/>
        <v>19840831</v>
      </c>
      <c r="K569" t="str">
        <f t="shared" si="62"/>
        <v>31.08.1984</v>
      </c>
    </row>
    <row r="570" spans="1:11" x14ac:dyDescent="0.25">
      <c r="A570" s="4" t="s">
        <v>596</v>
      </c>
      <c r="B570" t="s">
        <v>20</v>
      </c>
      <c r="C570" t="s">
        <v>6</v>
      </c>
      <c r="D570" s="3">
        <f t="shared" si="56"/>
        <v>81</v>
      </c>
      <c r="E570" s="4">
        <f t="shared" si="57"/>
        <v>8</v>
      </c>
      <c r="F570" s="4">
        <f t="shared" si="58"/>
        <v>27</v>
      </c>
      <c r="G570" s="3">
        <f>IF(E570&gt;=20,2000,1900) + D570</f>
        <v>1981</v>
      </c>
      <c r="H570">
        <f t="shared" si="59"/>
        <v>8</v>
      </c>
      <c r="I570" s="4">
        <f t="shared" si="60"/>
        <v>27</v>
      </c>
      <c r="J570">
        <f t="shared" si="61"/>
        <v>19810827</v>
      </c>
      <c r="K570" t="str">
        <f t="shared" si="62"/>
        <v>27.08.1981</v>
      </c>
    </row>
    <row r="571" spans="1:11" x14ac:dyDescent="0.25">
      <c r="A571" s="4" t="s">
        <v>597</v>
      </c>
      <c r="B571" t="s">
        <v>16</v>
      </c>
      <c r="C571" t="s">
        <v>6</v>
      </c>
      <c r="D571" s="3">
        <f t="shared" si="56"/>
        <v>64</v>
      </c>
      <c r="E571" s="4">
        <f t="shared" si="57"/>
        <v>6</v>
      </c>
      <c r="F571" s="4">
        <f t="shared" si="58"/>
        <v>14</v>
      </c>
      <c r="G571" s="3">
        <f>IF(E571&gt;=20,2000,1900) + D571</f>
        <v>1964</v>
      </c>
      <c r="H571">
        <f t="shared" si="59"/>
        <v>6</v>
      </c>
      <c r="I571" s="4">
        <f t="shared" si="60"/>
        <v>14</v>
      </c>
      <c r="J571">
        <f t="shared" si="61"/>
        <v>19640614</v>
      </c>
      <c r="K571" t="str">
        <f t="shared" si="62"/>
        <v>14.06.1964</v>
      </c>
    </row>
    <row r="572" spans="1:11" x14ac:dyDescent="0.25">
      <c r="A572" s="4" t="s">
        <v>598</v>
      </c>
      <c r="B572" t="s">
        <v>11</v>
      </c>
      <c r="C572" t="s">
        <v>6</v>
      </c>
      <c r="D572" s="3">
        <f t="shared" si="56"/>
        <v>96</v>
      </c>
      <c r="E572" s="4">
        <f t="shared" si="57"/>
        <v>9</v>
      </c>
      <c r="F572" s="4">
        <f t="shared" si="58"/>
        <v>13</v>
      </c>
      <c r="G572" s="3">
        <f>IF(E572&gt;=20,2000,1900) + D572</f>
        <v>1996</v>
      </c>
      <c r="H572">
        <f t="shared" si="59"/>
        <v>9</v>
      </c>
      <c r="I572" s="4">
        <f t="shared" si="60"/>
        <v>13</v>
      </c>
      <c r="J572">
        <f t="shared" si="61"/>
        <v>19960913</v>
      </c>
      <c r="K572" t="str">
        <f t="shared" si="62"/>
        <v>13.09.1996</v>
      </c>
    </row>
    <row r="573" spans="1:11" x14ac:dyDescent="0.25">
      <c r="A573" s="4" t="s">
        <v>599</v>
      </c>
      <c r="B573" t="s">
        <v>13</v>
      </c>
      <c r="C573" t="s">
        <v>6</v>
      </c>
      <c r="D573" s="3">
        <f t="shared" si="56"/>
        <v>84</v>
      </c>
      <c r="E573" s="4">
        <f t="shared" si="57"/>
        <v>4</v>
      </c>
      <c r="F573" s="4">
        <f t="shared" si="58"/>
        <v>16</v>
      </c>
      <c r="G573" s="3">
        <f>IF(E573&gt;=20,2000,1900) + D573</f>
        <v>1984</v>
      </c>
      <c r="H573">
        <f t="shared" si="59"/>
        <v>4</v>
      </c>
      <c r="I573" s="4">
        <f t="shared" si="60"/>
        <v>16</v>
      </c>
      <c r="J573">
        <f t="shared" si="61"/>
        <v>19840416</v>
      </c>
      <c r="K573" t="str">
        <f t="shared" si="62"/>
        <v>16.04.1984</v>
      </c>
    </row>
    <row r="574" spans="1:11" x14ac:dyDescent="0.25">
      <c r="A574" s="4" t="s">
        <v>600</v>
      </c>
      <c r="B574" t="s">
        <v>15</v>
      </c>
      <c r="C574" t="s">
        <v>6</v>
      </c>
      <c r="D574" s="3">
        <f t="shared" si="56"/>
        <v>94</v>
      </c>
      <c r="E574" s="4">
        <f t="shared" si="57"/>
        <v>11</v>
      </c>
      <c r="F574" s="4">
        <f t="shared" si="58"/>
        <v>30</v>
      </c>
      <c r="G574" s="3">
        <f>IF(E574&gt;=20,2000,1900) + D574</f>
        <v>1994</v>
      </c>
      <c r="H574">
        <f t="shared" si="59"/>
        <v>11</v>
      </c>
      <c r="I574" s="4">
        <f t="shared" si="60"/>
        <v>30</v>
      </c>
      <c r="J574">
        <f t="shared" si="61"/>
        <v>19941130</v>
      </c>
      <c r="K574" t="str">
        <f t="shared" si="62"/>
        <v>30.11.1994</v>
      </c>
    </row>
    <row r="575" spans="1:11" x14ac:dyDescent="0.25">
      <c r="A575" s="4" t="s">
        <v>601</v>
      </c>
      <c r="B575" t="s">
        <v>15</v>
      </c>
      <c r="C575" t="s">
        <v>4</v>
      </c>
      <c r="D575" s="3">
        <f t="shared" si="56"/>
        <v>53</v>
      </c>
      <c r="E575" s="4">
        <f t="shared" si="57"/>
        <v>10</v>
      </c>
      <c r="F575" s="4">
        <f t="shared" si="58"/>
        <v>1</v>
      </c>
      <c r="G575" s="3">
        <f>IF(E575&gt;=20,2000,1900) + D575</f>
        <v>1953</v>
      </c>
      <c r="H575">
        <f t="shared" si="59"/>
        <v>10</v>
      </c>
      <c r="I575" s="4">
        <f t="shared" si="60"/>
        <v>1</v>
      </c>
      <c r="J575">
        <f t="shared" si="61"/>
        <v>19531001</v>
      </c>
      <c r="K575" t="str">
        <f t="shared" si="62"/>
        <v>01.10.1953</v>
      </c>
    </row>
    <row r="576" spans="1:11" x14ac:dyDescent="0.25">
      <c r="A576" s="4" t="s">
        <v>602</v>
      </c>
      <c r="B576" t="s">
        <v>15</v>
      </c>
      <c r="C576" t="s">
        <v>4</v>
      </c>
      <c r="D576" s="3">
        <f t="shared" si="56"/>
        <v>81</v>
      </c>
      <c r="E576" s="4">
        <f t="shared" si="57"/>
        <v>10</v>
      </c>
      <c r="F576" s="4">
        <f t="shared" si="58"/>
        <v>29</v>
      </c>
      <c r="G576" s="3">
        <f>IF(E576&gt;=20,2000,1900) + D576</f>
        <v>1981</v>
      </c>
      <c r="H576">
        <f t="shared" si="59"/>
        <v>10</v>
      </c>
      <c r="I576" s="4">
        <f t="shared" si="60"/>
        <v>29</v>
      </c>
      <c r="J576">
        <f t="shared" si="61"/>
        <v>19811029</v>
      </c>
      <c r="K576" t="str">
        <f t="shared" si="62"/>
        <v>29.10.1981</v>
      </c>
    </row>
    <row r="577" spans="1:11" x14ac:dyDescent="0.25">
      <c r="A577" s="4" t="s">
        <v>603</v>
      </c>
      <c r="B577" t="s">
        <v>18</v>
      </c>
      <c r="C577" t="s">
        <v>6</v>
      </c>
      <c r="D577" s="3">
        <f t="shared" si="56"/>
        <v>91</v>
      </c>
      <c r="E577" s="4">
        <f t="shared" si="57"/>
        <v>2</v>
      </c>
      <c r="F577" s="4">
        <f t="shared" si="58"/>
        <v>3</v>
      </c>
      <c r="G577" s="3">
        <f>IF(E577&gt;=20,2000,1900) + D577</f>
        <v>1991</v>
      </c>
      <c r="H577">
        <f t="shared" si="59"/>
        <v>2</v>
      </c>
      <c r="I577" s="4">
        <f t="shared" si="60"/>
        <v>3</v>
      </c>
      <c r="J577">
        <f t="shared" si="61"/>
        <v>19910203</v>
      </c>
      <c r="K577" t="str">
        <f t="shared" si="62"/>
        <v>03.02.1991</v>
      </c>
    </row>
    <row r="578" spans="1:11" x14ac:dyDescent="0.25">
      <c r="A578" s="4" t="s">
        <v>604</v>
      </c>
      <c r="B578" t="s">
        <v>16</v>
      </c>
      <c r="C578" t="s">
        <v>4</v>
      </c>
      <c r="D578" s="3">
        <f t="shared" si="56"/>
        <v>86</v>
      </c>
      <c r="E578" s="4">
        <f t="shared" si="57"/>
        <v>1</v>
      </c>
      <c r="F578" s="4">
        <f t="shared" si="58"/>
        <v>29</v>
      </c>
      <c r="G578" s="3">
        <f>IF(E578&gt;=20,2000,1900) + D578</f>
        <v>1986</v>
      </c>
      <c r="H578">
        <f t="shared" si="59"/>
        <v>1</v>
      </c>
      <c r="I578" s="4">
        <f t="shared" si="60"/>
        <v>29</v>
      </c>
      <c r="J578">
        <f t="shared" si="61"/>
        <v>19860129</v>
      </c>
      <c r="K578" t="str">
        <f t="shared" si="62"/>
        <v>29.01.1986</v>
      </c>
    </row>
    <row r="579" spans="1:11" x14ac:dyDescent="0.25">
      <c r="A579" s="4" t="s">
        <v>605</v>
      </c>
      <c r="B579" t="s">
        <v>10</v>
      </c>
      <c r="C579" t="s">
        <v>6</v>
      </c>
      <c r="D579" s="3">
        <f t="shared" ref="D579:D642" si="63">MID(A579,1,2)*1</f>
        <v>95</v>
      </c>
      <c r="E579" s="4">
        <f t="shared" ref="E579:E642" si="64">MID(A579,3,2)*1</f>
        <v>1</v>
      </c>
      <c r="F579" s="4">
        <f t="shared" ref="F579:F642" si="65">MID(A579,5,2)*1</f>
        <v>12</v>
      </c>
      <c r="G579" s="3">
        <f>IF(E579&gt;=20,2000,1900) + D579</f>
        <v>1995</v>
      </c>
      <c r="H579">
        <f t="shared" ref="H579:H642" si="66">IF(E579&gt;=20,E579-20,E579)</f>
        <v>1</v>
      </c>
      <c r="I579" s="4">
        <f t="shared" ref="I579:I642" si="67">F579</f>
        <v>12</v>
      </c>
      <c r="J579">
        <f t="shared" ref="J579:J642" si="68">CONCATENATE(G579,IF(LEN(E579)=1,CONCATENATE("0",E579),E579),IF(LEN(F579)=1,CONCATENATE("0",F579),F579))*1</f>
        <v>19950112</v>
      </c>
      <c r="K579" t="str">
        <f t="shared" ref="K579:K642" si="69">CONCATENATE(RIGHT(J579,2),".",MID(J579,5,2),".",LEFT(J579,4))</f>
        <v>12.01.1995</v>
      </c>
    </row>
    <row r="580" spans="1:11" x14ac:dyDescent="0.25">
      <c r="A580" s="4" t="s">
        <v>606</v>
      </c>
      <c r="B580" t="s">
        <v>19</v>
      </c>
      <c r="C580" t="s">
        <v>4</v>
      </c>
      <c r="D580" s="3">
        <f t="shared" si="63"/>
        <v>63</v>
      </c>
      <c r="E580" s="4">
        <f t="shared" si="64"/>
        <v>6</v>
      </c>
      <c r="F580" s="4">
        <f t="shared" si="65"/>
        <v>5</v>
      </c>
      <c r="G580" s="3">
        <f>IF(E580&gt;=20,2000,1900) + D580</f>
        <v>1963</v>
      </c>
      <c r="H580">
        <f t="shared" si="66"/>
        <v>6</v>
      </c>
      <c r="I580" s="4">
        <f t="shared" si="67"/>
        <v>5</v>
      </c>
      <c r="J580">
        <f t="shared" si="68"/>
        <v>19630605</v>
      </c>
      <c r="K580" t="str">
        <f t="shared" si="69"/>
        <v>05.06.1963</v>
      </c>
    </row>
    <row r="581" spans="1:11" x14ac:dyDescent="0.25">
      <c r="A581" s="4" t="s">
        <v>607</v>
      </c>
      <c r="B581" t="s">
        <v>13</v>
      </c>
      <c r="C581" t="s">
        <v>4</v>
      </c>
      <c r="D581" s="3">
        <f t="shared" si="63"/>
        <v>73</v>
      </c>
      <c r="E581" s="4">
        <f t="shared" si="64"/>
        <v>5</v>
      </c>
      <c r="F581" s="4">
        <f t="shared" si="65"/>
        <v>22</v>
      </c>
      <c r="G581" s="3">
        <f>IF(E581&gt;=20,2000,1900) + D581</f>
        <v>1973</v>
      </c>
      <c r="H581">
        <f t="shared" si="66"/>
        <v>5</v>
      </c>
      <c r="I581" s="4">
        <f t="shared" si="67"/>
        <v>22</v>
      </c>
      <c r="J581">
        <f t="shared" si="68"/>
        <v>19730522</v>
      </c>
      <c r="K581" t="str">
        <f t="shared" si="69"/>
        <v>22.05.1973</v>
      </c>
    </row>
    <row r="582" spans="1:11" x14ac:dyDescent="0.25">
      <c r="A582" s="4" t="s">
        <v>608</v>
      </c>
      <c r="B582" t="s">
        <v>8</v>
      </c>
      <c r="C582" t="s">
        <v>4</v>
      </c>
      <c r="D582" s="3">
        <f t="shared" si="63"/>
        <v>57</v>
      </c>
      <c r="E582" s="4">
        <f t="shared" si="64"/>
        <v>2</v>
      </c>
      <c r="F582" s="4">
        <f t="shared" si="65"/>
        <v>24</v>
      </c>
      <c r="G582" s="3">
        <f>IF(E582&gt;=20,2000,1900) + D582</f>
        <v>1957</v>
      </c>
      <c r="H582">
        <f t="shared" si="66"/>
        <v>2</v>
      </c>
      <c r="I582" s="4">
        <f t="shared" si="67"/>
        <v>24</v>
      </c>
      <c r="J582">
        <f t="shared" si="68"/>
        <v>19570224</v>
      </c>
      <c r="K582" t="str">
        <f t="shared" si="69"/>
        <v>24.02.1957</v>
      </c>
    </row>
    <row r="583" spans="1:11" x14ac:dyDescent="0.25">
      <c r="A583" s="4" t="s">
        <v>609</v>
      </c>
      <c r="B583" t="s">
        <v>18</v>
      </c>
      <c r="C583" t="s">
        <v>6</v>
      </c>
      <c r="D583" s="3">
        <f t="shared" si="63"/>
        <v>50</v>
      </c>
      <c r="E583" s="4">
        <f t="shared" si="64"/>
        <v>9</v>
      </c>
      <c r="F583" s="4">
        <f t="shared" si="65"/>
        <v>17</v>
      </c>
      <c r="G583" s="3">
        <f>IF(E583&gt;=20,2000,1900) + D583</f>
        <v>1950</v>
      </c>
      <c r="H583">
        <f t="shared" si="66"/>
        <v>9</v>
      </c>
      <c r="I583" s="4">
        <f t="shared" si="67"/>
        <v>17</v>
      </c>
      <c r="J583">
        <f t="shared" si="68"/>
        <v>19500917</v>
      </c>
      <c r="K583" t="str">
        <f t="shared" si="69"/>
        <v>17.09.1950</v>
      </c>
    </row>
    <row r="584" spans="1:11" x14ac:dyDescent="0.25">
      <c r="A584" s="4" t="s">
        <v>610</v>
      </c>
      <c r="B584" t="s">
        <v>18</v>
      </c>
      <c r="C584" t="s">
        <v>4</v>
      </c>
      <c r="D584" s="3">
        <f t="shared" si="63"/>
        <v>68</v>
      </c>
      <c r="E584" s="4">
        <f t="shared" si="64"/>
        <v>5</v>
      </c>
      <c r="F584" s="4">
        <f t="shared" si="65"/>
        <v>20</v>
      </c>
      <c r="G584" s="3">
        <f>IF(E584&gt;=20,2000,1900) + D584</f>
        <v>1968</v>
      </c>
      <c r="H584">
        <f t="shared" si="66"/>
        <v>5</v>
      </c>
      <c r="I584" s="4">
        <f t="shared" si="67"/>
        <v>20</v>
      </c>
      <c r="J584">
        <f t="shared" si="68"/>
        <v>19680520</v>
      </c>
      <c r="K584" t="str">
        <f t="shared" si="69"/>
        <v>20.05.1968</v>
      </c>
    </row>
    <row r="585" spans="1:11" x14ac:dyDescent="0.25">
      <c r="A585" s="4" t="s">
        <v>611</v>
      </c>
      <c r="B585" t="s">
        <v>15</v>
      </c>
      <c r="C585" t="s">
        <v>4</v>
      </c>
      <c r="D585" s="3">
        <f t="shared" si="63"/>
        <v>84</v>
      </c>
      <c r="E585" s="4">
        <f t="shared" si="64"/>
        <v>6</v>
      </c>
      <c r="F585" s="4">
        <f t="shared" si="65"/>
        <v>10</v>
      </c>
      <c r="G585" s="3">
        <f>IF(E585&gt;=20,2000,1900) + D585</f>
        <v>1984</v>
      </c>
      <c r="H585">
        <f t="shared" si="66"/>
        <v>6</v>
      </c>
      <c r="I585" s="4">
        <f t="shared" si="67"/>
        <v>10</v>
      </c>
      <c r="J585">
        <f t="shared" si="68"/>
        <v>19840610</v>
      </c>
      <c r="K585" t="str">
        <f t="shared" si="69"/>
        <v>10.06.1984</v>
      </c>
    </row>
    <row r="586" spans="1:11" x14ac:dyDescent="0.25">
      <c r="A586" s="4" t="s">
        <v>612</v>
      </c>
      <c r="B586" t="s">
        <v>17</v>
      </c>
      <c r="C586" t="s">
        <v>6</v>
      </c>
      <c r="D586" s="3">
        <f t="shared" si="63"/>
        <v>77</v>
      </c>
      <c r="E586" s="4">
        <f t="shared" si="64"/>
        <v>4</v>
      </c>
      <c r="F586" s="4">
        <f t="shared" si="65"/>
        <v>1</v>
      </c>
      <c r="G586" s="3">
        <f>IF(E586&gt;=20,2000,1900) + D586</f>
        <v>1977</v>
      </c>
      <c r="H586">
        <f t="shared" si="66"/>
        <v>4</v>
      </c>
      <c r="I586" s="4">
        <f t="shared" si="67"/>
        <v>1</v>
      </c>
      <c r="J586">
        <f t="shared" si="68"/>
        <v>19770401</v>
      </c>
      <c r="K586" t="str">
        <f t="shared" si="69"/>
        <v>01.04.1977</v>
      </c>
    </row>
    <row r="587" spans="1:11" x14ac:dyDescent="0.25">
      <c r="A587" s="4" t="s">
        <v>613</v>
      </c>
      <c r="B587" t="s">
        <v>10</v>
      </c>
      <c r="C587" t="s">
        <v>6</v>
      </c>
      <c r="D587" s="3">
        <f t="shared" si="63"/>
        <v>84</v>
      </c>
      <c r="E587" s="4">
        <f t="shared" si="64"/>
        <v>9</v>
      </c>
      <c r="F587" s="4">
        <f t="shared" si="65"/>
        <v>12</v>
      </c>
      <c r="G587" s="3">
        <f>IF(E587&gt;=20,2000,1900) + D587</f>
        <v>1984</v>
      </c>
      <c r="H587">
        <f t="shared" si="66"/>
        <v>9</v>
      </c>
      <c r="I587" s="4">
        <f t="shared" si="67"/>
        <v>12</v>
      </c>
      <c r="J587">
        <f t="shared" si="68"/>
        <v>19840912</v>
      </c>
      <c r="K587" t="str">
        <f t="shared" si="69"/>
        <v>12.09.1984</v>
      </c>
    </row>
    <row r="588" spans="1:11" x14ac:dyDescent="0.25">
      <c r="A588" s="4" t="s">
        <v>614</v>
      </c>
      <c r="B588" t="s">
        <v>19</v>
      </c>
      <c r="C588" t="s">
        <v>6</v>
      </c>
      <c r="D588" s="3">
        <f t="shared" si="63"/>
        <v>55</v>
      </c>
      <c r="E588" s="4">
        <f t="shared" si="64"/>
        <v>2</v>
      </c>
      <c r="F588" s="4">
        <f t="shared" si="65"/>
        <v>26</v>
      </c>
      <c r="G588" s="3">
        <f>IF(E588&gt;=20,2000,1900) + D588</f>
        <v>1955</v>
      </c>
      <c r="H588">
        <f t="shared" si="66"/>
        <v>2</v>
      </c>
      <c r="I588" s="4">
        <f t="shared" si="67"/>
        <v>26</v>
      </c>
      <c r="J588">
        <f t="shared" si="68"/>
        <v>19550226</v>
      </c>
      <c r="K588" t="str">
        <f t="shared" si="69"/>
        <v>26.02.1955</v>
      </c>
    </row>
    <row r="589" spans="1:11" x14ac:dyDescent="0.25">
      <c r="A589" s="4" t="s">
        <v>615</v>
      </c>
      <c r="B589" t="s">
        <v>17</v>
      </c>
      <c r="C589" t="s">
        <v>6</v>
      </c>
      <c r="D589" s="3">
        <f t="shared" si="63"/>
        <v>69</v>
      </c>
      <c r="E589" s="4">
        <f t="shared" si="64"/>
        <v>8</v>
      </c>
      <c r="F589" s="4">
        <f t="shared" si="65"/>
        <v>22</v>
      </c>
      <c r="G589" s="3">
        <f>IF(E589&gt;=20,2000,1900) + D589</f>
        <v>1969</v>
      </c>
      <c r="H589">
        <f t="shared" si="66"/>
        <v>8</v>
      </c>
      <c r="I589" s="4">
        <f t="shared" si="67"/>
        <v>22</v>
      </c>
      <c r="J589">
        <f t="shared" si="68"/>
        <v>19690822</v>
      </c>
      <c r="K589" t="str">
        <f t="shared" si="69"/>
        <v>22.08.1969</v>
      </c>
    </row>
    <row r="590" spans="1:11" x14ac:dyDescent="0.25">
      <c r="A590" s="4" t="s">
        <v>616</v>
      </c>
      <c r="B590" t="s">
        <v>11</v>
      </c>
      <c r="C590" t="s">
        <v>6</v>
      </c>
      <c r="D590" s="3">
        <f t="shared" si="63"/>
        <v>99</v>
      </c>
      <c r="E590" s="4">
        <f t="shared" si="64"/>
        <v>2</v>
      </c>
      <c r="F590" s="4">
        <f t="shared" si="65"/>
        <v>27</v>
      </c>
      <c r="G590" s="3">
        <f>IF(E590&gt;=20,2000,1900) + D590</f>
        <v>1999</v>
      </c>
      <c r="H590">
        <f t="shared" si="66"/>
        <v>2</v>
      </c>
      <c r="I590" s="4">
        <f t="shared" si="67"/>
        <v>27</v>
      </c>
      <c r="J590">
        <f t="shared" si="68"/>
        <v>19990227</v>
      </c>
      <c r="K590" t="str">
        <f t="shared" si="69"/>
        <v>27.02.1999</v>
      </c>
    </row>
    <row r="591" spans="1:11" x14ac:dyDescent="0.25">
      <c r="A591" s="4" t="s">
        <v>617</v>
      </c>
      <c r="B591" t="s">
        <v>19</v>
      </c>
      <c r="C591" t="s">
        <v>6</v>
      </c>
      <c r="D591" s="3">
        <f t="shared" si="63"/>
        <v>97</v>
      </c>
      <c r="E591" s="4">
        <f t="shared" si="64"/>
        <v>8</v>
      </c>
      <c r="F591" s="4">
        <f t="shared" si="65"/>
        <v>27</v>
      </c>
      <c r="G591" s="3">
        <f>IF(E591&gt;=20,2000,1900) + D591</f>
        <v>1997</v>
      </c>
      <c r="H591">
        <f t="shared" si="66"/>
        <v>8</v>
      </c>
      <c r="I591" s="4">
        <f t="shared" si="67"/>
        <v>27</v>
      </c>
      <c r="J591">
        <f t="shared" si="68"/>
        <v>19970827</v>
      </c>
      <c r="K591" t="str">
        <f t="shared" si="69"/>
        <v>27.08.1997</v>
      </c>
    </row>
    <row r="592" spans="1:11" x14ac:dyDescent="0.25">
      <c r="A592" s="4" t="s">
        <v>618</v>
      </c>
      <c r="B592" t="s">
        <v>11</v>
      </c>
      <c r="C592" t="s">
        <v>6</v>
      </c>
      <c r="D592" s="3">
        <f t="shared" si="63"/>
        <v>54</v>
      </c>
      <c r="E592" s="4">
        <f t="shared" si="64"/>
        <v>1</v>
      </c>
      <c r="F592" s="4">
        <f t="shared" si="65"/>
        <v>6</v>
      </c>
      <c r="G592" s="3">
        <f>IF(E592&gt;=20,2000,1900) + D592</f>
        <v>1954</v>
      </c>
      <c r="H592">
        <f t="shared" si="66"/>
        <v>1</v>
      </c>
      <c r="I592" s="4">
        <f t="shared" si="67"/>
        <v>6</v>
      </c>
      <c r="J592">
        <f t="shared" si="68"/>
        <v>19540106</v>
      </c>
      <c r="K592" t="str">
        <f t="shared" si="69"/>
        <v>06.01.1954</v>
      </c>
    </row>
    <row r="593" spans="1:11" x14ac:dyDescent="0.25">
      <c r="A593" s="4" t="s">
        <v>619</v>
      </c>
      <c r="B593" t="s">
        <v>17</v>
      </c>
      <c r="C593" t="s">
        <v>6</v>
      </c>
      <c r="D593" s="3">
        <f t="shared" si="63"/>
        <v>91</v>
      </c>
      <c r="E593" s="4">
        <f t="shared" si="64"/>
        <v>2</v>
      </c>
      <c r="F593" s="4">
        <f t="shared" si="65"/>
        <v>5</v>
      </c>
      <c r="G593" s="3">
        <f>IF(E593&gt;=20,2000,1900) + D593</f>
        <v>1991</v>
      </c>
      <c r="H593">
        <f t="shared" si="66"/>
        <v>2</v>
      </c>
      <c r="I593" s="4">
        <f t="shared" si="67"/>
        <v>5</v>
      </c>
      <c r="J593">
        <f t="shared" si="68"/>
        <v>19910205</v>
      </c>
      <c r="K593" t="str">
        <f t="shared" si="69"/>
        <v>05.02.1991</v>
      </c>
    </row>
    <row r="594" spans="1:11" x14ac:dyDescent="0.25">
      <c r="A594" s="4" t="s">
        <v>620</v>
      </c>
      <c r="B594" t="s">
        <v>19</v>
      </c>
      <c r="C594" t="s">
        <v>4</v>
      </c>
      <c r="D594" s="3">
        <f t="shared" si="63"/>
        <v>70</v>
      </c>
      <c r="E594" s="4">
        <f t="shared" si="64"/>
        <v>1</v>
      </c>
      <c r="F594" s="4">
        <f t="shared" si="65"/>
        <v>28</v>
      </c>
      <c r="G594" s="3">
        <f>IF(E594&gt;=20,2000,1900) + D594</f>
        <v>1970</v>
      </c>
      <c r="H594">
        <f t="shared" si="66"/>
        <v>1</v>
      </c>
      <c r="I594" s="4">
        <f t="shared" si="67"/>
        <v>28</v>
      </c>
      <c r="J594">
        <f t="shared" si="68"/>
        <v>19700128</v>
      </c>
      <c r="K594" t="str">
        <f t="shared" si="69"/>
        <v>28.01.1970</v>
      </c>
    </row>
    <row r="595" spans="1:11" x14ac:dyDescent="0.25">
      <c r="A595" s="4" t="s">
        <v>621</v>
      </c>
      <c r="B595" t="s">
        <v>12</v>
      </c>
      <c r="C595" t="s">
        <v>4</v>
      </c>
      <c r="D595" s="3">
        <f t="shared" si="63"/>
        <v>70</v>
      </c>
      <c r="E595" s="4">
        <f t="shared" si="64"/>
        <v>12</v>
      </c>
      <c r="F595" s="4">
        <f t="shared" si="65"/>
        <v>29</v>
      </c>
      <c r="G595" s="3">
        <f>IF(E595&gt;=20,2000,1900) + D595</f>
        <v>1970</v>
      </c>
      <c r="H595">
        <f t="shared" si="66"/>
        <v>12</v>
      </c>
      <c r="I595" s="4">
        <f t="shared" si="67"/>
        <v>29</v>
      </c>
      <c r="J595">
        <f t="shared" si="68"/>
        <v>19701229</v>
      </c>
      <c r="K595" t="str">
        <f t="shared" si="69"/>
        <v>29.12.1970</v>
      </c>
    </row>
    <row r="596" spans="1:11" x14ac:dyDescent="0.25">
      <c r="A596" s="4" t="s">
        <v>622</v>
      </c>
      <c r="B596" t="s">
        <v>8</v>
      </c>
      <c r="C596" t="s">
        <v>6</v>
      </c>
      <c r="D596" s="3">
        <f t="shared" si="63"/>
        <v>78</v>
      </c>
      <c r="E596" s="4">
        <f t="shared" si="64"/>
        <v>10</v>
      </c>
      <c r="F596" s="4">
        <f t="shared" si="65"/>
        <v>25</v>
      </c>
      <c r="G596" s="3">
        <f>IF(E596&gt;=20,2000,1900) + D596</f>
        <v>1978</v>
      </c>
      <c r="H596">
        <f t="shared" si="66"/>
        <v>10</v>
      </c>
      <c r="I596" s="4">
        <f t="shared" si="67"/>
        <v>25</v>
      </c>
      <c r="J596">
        <f t="shared" si="68"/>
        <v>19781025</v>
      </c>
      <c r="K596" t="str">
        <f t="shared" si="69"/>
        <v>25.10.1978</v>
      </c>
    </row>
    <row r="597" spans="1:11" x14ac:dyDescent="0.25">
      <c r="A597" s="4" t="s">
        <v>623</v>
      </c>
      <c r="B597" t="s">
        <v>18</v>
      </c>
      <c r="C597" t="s">
        <v>6</v>
      </c>
      <c r="D597" s="3">
        <f t="shared" si="63"/>
        <v>97</v>
      </c>
      <c r="E597" s="4">
        <f t="shared" si="64"/>
        <v>6</v>
      </c>
      <c r="F597" s="4">
        <f t="shared" si="65"/>
        <v>5</v>
      </c>
      <c r="G597" s="3">
        <f>IF(E597&gt;=20,2000,1900) + D597</f>
        <v>1997</v>
      </c>
      <c r="H597">
        <f t="shared" si="66"/>
        <v>6</v>
      </c>
      <c r="I597" s="4">
        <f t="shared" si="67"/>
        <v>5</v>
      </c>
      <c r="J597">
        <f t="shared" si="68"/>
        <v>19970605</v>
      </c>
      <c r="K597" t="str">
        <f t="shared" si="69"/>
        <v>05.06.1997</v>
      </c>
    </row>
    <row r="598" spans="1:11" x14ac:dyDescent="0.25">
      <c r="A598" s="4" t="s">
        <v>624</v>
      </c>
      <c r="B598" t="s">
        <v>9</v>
      </c>
      <c r="C598" t="s">
        <v>6</v>
      </c>
      <c r="D598" s="3">
        <f t="shared" si="63"/>
        <v>84</v>
      </c>
      <c r="E598" s="4">
        <f t="shared" si="64"/>
        <v>12</v>
      </c>
      <c r="F598" s="4">
        <f t="shared" si="65"/>
        <v>24</v>
      </c>
      <c r="G598" s="3">
        <f>IF(E598&gt;=20,2000,1900) + D598</f>
        <v>1984</v>
      </c>
      <c r="H598">
        <f t="shared" si="66"/>
        <v>12</v>
      </c>
      <c r="I598" s="4">
        <f t="shared" si="67"/>
        <v>24</v>
      </c>
      <c r="J598">
        <f t="shared" si="68"/>
        <v>19841224</v>
      </c>
      <c r="K598" t="str">
        <f t="shared" si="69"/>
        <v>24.12.1984</v>
      </c>
    </row>
    <row r="599" spans="1:11" x14ac:dyDescent="0.25">
      <c r="A599" s="4" t="s">
        <v>625</v>
      </c>
      <c r="B599" t="s">
        <v>10</v>
      </c>
      <c r="C599" t="s">
        <v>4</v>
      </c>
      <c r="D599" s="3">
        <f t="shared" si="63"/>
        <v>98</v>
      </c>
      <c r="E599" s="4">
        <f t="shared" si="64"/>
        <v>5</v>
      </c>
      <c r="F599" s="4">
        <f t="shared" si="65"/>
        <v>17</v>
      </c>
      <c r="G599" s="3">
        <f>IF(E599&gt;=20,2000,1900) + D599</f>
        <v>1998</v>
      </c>
      <c r="H599">
        <f t="shared" si="66"/>
        <v>5</v>
      </c>
      <c r="I599" s="4">
        <f t="shared" si="67"/>
        <v>17</v>
      </c>
      <c r="J599">
        <f t="shared" si="68"/>
        <v>19980517</v>
      </c>
      <c r="K599" t="str">
        <f t="shared" si="69"/>
        <v>17.05.1998</v>
      </c>
    </row>
    <row r="600" spans="1:11" x14ac:dyDescent="0.25">
      <c r="A600" s="4" t="s">
        <v>626</v>
      </c>
      <c r="B600" t="s">
        <v>17</v>
      </c>
      <c r="C600" t="s">
        <v>6</v>
      </c>
      <c r="D600" s="3">
        <f t="shared" si="63"/>
        <v>11</v>
      </c>
      <c r="E600" s="4">
        <f t="shared" si="64"/>
        <v>7</v>
      </c>
      <c r="F600" s="4">
        <f t="shared" si="65"/>
        <v>27</v>
      </c>
      <c r="G600" s="3">
        <f>IF(E600&gt;=20,2000,1900) + D600</f>
        <v>1911</v>
      </c>
      <c r="H600">
        <f t="shared" si="66"/>
        <v>7</v>
      </c>
      <c r="I600" s="4">
        <f t="shared" si="67"/>
        <v>27</v>
      </c>
      <c r="J600">
        <f t="shared" si="68"/>
        <v>19110727</v>
      </c>
      <c r="K600" t="str">
        <f t="shared" si="69"/>
        <v>27.07.1911</v>
      </c>
    </row>
    <row r="601" spans="1:11" x14ac:dyDescent="0.25">
      <c r="A601" s="4" t="s">
        <v>627</v>
      </c>
      <c r="B601" t="s">
        <v>18</v>
      </c>
      <c r="C601" t="s">
        <v>6</v>
      </c>
      <c r="D601" s="3">
        <f t="shared" si="63"/>
        <v>5</v>
      </c>
      <c r="E601" s="4">
        <f t="shared" si="64"/>
        <v>25</v>
      </c>
      <c r="F601" s="4">
        <f t="shared" si="65"/>
        <v>17</v>
      </c>
      <c r="G601" s="3">
        <f>IF(E601&gt;=20,2000,1900) + D601</f>
        <v>2005</v>
      </c>
      <c r="H601">
        <f t="shared" si="66"/>
        <v>5</v>
      </c>
      <c r="I601" s="4">
        <f t="shared" si="67"/>
        <v>17</v>
      </c>
      <c r="J601">
        <f t="shared" si="68"/>
        <v>20052517</v>
      </c>
      <c r="K601" t="str">
        <f t="shared" si="69"/>
        <v>17.25.2005</v>
      </c>
    </row>
    <row r="602" spans="1:11" x14ac:dyDescent="0.25">
      <c r="A602" s="4" t="s">
        <v>628</v>
      </c>
      <c r="B602" t="s">
        <v>12</v>
      </c>
      <c r="C602" t="s">
        <v>6</v>
      </c>
      <c r="D602" s="3">
        <f t="shared" si="63"/>
        <v>3</v>
      </c>
      <c r="E602" s="4">
        <f t="shared" si="64"/>
        <v>25</v>
      </c>
      <c r="F602" s="4">
        <f t="shared" si="65"/>
        <v>23</v>
      </c>
      <c r="G602" s="3">
        <f>IF(E602&gt;=20,2000,1900) + D602</f>
        <v>2003</v>
      </c>
      <c r="H602">
        <f t="shared" si="66"/>
        <v>5</v>
      </c>
      <c r="I602" s="4">
        <f t="shared" si="67"/>
        <v>23</v>
      </c>
      <c r="J602">
        <f t="shared" si="68"/>
        <v>20032523</v>
      </c>
      <c r="K602" t="str">
        <f t="shared" si="69"/>
        <v>23.25.2003</v>
      </c>
    </row>
    <row r="603" spans="1:11" x14ac:dyDescent="0.25">
      <c r="A603" s="4" t="s">
        <v>629</v>
      </c>
      <c r="B603" t="s">
        <v>13</v>
      </c>
      <c r="C603" t="s">
        <v>4</v>
      </c>
      <c r="D603" s="3">
        <f t="shared" si="63"/>
        <v>7</v>
      </c>
      <c r="E603" s="4">
        <f t="shared" si="64"/>
        <v>28</v>
      </c>
      <c r="F603" s="4">
        <f t="shared" si="65"/>
        <v>23</v>
      </c>
      <c r="G603" s="3">
        <f>IF(E603&gt;=20,2000,1900) + D603</f>
        <v>2007</v>
      </c>
      <c r="H603">
        <f t="shared" si="66"/>
        <v>8</v>
      </c>
      <c r="I603" s="4">
        <f t="shared" si="67"/>
        <v>23</v>
      </c>
      <c r="J603">
        <f t="shared" si="68"/>
        <v>20072823</v>
      </c>
      <c r="K603" t="str">
        <f t="shared" si="69"/>
        <v>23.28.2007</v>
      </c>
    </row>
    <row r="604" spans="1:11" x14ac:dyDescent="0.25">
      <c r="A604" s="4" t="s">
        <v>630</v>
      </c>
      <c r="B604" t="s">
        <v>16</v>
      </c>
      <c r="C604" t="s">
        <v>6</v>
      </c>
      <c r="D604" s="3">
        <f t="shared" si="63"/>
        <v>3</v>
      </c>
      <c r="E604" s="4">
        <f t="shared" si="64"/>
        <v>24</v>
      </c>
      <c r="F604" s="4">
        <f t="shared" si="65"/>
        <v>17</v>
      </c>
      <c r="G604" s="3">
        <f>IF(E604&gt;=20,2000,1900) + D604</f>
        <v>2003</v>
      </c>
      <c r="H604">
        <f t="shared" si="66"/>
        <v>4</v>
      </c>
      <c r="I604" s="4">
        <f t="shared" si="67"/>
        <v>17</v>
      </c>
      <c r="J604">
        <f t="shared" si="68"/>
        <v>20032417</v>
      </c>
      <c r="K604" t="str">
        <f t="shared" si="69"/>
        <v>17.24.2003</v>
      </c>
    </row>
    <row r="605" spans="1:11" x14ac:dyDescent="0.25">
      <c r="A605" s="4" t="s">
        <v>631</v>
      </c>
      <c r="B605" t="s">
        <v>11</v>
      </c>
      <c r="C605" t="s">
        <v>6</v>
      </c>
      <c r="D605" s="3">
        <f t="shared" si="63"/>
        <v>3</v>
      </c>
      <c r="E605" s="4">
        <f t="shared" si="64"/>
        <v>21</v>
      </c>
      <c r="F605" s="4">
        <f t="shared" si="65"/>
        <v>26</v>
      </c>
      <c r="G605" s="3">
        <f>IF(E605&gt;=20,2000,1900) + D605</f>
        <v>2003</v>
      </c>
      <c r="H605">
        <f t="shared" si="66"/>
        <v>1</v>
      </c>
      <c r="I605" s="4">
        <f t="shared" si="67"/>
        <v>26</v>
      </c>
      <c r="J605">
        <f t="shared" si="68"/>
        <v>20032126</v>
      </c>
      <c r="K605" t="str">
        <f t="shared" si="69"/>
        <v>26.21.2003</v>
      </c>
    </row>
    <row r="606" spans="1:11" x14ac:dyDescent="0.25">
      <c r="A606" s="4" t="s">
        <v>632</v>
      </c>
      <c r="B606" t="s">
        <v>5</v>
      </c>
      <c r="C606" t="s">
        <v>6</v>
      </c>
      <c r="D606" s="3">
        <f t="shared" si="63"/>
        <v>8</v>
      </c>
      <c r="E606" s="4">
        <f t="shared" si="64"/>
        <v>30</v>
      </c>
      <c r="F606" s="4">
        <f t="shared" si="65"/>
        <v>19</v>
      </c>
      <c r="G606" s="3">
        <f>IF(E606&gt;=20,2000,1900) + D606</f>
        <v>2008</v>
      </c>
      <c r="H606">
        <f t="shared" si="66"/>
        <v>10</v>
      </c>
      <c r="I606" s="4">
        <f t="shared" si="67"/>
        <v>19</v>
      </c>
      <c r="J606">
        <f t="shared" si="68"/>
        <v>20083019</v>
      </c>
      <c r="K606" t="str">
        <f t="shared" si="69"/>
        <v>19.30.2008</v>
      </c>
    </row>
    <row r="607" spans="1:11" x14ac:dyDescent="0.25">
      <c r="A607" s="4" t="s">
        <v>633</v>
      </c>
      <c r="B607" t="s">
        <v>16</v>
      </c>
      <c r="C607" t="s">
        <v>6</v>
      </c>
      <c r="D607" s="3">
        <f t="shared" si="63"/>
        <v>4</v>
      </c>
      <c r="E607" s="4">
        <f t="shared" si="64"/>
        <v>29</v>
      </c>
      <c r="F607" s="4">
        <f t="shared" si="65"/>
        <v>12</v>
      </c>
      <c r="G607" s="3">
        <f>IF(E607&gt;=20,2000,1900) + D607</f>
        <v>2004</v>
      </c>
      <c r="H607">
        <f t="shared" si="66"/>
        <v>9</v>
      </c>
      <c r="I607" s="4">
        <f t="shared" si="67"/>
        <v>12</v>
      </c>
      <c r="J607">
        <f t="shared" si="68"/>
        <v>20042912</v>
      </c>
      <c r="K607" t="str">
        <f t="shared" si="69"/>
        <v>12.29.2004</v>
      </c>
    </row>
    <row r="608" spans="1:11" x14ac:dyDescent="0.25">
      <c r="A608" s="4" t="s">
        <v>634</v>
      </c>
      <c r="B608" t="s">
        <v>14</v>
      </c>
      <c r="C608" t="s">
        <v>4</v>
      </c>
      <c r="D608" s="3">
        <f t="shared" si="63"/>
        <v>20</v>
      </c>
      <c r="E608" s="4">
        <f t="shared" si="64"/>
        <v>29</v>
      </c>
      <c r="F608" s="4">
        <f t="shared" si="65"/>
        <v>5</v>
      </c>
      <c r="G608" s="3">
        <f>IF(E608&gt;=20,2000,1900) + D608</f>
        <v>2020</v>
      </c>
      <c r="H608">
        <f t="shared" si="66"/>
        <v>9</v>
      </c>
      <c r="I608" s="4">
        <f t="shared" si="67"/>
        <v>5</v>
      </c>
      <c r="J608">
        <f t="shared" si="68"/>
        <v>20202905</v>
      </c>
      <c r="K608" t="str">
        <f t="shared" si="69"/>
        <v>05.29.2020</v>
      </c>
    </row>
    <row r="609" spans="1:11" x14ac:dyDescent="0.25">
      <c r="A609" s="4" t="s">
        <v>635</v>
      </c>
      <c r="B609" t="s">
        <v>14</v>
      </c>
      <c r="C609" t="s">
        <v>6</v>
      </c>
      <c r="D609" s="3">
        <f t="shared" si="63"/>
        <v>13</v>
      </c>
      <c r="E609" s="4">
        <f t="shared" si="64"/>
        <v>30</v>
      </c>
      <c r="F609" s="4">
        <f t="shared" si="65"/>
        <v>26</v>
      </c>
      <c r="G609" s="3">
        <f>IF(E609&gt;=20,2000,1900) + D609</f>
        <v>2013</v>
      </c>
      <c r="H609">
        <f t="shared" si="66"/>
        <v>10</v>
      </c>
      <c r="I609" s="4">
        <f t="shared" si="67"/>
        <v>26</v>
      </c>
      <c r="J609">
        <f t="shared" si="68"/>
        <v>20133026</v>
      </c>
      <c r="K609" t="str">
        <f t="shared" si="69"/>
        <v>26.30.2013</v>
      </c>
    </row>
    <row r="610" spans="1:11" x14ac:dyDescent="0.25">
      <c r="A610" s="4" t="s">
        <v>636</v>
      </c>
      <c r="B610" t="s">
        <v>20</v>
      </c>
      <c r="C610" t="s">
        <v>6</v>
      </c>
      <c r="D610" s="3">
        <f t="shared" si="63"/>
        <v>9</v>
      </c>
      <c r="E610" s="4">
        <f t="shared" si="64"/>
        <v>21</v>
      </c>
      <c r="F610" s="4">
        <f t="shared" si="65"/>
        <v>4</v>
      </c>
      <c r="G610" s="3">
        <f>IF(E610&gt;=20,2000,1900) + D610</f>
        <v>2009</v>
      </c>
      <c r="H610">
        <f t="shared" si="66"/>
        <v>1</v>
      </c>
      <c r="I610" s="4">
        <f t="shared" si="67"/>
        <v>4</v>
      </c>
      <c r="J610">
        <f t="shared" si="68"/>
        <v>20092104</v>
      </c>
      <c r="K610" t="str">
        <f t="shared" si="69"/>
        <v>04.21.2009</v>
      </c>
    </row>
    <row r="611" spans="1:11" x14ac:dyDescent="0.25">
      <c r="A611" s="4" t="s">
        <v>637</v>
      </c>
      <c r="B611" t="s">
        <v>20</v>
      </c>
      <c r="C611" t="s">
        <v>4</v>
      </c>
      <c r="D611" s="3">
        <f t="shared" si="63"/>
        <v>0</v>
      </c>
      <c r="E611" s="4">
        <f t="shared" si="64"/>
        <v>21</v>
      </c>
      <c r="F611" s="4">
        <f t="shared" si="65"/>
        <v>18</v>
      </c>
      <c r="G611" s="3">
        <f>IF(E611&gt;=20,2000,1900) + D611</f>
        <v>2000</v>
      </c>
      <c r="H611">
        <f t="shared" si="66"/>
        <v>1</v>
      </c>
      <c r="I611" s="4">
        <f t="shared" si="67"/>
        <v>18</v>
      </c>
      <c r="J611">
        <f t="shared" si="68"/>
        <v>20002118</v>
      </c>
      <c r="K611" t="str">
        <f t="shared" si="69"/>
        <v>18.21.2000</v>
      </c>
    </row>
    <row r="612" spans="1:11" x14ac:dyDescent="0.25">
      <c r="A612" s="4" t="s">
        <v>638</v>
      </c>
      <c r="B612" t="s">
        <v>9</v>
      </c>
      <c r="C612" t="s">
        <v>4</v>
      </c>
      <c r="D612" s="3">
        <f t="shared" si="63"/>
        <v>2</v>
      </c>
      <c r="E612" s="4">
        <f t="shared" si="64"/>
        <v>25</v>
      </c>
      <c r="F612" s="4">
        <f t="shared" si="65"/>
        <v>12</v>
      </c>
      <c r="G612" s="3">
        <f>IF(E612&gt;=20,2000,1900) + D612</f>
        <v>2002</v>
      </c>
      <c r="H612">
        <f t="shared" si="66"/>
        <v>5</v>
      </c>
      <c r="I612" s="4">
        <f t="shared" si="67"/>
        <v>12</v>
      </c>
      <c r="J612">
        <f t="shared" si="68"/>
        <v>20022512</v>
      </c>
      <c r="K612" t="str">
        <f t="shared" si="69"/>
        <v>12.25.2002</v>
      </c>
    </row>
    <row r="613" spans="1:11" x14ac:dyDescent="0.25">
      <c r="A613" s="4" t="s">
        <v>639</v>
      </c>
      <c r="B613" t="s">
        <v>20</v>
      </c>
      <c r="C613" t="s">
        <v>4</v>
      </c>
      <c r="D613" s="3">
        <f t="shared" si="63"/>
        <v>3</v>
      </c>
      <c r="E613" s="4">
        <f t="shared" si="64"/>
        <v>23</v>
      </c>
      <c r="F613" s="4">
        <f t="shared" si="65"/>
        <v>11</v>
      </c>
      <c r="G613" s="3">
        <f>IF(E613&gt;=20,2000,1900) + D613</f>
        <v>2003</v>
      </c>
      <c r="H613">
        <f t="shared" si="66"/>
        <v>3</v>
      </c>
      <c r="I613" s="4">
        <f t="shared" si="67"/>
        <v>11</v>
      </c>
      <c r="J613">
        <f t="shared" si="68"/>
        <v>20032311</v>
      </c>
      <c r="K613" t="str">
        <f t="shared" si="69"/>
        <v>11.23.2003</v>
      </c>
    </row>
    <row r="614" spans="1:11" x14ac:dyDescent="0.25">
      <c r="A614" s="4" t="s">
        <v>640</v>
      </c>
      <c r="B614" t="s">
        <v>3</v>
      </c>
      <c r="C614" t="s">
        <v>6</v>
      </c>
      <c r="D614" s="3">
        <f t="shared" si="63"/>
        <v>4</v>
      </c>
      <c r="E614" s="4">
        <f t="shared" si="64"/>
        <v>24</v>
      </c>
      <c r="F614" s="4">
        <f t="shared" si="65"/>
        <v>3</v>
      </c>
      <c r="G614" s="3">
        <f>IF(E614&gt;=20,2000,1900) + D614</f>
        <v>2004</v>
      </c>
      <c r="H614">
        <f t="shared" si="66"/>
        <v>4</v>
      </c>
      <c r="I614" s="4">
        <f t="shared" si="67"/>
        <v>3</v>
      </c>
      <c r="J614">
        <f t="shared" si="68"/>
        <v>20042403</v>
      </c>
      <c r="K614" t="str">
        <f t="shared" si="69"/>
        <v>03.24.2004</v>
      </c>
    </row>
    <row r="615" spans="1:11" x14ac:dyDescent="0.25">
      <c r="A615" s="4" t="s">
        <v>641</v>
      </c>
      <c r="B615" t="s">
        <v>5</v>
      </c>
      <c r="C615" t="s">
        <v>4</v>
      </c>
      <c r="D615" s="3">
        <f t="shared" si="63"/>
        <v>3</v>
      </c>
      <c r="E615" s="4">
        <f t="shared" si="64"/>
        <v>29</v>
      </c>
      <c r="F615" s="4">
        <f t="shared" si="65"/>
        <v>12</v>
      </c>
      <c r="G615" s="3">
        <f>IF(E615&gt;=20,2000,1900) + D615</f>
        <v>2003</v>
      </c>
      <c r="H615">
        <f t="shared" si="66"/>
        <v>9</v>
      </c>
      <c r="I615" s="4">
        <f t="shared" si="67"/>
        <v>12</v>
      </c>
      <c r="J615">
        <f t="shared" si="68"/>
        <v>20032912</v>
      </c>
      <c r="K615" t="str">
        <f t="shared" si="69"/>
        <v>12.29.2003</v>
      </c>
    </row>
    <row r="616" spans="1:11" x14ac:dyDescent="0.25">
      <c r="A616" s="4" t="s">
        <v>642</v>
      </c>
      <c r="B616" t="s">
        <v>10</v>
      </c>
      <c r="C616" t="s">
        <v>6</v>
      </c>
      <c r="D616" s="3">
        <f t="shared" si="63"/>
        <v>22</v>
      </c>
      <c r="E616" s="4">
        <f t="shared" si="64"/>
        <v>28</v>
      </c>
      <c r="F616" s="4">
        <f t="shared" si="65"/>
        <v>15</v>
      </c>
      <c r="G616" s="3">
        <f>IF(E616&gt;=20,2000,1900) + D616</f>
        <v>2022</v>
      </c>
      <c r="H616">
        <f t="shared" si="66"/>
        <v>8</v>
      </c>
      <c r="I616" s="4">
        <f t="shared" si="67"/>
        <v>15</v>
      </c>
      <c r="J616">
        <f t="shared" si="68"/>
        <v>20222815</v>
      </c>
      <c r="K616" t="str">
        <f t="shared" si="69"/>
        <v>15.28.2022</v>
      </c>
    </row>
    <row r="617" spans="1:11" x14ac:dyDescent="0.25">
      <c r="A617" s="4" t="s">
        <v>643</v>
      </c>
      <c r="B617" t="s">
        <v>16</v>
      </c>
      <c r="C617" t="s">
        <v>6</v>
      </c>
      <c r="D617" s="3">
        <f t="shared" si="63"/>
        <v>2</v>
      </c>
      <c r="E617" s="4">
        <f t="shared" si="64"/>
        <v>26</v>
      </c>
      <c r="F617" s="4">
        <f t="shared" si="65"/>
        <v>24</v>
      </c>
      <c r="G617" s="3">
        <f>IF(E617&gt;=20,2000,1900) + D617</f>
        <v>2002</v>
      </c>
      <c r="H617">
        <f t="shared" si="66"/>
        <v>6</v>
      </c>
      <c r="I617" s="4">
        <f t="shared" si="67"/>
        <v>24</v>
      </c>
      <c r="J617">
        <f t="shared" si="68"/>
        <v>20022624</v>
      </c>
      <c r="K617" t="str">
        <f t="shared" si="69"/>
        <v>24.26.2002</v>
      </c>
    </row>
    <row r="618" spans="1:11" x14ac:dyDescent="0.25">
      <c r="A618" s="4" t="s">
        <v>644</v>
      </c>
      <c r="B618" t="s">
        <v>5</v>
      </c>
      <c r="C618" t="s">
        <v>6</v>
      </c>
      <c r="D618" s="3">
        <f t="shared" si="63"/>
        <v>8</v>
      </c>
      <c r="E618" s="4">
        <f t="shared" si="64"/>
        <v>21</v>
      </c>
      <c r="F618" s="4">
        <f t="shared" si="65"/>
        <v>10</v>
      </c>
      <c r="G618" s="3">
        <f>IF(E618&gt;=20,2000,1900) + D618</f>
        <v>2008</v>
      </c>
      <c r="H618">
        <f t="shared" si="66"/>
        <v>1</v>
      </c>
      <c r="I618" s="4">
        <f t="shared" si="67"/>
        <v>10</v>
      </c>
      <c r="J618">
        <f t="shared" si="68"/>
        <v>20082110</v>
      </c>
      <c r="K618" t="str">
        <f t="shared" si="69"/>
        <v>10.21.2008</v>
      </c>
    </row>
    <row r="619" spans="1:11" x14ac:dyDescent="0.25">
      <c r="A619" s="4" t="s">
        <v>645</v>
      </c>
      <c r="B619" t="s">
        <v>13</v>
      </c>
      <c r="C619" t="s">
        <v>6</v>
      </c>
      <c r="D619" s="3">
        <f t="shared" si="63"/>
        <v>21</v>
      </c>
      <c r="E619" s="4">
        <f t="shared" si="64"/>
        <v>21</v>
      </c>
      <c r="F619" s="4">
        <f t="shared" si="65"/>
        <v>9</v>
      </c>
      <c r="G619" s="3">
        <f>IF(E619&gt;=20,2000,1900) + D619</f>
        <v>2021</v>
      </c>
      <c r="H619">
        <f t="shared" si="66"/>
        <v>1</v>
      </c>
      <c r="I619" s="4">
        <f t="shared" si="67"/>
        <v>9</v>
      </c>
      <c r="J619">
        <f t="shared" si="68"/>
        <v>20212109</v>
      </c>
      <c r="K619" t="str">
        <f t="shared" si="69"/>
        <v>09.21.2021</v>
      </c>
    </row>
    <row r="620" spans="1:11" x14ac:dyDescent="0.25">
      <c r="A620" s="4" t="s">
        <v>646</v>
      </c>
      <c r="B620" t="s">
        <v>17</v>
      </c>
      <c r="C620" t="s">
        <v>4</v>
      </c>
      <c r="D620" s="3">
        <f t="shared" si="63"/>
        <v>20</v>
      </c>
      <c r="E620" s="4">
        <f t="shared" si="64"/>
        <v>24</v>
      </c>
      <c r="F620" s="4">
        <f t="shared" si="65"/>
        <v>6</v>
      </c>
      <c r="G620" s="3">
        <f>IF(E620&gt;=20,2000,1900) + D620</f>
        <v>2020</v>
      </c>
      <c r="H620">
        <f t="shared" si="66"/>
        <v>4</v>
      </c>
      <c r="I620" s="4">
        <f t="shared" si="67"/>
        <v>6</v>
      </c>
      <c r="J620">
        <f t="shared" si="68"/>
        <v>20202406</v>
      </c>
      <c r="K620" t="str">
        <f t="shared" si="69"/>
        <v>06.24.2020</v>
      </c>
    </row>
    <row r="621" spans="1:11" x14ac:dyDescent="0.25">
      <c r="A621" s="4" t="s">
        <v>647</v>
      </c>
      <c r="B621" t="s">
        <v>18</v>
      </c>
      <c r="C621" t="s">
        <v>4</v>
      </c>
      <c r="D621" s="3">
        <f t="shared" si="63"/>
        <v>4</v>
      </c>
      <c r="E621" s="4">
        <f t="shared" si="64"/>
        <v>30</v>
      </c>
      <c r="F621" s="4">
        <f t="shared" si="65"/>
        <v>23</v>
      </c>
      <c r="G621" s="3">
        <f>IF(E621&gt;=20,2000,1900) + D621</f>
        <v>2004</v>
      </c>
      <c r="H621">
        <f t="shared" si="66"/>
        <v>10</v>
      </c>
      <c r="I621" s="4">
        <f t="shared" si="67"/>
        <v>23</v>
      </c>
      <c r="J621">
        <f t="shared" si="68"/>
        <v>20043023</v>
      </c>
      <c r="K621" t="str">
        <f t="shared" si="69"/>
        <v>23.30.2004</v>
      </c>
    </row>
    <row r="622" spans="1:11" x14ac:dyDescent="0.25">
      <c r="A622" s="4" t="s">
        <v>648</v>
      </c>
      <c r="B622" t="s">
        <v>19</v>
      </c>
      <c r="C622" t="s">
        <v>6</v>
      </c>
      <c r="D622" s="3">
        <f t="shared" si="63"/>
        <v>21</v>
      </c>
      <c r="E622" s="4">
        <f t="shared" si="64"/>
        <v>21</v>
      </c>
      <c r="F622" s="4">
        <f t="shared" si="65"/>
        <v>31</v>
      </c>
      <c r="G622" s="3">
        <f>IF(E622&gt;=20,2000,1900) + D622</f>
        <v>2021</v>
      </c>
      <c r="H622">
        <f t="shared" si="66"/>
        <v>1</v>
      </c>
      <c r="I622" s="4">
        <f t="shared" si="67"/>
        <v>31</v>
      </c>
      <c r="J622">
        <f t="shared" si="68"/>
        <v>20212131</v>
      </c>
      <c r="K622" t="str">
        <f t="shared" si="69"/>
        <v>31.21.2021</v>
      </c>
    </row>
    <row r="623" spans="1:11" x14ac:dyDescent="0.25">
      <c r="A623" s="4" t="s">
        <v>649</v>
      </c>
      <c r="B623" t="s">
        <v>7</v>
      </c>
      <c r="C623" t="s">
        <v>6</v>
      </c>
      <c r="D623" s="3">
        <f t="shared" si="63"/>
        <v>12</v>
      </c>
      <c r="E623" s="4">
        <f t="shared" si="64"/>
        <v>22</v>
      </c>
      <c r="F623" s="4">
        <f t="shared" si="65"/>
        <v>16</v>
      </c>
      <c r="G623" s="3">
        <f>IF(E623&gt;=20,2000,1900) + D623</f>
        <v>2012</v>
      </c>
      <c r="H623">
        <f t="shared" si="66"/>
        <v>2</v>
      </c>
      <c r="I623" s="4">
        <f t="shared" si="67"/>
        <v>16</v>
      </c>
      <c r="J623">
        <f t="shared" si="68"/>
        <v>20122216</v>
      </c>
      <c r="K623" t="str">
        <f t="shared" si="69"/>
        <v>16.22.2012</v>
      </c>
    </row>
    <row r="624" spans="1:11" x14ac:dyDescent="0.25">
      <c r="A624" s="4" t="s">
        <v>650</v>
      </c>
      <c r="B624" t="s">
        <v>17</v>
      </c>
      <c r="C624" t="s">
        <v>6</v>
      </c>
      <c r="D624" s="3">
        <f t="shared" si="63"/>
        <v>0</v>
      </c>
      <c r="E624" s="4">
        <f t="shared" si="64"/>
        <v>29</v>
      </c>
      <c r="F624" s="4">
        <f t="shared" si="65"/>
        <v>27</v>
      </c>
      <c r="G624" s="3">
        <f>IF(E624&gt;=20,2000,1900) + D624</f>
        <v>2000</v>
      </c>
      <c r="H624">
        <f t="shared" si="66"/>
        <v>9</v>
      </c>
      <c r="I624" s="4">
        <f t="shared" si="67"/>
        <v>27</v>
      </c>
      <c r="J624">
        <f t="shared" si="68"/>
        <v>20002927</v>
      </c>
      <c r="K624" t="str">
        <f t="shared" si="69"/>
        <v>27.29.2000</v>
      </c>
    </row>
    <row r="625" spans="1:11" x14ac:dyDescent="0.25">
      <c r="A625" s="4" t="s">
        <v>651</v>
      </c>
      <c r="B625" t="s">
        <v>15</v>
      </c>
      <c r="C625" t="s">
        <v>4</v>
      </c>
      <c r="D625" s="3">
        <f t="shared" si="63"/>
        <v>9</v>
      </c>
      <c r="E625" s="4">
        <f t="shared" si="64"/>
        <v>28</v>
      </c>
      <c r="F625" s="4">
        <f t="shared" si="65"/>
        <v>8</v>
      </c>
      <c r="G625" s="3">
        <f>IF(E625&gt;=20,2000,1900) + D625</f>
        <v>2009</v>
      </c>
      <c r="H625">
        <f t="shared" si="66"/>
        <v>8</v>
      </c>
      <c r="I625" s="4">
        <f t="shared" si="67"/>
        <v>8</v>
      </c>
      <c r="J625">
        <f t="shared" si="68"/>
        <v>20092808</v>
      </c>
      <c r="K625" t="str">
        <f t="shared" si="69"/>
        <v>08.28.2009</v>
      </c>
    </row>
    <row r="626" spans="1:11" x14ac:dyDescent="0.25">
      <c r="A626" s="4" t="s">
        <v>652</v>
      </c>
      <c r="B626" t="s">
        <v>12</v>
      </c>
      <c r="C626" t="s">
        <v>4</v>
      </c>
      <c r="D626" s="3">
        <f t="shared" si="63"/>
        <v>7</v>
      </c>
      <c r="E626" s="4">
        <f t="shared" si="64"/>
        <v>23</v>
      </c>
      <c r="F626" s="4">
        <f t="shared" si="65"/>
        <v>1</v>
      </c>
      <c r="G626" s="3">
        <f>IF(E626&gt;=20,2000,1900) + D626</f>
        <v>2007</v>
      </c>
      <c r="H626">
        <f t="shared" si="66"/>
        <v>3</v>
      </c>
      <c r="I626" s="4">
        <f t="shared" si="67"/>
        <v>1</v>
      </c>
      <c r="J626">
        <f t="shared" si="68"/>
        <v>20072301</v>
      </c>
      <c r="K626" t="str">
        <f t="shared" si="69"/>
        <v>01.23.2007</v>
      </c>
    </row>
    <row r="627" spans="1:11" x14ac:dyDescent="0.25">
      <c r="A627" s="4" t="s">
        <v>653</v>
      </c>
      <c r="B627" t="s">
        <v>12</v>
      </c>
      <c r="C627" t="s">
        <v>6</v>
      </c>
      <c r="D627" s="3">
        <f t="shared" si="63"/>
        <v>13</v>
      </c>
      <c r="E627" s="4">
        <f t="shared" si="64"/>
        <v>24</v>
      </c>
      <c r="F627" s="4">
        <f t="shared" si="65"/>
        <v>27</v>
      </c>
      <c r="G627" s="3">
        <f>IF(E627&gt;=20,2000,1900) + D627</f>
        <v>2013</v>
      </c>
      <c r="H627">
        <f t="shared" si="66"/>
        <v>4</v>
      </c>
      <c r="I627" s="4">
        <f t="shared" si="67"/>
        <v>27</v>
      </c>
      <c r="J627">
        <f t="shared" si="68"/>
        <v>20132427</v>
      </c>
      <c r="K627" t="str">
        <f t="shared" si="69"/>
        <v>27.24.2013</v>
      </c>
    </row>
    <row r="628" spans="1:11" x14ac:dyDescent="0.25">
      <c r="A628" s="4" t="s">
        <v>654</v>
      </c>
      <c r="B628" t="s">
        <v>13</v>
      </c>
      <c r="C628" t="s">
        <v>6</v>
      </c>
      <c r="D628" s="3">
        <f t="shared" si="63"/>
        <v>19</v>
      </c>
      <c r="E628" s="4">
        <f t="shared" si="64"/>
        <v>30</v>
      </c>
      <c r="F628" s="4">
        <f t="shared" si="65"/>
        <v>16</v>
      </c>
      <c r="G628" s="3">
        <f>IF(E628&gt;=20,2000,1900) + D628</f>
        <v>2019</v>
      </c>
      <c r="H628">
        <f t="shared" si="66"/>
        <v>10</v>
      </c>
      <c r="I628" s="4">
        <f t="shared" si="67"/>
        <v>16</v>
      </c>
      <c r="J628">
        <f t="shared" si="68"/>
        <v>20193016</v>
      </c>
      <c r="K628" t="str">
        <f t="shared" si="69"/>
        <v>16.30.2019</v>
      </c>
    </row>
    <row r="629" spans="1:11" x14ac:dyDescent="0.25">
      <c r="A629" s="4" t="s">
        <v>655</v>
      </c>
      <c r="B629" t="s">
        <v>3</v>
      </c>
      <c r="C629" t="s">
        <v>4</v>
      </c>
      <c r="D629" s="3">
        <f t="shared" si="63"/>
        <v>21</v>
      </c>
      <c r="E629" s="4">
        <f t="shared" si="64"/>
        <v>32</v>
      </c>
      <c r="F629" s="4">
        <f t="shared" si="65"/>
        <v>22</v>
      </c>
      <c r="G629" s="3">
        <f>IF(E629&gt;=20,2000,1900) + D629</f>
        <v>2021</v>
      </c>
      <c r="H629">
        <f t="shared" si="66"/>
        <v>12</v>
      </c>
      <c r="I629" s="4">
        <f t="shared" si="67"/>
        <v>22</v>
      </c>
      <c r="J629">
        <f t="shared" si="68"/>
        <v>20213222</v>
      </c>
      <c r="K629" t="str">
        <f t="shared" si="69"/>
        <v>22.32.2021</v>
      </c>
    </row>
    <row r="630" spans="1:11" x14ac:dyDescent="0.25">
      <c r="A630" s="4" t="s">
        <v>656</v>
      </c>
      <c r="B630" t="s">
        <v>3</v>
      </c>
      <c r="C630" t="s">
        <v>6</v>
      </c>
      <c r="D630" s="3">
        <f t="shared" si="63"/>
        <v>22</v>
      </c>
      <c r="E630" s="4">
        <f t="shared" si="64"/>
        <v>32</v>
      </c>
      <c r="F630" s="4">
        <f t="shared" si="65"/>
        <v>1</v>
      </c>
      <c r="G630" s="3">
        <f>IF(E630&gt;=20,2000,1900) + D630</f>
        <v>2022</v>
      </c>
      <c r="H630">
        <f t="shared" si="66"/>
        <v>12</v>
      </c>
      <c r="I630" s="4">
        <f t="shared" si="67"/>
        <v>1</v>
      </c>
      <c r="J630">
        <f t="shared" si="68"/>
        <v>20223201</v>
      </c>
      <c r="K630" t="str">
        <f t="shared" si="69"/>
        <v>01.32.2022</v>
      </c>
    </row>
    <row r="631" spans="1:11" x14ac:dyDescent="0.25">
      <c r="A631" s="4" t="s">
        <v>657</v>
      </c>
      <c r="B631" t="s">
        <v>15</v>
      </c>
      <c r="C631" t="s">
        <v>4</v>
      </c>
      <c r="D631" s="3">
        <f t="shared" si="63"/>
        <v>3</v>
      </c>
      <c r="E631" s="4">
        <f t="shared" si="64"/>
        <v>23</v>
      </c>
      <c r="F631" s="4">
        <f t="shared" si="65"/>
        <v>18</v>
      </c>
      <c r="G631" s="3">
        <f>IF(E631&gt;=20,2000,1900) + D631</f>
        <v>2003</v>
      </c>
      <c r="H631">
        <f t="shared" si="66"/>
        <v>3</v>
      </c>
      <c r="I631" s="4">
        <f t="shared" si="67"/>
        <v>18</v>
      </c>
      <c r="J631">
        <f t="shared" si="68"/>
        <v>20032318</v>
      </c>
      <c r="K631" t="str">
        <f t="shared" si="69"/>
        <v>18.23.2003</v>
      </c>
    </row>
    <row r="632" spans="1:11" x14ac:dyDescent="0.25">
      <c r="A632" s="4" t="s">
        <v>658</v>
      </c>
      <c r="B632" t="s">
        <v>8</v>
      </c>
      <c r="C632" t="s">
        <v>6</v>
      </c>
      <c r="D632" s="3">
        <f t="shared" si="63"/>
        <v>16</v>
      </c>
      <c r="E632" s="4">
        <f t="shared" si="64"/>
        <v>21</v>
      </c>
      <c r="F632" s="4">
        <f t="shared" si="65"/>
        <v>1</v>
      </c>
      <c r="G632" s="3">
        <f>IF(E632&gt;=20,2000,1900) + D632</f>
        <v>2016</v>
      </c>
      <c r="H632">
        <f t="shared" si="66"/>
        <v>1</v>
      </c>
      <c r="I632" s="4">
        <f t="shared" si="67"/>
        <v>1</v>
      </c>
      <c r="J632">
        <f t="shared" si="68"/>
        <v>20162101</v>
      </c>
      <c r="K632" t="str">
        <f t="shared" si="69"/>
        <v>01.21.2016</v>
      </c>
    </row>
    <row r="633" spans="1:11" x14ac:dyDescent="0.25">
      <c r="A633" s="4" t="s">
        <v>659</v>
      </c>
      <c r="B633" t="s">
        <v>5</v>
      </c>
      <c r="C633" t="s">
        <v>6</v>
      </c>
      <c r="D633" s="3">
        <f t="shared" si="63"/>
        <v>18</v>
      </c>
      <c r="E633" s="4">
        <f t="shared" si="64"/>
        <v>32</v>
      </c>
      <c r="F633" s="4">
        <f t="shared" si="65"/>
        <v>14</v>
      </c>
      <c r="G633" s="3">
        <f>IF(E633&gt;=20,2000,1900) + D633</f>
        <v>2018</v>
      </c>
      <c r="H633">
        <f t="shared" si="66"/>
        <v>12</v>
      </c>
      <c r="I633" s="4">
        <f t="shared" si="67"/>
        <v>14</v>
      </c>
      <c r="J633">
        <f t="shared" si="68"/>
        <v>20183214</v>
      </c>
      <c r="K633" t="str">
        <f t="shared" si="69"/>
        <v>14.32.2018</v>
      </c>
    </row>
    <row r="634" spans="1:11" x14ac:dyDescent="0.25">
      <c r="A634" s="4" t="s">
        <v>660</v>
      </c>
      <c r="B634" t="s">
        <v>12</v>
      </c>
      <c r="C634" t="s">
        <v>4</v>
      </c>
      <c r="D634" s="3">
        <f t="shared" si="63"/>
        <v>16</v>
      </c>
      <c r="E634" s="4">
        <f t="shared" si="64"/>
        <v>26</v>
      </c>
      <c r="F634" s="4">
        <f t="shared" si="65"/>
        <v>16</v>
      </c>
      <c r="G634" s="3">
        <f>IF(E634&gt;=20,2000,1900) + D634</f>
        <v>2016</v>
      </c>
      <c r="H634">
        <f t="shared" si="66"/>
        <v>6</v>
      </c>
      <c r="I634" s="4">
        <f t="shared" si="67"/>
        <v>16</v>
      </c>
      <c r="J634">
        <f t="shared" si="68"/>
        <v>20162616</v>
      </c>
      <c r="K634" t="str">
        <f t="shared" si="69"/>
        <v>16.26.2016</v>
      </c>
    </row>
    <row r="635" spans="1:11" x14ac:dyDescent="0.25">
      <c r="A635" s="4" t="s">
        <v>661</v>
      </c>
      <c r="B635" t="s">
        <v>13</v>
      </c>
      <c r="C635" t="s">
        <v>4</v>
      </c>
      <c r="D635" s="3">
        <f t="shared" si="63"/>
        <v>7</v>
      </c>
      <c r="E635" s="4">
        <f t="shared" si="64"/>
        <v>27</v>
      </c>
      <c r="F635" s="4">
        <f t="shared" si="65"/>
        <v>2</v>
      </c>
      <c r="G635" s="3">
        <f>IF(E635&gt;=20,2000,1900) + D635</f>
        <v>2007</v>
      </c>
      <c r="H635">
        <f t="shared" si="66"/>
        <v>7</v>
      </c>
      <c r="I635" s="4">
        <f t="shared" si="67"/>
        <v>2</v>
      </c>
      <c r="J635">
        <f t="shared" si="68"/>
        <v>20072702</v>
      </c>
      <c r="K635" t="str">
        <f t="shared" si="69"/>
        <v>02.27.2007</v>
      </c>
    </row>
    <row r="636" spans="1:11" x14ac:dyDescent="0.25">
      <c r="A636" s="4" t="s">
        <v>662</v>
      </c>
      <c r="B636" t="s">
        <v>20</v>
      </c>
      <c r="C636" t="s">
        <v>6</v>
      </c>
      <c r="D636" s="3">
        <f t="shared" si="63"/>
        <v>12</v>
      </c>
      <c r="E636" s="4">
        <f t="shared" si="64"/>
        <v>23</v>
      </c>
      <c r="F636" s="4">
        <f t="shared" si="65"/>
        <v>3</v>
      </c>
      <c r="G636" s="3">
        <f>IF(E636&gt;=20,2000,1900) + D636</f>
        <v>2012</v>
      </c>
      <c r="H636">
        <f t="shared" si="66"/>
        <v>3</v>
      </c>
      <c r="I636" s="4">
        <f t="shared" si="67"/>
        <v>3</v>
      </c>
      <c r="J636">
        <f t="shared" si="68"/>
        <v>20122303</v>
      </c>
      <c r="K636" t="str">
        <f t="shared" si="69"/>
        <v>03.23.2012</v>
      </c>
    </row>
    <row r="637" spans="1:11" x14ac:dyDescent="0.25">
      <c r="A637" s="4" t="s">
        <v>663</v>
      </c>
      <c r="B637" t="s">
        <v>3</v>
      </c>
      <c r="C637" t="s">
        <v>6</v>
      </c>
      <c r="D637" s="3">
        <f t="shared" si="63"/>
        <v>19</v>
      </c>
      <c r="E637" s="4">
        <f t="shared" si="64"/>
        <v>31</v>
      </c>
      <c r="F637" s="4">
        <f t="shared" si="65"/>
        <v>22</v>
      </c>
      <c r="G637" s="3">
        <f>IF(E637&gt;=20,2000,1900) + D637</f>
        <v>2019</v>
      </c>
      <c r="H637">
        <f t="shared" si="66"/>
        <v>11</v>
      </c>
      <c r="I637" s="4">
        <f t="shared" si="67"/>
        <v>22</v>
      </c>
      <c r="J637">
        <f t="shared" si="68"/>
        <v>20193122</v>
      </c>
      <c r="K637" t="str">
        <f t="shared" si="69"/>
        <v>22.31.2019</v>
      </c>
    </row>
    <row r="638" spans="1:11" x14ac:dyDescent="0.25">
      <c r="A638" s="4" t="s">
        <v>664</v>
      </c>
      <c r="B638" t="s">
        <v>19</v>
      </c>
      <c r="C638" t="s">
        <v>6</v>
      </c>
      <c r="D638" s="3">
        <f t="shared" si="63"/>
        <v>1</v>
      </c>
      <c r="E638" s="4">
        <f t="shared" si="64"/>
        <v>30</v>
      </c>
      <c r="F638" s="4">
        <f t="shared" si="65"/>
        <v>8</v>
      </c>
      <c r="G638" s="3">
        <f>IF(E638&gt;=20,2000,1900) + D638</f>
        <v>2001</v>
      </c>
      <c r="H638">
        <f t="shared" si="66"/>
        <v>10</v>
      </c>
      <c r="I638" s="4">
        <f t="shared" si="67"/>
        <v>8</v>
      </c>
      <c r="J638">
        <f t="shared" si="68"/>
        <v>20013008</v>
      </c>
      <c r="K638" t="str">
        <f t="shared" si="69"/>
        <v>08.30.2001</v>
      </c>
    </row>
    <row r="639" spans="1:11" x14ac:dyDescent="0.25">
      <c r="A639" s="4" t="s">
        <v>665</v>
      </c>
      <c r="B639" t="s">
        <v>10</v>
      </c>
      <c r="C639" t="s">
        <v>4</v>
      </c>
      <c r="D639" s="3">
        <f t="shared" si="63"/>
        <v>19</v>
      </c>
      <c r="E639" s="4">
        <f t="shared" si="64"/>
        <v>21</v>
      </c>
      <c r="F639" s="4">
        <f t="shared" si="65"/>
        <v>11</v>
      </c>
      <c r="G639" s="3">
        <f>IF(E639&gt;=20,2000,1900) + D639</f>
        <v>2019</v>
      </c>
      <c r="H639">
        <f t="shared" si="66"/>
        <v>1</v>
      </c>
      <c r="I639" s="4">
        <f t="shared" si="67"/>
        <v>11</v>
      </c>
      <c r="J639">
        <f t="shared" si="68"/>
        <v>20192111</v>
      </c>
      <c r="K639" t="str">
        <f t="shared" si="69"/>
        <v>11.21.2019</v>
      </c>
    </row>
    <row r="640" spans="1:11" x14ac:dyDescent="0.25">
      <c r="A640" s="4" t="s">
        <v>666</v>
      </c>
      <c r="B640" t="s">
        <v>16</v>
      </c>
      <c r="C640" t="s">
        <v>4</v>
      </c>
      <c r="D640" s="3">
        <f t="shared" si="63"/>
        <v>22</v>
      </c>
      <c r="E640" s="4">
        <f t="shared" si="64"/>
        <v>24</v>
      </c>
      <c r="F640" s="4">
        <f t="shared" si="65"/>
        <v>26</v>
      </c>
      <c r="G640" s="3">
        <f>IF(E640&gt;=20,2000,1900) + D640</f>
        <v>2022</v>
      </c>
      <c r="H640">
        <f t="shared" si="66"/>
        <v>4</v>
      </c>
      <c r="I640" s="4">
        <f t="shared" si="67"/>
        <v>26</v>
      </c>
      <c r="J640">
        <f t="shared" si="68"/>
        <v>20222426</v>
      </c>
      <c r="K640" t="str">
        <f t="shared" si="69"/>
        <v>26.24.2022</v>
      </c>
    </row>
    <row r="641" spans="1:11" x14ac:dyDescent="0.25">
      <c r="A641" s="4" t="s">
        <v>667</v>
      </c>
      <c r="B641" t="s">
        <v>8</v>
      </c>
      <c r="C641" t="s">
        <v>6</v>
      </c>
      <c r="D641" s="3">
        <f t="shared" si="63"/>
        <v>22</v>
      </c>
      <c r="E641" s="4">
        <f t="shared" si="64"/>
        <v>23</v>
      </c>
      <c r="F641" s="4">
        <f t="shared" si="65"/>
        <v>11</v>
      </c>
      <c r="G641" s="3">
        <f>IF(E641&gt;=20,2000,1900) + D641</f>
        <v>2022</v>
      </c>
      <c r="H641">
        <f t="shared" si="66"/>
        <v>3</v>
      </c>
      <c r="I641" s="4">
        <f t="shared" si="67"/>
        <v>11</v>
      </c>
      <c r="J641">
        <f t="shared" si="68"/>
        <v>20222311</v>
      </c>
      <c r="K641" t="str">
        <f t="shared" si="69"/>
        <v>11.23.2022</v>
      </c>
    </row>
    <row r="642" spans="1:11" x14ac:dyDescent="0.25">
      <c r="A642" s="4" t="s">
        <v>668</v>
      </c>
      <c r="B642" t="s">
        <v>20</v>
      </c>
      <c r="C642" t="s">
        <v>4</v>
      </c>
      <c r="D642" s="3">
        <f t="shared" si="63"/>
        <v>7</v>
      </c>
      <c r="E642" s="4">
        <f t="shared" si="64"/>
        <v>26</v>
      </c>
      <c r="F642" s="4">
        <f t="shared" si="65"/>
        <v>27</v>
      </c>
      <c r="G642" s="3">
        <f>IF(E642&gt;=20,2000,1900) + D642</f>
        <v>2007</v>
      </c>
      <c r="H642">
        <f t="shared" si="66"/>
        <v>6</v>
      </c>
      <c r="I642" s="4">
        <f t="shared" si="67"/>
        <v>27</v>
      </c>
      <c r="J642">
        <f t="shared" si="68"/>
        <v>20072627</v>
      </c>
      <c r="K642" t="str">
        <f t="shared" si="69"/>
        <v>27.26.2007</v>
      </c>
    </row>
    <row r="643" spans="1:11" x14ac:dyDescent="0.25">
      <c r="A643" s="4" t="s">
        <v>669</v>
      </c>
      <c r="B643" t="s">
        <v>17</v>
      </c>
      <c r="C643" t="s">
        <v>6</v>
      </c>
      <c r="D643" s="3">
        <f t="shared" ref="D643:D706" si="70">MID(A643,1,2)*1</f>
        <v>10</v>
      </c>
      <c r="E643" s="4">
        <f t="shared" ref="E643:E706" si="71">MID(A643,3,2)*1</f>
        <v>24</v>
      </c>
      <c r="F643" s="4">
        <f t="shared" ref="F643:F706" si="72">MID(A643,5,2)*1</f>
        <v>21</v>
      </c>
      <c r="G643" s="3">
        <f>IF(E643&gt;=20,2000,1900) + D643</f>
        <v>2010</v>
      </c>
      <c r="H643">
        <f t="shared" ref="H643:H706" si="73">IF(E643&gt;=20,E643-20,E643)</f>
        <v>4</v>
      </c>
      <c r="I643" s="4">
        <f t="shared" ref="I643:I706" si="74">F643</f>
        <v>21</v>
      </c>
      <c r="J643">
        <f t="shared" ref="J643:J706" si="75">CONCATENATE(G643,IF(LEN(E643)=1,CONCATENATE("0",E643),E643),IF(LEN(F643)=1,CONCATENATE("0",F643),F643))*1</f>
        <v>20102421</v>
      </c>
      <c r="K643" t="str">
        <f t="shared" ref="K643:K706" si="76">CONCATENATE(RIGHT(J643,2),".",MID(J643,5,2),".",LEFT(J643,4))</f>
        <v>21.24.2010</v>
      </c>
    </row>
    <row r="644" spans="1:11" x14ac:dyDescent="0.25">
      <c r="A644" s="4" t="s">
        <v>670</v>
      </c>
      <c r="B644" t="s">
        <v>18</v>
      </c>
      <c r="C644" t="s">
        <v>4</v>
      </c>
      <c r="D644" s="3">
        <f t="shared" si="70"/>
        <v>5</v>
      </c>
      <c r="E644" s="4">
        <f t="shared" si="71"/>
        <v>29</v>
      </c>
      <c r="F644" s="4">
        <f t="shared" si="72"/>
        <v>22</v>
      </c>
      <c r="G644" s="3">
        <f>IF(E644&gt;=20,2000,1900) + D644</f>
        <v>2005</v>
      </c>
      <c r="H644">
        <f t="shared" si="73"/>
        <v>9</v>
      </c>
      <c r="I644" s="4">
        <f t="shared" si="74"/>
        <v>22</v>
      </c>
      <c r="J644">
        <f t="shared" si="75"/>
        <v>20052922</v>
      </c>
      <c r="K644" t="str">
        <f t="shared" si="76"/>
        <v>22.29.2005</v>
      </c>
    </row>
    <row r="645" spans="1:11" x14ac:dyDescent="0.25">
      <c r="A645" s="4" t="s">
        <v>671</v>
      </c>
      <c r="B645" t="s">
        <v>8</v>
      </c>
      <c r="C645" t="s">
        <v>4</v>
      </c>
      <c r="D645" s="3">
        <f t="shared" si="70"/>
        <v>14</v>
      </c>
      <c r="E645" s="4">
        <f t="shared" si="71"/>
        <v>28</v>
      </c>
      <c r="F645" s="4">
        <f t="shared" si="72"/>
        <v>22</v>
      </c>
      <c r="G645" s="3">
        <f>IF(E645&gt;=20,2000,1900) + D645</f>
        <v>2014</v>
      </c>
      <c r="H645">
        <f t="shared" si="73"/>
        <v>8</v>
      </c>
      <c r="I645" s="4">
        <f t="shared" si="74"/>
        <v>22</v>
      </c>
      <c r="J645">
        <f t="shared" si="75"/>
        <v>20142822</v>
      </c>
      <c r="K645" t="str">
        <f t="shared" si="76"/>
        <v>22.28.2014</v>
      </c>
    </row>
    <row r="646" spans="1:11" x14ac:dyDescent="0.25">
      <c r="A646" s="4" t="s">
        <v>672</v>
      </c>
      <c r="B646" t="s">
        <v>5</v>
      </c>
      <c r="C646" t="s">
        <v>6</v>
      </c>
      <c r="D646" s="3">
        <f t="shared" si="70"/>
        <v>18</v>
      </c>
      <c r="E646" s="4">
        <f t="shared" si="71"/>
        <v>23</v>
      </c>
      <c r="F646" s="4">
        <f t="shared" si="72"/>
        <v>2</v>
      </c>
      <c r="G646" s="3">
        <f>IF(E646&gt;=20,2000,1900) + D646</f>
        <v>2018</v>
      </c>
      <c r="H646">
        <f t="shared" si="73"/>
        <v>3</v>
      </c>
      <c r="I646" s="4">
        <f t="shared" si="74"/>
        <v>2</v>
      </c>
      <c r="J646">
        <f t="shared" si="75"/>
        <v>20182302</v>
      </c>
      <c r="K646" t="str">
        <f t="shared" si="76"/>
        <v>02.23.2018</v>
      </c>
    </row>
    <row r="647" spans="1:11" x14ac:dyDescent="0.25">
      <c r="A647" s="4" t="s">
        <v>673</v>
      </c>
      <c r="B647" t="s">
        <v>3</v>
      </c>
      <c r="C647" t="s">
        <v>6</v>
      </c>
      <c r="D647" s="3">
        <f t="shared" si="70"/>
        <v>9</v>
      </c>
      <c r="E647" s="4">
        <f t="shared" si="71"/>
        <v>31</v>
      </c>
      <c r="F647" s="4">
        <f t="shared" si="72"/>
        <v>3</v>
      </c>
      <c r="G647" s="3">
        <f>IF(E647&gt;=20,2000,1900) + D647</f>
        <v>2009</v>
      </c>
      <c r="H647">
        <f t="shared" si="73"/>
        <v>11</v>
      </c>
      <c r="I647" s="4">
        <f t="shared" si="74"/>
        <v>3</v>
      </c>
      <c r="J647">
        <f t="shared" si="75"/>
        <v>20093103</v>
      </c>
      <c r="K647" t="str">
        <f t="shared" si="76"/>
        <v>03.31.2009</v>
      </c>
    </row>
    <row r="648" spans="1:11" x14ac:dyDescent="0.25">
      <c r="A648" s="4" t="s">
        <v>674</v>
      </c>
      <c r="B648" t="s">
        <v>11</v>
      </c>
      <c r="C648" t="s">
        <v>4</v>
      </c>
      <c r="D648" s="3">
        <f t="shared" si="70"/>
        <v>14</v>
      </c>
      <c r="E648" s="4">
        <f t="shared" si="71"/>
        <v>29</v>
      </c>
      <c r="F648" s="4">
        <f t="shared" si="72"/>
        <v>13</v>
      </c>
      <c r="G648" s="3">
        <f>IF(E648&gt;=20,2000,1900) + D648</f>
        <v>2014</v>
      </c>
      <c r="H648">
        <f t="shared" si="73"/>
        <v>9</v>
      </c>
      <c r="I648" s="4">
        <f t="shared" si="74"/>
        <v>13</v>
      </c>
      <c r="J648">
        <f t="shared" si="75"/>
        <v>20142913</v>
      </c>
      <c r="K648" t="str">
        <f t="shared" si="76"/>
        <v>13.29.2014</v>
      </c>
    </row>
    <row r="649" spans="1:11" x14ac:dyDescent="0.25">
      <c r="A649" s="4" t="s">
        <v>675</v>
      </c>
      <c r="B649" t="s">
        <v>16</v>
      </c>
      <c r="C649" t="s">
        <v>6</v>
      </c>
      <c r="D649" s="3">
        <f t="shared" si="70"/>
        <v>5</v>
      </c>
      <c r="E649" s="4">
        <f t="shared" si="71"/>
        <v>22</v>
      </c>
      <c r="F649" s="4">
        <f t="shared" si="72"/>
        <v>8</v>
      </c>
      <c r="G649" s="3">
        <f>IF(E649&gt;=20,2000,1900) + D649</f>
        <v>2005</v>
      </c>
      <c r="H649">
        <f t="shared" si="73"/>
        <v>2</v>
      </c>
      <c r="I649" s="4">
        <f t="shared" si="74"/>
        <v>8</v>
      </c>
      <c r="J649">
        <f t="shared" si="75"/>
        <v>20052208</v>
      </c>
      <c r="K649" t="str">
        <f t="shared" si="76"/>
        <v>08.22.2005</v>
      </c>
    </row>
    <row r="650" spans="1:11" x14ac:dyDescent="0.25">
      <c r="A650" s="4" t="s">
        <v>676</v>
      </c>
      <c r="B650" t="s">
        <v>14</v>
      </c>
      <c r="C650" t="s">
        <v>6</v>
      </c>
      <c r="D650" s="3">
        <f t="shared" si="70"/>
        <v>1</v>
      </c>
      <c r="E650" s="4">
        <f t="shared" si="71"/>
        <v>29</v>
      </c>
      <c r="F650" s="4">
        <f t="shared" si="72"/>
        <v>15</v>
      </c>
      <c r="G650" s="3">
        <f>IF(E650&gt;=20,2000,1900) + D650</f>
        <v>2001</v>
      </c>
      <c r="H650">
        <f t="shared" si="73"/>
        <v>9</v>
      </c>
      <c r="I650" s="4">
        <f t="shared" si="74"/>
        <v>15</v>
      </c>
      <c r="J650">
        <f t="shared" si="75"/>
        <v>20012915</v>
      </c>
      <c r="K650" t="str">
        <f t="shared" si="76"/>
        <v>15.29.2001</v>
      </c>
    </row>
    <row r="651" spans="1:11" x14ac:dyDescent="0.25">
      <c r="A651" s="4" t="s">
        <v>677</v>
      </c>
      <c r="B651" t="s">
        <v>13</v>
      </c>
      <c r="C651" t="s">
        <v>4</v>
      </c>
      <c r="D651" s="3">
        <f t="shared" si="70"/>
        <v>3</v>
      </c>
      <c r="E651" s="4">
        <f t="shared" si="71"/>
        <v>22</v>
      </c>
      <c r="F651" s="4">
        <f t="shared" si="72"/>
        <v>10</v>
      </c>
      <c r="G651" s="3">
        <f>IF(E651&gt;=20,2000,1900) + D651</f>
        <v>2003</v>
      </c>
      <c r="H651">
        <f t="shared" si="73"/>
        <v>2</v>
      </c>
      <c r="I651" s="4">
        <f t="shared" si="74"/>
        <v>10</v>
      </c>
      <c r="J651">
        <f t="shared" si="75"/>
        <v>20032210</v>
      </c>
      <c r="K651" t="str">
        <f t="shared" si="76"/>
        <v>10.22.2003</v>
      </c>
    </row>
    <row r="652" spans="1:11" x14ac:dyDescent="0.25">
      <c r="A652" s="4" t="s">
        <v>678</v>
      </c>
      <c r="B652" t="s">
        <v>14</v>
      </c>
      <c r="C652" t="s">
        <v>4</v>
      </c>
      <c r="D652" s="3">
        <f t="shared" si="70"/>
        <v>13</v>
      </c>
      <c r="E652" s="4">
        <f t="shared" si="71"/>
        <v>28</v>
      </c>
      <c r="F652" s="4">
        <f t="shared" si="72"/>
        <v>16</v>
      </c>
      <c r="G652" s="3">
        <f>IF(E652&gt;=20,2000,1900) + D652</f>
        <v>2013</v>
      </c>
      <c r="H652">
        <f t="shared" si="73"/>
        <v>8</v>
      </c>
      <c r="I652" s="4">
        <f t="shared" si="74"/>
        <v>16</v>
      </c>
      <c r="J652">
        <f t="shared" si="75"/>
        <v>20132816</v>
      </c>
      <c r="K652" t="str">
        <f t="shared" si="76"/>
        <v>16.28.2013</v>
      </c>
    </row>
    <row r="653" spans="1:11" x14ac:dyDescent="0.25">
      <c r="A653" s="4" t="s">
        <v>679</v>
      </c>
      <c r="B653" t="s">
        <v>19</v>
      </c>
      <c r="C653" t="s">
        <v>6</v>
      </c>
      <c r="D653" s="3">
        <f t="shared" si="70"/>
        <v>22</v>
      </c>
      <c r="E653" s="4">
        <f t="shared" si="71"/>
        <v>26</v>
      </c>
      <c r="F653" s="4">
        <f t="shared" si="72"/>
        <v>6</v>
      </c>
      <c r="G653" s="3">
        <f>IF(E653&gt;=20,2000,1900) + D653</f>
        <v>2022</v>
      </c>
      <c r="H653">
        <f t="shared" si="73"/>
        <v>6</v>
      </c>
      <c r="I653" s="4">
        <f t="shared" si="74"/>
        <v>6</v>
      </c>
      <c r="J653">
        <f t="shared" si="75"/>
        <v>20222606</v>
      </c>
      <c r="K653" t="str">
        <f t="shared" si="76"/>
        <v>06.26.2022</v>
      </c>
    </row>
    <row r="654" spans="1:11" x14ac:dyDescent="0.25">
      <c r="A654" s="4" t="s">
        <v>680</v>
      </c>
      <c r="B654" t="s">
        <v>5</v>
      </c>
      <c r="C654" t="s">
        <v>4</v>
      </c>
      <c r="D654" s="3">
        <f t="shared" si="70"/>
        <v>16</v>
      </c>
      <c r="E654" s="4">
        <f t="shared" si="71"/>
        <v>26</v>
      </c>
      <c r="F654" s="4">
        <f t="shared" si="72"/>
        <v>29</v>
      </c>
      <c r="G654" s="3">
        <f>IF(E654&gt;=20,2000,1900) + D654</f>
        <v>2016</v>
      </c>
      <c r="H654">
        <f t="shared" si="73"/>
        <v>6</v>
      </c>
      <c r="I654" s="4">
        <f t="shared" si="74"/>
        <v>29</v>
      </c>
      <c r="J654">
        <f t="shared" si="75"/>
        <v>20162629</v>
      </c>
      <c r="K654" t="str">
        <f t="shared" si="76"/>
        <v>29.26.2016</v>
      </c>
    </row>
    <row r="655" spans="1:11" x14ac:dyDescent="0.25">
      <c r="A655" s="4" t="s">
        <v>681</v>
      </c>
      <c r="B655" t="s">
        <v>7</v>
      </c>
      <c r="C655" t="s">
        <v>4</v>
      </c>
      <c r="D655" s="3">
        <f t="shared" si="70"/>
        <v>3</v>
      </c>
      <c r="E655" s="4">
        <f t="shared" si="71"/>
        <v>26</v>
      </c>
      <c r="F655" s="4">
        <f t="shared" si="72"/>
        <v>25</v>
      </c>
      <c r="G655" s="3">
        <f>IF(E655&gt;=20,2000,1900) + D655</f>
        <v>2003</v>
      </c>
      <c r="H655">
        <f t="shared" si="73"/>
        <v>6</v>
      </c>
      <c r="I655" s="4">
        <f t="shared" si="74"/>
        <v>25</v>
      </c>
      <c r="J655">
        <f t="shared" si="75"/>
        <v>20032625</v>
      </c>
      <c r="K655" t="str">
        <f t="shared" si="76"/>
        <v>25.26.2003</v>
      </c>
    </row>
    <row r="656" spans="1:11" x14ac:dyDescent="0.25">
      <c r="A656" s="4" t="s">
        <v>682</v>
      </c>
      <c r="B656" t="s">
        <v>18</v>
      </c>
      <c r="C656" t="s">
        <v>6</v>
      </c>
      <c r="D656" s="3">
        <f t="shared" si="70"/>
        <v>8</v>
      </c>
      <c r="E656" s="4">
        <f t="shared" si="71"/>
        <v>26</v>
      </c>
      <c r="F656" s="4">
        <f t="shared" si="72"/>
        <v>16</v>
      </c>
      <c r="G656" s="3">
        <f>IF(E656&gt;=20,2000,1900) + D656</f>
        <v>2008</v>
      </c>
      <c r="H656">
        <f t="shared" si="73"/>
        <v>6</v>
      </c>
      <c r="I656" s="4">
        <f t="shared" si="74"/>
        <v>16</v>
      </c>
      <c r="J656">
        <f t="shared" si="75"/>
        <v>20082616</v>
      </c>
      <c r="K656" t="str">
        <f t="shared" si="76"/>
        <v>16.26.2008</v>
      </c>
    </row>
    <row r="657" spans="1:11" x14ac:dyDescent="0.25">
      <c r="A657" s="4" t="s">
        <v>683</v>
      </c>
      <c r="B657" t="s">
        <v>19</v>
      </c>
      <c r="C657" t="s">
        <v>4</v>
      </c>
      <c r="D657" s="3">
        <f t="shared" si="70"/>
        <v>7</v>
      </c>
      <c r="E657" s="4">
        <f t="shared" si="71"/>
        <v>22</v>
      </c>
      <c r="F657" s="4">
        <f t="shared" si="72"/>
        <v>16</v>
      </c>
      <c r="G657" s="3">
        <f>IF(E657&gt;=20,2000,1900) + D657</f>
        <v>2007</v>
      </c>
      <c r="H657">
        <f t="shared" si="73"/>
        <v>2</v>
      </c>
      <c r="I657" s="4">
        <f t="shared" si="74"/>
        <v>16</v>
      </c>
      <c r="J657">
        <f t="shared" si="75"/>
        <v>20072216</v>
      </c>
      <c r="K657" t="str">
        <f t="shared" si="76"/>
        <v>16.22.2007</v>
      </c>
    </row>
    <row r="658" spans="1:11" x14ac:dyDescent="0.25">
      <c r="A658" s="4" t="s">
        <v>684</v>
      </c>
      <c r="B658" t="s">
        <v>19</v>
      </c>
      <c r="C658" t="s">
        <v>4</v>
      </c>
      <c r="D658" s="3">
        <f t="shared" si="70"/>
        <v>3</v>
      </c>
      <c r="E658" s="4">
        <f t="shared" si="71"/>
        <v>22</v>
      </c>
      <c r="F658" s="4">
        <f t="shared" si="72"/>
        <v>10</v>
      </c>
      <c r="G658" s="3">
        <f>IF(E658&gt;=20,2000,1900) + D658</f>
        <v>2003</v>
      </c>
      <c r="H658">
        <f t="shared" si="73"/>
        <v>2</v>
      </c>
      <c r="I658" s="4">
        <f t="shared" si="74"/>
        <v>10</v>
      </c>
      <c r="J658">
        <f t="shared" si="75"/>
        <v>20032210</v>
      </c>
      <c r="K658" t="str">
        <f t="shared" si="76"/>
        <v>10.22.2003</v>
      </c>
    </row>
    <row r="659" spans="1:11" x14ac:dyDescent="0.25">
      <c r="A659" s="4" t="s">
        <v>685</v>
      </c>
      <c r="B659" t="s">
        <v>9</v>
      </c>
      <c r="C659" t="s">
        <v>4</v>
      </c>
      <c r="D659" s="3">
        <f t="shared" si="70"/>
        <v>11</v>
      </c>
      <c r="E659" s="4">
        <f t="shared" si="71"/>
        <v>26</v>
      </c>
      <c r="F659" s="4">
        <f t="shared" si="72"/>
        <v>8</v>
      </c>
      <c r="G659" s="3">
        <f>IF(E659&gt;=20,2000,1900) + D659</f>
        <v>2011</v>
      </c>
      <c r="H659">
        <f t="shared" si="73"/>
        <v>6</v>
      </c>
      <c r="I659" s="4">
        <f t="shared" si="74"/>
        <v>8</v>
      </c>
      <c r="J659">
        <f t="shared" si="75"/>
        <v>20112608</v>
      </c>
      <c r="K659" t="str">
        <f t="shared" si="76"/>
        <v>08.26.2011</v>
      </c>
    </row>
    <row r="660" spans="1:11" x14ac:dyDescent="0.25">
      <c r="A660" s="4" t="s">
        <v>686</v>
      </c>
      <c r="B660" t="s">
        <v>7</v>
      </c>
      <c r="C660" t="s">
        <v>4</v>
      </c>
      <c r="D660" s="3">
        <f t="shared" si="70"/>
        <v>14</v>
      </c>
      <c r="E660" s="4">
        <f t="shared" si="71"/>
        <v>24</v>
      </c>
      <c r="F660" s="4">
        <f t="shared" si="72"/>
        <v>11</v>
      </c>
      <c r="G660" s="3">
        <f>IF(E660&gt;=20,2000,1900) + D660</f>
        <v>2014</v>
      </c>
      <c r="H660">
        <f t="shared" si="73"/>
        <v>4</v>
      </c>
      <c r="I660" s="4">
        <f t="shared" si="74"/>
        <v>11</v>
      </c>
      <c r="J660">
        <f t="shared" si="75"/>
        <v>20142411</v>
      </c>
      <c r="K660" t="str">
        <f t="shared" si="76"/>
        <v>11.24.2014</v>
      </c>
    </row>
    <row r="661" spans="1:11" x14ac:dyDescent="0.25">
      <c r="A661" s="4" t="s">
        <v>687</v>
      </c>
      <c r="B661" t="s">
        <v>19</v>
      </c>
      <c r="C661" t="s">
        <v>4</v>
      </c>
      <c r="D661" s="3">
        <f t="shared" si="70"/>
        <v>12</v>
      </c>
      <c r="E661" s="4">
        <f t="shared" si="71"/>
        <v>24</v>
      </c>
      <c r="F661" s="4">
        <f t="shared" si="72"/>
        <v>12</v>
      </c>
      <c r="G661" s="3">
        <f>IF(E661&gt;=20,2000,1900) + D661</f>
        <v>2012</v>
      </c>
      <c r="H661">
        <f t="shared" si="73"/>
        <v>4</v>
      </c>
      <c r="I661" s="4">
        <f t="shared" si="74"/>
        <v>12</v>
      </c>
      <c r="J661">
        <f t="shared" si="75"/>
        <v>20122412</v>
      </c>
      <c r="K661" t="str">
        <f t="shared" si="76"/>
        <v>12.24.2012</v>
      </c>
    </row>
    <row r="662" spans="1:11" x14ac:dyDescent="0.25">
      <c r="A662" s="4" t="s">
        <v>688</v>
      </c>
      <c r="B662" t="s">
        <v>20</v>
      </c>
      <c r="C662" t="s">
        <v>6</v>
      </c>
      <c r="D662" s="3">
        <f t="shared" si="70"/>
        <v>4</v>
      </c>
      <c r="E662" s="4">
        <f t="shared" si="71"/>
        <v>21</v>
      </c>
      <c r="F662" s="4">
        <f t="shared" si="72"/>
        <v>31</v>
      </c>
      <c r="G662" s="3">
        <f>IF(E662&gt;=20,2000,1900) + D662</f>
        <v>2004</v>
      </c>
      <c r="H662">
        <f t="shared" si="73"/>
        <v>1</v>
      </c>
      <c r="I662" s="4">
        <f t="shared" si="74"/>
        <v>31</v>
      </c>
      <c r="J662">
        <f t="shared" si="75"/>
        <v>20042131</v>
      </c>
      <c r="K662" t="str">
        <f t="shared" si="76"/>
        <v>31.21.2004</v>
      </c>
    </row>
    <row r="663" spans="1:11" x14ac:dyDescent="0.25">
      <c r="A663" s="4" t="s">
        <v>689</v>
      </c>
      <c r="B663" t="s">
        <v>10</v>
      </c>
      <c r="C663" t="s">
        <v>4</v>
      </c>
      <c r="D663" s="3">
        <f t="shared" si="70"/>
        <v>10</v>
      </c>
      <c r="E663" s="4">
        <f t="shared" si="71"/>
        <v>24</v>
      </c>
      <c r="F663" s="4">
        <f t="shared" si="72"/>
        <v>7</v>
      </c>
      <c r="G663" s="3">
        <f>IF(E663&gt;=20,2000,1900) + D663</f>
        <v>2010</v>
      </c>
      <c r="H663">
        <f t="shared" si="73"/>
        <v>4</v>
      </c>
      <c r="I663" s="4">
        <f t="shared" si="74"/>
        <v>7</v>
      </c>
      <c r="J663">
        <f t="shared" si="75"/>
        <v>20102407</v>
      </c>
      <c r="K663" t="str">
        <f t="shared" si="76"/>
        <v>07.24.2010</v>
      </c>
    </row>
    <row r="664" spans="1:11" x14ac:dyDescent="0.25">
      <c r="A664" s="4" t="s">
        <v>690</v>
      </c>
      <c r="B664" t="s">
        <v>17</v>
      </c>
      <c r="C664" t="s">
        <v>6</v>
      </c>
      <c r="D664" s="3">
        <f t="shared" si="70"/>
        <v>19</v>
      </c>
      <c r="E664" s="4">
        <f t="shared" si="71"/>
        <v>25</v>
      </c>
      <c r="F664" s="4">
        <f t="shared" si="72"/>
        <v>11</v>
      </c>
      <c r="G664" s="3">
        <f>IF(E664&gt;=20,2000,1900) + D664</f>
        <v>2019</v>
      </c>
      <c r="H664">
        <f t="shared" si="73"/>
        <v>5</v>
      </c>
      <c r="I664" s="4">
        <f t="shared" si="74"/>
        <v>11</v>
      </c>
      <c r="J664">
        <f t="shared" si="75"/>
        <v>20192511</v>
      </c>
      <c r="K664" t="str">
        <f t="shared" si="76"/>
        <v>11.25.2019</v>
      </c>
    </row>
    <row r="665" spans="1:11" x14ac:dyDescent="0.25">
      <c r="A665" s="4" t="s">
        <v>691</v>
      </c>
      <c r="B665" t="s">
        <v>14</v>
      </c>
      <c r="C665" t="s">
        <v>4</v>
      </c>
      <c r="D665" s="3">
        <f t="shared" si="70"/>
        <v>2</v>
      </c>
      <c r="E665" s="4">
        <f t="shared" si="71"/>
        <v>21</v>
      </c>
      <c r="F665" s="4">
        <f t="shared" si="72"/>
        <v>8</v>
      </c>
      <c r="G665" s="3">
        <f>IF(E665&gt;=20,2000,1900) + D665</f>
        <v>2002</v>
      </c>
      <c r="H665">
        <f t="shared" si="73"/>
        <v>1</v>
      </c>
      <c r="I665" s="4">
        <f t="shared" si="74"/>
        <v>8</v>
      </c>
      <c r="J665">
        <f t="shared" si="75"/>
        <v>20022108</v>
      </c>
      <c r="K665" t="str">
        <f t="shared" si="76"/>
        <v>08.21.2002</v>
      </c>
    </row>
    <row r="666" spans="1:11" x14ac:dyDescent="0.25">
      <c r="A666" s="4" t="s">
        <v>692</v>
      </c>
      <c r="B666" t="s">
        <v>19</v>
      </c>
      <c r="C666" t="s">
        <v>4</v>
      </c>
      <c r="D666" s="3">
        <f t="shared" si="70"/>
        <v>16</v>
      </c>
      <c r="E666" s="4">
        <f t="shared" si="71"/>
        <v>32</v>
      </c>
      <c r="F666" s="4">
        <f t="shared" si="72"/>
        <v>3</v>
      </c>
      <c r="G666" s="3">
        <f>IF(E666&gt;=20,2000,1900) + D666</f>
        <v>2016</v>
      </c>
      <c r="H666">
        <f t="shared" si="73"/>
        <v>12</v>
      </c>
      <c r="I666" s="4">
        <f t="shared" si="74"/>
        <v>3</v>
      </c>
      <c r="J666">
        <f t="shared" si="75"/>
        <v>20163203</v>
      </c>
      <c r="K666" t="str">
        <f t="shared" si="76"/>
        <v>03.32.2016</v>
      </c>
    </row>
    <row r="667" spans="1:11" x14ac:dyDescent="0.25">
      <c r="A667" s="4" t="s">
        <v>693</v>
      </c>
      <c r="B667" t="s">
        <v>14</v>
      </c>
      <c r="C667" t="s">
        <v>4</v>
      </c>
      <c r="D667" s="3">
        <f t="shared" si="70"/>
        <v>22</v>
      </c>
      <c r="E667" s="4">
        <f t="shared" si="71"/>
        <v>29</v>
      </c>
      <c r="F667" s="4">
        <f t="shared" si="72"/>
        <v>5</v>
      </c>
      <c r="G667" s="3">
        <f>IF(E667&gt;=20,2000,1900) + D667</f>
        <v>2022</v>
      </c>
      <c r="H667">
        <f t="shared" si="73"/>
        <v>9</v>
      </c>
      <c r="I667" s="4">
        <f t="shared" si="74"/>
        <v>5</v>
      </c>
      <c r="J667">
        <f t="shared" si="75"/>
        <v>20222905</v>
      </c>
      <c r="K667" t="str">
        <f t="shared" si="76"/>
        <v>05.29.2022</v>
      </c>
    </row>
    <row r="668" spans="1:11" x14ac:dyDescent="0.25">
      <c r="A668" s="4" t="s">
        <v>694</v>
      </c>
      <c r="B668" t="s">
        <v>17</v>
      </c>
      <c r="C668" t="s">
        <v>4</v>
      </c>
      <c r="D668" s="3">
        <f t="shared" si="70"/>
        <v>15</v>
      </c>
      <c r="E668" s="4">
        <f t="shared" si="71"/>
        <v>27</v>
      </c>
      <c r="F668" s="4">
        <f t="shared" si="72"/>
        <v>28</v>
      </c>
      <c r="G668" s="3">
        <f>IF(E668&gt;=20,2000,1900) + D668</f>
        <v>2015</v>
      </c>
      <c r="H668">
        <f t="shared" si="73"/>
        <v>7</v>
      </c>
      <c r="I668" s="4">
        <f t="shared" si="74"/>
        <v>28</v>
      </c>
      <c r="J668">
        <f t="shared" si="75"/>
        <v>20152728</v>
      </c>
      <c r="K668" t="str">
        <f t="shared" si="76"/>
        <v>28.27.2015</v>
      </c>
    </row>
    <row r="669" spans="1:11" x14ac:dyDescent="0.25">
      <c r="A669" s="4" t="s">
        <v>695</v>
      </c>
      <c r="B669" t="s">
        <v>11</v>
      </c>
      <c r="C669" t="s">
        <v>4</v>
      </c>
      <c r="D669" s="3">
        <f t="shared" si="70"/>
        <v>22</v>
      </c>
      <c r="E669" s="4">
        <f t="shared" si="71"/>
        <v>30</v>
      </c>
      <c r="F669" s="4">
        <f t="shared" si="72"/>
        <v>12</v>
      </c>
      <c r="G669" s="3">
        <f>IF(E669&gt;=20,2000,1900) + D669</f>
        <v>2022</v>
      </c>
      <c r="H669">
        <f t="shared" si="73"/>
        <v>10</v>
      </c>
      <c r="I669" s="4">
        <f t="shared" si="74"/>
        <v>12</v>
      </c>
      <c r="J669">
        <f t="shared" si="75"/>
        <v>20223012</v>
      </c>
      <c r="K669" t="str">
        <f t="shared" si="76"/>
        <v>12.30.2022</v>
      </c>
    </row>
    <row r="670" spans="1:11" x14ac:dyDescent="0.25">
      <c r="A670" s="4" t="s">
        <v>696</v>
      </c>
      <c r="B670" t="s">
        <v>3</v>
      </c>
      <c r="C670" t="s">
        <v>6</v>
      </c>
      <c r="D670" s="3">
        <f t="shared" si="70"/>
        <v>12</v>
      </c>
      <c r="E670" s="4">
        <f t="shared" si="71"/>
        <v>29</v>
      </c>
      <c r="F670" s="4">
        <f t="shared" si="72"/>
        <v>30</v>
      </c>
      <c r="G670" s="3">
        <f>IF(E670&gt;=20,2000,1900) + D670</f>
        <v>2012</v>
      </c>
      <c r="H670">
        <f t="shared" si="73"/>
        <v>9</v>
      </c>
      <c r="I670" s="4">
        <f t="shared" si="74"/>
        <v>30</v>
      </c>
      <c r="J670">
        <f t="shared" si="75"/>
        <v>20122930</v>
      </c>
      <c r="K670" t="str">
        <f t="shared" si="76"/>
        <v>30.29.2012</v>
      </c>
    </row>
    <row r="671" spans="1:11" x14ac:dyDescent="0.25">
      <c r="A671" s="4" t="s">
        <v>697</v>
      </c>
      <c r="B671" t="s">
        <v>3</v>
      </c>
      <c r="C671" t="s">
        <v>6</v>
      </c>
      <c r="D671" s="3">
        <f t="shared" si="70"/>
        <v>11</v>
      </c>
      <c r="E671" s="4">
        <f t="shared" si="71"/>
        <v>22</v>
      </c>
      <c r="F671" s="4">
        <f t="shared" si="72"/>
        <v>4</v>
      </c>
      <c r="G671" s="3">
        <f>IF(E671&gt;=20,2000,1900) + D671</f>
        <v>2011</v>
      </c>
      <c r="H671">
        <f t="shared" si="73"/>
        <v>2</v>
      </c>
      <c r="I671" s="4">
        <f t="shared" si="74"/>
        <v>4</v>
      </c>
      <c r="J671">
        <f t="shared" si="75"/>
        <v>20112204</v>
      </c>
      <c r="K671" t="str">
        <f t="shared" si="76"/>
        <v>04.22.2011</v>
      </c>
    </row>
    <row r="672" spans="1:11" x14ac:dyDescent="0.25">
      <c r="A672" s="4" t="s">
        <v>698</v>
      </c>
      <c r="B672" t="s">
        <v>11</v>
      </c>
      <c r="C672" t="s">
        <v>4</v>
      </c>
      <c r="D672" s="3">
        <f t="shared" si="70"/>
        <v>6</v>
      </c>
      <c r="E672" s="4">
        <f t="shared" si="71"/>
        <v>32</v>
      </c>
      <c r="F672" s="4">
        <f t="shared" si="72"/>
        <v>16</v>
      </c>
      <c r="G672" s="3">
        <f>IF(E672&gt;=20,2000,1900) + D672</f>
        <v>2006</v>
      </c>
      <c r="H672">
        <f t="shared" si="73"/>
        <v>12</v>
      </c>
      <c r="I672" s="4">
        <f t="shared" si="74"/>
        <v>16</v>
      </c>
      <c r="J672">
        <f t="shared" si="75"/>
        <v>20063216</v>
      </c>
      <c r="K672" t="str">
        <f t="shared" si="76"/>
        <v>16.32.2006</v>
      </c>
    </row>
    <row r="673" spans="1:11" x14ac:dyDescent="0.25">
      <c r="A673" s="4" t="s">
        <v>699</v>
      </c>
      <c r="B673" t="s">
        <v>10</v>
      </c>
      <c r="C673" t="s">
        <v>4</v>
      </c>
      <c r="D673" s="3">
        <f t="shared" si="70"/>
        <v>8</v>
      </c>
      <c r="E673" s="4">
        <f t="shared" si="71"/>
        <v>27</v>
      </c>
      <c r="F673" s="4">
        <f t="shared" si="72"/>
        <v>18</v>
      </c>
      <c r="G673" s="3">
        <f>IF(E673&gt;=20,2000,1900) + D673</f>
        <v>2008</v>
      </c>
      <c r="H673">
        <f t="shared" si="73"/>
        <v>7</v>
      </c>
      <c r="I673" s="4">
        <f t="shared" si="74"/>
        <v>18</v>
      </c>
      <c r="J673">
        <f t="shared" si="75"/>
        <v>20082718</v>
      </c>
      <c r="K673" t="str">
        <f t="shared" si="76"/>
        <v>18.27.2008</v>
      </c>
    </row>
    <row r="674" spans="1:11" x14ac:dyDescent="0.25">
      <c r="A674" s="4" t="s">
        <v>700</v>
      </c>
      <c r="B674" t="s">
        <v>17</v>
      </c>
      <c r="C674" t="s">
        <v>6</v>
      </c>
      <c r="D674" s="3">
        <f t="shared" si="70"/>
        <v>12</v>
      </c>
      <c r="E674" s="4">
        <f t="shared" si="71"/>
        <v>22</v>
      </c>
      <c r="F674" s="4">
        <f t="shared" si="72"/>
        <v>1</v>
      </c>
      <c r="G674" s="3">
        <f>IF(E674&gt;=20,2000,1900) + D674</f>
        <v>2012</v>
      </c>
      <c r="H674">
        <f t="shared" si="73"/>
        <v>2</v>
      </c>
      <c r="I674" s="4">
        <f t="shared" si="74"/>
        <v>1</v>
      </c>
      <c r="J674">
        <f t="shared" si="75"/>
        <v>20122201</v>
      </c>
      <c r="K674" t="str">
        <f t="shared" si="76"/>
        <v>01.22.2012</v>
      </c>
    </row>
    <row r="675" spans="1:11" x14ac:dyDescent="0.25">
      <c r="A675" s="4" t="s">
        <v>701</v>
      </c>
      <c r="B675" t="s">
        <v>13</v>
      </c>
      <c r="C675" t="s">
        <v>6</v>
      </c>
      <c r="D675" s="3">
        <f t="shared" si="70"/>
        <v>18</v>
      </c>
      <c r="E675" s="4">
        <f t="shared" si="71"/>
        <v>27</v>
      </c>
      <c r="F675" s="4">
        <f t="shared" si="72"/>
        <v>18</v>
      </c>
      <c r="G675" s="3">
        <f>IF(E675&gt;=20,2000,1900) + D675</f>
        <v>2018</v>
      </c>
      <c r="H675">
        <f t="shared" si="73"/>
        <v>7</v>
      </c>
      <c r="I675" s="4">
        <f t="shared" si="74"/>
        <v>18</v>
      </c>
      <c r="J675">
        <f t="shared" si="75"/>
        <v>20182718</v>
      </c>
      <c r="K675" t="str">
        <f t="shared" si="76"/>
        <v>18.27.2018</v>
      </c>
    </row>
    <row r="676" spans="1:11" x14ac:dyDescent="0.25">
      <c r="A676" s="4" t="s">
        <v>702</v>
      </c>
      <c r="B676" t="s">
        <v>14</v>
      </c>
      <c r="C676" t="s">
        <v>6</v>
      </c>
      <c r="D676" s="3">
        <f t="shared" si="70"/>
        <v>6</v>
      </c>
      <c r="E676" s="4">
        <f t="shared" si="71"/>
        <v>21</v>
      </c>
      <c r="F676" s="4">
        <f t="shared" si="72"/>
        <v>8</v>
      </c>
      <c r="G676" s="3">
        <f>IF(E676&gt;=20,2000,1900) + D676</f>
        <v>2006</v>
      </c>
      <c r="H676">
        <f t="shared" si="73"/>
        <v>1</v>
      </c>
      <c r="I676" s="4">
        <f t="shared" si="74"/>
        <v>8</v>
      </c>
      <c r="J676">
        <f t="shared" si="75"/>
        <v>20062108</v>
      </c>
      <c r="K676" t="str">
        <f t="shared" si="76"/>
        <v>08.21.2006</v>
      </c>
    </row>
    <row r="677" spans="1:11" x14ac:dyDescent="0.25">
      <c r="A677" s="4" t="s">
        <v>703</v>
      </c>
      <c r="B677" t="s">
        <v>20</v>
      </c>
      <c r="C677" t="s">
        <v>4</v>
      </c>
      <c r="D677" s="3">
        <f t="shared" si="70"/>
        <v>8</v>
      </c>
      <c r="E677" s="4">
        <f t="shared" si="71"/>
        <v>24</v>
      </c>
      <c r="F677" s="4">
        <f t="shared" si="72"/>
        <v>13</v>
      </c>
      <c r="G677" s="3">
        <f>IF(E677&gt;=20,2000,1900) + D677</f>
        <v>2008</v>
      </c>
      <c r="H677">
        <f t="shared" si="73"/>
        <v>4</v>
      </c>
      <c r="I677" s="4">
        <f t="shared" si="74"/>
        <v>13</v>
      </c>
      <c r="J677">
        <f t="shared" si="75"/>
        <v>20082413</v>
      </c>
      <c r="K677" t="str">
        <f t="shared" si="76"/>
        <v>13.24.2008</v>
      </c>
    </row>
    <row r="678" spans="1:11" x14ac:dyDescent="0.25">
      <c r="A678" s="4" t="s">
        <v>704</v>
      </c>
      <c r="B678" t="s">
        <v>10</v>
      </c>
      <c r="C678" t="s">
        <v>4</v>
      </c>
      <c r="D678" s="3">
        <f t="shared" si="70"/>
        <v>15</v>
      </c>
      <c r="E678" s="4">
        <f t="shared" si="71"/>
        <v>32</v>
      </c>
      <c r="F678" s="4">
        <f t="shared" si="72"/>
        <v>11</v>
      </c>
      <c r="G678" s="3">
        <f>IF(E678&gt;=20,2000,1900) + D678</f>
        <v>2015</v>
      </c>
      <c r="H678">
        <f t="shared" si="73"/>
        <v>12</v>
      </c>
      <c r="I678" s="4">
        <f t="shared" si="74"/>
        <v>11</v>
      </c>
      <c r="J678">
        <f t="shared" si="75"/>
        <v>20153211</v>
      </c>
      <c r="K678" t="str">
        <f t="shared" si="76"/>
        <v>11.32.2015</v>
      </c>
    </row>
    <row r="679" spans="1:11" x14ac:dyDescent="0.25">
      <c r="A679" s="4" t="s">
        <v>705</v>
      </c>
      <c r="B679" t="s">
        <v>11</v>
      </c>
      <c r="C679" t="s">
        <v>4</v>
      </c>
      <c r="D679" s="3">
        <f t="shared" si="70"/>
        <v>9</v>
      </c>
      <c r="E679" s="4">
        <f t="shared" si="71"/>
        <v>23</v>
      </c>
      <c r="F679" s="4">
        <f t="shared" si="72"/>
        <v>3</v>
      </c>
      <c r="G679" s="3">
        <f>IF(E679&gt;=20,2000,1900) + D679</f>
        <v>2009</v>
      </c>
      <c r="H679">
        <f t="shared" si="73"/>
        <v>3</v>
      </c>
      <c r="I679" s="4">
        <f t="shared" si="74"/>
        <v>3</v>
      </c>
      <c r="J679">
        <f t="shared" si="75"/>
        <v>20092303</v>
      </c>
      <c r="K679" t="str">
        <f t="shared" si="76"/>
        <v>03.23.2009</v>
      </c>
    </row>
    <row r="680" spans="1:11" x14ac:dyDescent="0.25">
      <c r="A680" s="4" t="s">
        <v>706</v>
      </c>
      <c r="B680" t="s">
        <v>3</v>
      </c>
      <c r="C680" t="s">
        <v>4</v>
      </c>
      <c r="D680" s="3">
        <f t="shared" si="70"/>
        <v>9</v>
      </c>
      <c r="E680" s="4">
        <f t="shared" si="71"/>
        <v>28</v>
      </c>
      <c r="F680" s="4">
        <f t="shared" si="72"/>
        <v>22</v>
      </c>
      <c r="G680" s="3">
        <f>IF(E680&gt;=20,2000,1900) + D680</f>
        <v>2009</v>
      </c>
      <c r="H680">
        <f t="shared" si="73"/>
        <v>8</v>
      </c>
      <c r="I680" s="4">
        <f t="shared" si="74"/>
        <v>22</v>
      </c>
      <c r="J680">
        <f t="shared" si="75"/>
        <v>20092822</v>
      </c>
      <c r="K680" t="str">
        <f t="shared" si="76"/>
        <v>22.28.2009</v>
      </c>
    </row>
    <row r="681" spans="1:11" x14ac:dyDescent="0.25">
      <c r="A681" s="4" t="s">
        <v>707</v>
      </c>
      <c r="B681" t="s">
        <v>15</v>
      </c>
      <c r="C681" t="s">
        <v>4</v>
      </c>
      <c r="D681" s="3">
        <f t="shared" si="70"/>
        <v>12</v>
      </c>
      <c r="E681" s="4">
        <f t="shared" si="71"/>
        <v>27</v>
      </c>
      <c r="F681" s="4">
        <f t="shared" si="72"/>
        <v>22</v>
      </c>
      <c r="G681" s="3">
        <f>IF(E681&gt;=20,2000,1900) + D681</f>
        <v>2012</v>
      </c>
      <c r="H681">
        <f t="shared" si="73"/>
        <v>7</v>
      </c>
      <c r="I681" s="4">
        <f t="shared" si="74"/>
        <v>22</v>
      </c>
      <c r="J681">
        <f t="shared" si="75"/>
        <v>20122722</v>
      </c>
      <c r="K681" t="str">
        <f t="shared" si="76"/>
        <v>22.27.2012</v>
      </c>
    </row>
    <row r="682" spans="1:11" x14ac:dyDescent="0.25">
      <c r="A682" s="4" t="s">
        <v>708</v>
      </c>
      <c r="B682" t="s">
        <v>3</v>
      </c>
      <c r="C682" t="s">
        <v>6</v>
      </c>
      <c r="D682" s="3">
        <f t="shared" si="70"/>
        <v>6</v>
      </c>
      <c r="E682" s="4">
        <f t="shared" si="71"/>
        <v>26</v>
      </c>
      <c r="F682" s="4">
        <f t="shared" si="72"/>
        <v>17</v>
      </c>
      <c r="G682" s="3">
        <f>IF(E682&gt;=20,2000,1900) + D682</f>
        <v>2006</v>
      </c>
      <c r="H682">
        <f t="shared" si="73"/>
        <v>6</v>
      </c>
      <c r="I682" s="4">
        <f t="shared" si="74"/>
        <v>17</v>
      </c>
      <c r="J682">
        <f t="shared" si="75"/>
        <v>20062617</v>
      </c>
      <c r="K682" t="str">
        <f t="shared" si="76"/>
        <v>17.26.2006</v>
      </c>
    </row>
    <row r="683" spans="1:11" x14ac:dyDescent="0.25">
      <c r="A683" s="4" t="s">
        <v>709</v>
      </c>
      <c r="B683" t="s">
        <v>13</v>
      </c>
      <c r="C683" t="s">
        <v>6</v>
      </c>
      <c r="D683" s="3">
        <f t="shared" si="70"/>
        <v>12</v>
      </c>
      <c r="E683" s="4">
        <f t="shared" si="71"/>
        <v>29</v>
      </c>
      <c r="F683" s="4">
        <f t="shared" si="72"/>
        <v>6</v>
      </c>
      <c r="G683" s="3">
        <f>IF(E683&gt;=20,2000,1900) + D683</f>
        <v>2012</v>
      </c>
      <c r="H683">
        <f t="shared" si="73"/>
        <v>9</v>
      </c>
      <c r="I683" s="4">
        <f t="shared" si="74"/>
        <v>6</v>
      </c>
      <c r="J683">
        <f t="shared" si="75"/>
        <v>20122906</v>
      </c>
      <c r="K683" t="str">
        <f t="shared" si="76"/>
        <v>06.29.2012</v>
      </c>
    </row>
    <row r="684" spans="1:11" x14ac:dyDescent="0.25">
      <c r="A684" s="4" t="s">
        <v>710</v>
      </c>
      <c r="B684" t="s">
        <v>13</v>
      </c>
      <c r="C684" t="s">
        <v>6</v>
      </c>
      <c r="D684" s="3">
        <f t="shared" si="70"/>
        <v>13</v>
      </c>
      <c r="E684" s="4">
        <f t="shared" si="71"/>
        <v>22</v>
      </c>
      <c r="F684" s="4">
        <f t="shared" si="72"/>
        <v>23</v>
      </c>
      <c r="G684" s="3">
        <f>IF(E684&gt;=20,2000,1900) + D684</f>
        <v>2013</v>
      </c>
      <c r="H684">
        <f t="shared" si="73"/>
        <v>2</v>
      </c>
      <c r="I684" s="4">
        <f t="shared" si="74"/>
        <v>23</v>
      </c>
      <c r="J684">
        <f t="shared" si="75"/>
        <v>20132223</v>
      </c>
      <c r="K684" t="str">
        <f t="shared" si="76"/>
        <v>23.22.2013</v>
      </c>
    </row>
    <row r="685" spans="1:11" x14ac:dyDescent="0.25">
      <c r="A685" s="4" t="s">
        <v>711</v>
      </c>
      <c r="B685" t="s">
        <v>10</v>
      </c>
      <c r="C685" t="s">
        <v>4</v>
      </c>
      <c r="D685" s="3">
        <f t="shared" si="70"/>
        <v>17</v>
      </c>
      <c r="E685" s="4">
        <f t="shared" si="71"/>
        <v>29</v>
      </c>
      <c r="F685" s="4">
        <f t="shared" si="72"/>
        <v>27</v>
      </c>
      <c r="G685" s="3">
        <f>IF(E685&gt;=20,2000,1900) + D685</f>
        <v>2017</v>
      </c>
      <c r="H685">
        <f t="shared" si="73"/>
        <v>9</v>
      </c>
      <c r="I685" s="4">
        <f t="shared" si="74"/>
        <v>27</v>
      </c>
      <c r="J685">
        <f t="shared" si="75"/>
        <v>20172927</v>
      </c>
      <c r="K685" t="str">
        <f t="shared" si="76"/>
        <v>27.29.2017</v>
      </c>
    </row>
    <row r="686" spans="1:11" x14ac:dyDescent="0.25">
      <c r="A686" s="4" t="s">
        <v>712</v>
      </c>
      <c r="B686" t="s">
        <v>17</v>
      </c>
      <c r="C686" t="s">
        <v>4</v>
      </c>
      <c r="D686" s="3">
        <f t="shared" si="70"/>
        <v>19</v>
      </c>
      <c r="E686" s="4">
        <f t="shared" si="71"/>
        <v>30</v>
      </c>
      <c r="F686" s="4">
        <f t="shared" si="72"/>
        <v>21</v>
      </c>
      <c r="G686" s="3">
        <f>IF(E686&gt;=20,2000,1900) + D686</f>
        <v>2019</v>
      </c>
      <c r="H686">
        <f t="shared" si="73"/>
        <v>10</v>
      </c>
      <c r="I686" s="4">
        <f t="shared" si="74"/>
        <v>21</v>
      </c>
      <c r="J686">
        <f t="shared" si="75"/>
        <v>20193021</v>
      </c>
      <c r="K686" t="str">
        <f t="shared" si="76"/>
        <v>21.30.2019</v>
      </c>
    </row>
    <row r="687" spans="1:11" x14ac:dyDescent="0.25">
      <c r="A687" s="4" t="s">
        <v>713</v>
      </c>
      <c r="B687" t="s">
        <v>7</v>
      </c>
      <c r="C687" t="s">
        <v>6</v>
      </c>
      <c r="D687" s="3">
        <f t="shared" si="70"/>
        <v>13</v>
      </c>
      <c r="E687" s="4">
        <f t="shared" si="71"/>
        <v>24</v>
      </c>
      <c r="F687" s="4">
        <f t="shared" si="72"/>
        <v>3</v>
      </c>
      <c r="G687" s="3">
        <f>IF(E687&gt;=20,2000,1900) + D687</f>
        <v>2013</v>
      </c>
      <c r="H687">
        <f t="shared" si="73"/>
        <v>4</v>
      </c>
      <c r="I687" s="4">
        <f t="shared" si="74"/>
        <v>3</v>
      </c>
      <c r="J687">
        <f t="shared" si="75"/>
        <v>20132403</v>
      </c>
      <c r="K687" t="str">
        <f t="shared" si="76"/>
        <v>03.24.2013</v>
      </c>
    </row>
    <row r="688" spans="1:11" x14ac:dyDescent="0.25">
      <c r="A688" s="4" t="s">
        <v>714</v>
      </c>
      <c r="B688" t="s">
        <v>17</v>
      </c>
      <c r="C688" t="s">
        <v>6</v>
      </c>
      <c r="D688" s="3">
        <f t="shared" si="70"/>
        <v>15</v>
      </c>
      <c r="E688" s="4">
        <f t="shared" si="71"/>
        <v>24</v>
      </c>
      <c r="F688" s="4">
        <f t="shared" si="72"/>
        <v>3</v>
      </c>
      <c r="G688" s="3">
        <f>IF(E688&gt;=20,2000,1900) + D688</f>
        <v>2015</v>
      </c>
      <c r="H688">
        <f t="shared" si="73"/>
        <v>4</v>
      </c>
      <c r="I688" s="4">
        <f t="shared" si="74"/>
        <v>3</v>
      </c>
      <c r="J688">
        <f t="shared" si="75"/>
        <v>20152403</v>
      </c>
      <c r="K688" t="str">
        <f t="shared" si="76"/>
        <v>03.24.2015</v>
      </c>
    </row>
    <row r="689" spans="1:11" x14ac:dyDescent="0.25">
      <c r="A689" s="4" t="s">
        <v>715</v>
      </c>
      <c r="B689" t="s">
        <v>3</v>
      </c>
      <c r="C689" t="s">
        <v>6</v>
      </c>
      <c r="D689" s="3">
        <f t="shared" si="70"/>
        <v>13</v>
      </c>
      <c r="E689" s="4">
        <f t="shared" si="71"/>
        <v>30</v>
      </c>
      <c r="F689" s="4">
        <f t="shared" si="72"/>
        <v>19</v>
      </c>
      <c r="G689" s="3">
        <f>IF(E689&gt;=20,2000,1900) + D689</f>
        <v>2013</v>
      </c>
      <c r="H689">
        <f t="shared" si="73"/>
        <v>10</v>
      </c>
      <c r="I689" s="4">
        <f t="shared" si="74"/>
        <v>19</v>
      </c>
      <c r="J689">
        <f t="shared" si="75"/>
        <v>20133019</v>
      </c>
      <c r="K689" t="str">
        <f t="shared" si="76"/>
        <v>19.30.2013</v>
      </c>
    </row>
    <row r="690" spans="1:11" x14ac:dyDescent="0.25">
      <c r="A690" s="4" t="s">
        <v>716</v>
      </c>
      <c r="B690" t="s">
        <v>20</v>
      </c>
      <c r="C690" t="s">
        <v>6</v>
      </c>
      <c r="D690" s="3">
        <f t="shared" si="70"/>
        <v>19</v>
      </c>
      <c r="E690" s="4">
        <f t="shared" si="71"/>
        <v>26</v>
      </c>
      <c r="F690" s="4">
        <f t="shared" si="72"/>
        <v>27</v>
      </c>
      <c r="G690" s="3">
        <f>IF(E690&gt;=20,2000,1900) + D690</f>
        <v>2019</v>
      </c>
      <c r="H690">
        <f t="shared" si="73"/>
        <v>6</v>
      </c>
      <c r="I690" s="4">
        <f t="shared" si="74"/>
        <v>27</v>
      </c>
      <c r="J690">
        <f t="shared" si="75"/>
        <v>20192627</v>
      </c>
      <c r="K690" t="str">
        <f t="shared" si="76"/>
        <v>27.26.2019</v>
      </c>
    </row>
    <row r="691" spans="1:11" x14ac:dyDescent="0.25">
      <c r="A691" s="4" t="s">
        <v>717</v>
      </c>
      <c r="B691" t="s">
        <v>9</v>
      </c>
      <c r="C691" t="s">
        <v>4</v>
      </c>
      <c r="D691" s="3">
        <f t="shared" si="70"/>
        <v>13</v>
      </c>
      <c r="E691" s="4">
        <f t="shared" si="71"/>
        <v>28</v>
      </c>
      <c r="F691" s="4">
        <f t="shared" si="72"/>
        <v>9</v>
      </c>
      <c r="G691" s="3">
        <f>IF(E691&gt;=20,2000,1900) + D691</f>
        <v>2013</v>
      </c>
      <c r="H691">
        <f t="shared" si="73"/>
        <v>8</v>
      </c>
      <c r="I691" s="4">
        <f t="shared" si="74"/>
        <v>9</v>
      </c>
      <c r="J691">
        <f t="shared" si="75"/>
        <v>20132809</v>
      </c>
      <c r="K691" t="str">
        <f t="shared" si="76"/>
        <v>09.28.2013</v>
      </c>
    </row>
    <row r="692" spans="1:11" x14ac:dyDescent="0.25">
      <c r="A692" s="4" t="s">
        <v>718</v>
      </c>
      <c r="B692" t="s">
        <v>20</v>
      </c>
      <c r="C692" t="s">
        <v>6</v>
      </c>
      <c r="D692" s="3">
        <f t="shared" si="70"/>
        <v>14</v>
      </c>
      <c r="E692" s="4">
        <f t="shared" si="71"/>
        <v>30</v>
      </c>
      <c r="F692" s="4">
        <f t="shared" si="72"/>
        <v>28</v>
      </c>
      <c r="G692" s="3">
        <f>IF(E692&gt;=20,2000,1900) + D692</f>
        <v>2014</v>
      </c>
      <c r="H692">
        <f t="shared" si="73"/>
        <v>10</v>
      </c>
      <c r="I692" s="4">
        <f t="shared" si="74"/>
        <v>28</v>
      </c>
      <c r="J692">
        <f t="shared" si="75"/>
        <v>20143028</v>
      </c>
      <c r="K692" t="str">
        <f t="shared" si="76"/>
        <v>28.30.2014</v>
      </c>
    </row>
    <row r="693" spans="1:11" x14ac:dyDescent="0.25">
      <c r="A693" s="4" t="s">
        <v>719</v>
      </c>
      <c r="B693" t="s">
        <v>10</v>
      </c>
      <c r="C693" t="s">
        <v>4</v>
      </c>
      <c r="D693" s="3">
        <f t="shared" si="70"/>
        <v>11</v>
      </c>
      <c r="E693" s="4">
        <f t="shared" si="71"/>
        <v>27</v>
      </c>
      <c r="F693" s="4">
        <f t="shared" si="72"/>
        <v>28</v>
      </c>
      <c r="G693" s="3">
        <f>IF(E693&gt;=20,2000,1900) + D693</f>
        <v>2011</v>
      </c>
      <c r="H693">
        <f t="shared" si="73"/>
        <v>7</v>
      </c>
      <c r="I693" s="4">
        <f t="shared" si="74"/>
        <v>28</v>
      </c>
      <c r="J693">
        <f t="shared" si="75"/>
        <v>20112728</v>
      </c>
      <c r="K693" t="str">
        <f t="shared" si="76"/>
        <v>28.27.2011</v>
      </c>
    </row>
    <row r="694" spans="1:11" x14ac:dyDescent="0.25">
      <c r="A694" s="4" t="s">
        <v>720</v>
      </c>
      <c r="B694" t="s">
        <v>19</v>
      </c>
      <c r="C694" t="s">
        <v>6</v>
      </c>
      <c r="D694" s="3">
        <f t="shared" si="70"/>
        <v>5</v>
      </c>
      <c r="E694" s="4">
        <f t="shared" si="71"/>
        <v>29</v>
      </c>
      <c r="F694" s="4">
        <f t="shared" si="72"/>
        <v>18</v>
      </c>
      <c r="G694" s="3">
        <f>IF(E694&gt;=20,2000,1900) + D694</f>
        <v>2005</v>
      </c>
      <c r="H694">
        <f t="shared" si="73"/>
        <v>9</v>
      </c>
      <c r="I694" s="4">
        <f t="shared" si="74"/>
        <v>18</v>
      </c>
      <c r="J694">
        <f t="shared" si="75"/>
        <v>20052918</v>
      </c>
      <c r="K694" t="str">
        <f t="shared" si="76"/>
        <v>18.29.2005</v>
      </c>
    </row>
    <row r="695" spans="1:11" x14ac:dyDescent="0.25">
      <c r="A695" s="4" t="s">
        <v>721</v>
      </c>
      <c r="B695" t="s">
        <v>19</v>
      </c>
      <c r="C695" t="s">
        <v>4</v>
      </c>
      <c r="D695" s="3">
        <f t="shared" si="70"/>
        <v>14</v>
      </c>
      <c r="E695" s="4">
        <f t="shared" si="71"/>
        <v>21</v>
      </c>
      <c r="F695" s="4">
        <f t="shared" si="72"/>
        <v>27</v>
      </c>
      <c r="G695" s="3">
        <f>IF(E695&gt;=20,2000,1900) + D695</f>
        <v>2014</v>
      </c>
      <c r="H695">
        <f t="shared" si="73"/>
        <v>1</v>
      </c>
      <c r="I695" s="4">
        <f t="shared" si="74"/>
        <v>27</v>
      </c>
      <c r="J695">
        <f t="shared" si="75"/>
        <v>20142127</v>
      </c>
      <c r="K695" t="str">
        <f t="shared" si="76"/>
        <v>27.21.2014</v>
      </c>
    </row>
    <row r="696" spans="1:11" x14ac:dyDescent="0.25">
      <c r="A696" s="4" t="s">
        <v>722</v>
      </c>
      <c r="B696" t="s">
        <v>19</v>
      </c>
      <c r="C696" t="s">
        <v>6</v>
      </c>
      <c r="D696" s="3">
        <f t="shared" si="70"/>
        <v>3</v>
      </c>
      <c r="E696" s="4">
        <f t="shared" si="71"/>
        <v>21</v>
      </c>
      <c r="F696" s="4">
        <f t="shared" si="72"/>
        <v>1</v>
      </c>
      <c r="G696" s="3">
        <f>IF(E696&gt;=20,2000,1900) + D696</f>
        <v>2003</v>
      </c>
      <c r="H696">
        <f t="shared" si="73"/>
        <v>1</v>
      </c>
      <c r="I696" s="4">
        <f t="shared" si="74"/>
        <v>1</v>
      </c>
      <c r="J696">
        <f t="shared" si="75"/>
        <v>20032101</v>
      </c>
      <c r="K696" t="str">
        <f t="shared" si="76"/>
        <v>01.21.2003</v>
      </c>
    </row>
    <row r="697" spans="1:11" x14ac:dyDescent="0.25">
      <c r="A697" s="4" t="s">
        <v>723</v>
      </c>
      <c r="B697" t="s">
        <v>16</v>
      </c>
      <c r="C697" t="s">
        <v>6</v>
      </c>
      <c r="D697" s="3">
        <f t="shared" si="70"/>
        <v>14</v>
      </c>
      <c r="E697" s="4">
        <f t="shared" si="71"/>
        <v>29</v>
      </c>
      <c r="F697" s="4">
        <f t="shared" si="72"/>
        <v>14</v>
      </c>
      <c r="G697" s="3">
        <f>IF(E697&gt;=20,2000,1900) + D697</f>
        <v>2014</v>
      </c>
      <c r="H697">
        <f t="shared" si="73"/>
        <v>9</v>
      </c>
      <c r="I697" s="4">
        <f t="shared" si="74"/>
        <v>14</v>
      </c>
      <c r="J697">
        <f t="shared" si="75"/>
        <v>20142914</v>
      </c>
      <c r="K697" t="str">
        <f t="shared" si="76"/>
        <v>14.29.2014</v>
      </c>
    </row>
    <row r="698" spans="1:11" x14ac:dyDescent="0.25">
      <c r="A698" s="4" t="s">
        <v>724</v>
      </c>
      <c r="B698" t="s">
        <v>12</v>
      </c>
      <c r="C698" t="s">
        <v>6</v>
      </c>
      <c r="D698" s="3">
        <f t="shared" si="70"/>
        <v>12</v>
      </c>
      <c r="E698" s="4">
        <f t="shared" si="71"/>
        <v>30</v>
      </c>
      <c r="F698" s="4">
        <f t="shared" si="72"/>
        <v>6</v>
      </c>
      <c r="G698" s="3">
        <f>IF(E698&gt;=20,2000,1900) + D698</f>
        <v>2012</v>
      </c>
      <c r="H698">
        <f t="shared" si="73"/>
        <v>10</v>
      </c>
      <c r="I698" s="4">
        <f t="shared" si="74"/>
        <v>6</v>
      </c>
      <c r="J698">
        <f t="shared" si="75"/>
        <v>20123006</v>
      </c>
      <c r="K698" t="str">
        <f t="shared" si="76"/>
        <v>06.30.2012</v>
      </c>
    </row>
    <row r="699" spans="1:11" x14ac:dyDescent="0.25">
      <c r="A699" s="4" t="s">
        <v>725</v>
      </c>
      <c r="B699" t="s">
        <v>11</v>
      </c>
      <c r="C699" t="s">
        <v>6</v>
      </c>
      <c r="D699" s="3">
        <f t="shared" si="70"/>
        <v>16</v>
      </c>
      <c r="E699" s="4">
        <f t="shared" si="71"/>
        <v>23</v>
      </c>
      <c r="F699" s="4">
        <f t="shared" si="72"/>
        <v>8</v>
      </c>
      <c r="G699" s="3">
        <f>IF(E699&gt;=20,2000,1900) + D699</f>
        <v>2016</v>
      </c>
      <c r="H699">
        <f t="shared" si="73"/>
        <v>3</v>
      </c>
      <c r="I699" s="4">
        <f t="shared" si="74"/>
        <v>8</v>
      </c>
      <c r="J699">
        <f t="shared" si="75"/>
        <v>20162308</v>
      </c>
      <c r="K699" t="str">
        <f t="shared" si="76"/>
        <v>08.23.2016</v>
      </c>
    </row>
    <row r="700" spans="1:11" x14ac:dyDescent="0.25">
      <c r="A700" s="4" t="s">
        <v>726</v>
      </c>
      <c r="B700" t="s">
        <v>11</v>
      </c>
      <c r="C700" t="s">
        <v>6</v>
      </c>
      <c r="D700" s="3">
        <f t="shared" si="70"/>
        <v>1</v>
      </c>
      <c r="E700" s="4">
        <f t="shared" si="71"/>
        <v>22</v>
      </c>
      <c r="F700" s="4">
        <f t="shared" si="72"/>
        <v>7</v>
      </c>
      <c r="G700" s="3">
        <f>IF(E700&gt;=20,2000,1900) + D700</f>
        <v>2001</v>
      </c>
      <c r="H700">
        <f t="shared" si="73"/>
        <v>2</v>
      </c>
      <c r="I700" s="4">
        <f t="shared" si="74"/>
        <v>7</v>
      </c>
      <c r="J700">
        <f t="shared" si="75"/>
        <v>20012207</v>
      </c>
      <c r="K700" t="str">
        <f t="shared" si="76"/>
        <v>07.22.2001</v>
      </c>
    </row>
    <row r="701" spans="1:11" x14ac:dyDescent="0.25">
      <c r="A701" s="4" t="s">
        <v>727</v>
      </c>
      <c r="B701" t="s">
        <v>20</v>
      </c>
      <c r="C701" t="s">
        <v>4</v>
      </c>
      <c r="D701" s="3">
        <f t="shared" si="70"/>
        <v>19</v>
      </c>
      <c r="E701" s="4">
        <f t="shared" si="71"/>
        <v>22</v>
      </c>
      <c r="F701" s="4">
        <f t="shared" si="72"/>
        <v>9</v>
      </c>
      <c r="G701" s="3">
        <f>IF(E701&gt;=20,2000,1900) + D701</f>
        <v>2019</v>
      </c>
      <c r="H701">
        <f t="shared" si="73"/>
        <v>2</v>
      </c>
      <c r="I701" s="4">
        <f t="shared" si="74"/>
        <v>9</v>
      </c>
      <c r="J701">
        <f t="shared" si="75"/>
        <v>20192209</v>
      </c>
      <c r="K701" t="str">
        <f t="shared" si="76"/>
        <v>09.22.2019</v>
      </c>
    </row>
    <row r="702" spans="1:11" x14ac:dyDescent="0.25">
      <c r="A702" s="4" t="s">
        <v>728</v>
      </c>
      <c r="B702" t="s">
        <v>10</v>
      </c>
      <c r="C702" t="s">
        <v>4</v>
      </c>
      <c r="D702" s="3">
        <f t="shared" si="70"/>
        <v>7</v>
      </c>
      <c r="E702" s="4">
        <f t="shared" si="71"/>
        <v>24</v>
      </c>
      <c r="F702" s="4">
        <f t="shared" si="72"/>
        <v>7</v>
      </c>
      <c r="G702" s="3">
        <f>IF(E702&gt;=20,2000,1900) + D702</f>
        <v>2007</v>
      </c>
      <c r="H702">
        <f t="shared" si="73"/>
        <v>4</v>
      </c>
      <c r="I702" s="4">
        <f t="shared" si="74"/>
        <v>7</v>
      </c>
      <c r="J702">
        <f t="shared" si="75"/>
        <v>20072407</v>
      </c>
      <c r="K702" t="str">
        <f t="shared" si="76"/>
        <v>07.24.2007</v>
      </c>
    </row>
    <row r="703" spans="1:11" x14ac:dyDescent="0.25">
      <c r="A703" s="4" t="s">
        <v>729</v>
      </c>
      <c r="B703" t="s">
        <v>18</v>
      </c>
      <c r="C703" t="s">
        <v>4</v>
      </c>
      <c r="D703" s="3">
        <f t="shared" si="70"/>
        <v>6</v>
      </c>
      <c r="E703" s="4">
        <f t="shared" si="71"/>
        <v>29</v>
      </c>
      <c r="F703" s="4">
        <f t="shared" si="72"/>
        <v>22</v>
      </c>
      <c r="G703" s="3">
        <f>IF(E703&gt;=20,2000,1900) + D703</f>
        <v>2006</v>
      </c>
      <c r="H703">
        <f t="shared" si="73"/>
        <v>9</v>
      </c>
      <c r="I703" s="4">
        <f t="shared" si="74"/>
        <v>22</v>
      </c>
      <c r="J703">
        <f t="shared" si="75"/>
        <v>20062922</v>
      </c>
      <c r="K703" t="str">
        <f t="shared" si="76"/>
        <v>22.29.2006</v>
      </c>
    </row>
    <row r="704" spans="1:11" x14ac:dyDescent="0.25">
      <c r="A704" s="4" t="s">
        <v>730</v>
      </c>
      <c r="B704" t="s">
        <v>10</v>
      </c>
      <c r="C704" t="s">
        <v>4</v>
      </c>
      <c r="D704" s="3">
        <f t="shared" si="70"/>
        <v>17</v>
      </c>
      <c r="E704" s="4">
        <f t="shared" si="71"/>
        <v>31</v>
      </c>
      <c r="F704" s="4">
        <f t="shared" si="72"/>
        <v>11</v>
      </c>
      <c r="G704" s="3">
        <f>IF(E704&gt;=20,2000,1900) + D704</f>
        <v>2017</v>
      </c>
      <c r="H704">
        <f t="shared" si="73"/>
        <v>11</v>
      </c>
      <c r="I704" s="4">
        <f t="shared" si="74"/>
        <v>11</v>
      </c>
      <c r="J704">
        <f t="shared" si="75"/>
        <v>20173111</v>
      </c>
      <c r="K704" t="str">
        <f t="shared" si="76"/>
        <v>11.31.2017</v>
      </c>
    </row>
    <row r="705" spans="1:11" x14ac:dyDescent="0.25">
      <c r="A705" s="4" t="s">
        <v>731</v>
      </c>
      <c r="B705" t="s">
        <v>17</v>
      </c>
      <c r="C705" t="s">
        <v>4</v>
      </c>
      <c r="D705" s="3">
        <f t="shared" si="70"/>
        <v>16</v>
      </c>
      <c r="E705" s="4">
        <f t="shared" si="71"/>
        <v>32</v>
      </c>
      <c r="F705" s="4">
        <f t="shared" si="72"/>
        <v>11</v>
      </c>
      <c r="G705" s="3">
        <f>IF(E705&gt;=20,2000,1900) + D705</f>
        <v>2016</v>
      </c>
      <c r="H705">
        <f t="shared" si="73"/>
        <v>12</v>
      </c>
      <c r="I705" s="4">
        <f t="shared" si="74"/>
        <v>11</v>
      </c>
      <c r="J705">
        <f t="shared" si="75"/>
        <v>20163211</v>
      </c>
      <c r="K705" t="str">
        <f t="shared" si="76"/>
        <v>11.32.2016</v>
      </c>
    </row>
    <row r="706" spans="1:11" x14ac:dyDescent="0.25">
      <c r="A706" s="4" t="s">
        <v>732</v>
      </c>
      <c r="B706" t="s">
        <v>19</v>
      </c>
      <c r="C706" t="s">
        <v>6</v>
      </c>
      <c r="D706" s="3">
        <f t="shared" si="70"/>
        <v>6</v>
      </c>
      <c r="E706" s="4">
        <f t="shared" si="71"/>
        <v>29</v>
      </c>
      <c r="F706" s="4">
        <f t="shared" si="72"/>
        <v>21</v>
      </c>
      <c r="G706" s="3">
        <f>IF(E706&gt;=20,2000,1900) + D706</f>
        <v>2006</v>
      </c>
      <c r="H706">
        <f t="shared" si="73"/>
        <v>9</v>
      </c>
      <c r="I706" s="4">
        <f t="shared" si="74"/>
        <v>21</v>
      </c>
      <c r="J706">
        <f t="shared" si="75"/>
        <v>20062921</v>
      </c>
      <c r="K706" t="str">
        <f t="shared" si="76"/>
        <v>21.29.2006</v>
      </c>
    </row>
    <row r="707" spans="1:11" x14ac:dyDescent="0.25">
      <c r="A707" s="4" t="s">
        <v>733</v>
      </c>
      <c r="B707" t="s">
        <v>15</v>
      </c>
      <c r="C707" t="s">
        <v>6</v>
      </c>
      <c r="D707" s="3">
        <f t="shared" ref="D707:D770" si="77">MID(A707,1,2)*1</f>
        <v>5</v>
      </c>
      <c r="E707" s="4">
        <f t="shared" ref="E707:E770" si="78">MID(A707,3,2)*1</f>
        <v>23</v>
      </c>
      <c r="F707" s="4">
        <f t="shared" ref="F707:F770" si="79">MID(A707,5,2)*1</f>
        <v>8</v>
      </c>
      <c r="G707" s="3">
        <f>IF(E707&gt;=20,2000,1900) + D707</f>
        <v>2005</v>
      </c>
      <c r="H707">
        <f t="shared" ref="H707:H770" si="80">IF(E707&gt;=20,E707-20,E707)</f>
        <v>3</v>
      </c>
      <c r="I707" s="4">
        <f t="shared" ref="I707:I770" si="81">F707</f>
        <v>8</v>
      </c>
      <c r="J707">
        <f t="shared" ref="J707:J770" si="82">CONCATENATE(G707,IF(LEN(E707)=1,CONCATENATE("0",E707),E707),IF(LEN(F707)=1,CONCATENATE("0",F707),F707))*1</f>
        <v>20052308</v>
      </c>
      <c r="K707" t="str">
        <f t="shared" ref="K707:K770" si="83">CONCATENATE(RIGHT(J707,2),".",MID(J707,5,2),".",LEFT(J707,4))</f>
        <v>08.23.2005</v>
      </c>
    </row>
    <row r="708" spans="1:11" x14ac:dyDescent="0.25">
      <c r="A708" s="4" t="s">
        <v>734</v>
      </c>
      <c r="B708" t="s">
        <v>7</v>
      </c>
      <c r="C708" t="s">
        <v>4</v>
      </c>
      <c r="D708" s="3">
        <f t="shared" si="77"/>
        <v>18</v>
      </c>
      <c r="E708" s="4">
        <f t="shared" si="78"/>
        <v>27</v>
      </c>
      <c r="F708" s="4">
        <f t="shared" si="79"/>
        <v>14</v>
      </c>
      <c r="G708" s="3">
        <f>IF(E708&gt;=20,2000,1900) + D708</f>
        <v>2018</v>
      </c>
      <c r="H708">
        <f t="shared" si="80"/>
        <v>7</v>
      </c>
      <c r="I708" s="4">
        <f t="shared" si="81"/>
        <v>14</v>
      </c>
      <c r="J708">
        <f t="shared" si="82"/>
        <v>20182714</v>
      </c>
      <c r="K708" t="str">
        <f t="shared" si="83"/>
        <v>14.27.2018</v>
      </c>
    </row>
    <row r="709" spans="1:11" x14ac:dyDescent="0.25">
      <c r="A709" s="4" t="s">
        <v>735</v>
      </c>
      <c r="B709" t="s">
        <v>5</v>
      </c>
      <c r="C709" t="s">
        <v>4</v>
      </c>
      <c r="D709" s="3">
        <f t="shared" si="77"/>
        <v>6</v>
      </c>
      <c r="E709" s="4">
        <f t="shared" si="78"/>
        <v>32</v>
      </c>
      <c r="F709" s="4">
        <f t="shared" si="79"/>
        <v>12</v>
      </c>
      <c r="G709" s="3">
        <f>IF(E709&gt;=20,2000,1900) + D709</f>
        <v>2006</v>
      </c>
      <c r="H709">
        <f t="shared" si="80"/>
        <v>12</v>
      </c>
      <c r="I709" s="4">
        <f t="shared" si="81"/>
        <v>12</v>
      </c>
      <c r="J709">
        <f t="shared" si="82"/>
        <v>20063212</v>
      </c>
      <c r="K709" t="str">
        <f t="shared" si="83"/>
        <v>12.32.2006</v>
      </c>
    </row>
    <row r="710" spans="1:11" x14ac:dyDescent="0.25">
      <c r="A710" s="4" t="s">
        <v>736</v>
      </c>
      <c r="B710" t="s">
        <v>8</v>
      </c>
      <c r="C710" t="s">
        <v>6</v>
      </c>
      <c r="D710" s="3">
        <f t="shared" si="77"/>
        <v>18</v>
      </c>
      <c r="E710" s="4">
        <f t="shared" si="78"/>
        <v>26</v>
      </c>
      <c r="F710" s="4">
        <f t="shared" si="79"/>
        <v>26</v>
      </c>
      <c r="G710" s="3">
        <f>IF(E710&gt;=20,2000,1900) + D710</f>
        <v>2018</v>
      </c>
      <c r="H710">
        <f t="shared" si="80"/>
        <v>6</v>
      </c>
      <c r="I710" s="4">
        <f t="shared" si="81"/>
        <v>26</v>
      </c>
      <c r="J710">
        <f t="shared" si="82"/>
        <v>20182626</v>
      </c>
      <c r="K710" t="str">
        <f t="shared" si="83"/>
        <v>26.26.2018</v>
      </c>
    </row>
    <row r="711" spans="1:11" x14ac:dyDescent="0.25">
      <c r="A711" s="4" t="s">
        <v>737</v>
      </c>
      <c r="B711" t="s">
        <v>7</v>
      </c>
      <c r="C711" t="s">
        <v>4</v>
      </c>
      <c r="D711" s="3">
        <f t="shared" si="77"/>
        <v>7</v>
      </c>
      <c r="E711" s="4">
        <f t="shared" si="78"/>
        <v>26</v>
      </c>
      <c r="F711" s="4">
        <f t="shared" si="79"/>
        <v>12</v>
      </c>
      <c r="G711" s="3">
        <f>IF(E711&gt;=20,2000,1900) + D711</f>
        <v>2007</v>
      </c>
      <c r="H711">
        <f t="shared" si="80"/>
        <v>6</v>
      </c>
      <c r="I711" s="4">
        <f t="shared" si="81"/>
        <v>12</v>
      </c>
      <c r="J711">
        <f t="shared" si="82"/>
        <v>20072612</v>
      </c>
      <c r="K711" t="str">
        <f t="shared" si="83"/>
        <v>12.26.2007</v>
      </c>
    </row>
    <row r="712" spans="1:11" x14ac:dyDescent="0.25">
      <c r="A712" s="4" t="s">
        <v>738</v>
      </c>
      <c r="B712" t="s">
        <v>16</v>
      </c>
      <c r="C712" t="s">
        <v>4</v>
      </c>
      <c r="D712" s="3">
        <f t="shared" si="77"/>
        <v>8</v>
      </c>
      <c r="E712" s="4">
        <f t="shared" si="78"/>
        <v>30</v>
      </c>
      <c r="F712" s="4">
        <f t="shared" si="79"/>
        <v>6</v>
      </c>
      <c r="G712" s="3">
        <f>IF(E712&gt;=20,2000,1900) + D712</f>
        <v>2008</v>
      </c>
      <c r="H712">
        <f t="shared" si="80"/>
        <v>10</v>
      </c>
      <c r="I712" s="4">
        <f t="shared" si="81"/>
        <v>6</v>
      </c>
      <c r="J712">
        <f t="shared" si="82"/>
        <v>20083006</v>
      </c>
      <c r="K712" t="str">
        <f t="shared" si="83"/>
        <v>06.30.2008</v>
      </c>
    </row>
    <row r="713" spans="1:11" x14ac:dyDescent="0.25">
      <c r="A713" s="4" t="s">
        <v>739</v>
      </c>
      <c r="B713" t="s">
        <v>10</v>
      </c>
      <c r="C713" t="s">
        <v>6</v>
      </c>
      <c r="D713" s="3">
        <f t="shared" si="77"/>
        <v>8</v>
      </c>
      <c r="E713" s="4">
        <f t="shared" si="78"/>
        <v>22</v>
      </c>
      <c r="F713" s="4">
        <f t="shared" si="79"/>
        <v>11</v>
      </c>
      <c r="G713" s="3">
        <f>IF(E713&gt;=20,2000,1900) + D713</f>
        <v>2008</v>
      </c>
      <c r="H713">
        <f t="shared" si="80"/>
        <v>2</v>
      </c>
      <c r="I713" s="4">
        <f t="shared" si="81"/>
        <v>11</v>
      </c>
      <c r="J713">
        <f t="shared" si="82"/>
        <v>20082211</v>
      </c>
      <c r="K713" t="str">
        <f t="shared" si="83"/>
        <v>11.22.2008</v>
      </c>
    </row>
    <row r="714" spans="1:11" x14ac:dyDescent="0.25">
      <c r="A714" s="4" t="s">
        <v>740</v>
      </c>
      <c r="B714" t="s">
        <v>10</v>
      </c>
      <c r="C714" t="s">
        <v>4</v>
      </c>
      <c r="D714" s="3">
        <f t="shared" si="77"/>
        <v>5</v>
      </c>
      <c r="E714" s="4">
        <f t="shared" si="78"/>
        <v>22</v>
      </c>
      <c r="F714" s="4">
        <f t="shared" si="79"/>
        <v>1</v>
      </c>
      <c r="G714" s="3">
        <f>IF(E714&gt;=20,2000,1900) + D714</f>
        <v>2005</v>
      </c>
      <c r="H714">
        <f t="shared" si="80"/>
        <v>2</v>
      </c>
      <c r="I714" s="4">
        <f t="shared" si="81"/>
        <v>1</v>
      </c>
      <c r="J714">
        <f t="shared" si="82"/>
        <v>20052201</v>
      </c>
      <c r="K714" t="str">
        <f t="shared" si="83"/>
        <v>01.22.2005</v>
      </c>
    </row>
    <row r="715" spans="1:11" x14ac:dyDescent="0.25">
      <c r="A715" s="4" t="s">
        <v>741</v>
      </c>
      <c r="B715" t="s">
        <v>12</v>
      </c>
      <c r="C715" t="s">
        <v>4</v>
      </c>
      <c r="D715" s="3">
        <f t="shared" si="77"/>
        <v>11</v>
      </c>
      <c r="E715" s="4">
        <f t="shared" si="78"/>
        <v>22</v>
      </c>
      <c r="F715" s="4">
        <f t="shared" si="79"/>
        <v>20</v>
      </c>
      <c r="G715" s="3">
        <f>IF(E715&gt;=20,2000,1900) + D715</f>
        <v>2011</v>
      </c>
      <c r="H715">
        <f t="shared" si="80"/>
        <v>2</v>
      </c>
      <c r="I715" s="4">
        <f t="shared" si="81"/>
        <v>20</v>
      </c>
      <c r="J715">
        <f t="shared" si="82"/>
        <v>20112220</v>
      </c>
      <c r="K715" t="str">
        <f t="shared" si="83"/>
        <v>20.22.2011</v>
      </c>
    </row>
    <row r="716" spans="1:11" x14ac:dyDescent="0.25">
      <c r="A716" s="4" t="s">
        <v>742</v>
      </c>
      <c r="B716" t="s">
        <v>18</v>
      </c>
      <c r="C716" t="s">
        <v>4</v>
      </c>
      <c r="D716" s="3">
        <f t="shared" si="77"/>
        <v>18</v>
      </c>
      <c r="E716" s="4">
        <f t="shared" si="78"/>
        <v>32</v>
      </c>
      <c r="F716" s="4">
        <f t="shared" si="79"/>
        <v>2</v>
      </c>
      <c r="G716" s="3">
        <f>IF(E716&gt;=20,2000,1900) + D716</f>
        <v>2018</v>
      </c>
      <c r="H716">
        <f t="shared" si="80"/>
        <v>12</v>
      </c>
      <c r="I716" s="4">
        <f t="shared" si="81"/>
        <v>2</v>
      </c>
      <c r="J716">
        <f t="shared" si="82"/>
        <v>20183202</v>
      </c>
      <c r="K716" t="str">
        <f t="shared" si="83"/>
        <v>02.32.2018</v>
      </c>
    </row>
    <row r="717" spans="1:11" x14ac:dyDescent="0.25">
      <c r="A717" s="4" t="s">
        <v>743</v>
      </c>
      <c r="B717" t="s">
        <v>3</v>
      </c>
      <c r="C717" t="s">
        <v>6</v>
      </c>
      <c r="D717" s="3">
        <f t="shared" si="77"/>
        <v>19</v>
      </c>
      <c r="E717" s="4">
        <f t="shared" si="78"/>
        <v>30</v>
      </c>
      <c r="F717" s="4">
        <f t="shared" si="79"/>
        <v>30</v>
      </c>
      <c r="G717" s="3">
        <f>IF(E717&gt;=20,2000,1900) + D717</f>
        <v>2019</v>
      </c>
      <c r="H717">
        <f t="shared" si="80"/>
        <v>10</v>
      </c>
      <c r="I717" s="4">
        <f t="shared" si="81"/>
        <v>30</v>
      </c>
      <c r="J717">
        <f t="shared" si="82"/>
        <v>20193030</v>
      </c>
      <c r="K717" t="str">
        <f t="shared" si="83"/>
        <v>30.30.2019</v>
      </c>
    </row>
    <row r="718" spans="1:11" x14ac:dyDescent="0.25">
      <c r="A718" s="4" t="s">
        <v>744</v>
      </c>
      <c r="B718" t="s">
        <v>3</v>
      </c>
      <c r="C718" t="s">
        <v>6</v>
      </c>
      <c r="D718" s="3">
        <f t="shared" si="77"/>
        <v>16</v>
      </c>
      <c r="E718" s="4">
        <f t="shared" si="78"/>
        <v>29</v>
      </c>
      <c r="F718" s="4">
        <f t="shared" si="79"/>
        <v>13</v>
      </c>
      <c r="G718" s="3">
        <f>IF(E718&gt;=20,2000,1900) + D718</f>
        <v>2016</v>
      </c>
      <c r="H718">
        <f t="shared" si="80"/>
        <v>9</v>
      </c>
      <c r="I718" s="4">
        <f t="shared" si="81"/>
        <v>13</v>
      </c>
      <c r="J718">
        <f t="shared" si="82"/>
        <v>20162913</v>
      </c>
      <c r="K718" t="str">
        <f t="shared" si="83"/>
        <v>13.29.2016</v>
      </c>
    </row>
    <row r="719" spans="1:11" x14ac:dyDescent="0.25">
      <c r="A719" s="4" t="s">
        <v>745</v>
      </c>
      <c r="B719" t="s">
        <v>18</v>
      </c>
      <c r="C719" t="s">
        <v>4</v>
      </c>
      <c r="D719" s="3">
        <f t="shared" si="77"/>
        <v>8</v>
      </c>
      <c r="E719" s="4">
        <f t="shared" si="78"/>
        <v>25</v>
      </c>
      <c r="F719" s="4">
        <f t="shared" si="79"/>
        <v>6</v>
      </c>
      <c r="G719" s="3">
        <f>IF(E719&gt;=20,2000,1900) + D719</f>
        <v>2008</v>
      </c>
      <c r="H719">
        <f t="shared" si="80"/>
        <v>5</v>
      </c>
      <c r="I719" s="4">
        <f t="shared" si="81"/>
        <v>6</v>
      </c>
      <c r="J719">
        <f t="shared" si="82"/>
        <v>20082506</v>
      </c>
      <c r="K719" t="str">
        <f t="shared" si="83"/>
        <v>06.25.2008</v>
      </c>
    </row>
    <row r="720" spans="1:11" x14ac:dyDescent="0.25">
      <c r="A720" s="4" t="s">
        <v>746</v>
      </c>
      <c r="B720" t="s">
        <v>20</v>
      </c>
      <c r="C720" t="s">
        <v>6</v>
      </c>
      <c r="D720" s="3">
        <f t="shared" si="77"/>
        <v>5</v>
      </c>
      <c r="E720" s="4">
        <f t="shared" si="78"/>
        <v>26</v>
      </c>
      <c r="F720" s="4">
        <f t="shared" si="79"/>
        <v>30</v>
      </c>
      <c r="G720" s="3">
        <f>IF(E720&gt;=20,2000,1900) + D720</f>
        <v>2005</v>
      </c>
      <c r="H720">
        <f t="shared" si="80"/>
        <v>6</v>
      </c>
      <c r="I720" s="4">
        <f t="shared" si="81"/>
        <v>30</v>
      </c>
      <c r="J720">
        <f t="shared" si="82"/>
        <v>20052630</v>
      </c>
      <c r="K720" t="str">
        <f t="shared" si="83"/>
        <v>30.26.2005</v>
      </c>
    </row>
    <row r="721" spans="1:11" x14ac:dyDescent="0.25">
      <c r="A721" s="4" t="s">
        <v>747</v>
      </c>
      <c r="B721" t="s">
        <v>13</v>
      </c>
      <c r="C721" t="s">
        <v>6</v>
      </c>
      <c r="D721" s="3">
        <f t="shared" si="77"/>
        <v>0</v>
      </c>
      <c r="E721" s="4">
        <f t="shared" si="78"/>
        <v>21</v>
      </c>
      <c r="F721" s="4">
        <f t="shared" si="79"/>
        <v>31</v>
      </c>
      <c r="G721" s="3">
        <f>IF(E721&gt;=20,2000,1900) + D721</f>
        <v>2000</v>
      </c>
      <c r="H721">
        <f t="shared" si="80"/>
        <v>1</v>
      </c>
      <c r="I721" s="4">
        <f t="shared" si="81"/>
        <v>31</v>
      </c>
      <c r="J721">
        <f t="shared" si="82"/>
        <v>20002131</v>
      </c>
      <c r="K721" t="str">
        <f t="shared" si="83"/>
        <v>31.21.2000</v>
      </c>
    </row>
    <row r="722" spans="1:11" x14ac:dyDescent="0.25">
      <c r="A722" s="4" t="s">
        <v>748</v>
      </c>
      <c r="B722" t="s">
        <v>18</v>
      </c>
      <c r="C722" t="s">
        <v>6</v>
      </c>
      <c r="D722" s="3">
        <f t="shared" si="77"/>
        <v>8</v>
      </c>
      <c r="E722" s="4">
        <f t="shared" si="78"/>
        <v>32</v>
      </c>
      <c r="F722" s="4">
        <f t="shared" si="79"/>
        <v>27</v>
      </c>
      <c r="G722" s="3">
        <f>IF(E722&gt;=20,2000,1900) + D722</f>
        <v>2008</v>
      </c>
      <c r="H722">
        <f t="shared" si="80"/>
        <v>12</v>
      </c>
      <c r="I722" s="4">
        <f t="shared" si="81"/>
        <v>27</v>
      </c>
      <c r="J722">
        <f t="shared" si="82"/>
        <v>20083227</v>
      </c>
      <c r="K722" t="str">
        <f t="shared" si="83"/>
        <v>27.32.2008</v>
      </c>
    </row>
    <row r="723" spans="1:11" x14ac:dyDescent="0.25">
      <c r="A723" s="4" t="s">
        <v>749</v>
      </c>
      <c r="B723" t="s">
        <v>5</v>
      </c>
      <c r="C723" t="s">
        <v>4</v>
      </c>
      <c r="D723" s="3">
        <f t="shared" si="77"/>
        <v>16</v>
      </c>
      <c r="E723" s="4">
        <f t="shared" si="78"/>
        <v>25</v>
      </c>
      <c r="F723" s="4">
        <f t="shared" si="79"/>
        <v>15</v>
      </c>
      <c r="G723" s="3">
        <f>IF(E723&gt;=20,2000,1900) + D723</f>
        <v>2016</v>
      </c>
      <c r="H723">
        <f t="shared" si="80"/>
        <v>5</v>
      </c>
      <c r="I723" s="4">
        <f t="shared" si="81"/>
        <v>15</v>
      </c>
      <c r="J723">
        <f t="shared" si="82"/>
        <v>20162515</v>
      </c>
      <c r="K723" t="str">
        <f t="shared" si="83"/>
        <v>15.25.2016</v>
      </c>
    </row>
    <row r="724" spans="1:11" x14ac:dyDescent="0.25">
      <c r="A724" s="4" t="s">
        <v>750</v>
      </c>
      <c r="B724" t="s">
        <v>13</v>
      </c>
      <c r="C724" t="s">
        <v>6</v>
      </c>
      <c r="D724" s="3">
        <f t="shared" si="77"/>
        <v>10</v>
      </c>
      <c r="E724" s="4">
        <f t="shared" si="78"/>
        <v>29</v>
      </c>
      <c r="F724" s="4">
        <f t="shared" si="79"/>
        <v>27</v>
      </c>
      <c r="G724" s="3">
        <f>IF(E724&gt;=20,2000,1900) + D724</f>
        <v>2010</v>
      </c>
      <c r="H724">
        <f t="shared" si="80"/>
        <v>9</v>
      </c>
      <c r="I724" s="4">
        <f t="shared" si="81"/>
        <v>27</v>
      </c>
      <c r="J724">
        <f t="shared" si="82"/>
        <v>20102927</v>
      </c>
      <c r="K724" t="str">
        <f t="shared" si="83"/>
        <v>27.29.2010</v>
      </c>
    </row>
    <row r="725" spans="1:11" x14ac:dyDescent="0.25">
      <c r="A725" s="4" t="s">
        <v>751</v>
      </c>
      <c r="B725" t="s">
        <v>13</v>
      </c>
      <c r="C725" t="s">
        <v>6</v>
      </c>
      <c r="D725" s="3">
        <f t="shared" si="77"/>
        <v>14</v>
      </c>
      <c r="E725" s="4">
        <f t="shared" si="78"/>
        <v>23</v>
      </c>
      <c r="F725" s="4">
        <f t="shared" si="79"/>
        <v>13</v>
      </c>
      <c r="G725" s="3">
        <f>IF(E725&gt;=20,2000,1900) + D725</f>
        <v>2014</v>
      </c>
      <c r="H725">
        <f t="shared" si="80"/>
        <v>3</v>
      </c>
      <c r="I725" s="4">
        <f t="shared" si="81"/>
        <v>13</v>
      </c>
      <c r="J725">
        <f t="shared" si="82"/>
        <v>20142313</v>
      </c>
      <c r="K725" t="str">
        <f t="shared" si="83"/>
        <v>13.23.2014</v>
      </c>
    </row>
    <row r="726" spans="1:11" x14ac:dyDescent="0.25">
      <c r="A726" s="4" t="s">
        <v>752</v>
      </c>
      <c r="B726" t="s">
        <v>14</v>
      </c>
      <c r="C726" t="s">
        <v>4</v>
      </c>
      <c r="D726" s="3">
        <f t="shared" si="77"/>
        <v>21</v>
      </c>
      <c r="E726" s="4">
        <f t="shared" si="78"/>
        <v>22</v>
      </c>
      <c r="F726" s="4">
        <f t="shared" si="79"/>
        <v>26</v>
      </c>
      <c r="G726" s="3">
        <f>IF(E726&gt;=20,2000,1900) + D726</f>
        <v>2021</v>
      </c>
      <c r="H726">
        <f t="shared" si="80"/>
        <v>2</v>
      </c>
      <c r="I726" s="4">
        <f t="shared" si="81"/>
        <v>26</v>
      </c>
      <c r="J726">
        <f t="shared" si="82"/>
        <v>20212226</v>
      </c>
      <c r="K726" t="str">
        <f t="shared" si="83"/>
        <v>26.22.2021</v>
      </c>
    </row>
    <row r="727" spans="1:11" x14ac:dyDescent="0.25">
      <c r="A727" s="4" t="s">
        <v>753</v>
      </c>
      <c r="B727" t="s">
        <v>17</v>
      </c>
      <c r="C727" t="s">
        <v>6</v>
      </c>
      <c r="D727" s="3">
        <f t="shared" si="77"/>
        <v>12</v>
      </c>
      <c r="E727" s="4">
        <f t="shared" si="78"/>
        <v>29</v>
      </c>
      <c r="F727" s="4">
        <f t="shared" si="79"/>
        <v>22</v>
      </c>
      <c r="G727" s="3">
        <f>IF(E727&gt;=20,2000,1900) + D727</f>
        <v>2012</v>
      </c>
      <c r="H727">
        <f t="shared" si="80"/>
        <v>9</v>
      </c>
      <c r="I727" s="4">
        <f t="shared" si="81"/>
        <v>22</v>
      </c>
      <c r="J727">
        <f t="shared" si="82"/>
        <v>20122922</v>
      </c>
      <c r="K727" t="str">
        <f t="shared" si="83"/>
        <v>22.29.2012</v>
      </c>
    </row>
    <row r="728" spans="1:11" x14ac:dyDescent="0.25">
      <c r="A728" s="4" t="s">
        <v>754</v>
      </c>
      <c r="B728" t="s">
        <v>13</v>
      </c>
      <c r="C728" t="s">
        <v>6</v>
      </c>
      <c r="D728" s="3">
        <f t="shared" si="77"/>
        <v>7</v>
      </c>
      <c r="E728" s="4">
        <f t="shared" si="78"/>
        <v>28</v>
      </c>
      <c r="F728" s="4">
        <f t="shared" si="79"/>
        <v>29</v>
      </c>
      <c r="G728" s="3">
        <f>IF(E728&gt;=20,2000,1900) + D728</f>
        <v>2007</v>
      </c>
      <c r="H728">
        <f t="shared" si="80"/>
        <v>8</v>
      </c>
      <c r="I728" s="4">
        <f t="shared" si="81"/>
        <v>29</v>
      </c>
      <c r="J728">
        <f t="shared" si="82"/>
        <v>20072829</v>
      </c>
      <c r="K728" t="str">
        <f t="shared" si="83"/>
        <v>29.28.2007</v>
      </c>
    </row>
    <row r="729" spans="1:11" x14ac:dyDescent="0.25">
      <c r="A729" s="4" t="s">
        <v>755</v>
      </c>
      <c r="B729" t="s">
        <v>19</v>
      </c>
      <c r="C729" t="s">
        <v>6</v>
      </c>
      <c r="D729" s="3">
        <f t="shared" si="77"/>
        <v>9</v>
      </c>
      <c r="E729" s="4">
        <f t="shared" si="78"/>
        <v>22</v>
      </c>
      <c r="F729" s="4">
        <f t="shared" si="79"/>
        <v>5</v>
      </c>
      <c r="G729" s="3">
        <f>IF(E729&gt;=20,2000,1900) + D729</f>
        <v>2009</v>
      </c>
      <c r="H729">
        <f t="shared" si="80"/>
        <v>2</v>
      </c>
      <c r="I729" s="4">
        <f t="shared" si="81"/>
        <v>5</v>
      </c>
      <c r="J729">
        <f t="shared" si="82"/>
        <v>20092205</v>
      </c>
      <c r="K729" t="str">
        <f t="shared" si="83"/>
        <v>05.22.2009</v>
      </c>
    </row>
    <row r="730" spans="1:11" x14ac:dyDescent="0.25">
      <c r="A730" s="4" t="s">
        <v>756</v>
      </c>
      <c r="B730" t="s">
        <v>18</v>
      </c>
      <c r="C730" t="s">
        <v>6</v>
      </c>
      <c r="D730" s="3">
        <f t="shared" si="77"/>
        <v>21</v>
      </c>
      <c r="E730" s="4">
        <f t="shared" si="78"/>
        <v>23</v>
      </c>
      <c r="F730" s="4">
        <f t="shared" si="79"/>
        <v>1</v>
      </c>
      <c r="G730" s="3">
        <f>IF(E730&gt;=20,2000,1900) + D730</f>
        <v>2021</v>
      </c>
      <c r="H730">
        <f t="shared" si="80"/>
        <v>3</v>
      </c>
      <c r="I730" s="4">
        <f t="shared" si="81"/>
        <v>1</v>
      </c>
      <c r="J730">
        <f t="shared" si="82"/>
        <v>20212301</v>
      </c>
      <c r="K730" t="str">
        <f t="shared" si="83"/>
        <v>01.23.2021</v>
      </c>
    </row>
    <row r="731" spans="1:11" x14ac:dyDescent="0.25">
      <c r="A731" s="4" t="s">
        <v>757</v>
      </c>
      <c r="B731" t="s">
        <v>16</v>
      </c>
      <c r="C731" t="s">
        <v>4</v>
      </c>
      <c r="D731" s="3">
        <f t="shared" si="77"/>
        <v>11</v>
      </c>
      <c r="E731" s="4">
        <f t="shared" si="78"/>
        <v>31</v>
      </c>
      <c r="F731" s="4">
        <f t="shared" si="79"/>
        <v>23</v>
      </c>
      <c r="G731" s="3">
        <f>IF(E731&gt;=20,2000,1900) + D731</f>
        <v>2011</v>
      </c>
      <c r="H731">
        <f t="shared" si="80"/>
        <v>11</v>
      </c>
      <c r="I731" s="4">
        <f t="shared" si="81"/>
        <v>23</v>
      </c>
      <c r="J731">
        <f t="shared" si="82"/>
        <v>20113123</v>
      </c>
      <c r="K731" t="str">
        <f t="shared" si="83"/>
        <v>23.31.2011</v>
      </c>
    </row>
    <row r="732" spans="1:11" x14ac:dyDescent="0.25">
      <c r="A732" s="4" t="s">
        <v>758</v>
      </c>
      <c r="B732" t="s">
        <v>14</v>
      </c>
      <c r="C732" t="s">
        <v>4</v>
      </c>
      <c r="D732" s="3">
        <f t="shared" si="77"/>
        <v>9</v>
      </c>
      <c r="E732" s="4">
        <f t="shared" si="78"/>
        <v>24</v>
      </c>
      <c r="F732" s="4">
        <f t="shared" si="79"/>
        <v>6</v>
      </c>
      <c r="G732" s="3">
        <f>IF(E732&gt;=20,2000,1900) + D732</f>
        <v>2009</v>
      </c>
      <c r="H732">
        <f t="shared" si="80"/>
        <v>4</v>
      </c>
      <c r="I732" s="4">
        <f t="shared" si="81"/>
        <v>6</v>
      </c>
      <c r="J732">
        <f t="shared" si="82"/>
        <v>20092406</v>
      </c>
      <c r="K732" t="str">
        <f t="shared" si="83"/>
        <v>06.24.2009</v>
      </c>
    </row>
    <row r="733" spans="1:11" x14ac:dyDescent="0.25">
      <c r="A733" s="4" t="s">
        <v>759</v>
      </c>
      <c r="B733" t="s">
        <v>15</v>
      </c>
      <c r="C733" t="s">
        <v>6</v>
      </c>
      <c r="D733" s="3">
        <f t="shared" si="77"/>
        <v>0</v>
      </c>
      <c r="E733" s="4">
        <f t="shared" si="78"/>
        <v>31</v>
      </c>
      <c r="F733" s="4">
        <f t="shared" si="79"/>
        <v>21</v>
      </c>
      <c r="G733" s="3">
        <f>IF(E733&gt;=20,2000,1900) + D733</f>
        <v>2000</v>
      </c>
      <c r="H733">
        <f t="shared" si="80"/>
        <v>11</v>
      </c>
      <c r="I733" s="4">
        <f t="shared" si="81"/>
        <v>21</v>
      </c>
      <c r="J733">
        <f t="shared" si="82"/>
        <v>20003121</v>
      </c>
      <c r="K733" t="str">
        <f t="shared" si="83"/>
        <v>21.31.2000</v>
      </c>
    </row>
    <row r="734" spans="1:11" x14ac:dyDescent="0.25">
      <c r="A734" s="4" t="s">
        <v>760</v>
      </c>
      <c r="B734" t="s">
        <v>20</v>
      </c>
      <c r="C734" t="s">
        <v>4</v>
      </c>
      <c r="D734" s="3">
        <f t="shared" si="77"/>
        <v>8</v>
      </c>
      <c r="E734" s="4">
        <f t="shared" si="78"/>
        <v>28</v>
      </c>
      <c r="F734" s="4">
        <f t="shared" si="79"/>
        <v>11</v>
      </c>
      <c r="G734" s="3">
        <f>IF(E734&gt;=20,2000,1900) + D734</f>
        <v>2008</v>
      </c>
      <c r="H734">
        <f t="shared" si="80"/>
        <v>8</v>
      </c>
      <c r="I734" s="4">
        <f t="shared" si="81"/>
        <v>11</v>
      </c>
      <c r="J734">
        <f t="shared" si="82"/>
        <v>20082811</v>
      </c>
      <c r="K734" t="str">
        <f t="shared" si="83"/>
        <v>11.28.2008</v>
      </c>
    </row>
    <row r="735" spans="1:11" x14ac:dyDescent="0.25">
      <c r="A735" s="4" t="s">
        <v>761</v>
      </c>
      <c r="B735" t="s">
        <v>17</v>
      </c>
      <c r="C735" t="s">
        <v>6</v>
      </c>
      <c r="D735" s="3">
        <f t="shared" si="77"/>
        <v>5</v>
      </c>
      <c r="E735" s="4">
        <f t="shared" si="78"/>
        <v>22</v>
      </c>
      <c r="F735" s="4">
        <f t="shared" si="79"/>
        <v>12</v>
      </c>
      <c r="G735" s="3">
        <f>IF(E735&gt;=20,2000,1900) + D735</f>
        <v>2005</v>
      </c>
      <c r="H735">
        <f t="shared" si="80"/>
        <v>2</v>
      </c>
      <c r="I735" s="4">
        <f t="shared" si="81"/>
        <v>12</v>
      </c>
      <c r="J735">
        <f t="shared" si="82"/>
        <v>20052212</v>
      </c>
      <c r="K735" t="str">
        <f t="shared" si="83"/>
        <v>12.22.2005</v>
      </c>
    </row>
    <row r="736" spans="1:11" x14ac:dyDescent="0.25">
      <c r="A736" s="4" t="s">
        <v>762</v>
      </c>
      <c r="B736" t="s">
        <v>11</v>
      </c>
      <c r="C736" t="s">
        <v>4</v>
      </c>
      <c r="D736" s="3">
        <f t="shared" si="77"/>
        <v>16</v>
      </c>
      <c r="E736" s="4">
        <f t="shared" si="78"/>
        <v>21</v>
      </c>
      <c r="F736" s="4">
        <f t="shared" si="79"/>
        <v>24</v>
      </c>
      <c r="G736" s="3">
        <f>IF(E736&gt;=20,2000,1900) + D736</f>
        <v>2016</v>
      </c>
      <c r="H736">
        <f t="shared" si="80"/>
        <v>1</v>
      </c>
      <c r="I736" s="4">
        <f t="shared" si="81"/>
        <v>24</v>
      </c>
      <c r="J736">
        <f t="shared" si="82"/>
        <v>20162124</v>
      </c>
      <c r="K736" t="str">
        <f t="shared" si="83"/>
        <v>24.21.2016</v>
      </c>
    </row>
    <row r="737" spans="1:11" x14ac:dyDescent="0.25">
      <c r="A737" s="4" t="s">
        <v>763</v>
      </c>
      <c r="B737" t="s">
        <v>20</v>
      </c>
      <c r="C737" t="s">
        <v>4</v>
      </c>
      <c r="D737" s="3">
        <f t="shared" si="77"/>
        <v>15</v>
      </c>
      <c r="E737" s="4">
        <f t="shared" si="78"/>
        <v>30</v>
      </c>
      <c r="F737" s="4">
        <f t="shared" si="79"/>
        <v>6</v>
      </c>
      <c r="G737" s="3">
        <f>IF(E737&gt;=20,2000,1900) + D737</f>
        <v>2015</v>
      </c>
      <c r="H737">
        <f t="shared" si="80"/>
        <v>10</v>
      </c>
      <c r="I737" s="4">
        <f t="shared" si="81"/>
        <v>6</v>
      </c>
      <c r="J737">
        <f t="shared" si="82"/>
        <v>20153006</v>
      </c>
      <c r="K737" t="str">
        <f t="shared" si="83"/>
        <v>06.30.2015</v>
      </c>
    </row>
    <row r="738" spans="1:11" x14ac:dyDescent="0.25">
      <c r="A738" s="4" t="s">
        <v>764</v>
      </c>
      <c r="B738" t="s">
        <v>5</v>
      </c>
      <c r="C738" t="s">
        <v>4</v>
      </c>
      <c r="D738" s="3">
        <f t="shared" si="77"/>
        <v>15</v>
      </c>
      <c r="E738" s="4">
        <f t="shared" si="78"/>
        <v>29</v>
      </c>
      <c r="F738" s="4">
        <f t="shared" si="79"/>
        <v>18</v>
      </c>
      <c r="G738" s="3">
        <f>IF(E738&gt;=20,2000,1900) + D738</f>
        <v>2015</v>
      </c>
      <c r="H738">
        <f t="shared" si="80"/>
        <v>9</v>
      </c>
      <c r="I738" s="4">
        <f t="shared" si="81"/>
        <v>18</v>
      </c>
      <c r="J738">
        <f t="shared" si="82"/>
        <v>20152918</v>
      </c>
      <c r="K738" t="str">
        <f t="shared" si="83"/>
        <v>18.29.2015</v>
      </c>
    </row>
    <row r="739" spans="1:11" x14ac:dyDescent="0.25">
      <c r="A739" s="4" t="s">
        <v>765</v>
      </c>
      <c r="B739" t="s">
        <v>19</v>
      </c>
      <c r="C739" t="s">
        <v>6</v>
      </c>
      <c r="D739" s="3">
        <f t="shared" si="77"/>
        <v>19</v>
      </c>
      <c r="E739" s="4">
        <f t="shared" si="78"/>
        <v>30</v>
      </c>
      <c r="F739" s="4">
        <f t="shared" si="79"/>
        <v>15</v>
      </c>
      <c r="G739" s="3">
        <f>IF(E739&gt;=20,2000,1900) + D739</f>
        <v>2019</v>
      </c>
      <c r="H739">
        <f t="shared" si="80"/>
        <v>10</v>
      </c>
      <c r="I739" s="4">
        <f t="shared" si="81"/>
        <v>15</v>
      </c>
      <c r="J739">
        <f t="shared" si="82"/>
        <v>20193015</v>
      </c>
      <c r="K739" t="str">
        <f t="shared" si="83"/>
        <v>15.30.2019</v>
      </c>
    </row>
    <row r="740" spans="1:11" x14ac:dyDescent="0.25">
      <c r="A740" s="4" t="s">
        <v>766</v>
      </c>
      <c r="B740" t="s">
        <v>12</v>
      </c>
      <c r="C740" t="s">
        <v>4</v>
      </c>
      <c r="D740" s="3">
        <f t="shared" si="77"/>
        <v>3</v>
      </c>
      <c r="E740" s="4">
        <f t="shared" si="78"/>
        <v>21</v>
      </c>
      <c r="F740" s="4">
        <f t="shared" si="79"/>
        <v>14</v>
      </c>
      <c r="G740" s="3">
        <f>IF(E740&gt;=20,2000,1900) + D740</f>
        <v>2003</v>
      </c>
      <c r="H740">
        <f t="shared" si="80"/>
        <v>1</v>
      </c>
      <c r="I740" s="4">
        <f t="shared" si="81"/>
        <v>14</v>
      </c>
      <c r="J740">
        <f t="shared" si="82"/>
        <v>20032114</v>
      </c>
      <c r="K740" t="str">
        <f t="shared" si="83"/>
        <v>14.21.2003</v>
      </c>
    </row>
    <row r="741" spans="1:11" x14ac:dyDescent="0.25">
      <c r="A741" s="4" t="s">
        <v>767</v>
      </c>
      <c r="B741" t="s">
        <v>11</v>
      </c>
      <c r="C741" t="s">
        <v>4</v>
      </c>
      <c r="D741" s="3">
        <f t="shared" si="77"/>
        <v>6</v>
      </c>
      <c r="E741" s="4">
        <f t="shared" si="78"/>
        <v>24</v>
      </c>
      <c r="F741" s="4">
        <f t="shared" si="79"/>
        <v>21</v>
      </c>
      <c r="G741" s="3">
        <f>IF(E741&gt;=20,2000,1900) + D741</f>
        <v>2006</v>
      </c>
      <c r="H741">
        <f t="shared" si="80"/>
        <v>4</v>
      </c>
      <c r="I741" s="4">
        <f t="shared" si="81"/>
        <v>21</v>
      </c>
      <c r="J741">
        <f t="shared" si="82"/>
        <v>20062421</v>
      </c>
      <c r="K741" t="str">
        <f t="shared" si="83"/>
        <v>21.24.2006</v>
      </c>
    </row>
    <row r="742" spans="1:11" x14ac:dyDescent="0.25">
      <c r="A742" s="4" t="s">
        <v>768</v>
      </c>
      <c r="B742" t="s">
        <v>17</v>
      </c>
      <c r="C742" t="s">
        <v>4</v>
      </c>
      <c r="D742" s="3">
        <f t="shared" si="77"/>
        <v>3</v>
      </c>
      <c r="E742" s="4">
        <f t="shared" si="78"/>
        <v>25</v>
      </c>
      <c r="F742" s="4">
        <f t="shared" si="79"/>
        <v>28</v>
      </c>
      <c r="G742" s="3">
        <f>IF(E742&gt;=20,2000,1900) + D742</f>
        <v>2003</v>
      </c>
      <c r="H742">
        <f t="shared" si="80"/>
        <v>5</v>
      </c>
      <c r="I742" s="4">
        <f t="shared" si="81"/>
        <v>28</v>
      </c>
      <c r="J742">
        <f t="shared" si="82"/>
        <v>20032528</v>
      </c>
      <c r="K742" t="str">
        <f t="shared" si="83"/>
        <v>28.25.2003</v>
      </c>
    </row>
    <row r="743" spans="1:11" x14ac:dyDescent="0.25">
      <c r="A743" s="4" t="s">
        <v>769</v>
      </c>
      <c r="B743" t="s">
        <v>12</v>
      </c>
      <c r="C743" t="s">
        <v>4</v>
      </c>
      <c r="D743" s="3">
        <f t="shared" si="77"/>
        <v>16</v>
      </c>
      <c r="E743" s="4">
        <f t="shared" si="78"/>
        <v>29</v>
      </c>
      <c r="F743" s="4">
        <f t="shared" si="79"/>
        <v>29</v>
      </c>
      <c r="G743" s="3">
        <f>IF(E743&gt;=20,2000,1900) + D743</f>
        <v>2016</v>
      </c>
      <c r="H743">
        <f t="shared" si="80"/>
        <v>9</v>
      </c>
      <c r="I743" s="4">
        <f t="shared" si="81"/>
        <v>29</v>
      </c>
      <c r="J743">
        <f t="shared" si="82"/>
        <v>20162929</v>
      </c>
      <c r="K743" t="str">
        <f t="shared" si="83"/>
        <v>29.29.2016</v>
      </c>
    </row>
    <row r="744" spans="1:11" x14ac:dyDescent="0.25">
      <c r="A744" s="4" t="s">
        <v>770</v>
      </c>
      <c r="B744" t="s">
        <v>16</v>
      </c>
      <c r="C744" t="s">
        <v>6</v>
      </c>
      <c r="D744" s="3">
        <f t="shared" si="77"/>
        <v>0</v>
      </c>
      <c r="E744" s="4">
        <f t="shared" si="78"/>
        <v>27</v>
      </c>
      <c r="F744" s="4">
        <f t="shared" si="79"/>
        <v>27</v>
      </c>
      <c r="G744" s="3">
        <f>IF(E744&gt;=20,2000,1900) + D744</f>
        <v>2000</v>
      </c>
      <c r="H744">
        <f t="shared" si="80"/>
        <v>7</v>
      </c>
      <c r="I744" s="4">
        <f t="shared" si="81"/>
        <v>27</v>
      </c>
      <c r="J744">
        <f t="shared" si="82"/>
        <v>20002727</v>
      </c>
      <c r="K744" t="str">
        <f t="shared" si="83"/>
        <v>27.27.2000</v>
      </c>
    </row>
    <row r="745" spans="1:11" x14ac:dyDescent="0.25">
      <c r="A745" s="4" t="s">
        <v>771</v>
      </c>
      <c r="B745" t="s">
        <v>12</v>
      </c>
      <c r="C745" t="s">
        <v>6</v>
      </c>
      <c r="D745" s="3">
        <f t="shared" si="77"/>
        <v>6</v>
      </c>
      <c r="E745" s="4">
        <f t="shared" si="78"/>
        <v>25</v>
      </c>
      <c r="F745" s="4">
        <f t="shared" si="79"/>
        <v>21</v>
      </c>
      <c r="G745" s="3">
        <f>IF(E745&gt;=20,2000,1900) + D745</f>
        <v>2006</v>
      </c>
      <c r="H745">
        <f t="shared" si="80"/>
        <v>5</v>
      </c>
      <c r="I745" s="4">
        <f t="shared" si="81"/>
        <v>21</v>
      </c>
      <c r="J745">
        <f t="shared" si="82"/>
        <v>20062521</v>
      </c>
      <c r="K745" t="str">
        <f t="shared" si="83"/>
        <v>21.25.2006</v>
      </c>
    </row>
    <row r="746" spans="1:11" x14ac:dyDescent="0.25">
      <c r="A746" s="4" t="s">
        <v>772</v>
      </c>
      <c r="B746" t="s">
        <v>12</v>
      </c>
      <c r="C746" t="s">
        <v>6</v>
      </c>
      <c r="D746" s="3">
        <f t="shared" si="77"/>
        <v>12</v>
      </c>
      <c r="E746" s="4">
        <f t="shared" si="78"/>
        <v>24</v>
      </c>
      <c r="F746" s="4">
        <f t="shared" si="79"/>
        <v>17</v>
      </c>
      <c r="G746" s="3">
        <f>IF(E746&gt;=20,2000,1900) + D746</f>
        <v>2012</v>
      </c>
      <c r="H746">
        <f t="shared" si="80"/>
        <v>4</v>
      </c>
      <c r="I746" s="4">
        <f t="shared" si="81"/>
        <v>17</v>
      </c>
      <c r="J746">
        <f t="shared" si="82"/>
        <v>20122417</v>
      </c>
      <c r="K746" t="str">
        <f t="shared" si="83"/>
        <v>17.24.2012</v>
      </c>
    </row>
    <row r="747" spans="1:11" x14ac:dyDescent="0.25">
      <c r="A747" s="4" t="s">
        <v>773</v>
      </c>
      <c r="B747" t="s">
        <v>19</v>
      </c>
      <c r="C747" t="s">
        <v>6</v>
      </c>
      <c r="D747" s="3">
        <f t="shared" si="77"/>
        <v>17</v>
      </c>
      <c r="E747" s="4">
        <f t="shared" si="78"/>
        <v>25</v>
      </c>
      <c r="F747" s="4">
        <f t="shared" si="79"/>
        <v>1</v>
      </c>
      <c r="G747" s="3">
        <f>IF(E747&gt;=20,2000,1900) + D747</f>
        <v>2017</v>
      </c>
      <c r="H747">
        <f t="shared" si="80"/>
        <v>5</v>
      </c>
      <c r="I747" s="4">
        <f t="shared" si="81"/>
        <v>1</v>
      </c>
      <c r="J747">
        <f t="shared" si="82"/>
        <v>20172501</v>
      </c>
      <c r="K747" t="str">
        <f t="shared" si="83"/>
        <v>01.25.2017</v>
      </c>
    </row>
    <row r="748" spans="1:11" x14ac:dyDescent="0.25">
      <c r="A748" s="4" t="s">
        <v>774</v>
      </c>
      <c r="B748" t="s">
        <v>5</v>
      </c>
      <c r="C748" t="s">
        <v>6</v>
      </c>
      <c r="D748" s="3">
        <f t="shared" si="77"/>
        <v>15</v>
      </c>
      <c r="E748" s="4">
        <f t="shared" si="78"/>
        <v>31</v>
      </c>
      <c r="F748" s="4">
        <f t="shared" si="79"/>
        <v>26</v>
      </c>
      <c r="G748" s="3">
        <f>IF(E748&gt;=20,2000,1900) + D748</f>
        <v>2015</v>
      </c>
      <c r="H748">
        <f t="shared" si="80"/>
        <v>11</v>
      </c>
      <c r="I748" s="4">
        <f t="shared" si="81"/>
        <v>26</v>
      </c>
      <c r="J748">
        <f t="shared" si="82"/>
        <v>20153126</v>
      </c>
      <c r="K748" t="str">
        <f t="shared" si="83"/>
        <v>26.31.2015</v>
      </c>
    </row>
    <row r="749" spans="1:11" x14ac:dyDescent="0.25">
      <c r="A749" s="4" t="s">
        <v>775</v>
      </c>
      <c r="B749" t="s">
        <v>14</v>
      </c>
      <c r="C749" t="s">
        <v>4</v>
      </c>
      <c r="D749" s="3">
        <f t="shared" si="77"/>
        <v>11</v>
      </c>
      <c r="E749" s="4">
        <f t="shared" si="78"/>
        <v>26</v>
      </c>
      <c r="F749" s="4">
        <f t="shared" si="79"/>
        <v>13</v>
      </c>
      <c r="G749" s="3">
        <f>IF(E749&gt;=20,2000,1900) + D749</f>
        <v>2011</v>
      </c>
      <c r="H749">
        <f t="shared" si="80"/>
        <v>6</v>
      </c>
      <c r="I749" s="4">
        <f t="shared" si="81"/>
        <v>13</v>
      </c>
      <c r="J749">
        <f t="shared" si="82"/>
        <v>20112613</v>
      </c>
      <c r="K749" t="str">
        <f t="shared" si="83"/>
        <v>13.26.2011</v>
      </c>
    </row>
    <row r="750" spans="1:11" x14ac:dyDescent="0.25">
      <c r="A750" s="4" t="s">
        <v>776</v>
      </c>
      <c r="B750" t="s">
        <v>13</v>
      </c>
      <c r="C750" t="s">
        <v>4</v>
      </c>
      <c r="D750" s="3">
        <f t="shared" si="77"/>
        <v>11</v>
      </c>
      <c r="E750" s="4">
        <f t="shared" si="78"/>
        <v>27</v>
      </c>
      <c r="F750" s="4">
        <f t="shared" si="79"/>
        <v>8</v>
      </c>
      <c r="G750" s="3">
        <f>IF(E750&gt;=20,2000,1900) + D750</f>
        <v>2011</v>
      </c>
      <c r="H750">
        <f t="shared" si="80"/>
        <v>7</v>
      </c>
      <c r="I750" s="4">
        <f t="shared" si="81"/>
        <v>8</v>
      </c>
      <c r="J750">
        <f t="shared" si="82"/>
        <v>20112708</v>
      </c>
      <c r="K750" t="str">
        <f t="shared" si="83"/>
        <v>08.27.2011</v>
      </c>
    </row>
    <row r="751" spans="1:11" x14ac:dyDescent="0.25">
      <c r="A751" s="4" t="s">
        <v>777</v>
      </c>
      <c r="B751" t="s">
        <v>15</v>
      </c>
      <c r="C751" t="s">
        <v>4</v>
      </c>
      <c r="D751" s="3">
        <f t="shared" si="77"/>
        <v>13</v>
      </c>
      <c r="E751" s="4">
        <f t="shared" si="78"/>
        <v>25</v>
      </c>
      <c r="F751" s="4">
        <f t="shared" si="79"/>
        <v>10</v>
      </c>
      <c r="G751" s="3">
        <f>IF(E751&gt;=20,2000,1900) + D751</f>
        <v>2013</v>
      </c>
      <c r="H751">
        <f t="shared" si="80"/>
        <v>5</v>
      </c>
      <c r="I751" s="4">
        <f t="shared" si="81"/>
        <v>10</v>
      </c>
      <c r="J751">
        <f t="shared" si="82"/>
        <v>20132510</v>
      </c>
      <c r="K751" t="str">
        <f t="shared" si="83"/>
        <v>10.25.2013</v>
      </c>
    </row>
    <row r="752" spans="1:11" x14ac:dyDescent="0.25">
      <c r="A752" s="4" t="s">
        <v>778</v>
      </c>
      <c r="B752" t="s">
        <v>20</v>
      </c>
      <c r="C752" t="s">
        <v>4</v>
      </c>
      <c r="D752" s="3">
        <f t="shared" si="77"/>
        <v>16</v>
      </c>
      <c r="E752" s="4">
        <f t="shared" si="78"/>
        <v>25</v>
      </c>
      <c r="F752" s="4">
        <f t="shared" si="79"/>
        <v>14</v>
      </c>
      <c r="G752" s="3">
        <f>IF(E752&gt;=20,2000,1900) + D752</f>
        <v>2016</v>
      </c>
      <c r="H752">
        <f t="shared" si="80"/>
        <v>5</v>
      </c>
      <c r="I752" s="4">
        <f t="shared" si="81"/>
        <v>14</v>
      </c>
      <c r="J752">
        <f t="shared" si="82"/>
        <v>20162514</v>
      </c>
      <c r="K752" t="str">
        <f t="shared" si="83"/>
        <v>14.25.2016</v>
      </c>
    </row>
    <row r="753" spans="1:11" x14ac:dyDescent="0.25">
      <c r="A753" s="4" t="s">
        <v>779</v>
      </c>
      <c r="B753" t="s">
        <v>12</v>
      </c>
      <c r="C753" t="s">
        <v>6</v>
      </c>
      <c r="D753" s="3">
        <f t="shared" si="77"/>
        <v>21</v>
      </c>
      <c r="E753" s="4">
        <f t="shared" si="78"/>
        <v>27</v>
      </c>
      <c r="F753" s="4">
        <f t="shared" si="79"/>
        <v>2</v>
      </c>
      <c r="G753" s="3">
        <f>IF(E753&gt;=20,2000,1900) + D753</f>
        <v>2021</v>
      </c>
      <c r="H753">
        <f t="shared" si="80"/>
        <v>7</v>
      </c>
      <c r="I753" s="4">
        <f t="shared" si="81"/>
        <v>2</v>
      </c>
      <c r="J753">
        <f t="shared" si="82"/>
        <v>20212702</v>
      </c>
      <c r="K753" t="str">
        <f t="shared" si="83"/>
        <v>02.27.2021</v>
      </c>
    </row>
    <row r="754" spans="1:11" x14ac:dyDescent="0.25">
      <c r="A754" s="4" t="s">
        <v>780</v>
      </c>
      <c r="B754" t="s">
        <v>16</v>
      </c>
      <c r="C754" t="s">
        <v>6</v>
      </c>
      <c r="D754" s="3">
        <f t="shared" si="77"/>
        <v>7</v>
      </c>
      <c r="E754" s="4">
        <f t="shared" si="78"/>
        <v>23</v>
      </c>
      <c r="F754" s="4">
        <f t="shared" si="79"/>
        <v>31</v>
      </c>
      <c r="G754" s="3">
        <f>IF(E754&gt;=20,2000,1900) + D754</f>
        <v>2007</v>
      </c>
      <c r="H754">
        <f t="shared" si="80"/>
        <v>3</v>
      </c>
      <c r="I754" s="4">
        <f t="shared" si="81"/>
        <v>31</v>
      </c>
      <c r="J754">
        <f t="shared" si="82"/>
        <v>20072331</v>
      </c>
      <c r="K754" t="str">
        <f t="shared" si="83"/>
        <v>31.23.2007</v>
      </c>
    </row>
    <row r="755" spans="1:11" x14ac:dyDescent="0.25">
      <c r="A755" s="4" t="s">
        <v>781</v>
      </c>
      <c r="B755" t="s">
        <v>14</v>
      </c>
      <c r="C755" t="s">
        <v>4</v>
      </c>
      <c r="D755" s="3">
        <f t="shared" si="77"/>
        <v>6</v>
      </c>
      <c r="E755" s="4">
        <f t="shared" si="78"/>
        <v>24</v>
      </c>
      <c r="F755" s="4">
        <f t="shared" si="79"/>
        <v>6</v>
      </c>
      <c r="G755" s="3">
        <f>IF(E755&gt;=20,2000,1900) + D755</f>
        <v>2006</v>
      </c>
      <c r="H755">
        <f t="shared" si="80"/>
        <v>4</v>
      </c>
      <c r="I755" s="4">
        <f t="shared" si="81"/>
        <v>6</v>
      </c>
      <c r="J755">
        <f t="shared" si="82"/>
        <v>20062406</v>
      </c>
      <c r="K755" t="str">
        <f t="shared" si="83"/>
        <v>06.24.2006</v>
      </c>
    </row>
    <row r="756" spans="1:11" x14ac:dyDescent="0.25">
      <c r="A756" s="4" t="s">
        <v>782</v>
      </c>
      <c r="B756" t="s">
        <v>8</v>
      </c>
      <c r="C756" t="s">
        <v>4</v>
      </c>
      <c r="D756" s="3">
        <f t="shared" si="77"/>
        <v>8</v>
      </c>
      <c r="E756" s="4">
        <f t="shared" si="78"/>
        <v>23</v>
      </c>
      <c r="F756" s="4">
        <f t="shared" si="79"/>
        <v>7</v>
      </c>
      <c r="G756" s="3">
        <f>IF(E756&gt;=20,2000,1900) + D756</f>
        <v>2008</v>
      </c>
      <c r="H756">
        <f t="shared" si="80"/>
        <v>3</v>
      </c>
      <c r="I756" s="4">
        <f t="shared" si="81"/>
        <v>7</v>
      </c>
      <c r="J756">
        <f t="shared" si="82"/>
        <v>20082307</v>
      </c>
      <c r="K756" t="str">
        <f t="shared" si="83"/>
        <v>07.23.2008</v>
      </c>
    </row>
    <row r="757" spans="1:11" x14ac:dyDescent="0.25">
      <c r="A757" s="4" t="s">
        <v>783</v>
      </c>
      <c r="B757" t="s">
        <v>19</v>
      </c>
      <c r="C757" t="s">
        <v>4</v>
      </c>
      <c r="D757" s="3">
        <f t="shared" si="77"/>
        <v>10</v>
      </c>
      <c r="E757" s="4">
        <f t="shared" si="78"/>
        <v>27</v>
      </c>
      <c r="F757" s="4">
        <f t="shared" si="79"/>
        <v>26</v>
      </c>
      <c r="G757" s="3">
        <f>IF(E757&gt;=20,2000,1900) + D757</f>
        <v>2010</v>
      </c>
      <c r="H757">
        <f t="shared" si="80"/>
        <v>7</v>
      </c>
      <c r="I757" s="4">
        <f t="shared" si="81"/>
        <v>26</v>
      </c>
      <c r="J757">
        <f t="shared" si="82"/>
        <v>20102726</v>
      </c>
      <c r="K757" t="str">
        <f t="shared" si="83"/>
        <v>26.27.2010</v>
      </c>
    </row>
    <row r="758" spans="1:11" x14ac:dyDescent="0.25">
      <c r="A758" s="4" t="s">
        <v>784</v>
      </c>
      <c r="B758" t="s">
        <v>18</v>
      </c>
      <c r="C758" t="s">
        <v>4</v>
      </c>
      <c r="D758" s="3">
        <f t="shared" si="77"/>
        <v>2</v>
      </c>
      <c r="E758" s="4">
        <f t="shared" si="78"/>
        <v>22</v>
      </c>
      <c r="F758" s="4">
        <f t="shared" si="79"/>
        <v>26</v>
      </c>
      <c r="G758" s="3">
        <f>IF(E758&gt;=20,2000,1900) + D758</f>
        <v>2002</v>
      </c>
      <c r="H758">
        <f t="shared" si="80"/>
        <v>2</v>
      </c>
      <c r="I758" s="4">
        <f t="shared" si="81"/>
        <v>26</v>
      </c>
      <c r="J758">
        <f t="shared" si="82"/>
        <v>20022226</v>
      </c>
      <c r="K758" t="str">
        <f t="shared" si="83"/>
        <v>26.22.2002</v>
      </c>
    </row>
    <row r="759" spans="1:11" x14ac:dyDescent="0.25">
      <c r="A759" s="4" t="s">
        <v>785</v>
      </c>
      <c r="B759" t="s">
        <v>8</v>
      </c>
      <c r="C759" t="s">
        <v>4</v>
      </c>
      <c r="D759" s="3">
        <f t="shared" si="77"/>
        <v>2</v>
      </c>
      <c r="E759" s="4">
        <f t="shared" si="78"/>
        <v>30</v>
      </c>
      <c r="F759" s="4">
        <f t="shared" si="79"/>
        <v>2</v>
      </c>
      <c r="G759" s="3">
        <f>IF(E759&gt;=20,2000,1900) + D759</f>
        <v>2002</v>
      </c>
      <c r="H759">
        <f t="shared" si="80"/>
        <v>10</v>
      </c>
      <c r="I759" s="4">
        <f t="shared" si="81"/>
        <v>2</v>
      </c>
      <c r="J759">
        <f t="shared" si="82"/>
        <v>20023002</v>
      </c>
      <c r="K759" t="str">
        <f t="shared" si="83"/>
        <v>02.30.2002</v>
      </c>
    </row>
    <row r="760" spans="1:11" x14ac:dyDescent="0.25">
      <c r="A760" s="4" t="s">
        <v>786</v>
      </c>
      <c r="B760" t="s">
        <v>5</v>
      </c>
      <c r="C760" t="s">
        <v>4</v>
      </c>
      <c r="D760" s="3">
        <f t="shared" si="77"/>
        <v>2</v>
      </c>
      <c r="E760" s="4">
        <f t="shared" si="78"/>
        <v>32</v>
      </c>
      <c r="F760" s="4">
        <f t="shared" si="79"/>
        <v>1</v>
      </c>
      <c r="G760" s="3">
        <f>IF(E760&gt;=20,2000,1900) + D760</f>
        <v>2002</v>
      </c>
      <c r="H760">
        <f t="shared" si="80"/>
        <v>12</v>
      </c>
      <c r="I760" s="4">
        <f t="shared" si="81"/>
        <v>1</v>
      </c>
      <c r="J760">
        <f t="shared" si="82"/>
        <v>20023201</v>
      </c>
      <c r="K760" t="str">
        <f t="shared" si="83"/>
        <v>01.32.2002</v>
      </c>
    </row>
    <row r="761" spans="1:11" x14ac:dyDescent="0.25">
      <c r="A761" s="4" t="s">
        <v>787</v>
      </c>
      <c r="B761" t="s">
        <v>17</v>
      </c>
      <c r="C761" t="s">
        <v>4</v>
      </c>
      <c r="D761" s="3">
        <f t="shared" si="77"/>
        <v>10</v>
      </c>
      <c r="E761" s="4">
        <f t="shared" si="78"/>
        <v>23</v>
      </c>
      <c r="F761" s="4">
        <f t="shared" si="79"/>
        <v>13</v>
      </c>
      <c r="G761" s="3">
        <f>IF(E761&gt;=20,2000,1900) + D761</f>
        <v>2010</v>
      </c>
      <c r="H761">
        <f t="shared" si="80"/>
        <v>3</v>
      </c>
      <c r="I761" s="4">
        <f t="shared" si="81"/>
        <v>13</v>
      </c>
      <c r="J761">
        <f t="shared" si="82"/>
        <v>20102313</v>
      </c>
      <c r="K761" t="str">
        <f t="shared" si="83"/>
        <v>13.23.2010</v>
      </c>
    </row>
    <row r="762" spans="1:11" x14ac:dyDescent="0.25">
      <c r="A762" s="4" t="s">
        <v>788</v>
      </c>
      <c r="B762" t="s">
        <v>5</v>
      </c>
      <c r="C762" t="s">
        <v>6</v>
      </c>
      <c r="D762" s="3">
        <f t="shared" si="77"/>
        <v>1</v>
      </c>
      <c r="E762" s="4">
        <f t="shared" si="78"/>
        <v>21</v>
      </c>
      <c r="F762" s="4">
        <f t="shared" si="79"/>
        <v>16</v>
      </c>
      <c r="G762" s="3">
        <f>IF(E762&gt;=20,2000,1900) + D762</f>
        <v>2001</v>
      </c>
      <c r="H762">
        <f t="shared" si="80"/>
        <v>1</v>
      </c>
      <c r="I762" s="4">
        <f t="shared" si="81"/>
        <v>16</v>
      </c>
      <c r="J762">
        <f t="shared" si="82"/>
        <v>20012116</v>
      </c>
      <c r="K762" t="str">
        <f t="shared" si="83"/>
        <v>16.21.2001</v>
      </c>
    </row>
    <row r="763" spans="1:11" x14ac:dyDescent="0.25">
      <c r="A763" s="4" t="s">
        <v>789</v>
      </c>
      <c r="B763" t="s">
        <v>3</v>
      </c>
      <c r="C763" t="s">
        <v>4</v>
      </c>
      <c r="D763" s="3">
        <f t="shared" si="77"/>
        <v>19</v>
      </c>
      <c r="E763" s="4">
        <f t="shared" si="78"/>
        <v>22</v>
      </c>
      <c r="F763" s="4">
        <f t="shared" si="79"/>
        <v>19</v>
      </c>
      <c r="G763" s="3">
        <f>IF(E763&gt;=20,2000,1900) + D763</f>
        <v>2019</v>
      </c>
      <c r="H763">
        <f t="shared" si="80"/>
        <v>2</v>
      </c>
      <c r="I763" s="4">
        <f t="shared" si="81"/>
        <v>19</v>
      </c>
      <c r="J763">
        <f t="shared" si="82"/>
        <v>20192219</v>
      </c>
      <c r="K763" t="str">
        <f t="shared" si="83"/>
        <v>19.22.2019</v>
      </c>
    </row>
    <row r="764" spans="1:11" x14ac:dyDescent="0.25">
      <c r="A764" s="4" t="s">
        <v>790</v>
      </c>
      <c r="B764" t="s">
        <v>16</v>
      </c>
      <c r="C764" t="s">
        <v>4</v>
      </c>
      <c r="D764" s="3">
        <f t="shared" si="77"/>
        <v>21</v>
      </c>
      <c r="E764" s="4">
        <f t="shared" si="78"/>
        <v>24</v>
      </c>
      <c r="F764" s="4">
        <f t="shared" si="79"/>
        <v>21</v>
      </c>
      <c r="G764" s="3">
        <f>IF(E764&gt;=20,2000,1900) + D764</f>
        <v>2021</v>
      </c>
      <c r="H764">
        <f t="shared" si="80"/>
        <v>4</v>
      </c>
      <c r="I764" s="4">
        <f t="shared" si="81"/>
        <v>21</v>
      </c>
      <c r="J764">
        <f t="shared" si="82"/>
        <v>20212421</v>
      </c>
      <c r="K764" t="str">
        <f t="shared" si="83"/>
        <v>21.24.2021</v>
      </c>
    </row>
    <row r="765" spans="1:11" x14ac:dyDescent="0.25">
      <c r="A765" s="4" t="s">
        <v>791</v>
      </c>
      <c r="B765" t="s">
        <v>12</v>
      </c>
      <c r="C765" t="s">
        <v>4</v>
      </c>
      <c r="D765" s="3">
        <f t="shared" si="77"/>
        <v>21</v>
      </c>
      <c r="E765" s="4">
        <f t="shared" si="78"/>
        <v>22</v>
      </c>
      <c r="F765" s="4">
        <f t="shared" si="79"/>
        <v>3</v>
      </c>
      <c r="G765" s="3">
        <f>IF(E765&gt;=20,2000,1900) + D765</f>
        <v>2021</v>
      </c>
      <c r="H765">
        <f t="shared" si="80"/>
        <v>2</v>
      </c>
      <c r="I765" s="4">
        <f t="shared" si="81"/>
        <v>3</v>
      </c>
      <c r="J765">
        <f t="shared" si="82"/>
        <v>20212203</v>
      </c>
      <c r="K765" t="str">
        <f t="shared" si="83"/>
        <v>03.22.2021</v>
      </c>
    </row>
    <row r="766" spans="1:11" x14ac:dyDescent="0.25">
      <c r="A766" s="4" t="s">
        <v>792</v>
      </c>
      <c r="B766" t="s">
        <v>7</v>
      </c>
      <c r="C766" t="s">
        <v>4</v>
      </c>
      <c r="D766" s="3">
        <f t="shared" si="77"/>
        <v>2</v>
      </c>
      <c r="E766" s="4">
        <f t="shared" si="78"/>
        <v>30</v>
      </c>
      <c r="F766" s="4">
        <f t="shared" si="79"/>
        <v>13</v>
      </c>
      <c r="G766" s="3">
        <f>IF(E766&gt;=20,2000,1900) + D766</f>
        <v>2002</v>
      </c>
      <c r="H766">
        <f t="shared" si="80"/>
        <v>10</v>
      </c>
      <c r="I766" s="4">
        <f t="shared" si="81"/>
        <v>13</v>
      </c>
      <c r="J766">
        <f t="shared" si="82"/>
        <v>20023013</v>
      </c>
      <c r="K766" t="str">
        <f t="shared" si="83"/>
        <v>13.30.2002</v>
      </c>
    </row>
    <row r="767" spans="1:11" x14ac:dyDescent="0.25">
      <c r="A767" s="4" t="s">
        <v>793</v>
      </c>
      <c r="B767" t="s">
        <v>16</v>
      </c>
      <c r="C767" t="s">
        <v>4</v>
      </c>
      <c r="D767" s="3">
        <f t="shared" si="77"/>
        <v>0</v>
      </c>
      <c r="E767" s="4">
        <f t="shared" si="78"/>
        <v>32</v>
      </c>
      <c r="F767" s="4">
        <f t="shared" si="79"/>
        <v>25</v>
      </c>
      <c r="G767" s="3">
        <f>IF(E767&gt;=20,2000,1900) + D767</f>
        <v>2000</v>
      </c>
      <c r="H767">
        <f t="shared" si="80"/>
        <v>12</v>
      </c>
      <c r="I767" s="4">
        <f t="shared" si="81"/>
        <v>25</v>
      </c>
      <c r="J767">
        <f t="shared" si="82"/>
        <v>20003225</v>
      </c>
      <c r="K767" t="str">
        <f t="shared" si="83"/>
        <v>25.32.2000</v>
      </c>
    </row>
    <row r="768" spans="1:11" x14ac:dyDescent="0.25">
      <c r="A768" s="4" t="s">
        <v>794</v>
      </c>
      <c r="B768" t="s">
        <v>15</v>
      </c>
      <c r="C768" t="s">
        <v>4</v>
      </c>
      <c r="D768" s="3">
        <f t="shared" si="77"/>
        <v>13</v>
      </c>
      <c r="E768" s="4">
        <f t="shared" si="78"/>
        <v>28</v>
      </c>
      <c r="F768" s="4">
        <f t="shared" si="79"/>
        <v>11</v>
      </c>
      <c r="G768" s="3">
        <f>IF(E768&gt;=20,2000,1900) + D768</f>
        <v>2013</v>
      </c>
      <c r="H768">
        <f t="shared" si="80"/>
        <v>8</v>
      </c>
      <c r="I768" s="4">
        <f t="shared" si="81"/>
        <v>11</v>
      </c>
      <c r="J768">
        <f t="shared" si="82"/>
        <v>20132811</v>
      </c>
      <c r="K768" t="str">
        <f t="shared" si="83"/>
        <v>11.28.2013</v>
      </c>
    </row>
    <row r="769" spans="1:11" x14ac:dyDescent="0.25">
      <c r="A769" s="4" t="s">
        <v>795</v>
      </c>
      <c r="B769" t="s">
        <v>14</v>
      </c>
      <c r="C769" t="s">
        <v>4</v>
      </c>
      <c r="D769" s="3">
        <f t="shared" si="77"/>
        <v>8</v>
      </c>
      <c r="E769" s="4">
        <f t="shared" si="78"/>
        <v>29</v>
      </c>
      <c r="F769" s="4">
        <f t="shared" si="79"/>
        <v>11</v>
      </c>
      <c r="G769" s="3">
        <f>IF(E769&gt;=20,2000,1900) + D769</f>
        <v>2008</v>
      </c>
      <c r="H769">
        <f t="shared" si="80"/>
        <v>9</v>
      </c>
      <c r="I769" s="4">
        <f t="shared" si="81"/>
        <v>11</v>
      </c>
      <c r="J769">
        <f t="shared" si="82"/>
        <v>20082911</v>
      </c>
      <c r="K769" t="str">
        <f t="shared" si="83"/>
        <v>11.29.2008</v>
      </c>
    </row>
    <row r="770" spans="1:11" x14ac:dyDescent="0.25">
      <c r="A770" s="4" t="s">
        <v>796</v>
      </c>
      <c r="B770" t="s">
        <v>10</v>
      </c>
      <c r="C770" t="s">
        <v>6</v>
      </c>
      <c r="D770" s="3">
        <f t="shared" si="77"/>
        <v>9</v>
      </c>
      <c r="E770" s="4">
        <f t="shared" si="78"/>
        <v>21</v>
      </c>
      <c r="F770" s="4">
        <f t="shared" si="79"/>
        <v>10</v>
      </c>
      <c r="G770" s="3">
        <f>IF(E770&gt;=20,2000,1900) + D770</f>
        <v>2009</v>
      </c>
      <c r="H770">
        <f t="shared" si="80"/>
        <v>1</v>
      </c>
      <c r="I770" s="4">
        <f t="shared" si="81"/>
        <v>10</v>
      </c>
      <c r="J770">
        <f t="shared" si="82"/>
        <v>20092110</v>
      </c>
      <c r="K770" t="str">
        <f t="shared" si="83"/>
        <v>10.21.2009</v>
      </c>
    </row>
    <row r="771" spans="1:11" x14ac:dyDescent="0.25">
      <c r="A771" s="4" t="s">
        <v>797</v>
      </c>
      <c r="B771" t="s">
        <v>13</v>
      </c>
      <c r="C771" t="s">
        <v>4</v>
      </c>
      <c r="D771" s="3">
        <f t="shared" ref="D771:D834" si="84">MID(A771,1,2)*1</f>
        <v>4</v>
      </c>
      <c r="E771" s="4">
        <f t="shared" ref="E771:E834" si="85">MID(A771,3,2)*1</f>
        <v>32</v>
      </c>
      <c r="F771" s="4">
        <f t="shared" ref="F771:F834" si="86">MID(A771,5,2)*1</f>
        <v>26</v>
      </c>
      <c r="G771" s="3">
        <f>IF(E771&gt;=20,2000,1900) + D771</f>
        <v>2004</v>
      </c>
      <c r="H771">
        <f t="shared" ref="H771:H834" si="87">IF(E771&gt;=20,E771-20,E771)</f>
        <v>12</v>
      </c>
      <c r="I771" s="4">
        <f t="shared" ref="I771:I834" si="88">F771</f>
        <v>26</v>
      </c>
      <c r="J771">
        <f t="shared" ref="J771:J834" si="89">CONCATENATE(G771,IF(LEN(E771)=1,CONCATENATE("0",E771),E771),IF(LEN(F771)=1,CONCATENATE("0",F771),F771))*1</f>
        <v>20043226</v>
      </c>
      <c r="K771" t="str">
        <f t="shared" ref="K771:K834" si="90">CONCATENATE(RIGHT(J771,2),".",MID(J771,5,2),".",LEFT(J771,4))</f>
        <v>26.32.2004</v>
      </c>
    </row>
    <row r="772" spans="1:11" x14ac:dyDescent="0.25">
      <c r="A772" s="4" t="s">
        <v>798</v>
      </c>
      <c r="B772" t="s">
        <v>7</v>
      </c>
      <c r="C772" t="s">
        <v>4</v>
      </c>
      <c r="D772" s="3">
        <f t="shared" si="84"/>
        <v>21</v>
      </c>
      <c r="E772" s="4">
        <f t="shared" si="85"/>
        <v>29</v>
      </c>
      <c r="F772" s="4">
        <f t="shared" si="86"/>
        <v>19</v>
      </c>
      <c r="G772" s="3">
        <f>IF(E772&gt;=20,2000,1900) + D772</f>
        <v>2021</v>
      </c>
      <c r="H772">
        <f t="shared" si="87"/>
        <v>9</v>
      </c>
      <c r="I772" s="4">
        <f t="shared" si="88"/>
        <v>19</v>
      </c>
      <c r="J772">
        <f t="shared" si="89"/>
        <v>20212919</v>
      </c>
      <c r="K772" t="str">
        <f t="shared" si="90"/>
        <v>19.29.2021</v>
      </c>
    </row>
    <row r="773" spans="1:11" x14ac:dyDescent="0.25">
      <c r="A773" s="4" t="s">
        <v>799</v>
      </c>
      <c r="B773" t="s">
        <v>3</v>
      </c>
      <c r="C773" t="s">
        <v>6</v>
      </c>
      <c r="D773" s="3">
        <f t="shared" si="84"/>
        <v>12</v>
      </c>
      <c r="E773" s="4">
        <f t="shared" si="85"/>
        <v>27</v>
      </c>
      <c r="F773" s="4">
        <f t="shared" si="86"/>
        <v>22</v>
      </c>
      <c r="G773" s="3">
        <f>IF(E773&gt;=20,2000,1900) + D773</f>
        <v>2012</v>
      </c>
      <c r="H773">
        <f t="shared" si="87"/>
        <v>7</v>
      </c>
      <c r="I773" s="4">
        <f t="shared" si="88"/>
        <v>22</v>
      </c>
      <c r="J773">
        <f t="shared" si="89"/>
        <v>20122722</v>
      </c>
      <c r="K773" t="str">
        <f t="shared" si="90"/>
        <v>22.27.2012</v>
      </c>
    </row>
    <row r="774" spans="1:11" x14ac:dyDescent="0.25">
      <c r="A774" s="4" t="s">
        <v>800</v>
      </c>
      <c r="B774" t="s">
        <v>7</v>
      </c>
      <c r="C774" t="s">
        <v>4</v>
      </c>
      <c r="D774" s="3">
        <f t="shared" si="84"/>
        <v>10</v>
      </c>
      <c r="E774" s="4">
        <f t="shared" si="85"/>
        <v>27</v>
      </c>
      <c r="F774" s="4">
        <f t="shared" si="86"/>
        <v>10</v>
      </c>
      <c r="G774" s="3">
        <f>IF(E774&gt;=20,2000,1900) + D774</f>
        <v>2010</v>
      </c>
      <c r="H774">
        <f t="shared" si="87"/>
        <v>7</v>
      </c>
      <c r="I774" s="4">
        <f t="shared" si="88"/>
        <v>10</v>
      </c>
      <c r="J774">
        <f t="shared" si="89"/>
        <v>20102710</v>
      </c>
      <c r="K774" t="str">
        <f t="shared" si="90"/>
        <v>10.27.2010</v>
      </c>
    </row>
    <row r="775" spans="1:11" x14ac:dyDescent="0.25">
      <c r="A775" s="4" t="s">
        <v>801</v>
      </c>
      <c r="B775" t="s">
        <v>9</v>
      </c>
      <c r="C775" t="s">
        <v>4</v>
      </c>
      <c r="D775" s="3">
        <f t="shared" si="84"/>
        <v>13</v>
      </c>
      <c r="E775" s="4">
        <f t="shared" si="85"/>
        <v>28</v>
      </c>
      <c r="F775" s="4">
        <f t="shared" si="86"/>
        <v>17</v>
      </c>
      <c r="G775" s="3">
        <f>IF(E775&gt;=20,2000,1900) + D775</f>
        <v>2013</v>
      </c>
      <c r="H775">
        <f t="shared" si="87"/>
        <v>8</v>
      </c>
      <c r="I775" s="4">
        <f t="shared" si="88"/>
        <v>17</v>
      </c>
      <c r="J775">
        <f t="shared" si="89"/>
        <v>20132817</v>
      </c>
      <c r="K775" t="str">
        <f t="shared" si="90"/>
        <v>17.28.2013</v>
      </c>
    </row>
    <row r="776" spans="1:11" x14ac:dyDescent="0.25">
      <c r="A776" s="4" t="s">
        <v>802</v>
      </c>
      <c r="B776" t="s">
        <v>12</v>
      </c>
      <c r="C776" t="s">
        <v>6</v>
      </c>
      <c r="D776" s="3">
        <f t="shared" si="84"/>
        <v>8</v>
      </c>
      <c r="E776" s="4">
        <f t="shared" si="85"/>
        <v>32</v>
      </c>
      <c r="F776" s="4">
        <f t="shared" si="86"/>
        <v>14</v>
      </c>
      <c r="G776" s="3">
        <f>IF(E776&gt;=20,2000,1900) + D776</f>
        <v>2008</v>
      </c>
      <c r="H776">
        <f t="shared" si="87"/>
        <v>12</v>
      </c>
      <c r="I776" s="4">
        <f t="shared" si="88"/>
        <v>14</v>
      </c>
      <c r="J776">
        <f t="shared" si="89"/>
        <v>20083214</v>
      </c>
      <c r="K776" t="str">
        <f t="shared" si="90"/>
        <v>14.32.2008</v>
      </c>
    </row>
    <row r="777" spans="1:11" x14ac:dyDescent="0.25">
      <c r="A777" s="4" t="s">
        <v>803</v>
      </c>
      <c r="B777" t="s">
        <v>12</v>
      </c>
      <c r="C777" t="s">
        <v>4</v>
      </c>
      <c r="D777" s="3">
        <f t="shared" si="84"/>
        <v>3</v>
      </c>
      <c r="E777" s="4">
        <f t="shared" si="85"/>
        <v>24</v>
      </c>
      <c r="F777" s="4">
        <f t="shared" si="86"/>
        <v>11</v>
      </c>
      <c r="G777" s="3">
        <f>IF(E777&gt;=20,2000,1900) + D777</f>
        <v>2003</v>
      </c>
      <c r="H777">
        <f t="shared" si="87"/>
        <v>4</v>
      </c>
      <c r="I777" s="4">
        <f t="shared" si="88"/>
        <v>11</v>
      </c>
      <c r="J777">
        <f t="shared" si="89"/>
        <v>20032411</v>
      </c>
      <c r="K777" t="str">
        <f t="shared" si="90"/>
        <v>11.24.2003</v>
      </c>
    </row>
    <row r="778" spans="1:11" x14ac:dyDescent="0.25">
      <c r="A778" s="4" t="s">
        <v>804</v>
      </c>
      <c r="B778" t="s">
        <v>11</v>
      </c>
      <c r="C778" t="s">
        <v>4</v>
      </c>
      <c r="D778" s="3">
        <f t="shared" si="84"/>
        <v>6</v>
      </c>
      <c r="E778" s="4">
        <f t="shared" si="85"/>
        <v>26</v>
      </c>
      <c r="F778" s="4">
        <f t="shared" si="86"/>
        <v>18</v>
      </c>
      <c r="G778" s="3">
        <f>IF(E778&gt;=20,2000,1900) + D778</f>
        <v>2006</v>
      </c>
      <c r="H778">
        <f t="shared" si="87"/>
        <v>6</v>
      </c>
      <c r="I778" s="4">
        <f t="shared" si="88"/>
        <v>18</v>
      </c>
      <c r="J778">
        <f t="shared" si="89"/>
        <v>20062618</v>
      </c>
      <c r="K778" t="str">
        <f t="shared" si="90"/>
        <v>18.26.2006</v>
      </c>
    </row>
    <row r="779" spans="1:11" x14ac:dyDescent="0.25">
      <c r="A779" s="4" t="s">
        <v>805</v>
      </c>
      <c r="B779" t="s">
        <v>8</v>
      </c>
      <c r="C779" t="s">
        <v>4</v>
      </c>
      <c r="D779" s="3">
        <f t="shared" si="84"/>
        <v>1</v>
      </c>
      <c r="E779" s="4">
        <f t="shared" si="85"/>
        <v>32</v>
      </c>
      <c r="F779" s="4">
        <f t="shared" si="86"/>
        <v>26</v>
      </c>
      <c r="G779" s="3">
        <f>IF(E779&gt;=20,2000,1900) + D779</f>
        <v>2001</v>
      </c>
      <c r="H779">
        <f t="shared" si="87"/>
        <v>12</v>
      </c>
      <c r="I779" s="4">
        <f t="shared" si="88"/>
        <v>26</v>
      </c>
      <c r="J779">
        <f t="shared" si="89"/>
        <v>20013226</v>
      </c>
      <c r="K779" t="str">
        <f t="shared" si="90"/>
        <v>26.32.2001</v>
      </c>
    </row>
    <row r="780" spans="1:11" x14ac:dyDescent="0.25">
      <c r="A780" s="4" t="s">
        <v>806</v>
      </c>
      <c r="B780" t="s">
        <v>5</v>
      </c>
      <c r="C780" t="s">
        <v>6</v>
      </c>
      <c r="D780" s="3">
        <f t="shared" si="84"/>
        <v>2</v>
      </c>
      <c r="E780" s="4">
        <f t="shared" si="85"/>
        <v>21</v>
      </c>
      <c r="F780" s="4">
        <f t="shared" si="86"/>
        <v>22</v>
      </c>
      <c r="G780" s="3">
        <f>IF(E780&gt;=20,2000,1900) + D780</f>
        <v>2002</v>
      </c>
      <c r="H780">
        <f t="shared" si="87"/>
        <v>1</v>
      </c>
      <c r="I780" s="4">
        <f t="shared" si="88"/>
        <v>22</v>
      </c>
      <c r="J780">
        <f t="shared" si="89"/>
        <v>20022122</v>
      </c>
      <c r="K780" t="str">
        <f t="shared" si="90"/>
        <v>22.21.2002</v>
      </c>
    </row>
    <row r="781" spans="1:11" x14ac:dyDescent="0.25">
      <c r="A781" s="4" t="s">
        <v>807</v>
      </c>
      <c r="B781" t="s">
        <v>10</v>
      </c>
      <c r="C781" t="s">
        <v>4</v>
      </c>
      <c r="D781" s="3">
        <f t="shared" si="84"/>
        <v>16</v>
      </c>
      <c r="E781" s="4">
        <f t="shared" si="85"/>
        <v>24</v>
      </c>
      <c r="F781" s="4">
        <f t="shared" si="86"/>
        <v>5</v>
      </c>
      <c r="G781" s="3">
        <f>IF(E781&gt;=20,2000,1900) + D781</f>
        <v>2016</v>
      </c>
      <c r="H781">
        <f t="shared" si="87"/>
        <v>4</v>
      </c>
      <c r="I781" s="4">
        <f t="shared" si="88"/>
        <v>5</v>
      </c>
      <c r="J781">
        <f t="shared" si="89"/>
        <v>20162405</v>
      </c>
      <c r="K781" t="str">
        <f t="shared" si="90"/>
        <v>05.24.2016</v>
      </c>
    </row>
    <row r="782" spans="1:11" x14ac:dyDescent="0.25">
      <c r="A782" s="4" t="s">
        <v>808</v>
      </c>
      <c r="B782" t="s">
        <v>16</v>
      </c>
      <c r="C782" t="s">
        <v>6</v>
      </c>
      <c r="D782" s="3">
        <f t="shared" si="84"/>
        <v>3</v>
      </c>
      <c r="E782" s="4">
        <f t="shared" si="85"/>
        <v>26</v>
      </c>
      <c r="F782" s="4">
        <f t="shared" si="86"/>
        <v>3</v>
      </c>
      <c r="G782" s="3">
        <f>IF(E782&gt;=20,2000,1900) + D782</f>
        <v>2003</v>
      </c>
      <c r="H782">
        <f t="shared" si="87"/>
        <v>6</v>
      </c>
      <c r="I782" s="4">
        <f t="shared" si="88"/>
        <v>3</v>
      </c>
      <c r="J782">
        <f t="shared" si="89"/>
        <v>20032603</v>
      </c>
      <c r="K782" t="str">
        <f t="shared" si="90"/>
        <v>03.26.2003</v>
      </c>
    </row>
    <row r="783" spans="1:11" x14ac:dyDescent="0.25">
      <c r="A783" s="4" t="s">
        <v>809</v>
      </c>
      <c r="B783" t="s">
        <v>5</v>
      </c>
      <c r="C783" t="s">
        <v>4</v>
      </c>
      <c r="D783" s="3">
        <f t="shared" si="84"/>
        <v>1</v>
      </c>
      <c r="E783" s="4">
        <f t="shared" si="85"/>
        <v>22</v>
      </c>
      <c r="F783" s="4">
        <f t="shared" si="86"/>
        <v>2</v>
      </c>
      <c r="G783" s="3">
        <f>IF(E783&gt;=20,2000,1900) + D783</f>
        <v>2001</v>
      </c>
      <c r="H783">
        <f t="shared" si="87"/>
        <v>2</v>
      </c>
      <c r="I783" s="4">
        <f t="shared" si="88"/>
        <v>2</v>
      </c>
      <c r="J783">
        <f t="shared" si="89"/>
        <v>20012202</v>
      </c>
      <c r="K783" t="str">
        <f t="shared" si="90"/>
        <v>02.22.2001</v>
      </c>
    </row>
    <row r="784" spans="1:11" x14ac:dyDescent="0.25">
      <c r="A784" s="4" t="s">
        <v>810</v>
      </c>
      <c r="B784" t="s">
        <v>8</v>
      </c>
      <c r="C784" t="s">
        <v>6</v>
      </c>
      <c r="D784" s="3">
        <f t="shared" si="84"/>
        <v>6</v>
      </c>
      <c r="E784" s="4">
        <f t="shared" si="85"/>
        <v>21</v>
      </c>
      <c r="F784" s="4">
        <f t="shared" si="86"/>
        <v>8</v>
      </c>
      <c r="G784" s="3">
        <f>IF(E784&gt;=20,2000,1900) + D784</f>
        <v>2006</v>
      </c>
      <c r="H784">
        <f t="shared" si="87"/>
        <v>1</v>
      </c>
      <c r="I784" s="4">
        <f t="shared" si="88"/>
        <v>8</v>
      </c>
      <c r="J784">
        <f t="shared" si="89"/>
        <v>20062108</v>
      </c>
      <c r="K784" t="str">
        <f t="shared" si="90"/>
        <v>08.21.2006</v>
      </c>
    </row>
    <row r="785" spans="1:11" x14ac:dyDescent="0.25">
      <c r="A785" s="4" t="s">
        <v>811</v>
      </c>
      <c r="B785" t="s">
        <v>10</v>
      </c>
      <c r="C785" t="s">
        <v>6</v>
      </c>
      <c r="D785" s="3">
        <f t="shared" si="84"/>
        <v>11</v>
      </c>
      <c r="E785" s="4">
        <f t="shared" si="85"/>
        <v>32</v>
      </c>
      <c r="F785" s="4">
        <f t="shared" si="86"/>
        <v>17</v>
      </c>
      <c r="G785" s="3">
        <f>IF(E785&gt;=20,2000,1900) + D785</f>
        <v>2011</v>
      </c>
      <c r="H785">
        <f t="shared" si="87"/>
        <v>12</v>
      </c>
      <c r="I785" s="4">
        <f t="shared" si="88"/>
        <v>17</v>
      </c>
      <c r="J785">
        <f t="shared" si="89"/>
        <v>20113217</v>
      </c>
      <c r="K785" t="str">
        <f t="shared" si="90"/>
        <v>17.32.2011</v>
      </c>
    </row>
    <row r="786" spans="1:11" x14ac:dyDescent="0.25">
      <c r="A786" s="4" t="s">
        <v>812</v>
      </c>
      <c r="B786" t="s">
        <v>5</v>
      </c>
      <c r="C786" t="s">
        <v>4</v>
      </c>
      <c r="D786" s="3">
        <f t="shared" si="84"/>
        <v>8</v>
      </c>
      <c r="E786" s="4">
        <f t="shared" si="85"/>
        <v>29</v>
      </c>
      <c r="F786" s="4">
        <f t="shared" si="86"/>
        <v>15</v>
      </c>
      <c r="G786" s="3">
        <f>IF(E786&gt;=20,2000,1900) + D786</f>
        <v>2008</v>
      </c>
      <c r="H786">
        <f t="shared" si="87"/>
        <v>9</v>
      </c>
      <c r="I786" s="4">
        <f t="shared" si="88"/>
        <v>15</v>
      </c>
      <c r="J786">
        <f t="shared" si="89"/>
        <v>20082915</v>
      </c>
      <c r="K786" t="str">
        <f t="shared" si="90"/>
        <v>15.29.2008</v>
      </c>
    </row>
    <row r="787" spans="1:11" x14ac:dyDescent="0.25">
      <c r="A787" s="4" t="s">
        <v>813</v>
      </c>
      <c r="B787" t="s">
        <v>15</v>
      </c>
      <c r="C787" t="s">
        <v>4</v>
      </c>
      <c r="D787" s="3">
        <f t="shared" si="84"/>
        <v>17</v>
      </c>
      <c r="E787" s="4">
        <f t="shared" si="85"/>
        <v>31</v>
      </c>
      <c r="F787" s="4">
        <f t="shared" si="86"/>
        <v>11</v>
      </c>
      <c r="G787" s="3">
        <f>IF(E787&gt;=20,2000,1900) + D787</f>
        <v>2017</v>
      </c>
      <c r="H787">
        <f t="shared" si="87"/>
        <v>11</v>
      </c>
      <c r="I787" s="4">
        <f t="shared" si="88"/>
        <v>11</v>
      </c>
      <c r="J787">
        <f t="shared" si="89"/>
        <v>20173111</v>
      </c>
      <c r="K787" t="str">
        <f t="shared" si="90"/>
        <v>11.31.2017</v>
      </c>
    </row>
    <row r="788" spans="1:11" x14ac:dyDescent="0.25">
      <c r="A788" s="4" t="s">
        <v>814</v>
      </c>
      <c r="B788" t="s">
        <v>13</v>
      </c>
      <c r="C788" t="s">
        <v>6</v>
      </c>
      <c r="D788" s="3">
        <f t="shared" si="84"/>
        <v>4</v>
      </c>
      <c r="E788" s="4">
        <f t="shared" si="85"/>
        <v>22</v>
      </c>
      <c r="F788" s="4">
        <f t="shared" si="86"/>
        <v>1</v>
      </c>
      <c r="G788" s="3">
        <f>IF(E788&gt;=20,2000,1900) + D788</f>
        <v>2004</v>
      </c>
      <c r="H788">
        <f t="shared" si="87"/>
        <v>2</v>
      </c>
      <c r="I788" s="4">
        <f t="shared" si="88"/>
        <v>1</v>
      </c>
      <c r="J788">
        <f t="shared" si="89"/>
        <v>20042201</v>
      </c>
      <c r="K788" t="str">
        <f t="shared" si="90"/>
        <v>01.22.2004</v>
      </c>
    </row>
    <row r="789" spans="1:11" x14ac:dyDescent="0.25">
      <c r="A789" s="4" t="s">
        <v>815</v>
      </c>
      <c r="B789" t="s">
        <v>8</v>
      </c>
      <c r="C789" t="s">
        <v>4</v>
      </c>
      <c r="D789" s="3">
        <f t="shared" si="84"/>
        <v>22</v>
      </c>
      <c r="E789" s="4">
        <f t="shared" si="85"/>
        <v>24</v>
      </c>
      <c r="F789" s="4">
        <f t="shared" si="86"/>
        <v>10</v>
      </c>
      <c r="G789" s="3">
        <f>IF(E789&gt;=20,2000,1900) + D789</f>
        <v>2022</v>
      </c>
      <c r="H789">
        <f t="shared" si="87"/>
        <v>4</v>
      </c>
      <c r="I789" s="4">
        <f t="shared" si="88"/>
        <v>10</v>
      </c>
      <c r="J789">
        <f t="shared" si="89"/>
        <v>20222410</v>
      </c>
      <c r="K789" t="str">
        <f t="shared" si="90"/>
        <v>10.24.2022</v>
      </c>
    </row>
    <row r="790" spans="1:11" x14ac:dyDescent="0.25">
      <c r="A790" s="4" t="s">
        <v>816</v>
      </c>
      <c r="B790" t="s">
        <v>9</v>
      </c>
      <c r="C790" t="s">
        <v>4</v>
      </c>
      <c r="D790" s="3">
        <f t="shared" si="84"/>
        <v>13</v>
      </c>
      <c r="E790" s="4">
        <f t="shared" si="85"/>
        <v>29</v>
      </c>
      <c r="F790" s="4">
        <f t="shared" si="86"/>
        <v>18</v>
      </c>
      <c r="G790" s="3">
        <f>IF(E790&gt;=20,2000,1900) + D790</f>
        <v>2013</v>
      </c>
      <c r="H790">
        <f t="shared" si="87"/>
        <v>9</v>
      </c>
      <c r="I790" s="4">
        <f t="shared" si="88"/>
        <v>18</v>
      </c>
      <c r="J790">
        <f t="shared" si="89"/>
        <v>20132918</v>
      </c>
      <c r="K790" t="str">
        <f t="shared" si="90"/>
        <v>18.29.2013</v>
      </c>
    </row>
    <row r="791" spans="1:11" x14ac:dyDescent="0.25">
      <c r="A791" s="4" t="s">
        <v>817</v>
      </c>
      <c r="B791" t="s">
        <v>8</v>
      </c>
      <c r="C791" t="s">
        <v>6</v>
      </c>
      <c r="D791" s="3">
        <f t="shared" si="84"/>
        <v>14</v>
      </c>
      <c r="E791" s="4">
        <f t="shared" si="85"/>
        <v>29</v>
      </c>
      <c r="F791" s="4">
        <f t="shared" si="86"/>
        <v>27</v>
      </c>
      <c r="G791" s="3">
        <f>IF(E791&gt;=20,2000,1900) + D791</f>
        <v>2014</v>
      </c>
      <c r="H791">
        <f t="shared" si="87"/>
        <v>9</v>
      </c>
      <c r="I791" s="4">
        <f t="shared" si="88"/>
        <v>27</v>
      </c>
      <c r="J791">
        <f t="shared" si="89"/>
        <v>20142927</v>
      </c>
      <c r="K791" t="str">
        <f t="shared" si="90"/>
        <v>27.29.2014</v>
      </c>
    </row>
    <row r="792" spans="1:11" x14ac:dyDescent="0.25">
      <c r="A792" s="4" t="s">
        <v>818</v>
      </c>
      <c r="B792" t="s">
        <v>9</v>
      </c>
      <c r="C792" t="s">
        <v>4</v>
      </c>
      <c r="D792" s="3">
        <f t="shared" si="84"/>
        <v>20</v>
      </c>
      <c r="E792" s="4">
        <f t="shared" si="85"/>
        <v>25</v>
      </c>
      <c r="F792" s="4">
        <f t="shared" si="86"/>
        <v>24</v>
      </c>
      <c r="G792" s="3">
        <f>IF(E792&gt;=20,2000,1900) + D792</f>
        <v>2020</v>
      </c>
      <c r="H792">
        <f t="shared" si="87"/>
        <v>5</v>
      </c>
      <c r="I792" s="4">
        <f t="shared" si="88"/>
        <v>24</v>
      </c>
      <c r="J792">
        <f t="shared" si="89"/>
        <v>20202524</v>
      </c>
      <c r="K792" t="str">
        <f t="shared" si="90"/>
        <v>24.25.2020</v>
      </c>
    </row>
    <row r="793" spans="1:11" x14ac:dyDescent="0.25">
      <c r="A793" s="4" t="s">
        <v>819</v>
      </c>
      <c r="B793" t="s">
        <v>18</v>
      </c>
      <c r="C793" t="s">
        <v>6</v>
      </c>
      <c r="D793" s="3">
        <f t="shared" si="84"/>
        <v>1</v>
      </c>
      <c r="E793" s="4">
        <f t="shared" si="85"/>
        <v>22</v>
      </c>
      <c r="F793" s="4">
        <f t="shared" si="86"/>
        <v>11</v>
      </c>
      <c r="G793" s="3">
        <f>IF(E793&gt;=20,2000,1900) + D793</f>
        <v>2001</v>
      </c>
      <c r="H793">
        <f t="shared" si="87"/>
        <v>2</v>
      </c>
      <c r="I793" s="4">
        <f t="shared" si="88"/>
        <v>11</v>
      </c>
      <c r="J793">
        <f t="shared" si="89"/>
        <v>20012211</v>
      </c>
      <c r="K793" t="str">
        <f t="shared" si="90"/>
        <v>11.22.2001</v>
      </c>
    </row>
    <row r="794" spans="1:11" x14ac:dyDescent="0.25">
      <c r="A794" s="4" t="s">
        <v>820</v>
      </c>
      <c r="B794" t="s">
        <v>9</v>
      </c>
      <c r="C794" t="s">
        <v>6</v>
      </c>
      <c r="D794" s="3">
        <f t="shared" si="84"/>
        <v>5</v>
      </c>
      <c r="E794" s="4">
        <f t="shared" si="85"/>
        <v>29</v>
      </c>
      <c r="F794" s="4">
        <f t="shared" si="86"/>
        <v>3</v>
      </c>
      <c r="G794" s="3">
        <f>IF(E794&gt;=20,2000,1900) + D794</f>
        <v>2005</v>
      </c>
      <c r="H794">
        <f t="shared" si="87"/>
        <v>9</v>
      </c>
      <c r="I794" s="4">
        <f t="shared" si="88"/>
        <v>3</v>
      </c>
      <c r="J794">
        <f t="shared" si="89"/>
        <v>20052903</v>
      </c>
      <c r="K794" t="str">
        <f t="shared" si="90"/>
        <v>03.29.2005</v>
      </c>
    </row>
    <row r="795" spans="1:11" x14ac:dyDescent="0.25">
      <c r="A795" s="4" t="s">
        <v>821</v>
      </c>
      <c r="B795" t="s">
        <v>9</v>
      </c>
      <c r="C795" t="s">
        <v>6</v>
      </c>
      <c r="D795" s="3">
        <f t="shared" si="84"/>
        <v>8</v>
      </c>
      <c r="E795" s="4">
        <f t="shared" si="85"/>
        <v>25</v>
      </c>
      <c r="F795" s="4">
        <f t="shared" si="86"/>
        <v>15</v>
      </c>
      <c r="G795" s="3">
        <f>IF(E795&gt;=20,2000,1900) + D795</f>
        <v>2008</v>
      </c>
      <c r="H795">
        <f t="shared" si="87"/>
        <v>5</v>
      </c>
      <c r="I795" s="4">
        <f t="shared" si="88"/>
        <v>15</v>
      </c>
      <c r="J795">
        <f t="shared" si="89"/>
        <v>20082515</v>
      </c>
      <c r="K795" t="str">
        <f t="shared" si="90"/>
        <v>15.25.2008</v>
      </c>
    </row>
    <row r="796" spans="1:11" x14ac:dyDescent="0.25">
      <c r="A796" s="4" t="s">
        <v>822</v>
      </c>
      <c r="B796" t="s">
        <v>5</v>
      </c>
      <c r="C796" t="s">
        <v>4</v>
      </c>
      <c r="D796" s="3">
        <f t="shared" si="84"/>
        <v>1</v>
      </c>
      <c r="E796" s="4">
        <f t="shared" si="85"/>
        <v>24</v>
      </c>
      <c r="F796" s="4">
        <f t="shared" si="86"/>
        <v>23</v>
      </c>
      <c r="G796" s="3">
        <f>IF(E796&gt;=20,2000,1900) + D796</f>
        <v>2001</v>
      </c>
      <c r="H796">
        <f t="shared" si="87"/>
        <v>4</v>
      </c>
      <c r="I796" s="4">
        <f t="shared" si="88"/>
        <v>23</v>
      </c>
      <c r="J796">
        <f t="shared" si="89"/>
        <v>20012423</v>
      </c>
      <c r="K796" t="str">
        <f t="shared" si="90"/>
        <v>23.24.2001</v>
      </c>
    </row>
    <row r="797" spans="1:11" x14ac:dyDescent="0.25">
      <c r="A797" s="4" t="s">
        <v>823</v>
      </c>
      <c r="B797" t="s">
        <v>5</v>
      </c>
      <c r="C797" t="s">
        <v>6</v>
      </c>
      <c r="D797" s="3">
        <f t="shared" si="84"/>
        <v>19</v>
      </c>
      <c r="E797" s="4">
        <f t="shared" si="85"/>
        <v>22</v>
      </c>
      <c r="F797" s="4">
        <f t="shared" si="86"/>
        <v>19</v>
      </c>
      <c r="G797" s="3">
        <f>IF(E797&gt;=20,2000,1900) + D797</f>
        <v>2019</v>
      </c>
      <c r="H797">
        <f t="shared" si="87"/>
        <v>2</v>
      </c>
      <c r="I797" s="4">
        <f t="shared" si="88"/>
        <v>19</v>
      </c>
      <c r="J797">
        <f t="shared" si="89"/>
        <v>20192219</v>
      </c>
      <c r="K797" t="str">
        <f t="shared" si="90"/>
        <v>19.22.2019</v>
      </c>
    </row>
    <row r="798" spans="1:11" x14ac:dyDescent="0.25">
      <c r="A798" s="4" t="s">
        <v>824</v>
      </c>
      <c r="B798" t="s">
        <v>17</v>
      </c>
      <c r="C798" t="s">
        <v>4</v>
      </c>
      <c r="D798" s="3">
        <f t="shared" si="84"/>
        <v>2</v>
      </c>
      <c r="E798" s="4">
        <f t="shared" si="85"/>
        <v>24</v>
      </c>
      <c r="F798" s="4">
        <f t="shared" si="86"/>
        <v>22</v>
      </c>
      <c r="G798" s="3">
        <f>IF(E798&gt;=20,2000,1900) + D798</f>
        <v>2002</v>
      </c>
      <c r="H798">
        <f t="shared" si="87"/>
        <v>4</v>
      </c>
      <c r="I798" s="4">
        <f t="shared" si="88"/>
        <v>22</v>
      </c>
      <c r="J798">
        <f t="shared" si="89"/>
        <v>20022422</v>
      </c>
      <c r="K798" t="str">
        <f t="shared" si="90"/>
        <v>22.24.2002</v>
      </c>
    </row>
    <row r="799" spans="1:11" x14ac:dyDescent="0.25">
      <c r="A799" s="4" t="s">
        <v>825</v>
      </c>
      <c r="B799" t="s">
        <v>3</v>
      </c>
      <c r="C799" t="s">
        <v>4</v>
      </c>
      <c r="D799" s="3">
        <f t="shared" si="84"/>
        <v>15</v>
      </c>
      <c r="E799" s="4">
        <f t="shared" si="85"/>
        <v>22</v>
      </c>
      <c r="F799" s="4">
        <f t="shared" si="86"/>
        <v>3</v>
      </c>
      <c r="G799" s="3">
        <f>IF(E799&gt;=20,2000,1900) + D799</f>
        <v>2015</v>
      </c>
      <c r="H799">
        <f t="shared" si="87"/>
        <v>2</v>
      </c>
      <c r="I799" s="4">
        <f t="shared" si="88"/>
        <v>3</v>
      </c>
      <c r="J799">
        <f t="shared" si="89"/>
        <v>20152203</v>
      </c>
      <c r="K799" t="str">
        <f t="shared" si="90"/>
        <v>03.22.2015</v>
      </c>
    </row>
    <row r="800" spans="1:11" x14ac:dyDescent="0.25">
      <c r="A800" s="4" t="s">
        <v>826</v>
      </c>
      <c r="B800" t="s">
        <v>11</v>
      </c>
      <c r="C800" t="s">
        <v>4</v>
      </c>
      <c r="D800" s="3">
        <f t="shared" si="84"/>
        <v>5</v>
      </c>
      <c r="E800" s="4">
        <f t="shared" si="85"/>
        <v>27</v>
      </c>
      <c r="F800" s="4">
        <f t="shared" si="86"/>
        <v>1</v>
      </c>
      <c r="G800" s="3">
        <f>IF(E800&gt;=20,2000,1900) + D800</f>
        <v>2005</v>
      </c>
      <c r="H800">
        <f t="shared" si="87"/>
        <v>7</v>
      </c>
      <c r="I800" s="4">
        <f t="shared" si="88"/>
        <v>1</v>
      </c>
      <c r="J800">
        <f t="shared" si="89"/>
        <v>20052701</v>
      </c>
      <c r="K800" t="str">
        <f t="shared" si="90"/>
        <v>01.27.2005</v>
      </c>
    </row>
    <row r="801" spans="1:11" x14ac:dyDescent="0.25">
      <c r="A801" s="4" t="s">
        <v>827</v>
      </c>
      <c r="B801" t="s">
        <v>13</v>
      </c>
      <c r="C801" t="s">
        <v>6</v>
      </c>
      <c r="D801" s="3">
        <f t="shared" si="84"/>
        <v>7</v>
      </c>
      <c r="E801" s="4">
        <f t="shared" si="85"/>
        <v>21</v>
      </c>
      <c r="F801" s="4">
        <f t="shared" si="86"/>
        <v>24</v>
      </c>
      <c r="G801" s="3">
        <f>IF(E801&gt;=20,2000,1900) + D801</f>
        <v>2007</v>
      </c>
      <c r="H801">
        <f t="shared" si="87"/>
        <v>1</v>
      </c>
      <c r="I801" s="4">
        <f t="shared" si="88"/>
        <v>24</v>
      </c>
      <c r="J801">
        <f t="shared" si="89"/>
        <v>20072124</v>
      </c>
      <c r="K801" t="str">
        <f t="shared" si="90"/>
        <v>24.21.2007</v>
      </c>
    </row>
    <row r="802" spans="1:11" x14ac:dyDescent="0.25">
      <c r="A802" s="4" t="s">
        <v>828</v>
      </c>
      <c r="B802" t="s">
        <v>8</v>
      </c>
      <c r="C802" t="s">
        <v>4</v>
      </c>
      <c r="D802" s="3">
        <f t="shared" si="84"/>
        <v>6</v>
      </c>
      <c r="E802" s="4">
        <f t="shared" si="85"/>
        <v>21</v>
      </c>
      <c r="F802" s="4">
        <f t="shared" si="86"/>
        <v>7</v>
      </c>
      <c r="G802" s="3">
        <f>IF(E802&gt;=20,2000,1900) + D802</f>
        <v>2006</v>
      </c>
      <c r="H802">
        <f t="shared" si="87"/>
        <v>1</v>
      </c>
      <c r="I802" s="4">
        <f t="shared" si="88"/>
        <v>7</v>
      </c>
      <c r="J802">
        <f t="shared" si="89"/>
        <v>20062107</v>
      </c>
      <c r="K802" t="str">
        <f t="shared" si="90"/>
        <v>07.21.2006</v>
      </c>
    </row>
    <row r="803" spans="1:11" x14ac:dyDescent="0.25">
      <c r="A803" s="4" t="s">
        <v>829</v>
      </c>
      <c r="B803" t="s">
        <v>15</v>
      </c>
      <c r="C803" t="s">
        <v>6</v>
      </c>
      <c r="D803" s="3">
        <f t="shared" si="84"/>
        <v>11</v>
      </c>
      <c r="E803" s="4">
        <f t="shared" si="85"/>
        <v>23</v>
      </c>
      <c r="F803" s="4">
        <f t="shared" si="86"/>
        <v>5</v>
      </c>
      <c r="G803" s="3">
        <f>IF(E803&gt;=20,2000,1900) + D803</f>
        <v>2011</v>
      </c>
      <c r="H803">
        <f t="shared" si="87"/>
        <v>3</v>
      </c>
      <c r="I803" s="4">
        <f t="shared" si="88"/>
        <v>5</v>
      </c>
      <c r="J803">
        <f t="shared" si="89"/>
        <v>20112305</v>
      </c>
      <c r="K803" t="str">
        <f t="shared" si="90"/>
        <v>05.23.2011</v>
      </c>
    </row>
    <row r="804" spans="1:11" x14ac:dyDescent="0.25">
      <c r="A804" s="4" t="s">
        <v>830</v>
      </c>
      <c r="B804" t="s">
        <v>8</v>
      </c>
      <c r="C804" t="s">
        <v>6</v>
      </c>
      <c r="D804" s="3">
        <f t="shared" si="84"/>
        <v>9</v>
      </c>
      <c r="E804" s="4">
        <f t="shared" si="85"/>
        <v>30</v>
      </c>
      <c r="F804" s="4">
        <f t="shared" si="86"/>
        <v>1</v>
      </c>
      <c r="G804" s="3">
        <f>IF(E804&gt;=20,2000,1900) + D804</f>
        <v>2009</v>
      </c>
      <c r="H804">
        <f t="shared" si="87"/>
        <v>10</v>
      </c>
      <c r="I804" s="4">
        <f t="shared" si="88"/>
        <v>1</v>
      </c>
      <c r="J804">
        <f t="shared" si="89"/>
        <v>20093001</v>
      </c>
      <c r="K804" t="str">
        <f t="shared" si="90"/>
        <v>01.30.2009</v>
      </c>
    </row>
    <row r="805" spans="1:11" x14ac:dyDescent="0.25">
      <c r="A805" s="4" t="s">
        <v>831</v>
      </c>
      <c r="B805" t="s">
        <v>3</v>
      </c>
      <c r="C805" t="s">
        <v>4</v>
      </c>
      <c r="D805" s="3">
        <f t="shared" si="84"/>
        <v>11</v>
      </c>
      <c r="E805" s="4">
        <f t="shared" si="85"/>
        <v>21</v>
      </c>
      <c r="F805" s="4">
        <f t="shared" si="86"/>
        <v>30</v>
      </c>
      <c r="G805" s="3">
        <f>IF(E805&gt;=20,2000,1900) + D805</f>
        <v>2011</v>
      </c>
      <c r="H805">
        <f t="shared" si="87"/>
        <v>1</v>
      </c>
      <c r="I805" s="4">
        <f t="shared" si="88"/>
        <v>30</v>
      </c>
      <c r="J805">
        <f t="shared" si="89"/>
        <v>20112130</v>
      </c>
      <c r="K805" t="str">
        <f t="shared" si="90"/>
        <v>30.21.2011</v>
      </c>
    </row>
    <row r="806" spans="1:11" x14ac:dyDescent="0.25">
      <c r="A806" s="4" t="s">
        <v>832</v>
      </c>
      <c r="B806" t="s">
        <v>14</v>
      </c>
      <c r="C806" t="s">
        <v>6</v>
      </c>
      <c r="D806" s="3">
        <f t="shared" si="84"/>
        <v>11</v>
      </c>
      <c r="E806" s="4">
        <f t="shared" si="85"/>
        <v>32</v>
      </c>
      <c r="F806" s="4">
        <f t="shared" si="86"/>
        <v>4</v>
      </c>
      <c r="G806" s="3">
        <f>IF(E806&gt;=20,2000,1900) + D806</f>
        <v>2011</v>
      </c>
      <c r="H806">
        <f t="shared" si="87"/>
        <v>12</v>
      </c>
      <c r="I806" s="4">
        <f t="shared" si="88"/>
        <v>4</v>
      </c>
      <c r="J806">
        <f t="shared" si="89"/>
        <v>20113204</v>
      </c>
      <c r="K806" t="str">
        <f t="shared" si="90"/>
        <v>04.32.2011</v>
      </c>
    </row>
    <row r="807" spans="1:11" x14ac:dyDescent="0.25">
      <c r="A807" s="4" t="s">
        <v>833</v>
      </c>
      <c r="B807" t="s">
        <v>5</v>
      </c>
      <c r="C807" t="s">
        <v>4</v>
      </c>
      <c r="D807" s="3">
        <f t="shared" si="84"/>
        <v>20</v>
      </c>
      <c r="E807" s="4">
        <f t="shared" si="85"/>
        <v>31</v>
      </c>
      <c r="F807" s="4">
        <f t="shared" si="86"/>
        <v>25</v>
      </c>
      <c r="G807" s="3">
        <f>IF(E807&gt;=20,2000,1900) + D807</f>
        <v>2020</v>
      </c>
      <c r="H807">
        <f t="shared" si="87"/>
        <v>11</v>
      </c>
      <c r="I807" s="4">
        <f t="shared" si="88"/>
        <v>25</v>
      </c>
      <c r="J807">
        <f t="shared" si="89"/>
        <v>20203125</v>
      </c>
      <c r="K807" t="str">
        <f t="shared" si="90"/>
        <v>25.31.2020</v>
      </c>
    </row>
    <row r="808" spans="1:11" x14ac:dyDescent="0.25">
      <c r="A808" s="4" t="s">
        <v>834</v>
      </c>
      <c r="B808" t="s">
        <v>14</v>
      </c>
      <c r="C808" t="s">
        <v>4</v>
      </c>
      <c r="D808" s="3">
        <f t="shared" si="84"/>
        <v>14</v>
      </c>
      <c r="E808" s="4">
        <f t="shared" si="85"/>
        <v>28</v>
      </c>
      <c r="F808" s="4">
        <f t="shared" si="86"/>
        <v>5</v>
      </c>
      <c r="G808" s="3">
        <f>IF(E808&gt;=20,2000,1900) + D808</f>
        <v>2014</v>
      </c>
      <c r="H808">
        <f t="shared" si="87"/>
        <v>8</v>
      </c>
      <c r="I808" s="4">
        <f t="shared" si="88"/>
        <v>5</v>
      </c>
      <c r="J808">
        <f t="shared" si="89"/>
        <v>20142805</v>
      </c>
      <c r="K808" t="str">
        <f t="shared" si="90"/>
        <v>05.28.2014</v>
      </c>
    </row>
    <row r="809" spans="1:11" x14ac:dyDescent="0.25">
      <c r="A809" s="4" t="s">
        <v>835</v>
      </c>
      <c r="B809" t="s">
        <v>15</v>
      </c>
      <c r="C809" t="s">
        <v>4</v>
      </c>
      <c r="D809" s="3">
        <f t="shared" si="84"/>
        <v>3</v>
      </c>
      <c r="E809" s="4">
        <f t="shared" si="85"/>
        <v>22</v>
      </c>
      <c r="F809" s="4">
        <f t="shared" si="86"/>
        <v>10</v>
      </c>
      <c r="G809" s="3">
        <f>IF(E809&gt;=20,2000,1900) + D809</f>
        <v>2003</v>
      </c>
      <c r="H809">
        <f t="shared" si="87"/>
        <v>2</v>
      </c>
      <c r="I809" s="4">
        <f t="shared" si="88"/>
        <v>10</v>
      </c>
      <c r="J809">
        <f t="shared" si="89"/>
        <v>20032210</v>
      </c>
      <c r="K809" t="str">
        <f t="shared" si="90"/>
        <v>10.22.2003</v>
      </c>
    </row>
    <row r="810" spans="1:11" x14ac:dyDescent="0.25">
      <c r="A810" s="4" t="s">
        <v>836</v>
      </c>
      <c r="B810" t="s">
        <v>13</v>
      </c>
      <c r="C810" t="s">
        <v>6</v>
      </c>
      <c r="D810" s="3">
        <f t="shared" si="84"/>
        <v>16</v>
      </c>
      <c r="E810" s="4">
        <f t="shared" si="85"/>
        <v>29</v>
      </c>
      <c r="F810" s="4">
        <f t="shared" si="86"/>
        <v>16</v>
      </c>
      <c r="G810" s="3">
        <f>IF(E810&gt;=20,2000,1900) + D810</f>
        <v>2016</v>
      </c>
      <c r="H810">
        <f t="shared" si="87"/>
        <v>9</v>
      </c>
      <c r="I810" s="4">
        <f t="shared" si="88"/>
        <v>16</v>
      </c>
      <c r="J810">
        <f t="shared" si="89"/>
        <v>20162916</v>
      </c>
      <c r="K810" t="str">
        <f t="shared" si="90"/>
        <v>16.29.2016</v>
      </c>
    </row>
    <row r="811" spans="1:11" x14ac:dyDescent="0.25">
      <c r="A811" s="4" t="s">
        <v>837</v>
      </c>
      <c r="B811" t="s">
        <v>11</v>
      </c>
      <c r="C811" t="s">
        <v>4</v>
      </c>
      <c r="D811" s="3">
        <f t="shared" si="84"/>
        <v>0</v>
      </c>
      <c r="E811" s="4">
        <f t="shared" si="85"/>
        <v>29</v>
      </c>
      <c r="F811" s="4">
        <f t="shared" si="86"/>
        <v>18</v>
      </c>
      <c r="G811" s="3">
        <f>IF(E811&gt;=20,2000,1900) + D811</f>
        <v>2000</v>
      </c>
      <c r="H811">
        <f t="shared" si="87"/>
        <v>9</v>
      </c>
      <c r="I811" s="4">
        <f t="shared" si="88"/>
        <v>18</v>
      </c>
      <c r="J811">
        <f t="shared" si="89"/>
        <v>20002918</v>
      </c>
      <c r="K811" t="str">
        <f t="shared" si="90"/>
        <v>18.29.2000</v>
      </c>
    </row>
    <row r="812" spans="1:11" x14ac:dyDescent="0.25">
      <c r="A812" s="4" t="s">
        <v>838</v>
      </c>
      <c r="B812" t="s">
        <v>5</v>
      </c>
      <c r="C812" t="s">
        <v>4</v>
      </c>
      <c r="D812" s="3">
        <f t="shared" si="84"/>
        <v>11</v>
      </c>
      <c r="E812" s="4">
        <f t="shared" si="85"/>
        <v>30</v>
      </c>
      <c r="F812" s="4">
        <f t="shared" si="86"/>
        <v>20</v>
      </c>
      <c r="G812" s="3">
        <f>IF(E812&gt;=20,2000,1900) + D812</f>
        <v>2011</v>
      </c>
      <c r="H812">
        <f t="shared" si="87"/>
        <v>10</v>
      </c>
      <c r="I812" s="4">
        <f t="shared" si="88"/>
        <v>20</v>
      </c>
      <c r="J812">
        <f t="shared" si="89"/>
        <v>20113020</v>
      </c>
      <c r="K812" t="str">
        <f t="shared" si="90"/>
        <v>20.30.2011</v>
      </c>
    </row>
    <row r="813" spans="1:11" x14ac:dyDescent="0.25">
      <c r="A813" s="4" t="s">
        <v>839</v>
      </c>
      <c r="B813" t="s">
        <v>8</v>
      </c>
      <c r="C813" t="s">
        <v>6</v>
      </c>
      <c r="D813" s="3">
        <f t="shared" si="84"/>
        <v>4</v>
      </c>
      <c r="E813" s="4">
        <f t="shared" si="85"/>
        <v>27</v>
      </c>
      <c r="F813" s="4">
        <f t="shared" si="86"/>
        <v>20</v>
      </c>
      <c r="G813" s="3">
        <f>IF(E813&gt;=20,2000,1900) + D813</f>
        <v>2004</v>
      </c>
      <c r="H813">
        <f t="shared" si="87"/>
        <v>7</v>
      </c>
      <c r="I813" s="4">
        <f t="shared" si="88"/>
        <v>20</v>
      </c>
      <c r="J813">
        <f t="shared" si="89"/>
        <v>20042720</v>
      </c>
      <c r="K813" t="str">
        <f t="shared" si="90"/>
        <v>20.27.2004</v>
      </c>
    </row>
    <row r="814" spans="1:11" x14ac:dyDescent="0.25">
      <c r="A814" s="4" t="s">
        <v>840</v>
      </c>
      <c r="B814" t="s">
        <v>14</v>
      </c>
      <c r="C814" t="s">
        <v>4</v>
      </c>
      <c r="D814" s="3">
        <f t="shared" si="84"/>
        <v>0</v>
      </c>
      <c r="E814" s="4">
        <f t="shared" si="85"/>
        <v>26</v>
      </c>
      <c r="F814" s="4">
        <f t="shared" si="86"/>
        <v>28</v>
      </c>
      <c r="G814" s="3">
        <f>IF(E814&gt;=20,2000,1900) + D814</f>
        <v>2000</v>
      </c>
      <c r="H814">
        <f t="shared" si="87"/>
        <v>6</v>
      </c>
      <c r="I814" s="4">
        <f t="shared" si="88"/>
        <v>28</v>
      </c>
      <c r="J814">
        <f t="shared" si="89"/>
        <v>20002628</v>
      </c>
      <c r="K814" t="str">
        <f t="shared" si="90"/>
        <v>28.26.2000</v>
      </c>
    </row>
    <row r="815" spans="1:11" x14ac:dyDescent="0.25">
      <c r="A815" s="4" t="s">
        <v>841</v>
      </c>
      <c r="B815" t="s">
        <v>20</v>
      </c>
      <c r="C815" t="s">
        <v>4</v>
      </c>
      <c r="D815" s="3">
        <f t="shared" si="84"/>
        <v>7</v>
      </c>
      <c r="E815" s="4">
        <f t="shared" si="85"/>
        <v>26</v>
      </c>
      <c r="F815" s="4">
        <f t="shared" si="86"/>
        <v>30</v>
      </c>
      <c r="G815" s="3">
        <f>IF(E815&gt;=20,2000,1900) + D815</f>
        <v>2007</v>
      </c>
      <c r="H815">
        <f t="shared" si="87"/>
        <v>6</v>
      </c>
      <c r="I815" s="4">
        <f t="shared" si="88"/>
        <v>30</v>
      </c>
      <c r="J815">
        <f t="shared" si="89"/>
        <v>20072630</v>
      </c>
      <c r="K815" t="str">
        <f t="shared" si="90"/>
        <v>30.26.2007</v>
      </c>
    </row>
    <row r="816" spans="1:11" x14ac:dyDescent="0.25">
      <c r="A816" s="4" t="s">
        <v>842</v>
      </c>
      <c r="B816" t="s">
        <v>13</v>
      </c>
      <c r="C816" t="s">
        <v>6</v>
      </c>
      <c r="D816" s="3">
        <f t="shared" si="84"/>
        <v>2</v>
      </c>
      <c r="E816" s="4">
        <f t="shared" si="85"/>
        <v>21</v>
      </c>
      <c r="F816" s="4">
        <f t="shared" si="86"/>
        <v>1</v>
      </c>
      <c r="G816" s="3">
        <f>IF(E816&gt;=20,2000,1900) + D816</f>
        <v>2002</v>
      </c>
      <c r="H816">
        <f t="shared" si="87"/>
        <v>1</v>
      </c>
      <c r="I816" s="4">
        <f t="shared" si="88"/>
        <v>1</v>
      </c>
      <c r="J816">
        <f t="shared" si="89"/>
        <v>20022101</v>
      </c>
      <c r="K816" t="str">
        <f t="shared" si="90"/>
        <v>01.21.2002</v>
      </c>
    </row>
    <row r="817" spans="1:11" x14ac:dyDescent="0.25">
      <c r="A817" s="4" t="s">
        <v>843</v>
      </c>
      <c r="B817" t="s">
        <v>11</v>
      </c>
      <c r="C817" t="s">
        <v>4</v>
      </c>
      <c r="D817" s="3">
        <f t="shared" si="84"/>
        <v>11</v>
      </c>
      <c r="E817" s="4">
        <f t="shared" si="85"/>
        <v>30</v>
      </c>
      <c r="F817" s="4">
        <f t="shared" si="86"/>
        <v>18</v>
      </c>
      <c r="G817" s="3">
        <f>IF(E817&gt;=20,2000,1900) + D817</f>
        <v>2011</v>
      </c>
      <c r="H817">
        <f t="shared" si="87"/>
        <v>10</v>
      </c>
      <c r="I817" s="4">
        <f t="shared" si="88"/>
        <v>18</v>
      </c>
      <c r="J817">
        <f t="shared" si="89"/>
        <v>20113018</v>
      </c>
      <c r="K817" t="str">
        <f t="shared" si="90"/>
        <v>18.30.2011</v>
      </c>
    </row>
    <row r="818" spans="1:11" x14ac:dyDescent="0.25">
      <c r="A818" s="4" t="s">
        <v>844</v>
      </c>
      <c r="B818" t="s">
        <v>8</v>
      </c>
      <c r="C818" t="s">
        <v>4</v>
      </c>
      <c r="D818" s="3">
        <f t="shared" si="84"/>
        <v>10</v>
      </c>
      <c r="E818" s="4">
        <f t="shared" si="85"/>
        <v>29</v>
      </c>
      <c r="F818" s="4">
        <f t="shared" si="86"/>
        <v>25</v>
      </c>
      <c r="G818" s="3">
        <f>IF(E818&gt;=20,2000,1900) + D818</f>
        <v>2010</v>
      </c>
      <c r="H818">
        <f t="shared" si="87"/>
        <v>9</v>
      </c>
      <c r="I818" s="4">
        <f t="shared" si="88"/>
        <v>25</v>
      </c>
      <c r="J818">
        <f t="shared" si="89"/>
        <v>20102925</v>
      </c>
      <c r="K818" t="str">
        <f t="shared" si="90"/>
        <v>25.29.2010</v>
      </c>
    </row>
    <row r="819" spans="1:11" x14ac:dyDescent="0.25">
      <c r="A819" s="4" t="s">
        <v>845</v>
      </c>
      <c r="B819" t="s">
        <v>16</v>
      </c>
      <c r="C819" t="s">
        <v>6</v>
      </c>
      <c r="D819" s="3">
        <f t="shared" si="84"/>
        <v>19</v>
      </c>
      <c r="E819" s="4">
        <f t="shared" si="85"/>
        <v>30</v>
      </c>
      <c r="F819" s="4">
        <f t="shared" si="86"/>
        <v>26</v>
      </c>
      <c r="G819" s="3">
        <f>IF(E819&gt;=20,2000,1900) + D819</f>
        <v>2019</v>
      </c>
      <c r="H819">
        <f t="shared" si="87"/>
        <v>10</v>
      </c>
      <c r="I819" s="4">
        <f t="shared" si="88"/>
        <v>26</v>
      </c>
      <c r="J819">
        <f t="shared" si="89"/>
        <v>20193026</v>
      </c>
      <c r="K819" t="str">
        <f t="shared" si="90"/>
        <v>26.30.2019</v>
      </c>
    </row>
    <row r="820" spans="1:11" x14ac:dyDescent="0.25">
      <c r="A820" s="4" t="s">
        <v>846</v>
      </c>
      <c r="B820" t="s">
        <v>16</v>
      </c>
      <c r="C820" t="s">
        <v>6</v>
      </c>
      <c r="D820" s="3">
        <f t="shared" si="84"/>
        <v>2</v>
      </c>
      <c r="E820" s="4">
        <f t="shared" si="85"/>
        <v>29</v>
      </c>
      <c r="F820" s="4">
        <f t="shared" si="86"/>
        <v>6</v>
      </c>
      <c r="G820" s="3">
        <f>IF(E820&gt;=20,2000,1900) + D820</f>
        <v>2002</v>
      </c>
      <c r="H820">
        <f t="shared" si="87"/>
        <v>9</v>
      </c>
      <c r="I820" s="4">
        <f t="shared" si="88"/>
        <v>6</v>
      </c>
      <c r="J820">
        <f t="shared" si="89"/>
        <v>20022906</v>
      </c>
      <c r="K820" t="str">
        <f t="shared" si="90"/>
        <v>06.29.2002</v>
      </c>
    </row>
    <row r="821" spans="1:11" x14ac:dyDescent="0.25">
      <c r="A821" s="4" t="s">
        <v>847</v>
      </c>
      <c r="B821" t="s">
        <v>5</v>
      </c>
      <c r="C821" t="s">
        <v>6</v>
      </c>
      <c r="D821" s="3">
        <f t="shared" si="84"/>
        <v>1</v>
      </c>
      <c r="E821" s="4">
        <f t="shared" si="85"/>
        <v>30</v>
      </c>
      <c r="F821" s="4">
        <f t="shared" si="86"/>
        <v>26</v>
      </c>
      <c r="G821" s="3">
        <f>IF(E821&gt;=20,2000,1900) + D821</f>
        <v>2001</v>
      </c>
      <c r="H821">
        <f t="shared" si="87"/>
        <v>10</v>
      </c>
      <c r="I821" s="4">
        <f t="shared" si="88"/>
        <v>26</v>
      </c>
      <c r="J821">
        <f t="shared" si="89"/>
        <v>20013026</v>
      </c>
      <c r="K821" t="str">
        <f t="shared" si="90"/>
        <v>26.30.2001</v>
      </c>
    </row>
    <row r="822" spans="1:11" x14ac:dyDescent="0.25">
      <c r="A822" s="4" t="s">
        <v>848</v>
      </c>
      <c r="B822" t="s">
        <v>15</v>
      </c>
      <c r="C822" t="s">
        <v>6</v>
      </c>
      <c r="D822" s="3">
        <f t="shared" si="84"/>
        <v>19</v>
      </c>
      <c r="E822" s="4">
        <f t="shared" si="85"/>
        <v>30</v>
      </c>
      <c r="F822" s="4">
        <f t="shared" si="86"/>
        <v>26</v>
      </c>
      <c r="G822" s="3">
        <f>IF(E822&gt;=20,2000,1900) + D822</f>
        <v>2019</v>
      </c>
      <c r="H822">
        <f t="shared" si="87"/>
        <v>10</v>
      </c>
      <c r="I822" s="4">
        <f t="shared" si="88"/>
        <v>26</v>
      </c>
      <c r="J822">
        <f t="shared" si="89"/>
        <v>20193026</v>
      </c>
      <c r="K822" t="str">
        <f t="shared" si="90"/>
        <v>26.30.2019</v>
      </c>
    </row>
    <row r="823" spans="1:11" x14ac:dyDescent="0.25">
      <c r="A823" s="4" t="s">
        <v>849</v>
      </c>
      <c r="B823" t="s">
        <v>16</v>
      </c>
      <c r="C823" t="s">
        <v>6</v>
      </c>
      <c r="D823" s="3">
        <f t="shared" si="84"/>
        <v>12</v>
      </c>
      <c r="E823" s="4">
        <f t="shared" si="85"/>
        <v>26</v>
      </c>
      <c r="F823" s="4">
        <f t="shared" si="86"/>
        <v>6</v>
      </c>
      <c r="G823" s="3">
        <f>IF(E823&gt;=20,2000,1900) + D823</f>
        <v>2012</v>
      </c>
      <c r="H823">
        <f t="shared" si="87"/>
        <v>6</v>
      </c>
      <c r="I823" s="4">
        <f t="shared" si="88"/>
        <v>6</v>
      </c>
      <c r="J823">
        <f t="shared" si="89"/>
        <v>20122606</v>
      </c>
      <c r="K823" t="str">
        <f t="shared" si="90"/>
        <v>06.26.2012</v>
      </c>
    </row>
    <row r="824" spans="1:11" x14ac:dyDescent="0.25">
      <c r="A824" s="4" t="s">
        <v>850</v>
      </c>
      <c r="B824" t="s">
        <v>20</v>
      </c>
      <c r="C824" t="s">
        <v>4</v>
      </c>
      <c r="D824" s="3">
        <f t="shared" si="84"/>
        <v>0</v>
      </c>
      <c r="E824" s="4">
        <f t="shared" si="85"/>
        <v>24</v>
      </c>
      <c r="F824" s="4">
        <f t="shared" si="86"/>
        <v>16</v>
      </c>
      <c r="G824" s="3">
        <f>IF(E824&gt;=20,2000,1900) + D824</f>
        <v>2000</v>
      </c>
      <c r="H824">
        <f t="shared" si="87"/>
        <v>4</v>
      </c>
      <c r="I824" s="4">
        <f t="shared" si="88"/>
        <v>16</v>
      </c>
      <c r="J824">
        <f t="shared" si="89"/>
        <v>20002416</v>
      </c>
      <c r="K824" t="str">
        <f t="shared" si="90"/>
        <v>16.24.2000</v>
      </c>
    </row>
    <row r="825" spans="1:11" x14ac:dyDescent="0.25">
      <c r="A825" s="4" t="s">
        <v>851</v>
      </c>
      <c r="B825" t="s">
        <v>5</v>
      </c>
      <c r="C825" t="s">
        <v>4</v>
      </c>
      <c r="D825" s="3">
        <f t="shared" si="84"/>
        <v>0</v>
      </c>
      <c r="E825" s="4">
        <f t="shared" si="85"/>
        <v>29</v>
      </c>
      <c r="F825" s="4">
        <f t="shared" si="86"/>
        <v>14</v>
      </c>
      <c r="G825" s="3">
        <f>IF(E825&gt;=20,2000,1900) + D825</f>
        <v>2000</v>
      </c>
      <c r="H825">
        <f t="shared" si="87"/>
        <v>9</v>
      </c>
      <c r="I825" s="4">
        <f t="shared" si="88"/>
        <v>14</v>
      </c>
      <c r="J825">
        <f t="shared" si="89"/>
        <v>20002914</v>
      </c>
      <c r="K825" t="str">
        <f t="shared" si="90"/>
        <v>14.29.2000</v>
      </c>
    </row>
    <row r="826" spans="1:11" x14ac:dyDescent="0.25">
      <c r="A826" s="4" t="s">
        <v>852</v>
      </c>
      <c r="B826" t="s">
        <v>19</v>
      </c>
      <c r="C826" t="s">
        <v>4</v>
      </c>
      <c r="D826" s="3">
        <f t="shared" si="84"/>
        <v>9</v>
      </c>
      <c r="E826" s="4">
        <f t="shared" si="85"/>
        <v>28</v>
      </c>
      <c r="F826" s="4">
        <f t="shared" si="86"/>
        <v>16</v>
      </c>
      <c r="G826" s="3">
        <f>IF(E826&gt;=20,2000,1900) + D826</f>
        <v>2009</v>
      </c>
      <c r="H826">
        <f t="shared" si="87"/>
        <v>8</v>
      </c>
      <c r="I826" s="4">
        <f t="shared" si="88"/>
        <v>16</v>
      </c>
      <c r="J826">
        <f t="shared" si="89"/>
        <v>20092816</v>
      </c>
      <c r="K826" t="str">
        <f t="shared" si="90"/>
        <v>16.28.2009</v>
      </c>
    </row>
    <row r="827" spans="1:11" x14ac:dyDescent="0.25">
      <c r="A827" s="4" t="s">
        <v>853</v>
      </c>
      <c r="B827" t="s">
        <v>11</v>
      </c>
      <c r="C827" t="s">
        <v>4</v>
      </c>
      <c r="D827" s="3">
        <f t="shared" si="84"/>
        <v>5</v>
      </c>
      <c r="E827" s="4">
        <f t="shared" si="85"/>
        <v>27</v>
      </c>
      <c r="F827" s="4">
        <f t="shared" si="86"/>
        <v>10</v>
      </c>
      <c r="G827" s="3">
        <f>IF(E827&gt;=20,2000,1900) + D827</f>
        <v>2005</v>
      </c>
      <c r="H827">
        <f t="shared" si="87"/>
        <v>7</v>
      </c>
      <c r="I827" s="4">
        <f t="shared" si="88"/>
        <v>10</v>
      </c>
      <c r="J827">
        <f t="shared" si="89"/>
        <v>20052710</v>
      </c>
      <c r="K827" t="str">
        <f t="shared" si="90"/>
        <v>10.27.2005</v>
      </c>
    </row>
    <row r="828" spans="1:11" x14ac:dyDescent="0.25">
      <c r="A828" s="4" t="s">
        <v>854</v>
      </c>
      <c r="B828" t="s">
        <v>19</v>
      </c>
      <c r="C828" t="s">
        <v>4</v>
      </c>
      <c r="D828" s="3">
        <f t="shared" si="84"/>
        <v>20</v>
      </c>
      <c r="E828" s="4">
        <f t="shared" si="85"/>
        <v>22</v>
      </c>
      <c r="F828" s="4">
        <f t="shared" si="86"/>
        <v>26</v>
      </c>
      <c r="G828" s="3">
        <f>IF(E828&gt;=20,2000,1900) + D828</f>
        <v>2020</v>
      </c>
      <c r="H828">
        <f t="shared" si="87"/>
        <v>2</v>
      </c>
      <c r="I828" s="4">
        <f t="shared" si="88"/>
        <v>26</v>
      </c>
      <c r="J828">
        <f t="shared" si="89"/>
        <v>20202226</v>
      </c>
      <c r="K828" t="str">
        <f t="shared" si="90"/>
        <v>26.22.2020</v>
      </c>
    </row>
    <row r="829" spans="1:11" x14ac:dyDescent="0.25">
      <c r="A829" s="4" t="s">
        <v>855</v>
      </c>
      <c r="B829" t="s">
        <v>18</v>
      </c>
      <c r="C829" t="s">
        <v>6</v>
      </c>
      <c r="D829" s="3">
        <f t="shared" si="84"/>
        <v>2</v>
      </c>
      <c r="E829" s="4">
        <f t="shared" si="85"/>
        <v>28</v>
      </c>
      <c r="F829" s="4">
        <f t="shared" si="86"/>
        <v>31</v>
      </c>
      <c r="G829" s="3">
        <f>IF(E829&gt;=20,2000,1900) + D829</f>
        <v>2002</v>
      </c>
      <c r="H829">
        <f t="shared" si="87"/>
        <v>8</v>
      </c>
      <c r="I829" s="4">
        <f t="shared" si="88"/>
        <v>31</v>
      </c>
      <c r="J829">
        <f t="shared" si="89"/>
        <v>20022831</v>
      </c>
      <c r="K829" t="str">
        <f t="shared" si="90"/>
        <v>31.28.2002</v>
      </c>
    </row>
    <row r="830" spans="1:11" x14ac:dyDescent="0.25">
      <c r="A830" s="4" t="s">
        <v>856</v>
      </c>
      <c r="B830" t="s">
        <v>11</v>
      </c>
      <c r="C830" t="s">
        <v>6</v>
      </c>
      <c r="D830" s="3">
        <f t="shared" si="84"/>
        <v>19</v>
      </c>
      <c r="E830" s="4">
        <f t="shared" si="85"/>
        <v>23</v>
      </c>
      <c r="F830" s="4">
        <f t="shared" si="86"/>
        <v>10</v>
      </c>
      <c r="G830" s="3">
        <f>IF(E830&gt;=20,2000,1900) + D830</f>
        <v>2019</v>
      </c>
      <c r="H830">
        <f t="shared" si="87"/>
        <v>3</v>
      </c>
      <c r="I830" s="4">
        <f t="shared" si="88"/>
        <v>10</v>
      </c>
      <c r="J830">
        <f t="shared" si="89"/>
        <v>20192310</v>
      </c>
      <c r="K830" t="str">
        <f t="shared" si="90"/>
        <v>10.23.2019</v>
      </c>
    </row>
    <row r="831" spans="1:11" x14ac:dyDescent="0.25">
      <c r="A831" s="4" t="s">
        <v>857</v>
      </c>
      <c r="B831" t="s">
        <v>10</v>
      </c>
      <c r="C831" t="s">
        <v>6</v>
      </c>
      <c r="D831" s="3">
        <f t="shared" si="84"/>
        <v>9</v>
      </c>
      <c r="E831" s="4">
        <f t="shared" si="85"/>
        <v>30</v>
      </c>
      <c r="F831" s="4">
        <f t="shared" si="86"/>
        <v>16</v>
      </c>
      <c r="G831" s="3">
        <f>IF(E831&gt;=20,2000,1900) + D831</f>
        <v>2009</v>
      </c>
      <c r="H831">
        <f t="shared" si="87"/>
        <v>10</v>
      </c>
      <c r="I831" s="4">
        <f t="shared" si="88"/>
        <v>16</v>
      </c>
      <c r="J831">
        <f t="shared" si="89"/>
        <v>20093016</v>
      </c>
      <c r="K831" t="str">
        <f t="shared" si="90"/>
        <v>16.30.2009</v>
      </c>
    </row>
    <row r="832" spans="1:11" x14ac:dyDescent="0.25">
      <c r="A832" s="4" t="s">
        <v>858</v>
      </c>
      <c r="B832" t="s">
        <v>3</v>
      </c>
      <c r="C832" t="s">
        <v>4</v>
      </c>
      <c r="D832" s="3">
        <f t="shared" si="84"/>
        <v>12</v>
      </c>
      <c r="E832" s="4">
        <f t="shared" si="85"/>
        <v>29</v>
      </c>
      <c r="F832" s="4">
        <f t="shared" si="86"/>
        <v>26</v>
      </c>
      <c r="G832" s="3">
        <f>IF(E832&gt;=20,2000,1900) + D832</f>
        <v>2012</v>
      </c>
      <c r="H832">
        <f t="shared" si="87"/>
        <v>9</v>
      </c>
      <c r="I832" s="4">
        <f t="shared" si="88"/>
        <v>26</v>
      </c>
      <c r="J832">
        <f t="shared" si="89"/>
        <v>20122926</v>
      </c>
      <c r="K832" t="str">
        <f t="shared" si="90"/>
        <v>26.29.2012</v>
      </c>
    </row>
    <row r="833" spans="1:11" x14ac:dyDescent="0.25">
      <c r="A833" s="4" t="s">
        <v>859</v>
      </c>
      <c r="B833" t="s">
        <v>9</v>
      </c>
      <c r="C833" t="s">
        <v>6</v>
      </c>
      <c r="D833" s="3">
        <f t="shared" si="84"/>
        <v>0</v>
      </c>
      <c r="E833" s="4">
        <f t="shared" si="85"/>
        <v>22</v>
      </c>
      <c r="F833" s="4">
        <f t="shared" si="86"/>
        <v>1</v>
      </c>
      <c r="G833" s="3">
        <f>IF(E833&gt;=20,2000,1900) + D833</f>
        <v>2000</v>
      </c>
      <c r="H833">
        <f t="shared" si="87"/>
        <v>2</v>
      </c>
      <c r="I833" s="4">
        <f t="shared" si="88"/>
        <v>1</v>
      </c>
      <c r="J833">
        <f t="shared" si="89"/>
        <v>20002201</v>
      </c>
      <c r="K833" t="str">
        <f t="shared" si="90"/>
        <v>01.22.2000</v>
      </c>
    </row>
    <row r="834" spans="1:11" x14ac:dyDescent="0.25">
      <c r="A834" s="4" t="s">
        <v>860</v>
      </c>
      <c r="B834" t="s">
        <v>18</v>
      </c>
      <c r="C834" t="s">
        <v>4</v>
      </c>
      <c r="D834" s="3">
        <f t="shared" si="84"/>
        <v>18</v>
      </c>
      <c r="E834" s="4">
        <f t="shared" si="85"/>
        <v>26</v>
      </c>
      <c r="F834" s="4">
        <f t="shared" si="86"/>
        <v>18</v>
      </c>
      <c r="G834" s="3">
        <f>IF(E834&gt;=20,2000,1900) + D834</f>
        <v>2018</v>
      </c>
      <c r="H834">
        <f t="shared" si="87"/>
        <v>6</v>
      </c>
      <c r="I834" s="4">
        <f t="shared" si="88"/>
        <v>18</v>
      </c>
      <c r="J834">
        <f t="shared" si="89"/>
        <v>20182618</v>
      </c>
      <c r="K834" t="str">
        <f t="shared" si="90"/>
        <v>18.26.2018</v>
      </c>
    </row>
    <row r="835" spans="1:11" x14ac:dyDescent="0.25">
      <c r="A835" s="4" t="s">
        <v>861</v>
      </c>
      <c r="B835" t="s">
        <v>18</v>
      </c>
      <c r="C835" t="s">
        <v>4</v>
      </c>
      <c r="D835" s="3">
        <f t="shared" ref="D835:D898" si="91">MID(A835,1,2)*1</f>
        <v>22</v>
      </c>
      <c r="E835" s="4">
        <f t="shared" ref="E835:E898" si="92">MID(A835,3,2)*1</f>
        <v>28</v>
      </c>
      <c r="F835" s="4">
        <f t="shared" ref="F835:F898" si="93">MID(A835,5,2)*1</f>
        <v>6</v>
      </c>
      <c r="G835" s="3">
        <f>IF(E835&gt;=20,2000,1900) + D835</f>
        <v>2022</v>
      </c>
      <c r="H835">
        <f t="shared" ref="H835:H898" si="94">IF(E835&gt;=20,E835-20,E835)</f>
        <v>8</v>
      </c>
      <c r="I835" s="4">
        <f t="shared" ref="I835:I898" si="95">F835</f>
        <v>6</v>
      </c>
      <c r="J835">
        <f t="shared" ref="J835:J898" si="96">CONCATENATE(G835,IF(LEN(E835)=1,CONCATENATE("0",E835),E835),IF(LEN(F835)=1,CONCATENATE("0",F835),F835))*1</f>
        <v>20222806</v>
      </c>
      <c r="K835" t="str">
        <f t="shared" ref="K835:K898" si="97">CONCATENATE(RIGHT(J835,2),".",MID(J835,5,2),".",LEFT(J835,4))</f>
        <v>06.28.2022</v>
      </c>
    </row>
    <row r="836" spans="1:11" x14ac:dyDescent="0.25">
      <c r="A836" s="4" t="s">
        <v>862</v>
      </c>
      <c r="B836" t="s">
        <v>19</v>
      </c>
      <c r="C836" t="s">
        <v>6</v>
      </c>
      <c r="D836" s="3">
        <f t="shared" si="91"/>
        <v>21</v>
      </c>
      <c r="E836" s="4">
        <f t="shared" si="92"/>
        <v>22</v>
      </c>
      <c r="F836" s="4">
        <f t="shared" si="93"/>
        <v>13</v>
      </c>
      <c r="G836" s="3">
        <f>IF(E836&gt;=20,2000,1900) + D836</f>
        <v>2021</v>
      </c>
      <c r="H836">
        <f t="shared" si="94"/>
        <v>2</v>
      </c>
      <c r="I836" s="4">
        <f t="shared" si="95"/>
        <v>13</v>
      </c>
      <c r="J836">
        <f t="shared" si="96"/>
        <v>20212213</v>
      </c>
      <c r="K836" t="str">
        <f t="shared" si="97"/>
        <v>13.22.2021</v>
      </c>
    </row>
    <row r="837" spans="1:11" x14ac:dyDescent="0.25">
      <c r="A837" s="4" t="s">
        <v>863</v>
      </c>
      <c r="B837" t="s">
        <v>5</v>
      </c>
      <c r="C837" t="s">
        <v>4</v>
      </c>
      <c r="D837" s="3">
        <f t="shared" si="91"/>
        <v>4</v>
      </c>
      <c r="E837" s="4">
        <f t="shared" si="92"/>
        <v>24</v>
      </c>
      <c r="F837" s="4">
        <f t="shared" si="93"/>
        <v>2</v>
      </c>
      <c r="G837" s="3">
        <f>IF(E837&gt;=20,2000,1900) + D837</f>
        <v>2004</v>
      </c>
      <c r="H837">
        <f t="shared" si="94"/>
        <v>4</v>
      </c>
      <c r="I837" s="4">
        <f t="shared" si="95"/>
        <v>2</v>
      </c>
      <c r="J837">
        <f t="shared" si="96"/>
        <v>20042402</v>
      </c>
      <c r="K837" t="str">
        <f t="shared" si="97"/>
        <v>02.24.2004</v>
      </c>
    </row>
    <row r="838" spans="1:11" x14ac:dyDescent="0.25">
      <c r="A838" s="4" t="s">
        <v>864</v>
      </c>
      <c r="B838" t="s">
        <v>15</v>
      </c>
      <c r="C838" t="s">
        <v>6</v>
      </c>
      <c r="D838" s="3">
        <f t="shared" si="91"/>
        <v>12</v>
      </c>
      <c r="E838" s="4">
        <f t="shared" si="92"/>
        <v>31</v>
      </c>
      <c r="F838" s="4">
        <f t="shared" si="93"/>
        <v>24</v>
      </c>
      <c r="G838" s="3">
        <f>IF(E838&gt;=20,2000,1900) + D838</f>
        <v>2012</v>
      </c>
      <c r="H838">
        <f t="shared" si="94"/>
        <v>11</v>
      </c>
      <c r="I838" s="4">
        <f t="shared" si="95"/>
        <v>24</v>
      </c>
      <c r="J838">
        <f t="shared" si="96"/>
        <v>20123124</v>
      </c>
      <c r="K838" t="str">
        <f t="shared" si="97"/>
        <v>24.31.2012</v>
      </c>
    </row>
    <row r="839" spans="1:11" x14ac:dyDescent="0.25">
      <c r="A839" s="4" t="s">
        <v>865</v>
      </c>
      <c r="B839" t="s">
        <v>3</v>
      </c>
      <c r="C839" t="s">
        <v>6</v>
      </c>
      <c r="D839" s="3">
        <f t="shared" si="91"/>
        <v>9</v>
      </c>
      <c r="E839" s="4">
        <f t="shared" si="92"/>
        <v>28</v>
      </c>
      <c r="F839" s="4">
        <f t="shared" si="93"/>
        <v>15</v>
      </c>
      <c r="G839" s="3">
        <f>IF(E839&gt;=20,2000,1900) + D839</f>
        <v>2009</v>
      </c>
      <c r="H839">
        <f t="shared" si="94"/>
        <v>8</v>
      </c>
      <c r="I839" s="4">
        <f t="shared" si="95"/>
        <v>15</v>
      </c>
      <c r="J839">
        <f t="shared" si="96"/>
        <v>20092815</v>
      </c>
      <c r="K839" t="str">
        <f t="shared" si="97"/>
        <v>15.28.2009</v>
      </c>
    </row>
    <row r="840" spans="1:11" x14ac:dyDescent="0.25">
      <c r="A840" s="4" t="s">
        <v>866</v>
      </c>
      <c r="B840" t="s">
        <v>3</v>
      </c>
      <c r="C840" t="s">
        <v>6</v>
      </c>
      <c r="D840" s="3">
        <f t="shared" si="91"/>
        <v>15</v>
      </c>
      <c r="E840" s="4">
        <f t="shared" si="92"/>
        <v>25</v>
      </c>
      <c r="F840" s="4">
        <f t="shared" si="93"/>
        <v>30</v>
      </c>
      <c r="G840" s="3">
        <f>IF(E840&gt;=20,2000,1900) + D840</f>
        <v>2015</v>
      </c>
      <c r="H840">
        <f t="shared" si="94"/>
        <v>5</v>
      </c>
      <c r="I840" s="4">
        <f t="shared" si="95"/>
        <v>30</v>
      </c>
      <c r="J840">
        <f t="shared" si="96"/>
        <v>20152530</v>
      </c>
      <c r="K840" t="str">
        <f t="shared" si="97"/>
        <v>30.25.2015</v>
      </c>
    </row>
    <row r="841" spans="1:11" x14ac:dyDescent="0.25">
      <c r="A841" s="4" t="s">
        <v>867</v>
      </c>
      <c r="B841" t="s">
        <v>13</v>
      </c>
      <c r="C841" t="s">
        <v>4</v>
      </c>
      <c r="D841" s="3">
        <f t="shared" si="91"/>
        <v>10</v>
      </c>
      <c r="E841" s="4">
        <f t="shared" si="92"/>
        <v>22</v>
      </c>
      <c r="F841" s="4">
        <f t="shared" si="93"/>
        <v>9</v>
      </c>
      <c r="G841" s="3">
        <f>IF(E841&gt;=20,2000,1900) + D841</f>
        <v>2010</v>
      </c>
      <c r="H841">
        <f t="shared" si="94"/>
        <v>2</v>
      </c>
      <c r="I841" s="4">
        <f t="shared" si="95"/>
        <v>9</v>
      </c>
      <c r="J841">
        <f t="shared" si="96"/>
        <v>20102209</v>
      </c>
      <c r="K841" t="str">
        <f t="shared" si="97"/>
        <v>09.22.2010</v>
      </c>
    </row>
    <row r="842" spans="1:11" x14ac:dyDescent="0.25">
      <c r="A842" s="4" t="s">
        <v>868</v>
      </c>
      <c r="B842" t="s">
        <v>5</v>
      </c>
      <c r="C842" t="s">
        <v>4</v>
      </c>
      <c r="D842" s="3">
        <f t="shared" si="91"/>
        <v>5</v>
      </c>
      <c r="E842" s="4">
        <f t="shared" si="92"/>
        <v>23</v>
      </c>
      <c r="F842" s="4">
        <f t="shared" si="93"/>
        <v>14</v>
      </c>
      <c r="G842" s="3">
        <f>IF(E842&gt;=20,2000,1900) + D842</f>
        <v>2005</v>
      </c>
      <c r="H842">
        <f t="shared" si="94"/>
        <v>3</v>
      </c>
      <c r="I842" s="4">
        <f t="shared" si="95"/>
        <v>14</v>
      </c>
      <c r="J842">
        <f t="shared" si="96"/>
        <v>20052314</v>
      </c>
      <c r="K842" t="str">
        <f t="shared" si="97"/>
        <v>14.23.2005</v>
      </c>
    </row>
    <row r="843" spans="1:11" x14ac:dyDescent="0.25">
      <c r="A843" s="4" t="s">
        <v>869</v>
      </c>
      <c r="B843" t="s">
        <v>10</v>
      </c>
      <c r="C843" t="s">
        <v>6</v>
      </c>
      <c r="D843" s="3">
        <f t="shared" si="91"/>
        <v>4</v>
      </c>
      <c r="E843" s="4">
        <f t="shared" si="92"/>
        <v>31</v>
      </c>
      <c r="F843" s="4">
        <f t="shared" si="93"/>
        <v>24</v>
      </c>
      <c r="G843" s="3">
        <f>IF(E843&gt;=20,2000,1900) + D843</f>
        <v>2004</v>
      </c>
      <c r="H843">
        <f t="shared" si="94"/>
        <v>11</v>
      </c>
      <c r="I843" s="4">
        <f t="shared" si="95"/>
        <v>24</v>
      </c>
      <c r="J843">
        <f t="shared" si="96"/>
        <v>20043124</v>
      </c>
      <c r="K843" t="str">
        <f t="shared" si="97"/>
        <v>24.31.2004</v>
      </c>
    </row>
    <row r="844" spans="1:11" x14ac:dyDescent="0.25">
      <c r="A844" s="4" t="s">
        <v>870</v>
      </c>
      <c r="B844" t="s">
        <v>9</v>
      </c>
      <c r="C844" t="s">
        <v>6</v>
      </c>
      <c r="D844" s="3">
        <f t="shared" si="91"/>
        <v>22</v>
      </c>
      <c r="E844" s="4">
        <f t="shared" si="92"/>
        <v>29</v>
      </c>
      <c r="F844" s="4">
        <f t="shared" si="93"/>
        <v>5</v>
      </c>
      <c r="G844" s="3">
        <f>IF(E844&gt;=20,2000,1900) + D844</f>
        <v>2022</v>
      </c>
      <c r="H844">
        <f t="shared" si="94"/>
        <v>9</v>
      </c>
      <c r="I844" s="4">
        <f t="shared" si="95"/>
        <v>5</v>
      </c>
      <c r="J844">
        <f t="shared" si="96"/>
        <v>20222905</v>
      </c>
      <c r="K844" t="str">
        <f t="shared" si="97"/>
        <v>05.29.2022</v>
      </c>
    </row>
    <row r="845" spans="1:11" x14ac:dyDescent="0.25">
      <c r="A845" s="4" t="s">
        <v>871</v>
      </c>
      <c r="B845" t="s">
        <v>3</v>
      </c>
      <c r="C845" t="s">
        <v>4</v>
      </c>
      <c r="D845" s="3">
        <f t="shared" si="91"/>
        <v>19</v>
      </c>
      <c r="E845" s="4">
        <f t="shared" si="92"/>
        <v>28</v>
      </c>
      <c r="F845" s="4">
        <f t="shared" si="93"/>
        <v>9</v>
      </c>
      <c r="G845" s="3">
        <f>IF(E845&gt;=20,2000,1900) + D845</f>
        <v>2019</v>
      </c>
      <c r="H845">
        <f t="shared" si="94"/>
        <v>8</v>
      </c>
      <c r="I845" s="4">
        <f t="shared" si="95"/>
        <v>9</v>
      </c>
      <c r="J845">
        <f t="shared" si="96"/>
        <v>20192809</v>
      </c>
      <c r="K845" t="str">
        <f t="shared" si="97"/>
        <v>09.28.2019</v>
      </c>
    </row>
    <row r="846" spans="1:11" x14ac:dyDescent="0.25">
      <c r="A846" s="4" t="s">
        <v>872</v>
      </c>
      <c r="B846" t="s">
        <v>20</v>
      </c>
      <c r="C846" t="s">
        <v>6</v>
      </c>
      <c r="D846" s="3">
        <f t="shared" si="91"/>
        <v>11</v>
      </c>
      <c r="E846" s="4">
        <f t="shared" si="92"/>
        <v>25</v>
      </c>
      <c r="F846" s="4">
        <f t="shared" si="93"/>
        <v>10</v>
      </c>
      <c r="G846" s="3">
        <f>IF(E846&gt;=20,2000,1900) + D846</f>
        <v>2011</v>
      </c>
      <c r="H846">
        <f t="shared" si="94"/>
        <v>5</v>
      </c>
      <c r="I846" s="4">
        <f t="shared" si="95"/>
        <v>10</v>
      </c>
      <c r="J846">
        <f t="shared" si="96"/>
        <v>20112510</v>
      </c>
      <c r="K846" t="str">
        <f t="shared" si="97"/>
        <v>10.25.2011</v>
      </c>
    </row>
    <row r="847" spans="1:11" x14ac:dyDescent="0.25">
      <c r="A847" s="4" t="s">
        <v>873</v>
      </c>
      <c r="B847" t="s">
        <v>13</v>
      </c>
      <c r="C847" t="s">
        <v>4</v>
      </c>
      <c r="D847" s="3">
        <f t="shared" si="91"/>
        <v>6</v>
      </c>
      <c r="E847" s="4">
        <f t="shared" si="92"/>
        <v>22</v>
      </c>
      <c r="F847" s="4">
        <f t="shared" si="93"/>
        <v>4</v>
      </c>
      <c r="G847" s="3">
        <f>IF(E847&gt;=20,2000,1900) + D847</f>
        <v>2006</v>
      </c>
      <c r="H847">
        <f t="shared" si="94"/>
        <v>2</v>
      </c>
      <c r="I847" s="4">
        <f t="shared" si="95"/>
        <v>4</v>
      </c>
      <c r="J847">
        <f t="shared" si="96"/>
        <v>20062204</v>
      </c>
      <c r="K847" t="str">
        <f t="shared" si="97"/>
        <v>04.22.2006</v>
      </c>
    </row>
    <row r="848" spans="1:11" x14ac:dyDescent="0.25">
      <c r="A848" s="4" t="s">
        <v>874</v>
      </c>
      <c r="B848" t="s">
        <v>3</v>
      </c>
      <c r="C848" t="s">
        <v>4</v>
      </c>
      <c r="D848" s="3">
        <f t="shared" si="91"/>
        <v>7</v>
      </c>
      <c r="E848" s="4">
        <f t="shared" si="92"/>
        <v>28</v>
      </c>
      <c r="F848" s="4">
        <f t="shared" si="93"/>
        <v>21</v>
      </c>
      <c r="G848" s="3">
        <f>IF(E848&gt;=20,2000,1900) + D848</f>
        <v>2007</v>
      </c>
      <c r="H848">
        <f t="shared" si="94"/>
        <v>8</v>
      </c>
      <c r="I848" s="4">
        <f t="shared" si="95"/>
        <v>21</v>
      </c>
      <c r="J848">
        <f t="shared" si="96"/>
        <v>20072821</v>
      </c>
      <c r="K848" t="str">
        <f t="shared" si="97"/>
        <v>21.28.2007</v>
      </c>
    </row>
    <row r="849" spans="1:11" x14ac:dyDescent="0.25">
      <c r="A849" s="4" t="s">
        <v>875</v>
      </c>
      <c r="B849" t="s">
        <v>11</v>
      </c>
      <c r="C849" t="s">
        <v>6</v>
      </c>
      <c r="D849" s="3">
        <f t="shared" si="91"/>
        <v>0</v>
      </c>
      <c r="E849" s="4">
        <f t="shared" si="92"/>
        <v>32</v>
      </c>
      <c r="F849" s="4">
        <f t="shared" si="93"/>
        <v>12</v>
      </c>
      <c r="G849" s="3">
        <f>IF(E849&gt;=20,2000,1900) + D849</f>
        <v>2000</v>
      </c>
      <c r="H849">
        <f t="shared" si="94"/>
        <v>12</v>
      </c>
      <c r="I849" s="4">
        <f t="shared" si="95"/>
        <v>12</v>
      </c>
      <c r="J849">
        <f t="shared" si="96"/>
        <v>20003212</v>
      </c>
      <c r="K849" t="str">
        <f t="shared" si="97"/>
        <v>12.32.2000</v>
      </c>
    </row>
    <row r="850" spans="1:11" x14ac:dyDescent="0.25">
      <c r="A850" s="4" t="s">
        <v>876</v>
      </c>
      <c r="B850" t="s">
        <v>16</v>
      </c>
      <c r="C850" t="s">
        <v>4</v>
      </c>
      <c r="D850" s="3">
        <f t="shared" si="91"/>
        <v>17</v>
      </c>
      <c r="E850" s="4">
        <f t="shared" si="92"/>
        <v>23</v>
      </c>
      <c r="F850" s="4">
        <f t="shared" si="93"/>
        <v>1</v>
      </c>
      <c r="G850" s="3">
        <f>IF(E850&gt;=20,2000,1900) + D850</f>
        <v>2017</v>
      </c>
      <c r="H850">
        <f t="shared" si="94"/>
        <v>3</v>
      </c>
      <c r="I850" s="4">
        <f t="shared" si="95"/>
        <v>1</v>
      </c>
      <c r="J850">
        <f t="shared" si="96"/>
        <v>20172301</v>
      </c>
      <c r="K850" t="str">
        <f t="shared" si="97"/>
        <v>01.23.2017</v>
      </c>
    </row>
    <row r="851" spans="1:11" x14ac:dyDescent="0.25">
      <c r="A851" s="4" t="s">
        <v>877</v>
      </c>
      <c r="B851" t="s">
        <v>11</v>
      </c>
      <c r="C851" t="s">
        <v>4</v>
      </c>
      <c r="D851" s="3">
        <f t="shared" si="91"/>
        <v>10</v>
      </c>
      <c r="E851" s="4">
        <f t="shared" si="92"/>
        <v>25</v>
      </c>
      <c r="F851" s="4">
        <f t="shared" si="93"/>
        <v>29</v>
      </c>
      <c r="G851" s="3">
        <f>IF(E851&gt;=20,2000,1900) + D851</f>
        <v>2010</v>
      </c>
      <c r="H851">
        <f t="shared" si="94"/>
        <v>5</v>
      </c>
      <c r="I851" s="4">
        <f t="shared" si="95"/>
        <v>29</v>
      </c>
      <c r="J851">
        <f t="shared" si="96"/>
        <v>20102529</v>
      </c>
      <c r="K851" t="str">
        <f t="shared" si="97"/>
        <v>29.25.2010</v>
      </c>
    </row>
    <row r="852" spans="1:11" x14ac:dyDescent="0.25">
      <c r="A852" s="4" t="s">
        <v>878</v>
      </c>
      <c r="B852" t="s">
        <v>12</v>
      </c>
      <c r="C852" t="s">
        <v>6</v>
      </c>
      <c r="D852" s="3">
        <f t="shared" si="91"/>
        <v>11</v>
      </c>
      <c r="E852" s="4">
        <f t="shared" si="92"/>
        <v>22</v>
      </c>
      <c r="F852" s="4">
        <f t="shared" si="93"/>
        <v>19</v>
      </c>
      <c r="G852" s="3">
        <f>IF(E852&gt;=20,2000,1900) + D852</f>
        <v>2011</v>
      </c>
      <c r="H852">
        <f t="shared" si="94"/>
        <v>2</v>
      </c>
      <c r="I852" s="4">
        <f t="shared" si="95"/>
        <v>19</v>
      </c>
      <c r="J852">
        <f t="shared" si="96"/>
        <v>20112219</v>
      </c>
      <c r="K852" t="str">
        <f t="shared" si="97"/>
        <v>19.22.2011</v>
      </c>
    </row>
    <row r="853" spans="1:11" x14ac:dyDescent="0.25">
      <c r="A853" s="4" t="s">
        <v>879</v>
      </c>
      <c r="B853" t="s">
        <v>14</v>
      </c>
      <c r="C853" t="s">
        <v>4</v>
      </c>
      <c r="D853" s="3">
        <f t="shared" si="91"/>
        <v>1</v>
      </c>
      <c r="E853" s="4">
        <f t="shared" si="92"/>
        <v>26</v>
      </c>
      <c r="F853" s="4">
        <f t="shared" si="93"/>
        <v>22</v>
      </c>
      <c r="G853" s="3">
        <f>IF(E853&gt;=20,2000,1900) + D853</f>
        <v>2001</v>
      </c>
      <c r="H853">
        <f t="shared" si="94"/>
        <v>6</v>
      </c>
      <c r="I853" s="4">
        <f t="shared" si="95"/>
        <v>22</v>
      </c>
      <c r="J853">
        <f t="shared" si="96"/>
        <v>20012622</v>
      </c>
      <c r="K853" t="str">
        <f t="shared" si="97"/>
        <v>22.26.2001</v>
      </c>
    </row>
    <row r="854" spans="1:11" x14ac:dyDescent="0.25">
      <c r="A854" s="4" t="s">
        <v>880</v>
      </c>
      <c r="B854" t="s">
        <v>14</v>
      </c>
      <c r="C854" t="s">
        <v>6</v>
      </c>
      <c r="D854" s="3">
        <f t="shared" si="91"/>
        <v>8</v>
      </c>
      <c r="E854" s="4">
        <f t="shared" si="92"/>
        <v>23</v>
      </c>
      <c r="F854" s="4">
        <f t="shared" si="93"/>
        <v>29</v>
      </c>
      <c r="G854" s="3">
        <f>IF(E854&gt;=20,2000,1900) + D854</f>
        <v>2008</v>
      </c>
      <c r="H854">
        <f t="shared" si="94"/>
        <v>3</v>
      </c>
      <c r="I854" s="4">
        <f t="shared" si="95"/>
        <v>29</v>
      </c>
      <c r="J854">
        <f t="shared" si="96"/>
        <v>20082329</v>
      </c>
      <c r="K854" t="str">
        <f t="shared" si="97"/>
        <v>29.23.2008</v>
      </c>
    </row>
    <row r="855" spans="1:11" x14ac:dyDescent="0.25">
      <c r="A855" s="4" t="s">
        <v>881</v>
      </c>
      <c r="B855" t="s">
        <v>3</v>
      </c>
      <c r="C855" t="s">
        <v>4</v>
      </c>
      <c r="D855" s="3">
        <f t="shared" si="91"/>
        <v>15</v>
      </c>
      <c r="E855" s="4">
        <f t="shared" si="92"/>
        <v>25</v>
      </c>
      <c r="F855" s="4">
        <f t="shared" si="93"/>
        <v>20</v>
      </c>
      <c r="G855" s="3">
        <f>IF(E855&gt;=20,2000,1900) + D855</f>
        <v>2015</v>
      </c>
      <c r="H855">
        <f t="shared" si="94"/>
        <v>5</v>
      </c>
      <c r="I855" s="4">
        <f t="shared" si="95"/>
        <v>20</v>
      </c>
      <c r="J855">
        <f t="shared" si="96"/>
        <v>20152520</v>
      </c>
      <c r="K855" t="str">
        <f t="shared" si="97"/>
        <v>20.25.2015</v>
      </c>
    </row>
    <row r="856" spans="1:11" x14ac:dyDescent="0.25">
      <c r="A856" s="4" t="s">
        <v>882</v>
      </c>
      <c r="B856" t="s">
        <v>10</v>
      </c>
      <c r="C856" t="s">
        <v>6</v>
      </c>
      <c r="D856" s="3">
        <f t="shared" si="91"/>
        <v>12</v>
      </c>
      <c r="E856" s="4">
        <f t="shared" si="92"/>
        <v>27</v>
      </c>
      <c r="F856" s="4">
        <f t="shared" si="93"/>
        <v>6</v>
      </c>
      <c r="G856" s="3">
        <f>IF(E856&gt;=20,2000,1900) + D856</f>
        <v>2012</v>
      </c>
      <c r="H856">
        <f t="shared" si="94"/>
        <v>7</v>
      </c>
      <c r="I856" s="4">
        <f t="shared" si="95"/>
        <v>6</v>
      </c>
      <c r="J856">
        <f t="shared" si="96"/>
        <v>20122706</v>
      </c>
      <c r="K856" t="str">
        <f t="shared" si="97"/>
        <v>06.27.2012</v>
      </c>
    </row>
    <row r="857" spans="1:11" x14ac:dyDescent="0.25">
      <c r="A857" s="4" t="s">
        <v>883</v>
      </c>
      <c r="B857" t="s">
        <v>3</v>
      </c>
      <c r="C857" t="s">
        <v>4</v>
      </c>
      <c r="D857" s="3">
        <f t="shared" si="91"/>
        <v>6</v>
      </c>
      <c r="E857" s="4">
        <f t="shared" si="92"/>
        <v>29</v>
      </c>
      <c r="F857" s="4">
        <f t="shared" si="93"/>
        <v>28</v>
      </c>
      <c r="G857" s="3">
        <f>IF(E857&gt;=20,2000,1900) + D857</f>
        <v>2006</v>
      </c>
      <c r="H857">
        <f t="shared" si="94"/>
        <v>9</v>
      </c>
      <c r="I857" s="4">
        <f t="shared" si="95"/>
        <v>28</v>
      </c>
      <c r="J857">
        <f t="shared" si="96"/>
        <v>20062928</v>
      </c>
      <c r="K857" t="str">
        <f t="shared" si="97"/>
        <v>28.29.2006</v>
      </c>
    </row>
    <row r="858" spans="1:11" x14ac:dyDescent="0.25">
      <c r="A858" s="4" t="s">
        <v>884</v>
      </c>
      <c r="B858" t="s">
        <v>16</v>
      </c>
      <c r="C858" t="s">
        <v>6</v>
      </c>
      <c r="D858" s="3">
        <f t="shared" si="91"/>
        <v>20</v>
      </c>
      <c r="E858" s="4">
        <f t="shared" si="92"/>
        <v>25</v>
      </c>
      <c r="F858" s="4">
        <f t="shared" si="93"/>
        <v>12</v>
      </c>
      <c r="G858" s="3">
        <f>IF(E858&gt;=20,2000,1900) + D858</f>
        <v>2020</v>
      </c>
      <c r="H858">
        <f t="shared" si="94"/>
        <v>5</v>
      </c>
      <c r="I858" s="4">
        <f t="shared" si="95"/>
        <v>12</v>
      </c>
      <c r="J858">
        <f t="shared" si="96"/>
        <v>20202512</v>
      </c>
      <c r="K858" t="str">
        <f t="shared" si="97"/>
        <v>12.25.2020</v>
      </c>
    </row>
    <row r="859" spans="1:11" x14ac:dyDescent="0.25">
      <c r="A859" s="4" t="s">
        <v>885</v>
      </c>
      <c r="B859" t="s">
        <v>9</v>
      </c>
      <c r="C859" t="s">
        <v>4</v>
      </c>
      <c r="D859" s="3">
        <f t="shared" si="91"/>
        <v>15</v>
      </c>
      <c r="E859" s="4">
        <f t="shared" si="92"/>
        <v>24</v>
      </c>
      <c r="F859" s="4">
        <f t="shared" si="93"/>
        <v>1</v>
      </c>
      <c r="G859" s="3">
        <f>IF(E859&gt;=20,2000,1900) + D859</f>
        <v>2015</v>
      </c>
      <c r="H859">
        <f t="shared" si="94"/>
        <v>4</v>
      </c>
      <c r="I859" s="4">
        <f t="shared" si="95"/>
        <v>1</v>
      </c>
      <c r="J859">
        <f t="shared" si="96"/>
        <v>20152401</v>
      </c>
      <c r="K859" t="str">
        <f t="shared" si="97"/>
        <v>01.24.2015</v>
      </c>
    </row>
    <row r="860" spans="1:11" x14ac:dyDescent="0.25">
      <c r="A860" s="4" t="s">
        <v>886</v>
      </c>
      <c r="B860" t="s">
        <v>16</v>
      </c>
      <c r="C860" t="s">
        <v>4</v>
      </c>
      <c r="D860" s="3">
        <f t="shared" si="91"/>
        <v>12</v>
      </c>
      <c r="E860" s="4">
        <f t="shared" si="92"/>
        <v>22</v>
      </c>
      <c r="F860" s="4">
        <f t="shared" si="93"/>
        <v>6</v>
      </c>
      <c r="G860" s="3">
        <f>IF(E860&gt;=20,2000,1900) + D860</f>
        <v>2012</v>
      </c>
      <c r="H860">
        <f t="shared" si="94"/>
        <v>2</v>
      </c>
      <c r="I860" s="4">
        <f t="shared" si="95"/>
        <v>6</v>
      </c>
      <c r="J860">
        <f t="shared" si="96"/>
        <v>20122206</v>
      </c>
      <c r="K860" t="str">
        <f t="shared" si="97"/>
        <v>06.22.2012</v>
      </c>
    </row>
    <row r="861" spans="1:11" x14ac:dyDescent="0.25">
      <c r="A861" s="4" t="s">
        <v>887</v>
      </c>
      <c r="B861" t="s">
        <v>13</v>
      </c>
      <c r="C861" t="s">
        <v>4</v>
      </c>
      <c r="D861" s="3">
        <f t="shared" si="91"/>
        <v>1</v>
      </c>
      <c r="E861" s="4">
        <f t="shared" si="92"/>
        <v>23</v>
      </c>
      <c r="F861" s="4">
        <f t="shared" si="93"/>
        <v>30</v>
      </c>
      <c r="G861" s="3">
        <f>IF(E861&gt;=20,2000,1900) + D861</f>
        <v>2001</v>
      </c>
      <c r="H861">
        <f t="shared" si="94"/>
        <v>3</v>
      </c>
      <c r="I861" s="4">
        <f t="shared" si="95"/>
        <v>30</v>
      </c>
      <c r="J861">
        <f t="shared" si="96"/>
        <v>20012330</v>
      </c>
      <c r="K861" t="str">
        <f t="shared" si="97"/>
        <v>30.23.2001</v>
      </c>
    </row>
    <row r="862" spans="1:11" x14ac:dyDescent="0.25">
      <c r="A862" s="4" t="s">
        <v>888</v>
      </c>
      <c r="B862" t="s">
        <v>12</v>
      </c>
      <c r="C862" t="s">
        <v>6</v>
      </c>
      <c r="D862" s="3">
        <f t="shared" si="91"/>
        <v>3</v>
      </c>
      <c r="E862" s="4">
        <f t="shared" si="92"/>
        <v>31</v>
      </c>
      <c r="F862" s="4">
        <f t="shared" si="93"/>
        <v>17</v>
      </c>
      <c r="G862" s="3">
        <f>IF(E862&gt;=20,2000,1900) + D862</f>
        <v>2003</v>
      </c>
      <c r="H862">
        <f t="shared" si="94"/>
        <v>11</v>
      </c>
      <c r="I862" s="4">
        <f t="shared" si="95"/>
        <v>17</v>
      </c>
      <c r="J862">
        <f t="shared" si="96"/>
        <v>20033117</v>
      </c>
      <c r="K862" t="str">
        <f t="shared" si="97"/>
        <v>17.31.2003</v>
      </c>
    </row>
    <row r="863" spans="1:11" x14ac:dyDescent="0.25">
      <c r="A863" s="4" t="s">
        <v>889</v>
      </c>
      <c r="B863" t="s">
        <v>7</v>
      </c>
      <c r="C863" t="s">
        <v>4</v>
      </c>
      <c r="D863" s="3">
        <f t="shared" si="91"/>
        <v>5</v>
      </c>
      <c r="E863" s="4">
        <f t="shared" si="92"/>
        <v>26</v>
      </c>
      <c r="F863" s="4">
        <f t="shared" si="93"/>
        <v>15</v>
      </c>
      <c r="G863" s="3">
        <f>IF(E863&gt;=20,2000,1900) + D863</f>
        <v>2005</v>
      </c>
      <c r="H863">
        <f t="shared" si="94"/>
        <v>6</v>
      </c>
      <c r="I863" s="4">
        <f t="shared" si="95"/>
        <v>15</v>
      </c>
      <c r="J863">
        <f t="shared" si="96"/>
        <v>20052615</v>
      </c>
      <c r="K863" t="str">
        <f t="shared" si="97"/>
        <v>15.26.2005</v>
      </c>
    </row>
    <row r="864" spans="1:11" x14ac:dyDescent="0.25">
      <c r="A864" s="4" t="s">
        <v>890</v>
      </c>
      <c r="B864" t="s">
        <v>16</v>
      </c>
      <c r="C864" t="s">
        <v>4</v>
      </c>
      <c r="D864" s="3">
        <f t="shared" si="91"/>
        <v>19</v>
      </c>
      <c r="E864" s="4">
        <f t="shared" si="92"/>
        <v>31</v>
      </c>
      <c r="F864" s="4">
        <f t="shared" si="93"/>
        <v>26</v>
      </c>
      <c r="G864" s="3">
        <f>IF(E864&gt;=20,2000,1900) + D864</f>
        <v>2019</v>
      </c>
      <c r="H864">
        <f t="shared" si="94"/>
        <v>11</v>
      </c>
      <c r="I864" s="4">
        <f t="shared" si="95"/>
        <v>26</v>
      </c>
      <c r="J864">
        <f t="shared" si="96"/>
        <v>20193126</v>
      </c>
      <c r="K864" t="str">
        <f t="shared" si="97"/>
        <v>26.31.2019</v>
      </c>
    </row>
    <row r="865" spans="1:11" x14ac:dyDescent="0.25">
      <c r="A865" s="4" t="s">
        <v>891</v>
      </c>
      <c r="B865" t="s">
        <v>19</v>
      </c>
      <c r="C865" t="s">
        <v>6</v>
      </c>
      <c r="D865" s="3">
        <f t="shared" si="91"/>
        <v>16</v>
      </c>
      <c r="E865" s="4">
        <f t="shared" si="92"/>
        <v>29</v>
      </c>
      <c r="F865" s="4">
        <f t="shared" si="93"/>
        <v>17</v>
      </c>
      <c r="G865" s="3">
        <f>IF(E865&gt;=20,2000,1900) + D865</f>
        <v>2016</v>
      </c>
      <c r="H865">
        <f t="shared" si="94"/>
        <v>9</v>
      </c>
      <c r="I865" s="4">
        <f t="shared" si="95"/>
        <v>17</v>
      </c>
      <c r="J865">
        <f t="shared" si="96"/>
        <v>20162917</v>
      </c>
      <c r="K865" t="str">
        <f t="shared" si="97"/>
        <v>17.29.2016</v>
      </c>
    </row>
    <row r="866" spans="1:11" x14ac:dyDescent="0.25">
      <c r="A866" s="4" t="s">
        <v>892</v>
      </c>
      <c r="B866" t="s">
        <v>18</v>
      </c>
      <c r="C866" t="s">
        <v>6</v>
      </c>
      <c r="D866" s="3">
        <f t="shared" si="91"/>
        <v>7</v>
      </c>
      <c r="E866" s="4">
        <f t="shared" si="92"/>
        <v>22</v>
      </c>
      <c r="F866" s="4">
        <f t="shared" si="93"/>
        <v>10</v>
      </c>
      <c r="G866" s="3">
        <f>IF(E866&gt;=20,2000,1900) + D866</f>
        <v>2007</v>
      </c>
      <c r="H866">
        <f t="shared" si="94"/>
        <v>2</v>
      </c>
      <c r="I866" s="4">
        <f t="shared" si="95"/>
        <v>10</v>
      </c>
      <c r="J866">
        <f t="shared" si="96"/>
        <v>20072210</v>
      </c>
      <c r="K866" t="str">
        <f t="shared" si="97"/>
        <v>10.22.2007</v>
      </c>
    </row>
    <row r="867" spans="1:11" x14ac:dyDescent="0.25">
      <c r="A867" s="4" t="s">
        <v>893</v>
      </c>
      <c r="B867" t="s">
        <v>17</v>
      </c>
      <c r="C867" t="s">
        <v>4</v>
      </c>
      <c r="D867" s="3">
        <f t="shared" si="91"/>
        <v>6</v>
      </c>
      <c r="E867" s="4">
        <f t="shared" si="92"/>
        <v>27</v>
      </c>
      <c r="F867" s="4">
        <f t="shared" si="93"/>
        <v>17</v>
      </c>
      <c r="G867" s="3">
        <f>IF(E867&gt;=20,2000,1900) + D867</f>
        <v>2006</v>
      </c>
      <c r="H867">
        <f t="shared" si="94"/>
        <v>7</v>
      </c>
      <c r="I867" s="4">
        <f t="shared" si="95"/>
        <v>17</v>
      </c>
      <c r="J867">
        <f t="shared" si="96"/>
        <v>20062717</v>
      </c>
      <c r="K867" t="str">
        <f t="shared" si="97"/>
        <v>17.27.2006</v>
      </c>
    </row>
    <row r="868" spans="1:11" x14ac:dyDescent="0.25">
      <c r="A868" s="4" t="s">
        <v>894</v>
      </c>
      <c r="B868" t="s">
        <v>17</v>
      </c>
      <c r="C868" t="s">
        <v>6</v>
      </c>
      <c r="D868" s="3">
        <f t="shared" si="91"/>
        <v>18</v>
      </c>
      <c r="E868" s="4">
        <f t="shared" si="92"/>
        <v>23</v>
      </c>
      <c r="F868" s="4">
        <f t="shared" si="93"/>
        <v>8</v>
      </c>
      <c r="G868" s="3">
        <f>IF(E868&gt;=20,2000,1900) + D868</f>
        <v>2018</v>
      </c>
      <c r="H868">
        <f t="shared" si="94"/>
        <v>3</v>
      </c>
      <c r="I868" s="4">
        <f t="shared" si="95"/>
        <v>8</v>
      </c>
      <c r="J868">
        <f t="shared" si="96"/>
        <v>20182308</v>
      </c>
      <c r="K868" t="str">
        <f t="shared" si="97"/>
        <v>08.23.2018</v>
      </c>
    </row>
    <row r="869" spans="1:11" x14ac:dyDescent="0.25">
      <c r="A869" s="4" t="s">
        <v>895</v>
      </c>
      <c r="B869" t="s">
        <v>5</v>
      </c>
      <c r="C869" t="s">
        <v>6</v>
      </c>
      <c r="D869" s="3">
        <f t="shared" si="91"/>
        <v>17</v>
      </c>
      <c r="E869" s="4">
        <f t="shared" si="92"/>
        <v>25</v>
      </c>
      <c r="F869" s="4">
        <f t="shared" si="93"/>
        <v>15</v>
      </c>
      <c r="G869" s="3">
        <f>IF(E869&gt;=20,2000,1900) + D869</f>
        <v>2017</v>
      </c>
      <c r="H869">
        <f t="shared" si="94"/>
        <v>5</v>
      </c>
      <c r="I869" s="4">
        <f t="shared" si="95"/>
        <v>15</v>
      </c>
      <c r="J869">
        <f t="shared" si="96"/>
        <v>20172515</v>
      </c>
      <c r="K869" t="str">
        <f t="shared" si="97"/>
        <v>15.25.2017</v>
      </c>
    </row>
    <row r="870" spans="1:11" x14ac:dyDescent="0.25">
      <c r="A870" s="4" t="s">
        <v>896</v>
      </c>
      <c r="B870" t="s">
        <v>17</v>
      </c>
      <c r="C870" t="s">
        <v>6</v>
      </c>
      <c r="D870" s="3">
        <f t="shared" si="91"/>
        <v>19</v>
      </c>
      <c r="E870" s="4">
        <f t="shared" si="92"/>
        <v>22</v>
      </c>
      <c r="F870" s="4">
        <f t="shared" si="93"/>
        <v>22</v>
      </c>
      <c r="G870" s="3">
        <f>IF(E870&gt;=20,2000,1900) + D870</f>
        <v>2019</v>
      </c>
      <c r="H870">
        <f t="shared" si="94"/>
        <v>2</v>
      </c>
      <c r="I870" s="4">
        <f t="shared" si="95"/>
        <v>22</v>
      </c>
      <c r="J870">
        <f t="shared" si="96"/>
        <v>20192222</v>
      </c>
      <c r="K870" t="str">
        <f t="shared" si="97"/>
        <v>22.22.2019</v>
      </c>
    </row>
    <row r="871" spans="1:11" x14ac:dyDescent="0.25">
      <c r="A871" s="4" t="s">
        <v>897</v>
      </c>
      <c r="B871" t="s">
        <v>5</v>
      </c>
      <c r="C871" t="s">
        <v>6</v>
      </c>
      <c r="D871" s="3">
        <f t="shared" si="91"/>
        <v>21</v>
      </c>
      <c r="E871" s="4">
        <f t="shared" si="92"/>
        <v>29</v>
      </c>
      <c r="F871" s="4">
        <f t="shared" si="93"/>
        <v>15</v>
      </c>
      <c r="G871" s="3">
        <f>IF(E871&gt;=20,2000,1900) + D871</f>
        <v>2021</v>
      </c>
      <c r="H871">
        <f t="shared" si="94"/>
        <v>9</v>
      </c>
      <c r="I871" s="4">
        <f t="shared" si="95"/>
        <v>15</v>
      </c>
      <c r="J871">
        <f t="shared" si="96"/>
        <v>20212915</v>
      </c>
      <c r="K871" t="str">
        <f t="shared" si="97"/>
        <v>15.29.2021</v>
      </c>
    </row>
    <row r="872" spans="1:11" x14ac:dyDescent="0.25">
      <c r="A872" s="4" t="s">
        <v>898</v>
      </c>
      <c r="B872" t="s">
        <v>17</v>
      </c>
      <c r="C872" t="s">
        <v>6</v>
      </c>
      <c r="D872" s="3">
        <f t="shared" si="91"/>
        <v>20</v>
      </c>
      <c r="E872" s="4">
        <f t="shared" si="92"/>
        <v>25</v>
      </c>
      <c r="F872" s="4">
        <f t="shared" si="93"/>
        <v>15</v>
      </c>
      <c r="G872" s="3">
        <f>IF(E872&gt;=20,2000,1900) + D872</f>
        <v>2020</v>
      </c>
      <c r="H872">
        <f t="shared" si="94"/>
        <v>5</v>
      </c>
      <c r="I872" s="4">
        <f t="shared" si="95"/>
        <v>15</v>
      </c>
      <c r="J872">
        <f t="shared" si="96"/>
        <v>20202515</v>
      </c>
      <c r="K872" t="str">
        <f t="shared" si="97"/>
        <v>15.25.2020</v>
      </c>
    </row>
    <row r="873" spans="1:11" x14ac:dyDescent="0.25">
      <c r="A873" s="4" t="s">
        <v>899</v>
      </c>
      <c r="B873" t="s">
        <v>18</v>
      </c>
      <c r="C873" t="s">
        <v>6</v>
      </c>
      <c r="D873" s="3">
        <f t="shared" si="91"/>
        <v>4</v>
      </c>
      <c r="E873" s="4">
        <f t="shared" si="92"/>
        <v>29</v>
      </c>
      <c r="F873" s="4">
        <f t="shared" si="93"/>
        <v>23</v>
      </c>
      <c r="G873" s="3">
        <f>IF(E873&gt;=20,2000,1900) + D873</f>
        <v>2004</v>
      </c>
      <c r="H873">
        <f t="shared" si="94"/>
        <v>9</v>
      </c>
      <c r="I873" s="4">
        <f t="shared" si="95"/>
        <v>23</v>
      </c>
      <c r="J873">
        <f t="shared" si="96"/>
        <v>20042923</v>
      </c>
      <c r="K873" t="str">
        <f t="shared" si="97"/>
        <v>23.29.2004</v>
      </c>
    </row>
    <row r="874" spans="1:11" x14ac:dyDescent="0.25">
      <c r="A874" s="4" t="s">
        <v>900</v>
      </c>
      <c r="B874" t="s">
        <v>17</v>
      </c>
      <c r="C874" t="s">
        <v>4</v>
      </c>
      <c r="D874" s="3">
        <f t="shared" si="91"/>
        <v>19</v>
      </c>
      <c r="E874" s="4">
        <f t="shared" si="92"/>
        <v>21</v>
      </c>
      <c r="F874" s="4">
        <f t="shared" si="93"/>
        <v>23</v>
      </c>
      <c r="G874" s="3">
        <f>IF(E874&gt;=20,2000,1900) + D874</f>
        <v>2019</v>
      </c>
      <c r="H874">
        <f t="shared" si="94"/>
        <v>1</v>
      </c>
      <c r="I874" s="4">
        <f t="shared" si="95"/>
        <v>23</v>
      </c>
      <c r="J874">
        <f t="shared" si="96"/>
        <v>20192123</v>
      </c>
      <c r="K874" t="str">
        <f t="shared" si="97"/>
        <v>23.21.2019</v>
      </c>
    </row>
    <row r="875" spans="1:11" x14ac:dyDescent="0.25">
      <c r="A875" s="4" t="s">
        <v>901</v>
      </c>
      <c r="B875" t="s">
        <v>3</v>
      </c>
      <c r="C875" t="s">
        <v>6</v>
      </c>
      <c r="D875" s="3">
        <f t="shared" si="91"/>
        <v>3</v>
      </c>
      <c r="E875" s="4">
        <f t="shared" si="92"/>
        <v>21</v>
      </c>
      <c r="F875" s="4">
        <f t="shared" si="93"/>
        <v>28</v>
      </c>
      <c r="G875" s="3">
        <f>IF(E875&gt;=20,2000,1900) + D875</f>
        <v>2003</v>
      </c>
      <c r="H875">
        <f t="shared" si="94"/>
        <v>1</v>
      </c>
      <c r="I875" s="4">
        <f t="shared" si="95"/>
        <v>28</v>
      </c>
      <c r="J875">
        <f t="shared" si="96"/>
        <v>20032128</v>
      </c>
      <c r="K875" t="str">
        <f t="shared" si="97"/>
        <v>28.21.2003</v>
      </c>
    </row>
    <row r="876" spans="1:11" x14ac:dyDescent="0.25">
      <c r="A876" s="4" t="s">
        <v>902</v>
      </c>
      <c r="B876" t="s">
        <v>20</v>
      </c>
      <c r="C876" t="s">
        <v>6</v>
      </c>
      <c r="D876" s="3">
        <f t="shared" si="91"/>
        <v>8</v>
      </c>
      <c r="E876" s="4">
        <f t="shared" si="92"/>
        <v>23</v>
      </c>
      <c r="F876" s="4">
        <f t="shared" si="93"/>
        <v>19</v>
      </c>
      <c r="G876" s="3">
        <f>IF(E876&gt;=20,2000,1900) + D876</f>
        <v>2008</v>
      </c>
      <c r="H876">
        <f t="shared" si="94"/>
        <v>3</v>
      </c>
      <c r="I876" s="4">
        <f t="shared" si="95"/>
        <v>19</v>
      </c>
      <c r="J876">
        <f t="shared" si="96"/>
        <v>20082319</v>
      </c>
      <c r="K876" t="str">
        <f t="shared" si="97"/>
        <v>19.23.2008</v>
      </c>
    </row>
    <row r="877" spans="1:11" x14ac:dyDescent="0.25">
      <c r="A877" s="4" t="s">
        <v>903</v>
      </c>
      <c r="B877" t="s">
        <v>20</v>
      </c>
      <c r="C877" t="s">
        <v>4</v>
      </c>
      <c r="D877" s="3">
        <f t="shared" si="91"/>
        <v>18</v>
      </c>
      <c r="E877" s="4">
        <f t="shared" si="92"/>
        <v>29</v>
      </c>
      <c r="F877" s="4">
        <f t="shared" si="93"/>
        <v>2</v>
      </c>
      <c r="G877" s="3">
        <f>IF(E877&gt;=20,2000,1900) + D877</f>
        <v>2018</v>
      </c>
      <c r="H877">
        <f t="shared" si="94"/>
        <v>9</v>
      </c>
      <c r="I877" s="4">
        <f t="shared" si="95"/>
        <v>2</v>
      </c>
      <c r="J877">
        <f t="shared" si="96"/>
        <v>20182902</v>
      </c>
      <c r="K877" t="str">
        <f t="shared" si="97"/>
        <v>02.29.2018</v>
      </c>
    </row>
    <row r="878" spans="1:11" x14ac:dyDescent="0.25">
      <c r="A878" s="4" t="s">
        <v>904</v>
      </c>
      <c r="B878" t="s">
        <v>9</v>
      </c>
      <c r="C878" t="s">
        <v>6</v>
      </c>
      <c r="D878" s="3">
        <f t="shared" si="91"/>
        <v>14</v>
      </c>
      <c r="E878" s="4">
        <f t="shared" si="92"/>
        <v>27</v>
      </c>
      <c r="F878" s="4">
        <f t="shared" si="93"/>
        <v>9</v>
      </c>
      <c r="G878" s="3">
        <f>IF(E878&gt;=20,2000,1900) + D878</f>
        <v>2014</v>
      </c>
      <c r="H878">
        <f t="shared" si="94"/>
        <v>7</v>
      </c>
      <c r="I878" s="4">
        <f t="shared" si="95"/>
        <v>9</v>
      </c>
      <c r="J878">
        <f t="shared" si="96"/>
        <v>20142709</v>
      </c>
      <c r="K878" t="str">
        <f t="shared" si="97"/>
        <v>09.27.2014</v>
      </c>
    </row>
    <row r="879" spans="1:11" x14ac:dyDescent="0.25">
      <c r="A879" s="4" t="s">
        <v>905</v>
      </c>
      <c r="B879" t="s">
        <v>3</v>
      </c>
      <c r="C879" t="s">
        <v>4</v>
      </c>
      <c r="D879" s="3">
        <f t="shared" si="91"/>
        <v>21</v>
      </c>
      <c r="E879" s="4">
        <f t="shared" si="92"/>
        <v>32</v>
      </c>
      <c r="F879" s="4">
        <f t="shared" si="93"/>
        <v>5</v>
      </c>
      <c r="G879" s="3">
        <f>IF(E879&gt;=20,2000,1900) + D879</f>
        <v>2021</v>
      </c>
      <c r="H879">
        <f t="shared" si="94"/>
        <v>12</v>
      </c>
      <c r="I879" s="4">
        <f t="shared" si="95"/>
        <v>5</v>
      </c>
      <c r="J879">
        <f t="shared" si="96"/>
        <v>20213205</v>
      </c>
      <c r="K879" t="str">
        <f t="shared" si="97"/>
        <v>05.32.2021</v>
      </c>
    </row>
    <row r="880" spans="1:11" x14ac:dyDescent="0.25">
      <c r="A880" s="4" t="s">
        <v>906</v>
      </c>
      <c r="B880" t="s">
        <v>14</v>
      </c>
      <c r="C880" t="s">
        <v>6</v>
      </c>
      <c r="D880" s="3">
        <f t="shared" si="91"/>
        <v>15</v>
      </c>
      <c r="E880" s="4">
        <f t="shared" si="92"/>
        <v>28</v>
      </c>
      <c r="F880" s="4">
        <f t="shared" si="93"/>
        <v>2</v>
      </c>
      <c r="G880" s="3">
        <f>IF(E880&gt;=20,2000,1900) + D880</f>
        <v>2015</v>
      </c>
      <c r="H880">
        <f t="shared" si="94"/>
        <v>8</v>
      </c>
      <c r="I880" s="4">
        <f t="shared" si="95"/>
        <v>2</v>
      </c>
      <c r="J880">
        <f t="shared" si="96"/>
        <v>20152802</v>
      </c>
      <c r="K880" t="str">
        <f t="shared" si="97"/>
        <v>02.28.2015</v>
      </c>
    </row>
    <row r="881" spans="1:11" x14ac:dyDescent="0.25">
      <c r="A881" s="4" t="s">
        <v>907</v>
      </c>
      <c r="B881" t="s">
        <v>12</v>
      </c>
      <c r="C881" t="s">
        <v>4</v>
      </c>
      <c r="D881" s="3">
        <f t="shared" si="91"/>
        <v>8</v>
      </c>
      <c r="E881" s="4">
        <f t="shared" si="92"/>
        <v>23</v>
      </c>
      <c r="F881" s="4">
        <f t="shared" si="93"/>
        <v>16</v>
      </c>
      <c r="G881" s="3">
        <f>IF(E881&gt;=20,2000,1900) + D881</f>
        <v>2008</v>
      </c>
      <c r="H881">
        <f t="shared" si="94"/>
        <v>3</v>
      </c>
      <c r="I881" s="4">
        <f t="shared" si="95"/>
        <v>16</v>
      </c>
      <c r="J881">
        <f t="shared" si="96"/>
        <v>20082316</v>
      </c>
      <c r="K881" t="str">
        <f t="shared" si="97"/>
        <v>16.23.2008</v>
      </c>
    </row>
    <row r="882" spans="1:11" x14ac:dyDescent="0.25">
      <c r="A882" s="4" t="s">
        <v>908</v>
      </c>
      <c r="B882" t="s">
        <v>15</v>
      </c>
      <c r="C882" t="s">
        <v>6</v>
      </c>
      <c r="D882" s="3">
        <f t="shared" si="91"/>
        <v>4</v>
      </c>
      <c r="E882" s="4">
        <f t="shared" si="92"/>
        <v>27</v>
      </c>
      <c r="F882" s="4">
        <f t="shared" si="93"/>
        <v>29</v>
      </c>
      <c r="G882" s="3">
        <f>IF(E882&gt;=20,2000,1900) + D882</f>
        <v>2004</v>
      </c>
      <c r="H882">
        <f t="shared" si="94"/>
        <v>7</v>
      </c>
      <c r="I882" s="4">
        <f t="shared" si="95"/>
        <v>29</v>
      </c>
      <c r="J882">
        <f t="shared" si="96"/>
        <v>20042729</v>
      </c>
      <c r="K882" t="str">
        <f t="shared" si="97"/>
        <v>29.27.2004</v>
      </c>
    </row>
    <row r="883" spans="1:11" x14ac:dyDescent="0.25">
      <c r="A883" s="4" t="s">
        <v>909</v>
      </c>
      <c r="B883" t="s">
        <v>19</v>
      </c>
      <c r="C883" t="s">
        <v>4</v>
      </c>
      <c r="D883" s="3">
        <f t="shared" si="91"/>
        <v>6</v>
      </c>
      <c r="E883" s="4">
        <f t="shared" si="92"/>
        <v>29</v>
      </c>
      <c r="F883" s="4">
        <f t="shared" si="93"/>
        <v>7</v>
      </c>
      <c r="G883" s="3">
        <f>IF(E883&gt;=20,2000,1900) + D883</f>
        <v>2006</v>
      </c>
      <c r="H883">
        <f t="shared" si="94"/>
        <v>9</v>
      </c>
      <c r="I883" s="4">
        <f t="shared" si="95"/>
        <v>7</v>
      </c>
      <c r="J883">
        <f t="shared" si="96"/>
        <v>20062907</v>
      </c>
      <c r="K883" t="str">
        <f t="shared" si="97"/>
        <v>07.29.2006</v>
      </c>
    </row>
    <row r="884" spans="1:11" x14ac:dyDescent="0.25">
      <c r="A884" s="4" t="s">
        <v>910</v>
      </c>
      <c r="B884" t="s">
        <v>11</v>
      </c>
      <c r="C884" t="s">
        <v>4</v>
      </c>
      <c r="D884" s="3">
        <f t="shared" si="91"/>
        <v>0</v>
      </c>
      <c r="E884" s="4">
        <f t="shared" si="92"/>
        <v>30</v>
      </c>
      <c r="F884" s="4">
        <f t="shared" si="93"/>
        <v>12</v>
      </c>
      <c r="G884" s="3">
        <f>IF(E884&gt;=20,2000,1900) + D884</f>
        <v>2000</v>
      </c>
      <c r="H884">
        <f t="shared" si="94"/>
        <v>10</v>
      </c>
      <c r="I884" s="4">
        <f t="shared" si="95"/>
        <v>12</v>
      </c>
      <c r="J884">
        <f t="shared" si="96"/>
        <v>20003012</v>
      </c>
      <c r="K884" t="str">
        <f t="shared" si="97"/>
        <v>12.30.2000</v>
      </c>
    </row>
    <row r="885" spans="1:11" x14ac:dyDescent="0.25">
      <c r="A885" s="4" t="s">
        <v>911</v>
      </c>
      <c r="B885" t="s">
        <v>13</v>
      </c>
      <c r="C885" t="s">
        <v>6</v>
      </c>
      <c r="D885" s="3">
        <f t="shared" si="91"/>
        <v>18</v>
      </c>
      <c r="E885" s="4">
        <f t="shared" si="92"/>
        <v>21</v>
      </c>
      <c r="F885" s="4">
        <f t="shared" si="93"/>
        <v>12</v>
      </c>
      <c r="G885" s="3">
        <f>IF(E885&gt;=20,2000,1900) + D885</f>
        <v>2018</v>
      </c>
      <c r="H885">
        <f t="shared" si="94"/>
        <v>1</v>
      </c>
      <c r="I885" s="4">
        <f t="shared" si="95"/>
        <v>12</v>
      </c>
      <c r="J885">
        <f t="shared" si="96"/>
        <v>20182112</v>
      </c>
      <c r="K885" t="str">
        <f t="shared" si="97"/>
        <v>12.21.2018</v>
      </c>
    </row>
    <row r="886" spans="1:11" x14ac:dyDescent="0.25">
      <c r="A886" s="4" t="s">
        <v>912</v>
      </c>
      <c r="B886" t="s">
        <v>13</v>
      </c>
      <c r="C886" t="s">
        <v>4</v>
      </c>
      <c r="D886" s="3">
        <f t="shared" si="91"/>
        <v>5</v>
      </c>
      <c r="E886" s="4">
        <f t="shared" si="92"/>
        <v>28</v>
      </c>
      <c r="F886" s="4">
        <f t="shared" si="93"/>
        <v>23</v>
      </c>
      <c r="G886" s="3">
        <f>IF(E886&gt;=20,2000,1900) + D886</f>
        <v>2005</v>
      </c>
      <c r="H886">
        <f t="shared" si="94"/>
        <v>8</v>
      </c>
      <c r="I886" s="4">
        <f t="shared" si="95"/>
        <v>23</v>
      </c>
      <c r="J886">
        <f t="shared" si="96"/>
        <v>20052823</v>
      </c>
      <c r="K886" t="str">
        <f t="shared" si="97"/>
        <v>23.28.2005</v>
      </c>
    </row>
    <row r="887" spans="1:11" x14ac:dyDescent="0.25">
      <c r="A887" s="4" t="s">
        <v>913</v>
      </c>
      <c r="B887" t="s">
        <v>16</v>
      </c>
      <c r="C887" t="s">
        <v>4</v>
      </c>
      <c r="D887" s="3">
        <f t="shared" si="91"/>
        <v>18</v>
      </c>
      <c r="E887" s="4">
        <f t="shared" si="92"/>
        <v>24</v>
      </c>
      <c r="F887" s="4">
        <f t="shared" si="93"/>
        <v>14</v>
      </c>
      <c r="G887" s="3">
        <f>IF(E887&gt;=20,2000,1900) + D887</f>
        <v>2018</v>
      </c>
      <c r="H887">
        <f t="shared" si="94"/>
        <v>4</v>
      </c>
      <c r="I887" s="4">
        <f t="shared" si="95"/>
        <v>14</v>
      </c>
      <c r="J887">
        <f t="shared" si="96"/>
        <v>20182414</v>
      </c>
      <c r="K887" t="str">
        <f t="shared" si="97"/>
        <v>14.24.2018</v>
      </c>
    </row>
    <row r="888" spans="1:11" x14ac:dyDescent="0.25">
      <c r="A888" s="4" t="s">
        <v>914</v>
      </c>
      <c r="B888" t="s">
        <v>20</v>
      </c>
      <c r="C888" t="s">
        <v>6</v>
      </c>
      <c r="D888" s="3">
        <f t="shared" si="91"/>
        <v>16</v>
      </c>
      <c r="E888" s="4">
        <f t="shared" si="92"/>
        <v>31</v>
      </c>
      <c r="F888" s="4">
        <f t="shared" si="93"/>
        <v>20</v>
      </c>
      <c r="G888" s="3">
        <f>IF(E888&gt;=20,2000,1900) + D888</f>
        <v>2016</v>
      </c>
      <c r="H888">
        <f t="shared" si="94"/>
        <v>11</v>
      </c>
      <c r="I888" s="4">
        <f t="shared" si="95"/>
        <v>20</v>
      </c>
      <c r="J888">
        <f t="shared" si="96"/>
        <v>20163120</v>
      </c>
      <c r="K888" t="str">
        <f t="shared" si="97"/>
        <v>20.31.2016</v>
      </c>
    </row>
    <row r="889" spans="1:11" x14ac:dyDescent="0.25">
      <c r="A889" s="4" t="s">
        <v>915</v>
      </c>
      <c r="B889" t="s">
        <v>9</v>
      </c>
      <c r="C889" t="s">
        <v>4</v>
      </c>
      <c r="D889" s="3">
        <f t="shared" si="91"/>
        <v>9</v>
      </c>
      <c r="E889" s="4">
        <f t="shared" si="92"/>
        <v>32</v>
      </c>
      <c r="F889" s="4">
        <f t="shared" si="93"/>
        <v>15</v>
      </c>
      <c r="G889" s="3">
        <f>IF(E889&gt;=20,2000,1900) + D889</f>
        <v>2009</v>
      </c>
      <c r="H889">
        <f t="shared" si="94"/>
        <v>12</v>
      </c>
      <c r="I889" s="4">
        <f t="shared" si="95"/>
        <v>15</v>
      </c>
      <c r="J889">
        <f t="shared" si="96"/>
        <v>20093215</v>
      </c>
      <c r="K889" t="str">
        <f t="shared" si="97"/>
        <v>15.32.2009</v>
      </c>
    </row>
    <row r="890" spans="1:11" x14ac:dyDescent="0.25">
      <c r="A890" s="4" t="s">
        <v>916</v>
      </c>
      <c r="B890" t="s">
        <v>10</v>
      </c>
      <c r="C890" t="s">
        <v>6</v>
      </c>
      <c r="D890" s="3">
        <f t="shared" si="91"/>
        <v>8</v>
      </c>
      <c r="E890" s="4">
        <f t="shared" si="92"/>
        <v>27</v>
      </c>
      <c r="F890" s="4">
        <f t="shared" si="93"/>
        <v>17</v>
      </c>
      <c r="G890" s="3">
        <f>IF(E890&gt;=20,2000,1900) + D890</f>
        <v>2008</v>
      </c>
      <c r="H890">
        <f t="shared" si="94"/>
        <v>7</v>
      </c>
      <c r="I890" s="4">
        <f t="shared" si="95"/>
        <v>17</v>
      </c>
      <c r="J890">
        <f t="shared" si="96"/>
        <v>20082717</v>
      </c>
      <c r="K890" t="str">
        <f t="shared" si="97"/>
        <v>17.27.2008</v>
      </c>
    </row>
    <row r="891" spans="1:11" x14ac:dyDescent="0.25">
      <c r="A891" s="4" t="s">
        <v>917</v>
      </c>
      <c r="B891" t="s">
        <v>9</v>
      </c>
      <c r="C891" t="s">
        <v>6</v>
      </c>
      <c r="D891" s="3">
        <f t="shared" si="91"/>
        <v>10</v>
      </c>
      <c r="E891" s="4">
        <f t="shared" si="92"/>
        <v>31</v>
      </c>
      <c r="F891" s="4">
        <f t="shared" si="93"/>
        <v>10</v>
      </c>
      <c r="G891" s="3">
        <f>IF(E891&gt;=20,2000,1900) + D891</f>
        <v>2010</v>
      </c>
      <c r="H891">
        <f t="shared" si="94"/>
        <v>11</v>
      </c>
      <c r="I891" s="4">
        <f t="shared" si="95"/>
        <v>10</v>
      </c>
      <c r="J891">
        <f t="shared" si="96"/>
        <v>20103110</v>
      </c>
      <c r="K891" t="str">
        <f t="shared" si="97"/>
        <v>10.31.2010</v>
      </c>
    </row>
    <row r="892" spans="1:11" x14ac:dyDescent="0.25">
      <c r="A892" s="4" t="s">
        <v>918</v>
      </c>
      <c r="B892" t="s">
        <v>19</v>
      </c>
      <c r="C892" t="s">
        <v>4</v>
      </c>
      <c r="D892" s="3">
        <f t="shared" si="91"/>
        <v>14</v>
      </c>
      <c r="E892" s="4">
        <f t="shared" si="92"/>
        <v>28</v>
      </c>
      <c r="F892" s="4">
        <f t="shared" si="93"/>
        <v>12</v>
      </c>
      <c r="G892" s="3">
        <f>IF(E892&gt;=20,2000,1900) + D892</f>
        <v>2014</v>
      </c>
      <c r="H892">
        <f t="shared" si="94"/>
        <v>8</v>
      </c>
      <c r="I892" s="4">
        <f t="shared" si="95"/>
        <v>12</v>
      </c>
      <c r="J892">
        <f t="shared" si="96"/>
        <v>20142812</v>
      </c>
      <c r="K892" t="str">
        <f t="shared" si="97"/>
        <v>12.28.2014</v>
      </c>
    </row>
    <row r="893" spans="1:11" x14ac:dyDescent="0.25">
      <c r="A893" s="4" t="s">
        <v>919</v>
      </c>
      <c r="B893" t="s">
        <v>13</v>
      </c>
      <c r="C893" t="s">
        <v>6</v>
      </c>
      <c r="D893" s="3">
        <f t="shared" si="91"/>
        <v>3</v>
      </c>
      <c r="E893" s="4">
        <f t="shared" si="92"/>
        <v>24</v>
      </c>
      <c r="F893" s="4">
        <f t="shared" si="93"/>
        <v>15</v>
      </c>
      <c r="G893" s="3">
        <f>IF(E893&gt;=20,2000,1900) + D893</f>
        <v>2003</v>
      </c>
      <c r="H893">
        <f t="shared" si="94"/>
        <v>4</v>
      </c>
      <c r="I893" s="4">
        <f t="shared" si="95"/>
        <v>15</v>
      </c>
      <c r="J893">
        <f t="shared" si="96"/>
        <v>20032415</v>
      </c>
      <c r="K893" t="str">
        <f t="shared" si="97"/>
        <v>15.24.2003</v>
      </c>
    </row>
    <row r="894" spans="1:11" x14ac:dyDescent="0.25">
      <c r="A894" s="4" t="s">
        <v>920</v>
      </c>
      <c r="B894" t="s">
        <v>16</v>
      </c>
      <c r="C894" t="s">
        <v>4</v>
      </c>
      <c r="D894" s="3">
        <f t="shared" si="91"/>
        <v>2</v>
      </c>
      <c r="E894" s="4">
        <f t="shared" si="92"/>
        <v>27</v>
      </c>
      <c r="F894" s="4">
        <f t="shared" si="93"/>
        <v>20</v>
      </c>
      <c r="G894" s="3">
        <f>IF(E894&gt;=20,2000,1900) + D894</f>
        <v>2002</v>
      </c>
      <c r="H894">
        <f t="shared" si="94"/>
        <v>7</v>
      </c>
      <c r="I894" s="4">
        <f t="shared" si="95"/>
        <v>20</v>
      </c>
      <c r="J894">
        <f t="shared" si="96"/>
        <v>20022720</v>
      </c>
      <c r="K894" t="str">
        <f t="shared" si="97"/>
        <v>20.27.2002</v>
      </c>
    </row>
    <row r="895" spans="1:11" x14ac:dyDescent="0.25">
      <c r="A895" s="4" t="s">
        <v>921</v>
      </c>
      <c r="B895" t="s">
        <v>13</v>
      </c>
      <c r="C895" t="s">
        <v>4</v>
      </c>
      <c r="D895" s="3">
        <f t="shared" si="91"/>
        <v>17</v>
      </c>
      <c r="E895" s="4">
        <f t="shared" si="92"/>
        <v>28</v>
      </c>
      <c r="F895" s="4">
        <f t="shared" si="93"/>
        <v>23</v>
      </c>
      <c r="G895" s="3">
        <f>IF(E895&gt;=20,2000,1900) + D895</f>
        <v>2017</v>
      </c>
      <c r="H895">
        <f t="shared" si="94"/>
        <v>8</v>
      </c>
      <c r="I895" s="4">
        <f t="shared" si="95"/>
        <v>23</v>
      </c>
      <c r="J895">
        <f t="shared" si="96"/>
        <v>20172823</v>
      </c>
      <c r="K895" t="str">
        <f t="shared" si="97"/>
        <v>23.28.2017</v>
      </c>
    </row>
    <row r="896" spans="1:11" x14ac:dyDescent="0.25">
      <c r="A896" s="4" t="s">
        <v>922</v>
      </c>
      <c r="B896" t="s">
        <v>5</v>
      </c>
      <c r="C896" t="s">
        <v>6</v>
      </c>
      <c r="D896" s="3">
        <f t="shared" si="91"/>
        <v>3</v>
      </c>
      <c r="E896" s="4">
        <f t="shared" si="92"/>
        <v>24</v>
      </c>
      <c r="F896" s="4">
        <f t="shared" si="93"/>
        <v>18</v>
      </c>
      <c r="G896" s="3">
        <f>IF(E896&gt;=20,2000,1900) + D896</f>
        <v>2003</v>
      </c>
      <c r="H896">
        <f t="shared" si="94"/>
        <v>4</v>
      </c>
      <c r="I896" s="4">
        <f t="shared" si="95"/>
        <v>18</v>
      </c>
      <c r="J896">
        <f t="shared" si="96"/>
        <v>20032418</v>
      </c>
      <c r="K896" t="str">
        <f t="shared" si="97"/>
        <v>18.24.2003</v>
      </c>
    </row>
    <row r="897" spans="1:11" x14ac:dyDescent="0.25">
      <c r="A897" s="4" t="s">
        <v>923</v>
      </c>
      <c r="B897" t="s">
        <v>9</v>
      </c>
      <c r="C897" t="s">
        <v>6</v>
      </c>
      <c r="D897" s="3">
        <f t="shared" si="91"/>
        <v>10</v>
      </c>
      <c r="E897" s="4">
        <f t="shared" si="92"/>
        <v>21</v>
      </c>
      <c r="F897" s="4">
        <f t="shared" si="93"/>
        <v>7</v>
      </c>
      <c r="G897" s="3">
        <f>IF(E897&gt;=20,2000,1900) + D897</f>
        <v>2010</v>
      </c>
      <c r="H897">
        <f t="shared" si="94"/>
        <v>1</v>
      </c>
      <c r="I897" s="4">
        <f t="shared" si="95"/>
        <v>7</v>
      </c>
      <c r="J897">
        <f t="shared" si="96"/>
        <v>20102107</v>
      </c>
      <c r="K897" t="str">
        <f t="shared" si="97"/>
        <v>07.21.2010</v>
      </c>
    </row>
    <row r="898" spans="1:11" x14ac:dyDescent="0.25">
      <c r="A898" s="4" t="s">
        <v>924</v>
      </c>
      <c r="B898" t="s">
        <v>19</v>
      </c>
      <c r="C898" t="s">
        <v>4</v>
      </c>
      <c r="D898" s="3">
        <f t="shared" si="91"/>
        <v>12</v>
      </c>
      <c r="E898" s="4">
        <f t="shared" si="92"/>
        <v>31</v>
      </c>
      <c r="F898" s="4">
        <f t="shared" si="93"/>
        <v>7</v>
      </c>
      <c r="G898" s="3">
        <f>IF(E898&gt;=20,2000,1900) + D898</f>
        <v>2012</v>
      </c>
      <c r="H898">
        <f t="shared" si="94"/>
        <v>11</v>
      </c>
      <c r="I898" s="4">
        <f t="shared" si="95"/>
        <v>7</v>
      </c>
      <c r="J898">
        <f t="shared" si="96"/>
        <v>20123107</v>
      </c>
      <c r="K898" t="str">
        <f t="shared" si="97"/>
        <v>07.31.2012</v>
      </c>
    </row>
    <row r="899" spans="1:11" x14ac:dyDescent="0.25">
      <c r="A899" s="4" t="s">
        <v>925</v>
      </c>
      <c r="B899" t="s">
        <v>10</v>
      </c>
      <c r="C899" t="s">
        <v>6</v>
      </c>
      <c r="D899" s="3">
        <f t="shared" ref="D899:D962" si="98">MID(A899,1,2)*1</f>
        <v>14</v>
      </c>
      <c r="E899" s="4">
        <f t="shared" ref="E899:E962" si="99">MID(A899,3,2)*1</f>
        <v>26</v>
      </c>
      <c r="F899" s="4">
        <f t="shared" ref="F899:F962" si="100">MID(A899,5,2)*1</f>
        <v>28</v>
      </c>
      <c r="G899" s="3">
        <f>IF(E899&gt;=20,2000,1900) + D899</f>
        <v>2014</v>
      </c>
      <c r="H899">
        <f t="shared" ref="H899:H962" si="101">IF(E899&gt;=20,E899-20,E899)</f>
        <v>6</v>
      </c>
      <c r="I899" s="4">
        <f t="shared" ref="I899:I962" si="102">F899</f>
        <v>28</v>
      </c>
      <c r="J899">
        <f t="shared" ref="J899:J962" si="103">CONCATENATE(G899,IF(LEN(E899)=1,CONCATENATE("0",E899),E899),IF(LEN(F899)=1,CONCATENATE("0",F899),F899))*1</f>
        <v>20142628</v>
      </c>
      <c r="K899" t="str">
        <f t="shared" ref="K899:K962" si="104">CONCATENATE(RIGHT(J899,2),".",MID(J899,5,2),".",LEFT(J899,4))</f>
        <v>28.26.2014</v>
      </c>
    </row>
    <row r="900" spans="1:11" x14ac:dyDescent="0.25">
      <c r="A900" s="4" t="s">
        <v>926</v>
      </c>
      <c r="B900" t="s">
        <v>3</v>
      </c>
      <c r="C900" t="s">
        <v>6</v>
      </c>
      <c r="D900" s="3">
        <f t="shared" si="98"/>
        <v>16</v>
      </c>
      <c r="E900" s="4">
        <f t="shared" si="99"/>
        <v>22</v>
      </c>
      <c r="F900" s="4">
        <f t="shared" si="100"/>
        <v>14</v>
      </c>
      <c r="G900" s="3">
        <f>IF(E900&gt;=20,2000,1900) + D900</f>
        <v>2016</v>
      </c>
      <c r="H900">
        <f t="shared" si="101"/>
        <v>2</v>
      </c>
      <c r="I900" s="4">
        <f t="shared" si="102"/>
        <v>14</v>
      </c>
      <c r="J900">
        <f t="shared" si="103"/>
        <v>20162214</v>
      </c>
      <c r="K900" t="str">
        <f t="shared" si="104"/>
        <v>14.22.2016</v>
      </c>
    </row>
    <row r="901" spans="1:11" x14ac:dyDescent="0.25">
      <c r="A901" s="4" t="s">
        <v>927</v>
      </c>
      <c r="B901" t="s">
        <v>12</v>
      </c>
      <c r="C901" t="s">
        <v>4</v>
      </c>
      <c r="D901" s="3">
        <f t="shared" si="98"/>
        <v>6</v>
      </c>
      <c r="E901" s="4">
        <f t="shared" si="99"/>
        <v>24</v>
      </c>
      <c r="F901" s="4">
        <f t="shared" si="100"/>
        <v>9</v>
      </c>
      <c r="G901" s="3">
        <f>IF(E901&gt;=20,2000,1900) + D901</f>
        <v>2006</v>
      </c>
      <c r="H901">
        <f t="shared" si="101"/>
        <v>4</v>
      </c>
      <c r="I901" s="4">
        <f t="shared" si="102"/>
        <v>9</v>
      </c>
      <c r="J901">
        <f t="shared" si="103"/>
        <v>20062409</v>
      </c>
      <c r="K901" t="str">
        <f t="shared" si="104"/>
        <v>09.24.2006</v>
      </c>
    </row>
    <row r="902" spans="1:11" x14ac:dyDescent="0.25">
      <c r="A902" s="4" t="s">
        <v>928</v>
      </c>
      <c r="B902" t="s">
        <v>9</v>
      </c>
      <c r="C902" t="s">
        <v>4</v>
      </c>
      <c r="D902" s="3">
        <f t="shared" si="98"/>
        <v>20</v>
      </c>
      <c r="E902" s="4">
        <f t="shared" si="99"/>
        <v>23</v>
      </c>
      <c r="F902" s="4">
        <f t="shared" si="100"/>
        <v>12</v>
      </c>
      <c r="G902" s="3">
        <f>IF(E902&gt;=20,2000,1900) + D902</f>
        <v>2020</v>
      </c>
      <c r="H902">
        <f t="shared" si="101"/>
        <v>3</v>
      </c>
      <c r="I902" s="4">
        <f t="shared" si="102"/>
        <v>12</v>
      </c>
      <c r="J902">
        <f t="shared" si="103"/>
        <v>20202312</v>
      </c>
      <c r="K902" t="str">
        <f t="shared" si="104"/>
        <v>12.23.2020</v>
      </c>
    </row>
    <row r="903" spans="1:11" x14ac:dyDescent="0.25">
      <c r="A903" s="4" t="s">
        <v>929</v>
      </c>
      <c r="B903" t="s">
        <v>16</v>
      </c>
      <c r="C903" t="s">
        <v>6</v>
      </c>
      <c r="D903" s="3">
        <f t="shared" si="98"/>
        <v>2</v>
      </c>
      <c r="E903" s="4">
        <f t="shared" si="99"/>
        <v>26</v>
      </c>
      <c r="F903" s="4">
        <f t="shared" si="100"/>
        <v>9</v>
      </c>
      <c r="G903" s="3">
        <f>IF(E903&gt;=20,2000,1900) + D903</f>
        <v>2002</v>
      </c>
      <c r="H903">
        <f t="shared" si="101"/>
        <v>6</v>
      </c>
      <c r="I903" s="4">
        <f t="shared" si="102"/>
        <v>9</v>
      </c>
      <c r="J903">
        <f t="shared" si="103"/>
        <v>20022609</v>
      </c>
      <c r="K903" t="str">
        <f t="shared" si="104"/>
        <v>09.26.2002</v>
      </c>
    </row>
    <row r="904" spans="1:11" x14ac:dyDescent="0.25">
      <c r="A904" s="4" t="s">
        <v>930</v>
      </c>
      <c r="B904" t="s">
        <v>3</v>
      </c>
      <c r="C904" t="s">
        <v>6</v>
      </c>
      <c r="D904" s="3">
        <f t="shared" si="98"/>
        <v>15</v>
      </c>
      <c r="E904" s="4">
        <f t="shared" si="99"/>
        <v>30</v>
      </c>
      <c r="F904" s="4">
        <f t="shared" si="100"/>
        <v>4</v>
      </c>
      <c r="G904" s="3">
        <f>IF(E904&gt;=20,2000,1900) + D904</f>
        <v>2015</v>
      </c>
      <c r="H904">
        <f t="shared" si="101"/>
        <v>10</v>
      </c>
      <c r="I904" s="4">
        <f t="shared" si="102"/>
        <v>4</v>
      </c>
      <c r="J904">
        <f t="shared" si="103"/>
        <v>20153004</v>
      </c>
      <c r="K904" t="str">
        <f t="shared" si="104"/>
        <v>04.30.2015</v>
      </c>
    </row>
    <row r="905" spans="1:11" x14ac:dyDescent="0.25">
      <c r="A905" s="4" t="s">
        <v>931</v>
      </c>
      <c r="B905" t="s">
        <v>7</v>
      </c>
      <c r="C905" t="s">
        <v>4</v>
      </c>
      <c r="D905" s="3">
        <f t="shared" si="98"/>
        <v>12</v>
      </c>
      <c r="E905" s="4">
        <f t="shared" si="99"/>
        <v>24</v>
      </c>
      <c r="F905" s="4">
        <f t="shared" si="100"/>
        <v>16</v>
      </c>
      <c r="G905" s="3">
        <f>IF(E905&gt;=20,2000,1900) + D905</f>
        <v>2012</v>
      </c>
      <c r="H905">
        <f t="shared" si="101"/>
        <v>4</v>
      </c>
      <c r="I905" s="4">
        <f t="shared" si="102"/>
        <v>16</v>
      </c>
      <c r="J905">
        <f t="shared" si="103"/>
        <v>20122416</v>
      </c>
      <c r="K905" t="str">
        <f t="shared" si="104"/>
        <v>16.24.2012</v>
      </c>
    </row>
    <row r="906" spans="1:11" x14ac:dyDescent="0.25">
      <c r="A906" s="4" t="s">
        <v>932</v>
      </c>
      <c r="B906" t="s">
        <v>11</v>
      </c>
      <c r="C906" t="s">
        <v>6</v>
      </c>
      <c r="D906" s="3">
        <f t="shared" si="98"/>
        <v>13</v>
      </c>
      <c r="E906" s="4">
        <f t="shared" si="99"/>
        <v>22</v>
      </c>
      <c r="F906" s="4">
        <f t="shared" si="100"/>
        <v>24</v>
      </c>
      <c r="G906" s="3">
        <f>IF(E906&gt;=20,2000,1900) + D906</f>
        <v>2013</v>
      </c>
      <c r="H906">
        <f t="shared" si="101"/>
        <v>2</v>
      </c>
      <c r="I906" s="4">
        <f t="shared" si="102"/>
        <v>24</v>
      </c>
      <c r="J906">
        <f t="shared" si="103"/>
        <v>20132224</v>
      </c>
      <c r="K906" t="str">
        <f t="shared" si="104"/>
        <v>24.22.2013</v>
      </c>
    </row>
    <row r="907" spans="1:11" x14ac:dyDescent="0.25">
      <c r="A907" s="4" t="s">
        <v>933</v>
      </c>
      <c r="B907" t="s">
        <v>8</v>
      </c>
      <c r="C907" t="s">
        <v>4</v>
      </c>
      <c r="D907" s="3">
        <f t="shared" si="98"/>
        <v>20</v>
      </c>
      <c r="E907" s="4">
        <f t="shared" si="99"/>
        <v>30</v>
      </c>
      <c r="F907" s="4">
        <f t="shared" si="100"/>
        <v>31</v>
      </c>
      <c r="G907" s="3">
        <f>IF(E907&gt;=20,2000,1900) + D907</f>
        <v>2020</v>
      </c>
      <c r="H907">
        <f t="shared" si="101"/>
        <v>10</v>
      </c>
      <c r="I907" s="4">
        <f t="shared" si="102"/>
        <v>31</v>
      </c>
      <c r="J907">
        <f t="shared" si="103"/>
        <v>20203031</v>
      </c>
      <c r="K907" t="str">
        <f t="shared" si="104"/>
        <v>31.30.2020</v>
      </c>
    </row>
    <row r="908" spans="1:11" x14ac:dyDescent="0.25">
      <c r="A908" s="4" t="s">
        <v>934</v>
      </c>
      <c r="B908" t="s">
        <v>16</v>
      </c>
      <c r="C908" t="s">
        <v>4</v>
      </c>
      <c r="D908" s="3">
        <f t="shared" si="98"/>
        <v>14</v>
      </c>
      <c r="E908" s="4">
        <f t="shared" si="99"/>
        <v>27</v>
      </c>
      <c r="F908" s="4">
        <f t="shared" si="100"/>
        <v>18</v>
      </c>
      <c r="G908" s="3">
        <f>IF(E908&gt;=20,2000,1900) + D908</f>
        <v>2014</v>
      </c>
      <c r="H908">
        <f t="shared" si="101"/>
        <v>7</v>
      </c>
      <c r="I908" s="4">
        <f t="shared" si="102"/>
        <v>18</v>
      </c>
      <c r="J908">
        <f t="shared" si="103"/>
        <v>20142718</v>
      </c>
      <c r="K908" t="str">
        <f t="shared" si="104"/>
        <v>18.27.2014</v>
      </c>
    </row>
    <row r="909" spans="1:11" x14ac:dyDescent="0.25">
      <c r="A909" s="4" t="s">
        <v>935</v>
      </c>
      <c r="B909" t="s">
        <v>7</v>
      </c>
      <c r="C909" t="s">
        <v>4</v>
      </c>
      <c r="D909" s="3">
        <f t="shared" si="98"/>
        <v>6</v>
      </c>
      <c r="E909" s="4">
        <f t="shared" si="99"/>
        <v>22</v>
      </c>
      <c r="F909" s="4">
        <f t="shared" si="100"/>
        <v>3</v>
      </c>
      <c r="G909" s="3">
        <f>IF(E909&gt;=20,2000,1900) + D909</f>
        <v>2006</v>
      </c>
      <c r="H909">
        <f t="shared" si="101"/>
        <v>2</v>
      </c>
      <c r="I909" s="4">
        <f t="shared" si="102"/>
        <v>3</v>
      </c>
      <c r="J909">
        <f t="shared" si="103"/>
        <v>20062203</v>
      </c>
      <c r="K909" t="str">
        <f t="shared" si="104"/>
        <v>03.22.2006</v>
      </c>
    </row>
    <row r="910" spans="1:11" x14ac:dyDescent="0.25">
      <c r="A910" s="4" t="s">
        <v>936</v>
      </c>
      <c r="B910" t="s">
        <v>13</v>
      </c>
      <c r="C910" t="s">
        <v>4</v>
      </c>
      <c r="D910" s="3">
        <f t="shared" si="98"/>
        <v>7</v>
      </c>
      <c r="E910" s="4">
        <f t="shared" si="99"/>
        <v>23</v>
      </c>
      <c r="F910" s="4">
        <f t="shared" si="100"/>
        <v>16</v>
      </c>
      <c r="G910" s="3">
        <f>IF(E910&gt;=20,2000,1900) + D910</f>
        <v>2007</v>
      </c>
      <c r="H910">
        <f t="shared" si="101"/>
        <v>3</v>
      </c>
      <c r="I910" s="4">
        <f t="shared" si="102"/>
        <v>16</v>
      </c>
      <c r="J910">
        <f t="shared" si="103"/>
        <v>20072316</v>
      </c>
      <c r="K910" t="str">
        <f t="shared" si="104"/>
        <v>16.23.2007</v>
      </c>
    </row>
    <row r="911" spans="1:11" x14ac:dyDescent="0.25">
      <c r="A911" s="4" t="s">
        <v>937</v>
      </c>
      <c r="B911" t="s">
        <v>16</v>
      </c>
      <c r="C911" t="s">
        <v>4</v>
      </c>
      <c r="D911" s="3">
        <f t="shared" si="98"/>
        <v>7</v>
      </c>
      <c r="E911" s="4">
        <f t="shared" si="99"/>
        <v>28</v>
      </c>
      <c r="F911" s="4">
        <f t="shared" si="100"/>
        <v>21</v>
      </c>
      <c r="G911" s="3">
        <f>IF(E911&gt;=20,2000,1900) + D911</f>
        <v>2007</v>
      </c>
      <c r="H911">
        <f t="shared" si="101"/>
        <v>8</v>
      </c>
      <c r="I911" s="4">
        <f t="shared" si="102"/>
        <v>21</v>
      </c>
      <c r="J911">
        <f t="shared" si="103"/>
        <v>20072821</v>
      </c>
      <c r="K911" t="str">
        <f t="shared" si="104"/>
        <v>21.28.2007</v>
      </c>
    </row>
    <row r="912" spans="1:11" x14ac:dyDescent="0.25">
      <c r="A912" s="4" t="s">
        <v>938</v>
      </c>
      <c r="B912" t="s">
        <v>15</v>
      </c>
      <c r="C912" t="s">
        <v>6</v>
      </c>
      <c r="D912" s="3">
        <f t="shared" si="98"/>
        <v>13</v>
      </c>
      <c r="E912" s="4">
        <f t="shared" si="99"/>
        <v>24</v>
      </c>
      <c r="F912" s="4">
        <f t="shared" si="100"/>
        <v>27</v>
      </c>
      <c r="G912" s="3">
        <f>IF(E912&gt;=20,2000,1900) + D912</f>
        <v>2013</v>
      </c>
      <c r="H912">
        <f t="shared" si="101"/>
        <v>4</v>
      </c>
      <c r="I912" s="4">
        <f t="shared" si="102"/>
        <v>27</v>
      </c>
      <c r="J912">
        <f t="shared" si="103"/>
        <v>20132427</v>
      </c>
      <c r="K912" t="str">
        <f t="shared" si="104"/>
        <v>27.24.2013</v>
      </c>
    </row>
    <row r="913" spans="1:11" x14ac:dyDescent="0.25">
      <c r="A913" s="4" t="s">
        <v>939</v>
      </c>
      <c r="B913" t="s">
        <v>19</v>
      </c>
      <c r="C913" t="s">
        <v>6</v>
      </c>
      <c r="D913" s="3">
        <f t="shared" si="98"/>
        <v>22</v>
      </c>
      <c r="E913" s="4">
        <f t="shared" si="99"/>
        <v>27</v>
      </c>
      <c r="F913" s="4">
        <f t="shared" si="100"/>
        <v>1</v>
      </c>
      <c r="G913" s="3">
        <f>IF(E913&gt;=20,2000,1900) + D913</f>
        <v>2022</v>
      </c>
      <c r="H913">
        <f t="shared" si="101"/>
        <v>7</v>
      </c>
      <c r="I913" s="4">
        <f t="shared" si="102"/>
        <v>1</v>
      </c>
      <c r="J913">
        <f t="shared" si="103"/>
        <v>20222701</v>
      </c>
      <c r="K913" t="str">
        <f t="shared" si="104"/>
        <v>01.27.2022</v>
      </c>
    </row>
    <row r="914" spans="1:11" x14ac:dyDescent="0.25">
      <c r="A914" s="4" t="s">
        <v>940</v>
      </c>
      <c r="B914" t="s">
        <v>3</v>
      </c>
      <c r="C914" t="s">
        <v>6</v>
      </c>
      <c r="D914" s="3">
        <f t="shared" si="98"/>
        <v>15</v>
      </c>
      <c r="E914" s="4">
        <f t="shared" si="99"/>
        <v>22</v>
      </c>
      <c r="F914" s="4">
        <f t="shared" si="100"/>
        <v>3</v>
      </c>
      <c r="G914" s="3">
        <f>IF(E914&gt;=20,2000,1900) + D914</f>
        <v>2015</v>
      </c>
      <c r="H914">
        <f t="shared" si="101"/>
        <v>2</v>
      </c>
      <c r="I914" s="4">
        <f t="shared" si="102"/>
        <v>3</v>
      </c>
      <c r="J914">
        <f t="shared" si="103"/>
        <v>20152203</v>
      </c>
      <c r="K914" t="str">
        <f t="shared" si="104"/>
        <v>03.22.2015</v>
      </c>
    </row>
    <row r="915" spans="1:11" x14ac:dyDescent="0.25">
      <c r="A915" s="4" t="s">
        <v>941</v>
      </c>
      <c r="B915" t="s">
        <v>14</v>
      </c>
      <c r="C915" t="s">
        <v>6</v>
      </c>
      <c r="D915" s="3">
        <f t="shared" si="98"/>
        <v>16</v>
      </c>
      <c r="E915" s="4">
        <f t="shared" si="99"/>
        <v>32</v>
      </c>
      <c r="F915" s="4">
        <f t="shared" si="100"/>
        <v>30</v>
      </c>
      <c r="G915" s="3">
        <f>IF(E915&gt;=20,2000,1900) + D915</f>
        <v>2016</v>
      </c>
      <c r="H915">
        <f t="shared" si="101"/>
        <v>12</v>
      </c>
      <c r="I915" s="4">
        <f t="shared" si="102"/>
        <v>30</v>
      </c>
      <c r="J915">
        <f t="shared" si="103"/>
        <v>20163230</v>
      </c>
      <c r="K915" t="str">
        <f t="shared" si="104"/>
        <v>30.32.2016</v>
      </c>
    </row>
    <row r="916" spans="1:11" x14ac:dyDescent="0.25">
      <c r="A916" s="4" t="s">
        <v>942</v>
      </c>
      <c r="B916" t="s">
        <v>14</v>
      </c>
      <c r="C916" t="s">
        <v>4</v>
      </c>
      <c r="D916" s="3">
        <f t="shared" si="98"/>
        <v>17</v>
      </c>
      <c r="E916" s="4">
        <f t="shared" si="99"/>
        <v>21</v>
      </c>
      <c r="F916" s="4">
        <f t="shared" si="100"/>
        <v>29</v>
      </c>
      <c r="G916" s="3">
        <f>IF(E916&gt;=20,2000,1900) + D916</f>
        <v>2017</v>
      </c>
      <c r="H916">
        <f t="shared" si="101"/>
        <v>1</v>
      </c>
      <c r="I916" s="4">
        <f t="shared" si="102"/>
        <v>29</v>
      </c>
      <c r="J916">
        <f t="shared" si="103"/>
        <v>20172129</v>
      </c>
      <c r="K916" t="str">
        <f t="shared" si="104"/>
        <v>29.21.2017</v>
      </c>
    </row>
    <row r="917" spans="1:11" x14ac:dyDescent="0.25">
      <c r="A917" s="4" t="s">
        <v>943</v>
      </c>
      <c r="B917" t="s">
        <v>7</v>
      </c>
      <c r="C917" t="s">
        <v>6</v>
      </c>
      <c r="D917" s="3">
        <f t="shared" si="98"/>
        <v>6</v>
      </c>
      <c r="E917" s="4">
        <f t="shared" si="99"/>
        <v>28</v>
      </c>
      <c r="F917" s="4">
        <f t="shared" si="100"/>
        <v>9</v>
      </c>
      <c r="G917" s="3">
        <f>IF(E917&gt;=20,2000,1900) + D917</f>
        <v>2006</v>
      </c>
      <c r="H917">
        <f t="shared" si="101"/>
        <v>8</v>
      </c>
      <c r="I917" s="4">
        <f t="shared" si="102"/>
        <v>9</v>
      </c>
      <c r="J917">
        <f t="shared" si="103"/>
        <v>20062809</v>
      </c>
      <c r="K917" t="str">
        <f t="shared" si="104"/>
        <v>09.28.2006</v>
      </c>
    </row>
    <row r="918" spans="1:11" x14ac:dyDescent="0.25">
      <c r="A918" s="4" t="s">
        <v>944</v>
      </c>
      <c r="B918" t="s">
        <v>15</v>
      </c>
      <c r="C918" t="s">
        <v>6</v>
      </c>
      <c r="D918" s="3">
        <f t="shared" si="98"/>
        <v>20</v>
      </c>
      <c r="E918" s="4">
        <f t="shared" si="99"/>
        <v>30</v>
      </c>
      <c r="F918" s="4">
        <f t="shared" si="100"/>
        <v>12</v>
      </c>
      <c r="G918" s="3">
        <f>IF(E918&gt;=20,2000,1900) + D918</f>
        <v>2020</v>
      </c>
      <c r="H918">
        <f t="shared" si="101"/>
        <v>10</v>
      </c>
      <c r="I918" s="4">
        <f t="shared" si="102"/>
        <v>12</v>
      </c>
      <c r="J918">
        <f t="shared" si="103"/>
        <v>20203012</v>
      </c>
      <c r="K918" t="str">
        <f t="shared" si="104"/>
        <v>12.30.2020</v>
      </c>
    </row>
    <row r="919" spans="1:11" x14ac:dyDescent="0.25">
      <c r="A919" s="4" t="s">
        <v>945</v>
      </c>
      <c r="B919" t="s">
        <v>3</v>
      </c>
      <c r="C919" t="s">
        <v>6</v>
      </c>
      <c r="D919" s="3">
        <f t="shared" si="98"/>
        <v>1</v>
      </c>
      <c r="E919" s="4">
        <f t="shared" si="99"/>
        <v>30</v>
      </c>
      <c r="F919" s="4">
        <f t="shared" si="100"/>
        <v>8</v>
      </c>
      <c r="G919" s="3">
        <f>IF(E919&gt;=20,2000,1900) + D919</f>
        <v>2001</v>
      </c>
      <c r="H919">
        <f t="shared" si="101"/>
        <v>10</v>
      </c>
      <c r="I919" s="4">
        <f t="shared" si="102"/>
        <v>8</v>
      </c>
      <c r="J919">
        <f t="shared" si="103"/>
        <v>20013008</v>
      </c>
      <c r="K919" t="str">
        <f t="shared" si="104"/>
        <v>08.30.2001</v>
      </c>
    </row>
    <row r="920" spans="1:11" x14ac:dyDescent="0.25">
      <c r="A920" s="4" t="s">
        <v>946</v>
      </c>
      <c r="B920" t="s">
        <v>3</v>
      </c>
      <c r="C920" t="s">
        <v>6</v>
      </c>
      <c r="D920" s="3">
        <f t="shared" si="98"/>
        <v>21</v>
      </c>
      <c r="E920" s="4">
        <f t="shared" si="99"/>
        <v>29</v>
      </c>
      <c r="F920" s="4">
        <f t="shared" si="100"/>
        <v>28</v>
      </c>
      <c r="G920" s="3">
        <f>IF(E920&gt;=20,2000,1900) + D920</f>
        <v>2021</v>
      </c>
      <c r="H920">
        <f t="shared" si="101"/>
        <v>9</v>
      </c>
      <c r="I920" s="4">
        <f t="shared" si="102"/>
        <v>28</v>
      </c>
      <c r="J920">
        <f t="shared" si="103"/>
        <v>20212928</v>
      </c>
      <c r="K920" t="str">
        <f t="shared" si="104"/>
        <v>28.29.2021</v>
      </c>
    </row>
    <row r="921" spans="1:11" x14ac:dyDescent="0.25">
      <c r="A921" s="4" t="s">
        <v>947</v>
      </c>
      <c r="B921" t="s">
        <v>17</v>
      </c>
      <c r="C921" t="s">
        <v>6</v>
      </c>
      <c r="D921" s="3">
        <f t="shared" si="98"/>
        <v>9</v>
      </c>
      <c r="E921" s="4">
        <f t="shared" si="99"/>
        <v>31</v>
      </c>
      <c r="F921" s="4">
        <f t="shared" si="100"/>
        <v>9</v>
      </c>
      <c r="G921" s="3">
        <f>IF(E921&gt;=20,2000,1900) + D921</f>
        <v>2009</v>
      </c>
      <c r="H921">
        <f t="shared" si="101"/>
        <v>11</v>
      </c>
      <c r="I921" s="4">
        <f t="shared" si="102"/>
        <v>9</v>
      </c>
      <c r="J921">
        <f t="shared" si="103"/>
        <v>20093109</v>
      </c>
      <c r="K921" t="str">
        <f t="shared" si="104"/>
        <v>09.31.2009</v>
      </c>
    </row>
    <row r="922" spans="1:11" x14ac:dyDescent="0.25">
      <c r="A922" s="4" t="s">
        <v>948</v>
      </c>
      <c r="B922" t="s">
        <v>11</v>
      </c>
      <c r="C922" t="s">
        <v>6</v>
      </c>
      <c r="D922" s="3">
        <f t="shared" si="98"/>
        <v>0</v>
      </c>
      <c r="E922" s="4">
        <f t="shared" si="99"/>
        <v>30</v>
      </c>
      <c r="F922" s="4">
        <f t="shared" si="100"/>
        <v>19</v>
      </c>
      <c r="G922" s="3">
        <f>IF(E922&gt;=20,2000,1900) + D922</f>
        <v>2000</v>
      </c>
      <c r="H922">
        <f t="shared" si="101"/>
        <v>10</v>
      </c>
      <c r="I922" s="4">
        <f t="shared" si="102"/>
        <v>19</v>
      </c>
      <c r="J922">
        <f t="shared" si="103"/>
        <v>20003019</v>
      </c>
      <c r="K922" t="str">
        <f t="shared" si="104"/>
        <v>19.30.2000</v>
      </c>
    </row>
    <row r="923" spans="1:11" x14ac:dyDescent="0.25">
      <c r="A923" s="4" t="s">
        <v>949</v>
      </c>
      <c r="B923" t="s">
        <v>15</v>
      </c>
      <c r="C923" t="s">
        <v>6</v>
      </c>
      <c r="D923" s="3">
        <f t="shared" si="98"/>
        <v>1</v>
      </c>
      <c r="E923" s="4">
        <f t="shared" si="99"/>
        <v>24</v>
      </c>
      <c r="F923" s="4">
        <f t="shared" si="100"/>
        <v>13</v>
      </c>
      <c r="G923" s="3">
        <f>IF(E923&gt;=20,2000,1900) + D923</f>
        <v>2001</v>
      </c>
      <c r="H923">
        <f t="shared" si="101"/>
        <v>4</v>
      </c>
      <c r="I923" s="4">
        <f t="shared" si="102"/>
        <v>13</v>
      </c>
      <c r="J923">
        <f t="shared" si="103"/>
        <v>20012413</v>
      </c>
      <c r="K923" t="str">
        <f t="shared" si="104"/>
        <v>13.24.2001</v>
      </c>
    </row>
    <row r="924" spans="1:11" x14ac:dyDescent="0.25">
      <c r="A924" s="4" t="s">
        <v>950</v>
      </c>
      <c r="B924" t="s">
        <v>7</v>
      </c>
      <c r="C924" t="s">
        <v>4</v>
      </c>
      <c r="D924" s="3">
        <f t="shared" si="98"/>
        <v>20</v>
      </c>
      <c r="E924" s="4">
        <f t="shared" si="99"/>
        <v>24</v>
      </c>
      <c r="F924" s="4">
        <f t="shared" si="100"/>
        <v>22</v>
      </c>
      <c r="G924" s="3">
        <f>IF(E924&gt;=20,2000,1900) + D924</f>
        <v>2020</v>
      </c>
      <c r="H924">
        <f t="shared" si="101"/>
        <v>4</v>
      </c>
      <c r="I924" s="4">
        <f t="shared" si="102"/>
        <v>22</v>
      </c>
      <c r="J924">
        <f t="shared" si="103"/>
        <v>20202422</v>
      </c>
      <c r="K924" t="str">
        <f t="shared" si="104"/>
        <v>22.24.2020</v>
      </c>
    </row>
    <row r="925" spans="1:11" x14ac:dyDescent="0.25">
      <c r="A925" s="4" t="s">
        <v>951</v>
      </c>
      <c r="B925" t="s">
        <v>7</v>
      </c>
      <c r="C925" t="s">
        <v>4</v>
      </c>
      <c r="D925" s="3">
        <f t="shared" si="98"/>
        <v>0</v>
      </c>
      <c r="E925" s="4">
        <f t="shared" si="99"/>
        <v>23</v>
      </c>
      <c r="F925" s="4">
        <f t="shared" si="100"/>
        <v>11</v>
      </c>
      <c r="G925" s="3">
        <f>IF(E925&gt;=20,2000,1900) + D925</f>
        <v>2000</v>
      </c>
      <c r="H925">
        <f t="shared" si="101"/>
        <v>3</v>
      </c>
      <c r="I925" s="4">
        <f t="shared" si="102"/>
        <v>11</v>
      </c>
      <c r="J925">
        <f t="shared" si="103"/>
        <v>20002311</v>
      </c>
      <c r="K925" t="str">
        <f t="shared" si="104"/>
        <v>11.23.2000</v>
      </c>
    </row>
    <row r="926" spans="1:11" x14ac:dyDescent="0.25">
      <c r="A926" s="4" t="s">
        <v>952</v>
      </c>
      <c r="B926" t="s">
        <v>15</v>
      </c>
      <c r="C926" t="s">
        <v>4</v>
      </c>
      <c r="D926" s="3">
        <f t="shared" si="98"/>
        <v>15</v>
      </c>
      <c r="E926" s="4">
        <f t="shared" si="99"/>
        <v>27</v>
      </c>
      <c r="F926" s="4">
        <f t="shared" si="100"/>
        <v>26</v>
      </c>
      <c r="G926" s="3">
        <f>IF(E926&gt;=20,2000,1900) + D926</f>
        <v>2015</v>
      </c>
      <c r="H926">
        <f t="shared" si="101"/>
        <v>7</v>
      </c>
      <c r="I926" s="4">
        <f t="shared" si="102"/>
        <v>26</v>
      </c>
      <c r="J926">
        <f t="shared" si="103"/>
        <v>20152726</v>
      </c>
      <c r="K926" t="str">
        <f t="shared" si="104"/>
        <v>26.27.2015</v>
      </c>
    </row>
    <row r="927" spans="1:11" x14ac:dyDescent="0.25">
      <c r="A927" s="4" t="s">
        <v>953</v>
      </c>
      <c r="B927" t="s">
        <v>3</v>
      </c>
      <c r="C927" t="s">
        <v>4</v>
      </c>
      <c r="D927" s="3">
        <f t="shared" si="98"/>
        <v>22</v>
      </c>
      <c r="E927" s="4">
        <f t="shared" si="99"/>
        <v>30</v>
      </c>
      <c r="F927" s="4">
        <f t="shared" si="100"/>
        <v>23</v>
      </c>
      <c r="G927" s="3">
        <f>IF(E927&gt;=20,2000,1900) + D927</f>
        <v>2022</v>
      </c>
      <c r="H927">
        <f t="shared" si="101"/>
        <v>10</v>
      </c>
      <c r="I927" s="4">
        <f t="shared" si="102"/>
        <v>23</v>
      </c>
      <c r="J927">
        <f t="shared" si="103"/>
        <v>20223023</v>
      </c>
      <c r="K927" t="str">
        <f t="shared" si="104"/>
        <v>23.30.2022</v>
      </c>
    </row>
    <row r="928" spans="1:11" x14ac:dyDescent="0.25">
      <c r="A928" s="4" t="s">
        <v>954</v>
      </c>
      <c r="B928" t="s">
        <v>9</v>
      </c>
      <c r="C928" t="s">
        <v>6</v>
      </c>
      <c r="D928" s="3">
        <f t="shared" si="98"/>
        <v>17</v>
      </c>
      <c r="E928" s="4">
        <f t="shared" si="99"/>
        <v>24</v>
      </c>
      <c r="F928" s="4">
        <f t="shared" si="100"/>
        <v>15</v>
      </c>
      <c r="G928" s="3">
        <f>IF(E928&gt;=20,2000,1900) + D928</f>
        <v>2017</v>
      </c>
      <c r="H928">
        <f t="shared" si="101"/>
        <v>4</v>
      </c>
      <c r="I928" s="4">
        <f t="shared" si="102"/>
        <v>15</v>
      </c>
      <c r="J928">
        <f t="shared" si="103"/>
        <v>20172415</v>
      </c>
      <c r="K928" t="str">
        <f t="shared" si="104"/>
        <v>15.24.2017</v>
      </c>
    </row>
    <row r="929" spans="1:11" x14ac:dyDescent="0.25">
      <c r="A929" s="4" t="s">
        <v>955</v>
      </c>
      <c r="B929" t="s">
        <v>9</v>
      </c>
      <c r="C929" t="s">
        <v>6</v>
      </c>
      <c r="D929" s="3">
        <f t="shared" si="98"/>
        <v>11</v>
      </c>
      <c r="E929" s="4">
        <f t="shared" si="99"/>
        <v>27</v>
      </c>
      <c r="F929" s="4">
        <f t="shared" si="100"/>
        <v>29</v>
      </c>
      <c r="G929" s="3">
        <f>IF(E929&gt;=20,2000,1900) + D929</f>
        <v>2011</v>
      </c>
      <c r="H929">
        <f t="shared" si="101"/>
        <v>7</v>
      </c>
      <c r="I929" s="4">
        <f t="shared" si="102"/>
        <v>29</v>
      </c>
      <c r="J929">
        <f t="shared" si="103"/>
        <v>20112729</v>
      </c>
      <c r="K929" t="str">
        <f t="shared" si="104"/>
        <v>29.27.2011</v>
      </c>
    </row>
    <row r="930" spans="1:11" x14ac:dyDescent="0.25">
      <c r="A930" s="4" t="s">
        <v>956</v>
      </c>
      <c r="B930" t="s">
        <v>14</v>
      </c>
      <c r="C930" t="s">
        <v>4</v>
      </c>
      <c r="D930" s="3">
        <f t="shared" si="98"/>
        <v>15</v>
      </c>
      <c r="E930" s="4">
        <f t="shared" si="99"/>
        <v>32</v>
      </c>
      <c r="F930" s="4">
        <f t="shared" si="100"/>
        <v>31</v>
      </c>
      <c r="G930" s="3">
        <f>IF(E930&gt;=20,2000,1900) + D930</f>
        <v>2015</v>
      </c>
      <c r="H930">
        <f t="shared" si="101"/>
        <v>12</v>
      </c>
      <c r="I930" s="4">
        <f t="shared" si="102"/>
        <v>31</v>
      </c>
      <c r="J930">
        <f t="shared" si="103"/>
        <v>20153231</v>
      </c>
      <c r="K930" t="str">
        <f t="shared" si="104"/>
        <v>31.32.2015</v>
      </c>
    </row>
    <row r="931" spans="1:11" x14ac:dyDescent="0.25">
      <c r="A931" s="4" t="s">
        <v>957</v>
      </c>
      <c r="B931" t="s">
        <v>5</v>
      </c>
      <c r="C931" t="s">
        <v>4</v>
      </c>
      <c r="D931" s="3">
        <f t="shared" si="98"/>
        <v>9</v>
      </c>
      <c r="E931" s="4">
        <f t="shared" si="99"/>
        <v>26</v>
      </c>
      <c r="F931" s="4">
        <f t="shared" si="100"/>
        <v>22</v>
      </c>
      <c r="G931" s="3">
        <f>IF(E931&gt;=20,2000,1900) + D931</f>
        <v>2009</v>
      </c>
      <c r="H931">
        <f t="shared" si="101"/>
        <v>6</v>
      </c>
      <c r="I931" s="4">
        <f t="shared" si="102"/>
        <v>22</v>
      </c>
      <c r="J931">
        <f t="shared" si="103"/>
        <v>20092622</v>
      </c>
      <c r="K931" t="str">
        <f t="shared" si="104"/>
        <v>22.26.2009</v>
      </c>
    </row>
    <row r="932" spans="1:11" x14ac:dyDescent="0.25">
      <c r="A932" s="4" t="s">
        <v>958</v>
      </c>
      <c r="B932" t="s">
        <v>18</v>
      </c>
      <c r="C932" t="s">
        <v>4</v>
      </c>
      <c r="D932" s="3">
        <f t="shared" si="98"/>
        <v>21</v>
      </c>
      <c r="E932" s="4">
        <f t="shared" si="99"/>
        <v>22</v>
      </c>
      <c r="F932" s="4">
        <f t="shared" si="100"/>
        <v>6</v>
      </c>
      <c r="G932" s="3">
        <f>IF(E932&gt;=20,2000,1900) + D932</f>
        <v>2021</v>
      </c>
      <c r="H932">
        <f t="shared" si="101"/>
        <v>2</v>
      </c>
      <c r="I932" s="4">
        <f t="shared" si="102"/>
        <v>6</v>
      </c>
      <c r="J932">
        <f t="shared" si="103"/>
        <v>20212206</v>
      </c>
      <c r="K932" t="str">
        <f t="shared" si="104"/>
        <v>06.22.2021</v>
      </c>
    </row>
    <row r="933" spans="1:11" x14ac:dyDescent="0.25">
      <c r="A933" s="4" t="s">
        <v>959</v>
      </c>
      <c r="B933" t="s">
        <v>14</v>
      </c>
      <c r="C933" t="s">
        <v>4</v>
      </c>
      <c r="D933" s="3">
        <f t="shared" si="98"/>
        <v>8</v>
      </c>
      <c r="E933" s="4">
        <f t="shared" si="99"/>
        <v>32</v>
      </c>
      <c r="F933" s="4">
        <f t="shared" si="100"/>
        <v>16</v>
      </c>
      <c r="G933" s="3">
        <f>IF(E933&gt;=20,2000,1900) + D933</f>
        <v>2008</v>
      </c>
      <c r="H933">
        <f t="shared" si="101"/>
        <v>12</v>
      </c>
      <c r="I933" s="4">
        <f t="shared" si="102"/>
        <v>16</v>
      </c>
      <c r="J933">
        <f t="shared" si="103"/>
        <v>20083216</v>
      </c>
      <c r="K933" t="str">
        <f t="shared" si="104"/>
        <v>16.32.2008</v>
      </c>
    </row>
    <row r="934" spans="1:11" x14ac:dyDescent="0.25">
      <c r="A934" s="4" t="s">
        <v>960</v>
      </c>
      <c r="B934" t="s">
        <v>7</v>
      </c>
      <c r="C934" t="s">
        <v>4</v>
      </c>
      <c r="D934" s="3">
        <f t="shared" si="98"/>
        <v>4</v>
      </c>
      <c r="E934" s="4">
        <f t="shared" si="99"/>
        <v>32</v>
      </c>
      <c r="F934" s="4">
        <f t="shared" si="100"/>
        <v>21</v>
      </c>
      <c r="G934" s="3">
        <f>IF(E934&gt;=20,2000,1900) + D934</f>
        <v>2004</v>
      </c>
      <c r="H934">
        <f t="shared" si="101"/>
        <v>12</v>
      </c>
      <c r="I934" s="4">
        <f t="shared" si="102"/>
        <v>21</v>
      </c>
      <c r="J934">
        <f t="shared" si="103"/>
        <v>20043221</v>
      </c>
      <c r="K934" t="str">
        <f t="shared" si="104"/>
        <v>21.32.2004</v>
      </c>
    </row>
    <row r="935" spans="1:11" x14ac:dyDescent="0.25">
      <c r="A935" s="4" t="s">
        <v>961</v>
      </c>
      <c r="B935" t="s">
        <v>5</v>
      </c>
      <c r="C935" t="s">
        <v>4</v>
      </c>
      <c r="D935" s="3">
        <f t="shared" si="98"/>
        <v>10</v>
      </c>
      <c r="E935" s="4">
        <f t="shared" si="99"/>
        <v>30</v>
      </c>
      <c r="F935" s="4">
        <f t="shared" si="100"/>
        <v>17</v>
      </c>
      <c r="G935" s="3">
        <f>IF(E935&gt;=20,2000,1900) + D935</f>
        <v>2010</v>
      </c>
      <c r="H935">
        <f t="shared" si="101"/>
        <v>10</v>
      </c>
      <c r="I935" s="4">
        <f t="shared" si="102"/>
        <v>17</v>
      </c>
      <c r="J935">
        <f t="shared" si="103"/>
        <v>20103017</v>
      </c>
      <c r="K935" t="str">
        <f t="shared" si="104"/>
        <v>17.30.2010</v>
      </c>
    </row>
    <row r="936" spans="1:11" x14ac:dyDescent="0.25">
      <c r="A936" s="4" t="s">
        <v>962</v>
      </c>
      <c r="B936" t="s">
        <v>17</v>
      </c>
      <c r="C936" t="s">
        <v>6</v>
      </c>
      <c r="D936" s="3">
        <f t="shared" si="98"/>
        <v>9</v>
      </c>
      <c r="E936" s="4">
        <f t="shared" si="99"/>
        <v>27</v>
      </c>
      <c r="F936" s="4">
        <f t="shared" si="100"/>
        <v>16</v>
      </c>
      <c r="G936" s="3">
        <f>IF(E936&gt;=20,2000,1900) + D936</f>
        <v>2009</v>
      </c>
      <c r="H936">
        <f t="shared" si="101"/>
        <v>7</v>
      </c>
      <c r="I936" s="4">
        <f t="shared" si="102"/>
        <v>16</v>
      </c>
      <c r="J936">
        <f t="shared" si="103"/>
        <v>20092716</v>
      </c>
      <c r="K936" t="str">
        <f t="shared" si="104"/>
        <v>16.27.2009</v>
      </c>
    </row>
    <row r="937" spans="1:11" x14ac:dyDescent="0.25">
      <c r="A937" s="4" t="s">
        <v>963</v>
      </c>
      <c r="B937" t="s">
        <v>15</v>
      </c>
      <c r="C937" t="s">
        <v>6</v>
      </c>
      <c r="D937" s="3">
        <f t="shared" si="98"/>
        <v>18</v>
      </c>
      <c r="E937" s="4">
        <f t="shared" si="99"/>
        <v>32</v>
      </c>
      <c r="F937" s="4">
        <f t="shared" si="100"/>
        <v>1</v>
      </c>
      <c r="G937" s="3">
        <f>IF(E937&gt;=20,2000,1900) + D937</f>
        <v>2018</v>
      </c>
      <c r="H937">
        <f t="shared" si="101"/>
        <v>12</v>
      </c>
      <c r="I937" s="4">
        <f t="shared" si="102"/>
        <v>1</v>
      </c>
      <c r="J937">
        <f t="shared" si="103"/>
        <v>20183201</v>
      </c>
      <c r="K937" t="str">
        <f t="shared" si="104"/>
        <v>01.32.2018</v>
      </c>
    </row>
    <row r="938" spans="1:11" x14ac:dyDescent="0.25">
      <c r="A938" s="4" t="s">
        <v>964</v>
      </c>
      <c r="B938" t="s">
        <v>5</v>
      </c>
      <c r="C938" t="s">
        <v>4</v>
      </c>
      <c r="D938" s="3">
        <f t="shared" si="98"/>
        <v>10</v>
      </c>
      <c r="E938" s="4">
        <f t="shared" si="99"/>
        <v>26</v>
      </c>
      <c r="F938" s="4">
        <f t="shared" si="100"/>
        <v>22</v>
      </c>
      <c r="G938" s="3">
        <f>IF(E938&gt;=20,2000,1900) + D938</f>
        <v>2010</v>
      </c>
      <c r="H938">
        <f t="shared" si="101"/>
        <v>6</v>
      </c>
      <c r="I938" s="4">
        <f t="shared" si="102"/>
        <v>22</v>
      </c>
      <c r="J938">
        <f t="shared" si="103"/>
        <v>20102622</v>
      </c>
      <c r="K938" t="str">
        <f t="shared" si="104"/>
        <v>22.26.2010</v>
      </c>
    </row>
    <row r="939" spans="1:11" x14ac:dyDescent="0.25">
      <c r="A939" s="4" t="s">
        <v>965</v>
      </c>
      <c r="B939" t="s">
        <v>7</v>
      </c>
      <c r="C939" t="s">
        <v>6</v>
      </c>
      <c r="D939" s="3">
        <f t="shared" si="98"/>
        <v>21</v>
      </c>
      <c r="E939" s="4">
        <f t="shared" si="99"/>
        <v>30</v>
      </c>
      <c r="F939" s="4">
        <f t="shared" si="100"/>
        <v>31</v>
      </c>
      <c r="G939" s="3">
        <f>IF(E939&gt;=20,2000,1900) + D939</f>
        <v>2021</v>
      </c>
      <c r="H939">
        <f t="shared" si="101"/>
        <v>10</v>
      </c>
      <c r="I939" s="4">
        <f t="shared" si="102"/>
        <v>31</v>
      </c>
      <c r="J939">
        <f t="shared" si="103"/>
        <v>20213031</v>
      </c>
      <c r="K939" t="str">
        <f t="shared" si="104"/>
        <v>31.30.2021</v>
      </c>
    </row>
    <row r="940" spans="1:11" x14ac:dyDescent="0.25">
      <c r="A940" s="4" t="s">
        <v>966</v>
      </c>
      <c r="B940" t="s">
        <v>20</v>
      </c>
      <c r="C940" t="s">
        <v>4</v>
      </c>
      <c r="D940" s="3">
        <f t="shared" si="98"/>
        <v>10</v>
      </c>
      <c r="E940" s="4">
        <f t="shared" si="99"/>
        <v>29</v>
      </c>
      <c r="F940" s="4">
        <f t="shared" si="100"/>
        <v>30</v>
      </c>
      <c r="G940" s="3">
        <f>IF(E940&gt;=20,2000,1900) + D940</f>
        <v>2010</v>
      </c>
      <c r="H940">
        <f t="shared" si="101"/>
        <v>9</v>
      </c>
      <c r="I940" s="4">
        <f t="shared" si="102"/>
        <v>30</v>
      </c>
      <c r="J940">
        <f t="shared" si="103"/>
        <v>20102930</v>
      </c>
      <c r="K940" t="str">
        <f t="shared" si="104"/>
        <v>30.29.2010</v>
      </c>
    </row>
    <row r="941" spans="1:11" x14ac:dyDescent="0.25">
      <c r="A941" s="4" t="s">
        <v>967</v>
      </c>
      <c r="B941" t="s">
        <v>18</v>
      </c>
      <c r="C941" t="s">
        <v>4</v>
      </c>
      <c r="D941" s="3">
        <f t="shared" si="98"/>
        <v>9</v>
      </c>
      <c r="E941" s="4">
        <f t="shared" si="99"/>
        <v>21</v>
      </c>
      <c r="F941" s="4">
        <f t="shared" si="100"/>
        <v>1</v>
      </c>
      <c r="G941" s="3">
        <f>IF(E941&gt;=20,2000,1900) + D941</f>
        <v>2009</v>
      </c>
      <c r="H941">
        <f t="shared" si="101"/>
        <v>1</v>
      </c>
      <c r="I941" s="4">
        <f t="shared" si="102"/>
        <v>1</v>
      </c>
      <c r="J941">
        <f t="shared" si="103"/>
        <v>20092101</v>
      </c>
      <c r="K941" t="str">
        <f t="shared" si="104"/>
        <v>01.21.2009</v>
      </c>
    </row>
    <row r="942" spans="1:11" x14ac:dyDescent="0.25">
      <c r="A942" s="4" t="s">
        <v>968</v>
      </c>
      <c r="B942" t="s">
        <v>11</v>
      </c>
      <c r="C942" t="s">
        <v>6</v>
      </c>
      <c r="D942" s="3">
        <f t="shared" si="98"/>
        <v>20</v>
      </c>
      <c r="E942" s="4">
        <f t="shared" si="99"/>
        <v>26</v>
      </c>
      <c r="F942" s="4">
        <f t="shared" si="100"/>
        <v>4</v>
      </c>
      <c r="G942" s="3">
        <f>IF(E942&gt;=20,2000,1900) + D942</f>
        <v>2020</v>
      </c>
      <c r="H942">
        <f t="shared" si="101"/>
        <v>6</v>
      </c>
      <c r="I942" s="4">
        <f t="shared" si="102"/>
        <v>4</v>
      </c>
      <c r="J942">
        <f t="shared" si="103"/>
        <v>20202604</v>
      </c>
      <c r="K942" t="str">
        <f t="shared" si="104"/>
        <v>04.26.2020</v>
      </c>
    </row>
    <row r="943" spans="1:11" x14ac:dyDescent="0.25">
      <c r="A943" s="4" t="s">
        <v>969</v>
      </c>
      <c r="B943" t="s">
        <v>11</v>
      </c>
      <c r="C943" t="s">
        <v>4</v>
      </c>
      <c r="D943" s="3">
        <f t="shared" si="98"/>
        <v>17</v>
      </c>
      <c r="E943" s="4">
        <f t="shared" si="99"/>
        <v>30</v>
      </c>
      <c r="F943" s="4">
        <f t="shared" si="100"/>
        <v>22</v>
      </c>
      <c r="G943" s="3">
        <f>IF(E943&gt;=20,2000,1900) + D943</f>
        <v>2017</v>
      </c>
      <c r="H943">
        <f t="shared" si="101"/>
        <v>10</v>
      </c>
      <c r="I943" s="4">
        <f t="shared" si="102"/>
        <v>22</v>
      </c>
      <c r="J943">
        <f t="shared" si="103"/>
        <v>20173022</v>
      </c>
      <c r="K943" t="str">
        <f t="shared" si="104"/>
        <v>22.30.2017</v>
      </c>
    </row>
    <row r="944" spans="1:11" x14ac:dyDescent="0.25">
      <c r="A944" s="4" t="s">
        <v>970</v>
      </c>
      <c r="B944" t="s">
        <v>16</v>
      </c>
      <c r="C944" t="s">
        <v>4</v>
      </c>
      <c r="D944" s="3">
        <f t="shared" si="98"/>
        <v>2</v>
      </c>
      <c r="E944" s="4">
        <f t="shared" si="99"/>
        <v>32</v>
      </c>
      <c r="F944" s="4">
        <f t="shared" si="100"/>
        <v>2</v>
      </c>
      <c r="G944" s="3">
        <f>IF(E944&gt;=20,2000,1900) + D944</f>
        <v>2002</v>
      </c>
      <c r="H944">
        <f t="shared" si="101"/>
        <v>12</v>
      </c>
      <c r="I944" s="4">
        <f t="shared" si="102"/>
        <v>2</v>
      </c>
      <c r="J944">
        <f t="shared" si="103"/>
        <v>20023202</v>
      </c>
      <c r="K944" t="str">
        <f t="shared" si="104"/>
        <v>02.32.2002</v>
      </c>
    </row>
    <row r="945" spans="1:11" x14ac:dyDescent="0.25">
      <c r="A945" s="4" t="s">
        <v>971</v>
      </c>
      <c r="B945" t="s">
        <v>11</v>
      </c>
      <c r="C945" t="s">
        <v>6</v>
      </c>
      <c r="D945" s="3">
        <f t="shared" si="98"/>
        <v>18</v>
      </c>
      <c r="E945" s="4">
        <f t="shared" si="99"/>
        <v>26</v>
      </c>
      <c r="F945" s="4">
        <f t="shared" si="100"/>
        <v>3</v>
      </c>
      <c r="G945" s="3">
        <f>IF(E945&gt;=20,2000,1900) + D945</f>
        <v>2018</v>
      </c>
      <c r="H945">
        <f t="shared" si="101"/>
        <v>6</v>
      </c>
      <c r="I945" s="4">
        <f t="shared" si="102"/>
        <v>3</v>
      </c>
      <c r="J945">
        <f t="shared" si="103"/>
        <v>20182603</v>
      </c>
      <c r="K945" t="str">
        <f t="shared" si="104"/>
        <v>03.26.2018</v>
      </c>
    </row>
    <row r="946" spans="1:11" x14ac:dyDescent="0.25">
      <c r="A946" s="4" t="s">
        <v>972</v>
      </c>
      <c r="B946" t="s">
        <v>11</v>
      </c>
      <c r="C946" t="s">
        <v>4</v>
      </c>
      <c r="D946" s="3">
        <f t="shared" si="98"/>
        <v>4</v>
      </c>
      <c r="E946" s="4">
        <f t="shared" si="99"/>
        <v>22</v>
      </c>
      <c r="F946" s="4">
        <f t="shared" si="100"/>
        <v>29</v>
      </c>
      <c r="G946" s="3">
        <f>IF(E946&gt;=20,2000,1900) + D946</f>
        <v>2004</v>
      </c>
      <c r="H946">
        <f t="shared" si="101"/>
        <v>2</v>
      </c>
      <c r="I946" s="4">
        <f t="shared" si="102"/>
        <v>29</v>
      </c>
      <c r="J946">
        <f t="shared" si="103"/>
        <v>20042229</v>
      </c>
      <c r="K946" t="str">
        <f t="shared" si="104"/>
        <v>29.22.2004</v>
      </c>
    </row>
    <row r="947" spans="1:11" x14ac:dyDescent="0.25">
      <c r="A947" s="4" t="s">
        <v>973</v>
      </c>
      <c r="B947" t="s">
        <v>14</v>
      </c>
      <c r="C947" t="s">
        <v>4</v>
      </c>
      <c r="D947" s="3">
        <f t="shared" si="98"/>
        <v>5</v>
      </c>
      <c r="E947" s="4">
        <f t="shared" si="99"/>
        <v>26</v>
      </c>
      <c r="F947" s="4">
        <f t="shared" si="100"/>
        <v>12</v>
      </c>
      <c r="G947" s="3">
        <f>IF(E947&gt;=20,2000,1900) + D947</f>
        <v>2005</v>
      </c>
      <c r="H947">
        <f t="shared" si="101"/>
        <v>6</v>
      </c>
      <c r="I947" s="4">
        <f t="shared" si="102"/>
        <v>12</v>
      </c>
      <c r="J947">
        <f t="shared" si="103"/>
        <v>20052612</v>
      </c>
      <c r="K947" t="str">
        <f t="shared" si="104"/>
        <v>12.26.2005</v>
      </c>
    </row>
    <row r="948" spans="1:11" x14ac:dyDescent="0.25">
      <c r="A948" s="4" t="s">
        <v>974</v>
      </c>
      <c r="B948" t="s">
        <v>9</v>
      </c>
      <c r="C948" t="s">
        <v>4</v>
      </c>
      <c r="D948" s="3">
        <f t="shared" si="98"/>
        <v>15</v>
      </c>
      <c r="E948" s="4">
        <f t="shared" si="99"/>
        <v>32</v>
      </c>
      <c r="F948" s="4">
        <f t="shared" si="100"/>
        <v>6</v>
      </c>
      <c r="G948" s="3">
        <f>IF(E948&gt;=20,2000,1900) + D948</f>
        <v>2015</v>
      </c>
      <c r="H948">
        <f t="shared" si="101"/>
        <v>12</v>
      </c>
      <c r="I948" s="4">
        <f t="shared" si="102"/>
        <v>6</v>
      </c>
      <c r="J948">
        <f t="shared" si="103"/>
        <v>20153206</v>
      </c>
      <c r="K948" t="str">
        <f t="shared" si="104"/>
        <v>06.32.2015</v>
      </c>
    </row>
    <row r="949" spans="1:11" x14ac:dyDescent="0.25">
      <c r="A949" s="4" t="s">
        <v>975</v>
      </c>
      <c r="B949" t="s">
        <v>9</v>
      </c>
      <c r="C949" t="s">
        <v>6</v>
      </c>
      <c r="D949" s="3">
        <f t="shared" si="98"/>
        <v>14</v>
      </c>
      <c r="E949" s="4">
        <f t="shared" si="99"/>
        <v>29</v>
      </c>
      <c r="F949" s="4">
        <f t="shared" si="100"/>
        <v>26</v>
      </c>
      <c r="G949" s="3">
        <f>IF(E949&gt;=20,2000,1900) + D949</f>
        <v>2014</v>
      </c>
      <c r="H949">
        <f t="shared" si="101"/>
        <v>9</v>
      </c>
      <c r="I949" s="4">
        <f t="shared" si="102"/>
        <v>26</v>
      </c>
      <c r="J949">
        <f t="shared" si="103"/>
        <v>20142926</v>
      </c>
      <c r="K949" t="str">
        <f t="shared" si="104"/>
        <v>26.29.2014</v>
      </c>
    </row>
    <row r="950" spans="1:11" x14ac:dyDescent="0.25">
      <c r="A950" s="4" t="s">
        <v>976</v>
      </c>
      <c r="B950" t="s">
        <v>18</v>
      </c>
      <c r="C950" t="s">
        <v>4</v>
      </c>
      <c r="D950" s="3">
        <f t="shared" si="98"/>
        <v>15</v>
      </c>
      <c r="E950" s="4">
        <f t="shared" si="99"/>
        <v>21</v>
      </c>
      <c r="F950" s="4">
        <f t="shared" si="100"/>
        <v>3</v>
      </c>
      <c r="G950" s="3">
        <f>IF(E950&gt;=20,2000,1900) + D950</f>
        <v>2015</v>
      </c>
      <c r="H950">
        <f t="shared" si="101"/>
        <v>1</v>
      </c>
      <c r="I950" s="4">
        <f t="shared" si="102"/>
        <v>3</v>
      </c>
      <c r="J950">
        <f t="shared" si="103"/>
        <v>20152103</v>
      </c>
      <c r="K950" t="str">
        <f t="shared" si="104"/>
        <v>03.21.2015</v>
      </c>
    </row>
    <row r="951" spans="1:11" x14ac:dyDescent="0.25">
      <c r="A951" s="4" t="s">
        <v>977</v>
      </c>
      <c r="B951" t="s">
        <v>19</v>
      </c>
      <c r="C951" t="s">
        <v>6</v>
      </c>
      <c r="D951" s="3">
        <f t="shared" si="98"/>
        <v>11</v>
      </c>
      <c r="E951" s="4">
        <f t="shared" si="99"/>
        <v>28</v>
      </c>
      <c r="F951" s="4">
        <f t="shared" si="100"/>
        <v>28</v>
      </c>
      <c r="G951" s="3">
        <f>IF(E951&gt;=20,2000,1900) + D951</f>
        <v>2011</v>
      </c>
      <c r="H951">
        <f t="shared" si="101"/>
        <v>8</v>
      </c>
      <c r="I951" s="4">
        <f t="shared" si="102"/>
        <v>28</v>
      </c>
      <c r="J951">
        <f t="shared" si="103"/>
        <v>20112828</v>
      </c>
      <c r="K951" t="str">
        <f t="shared" si="104"/>
        <v>28.28.2011</v>
      </c>
    </row>
    <row r="952" spans="1:11" x14ac:dyDescent="0.25">
      <c r="A952" s="4" t="s">
        <v>978</v>
      </c>
      <c r="B952" t="s">
        <v>14</v>
      </c>
      <c r="C952" t="s">
        <v>6</v>
      </c>
      <c r="D952" s="3">
        <f t="shared" si="98"/>
        <v>21</v>
      </c>
      <c r="E952" s="4">
        <f t="shared" si="99"/>
        <v>27</v>
      </c>
      <c r="F952" s="4">
        <f t="shared" si="100"/>
        <v>8</v>
      </c>
      <c r="G952" s="3">
        <f>IF(E952&gt;=20,2000,1900) + D952</f>
        <v>2021</v>
      </c>
      <c r="H952">
        <f t="shared" si="101"/>
        <v>7</v>
      </c>
      <c r="I952" s="4">
        <f t="shared" si="102"/>
        <v>8</v>
      </c>
      <c r="J952">
        <f t="shared" si="103"/>
        <v>20212708</v>
      </c>
      <c r="K952" t="str">
        <f t="shared" si="104"/>
        <v>08.27.2021</v>
      </c>
    </row>
    <row r="953" spans="1:11" x14ac:dyDescent="0.25">
      <c r="A953" s="4" t="s">
        <v>979</v>
      </c>
      <c r="B953" t="s">
        <v>10</v>
      </c>
      <c r="C953" t="s">
        <v>4</v>
      </c>
      <c r="D953" s="3">
        <f t="shared" si="98"/>
        <v>7</v>
      </c>
      <c r="E953" s="4">
        <f t="shared" si="99"/>
        <v>27</v>
      </c>
      <c r="F953" s="4">
        <f t="shared" si="100"/>
        <v>18</v>
      </c>
      <c r="G953" s="3">
        <f>IF(E953&gt;=20,2000,1900) + D953</f>
        <v>2007</v>
      </c>
      <c r="H953">
        <f t="shared" si="101"/>
        <v>7</v>
      </c>
      <c r="I953" s="4">
        <f t="shared" si="102"/>
        <v>18</v>
      </c>
      <c r="J953">
        <f t="shared" si="103"/>
        <v>20072718</v>
      </c>
      <c r="K953" t="str">
        <f t="shared" si="104"/>
        <v>18.27.2007</v>
      </c>
    </row>
    <row r="954" spans="1:11" x14ac:dyDescent="0.25">
      <c r="A954" s="4" t="s">
        <v>980</v>
      </c>
      <c r="B954" t="s">
        <v>20</v>
      </c>
      <c r="C954" t="s">
        <v>6</v>
      </c>
      <c r="D954" s="3">
        <f t="shared" si="98"/>
        <v>5</v>
      </c>
      <c r="E954" s="4">
        <f t="shared" si="99"/>
        <v>28</v>
      </c>
      <c r="F954" s="4">
        <f t="shared" si="100"/>
        <v>18</v>
      </c>
      <c r="G954" s="3">
        <f>IF(E954&gt;=20,2000,1900) + D954</f>
        <v>2005</v>
      </c>
      <c r="H954">
        <f t="shared" si="101"/>
        <v>8</v>
      </c>
      <c r="I954" s="4">
        <f t="shared" si="102"/>
        <v>18</v>
      </c>
      <c r="J954">
        <f t="shared" si="103"/>
        <v>20052818</v>
      </c>
      <c r="K954" t="str">
        <f t="shared" si="104"/>
        <v>18.28.2005</v>
      </c>
    </row>
    <row r="955" spans="1:11" x14ac:dyDescent="0.25">
      <c r="A955" s="4" t="s">
        <v>981</v>
      </c>
      <c r="B955" t="s">
        <v>10</v>
      </c>
      <c r="C955" t="s">
        <v>4</v>
      </c>
      <c r="D955" s="3">
        <f t="shared" si="98"/>
        <v>9</v>
      </c>
      <c r="E955" s="4">
        <f t="shared" si="99"/>
        <v>25</v>
      </c>
      <c r="F955" s="4">
        <f t="shared" si="100"/>
        <v>28</v>
      </c>
      <c r="G955" s="3">
        <f>IF(E955&gt;=20,2000,1900) + D955</f>
        <v>2009</v>
      </c>
      <c r="H955">
        <f t="shared" si="101"/>
        <v>5</v>
      </c>
      <c r="I955" s="4">
        <f t="shared" si="102"/>
        <v>28</v>
      </c>
      <c r="J955">
        <f t="shared" si="103"/>
        <v>20092528</v>
      </c>
      <c r="K955" t="str">
        <f t="shared" si="104"/>
        <v>28.25.2009</v>
      </c>
    </row>
    <row r="956" spans="1:11" x14ac:dyDescent="0.25">
      <c r="A956" s="4" t="s">
        <v>982</v>
      </c>
      <c r="B956" t="s">
        <v>18</v>
      </c>
      <c r="C956" t="s">
        <v>4</v>
      </c>
      <c r="D956" s="3">
        <f t="shared" si="98"/>
        <v>0</v>
      </c>
      <c r="E956" s="4">
        <f t="shared" si="99"/>
        <v>29</v>
      </c>
      <c r="F956" s="4">
        <f t="shared" si="100"/>
        <v>13</v>
      </c>
      <c r="G956" s="3">
        <f>IF(E956&gt;=20,2000,1900) + D956</f>
        <v>2000</v>
      </c>
      <c r="H956">
        <f t="shared" si="101"/>
        <v>9</v>
      </c>
      <c r="I956" s="4">
        <f t="shared" si="102"/>
        <v>13</v>
      </c>
      <c r="J956">
        <f t="shared" si="103"/>
        <v>20002913</v>
      </c>
      <c r="K956" t="str">
        <f t="shared" si="104"/>
        <v>13.29.2000</v>
      </c>
    </row>
    <row r="957" spans="1:11" x14ac:dyDescent="0.25">
      <c r="A957" s="4" t="s">
        <v>983</v>
      </c>
      <c r="B957" t="s">
        <v>12</v>
      </c>
      <c r="C957" t="s">
        <v>6</v>
      </c>
      <c r="D957" s="3">
        <f t="shared" si="98"/>
        <v>4</v>
      </c>
      <c r="E957" s="4">
        <f t="shared" si="99"/>
        <v>28</v>
      </c>
      <c r="F957" s="4">
        <f t="shared" si="100"/>
        <v>9</v>
      </c>
      <c r="G957" s="3">
        <f>IF(E957&gt;=20,2000,1900) + D957</f>
        <v>2004</v>
      </c>
      <c r="H957">
        <f t="shared" si="101"/>
        <v>8</v>
      </c>
      <c r="I957" s="4">
        <f t="shared" si="102"/>
        <v>9</v>
      </c>
      <c r="J957">
        <f t="shared" si="103"/>
        <v>20042809</v>
      </c>
      <c r="K957" t="str">
        <f t="shared" si="104"/>
        <v>09.28.2004</v>
      </c>
    </row>
    <row r="958" spans="1:11" x14ac:dyDescent="0.25">
      <c r="A958" s="4" t="s">
        <v>984</v>
      </c>
      <c r="B958" t="s">
        <v>7</v>
      </c>
      <c r="C958" t="s">
        <v>6</v>
      </c>
      <c r="D958" s="3">
        <f t="shared" si="98"/>
        <v>2</v>
      </c>
      <c r="E958" s="4">
        <f t="shared" si="99"/>
        <v>22</v>
      </c>
      <c r="F958" s="4">
        <f t="shared" si="100"/>
        <v>9</v>
      </c>
      <c r="G958" s="3">
        <f>IF(E958&gt;=20,2000,1900) + D958</f>
        <v>2002</v>
      </c>
      <c r="H958">
        <f t="shared" si="101"/>
        <v>2</v>
      </c>
      <c r="I958" s="4">
        <f t="shared" si="102"/>
        <v>9</v>
      </c>
      <c r="J958">
        <f t="shared" si="103"/>
        <v>20022209</v>
      </c>
      <c r="K958" t="str">
        <f t="shared" si="104"/>
        <v>09.22.2002</v>
      </c>
    </row>
    <row r="959" spans="1:11" x14ac:dyDescent="0.25">
      <c r="A959" s="4" t="s">
        <v>985</v>
      </c>
      <c r="B959" t="s">
        <v>16</v>
      </c>
      <c r="C959" t="s">
        <v>6</v>
      </c>
      <c r="D959" s="3">
        <f t="shared" si="98"/>
        <v>2</v>
      </c>
      <c r="E959" s="4">
        <f t="shared" si="99"/>
        <v>21</v>
      </c>
      <c r="F959" s="4">
        <f t="shared" si="100"/>
        <v>1</v>
      </c>
      <c r="G959" s="3">
        <f>IF(E959&gt;=20,2000,1900) + D959</f>
        <v>2002</v>
      </c>
      <c r="H959">
        <f t="shared" si="101"/>
        <v>1</v>
      </c>
      <c r="I959" s="4">
        <f t="shared" si="102"/>
        <v>1</v>
      </c>
      <c r="J959">
        <f t="shared" si="103"/>
        <v>20022101</v>
      </c>
      <c r="K959" t="str">
        <f t="shared" si="104"/>
        <v>01.21.2002</v>
      </c>
    </row>
    <row r="960" spans="1:11" x14ac:dyDescent="0.25">
      <c r="A960" s="4" t="s">
        <v>986</v>
      </c>
      <c r="B960" t="s">
        <v>8</v>
      </c>
      <c r="C960" t="s">
        <v>6</v>
      </c>
      <c r="D960" s="3">
        <f t="shared" si="98"/>
        <v>9</v>
      </c>
      <c r="E960" s="4">
        <f t="shared" si="99"/>
        <v>24</v>
      </c>
      <c r="F960" s="4">
        <f t="shared" si="100"/>
        <v>11</v>
      </c>
      <c r="G960" s="3">
        <f>IF(E960&gt;=20,2000,1900) + D960</f>
        <v>2009</v>
      </c>
      <c r="H960">
        <f t="shared" si="101"/>
        <v>4</v>
      </c>
      <c r="I960" s="4">
        <f t="shared" si="102"/>
        <v>11</v>
      </c>
      <c r="J960">
        <f t="shared" si="103"/>
        <v>20092411</v>
      </c>
      <c r="K960" t="str">
        <f t="shared" si="104"/>
        <v>11.24.2009</v>
      </c>
    </row>
    <row r="961" spans="1:11" x14ac:dyDescent="0.25">
      <c r="A961" s="4" t="s">
        <v>987</v>
      </c>
      <c r="B961" t="s">
        <v>18</v>
      </c>
      <c r="C961" t="s">
        <v>6</v>
      </c>
      <c r="D961" s="3">
        <f t="shared" si="98"/>
        <v>9</v>
      </c>
      <c r="E961" s="4">
        <f t="shared" si="99"/>
        <v>24</v>
      </c>
      <c r="F961" s="4">
        <f t="shared" si="100"/>
        <v>13</v>
      </c>
      <c r="G961" s="3">
        <f>IF(E961&gt;=20,2000,1900) + D961</f>
        <v>2009</v>
      </c>
      <c r="H961">
        <f t="shared" si="101"/>
        <v>4</v>
      </c>
      <c r="I961" s="4">
        <f t="shared" si="102"/>
        <v>13</v>
      </c>
      <c r="J961">
        <f t="shared" si="103"/>
        <v>20092413</v>
      </c>
      <c r="K961" t="str">
        <f t="shared" si="104"/>
        <v>13.24.2009</v>
      </c>
    </row>
    <row r="962" spans="1:11" x14ac:dyDescent="0.25">
      <c r="A962" s="4" t="s">
        <v>988</v>
      </c>
      <c r="B962" t="s">
        <v>7</v>
      </c>
      <c r="C962" t="s">
        <v>6</v>
      </c>
      <c r="D962" s="3">
        <f t="shared" si="98"/>
        <v>13</v>
      </c>
      <c r="E962" s="4">
        <f t="shared" si="99"/>
        <v>31</v>
      </c>
      <c r="F962" s="4">
        <f t="shared" si="100"/>
        <v>28</v>
      </c>
      <c r="G962" s="3">
        <f>IF(E962&gt;=20,2000,1900) + D962</f>
        <v>2013</v>
      </c>
      <c r="H962">
        <f t="shared" si="101"/>
        <v>11</v>
      </c>
      <c r="I962" s="4">
        <f t="shared" si="102"/>
        <v>28</v>
      </c>
      <c r="J962">
        <f t="shared" si="103"/>
        <v>20133128</v>
      </c>
      <c r="K962" t="str">
        <f t="shared" si="104"/>
        <v>28.31.2013</v>
      </c>
    </row>
    <row r="963" spans="1:11" x14ac:dyDescent="0.25">
      <c r="A963" s="4" t="s">
        <v>989</v>
      </c>
      <c r="B963" t="s">
        <v>5</v>
      </c>
      <c r="C963" t="s">
        <v>6</v>
      </c>
      <c r="D963" s="3">
        <f t="shared" ref="D963:D1001" si="105">MID(A963,1,2)*1</f>
        <v>13</v>
      </c>
      <c r="E963" s="4">
        <f t="shared" ref="E963:E1001" si="106">MID(A963,3,2)*1</f>
        <v>26</v>
      </c>
      <c r="F963" s="4">
        <f t="shared" ref="F963:F1001" si="107">MID(A963,5,2)*1</f>
        <v>22</v>
      </c>
      <c r="G963" s="3">
        <f>IF(E963&gt;=20,2000,1900) + D963</f>
        <v>2013</v>
      </c>
      <c r="H963">
        <f t="shared" ref="H963:H1001" si="108">IF(E963&gt;=20,E963-20,E963)</f>
        <v>6</v>
      </c>
      <c r="I963" s="4">
        <f t="shared" ref="I963:I1001" si="109">F963</f>
        <v>22</v>
      </c>
      <c r="J963">
        <f t="shared" ref="J963:J1001" si="110">CONCATENATE(G963,IF(LEN(E963)=1,CONCATENATE("0",E963),E963),IF(LEN(F963)=1,CONCATENATE("0",F963),F963))*1</f>
        <v>20132622</v>
      </c>
      <c r="K963" t="str">
        <f t="shared" ref="K963:K1001" si="111">CONCATENATE(RIGHT(J963,2),".",MID(J963,5,2),".",LEFT(J963,4))</f>
        <v>22.26.2013</v>
      </c>
    </row>
    <row r="964" spans="1:11" x14ac:dyDescent="0.25">
      <c r="A964" s="4" t="s">
        <v>990</v>
      </c>
      <c r="B964" t="s">
        <v>7</v>
      </c>
      <c r="C964" t="s">
        <v>4</v>
      </c>
      <c r="D964" s="3">
        <f t="shared" si="105"/>
        <v>21</v>
      </c>
      <c r="E964" s="4">
        <f t="shared" si="106"/>
        <v>22</v>
      </c>
      <c r="F964" s="4">
        <f t="shared" si="107"/>
        <v>7</v>
      </c>
      <c r="G964" s="3">
        <f>IF(E964&gt;=20,2000,1900) + D964</f>
        <v>2021</v>
      </c>
      <c r="H964">
        <f t="shared" si="108"/>
        <v>2</v>
      </c>
      <c r="I964" s="4">
        <f t="shared" si="109"/>
        <v>7</v>
      </c>
      <c r="J964">
        <f t="shared" si="110"/>
        <v>20212207</v>
      </c>
      <c r="K964" t="str">
        <f t="shared" si="111"/>
        <v>07.22.2021</v>
      </c>
    </row>
    <row r="965" spans="1:11" x14ac:dyDescent="0.25">
      <c r="A965" s="4" t="s">
        <v>991</v>
      </c>
      <c r="B965" t="s">
        <v>10</v>
      </c>
      <c r="C965" t="s">
        <v>6</v>
      </c>
      <c r="D965" s="3">
        <f t="shared" si="105"/>
        <v>6</v>
      </c>
      <c r="E965" s="4">
        <f t="shared" si="106"/>
        <v>26</v>
      </c>
      <c r="F965" s="4">
        <f t="shared" si="107"/>
        <v>17</v>
      </c>
      <c r="G965" s="3">
        <f>IF(E965&gt;=20,2000,1900) + D965</f>
        <v>2006</v>
      </c>
      <c r="H965">
        <f t="shared" si="108"/>
        <v>6</v>
      </c>
      <c r="I965" s="4">
        <f t="shared" si="109"/>
        <v>17</v>
      </c>
      <c r="J965">
        <f t="shared" si="110"/>
        <v>20062617</v>
      </c>
      <c r="K965" t="str">
        <f t="shared" si="111"/>
        <v>17.26.2006</v>
      </c>
    </row>
    <row r="966" spans="1:11" x14ac:dyDescent="0.25">
      <c r="A966" s="4" t="s">
        <v>992</v>
      </c>
      <c r="B966" t="s">
        <v>16</v>
      </c>
      <c r="C966" t="s">
        <v>4</v>
      </c>
      <c r="D966" s="3">
        <f t="shared" si="105"/>
        <v>14</v>
      </c>
      <c r="E966" s="4">
        <f t="shared" si="106"/>
        <v>22</v>
      </c>
      <c r="F966" s="4">
        <f t="shared" si="107"/>
        <v>26</v>
      </c>
      <c r="G966" s="3">
        <f>IF(E966&gt;=20,2000,1900) + D966</f>
        <v>2014</v>
      </c>
      <c r="H966">
        <f t="shared" si="108"/>
        <v>2</v>
      </c>
      <c r="I966" s="4">
        <f t="shared" si="109"/>
        <v>26</v>
      </c>
      <c r="J966">
        <f t="shared" si="110"/>
        <v>20142226</v>
      </c>
      <c r="K966" t="str">
        <f t="shared" si="111"/>
        <v>26.22.2014</v>
      </c>
    </row>
    <row r="967" spans="1:11" x14ac:dyDescent="0.25">
      <c r="A967" s="4" t="s">
        <v>993</v>
      </c>
      <c r="B967" t="s">
        <v>8</v>
      </c>
      <c r="C967" t="s">
        <v>6</v>
      </c>
      <c r="D967" s="3">
        <f t="shared" si="105"/>
        <v>19</v>
      </c>
      <c r="E967" s="4">
        <f t="shared" si="106"/>
        <v>32</v>
      </c>
      <c r="F967" s="4">
        <f t="shared" si="107"/>
        <v>12</v>
      </c>
      <c r="G967" s="3">
        <f>IF(E967&gt;=20,2000,1900) + D967</f>
        <v>2019</v>
      </c>
      <c r="H967">
        <f t="shared" si="108"/>
        <v>12</v>
      </c>
      <c r="I967" s="4">
        <f t="shared" si="109"/>
        <v>12</v>
      </c>
      <c r="J967">
        <f t="shared" si="110"/>
        <v>20193212</v>
      </c>
      <c r="K967" t="str">
        <f t="shared" si="111"/>
        <v>12.32.2019</v>
      </c>
    </row>
    <row r="968" spans="1:11" x14ac:dyDescent="0.25">
      <c r="A968" s="4" t="s">
        <v>994</v>
      </c>
      <c r="B968" t="s">
        <v>9</v>
      </c>
      <c r="C968" t="s">
        <v>4</v>
      </c>
      <c r="D968" s="3">
        <f t="shared" si="105"/>
        <v>8</v>
      </c>
      <c r="E968" s="4">
        <f t="shared" si="106"/>
        <v>23</v>
      </c>
      <c r="F968" s="4">
        <f t="shared" si="107"/>
        <v>19</v>
      </c>
      <c r="G968" s="3">
        <f>IF(E968&gt;=20,2000,1900) + D968</f>
        <v>2008</v>
      </c>
      <c r="H968">
        <f t="shared" si="108"/>
        <v>3</v>
      </c>
      <c r="I968" s="4">
        <f t="shared" si="109"/>
        <v>19</v>
      </c>
      <c r="J968">
        <f t="shared" si="110"/>
        <v>20082319</v>
      </c>
      <c r="K968" t="str">
        <f t="shared" si="111"/>
        <v>19.23.2008</v>
      </c>
    </row>
    <row r="969" spans="1:11" x14ac:dyDescent="0.25">
      <c r="A969" s="4" t="s">
        <v>995</v>
      </c>
      <c r="B969" t="s">
        <v>16</v>
      </c>
      <c r="C969" t="s">
        <v>6</v>
      </c>
      <c r="D969" s="3">
        <f t="shared" si="105"/>
        <v>15</v>
      </c>
      <c r="E969" s="4">
        <f t="shared" si="106"/>
        <v>29</v>
      </c>
      <c r="F969" s="4">
        <f t="shared" si="107"/>
        <v>12</v>
      </c>
      <c r="G969" s="3">
        <f>IF(E969&gt;=20,2000,1900) + D969</f>
        <v>2015</v>
      </c>
      <c r="H969">
        <f t="shared" si="108"/>
        <v>9</v>
      </c>
      <c r="I969" s="4">
        <f t="shared" si="109"/>
        <v>12</v>
      </c>
      <c r="J969">
        <f t="shared" si="110"/>
        <v>20152912</v>
      </c>
      <c r="K969" t="str">
        <f t="shared" si="111"/>
        <v>12.29.2015</v>
      </c>
    </row>
    <row r="970" spans="1:11" x14ac:dyDescent="0.25">
      <c r="A970" s="4" t="s">
        <v>996</v>
      </c>
      <c r="B970" t="s">
        <v>17</v>
      </c>
      <c r="C970" t="s">
        <v>6</v>
      </c>
      <c r="D970" s="3">
        <f t="shared" si="105"/>
        <v>8</v>
      </c>
      <c r="E970" s="4">
        <f t="shared" si="106"/>
        <v>26</v>
      </c>
      <c r="F970" s="4">
        <f t="shared" si="107"/>
        <v>4</v>
      </c>
      <c r="G970" s="3">
        <f>IF(E970&gt;=20,2000,1900) + D970</f>
        <v>2008</v>
      </c>
      <c r="H970">
        <f t="shared" si="108"/>
        <v>6</v>
      </c>
      <c r="I970" s="4">
        <f t="shared" si="109"/>
        <v>4</v>
      </c>
      <c r="J970">
        <f t="shared" si="110"/>
        <v>20082604</v>
      </c>
      <c r="K970" t="str">
        <f t="shared" si="111"/>
        <v>04.26.2008</v>
      </c>
    </row>
    <row r="971" spans="1:11" x14ac:dyDescent="0.25">
      <c r="A971" s="4" t="s">
        <v>997</v>
      </c>
      <c r="B971" t="s">
        <v>10</v>
      </c>
      <c r="C971" t="s">
        <v>6</v>
      </c>
      <c r="D971" s="3">
        <f t="shared" si="105"/>
        <v>8</v>
      </c>
      <c r="E971" s="4">
        <f t="shared" si="106"/>
        <v>24</v>
      </c>
      <c r="F971" s="4">
        <f t="shared" si="107"/>
        <v>2</v>
      </c>
      <c r="G971" s="3">
        <f>IF(E971&gt;=20,2000,1900) + D971</f>
        <v>2008</v>
      </c>
      <c r="H971">
        <f t="shared" si="108"/>
        <v>4</v>
      </c>
      <c r="I971" s="4">
        <f t="shared" si="109"/>
        <v>2</v>
      </c>
      <c r="J971">
        <f t="shared" si="110"/>
        <v>20082402</v>
      </c>
      <c r="K971" t="str">
        <f t="shared" si="111"/>
        <v>02.24.2008</v>
      </c>
    </row>
    <row r="972" spans="1:11" x14ac:dyDescent="0.25">
      <c r="A972" s="4" t="s">
        <v>998</v>
      </c>
      <c r="B972" t="s">
        <v>17</v>
      </c>
      <c r="C972" t="s">
        <v>4</v>
      </c>
      <c r="D972" s="3">
        <f t="shared" si="105"/>
        <v>19</v>
      </c>
      <c r="E972" s="4">
        <f t="shared" si="106"/>
        <v>23</v>
      </c>
      <c r="F972" s="4">
        <f t="shared" si="107"/>
        <v>10</v>
      </c>
      <c r="G972" s="3">
        <f>IF(E972&gt;=20,2000,1900) + D972</f>
        <v>2019</v>
      </c>
      <c r="H972">
        <f t="shared" si="108"/>
        <v>3</v>
      </c>
      <c r="I972" s="4">
        <f t="shared" si="109"/>
        <v>10</v>
      </c>
      <c r="J972">
        <f t="shared" si="110"/>
        <v>20192310</v>
      </c>
      <c r="K972" t="str">
        <f t="shared" si="111"/>
        <v>10.23.2019</v>
      </c>
    </row>
    <row r="973" spans="1:11" x14ac:dyDescent="0.25">
      <c r="A973" s="4" t="s">
        <v>999</v>
      </c>
      <c r="B973" t="s">
        <v>8</v>
      </c>
      <c r="C973" t="s">
        <v>6</v>
      </c>
      <c r="D973" s="3">
        <f t="shared" si="105"/>
        <v>14</v>
      </c>
      <c r="E973" s="4">
        <f t="shared" si="106"/>
        <v>28</v>
      </c>
      <c r="F973" s="4">
        <f t="shared" si="107"/>
        <v>12</v>
      </c>
      <c r="G973" s="3">
        <f>IF(E973&gt;=20,2000,1900) + D973</f>
        <v>2014</v>
      </c>
      <c r="H973">
        <f t="shared" si="108"/>
        <v>8</v>
      </c>
      <c r="I973" s="4">
        <f t="shared" si="109"/>
        <v>12</v>
      </c>
      <c r="J973">
        <f t="shared" si="110"/>
        <v>20142812</v>
      </c>
      <c r="K973" t="str">
        <f t="shared" si="111"/>
        <v>12.28.2014</v>
      </c>
    </row>
    <row r="974" spans="1:11" x14ac:dyDescent="0.25">
      <c r="A974" s="4" t="s">
        <v>1000</v>
      </c>
      <c r="B974" t="s">
        <v>7</v>
      </c>
      <c r="C974" t="s">
        <v>4</v>
      </c>
      <c r="D974" s="3">
        <f t="shared" si="105"/>
        <v>7</v>
      </c>
      <c r="E974" s="4">
        <f t="shared" si="106"/>
        <v>28</v>
      </c>
      <c r="F974" s="4">
        <f t="shared" si="107"/>
        <v>2</v>
      </c>
      <c r="G974" s="3">
        <f>IF(E974&gt;=20,2000,1900) + D974</f>
        <v>2007</v>
      </c>
      <c r="H974">
        <f t="shared" si="108"/>
        <v>8</v>
      </c>
      <c r="I974" s="4">
        <f t="shared" si="109"/>
        <v>2</v>
      </c>
      <c r="J974">
        <f t="shared" si="110"/>
        <v>20072802</v>
      </c>
      <c r="K974" t="str">
        <f t="shared" si="111"/>
        <v>02.28.2007</v>
      </c>
    </row>
    <row r="975" spans="1:11" x14ac:dyDescent="0.25">
      <c r="A975" s="4" t="s">
        <v>1001</v>
      </c>
      <c r="B975" t="s">
        <v>3</v>
      </c>
      <c r="C975" t="s">
        <v>6</v>
      </c>
      <c r="D975" s="3">
        <f t="shared" si="105"/>
        <v>6</v>
      </c>
      <c r="E975" s="4">
        <f t="shared" si="106"/>
        <v>26</v>
      </c>
      <c r="F975" s="4">
        <f t="shared" si="107"/>
        <v>25</v>
      </c>
      <c r="G975" s="3">
        <f>IF(E975&gt;=20,2000,1900) + D975</f>
        <v>2006</v>
      </c>
      <c r="H975">
        <f t="shared" si="108"/>
        <v>6</v>
      </c>
      <c r="I975" s="4">
        <f t="shared" si="109"/>
        <v>25</v>
      </c>
      <c r="J975">
        <f t="shared" si="110"/>
        <v>20062625</v>
      </c>
      <c r="K975" t="str">
        <f t="shared" si="111"/>
        <v>25.26.2006</v>
      </c>
    </row>
    <row r="976" spans="1:11" x14ac:dyDescent="0.25">
      <c r="A976" s="4" t="s">
        <v>1002</v>
      </c>
      <c r="B976" t="s">
        <v>7</v>
      </c>
      <c r="C976" t="s">
        <v>6</v>
      </c>
      <c r="D976" s="3">
        <f t="shared" si="105"/>
        <v>15</v>
      </c>
      <c r="E976" s="4">
        <f t="shared" si="106"/>
        <v>24</v>
      </c>
      <c r="F976" s="4">
        <f t="shared" si="107"/>
        <v>27</v>
      </c>
      <c r="G976" s="3">
        <f>IF(E976&gt;=20,2000,1900) + D976</f>
        <v>2015</v>
      </c>
      <c r="H976">
        <f t="shared" si="108"/>
        <v>4</v>
      </c>
      <c r="I976" s="4">
        <f t="shared" si="109"/>
        <v>27</v>
      </c>
      <c r="J976">
        <f t="shared" si="110"/>
        <v>20152427</v>
      </c>
      <c r="K976" t="str">
        <f t="shared" si="111"/>
        <v>27.24.2015</v>
      </c>
    </row>
    <row r="977" spans="1:11" x14ac:dyDescent="0.25">
      <c r="A977" s="4" t="s">
        <v>1003</v>
      </c>
      <c r="B977" t="s">
        <v>9</v>
      </c>
      <c r="C977" t="s">
        <v>6</v>
      </c>
      <c r="D977" s="3">
        <f t="shared" si="105"/>
        <v>14</v>
      </c>
      <c r="E977" s="4">
        <f t="shared" si="106"/>
        <v>26</v>
      </c>
      <c r="F977" s="4">
        <f t="shared" si="107"/>
        <v>22</v>
      </c>
      <c r="G977" s="3">
        <f>IF(E977&gt;=20,2000,1900) + D977</f>
        <v>2014</v>
      </c>
      <c r="H977">
        <f t="shared" si="108"/>
        <v>6</v>
      </c>
      <c r="I977" s="4">
        <f t="shared" si="109"/>
        <v>22</v>
      </c>
      <c r="J977">
        <f t="shared" si="110"/>
        <v>20142622</v>
      </c>
      <c r="K977" t="str">
        <f t="shared" si="111"/>
        <v>22.26.2014</v>
      </c>
    </row>
    <row r="978" spans="1:11" x14ac:dyDescent="0.25">
      <c r="A978" s="4" t="s">
        <v>1004</v>
      </c>
      <c r="B978" t="s">
        <v>12</v>
      </c>
      <c r="C978" t="s">
        <v>4</v>
      </c>
      <c r="D978" s="3">
        <f t="shared" si="105"/>
        <v>1</v>
      </c>
      <c r="E978" s="4">
        <f t="shared" si="106"/>
        <v>21</v>
      </c>
      <c r="F978" s="4">
        <f t="shared" si="107"/>
        <v>29</v>
      </c>
      <c r="G978" s="3">
        <f>IF(E978&gt;=20,2000,1900) + D978</f>
        <v>2001</v>
      </c>
      <c r="H978">
        <f t="shared" si="108"/>
        <v>1</v>
      </c>
      <c r="I978" s="4">
        <f t="shared" si="109"/>
        <v>29</v>
      </c>
      <c r="J978">
        <f t="shared" si="110"/>
        <v>20012129</v>
      </c>
      <c r="K978" t="str">
        <f t="shared" si="111"/>
        <v>29.21.2001</v>
      </c>
    </row>
    <row r="979" spans="1:11" x14ac:dyDescent="0.25">
      <c r="A979" s="4" t="s">
        <v>1005</v>
      </c>
      <c r="B979" t="s">
        <v>5</v>
      </c>
      <c r="C979" t="s">
        <v>4</v>
      </c>
      <c r="D979" s="3">
        <f t="shared" si="105"/>
        <v>21</v>
      </c>
      <c r="E979" s="4">
        <f t="shared" si="106"/>
        <v>21</v>
      </c>
      <c r="F979" s="4">
        <f t="shared" si="107"/>
        <v>2</v>
      </c>
      <c r="G979" s="3">
        <f>IF(E979&gt;=20,2000,1900) + D979</f>
        <v>2021</v>
      </c>
      <c r="H979">
        <f t="shared" si="108"/>
        <v>1</v>
      </c>
      <c r="I979" s="4">
        <f t="shared" si="109"/>
        <v>2</v>
      </c>
      <c r="J979">
        <f t="shared" si="110"/>
        <v>20212102</v>
      </c>
      <c r="K979" t="str">
        <f t="shared" si="111"/>
        <v>02.21.2021</v>
      </c>
    </row>
    <row r="980" spans="1:11" x14ac:dyDescent="0.25">
      <c r="A980" s="4" t="s">
        <v>1006</v>
      </c>
      <c r="B980" t="s">
        <v>18</v>
      </c>
      <c r="C980" t="s">
        <v>4</v>
      </c>
      <c r="D980" s="3">
        <f t="shared" si="105"/>
        <v>16</v>
      </c>
      <c r="E980" s="4">
        <f t="shared" si="106"/>
        <v>28</v>
      </c>
      <c r="F980" s="4">
        <f t="shared" si="107"/>
        <v>24</v>
      </c>
      <c r="G980" s="3">
        <f>IF(E980&gt;=20,2000,1900) + D980</f>
        <v>2016</v>
      </c>
      <c r="H980">
        <f t="shared" si="108"/>
        <v>8</v>
      </c>
      <c r="I980" s="4">
        <f t="shared" si="109"/>
        <v>24</v>
      </c>
      <c r="J980">
        <f t="shared" si="110"/>
        <v>20162824</v>
      </c>
      <c r="K980" t="str">
        <f t="shared" si="111"/>
        <v>24.28.2016</v>
      </c>
    </row>
    <row r="981" spans="1:11" x14ac:dyDescent="0.25">
      <c r="A981" s="4" t="s">
        <v>1007</v>
      </c>
      <c r="B981" t="s">
        <v>14</v>
      </c>
      <c r="C981" t="s">
        <v>6</v>
      </c>
      <c r="D981" s="3">
        <f t="shared" si="105"/>
        <v>2</v>
      </c>
      <c r="E981" s="4">
        <f t="shared" si="106"/>
        <v>24</v>
      </c>
      <c r="F981" s="4">
        <f t="shared" si="107"/>
        <v>12</v>
      </c>
      <c r="G981" s="3">
        <f>IF(E981&gt;=20,2000,1900) + D981</f>
        <v>2002</v>
      </c>
      <c r="H981">
        <f t="shared" si="108"/>
        <v>4</v>
      </c>
      <c r="I981" s="4">
        <f t="shared" si="109"/>
        <v>12</v>
      </c>
      <c r="J981">
        <f t="shared" si="110"/>
        <v>20022412</v>
      </c>
      <c r="K981" t="str">
        <f t="shared" si="111"/>
        <v>12.24.2002</v>
      </c>
    </row>
    <row r="982" spans="1:11" x14ac:dyDescent="0.25">
      <c r="A982" s="4" t="s">
        <v>1008</v>
      </c>
      <c r="B982" t="s">
        <v>20</v>
      </c>
      <c r="C982" t="s">
        <v>4</v>
      </c>
      <c r="D982" s="3">
        <f t="shared" si="105"/>
        <v>6</v>
      </c>
      <c r="E982" s="4">
        <f t="shared" si="106"/>
        <v>31</v>
      </c>
      <c r="F982" s="4">
        <f t="shared" si="107"/>
        <v>5</v>
      </c>
      <c r="G982" s="3">
        <f>IF(E982&gt;=20,2000,1900) + D982</f>
        <v>2006</v>
      </c>
      <c r="H982">
        <f t="shared" si="108"/>
        <v>11</v>
      </c>
      <c r="I982" s="4">
        <f t="shared" si="109"/>
        <v>5</v>
      </c>
      <c r="J982">
        <f t="shared" si="110"/>
        <v>20063105</v>
      </c>
      <c r="K982" t="str">
        <f t="shared" si="111"/>
        <v>05.31.2006</v>
      </c>
    </row>
    <row r="983" spans="1:11" x14ac:dyDescent="0.25">
      <c r="A983" s="4" t="s">
        <v>1009</v>
      </c>
      <c r="B983" t="s">
        <v>19</v>
      </c>
      <c r="C983" t="s">
        <v>6</v>
      </c>
      <c r="D983" s="3">
        <f t="shared" si="105"/>
        <v>18</v>
      </c>
      <c r="E983" s="4">
        <f t="shared" si="106"/>
        <v>21</v>
      </c>
      <c r="F983" s="4">
        <f t="shared" si="107"/>
        <v>9</v>
      </c>
      <c r="G983" s="3">
        <f>IF(E983&gt;=20,2000,1900) + D983</f>
        <v>2018</v>
      </c>
      <c r="H983">
        <f t="shared" si="108"/>
        <v>1</v>
      </c>
      <c r="I983" s="4">
        <f t="shared" si="109"/>
        <v>9</v>
      </c>
      <c r="J983">
        <f t="shared" si="110"/>
        <v>20182109</v>
      </c>
      <c r="K983" t="str">
        <f t="shared" si="111"/>
        <v>09.21.2018</v>
      </c>
    </row>
    <row r="984" spans="1:11" x14ac:dyDescent="0.25">
      <c r="A984" s="4" t="s">
        <v>1010</v>
      </c>
      <c r="B984" t="s">
        <v>9</v>
      </c>
      <c r="C984" t="s">
        <v>4</v>
      </c>
      <c r="D984" s="3">
        <f t="shared" si="105"/>
        <v>21</v>
      </c>
      <c r="E984" s="4">
        <f t="shared" si="106"/>
        <v>24</v>
      </c>
      <c r="F984" s="4">
        <f t="shared" si="107"/>
        <v>30</v>
      </c>
      <c r="G984" s="3">
        <f>IF(E984&gt;=20,2000,1900) + D984</f>
        <v>2021</v>
      </c>
      <c r="H984">
        <f t="shared" si="108"/>
        <v>4</v>
      </c>
      <c r="I984" s="4">
        <f t="shared" si="109"/>
        <v>30</v>
      </c>
      <c r="J984">
        <f t="shared" si="110"/>
        <v>20212430</v>
      </c>
      <c r="K984" t="str">
        <f t="shared" si="111"/>
        <v>30.24.2021</v>
      </c>
    </row>
    <row r="985" spans="1:11" x14ac:dyDescent="0.25">
      <c r="A985" s="4" t="s">
        <v>1011</v>
      </c>
      <c r="B985" t="s">
        <v>13</v>
      </c>
      <c r="C985" t="s">
        <v>6</v>
      </c>
      <c r="D985" s="3">
        <f t="shared" si="105"/>
        <v>0</v>
      </c>
      <c r="E985" s="4">
        <f t="shared" si="106"/>
        <v>25</v>
      </c>
      <c r="F985" s="4">
        <f t="shared" si="107"/>
        <v>12</v>
      </c>
      <c r="G985" s="3">
        <f>IF(E985&gt;=20,2000,1900) + D985</f>
        <v>2000</v>
      </c>
      <c r="H985">
        <f t="shared" si="108"/>
        <v>5</v>
      </c>
      <c r="I985" s="4">
        <f t="shared" si="109"/>
        <v>12</v>
      </c>
      <c r="J985">
        <f t="shared" si="110"/>
        <v>20002512</v>
      </c>
      <c r="K985" t="str">
        <f t="shared" si="111"/>
        <v>12.25.2000</v>
      </c>
    </row>
    <row r="986" spans="1:11" x14ac:dyDescent="0.25">
      <c r="A986" s="4" t="s">
        <v>1012</v>
      </c>
      <c r="B986" t="s">
        <v>10</v>
      </c>
      <c r="C986" t="s">
        <v>6</v>
      </c>
      <c r="D986" s="3">
        <f t="shared" si="105"/>
        <v>0</v>
      </c>
      <c r="E986" s="4">
        <f t="shared" si="106"/>
        <v>27</v>
      </c>
      <c r="F986" s="4">
        <f t="shared" si="107"/>
        <v>4</v>
      </c>
      <c r="G986" s="3">
        <f>IF(E986&gt;=20,2000,1900) + D986</f>
        <v>2000</v>
      </c>
      <c r="H986">
        <f t="shared" si="108"/>
        <v>7</v>
      </c>
      <c r="I986" s="4">
        <f t="shared" si="109"/>
        <v>4</v>
      </c>
      <c r="J986">
        <f t="shared" si="110"/>
        <v>20002704</v>
      </c>
      <c r="K986" t="str">
        <f t="shared" si="111"/>
        <v>04.27.2000</v>
      </c>
    </row>
    <row r="987" spans="1:11" x14ac:dyDescent="0.25">
      <c r="A987" s="4" t="s">
        <v>1013</v>
      </c>
      <c r="B987" t="s">
        <v>11</v>
      </c>
      <c r="C987" t="s">
        <v>4</v>
      </c>
      <c r="D987" s="3">
        <f t="shared" si="105"/>
        <v>6</v>
      </c>
      <c r="E987" s="4">
        <f t="shared" si="106"/>
        <v>21</v>
      </c>
      <c r="F987" s="4">
        <f t="shared" si="107"/>
        <v>13</v>
      </c>
      <c r="G987" s="3">
        <f>IF(E987&gt;=20,2000,1900) + D987</f>
        <v>2006</v>
      </c>
      <c r="H987">
        <f t="shared" si="108"/>
        <v>1</v>
      </c>
      <c r="I987" s="4">
        <f t="shared" si="109"/>
        <v>13</v>
      </c>
      <c r="J987">
        <f t="shared" si="110"/>
        <v>20062113</v>
      </c>
      <c r="K987" t="str">
        <f t="shared" si="111"/>
        <v>13.21.2006</v>
      </c>
    </row>
    <row r="988" spans="1:11" x14ac:dyDescent="0.25">
      <c r="A988" s="4" t="s">
        <v>1014</v>
      </c>
      <c r="B988" t="s">
        <v>18</v>
      </c>
      <c r="C988" t="s">
        <v>6</v>
      </c>
      <c r="D988" s="3">
        <f t="shared" si="105"/>
        <v>17</v>
      </c>
      <c r="E988" s="4">
        <f t="shared" si="106"/>
        <v>21</v>
      </c>
      <c r="F988" s="4">
        <f t="shared" si="107"/>
        <v>22</v>
      </c>
      <c r="G988" s="3">
        <f>IF(E988&gt;=20,2000,1900) + D988</f>
        <v>2017</v>
      </c>
      <c r="H988">
        <f t="shared" si="108"/>
        <v>1</v>
      </c>
      <c r="I988" s="4">
        <f t="shared" si="109"/>
        <v>22</v>
      </c>
      <c r="J988">
        <f t="shared" si="110"/>
        <v>20172122</v>
      </c>
      <c r="K988" t="str">
        <f t="shared" si="111"/>
        <v>22.21.2017</v>
      </c>
    </row>
    <row r="989" spans="1:11" x14ac:dyDescent="0.25">
      <c r="A989" s="4" t="s">
        <v>1015</v>
      </c>
      <c r="B989" t="s">
        <v>7</v>
      </c>
      <c r="C989" t="s">
        <v>6</v>
      </c>
      <c r="D989" s="3">
        <f t="shared" si="105"/>
        <v>11</v>
      </c>
      <c r="E989" s="4">
        <f t="shared" si="106"/>
        <v>24</v>
      </c>
      <c r="F989" s="4">
        <f t="shared" si="107"/>
        <v>15</v>
      </c>
      <c r="G989" s="3">
        <f>IF(E989&gt;=20,2000,1900) + D989</f>
        <v>2011</v>
      </c>
      <c r="H989">
        <f t="shared" si="108"/>
        <v>4</v>
      </c>
      <c r="I989" s="4">
        <f t="shared" si="109"/>
        <v>15</v>
      </c>
      <c r="J989">
        <f t="shared" si="110"/>
        <v>20112415</v>
      </c>
      <c r="K989" t="str">
        <f t="shared" si="111"/>
        <v>15.24.2011</v>
      </c>
    </row>
    <row r="990" spans="1:11" x14ac:dyDescent="0.25">
      <c r="A990" s="4" t="s">
        <v>1016</v>
      </c>
      <c r="B990" t="s">
        <v>12</v>
      </c>
      <c r="C990" t="s">
        <v>4</v>
      </c>
      <c r="D990" s="3">
        <f t="shared" si="105"/>
        <v>18</v>
      </c>
      <c r="E990" s="4">
        <f t="shared" si="106"/>
        <v>22</v>
      </c>
      <c r="F990" s="4">
        <f t="shared" si="107"/>
        <v>22</v>
      </c>
      <c r="G990" s="3">
        <f>IF(E990&gt;=20,2000,1900) + D990</f>
        <v>2018</v>
      </c>
      <c r="H990">
        <f t="shared" si="108"/>
        <v>2</v>
      </c>
      <c r="I990" s="4">
        <f t="shared" si="109"/>
        <v>22</v>
      </c>
      <c r="J990">
        <f t="shared" si="110"/>
        <v>20182222</v>
      </c>
      <c r="K990" t="str">
        <f t="shared" si="111"/>
        <v>22.22.2018</v>
      </c>
    </row>
    <row r="991" spans="1:11" x14ac:dyDescent="0.25">
      <c r="A991" s="4" t="s">
        <v>1017</v>
      </c>
      <c r="B991" t="s">
        <v>10</v>
      </c>
      <c r="C991" t="s">
        <v>4</v>
      </c>
      <c r="D991" s="3">
        <f t="shared" si="105"/>
        <v>4</v>
      </c>
      <c r="E991" s="4">
        <f t="shared" si="106"/>
        <v>31</v>
      </c>
      <c r="F991" s="4">
        <f t="shared" si="107"/>
        <v>19</v>
      </c>
      <c r="G991" s="3">
        <f>IF(E991&gt;=20,2000,1900) + D991</f>
        <v>2004</v>
      </c>
      <c r="H991">
        <f t="shared" si="108"/>
        <v>11</v>
      </c>
      <c r="I991" s="4">
        <f t="shared" si="109"/>
        <v>19</v>
      </c>
      <c r="J991">
        <f t="shared" si="110"/>
        <v>20043119</v>
      </c>
      <c r="K991" t="str">
        <f t="shared" si="111"/>
        <v>19.31.2004</v>
      </c>
    </row>
    <row r="992" spans="1:11" x14ac:dyDescent="0.25">
      <c r="A992" s="4" t="s">
        <v>1018</v>
      </c>
      <c r="B992" t="s">
        <v>3</v>
      </c>
      <c r="C992" t="s">
        <v>6</v>
      </c>
      <c r="D992" s="3">
        <f t="shared" si="105"/>
        <v>6</v>
      </c>
      <c r="E992" s="4">
        <f t="shared" si="106"/>
        <v>26</v>
      </c>
      <c r="F992" s="4">
        <f t="shared" si="107"/>
        <v>1</v>
      </c>
      <c r="G992" s="3">
        <f>IF(E992&gt;=20,2000,1900) + D992</f>
        <v>2006</v>
      </c>
      <c r="H992">
        <f t="shared" si="108"/>
        <v>6</v>
      </c>
      <c r="I992" s="4">
        <f t="shared" si="109"/>
        <v>1</v>
      </c>
      <c r="J992">
        <f t="shared" si="110"/>
        <v>20062601</v>
      </c>
      <c r="K992" t="str">
        <f t="shared" si="111"/>
        <v>01.26.2006</v>
      </c>
    </row>
    <row r="993" spans="1:11" x14ac:dyDescent="0.25">
      <c r="A993" s="4" t="s">
        <v>1019</v>
      </c>
      <c r="B993" t="s">
        <v>13</v>
      </c>
      <c r="C993" t="s">
        <v>6</v>
      </c>
      <c r="D993" s="3">
        <f t="shared" si="105"/>
        <v>6</v>
      </c>
      <c r="E993" s="4">
        <f t="shared" si="106"/>
        <v>22</v>
      </c>
      <c r="F993" s="4">
        <f t="shared" si="107"/>
        <v>4</v>
      </c>
      <c r="G993" s="3">
        <f>IF(E993&gt;=20,2000,1900) + D993</f>
        <v>2006</v>
      </c>
      <c r="H993">
        <f t="shared" si="108"/>
        <v>2</v>
      </c>
      <c r="I993" s="4">
        <f t="shared" si="109"/>
        <v>4</v>
      </c>
      <c r="J993">
        <f t="shared" si="110"/>
        <v>20062204</v>
      </c>
      <c r="K993" t="str">
        <f t="shared" si="111"/>
        <v>04.22.2006</v>
      </c>
    </row>
    <row r="994" spans="1:11" x14ac:dyDescent="0.25">
      <c r="A994" s="4" t="s">
        <v>1020</v>
      </c>
      <c r="B994" t="s">
        <v>11</v>
      </c>
      <c r="C994" t="s">
        <v>4</v>
      </c>
      <c r="D994" s="3">
        <f t="shared" si="105"/>
        <v>22</v>
      </c>
      <c r="E994" s="4">
        <f t="shared" si="106"/>
        <v>26</v>
      </c>
      <c r="F994" s="4">
        <f t="shared" si="107"/>
        <v>12</v>
      </c>
      <c r="G994" s="3">
        <f>IF(E994&gt;=20,2000,1900) + D994</f>
        <v>2022</v>
      </c>
      <c r="H994">
        <f t="shared" si="108"/>
        <v>6</v>
      </c>
      <c r="I994" s="4">
        <f t="shared" si="109"/>
        <v>12</v>
      </c>
      <c r="J994">
        <f t="shared" si="110"/>
        <v>20222612</v>
      </c>
      <c r="K994" t="str">
        <f t="shared" si="111"/>
        <v>12.26.2022</v>
      </c>
    </row>
    <row r="995" spans="1:11" x14ac:dyDescent="0.25">
      <c r="A995" s="4" t="s">
        <v>1021</v>
      </c>
      <c r="B995" t="s">
        <v>13</v>
      </c>
      <c r="C995" t="s">
        <v>6</v>
      </c>
      <c r="D995" s="3">
        <f t="shared" si="105"/>
        <v>19</v>
      </c>
      <c r="E995" s="4">
        <f t="shared" si="106"/>
        <v>29</v>
      </c>
      <c r="F995" s="4">
        <f t="shared" si="107"/>
        <v>15</v>
      </c>
      <c r="G995" s="3">
        <f>IF(E995&gt;=20,2000,1900) + D995</f>
        <v>2019</v>
      </c>
      <c r="H995">
        <f t="shared" si="108"/>
        <v>9</v>
      </c>
      <c r="I995" s="4">
        <f t="shared" si="109"/>
        <v>15</v>
      </c>
      <c r="J995">
        <f t="shared" si="110"/>
        <v>20192915</v>
      </c>
      <c r="K995" t="str">
        <f t="shared" si="111"/>
        <v>15.29.2019</v>
      </c>
    </row>
    <row r="996" spans="1:11" x14ac:dyDescent="0.25">
      <c r="A996" s="4" t="s">
        <v>1022</v>
      </c>
      <c r="B996" t="s">
        <v>5</v>
      </c>
      <c r="C996" t="s">
        <v>4</v>
      </c>
      <c r="D996" s="3">
        <f t="shared" si="105"/>
        <v>1</v>
      </c>
      <c r="E996" s="4">
        <f t="shared" si="106"/>
        <v>31</v>
      </c>
      <c r="F996" s="4">
        <f t="shared" si="107"/>
        <v>3</v>
      </c>
      <c r="G996" s="3">
        <f>IF(E996&gt;=20,2000,1900) + D996</f>
        <v>2001</v>
      </c>
      <c r="H996">
        <f t="shared" si="108"/>
        <v>11</v>
      </c>
      <c r="I996" s="4">
        <f t="shared" si="109"/>
        <v>3</v>
      </c>
      <c r="J996">
        <f t="shared" si="110"/>
        <v>20013103</v>
      </c>
      <c r="K996" t="str">
        <f t="shared" si="111"/>
        <v>03.31.2001</v>
      </c>
    </row>
    <row r="997" spans="1:11" x14ac:dyDescent="0.25">
      <c r="A997" s="4" t="s">
        <v>1023</v>
      </c>
      <c r="B997" t="s">
        <v>15</v>
      </c>
      <c r="C997" t="s">
        <v>6</v>
      </c>
      <c r="D997" s="3">
        <f t="shared" si="105"/>
        <v>16</v>
      </c>
      <c r="E997" s="4">
        <f t="shared" si="106"/>
        <v>23</v>
      </c>
      <c r="F997" s="4">
        <f t="shared" si="107"/>
        <v>24</v>
      </c>
      <c r="G997" s="3">
        <f>IF(E997&gt;=20,2000,1900) + D997</f>
        <v>2016</v>
      </c>
      <c r="H997">
        <f t="shared" si="108"/>
        <v>3</v>
      </c>
      <c r="I997" s="4">
        <f t="shared" si="109"/>
        <v>24</v>
      </c>
      <c r="J997">
        <f t="shared" si="110"/>
        <v>20162324</v>
      </c>
      <c r="K997" t="str">
        <f t="shared" si="111"/>
        <v>24.23.2016</v>
      </c>
    </row>
    <row r="998" spans="1:11" x14ac:dyDescent="0.25">
      <c r="A998" s="4" t="s">
        <v>1024</v>
      </c>
      <c r="B998" t="s">
        <v>19</v>
      </c>
      <c r="C998" t="s">
        <v>6</v>
      </c>
      <c r="D998" s="3">
        <f t="shared" si="105"/>
        <v>2</v>
      </c>
      <c r="E998" s="4">
        <f t="shared" si="106"/>
        <v>24</v>
      </c>
      <c r="F998" s="4">
        <f t="shared" si="107"/>
        <v>7</v>
      </c>
      <c r="G998" s="3">
        <f>IF(E998&gt;=20,2000,1900) + D998</f>
        <v>2002</v>
      </c>
      <c r="H998">
        <f t="shared" si="108"/>
        <v>4</v>
      </c>
      <c r="I998" s="4">
        <f t="shared" si="109"/>
        <v>7</v>
      </c>
      <c r="J998">
        <f t="shared" si="110"/>
        <v>20022407</v>
      </c>
      <c r="K998" t="str">
        <f t="shared" si="111"/>
        <v>07.24.2002</v>
      </c>
    </row>
    <row r="999" spans="1:11" x14ac:dyDescent="0.25">
      <c r="A999" s="4" t="s">
        <v>1025</v>
      </c>
      <c r="B999" t="s">
        <v>7</v>
      </c>
      <c r="C999" t="s">
        <v>4</v>
      </c>
      <c r="D999" s="3">
        <f t="shared" si="105"/>
        <v>6</v>
      </c>
      <c r="E999" s="4">
        <f t="shared" si="106"/>
        <v>27</v>
      </c>
      <c r="F999" s="4">
        <f t="shared" si="107"/>
        <v>4</v>
      </c>
      <c r="G999" s="3">
        <f>IF(E999&gt;=20,2000,1900) + D999</f>
        <v>2006</v>
      </c>
      <c r="H999">
        <f t="shared" si="108"/>
        <v>7</v>
      </c>
      <c r="I999" s="4">
        <f t="shared" si="109"/>
        <v>4</v>
      </c>
      <c r="J999">
        <f t="shared" si="110"/>
        <v>20062704</v>
      </c>
      <c r="K999" t="str">
        <f t="shared" si="111"/>
        <v>04.27.2006</v>
      </c>
    </row>
    <row r="1000" spans="1:11" x14ac:dyDescent="0.25">
      <c r="A1000" s="4" t="s">
        <v>1026</v>
      </c>
      <c r="B1000" t="s">
        <v>8</v>
      </c>
      <c r="C1000" t="s">
        <v>4</v>
      </c>
      <c r="D1000" s="3">
        <f t="shared" si="105"/>
        <v>4</v>
      </c>
      <c r="E1000" s="4">
        <f t="shared" si="106"/>
        <v>24</v>
      </c>
      <c r="F1000" s="4">
        <f t="shared" si="107"/>
        <v>18</v>
      </c>
      <c r="G1000" s="3">
        <f>IF(E1000&gt;=20,2000,1900) + D1000</f>
        <v>2004</v>
      </c>
      <c r="H1000">
        <f t="shared" si="108"/>
        <v>4</v>
      </c>
      <c r="I1000" s="4">
        <f t="shared" si="109"/>
        <v>18</v>
      </c>
      <c r="J1000">
        <f t="shared" si="110"/>
        <v>20042418</v>
      </c>
      <c r="K1000" t="str">
        <f t="shared" si="111"/>
        <v>18.24.2004</v>
      </c>
    </row>
    <row r="1001" spans="1:11" x14ac:dyDescent="0.25">
      <c r="A1001" s="4" t="s">
        <v>1027</v>
      </c>
      <c r="B1001" t="s">
        <v>14</v>
      </c>
      <c r="C1001" t="s">
        <v>6</v>
      </c>
      <c r="D1001" s="3">
        <f t="shared" si="105"/>
        <v>17</v>
      </c>
      <c r="E1001" s="4">
        <f t="shared" si="106"/>
        <v>32</v>
      </c>
      <c r="F1001" s="4">
        <f t="shared" si="107"/>
        <v>4</v>
      </c>
      <c r="G1001" s="3">
        <f>IF(E1001&gt;=20,2000,1900) + D1001</f>
        <v>2017</v>
      </c>
      <c r="H1001">
        <f t="shared" si="108"/>
        <v>12</v>
      </c>
      <c r="I1001" s="4">
        <f t="shared" si="109"/>
        <v>4</v>
      </c>
      <c r="J1001">
        <f t="shared" si="110"/>
        <v>20173204</v>
      </c>
      <c r="K1001" t="str">
        <f t="shared" si="111"/>
        <v>04.32.2017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opLeftCell="D1" zoomScale="80" zoomScaleNormal="80" workbookViewId="0">
      <selection activeCell="X2" sqref="X2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  <col min="4" max="6" width="9.140625" style="3"/>
    <col min="7" max="7" width="16.7109375" style="3" customWidth="1"/>
    <col min="10" max="10" width="12.7109375" bestFit="1" customWidth="1"/>
    <col min="11" max="11" width="12.85546875" customWidth="1"/>
    <col min="22" max="22" width="22.28515625" bestFit="1" customWidth="1"/>
    <col min="23" max="23" width="10.7109375" bestFit="1" customWidth="1"/>
    <col min="24" max="24" width="14.5703125" bestFit="1" customWidth="1"/>
  </cols>
  <sheetData>
    <row r="1" spans="1:25" x14ac:dyDescent="0.25">
      <c r="A1" s="4" t="s">
        <v>0</v>
      </c>
      <c r="B1" t="s">
        <v>1</v>
      </c>
      <c r="C1" t="s">
        <v>2</v>
      </c>
      <c r="D1" s="3" t="s">
        <v>27</v>
      </c>
      <c r="E1" s="3" t="s">
        <v>1028</v>
      </c>
      <c r="F1" s="3" t="s">
        <v>1029</v>
      </c>
      <c r="G1" s="3" t="s">
        <v>27</v>
      </c>
      <c r="H1" s="3" t="s">
        <v>1028</v>
      </c>
      <c r="I1" s="3" t="s">
        <v>1029</v>
      </c>
      <c r="J1" s="3" t="s">
        <v>1030</v>
      </c>
      <c r="K1" s="3" t="s">
        <v>1041</v>
      </c>
      <c r="L1" s="3" t="s">
        <v>1042</v>
      </c>
      <c r="M1" s="3" t="s">
        <v>1043</v>
      </c>
      <c r="N1" s="3" t="s">
        <v>1044</v>
      </c>
      <c r="O1" s="3" t="s">
        <v>1045</v>
      </c>
      <c r="P1" s="3" t="s">
        <v>1046</v>
      </c>
      <c r="Q1" s="3" t="s">
        <v>1047</v>
      </c>
      <c r="R1" s="3" t="s">
        <v>1048</v>
      </c>
      <c r="S1" s="3" t="s">
        <v>1049</v>
      </c>
      <c r="T1" s="3" t="s">
        <v>1050</v>
      </c>
      <c r="U1" s="3" t="s">
        <v>1051</v>
      </c>
      <c r="V1" s="3" t="s">
        <v>1052</v>
      </c>
      <c r="W1" s="3" t="s">
        <v>1053</v>
      </c>
      <c r="X1" s="3" t="s">
        <v>1054</v>
      </c>
      <c r="Y1" s="9" t="s">
        <v>1055</v>
      </c>
    </row>
    <row r="2" spans="1:25" x14ac:dyDescent="0.25">
      <c r="A2" s="4" t="s">
        <v>28</v>
      </c>
      <c r="B2" t="s">
        <v>3</v>
      </c>
      <c r="C2" t="s">
        <v>4</v>
      </c>
      <c r="D2" s="3">
        <f>MID(A2,1,2)*1</f>
        <v>93</v>
      </c>
      <c r="E2" s="4">
        <f>MID(A2,3,2)*1</f>
        <v>7</v>
      </c>
      <c r="F2" s="4">
        <f>MID(A2,5,2)*1</f>
        <v>12</v>
      </c>
      <c r="G2" s="3">
        <f>IF(E2&gt;=20,2000,1900) + D2</f>
        <v>1993</v>
      </c>
      <c r="H2">
        <f>IF(E2&gt;=20,E2-20,E2)</f>
        <v>7</v>
      </c>
      <c r="I2" s="4">
        <f>F2</f>
        <v>12</v>
      </c>
      <c r="J2">
        <f>CONCATENATE(G2,IF(LEN(E2)=1,CONCATENATE("0",E2),E2),IF(LEN(F2)=1,CONCATENATE("0",F2),F2))*1</f>
        <v>19930712</v>
      </c>
      <c r="K2" t="str">
        <f>CONCATENATE(RIGHT(J2,2),".",MID(J2,5,2),".",LEFT(J2,4))</f>
        <v>12.07.1993</v>
      </c>
      <c r="L2" s="4">
        <f>MID(A2,1,1)*1</f>
        <v>9</v>
      </c>
      <c r="M2" s="4">
        <f>MID(A2,2,1)*3</f>
        <v>9</v>
      </c>
      <c r="N2" s="4">
        <f>MID(A2,3,1)*7</f>
        <v>0</v>
      </c>
      <c r="O2" s="4">
        <f>MID(A2,4,1)*9</f>
        <v>63</v>
      </c>
      <c r="P2" s="4">
        <f>MID(A2,5,1)*1</f>
        <v>1</v>
      </c>
      <c r="Q2" s="4">
        <f>MID(A2,6,1)*3</f>
        <v>6</v>
      </c>
      <c r="R2" s="4">
        <f>MID(A2,7,1)*7</f>
        <v>56</v>
      </c>
      <c r="S2" s="4">
        <f>MID(A2,8,1)*9</f>
        <v>45</v>
      </c>
      <c r="T2" s="4">
        <f>MID(A2,9,1)*1</f>
        <v>2</v>
      </c>
      <c r="U2" s="4">
        <f>MID(A2,10,1)*3</f>
        <v>6</v>
      </c>
      <c r="V2" s="8">
        <f>MOD(SUM(L2:U2),10)</f>
        <v>7</v>
      </c>
      <c r="W2" s="8">
        <f>IF(V2=0,0,10-V2)</f>
        <v>3</v>
      </c>
      <c r="X2">
        <f>IF(W2=RIGHT(A2,1)*1,1,0)</f>
        <v>1</v>
      </c>
      <c r="Y2" s="5">
        <f>COUNTIF(X:X,0)</f>
        <v>5</v>
      </c>
    </row>
    <row r="3" spans="1:25" x14ac:dyDescent="0.25">
      <c r="A3" s="4" t="s">
        <v>29</v>
      </c>
      <c r="B3" t="s">
        <v>5</v>
      </c>
      <c r="C3" t="s">
        <v>6</v>
      </c>
      <c r="D3" s="3">
        <f t="shared" ref="D3:D66" si="0">MID(A3,1,2)*1</f>
        <v>71</v>
      </c>
      <c r="E3" s="4">
        <f t="shared" ref="E3:E66" si="1">MID(A3,3,2)*1</f>
        <v>10</v>
      </c>
      <c r="F3" s="4">
        <f t="shared" ref="F3:F66" si="2">MID(A3,5,2)*1</f>
        <v>1</v>
      </c>
      <c r="G3" s="3">
        <f>IF(E3&gt;=20,2000,1900) + D3</f>
        <v>1971</v>
      </c>
      <c r="H3">
        <f t="shared" ref="H3:H66" si="3">IF(E3&gt;=20,E3-20,E3)</f>
        <v>10</v>
      </c>
      <c r="I3" s="4">
        <f t="shared" ref="I3:I66" si="4">F3</f>
        <v>1</v>
      </c>
      <c r="J3">
        <f t="shared" ref="J3:J66" si="5">CONCATENATE(G3,IF(LEN(E3)=1,CONCATENATE("0",E3),E3),IF(LEN(F3)=1,CONCATENATE("0",F3),F3))*1</f>
        <v>19711001</v>
      </c>
      <c r="K3" t="str">
        <f t="shared" ref="K3:K66" si="6">CONCATENATE(RIGHT(J3,2),".",MID(J3,5,2),".",LEFT(J3,4))</f>
        <v>01.10.1971</v>
      </c>
      <c r="L3" s="4">
        <f t="shared" ref="L3:L66" si="7">MID(A3,1,1)*1</f>
        <v>7</v>
      </c>
      <c r="M3" s="4">
        <f t="shared" ref="M3:M66" si="8">MID(A3,2,1)*3</f>
        <v>3</v>
      </c>
      <c r="N3" s="4">
        <f t="shared" ref="N3:N66" si="9">MID(A3,3,1)*7</f>
        <v>7</v>
      </c>
      <c r="O3" s="4">
        <f t="shared" ref="O3:O66" si="10">MID(A3,4,1)*9</f>
        <v>0</v>
      </c>
      <c r="P3" s="4">
        <f t="shared" ref="P3:P66" si="11">MID(A3,5,1)*1</f>
        <v>0</v>
      </c>
      <c r="Q3" s="4">
        <f t="shared" ref="Q3:Q66" si="12">MID(A3,6,1)*3</f>
        <v>3</v>
      </c>
      <c r="R3" s="4">
        <f t="shared" ref="R3:R66" si="13">MID(A3,7,1)*7</f>
        <v>42</v>
      </c>
      <c r="S3" s="4">
        <f t="shared" ref="S3:S66" si="14">MID(A3,8,1)*9</f>
        <v>9</v>
      </c>
      <c r="T3" s="4">
        <f t="shared" ref="T3:T66" si="15">MID(A3,9,1)*1</f>
        <v>8</v>
      </c>
      <c r="U3" s="4">
        <f t="shared" ref="U3:U66" si="16">MID(A3,10,1)*3</f>
        <v>3</v>
      </c>
      <c r="V3" s="8">
        <f t="shared" ref="V3:V66" si="17">MOD(SUM(L3:U3),10)</f>
        <v>2</v>
      </c>
      <c r="W3" s="8">
        <f t="shared" ref="W3:W66" si="18">IF(V3=0,0,10-V3)</f>
        <v>8</v>
      </c>
      <c r="X3">
        <f t="shared" ref="X3:X66" si="19">IF(W3=RIGHT(A3,1)*1,1,0)</f>
        <v>1</v>
      </c>
    </row>
    <row r="4" spans="1:25" x14ac:dyDescent="0.25">
      <c r="A4" s="4" t="s">
        <v>30</v>
      </c>
      <c r="B4" t="s">
        <v>7</v>
      </c>
      <c r="C4" t="s">
        <v>6</v>
      </c>
      <c r="D4" s="3">
        <f t="shared" si="0"/>
        <v>81</v>
      </c>
      <c r="E4" s="4">
        <f t="shared" si="1"/>
        <v>4</v>
      </c>
      <c r="F4" s="4">
        <f t="shared" si="2"/>
        <v>23</v>
      </c>
      <c r="G4" s="3">
        <f>IF(E4&gt;=20,2000,1900) + D4</f>
        <v>1981</v>
      </c>
      <c r="H4">
        <f t="shared" si="3"/>
        <v>4</v>
      </c>
      <c r="I4" s="4">
        <f t="shared" si="4"/>
        <v>23</v>
      </c>
      <c r="J4">
        <f t="shared" si="5"/>
        <v>19810423</v>
      </c>
      <c r="K4" t="str">
        <f t="shared" si="6"/>
        <v>23.04.1981</v>
      </c>
      <c r="L4" s="4">
        <f t="shared" si="7"/>
        <v>8</v>
      </c>
      <c r="M4" s="4">
        <f t="shared" si="8"/>
        <v>3</v>
      </c>
      <c r="N4" s="4">
        <f t="shared" si="9"/>
        <v>0</v>
      </c>
      <c r="O4" s="4">
        <f t="shared" si="10"/>
        <v>36</v>
      </c>
      <c r="P4" s="4">
        <f t="shared" si="11"/>
        <v>2</v>
      </c>
      <c r="Q4" s="4">
        <f t="shared" si="12"/>
        <v>9</v>
      </c>
      <c r="R4" s="4">
        <f t="shared" si="13"/>
        <v>14</v>
      </c>
      <c r="S4" s="4">
        <f t="shared" si="14"/>
        <v>18</v>
      </c>
      <c r="T4" s="4">
        <f t="shared" si="15"/>
        <v>7</v>
      </c>
      <c r="U4" s="4">
        <f t="shared" si="16"/>
        <v>3</v>
      </c>
      <c r="V4" s="8">
        <f t="shared" si="17"/>
        <v>0</v>
      </c>
      <c r="W4" s="8">
        <f t="shared" si="18"/>
        <v>0</v>
      </c>
      <c r="X4">
        <f t="shared" si="19"/>
        <v>1</v>
      </c>
    </row>
    <row r="5" spans="1:25" x14ac:dyDescent="0.25">
      <c r="A5" s="4" t="s">
        <v>31</v>
      </c>
      <c r="B5" t="s">
        <v>8</v>
      </c>
      <c r="C5" t="s">
        <v>4</v>
      </c>
      <c r="D5" s="3">
        <f t="shared" si="0"/>
        <v>72</v>
      </c>
      <c r="E5" s="4">
        <f t="shared" si="1"/>
        <v>8</v>
      </c>
      <c r="F5" s="4">
        <f t="shared" si="2"/>
        <v>31</v>
      </c>
      <c r="G5" s="3">
        <f>IF(E5&gt;=20,2000,1900) + D5</f>
        <v>1972</v>
      </c>
      <c r="H5">
        <f t="shared" si="3"/>
        <v>8</v>
      </c>
      <c r="I5" s="4">
        <f t="shared" si="4"/>
        <v>31</v>
      </c>
      <c r="J5">
        <f t="shared" si="5"/>
        <v>19720831</v>
      </c>
      <c r="K5" t="str">
        <f t="shared" si="6"/>
        <v>31.08.1972</v>
      </c>
      <c r="L5" s="4">
        <f t="shared" si="7"/>
        <v>7</v>
      </c>
      <c r="M5" s="4">
        <f t="shared" si="8"/>
        <v>6</v>
      </c>
      <c r="N5" s="4">
        <f t="shared" si="9"/>
        <v>0</v>
      </c>
      <c r="O5" s="4">
        <f t="shared" si="10"/>
        <v>72</v>
      </c>
      <c r="P5" s="4">
        <f t="shared" si="11"/>
        <v>3</v>
      </c>
      <c r="Q5" s="4">
        <f t="shared" si="12"/>
        <v>3</v>
      </c>
      <c r="R5" s="4">
        <f t="shared" si="13"/>
        <v>21</v>
      </c>
      <c r="S5" s="4">
        <f t="shared" si="14"/>
        <v>27</v>
      </c>
      <c r="T5" s="4">
        <f t="shared" si="15"/>
        <v>4</v>
      </c>
      <c r="U5" s="4">
        <f t="shared" si="16"/>
        <v>21</v>
      </c>
      <c r="V5" s="8">
        <f t="shared" si="17"/>
        <v>4</v>
      </c>
      <c r="W5" s="8">
        <f t="shared" si="18"/>
        <v>6</v>
      </c>
      <c r="X5">
        <f t="shared" si="19"/>
        <v>1</v>
      </c>
    </row>
    <row r="6" spans="1:25" x14ac:dyDescent="0.25">
      <c r="A6" s="4" t="s">
        <v>32</v>
      </c>
      <c r="B6" t="s">
        <v>9</v>
      </c>
      <c r="C6" t="s">
        <v>6</v>
      </c>
      <c r="D6" s="3">
        <f t="shared" si="0"/>
        <v>50</v>
      </c>
      <c r="E6" s="4">
        <f t="shared" si="1"/>
        <v>7</v>
      </c>
      <c r="F6" s="4">
        <f t="shared" si="2"/>
        <v>28</v>
      </c>
      <c r="G6" s="3">
        <f>IF(E6&gt;=20,2000,1900) + D6</f>
        <v>1950</v>
      </c>
      <c r="H6">
        <f t="shared" si="3"/>
        <v>7</v>
      </c>
      <c r="I6" s="4">
        <f t="shared" si="4"/>
        <v>28</v>
      </c>
      <c r="J6">
        <f t="shared" si="5"/>
        <v>19500728</v>
      </c>
      <c r="K6" t="str">
        <f t="shared" si="6"/>
        <v>28.07.1950</v>
      </c>
      <c r="L6" s="4">
        <f t="shared" si="7"/>
        <v>5</v>
      </c>
      <c r="M6" s="4">
        <f t="shared" si="8"/>
        <v>0</v>
      </c>
      <c r="N6" s="4">
        <f t="shared" si="9"/>
        <v>0</v>
      </c>
      <c r="O6" s="4">
        <f t="shared" si="10"/>
        <v>63</v>
      </c>
      <c r="P6" s="4">
        <f t="shared" si="11"/>
        <v>2</v>
      </c>
      <c r="Q6" s="4">
        <f t="shared" si="12"/>
        <v>24</v>
      </c>
      <c r="R6" s="4">
        <f t="shared" si="13"/>
        <v>0</v>
      </c>
      <c r="S6" s="4">
        <f t="shared" si="14"/>
        <v>0</v>
      </c>
      <c r="T6" s="4">
        <f t="shared" si="15"/>
        <v>1</v>
      </c>
      <c r="U6" s="4">
        <f t="shared" si="16"/>
        <v>15</v>
      </c>
      <c r="V6" s="8">
        <f t="shared" si="17"/>
        <v>0</v>
      </c>
      <c r="W6" s="8">
        <f t="shared" si="18"/>
        <v>0</v>
      </c>
      <c r="X6">
        <f t="shared" si="19"/>
        <v>1</v>
      </c>
    </row>
    <row r="7" spans="1:25" x14ac:dyDescent="0.25">
      <c r="A7" s="4" t="s">
        <v>33</v>
      </c>
      <c r="B7" t="s">
        <v>10</v>
      </c>
      <c r="C7" t="s">
        <v>6</v>
      </c>
      <c r="D7" s="3">
        <f t="shared" si="0"/>
        <v>93</v>
      </c>
      <c r="E7" s="4">
        <f t="shared" si="1"/>
        <v>5</v>
      </c>
      <c r="F7" s="4">
        <f t="shared" si="2"/>
        <v>7</v>
      </c>
      <c r="G7" s="3">
        <f>IF(E7&gt;=20,2000,1900) + D7</f>
        <v>1993</v>
      </c>
      <c r="H7">
        <f t="shared" si="3"/>
        <v>5</v>
      </c>
      <c r="I7" s="4">
        <f t="shared" si="4"/>
        <v>7</v>
      </c>
      <c r="J7">
        <f t="shared" si="5"/>
        <v>19930507</v>
      </c>
      <c r="K7" t="str">
        <f t="shared" si="6"/>
        <v>07.05.1993</v>
      </c>
      <c r="L7" s="4">
        <f t="shared" si="7"/>
        <v>9</v>
      </c>
      <c r="M7" s="4">
        <f t="shared" si="8"/>
        <v>9</v>
      </c>
      <c r="N7" s="4">
        <f t="shared" si="9"/>
        <v>0</v>
      </c>
      <c r="O7" s="4">
        <f t="shared" si="10"/>
        <v>45</v>
      </c>
      <c r="P7" s="4">
        <f t="shared" si="11"/>
        <v>0</v>
      </c>
      <c r="Q7" s="4">
        <f t="shared" si="12"/>
        <v>21</v>
      </c>
      <c r="R7" s="4">
        <f t="shared" si="13"/>
        <v>7</v>
      </c>
      <c r="S7" s="4">
        <f t="shared" si="14"/>
        <v>54</v>
      </c>
      <c r="T7" s="4">
        <f t="shared" si="15"/>
        <v>9</v>
      </c>
      <c r="U7" s="4">
        <f t="shared" si="16"/>
        <v>12</v>
      </c>
      <c r="V7" s="8">
        <f t="shared" si="17"/>
        <v>6</v>
      </c>
      <c r="W7" s="8">
        <f t="shared" si="18"/>
        <v>4</v>
      </c>
      <c r="X7">
        <f t="shared" si="19"/>
        <v>1</v>
      </c>
    </row>
    <row r="8" spans="1:25" x14ac:dyDescent="0.25">
      <c r="A8" s="4" t="s">
        <v>34</v>
      </c>
      <c r="B8" t="s">
        <v>9</v>
      </c>
      <c r="C8" t="s">
        <v>6</v>
      </c>
      <c r="D8" s="3">
        <f t="shared" si="0"/>
        <v>72</v>
      </c>
      <c r="E8" s="4">
        <f t="shared" si="1"/>
        <v>8</v>
      </c>
      <c r="F8" s="4">
        <f t="shared" si="2"/>
        <v>14</v>
      </c>
      <c r="G8" s="3">
        <f>IF(E8&gt;=20,2000,1900) + D8</f>
        <v>1972</v>
      </c>
      <c r="H8">
        <f t="shared" si="3"/>
        <v>8</v>
      </c>
      <c r="I8" s="4">
        <f t="shared" si="4"/>
        <v>14</v>
      </c>
      <c r="J8">
        <f t="shared" si="5"/>
        <v>19720814</v>
      </c>
      <c r="K8" t="str">
        <f t="shared" si="6"/>
        <v>14.08.1972</v>
      </c>
      <c r="L8" s="4">
        <f t="shared" si="7"/>
        <v>7</v>
      </c>
      <c r="M8" s="4">
        <f t="shared" si="8"/>
        <v>6</v>
      </c>
      <c r="N8" s="4">
        <f t="shared" si="9"/>
        <v>0</v>
      </c>
      <c r="O8" s="4">
        <f t="shared" si="10"/>
        <v>72</v>
      </c>
      <c r="P8" s="4">
        <f t="shared" si="11"/>
        <v>1</v>
      </c>
      <c r="Q8" s="4">
        <f t="shared" si="12"/>
        <v>12</v>
      </c>
      <c r="R8" s="4">
        <f t="shared" si="13"/>
        <v>49</v>
      </c>
      <c r="S8" s="4">
        <f t="shared" si="14"/>
        <v>81</v>
      </c>
      <c r="T8" s="4">
        <f t="shared" si="15"/>
        <v>0</v>
      </c>
      <c r="U8" s="4">
        <f t="shared" si="16"/>
        <v>9</v>
      </c>
      <c r="V8" s="8">
        <f t="shared" si="17"/>
        <v>7</v>
      </c>
      <c r="W8" s="8">
        <f t="shared" si="18"/>
        <v>3</v>
      </c>
      <c r="X8">
        <f t="shared" si="19"/>
        <v>1</v>
      </c>
    </row>
    <row r="9" spans="1:25" x14ac:dyDescent="0.25">
      <c r="A9" s="4" t="s">
        <v>35</v>
      </c>
      <c r="B9" t="s">
        <v>8</v>
      </c>
      <c r="C9" t="s">
        <v>6</v>
      </c>
      <c r="D9" s="3">
        <f t="shared" si="0"/>
        <v>95</v>
      </c>
      <c r="E9" s="4">
        <f t="shared" si="1"/>
        <v>9</v>
      </c>
      <c r="F9" s="4">
        <f t="shared" si="2"/>
        <v>8</v>
      </c>
      <c r="G9" s="3">
        <f>IF(E9&gt;=20,2000,1900) + D9</f>
        <v>1995</v>
      </c>
      <c r="H9">
        <f t="shared" si="3"/>
        <v>9</v>
      </c>
      <c r="I9" s="4">
        <f t="shared" si="4"/>
        <v>8</v>
      </c>
      <c r="J9">
        <f t="shared" si="5"/>
        <v>19950908</v>
      </c>
      <c r="K9" t="str">
        <f t="shared" si="6"/>
        <v>08.09.1995</v>
      </c>
      <c r="L9" s="4">
        <f t="shared" si="7"/>
        <v>9</v>
      </c>
      <c r="M9" s="4">
        <f t="shared" si="8"/>
        <v>15</v>
      </c>
      <c r="N9" s="4">
        <f t="shared" si="9"/>
        <v>0</v>
      </c>
      <c r="O9" s="4">
        <f t="shared" si="10"/>
        <v>81</v>
      </c>
      <c r="P9" s="4">
        <f t="shared" si="11"/>
        <v>0</v>
      </c>
      <c r="Q9" s="4">
        <f t="shared" si="12"/>
        <v>24</v>
      </c>
      <c r="R9" s="4">
        <f t="shared" si="13"/>
        <v>49</v>
      </c>
      <c r="S9" s="4">
        <f t="shared" si="14"/>
        <v>36</v>
      </c>
      <c r="T9" s="4">
        <f t="shared" si="15"/>
        <v>9</v>
      </c>
      <c r="U9" s="4">
        <f t="shared" si="16"/>
        <v>15</v>
      </c>
      <c r="V9" s="8">
        <f t="shared" si="17"/>
        <v>8</v>
      </c>
      <c r="W9" s="8">
        <f t="shared" si="18"/>
        <v>2</v>
      </c>
      <c r="X9">
        <f t="shared" si="19"/>
        <v>1</v>
      </c>
    </row>
    <row r="10" spans="1:25" x14ac:dyDescent="0.25">
      <c r="A10" s="4" t="s">
        <v>36</v>
      </c>
      <c r="B10" t="s">
        <v>3</v>
      </c>
      <c r="C10" t="s">
        <v>4</v>
      </c>
      <c r="D10" s="3">
        <f t="shared" si="0"/>
        <v>61</v>
      </c>
      <c r="E10" s="4">
        <f t="shared" si="1"/>
        <v>12</v>
      </c>
      <c r="F10" s="4">
        <f t="shared" si="2"/>
        <v>10</v>
      </c>
      <c r="G10" s="3">
        <f>IF(E10&gt;=20,2000,1900) + D10</f>
        <v>1961</v>
      </c>
      <c r="H10">
        <f t="shared" si="3"/>
        <v>12</v>
      </c>
      <c r="I10" s="4">
        <f t="shared" si="4"/>
        <v>10</v>
      </c>
      <c r="J10">
        <f t="shared" si="5"/>
        <v>19611210</v>
      </c>
      <c r="K10" t="str">
        <f t="shared" si="6"/>
        <v>10.12.1961</v>
      </c>
      <c r="L10" s="4">
        <f t="shared" si="7"/>
        <v>6</v>
      </c>
      <c r="M10" s="4">
        <f t="shared" si="8"/>
        <v>3</v>
      </c>
      <c r="N10" s="4">
        <f t="shared" si="9"/>
        <v>7</v>
      </c>
      <c r="O10" s="4">
        <f t="shared" si="10"/>
        <v>18</v>
      </c>
      <c r="P10" s="4">
        <f t="shared" si="11"/>
        <v>1</v>
      </c>
      <c r="Q10" s="4">
        <f t="shared" si="12"/>
        <v>0</v>
      </c>
      <c r="R10" s="4">
        <f t="shared" si="13"/>
        <v>49</v>
      </c>
      <c r="S10" s="4">
        <f t="shared" si="14"/>
        <v>0</v>
      </c>
      <c r="T10" s="4">
        <f t="shared" si="15"/>
        <v>2</v>
      </c>
      <c r="U10" s="4">
        <f t="shared" si="16"/>
        <v>3</v>
      </c>
      <c r="V10" s="8">
        <f t="shared" si="17"/>
        <v>9</v>
      </c>
      <c r="W10" s="8">
        <f t="shared" si="18"/>
        <v>1</v>
      </c>
      <c r="X10">
        <f t="shared" si="19"/>
        <v>1</v>
      </c>
    </row>
    <row r="11" spans="1:25" x14ac:dyDescent="0.25">
      <c r="A11" s="4" t="s">
        <v>37</v>
      </c>
      <c r="B11" t="s">
        <v>10</v>
      </c>
      <c r="C11" t="s">
        <v>6</v>
      </c>
      <c r="D11" s="3">
        <f t="shared" si="0"/>
        <v>81</v>
      </c>
      <c r="E11" s="4">
        <f t="shared" si="1"/>
        <v>5</v>
      </c>
      <c r="F11" s="4">
        <f t="shared" si="2"/>
        <v>17</v>
      </c>
      <c r="G11" s="3">
        <f>IF(E11&gt;=20,2000,1900) + D11</f>
        <v>1981</v>
      </c>
      <c r="H11">
        <f t="shared" si="3"/>
        <v>5</v>
      </c>
      <c r="I11" s="4">
        <f t="shared" si="4"/>
        <v>17</v>
      </c>
      <c r="J11">
        <f t="shared" si="5"/>
        <v>19810517</v>
      </c>
      <c r="K11" t="str">
        <f t="shared" si="6"/>
        <v>17.05.1981</v>
      </c>
      <c r="L11" s="4">
        <f t="shared" si="7"/>
        <v>8</v>
      </c>
      <c r="M11" s="4">
        <f t="shared" si="8"/>
        <v>3</v>
      </c>
      <c r="N11" s="4">
        <f t="shared" si="9"/>
        <v>0</v>
      </c>
      <c r="O11" s="4">
        <f t="shared" si="10"/>
        <v>45</v>
      </c>
      <c r="P11" s="4">
        <f t="shared" si="11"/>
        <v>1</v>
      </c>
      <c r="Q11" s="4">
        <f t="shared" si="12"/>
        <v>21</v>
      </c>
      <c r="R11" s="4">
        <f t="shared" si="13"/>
        <v>21</v>
      </c>
      <c r="S11" s="4">
        <f t="shared" si="14"/>
        <v>0</v>
      </c>
      <c r="T11" s="4">
        <f t="shared" si="15"/>
        <v>5</v>
      </c>
      <c r="U11" s="4">
        <f t="shared" si="16"/>
        <v>6</v>
      </c>
      <c r="V11" s="8">
        <f t="shared" si="17"/>
        <v>0</v>
      </c>
      <c r="W11" s="8">
        <f t="shared" si="18"/>
        <v>0</v>
      </c>
      <c r="X11">
        <f t="shared" si="19"/>
        <v>1</v>
      </c>
    </row>
    <row r="12" spans="1:25" x14ac:dyDescent="0.25">
      <c r="A12" s="4" t="s">
        <v>38</v>
      </c>
      <c r="B12" t="s">
        <v>5</v>
      </c>
      <c r="C12" t="s">
        <v>6</v>
      </c>
      <c r="D12" s="3">
        <f t="shared" si="0"/>
        <v>95</v>
      </c>
      <c r="E12" s="4">
        <f t="shared" si="1"/>
        <v>6</v>
      </c>
      <c r="F12" s="4">
        <f t="shared" si="2"/>
        <v>17</v>
      </c>
      <c r="G12" s="3">
        <f>IF(E12&gt;=20,2000,1900) + D12</f>
        <v>1995</v>
      </c>
      <c r="H12">
        <f t="shared" si="3"/>
        <v>6</v>
      </c>
      <c r="I12" s="4">
        <f t="shared" si="4"/>
        <v>17</v>
      </c>
      <c r="J12">
        <f t="shared" si="5"/>
        <v>19950617</v>
      </c>
      <c r="K12" t="str">
        <f t="shared" si="6"/>
        <v>17.06.1995</v>
      </c>
      <c r="L12" s="4">
        <f t="shared" si="7"/>
        <v>9</v>
      </c>
      <c r="M12" s="4">
        <f t="shared" si="8"/>
        <v>15</v>
      </c>
      <c r="N12" s="4">
        <f t="shared" si="9"/>
        <v>0</v>
      </c>
      <c r="O12" s="4">
        <f t="shared" si="10"/>
        <v>54</v>
      </c>
      <c r="P12" s="4">
        <f t="shared" si="11"/>
        <v>1</v>
      </c>
      <c r="Q12" s="4">
        <f t="shared" si="12"/>
        <v>21</v>
      </c>
      <c r="R12" s="4">
        <f t="shared" si="13"/>
        <v>0</v>
      </c>
      <c r="S12" s="4">
        <f t="shared" si="14"/>
        <v>18</v>
      </c>
      <c r="T12" s="4">
        <f t="shared" si="15"/>
        <v>6</v>
      </c>
      <c r="U12" s="4">
        <f t="shared" si="16"/>
        <v>6</v>
      </c>
      <c r="V12" s="8">
        <f t="shared" si="17"/>
        <v>0</v>
      </c>
      <c r="W12" s="8">
        <f t="shared" si="18"/>
        <v>0</v>
      </c>
      <c r="X12">
        <f t="shared" si="19"/>
        <v>1</v>
      </c>
    </row>
    <row r="13" spans="1:25" x14ac:dyDescent="0.25">
      <c r="A13" s="4" t="s">
        <v>39</v>
      </c>
      <c r="B13" t="s">
        <v>11</v>
      </c>
      <c r="C13" t="s">
        <v>6</v>
      </c>
      <c r="D13" s="3">
        <f t="shared" si="0"/>
        <v>50</v>
      </c>
      <c r="E13" s="4">
        <f t="shared" si="1"/>
        <v>8</v>
      </c>
      <c r="F13" s="4">
        <f t="shared" si="2"/>
        <v>8</v>
      </c>
      <c r="G13" s="3">
        <f>IF(E13&gt;=20,2000,1900) + D13</f>
        <v>1950</v>
      </c>
      <c r="H13">
        <f t="shared" si="3"/>
        <v>8</v>
      </c>
      <c r="I13" s="4">
        <f t="shared" si="4"/>
        <v>8</v>
      </c>
      <c r="J13">
        <f t="shared" si="5"/>
        <v>19500808</v>
      </c>
      <c r="K13" t="str">
        <f t="shared" si="6"/>
        <v>08.08.1950</v>
      </c>
      <c r="L13" s="4">
        <f t="shared" si="7"/>
        <v>5</v>
      </c>
      <c r="M13" s="4">
        <f t="shared" si="8"/>
        <v>0</v>
      </c>
      <c r="N13" s="4">
        <f t="shared" si="9"/>
        <v>0</v>
      </c>
      <c r="O13" s="4">
        <f t="shared" si="10"/>
        <v>72</v>
      </c>
      <c r="P13" s="4">
        <f t="shared" si="11"/>
        <v>0</v>
      </c>
      <c r="Q13" s="4">
        <f t="shared" si="12"/>
        <v>24</v>
      </c>
      <c r="R13" s="4">
        <f t="shared" si="13"/>
        <v>35</v>
      </c>
      <c r="S13" s="4">
        <f t="shared" si="14"/>
        <v>9</v>
      </c>
      <c r="T13" s="4">
        <f t="shared" si="15"/>
        <v>6</v>
      </c>
      <c r="U13" s="4">
        <f t="shared" si="16"/>
        <v>21</v>
      </c>
      <c r="V13" s="8">
        <f t="shared" si="17"/>
        <v>2</v>
      </c>
      <c r="W13" s="8">
        <f t="shared" si="18"/>
        <v>8</v>
      </c>
      <c r="X13">
        <f t="shared" si="19"/>
        <v>1</v>
      </c>
    </row>
    <row r="14" spans="1:25" x14ac:dyDescent="0.25">
      <c r="A14" s="4" t="s">
        <v>40</v>
      </c>
      <c r="B14" t="s">
        <v>12</v>
      </c>
      <c r="C14" t="s">
        <v>6</v>
      </c>
      <c r="D14" s="3">
        <f t="shared" si="0"/>
        <v>79</v>
      </c>
      <c r="E14" s="4">
        <f t="shared" si="1"/>
        <v>9</v>
      </c>
      <c r="F14" s="4">
        <f t="shared" si="2"/>
        <v>28</v>
      </c>
      <c r="G14" s="3">
        <f>IF(E14&gt;=20,2000,1900) + D14</f>
        <v>1979</v>
      </c>
      <c r="H14">
        <f t="shared" si="3"/>
        <v>9</v>
      </c>
      <c r="I14" s="4">
        <f t="shared" si="4"/>
        <v>28</v>
      </c>
      <c r="J14">
        <f t="shared" si="5"/>
        <v>19790928</v>
      </c>
      <c r="K14" t="str">
        <f t="shared" si="6"/>
        <v>28.09.1979</v>
      </c>
      <c r="L14" s="4">
        <f t="shared" si="7"/>
        <v>7</v>
      </c>
      <c r="M14" s="4">
        <f t="shared" si="8"/>
        <v>27</v>
      </c>
      <c r="N14" s="4">
        <f t="shared" si="9"/>
        <v>0</v>
      </c>
      <c r="O14" s="4">
        <f t="shared" si="10"/>
        <v>81</v>
      </c>
      <c r="P14" s="4">
        <f t="shared" si="11"/>
        <v>2</v>
      </c>
      <c r="Q14" s="4">
        <f t="shared" si="12"/>
        <v>24</v>
      </c>
      <c r="R14" s="4">
        <f t="shared" si="13"/>
        <v>42</v>
      </c>
      <c r="S14" s="4">
        <f t="shared" si="14"/>
        <v>45</v>
      </c>
      <c r="T14" s="4">
        <f t="shared" si="15"/>
        <v>5</v>
      </c>
      <c r="U14" s="4">
        <f t="shared" si="16"/>
        <v>24</v>
      </c>
      <c r="V14" s="8">
        <f t="shared" si="17"/>
        <v>7</v>
      </c>
      <c r="W14" s="8">
        <f t="shared" si="18"/>
        <v>3</v>
      </c>
      <c r="X14">
        <f t="shared" si="19"/>
        <v>1</v>
      </c>
    </row>
    <row r="15" spans="1:25" x14ac:dyDescent="0.25">
      <c r="A15" s="4" t="s">
        <v>41</v>
      </c>
      <c r="B15" t="s">
        <v>13</v>
      </c>
      <c r="C15" t="s">
        <v>6</v>
      </c>
      <c r="D15" s="3">
        <f t="shared" si="0"/>
        <v>66</v>
      </c>
      <c r="E15" s="4">
        <f t="shared" si="1"/>
        <v>9</v>
      </c>
      <c r="F15" s="4">
        <f t="shared" si="2"/>
        <v>11</v>
      </c>
      <c r="G15" s="3">
        <f>IF(E15&gt;=20,2000,1900) + D15</f>
        <v>1966</v>
      </c>
      <c r="H15">
        <f t="shared" si="3"/>
        <v>9</v>
      </c>
      <c r="I15" s="4">
        <f t="shared" si="4"/>
        <v>11</v>
      </c>
      <c r="J15">
        <f t="shared" si="5"/>
        <v>19660911</v>
      </c>
      <c r="K15" t="str">
        <f t="shared" si="6"/>
        <v>11.09.1966</v>
      </c>
      <c r="L15" s="4">
        <f t="shared" si="7"/>
        <v>6</v>
      </c>
      <c r="M15" s="4">
        <f t="shared" si="8"/>
        <v>18</v>
      </c>
      <c r="N15" s="4">
        <f t="shared" si="9"/>
        <v>0</v>
      </c>
      <c r="O15" s="4">
        <f t="shared" si="10"/>
        <v>81</v>
      </c>
      <c r="P15" s="4">
        <f t="shared" si="11"/>
        <v>1</v>
      </c>
      <c r="Q15" s="4">
        <f t="shared" si="12"/>
        <v>3</v>
      </c>
      <c r="R15" s="4">
        <f t="shared" si="13"/>
        <v>21</v>
      </c>
      <c r="S15" s="4">
        <f t="shared" si="14"/>
        <v>54</v>
      </c>
      <c r="T15" s="4">
        <f t="shared" si="15"/>
        <v>0</v>
      </c>
      <c r="U15" s="4">
        <f t="shared" si="16"/>
        <v>9</v>
      </c>
      <c r="V15" s="8">
        <f t="shared" si="17"/>
        <v>3</v>
      </c>
      <c r="W15" s="8">
        <f t="shared" si="18"/>
        <v>7</v>
      </c>
      <c r="X15">
        <f t="shared" si="19"/>
        <v>1</v>
      </c>
    </row>
    <row r="16" spans="1:25" x14ac:dyDescent="0.25">
      <c r="A16" s="4" t="s">
        <v>42</v>
      </c>
      <c r="B16" t="s">
        <v>12</v>
      </c>
      <c r="C16" t="s">
        <v>4</v>
      </c>
      <c r="D16" s="3">
        <f t="shared" si="0"/>
        <v>84</v>
      </c>
      <c r="E16" s="4">
        <f t="shared" si="1"/>
        <v>8</v>
      </c>
      <c r="F16" s="4">
        <f t="shared" si="2"/>
        <v>10</v>
      </c>
      <c r="G16" s="3">
        <f>IF(E16&gt;=20,2000,1900) + D16</f>
        <v>1984</v>
      </c>
      <c r="H16">
        <f t="shared" si="3"/>
        <v>8</v>
      </c>
      <c r="I16" s="4">
        <f t="shared" si="4"/>
        <v>10</v>
      </c>
      <c r="J16">
        <f t="shared" si="5"/>
        <v>19840810</v>
      </c>
      <c r="K16" t="str">
        <f t="shared" si="6"/>
        <v>10.08.1984</v>
      </c>
      <c r="L16" s="4">
        <f t="shared" si="7"/>
        <v>8</v>
      </c>
      <c r="M16" s="4">
        <f t="shared" si="8"/>
        <v>12</v>
      </c>
      <c r="N16" s="4">
        <f t="shared" si="9"/>
        <v>0</v>
      </c>
      <c r="O16" s="4">
        <f t="shared" si="10"/>
        <v>72</v>
      </c>
      <c r="P16" s="4">
        <f t="shared" si="11"/>
        <v>1</v>
      </c>
      <c r="Q16" s="4">
        <f t="shared" si="12"/>
        <v>0</v>
      </c>
      <c r="R16" s="4">
        <f t="shared" si="13"/>
        <v>28</v>
      </c>
      <c r="S16" s="4">
        <f t="shared" si="14"/>
        <v>18</v>
      </c>
      <c r="T16" s="4">
        <f t="shared" si="15"/>
        <v>4</v>
      </c>
      <c r="U16" s="4">
        <f t="shared" si="16"/>
        <v>24</v>
      </c>
      <c r="V16" s="8">
        <f t="shared" si="17"/>
        <v>7</v>
      </c>
      <c r="W16" s="8">
        <f t="shared" si="18"/>
        <v>3</v>
      </c>
      <c r="X16">
        <f t="shared" si="19"/>
        <v>1</v>
      </c>
    </row>
    <row r="17" spans="1:24" x14ac:dyDescent="0.25">
      <c r="A17" s="4" t="s">
        <v>43</v>
      </c>
      <c r="B17" t="s">
        <v>11</v>
      </c>
      <c r="C17" t="s">
        <v>6</v>
      </c>
      <c r="D17" s="3">
        <f t="shared" si="0"/>
        <v>76</v>
      </c>
      <c r="E17" s="4">
        <f t="shared" si="1"/>
        <v>1</v>
      </c>
      <c r="F17" s="4">
        <f t="shared" si="2"/>
        <v>24</v>
      </c>
      <c r="G17" s="3">
        <f>IF(E17&gt;=20,2000,1900) + D17</f>
        <v>1976</v>
      </c>
      <c r="H17">
        <f t="shared" si="3"/>
        <v>1</v>
      </c>
      <c r="I17" s="4">
        <f t="shared" si="4"/>
        <v>24</v>
      </c>
      <c r="J17">
        <f t="shared" si="5"/>
        <v>19760124</v>
      </c>
      <c r="K17" t="str">
        <f t="shared" si="6"/>
        <v>24.01.1976</v>
      </c>
      <c r="L17" s="4">
        <f t="shared" si="7"/>
        <v>7</v>
      </c>
      <c r="M17" s="4">
        <f t="shared" si="8"/>
        <v>18</v>
      </c>
      <c r="N17" s="4">
        <f t="shared" si="9"/>
        <v>0</v>
      </c>
      <c r="O17" s="4">
        <f t="shared" si="10"/>
        <v>9</v>
      </c>
      <c r="P17" s="4">
        <f t="shared" si="11"/>
        <v>2</v>
      </c>
      <c r="Q17" s="4">
        <f t="shared" si="12"/>
        <v>12</v>
      </c>
      <c r="R17" s="4">
        <f t="shared" si="13"/>
        <v>63</v>
      </c>
      <c r="S17" s="4">
        <f t="shared" si="14"/>
        <v>9</v>
      </c>
      <c r="T17" s="4">
        <f t="shared" si="15"/>
        <v>8</v>
      </c>
      <c r="U17" s="4">
        <f t="shared" si="16"/>
        <v>3</v>
      </c>
      <c r="V17" s="8">
        <f t="shared" si="17"/>
        <v>1</v>
      </c>
      <c r="W17" s="8">
        <f t="shared" si="18"/>
        <v>9</v>
      </c>
      <c r="X17">
        <f t="shared" si="19"/>
        <v>1</v>
      </c>
    </row>
    <row r="18" spans="1:24" x14ac:dyDescent="0.25">
      <c r="A18" s="4" t="s">
        <v>44</v>
      </c>
      <c r="B18" t="s">
        <v>10</v>
      </c>
      <c r="C18" t="s">
        <v>6</v>
      </c>
      <c r="D18" s="3">
        <f t="shared" si="0"/>
        <v>60</v>
      </c>
      <c r="E18" s="4">
        <f t="shared" si="1"/>
        <v>11</v>
      </c>
      <c r="F18" s="4">
        <f t="shared" si="2"/>
        <v>23</v>
      </c>
      <c r="G18" s="3">
        <f>IF(E18&gt;=20,2000,1900) + D18</f>
        <v>1960</v>
      </c>
      <c r="H18">
        <f t="shared" si="3"/>
        <v>11</v>
      </c>
      <c r="I18" s="4">
        <f t="shared" si="4"/>
        <v>23</v>
      </c>
      <c r="J18">
        <f t="shared" si="5"/>
        <v>19601123</v>
      </c>
      <c r="K18" t="str">
        <f t="shared" si="6"/>
        <v>23.11.1960</v>
      </c>
      <c r="L18" s="4">
        <f t="shared" si="7"/>
        <v>6</v>
      </c>
      <c r="M18" s="4">
        <f t="shared" si="8"/>
        <v>0</v>
      </c>
      <c r="N18" s="4">
        <f t="shared" si="9"/>
        <v>7</v>
      </c>
      <c r="O18" s="4">
        <f t="shared" si="10"/>
        <v>9</v>
      </c>
      <c r="P18" s="4">
        <f t="shared" si="11"/>
        <v>2</v>
      </c>
      <c r="Q18" s="4">
        <f t="shared" si="12"/>
        <v>9</v>
      </c>
      <c r="R18" s="4">
        <f t="shared" si="13"/>
        <v>42</v>
      </c>
      <c r="S18" s="4">
        <f t="shared" si="14"/>
        <v>45</v>
      </c>
      <c r="T18" s="4">
        <f t="shared" si="15"/>
        <v>4</v>
      </c>
      <c r="U18" s="4">
        <f t="shared" si="16"/>
        <v>27</v>
      </c>
      <c r="V18" s="8">
        <f t="shared" si="17"/>
        <v>1</v>
      </c>
      <c r="W18" s="8">
        <f t="shared" si="18"/>
        <v>9</v>
      </c>
      <c r="X18">
        <f t="shared" si="19"/>
        <v>1</v>
      </c>
    </row>
    <row r="19" spans="1:24" x14ac:dyDescent="0.25">
      <c r="A19" s="4" t="s">
        <v>45</v>
      </c>
      <c r="B19" t="s">
        <v>5</v>
      </c>
      <c r="C19" t="s">
        <v>6</v>
      </c>
      <c r="D19" s="3">
        <f t="shared" si="0"/>
        <v>95</v>
      </c>
      <c r="E19" s="4">
        <f t="shared" si="1"/>
        <v>10</v>
      </c>
      <c r="F19" s="4">
        <f t="shared" si="2"/>
        <v>9</v>
      </c>
      <c r="G19" s="3">
        <f>IF(E19&gt;=20,2000,1900) + D19</f>
        <v>1995</v>
      </c>
      <c r="H19">
        <f t="shared" si="3"/>
        <v>10</v>
      </c>
      <c r="I19" s="4">
        <f t="shared" si="4"/>
        <v>9</v>
      </c>
      <c r="J19">
        <f t="shared" si="5"/>
        <v>19951009</v>
      </c>
      <c r="K19" t="str">
        <f t="shared" si="6"/>
        <v>09.10.1995</v>
      </c>
      <c r="L19" s="4">
        <f t="shared" si="7"/>
        <v>9</v>
      </c>
      <c r="M19" s="4">
        <f t="shared" si="8"/>
        <v>15</v>
      </c>
      <c r="N19" s="4">
        <f t="shared" si="9"/>
        <v>7</v>
      </c>
      <c r="O19" s="4">
        <f t="shared" si="10"/>
        <v>0</v>
      </c>
      <c r="P19" s="4">
        <f t="shared" si="11"/>
        <v>0</v>
      </c>
      <c r="Q19" s="4">
        <f t="shared" si="12"/>
        <v>27</v>
      </c>
      <c r="R19" s="4">
        <f t="shared" si="13"/>
        <v>56</v>
      </c>
      <c r="S19" s="4">
        <f t="shared" si="14"/>
        <v>9</v>
      </c>
      <c r="T19" s="4">
        <f t="shared" si="15"/>
        <v>3</v>
      </c>
      <c r="U19" s="4">
        <f t="shared" si="16"/>
        <v>9</v>
      </c>
      <c r="V19" s="8">
        <f t="shared" si="17"/>
        <v>5</v>
      </c>
      <c r="W19" s="8">
        <f t="shared" si="18"/>
        <v>5</v>
      </c>
      <c r="X19">
        <f t="shared" si="19"/>
        <v>1</v>
      </c>
    </row>
    <row r="20" spans="1:24" x14ac:dyDescent="0.25">
      <c r="A20" s="4" t="s">
        <v>46</v>
      </c>
      <c r="B20" t="s">
        <v>14</v>
      </c>
      <c r="C20" t="s">
        <v>6</v>
      </c>
      <c r="D20" s="3">
        <f t="shared" si="0"/>
        <v>91</v>
      </c>
      <c r="E20" s="4">
        <f t="shared" si="1"/>
        <v>11</v>
      </c>
      <c r="F20" s="4">
        <f t="shared" si="2"/>
        <v>16</v>
      </c>
      <c r="G20" s="3">
        <f>IF(E20&gt;=20,2000,1900) + D20</f>
        <v>1991</v>
      </c>
      <c r="H20">
        <f t="shared" si="3"/>
        <v>11</v>
      </c>
      <c r="I20" s="4">
        <f t="shared" si="4"/>
        <v>16</v>
      </c>
      <c r="J20">
        <f t="shared" si="5"/>
        <v>19911116</v>
      </c>
      <c r="K20" t="str">
        <f t="shared" si="6"/>
        <v>16.11.1991</v>
      </c>
      <c r="L20" s="4">
        <f t="shared" si="7"/>
        <v>9</v>
      </c>
      <c r="M20" s="4">
        <f t="shared" si="8"/>
        <v>3</v>
      </c>
      <c r="N20" s="4">
        <f t="shared" si="9"/>
        <v>7</v>
      </c>
      <c r="O20" s="4">
        <f t="shared" si="10"/>
        <v>9</v>
      </c>
      <c r="P20" s="4">
        <f t="shared" si="11"/>
        <v>1</v>
      </c>
      <c r="Q20" s="4">
        <f t="shared" si="12"/>
        <v>18</v>
      </c>
      <c r="R20" s="4">
        <f t="shared" si="13"/>
        <v>28</v>
      </c>
      <c r="S20" s="4">
        <f t="shared" si="14"/>
        <v>0</v>
      </c>
      <c r="T20" s="4">
        <f t="shared" si="15"/>
        <v>3</v>
      </c>
      <c r="U20" s="4">
        <f t="shared" si="16"/>
        <v>12</v>
      </c>
      <c r="V20" s="8">
        <f t="shared" si="17"/>
        <v>0</v>
      </c>
      <c r="W20" s="8">
        <f t="shared" si="18"/>
        <v>0</v>
      </c>
      <c r="X20">
        <f t="shared" si="19"/>
        <v>1</v>
      </c>
    </row>
    <row r="21" spans="1:24" x14ac:dyDescent="0.25">
      <c r="A21" s="4" t="s">
        <v>47</v>
      </c>
      <c r="B21" t="s">
        <v>15</v>
      </c>
      <c r="C21" t="s">
        <v>4</v>
      </c>
      <c r="D21" s="3">
        <f t="shared" si="0"/>
        <v>74</v>
      </c>
      <c r="E21" s="4">
        <f t="shared" si="1"/>
        <v>1</v>
      </c>
      <c r="F21" s="4">
        <f t="shared" si="2"/>
        <v>26</v>
      </c>
      <c r="G21" s="3">
        <f>IF(E21&gt;=20,2000,1900) + D21</f>
        <v>1974</v>
      </c>
      <c r="H21">
        <f t="shared" si="3"/>
        <v>1</v>
      </c>
      <c r="I21" s="4">
        <f t="shared" si="4"/>
        <v>26</v>
      </c>
      <c r="J21">
        <f t="shared" si="5"/>
        <v>19740126</v>
      </c>
      <c r="K21" t="str">
        <f t="shared" si="6"/>
        <v>26.01.1974</v>
      </c>
      <c r="L21" s="4">
        <f t="shared" si="7"/>
        <v>7</v>
      </c>
      <c r="M21" s="4">
        <f t="shared" si="8"/>
        <v>12</v>
      </c>
      <c r="N21" s="4">
        <f t="shared" si="9"/>
        <v>0</v>
      </c>
      <c r="O21" s="4">
        <f t="shared" si="10"/>
        <v>9</v>
      </c>
      <c r="P21" s="4">
        <f t="shared" si="11"/>
        <v>2</v>
      </c>
      <c r="Q21" s="4">
        <f t="shared" si="12"/>
        <v>18</v>
      </c>
      <c r="R21" s="4">
        <f t="shared" si="13"/>
        <v>49</v>
      </c>
      <c r="S21" s="4">
        <f t="shared" si="14"/>
        <v>72</v>
      </c>
      <c r="T21" s="4">
        <f t="shared" si="15"/>
        <v>0</v>
      </c>
      <c r="U21" s="4">
        <f t="shared" si="16"/>
        <v>27</v>
      </c>
      <c r="V21" s="8">
        <f t="shared" si="17"/>
        <v>6</v>
      </c>
      <c r="W21" s="8">
        <f t="shared" si="18"/>
        <v>4</v>
      </c>
      <c r="X21">
        <f t="shared" si="19"/>
        <v>1</v>
      </c>
    </row>
    <row r="22" spans="1:24" x14ac:dyDescent="0.25">
      <c r="A22" s="4" t="s">
        <v>48</v>
      </c>
      <c r="B22" t="s">
        <v>16</v>
      </c>
      <c r="C22" t="s">
        <v>6</v>
      </c>
      <c r="D22" s="3">
        <f t="shared" si="0"/>
        <v>83</v>
      </c>
      <c r="E22" s="4">
        <f t="shared" si="1"/>
        <v>4</v>
      </c>
      <c r="F22" s="4">
        <f t="shared" si="2"/>
        <v>10</v>
      </c>
      <c r="G22" s="3">
        <f>IF(E22&gt;=20,2000,1900) + D22</f>
        <v>1983</v>
      </c>
      <c r="H22">
        <f t="shared" si="3"/>
        <v>4</v>
      </c>
      <c r="I22" s="4">
        <f t="shared" si="4"/>
        <v>10</v>
      </c>
      <c r="J22">
        <f t="shared" si="5"/>
        <v>19830410</v>
      </c>
      <c r="K22" t="str">
        <f t="shared" si="6"/>
        <v>10.04.1983</v>
      </c>
      <c r="L22" s="4">
        <f t="shared" si="7"/>
        <v>8</v>
      </c>
      <c r="M22" s="4">
        <f t="shared" si="8"/>
        <v>9</v>
      </c>
      <c r="N22" s="4">
        <f t="shared" si="9"/>
        <v>0</v>
      </c>
      <c r="O22" s="4">
        <f t="shared" si="10"/>
        <v>36</v>
      </c>
      <c r="P22" s="4">
        <f t="shared" si="11"/>
        <v>1</v>
      </c>
      <c r="Q22" s="4">
        <f t="shared" si="12"/>
        <v>0</v>
      </c>
      <c r="R22" s="4">
        <f t="shared" si="13"/>
        <v>21</v>
      </c>
      <c r="S22" s="4">
        <f t="shared" si="14"/>
        <v>54</v>
      </c>
      <c r="T22" s="4">
        <f t="shared" si="15"/>
        <v>7</v>
      </c>
      <c r="U22" s="4">
        <f t="shared" si="16"/>
        <v>0</v>
      </c>
      <c r="V22" s="8">
        <f t="shared" si="17"/>
        <v>6</v>
      </c>
      <c r="W22" s="8">
        <f t="shared" si="18"/>
        <v>4</v>
      </c>
      <c r="X22">
        <f t="shared" si="19"/>
        <v>1</v>
      </c>
    </row>
    <row r="23" spans="1:24" x14ac:dyDescent="0.25">
      <c r="A23" s="4" t="s">
        <v>49</v>
      </c>
      <c r="B23" t="s">
        <v>17</v>
      </c>
      <c r="C23" t="s">
        <v>4</v>
      </c>
      <c r="D23" s="3">
        <f t="shared" si="0"/>
        <v>61</v>
      </c>
      <c r="E23" s="4">
        <f t="shared" si="1"/>
        <v>12</v>
      </c>
      <c r="F23" s="4">
        <f t="shared" si="2"/>
        <v>26</v>
      </c>
      <c r="G23" s="3">
        <f>IF(E23&gt;=20,2000,1900) + D23</f>
        <v>1961</v>
      </c>
      <c r="H23">
        <f t="shared" si="3"/>
        <v>12</v>
      </c>
      <c r="I23" s="4">
        <f t="shared" si="4"/>
        <v>26</v>
      </c>
      <c r="J23">
        <f t="shared" si="5"/>
        <v>19611226</v>
      </c>
      <c r="K23" t="str">
        <f t="shared" si="6"/>
        <v>26.12.1961</v>
      </c>
      <c r="L23" s="4">
        <f t="shared" si="7"/>
        <v>6</v>
      </c>
      <c r="M23" s="4">
        <f t="shared" si="8"/>
        <v>3</v>
      </c>
      <c r="N23" s="4">
        <f t="shared" si="9"/>
        <v>7</v>
      </c>
      <c r="O23" s="4">
        <f t="shared" si="10"/>
        <v>18</v>
      </c>
      <c r="P23" s="4">
        <f t="shared" si="11"/>
        <v>2</v>
      </c>
      <c r="Q23" s="4">
        <f t="shared" si="12"/>
        <v>18</v>
      </c>
      <c r="R23" s="4">
        <f t="shared" si="13"/>
        <v>56</v>
      </c>
      <c r="S23" s="4">
        <f t="shared" si="14"/>
        <v>18</v>
      </c>
      <c r="T23" s="4">
        <f t="shared" si="15"/>
        <v>2</v>
      </c>
      <c r="U23" s="4">
        <f t="shared" si="16"/>
        <v>18</v>
      </c>
      <c r="V23" s="8">
        <f t="shared" si="17"/>
        <v>8</v>
      </c>
      <c r="W23" s="8">
        <f t="shared" si="18"/>
        <v>2</v>
      </c>
      <c r="X23">
        <f t="shared" si="19"/>
        <v>1</v>
      </c>
    </row>
    <row r="24" spans="1:24" x14ac:dyDescent="0.25">
      <c r="A24" s="4" t="s">
        <v>50</v>
      </c>
      <c r="B24" t="s">
        <v>18</v>
      </c>
      <c r="C24" t="s">
        <v>4</v>
      </c>
      <c r="D24" s="3">
        <f t="shared" si="0"/>
        <v>91</v>
      </c>
      <c r="E24" s="4">
        <f t="shared" si="1"/>
        <v>12</v>
      </c>
      <c r="F24" s="4">
        <f t="shared" si="2"/>
        <v>4</v>
      </c>
      <c r="G24" s="3">
        <f>IF(E24&gt;=20,2000,1900) + D24</f>
        <v>1991</v>
      </c>
      <c r="H24">
        <f t="shared" si="3"/>
        <v>12</v>
      </c>
      <c r="I24" s="4">
        <f t="shared" si="4"/>
        <v>4</v>
      </c>
      <c r="J24">
        <f t="shared" si="5"/>
        <v>19911204</v>
      </c>
      <c r="K24" t="str">
        <f t="shared" si="6"/>
        <v>04.12.1991</v>
      </c>
      <c r="L24" s="4">
        <f t="shared" si="7"/>
        <v>9</v>
      </c>
      <c r="M24" s="4">
        <f t="shared" si="8"/>
        <v>3</v>
      </c>
      <c r="N24" s="4">
        <f t="shared" si="9"/>
        <v>7</v>
      </c>
      <c r="O24" s="4">
        <f t="shared" si="10"/>
        <v>18</v>
      </c>
      <c r="P24" s="4">
        <f t="shared" si="11"/>
        <v>0</v>
      </c>
      <c r="Q24" s="4">
        <f t="shared" si="12"/>
        <v>12</v>
      </c>
      <c r="R24" s="4">
        <f t="shared" si="13"/>
        <v>7</v>
      </c>
      <c r="S24" s="4">
        <f t="shared" si="14"/>
        <v>9</v>
      </c>
      <c r="T24" s="4">
        <f t="shared" si="15"/>
        <v>6</v>
      </c>
      <c r="U24" s="4">
        <f t="shared" si="16"/>
        <v>0</v>
      </c>
      <c r="V24" s="8">
        <f t="shared" si="17"/>
        <v>1</v>
      </c>
      <c r="W24" s="8">
        <f t="shared" si="18"/>
        <v>9</v>
      </c>
      <c r="X24">
        <f t="shared" si="19"/>
        <v>1</v>
      </c>
    </row>
    <row r="25" spans="1:24" x14ac:dyDescent="0.25">
      <c r="A25" s="4" t="s">
        <v>51</v>
      </c>
      <c r="B25" t="s">
        <v>19</v>
      </c>
      <c r="C25" t="s">
        <v>4</v>
      </c>
      <c r="D25" s="3">
        <f t="shared" si="0"/>
        <v>72</v>
      </c>
      <c r="E25" s="4">
        <f t="shared" si="1"/>
        <v>8</v>
      </c>
      <c r="F25" s="4">
        <f t="shared" si="2"/>
        <v>26</v>
      </c>
      <c r="G25" s="3">
        <f>IF(E25&gt;=20,2000,1900) + D25</f>
        <v>1972</v>
      </c>
      <c r="H25">
        <f t="shared" si="3"/>
        <v>8</v>
      </c>
      <c r="I25" s="4">
        <f t="shared" si="4"/>
        <v>26</v>
      </c>
      <c r="J25">
        <f t="shared" si="5"/>
        <v>19720826</v>
      </c>
      <c r="K25" t="str">
        <f t="shared" si="6"/>
        <v>26.08.1972</v>
      </c>
      <c r="L25" s="4">
        <f t="shared" si="7"/>
        <v>7</v>
      </c>
      <c r="M25" s="4">
        <f t="shared" si="8"/>
        <v>6</v>
      </c>
      <c r="N25" s="4">
        <f t="shared" si="9"/>
        <v>0</v>
      </c>
      <c r="O25" s="4">
        <f t="shared" si="10"/>
        <v>72</v>
      </c>
      <c r="P25" s="4">
        <f t="shared" si="11"/>
        <v>2</v>
      </c>
      <c r="Q25" s="4">
        <f t="shared" si="12"/>
        <v>18</v>
      </c>
      <c r="R25" s="4">
        <f t="shared" si="13"/>
        <v>63</v>
      </c>
      <c r="S25" s="4">
        <f t="shared" si="14"/>
        <v>36</v>
      </c>
      <c r="T25" s="4">
        <f t="shared" si="15"/>
        <v>4</v>
      </c>
      <c r="U25" s="4">
        <f t="shared" si="16"/>
        <v>21</v>
      </c>
      <c r="V25" s="8">
        <f t="shared" si="17"/>
        <v>9</v>
      </c>
      <c r="W25" s="8">
        <f t="shared" si="18"/>
        <v>1</v>
      </c>
      <c r="X25">
        <f t="shared" si="19"/>
        <v>1</v>
      </c>
    </row>
    <row r="26" spans="1:24" x14ac:dyDescent="0.25">
      <c r="A26" s="4" t="s">
        <v>52</v>
      </c>
      <c r="B26" t="s">
        <v>10</v>
      </c>
      <c r="C26" t="s">
        <v>4</v>
      </c>
      <c r="D26" s="3">
        <f t="shared" si="0"/>
        <v>97</v>
      </c>
      <c r="E26" s="4">
        <f t="shared" si="1"/>
        <v>12</v>
      </c>
      <c r="F26" s="4">
        <f t="shared" si="2"/>
        <v>28</v>
      </c>
      <c r="G26" s="3">
        <f>IF(E26&gt;=20,2000,1900) + D26</f>
        <v>1997</v>
      </c>
      <c r="H26">
        <f t="shared" si="3"/>
        <v>12</v>
      </c>
      <c r="I26" s="4">
        <f t="shared" si="4"/>
        <v>28</v>
      </c>
      <c r="J26">
        <f t="shared" si="5"/>
        <v>19971228</v>
      </c>
      <c r="K26" t="str">
        <f t="shared" si="6"/>
        <v>28.12.1997</v>
      </c>
      <c r="L26" s="4">
        <f t="shared" si="7"/>
        <v>9</v>
      </c>
      <c r="M26" s="4">
        <f t="shared" si="8"/>
        <v>21</v>
      </c>
      <c r="N26" s="4">
        <f t="shared" si="9"/>
        <v>7</v>
      </c>
      <c r="O26" s="4">
        <f t="shared" si="10"/>
        <v>18</v>
      </c>
      <c r="P26" s="4">
        <f t="shared" si="11"/>
        <v>2</v>
      </c>
      <c r="Q26" s="4">
        <f t="shared" si="12"/>
        <v>24</v>
      </c>
      <c r="R26" s="4">
        <f t="shared" si="13"/>
        <v>63</v>
      </c>
      <c r="S26" s="4">
        <f t="shared" si="14"/>
        <v>81</v>
      </c>
      <c r="T26" s="4">
        <f t="shared" si="15"/>
        <v>1</v>
      </c>
      <c r="U26" s="4">
        <f t="shared" si="16"/>
        <v>15</v>
      </c>
      <c r="V26" s="8">
        <f t="shared" si="17"/>
        <v>1</v>
      </c>
      <c r="W26" s="8">
        <f t="shared" si="18"/>
        <v>9</v>
      </c>
      <c r="X26">
        <f t="shared" si="19"/>
        <v>1</v>
      </c>
    </row>
    <row r="27" spans="1:24" x14ac:dyDescent="0.25">
      <c r="A27" s="4" t="s">
        <v>53</v>
      </c>
      <c r="B27" t="s">
        <v>20</v>
      </c>
      <c r="C27" t="s">
        <v>6</v>
      </c>
      <c r="D27" s="3">
        <f t="shared" si="0"/>
        <v>56</v>
      </c>
      <c r="E27" s="4">
        <f t="shared" si="1"/>
        <v>7</v>
      </c>
      <c r="F27" s="4">
        <f t="shared" si="2"/>
        <v>10</v>
      </c>
      <c r="G27" s="3">
        <f>IF(E27&gt;=20,2000,1900) + D27</f>
        <v>1956</v>
      </c>
      <c r="H27">
        <f t="shared" si="3"/>
        <v>7</v>
      </c>
      <c r="I27" s="4">
        <f t="shared" si="4"/>
        <v>10</v>
      </c>
      <c r="J27">
        <f t="shared" si="5"/>
        <v>19560710</v>
      </c>
      <c r="K27" t="str">
        <f t="shared" si="6"/>
        <v>10.07.1956</v>
      </c>
      <c r="L27" s="4">
        <f t="shared" si="7"/>
        <v>5</v>
      </c>
      <c r="M27" s="4">
        <f t="shared" si="8"/>
        <v>18</v>
      </c>
      <c r="N27" s="4">
        <f t="shared" si="9"/>
        <v>0</v>
      </c>
      <c r="O27" s="4">
        <f t="shared" si="10"/>
        <v>63</v>
      </c>
      <c r="P27" s="4">
        <f t="shared" si="11"/>
        <v>1</v>
      </c>
      <c r="Q27" s="4">
        <f t="shared" si="12"/>
        <v>0</v>
      </c>
      <c r="R27" s="4">
        <f t="shared" si="13"/>
        <v>35</v>
      </c>
      <c r="S27" s="4">
        <f t="shared" si="14"/>
        <v>27</v>
      </c>
      <c r="T27" s="4">
        <f t="shared" si="15"/>
        <v>1</v>
      </c>
      <c r="U27" s="4">
        <f t="shared" si="16"/>
        <v>9</v>
      </c>
      <c r="V27" s="8">
        <f t="shared" si="17"/>
        <v>9</v>
      </c>
      <c r="W27" s="8">
        <f t="shared" si="18"/>
        <v>1</v>
      </c>
      <c r="X27">
        <f t="shared" si="19"/>
        <v>1</v>
      </c>
    </row>
    <row r="28" spans="1:24" x14ac:dyDescent="0.25">
      <c r="A28" s="4" t="s">
        <v>54</v>
      </c>
      <c r="B28" t="s">
        <v>3</v>
      </c>
      <c r="C28" t="s">
        <v>4</v>
      </c>
      <c r="D28" s="3">
        <f t="shared" si="0"/>
        <v>83</v>
      </c>
      <c r="E28" s="4">
        <f t="shared" si="1"/>
        <v>2</v>
      </c>
      <c r="F28" s="4">
        <f t="shared" si="2"/>
        <v>1</v>
      </c>
      <c r="G28" s="3">
        <f>IF(E28&gt;=20,2000,1900) + D28</f>
        <v>1983</v>
      </c>
      <c r="H28">
        <f t="shared" si="3"/>
        <v>2</v>
      </c>
      <c r="I28" s="4">
        <f t="shared" si="4"/>
        <v>1</v>
      </c>
      <c r="J28">
        <f t="shared" si="5"/>
        <v>19830201</v>
      </c>
      <c r="K28" t="str">
        <f t="shared" si="6"/>
        <v>01.02.1983</v>
      </c>
      <c r="L28" s="4">
        <f t="shared" si="7"/>
        <v>8</v>
      </c>
      <c r="M28" s="4">
        <f t="shared" si="8"/>
        <v>9</v>
      </c>
      <c r="N28" s="4">
        <f t="shared" si="9"/>
        <v>0</v>
      </c>
      <c r="O28" s="4">
        <f t="shared" si="10"/>
        <v>18</v>
      </c>
      <c r="P28" s="4">
        <f t="shared" si="11"/>
        <v>0</v>
      </c>
      <c r="Q28" s="4">
        <f t="shared" si="12"/>
        <v>3</v>
      </c>
      <c r="R28" s="4">
        <f t="shared" si="13"/>
        <v>35</v>
      </c>
      <c r="S28" s="4">
        <f t="shared" si="14"/>
        <v>72</v>
      </c>
      <c r="T28" s="4">
        <f t="shared" si="15"/>
        <v>8</v>
      </c>
      <c r="U28" s="4">
        <f t="shared" si="16"/>
        <v>27</v>
      </c>
      <c r="V28" s="8">
        <f t="shared" si="17"/>
        <v>0</v>
      </c>
      <c r="W28" s="8">
        <f t="shared" si="18"/>
        <v>0</v>
      </c>
      <c r="X28">
        <f t="shared" si="19"/>
        <v>1</v>
      </c>
    </row>
    <row r="29" spans="1:24" x14ac:dyDescent="0.25">
      <c r="A29" s="4" t="s">
        <v>55</v>
      </c>
      <c r="B29" t="s">
        <v>14</v>
      </c>
      <c r="C29" t="s">
        <v>4</v>
      </c>
      <c r="D29" s="3">
        <f t="shared" si="0"/>
        <v>86</v>
      </c>
      <c r="E29" s="4">
        <f t="shared" si="1"/>
        <v>4</v>
      </c>
      <c r="F29" s="4">
        <f t="shared" si="2"/>
        <v>8</v>
      </c>
      <c r="G29" s="3">
        <f>IF(E29&gt;=20,2000,1900) + D29</f>
        <v>1986</v>
      </c>
      <c r="H29">
        <f t="shared" si="3"/>
        <v>4</v>
      </c>
      <c r="I29" s="4">
        <f t="shared" si="4"/>
        <v>8</v>
      </c>
      <c r="J29">
        <f t="shared" si="5"/>
        <v>19860408</v>
      </c>
      <c r="K29" t="str">
        <f t="shared" si="6"/>
        <v>08.04.1986</v>
      </c>
      <c r="L29" s="4">
        <f t="shared" si="7"/>
        <v>8</v>
      </c>
      <c r="M29" s="4">
        <f t="shared" si="8"/>
        <v>18</v>
      </c>
      <c r="N29" s="4">
        <f t="shared" si="9"/>
        <v>0</v>
      </c>
      <c r="O29" s="4">
        <f t="shared" si="10"/>
        <v>36</v>
      </c>
      <c r="P29" s="4">
        <f t="shared" si="11"/>
        <v>0</v>
      </c>
      <c r="Q29" s="4">
        <f t="shared" si="12"/>
        <v>24</v>
      </c>
      <c r="R29" s="4">
        <f t="shared" si="13"/>
        <v>49</v>
      </c>
      <c r="S29" s="4">
        <f t="shared" si="14"/>
        <v>81</v>
      </c>
      <c r="T29" s="4">
        <f t="shared" si="15"/>
        <v>0</v>
      </c>
      <c r="U29" s="4">
        <f t="shared" si="16"/>
        <v>6</v>
      </c>
      <c r="V29" s="8">
        <f t="shared" si="17"/>
        <v>2</v>
      </c>
      <c r="W29" s="8">
        <f t="shared" si="18"/>
        <v>8</v>
      </c>
      <c r="X29">
        <f t="shared" si="19"/>
        <v>1</v>
      </c>
    </row>
    <row r="30" spans="1:24" x14ac:dyDescent="0.25">
      <c r="A30" s="4" t="s">
        <v>56</v>
      </c>
      <c r="B30" t="s">
        <v>3</v>
      </c>
      <c r="C30" t="s">
        <v>4</v>
      </c>
      <c r="D30" s="3">
        <f t="shared" si="0"/>
        <v>56</v>
      </c>
      <c r="E30" s="4">
        <f t="shared" si="1"/>
        <v>10</v>
      </c>
      <c r="F30" s="4">
        <f t="shared" si="2"/>
        <v>27</v>
      </c>
      <c r="G30" s="3">
        <f>IF(E30&gt;=20,2000,1900) + D30</f>
        <v>1956</v>
      </c>
      <c r="H30">
        <f t="shared" si="3"/>
        <v>10</v>
      </c>
      <c r="I30" s="4">
        <f t="shared" si="4"/>
        <v>27</v>
      </c>
      <c r="J30">
        <f t="shared" si="5"/>
        <v>19561027</v>
      </c>
      <c r="K30" t="str">
        <f t="shared" si="6"/>
        <v>27.10.1956</v>
      </c>
      <c r="L30" s="4">
        <f t="shared" si="7"/>
        <v>5</v>
      </c>
      <c r="M30" s="4">
        <f t="shared" si="8"/>
        <v>18</v>
      </c>
      <c r="N30" s="4">
        <f t="shared" si="9"/>
        <v>7</v>
      </c>
      <c r="O30" s="4">
        <f t="shared" si="10"/>
        <v>0</v>
      </c>
      <c r="P30" s="4">
        <f t="shared" si="11"/>
        <v>2</v>
      </c>
      <c r="Q30" s="4">
        <f t="shared" si="12"/>
        <v>21</v>
      </c>
      <c r="R30" s="4">
        <f t="shared" si="13"/>
        <v>14</v>
      </c>
      <c r="S30" s="4">
        <f t="shared" si="14"/>
        <v>36</v>
      </c>
      <c r="T30" s="4">
        <f t="shared" si="15"/>
        <v>7</v>
      </c>
      <c r="U30" s="4">
        <f t="shared" si="16"/>
        <v>12</v>
      </c>
      <c r="V30" s="8">
        <f t="shared" si="17"/>
        <v>2</v>
      </c>
      <c r="W30" s="8">
        <f t="shared" si="18"/>
        <v>8</v>
      </c>
      <c r="X30">
        <f t="shared" si="19"/>
        <v>1</v>
      </c>
    </row>
    <row r="31" spans="1:24" x14ac:dyDescent="0.25">
      <c r="A31" s="4" t="s">
        <v>57</v>
      </c>
      <c r="B31" t="s">
        <v>10</v>
      </c>
      <c r="C31" t="s">
        <v>6</v>
      </c>
      <c r="D31" s="3">
        <f t="shared" si="0"/>
        <v>57</v>
      </c>
      <c r="E31" s="4">
        <f t="shared" si="1"/>
        <v>1</v>
      </c>
      <c r="F31" s="4">
        <f t="shared" si="2"/>
        <v>11</v>
      </c>
      <c r="G31" s="3">
        <f>IF(E31&gt;=20,2000,1900) + D31</f>
        <v>1957</v>
      </c>
      <c r="H31">
        <f t="shared" si="3"/>
        <v>1</v>
      </c>
      <c r="I31" s="4">
        <f t="shared" si="4"/>
        <v>11</v>
      </c>
      <c r="J31">
        <f t="shared" si="5"/>
        <v>19570111</v>
      </c>
      <c r="K31" t="str">
        <f t="shared" si="6"/>
        <v>11.01.1957</v>
      </c>
      <c r="L31" s="4">
        <f t="shared" si="7"/>
        <v>5</v>
      </c>
      <c r="M31" s="4">
        <f t="shared" si="8"/>
        <v>21</v>
      </c>
      <c r="N31" s="4">
        <f t="shared" si="9"/>
        <v>0</v>
      </c>
      <c r="O31" s="4">
        <f t="shared" si="10"/>
        <v>9</v>
      </c>
      <c r="P31" s="4">
        <f t="shared" si="11"/>
        <v>1</v>
      </c>
      <c r="Q31" s="4">
        <f t="shared" si="12"/>
        <v>3</v>
      </c>
      <c r="R31" s="4">
        <f t="shared" si="13"/>
        <v>28</v>
      </c>
      <c r="S31" s="4">
        <f t="shared" si="14"/>
        <v>36</v>
      </c>
      <c r="T31" s="4">
        <f t="shared" si="15"/>
        <v>3</v>
      </c>
      <c r="U31" s="4">
        <f t="shared" si="16"/>
        <v>3</v>
      </c>
      <c r="V31" s="8">
        <f t="shared" si="17"/>
        <v>9</v>
      </c>
      <c r="W31" s="8">
        <f t="shared" si="18"/>
        <v>1</v>
      </c>
      <c r="X31">
        <f t="shared" si="19"/>
        <v>1</v>
      </c>
    </row>
    <row r="32" spans="1:24" x14ac:dyDescent="0.25">
      <c r="A32" s="4" t="s">
        <v>58</v>
      </c>
      <c r="B32" t="s">
        <v>12</v>
      </c>
      <c r="C32" t="s">
        <v>4</v>
      </c>
      <c r="D32" s="3">
        <f t="shared" si="0"/>
        <v>88</v>
      </c>
      <c r="E32" s="4">
        <f t="shared" si="1"/>
        <v>4</v>
      </c>
      <c r="F32" s="4">
        <f t="shared" si="2"/>
        <v>9</v>
      </c>
      <c r="G32" s="3">
        <f>IF(E32&gt;=20,2000,1900) + D32</f>
        <v>1988</v>
      </c>
      <c r="H32">
        <f t="shared" si="3"/>
        <v>4</v>
      </c>
      <c r="I32" s="4">
        <f t="shared" si="4"/>
        <v>9</v>
      </c>
      <c r="J32">
        <f t="shared" si="5"/>
        <v>19880409</v>
      </c>
      <c r="K32" t="str">
        <f t="shared" si="6"/>
        <v>09.04.1988</v>
      </c>
      <c r="L32" s="4">
        <f t="shared" si="7"/>
        <v>8</v>
      </c>
      <c r="M32" s="4">
        <f t="shared" si="8"/>
        <v>24</v>
      </c>
      <c r="N32" s="4">
        <f t="shared" si="9"/>
        <v>0</v>
      </c>
      <c r="O32" s="4">
        <f t="shared" si="10"/>
        <v>36</v>
      </c>
      <c r="P32" s="4">
        <f t="shared" si="11"/>
        <v>0</v>
      </c>
      <c r="Q32" s="4">
        <f t="shared" si="12"/>
        <v>27</v>
      </c>
      <c r="R32" s="4">
        <f t="shared" si="13"/>
        <v>63</v>
      </c>
      <c r="S32" s="4">
        <f t="shared" si="14"/>
        <v>9</v>
      </c>
      <c r="T32" s="4">
        <f t="shared" si="15"/>
        <v>4</v>
      </c>
      <c r="U32" s="4">
        <f t="shared" si="16"/>
        <v>3</v>
      </c>
      <c r="V32" s="8">
        <f t="shared" si="17"/>
        <v>4</v>
      </c>
      <c r="W32" s="8">
        <f t="shared" si="18"/>
        <v>6</v>
      </c>
      <c r="X32">
        <f t="shared" si="19"/>
        <v>1</v>
      </c>
    </row>
    <row r="33" spans="1:24" x14ac:dyDescent="0.25">
      <c r="A33" s="4" t="s">
        <v>59</v>
      </c>
      <c r="B33" t="s">
        <v>9</v>
      </c>
      <c r="C33" t="s">
        <v>6</v>
      </c>
      <c r="D33" s="3">
        <f t="shared" si="0"/>
        <v>86</v>
      </c>
      <c r="E33" s="4">
        <f t="shared" si="1"/>
        <v>11</v>
      </c>
      <c r="F33" s="4">
        <f t="shared" si="2"/>
        <v>26</v>
      </c>
      <c r="G33" s="3">
        <f>IF(E33&gt;=20,2000,1900) + D33</f>
        <v>1986</v>
      </c>
      <c r="H33">
        <f t="shared" si="3"/>
        <v>11</v>
      </c>
      <c r="I33" s="4">
        <f t="shared" si="4"/>
        <v>26</v>
      </c>
      <c r="J33">
        <f t="shared" si="5"/>
        <v>19861126</v>
      </c>
      <c r="K33" t="str">
        <f t="shared" si="6"/>
        <v>26.11.1986</v>
      </c>
      <c r="L33" s="4">
        <f t="shared" si="7"/>
        <v>8</v>
      </c>
      <c r="M33" s="4">
        <f t="shared" si="8"/>
        <v>18</v>
      </c>
      <c r="N33" s="4">
        <f t="shared" si="9"/>
        <v>7</v>
      </c>
      <c r="O33" s="4">
        <f t="shared" si="10"/>
        <v>9</v>
      </c>
      <c r="P33" s="4">
        <f t="shared" si="11"/>
        <v>2</v>
      </c>
      <c r="Q33" s="4">
        <f t="shared" si="12"/>
        <v>18</v>
      </c>
      <c r="R33" s="4">
        <f t="shared" si="13"/>
        <v>28</v>
      </c>
      <c r="S33" s="4">
        <f t="shared" si="14"/>
        <v>81</v>
      </c>
      <c r="T33" s="4">
        <f t="shared" si="15"/>
        <v>3</v>
      </c>
      <c r="U33" s="4">
        <f t="shared" si="16"/>
        <v>24</v>
      </c>
      <c r="V33" s="8">
        <f t="shared" si="17"/>
        <v>8</v>
      </c>
      <c r="W33" s="8">
        <f t="shared" si="18"/>
        <v>2</v>
      </c>
      <c r="X33">
        <f t="shared" si="19"/>
        <v>1</v>
      </c>
    </row>
    <row r="34" spans="1:24" x14ac:dyDescent="0.25">
      <c r="A34" s="4" t="s">
        <v>60</v>
      </c>
      <c r="B34" t="s">
        <v>19</v>
      </c>
      <c r="C34" t="s">
        <v>6</v>
      </c>
      <c r="D34" s="3">
        <f t="shared" si="0"/>
        <v>71</v>
      </c>
      <c r="E34" s="4">
        <f t="shared" si="1"/>
        <v>1</v>
      </c>
      <c r="F34" s="4">
        <f t="shared" si="2"/>
        <v>8</v>
      </c>
      <c r="G34" s="3">
        <f>IF(E34&gt;=20,2000,1900) + D34</f>
        <v>1971</v>
      </c>
      <c r="H34">
        <f t="shared" si="3"/>
        <v>1</v>
      </c>
      <c r="I34" s="4">
        <f t="shared" si="4"/>
        <v>8</v>
      </c>
      <c r="J34">
        <f t="shared" si="5"/>
        <v>19710108</v>
      </c>
      <c r="K34" t="str">
        <f t="shared" si="6"/>
        <v>08.01.1971</v>
      </c>
      <c r="L34" s="4">
        <f t="shared" si="7"/>
        <v>7</v>
      </c>
      <c r="M34" s="4">
        <f t="shared" si="8"/>
        <v>3</v>
      </c>
      <c r="N34" s="4">
        <f t="shared" si="9"/>
        <v>0</v>
      </c>
      <c r="O34" s="4">
        <f t="shared" si="10"/>
        <v>9</v>
      </c>
      <c r="P34" s="4">
        <f t="shared" si="11"/>
        <v>0</v>
      </c>
      <c r="Q34" s="4">
        <f t="shared" si="12"/>
        <v>24</v>
      </c>
      <c r="R34" s="4">
        <f t="shared" si="13"/>
        <v>0</v>
      </c>
      <c r="S34" s="4">
        <f t="shared" si="14"/>
        <v>45</v>
      </c>
      <c r="T34" s="4">
        <f t="shared" si="15"/>
        <v>9</v>
      </c>
      <c r="U34" s="4">
        <f t="shared" si="16"/>
        <v>6</v>
      </c>
      <c r="V34" s="8">
        <f t="shared" si="17"/>
        <v>3</v>
      </c>
      <c r="W34" s="8">
        <f t="shared" si="18"/>
        <v>7</v>
      </c>
      <c r="X34">
        <f t="shared" si="19"/>
        <v>1</v>
      </c>
    </row>
    <row r="35" spans="1:24" x14ac:dyDescent="0.25">
      <c r="A35" s="4" t="s">
        <v>61</v>
      </c>
      <c r="B35" t="s">
        <v>13</v>
      </c>
      <c r="C35" t="s">
        <v>6</v>
      </c>
      <c r="D35" s="3">
        <f t="shared" si="0"/>
        <v>94</v>
      </c>
      <c r="E35" s="4">
        <f t="shared" si="1"/>
        <v>6</v>
      </c>
      <c r="F35" s="4">
        <f t="shared" si="2"/>
        <v>23</v>
      </c>
      <c r="G35" s="3">
        <f>IF(E35&gt;=20,2000,1900) + D35</f>
        <v>1994</v>
      </c>
      <c r="H35">
        <f t="shared" si="3"/>
        <v>6</v>
      </c>
      <c r="I35" s="4">
        <f t="shared" si="4"/>
        <v>23</v>
      </c>
      <c r="J35">
        <f t="shared" si="5"/>
        <v>19940623</v>
      </c>
      <c r="K35" t="str">
        <f t="shared" si="6"/>
        <v>23.06.1994</v>
      </c>
      <c r="L35" s="4">
        <f t="shared" si="7"/>
        <v>9</v>
      </c>
      <c r="M35" s="4">
        <f t="shared" si="8"/>
        <v>12</v>
      </c>
      <c r="N35" s="4">
        <f t="shared" si="9"/>
        <v>0</v>
      </c>
      <c r="O35" s="4">
        <f t="shared" si="10"/>
        <v>54</v>
      </c>
      <c r="P35" s="4">
        <f t="shared" si="11"/>
        <v>2</v>
      </c>
      <c r="Q35" s="4">
        <f t="shared" si="12"/>
        <v>9</v>
      </c>
      <c r="R35" s="4">
        <f t="shared" si="13"/>
        <v>63</v>
      </c>
      <c r="S35" s="4">
        <f t="shared" si="14"/>
        <v>45</v>
      </c>
      <c r="T35" s="4">
        <f t="shared" si="15"/>
        <v>7</v>
      </c>
      <c r="U35" s="4">
        <f t="shared" si="16"/>
        <v>21</v>
      </c>
      <c r="V35" s="8">
        <f t="shared" si="17"/>
        <v>2</v>
      </c>
      <c r="W35" s="8">
        <f t="shared" si="18"/>
        <v>8</v>
      </c>
      <c r="X35">
        <f t="shared" si="19"/>
        <v>0</v>
      </c>
    </row>
    <row r="36" spans="1:24" x14ac:dyDescent="0.25">
      <c r="A36" s="4" t="s">
        <v>62</v>
      </c>
      <c r="B36" t="s">
        <v>16</v>
      </c>
      <c r="C36" t="s">
        <v>6</v>
      </c>
      <c r="D36" s="3">
        <f t="shared" si="0"/>
        <v>61</v>
      </c>
      <c r="E36" s="4">
        <f t="shared" si="1"/>
        <v>12</v>
      </c>
      <c r="F36" s="4">
        <f t="shared" si="2"/>
        <v>2</v>
      </c>
      <c r="G36" s="3">
        <f>IF(E36&gt;=20,2000,1900) + D36</f>
        <v>1961</v>
      </c>
      <c r="H36">
        <f t="shared" si="3"/>
        <v>12</v>
      </c>
      <c r="I36" s="4">
        <f t="shared" si="4"/>
        <v>2</v>
      </c>
      <c r="J36">
        <f t="shared" si="5"/>
        <v>19611202</v>
      </c>
      <c r="K36" t="str">
        <f t="shared" si="6"/>
        <v>02.12.1961</v>
      </c>
      <c r="L36" s="4">
        <f t="shared" si="7"/>
        <v>6</v>
      </c>
      <c r="M36" s="4">
        <f t="shared" si="8"/>
        <v>3</v>
      </c>
      <c r="N36" s="4">
        <f t="shared" si="9"/>
        <v>7</v>
      </c>
      <c r="O36" s="4">
        <f t="shared" si="10"/>
        <v>18</v>
      </c>
      <c r="P36" s="4">
        <f t="shared" si="11"/>
        <v>0</v>
      </c>
      <c r="Q36" s="4">
        <f t="shared" si="12"/>
        <v>6</v>
      </c>
      <c r="R36" s="4">
        <f t="shared" si="13"/>
        <v>42</v>
      </c>
      <c r="S36" s="4">
        <f t="shared" si="14"/>
        <v>18</v>
      </c>
      <c r="T36" s="4">
        <f t="shared" si="15"/>
        <v>3</v>
      </c>
      <c r="U36" s="4">
        <f t="shared" si="16"/>
        <v>0</v>
      </c>
      <c r="V36" s="8">
        <f t="shared" si="17"/>
        <v>3</v>
      </c>
      <c r="W36" s="8">
        <f t="shared" si="18"/>
        <v>7</v>
      </c>
      <c r="X36">
        <f t="shared" si="19"/>
        <v>1</v>
      </c>
    </row>
    <row r="37" spans="1:24" x14ac:dyDescent="0.25">
      <c r="A37" s="4" t="s">
        <v>63</v>
      </c>
      <c r="B37" t="s">
        <v>13</v>
      </c>
      <c r="C37" t="s">
        <v>6</v>
      </c>
      <c r="D37" s="3">
        <f t="shared" si="0"/>
        <v>81</v>
      </c>
      <c r="E37" s="4">
        <f t="shared" si="1"/>
        <v>6</v>
      </c>
      <c r="F37" s="4">
        <f t="shared" si="2"/>
        <v>12</v>
      </c>
      <c r="G37" s="3">
        <f>IF(E37&gt;=20,2000,1900) + D37</f>
        <v>1981</v>
      </c>
      <c r="H37">
        <f t="shared" si="3"/>
        <v>6</v>
      </c>
      <c r="I37" s="4">
        <f t="shared" si="4"/>
        <v>12</v>
      </c>
      <c r="J37">
        <f t="shared" si="5"/>
        <v>19810612</v>
      </c>
      <c r="K37" t="str">
        <f t="shared" si="6"/>
        <v>12.06.1981</v>
      </c>
      <c r="L37" s="4">
        <f t="shared" si="7"/>
        <v>8</v>
      </c>
      <c r="M37" s="4">
        <f t="shared" si="8"/>
        <v>3</v>
      </c>
      <c r="N37" s="4">
        <f t="shared" si="9"/>
        <v>0</v>
      </c>
      <c r="O37" s="4">
        <f t="shared" si="10"/>
        <v>54</v>
      </c>
      <c r="P37" s="4">
        <f t="shared" si="11"/>
        <v>1</v>
      </c>
      <c r="Q37" s="4">
        <f t="shared" si="12"/>
        <v>6</v>
      </c>
      <c r="R37" s="4">
        <f t="shared" si="13"/>
        <v>7</v>
      </c>
      <c r="S37" s="4">
        <f t="shared" si="14"/>
        <v>18</v>
      </c>
      <c r="T37" s="4">
        <f t="shared" si="15"/>
        <v>6</v>
      </c>
      <c r="U37" s="4">
        <f t="shared" si="16"/>
        <v>12</v>
      </c>
      <c r="V37" s="8">
        <f t="shared" si="17"/>
        <v>5</v>
      </c>
      <c r="W37" s="8">
        <f t="shared" si="18"/>
        <v>5</v>
      </c>
      <c r="X37">
        <f t="shared" si="19"/>
        <v>1</v>
      </c>
    </row>
    <row r="38" spans="1:24" x14ac:dyDescent="0.25">
      <c r="A38" s="4" t="s">
        <v>64</v>
      </c>
      <c r="B38" t="s">
        <v>12</v>
      </c>
      <c r="C38" t="s">
        <v>6</v>
      </c>
      <c r="D38" s="3">
        <f t="shared" si="0"/>
        <v>82</v>
      </c>
      <c r="E38" s="4">
        <f t="shared" si="1"/>
        <v>3</v>
      </c>
      <c r="F38" s="4">
        <f t="shared" si="2"/>
        <v>6</v>
      </c>
      <c r="G38" s="3">
        <f>IF(E38&gt;=20,2000,1900) + D38</f>
        <v>1982</v>
      </c>
      <c r="H38">
        <f t="shared" si="3"/>
        <v>3</v>
      </c>
      <c r="I38" s="4">
        <f t="shared" si="4"/>
        <v>6</v>
      </c>
      <c r="J38">
        <f t="shared" si="5"/>
        <v>19820306</v>
      </c>
      <c r="K38" t="str">
        <f t="shared" si="6"/>
        <v>06.03.1982</v>
      </c>
      <c r="L38" s="4">
        <f t="shared" si="7"/>
        <v>8</v>
      </c>
      <c r="M38" s="4">
        <f t="shared" si="8"/>
        <v>6</v>
      </c>
      <c r="N38" s="4">
        <f t="shared" si="9"/>
        <v>0</v>
      </c>
      <c r="O38" s="4">
        <f t="shared" si="10"/>
        <v>27</v>
      </c>
      <c r="P38" s="4">
        <f t="shared" si="11"/>
        <v>0</v>
      </c>
      <c r="Q38" s="4">
        <f t="shared" si="12"/>
        <v>18</v>
      </c>
      <c r="R38" s="4">
        <f t="shared" si="13"/>
        <v>63</v>
      </c>
      <c r="S38" s="4">
        <f t="shared" si="14"/>
        <v>54</v>
      </c>
      <c r="T38" s="4">
        <f t="shared" si="15"/>
        <v>1</v>
      </c>
      <c r="U38" s="4">
        <f t="shared" si="16"/>
        <v>0</v>
      </c>
      <c r="V38" s="8">
        <f t="shared" si="17"/>
        <v>7</v>
      </c>
      <c r="W38" s="8">
        <f t="shared" si="18"/>
        <v>3</v>
      </c>
      <c r="X38">
        <f t="shared" si="19"/>
        <v>1</v>
      </c>
    </row>
    <row r="39" spans="1:24" x14ac:dyDescent="0.25">
      <c r="A39" s="4" t="s">
        <v>65</v>
      </c>
      <c r="B39" t="s">
        <v>14</v>
      </c>
      <c r="C39" t="s">
        <v>6</v>
      </c>
      <c r="D39" s="3">
        <f t="shared" si="0"/>
        <v>94</v>
      </c>
      <c r="E39" s="4">
        <f t="shared" si="1"/>
        <v>2</v>
      </c>
      <c r="F39" s="4">
        <f t="shared" si="2"/>
        <v>28</v>
      </c>
      <c r="G39" s="3">
        <f>IF(E39&gt;=20,2000,1900) + D39</f>
        <v>1994</v>
      </c>
      <c r="H39">
        <f t="shared" si="3"/>
        <v>2</v>
      </c>
      <c r="I39" s="4">
        <f t="shared" si="4"/>
        <v>28</v>
      </c>
      <c r="J39">
        <f t="shared" si="5"/>
        <v>19940228</v>
      </c>
      <c r="K39" t="str">
        <f t="shared" si="6"/>
        <v>28.02.1994</v>
      </c>
      <c r="L39" s="4">
        <f t="shared" si="7"/>
        <v>9</v>
      </c>
      <c r="M39" s="4">
        <f t="shared" si="8"/>
        <v>12</v>
      </c>
      <c r="N39" s="4">
        <f t="shared" si="9"/>
        <v>0</v>
      </c>
      <c r="O39" s="4">
        <f t="shared" si="10"/>
        <v>18</v>
      </c>
      <c r="P39" s="4">
        <f t="shared" si="11"/>
        <v>2</v>
      </c>
      <c r="Q39" s="4">
        <f t="shared" si="12"/>
        <v>24</v>
      </c>
      <c r="R39" s="4">
        <f t="shared" si="13"/>
        <v>28</v>
      </c>
      <c r="S39" s="4">
        <f t="shared" si="14"/>
        <v>72</v>
      </c>
      <c r="T39" s="4">
        <f t="shared" si="15"/>
        <v>6</v>
      </c>
      <c r="U39" s="4">
        <f t="shared" si="16"/>
        <v>9</v>
      </c>
      <c r="V39" s="8">
        <f t="shared" si="17"/>
        <v>0</v>
      </c>
      <c r="W39" s="8">
        <f t="shared" si="18"/>
        <v>0</v>
      </c>
      <c r="X39">
        <f t="shared" si="19"/>
        <v>1</v>
      </c>
    </row>
    <row r="40" spans="1:24" x14ac:dyDescent="0.25">
      <c r="A40" s="4" t="s">
        <v>66</v>
      </c>
      <c r="B40" t="s">
        <v>19</v>
      </c>
      <c r="C40" t="s">
        <v>6</v>
      </c>
      <c r="D40" s="3">
        <f t="shared" si="0"/>
        <v>99</v>
      </c>
      <c r="E40" s="4">
        <f t="shared" si="1"/>
        <v>2</v>
      </c>
      <c r="F40" s="4">
        <f t="shared" si="2"/>
        <v>1</v>
      </c>
      <c r="G40" s="3">
        <f>IF(E40&gt;=20,2000,1900) + D40</f>
        <v>1999</v>
      </c>
      <c r="H40">
        <f t="shared" si="3"/>
        <v>2</v>
      </c>
      <c r="I40" s="4">
        <f t="shared" si="4"/>
        <v>1</v>
      </c>
      <c r="J40">
        <f t="shared" si="5"/>
        <v>19990201</v>
      </c>
      <c r="K40" t="str">
        <f t="shared" si="6"/>
        <v>01.02.1999</v>
      </c>
      <c r="L40" s="4">
        <f t="shared" si="7"/>
        <v>9</v>
      </c>
      <c r="M40" s="4">
        <f t="shared" si="8"/>
        <v>27</v>
      </c>
      <c r="N40" s="4">
        <f t="shared" si="9"/>
        <v>0</v>
      </c>
      <c r="O40" s="4">
        <f t="shared" si="10"/>
        <v>18</v>
      </c>
      <c r="P40" s="4">
        <f t="shared" si="11"/>
        <v>0</v>
      </c>
      <c r="Q40" s="4">
        <f t="shared" si="12"/>
        <v>3</v>
      </c>
      <c r="R40" s="4">
        <f t="shared" si="13"/>
        <v>21</v>
      </c>
      <c r="S40" s="4">
        <f t="shared" si="14"/>
        <v>45</v>
      </c>
      <c r="T40" s="4">
        <f t="shared" si="15"/>
        <v>4</v>
      </c>
      <c r="U40" s="4">
        <f t="shared" si="16"/>
        <v>18</v>
      </c>
      <c r="V40" s="8">
        <f t="shared" si="17"/>
        <v>5</v>
      </c>
      <c r="W40" s="8">
        <f t="shared" si="18"/>
        <v>5</v>
      </c>
      <c r="X40">
        <f t="shared" si="19"/>
        <v>1</v>
      </c>
    </row>
    <row r="41" spans="1:24" x14ac:dyDescent="0.25">
      <c r="A41" s="4" t="s">
        <v>67</v>
      </c>
      <c r="B41" t="s">
        <v>19</v>
      </c>
      <c r="C41" t="s">
        <v>4</v>
      </c>
      <c r="D41" s="3">
        <f t="shared" si="0"/>
        <v>82</v>
      </c>
      <c r="E41" s="4">
        <f t="shared" si="1"/>
        <v>8</v>
      </c>
      <c r="F41" s="4">
        <f t="shared" si="2"/>
        <v>2</v>
      </c>
      <c r="G41" s="3">
        <f>IF(E41&gt;=20,2000,1900) + D41</f>
        <v>1982</v>
      </c>
      <c r="H41">
        <f t="shared" si="3"/>
        <v>8</v>
      </c>
      <c r="I41" s="4">
        <f t="shared" si="4"/>
        <v>2</v>
      </c>
      <c r="J41">
        <f t="shared" si="5"/>
        <v>19820802</v>
      </c>
      <c r="K41" t="str">
        <f t="shared" si="6"/>
        <v>02.08.1982</v>
      </c>
      <c r="L41" s="4">
        <f t="shared" si="7"/>
        <v>8</v>
      </c>
      <c r="M41" s="4">
        <f t="shared" si="8"/>
        <v>6</v>
      </c>
      <c r="N41" s="4">
        <f t="shared" si="9"/>
        <v>0</v>
      </c>
      <c r="O41" s="4">
        <f t="shared" si="10"/>
        <v>72</v>
      </c>
      <c r="P41" s="4">
        <f t="shared" si="11"/>
        <v>0</v>
      </c>
      <c r="Q41" s="4">
        <f t="shared" si="12"/>
        <v>6</v>
      </c>
      <c r="R41" s="4">
        <f t="shared" si="13"/>
        <v>56</v>
      </c>
      <c r="S41" s="4">
        <f t="shared" si="14"/>
        <v>72</v>
      </c>
      <c r="T41" s="4">
        <f t="shared" si="15"/>
        <v>5</v>
      </c>
      <c r="U41" s="4">
        <f t="shared" si="16"/>
        <v>18</v>
      </c>
      <c r="V41" s="8">
        <f t="shared" si="17"/>
        <v>3</v>
      </c>
      <c r="W41" s="8">
        <f t="shared" si="18"/>
        <v>7</v>
      </c>
      <c r="X41">
        <f t="shared" si="19"/>
        <v>1</v>
      </c>
    </row>
    <row r="42" spans="1:24" x14ac:dyDescent="0.25">
      <c r="A42" s="4" t="s">
        <v>68</v>
      </c>
      <c r="B42" t="s">
        <v>19</v>
      </c>
      <c r="C42" t="s">
        <v>6</v>
      </c>
      <c r="D42" s="3">
        <f t="shared" si="0"/>
        <v>66</v>
      </c>
      <c r="E42" s="4">
        <f t="shared" si="1"/>
        <v>2</v>
      </c>
      <c r="F42" s="4">
        <f t="shared" si="2"/>
        <v>1</v>
      </c>
      <c r="G42" s="3">
        <f>IF(E42&gt;=20,2000,1900) + D42</f>
        <v>1966</v>
      </c>
      <c r="H42">
        <f t="shared" si="3"/>
        <v>2</v>
      </c>
      <c r="I42" s="4">
        <f t="shared" si="4"/>
        <v>1</v>
      </c>
      <c r="J42">
        <f t="shared" si="5"/>
        <v>19660201</v>
      </c>
      <c r="K42" t="str">
        <f t="shared" si="6"/>
        <v>01.02.1966</v>
      </c>
      <c r="L42" s="4">
        <f t="shared" si="7"/>
        <v>6</v>
      </c>
      <c r="M42" s="4">
        <f t="shared" si="8"/>
        <v>18</v>
      </c>
      <c r="N42" s="4">
        <f t="shared" si="9"/>
        <v>0</v>
      </c>
      <c r="O42" s="4">
        <f t="shared" si="10"/>
        <v>18</v>
      </c>
      <c r="P42" s="4">
        <f t="shared" si="11"/>
        <v>0</v>
      </c>
      <c r="Q42" s="4">
        <f t="shared" si="12"/>
        <v>3</v>
      </c>
      <c r="R42" s="4">
        <f t="shared" si="13"/>
        <v>7</v>
      </c>
      <c r="S42" s="4">
        <f t="shared" si="14"/>
        <v>45</v>
      </c>
      <c r="T42" s="4">
        <f t="shared" si="15"/>
        <v>1</v>
      </c>
      <c r="U42" s="4">
        <f t="shared" si="16"/>
        <v>12</v>
      </c>
      <c r="V42" s="8">
        <f t="shared" si="17"/>
        <v>0</v>
      </c>
      <c r="W42" s="8">
        <f t="shared" si="18"/>
        <v>0</v>
      </c>
      <c r="X42">
        <f t="shared" si="19"/>
        <v>1</v>
      </c>
    </row>
    <row r="43" spans="1:24" x14ac:dyDescent="0.25">
      <c r="A43" s="4" t="s">
        <v>69</v>
      </c>
      <c r="B43" t="s">
        <v>17</v>
      </c>
      <c r="C43" t="s">
        <v>4</v>
      </c>
      <c r="D43" s="3">
        <f t="shared" si="0"/>
        <v>86</v>
      </c>
      <c r="E43" s="4">
        <f t="shared" si="1"/>
        <v>3</v>
      </c>
      <c r="F43" s="4">
        <f t="shared" si="2"/>
        <v>28</v>
      </c>
      <c r="G43" s="3">
        <f>IF(E43&gt;=20,2000,1900) + D43</f>
        <v>1986</v>
      </c>
      <c r="H43">
        <f t="shared" si="3"/>
        <v>3</v>
      </c>
      <c r="I43" s="4">
        <f t="shared" si="4"/>
        <v>28</v>
      </c>
      <c r="J43">
        <f t="shared" si="5"/>
        <v>19860328</v>
      </c>
      <c r="K43" t="str">
        <f t="shared" si="6"/>
        <v>28.03.1986</v>
      </c>
      <c r="L43" s="4">
        <f t="shared" si="7"/>
        <v>8</v>
      </c>
      <c r="M43" s="4">
        <f t="shared" si="8"/>
        <v>18</v>
      </c>
      <c r="N43" s="4">
        <f t="shared" si="9"/>
        <v>0</v>
      </c>
      <c r="O43" s="4">
        <f t="shared" si="10"/>
        <v>27</v>
      </c>
      <c r="P43" s="4">
        <f t="shared" si="11"/>
        <v>2</v>
      </c>
      <c r="Q43" s="4">
        <f t="shared" si="12"/>
        <v>24</v>
      </c>
      <c r="R43" s="4">
        <f t="shared" si="13"/>
        <v>42</v>
      </c>
      <c r="S43" s="4">
        <f t="shared" si="14"/>
        <v>72</v>
      </c>
      <c r="T43" s="4">
        <f t="shared" si="15"/>
        <v>6</v>
      </c>
      <c r="U43" s="4">
        <f t="shared" si="16"/>
        <v>3</v>
      </c>
      <c r="V43" s="8">
        <f t="shared" si="17"/>
        <v>2</v>
      </c>
      <c r="W43" s="8">
        <f t="shared" si="18"/>
        <v>8</v>
      </c>
      <c r="X43">
        <f t="shared" si="19"/>
        <v>1</v>
      </c>
    </row>
    <row r="44" spans="1:24" x14ac:dyDescent="0.25">
      <c r="A44" s="4" t="s">
        <v>70</v>
      </c>
      <c r="B44" t="s">
        <v>12</v>
      </c>
      <c r="C44" t="s">
        <v>6</v>
      </c>
      <c r="D44" s="3">
        <f t="shared" si="0"/>
        <v>83</v>
      </c>
      <c r="E44" s="4">
        <f t="shared" si="1"/>
        <v>11</v>
      </c>
      <c r="F44" s="4">
        <f t="shared" si="2"/>
        <v>18</v>
      </c>
      <c r="G44" s="3">
        <f>IF(E44&gt;=20,2000,1900) + D44</f>
        <v>1983</v>
      </c>
      <c r="H44">
        <f t="shared" si="3"/>
        <v>11</v>
      </c>
      <c r="I44" s="4">
        <f t="shared" si="4"/>
        <v>18</v>
      </c>
      <c r="J44">
        <f t="shared" si="5"/>
        <v>19831118</v>
      </c>
      <c r="K44" t="str">
        <f t="shared" si="6"/>
        <v>18.11.1983</v>
      </c>
      <c r="L44" s="4">
        <f t="shared" si="7"/>
        <v>8</v>
      </c>
      <c r="M44" s="4">
        <f t="shared" si="8"/>
        <v>9</v>
      </c>
      <c r="N44" s="4">
        <f t="shared" si="9"/>
        <v>7</v>
      </c>
      <c r="O44" s="4">
        <f t="shared" si="10"/>
        <v>9</v>
      </c>
      <c r="P44" s="4">
        <f t="shared" si="11"/>
        <v>1</v>
      </c>
      <c r="Q44" s="4">
        <f t="shared" si="12"/>
        <v>24</v>
      </c>
      <c r="R44" s="4">
        <f t="shared" si="13"/>
        <v>0</v>
      </c>
      <c r="S44" s="4">
        <f t="shared" si="14"/>
        <v>54</v>
      </c>
      <c r="T44" s="4">
        <f t="shared" si="15"/>
        <v>2</v>
      </c>
      <c r="U44" s="4">
        <f t="shared" si="16"/>
        <v>9</v>
      </c>
      <c r="V44" s="8">
        <f t="shared" si="17"/>
        <v>3</v>
      </c>
      <c r="W44" s="8">
        <f t="shared" si="18"/>
        <v>7</v>
      </c>
      <c r="X44">
        <f t="shared" si="19"/>
        <v>1</v>
      </c>
    </row>
    <row r="45" spans="1:24" x14ac:dyDescent="0.25">
      <c r="A45" s="4" t="s">
        <v>71</v>
      </c>
      <c r="B45" t="s">
        <v>14</v>
      </c>
      <c r="C45" t="s">
        <v>6</v>
      </c>
      <c r="D45" s="3">
        <f t="shared" si="0"/>
        <v>67</v>
      </c>
      <c r="E45" s="4">
        <f t="shared" si="1"/>
        <v>9</v>
      </c>
      <c r="F45" s="4">
        <f t="shared" si="2"/>
        <v>25</v>
      </c>
      <c r="G45" s="3">
        <f>IF(E45&gt;=20,2000,1900) + D45</f>
        <v>1967</v>
      </c>
      <c r="H45">
        <f t="shared" si="3"/>
        <v>9</v>
      </c>
      <c r="I45" s="4">
        <f t="shared" si="4"/>
        <v>25</v>
      </c>
      <c r="J45">
        <f t="shared" si="5"/>
        <v>19670925</v>
      </c>
      <c r="K45" t="str">
        <f t="shared" si="6"/>
        <v>25.09.1967</v>
      </c>
      <c r="L45" s="4">
        <f t="shared" si="7"/>
        <v>6</v>
      </c>
      <c r="M45" s="4">
        <f t="shared" si="8"/>
        <v>21</v>
      </c>
      <c r="N45" s="4">
        <f t="shared" si="9"/>
        <v>0</v>
      </c>
      <c r="O45" s="4">
        <f t="shared" si="10"/>
        <v>81</v>
      </c>
      <c r="P45" s="4">
        <f t="shared" si="11"/>
        <v>2</v>
      </c>
      <c r="Q45" s="4">
        <f t="shared" si="12"/>
        <v>15</v>
      </c>
      <c r="R45" s="4">
        <f t="shared" si="13"/>
        <v>63</v>
      </c>
      <c r="S45" s="4">
        <f t="shared" si="14"/>
        <v>63</v>
      </c>
      <c r="T45" s="4">
        <f t="shared" si="15"/>
        <v>9</v>
      </c>
      <c r="U45" s="4">
        <f t="shared" si="16"/>
        <v>12</v>
      </c>
      <c r="V45" s="8">
        <f t="shared" si="17"/>
        <v>2</v>
      </c>
      <c r="W45" s="8">
        <f t="shared" si="18"/>
        <v>8</v>
      </c>
      <c r="X45">
        <f t="shared" si="19"/>
        <v>1</v>
      </c>
    </row>
    <row r="46" spans="1:24" x14ac:dyDescent="0.25">
      <c r="A46" s="4" t="s">
        <v>72</v>
      </c>
      <c r="B46" t="s">
        <v>19</v>
      </c>
      <c r="C46" t="s">
        <v>4</v>
      </c>
      <c r="D46" s="3">
        <f t="shared" si="0"/>
        <v>55</v>
      </c>
      <c r="E46" s="4">
        <f t="shared" si="1"/>
        <v>3</v>
      </c>
      <c r="F46" s="4">
        <f t="shared" si="2"/>
        <v>23</v>
      </c>
      <c r="G46" s="3">
        <f>IF(E46&gt;=20,2000,1900) + D46</f>
        <v>1955</v>
      </c>
      <c r="H46">
        <f t="shared" si="3"/>
        <v>3</v>
      </c>
      <c r="I46" s="4">
        <f t="shared" si="4"/>
        <v>23</v>
      </c>
      <c r="J46">
        <f t="shared" si="5"/>
        <v>19550323</v>
      </c>
      <c r="K46" t="str">
        <f t="shared" si="6"/>
        <v>23.03.1955</v>
      </c>
      <c r="L46" s="4">
        <f t="shared" si="7"/>
        <v>5</v>
      </c>
      <c r="M46" s="4">
        <f t="shared" si="8"/>
        <v>15</v>
      </c>
      <c r="N46" s="4">
        <f t="shared" si="9"/>
        <v>0</v>
      </c>
      <c r="O46" s="4">
        <f t="shared" si="10"/>
        <v>27</v>
      </c>
      <c r="P46" s="4">
        <f t="shared" si="11"/>
        <v>2</v>
      </c>
      <c r="Q46" s="4">
        <f t="shared" si="12"/>
        <v>9</v>
      </c>
      <c r="R46" s="4">
        <f t="shared" si="13"/>
        <v>42</v>
      </c>
      <c r="S46" s="4">
        <f t="shared" si="14"/>
        <v>18</v>
      </c>
      <c r="T46" s="4">
        <f t="shared" si="15"/>
        <v>1</v>
      </c>
      <c r="U46" s="4">
        <f t="shared" si="16"/>
        <v>24</v>
      </c>
      <c r="V46" s="8">
        <f t="shared" si="17"/>
        <v>3</v>
      </c>
      <c r="W46" s="8">
        <f t="shared" si="18"/>
        <v>7</v>
      </c>
      <c r="X46">
        <f t="shared" si="19"/>
        <v>1</v>
      </c>
    </row>
    <row r="47" spans="1:24" x14ac:dyDescent="0.25">
      <c r="A47" s="4" t="s">
        <v>73</v>
      </c>
      <c r="B47" t="s">
        <v>17</v>
      </c>
      <c r="C47" t="s">
        <v>4</v>
      </c>
      <c r="D47" s="3">
        <f t="shared" si="0"/>
        <v>68</v>
      </c>
      <c r="E47" s="4">
        <f t="shared" si="1"/>
        <v>11</v>
      </c>
      <c r="F47" s="4">
        <f t="shared" si="2"/>
        <v>15</v>
      </c>
      <c r="G47" s="3">
        <f>IF(E47&gt;=20,2000,1900) + D47</f>
        <v>1968</v>
      </c>
      <c r="H47">
        <f t="shared" si="3"/>
        <v>11</v>
      </c>
      <c r="I47" s="4">
        <f t="shared" si="4"/>
        <v>15</v>
      </c>
      <c r="J47">
        <f t="shared" si="5"/>
        <v>19681115</v>
      </c>
      <c r="K47" t="str">
        <f t="shared" si="6"/>
        <v>15.11.1968</v>
      </c>
      <c r="L47" s="4">
        <f t="shared" si="7"/>
        <v>6</v>
      </c>
      <c r="M47" s="4">
        <f t="shared" si="8"/>
        <v>24</v>
      </c>
      <c r="N47" s="4">
        <f t="shared" si="9"/>
        <v>7</v>
      </c>
      <c r="O47" s="4">
        <f t="shared" si="10"/>
        <v>9</v>
      </c>
      <c r="P47" s="4">
        <f t="shared" si="11"/>
        <v>1</v>
      </c>
      <c r="Q47" s="4">
        <f t="shared" si="12"/>
        <v>15</v>
      </c>
      <c r="R47" s="4">
        <f t="shared" si="13"/>
        <v>35</v>
      </c>
      <c r="S47" s="4">
        <f t="shared" si="14"/>
        <v>9</v>
      </c>
      <c r="T47" s="4">
        <f t="shared" si="15"/>
        <v>0</v>
      </c>
      <c r="U47" s="4">
        <f t="shared" si="16"/>
        <v>21</v>
      </c>
      <c r="V47" s="8">
        <f t="shared" si="17"/>
        <v>7</v>
      </c>
      <c r="W47" s="8">
        <f t="shared" si="18"/>
        <v>3</v>
      </c>
      <c r="X47">
        <f t="shared" si="19"/>
        <v>1</v>
      </c>
    </row>
    <row r="48" spans="1:24" x14ac:dyDescent="0.25">
      <c r="A48" s="4" t="s">
        <v>74</v>
      </c>
      <c r="B48" t="s">
        <v>19</v>
      </c>
      <c r="C48" t="s">
        <v>4</v>
      </c>
      <c r="D48" s="3">
        <f t="shared" si="0"/>
        <v>72</v>
      </c>
      <c r="E48" s="4">
        <f t="shared" si="1"/>
        <v>5</v>
      </c>
      <c r="F48" s="4">
        <f t="shared" si="2"/>
        <v>1</v>
      </c>
      <c r="G48" s="3">
        <f>IF(E48&gt;=20,2000,1900) + D48</f>
        <v>1972</v>
      </c>
      <c r="H48">
        <f t="shared" si="3"/>
        <v>5</v>
      </c>
      <c r="I48" s="4">
        <f t="shared" si="4"/>
        <v>1</v>
      </c>
      <c r="J48">
        <f t="shared" si="5"/>
        <v>19720501</v>
      </c>
      <c r="K48" t="str">
        <f t="shared" si="6"/>
        <v>01.05.1972</v>
      </c>
      <c r="L48" s="4">
        <f t="shared" si="7"/>
        <v>7</v>
      </c>
      <c r="M48" s="4">
        <f t="shared" si="8"/>
        <v>6</v>
      </c>
      <c r="N48" s="4">
        <f t="shared" si="9"/>
        <v>0</v>
      </c>
      <c r="O48" s="4">
        <f t="shared" si="10"/>
        <v>45</v>
      </c>
      <c r="P48" s="4">
        <f t="shared" si="11"/>
        <v>0</v>
      </c>
      <c r="Q48" s="4">
        <f t="shared" si="12"/>
        <v>3</v>
      </c>
      <c r="R48" s="4">
        <f t="shared" si="13"/>
        <v>63</v>
      </c>
      <c r="S48" s="4">
        <f t="shared" si="14"/>
        <v>81</v>
      </c>
      <c r="T48" s="4">
        <f t="shared" si="15"/>
        <v>0</v>
      </c>
      <c r="U48" s="4">
        <f t="shared" si="16"/>
        <v>24</v>
      </c>
      <c r="V48" s="8">
        <f t="shared" si="17"/>
        <v>9</v>
      </c>
      <c r="W48" s="8">
        <f t="shared" si="18"/>
        <v>1</v>
      </c>
      <c r="X48">
        <f t="shared" si="19"/>
        <v>1</v>
      </c>
    </row>
    <row r="49" spans="1:24" x14ac:dyDescent="0.25">
      <c r="A49" s="4" t="s">
        <v>75</v>
      </c>
      <c r="B49" t="s">
        <v>17</v>
      </c>
      <c r="C49" t="s">
        <v>4</v>
      </c>
      <c r="D49" s="3">
        <f t="shared" si="0"/>
        <v>89</v>
      </c>
      <c r="E49" s="4">
        <f t="shared" si="1"/>
        <v>11</v>
      </c>
      <c r="F49" s="4">
        <f t="shared" si="2"/>
        <v>6</v>
      </c>
      <c r="G49" s="3">
        <f>IF(E49&gt;=20,2000,1900) + D49</f>
        <v>1989</v>
      </c>
      <c r="H49">
        <f t="shared" si="3"/>
        <v>11</v>
      </c>
      <c r="I49" s="4">
        <f t="shared" si="4"/>
        <v>6</v>
      </c>
      <c r="J49">
        <f t="shared" si="5"/>
        <v>19891106</v>
      </c>
      <c r="K49" t="str">
        <f t="shared" si="6"/>
        <v>06.11.1989</v>
      </c>
      <c r="L49" s="4">
        <f t="shared" si="7"/>
        <v>8</v>
      </c>
      <c r="M49" s="4">
        <f t="shared" si="8"/>
        <v>27</v>
      </c>
      <c r="N49" s="4">
        <f t="shared" si="9"/>
        <v>7</v>
      </c>
      <c r="O49" s="4">
        <f t="shared" si="10"/>
        <v>9</v>
      </c>
      <c r="P49" s="4">
        <f t="shared" si="11"/>
        <v>0</v>
      </c>
      <c r="Q49" s="4">
        <f t="shared" si="12"/>
        <v>18</v>
      </c>
      <c r="R49" s="4">
        <f t="shared" si="13"/>
        <v>7</v>
      </c>
      <c r="S49" s="4">
        <f t="shared" si="14"/>
        <v>81</v>
      </c>
      <c r="T49" s="4">
        <f t="shared" si="15"/>
        <v>8</v>
      </c>
      <c r="U49" s="4">
        <f t="shared" si="16"/>
        <v>3</v>
      </c>
      <c r="V49" s="8">
        <f t="shared" si="17"/>
        <v>8</v>
      </c>
      <c r="W49" s="8">
        <f t="shared" si="18"/>
        <v>2</v>
      </c>
      <c r="X49">
        <f t="shared" si="19"/>
        <v>1</v>
      </c>
    </row>
    <row r="50" spans="1:24" x14ac:dyDescent="0.25">
      <c r="A50" s="4" t="s">
        <v>76</v>
      </c>
      <c r="B50" t="s">
        <v>14</v>
      </c>
      <c r="C50" t="s">
        <v>6</v>
      </c>
      <c r="D50" s="3">
        <f t="shared" si="0"/>
        <v>92</v>
      </c>
      <c r="E50" s="4">
        <f t="shared" si="1"/>
        <v>6</v>
      </c>
      <c r="F50" s="4">
        <f t="shared" si="2"/>
        <v>29</v>
      </c>
      <c r="G50" s="3">
        <f>IF(E50&gt;=20,2000,1900) + D50</f>
        <v>1992</v>
      </c>
      <c r="H50">
        <f t="shared" si="3"/>
        <v>6</v>
      </c>
      <c r="I50" s="4">
        <f t="shared" si="4"/>
        <v>29</v>
      </c>
      <c r="J50">
        <f t="shared" si="5"/>
        <v>19920629</v>
      </c>
      <c r="K50" t="str">
        <f t="shared" si="6"/>
        <v>29.06.1992</v>
      </c>
      <c r="L50" s="4">
        <f t="shared" si="7"/>
        <v>9</v>
      </c>
      <c r="M50" s="4">
        <f t="shared" si="8"/>
        <v>6</v>
      </c>
      <c r="N50" s="4">
        <f t="shared" si="9"/>
        <v>0</v>
      </c>
      <c r="O50" s="4">
        <f t="shared" si="10"/>
        <v>54</v>
      </c>
      <c r="P50" s="4">
        <f t="shared" si="11"/>
        <v>2</v>
      </c>
      <c r="Q50" s="4">
        <f t="shared" si="12"/>
        <v>27</v>
      </c>
      <c r="R50" s="4">
        <f t="shared" si="13"/>
        <v>21</v>
      </c>
      <c r="S50" s="4">
        <f t="shared" si="14"/>
        <v>81</v>
      </c>
      <c r="T50" s="4">
        <f t="shared" si="15"/>
        <v>6</v>
      </c>
      <c r="U50" s="4">
        <f t="shared" si="16"/>
        <v>9</v>
      </c>
      <c r="V50" s="8">
        <f t="shared" si="17"/>
        <v>5</v>
      </c>
      <c r="W50" s="8">
        <f t="shared" si="18"/>
        <v>5</v>
      </c>
      <c r="X50">
        <f t="shared" si="19"/>
        <v>1</v>
      </c>
    </row>
    <row r="51" spans="1:24" x14ac:dyDescent="0.25">
      <c r="A51" s="4" t="s">
        <v>77</v>
      </c>
      <c r="B51" t="s">
        <v>17</v>
      </c>
      <c r="C51" t="s">
        <v>6</v>
      </c>
      <c r="D51" s="3">
        <f t="shared" si="0"/>
        <v>96</v>
      </c>
      <c r="E51" s="4">
        <f t="shared" si="1"/>
        <v>2</v>
      </c>
      <c r="F51" s="4">
        <f t="shared" si="2"/>
        <v>27</v>
      </c>
      <c r="G51" s="3">
        <f>IF(E51&gt;=20,2000,1900) + D51</f>
        <v>1996</v>
      </c>
      <c r="H51">
        <f t="shared" si="3"/>
        <v>2</v>
      </c>
      <c r="I51" s="4">
        <f t="shared" si="4"/>
        <v>27</v>
      </c>
      <c r="J51">
        <f t="shared" si="5"/>
        <v>19960227</v>
      </c>
      <c r="K51" t="str">
        <f t="shared" si="6"/>
        <v>27.02.1996</v>
      </c>
      <c r="L51" s="4">
        <f t="shared" si="7"/>
        <v>9</v>
      </c>
      <c r="M51" s="4">
        <f t="shared" si="8"/>
        <v>18</v>
      </c>
      <c r="N51" s="4">
        <f t="shared" si="9"/>
        <v>0</v>
      </c>
      <c r="O51" s="4">
        <f t="shared" si="10"/>
        <v>18</v>
      </c>
      <c r="P51" s="4">
        <f t="shared" si="11"/>
        <v>2</v>
      </c>
      <c r="Q51" s="4">
        <f t="shared" si="12"/>
        <v>21</v>
      </c>
      <c r="R51" s="4">
        <f t="shared" si="13"/>
        <v>14</v>
      </c>
      <c r="S51" s="4">
        <f t="shared" si="14"/>
        <v>9</v>
      </c>
      <c r="T51" s="4">
        <f t="shared" si="15"/>
        <v>8</v>
      </c>
      <c r="U51" s="4">
        <f t="shared" si="16"/>
        <v>3</v>
      </c>
      <c r="V51" s="8">
        <f t="shared" si="17"/>
        <v>2</v>
      </c>
      <c r="W51" s="8">
        <f t="shared" si="18"/>
        <v>8</v>
      </c>
      <c r="X51">
        <f t="shared" si="19"/>
        <v>1</v>
      </c>
    </row>
    <row r="52" spans="1:24" x14ac:dyDescent="0.25">
      <c r="A52" s="4" t="s">
        <v>78</v>
      </c>
      <c r="B52" t="s">
        <v>12</v>
      </c>
      <c r="C52" t="s">
        <v>6</v>
      </c>
      <c r="D52" s="3">
        <f t="shared" si="0"/>
        <v>67</v>
      </c>
      <c r="E52" s="4">
        <f t="shared" si="1"/>
        <v>8</v>
      </c>
      <c r="F52" s="4">
        <f t="shared" si="2"/>
        <v>27</v>
      </c>
      <c r="G52" s="3">
        <f>IF(E52&gt;=20,2000,1900) + D52</f>
        <v>1967</v>
      </c>
      <c r="H52">
        <f t="shared" si="3"/>
        <v>8</v>
      </c>
      <c r="I52" s="4">
        <f t="shared" si="4"/>
        <v>27</v>
      </c>
      <c r="J52">
        <f t="shared" si="5"/>
        <v>19670827</v>
      </c>
      <c r="K52" t="str">
        <f t="shared" si="6"/>
        <v>27.08.1967</v>
      </c>
      <c r="L52" s="4">
        <f t="shared" si="7"/>
        <v>6</v>
      </c>
      <c r="M52" s="4">
        <f t="shared" si="8"/>
        <v>21</v>
      </c>
      <c r="N52" s="4">
        <f t="shared" si="9"/>
        <v>0</v>
      </c>
      <c r="O52" s="4">
        <f t="shared" si="10"/>
        <v>72</v>
      </c>
      <c r="P52" s="4">
        <f t="shared" si="11"/>
        <v>2</v>
      </c>
      <c r="Q52" s="4">
        <f t="shared" si="12"/>
        <v>21</v>
      </c>
      <c r="R52" s="4">
        <f t="shared" si="13"/>
        <v>35</v>
      </c>
      <c r="S52" s="4">
        <f t="shared" si="14"/>
        <v>81</v>
      </c>
      <c r="T52" s="4">
        <f t="shared" si="15"/>
        <v>1</v>
      </c>
      <c r="U52" s="4">
        <f t="shared" si="16"/>
        <v>12</v>
      </c>
      <c r="V52" s="8">
        <f t="shared" si="17"/>
        <v>1</v>
      </c>
      <c r="W52" s="8">
        <f t="shared" si="18"/>
        <v>9</v>
      </c>
      <c r="X52">
        <f t="shared" si="19"/>
        <v>1</v>
      </c>
    </row>
    <row r="53" spans="1:24" x14ac:dyDescent="0.25">
      <c r="A53" s="4" t="s">
        <v>79</v>
      </c>
      <c r="B53" t="s">
        <v>13</v>
      </c>
      <c r="C53" t="s">
        <v>6</v>
      </c>
      <c r="D53" s="3">
        <f t="shared" si="0"/>
        <v>53</v>
      </c>
      <c r="E53" s="4">
        <f t="shared" si="1"/>
        <v>4</v>
      </c>
      <c r="F53" s="4">
        <f t="shared" si="2"/>
        <v>13</v>
      </c>
      <c r="G53" s="3">
        <f>IF(E53&gt;=20,2000,1900) + D53</f>
        <v>1953</v>
      </c>
      <c r="H53">
        <f t="shared" si="3"/>
        <v>4</v>
      </c>
      <c r="I53" s="4">
        <f t="shared" si="4"/>
        <v>13</v>
      </c>
      <c r="J53">
        <f t="shared" si="5"/>
        <v>19530413</v>
      </c>
      <c r="K53" t="str">
        <f t="shared" si="6"/>
        <v>13.04.1953</v>
      </c>
      <c r="L53" s="4">
        <f t="shared" si="7"/>
        <v>5</v>
      </c>
      <c r="M53" s="4">
        <f t="shared" si="8"/>
        <v>9</v>
      </c>
      <c r="N53" s="4">
        <f t="shared" si="9"/>
        <v>0</v>
      </c>
      <c r="O53" s="4">
        <f t="shared" si="10"/>
        <v>36</v>
      </c>
      <c r="P53" s="4">
        <f t="shared" si="11"/>
        <v>1</v>
      </c>
      <c r="Q53" s="4">
        <f t="shared" si="12"/>
        <v>9</v>
      </c>
      <c r="R53" s="4">
        <f t="shared" si="13"/>
        <v>21</v>
      </c>
      <c r="S53" s="4">
        <f t="shared" si="14"/>
        <v>72</v>
      </c>
      <c r="T53" s="4">
        <f t="shared" si="15"/>
        <v>9</v>
      </c>
      <c r="U53" s="4">
        <f t="shared" si="16"/>
        <v>0</v>
      </c>
      <c r="V53" s="8">
        <f t="shared" si="17"/>
        <v>2</v>
      </c>
      <c r="W53" s="8">
        <f t="shared" si="18"/>
        <v>8</v>
      </c>
      <c r="X53">
        <f t="shared" si="19"/>
        <v>1</v>
      </c>
    </row>
    <row r="54" spans="1:24" x14ac:dyDescent="0.25">
      <c r="A54" s="4" t="s">
        <v>80</v>
      </c>
      <c r="B54" t="s">
        <v>15</v>
      </c>
      <c r="C54" t="s">
        <v>6</v>
      </c>
      <c r="D54" s="3">
        <f t="shared" si="0"/>
        <v>85</v>
      </c>
      <c r="E54" s="4">
        <f t="shared" si="1"/>
        <v>7</v>
      </c>
      <c r="F54" s="4">
        <f t="shared" si="2"/>
        <v>4</v>
      </c>
      <c r="G54" s="3">
        <f>IF(E54&gt;=20,2000,1900) + D54</f>
        <v>1985</v>
      </c>
      <c r="H54">
        <f t="shared" si="3"/>
        <v>7</v>
      </c>
      <c r="I54" s="4">
        <f t="shared" si="4"/>
        <v>4</v>
      </c>
      <c r="J54">
        <f t="shared" si="5"/>
        <v>19850704</v>
      </c>
      <c r="K54" t="str">
        <f t="shared" si="6"/>
        <v>04.07.1985</v>
      </c>
      <c r="L54" s="4">
        <f t="shared" si="7"/>
        <v>8</v>
      </c>
      <c r="M54" s="4">
        <f t="shared" si="8"/>
        <v>15</v>
      </c>
      <c r="N54" s="4">
        <f t="shared" si="9"/>
        <v>0</v>
      </c>
      <c r="O54" s="4">
        <f t="shared" si="10"/>
        <v>63</v>
      </c>
      <c r="P54" s="4">
        <f t="shared" si="11"/>
        <v>0</v>
      </c>
      <c r="Q54" s="4">
        <f t="shared" si="12"/>
        <v>12</v>
      </c>
      <c r="R54" s="4">
        <f t="shared" si="13"/>
        <v>42</v>
      </c>
      <c r="S54" s="4">
        <f t="shared" si="14"/>
        <v>36</v>
      </c>
      <c r="T54" s="4">
        <f t="shared" si="15"/>
        <v>3</v>
      </c>
      <c r="U54" s="4">
        <f t="shared" si="16"/>
        <v>15</v>
      </c>
      <c r="V54" s="8">
        <f t="shared" si="17"/>
        <v>4</v>
      </c>
      <c r="W54" s="8">
        <f t="shared" si="18"/>
        <v>6</v>
      </c>
      <c r="X54">
        <f t="shared" si="19"/>
        <v>1</v>
      </c>
    </row>
    <row r="55" spans="1:24" x14ac:dyDescent="0.25">
      <c r="A55" s="4" t="s">
        <v>81</v>
      </c>
      <c r="B55" t="s">
        <v>3</v>
      </c>
      <c r="C55" t="s">
        <v>4</v>
      </c>
      <c r="D55" s="3">
        <f t="shared" si="0"/>
        <v>67</v>
      </c>
      <c r="E55" s="4">
        <f t="shared" si="1"/>
        <v>11</v>
      </c>
      <c r="F55" s="4">
        <f t="shared" si="2"/>
        <v>4</v>
      </c>
      <c r="G55" s="3">
        <f>IF(E55&gt;=20,2000,1900) + D55</f>
        <v>1967</v>
      </c>
      <c r="H55">
        <f t="shared" si="3"/>
        <v>11</v>
      </c>
      <c r="I55" s="4">
        <f t="shared" si="4"/>
        <v>4</v>
      </c>
      <c r="J55">
        <f t="shared" si="5"/>
        <v>19671104</v>
      </c>
      <c r="K55" t="str">
        <f t="shared" si="6"/>
        <v>04.11.1967</v>
      </c>
      <c r="L55" s="4">
        <f t="shared" si="7"/>
        <v>6</v>
      </c>
      <c r="M55" s="4">
        <f t="shared" si="8"/>
        <v>21</v>
      </c>
      <c r="N55" s="4">
        <f t="shared" si="9"/>
        <v>7</v>
      </c>
      <c r="O55" s="4">
        <f t="shared" si="10"/>
        <v>9</v>
      </c>
      <c r="P55" s="4">
        <f t="shared" si="11"/>
        <v>0</v>
      </c>
      <c r="Q55" s="4">
        <f t="shared" si="12"/>
        <v>12</v>
      </c>
      <c r="R55" s="4">
        <f t="shared" si="13"/>
        <v>28</v>
      </c>
      <c r="S55" s="4">
        <f t="shared" si="14"/>
        <v>27</v>
      </c>
      <c r="T55" s="4">
        <f t="shared" si="15"/>
        <v>9</v>
      </c>
      <c r="U55" s="4">
        <f t="shared" si="16"/>
        <v>0</v>
      </c>
      <c r="V55" s="8">
        <f t="shared" si="17"/>
        <v>9</v>
      </c>
      <c r="W55" s="8">
        <f t="shared" si="18"/>
        <v>1</v>
      </c>
      <c r="X55">
        <f t="shared" si="19"/>
        <v>1</v>
      </c>
    </row>
    <row r="56" spans="1:24" x14ac:dyDescent="0.25">
      <c r="A56" s="4" t="s">
        <v>82</v>
      </c>
      <c r="B56" t="s">
        <v>16</v>
      </c>
      <c r="C56" t="s">
        <v>4</v>
      </c>
      <c r="D56" s="3">
        <f t="shared" si="0"/>
        <v>76</v>
      </c>
      <c r="E56" s="4">
        <f t="shared" si="1"/>
        <v>11</v>
      </c>
      <c r="F56" s="4">
        <f t="shared" si="2"/>
        <v>29</v>
      </c>
      <c r="G56" s="3">
        <f>IF(E56&gt;=20,2000,1900) + D56</f>
        <v>1976</v>
      </c>
      <c r="H56">
        <f t="shared" si="3"/>
        <v>11</v>
      </c>
      <c r="I56" s="4">
        <f t="shared" si="4"/>
        <v>29</v>
      </c>
      <c r="J56">
        <f t="shared" si="5"/>
        <v>19761129</v>
      </c>
      <c r="K56" t="str">
        <f t="shared" si="6"/>
        <v>29.11.1976</v>
      </c>
      <c r="L56" s="4">
        <f t="shared" si="7"/>
        <v>7</v>
      </c>
      <c r="M56" s="4">
        <f t="shared" si="8"/>
        <v>18</v>
      </c>
      <c r="N56" s="4">
        <f t="shared" si="9"/>
        <v>7</v>
      </c>
      <c r="O56" s="4">
        <f t="shared" si="10"/>
        <v>9</v>
      </c>
      <c r="P56" s="4">
        <f t="shared" si="11"/>
        <v>2</v>
      </c>
      <c r="Q56" s="4">
        <f t="shared" si="12"/>
        <v>27</v>
      </c>
      <c r="R56" s="4">
        <f t="shared" si="13"/>
        <v>35</v>
      </c>
      <c r="S56" s="4">
        <f t="shared" si="14"/>
        <v>54</v>
      </c>
      <c r="T56" s="4">
        <f t="shared" si="15"/>
        <v>8</v>
      </c>
      <c r="U56" s="4">
        <f t="shared" si="16"/>
        <v>27</v>
      </c>
      <c r="V56" s="8">
        <f t="shared" si="17"/>
        <v>4</v>
      </c>
      <c r="W56" s="8">
        <f t="shared" si="18"/>
        <v>6</v>
      </c>
      <c r="X56">
        <f t="shared" si="19"/>
        <v>1</v>
      </c>
    </row>
    <row r="57" spans="1:24" x14ac:dyDescent="0.25">
      <c r="A57" s="4" t="s">
        <v>83</v>
      </c>
      <c r="B57" t="s">
        <v>7</v>
      </c>
      <c r="C57" t="s">
        <v>6</v>
      </c>
      <c r="D57" s="3">
        <f t="shared" si="0"/>
        <v>78</v>
      </c>
      <c r="E57" s="4">
        <f t="shared" si="1"/>
        <v>7</v>
      </c>
      <c r="F57" s="4">
        <f t="shared" si="2"/>
        <v>23</v>
      </c>
      <c r="G57" s="3">
        <f>IF(E57&gt;=20,2000,1900) + D57</f>
        <v>1978</v>
      </c>
      <c r="H57">
        <f t="shared" si="3"/>
        <v>7</v>
      </c>
      <c r="I57" s="4">
        <f t="shared" si="4"/>
        <v>23</v>
      </c>
      <c r="J57">
        <f t="shared" si="5"/>
        <v>19780723</v>
      </c>
      <c r="K57" t="str">
        <f t="shared" si="6"/>
        <v>23.07.1978</v>
      </c>
      <c r="L57" s="4">
        <f t="shared" si="7"/>
        <v>7</v>
      </c>
      <c r="M57" s="4">
        <f t="shared" si="8"/>
        <v>24</v>
      </c>
      <c r="N57" s="4">
        <f t="shared" si="9"/>
        <v>0</v>
      </c>
      <c r="O57" s="4">
        <f t="shared" si="10"/>
        <v>63</v>
      </c>
      <c r="P57" s="4">
        <f t="shared" si="11"/>
        <v>2</v>
      </c>
      <c r="Q57" s="4">
        <f t="shared" si="12"/>
        <v>9</v>
      </c>
      <c r="R57" s="4">
        <f t="shared" si="13"/>
        <v>28</v>
      </c>
      <c r="S57" s="4">
        <f t="shared" si="14"/>
        <v>36</v>
      </c>
      <c r="T57" s="4">
        <f t="shared" si="15"/>
        <v>4</v>
      </c>
      <c r="U57" s="4">
        <f t="shared" si="16"/>
        <v>9</v>
      </c>
      <c r="V57" s="8">
        <f t="shared" si="17"/>
        <v>2</v>
      </c>
      <c r="W57" s="8">
        <f t="shared" si="18"/>
        <v>8</v>
      </c>
      <c r="X57">
        <f t="shared" si="19"/>
        <v>1</v>
      </c>
    </row>
    <row r="58" spans="1:24" x14ac:dyDescent="0.25">
      <c r="A58" s="4" t="s">
        <v>84</v>
      </c>
      <c r="B58" t="s">
        <v>13</v>
      </c>
      <c r="C58" t="s">
        <v>6</v>
      </c>
      <c r="D58" s="3">
        <f t="shared" si="0"/>
        <v>50</v>
      </c>
      <c r="E58" s="4">
        <f t="shared" si="1"/>
        <v>9</v>
      </c>
      <c r="F58" s="4">
        <f t="shared" si="2"/>
        <v>27</v>
      </c>
      <c r="G58" s="3">
        <f>IF(E58&gt;=20,2000,1900) + D58</f>
        <v>1950</v>
      </c>
      <c r="H58">
        <f t="shared" si="3"/>
        <v>9</v>
      </c>
      <c r="I58" s="4">
        <f t="shared" si="4"/>
        <v>27</v>
      </c>
      <c r="J58">
        <f t="shared" si="5"/>
        <v>19500927</v>
      </c>
      <c r="K58" t="str">
        <f t="shared" si="6"/>
        <v>27.09.1950</v>
      </c>
      <c r="L58" s="4">
        <f t="shared" si="7"/>
        <v>5</v>
      </c>
      <c r="M58" s="4">
        <f t="shared" si="8"/>
        <v>0</v>
      </c>
      <c r="N58" s="4">
        <f t="shared" si="9"/>
        <v>0</v>
      </c>
      <c r="O58" s="4">
        <f t="shared" si="10"/>
        <v>81</v>
      </c>
      <c r="P58" s="4">
        <f t="shared" si="11"/>
        <v>2</v>
      </c>
      <c r="Q58" s="4">
        <f t="shared" si="12"/>
        <v>21</v>
      </c>
      <c r="R58" s="4">
        <f t="shared" si="13"/>
        <v>28</v>
      </c>
      <c r="S58" s="4">
        <f t="shared" si="14"/>
        <v>54</v>
      </c>
      <c r="T58" s="4">
        <f t="shared" si="15"/>
        <v>7</v>
      </c>
      <c r="U58" s="4">
        <f t="shared" si="16"/>
        <v>18</v>
      </c>
      <c r="V58" s="8">
        <f t="shared" si="17"/>
        <v>6</v>
      </c>
      <c r="W58" s="8">
        <f t="shared" si="18"/>
        <v>4</v>
      </c>
      <c r="X58">
        <f t="shared" si="19"/>
        <v>1</v>
      </c>
    </row>
    <row r="59" spans="1:24" x14ac:dyDescent="0.25">
      <c r="A59" s="4" t="s">
        <v>85</v>
      </c>
      <c r="B59" t="s">
        <v>10</v>
      </c>
      <c r="C59" t="s">
        <v>4</v>
      </c>
      <c r="D59" s="3">
        <f t="shared" si="0"/>
        <v>67</v>
      </c>
      <c r="E59" s="4">
        <f t="shared" si="1"/>
        <v>9</v>
      </c>
      <c r="F59" s="4">
        <f t="shared" si="2"/>
        <v>9</v>
      </c>
      <c r="G59" s="3">
        <f>IF(E59&gt;=20,2000,1900) + D59</f>
        <v>1967</v>
      </c>
      <c r="H59">
        <f t="shared" si="3"/>
        <v>9</v>
      </c>
      <c r="I59" s="4">
        <f t="shared" si="4"/>
        <v>9</v>
      </c>
      <c r="J59">
        <f t="shared" si="5"/>
        <v>19670909</v>
      </c>
      <c r="K59" t="str">
        <f t="shared" si="6"/>
        <v>09.09.1967</v>
      </c>
      <c r="L59" s="4">
        <f t="shared" si="7"/>
        <v>6</v>
      </c>
      <c r="M59" s="4">
        <f t="shared" si="8"/>
        <v>21</v>
      </c>
      <c r="N59" s="4">
        <f t="shared" si="9"/>
        <v>0</v>
      </c>
      <c r="O59" s="4">
        <f t="shared" si="10"/>
        <v>81</v>
      </c>
      <c r="P59" s="4">
        <f t="shared" si="11"/>
        <v>0</v>
      </c>
      <c r="Q59" s="4">
        <f t="shared" si="12"/>
        <v>27</v>
      </c>
      <c r="R59" s="4">
        <f t="shared" si="13"/>
        <v>21</v>
      </c>
      <c r="S59" s="4">
        <f t="shared" si="14"/>
        <v>27</v>
      </c>
      <c r="T59" s="4">
        <f t="shared" si="15"/>
        <v>3</v>
      </c>
      <c r="U59" s="4">
        <f t="shared" si="16"/>
        <v>0</v>
      </c>
      <c r="V59" s="8">
        <f t="shared" si="17"/>
        <v>6</v>
      </c>
      <c r="W59" s="8">
        <f t="shared" si="18"/>
        <v>4</v>
      </c>
      <c r="X59">
        <f t="shared" si="19"/>
        <v>1</v>
      </c>
    </row>
    <row r="60" spans="1:24" x14ac:dyDescent="0.25">
      <c r="A60" s="4" t="s">
        <v>86</v>
      </c>
      <c r="B60" t="s">
        <v>3</v>
      </c>
      <c r="C60" t="s">
        <v>6</v>
      </c>
      <c r="D60" s="3">
        <f t="shared" si="0"/>
        <v>94</v>
      </c>
      <c r="E60" s="4">
        <f t="shared" si="1"/>
        <v>7</v>
      </c>
      <c r="F60" s="4">
        <f t="shared" si="2"/>
        <v>7</v>
      </c>
      <c r="G60" s="3">
        <f>IF(E60&gt;=20,2000,1900) + D60</f>
        <v>1994</v>
      </c>
      <c r="H60">
        <f t="shared" si="3"/>
        <v>7</v>
      </c>
      <c r="I60" s="4">
        <f t="shared" si="4"/>
        <v>7</v>
      </c>
      <c r="J60">
        <f t="shared" si="5"/>
        <v>19940707</v>
      </c>
      <c r="K60" t="str">
        <f t="shared" si="6"/>
        <v>07.07.1994</v>
      </c>
      <c r="L60" s="4">
        <f t="shared" si="7"/>
        <v>9</v>
      </c>
      <c r="M60" s="4">
        <f t="shared" si="8"/>
        <v>12</v>
      </c>
      <c r="N60" s="4">
        <f t="shared" si="9"/>
        <v>0</v>
      </c>
      <c r="O60" s="4">
        <f t="shared" si="10"/>
        <v>63</v>
      </c>
      <c r="P60" s="4">
        <f t="shared" si="11"/>
        <v>0</v>
      </c>
      <c r="Q60" s="4">
        <f t="shared" si="12"/>
        <v>21</v>
      </c>
      <c r="R60" s="4">
        <f t="shared" si="13"/>
        <v>56</v>
      </c>
      <c r="S60" s="4">
        <f t="shared" si="14"/>
        <v>27</v>
      </c>
      <c r="T60" s="4">
        <f t="shared" si="15"/>
        <v>2</v>
      </c>
      <c r="U60" s="4">
        <f t="shared" si="16"/>
        <v>12</v>
      </c>
      <c r="V60" s="8">
        <f t="shared" si="17"/>
        <v>2</v>
      </c>
      <c r="W60" s="8">
        <f t="shared" si="18"/>
        <v>8</v>
      </c>
      <c r="X60">
        <f t="shared" si="19"/>
        <v>1</v>
      </c>
    </row>
    <row r="61" spans="1:24" x14ac:dyDescent="0.25">
      <c r="A61" s="4" t="s">
        <v>87</v>
      </c>
      <c r="B61" t="s">
        <v>13</v>
      </c>
      <c r="C61" t="s">
        <v>4</v>
      </c>
      <c r="D61" s="3">
        <f t="shared" si="0"/>
        <v>78</v>
      </c>
      <c r="E61" s="4">
        <f t="shared" si="1"/>
        <v>3</v>
      </c>
      <c r="F61" s="4">
        <f t="shared" si="2"/>
        <v>14</v>
      </c>
      <c r="G61" s="3">
        <f>IF(E61&gt;=20,2000,1900) + D61</f>
        <v>1978</v>
      </c>
      <c r="H61">
        <f t="shared" si="3"/>
        <v>3</v>
      </c>
      <c r="I61" s="4">
        <f t="shared" si="4"/>
        <v>14</v>
      </c>
      <c r="J61">
        <f t="shared" si="5"/>
        <v>19780314</v>
      </c>
      <c r="K61" t="str">
        <f t="shared" si="6"/>
        <v>14.03.1978</v>
      </c>
      <c r="L61" s="4">
        <f t="shared" si="7"/>
        <v>7</v>
      </c>
      <c r="M61" s="4">
        <f t="shared" si="8"/>
        <v>24</v>
      </c>
      <c r="N61" s="4">
        <f t="shared" si="9"/>
        <v>0</v>
      </c>
      <c r="O61" s="4">
        <f t="shared" si="10"/>
        <v>27</v>
      </c>
      <c r="P61" s="4">
        <f t="shared" si="11"/>
        <v>1</v>
      </c>
      <c r="Q61" s="4">
        <f t="shared" si="12"/>
        <v>12</v>
      </c>
      <c r="R61" s="4">
        <f t="shared" si="13"/>
        <v>0</v>
      </c>
      <c r="S61" s="4">
        <f t="shared" si="14"/>
        <v>72</v>
      </c>
      <c r="T61" s="4">
        <f t="shared" si="15"/>
        <v>4</v>
      </c>
      <c r="U61" s="4">
        <f t="shared" si="16"/>
        <v>15</v>
      </c>
      <c r="V61" s="8">
        <f t="shared" si="17"/>
        <v>2</v>
      </c>
      <c r="W61" s="8">
        <f t="shared" si="18"/>
        <v>8</v>
      </c>
      <c r="X61">
        <f t="shared" si="19"/>
        <v>1</v>
      </c>
    </row>
    <row r="62" spans="1:24" x14ac:dyDescent="0.25">
      <c r="A62" s="4" t="s">
        <v>88</v>
      </c>
      <c r="B62" t="s">
        <v>9</v>
      </c>
      <c r="C62" t="s">
        <v>4</v>
      </c>
      <c r="D62" s="3">
        <f t="shared" si="0"/>
        <v>75</v>
      </c>
      <c r="E62" s="4">
        <f t="shared" si="1"/>
        <v>11</v>
      </c>
      <c r="F62" s="4">
        <f t="shared" si="2"/>
        <v>18</v>
      </c>
      <c r="G62" s="3">
        <f>IF(E62&gt;=20,2000,1900) + D62</f>
        <v>1975</v>
      </c>
      <c r="H62">
        <f t="shared" si="3"/>
        <v>11</v>
      </c>
      <c r="I62" s="4">
        <f t="shared" si="4"/>
        <v>18</v>
      </c>
      <c r="J62">
        <f t="shared" si="5"/>
        <v>19751118</v>
      </c>
      <c r="K62" t="str">
        <f t="shared" si="6"/>
        <v>18.11.1975</v>
      </c>
      <c r="L62" s="4">
        <f t="shared" si="7"/>
        <v>7</v>
      </c>
      <c r="M62" s="4">
        <f t="shared" si="8"/>
        <v>15</v>
      </c>
      <c r="N62" s="4">
        <f t="shared" si="9"/>
        <v>7</v>
      </c>
      <c r="O62" s="4">
        <f t="shared" si="10"/>
        <v>9</v>
      </c>
      <c r="P62" s="4">
        <f t="shared" si="11"/>
        <v>1</v>
      </c>
      <c r="Q62" s="4">
        <f t="shared" si="12"/>
        <v>24</v>
      </c>
      <c r="R62" s="4">
        <f t="shared" si="13"/>
        <v>0</v>
      </c>
      <c r="S62" s="4">
        <f t="shared" si="14"/>
        <v>18</v>
      </c>
      <c r="T62" s="4">
        <f t="shared" si="15"/>
        <v>1</v>
      </c>
      <c r="U62" s="4">
        <f t="shared" si="16"/>
        <v>21</v>
      </c>
      <c r="V62" s="8">
        <f t="shared" si="17"/>
        <v>3</v>
      </c>
      <c r="W62" s="8">
        <f t="shared" si="18"/>
        <v>7</v>
      </c>
      <c r="X62">
        <f t="shared" si="19"/>
        <v>1</v>
      </c>
    </row>
    <row r="63" spans="1:24" x14ac:dyDescent="0.25">
      <c r="A63" s="4" t="s">
        <v>89</v>
      </c>
      <c r="B63" t="s">
        <v>20</v>
      </c>
      <c r="C63" t="s">
        <v>4</v>
      </c>
      <c r="D63" s="3">
        <f t="shared" si="0"/>
        <v>84</v>
      </c>
      <c r="E63" s="4">
        <f t="shared" si="1"/>
        <v>1</v>
      </c>
      <c r="F63" s="4">
        <f t="shared" si="2"/>
        <v>17</v>
      </c>
      <c r="G63" s="3">
        <f>IF(E63&gt;=20,2000,1900) + D63</f>
        <v>1984</v>
      </c>
      <c r="H63">
        <f t="shared" si="3"/>
        <v>1</v>
      </c>
      <c r="I63" s="4">
        <f t="shared" si="4"/>
        <v>17</v>
      </c>
      <c r="J63">
        <f t="shared" si="5"/>
        <v>19840117</v>
      </c>
      <c r="K63" t="str">
        <f t="shared" si="6"/>
        <v>17.01.1984</v>
      </c>
      <c r="L63" s="4">
        <f t="shared" si="7"/>
        <v>8</v>
      </c>
      <c r="M63" s="4">
        <f t="shared" si="8"/>
        <v>12</v>
      </c>
      <c r="N63" s="4">
        <f t="shared" si="9"/>
        <v>0</v>
      </c>
      <c r="O63" s="4">
        <f t="shared" si="10"/>
        <v>9</v>
      </c>
      <c r="P63" s="4">
        <f t="shared" si="11"/>
        <v>1</v>
      </c>
      <c r="Q63" s="4">
        <f t="shared" si="12"/>
        <v>21</v>
      </c>
      <c r="R63" s="4">
        <f t="shared" si="13"/>
        <v>49</v>
      </c>
      <c r="S63" s="4">
        <f t="shared" si="14"/>
        <v>18</v>
      </c>
      <c r="T63" s="4">
        <f t="shared" si="15"/>
        <v>4</v>
      </c>
      <c r="U63" s="4">
        <f t="shared" si="16"/>
        <v>0</v>
      </c>
      <c r="V63" s="8">
        <f t="shared" si="17"/>
        <v>2</v>
      </c>
      <c r="W63" s="8">
        <f t="shared" si="18"/>
        <v>8</v>
      </c>
      <c r="X63">
        <f t="shared" si="19"/>
        <v>1</v>
      </c>
    </row>
    <row r="64" spans="1:24" x14ac:dyDescent="0.25">
      <c r="A64" s="4" t="s">
        <v>90</v>
      </c>
      <c r="B64" t="s">
        <v>8</v>
      </c>
      <c r="C64" t="s">
        <v>6</v>
      </c>
      <c r="D64" s="3">
        <f t="shared" si="0"/>
        <v>73</v>
      </c>
      <c r="E64" s="4">
        <f t="shared" si="1"/>
        <v>10</v>
      </c>
      <c r="F64" s="4">
        <f t="shared" si="2"/>
        <v>19</v>
      </c>
      <c r="G64" s="3">
        <f>IF(E64&gt;=20,2000,1900) + D64</f>
        <v>1973</v>
      </c>
      <c r="H64">
        <f t="shared" si="3"/>
        <v>10</v>
      </c>
      <c r="I64" s="4">
        <f t="shared" si="4"/>
        <v>19</v>
      </c>
      <c r="J64">
        <f t="shared" si="5"/>
        <v>19731019</v>
      </c>
      <c r="K64" t="str">
        <f t="shared" si="6"/>
        <v>19.10.1973</v>
      </c>
      <c r="L64" s="4">
        <f t="shared" si="7"/>
        <v>7</v>
      </c>
      <c r="M64" s="4">
        <f t="shared" si="8"/>
        <v>9</v>
      </c>
      <c r="N64" s="4">
        <f t="shared" si="9"/>
        <v>7</v>
      </c>
      <c r="O64" s="4">
        <f t="shared" si="10"/>
        <v>0</v>
      </c>
      <c r="P64" s="4">
        <f t="shared" si="11"/>
        <v>1</v>
      </c>
      <c r="Q64" s="4">
        <f t="shared" si="12"/>
        <v>27</v>
      </c>
      <c r="R64" s="4">
        <f t="shared" si="13"/>
        <v>28</v>
      </c>
      <c r="S64" s="4">
        <f t="shared" si="14"/>
        <v>36</v>
      </c>
      <c r="T64" s="4">
        <f t="shared" si="15"/>
        <v>5</v>
      </c>
      <c r="U64" s="4">
        <f t="shared" si="16"/>
        <v>12</v>
      </c>
      <c r="V64" s="8">
        <f t="shared" si="17"/>
        <v>2</v>
      </c>
      <c r="W64" s="8">
        <f t="shared" si="18"/>
        <v>8</v>
      </c>
      <c r="X64">
        <f t="shared" si="19"/>
        <v>1</v>
      </c>
    </row>
    <row r="65" spans="1:24" x14ac:dyDescent="0.25">
      <c r="A65" s="4" t="s">
        <v>91</v>
      </c>
      <c r="B65" t="s">
        <v>20</v>
      </c>
      <c r="C65" t="s">
        <v>6</v>
      </c>
      <c r="D65" s="3">
        <f t="shared" si="0"/>
        <v>98</v>
      </c>
      <c r="E65" s="4">
        <f t="shared" si="1"/>
        <v>11</v>
      </c>
      <c r="F65" s="4">
        <f t="shared" si="2"/>
        <v>25</v>
      </c>
      <c r="G65" s="3">
        <f>IF(E65&gt;=20,2000,1900) + D65</f>
        <v>1998</v>
      </c>
      <c r="H65">
        <f t="shared" si="3"/>
        <v>11</v>
      </c>
      <c r="I65" s="4">
        <f t="shared" si="4"/>
        <v>25</v>
      </c>
      <c r="J65">
        <f t="shared" si="5"/>
        <v>19981125</v>
      </c>
      <c r="K65" t="str">
        <f t="shared" si="6"/>
        <v>25.11.1998</v>
      </c>
      <c r="L65" s="4">
        <f t="shared" si="7"/>
        <v>9</v>
      </c>
      <c r="M65" s="4">
        <f t="shared" si="8"/>
        <v>24</v>
      </c>
      <c r="N65" s="4">
        <f t="shared" si="9"/>
        <v>7</v>
      </c>
      <c r="O65" s="4">
        <f t="shared" si="10"/>
        <v>9</v>
      </c>
      <c r="P65" s="4">
        <f t="shared" si="11"/>
        <v>2</v>
      </c>
      <c r="Q65" s="4">
        <f t="shared" si="12"/>
        <v>15</v>
      </c>
      <c r="R65" s="4">
        <f t="shared" si="13"/>
        <v>42</v>
      </c>
      <c r="S65" s="4">
        <f t="shared" si="14"/>
        <v>0</v>
      </c>
      <c r="T65" s="4">
        <f t="shared" si="15"/>
        <v>9</v>
      </c>
      <c r="U65" s="4">
        <f t="shared" si="16"/>
        <v>12</v>
      </c>
      <c r="V65" s="8">
        <f t="shared" si="17"/>
        <v>9</v>
      </c>
      <c r="W65" s="8">
        <f t="shared" si="18"/>
        <v>1</v>
      </c>
      <c r="X65">
        <f t="shared" si="19"/>
        <v>1</v>
      </c>
    </row>
    <row r="66" spans="1:24" x14ac:dyDescent="0.25">
      <c r="A66" s="4" t="s">
        <v>92</v>
      </c>
      <c r="B66" t="s">
        <v>14</v>
      </c>
      <c r="C66" t="s">
        <v>4</v>
      </c>
      <c r="D66" s="3">
        <f t="shared" si="0"/>
        <v>80</v>
      </c>
      <c r="E66" s="4">
        <f t="shared" si="1"/>
        <v>2</v>
      </c>
      <c r="F66" s="4">
        <f t="shared" si="2"/>
        <v>5</v>
      </c>
      <c r="G66" s="3">
        <f>IF(E66&gt;=20,2000,1900) + D66</f>
        <v>1980</v>
      </c>
      <c r="H66">
        <f t="shared" si="3"/>
        <v>2</v>
      </c>
      <c r="I66" s="4">
        <f t="shared" si="4"/>
        <v>5</v>
      </c>
      <c r="J66">
        <f t="shared" si="5"/>
        <v>19800205</v>
      </c>
      <c r="K66" t="str">
        <f t="shared" si="6"/>
        <v>05.02.1980</v>
      </c>
      <c r="L66" s="4">
        <f t="shared" si="7"/>
        <v>8</v>
      </c>
      <c r="M66" s="4">
        <f t="shared" si="8"/>
        <v>0</v>
      </c>
      <c r="N66" s="4">
        <f t="shared" si="9"/>
        <v>0</v>
      </c>
      <c r="O66" s="4">
        <f t="shared" si="10"/>
        <v>18</v>
      </c>
      <c r="P66" s="4">
        <f t="shared" si="11"/>
        <v>0</v>
      </c>
      <c r="Q66" s="4">
        <f t="shared" si="12"/>
        <v>15</v>
      </c>
      <c r="R66" s="4">
        <f t="shared" si="13"/>
        <v>28</v>
      </c>
      <c r="S66" s="4">
        <f t="shared" si="14"/>
        <v>36</v>
      </c>
      <c r="T66" s="4">
        <f t="shared" si="15"/>
        <v>6</v>
      </c>
      <c r="U66" s="4">
        <f t="shared" si="16"/>
        <v>6</v>
      </c>
      <c r="V66" s="8">
        <f t="shared" si="17"/>
        <v>7</v>
      </c>
      <c r="W66" s="8">
        <f t="shared" si="18"/>
        <v>3</v>
      </c>
      <c r="X66">
        <f t="shared" si="19"/>
        <v>1</v>
      </c>
    </row>
    <row r="67" spans="1:24" x14ac:dyDescent="0.25">
      <c r="A67" s="4" t="s">
        <v>93</v>
      </c>
      <c r="B67" t="s">
        <v>17</v>
      </c>
      <c r="C67" t="s">
        <v>4</v>
      </c>
      <c r="D67" s="3">
        <f t="shared" ref="D67:D130" si="20">MID(A67,1,2)*1</f>
        <v>78</v>
      </c>
      <c r="E67" s="4">
        <f t="shared" ref="E67:E130" si="21">MID(A67,3,2)*1</f>
        <v>9</v>
      </c>
      <c r="F67" s="4">
        <f t="shared" ref="F67:F130" si="22">MID(A67,5,2)*1</f>
        <v>6</v>
      </c>
      <c r="G67" s="3">
        <f>IF(E67&gt;=20,2000,1900) + D67</f>
        <v>1978</v>
      </c>
      <c r="H67">
        <f t="shared" ref="H67:H130" si="23">IF(E67&gt;=20,E67-20,E67)</f>
        <v>9</v>
      </c>
      <c r="I67" s="4">
        <f t="shared" ref="I67:I130" si="24">F67</f>
        <v>6</v>
      </c>
      <c r="J67">
        <f t="shared" ref="J67:J130" si="25">CONCATENATE(G67,IF(LEN(E67)=1,CONCATENATE("0",E67),E67),IF(LEN(F67)=1,CONCATENATE("0",F67),F67))*1</f>
        <v>19780906</v>
      </c>
      <c r="K67" t="str">
        <f t="shared" ref="K67:K130" si="26">CONCATENATE(RIGHT(J67,2),".",MID(J67,5,2),".",LEFT(J67,4))</f>
        <v>06.09.1978</v>
      </c>
      <c r="L67" s="4">
        <f t="shared" ref="L67:L130" si="27">MID(A67,1,1)*1</f>
        <v>7</v>
      </c>
      <c r="M67" s="4">
        <f t="shared" ref="M67:M130" si="28">MID(A67,2,1)*3</f>
        <v>24</v>
      </c>
      <c r="N67" s="4">
        <f t="shared" ref="N67:N130" si="29">MID(A67,3,1)*7</f>
        <v>0</v>
      </c>
      <c r="O67" s="4">
        <f t="shared" ref="O67:O130" si="30">MID(A67,4,1)*9</f>
        <v>81</v>
      </c>
      <c r="P67" s="4">
        <f t="shared" ref="P67:P130" si="31">MID(A67,5,1)*1</f>
        <v>0</v>
      </c>
      <c r="Q67" s="4">
        <f t="shared" ref="Q67:Q130" si="32">MID(A67,6,1)*3</f>
        <v>18</v>
      </c>
      <c r="R67" s="4">
        <f t="shared" ref="R67:R130" si="33">MID(A67,7,1)*7</f>
        <v>14</v>
      </c>
      <c r="S67" s="4">
        <f t="shared" ref="S67:S130" si="34">MID(A67,8,1)*9</f>
        <v>27</v>
      </c>
      <c r="T67" s="4">
        <f t="shared" ref="T67:T130" si="35">MID(A67,9,1)*1</f>
        <v>2</v>
      </c>
      <c r="U67" s="4">
        <f t="shared" ref="U67:U130" si="36">MID(A67,10,1)*3</f>
        <v>21</v>
      </c>
      <c r="V67" s="8">
        <f t="shared" ref="V67:V130" si="37">MOD(SUM(L67:U67),10)</f>
        <v>4</v>
      </c>
      <c r="W67" s="8">
        <f t="shared" ref="W67:W130" si="38">IF(V67=0,0,10-V67)</f>
        <v>6</v>
      </c>
      <c r="X67">
        <f t="shared" ref="X67:X130" si="39">IF(W67=RIGHT(A67,1)*1,1,0)</f>
        <v>1</v>
      </c>
    </row>
    <row r="68" spans="1:24" x14ac:dyDescent="0.25">
      <c r="A68" s="4" t="s">
        <v>94</v>
      </c>
      <c r="B68" t="s">
        <v>8</v>
      </c>
      <c r="C68" t="s">
        <v>4</v>
      </c>
      <c r="D68" s="3">
        <f t="shared" si="20"/>
        <v>85</v>
      </c>
      <c r="E68" s="4">
        <f t="shared" si="21"/>
        <v>10</v>
      </c>
      <c r="F68" s="4">
        <f t="shared" si="22"/>
        <v>4</v>
      </c>
      <c r="G68" s="3">
        <f>IF(E68&gt;=20,2000,1900) + D68</f>
        <v>1985</v>
      </c>
      <c r="H68">
        <f t="shared" si="23"/>
        <v>10</v>
      </c>
      <c r="I68" s="4">
        <f t="shared" si="24"/>
        <v>4</v>
      </c>
      <c r="J68">
        <f t="shared" si="25"/>
        <v>19851004</v>
      </c>
      <c r="K68" t="str">
        <f t="shared" si="26"/>
        <v>04.10.1985</v>
      </c>
      <c r="L68" s="4">
        <f t="shared" si="27"/>
        <v>8</v>
      </c>
      <c r="M68" s="4">
        <f t="shared" si="28"/>
        <v>15</v>
      </c>
      <c r="N68" s="4">
        <f t="shared" si="29"/>
        <v>7</v>
      </c>
      <c r="O68" s="4">
        <f t="shared" si="30"/>
        <v>0</v>
      </c>
      <c r="P68" s="4">
        <f t="shared" si="31"/>
        <v>0</v>
      </c>
      <c r="Q68" s="4">
        <f t="shared" si="32"/>
        <v>12</v>
      </c>
      <c r="R68" s="4">
        <f t="shared" si="33"/>
        <v>42</v>
      </c>
      <c r="S68" s="4">
        <f t="shared" si="34"/>
        <v>9</v>
      </c>
      <c r="T68" s="4">
        <f t="shared" si="35"/>
        <v>7</v>
      </c>
      <c r="U68" s="4">
        <f t="shared" si="36"/>
        <v>21</v>
      </c>
      <c r="V68" s="8">
        <f t="shared" si="37"/>
        <v>1</v>
      </c>
      <c r="W68" s="8">
        <f t="shared" si="38"/>
        <v>9</v>
      </c>
      <c r="X68">
        <f t="shared" si="39"/>
        <v>1</v>
      </c>
    </row>
    <row r="69" spans="1:24" x14ac:dyDescent="0.25">
      <c r="A69" s="4" t="s">
        <v>95</v>
      </c>
      <c r="B69" t="s">
        <v>17</v>
      </c>
      <c r="C69" t="s">
        <v>6</v>
      </c>
      <c r="D69" s="3">
        <f t="shared" si="20"/>
        <v>62</v>
      </c>
      <c r="E69" s="4">
        <f t="shared" si="21"/>
        <v>10</v>
      </c>
      <c r="F69" s="4">
        <f t="shared" si="22"/>
        <v>30</v>
      </c>
      <c r="G69" s="3">
        <f>IF(E69&gt;=20,2000,1900) + D69</f>
        <v>1962</v>
      </c>
      <c r="H69">
        <f t="shared" si="23"/>
        <v>10</v>
      </c>
      <c r="I69" s="4">
        <f t="shared" si="24"/>
        <v>30</v>
      </c>
      <c r="J69">
        <f t="shared" si="25"/>
        <v>19621030</v>
      </c>
      <c r="K69" t="str">
        <f t="shared" si="26"/>
        <v>30.10.1962</v>
      </c>
      <c r="L69" s="4">
        <f t="shared" si="27"/>
        <v>6</v>
      </c>
      <c r="M69" s="4">
        <f t="shared" si="28"/>
        <v>6</v>
      </c>
      <c r="N69" s="4">
        <f t="shared" si="29"/>
        <v>7</v>
      </c>
      <c r="O69" s="4">
        <f t="shared" si="30"/>
        <v>0</v>
      </c>
      <c r="P69" s="4">
        <f t="shared" si="31"/>
        <v>3</v>
      </c>
      <c r="Q69" s="4">
        <f t="shared" si="32"/>
        <v>0</v>
      </c>
      <c r="R69" s="4">
        <f t="shared" si="33"/>
        <v>28</v>
      </c>
      <c r="S69" s="4">
        <f t="shared" si="34"/>
        <v>81</v>
      </c>
      <c r="T69" s="4">
        <f t="shared" si="35"/>
        <v>4</v>
      </c>
      <c r="U69" s="4">
        <f t="shared" si="36"/>
        <v>6</v>
      </c>
      <c r="V69" s="8">
        <f t="shared" si="37"/>
        <v>1</v>
      </c>
      <c r="W69" s="8">
        <f t="shared" si="38"/>
        <v>9</v>
      </c>
      <c r="X69">
        <f t="shared" si="39"/>
        <v>1</v>
      </c>
    </row>
    <row r="70" spans="1:24" x14ac:dyDescent="0.25">
      <c r="A70" s="4" t="s">
        <v>96</v>
      </c>
      <c r="B70" t="s">
        <v>20</v>
      </c>
      <c r="C70" t="s">
        <v>6</v>
      </c>
      <c r="D70" s="3">
        <f t="shared" si="20"/>
        <v>64</v>
      </c>
      <c r="E70" s="4">
        <f t="shared" si="21"/>
        <v>9</v>
      </c>
      <c r="F70" s="4">
        <f t="shared" si="22"/>
        <v>21</v>
      </c>
      <c r="G70" s="3">
        <f>IF(E70&gt;=20,2000,1900) + D70</f>
        <v>1964</v>
      </c>
      <c r="H70">
        <f t="shared" si="23"/>
        <v>9</v>
      </c>
      <c r="I70" s="4">
        <f t="shared" si="24"/>
        <v>21</v>
      </c>
      <c r="J70">
        <f t="shared" si="25"/>
        <v>19640921</v>
      </c>
      <c r="K70" t="str">
        <f t="shared" si="26"/>
        <v>21.09.1964</v>
      </c>
      <c r="L70" s="4">
        <f t="shared" si="27"/>
        <v>6</v>
      </c>
      <c r="M70" s="4">
        <f t="shared" si="28"/>
        <v>12</v>
      </c>
      <c r="N70" s="4">
        <f t="shared" si="29"/>
        <v>0</v>
      </c>
      <c r="O70" s="4">
        <f t="shared" si="30"/>
        <v>81</v>
      </c>
      <c r="P70" s="4">
        <f t="shared" si="31"/>
        <v>2</v>
      </c>
      <c r="Q70" s="4">
        <f t="shared" si="32"/>
        <v>3</v>
      </c>
      <c r="R70" s="4">
        <f t="shared" si="33"/>
        <v>42</v>
      </c>
      <c r="S70" s="4">
        <f t="shared" si="34"/>
        <v>54</v>
      </c>
      <c r="T70" s="4">
        <f t="shared" si="35"/>
        <v>1</v>
      </c>
      <c r="U70" s="4">
        <f t="shared" si="36"/>
        <v>3</v>
      </c>
      <c r="V70" s="8">
        <f t="shared" si="37"/>
        <v>4</v>
      </c>
      <c r="W70" s="8">
        <f t="shared" si="38"/>
        <v>6</v>
      </c>
      <c r="X70">
        <f t="shared" si="39"/>
        <v>1</v>
      </c>
    </row>
    <row r="71" spans="1:24" x14ac:dyDescent="0.25">
      <c r="A71" s="4" t="s">
        <v>97</v>
      </c>
      <c r="B71" t="s">
        <v>19</v>
      </c>
      <c r="C71" t="s">
        <v>4</v>
      </c>
      <c r="D71" s="3">
        <f t="shared" si="20"/>
        <v>72</v>
      </c>
      <c r="E71" s="4">
        <f t="shared" si="21"/>
        <v>11</v>
      </c>
      <c r="F71" s="4">
        <f t="shared" si="22"/>
        <v>28</v>
      </c>
      <c r="G71" s="3">
        <f>IF(E71&gt;=20,2000,1900) + D71</f>
        <v>1972</v>
      </c>
      <c r="H71">
        <f t="shared" si="23"/>
        <v>11</v>
      </c>
      <c r="I71" s="4">
        <f t="shared" si="24"/>
        <v>28</v>
      </c>
      <c r="J71">
        <f t="shared" si="25"/>
        <v>19721128</v>
      </c>
      <c r="K71" t="str">
        <f t="shared" si="26"/>
        <v>28.11.1972</v>
      </c>
      <c r="L71" s="4">
        <f t="shared" si="27"/>
        <v>7</v>
      </c>
      <c r="M71" s="4">
        <f t="shared" si="28"/>
        <v>6</v>
      </c>
      <c r="N71" s="4">
        <f t="shared" si="29"/>
        <v>7</v>
      </c>
      <c r="O71" s="4">
        <f t="shared" si="30"/>
        <v>9</v>
      </c>
      <c r="P71" s="4">
        <f t="shared" si="31"/>
        <v>2</v>
      </c>
      <c r="Q71" s="4">
        <f t="shared" si="32"/>
        <v>24</v>
      </c>
      <c r="R71" s="4">
        <f t="shared" si="33"/>
        <v>28</v>
      </c>
      <c r="S71" s="4">
        <f t="shared" si="34"/>
        <v>36</v>
      </c>
      <c r="T71" s="4">
        <f t="shared" si="35"/>
        <v>7</v>
      </c>
      <c r="U71" s="4">
        <f t="shared" si="36"/>
        <v>9</v>
      </c>
      <c r="V71" s="8">
        <f t="shared" si="37"/>
        <v>5</v>
      </c>
      <c r="W71" s="8">
        <f t="shared" si="38"/>
        <v>5</v>
      </c>
      <c r="X71">
        <f t="shared" si="39"/>
        <v>1</v>
      </c>
    </row>
    <row r="72" spans="1:24" x14ac:dyDescent="0.25">
      <c r="A72" s="4" t="s">
        <v>98</v>
      </c>
      <c r="B72" t="s">
        <v>15</v>
      </c>
      <c r="C72" t="s">
        <v>6</v>
      </c>
      <c r="D72" s="3">
        <f t="shared" si="20"/>
        <v>90</v>
      </c>
      <c r="E72" s="4">
        <f t="shared" si="21"/>
        <v>7</v>
      </c>
      <c r="F72" s="4">
        <f t="shared" si="22"/>
        <v>11</v>
      </c>
      <c r="G72" s="3">
        <f>IF(E72&gt;=20,2000,1900) + D72</f>
        <v>1990</v>
      </c>
      <c r="H72">
        <f t="shared" si="23"/>
        <v>7</v>
      </c>
      <c r="I72" s="4">
        <f t="shared" si="24"/>
        <v>11</v>
      </c>
      <c r="J72">
        <f t="shared" si="25"/>
        <v>19900711</v>
      </c>
      <c r="K72" t="str">
        <f t="shared" si="26"/>
        <v>11.07.1990</v>
      </c>
      <c r="L72" s="4">
        <f t="shared" si="27"/>
        <v>9</v>
      </c>
      <c r="M72" s="4">
        <f t="shared" si="28"/>
        <v>0</v>
      </c>
      <c r="N72" s="4">
        <f t="shared" si="29"/>
        <v>0</v>
      </c>
      <c r="O72" s="4">
        <f t="shared" si="30"/>
        <v>63</v>
      </c>
      <c r="P72" s="4">
        <f t="shared" si="31"/>
        <v>1</v>
      </c>
      <c r="Q72" s="4">
        <f t="shared" si="32"/>
        <v>3</v>
      </c>
      <c r="R72" s="4">
        <f t="shared" si="33"/>
        <v>0</v>
      </c>
      <c r="S72" s="4">
        <f t="shared" si="34"/>
        <v>18</v>
      </c>
      <c r="T72" s="4">
        <f t="shared" si="35"/>
        <v>6</v>
      </c>
      <c r="U72" s="4">
        <f t="shared" si="36"/>
        <v>15</v>
      </c>
      <c r="V72" s="8">
        <f t="shared" si="37"/>
        <v>5</v>
      </c>
      <c r="W72" s="8">
        <f t="shared" si="38"/>
        <v>5</v>
      </c>
      <c r="X72">
        <f t="shared" si="39"/>
        <v>1</v>
      </c>
    </row>
    <row r="73" spans="1:24" x14ac:dyDescent="0.25">
      <c r="A73" s="4" t="s">
        <v>99</v>
      </c>
      <c r="B73" t="s">
        <v>10</v>
      </c>
      <c r="C73" t="s">
        <v>4</v>
      </c>
      <c r="D73" s="3">
        <f t="shared" si="20"/>
        <v>80</v>
      </c>
      <c r="E73" s="4">
        <f t="shared" si="21"/>
        <v>10</v>
      </c>
      <c r="F73" s="4">
        <f t="shared" si="22"/>
        <v>7</v>
      </c>
      <c r="G73" s="3">
        <f>IF(E73&gt;=20,2000,1900) + D73</f>
        <v>1980</v>
      </c>
      <c r="H73">
        <f t="shared" si="23"/>
        <v>10</v>
      </c>
      <c r="I73" s="4">
        <f t="shared" si="24"/>
        <v>7</v>
      </c>
      <c r="J73">
        <f t="shared" si="25"/>
        <v>19801007</v>
      </c>
      <c r="K73" t="str">
        <f t="shared" si="26"/>
        <v>07.10.1980</v>
      </c>
      <c r="L73" s="4">
        <f t="shared" si="27"/>
        <v>8</v>
      </c>
      <c r="M73" s="4">
        <f t="shared" si="28"/>
        <v>0</v>
      </c>
      <c r="N73" s="4">
        <f t="shared" si="29"/>
        <v>7</v>
      </c>
      <c r="O73" s="4">
        <f t="shared" si="30"/>
        <v>0</v>
      </c>
      <c r="P73" s="4">
        <f t="shared" si="31"/>
        <v>0</v>
      </c>
      <c r="Q73" s="4">
        <f t="shared" si="32"/>
        <v>21</v>
      </c>
      <c r="R73" s="4">
        <f t="shared" si="33"/>
        <v>14</v>
      </c>
      <c r="S73" s="4">
        <f t="shared" si="34"/>
        <v>36</v>
      </c>
      <c r="T73" s="4">
        <f t="shared" si="35"/>
        <v>6</v>
      </c>
      <c r="U73" s="4">
        <f t="shared" si="36"/>
        <v>0</v>
      </c>
      <c r="V73" s="8">
        <f t="shared" si="37"/>
        <v>2</v>
      </c>
      <c r="W73" s="8">
        <f t="shared" si="38"/>
        <v>8</v>
      </c>
      <c r="X73">
        <f t="shared" si="39"/>
        <v>1</v>
      </c>
    </row>
    <row r="74" spans="1:24" x14ac:dyDescent="0.25">
      <c r="A74" s="4" t="s">
        <v>100</v>
      </c>
      <c r="B74" t="s">
        <v>19</v>
      </c>
      <c r="C74" t="s">
        <v>4</v>
      </c>
      <c r="D74" s="3">
        <f t="shared" si="20"/>
        <v>67</v>
      </c>
      <c r="E74" s="4">
        <f t="shared" si="21"/>
        <v>11</v>
      </c>
      <c r="F74" s="4">
        <f t="shared" si="22"/>
        <v>16</v>
      </c>
      <c r="G74" s="3">
        <f>IF(E74&gt;=20,2000,1900) + D74</f>
        <v>1967</v>
      </c>
      <c r="H74">
        <f t="shared" si="23"/>
        <v>11</v>
      </c>
      <c r="I74" s="4">
        <f t="shared" si="24"/>
        <v>16</v>
      </c>
      <c r="J74">
        <f t="shared" si="25"/>
        <v>19671116</v>
      </c>
      <c r="K74" t="str">
        <f t="shared" si="26"/>
        <v>16.11.1967</v>
      </c>
      <c r="L74" s="4">
        <f t="shared" si="27"/>
        <v>6</v>
      </c>
      <c r="M74" s="4">
        <f t="shared" si="28"/>
        <v>21</v>
      </c>
      <c r="N74" s="4">
        <f t="shared" si="29"/>
        <v>7</v>
      </c>
      <c r="O74" s="4">
        <f t="shared" si="30"/>
        <v>9</v>
      </c>
      <c r="P74" s="4">
        <f t="shared" si="31"/>
        <v>1</v>
      </c>
      <c r="Q74" s="4">
        <f t="shared" si="32"/>
        <v>18</v>
      </c>
      <c r="R74" s="4">
        <f t="shared" si="33"/>
        <v>63</v>
      </c>
      <c r="S74" s="4">
        <f t="shared" si="34"/>
        <v>54</v>
      </c>
      <c r="T74" s="4">
        <f t="shared" si="35"/>
        <v>9</v>
      </c>
      <c r="U74" s="4">
        <f t="shared" si="36"/>
        <v>21</v>
      </c>
      <c r="V74" s="8">
        <f t="shared" si="37"/>
        <v>9</v>
      </c>
      <c r="W74" s="8">
        <f t="shared" si="38"/>
        <v>1</v>
      </c>
      <c r="X74">
        <f t="shared" si="39"/>
        <v>1</v>
      </c>
    </row>
    <row r="75" spans="1:24" x14ac:dyDescent="0.25">
      <c r="A75" s="4" t="s">
        <v>101</v>
      </c>
      <c r="B75" t="s">
        <v>9</v>
      </c>
      <c r="C75" t="s">
        <v>4</v>
      </c>
      <c r="D75" s="3">
        <f t="shared" si="20"/>
        <v>87</v>
      </c>
      <c r="E75" s="4">
        <f t="shared" si="21"/>
        <v>10</v>
      </c>
      <c r="F75" s="4">
        <f t="shared" si="22"/>
        <v>4</v>
      </c>
      <c r="G75" s="3">
        <f>IF(E75&gt;=20,2000,1900) + D75</f>
        <v>1987</v>
      </c>
      <c r="H75">
        <f t="shared" si="23"/>
        <v>10</v>
      </c>
      <c r="I75" s="4">
        <f t="shared" si="24"/>
        <v>4</v>
      </c>
      <c r="J75">
        <f t="shared" si="25"/>
        <v>19871004</v>
      </c>
      <c r="K75" t="str">
        <f t="shared" si="26"/>
        <v>04.10.1987</v>
      </c>
      <c r="L75" s="4">
        <f t="shared" si="27"/>
        <v>8</v>
      </c>
      <c r="M75" s="4">
        <f t="shared" si="28"/>
        <v>21</v>
      </c>
      <c r="N75" s="4">
        <f t="shared" si="29"/>
        <v>7</v>
      </c>
      <c r="O75" s="4">
        <f t="shared" si="30"/>
        <v>0</v>
      </c>
      <c r="P75" s="4">
        <f t="shared" si="31"/>
        <v>0</v>
      </c>
      <c r="Q75" s="4">
        <f t="shared" si="32"/>
        <v>12</v>
      </c>
      <c r="R75" s="4">
        <f t="shared" si="33"/>
        <v>35</v>
      </c>
      <c r="S75" s="4">
        <f t="shared" si="34"/>
        <v>45</v>
      </c>
      <c r="T75" s="4">
        <f t="shared" si="35"/>
        <v>8</v>
      </c>
      <c r="U75" s="4">
        <f t="shared" si="36"/>
        <v>12</v>
      </c>
      <c r="V75" s="8">
        <f t="shared" si="37"/>
        <v>8</v>
      </c>
      <c r="W75" s="8">
        <f t="shared" si="38"/>
        <v>2</v>
      </c>
      <c r="X75">
        <f t="shared" si="39"/>
        <v>1</v>
      </c>
    </row>
    <row r="76" spans="1:24" x14ac:dyDescent="0.25">
      <c r="A76" s="4" t="s">
        <v>102</v>
      </c>
      <c r="B76" t="s">
        <v>20</v>
      </c>
      <c r="C76" t="s">
        <v>4</v>
      </c>
      <c r="D76" s="3">
        <f t="shared" si="20"/>
        <v>64</v>
      </c>
      <c r="E76" s="4">
        <f t="shared" si="21"/>
        <v>9</v>
      </c>
      <c r="F76" s="4">
        <f t="shared" si="22"/>
        <v>1</v>
      </c>
      <c r="G76" s="3">
        <f>IF(E76&gt;=20,2000,1900) + D76</f>
        <v>1964</v>
      </c>
      <c r="H76">
        <f t="shared" si="23"/>
        <v>9</v>
      </c>
      <c r="I76" s="4">
        <f t="shared" si="24"/>
        <v>1</v>
      </c>
      <c r="J76">
        <f t="shared" si="25"/>
        <v>19640901</v>
      </c>
      <c r="K76" t="str">
        <f t="shared" si="26"/>
        <v>01.09.1964</v>
      </c>
      <c r="L76" s="4">
        <f t="shared" si="27"/>
        <v>6</v>
      </c>
      <c r="M76" s="4">
        <f t="shared" si="28"/>
        <v>12</v>
      </c>
      <c r="N76" s="4">
        <f t="shared" si="29"/>
        <v>0</v>
      </c>
      <c r="O76" s="4">
        <f t="shared" si="30"/>
        <v>81</v>
      </c>
      <c r="P76" s="4">
        <f t="shared" si="31"/>
        <v>0</v>
      </c>
      <c r="Q76" s="4">
        <f t="shared" si="32"/>
        <v>3</v>
      </c>
      <c r="R76" s="4">
        <f t="shared" si="33"/>
        <v>7</v>
      </c>
      <c r="S76" s="4">
        <f t="shared" si="34"/>
        <v>72</v>
      </c>
      <c r="T76" s="4">
        <f t="shared" si="35"/>
        <v>2</v>
      </c>
      <c r="U76" s="4">
        <f t="shared" si="36"/>
        <v>18</v>
      </c>
      <c r="V76" s="8">
        <f t="shared" si="37"/>
        <v>1</v>
      </c>
      <c r="W76" s="8">
        <f t="shared" si="38"/>
        <v>9</v>
      </c>
      <c r="X76">
        <f t="shared" si="39"/>
        <v>1</v>
      </c>
    </row>
    <row r="77" spans="1:24" x14ac:dyDescent="0.25">
      <c r="A77" s="4" t="s">
        <v>103</v>
      </c>
      <c r="B77" t="s">
        <v>3</v>
      </c>
      <c r="C77" t="s">
        <v>4</v>
      </c>
      <c r="D77" s="3">
        <f t="shared" si="20"/>
        <v>61</v>
      </c>
      <c r="E77" s="4">
        <f t="shared" si="21"/>
        <v>6</v>
      </c>
      <c r="F77" s="4">
        <f t="shared" si="22"/>
        <v>17</v>
      </c>
      <c r="G77" s="3">
        <f>IF(E77&gt;=20,2000,1900) + D77</f>
        <v>1961</v>
      </c>
      <c r="H77">
        <f t="shared" si="23"/>
        <v>6</v>
      </c>
      <c r="I77" s="4">
        <f t="shared" si="24"/>
        <v>17</v>
      </c>
      <c r="J77">
        <f t="shared" si="25"/>
        <v>19610617</v>
      </c>
      <c r="K77" t="str">
        <f t="shared" si="26"/>
        <v>17.06.1961</v>
      </c>
      <c r="L77" s="4">
        <f t="shared" si="27"/>
        <v>6</v>
      </c>
      <c r="M77" s="4">
        <f t="shared" si="28"/>
        <v>3</v>
      </c>
      <c r="N77" s="4">
        <f t="shared" si="29"/>
        <v>0</v>
      </c>
      <c r="O77" s="4">
        <f t="shared" si="30"/>
        <v>54</v>
      </c>
      <c r="P77" s="4">
        <f t="shared" si="31"/>
        <v>1</v>
      </c>
      <c r="Q77" s="4">
        <f t="shared" si="32"/>
        <v>21</v>
      </c>
      <c r="R77" s="4">
        <f t="shared" si="33"/>
        <v>14</v>
      </c>
      <c r="S77" s="4">
        <f t="shared" si="34"/>
        <v>63</v>
      </c>
      <c r="T77" s="4">
        <f t="shared" si="35"/>
        <v>2</v>
      </c>
      <c r="U77" s="4">
        <f t="shared" si="36"/>
        <v>21</v>
      </c>
      <c r="V77" s="8">
        <f t="shared" si="37"/>
        <v>5</v>
      </c>
      <c r="W77" s="8">
        <f t="shared" si="38"/>
        <v>5</v>
      </c>
      <c r="X77">
        <f t="shared" si="39"/>
        <v>1</v>
      </c>
    </row>
    <row r="78" spans="1:24" x14ac:dyDescent="0.25">
      <c r="A78" s="4" t="s">
        <v>104</v>
      </c>
      <c r="B78" t="s">
        <v>9</v>
      </c>
      <c r="C78" t="s">
        <v>6</v>
      </c>
      <c r="D78" s="3">
        <f t="shared" si="20"/>
        <v>66</v>
      </c>
      <c r="E78" s="4">
        <f t="shared" si="21"/>
        <v>12</v>
      </c>
      <c r="F78" s="4">
        <f t="shared" si="22"/>
        <v>15</v>
      </c>
      <c r="G78" s="3">
        <f>IF(E78&gt;=20,2000,1900) + D78</f>
        <v>1966</v>
      </c>
      <c r="H78">
        <f t="shared" si="23"/>
        <v>12</v>
      </c>
      <c r="I78" s="4">
        <f t="shared" si="24"/>
        <v>15</v>
      </c>
      <c r="J78">
        <f t="shared" si="25"/>
        <v>19661215</v>
      </c>
      <c r="K78" t="str">
        <f t="shared" si="26"/>
        <v>15.12.1966</v>
      </c>
      <c r="L78" s="4">
        <f t="shared" si="27"/>
        <v>6</v>
      </c>
      <c r="M78" s="4">
        <f t="shared" si="28"/>
        <v>18</v>
      </c>
      <c r="N78" s="4">
        <f t="shared" si="29"/>
        <v>7</v>
      </c>
      <c r="O78" s="4">
        <f t="shared" si="30"/>
        <v>18</v>
      </c>
      <c r="P78" s="4">
        <f t="shared" si="31"/>
        <v>1</v>
      </c>
      <c r="Q78" s="4">
        <f t="shared" si="32"/>
        <v>15</v>
      </c>
      <c r="R78" s="4">
        <f t="shared" si="33"/>
        <v>42</v>
      </c>
      <c r="S78" s="4">
        <f t="shared" si="34"/>
        <v>63</v>
      </c>
      <c r="T78" s="4">
        <f t="shared" si="35"/>
        <v>5</v>
      </c>
      <c r="U78" s="4">
        <f t="shared" si="36"/>
        <v>15</v>
      </c>
      <c r="V78" s="8">
        <f t="shared" si="37"/>
        <v>0</v>
      </c>
      <c r="W78" s="8">
        <f t="shared" si="38"/>
        <v>0</v>
      </c>
      <c r="X78">
        <f t="shared" si="39"/>
        <v>1</v>
      </c>
    </row>
    <row r="79" spans="1:24" x14ac:dyDescent="0.25">
      <c r="A79" s="4" t="s">
        <v>105</v>
      </c>
      <c r="B79" t="s">
        <v>14</v>
      </c>
      <c r="C79" t="s">
        <v>4</v>
      </c>
      <c r="D79" s="3">
        <f t="shared" si="20"/>
        <v>92</v>
      </c>
      <c r="E79" s="4">
        <f t="shared" si="21"/>
        <v>10</v>
      </c>
      <c r="F79" s="4">
        <f t="shared" si="22"/>
        <v>29</v>
      </c>
      <c r="G79" s="3">
        <f>IF(E79&gt;=20,2000,1900) + D79</f>
        <v>1992</v>
      </c>
      <c r="H79">
        <f t="shared" si="23"/>
        <v>10</v>
      </c>
      <c r="I79" s="4">
        <f t="shared" si="24"/>
        <v>29</v>
      </c>
      <c r="J79">
        <f t="shared" si="25"/>
        <v>19921029</v>
      </c>
      <c r="K79" t="str">
        <f t="shared" si="26"/>
        <v>29.10.1992</v>
      </c>
      <c r="L79" s="4">
        <f t="shared" si="27"/>
        <v>9</v>
      </c>
      <c r="M79" s="4">
        <f t="shared" si="28"/>
        <v>6</v>
      </c>
      <c r="N79" s="4">
        <f t="shared" si="29"/>
        <v>7</v>
      </c>
      <c r="O79" s="4">
        <f t="shared" si="30"/>
        <v>0</v>
      </c>
      <c r="P79" s="4">
        <f t="shared" si="31"/>
        <v>2</v>
      </c>
      <c r="Q79" s="4">
        <f t="shared" si="32"/>
        <v>27</v>
      </c>
      <c r="R79" s="4">
        <f t="shared" si="33"/>
        <v>14</v>
      </c>
      <c r="S79" s="4">
        <f t="shared" si="34"/>
        <v>27</v>
      </c>
      <c r="T79" s="4">
        <f t="shared" si="35"/>
        <v>2</v>
      </c>
      <c r="U79" s="4">
        <f t="shared" si="36"/>
        <v>27</v>
      </c>
      <c r="V79" s="8">
        <f t="shared" si="37"/>
        <v>1</v>
      </c>
      <c r="W79" s="8">
        <f t="shared" si="38"/>
        <v>9</v>
      </c>
      <c r="X79">
        <f t="shared" si="39"/>
        <v>1</v>
      </c>
    </row>
    <row r="80" spans="1:24" x14ac:dyDescent="0.25">
      <c r="A80" s="4" t="s">
        <v>106</v>
      </c>
      <c r="B80" t="s">
        <v>3</v>
      </c>
      <c r="C80" t="s">
        <v>4</v>
      </c>
      <c r="D80" s="3">
        <f t="shared" si="20"/>
        <v>97</v>
      </c>
      <c r="E80" s="4">
        <f t="shared" si="21"/>
        <v>1</v>
      </c>
      <c r="F80" s="4">
        <f t="shared" si="22"/>
        <v>19</v>
      </c>
      <c r="G80" s="3">
        <f>IF(E80&gt;=20,2000,1900) + D80</f>
        <v>1997</v>
      </c>
      <c r="H80">
        <f t="shared" si="23"/>
        <v>1</v>
      </c>
      <c r="I80" s="4">
        <f t="shared" si="24"/>
        <v>19</v>
      </c>
      <c r="J80">
        <f t="shared" si="25"/>
        <v>19970119</v>
      </c>
      <c r="K80" t="str">
        <f t="shared" si="26"/>
        <v>19.01.1997</v>
      </c>
      <c r="L80" s="4">
        <f t="shared" si="27"/>
        <v>9</v>
      </c>
      <c r="M80" s="4">
        <f t="shared" si="28"/>
        <v>21</v>
      </c>
      <c r="N80" s="4">
        <f t="shared" si="29"/>
        <v>0</v>
      </c>
      <c r="O80" s="4">
        <f t="shared" si="30"/>
        <v>9</v>
      </c>
      <c r="P80" s="4">
        <f t="shared" si="31"/>
        <v>1</v>
      </c>
      <c r="Q80" s="4">
        <f t="shared" si="32"/>
        <v>27</v>
      </c>
      <c r="R80" s="4">
        <f t="shared" si="33"/>
        <v>49</v>
      </c>
      <c r="S80" s="4">
        <f t="shared" si="34"/>
        <v>72</v>
      </c>
      <c r="T80" s="4">
        <f t="shared" si="35"/>
        <v>5</v>
      </c>
      <c r="U80" s="4">
        <f t="shared" si="36"/>
        <v>21</v>
      </c>
      <c r="V80" s="8">
        <f t="shared" si="37"/>
        <v>4</v>
      </c>
      <c r="W80" s="8">
        <f t="shared" si="38"/>
        <v>6</v>
      </c>
      <c r="X80">
        <f t="shared" si="39"/>
        <v>1</v>
      </c>
    </row>
    <row r="81" spans="1:24" x14ac:dyDescent="0.25">
      <c r="A81" s="4" t="s">
        <v>107</v>
      </c>
      <c r="B81" t="s">
        <v>14</v>
      </c>
      <c r="C81" t="s">
        <v>6</v>
      </c>
      <c r="D81" s="3">
        <f t="shared" si="20"/>
        <v>75</v>
      </c>
      <c r="E81" s="4">
        <f t="shared" si="21"/>
        <v>4</v>
      </c>
      <c r="F81" s="4">
        <f t="shared" si="22"/>
        <v>20</v>
      </c>
      <c r="G81" s="3">
        <f>IF(E81&gt;=20,2000,1900) + D81</f>
        <v>1975</v>
      </c>
      <c r="H81">
        <f t="shared" si="23"/>
        <v>4</v>
      </c>
      <c r="I81" s="4">
        <f t="shared" si="24"/>
        <v>20</v>
      </c>
      <c r="J81">
        <f t="shared" si="25"/>
        <v>19750420</v>
      </c>
      <c r="K81" t="str">
        <f t="shared" si="26"/>
        <v>20.04.1975</v>
      </c>
      <c r="L81" s="4">
        <f t="shared" si="27"/>
        <v>7</v>
      </c>
      <c r="M81" s="4">
        <f t="shared" si="28"/>
        <v>15</v>
      </c>
      <c r="N81" s="4">
        <f t="shared" si="29"/>
        <v>0</v>
      </c>
      <c r="O81" s="4">
        <f t="shared" si="30"/>
        <v>36</v>
      </c>
      <c r="P81" s="4">
        <f t="shared" si="31"/>
        <v>2</v>
      </c>
      <c r="Q81" s="4">
        <f t="shared" si="32"/>
        <v>0</v>
      </c>
      <c r="R81" s="4">
        <f t="shared" si="33"/>
        <v>0</v>
      </c>
      <c r="S81" s="4">
        <f t="shared" si="34"/>
        <v>54</v>
      </c>
      <c r="T81" s="4">
        <f t="shared" si="35"/>
        <v>3</v>
      </c>
      <c r="U81" s="4">
        <f t="shared" si="36"/>
        <v>18</v>
      </c>
      <c r="V81" s="8">
        <f t="shared" si="37"/>
        <v>5</v>
      </c>
      <c r="W81" s="8">
        <f t="shared" si="38"/>
        <v>5</v>
      </c>
      <c r="X81">
        <f t="shared" si="39"/>
        <v>1</v>
      </c>
    </row>
    <row r="82" spans="1:24" x14ac:dyDescent="0.25">
      <c r="A82" s="4" t="s">
        <v>108</v>
      </c>
      <c r="B82" t="s">
        <v>15</v>
      </c>
      <c r="C82" t="s">
        <v>4</v>
      </c>
      <c r="D82" s="3">
        <f t="shared" si="20"/>
        <v>51</v>
      </c>
      <c r="E82" s="4">
        <f t="shared" si="21"/>
        <v>10</v>
      </c>
      <c r="F82" s="4">
        <f t="shared" si="22"/>
        <v>1</v>
      </c>
      <c r="G82" s="3">
        <f>IF(E82&gt;=20,2000,1900) + D82</f>
        <v>1951</v>
      </c>
      <c r="H82">
        <f t="shared" si="23"/>
        <v>10</v>
      </c>
      <c r="I82" s="4">
        <f t="shared" si="24"/>
        <v>1</v>
      </c>
      <c r="J82">
        <f t="shared" si="25"/>
        <v>19511001</v>
      </c>
      <c r="K82" t="str">
        <f t="shared" si="26"/>
        <v>01.10.1951</v>
      </c>
      <c r="L82" s="4">
        <f t="shared" si="27"/>
        <v>5</v>
      </c>
      <c r="M82" s="4">
        <f t="shared" si="28"/>
        <v>3</v>
      </c>
      <c r="N82" s="4">
        <f t="shared" si="29"/>
        <v>7</v>
      </c>
      <c r="O82" s="4">
        <f t="shared" si="30"/>
        <v>0</v>
      </c>
      <c r="P82" s="4">
        <f t="shared" si="31"/>
        <v>0</v>
      </c>
      <c r="Q82" s="4">
        <f t="shared" si="32"/>
        <v>3</v>
      </c>
      <c r="R82" s="4">
        <f t="shared" si="33"/>
        <v>7</v>
      </c>
      <c r="S82" s="4">
        <f t="shared" si="34"/>
        <v>27</v>
      </c>
      <c r="T82" s="4">
        <f t="shared" si="35"/>
        <v>4</v>
      </c>
      <c r="U82" s="4">
        <f t="shared" si="36"/>
        <v>18</v>
      </c>
      <c r="V82" s="8">
        <f t="shared" si="37"/>
        <v>4</v>
      </c>
      <c r="W82" s="8">
        <f t="shared" si="38"/>
        <v>6</v>
      </c>
      <c r="X82">
        <f t="shared" si="39"/>
        <v>1</v>
      </c>
    </row>
    <row r="83" spans="1:24" x14ac:dyDescent="0.25">
      <c r="A83" s="4" t="s">
        <v>109</v>
      </c>
      <c r="B83" t="s">
        <v>15</v>
      </c>
      <c r="C83" t="s">
        <v>4</v>
      </c>
      <c r="D83" s="3">
        <f t="shared" si="20"/>
        <v>72</v>
      </c>
      <c r="E83" s="4">
        <f t="shared" si="21"/>
        <v>7</v>
      </c>
      <c r="F83" s="4">
        <f t="shared" si="22"/>
        <v>30</v>
      </c>
      <c r="G83" s="3">
        <f>IF(E83&gt;=20,2000,1900) + D83</f>
        <v>1972</v>
      </c>
      <c r="H83">
        <f t="shared" si="23"/>
        <v>7</v>
      </c>
      <c r="I83" s="4">
        <f t="shared" si="24"/>
        <v>30</v>
      </c>
      <c r="J83">
        <f t="shared" si="25"/>
        <v>19720730</v>
      </c>
      <c r="K83" t="str">
        <f t="shared" si="26"/>
        <v>30.07.1972</v>
      </c>
      <c r="L83" s="4">
        <f t="shared" si="27"/>
        <v>7</v>
      </c>
      <c r="M83" s="4">
        <f t="shared" si="28"/>
        <v>6</v>
      </c>
      <c r="N83" s="4">
        <f t="shared" si="29"/>
        <v>0</v>
      </c>
      <c r="O83" s="4">
        <f t="shared" si="30"/>
        <v>63</v>
      </c>
      <c r="P83" s="4">
        <f t="shared" si="31"/>
        <v>3</v>
      </c>
      <c r="Q83" s="4">
        <f t="shared" si="32"/>
        <v>0</v>
      </c>
      <c r="R83" s="4">
        <f t="shared" si="33"/>
        <v>7</v>
      </c>
      <c r="S83" s="4">
        <f t="shared" si="34"/>
        <v>27</v>
      </c>
      <c r="T83" s="4">
        <f t="shared" si="35"/>
        <v>6</v>
      </c>
      <c r="U83" s="4">
        <f t="shared" si="36"/>
        <v>3</v>
      </c>
      <c r="V83" s="8">
        <f t="shared" si="37"/>
        <v>2</v>
      </c>
      <c r="W83" s="8">
        <f t="shared" si="38"/>
        <v>8</v>
      </c>
      <c r="X83">
        <f t="shared" si="39"/>
        <v>1</v>
      </c>
    </row>
    <row r="84" spans="1:24" x14ac:dyDescent="0.25">
      <c r="A84" s="4" t="s">
        <v>110</v>
      </c>
      <c r="B84" t="s">
        <v>5</v>
      </c>
      <c r="C84" t="s">
        <v>4</v>
      </c>
      <c r="D84" s="3">
        <f t="shared" si="20"/>
        <v>95</v>
      </c>
      <c r="E84" s="4">
        <f t="shared" si="21"/>
        <v>7</v>
      </c>
      <c r="F84" s="4">
        <f t="shared" si="22"/>
        <v>15</v>
      </c>
      <c r="G84" s="3">
        <f>IF(E84&gt;=20,2000,1900) + D84</f>
        <v>1995</v>
      </c>
      <c r="H84">
        <f t="shared" si="23"/>
        <v>7</v>
      </c>
      <c r="I84" s="4">
        <f t="shared" si="24"/>
        <v>15</v>
      </c>
      <c r="J84">
        <f t="shared" si="25"/>
        <v>19950715</v>
      </c>
      <c r="K84" t="str">
        <f t="shared" si="26"/>
        <v>15.07.1995</v>
      </c>
      <c r="L84" s="4">
        <f t="shared" si="27"/>
        <v>9</v>
      </c>
      <c r="M84" s="4">
        <f t="shared" si="28"/>
        <v>15</v>
      </c>
      <c r="N84" s="4">
        <f t="shared" si="29"/>
        <v>0</v>
      </c>
      <c r="O84" s="4">
        <f t="shared" si="30"/>
        <v>63</v>
      </c>
      <c r="P84" s="4">
        <f t="shared" si="31"/>
        <v>1</v>
      </c>
      <c r="Q84" s="4">
        <f t="shared" si="32"/>
        <v>15</v>
      </c>
      <c r="R84" s="4">
        <f t="shared" si="33"/>
        <v>0</v>
      </c>
      <c r="S84" s="4">
        <f t="shared" si="34"/>
        <v>54</v>
      </c>
      <c r="T84" s="4">
        <f t="shared" si="35"/>
        <v>9</v>
      </c>
      <c r="U84" s="4">
        <f t="shared" si="36"/>
        <v>9</v>
      </c>
      <c r="V84" s="8">
        <f t="shared" si="37"/>
        <v>5</v>
      </c>
      <c r="W84" s="8">
        <f t="shared" si="38"/>
        <v>5</v>
      </c>
      <c r="X84">
        <f t="shared" si="39"/>
        <v>1</v>
      </c>
    </row>
    <row r="85" spans="1:24" x14ac:dyDescent="0.25">
      <c r="A85" s="4" t="s">
        <v>111</v>
      </c>
      <c r="B85" t="s">
        <v>9</v>
      </c>
      <c r="C85" t="s">
        <v>4</v>
      </c>
      <c r="D85" s="3">
        <f t="shared" si="20"/>
        <v>64</v>
      </c>
      <c r="E85" s="4">
        <f t="shared" si="21"/>
        <v>8</v>
      </c>
      <c r="F85" s="4">
        <f t="shared" si="22"/>
        <v>27</v>
      </c>
      <c r="G85" s="3">
        <f>IF(E85&gt;=20,2000,1900) + D85</f>
        <v>1964</v>
      </c>
      <c r="H85">
        <f t="shared" si="23"/>
        <v>8</v>
      </c>
      <c r="I85" s="4">
        <f t="shared" si="24"/>
        <v>27</v>
      </c>
      <c r="J85">
        <f t="shared" si="25"/>
        <v>19640827</v>
      </c>
      <c r="K85" t="str">
        <f t="shared" si="26"/>
        <v>27.08.1964</v>
      </c>
      <c r="L85" s="4">
        <f t="shared" si="27"/>
        <v>6</v>
      </c>
      <c r="M85" s="4">
        <f t="shared" si="28"/>
        <v>12</v>
      </c>
      <c r="N85" s="4">
        <f t="shared" si="29"/>
        <v>0</v>
      </c>
      <c r="O85" s="4">
        <f t="shared" si="30"/>
        <v>72</v>
      </c>
      <c r="P85" s="4">
        <f t="shared" si="31"/>
        <v>2</v>
      </c>
      <c r="Q85" s="4">
        <f t="shared" si="32"/>
        <v>21</v>
      </c>
      <c r="R85" s="4">
        <f t="shared" si="33"/>
        <v>0</v>
      </c>
      <c r="S85" s="4">
        <f t="shared" si="34"/>
        <v>54</v>
      </c>
      <c r="T85" s="4">
        <f t="shared" si="35"/>
        <v>2</v>
      </c>
      <c r="U85" s="4">
        <f t="shared" si="36"/>
        <v>21</v>
      </c>
      <c r="V85" s="8">
        <f t="shared" si="37"/>
        <v>0</v>
      </c>
      <c r="W85" s="8">
        <f t="shared" si="38"/>
        <v>0</v>
      </c>
      <c r="X85">
        <f t="shared" si="39"/>
        <v>1</v>
      </c>
    </row>
    <row r="86" spans="1:24" x14ac:dyDescent="0.25">
      <c r="A86" s="4" t="s">
        <v>112</v>
      </c>
      <c r="B86" t="s">
        <v>5</v>
      </c>
      <c r="C86" t="s">
        <v>4</v>
      </c>
      <c r="D86" s="3">
        <f t="shared" si="20"/>
        <v>74</v>
      </c>
      <c r="E86" s="4">
        <f t="shared" si="21"/>
        <v>10</v>
      </c>
      <c r="F86" s="4">
        <f t="shared" si="22"/>
        <v>20</v>
      </c>
      <c r="G86" s="3">
        <f>IF(E86&gt;=20,2000,1900) + D86</f>
        <v>1974</v>
      </c>
      <c r="H86">
        <f t="shared" si="23"/>
        <v>10</v>
      </c>
      <c r="I86" s="4">
        <f t="shared" si="24"/>
        <v>20</v>
      </c>
      <c r="J86">
        <f t="shared" si="25"/>
        <v>19741020</v>
      </c>
      <c r="K86" t="str">
        <f t="shared" si="26"/>
        <v>20.10.1974</v>
      </c>
      <c r="L86" s="4">
        <f t="shared" si="27"/>
        <v>7</v>
      </c>
      <c r="M86" s="4">
        <f t="shared" si="28"/>
        <v>12</v>
      </c>
      <c r="N86" s="4">
        <f t="shared" si="29"/>
        <v>7</v>
      </c>
      <c r="O86" s="4">
        <f t="shared" si="30"/>
        <v>0</v>
      </c>
      <c r="P86" s="4">
        <f t="shared" si="31"/>
        <v>2</v>
      </c>
      <c r="Q86" s="4">
        <f t="shared" si="32"/>
        <v>0</v>
      </c>
      <c r="R86" s="4">
        <f t="shared" si="33"/>
        <v>21</v>
      </c>
      <c r="S86" s="4">
        <f t="shared" si="34"/>
        <v>27</v>
      </c>
      <c r="T86" s="4">
        <f t="shared" si="35"/>
        <v>7</v>
      </c>
      <c r="U86" s="4">
        <f t="shared" si="36"/>
        <v>15</v>
      </c>
      <c r="V86" s="8">
        <f t="shared" si="37"/>
        <v>8</v>
      </c>
      <c r="W86" s="8">
        <f t="shared" si="38"/>
        <v>2</v>
      </c>
      <c r="X86">
        <f t="shared" si="39"/>
        <v>1</v>
      </c>
    </row>
    <row r="87" spans="1:24" x14ac:dyDescent="0.25">
      <c r="A87" s="4" t="s">
        <v>113</v>
      </c>
      <c r="B87" t="s">
        <v>14</v>
      </c>
      <c r="C87" t="s">
        <v>6</v>
      </c>
      <c r="D87" s="3">
        <f t="shared" si="20"/>
        <v>57</v>
      </c>
      <c r="E87" s="4">
        <f t="shared" si="21"/>
        <v>8</v>
      </c>
      <c r="F87" s="4">
        <f t="shared" si="22"/>
        <v>13</v>
      </c>
      <c r="G87" s="3">
        <f>IF(E87&gt;=20,2000,1900) + D87</f>
        <v>1957</v>
      </c>
      <c r="H87">
        <f t="shared" si="23"/>
        <v>8</v>
      </c>
      <c r="I87" s="4">
        <f t="shared" si="24"/>
        <v>13</v>
      </c>
      <c r="J87">
        <f t="shared" si="25"/>
        <v>19570813</v>
      </c>
      <c r="K87" t="str">
        <f t="shared" si="26"/>
        <v>13.08.1957</v>
      </c>
      <c r="L87" s="4">
        <f t="shared" si="27"/>
        <v>5</v>
      </c>
      <c r="M87" s="4">
        <f t="shared" si="28"/>
        <v>21</v>
      </c>
      <c r="N87" s="4">
        <f t="shared" si="29"/>
        <v>0</v>
      </c>
      <c r="O87" s="4">
        <f t="shared" si="30"/>
        <v>72</v>
      </c>
      <c r="P87" s="4">
        <f t="shared" si="31"/>
        <v>1</v>
      </c>
      <c r="Q87" s="4">
        <f t="shared" si="32"/>
        <v>9</v>
      </c>
      <c r="R87" s="4">
        <f t="shared" si="33"/>
        <v>35</v>
      </c>
      <c r="S87" s="4">
        <f t="shared" si="34"/>
        <v>45</v>
      </c>
      <c r="T87" s="4">
        <f t="shared" si="35"/>
        <v>1</v>
      </c>
      <c r="U87" s="4">
        <f t="shared" si="36"/>
        <v>6</v>
      </c>
      <c r="V87" s="8">
        <f t="shared" si="37"/>
        <v>5</v>
      </c>
      <c r="W87" s="8">
        <f t="shared" si="38"/>
        <v>5</v>
      </c>
      <c r="X87">
        <f t="shared" si="39"/>
        <v>1</v>
      </c>
    </row>
    <row r="88" spans="1:24" x14ac:dyDescent="0.25">
      <c r="A88" s="4" t="s">
        <v>114</v>
      </c>
      <c r="B88" t="s">
        <v>8</v>
      </c>
      <c r="C88" t="s">
        <v>4</v>
      </c>
      <c r="D88" s="3">
        <f t="shared" si="20"/>
        <v>63</v>
      </c>
      <c r="E88" s="4">
        <f t="shared" si="21"/>
        <v>9</v>
      </c>
      <c r="F88" s="4">
        <f t="shared" si="22"/>
        <v>18</v>
      </c>
      <c r="G88" s="3">
        <f>IF(E88&gt;=20,2000,1900) + D88</f>
        <v>1963</v>
      </c>
      <c r="H88">
        <f t="shared" si="23"/>
        <v>9</v>
      </c>
      <c r="I88" s="4">
        <f t="shared" si="24"/>
        <v>18</v>
      </c>
      <c r="J88">
        <f t="shared" si="25"/>
        <v>19630918</v>
      </c>
      <c r="K88" t="str">
        <f t="shared" si="26"/>
        <v>18.09.1963</v>
      </c>
      <c r="L88" s="4">
        <f t="shared" si="27"/>
        <v>6</v>
      </c>
      <c r="M88" s="4">
        <f t="shared" si="28"/>
        <v>9</v>
      </c>
      <c r="N88" s="4">
        <f t="shared" si="29"/>
        <v>0</v>
      </c>
      <c r="O88" s="4">
        <f t="shared" si="30"/>
        <v>81</v>
      </c>
      <c r="P88" s="4">
        <f t="shared" si="31"/>
        <v>1</v>
      </c>
      <c r="Q88" s="4">
        <f t="shared" si="32"/>
        <v>24</v>
      </c>
      <c r="R88" s="4">
        <f t="shared" si="33"/>
        <v>14</v>
      </c>
      <c r="S88" s="4">
        <f t="shared" si="34"/>
        <v>45</v>
      </c>
      <c r="T88" s="4">
        <f t="shared" si="35"/>
        <v>4</v>
      </c>
      <c r="U88" s="4">
        <f t="shared" si="36"/>
        <v>27</v>
      </c>
      <c r="V88" s="8">
        <f t="shared" si="37"/>
        <v>1</v>
      </c>
      <c r="W88" s="8">
        <f t="shared" si="38"/>
        <v>9</v>
      </c>
      <c r="X88">
        <f t="shared" si="39"/>
        <v>1</v>
      </c>
    </row>
    <row r="89" spans="1:24" x14ac:dyDescent="0.25">
      <c r="A89" s="4" t="s">
        <v>115</v>
      </c>
      <c r="B89" t="s">
        <v>16</v>
      </c>
      <c r="C89" t="s">
        <v>4</v>
      </c>
      <c r="D89" s="3">
        <f t="shared" si="20"/>
        <v>90</v>
      </c>
      <c r="E89" s="4">
        <f t="shared" si="21"/>
        <v>4</v>
      </c>
      <c r="F89" s="4">
        <f t="shared" si="22"/>
        <v>2</v>
      </c>
      <c r="G89" s="3">
        <f>IF(E89&gt;=20,2000,1900) + D89</f>
        <v>1990</v>
      </c>
      <c r="H89">
        <f t="shared" si="23"/>
        <v>4</v>
      </c>
      <c r="I89" s="4">
        <f t="shared" si="24"/>
        <v>2</v>
      </c>
      <c r="J89">
        <f t="shared" si="25"/>
        <v>19900402</v>
      </c>
      <c r="K89" t="str">
        <f t="shared" si="26"/>
        <v>02.04.1990</v>
      </c>
      <c r="L89" s="4">
        <f t="shared" si="27"/>
        <v>9</v>
      </c>
      <c r="M89" s="4">
        <f t="shared" si="28"/>
        <v>0</v>
      </c>
      <c r="N89" s="4">
        <f t="shared" si="29"/>
        <v>0</v>
      </c>
      <c r="O89" s="4">
        <f t="shared" si="30"/>
        <v>36</v>
      </c>
      <c r="P89" s="4">
        <f t="shared" si="31"/>
        <v>0</v>
      </c>
      <c r="Q89" s="4">
        <f t="shared" si="32"/>
        <v>6</v>
      </c>
      <c r="R89" s="4">
        <f t="shared" si="33"/>
        <v>42</v>
      </c>
      <c r="S89" s="4">
        <f t="shared" si="34"/>
        <v>36</v>
      </c>
      <c r="T89" s="4">
        <f t="shared" si="35"/>
        <v>3</v>
      </c>
      <c r="U89" s="4">
        <f t="shared" si="36"/>
        <v>3</v>
      </c>
      <c r="V89" s="8">
        <f t="shared" si="37"/>
        <v>5</v>
      </c>
      <c r="W89" s="8">
        <f t="shared" si="38"/>
        <v>5</v>
      </c>
      <c r="X89">
        <f t="shared" si="39"/>
        <v>1</v>
      </c>
    </row>
    <row r="90" spans="1:24" x14ac:dyDescent="0.25">
      <c r="A90" s="4" t="s">
        <v>116</v>
      </c>
      <c r="B90" t="s">
        <v>17</v>
      </c>
      <c r="C90" t="s">
        <v>4</v>
      </c>
      <c r="D90" s="3">
        <f t="shared" si="20"/>
        <v>93</v>
      </c>
      <c r="E90" s="4">
        <f t="shared" si="21"/>
        <v>2</v>
      </c>
      <c r="F90" s="4">
        <f t="shared" si="22"/>
        <v>10</v>
      </c>
      <c r="G90" s="3">
        <f>IF(E90&gt;=20,2000,1900) + D90</f>
        <v>1993</v>
      </c>
      <c r="H90">
        <f t="shared" si="23"/>
        <v>2</v>
      </c>
      <c r="I90" s="4">
        <f t="shared" si="24"/>
        <v>10</v>
      </c>
      <c r="J90">
        <f t="shared" si="25"/>
        <v>19930210</v>
      </c>
      <c r="K90" t="str">
        <f t="shared" si="26"/>
        <v>10.02.1993</v>
      </c>
      <c r="L90" s="4">
        <f t="shared" si="27"/>
        <v>9</v>
      </c>
      <c r="M90" s="4">
        <f t="shared" si="28"/>
        <v>9</v>
      </c>
      <c r="N90" s="4">
        <f t="shared" si="29"/>
        <v>0</v>
      </c>
      <c r="O90" s="4">
        <f t="shared" si="30"/>
        <v>18</v>
      </c>
      <c r="P90" s="4">
        <f t="shared" si="31"/>
        <v>1</v>
      </c>
      <c r="Q90" s="4">
        <f t="shared" si="32"/>
        <v>0</v>
      </c>
      <c r="R90" s="4">
        <f t="shared" si="33"/>
        <v>0</v>
      </c>
      <c r="S90" s="4">
        <f t="shared" si="34"/>
        <v>45</v>
      </c>
      <c r="T90" s="4">
        <f t="shared" si="35"/>
        <v>6</v>
      </c>
      <c r="U90" s="4">
        <f t="shared" si="36"/>
        <v>0</v>
      </c>
      <c r="V90" s="8">
        <f t="shared" si="37"/>
        <v>8</v>
      </c>
      <c r="W90" s="8">
        <f t="shared" si="38"/>
        <v>2</v>
      </c>
      <c r="X90">
        <f t="shared" si="39"/>
        <v>1</v>
      </c>
    </row>
    <row r="91" spans="1:24" x14ac:dyDescent="0.25">
      <c r="A91" s="4" t="s">
        <v>117</v>
      </c>
      <c r="B91" t="s">
        <v>20</v>
      </c>
      <c r="C91" t="s">
        <v>4</v>
      </c>
      <c r="D91" s="3">
        <f t="shared" si="20"/>
        <v>71</v>
      </c>
      <c r="E91" s="4">
        <f t="shared" si="21"/>
        <v>6</v>
      </c>
      <c r="F91" s="4">
        <f t="shared" si="22"/>
        <v>9</v>
      </c>
      <c r="G91" s="3">
        <f>IF(E91&gt;=20,2000,1900) + D91</f>
        <v>1971</v>
      </c>
      <c r="H91">
        <f t="shared" si="23"/>
        <v>6</v>
      </c>
      <c r="I91" s="4">
        <f t="shared" si="24"/>
        <v>9</v>
      </c>
      <c r="J91">
        <f t="shared" si="25"/>
        <v>19710609</v>
      </c>
      <c r="K91" t="str">
        <f t="shared" si="26"/>
        <v>09.06.1971</v>
      </c>
      <c r="L91" s="4">
        <f t="shared" si="27"/>
        <v>7</v>
      </c>
      <c r="M91" s="4">
        <f t="shared" si="28"/>
        <v>3</v>
      </c>
      <c r="N91" s="4">
        <f t="shared" si="29"/>
        <v>0</v>
      </c>
      <c r="O91" s="4">
        <f t="shared" si="30"/>
        <v>54</v>
      </c>
      <c r="P91" s="4">
        <f t="shared" si="31"/>
        <v>0</v>
      </c>
      <c r="Q91" s="4">
        <f t="shared" si="32"/>
        <v>27</v>
      </c>
      <c r="R91" s="4">
        <f t="shared" si="33"/>
        <v>21</v>
      </c>
      <c r="S91" s="4">
        <f t="shared" si="34"/>
        <v>45</v>
      </c>
      <c r="T91" s="4">
        <f t="shared" si="35"/>
        <v>9</v>
      </c>
      <c r="U91" s="4">
        <f t="shared" si="36"/>
        <v>0</v>
      </c>
      <c r="V91" s="8">
        <f t="shared" si="37"/>
        <v>6</v>
      </c>
      <c r="W91" s="8">
        <f t="shared" si="38"/>
        <v>4</v>
      </c>
      <c r="X91">
        <f t="shared" si="39"/>
        <v>1</v>
      </c>
    </row>
    <row r="92" spans="1:24" x14ac:dyDescent="0.25">
      <c r="A92" s="4" t="s">
        <v>118</v>
      </c>
      <c r="B92" t="s">
        <v>18</v>
      </c>
      <c r="C92" t="s">
        <v>4</v>
      </c>
      <c r="D92" s="3">
        <f t="shared" si="20"/>
        <v>66</v>
      </c>
      <c r="E92" s="4">
        <f t="shared" si="21"/>
        <v>4</v>
      </c>
      <c r="F92" s="4">
        <f t="shared" si="22"/>
        <v>28</v>
      </c>
      <c r="G92" s="3">
        <f>IF(E92&gt;=20,2000,1900) + D92</f>
        <v>1966</v>
      </c>
      <c r="H92">
        <f t="shared" si="23"/>
        <v>4</v>
      </c>
      <c r="I92" s="4">
        <f t="shared" si="24"/>
        <v>28</v>
      </c>
      <c r="J92">
        <f t="shared" si="25"/>
        <v>19660428</v>
      </c>
      <c r="K92" t="str">
        <f t="shared" si="26"/>
        <v>28.04.1966</v>
      </c>
      <c r="L92" s="4">
        <f t="shared" si="27"/>
        <v>6</v>
      </c>
      <c r="M92" s="4">
        <f t="shared" si="28"/>
        <v>18</v>
      </c>
      <c r="N92" s="4">
        <f t="shared" si="29"/>
        <v>0</v>
      </c>
      <c r="O92" s="4">
        <f t="shared" si="30"/>
        <v>36</v>
      </c>
      <c r="P92" s="4">
        <f t="shared" si="31"/>
        <v>2</v>
      </c>
      <c r="Q92" s="4">
        <f t="shared" si="32"/>
        <v>24</v>
      </c>
      <c r="R92" s="4">
        <f t="shared" si="33"/>
        <v>7</v>
      </c>
      <c r="S92" s="4">
        <f t="shared" si="34"/>
        <v>36</v>
      </c>
      <c r="T92" s="4">
        <f t="shared" si="35"/>
        <v>8</v>
      </c>
      <c r="U92" s="4">
        <f t="shared" si="36"/>
        <v>18</v>
      </c>
      <c r="V92" s="8">
        <f t="shared" si="37"/>
        <v>5</v>
      </c>
      <c r="W92" s="8">
        <f t="shared" si="38"/>
        <v>5</v>
      </c>
      <c r="X92">
        <f t="shared" si="39"/>
        <v>1</v>
      </c>
    </row>
    <row r="93" spans="1:24" x14ac:dyDescent="0.25">
      <c r="A93" s="4" t="s">
        <v>119</v>
      </c>
      <c r="B93" t="s">
        <v>3</v>
      </c>
      <c r="C93" t="s">
        <v>4</v>
      </c>
      <c r="D93" s="3">
        <f t="shared" si="20"/>
        <v>97</v>
      </c>
      <c r="E93" s="4">
        <f t="shared" si="21"/>
        <v>8</v>
      </c>
      <c r="F93" s="4">
        <f t="shared" si="22"/>
        <v>2</v>
      </c>
      <c r="G93" s="3">
        <f>IF(E93&gt;=20,2000,1900) + D93</f>
        <v>1997</v>
      </c>
      <c r="H93">
        <f t="shared" si="23"/>
        <v>8</v>
      </c>
      <c r="I93" s="4">
        <f t="shared" si="24"/>
        <v>2</v>
      </c>
      <c r="J93">
        <f t="shared" si="25"/>
        <v>19970802</v>
      </c>
      <c r="K93" t="str">
        <f t="shared" si="26"/>
        <v>02.08.1997</v>
      </c>
      <c r="L93" s="4">
        <f t="shared" si="27"/>
        <v>9</v>
      </c>
      <c r="M93" s="4">
        <f t="shared" si="28"/>
        <v>21</v>
      </c>
      <c r="N93" s="4">
        <f t="shared" si="29"/>
        <v>0</v>
      </c>
      <c r="O93" s="4">
        <f t="shared" si="30"/>
        <v>72</v>
      </c>
      <c r="P93" s="4">
        <f t="shared" si="31"/>
        <v>0</v>
      </c>
      <c r="Q93" s="4">
        <f t="shared" si="32"/>
        <v>6</v>
      </c>
      <c r="R93" s="4">
        <f t="shared" si="33"/>
        <v>7</v>
      </c>
      <c r="S93" s="4">
        <f t="shared" si="34"/>
        <v>63</v>
      </c>
      <c r="T93" s="4">
        <f t="shared" si="35"/>
        <v>8</v>
      </c>
      <c r="U93" s="4">
        <f t="shared" si="36"/>
        <v>27</v>
      </c>
      <c r="V93" s="8">
        <f t="shared" si="37"/>
        <v>3</v>
      </c>
      <c r="W93" s="8">
        <f t="shared" si="38"/>
        <v>7</v>
      </c>
      <c r="X93">
        <f t="shared" si="39"/>
        <v>1</v>
      </c>
    </row>
    <row r="94" spans="1:24" x14ac:dyDescent="0.25">
      <c r="A94" s="4" t="s">
        <v>120</v>
      </c>
      <c r="B94" t="s">
        <v>16</v>
      </c>
      <c r="C94" t="s">
        <v>6</v>
      </c>
      <c r="D94" s="3">
        <f t="shared" si="20"/>
        <v>81</v>
      </c>
      <c r="E94" s="4">
        <f t="shared" si="21"/>
        <v>5</v>
      </c>
      <c r="F94" s="4">
        <f t="shared" si="22"/>
        <v>30</v>
      </c>
      <c r="G94" s="3">
        <f>IF(E94&gt;=20,2000,1900) + D94</f>
        <v>1981</v>
      </c>
      <c r="H94">
        <f t="shared" si="23"/>
        <v>5</v>
      </c>
      <c r="I94" s="4">
        <f t="shared" si="24"/>
        <v>30</v>
      </c>
      <c r="J94">
        <f t="shared" si="25"/>
        <v>19810530</v>
      </c>
      <c r="K94" t="str">
        <f t="shared" si="26"/>
        <v>30.05.1981</v>
      </c>
      <c r="L94" s="4">
        <f t="shared" si="27"/>
        <v>8</v>
      </c>
      <c r="M94" s="4">
        <f t="shared" si="28"/>
        <v>3</v>
      </c>
      <c r="N94" s="4">
        <f t="shared" si="29"/>
        <v>0</v>
      </c>
      <c r="O94" s="4">
        <f t="shared" si="30"/>
        <v>45</v>
      </c>
      <c r="P94" s="4">
        <f t="shared" si="31"/>
        <v>3</v>
      </c>
      <c r="Q94" s="4">
        <f t="shared" si="32"/>
        <v>0</v>
      </c>
      <c r="R94" s="4">
        <f t="shared" si="33"/>
        <v>21</v>
      </c>
      <c r="S94" s="4">
        <f t="shared" si="34"/>
        <v>45</v>
      </c>
      <c r="T94" s="4">
        <f t="shared" si="35"/>
        <v>8</v>
      </c>
      <c r="U94" s="4">
        <f t="shared" si="36"/>
        <v>0</v>
      </c>
      <c r="V94" s="8">
        <f t="shared" si="37"/>
        <v>3</v>
      </c>
      <c r="W94" s="8">
        <f t="shared" si="38"/>
        <v>7</v>
      </c>
      <c r="X94">
        <f t="shared" si="39"/>
        <v>1</v>
      </c>
    </row>
    <row r="95" spans="1:24" x14ac:dyDescent="0.25">
      <c r="A95" s="4" t="s">
        <v>121</v>
      </c>
      <c r="B95" t="s">
        <v>13</v>
      </c>
      <c r="C95" t="s">
        <v>6</v>
      </c>
      <c r="D95" s="3">
        <f t="shared" si="20"/>
        <v>91</v>
      </c>
      <c r="E95" s="4">
        <f t="shared" si="21"/>
        <v>2</v>
      </c>
      <c r="F95" s="4">
        <f t="shared" si="22"/>
        <v>24</v>
      </c>
      <c r="G95" s="3">
        <f>IF(E95&gt;=20,2000,1900) + D95</f>
        <v>1991</v>
      </c>
      <c r="H95">
        <f t="shared" si="23"/>
        <v>2</v>
      </c>
      <c r="I95" s="4">
        <f t="shared" si="24"/>
        <v>24</v>
      </c>
      <c r="J95">
        <f t="shared" si="25"/>
        <v>19910224</v>
      </c>
      <c r="K95" t="str">
        <f t="shared" si="26"/>
        <v>24.02.1991</v>
      </c>
      <c r="L95" s="4">
        <f t="shared" si="27"/>
        <v>9</v>
      </c>
      <c r="M95" s="4">
        <f t="shared" si="28"/>
        <v>3</v>
      </c>
      <c r="N95" s="4">
        <f t="shared" si="29"/>
        <v>0</v>
      </c>
      <c r="O95" s="4">
        <f t="shared" si="30"/>
        <v>18</v>
      </c>
      <c r="P95" s="4">
        <f t="shared" si="31"/>
        <v>2</v>
      </c>
      <c r="Q95" s="4">
        <f t="shared" si="32"/>
        <v>12</v>
      </c>
      <c r="R95" s="4">
        <f t="shared" si="33"/>
        <v>14</v>
      </c>
      <c r="S95" s="4">
        <f t="shared" si="34"/>
        <v>27</v>
      </c>
      <c r="T95" s="4">
        <f t="shared" si="35"/>
        <v>0</v>
      </c>
      <c r="U95" s="4">
        <f t="shared" si="36"/>
        <v>6</v>
      </c>
      <c r="V95" s="8">
        <f t="shared" si="37"/>
        <v>1</v>
      </c>
      <c r="W95" s="8">
        <f t="shared" si="38"/>
        <v>9</v>
      </c>
      <c r="X95">
        <f t="shared" si="39"/>
        <v>1</v>
      </c>
    </row>
    <row r="96" spans="1:24" x14ac:dyDescent="0.25">
      <c r="A96" s="4" t="s">
        <v>122</v>
      </c>
      <c r="B96" t="s">
        <v>15</v>
      </c>
      <c r="C96" t="s">
        <v>6</v>
      </c>
      <c r="D96" s="3">
        <f t="shared" si="20"/>
        <v>75</v>
      </c>
      <c r="E96" s="4">
        <f t="shared" si="21"/>
        <v>9</v>
      </c>
      <c r="F96" s="4">
        <f t="shared" si="22"/>
        <v>1</v>
      </c>
      <c r="G96" s="3">
        <f>IF(E96&gt;=20,2000,1900) + D96</f>
        <v>1975</v>
      </c>
      <c r="H96">
        <f t="shared" si="23"/>
        <v>9</v>
      </c>
      <c r="I96" s="4">
        <f t="shared" si="24"/>
        <v>1</v>
      </c>
      <c r="J96">
        <f t="shared" si="25"/>
        <v>19750901</v>
      </c>
      <c r="K96" t="str">
        <f t="shared" si="26"/>
        <v>01.09.1975</v>
      </c>
      <c r="L96" s="4">
        <f t="shared" si="27"/>
        <v>7</v>
      </c>
      <c r="M96" s="4">
        <f t="shared" si="28"/>
        <v>15</v>
      </c>
      <c r="N96" s="4">
        <f t="shared" si="29"/>
        <v>0</v>
      </c>
      <c r="O96" s="4">
        <f t="shared" si="30"/>
        <v>81</v>
      </c>
      <c r="P96" s="4">
        <f t="shared" si="31"/>
        <v>0</v>
      </c>
      <c r="Q96" s="4">
        <f t="shared" si="32"/>
        <v>3</v>
      </c>
      <c r="R96" s="4">
        <f t="shared" si="33"/>
        <v>63</v>
      </c>
      <c r="S96" s="4">
        <f t="shared" si="34"/>
        <v>45</v>
      </c>
      <c r="T96" s="4">
        <f t="shared" si="35"/>
        <v>1</v>
      </c>
      <c r="U96" s="4">
        <f t="shared" si="36"/>
        <v>6</v>
      </c>
      <c r="V96" s="8">
        <f t="shared" si="37"/>
        <v>1</v>
      </c>
      <c r="W96" s="8">
        <f t="shared" si="38"/>
        <v>9</v>
      </c>
      <c r="X96">
        <f t="shared" si="39"/>
        <v>1</v>
      </c>
    </row>
    <row r="97" spans="1:24" x14ac:dyDescent="0.25">
      <c r="A97" s="4" t="s">
        <v>123</v>
      </c>
      <c r="B97" t="s">
        <v>5</v>
      </c>
      <c r="C97" t="s">
        <v>6</v>
      </c>
      <c r="D97" s="3">
        <f t="shared" si="20"/>
        <v>84</v>
      </c>
      <c r="E97" s="4">
        <f t="shared" si="21"/>
        <v>7</v>
      </c>
      <c r="F97" s="4">
        <f t="shared" si="22"/>
        <v>1</v>
      </c>
      <c r="G97" s="3">
        <f>IF(E97&gt;=20,2000,1900) + D97</f>
        <v>1984</v>
      </c>
      <c r="H97">
        <f t="shared" si="23"/>
        <v>7</v>
      </c>
      <c r="I97" s="4">
        <f t="shared" si="24"/>
        <v>1</v>
      </c>
      <c r="J97">
        <f t="shared" si="25"/>
        <v>19840701</v>
      </c>
      <c r="K97" t="str">
        <f t="shared" si="26"/>
        <v>01.07.1984</v>
      </c>
      <c r="L97" s="4">
        <f t="shared" si="27"/>
        <v>8</v>
      </c>
      <c r="M97" s="4">
        <f t="shared" si="28"/>
        <v>12</v>
      </c>
      <c r="N97" s="4">
        <f t="shared" si="29"/>
        <v>0</v>
      </c>
      <c r="O97" s="4">
        <f t="shared" si="30"/>
        <v>63</v>
      </c>
      <c r="P97" s="4">
        <f t="shared" si="31"/>
        <v>0</v>
      </c>
      <c r="Q97" s="4">
        <f t="shared" si="32"/>
        <v>3</v>
      </c>
      <c r="R97" s="4">
        <f t="shared" si="33"/>
        <v>0</v>
      </c>
      <c r="S97" s="4">
        <f t="shared" si="34"/>
        <v>63</v>
      </c>
      <c r="T97" s="4">
        <f t="shared" si="35"/>
        <v>4</v>
      </c>
      <c r="U97" s="4">
        <f t="shared" si="36"/>
        <v>9</v>
      </c>
      <c r="V97" s="8">
        <f t="shared" si="37"/>
        <v>2</v>
      </c>
      <c r="W97" s="8">
        <f t="shared" si="38"/>
        <v>8</v>
      </c>
      <c r="X97">
        <f t="shared" si="39"/>
        <v>1</v>
      </c>
    </row>
    <row r="98" spans="1:24" x14ac:dyDescent="0.25">
      <c r="A98" s="4" t="s">
        <v>124</v>
      </c>
      <c r="B98" t="s">
        <v>18</v>
      </c>
      <c r="C98" t="s">
        <v>4</v>
      </c>
      <c r="D98" s="3">
        <f t="shared" si="20"/>
        <v>66</v>
      </c>
      <c r="E98" s="4">
        <f t="shared" si="21"/>
        <v>4</v>
      </c>
      <c r="F98" s="4">
        <f t="shared" si="22"/>
        <v>30</v>
      </c>
      <c r="G98" s="3">
        <f>IF(E98&gt;=20,2000,1900) + D98</f>
        <v>1966</v>
      </c>
      <c r="H98">
        <f t="shared" si="23"/>
        <v>4</v>
      </c>
      <c r="I98" s="4">
        <f t="shared" si="24"/>
        <v>30</v>
      </c>
      <c r="J98">
        <f t="shared" si="25"/>
        <v>19660430</v>
      </c>
      <c r="K98" t="str">
        <f t="shared" si="26"/>
        <v>30.04.1966</v>
      </c>
      <c r="L98" s="4">
        <f t="shared" si="27"/>
        <v>6</v>
      </c>
      <c r="M98" s="4">
        <f t="shared" si="28"/>
        <v>18</v>
      </c>
      <c r="N98" s="4">
        <f t="shared" si="29"/>
        <v>0</v>
      </c>
      <c r="O98" s="4">
        <f t="shared" si="30"/>
        <v>36</v>
      </c>
      <c r="P98" s="4">
        <f t="shared" si="31"/>
        <v>3</v>
      </c>
      <c r="Q98" s="4">
        <f t="shared" si="32"/>
        <v>0</v>
      </c>
      <c r="R98" s="4">
        <f t="shared" si="33"/>
        <v>56</v>
      </c>
      <c r="S98" s="4">
        <f t="shared" si="34"/>
        <v>45</v>
      </c>
      <c r="T98" s="4">
        <f t="shared" si="35"/>
        <v>2</v>
      </c>
      <c r="U98" s="4">
        <f t="shared" si="36"/>
        <v>24</v>
      </c>
      <c r="V98" s="8">
        <f t="shared" si="37"/>
        <v>0</v>
      </c>
      <c r="W98" s="8">
        <f t="shared" si="38"/>
        <v>0</v>
      </c>
      <c r="X98">
        <f t="shared" si="39"/>
        <v>1</v>
      </c>
    </row>
    <row r="99" spans="1:24" x14ac:dyDescent="0.25">
      <c r="A99" s="4" t="s">
        <v>125</v>
      </c>
      <c r="B99" t="s">
        <v>17</v>
      </c>
      <c r="C99" t="s">
        <v>6</v>
      </c>
      <c r="D99" s="3">
        <f t="shared" si="20"/>
        <v>50</v>
      </c>
      <c r="E99" s="4">
        <f t="shared" si="21"/>
        <v>12</v>
      </c>
      <c r="F99" s="4">
        <f t="shared" si="22"/>
        <v>12</v>
      </c>
      <c r="G99" s="3">
        <f>IF(E99&gt;=20,2000,1900) + D99</f>
        <v>1950</v>
      </c>
      <c r="H99">
        <f t="shared" si="23"/>
        <v>12</v>
      </c>
      <c r="I99" s="4">
        <f t="shared" si="24"/>
        <v>12</v>
      </c>
      <c r="J99">
        <f t="shared" si="25"/>
        <v>19501212</v>
      </c>
      <c r="K99" t="str">
        <f t="shared" si="26"/>
        <v>12.12.1950</v>
      </c>
      <c r="L99" s="4">
        <f t="shared" si="27"/>
        <v>5</v>
      </c>
      <c r="M99" s="4">
        <f t="shared" si="28"/>
        <v>0</v>
      </c>
      <c r="N99" s="4">
        <f t="shared" si="29"/>
        <v>7</v>
      </c>
      <c r="O99" s="4">
        <f t="shared" si="30"/>
        <v>18</v>
      </c>
      <c r="P99" s="4">
        <f t="shared" si="31"/>
        <v>1</v>
      </c>
      <c r="Q99" s="4">
        <f t="shared" si="32"/>
        <v>6</v>
      </c>
      <c r="R99" s="4">
        <f t="shared" si="33"/>
        <v>42</v>
      </c>
      <c r="S99" s="4">
        <f t="shared" si="34"/>
        <v>81</v>
      </c>
      <c r="T99" s="4">
        <f t="shared" si="35"/>
        <v>6</v>
      </c>
      <c r="U99" s="4">
        <f t="shared" si="36"/>
        <v>0</v>
      </c>
      <c r="V99" s="8">
        <f t="shared" si="37"/>
        <v>6</v>
      </c>
      <c r="W99" s="8">
        <f t="shared" si="38"/>
        <v>4</v>
      </c>
      <c r="X99">
        <f t="shared" si="39"/>
        <v>1</v>
      </c>
    </row>
    <row r="100" spans="1:24" x14ac:dyDescent="0.25">
      <c r="A100" s="4" t="s">
        <v>126</v>
      </c>
      <c r="B100" t="s">
        <v>14</v>
      </c>
      <c r="C100" t="s">
        <v>6</v>
      </c>
      <c r="D100" s="3">
        <f t="shared" si="20"/>
        <v>85</v>
      </c>
      <c r="E100" s="4">
        <f t="shared" si="21"/>
        <v>12</v>
      </c>
      <c r="F100" s="4">
        <f t="shared" si="22"/>
        <v>21</v>
      </c>
      <c r="G100" s="3">
        <f>IF(E100&gt;=20,2000,1900) + D100</f>
        <v>1985</v>
      </c>
      <c r="H100">
        <f t="shared" si="23"/>
        <v>12</v>
      </c>
      <c r="I100" s="4">
        <f t="shared" si="24"/>
        <v>21</v>
      </c>
      <c r="J100">
        <f t="shared" si="25"/>
        <v>19851221</v>
      </c>
      <c r="K100" t="str">
        <f t="shared" si="26"/>
        <v>21.12.1985</v>
      </c>
      <c r="L100" s="4">
        <f t="shared" si="27"/>
        <v>8</v>
      </c>
      <c r="M100" s="4">
        <f t="shared" si="28"/>
        <v>15</v>
      </c>
      <c r="N100" s="4">
        <f t="shared" si="29"/>
        <v>7</v>
      </c>
      <c r="O100" s="4">
        <f t="shared" si="30"/>
        <v>18</v>
      </c>
      <c r="P100" s="4">
        <f t="shared" si="31"/>
        <v>2</v>
      </c>
      <c r="Q100" s="4">
        <f t="shared" si="32"/>
        <v>3</v>
      </c>
      <c r="R100" s="4">
        <f t="shared" si="33"/>
        <v>28</v>
      </c>
      <c r="S100" s="4">
        <f t="shared" si="34"/>
        <v>54</v>
      </c>
      <c r="T100" s="4">
        <f t="shared" si="35"/>
        <v>7</v>
      </c>
      <c r="U100" s="4">
        <f t="shared" si="36"/>
        <v>0</v>
      </c>
      <c r="V100" s="8">
        <f t="shared" si="37"/>
        <v>2</v>
      </c>
      <c r="W100" s="8">
        <f t="shared" si="38"/>
        <v>8</v>
      </c>
      <c r="X100">
        <f t="shared" si="39"/>
        <v>1</v>
      </c>
    </row>
    <row r="101" spans="1:24" x14ac:dyDescent="0.25">
      <c r="A101" s="4" t="s">
        <v>127</v>
      </c>
      <c r="B101" t="s">
        <v>13</v>
      </c>
      <c r="C101" t="s">
        <v>6</v>
      </c>
      <c r="D101" s="3">
        <f t="shared" si="20"/>
        <v>90</v>
      </c>
      <c r="E101" s="4">
        <f t="shared" si="21"/>
        <v>1</v>
      </c>
      <c r="F101" s="4">
        <f t="shared" si="22"/>
        <v>4</v>
      </c>
      <c r="G101" s="3">
        <f>IF(E101&gt;=20,2000,1900) + D101</f>
        <v>1990</v>
      </c>
      <c r="H101">
        <f t="shared" si="23"/>
        <v>1</v>
      </c>
      <c r="I101" s="4">
        <f t="shared" si="24"/>
        <v>4</v>
      </c>
      <c r="J101">
        <f t="shared" si="25"/>
        <v>19900104</v>
      </c>
      <c r="K101" t="str">
        <f t="shared" si="26"/>
        <v>04.01.1990</v>
      </c>
      <c r="L101" s="4">
        <f t="shared" si="27"/>
        <v>9</v>
      </c>
      <c r="M101" s="4">
        <f t="shared" si="28"/>
        <v>0</v>
      </c>
      <c r="N101" s="4">
        <f t="shared" si="29"/>
        <v>0</v>
      </c>
      <c r="O101" s="4">
        <f t="shared" si="30"/>
        <v>9</v>
      </c>
      <c r="P101" s="4">
        <f t="shared" si="31"/>
        <v>0</v>
      </c>
      <c r="Q101" s="4">
        <f t="shared" si="32"/>
        <v>12</v>
      </c>
      <c r="R101" s="4">
        <f t="shared" si="33"/>
        <v>63</v>
      </c>
      <c r="S101" s="4">
        <f t="shared" si="34"/>
        <v>45</v>
      </c>
      <c r="T101" s="4">
        <f t="shared" si="35"/>
        <v>5</v>
      </c>
      <c r="U101" s="4">
        <f t="shared" si="36"/>
        <v>6</v>
      </c>
      <c r="V101" s="8">
        <f t="shared" si="37"/>
        <v>9</v>
      </c>
      <c r="W101" s="8">
        <f t="shared" si="38"/>
        <v>1</v>
      </c>
      <c r="X101">
        <f t="shared" si="39"/>
        <v>1</v>
      </c>
    </row>
    <row r="102" spans="1:24" x14ac:dyDescent="0.25">
      <c r="A102" s="4" t="s">
        <v>128</v>
      </c>
      <c r="B102" t="s">
        <v>9</v>
      </c>
      <c r="C102" t="s">
        <v>6</v>
      </c>
      <c r="D102" s="3">
        <f t="shared" si="20"/>
        <v>72</v>
      </c>
      <c r="E102" s="4">
        <f t="shared" si="21"/>
        <v>10</v>
      </c>
      <c r="F102" s="4">
        <f t="shared" si="22"/>
        <v>7</v>
      </c>
      <c r="G102" s="3">
        <f>IF(E102&gt;=20,2000,1900) + D102</f>
        <v>1972</v>
      </c>
      <c r="H102">
        <f t="shared" si="23"/>
        <v>10</v>
      </c>
      <c r="I102" s="4">
        <f t="shared" si="24"/>
        <v>7</v>
      </c>
      <c r="J102">
        <f t="shared" si="25"/>
        <v>19721007</v>
      </c>
      <c r="K102" t="str">
        <f t="shared" si="26"/>
        <v>07.10.1972</v>
      </c>
      <c r="L102" s="4">
        <f t="shared" si="27"/>
        <v>7</v>
      </c>
      <c r="M102" s="4">
        <f t="shared" si="28"/>
        <v>6</v>
      </c>
      <c r="N102" s="4">
        <f t="shared" si="29"/>
        <v>7</v>
      </c>
      <c r="O102" s="4">
        <f t="shared" si="30"/>
        <v>0</v>
      </c>
      <c r="P102" s="4">
        <f t="shared" si="31"/>
        <v>0</v>
      </c>
      <c r="Q102" s="4">
        <f t="shared" si="32"/>
        <v>21</v>
      </c>
      <c r="R102" s="4">
        <f t="shared" si="33"/>
        <v>14</v>
      </c>
      <c r="S102" s="4">
        <f t="shared" si="34"/>
        <v>72</v>
      </c>
      <c r="T102" s="4">
        <f t="shared" si="35"/>
        <v>2</v>
      </c>
      <c r="U102" s="4">
        <f t="shared" si="36"/>
        <v>12</v>
      </c>
      <c r="V102" s="8">
        <f t="shared" si="37"/>
        <v>1</v>
      </c>
      <c r="W102" s="8">
        <f t="shared" si="38"/>
        <v>9</v>
      </c>
      <c r="X102">
        <f t="shared" si="39"/>
        <v>1</v>
      </c>
    </row>
    <row r="103" spans="1:24" x14ac:dyDescent="0.25">
      <c r="A103" s="4" t="s">
        <v>129</v>
      </c>
      <c r="B103" t="s">
        <v>18</v>
      </c>
      <c r="C103" t="s">
        <v>6</v>
      </c>
      <c r="D103" s="3">
        <f t="shared" si="20"/>
        <v>54</v>
      </c>
      <c r="E103" s="4">
        <f t="shared" si="21"/>
        <v>8</v>
      </c>
      <c r="F103" s="4">
        <f t="shared" si="22"/>
        <v>26</v>
      </c>
      <c r="G103" s="3">
        <f>IF(E103&gt;=20,2000,1900) + D103</f>
        <v>1954</v>
      </c>
      <c r="H103">
        <f t="shared" si="23"/>
        <v>8</v>
      </c>
      <c r="I103" s="4">
        <f t="shared" si="24"/>
        <v>26</v>
      </c>
      <c r="J103">
        <f t="shared" si="25"/>
        <v>19540826</v>
      </c>
      <c r="K103" t="str">
        <f t="shared" si="26"/>
        <v>26.08.1954</v>
      </c>
      <c r="L103" s="4">
        <f t="shared" si="27"/>
        <v>5</v>
      </c>
      <c r="M103" s="4">
        <f t="shared" si="28"/>
        <v>12</v>
      </c>
      <c r="N103" s="4">
        <f t="shared" si="29"/>
        <v>0</v>
      </c>
      <c r="O103" s="4">
        <f t="shared" si="30"/>
        <v>72</v>
      </c>
      <c r="P103" s="4">
        <f t="shared" si="31"/>
        <v>2</v>
      </c>
      <c r="Q103" s="4">
        <f t="shared" si="32"/>
        <v>18</v>
      </c>
      <c r="R103" s="4">
        <f t="shared" si="33"/>
        <v>14</v>
      </c>
      <c r="S103" s="4">
        <f t="shared" si="34"/>
        <v>54</v>
      </c>
      <c r="T103" s="4">
        <f t="shared" si="35"/>
        <v>5</v>
      </c>
      <c r="U103" s="4">
        <f t="shared" si="36"/>
        <v>6</v>
      </c>
      <c r="V103" s="8">
        <f t="shared" si="37"/>
        <v>8</v>
      </c>
      <c r="W103" s="8">
        <f t="shared" si="38"/>
        <v>2</v>
      </c>
      <c r="X103">
        <f t="shared" si="39"/>
        <v>1</v>
      </c>
    </row>
    <row r="104" spans="1:24" x14ac:dyDescent="0.25">
      <c r="A104" s="4" t="s">
        <v>130</v>
      </c>
      <c r="B104" t="s">
        <v>8</v>
      </c>
      <c r="C104" t="s">
        <v>4</v>
      </c>
      <c r="D104" s="3">
        <f t="shared" si="20"/>
        <v>60</v>
      </c>
      <c r="E104" s="4">
        <f t="shared" si="21"/>
        <v>8</v>
      </c>
      <c r="F104" s="4">
        <f t="shared" si="22"/>
        <v>26</v>
      </c>
      <c r="G104" s="3">
        <f>IF(E104&gt;=20,2000,1900) + D104</f>
        <v>1960</v>
      </c>
      <c r="H104">
        <f t="shared" si="23"/>
        <v>8</v>
      </c>
      <c r="I104" s="4">
        <f t="shared" si="24"/>
        <v>26</v>
      </c>
      <c r="J104">
        <f t="shared" si="25"/>
        <v>19600826</v>
      </c>
      <c r="K104" t="str">
        <f t="shared" si="26"/>
        <v>26.08.1960</v>
      </c>
      <c r="L104" s="4">
        <f t="shared" si="27"/>
        <v>6</v>
      </c>
      <c r="M104" s="4">
        <f t="shared" si="28"/>
        <v>0</v>
      </c>
      <c r="N104" s="4">
        <f t="shared" si="29"/>
        <v>0</v>
      </c>
      <c r="O104" s="4">
        <f t="shared" si="30"/>
        <v>72</v>
      </c>
      <c r="P104" s="4">
        <f t="shared" si="31"/>
        <v>2</v>
      </c>
      <c r="Q104" s="4">
        <f t="shared" si="32"/>
        <v>18</v>
      </c>
      <c r="R104" s="4">
        <f t="shared" si="33"/>
        <v>21</v>
      </c>
      <c r="S104" s="4">
        <f t="shared" si="34"/>
        <v>27</v>
      </c>
      <c r="T104" s="4">
        <f t="shared" si="35"/>
        <v>4</v>
      </c>
      <c r="U104" s="4">
        <f t="shared" si="36"/>
        <v>12</v>
      </c>
      <c r="V104" s="8">
        <f t="shared" si="37"/>
        <v>2</v>
      </c>
      <c r="W104" s="8">
        <f t="shared" si="38"/>
        <v>8</v>
      </c>
      <c r="X104">
        <f t="shared" si="39"/>
        <v>1</v>
      </c>
    </row>
    <row r="105" spans="1:24" x14ac:dyDescent="0.25">
      <c r="A105" s="4" t="s">
        <v>131</v>
      </c>
      <c r="B105" t="s">
        <v>13</v>
      </c>
      <c r="C105" t="s">
        <v>6</v>
      </c>
      <c r="D105" s="3">
        <f t="shared" si="20"/>
        <v>57</v>
      </c>
      <c r="E105" s="4">
        <f t="shared" si="21"/>
        <v>9</v>
      </c>
      <c r="F105" s="4">
        <f t="shared" si="22"/>
        <v>16</v>
      </c>
      <c r="G105" s="3">
        <f>IF(E105&gt;=20,2000,1900) + D105</f>
        <v>1957</v>
      </c>
      <c r="H105">
        <f t="shared" si="23"/>
        <v>9</v>
      </c>
      <c r="I105" s="4">
        <f t="shared" si="24"/>
        <v>16</v>
      </c>
      <c r="J105">
        <f t="shared" si="25"/>
        <v>19570916</v>
      </c>
      <c r="K105" t="str">
        <f t="shared" si="26"/>
        <v>16.09.1957</v>
      </c>
      <c r="L105" s="4">
        <f t="shared" si="27"/>
        <v>5</v>
      </c>
      <c r="M105" s="4">
        <f t="shared" si="28"/>
        <v>21</v>
      </c>
      <c r="N105" s="4">
        <f t="shared" si="29"/>
        <v>0</v>
      </c>
      <c r="O105" s="4">
        <f t="shared" si="30"/>
        <v>81</v>
      </c>
      <c r="P105" s="4">
        <f t="shared" si="31"/>
        <v>1</v>
      </c>
      <c r="Q105" s="4">
        <f t="shared" si="32"/>
        <v>18</v>
      </c>
      <c r="R105" s="4">
        <f t="shared" si="33"/>
        <v>7</v>
      </c>
      <c r="S105" s="4">
        <f t="shared" si="34"/>
        <v>45</v>
      </c>
      <c r="T105" s="4">
        <f t="shared" si="35"/>
        <v>9</v>
      </c>
      <c r="U105" s="4">
        <f t="shared" si="36"/>
        <v>15</v>
      </c>
      <c r="V105" s="8">
        <f t="shared" si="37"/>
        <v>2</v>
      </c>
      <c r="W105" s="8">
        <f t="shared" si="38"/>
        <v>8</v>
      </c>
      <c r="X105">
        <f t="shared" si="39"/>
        <v>1</v>
      </c>
    </row>
    <row r="106" spans="1:24" x14ac:dyDescent="0.25">
      <c r="A106" s="4" t="s">
        <v>132</v>
      </c>
      <c r="B106" t="s">
        <v>20</v>
      </c>
      <c r="C106" t="s">
        <v>6</v>
      </c>
      <c r="D106" s="3">
        <f t="shared" si="20"/>
        <v>87</v>
      </c>
      <c r="E106" s="4">
        <f t="shared" si="21"/>
        <v>11</v>
      </c>
      <c r="F106" s="4">
        <f t="shared" si="22"/>
        <v>10</v>
      </c>
      <c r="G106" s="3">
        <f>IF(E106&gt;=20,2000,1900) + D106</f>
        <v>1987</v>
      </c>
      <c r="H106">
        <f t="shared" si="23"/>
        <v>11</v>
      </c>
      <c r="I106" s="4">
        <f t="shared" si="24"/>
        <v>10</v>
      </c>
      <c r="J106">
        <f t="shared" si="25"/>
        <v>19871110</v>
      </c>
      <c r="K106" t="str">
        <f t="shared" si="26"/>
        <v>10.11.1987</v>
      </c>
      <c r="L106" s="4">
        <f t="shared" si="27"/>
        <v>8</v>
      </c>
      <c r="M106" s="4">
        <f t="shared" si="28"/>
        <v>21</v>
      </c>
      <c r="N106" s="4">
        <f t="shared" si="29"/>
        <v>7</v>
      </c>
      <c r="O106" s="4">
        <f t="shared" si="30"/>
        <v>9</v>
      </c>
      <c r="P106" s="4">
        <f t="shared" si="31"/>
        <v>1</v>
      </c>
      <c r="Q106" s="4">
        <f t="shared" si="32"/>
        <v>0</v>
      </c>
      <c r="R106" s="4">
        <f t="shared" si="33"/>
        <v>35</v>
      </c>
      <c r="S106" s="4">
        <f t="shared" si="34"/>
        <v>18</v>
      </c>
      <c r="T106" s="4">
        <f t="shared" si="35"/>
        <v>7</v>
      </c>
      <c r="U106" s="4">
        <f t="shared" si="36"/>
        <v>24</v>
      </c>
      <c r="V106" s="8">
        <f t="shared" si="37"/>
        <v>0</v>
      </c>
      <c r="W106" s="8">
        <f t="shared" si="38"/>
        <v>0</v>
      </c>
      <c r="X106">
        <f t="shared" si="39"/>
        <v>1</v>
      </c>
    </row>
    <row r="107" spans="1:24" x14ac:dyDescent="0.25">
      <c r="A107" s="4" t="s">
        <v>133</v>
      </c>
      <c r="B107" t="s">
        <v>11</v>
      </c>
      <c r="C107" t="s">
        <v>6</v>
      </c>
      <c r="D107" s="3">
        <f t="shared" si="20"/>
        <v>50</v>
      </c>
      <c r="E107" s="4">
        <f t="shared" si="21"/>
        <v>4</v>
      </c>
      <c r="F107" s="4">
        <f t="shared" si="22"/>
        <v>7</v>
      </c>
      <c r="G107" s="3">
        <f>IF(E107&gt;=20,2000,1900) + D107</f>
        <v>1950</v>
      </c>
      <c r="H107">
        <f t="shared" si="23"/>
        <v>4</v>
      </c>
      <c r="I107" s="4">
        <f t="shared" si="24"/>
        <v>7</v>
      </c>
      <c r="J107">
        <f t="shared" si="25"/>
        <v>19500407</v>
      </c>
      <c r="K107" t="str">
        <f t="shared" si="26"/>
        <v>07.04.1950</v>
      </c>
      <c r="L107" s="4">
        <f t="shared" si="27"/>
        <v>5</v>
      </c>
      <c r="M107" s="4">
        <f t="shared" si="28"/>
        <v>0</v>
      </c>
      <c r="N107" s="4">
        <f t="shared" si="29"/>
        <v>0</v>
      </c>
      <c r="O107" s="4">
        <f t="shared" si="30"/>
        <v>36</v>
      </c>
      <c r="P107" s="4">
        <f t="shared" si="31"/>
        <v>0</v>
      </c>
      <c r="Q107" s="4">
        <f t="shared" si="32"/>
        <v>21</v>
      </c>
      <c r="R107" s="4">
        <f t="shared" si="33"/>
        <v>28</v>
      </c>
      <c r="S107" s="4">
        <f t="shared" si="34"/>
        <v>0</v>
      </c>
      <c r="T107" s="4">
        <f t="shared" si="35"/>
        <v>6</v>
      </c>
      <c r="U107" s="4">
        <f t="shared" si="36"/>
        <v>27</v>
      </c>
      <c r="V107" s="8">
        <f t="shared" si="37"/>
        <v>3</v>
      </c>
      <c r="W107" s="8">
        <f t="shared" si="38"/>
        <v>7</v>
      </c>
      <c r="X107">
        <f t="shared" si="39"/>
        <v>1</v>
      </c>
    </row>
    <row r="108" spans="1:24" x14ac:dyDescent="0.25">
      <c r="A108" s="4" t="s">
        <v>134</v>
      </c>
      <c r="B108" t="s">
        <v>8</v>
      </c>
      <c r="C108" t="s">
        <v>4</v>
      </c>
      <c r="D108" s="3">
        <f t="shared" si="20"/>
        <v>68</v>
      </c>
      <c r="E108" s="4">
        <f t="shared" si="21"/>
        <v>10</v>
      </c>
      <c r="F108" s="4">
        <f t="shared" si="22"/>
        <v>10</v>
      </c>
      <c r="G108" s="3">
        <f>IF(E108&gt;=20,2000,1900) + D108</f>
        <v>1968</v>
      </c>
      <c r="H108">
        <f t="shared" si="23"/>
        <v>10</v>
      </c>
      <c r="I108" s="4">
        <f t="shared" si="24"/>
        <v>10</v>
      </c>
      <c r="J108">
        <f t="shared" si="25"/>
        <v>19681010</v>
      </c>
      <c r="K108" t="str">
        <f t="shared" si="26"/>
        <v>10.10.1968</v>
      </c>
      <c r="L108" s="4">
        <f t="shared" si="27"/>
        <v>6</v>
      </c>
      <c r="M108" s="4">
        <f t="shared" si="28"/>
        <v>24</v>
      </c>
      <c r="N108" s="4">
        <f t="shared" si="29"/>
        <v>7</v>
      </c>
      <c r="O108" s="4">
        <f t="shared" si="30"/>
        <v>0</v>
      </c>
      <c r="P108" s="4">
        <f t="shared" si="31"/>
        <v>1</v>
      </c>
      <c r="Q108" s="4">
        <f t="shared" si="32"/>
        <v>0</v>
      </c>
      <c r="R108" s="4">
        <f t="shared" si="33"/>
        <v>63</v>
      </c>
      <c r="S108" s="4">
        <f t="shared" si="34"/>
        <v>45</v>
      </c>
      <c r="T108" s="4">
        <f t="shared" si="35"/>
        <v>3</v>
      </c>
      <c r="U108" s="4">
        <f t="shared" si="36"/>
        <v>24</v>
      </c>
      <c r="V108" s="8">
        <f t="shared" si="37"/>
        <v>3</v>
      </c>
      <c r="W108" s="8">
        <f t="shared" si="38"/>
        <v>7</v>
      </c>
      <c r="X108">
        <f t="shared" si="39"/>
        <v>1</v>
      </c>
    </row>
    <row r="109" spans="1:24" x14ac:dyDescent="0.25">
      <c r="A109" s="4" t="s">
        <v>135</v>
      </c>
      <c r="B109" t="s">
        <v>7</v>
      </c>
      <c r="C109" t="s">
        <v>6</v>
      </c>
      <c r="D109" s="3">
        <f t="shared" si="20"/>
        <v>62</v>
      </c>
      <c r="E109" s="4">
        <f t="shared" si="21"/>
        <v>3</v>
      </c>
      <c r="F109" s="4">
        <f t="shared" si="22"/>
        <v>30</v>
      </c>
      <c r="G109" s="3">
        <f>IF(E109&gt;=20,2000,1900) + D109</f>
        <v>1962</v>
      </c>
      <c r="H109">
        <f t="shared" si="23"/>
        <v>3</v>
      </c>
      <c r="I109" s="4">
        <f t="shared" si="24"/>
        <v>30</v>
      </c>
      <c r="J109">
        <f t="shared" si="25"/>
        <v>19620330</v>
      </c>
      <c r="K109" t="str">
        <f t="shared" si="26"/>
        <v>30.03.1962</v>
      </c>
      <c r="L109" s="4">
        <f t="shared" si="27"/>
        <v>6</v>
      </c>
      <c r="M109" s="4">
        <f t="shared" si="28"/>
        <v>6</v>
      </c>
      <c r="N109" s="4">
        <f t="shared" si="29"/>
        <v>0</v>
      </c>
      <c r="O109" s="4">
        <f t="shared" si="30"/>
        <v>27</v>
      </c>
      <c r="P109" s="4">
        <f t="shared" si="31"/>
        <v>3</v>
      </c>
      <c r="Q109" s="4">
        <f t="shared" si="32"/>
        <v>0</v>
      </c>
      <c r="R109" s="4">
        <f t="shared" si="33"/>
        <v>28</v>
      </c>
      <c r="S109" s="4">
        <f t="shared" si="34"/>
        <v>81</v>
      </c>
      <c r="T109" s="4">
        <f t="shared" si="35"/>
        <v>7</v>
      </c>
      <c r="U109" s="4">
        <f t="shared" si="36"/>
        <v>12</v>
      </c>
      <c r="V109" s="8">
        <f t="shared" si="37"/>
        <v>0</v>
      </c>
      <c r="W109" s="8">
        <f t="shared" si="38"/>
        <v>0</v>
      </c>
      <c r="X109">
        <f t="shared" si="39"/>
        <v>1</v>
      </c>
    </row>
    <row r="110" spans="1:24" x14ac:dyDescent="0.25">
      <c r="A110" s="4" t="s">
        <v>136</v>
      </c>
      <c r="B110" t="s">
        <v>20</v>
      </c>
      <c r="C110" t="s">
        <v>6</v>
      </c>
      <c r="D110" s="3">
        <f t="shared" si="20"/>
        <v>79</v>
      </c>
      <c r="E110" s="4">
        <f t="shared" si="21"/>
        <v>7</v>
      </c>
      <c r="F110" s="4">
        <f t="shared" si="22"/>
        <v>27</v>
      </c>
      <c r="G110" s="3">
        <f>IF(E110&gt;=20,2000,1900) + D110</f>
        <v>1979</v>
      </c>
      <c r="H110">
        <f t="shared" si="23"/>
        <v>7</v>
      </c>
      <c r="I110" s="4">
        <f t="shared" si="24"/>
        <v>27</v>
      </c>
      <c r="J110">
        <f t="shared" si="25"/>
        <v>19790727</v>
      </c>
      <c r="K110" t="str">
        <f t="shared" si="26"/>
        <v>27.07.1979</v>
      </c>
      <c r="L110" s="4">
        <f t="shared" si="27"/>
        <v>7</v>
      </c>
      <c r="M110" s="4">
        <f t="shared" si="28"/>
        <v>27</v>
      </c>
      <c r="N110" s="4">
        <f t="shared" si="29"/>
        <v>0</v>
      </c>
      <c r="O110" s="4">
        <f t="shared" si="30"/>
        <v>63</v>
      </c>
      <c r="P110" s="4">
        <f t="shared" si="31"/>
        <v>2</v>
      </c>
      <c r="Q110" s="4">
        <f t="shared" si="32"/>
        <v>21</v>
      </c>
      <c r="R110" s="4">
        <f t="shared" si="33"/>
        <v>56</v>
      </c>
      <c r="S110" s="4">
        <f t="shared" si="34"/>
        <v>0</v>
      </c>
      <c r="T110" s="4">
        <f t="shared" si="35"/>
        <v>9</v>
      </c>
      <c r="U110" s="4">
        <f t="shared" si="36"/>
        <v>6</v>
      </c>
      <c r="V110" s="8">
        <f t="shared" si="37"/>
        <v>1</v>
      </c>
      <c r="W110" s="8">
        <f t="shared" si="38"/>
        <v>9</v>
      </c>
      <c r="X110">
        <f t="shared" si="39"/>
        <v>1</v>
      </c>
    </row>
    <row r="111" spans="1:24" x14ac:dyDescent="0.25">
      <c r="A111" s="4" t="s">
        <v>137</v>
      </c>
      <c r="B111" t="s">
        <v>15</v>
      </c>
      <c r="C111" t="s">
        <v>6</v>
      </c>
      <c r="D111" s="3">
        <f t="shared" si="20"/>
        <v>94</v>
      </c>
      <c r="E111" s="4">
        <f t="shared" si="21"/>
        <v>5</v>
      </c>
      <c r="F111" s="4">
        <f t="shared" si="22"/>
        <v>10</v>
      </c>
      <c r="G111" s="3">
        <f>IF(E111&gt;=20,2000,1900) + D111</f>
        <v>1994</v>
      </c>
      <c r="H111">
        <f t="shared" si="23"/>
        <v>5</v>
      </c>
      <c r="I111" s="4">
        <f t="shared" si="24"/>
        <v>10</v>
      </c>
      <c r="J111">
        <f t="shared" si="25"/>
        <v>19940510</v>
      </c>
      <c r="K111" t="str">
        <f t="shared" si="26"/>
        <v>10.05.1994</v>
      </c>
      <c r="L111" s="4">
        <f t="shared" si="27"/>
        <v>9</v>
      </c>
      <c r="M111" s="4">
        <f t="shared" si="28"/>
        <v>12</v>
      </c>
      <c r="N111" s="4">
        <f t="shared" si="29"/>
        <v>0</v>
      </c>
      <c r="O111" s="4">
        <f t="shared" si="30"/>
        <v>45</v>
      </c>
      <c r="P111" s="4">
        <f t="shared" si="31"/>
        <v>1</v>
      </c>
      <c r="Q111" s="4">
        <f t="shared" si="32"/>
        <v>0</v>
      </c>
      <c r="R111" s="4">
        <f t="shared" si="33"/>
        <v>7</v>
      </c>
      <c r="S111" s="4">
        <f t="shared" si="34"/>
        <v>63</v>
      </c>
      <c r="T111" s="4">
        <f t="shared" si="35"/>
        <v>8</v>
      </c>
      <c r="U111" s="4">
        <f t="shared" si="36"/>
        <v>12</v>
      </c>
      <c r="V111" s="8">
        <f t="shared" si="37"/>
        <v>7</v>
      </c>
      <c r="W111" s="8">
        <f t="shared" si="38"/>
        <v>3</v>
      </c>
      <c r="X111">
        <f t="shared" si="39"/>
        <v>1</v>
      </c>
    </row>
    <row r="112" spans="1:24" x14ac:dyDescent="0.25">
      <c r="A112" s="4" t="s">
        <v>138</v>
      </c>
      <c r="B112" t="s">
        <v>17</v>
      </c>
      <c r="C112" t="s">
        <v>6</v>
      </c>
      <c r="D112" s="3">
        <f t="shared" si="20"/>
        <v>98</v>
      </c>
      <c r="E112" s="4">
        <f t="shared" si="21"/>
        <v>1</v>
      </c>
      <c r="F112" s="4">
        <f t="shared" si="22"/>
        <v>5</v>
      </c>
      <c r="G112" s="3">
        <f>IF(E112&gt;=20,2000,1900) + D112</f>
        <v>1998</v>
      </c>
      <c r="H112">
        <f t="shared" si="23"/>
        <v>1</v>
      </c>
      <c r="I112" s="4">
        <f t="shared" si="24"/>
        <v>5</v>
      </c>
      <c r="J112">
        <f t="shared" si="25"/>
        <v>19980105</v>
      </c>
      <c r="K112" t="str">
        <f t="shared" si="26"/>
        <v>05.01.1998</v>
      </c>
      <c r="L112" s="4">
        <f t="shared" si="27"/>
        <v>9</v>
      </c>
      <c r="M112" s="4">
        <f t="shared" si="28"/>
        <v>24</v>
      </c>
      <c r="N112" s="4">
        <f t="shared" si="29"/>
        <v>0</v>
      </c>
      <c r="O112" s="4">
        <f t="shared" si="30"/>
        <v>9</v>
      </c>
      <c r="P112" s="4">
        <f t="shared" si="31"/>
        <v>0</v>
      </c>
      <c r="Q112" s="4">
        <f t="shared" si="32"/>
        <v>15</v>
      </c>
      <c r="R112" s="4">
        <f t="shared" si="33"/>
        <v>35</v>
      </c>
      <c r="S112" s="4">
        <f t="shared" si="34"/>
        <v>27</v>
      </c>
      <c r="T112" s="4">
        <f t="shared" si="35"/>
        <v>6</v>
      </c>
      <c r="U112" s="4">
        <f t="shared" si="36"/>
        <v>18</v>
      </c>
      <c r="V112" s="8">
        <f t="shared" si="37"/>
        <v>3</v>
      </c>
      <c r="W112" s="8">
        <f t="shared" si="38"/>
        <v>7</v>
      </c>
      <c r="X112">
        <f t="shared" si="39"/>
        <v>1</v>
      </c>
    </row>
    <row r="113" spans="1:24" x14ac:dyDescent="0.25">
      <c r="A113" s="4" t="s">
        <v>139</v>
      </c>
      <c r="B113" t="s">
        <v>7</v>
      </c>
      <c r="C113" t="s">
        <v>4</v>
      </c>
      <c r="D113" s="3">
        <f t="shared" si="20"/>
        <v>98</v>
      </c>
      <c r="E113" s="4">
        <f t="shared" si="21"/>
        <v>5</v>
      </c>
      <c r="F113" s="4">
        <f t="shared" si="22"/>
        <v>24</v>
      </c>
      <c r="G113" s="3">
        <f>IF(E113&gt;=20,2000,1900) + D113</f>
        <v>1998</v>
      </c>
      <c r="H113">
        <f t="shared" si="23"/>
        <v>5</v>
      </c>
      <c r="I113" s="4">
        <f t="shared" si="24"/>
        <v>24</v>
      </c>
      <c r="J113">
        <f t="shared" si="25"/>
        <v>19980524</v>
      </c>
      <c r="K113" t="str">
        <f t="shared" si="26"/>
        <v>24.05.1998</v>
      </c>
      <c r="L113" s="4">
        <f t="shared" si="27"/>
        <v>9</v>
      </c>
      <c r="M113" s="4">
        <f t="shared" si="28"/>
        <v>24</v>
      </c>
      <c r="N113" s="4">
        <f t="shared" si="29"/>
        <v>0</v>
      </c>
      <c r="O113" s="4">
        <f t="shared" si="30"/>
        <v>45</v>
      </c>
      <c r="P113" s="4">
        <f t="shared" si="31"/>
        <v>2</v>
      </c>
      <c r="Q113" s="4">
        <f t="shared" si="32"/>
        <v>12</v>
      </c>
      <c r="R113" s="4">
        <f t="shared" si="33"/>
        <v>0</v>
      </c>
      <c r="S113" s="4">
        <f t="shared" si="34"/>
        <v>9</v>
      </c>
      <c r="T113" s="4">
        <f t="shared" si="35"/>
        <v>3</v>
      </c>
      <c r="U113" s="4">
        <f t="shared" si="36"/>
        <v>21</v>
      </c>
      <c r="V113" s="8">
        <f t="shared" si="37"/>
        <v>5</v>
      </c>
      <c r="W113" s="8">
        <f t="shared" si="38"/>
        <v>5</v>
      </c>
      <c r="X113">
        <f t="shared" si="39"/>
        <v>1</v>
      </c>
    </row>
    <row r="114" spans="1:24" x14ac:dyDescent="0.25">
      <c r="A114" s="4" t="s">
        <v>140</v>
      </c>
      <c r="B114" t="s">
        <v>15</v>
      </c>
      <c r="C114" t="s">
        <v>4</v>
      </c>
      <c r="D114" s="3">
        <f t="shared" si="20"/>
        <v>86</v>
      </c>
      <c r="E114" s="4">
        <f t="shared" si="21"/>
        <v>7</v>
      </c>
      <c r="F114" s="4">
        <f t="shared" si="22"/>
        <v>29</v>
      </c>
      <c r="G114" s="3">
        <f>IF(E114&gt;=20,2000,1900) + D114</f>
        <v>1986</v>
      </c>
      <c r="H114">
        <f t="shared" si="23"/>
        <v>7</v>
      </c>
      <c r="I114" s="4">
        <f t="shared" si="24"/>
        <v>29</v>
      </c>
      <c r="J114">
        <f t="shared" si="25"/>
        <v>19860729</v>
      </c>
      <c r="K114" t="str">
        <f t="shared" si="26"/>
        <v>29.07.1986</v>
      </c>
      <c r="L114" s="4">
        <f t="shared" si="27"/>
        <v>8</v>
      </c>
      <c r="M114" s="4">
        <f t="shared" si="28"/>
        <v>18</v>
      </c>
      <c r="N114" s="4">
        <f t="shared" si="29"/>
        <v>0</v>
      </c>
      <c r="O114" s="4">
        <f t="shared" si="30"/>
        <v>63</v>
      </c>
      <c r="P114" s="4">
        <f t="shared" si="31"/>
        <v>2</v>
      </c>
      <c r="Q114" s="4">
        <f t="shared" si="32"/>
        <v>27</v>
      </c>
      <c r="R114" s="4">
        <f t="shared" si="33"/>
        <v>63</v>
      </c>
      <c r="S114" s="4">
        <f t="shared" si="34"/>
        <v>81</v>
      </c>
      <c r="T114" s="4">
        <f t="shared" si="35"/>
        <v>4</v>
      </c>
      <c r="U114" s="4">
        <f t="shared" si="36"/>
        <v>6</v>
      </c>
      <c r="V114" s="8">
        <f t="shared" si="37"/>
        <v>2</v>
      </c>
      <c r="W114" s="8">
        <f t="shared" si="38"/>
        <v>8</v>
      </c>
      <c r="X114">
        <f t="shared" si="39"/>
        <v>1</v>
      </c>
    </row>
    <row r="115" spans="1:24" x14ac:dyDescent="0.25">
      <c r="A115" s="4" t="s">
        <v>141</v>
      </c>
      <c r="B115" t="s">
        <v>11</v>
      </c>
      <c r="C115" t="s">
        <v>4</v>
      </c>
      <c r="D115" s="3">
        <f t="shared" si="20"/>
        <v>76</v>
      </c>
      <c r="E115" s="4">
        <f t="shared" si="21"/>
        <v>6</v>
      </c>
      <c r="F115" s="4">
        <f t="shared" si="22"/>
        <v>16</v>
      </c>
      <c r="G115" s="3">
        <f>IF(E115&gt;=20,2000,1900) + D115</f>
        <v>1976</v>
      </c>
      <c r="H115">
        <f t="shared" si="23"/>
        <v>6</v>
      </c>
      <c r="I115" s="4">
        <f t="shared" si="24"/>
        <v>16</v>
      </c>
      <c r="J115">
        <f t="shared" si="25"/>
        <v>19760616</v>
      </c>
      <c r="K115" t="str">
        <f t="shared" si="26"/>
        <v>16.06.1976</v>
      </c>
      <c r="L115" s="4">
        <f t="shared" si="27"/>
        <v>7</v>
      </c>
      <c r="M115" s="4">
        <f t="shared" si="28"/>
        <v>18</v>
      </c>
      <c r="N115" s="4">
        <f t="shared" si="29"/>
        <v>0</v>
      </c>
      <c r="O115" s="4">
        <f t="shared" si="30"/>
        <v>54</v>
      </c>
      <c r="P115" s="4">
        <f t="shared" si="31"/>
        <v>1</v>
      </c>
      <c r="Q115" s="4">
        <f t="shared" si="32"/>
        <v>18</v>
      </c>
      <c r="R115" s="4">
        <f t="shared" si="33"/>
        <v>0</v>
      </c>
      <c r="S115" s="4">
        <f t="shared" si="34"/>
        <v>9</v>
      </c>
      <c r="T115" s="4">
        <f t="shared" si="35"/>
        <v>5</v>
      </c>
      <c r="U115" s="4">
        <f t="shared" si="36"/>
        <v>15</v>
      </c>
      <c r="V115" s="8">
        <f t="shared" si="37"/>
        <v>7</v>
      </c>
      <c r="W115" s="8">
        <f t="shared" si="38"/>
        <v>3</v>
      </c>
      <c r="X115">
        <f t="shared" si="39"/>
        <v>1</v>
      </c>
    </row>
    <row r="116" spans="1:24" x14ac:dyDescent="0.25">
      <c r="A116" s="4" t="s">
        <v>142</v>
      </c>
      <c r="B116" t="s">
        <v>3</v>
      </c>
      <c r="C116" t="s">
        <v>4</v>
      </c>
      <c r="D116" s="3">
        <f t="shared" si="20"/>
        <v>69</v>
      </c>
      <c r="E116" s="4">
        <f t="shared" si="21"/>
        <v>1</v>
      </c>
      <c r="F116" s="4">
        <f t="shared" si="22"/>
        <v>17</v>
      </c>
      <c r="G116" s="3">
        <f>IF(E116&gt;=20,2000,1900) + D116</f>
        <v>1969</v>
      </c>
      <c r="H116">
        <f t="shared" si="23"/>
        <v>1</v>
      </c>
      <c r="I116" s="4">
        <f t="shared" si="24"/>
        <v>17</v>
      </c>
      <c r="J116">
        <f t="shared" si="25"/>
        <v>19690117</v>
      </c>
      <c r="K116" t="str">
        <f t="shared" si="26"/>
        <v>17.01.1969</v>
      </c>
      <c r="L116" s="4">
        <f t="shared" si="27"/>
        <v>6</v>
      </c>
      <c r="M116" s="4">
        <f t="shared" si="28"/>
        <v>27</v>
      </c>
      <c r="N116" s="4">
        <f t="shared" si="29"/>
        <v>0</v>
      </c>
      <c r="O116" s="4">
        <f t="shared" si="30"/>
        <v>9</v>
      </c>
      <c r="P116" s="4">
        <f t="shared" si="31"/>
        <v>1</v>
      </c>
      <c r="Q116" s="4">
        <f t="shared" si="32"/>
        <v>21</v>
      </c>
      <c r="R116" s="4">
        <f t="shared" si="33"/>
        <v>28</v>
      </c>
      <c r="S116" s="4">
        <f t="shared" si="34"/>
        <v>72</v>
      </c>
      <c r="T116" s="4">
        <f t="shared" si="35"/>
        <v>3</v>
      </c>
      <c r="U116" s="4">
        <f t="shared" si="36"/>
        <v>24</v>
      </c>
      <c r="V116" s="8">
        <f t="shared" si="37"/>
        <v>1</v>
      </c>
      <c r="W116" s="8">
        <f t="shared" si="38"/>
        <v>9</v>
      </c>
      <c r="X116">
        <f t="shared" si="39"/>
        <v>1</v>
      </c>
    </row>
    <row r="117" spans="1:24" x14ac:dyDescent="0.25">
      <c r="A117" s="4" t="s">
        <v>143</v>
      </c>
      <c r="B117" t="s">
        <v>9</v>
      </c>
      <c r="C117" t="s">
        <v>4</v>
      </c>
      <c r="D117" s="3">
        <f t="shared" si="20"/>
        <v>72</v>
      </c>
      <c r="E117" s="4">
        <f t="shared" si="21"/>
        <v>5</v>
      </c>
      <c r="F117" s="4">
        <f t="shared" si="22"/>
        <v>31</v>
      </c>
      <c r="G117" s="3">
        <f>IF(E117&gt;=20,2000,1900) + D117</f>
        <v>1972</v>
      </c>
      <c r="H117">
        <f t="shared" si="23"/>
        <v>5</v>
      </c>
      <c r="I117" s="4">
        <f t="shared" si="24"/>
        <v>31</v>
      </c>
      <c r="J117">
        <f t="shared" si="25"/>
        <v>19720531</v>
      </c>
      <c r="K117" t="str">
        <f t="shared" si="26"/>
        <v>31.05.1972</v>
      </c>
      <c r="L117" s="4">
        <f t="shared" si="27"/>
        <v>7</v>
      </c>
      <c r="M117" s="4">
        <f t="shared" si="28"/>
        <v>6</v>
      </c>
      <c r="N117" s="4">
        <f t="shared" si="29"/>
        <v>0</v>
      </c>
      <c r="O117" s="4">
        <f t="shared" si="30"/>
        <v>45</v>
      </c>
      <c r="P117" s="4">
        <f t="shared" si="31"/>
        <v>3</v>
      </c>
      <c r="Q117" s="4">
        <f t="shared" si="32"/>
        <v>3</v>
      </c>
      <c r="R117" s="4">
        <f t="shared" si="33"/>
        <v>63</v>
      </c>
      <c r="S117" s="4">
        <f t="shared" si="34"/>
        <v>72</v>
      </c>
      <c r="T117" s="4">
        <f t="shared" si="35"/>
        <v>3</v>
      </c>
      <c r="U117" s="4">
        <f t="shared" si="36"/>
        <v>9</v>
      </c>
      <c r="V117" s="8">
        <f t="shared" si="37"/>
        <v>1</v>
      </c>
      <c r="W117" s="8">
        <f t="shared" si="38"/>
        <v>9</v>
      </c>
      <c r="X117">
        <f t="shared" si="39"/>
        <v>1</v>
      </c>
    </row>
    <row r="118" spans="1:24" x14ac:dyDescent="0.25">
      <c r="A118" s="4" t="s">
        <v>144</v>
      </c>
      <c r="B118" t="s">
        <v>10</v>
      </c>
      <c r="C118" t="s">
        <v>6</v>
      </c>
      <c r="D118" s="3">
        <f t="shared" si="20"/>
        <v>92</v>
      </c>
      <c r="E118" s="4">
        <f t="shared" si="21"/>
        <v>11</v>
      </c>
      <c r="F118" s="4">
        <f t="shared" si="22"/>
        <v>11</v>
      </c>
      <c r="G118" s="3">
        <f>IF(E118&gt;=20,2000,1900) + D118</f>
        <v>1992</v>
      </c>
      <c r="H118">
        <f t="shared" si="23"/>
        <v>11</v>
      </c>
      <c r="I118" s="4">
        <f t="shared" si="24"/>
        <v>11</v>
      </c>
      <c r="J118">
        <f t="shared" si="25"/>
        <v>19921111</v>
      </c>
      <c r="K118" t="str">
        <f t="shared" si="26"/>
        <v>11.11.1992</v>
      </c>
      <c r="L118" s="4">
        <f t="shared" si="27"/>
        <v>9</v>
      </c>
      <c r="M118" s="4">
        <f t="shared" si="28"/>
        <v>6</v>
      </c>
      <c r="N118" s="4">
        <f t="shared" si="29"/>
        <v>7</v>
      </c>
      <c r="O118" s="4">
        <f t="shared" si="30"/>
        <v>9</v>
      </c>
      <c r="P118" s="4">
        <f t="shared" si="31"/>
        <v>1</v>
      </c>
      <c r="Q118" s="4">
        <f t="shared" si="32"/>
        <v>3</v>
      </c>
      <c r="R118" s="4">
        <f t="shared" si="33"/>
        <v>14</v>
      </c>
      <c r="S118" s="4">
        <f t="shared" si="34"/>
        <v>54</v>
      </c>
      <c r="T118" s="4">
        <f t="shared" si="35"/>
        <v>9</v>
      </c>
      <c r="U118" s="4">
        <f t="shared" si="36"/>
        <v>9</v>
      </c>
      <c r="V118" s="8">
        <f t="shared" si="37"/>
        <v>1</v>
      </c>
      <c r="W118" s="8">
        <f t="shared" si="38"/>
        <v>9</v>
      </c>
      <c r="X118">
        <f t="shared" si="39"/>
        <v>1</v>
      </c>
    </row>
    <row r="119" spans="1:24" x14ac:dyDescent="0.25">
      <c r="A119" s="4" t="s">
        <v>145</v>
      </c>
      <c r="B119" t="s">
        <v>5</v>
      </c>
      <c r="C119" t="s">
        <v>6</v>
      </c>
      <c r="D119" s="3">
        <f t="shared" si="20"/>
        <v>56</v>
      </c>
      <c r="E119" s="4">
        <f t="shared" si="21"/>
        <v>12</v>
      </c>
      <c r="F119" s="4">
        <f t="shared" si="22"/>
        <v>26</v>
      </c>
      <c r="G119" s="3">
        <f>IF(E119&gt;=20,2000,1900) + D119</f>
        <v>1956</v>
      </c>
      <c r="H119">
        <f t="shared" si="23"/>
        <v>12</v>
      </c>
      <c r="I119" s="4">
        <f t="shared" si="24"/>
        <v>26</v>
      </c>
      <c r="J119">
        <f t="shared" si="25"/>
        <v>19561226</v>
      </c>
      <c r="K119" t="str">
        <f t="shared" si="26"/>
        <v>26.12.1956</v>
      </c>
      <c r="L119" s="4">
        <f t="shared" si="27"/>
        <v>5</v>
      </c>
      <c r="M119" s="4">
        <f t="shared" si="28"/>
        <v>18</v>
      </c>
      <c r="N119" s="4">
        <f t="shared" si="29"/>
        <v>7</v>
      </c>
      <c r="O119" s="4">
        <f t="shared" si="30"/>
        <v>18</v>
      </c>
      <c r="P119" s="4">
        <f t="shared" si="31"/>
        <v>2</v>
      </c>
      <c r="Q119" s="4">
        <f t="shared" si="32"/>
        <v>18</v>
      </c>
      <c r="R119" s="4">
        <f t="shared" si="33"/>
        <v>0</v>
      </c>
      <c r="S119" s="4">
        <f t="shared" si="34"/>
        <v>81</v>
      </c>
      <c r="T119" s="4">
        <f t="shared" si="35"/>
        <v>5</v>
      </c>
      <c r="U119" s="4">
        <f t="shared" si="36"/>
        <v>12</v>
      </c>
      <c r="V119" s="8">
        <f t="shared" si="37"/>
        <v>6</v>
      </c>
      <c r="W119" s="8">
        <f t="shared" si="38"/>
        <v>4</v>
      </c>
      <c r="X119">
        <f t="shared" si="39"/>
        <v>1</v>
      </c>
    </row>
    <row r="120" spans="1:24" x14ac:dyDescent="0.25">
      <c r="A120" s="4" t="s">
        <v>146</v>
      </c>
      <c r="B120" t="s">
        <v>18</v>
      </c>
      <c r="C120" t="s">
        <v>6</v>
      </c>
      <c r="D120" s="3">
        <f t="shared" si="20"/>
        <v>78</v>
      </c>
      <c r="E120" s="4">
        <f t="shared" si="21"/>
        <v>2</v>
      </c>
      <c r="F120" s="4">
        <f t="shared" si="22"/>
        <v>21</v>
      </c>
      <c r="G120" s="3">
        <f>IF(E120&gt;=20,2000,1900) + D120</f>
        <v>1978</v>
      </c>
      <c r="H120">
        <f t="shared" si="23"/>
        <v>2</v>
      </c>
      <c r="I120" s="4">
        <f t="shared" si="24"/>
        <v>21</v>
      </c>
      <c r="J120">
        <f t="shared" si="25"/>
        <v>19780221</v>
      </c>
      <c r="K120" t="str">
        <f t="shared" si="26"/>
        <v>21.02.1978</v>
      </c>
      <c r="L120" s="4">
        <f t="shared" si="27"/>
        <v>7</v>
      </c>
      <c r="M120" s="4">
        <f t="shared" si="28"/>
        <v>24</v>
      </c>
      <c r="N120" s="4">
        <f t="shared" si="29"/>
        <v>0</v>
      </c>
      <c r="O120" s="4">
        <f t="shared" si="30"/>
        <v>18</v>
      </c>
      <c r="P120" s="4">
        <f t="shared" si="31"/>
        <v>2</v>
      </c>
      <c r="Q120" s="4">
        <f t="shared" si="32"/>
        <v>3</v>
      </c>
      <c r="R120" s="4">
        <f t="shared" si="33"/>
        <v>14</v>
      </c>
      <c r="S120" s="4">
        <f t="shared" si="34"/>
        <v>0</v>
      </c>
      <c r="T120" s="4">
        <f t="shared" si="35"/>
        <v>5</v>
      </c>
      <c r="U120" s="4">
        <f t="shared" si="36"/>
        <v>0</v>
      </c>
      <c r="V120" s="8">
        <f t="shared" si="37"/>
        <v>3</v>
      </c>
      <c r="W120" s="8">
        <f t="shared" si="38"/>
        <v>7</v>
      </c>
      <c r="X120">
        <f t="shared" si="39"/>
        <v>1</v>
      </c>
    </row>
    <row r="121" spans="1:24" x14ac:dyDescent="0.25">
      <c r="A121" s="4" t="s">
        <v>147</v>
      </c>
      <c r="B121" t="s">
        <v>16</v>
      </c>
      <c r="C121" t="s">
        <v>4</v>
      </c>
      <c r="D121" s="3">
        <f t="shared" si="20"/>
        <v>93</v>
      </c>
      <c r="E121" s="4">
        <f t="shared" si="21"/>
        <v>6</v>
      </c>
      <c r="F121" s="4">
        <f t="shared" si="22"/>
        <v>23</v>
      </c>
      <c r="G121" s="3">
        <f>IF(E121&gt;=20,2000,1900) + D121</f>
        <v>1993</v>
      </c>
      <c r="H121">
        <f t="shared" si="23"/>
        <v>6</v>
      </c>
      <c r="I121" s="4">
        <f t="shared" si="24"/>
        <v>23</v>
      </c>
      <c r="J121">
        <f t="shared" si="25"/>
        <v>19930623</v>
      </c>
      <c r="K121" t="str">
        <f t="shared" si="26"/>
        <v>23.06.1993</v>
      </c>
      <c r="L121" s="4">
        <f t="shared" si="27"/>
        <v>9</v>
      </c>
      <c r="M121" s="4">
        <f t="shared" si="28"/>
        <v>9</v>
      </c>
      <c r="N121" s="4">
        <f t="shared" si="29"/>
        <v>0</v>
      </c>
      <c r="O121" s="4">
        <f t="shared" si="30"/>
        <v>54</v>
      </c>
      <c r="P121" s="4">
        <f t="shared" si="31"/>
        <v>2</v>
      </c>
      <c r="Q121" s="4">
        <f t="shared" si="32"/>
        <v>9</v>
      </c>
      <c r="R121" s="4">
        <f t="shared" si="33"/>
        <v>7</v>
      </c>
      <c r="S121" s="4">
        <f t="shared" si="34"/>
        <v>72</v>
      </c>
      <c r="T121" s="4">
        <f t="shared" si="35"/>
        <v>8</v>
      </c>
      <c r="U121" s="4">
        <f t="shared" si="36"/>
        <v>6</v>
      </c>
      <c r="V121" s="8">
        <f t="shared" si="37"/>
        <v>6</v>
      </c>
      <c r="W121" s="8">
        <f t="shared" si="38"/>
        <v>4</v>
      </c>
      <c r="X121">
        <f t="shared" si="39"/>
        <v>1</v>
      </c>
    </row>
    <row r="122" spans="1:24" x14ac:dyDescent="0.25">
      <c r="A122" s="4" t="s">
        <v>148</v>
      </c>
      <c r="B122" t="s">
        <v>13</v>
      </c>
      <c r="C122" t="s">
        <v>4</v>
      </c>
      <c r="D122" s="3">
        <f t="shared" si="20"/>
        <v>68</v>
      </c>
      <c r="E122" s="4">
        <f t="shared" si="21"/>
        <v>11</v>
      </c>
      <c r="F122" s="4">
        <f t="shared" si="22"/>
        <v>12</v>
      </c>
      <c r="G122" s="3">
        <f>IF(E122&gt;=20,2000,1900) + D122</f>
        <v>1968</v>
      </c>
      <c r="H122">
        <f t="shared" si="23"/>
        <v>11</v>
      </c>
      <c r="I122" s="4">
        <f t="shared" si="24"/>
        <v>12</v>
      </c>
      <c r="J122">
        <f t="shared" si="25"/>
        <v>19681112</v>
      </c>
      <c r="K122" t="str">
        <f t="shared" si="26"/>
        <v>12.11.1968</v>
      </c>
      <c r="L122" s="4">
        <f t="shared" si="27"/>
        <v>6</v>
      </c>
      <c r="M122" s="4">
        <f t="shared" si="28"/>
        <v>24</v>
      </c>
      <c r="N122" s="4">
        <f t="shared" si="29"/>
        <v>7</v>
      </c>
      <c r="O122" s="4">
        <f t="shared" si="30"/>
        <v>9</v>
      </c>
      <c r="P122" s="4">
        <f t="shared" si="31"/>
        <v>1</v>
      </c>
      <c r="Q122" s="4">
        <f t="shared" si="32"/>
        <v>6</v>
      </c>
      <c r="R122" s="4">
        <f t="shared" si="33"/>
        <v>0</v>
      </c>
      <c r="S122" s="4">
        <f t="shared" si="34"/>
        <v>9</v>
      </c>
      <c r="T122" s="4">
        <f t="shared" si="35"/>
        <v>5</v>
      </c>
      <c r="U122" s="4">
        <f t="shared" si="36"/>
        <v>6</v>
      </c>
      <c r="V122" s="8">
        <f t="shared" si="37"/>
        <v>3</v>
      </c>
      <c r="W122" s="8">
        <f t="shared" si="38"/>
        <v>7</v>
      </c>
      <c r="X122">
        <f t="shared" si="39"/>
        <v>1</v>
      </c>
    </row>
    <row r="123" spans="1:24" x14ac:dyDescent="0.25">
      <c r="A123" s="4" t="s">
        <v>149</v>
      </c>
      <c r="B123" t="s">
        <v>8</v>
      </c>
      <c r="C123" t="s">
        <v>6</v>
      </c>
      <c r="D123" s="3">
        <f t="shared" si="20"/>
        <v>78</v>
      </c>
      <c r="E123" s="4">
        <f t="shared" si="21"/>
        <v>7</v>
      </c>
      <c r="F123" s="4">
        <f t="shared" si="22"/>
        <v>14</v>
      </c>
      <c r="G123" s="3">
        <f>IF(E123&gt;=20,2000,1900) + D123</f>
        <v>1978</v>
      </c>
      <c r="H123">
        <f t="shared" si="23"/>
        <v>7</v>
      </c>
      <c r="I123" s="4">
        <f t="shared" si="24"/>
        <v>14</v>
      </c>
      <c r="J123">
        <f t="shared" si="25"/>
        <v>19780714</v>
      </c>
      <c r="K123" t="str">
        <f t="shared" si="26"/>
        <v>14.07.1978</v>
      </c>
      <c r="L123" s="4">
        <f t="shared" si="27"/>
        <v>7</v>
      </c>
      <c r="M123" s="4">
        <f t="shared" si="28"/>
        <v>24</v>
      </c>
      <c r="N123" s="4">
        <f t="shared" si="29"/>
        <v>0</v>
      </c>
      <c r="O123" s="4">
        <f t="shared" si="30"/>
        <v>63</v>
      </c>
      <c r="P123" s="4">
        <f t="shared" si="31"/>
        <v>1</v>
      </c>
      <c r="Q123" s="4">
        <f t="shared" si="32"/>
        <v>12</v>
      </c>
      <c r="R123" s="4">
        <f t="shared" si="33"/>
        <v>56</v>
      </c>
      <c r="S123" s="4">
        <f t="shared" si="34"/>
        <v>0</v>
      </c>
      <c r="T123" s="4">
        <f t="shared" si="35"/>
        <v>4</v>
      </c>
      <c r="U123" s="4">
        <f t="shared" si="36"/>
        <v>24</v>
      </c>
      <c r="V123" s="8">
        <f t="shared" si="37"/>
        <v>1</v>
      </c>
      <c r="W123" s="8">
        <f t="shared" si="38"/>
        <v>9</v>
      </c>
      <c r="X123">
        <f t="shared" si="39"/>
        <v>1</v>
      </c>
    </row>
    <row r="124" spans="1:24" x14ac:dyDescent="0.25">
      <c r="A124" s="4" t="s">
        <v>150</v>
      </c>
      <c r="B124" t="s">
        <v>16</v>
      </c>
      <c r="C124" t="s">
        <v>4</v>
      </c>
      <c r="D124" s="3">
        <f t="shared" si="20"/>
        <v>76</v>
      </c>
      <c r="E124" s="4">
        <f t="shared" si="21"/>
        <v>5</v>
      </c>
      <c r="F124" s="4">
        <f t="shared" si="22"/>
        <v>19</v>
      </c>
      <c r="G124" s="3">
        <f>IF(E124&gt;=20,2000,1900) + D124</f>
        <v>1976</v>
      </c>
      <c r="H124">
        <f t="shared" si="23"/>
        <v>5</v>
      </c>
      <c r="I124" s="4">
        <f t="shared" si="24"/>
        <v>19</v>
      </c>
      <c r="J124">
        <f t="shared" si="25"/>
        <v>19760519</v>
      </c>
      <c r="K124" t="str">
        <f t="shared" si="26"/>
        <v>19.05.1976</v>
      </c>
      <c r="L124" s="4">
        <f t="shared" si="27"/>
        <v>7</v>
      </c>
      <c r="M124" s="4">
        <f t="shared" si="28"/>
        <v>18</v>
      </c>
      <c r="N124" s="4">
        <f t="shared" si="29"/>
        <v>0</v>
      </c>
      <c r="O124" s="4">
        <f t="shared" si="30"/>
        <v>45</v>
      </c>
      <c r="P124" s="4">
        <f t="shared" si="31"/>
        <v>1</v>
      </c>
      <c r="Q124" s="4">
        <f t="shared" si="32"/>
        <v>27</v>
      </c>
      <c r="R124" s="4">
        <f t="shared" si="33"/>
        <v>49</v>
      </c>
      <c r="S124" s="4">
        <f t="shared" si="34"/>
        <v>45</v>
      </c>
      <c r="T124" s="4">
        <f t="shared" si="35"/>
        <v>9</v>
      </c>
      <c r="U124" s="4">
        <f t="shared" si="36"/>
        <v>0</v>
      </c>
      <c r="V124" s="8">
        <f t="shared" si="37"/>
        <v>1</v>
      </c>
      <c r="W124" s="8">
        <f t="shared" si="38"/>
        <v>9</v>
      </c>
      <c r="X124">
        <f t="shared" si="39"/>
        <v>1</v>
      </c>
    </row>
    <row r="125" spans="1:24" x14ac:dyDescent="0.25">
      <c r="A125" s="4" t="s">
        <v>151</v>
      </c>
      <c r="B125" t="s">
        <v>3</v>
      </c>
      <c r="C125" t="s">
        <v>6</v>
      </c>
      <c r="D125" s="3">
        <f t="shared" si="20"/>
        <v>64</v>
      </c>
      <c r="E125" s="4">
        <f t="shared" si="21"/>
        <v>6</v>
      </c>
      <c r="F125" s="4">
        <f t="shared" si="22"/>
        <v>29</v>
      </c>
      <c r="G125" s="3">
        <f>IF(E125&gt;=20,2000,1900) + D125</f>
        <v>1964</v>
      </c>
      <c r="H125">
        <f t="shared" si="23"/>
        <v>6</v>
      </c>
      <c r="I125" s="4">
        <f t="shared" si="24"/>
        <v>29</v>
      </c>
      <c r="J125">
        <f t="shared" si="25"/>
        <v>19640629</v>
      </c>
      <c r="K125" t="str">
        <f t="shared" si="26"/>
        <v>29.06.1964</v>
      </c>
      <c r="L125" s="4">
        <f t="shared" si="27"/>
        <v>6</v>
      </c>
      <c r="M125" s="4">
        <f t="shared" si="28"/>
        <v>12</v>
      </c>
      <c r="N125" s="4">
        <f t="shared" si="29"/>
        <v>0</v>
      </c>
      <c r="O125" s="4">
        <f t="shared" si="30"/>
        <v>54</v>
      </c>
      <c r="P125" s="4">
        <f t="shared" si="31"/>
        <v>2</v>
      </c>
      <c r="Q125" s="4">
        <f t="shared" si="32"/>
        <v>27</v>
      </c>
      <c r="R125" s="4">
        <f t="shared" si="33"/>
        <v>0</v>
      </c>
      <c r="S125" s="4">
        <f t="shared" si="34"/>
        <v>36</v>
      </c>
      <c r="T125" s="4">
        <f t="shared" si="35"/>
        <v>4</v>
      </c>
      <c r="U125" s="4">
        <f t="shared" si="36"/>
        <v>15</v>
      </c>
      <c r="V125" s="8">
        <f t="shared" si="37"/>
        <v>6</v>
      </c>
      <c r="W125" s="8">
        <f t="shared" si="38"/>
        <v>4</v>
      </c>
      <c r="X125">
        <f t="shared" si="39"/>
        <v>1</v>
      </c>
    </row>
    <row r="126" spans="1:24" x14ac:dyDescent="0.25">
      <c r="A126" s="4" t="s">
        <v>152</v>
      </c>
      <c r="B126" t="s">
        <v>18</v>
      </c>
      <c r="C126" t="s">
        <v>4</v>
      </c>
      <c r="D126" s="3">
        <f t="shared" si="20"/>
        <v>88</v>
      </c>
      <c r="E126" s="4">
        <f t="shared" si="21"/>
        <v>4</v>
      </c>
      <c r="F126" s="4">
        <f t="shared" si="22"/>
        <v>6</v>
      </c>
      <c r="G126" s="3">
        <f>IF(E126&gt;=20,2000,1900) + D126</f>
        <v>1988</v>
      </c>
      <c r="H126">
        <f t="shared" si="23"/>
        <v>4</v>
      </c>
      <c r="I126" s="4">
        <f t="shared" si="24"/>
        <v>6</v>
      </c>
      <c r="J126">
        <f t="shared" si="25"/>
        <v>19880406</v>
      </c>
      <c r="K126" t="str">
        <f t="shared" si="26"/>
        <v>06.04.1988</v>
      </c>
      <c r="L126" s="4">
        <f t="shared" si="27"/>
        <v>8</v>
      </c>
      <c r="M126" s="4">
        <f t="shared" si="28"/>
        <v>24</v>
      </c>
      <c r="N126" s="4">
        <f t="shared" si="29"/>
        <v>0</v>
      </c>
      <c r="O126" s="4">
        <f t="shared" si="30"/>
        <v>36</v>
      </c>
      <c r="P126" s="4">
        <f t="shared" si="31"/>
        <v>0</v>
      </c>
      <c r="Q126" s="4">
        <f t="shared" si="32"/>
        <v>18</v>
      </c>
      <c r="R126" s="4">
        <f t="shared" si="33"/>
        <v>56</v>
      </c>
      <c r="S126" s="4">
        <f t="shared" si="34"/>
        <v>9</v>
      </c>
      <c r="T126" s="4">
        <f t="shared" si="35"/>
        <v>1</v>
      </c>
      <c r="U126" s="4">
        <f t="shared" si="36"/>
        <v>9</v>
      </c>
      <c r="V126" s="8">
        <f t="shared" si="37"/>
        <v>1</v>
      </c>
      <c r="W126" s="8">
        <f t="shared" si="38"/>
        <v>9</v>
      </c>
      <c r="X126">
        <f t="shared" si="39"/>
        <v>1</v>
      </c>
    </row>
    <row r="127" spans="1:24" x14ac:dyDescent="0.25">
      <c r="A127" s="4" t="s">
        <v>153</v>
      </c>
      <c r="B127" t="s">
        <v>19</v>
      </c>
      <c r="C127" t="s">
        <v>4</v>
      </c>
      <c r="D127" s="3">
        <f t="shared" si="20"/>
        <v>82</v>
      </c>
      <c r="E127" s="4">
        <f t="shared" si="21"/>
        <v>10</v>
      </c>
      <c r="F127" s="4">
        <f t="shared" si="22"/>
        <v>29</v>
      </c>
      <c r="G127" s="3">
        <f>IF(E127&gt;=20,2000,1900) + D127</f>
        <v>1982</v>
      </c>
      <c r="H127">
        <f t="shared" si="23"/>
        <v>10</v>
      </c>
      <c r="I127" s="4">
        <f t="shared" si="24"/>
        <v>29</v>
      </c>
      <c r="J127">
        <f t="shared" si="25"/>
        <v>19821029</v>
      </c>
      <c r="K127" t="str">
        <f t="shared" si="26"/>
        <v>29.10.1982</v>
      </c>
      <c r="L127" s="4">
        <f t="shared" si="27"/>
        <v>8</v>
      </c>
      <c r="M127" s="4">
        <f t="shared" si="28"/>
        <v>6</v>
      </c>
      <c r="N127" s="4">
        <f t="shared" si="29"/>
        <v>7</v>
      </c>
      <c r="O127" s="4">
        <f t="shared" si="30"/>
        <v>0</v>
      </c>
      <c r="P127" s="4">
        <f t="shared" si="31"/>
        <v>2</v>
      </c>
      <c r="Q127" s="4">
        <f t="shared" si="32"/>
        <v>27</v>
      </c>
      <c r="R127" s="4">
        <f t="shared" si="33"/>
        <v>7</v>
      </c>
      <c r="S127" s="4">
        <f t="shared" si="34"/>
        <v>27</v>
      </c>
      <c r="T127" s="4">
        <f t="shared" si="35"/>
        <v>5</v>
      </c>
      <c r="U127" s="4">
        <f t="shared" si="36"/>
        <v>9</v>
      </c>
      <c r="V127" s="8">
        <f t="shared" si="37"/>
        <v>8</v>
      </c>
      <c r="W127" s="8">
        <f t="shared" si="38"/>
        <v>2</v>
      </c>
      <c r="X127">
        <f t="shared" si="39"/>
        <v>1</v>
      </c>
    </row>
    <row r="128" spans="1:24" x14ac:dyDescent="0.25">
      <c r="A128" s="4" t="s">
        <v>154</v>
      </c>
      <c r="B128" t="s">
        <v>15</v>
      </c>
      <c r="C128" t="s">
        <v>6</v>
      </c>
      <c r="D128" s="3">
        <f t="shared" si="20"/>
        <v>80</v>
      </c>
      <c r="E128" s="4">
        <f t="shared" si="21"/>
        <v>11</v>
      </c>
      <c r="F128" s="4">
        <f t="shared" si="22"/>
        <v>15</v>
      </c>
      <c r="G128" s="3">
        <f>IF(E128&gt;=20,2000,1900) + D128</f>
        <v>1980</v>
      </c>
      <c r="H128">
        <f t="shared" si="23"/>
        <v>11</v>
      </c>
      <c r="I128" s="4">
        <f t="shared" si="24"/>
        <v>15</v>
      </c>
      <c r="J128">
        <f t="shared" si="25"/>
        <v>19801115</v>
      </c>
      <c r="K128" t="str">
        <f t="shared" si="26"/>
        <v>15.11.1980</v>
      </c>
      <c r="L128" s="4">
        <f t="shared" si="27"/>
        <v>8</v>
      </c>
      <c r="M128" s="4">
        <f t="shared" si="28"/>
        <v>0</v>
      </c>
      <c r="N128" s="4">
        <f t="shared" si="29"/>
        <v>7</v>
      </c>
      <c r="O128" s="4">
        <f t="shared" si="30"/>
        <v>9</v>
      </c>
      <c r="P128" s="4">
        <f t="shared" si="31"/>
        <v>1</v>
      </c>
      <c r="Q128" s="4">
        <f t="shared" si="32"/>
        <v>15</v>
      </c>
      <c r="R128" s="4">
        <f t="shared" si="33"/>
        <v>35</v>
      </c>
      <c r="S128" s="4">
        <f t="shared" si="34"/>
        <v>0</v>
      </c>
      <c r="T128" s="4">
        <f t="shared" si="35"/>
        <v>2</v>
      </c>
      <c r="U128" s="4">
        <f t="shared" si="36"/>
        <v>12</v>
      </c>
      <c r="V128" s="8">
        <f t="shared" si="37"/>
        <v>9</v>
      </c>
      <c r="W128" s="8">
        <f t="shared" si="38"/>
        <v>1</v>
      </c>
      <c r="X128">
        <f t="shared" si="39"/>
        <v>1</v>
      </c>
    </row>
    <row r="129" spans="1:24" x14ac:dyDescent="0.25">
      <c r="A129" s="4" t="s">
        <v>155</v>
      </c>
      <c r="B129" t="s">
        <v>10</v>
      </c>
      <c r="C129" t="s">
        <v>6</v>
      </c>
      <c r="D129" s="3">
        <f t="shared" si="20"/>
        <v>73</v>
      </c>
      <c r="E129" s="4">
        <f t="shared" si="21"/>
        <v>4</v>
      </c>
      <c r="F129" s="4">
        <f t="shared" si="22"/>
        <v>21</v>
      </c>
      <c r="G129" s="3">
        <f>IF(E129&gt;=20,2000,1900) + D129</f>
        <v>1973</v>
      </c>
      <c r="H129">
        <f t="shared" si="23"/>
        <v>4</v>
      </c>
      <c r="I129" s="4">
        <f t="shared" si="24"/>
        <v>21</v>
      </c>
      <c r="J129">
        <f t="shared" si="25"/>
        <v>19730421</v>
      </c>
      <c r="K129" t="str">
        <f t="shared" si="26"/>
        <v>21.04.1973</v>
      </c>
      <c r="L129" s="4">
        <f t="shared" si="27"/>
        <v>7</v>
      </c>
      <c r="M129" s="4">
        <f t="shared" si="28"/>
        <v>9</v>
      </c>
      <c r="N129" s="4">
        <f t="shared" si="29"/>
        <v>0</v>
      </c>
      <c r="O129" s="4">
        <f t="shared" si="30"/>
        <v>36</v>
      </c>
      <c r="P129" s="4">
        <f t="shared" si="31"/>
        <v>2</v>
      </c>
      <c r="Q129" s="4">
        <f t="shared" si="32"/>
        <v>3</v>
      </c>
      <c r="R129" s="4">
        <f t="shared" si="33"/>
        <v>56</v>
      </c>
      <c r="S129" s="4">
        <f t="shared" si="34"/>
        <v>54</v>
      </c>
      <c r="T129" s="4">
        <f t="shared" si="35"/>
        <v>5</v>
      </c>
      <c r="U129" s="4">
        <f t="shared" si="36"/>
        <v>18</v>
      </c>
      <c r="V129" s="8">
        <f t="shared" si="37"/>
        <v>0</v>
      </c>
      <c r="W129" s="8">
        <f t="shared" si="38"/>
        <v>0</v>
      </c>
      <c r="X129">
        <f t="shared" si="39"/>
        <v>1</v>
      </c>
    </row>
    <row r="130" spans="1:24" x14ac:dyDescent="0.25">
      <c r="A130" s="4" t="s">
        <v>156</v>
      </c>
      <c r="B130" t="s">
        <v>13</v>
      </c>
      <c r="C130" t="s">
        <v>4</v>
      </c>
      <c r="D130" s="3">
        <f t="shared" si="20"/>
        <v>71</v>
      </c>
      <c r="E130" s="4">
        <f t="shared" si="21"/>
        <v>11</v>
      </c>
      <c r="F130" s="4">
        <f t="shared" si="22"/>
        <v>16</v>
      </c>
      <c r="G130" s="3">
        <f>IF(E130&gt;=20,2000,1900) + D130</f>
        <v>1971</v>
      </c>
      <c r="H130">
        <f t="shared" si="23"/>
        <v>11</v>
      </c>
      <c r="I130" s="4">
        <f t="shared" si="24"/>
        <v>16</v>
      </c>
      <c r="J130">
        <f t="shared" si="25"/>
        <v>19711116</v>
      </c>
      <c r="K130" t="str">
        <f t="shared" si="26"/>
        <v>16.11.1971</v>
      </c>
      <c r="L130" s="4">
        <f t="shared" si="27"/>
        <v>7</v>
      </c>
      <c r="M130" s="4">
        <f t="shared" si="28"/>
        <v>3</v>
      </c>
      <c r="N130" s="4">
        <f t="shared" si="29"/>
        <v>7</v>
      </c>
      <c r="O130" s="4">
        <f t="shared" si="30"/>
        <v>9</v>
      </c>
      <c r="P130" s="4">
        <f t="shared" si="31"/>
        <v>1</v>
      </c>
      <c r="Q130" s="4">
        <f t="shared" si="32"/>
        <v>18</v>
      </c>
      <c r="R130" s="4">
        <f t="shared" si="33"/>
        <v>14</v>
      </c>
      <c r="S130" s="4">
        <f t="shared" si="34"/>
        <v>18</v>
      </c>
      <c r="T130" s="4">
        <f t="shared" si="35"/>
        <v>2</v>
      </c>
      <c r="U130" s="4">
        <f t="shared" si="36"/>
        <v>12</v>
      </c>
      <c r="V130" s="8">
        <f t="shared" si="37"/>
        <v>1</v>
      </c>
      <c r="W130" s="8">
        <f t="shared" si="38"/>
        <v>9</v>
      </c>
      <c r="X130">
        <f t="shared" si="39"/>
        <v>1</v>
      </c>
    </row>
    <row r="131" spans="1:24" x14ac:dyDescent="0.25">
      <c r="A131" s="4" t="s">
        <v>157</v>
      </c>
      <c r="B131" t="s">
        <v>3</v>
      </c>
      <c r="C131" t="s">
        <v>6</v>
      </c>
      <c r="D131" s="3">
        <f t="shared" ref="D131:D194" si="40">MID(A131,1,2)*1</f>
        <v>52</v>
      </c>
      <c r="E131" s="4">
        <f t="shared" ref="E131:E194" si="41">MID(A131,3,2)*1</f>
        <v>4</v>
      </c>
      <c r="F131" s="4">
        <f t="shared" ref="F131:F194" si="42">MID(A131,5,2)*1</f>
        <v>24</v>
      </c>
      <c r="G131" s="3">
        <f>IF(E131&gt;=20,2000,1900) + D131</f>
        <v>1952</v>
      </c>
      <c r="H131">
        <f t="shared" ref="H131:H194" si="43">IF(E131&gt;=20,E131-20,E131)</f>
        <v>4</v>
      </c>
      <c r="I131" s="4">
        <f t="shared" ref="I131:I194" si="44">F131</f>
        <v>24</v>
      </c>
      <c r="J131">
        <f t="shared" ref="J131:J194" si="45">CONCATENATE(G131,IF(LEN(E131)=1,CONCATENATE("0",E131),E131),IF(LEN(F131)=1,CONCATENATE("0",F131),F131))*1</f>
        <v>19520424</v>
      </c>
      <c r="K131" t="str">
        <f t="shared" ref="K131:K194" si="46">CONCATENATE(RIGHT(J131,2),".",MID(J131,5,2),".",LEFT(J131,4))</f>
        <v>24.04.1952</v>
      </c>
      <c r="L131" s="4">
        <f t="shared" ref="L131:L194" si="47">MID(A131,1,1)*1</f>
        <v>5</v>
      </c>
      <c r="M131" s="4">
        <f t="shared" ref="M131:M194" si="48">MID(A131,2,1)*3</f>
        <v>6</v>
      </c>
      <c r="N131" s="4">
        <f t="shared" ref="N131:N194" si="49">MID(A131,3,1)*7</f>
        <v>0</v>
      </c>
      <c r="O131" s="4">
        <f t="shared" ref="O131:O194" si="50">MID(A131,4,1)*9</f>
        <v>36</v>
      </c>
      <c r="P131" s="4">
        <f t="shared" ref="P131:P194" si="51">MID(A131,5,1)*1</f>
        <v>2</v>
      </c>
      <c r="Q131" s="4">
        <f t="shared" ref="Q131:Q194" si="52">MID(A131,6,1)*3</f>
        <v>12</v>
      </c>
      <c r="R131" s="4">
        <f t="shared" ref="R131:R194" si="53">MID(A131,7,1)*7</f>
        <v>21</v>
      </c>
      <c r="S131" s="4">
        <f t="shared" ref="S131:S194" si="54">MID(A131,8,1)*9</f>
        <v>9</v>
      </c>
      <c r="T131" s="4">
        <f t="shared" ref="T131:T194" si="55">MID(A131,9,1)*1</f>
        <v>7</v>
      </c>
      <c r="U131" s="4">
        <f t="shared" ref="U131:U194" si="56">MID(A131,10,1)*3</f>
        <v>18</v>
      </c>
      <c r="V131" s="8">
        <f t="shared" ref="V131:V194" si="57">MOD(SUM(L131:U131),10)</f>
        <v>6</v>
      </c>
      <c r="W131" s="8">
        <f t="shared" ref="W131:W194" si="58">IF(V131=0,0,10-V131)</f>
        <v>4</v>
      </c>
      <c r="X131">
        <f t="shared" ref="X131:X194" si="59">IF(W131=RIGHT(A131,1)*1,1,0)</f>
        <v>1</v>
      </c>
    </row>
    <row r="132" spans="1:24" x14ac:dyDescent="0.25">
      <c r="A132" s="4" t="s">
        <v>158</v>
      </c>
      <c r="B132" t="s">
        <v>17</v>
      </c>
      <c r="C132" t="s">
        <v>4</v>
      </c>
      <c r="D132" s="3">
        <f t="shared" si="40"/>
        <v>94</v>
      </c>
      <c r="E132" s="4">
        <f t="shared" si="41"/>
        <v>11</v>
      </c>
      <c r="F132" s="4">
        <f t="shared" si="42"/>
        <v>5</v>
      </c>
      <c r="G132" s="3">
        <f>IF(E132&gt;=20,2000,1900) + D132</f>
        <v>1994</v>
      </c>
      <c r="H132">
        <f t="shared" si="43"/>
        <v>11</v>
      </c>
      <c r="I132" s="4">
        <f t="shared" si="44"/>
        <v>5</v>
      </c>
      <c r="J132">
        <f t="shared" si="45"/>
        <v>19941105</v>
      </c>
      <c r="K132" t="str">
        <f t="shared" si="46"/>
        <v>05.11.1994</v>
      </c>
      <c r="L132" s="4">
        <f t="shared" si="47"/>
        <v>9</v>
      </c>
      <c r="M132" s="4">
        <f t="shared" si="48"/>
        <v>12</v>
      </c>
      <c r="N132" s="4">
        <f t="shared" si="49"/>
        <v>7</v>
      </c>
      <c r="O132" s="4">
        <f t="shared" si="50"/>
        <v>9</v>
      </c>
      <c r="P132" s="4">
        <f t="shared" si="51"/>
        <v>0</v>
      </c>
      <c r="Q132" s="4">
        <f t="shared" si="52"/>
        <v>15</v>
      </c>
      <c r="R132" s="4">
        <f t="shared" si="53"/>
        <v>49</v>
      </c>
      <c r="S132" s="4">
        <f t="shared" si="54"/>
        <v>36</v>
      </c>
      <c r="T132" s="4">
        <f t="shared" si="55"/>
        <v>8</v>
      </c>
      <c r="U132" s="4">
        <f t="shared" si="56"/>
        <v>21</v>
      </c>
      <c r="V132" s="8">
        <f t="shared" si="57"/>
        <v>6</v>
      </c>
      <c r="W132" s="8">
        <f t="shared" si="58"/>
        <v>4</v>
      </c>
      <c r="X132">
        <f t="shared" si="59"/>
        <v>1</v>
      </c>
    </row>
    <row r="133" spans="1:24" x14ac:dyDescent="0.25">
      <c r="A133" s="4" t="s">
        <v>159</v>
      </c>
      <c r="B133" t="s">
        <v>7</v>
      </c>
      <c r="C133" t="s">
        <v>4</v>
      </c>
      <c r="D133" s="3">
        <f t="shared" si="40"/>
        <v>97</v>
      </c>
      <c r="E133" s="4">
        <f t="shared" si="41"/>
        <v>7</v>
      </c>
      <c r="F133" s="4">
        <f t="shared" si="42"/>
        <v>3</v>
      </c>
      <c r="G133" s="3">
        <f>IF(E133&gt;=20,2000,1900) + D133</f>
        <v>1997</v>
      </c>
      <c r="H133">
        <f t="shared" si="43"/>
        <v>7</v>
      </c>
      <c r="I133" s="4">
        <f t="shared" si="44"/>
        <v>3</v>
      </c>
      <c r="J133">
        <f t="shared" si="45"/>
        <v>19970703</v>
      </c>
      <c r="K133" t="str">
        <f t="shared" si="46"/>
        <v>03.07.1997</v>
      </c>
      <c r="L133" s="4">
        <f t="shared" si="47"/>
        <v>9</v>
      </c>
      <c r="M133" s="4">
        <f t="shared" si="48"/>
        <v>21</v>
      </c>
      <c r="N133" s="4">
        <f t="shared" si="49"/>
        <v>0</v>
      </c>
      <c r="O133" s="4">
        <f t="shared" si="50"/>
        <v>63</v>
      </c>
      <c r="P133" s="4">
        <f t="shared" si="51"/>
        <v>0</v>
      </c>
      <c r="Q133" s="4">
        <f t="shared" si="52"/>
        <v>9</v>
      </c>
      <c r="R133" s="4">
        <f t="shared" si="53"/>
        <v>7</v>
      </c>
      <c r="S133" s="4">
        <f t="shared" si="54"/>
        <v>36</v>
      </c>
      <c r="T133" s="4">
        <f t="shared" si="55"/>
        <v>4</v>
      </c>
      <c r="U133" s="4">
        <f t="shared" si="56"/>
        <v>3</v>
      </c>
      <c r="V133" s="8">
        <f t="shared" si="57"/>
        <v>2</v>
      </c>
      <c r="W133" s="8">
        <f t="shared" si="58"/>
        <v>8</v>
      </c>
      <c r="X133">
        <f t="shared" si="59"/>
        <v>1</v>
      </c>
    </row>
    <row r="134" spans="1:24" x14ac:dyDescent="0.25">
      <c r="A134" s="4" t="s">
        <v>160</v>
      </c>
      <c r="B134" t="s">
        <v>3</v>
      </c>
      <c r="C134" t="s">
        <v>4</v>
      </c>
      <c r="D134" s="3">
        <f t="shared" si="40"/>
        <v>68</v>
      </c>
      <c r="E134" s="4">
        <f t="shared" si="41"/>
        <v>2</v>
      </c>
      <c r="F134" s="4">
        <f t="shared" si="42"/>
        <v>1</v>
      </c>
      <c r="G134" s="3">
        <f>IF(E134&gt;=20,2000,1900) + D134</f>
        <v>1968</v>
      </c>
      <c r="H134">
        <f t="shared" si="43"/>
        <v>2</v>
      </c>
      <c r="I134" s="4">
        <f t="shared" si="44"/>
        <v>1</v>
      </c>
      <c r="J134">
        <f t="shared" si="45"/>
        <v>19680201</v>
      </c>
      <c r="K134" t="str">
        <f t="shared" si="46"/>
        <v>01.02.1968</v>
      </c>
      <c r="L134" s="4">
        <f t="shared" si="47"/>
        <v>6</v>
      </c>
      <c r="M134" s="4">
        <f t="shared" si="48"/>
        <v>24</v>
      </c>
      <c r="N134" s="4">
        <f t="shared" si="49"/>
        <v>0</v>
      </c>
      <c r="O134" s="4">
        <f t="shared" si="50"/>
        <v>18</v>
      </c>
      <c r="P134" s="4">
        <f t="shared" si="51"/>
        <v>0</v>
      </c>
      <c r="Q134" s="4">
        <f t="shared" si="52"/>
        <v>3</v>
      </c>
      <c r="R134" s="4">
        <f t="shared" si="53"/>
        <v>35</v>
      </c>
      <c r="S134" s="4">
        <f t="shared" si="54"/>
        <v>63</v>
      </c>
      <c r="T134" s="4">
        <f t="shared" si="55"/>
        <v>8</v>
      </c>
      <c r="U134" s="4">
        <f t="shared" si="56"/>
        <v>9</v>
      </c>
      <c r="V134" s="8">
        <f t="shared" si="57"/>
        <v>6</v>
      </c>
      <c r="W134" s="8">
        <f t="shared" si="58"/>
        <v>4</v>
      </c>
      <c r="X134">
        <f t="shared" si="59"/>
        <v>1</v>
      </c>
    </row>
    <row r="135" spans="1:24" x14ac:dyDescent="0.25">
      <c r="A135" s="4" t="s">
        <v>161</v>
      </c>
      <c r="B135" t="s">
        <v>10</v>
      </c>
      <c r="C135" t="s">
        <v>6</v>
      </c>
      <c r="D135" s="3">
        <f t="shared" si="40"/>
        <v>61</v>
      </c>
      <c r="E135" s="4">
        <f t="shared" si="41"/>
        <v>3</v>
      </c>
      <c r="F135" s="4">
        <f t="shared" si="42"/>
        <v>23</v>
      </c>
      <c r="G135" s="3">
        <f>IF(E135&gt;=20,2000,1900) + D135</f>
        <v>1961</v>
      </c>
      <c r="H135">
        <f t="shared" si="43"/>
        <v>3</v>
      </c>
      <c r="I135" s="4">
        <f t="shared" si="44"/>
        <v>23</v>
      </c>
      <c r="J135">
        <f t="shared" si="45"/>
        <v>19610323</v>
      </c>
      <c r="K135" t="str">
        <f t="shared" si="46"/>
        <v>23.03.1961</v>
      </c>
      <c r="L135" s="4">
        <f t="shared" si="47"/>
        <v>6</v>
      </c>
      <c r="M135" s="4">
        <f t="shared" si="48"/>
        <v>3</v>
      </c>
      <c r="N135" s="4">
        <f t="shared" si="49"/>
        <v>0</v>
      </c>
      <c r="O135" s="4">
        <f t="shared" si="50"/>
        <v>27</v>
      </c>
      <c r="P135" s="4">
        <f t="shared" si="51"/>
        <v>2</v>
      </c>
      <c r="Q135" s="4">
        <f t="shared" si="52"/>
        <v>9</v>
      </c>
      <c r="R135" s="4">
        <f t="shared" si="53"/>
        <v>28</v>
      </c>
      <c r="S135" s="4">
        <f t="shared" si="54"/>
        <v>27</v>
      </c>
      <c r="T135" s="4">
        <f t="shared" si="55"/>
        <v>2</v>
      </c>
      <c r="U135" s="4">
        <f t="shared" si="56"/>
        <v>6</v>
      </c>
      <c r="V135" s="8">
        <f t="shared" si="57"/>
        <v>0</v>
      </c>
      <c r="W135" s="8">
        <f t="shared" si="58"/>
        <v>0</v>
      </c>
      <c r="X135">
        <f t="shared" si="59"/>
        <v>1</v>
      </c>
    </row>
    <row r="136" spans="1:24" x14ac:dyDescent="0.25">
      <c r="A136" s="4" t="s">
        <v>162</v>
      </c>
      <c r="B136" t="s">
        <v>15</v>
      </c>
      <c r="C136" t="s">
        <v>6</v>
      </c>
      <c r="D136" s="3">
        <f t="shared" si="40"/>
        <v>89</v>
      </c>
      <c r="E136" s="4">
        <f t="shared" si="41"/>
        <v>5</v>
      </c>
      <c r="F136" s="4">
        <f t="shared" si="42"/>
        <v>18</v>
      </c>
      <c r="G136" s="3">
        <f>IF(E136&gt;=20,2000,1900) + D136</f>
        <v>1989</v>
      </c>
      <c r="H136">
        <f t="shared" si="43"/>
        <v>5</v>
      </c>
      <c r="I136" s="4">
        <f t="shared" si="44"/>
        <v>18</v>
      </c>
      <c r="J136">
        <f t="shared" si="45"/>
        <v>19890518</v>
      </c>
      <c r="K136" t="str">
        <f t="shared" si="46"/>
        <v>18.05.1989</v>
      </c>
      <c r="L136" s="4">
        <f t="shared" si="47"/>
        <v>8</v>
      </c>
      <c r="M136" s="4">
        <f t="shared" si="48"/>
        <v>27</v>
      </c>
      <c r="N136" s="4">
        <f t="shared" si="49"/>
        <v>0</v>
      </c>
      <c r="O136" s="4">
        <f t="shared" si="50"/>
        <v>45</v>
      </c>
      <c r="P136" s="4">
        <f t="shared" si="51"/>
        <v>1</v>
      </c>
      <c r="Q136" s="4">
        <f t="shared" si="52"/>
        <v>24</v>
      </c>
      <c r="R136" s="4">
        <f t="shared" si="53"/>
        <v>35</v>
      </c>
      <c r="S136" s="4">
        <f t="shared" si="54"/>
        <v>9</v>
      </c>
      <c r="T136" s="4">
        <f t="shared" si="55"/>
        <v>7</v>
      </c>
      <c r="U136" s="4">
        <f t="shared" si="56"/>
        <v>12</v>
      </c>
      <c r="V136" s="8">
        <f t="shared" si="57"/>
        <v>8</v>
      </c>
      <c r="W136" s="8">
        <f t="shared" si="58"/>
        <v>2</v>
      </c>
      <c r="X136">
        <f t="shared" si="59"/>
        <v>1</v>
      </c>
    </row>
    <row r="137" spans="1:24" x14ac:dyDescent="0.25">
      <c r="A137" s="4" t="s">
        <v>163</v>
      </c>
      <c r="B137" t="s">
        <v>19</v>
      </c>
      <c r="C137" t="s">
        <v>4</v>
      </c>
      <c r="D137" s="3">
        <f t="shared" si="40"/>
        <v>97</v>
      </c>
      <c r="E137" s="4">
        <f t="shared" si="41"/>
        <v>9</v>
      </c>
      <c r="F137" s="4">
        <f t="shared" si="42"/>
        <v>7</v>
      </c>
      <c r="G137" s="3">
        <f>IF(E137&gt;=20,2000,1900) + D137</f>
        <v>1997</v>
      </c>
      <c r="H137">
        <f t="shared" si="43"/>
        <v>9</v>
      </c>
      <c r="I137" s="4">
        <f t="shared" si="44"/>
        <v>7</v>
      </c>
      <c r="J137">
        <f t="shared" si="45"/>
        <v>19970907</v>
      </c>
      <c r="K137" t="str">
        <f t="shared" si="46"/>
        <v>07.09.1997</v>
      </c>
      <c r="L137" s="4">
        <f t="shared" si="47"/>
        <v>9</v>
      </c>
      <c r="M137" s="4">
        <f t="shared" si="48"/>
        <v>21</v>
      </c>
      <c r="N137" s="4">
        <f t="shared" si="49"/>
        <v>0</v>
      </c>
      <c r="O137" s="4">
        <f t="shared" si="50"/>
        <v>81</v>
      </c>
      <c r="P137" s="4">
        <f t="shared" si="51"/>
        <v>0</v>
      </c>
      <c r="Q137" s="4">
        <f t="shared" si="52"/>
        <v>21</v>
      </c>
      <c r="R137" s="4">
        <f t="shared" si="53"/>
        <v>21</v>
      </c>
      <c r="S137" s="4">
        <f t="shared" si="54"/>
        <v>81</v>
      </c>
      <c r="T137" s="4">
        <f t="shared" si="55"/>
        <v>5</v>
      </c>
      <c r="U137" s="4">
        <f t="shared" si="56"/>
        <v>18</v>
      </c>
      <c r="V137" s="8">
        <f t="shared" si="57"/>
        <v>7</v>
      </c>
      <c r="W137" s="8">
        <f t="shared" si="58"/>
        <v>3</v>
      </c>
      <c r="X137">
        <f t="shared" si="59"/>
        <v>1</v>
      </c>
    </row>
    <row r="138" spans="1:24" x14ac:dyDescent="0.25">
      <c r="A138" s="4" t="s">
        <v>164</v>
      </c>
      <c r="B138" t="s">
        <v>7</v>
      </c>
      <c r="C138" t="s">
        <v>6</v>
      </c>
      <c r="D138" s="3">
        <f t="shared" si="40"/>
        <v>61</v>
      </c>
      <c r="E138" s="4">
        <f t="shared" si="41"/>
        <v>8</v>
      </c>
      <c r="F138" s="4">
        <f t="shared" si="42"/>
        <v>5</v>
      </c>
      <c r="G138" s="3">
        <f>IF(E138&gt;=20,2000,1900) + D138</f>
        <v>1961</v>
      </c>
      <c r="H138">
        <f t="shared" si="43"/>
        <v>8</v>
      </c>
      <c r="I138" s="4">
        <f t="shared" si="44"/>
        <v>5</v>
      </c>
      <c r="J138">
        <f t="shared" si="45"/>
        <v>19610805</v>
      </c>
      <c r="K138" t="str">
        <f t="shared" si="46"/>
        <v>05.08.1961</v>
      </c>
      <c r="L138" s="4">
        <f t="shared" si="47"/>
        <v>6</v>
      </c>
      <c r="M138" s="4">
        <f t="shared" si="48"/>
        <v>3</v>
      </c>
      <c r="N138" s="4">
        <f t="shared" si="49"/>
        <v>0</v>
      </c>
      <c r="O138" s="4">
        <f t="shared" si="50"/>
        <v>72</v>
      </c>
      <c r="P138" s="4">
        <f t="shared" si="51"/>
        <v>0</v>
      </c>
      <c r="Q138" s="4">
        <f t="shared" si="52"/>
        <v>15</v>
      </c>
      <c r="R138" s="4">
        <f t="shared" si="53"/>
        <v>0</v>
      </c>
      <c r="S138" s="4">
        <f t="shared" si="54"/>
        <v>63</v>
      </c>
      <c r="T138" s="4">
        <f t="shared" si="55"/>
        <v>8</v>
      </c>
      <c r="U138" s="4">
        <f t="shared" si="56"/>
        <v>0</v>
      </c>
      <c r="V138" s="8">
        <f t="shared" si="57"/>
        <v>7</v>
      </c>
      <c r="W138" s="8">
        <f t="shared" si="58"/>
        <v>3</v>
      </c>
      <c r="X138">
        <f t="shared" si="59"/>
        <v>1</v>
      </c>
    </row>
    <row r="139" spans="1:24" x14ac:dyDescent="0.25">
      <c r="A139" s="4" t="s">
        <v>165</v>
      </c>
      <c r="B139" t="s">
        <v>18</v>
      </c>
      <c r="C139" t="s">
        <v>6</v>
      </c>
      <c r="D139" s="3">
        <f t="shared" si="40"/>
        <v>66</v>
      </c>
      <c r="E139" s="4">
        <f t="shared" si="41"/>
        <v>2</v>
      </c>
      <c r="F139" s="4">
        <f t="shared" si="42"/>
        <v>22</v>
      </c>
      <c r="G139" s="3">
        <f>IF(E139&gt;=20,2000,1900) + D139</f>
        <v>1966</v>
      </c>
      <c r="H139">
        <f t="shared" si="43"/>
        <v>2</v>
      </c>
      <c r="I139" s="4">
        <f t="shared" si="44"/>
        <v>22</v>
      </c>
      <c r="J139">
        <f t="shared" si="45"/>
        <v>19660222</v>
      </c>
      <c r="K139" t="str">
        <f t="shared" si="46"/>
        <v>22.02.1966</v>
      </c>
      <c r="L139" s="4">
        <f t="shared" si="47"/>
        <v>6</v>
      </c>
      <c r="M139" s="4">
        <f t="shared" si="48"/>
        <v>18</v>
      </c>
      <c r="N139" s="4">
        <f t="shared" si="49"/>
        <v>0</v>
      </c>
      <c r="O139" s="4">
        <f t="shared" si="50"/>
        <v>18</v>
      </c>
      <c r="P139" s="4">
        <f t="shared" si="51"/>
        <v>2</v>
      </c>
      <c r="Q139" s="4">
        <f t="shared" si="52"/>
        <v>6</v>
      </c>
      <c r="R139" s="4">
        <f t="shared" si="53"/>
        <v>14</v>
      </c>
      <c r="S139" s="4">
        <f t="shared" si="54"/>
        <v>72</v>
      </c>
      <c r="T139" s="4">
        <f t="shared" si="55"/>
        <v>1</v>
      </c>
      <c r="U139" s="4">
        <f t="shared" si="56"/>
        <v>3</v>
      </c>
      <c r="V139" s="8">
        <f t="shared" si="57"/>
        <v>0</v>
      </c>
      <c r="W139" s="8">
        <f t="shared" si="58"/>
        <v>0</v>
      </c>
      <c r="X139">
        <f t="shared" si="59"/>
        <v>1</v>
      </c>
    </row>
    <row r="140" spans="1:24" x14ac:dyDescent="0.25">
      <c r="A140" s="4" t="s">
        <v>166</v>
      </c>
      <c r="B140" t="s">
        <v>14</v>
      </c>
      <c r="C140" t="s">
        <v>4</v>
      </c>
      <c r="D140" s="3">
        <f t="shared" si="40"/>
        <v>53</v>
      </c>
      <c r="E140" s="4">
        <f t="shared" si="41"/>
        <v>12</v>
      </c>
      <c r="F140" s="4">
        <f t="shared" si="42"/>
        <v>9</v>
      </c>
      <c r="G140" s="3">
        <f>IF(E140&gt;=20,2000,1900) + D140</f>
        <v>1953</v>
      </c>
      <c r="H140">
        <f t="shared" si="43"/>
        <v>12</v>
      </c>
      <c r="I140" s="4">
        <f t="shared" si="44"/>
        <v>9</v>
      </c>
      <c r="J140">
        <f t="shared" si="45"/>
        <v>19531209</v>
      </c>
      <c r="K140" t="str">
        <f t="shared" si="46"/>
        <v>09.12.1953</v>
      </c>
      <c r="L140" s="4">
        <f t="shared" si="47"/>
        <v>5</v>
      </c>
      <c r="M140" s="4">
        <f t="shared" si="48"/>
        <v>9</v>
      </c>
      <c r="N140" s="4">
        <f t="shared" si="49"/>
        <v>7</v>
      </c>
      <c r="O140" s="4">
        <f t="shared" si="50"/>
        <v>18</v>
      </c>
      <c r="P140" s="4">
        <f t="shared" si="51"/>
        <v>0</v>
      </c>
      <c r="Q140" s="4">
        <f t="shared" si="52"/>
        <v>27</v>
      </c>
      <c r="R140" s="4">
        <f t="shared" si="53"/>
        <v>0</v>
      </c>
      <c r="S140" s="4">
        <f t="shared" si="54"/>
        <v>18</v>
      </c>
      <c r="T140" s="4">
        <f t="shared" si="55"/>
        <v>5</v>
      </c>
      <c r="U140" s="4">
        <f t="shared" si="56"/>
        <v>12</v>
      </c>
      <c r="V140" s="8">
        <f t="shared" si="57"/>
        <v>1</v>
      </c>
      <c r="W140" s="8">
        <f t="shared" si="58"/>
        <v>9</v>
      </c>
      <c r="X140">
        <f t="shared" si="59"/>
        <v>1</v>
      </c>
    </row>
    <row r="141" spans="1:24" x14ac:dyDescent="0.25">
      <c r="A141" s="4" t="s">
        <v>167</v>
      </c>
      <c r="B141" t="s">
        <v>3</v>
      </c>
      <c r="C141" t="s">
        <v>4</v>
      </c>
      <c r="D141" s="3">
        <f t="shared" si="40"/>
        <v>84</v>
      </c>
      <c r="E141" s="4">
        <f t="shared" si="41"/>
        <v>1</v>
      </c>
      <c r="F141" s="4">
        <f t="shared" si="42"/>
        <v>5</v>
      </c>
      <c r="G141" s="3">
        <f>IF(E141&gt;=20,2000,1900) + D141</f>
        <v>1984</v>
      </c>
      <c r="H141">
        <f t="shared" si="43"/>
        <v>1</v>
      </c>
      <c r="I141" s="4">
        <f t="shared" si="44"/>
        <v>5</v>
      </c>
      <c r="J141">
        <f t="shared" si="45"/>
        <v>19840105</v>
      </c>
      <c r="K141" t="str">
        <f t="shared" si="46"/>
        <v>05.01.1984</v>
      </c>
      <c r="L141" s="4">
        <f t="shared" si="47"/>
        <v>8</v>
      </c>
      <c r="M141" s="4">
        <f t="shared" si="48"/>
        <v>12</v>
      </c>
      <c r="N141" s="4">
        <f t="shared" si="49"/>
        <v>0</v>
      </c>
      <c r="O141" s="4">
        <f t="shared" si="50"/>
        <v>9</v>
      </c>
      <c r="P141" s="4">
        <f t="shared" si="51"/>
        <v>0</v>
      </c>
      <c r="Q141" s="4">
        <f t="shared" si="52"/>
        <v>15</v>
      </c>
      <c r="R141" s="4">
        <f t="shared" si="53"/>
        <v>28</v>
      </c>
      <c r="S141" s="4">
        <f t="shared" si="54"/>
        <v>36</v>
      </c>
      <c r="T141" s="4">
        <f t="shared" si="55"/>
        <v>7</v>
      </c>
      <c r="U141" s="4">
        <f t="shared" si="56"/>
        <v>18</v>
      </c>
      <c r="V141" s="8">
        <f t="shared" si="57"/>
        <v>3</v>
      </c>
      <c r="W141" s="8">
        <f t="shared" si="58"/>
        <v>7</v>
      </c>
      <c r="X141">
        <f t="shared" si="59"/>
        <v>1</v>
      </c>
    </row>
    <row r="142" spans="1:24" x14ac:dyDescent="0.25">
      <c r="A142" s="4" t="s">
        <v>168</v>
      </c>
      <c r="B142" t="s">
        <v>13</v>
      </c>
      <c r="C142" t="s">
        <v>6</v>
      </c>
      <c r="D142" s="3">
        <f t="shared" si="40"/>
        <v>94</v>
      </c>
      <c r="E142" s="4">
        <f t="shared" si="41"/>
        <v>11</v>
      </c>
      <c r="F142" s="4">
        <f t="shared" si="42"/>
        <v>16</v>
      </c>
      <c r="G142" s="3">
        <f>IF(E142&gt;=20,2000,1900) + D142</f>
        <v>1994</v>
      </c>
      <c r="H142">
        <f t="shared" si="43"/>
        <v>11</v>
      </c>
      <c r="I142" s="4">
        <f t="shared" si="44"/>
        <v>16</v>
      </c>
      <c r="J142">
        <f t="shared" si="45"/>
        <v>19941116</v>
      </c>
      <c r="K142" t="str">
        <f t="shared" si="46"/>
        <v>16.11.1994</v>
      </c>
      <c r="L142" s="4">
        <f t="shared" si="47"/>
        <v>9</v>
      </c>
      <c r="M142" s="4">
        <f t="shared" si="48"/>
        <v>12</v>
      </c>
      <c r="N142" s="4">
        <f t="shared" si="49"/>
        <v>7</v>
      </c>
      <c r="O142" s="4">
        <f t="shared" si="50"/>
        <v>9</v>
      </c>
      <c r="P142" s="4">
        <f t="shared" si="51"/>
        <v>1</v>
      </c>
      <c r="Q142" s="4">
        <f t="shared" si="52"/>
        <v>18</v>
      </c>
      <c r="R142" s="4">
        <f t="shared" si="53"/>
        <v>28</v>
      </c>
      <c r="S142" s="4">
        <f t="shared" si="54"/>
        <v>18</v>
      </c>
      <c r="T142" s="4">
        <f t="shared" si="55"/>
        <v>3</v>
      </c>
      <c r="U142" s="4">
        <f t="shared" si="56"/>
        <v>9</v>
      </c>
      <c r="V142" s="8">
        <f t="shared" si="57"/>
        <v>4</v>
      </c>
      <c r="W142" s="8">
        <f t="shared" si="58"/>
        <v>6</v>
      </c>
      <c r="X142">
        <f t="shared" si="59"/>
        <v>1</v>
      </c>
    </row>
    <row r="143" spans="1:24" x14ac:dyDescent="0.25">
      <c r="A143" s="4" t="s">
        <v>169</v>
      </c>
      <c r="B143" t="s">
        <v>9</v>
      </c>
      <c r="C143" t="s">
        <v>4</v>
      </c>
      <c r="D143" s="3">
        <f t="shared" si="40"/>
        <v>83</v>
      </c>
      <c r="E143" s="4">
        <f t="shared" si="41"/>
        <v>8</v>
      </c>
      <c r="F143" s="4">
        <f t="shared" si="42"/>
        <v>9</v>
      </c>
      <c r="G143" s="3">
        <f>IF(E143&gt;=20,2000,1900) + D143</f>
        <v>1983</v>
      </c>
      <c r="H143">
        <f t="shared" si="43"/>
        <v>8</v>
      </c>
      <c r="I143" s="4">
        <f t="shared" si="44"/>
        <v>9</v>
      </c>
      <c r="J143">
        <f t="shared" si="45"/>
        <v>19830809</v>
      </c>
      <c r="K143" t="str">
        <f t="shared" si="46"/>
        <v>09.08.1983</v>
      </c>
      <c r="L143" s="4">
        <f t="shared" si="47"/>
        <v>8</v>
      </c>
      <c r="M143" s="4">
        <f t="shared" si="48"/>
        <v>9</v>
      </c>
      <c r="N143" s="4">
        <f t="shared" si="49"/>
        <v>0</v>
      </c>
      <c r="O143" s="4">
        <f t="shared" si="50"/>
        <v>72</v>
      </c>
      <c r="P143" s="4">
        <f t="shared" si="51"/>
        <v>0</v>
      </c>
      <c r="Q143" s="4">
        <f t="shared" si="52"/>
        <v>27</v>
      </c>
      <c r="R143" s="4">
        <f t="shared" si="53"/>
        <v>28</v>
      </c>
      <c r="S143" s="4">
        <f t="shared" si="54"/>
        <v>9</v>
      </c>
      <c r="T143" s="4">
        <f t="shared" si="55"/>
        <v>8</v>
      </c>
      <c r="U143" s="4">
        <f t="shared" si="56"/>
        <v>24</v>
      </c>
      <c r="V143" s="8">
        <f t="shared" si="57"/>
        <v>5</v>
      </c>
      <c r="W143" s="8">
        <f t="shared" si="58"/>
        <v>5</v>
      </c>
      <c r="X143">
        <f t="shared" si="59"/>
        <v>1</v>
      </c>
    </row>
    <row r="144" spans="1:24" x14ac:dyDescent="0.25">
      <c r="A144" s="4" t="s">
        <v>170</v>
      </c>
      <c r="B144" t="s">
        <v>8</v>
      </c>
      <c r="C144" t="s">
        <v>4</v>
      </c>
      <c r="D144" s="3">
        <f t="shared" si="40"/>
        <v>99</v>
      </c>
      <c r="E144" s="4">
        <f t="shared" si="41"/>
        <v>2</v>
      </c>
      <c r="F144" s="4">
        <f t="shared" si="42"/>
        <v>6</v>
      </c>
      <c r="G144" s="3">
        <f>IF(E144&gt;=20,2000,1900) + D144</f>
        <v>1999</v>
      </c>
      <c r="H144">
        <f t="shared" si="43"/>
        <v>2</v>
      </c>
      <c r="I144" s="4">
        <f t="shared" si="44"/>
        <v>6</v>
      </c>
      <c r="J144">
        <f t="shared" si="45"/>
        <v>19990206</v>
      </c>
      <c r="K144" t="str">
        <f t="shared" si="46"/>
        <v>06.02.1999</v>
      </c>
      <c r="L144" s="4">
        <f t="shared" si="47"/>
        <v>9</v>
      </c>
      <c r="M144" s="4">
        <f t="shared" si="48"/>
        <v>27</v>
      </c>
      <c r="N144" s="4">
        <f t="shared" si="49"/>
        <v>0</v>
      </c>
      <c r="O144" s="4">
        <f t="shared" si="50"/>
        <v>18</v>
      </c>
      <c r="P144" s="4">
        <f t="shared" si="51"/>
        <v>0</v>
      </c>
      <c r="Q144" s="4">
        <f t="shared" si="52"/>
        <v>18</v>
      </c>
      <c r="R144" s="4">
        <f t="shared" si="53"/>
        <v>21</v>
      </c>
      <c r="S144" s="4">
        <f t="shared" si="54"/>
        <v>9</v>
      </c>
      <c r="T144" s="4">
        <f t="shared" si="55"/>
        <v>7</v>
      </c>
      <c r="U144" s="4">
        <f t="shared" si="56"/>
        <v>21</v>
      </c>
      <c r="V144" s="8">
        <f t="shared" si="57"/>
        <v>0</v>
      </c>
      <c r="W144" s="8">
        <f t="shared" si="58"/>
        <v>0</v>
      </c>
      <c r="X144">
        <f t="shared" si="59"/>
        <v>1</v>
      </c>
    </row>
    <row r="145" spans="1:24" x14ac:dyDescent="0.25">
      <c r="A145" s="4" t="s">
        <v>171</v>
      </c>
      <c r="B145" t="s">
        <v>17</v>
      </c>
      <c r="C145" t="s">
        <v>6</v>
      </c>
      <c r="D145" s="3">
        <f t="shared" si="40"/>
        <v>99</v>
      </c>
      <c r="E145" s="4">
        <f t="shared" si="41"/>
        <v>11</v>
      </c>
      <c r="F145" s="4">
        <f t="shared" si="42"/>
        <v>13</v>
      </c>
      <c r="G145" s="3">
        <f>IF(E145&gt;=20,2000,1900) + D145</f>
        <v>1999</v>
      </c>
      <c r="H145">
        <f t="shared" si="43"/>
        <v>11</v>
      </c>
      <c r="I145" s="4">
        <f t="shared" si="44"/>
        <v>13</v>
      </c>
      <c r="J145">
        <f t="shared" si="45"/>
        <v>19991113</v>
      </c>
      <c r="K145" t="str">
        <f t="shared" si="46"/>
        <v>13.11.1999</v>
      </c>
      <c r="L145" s="4">
        <f t="shared" si="47"/>
        <v>9</v>
      </c>
      <c r="M145" s="4">
        <f t="shared" si="48"/>
        <v>27</v>
      </c>
      <c r="N145" s="4">
        <f t="shared" si="49"/>
        <v>7</v>
      </c>
      <c r="O145" s="4">
        <f t="shared" si="50"/>
        <v>9</v>
      </c>
      <c r="P145" s="4">
        <f t="shared" si="51"/>
        <v>1</v>
      </c>
      <c r="Q145" s="4">
        <f t="shared" si="52"/>
        <v>9</v>
      </c>
      <c r="R145" s="4">
        <f t="shared" si="53"/>
        <v>0</v>
      </c>
      <c r="S145" s="4">
        <f t="shared" si="54"/>
        <v>27</v>
      </c>
      <c r="T145" s="4">
        <f t="shared" si="55"/>
        <v>3</v>
      </c>
      <c r="U145" s="4">
        <f t="shared" si="56"/>
        <v>3</v>
      </c>
      <c r="V145" s="8">
        <f t="shared" si="57"/>
        <v>5</v>
      </c>
      <c r="W145" s="8">
        <f t="shared" si="58"/>
        <v>5</v>
      </c>
      <c r="X145">
        <f t="shared" si="59"/>
        <v>1</v>
      </c>
    </row>
    <row r="146" spans="1:24" x14ac:dyDescent="0.25">
      <c r="A146" s="4" t="s">
        <v>172</v>
      </c>
      <c r="B146" t="s">
        <v>20</v>
      </c>
      <c r="C146" t="s">
        <v>4</v>
      </c>
      <c r="D146" s="3">
        <f t="shared" si="40"/>
        <v>51</v>
      </c>
      <c r="E146" s="4">
        <f t="shared" si="41"/>
        <v>9</v>
      </c>
      <c r="F146" s="4">
        <f t="shared" si="42"/>
        <v>25</v>
      </c>
      <c r="G146" s="3">
        <f>IF(E146&gt;=20,2000,1900) + D146</f>
        <v>1951</v>
      </c>
      <c r="H146">
        <f t="shared" si="43"/>
        <v>9</v>
      </c>
      <c r="I146" s="4">
        <f t="shared" si="44"/>
        <v>25</v>
      </c>
      <c r="J146">
        <f t="shared" si="45"/>
        <v>19510925</v>
      </c>
      <c r="K146" t="str">
        <f t="shared" si="46"/>
        <v>25.09.1951</v>
      </c>
      <c r="L146" s="4">
        <f t="shared" si="47"/>
        <v>5</v>
      </c>
      <c r="M146" s="4">
        <f t="shared" si="48"/>
        <v>3</v>
      </c>
      <c r="N146" s="4">
        <f t="shared" si="49"/>
        <v>0</v>
      </c>
      <c r="O146" s="4">
        <f t="shared" si="50"/>
        <v>81</v>
      </c>
      <c r="P146" s="4">
        <f t="shared" si="51"/>
        <v>2</v>
      </c>
      <c r="Q146" s="4">
        <f t="shared" si="52"/>
        <v>15</v>
      </c>
      <c r="R146" s="4">
        <f t="shared" si="53"/>
        <v>14</v>
      </c>
      <c r="S146" s="4">
        <f t="shared" si="54"/>
        <v>36</v>
      </c>
      <c r="T146" s="4">
        <f t="shared" si="55"/>
        <v>8</v>
      </c>
      <c r="U146" s="4">
        <f t="shared" si="56"/>
        <v>12</v>
      </c>
      <c r="V146" s="8">
        <f t="shared" si="57"/>
        <v>6</v>
      </c>
      <c r="W146" s="8">
        <f t="shared" si="58"/>
        <v>4</v>
      </c>
      <c r="X146">
        <f t="shared" si="59"/>
        <v>1</v>
      </c>
    </row>
    <row r="147" spans="1:24" x14ac:dyDescent="0.25">
      <c r="A147" s="4" t="s">
        <v>173</v>
      </c>
      <c r="B147" t="s">
        <v>9</v>
      </c>
      <c r="C147" t="s">
        <v>4</v>
      </c>
      <c r="D147" s="3">
        <f t="shared" si="40"/>
        <v>56</v>
      </c>
      <c r="E147" s="4">
        <f t="shared" si="41"/>
        <v>2</v>
      </c>
      <c r="F147" s="4">
        <f t="shared" si="42"/>
        <v>14</v>
      </c>
      <c r="G147" s="3">
        <f>IF(E147&gt;=20,2000,1900) + D147</f>
        <v>1956</v>
      </c>
      <c r="H147">
        <f t="shared" si="43"/>
        <v>2</v>
      </c>
      <c r="I147" s="4">
        <f t="shared" si="44"/>
        <v>14</v>
      </c>
      <c r="J147">
        <f t="shared" si="45"/>
        <v>19560214</v>
      </c>
      <c r="K147" t="str">
        <f t="shared" si="46"/>
        <v>14.02.1956</v>
      </c>
      <c r="L147" s="4">
        <f t="shared" si="47"/>
        <v>5</v>
      </c>
      <c r="M147" s="4">
        <f t="shared" si="48"/>
        <v>18</v>
      </c>
      <c r="N147" s="4">
        <f t="shared" si="49"/>
        <v>0</v>
      </c>
      <c r="O147" s="4">
        <f t="shared" si="50"/>
        <v>18</v>
      </c>
      <c r="P147" s="4">
        <f t="shared" si="51"/>
        <v>1</v>
      </c>
      <c r="Q147" s="4">
        <f t="shared" si="52"/>
        <v>12</v>
      </c>
      <c r="R147" s="4">
        <f t="shared" si="53"/>
        <v>0</v>
      </c>
      <c r="S147" s="4">
        <f t="shared" si="54"/>
        <v>18</v>
      </c>
      <c r="T147" s="4">
        <f t="shared" si="55"/>
        <v>7</v>
      </c>
      <c r="U147" s="4">
        <f t="shared" si="56"/>
        <v>27</v>
      </c>
      <c r="V147" s="8">
        <f t="shared" si="57"/>
        <v>6</v>
      </c>
      <c r="W147" s="8">
        <f t="shared" si="58"/>
        <v>4</v>
      </c>
      <c r="X147">
        <f t="shared" si="59"/>
        <v>1</v>
      </c>
    </row>
    <row r="148" spans="1:24" x14ac:dyDescent="0.25">
      <c r="A148" s="4" t="s">
        <v>174</v>
      </c>
      <c r="B148" t="s">
        <v>13</v>
      </c>
      <c r="C148" t="s">
        <v>4</v>
      </c>
      <c r="D148" s="3">
        <f t="shared" si="40"/>
        <v>61</v>
      </c>
      <c r="E148" s="4">
        <f t="shared" si="41"/>
        <v>5</v>
      </c>
      <c r="F148" s="4">
        <f t="shared" si="42"/>
        <v>23</v>
      </c>
      <c r="G148" s="3">
        <f>IF(E148&gt;=20,2000,1900) + D148</f>
        <v>1961</v>
      </c>
      <c r="H148">
        <f t="shared" si="43"/>
        <v>5</v>
      </c>
      <c r="I148" s="4">
        <f t="shared" si="44"/>
        <v>23</v>
      </c>
      <c r="J148">
        <f t="shared" si="45"/>
        <v>19610523</v>
      </c>
      <c r="K148" t="str">
        <f t="shared" si="46"/>
        <v>23.05.1961</v>
      </c>
      <c r="L148" s="4">
        <f t="shared" si="47"/>
        <v>6</v>
      </c>
      <c r="M148" s="4">
        <f t="shared" si="48"/>
        <v>3</v>
      </c>
      <c r="N148" s="4">
        <f t="shared" si="49"/>
        <v>0</v>
      </c>
      <c r="O148" s="4">
        <f t="shared" si="50"/>
        <v>45</v>
      </c>
      <c r="P148" s="4">
        <f t="shared" si="51"/>
        <v>2</v>
      </c>
      <c r="Q148" s="4">
        <f t="shared" si="52"/>
        <v>9</v>
      </c>
      <c r="R148" s="4">
        <f t="shared" si="53"/>
        <v>28</v>
      </c>
      <c r="S148" s="4">
        <f t="shared" si="54"/>
        <v>54</v>
      </c>
      <c r="T148" s="4">
        <f t="shared" si="55"/>
        <v>3</v>
      </c>
      <c r="U148" s="4">
        <f t="shared" si="56"/>
        <v>24</v>
      </c>
      <c r="V148" s="8">
        <f t="shared" si="57"/>
        <v>4</v>
      </c>
      <c r="W148" s="8">
        <f t="shared" si="58"/>
        <v>6</v>
      </c>
      <c r="X148">
        <f t="shared" si="59"/>
        <v>1</v>
      </c>
    </row>
    <row r="149" spans="1:24" x14ac:dyDescent="0.25">
      <c r="A149" s="4" t="s">
        <v>175</v>
      </c>
      <c r="B149" t="s">
        <v>13</v>
      </c>
      <c r="C149" t="s">
        <v>4</v>
      </c>
      <c r="D149" s="3">
        <f t="shared" si="40"/>
        <v>51</v>
      </c>
      <c r="E149" s="4">
        <f t="shared" si="41"/>
        <v>12</v>
      </c>
      <c r="F149" s="4">
        <f t="shared" si="42"/>
        <v>28</v>
      </c>
      <c r="G149" s="3">
        <f>IF(E149&gt;=20,2000,1900) + D149</f>
        <v>1951</v>
      </c>
      <c r="H149">
        <f t="shared" si="43"/>
        <v>12</v>
      </c>
      <c r="I149" s="4">
        <f t="shared" si="44"/>
        <v>28</v>
      </c>
      <c r="J149">
        <f t="shared" si="45"/>
        <v>19511228</v>
      </c>
      <c r="K149" t="str">
        <f t="shared" si="46"/>
        <v>28.12.1951</v>
      </c>
      <c r="L149" s="4">
        <f t="shared" si="47"/>
        <v>5</v>
      </c>
      <c r="M149" s="4">
        <f t="shared" si="48"/>
        <v>3</v>
      </c>
      <c r="N149" s="4">
        <f t="shared" si="49"/>
        <v>7</v>
      </c>
      <c r="O149" s="4">
        <f t="shared" si="50"/>
        <v>18</v>
      </c>
      <c r="P149" s="4">
        <f t="shared" si="51"/>
        <v>2</v>
      </c>
      <c r="Q149" s="4">
        <f t="shared" si="52"/>
        <v>24</v>
      </c>
      <c r="R149" s="4">
        <f t="shared" si="53"/>
        <v>63</v>
      </c>
      <c r="S149" s="4">
        <f t="shared" si="54"/>
        <v>27</v>
      </c>
      <c r="T149" s="4">
        <f t="shared" si="55"/>
        <v>8</v>
      </c>
      <c r="U149" s="4">
        <f t="shared" si="56"/>
        <v>24</v>
      </c>
      <c r="V149" s="8">
        <f t="shared" si="57"/>
        <v>1</v>
      </c>
      <c r="W149" s="8">
        <f t="shared" si="58"/>
        <v>9</v>
      </c>
      <c r="X149">
        <f t="shared" si="59"/>
        <v>1</v>
      </c>
    </row>
    <row r="150" spans="1:24" x14ac:dyDescent="0.25">
      <c r="A150" s="4" t="s">
        <v>176</v>
      </c>
      <c r="B150" t="s">
        <v>19</v>
      </c>
      <c r="C150" t="s">
        <v>4</v>
      </c>
      <c r="D150" s="3">
        <f t="shared" si="40"/>
        <v>71</v>
      </c>
      <c r="E150" s="4">
        <f t="shared" si="41"/>
        <v>6</v>
      </c>
      <c r="F150" s="4">
        <f t="shared" si="42"/>
        <v>30</v>
      </c>
      <c r="G150" s="3">
        <f>IF(E150&gt;=20,2000,1900) + D150</f>
        <v>1971</v>
      </c>
      <c r="H150">
        <f t="shared" si="43"/>
        <v>6</v>
      </c>
      <c r="I150" s="4">
        <f t="shared" si="44"/>
        <v>30</v>
      </c>
      <c r="J150">
        <f t="shared" si="45"/>
        <v>19710630</v>
      </c>
      <c r="K150" t="str">
        <f t="shared" si="46"/>
        <v>30.06.1971</v>
      </c>
      <c r="L150" s="4">
        <f t="shared" si="47"/>
        <v>7</v>
      </c>
      <c r="M150" s="4">
        <f t="shared" si="48"/>
        <v>3</v>
      </c>
      <c r="N150" s="4">
        <f t="shared" si="49"/>
        <v>0</v>
      </c>
      <c r="O150" s="4">
        <f t="shared" si="50"/>
        <v>54</v>
      </c>
      <c r="P150" s="4">
        <f t="shared" si="51"/>
        <v>3</v>
      </c>
      <c r="Q150" s="4">
        <f t="shared" si="52"/>
        <v>0</v>
      </c>
      <c r="R150" s="4">
        <f t="shared" si="53"/>
        <v>42</v>
      </c>
      <c r="S150" s="4">
        <f t="shared" si="54"/>
        <v>0</v>
      </c>
      <c r="T150" s="4">
        <f t="shared" si="55"/>
        <v>2</v>
      </c>
      <c r="U150" s="4">
        <f t="shared" si="56"/>
        <v>9</v>
      </c>
      <c r="V150" s="8">
        <f t="shared" si="57"/>
        <v>0</v>
      </c>
      <c r="W150" s="8">
        <f t="shared" si="58"/>
        <v>0</v>
      </c>
      <c r="X150">
        <f t="shared" si="59"/>
        <v>1</v>
      </c>
    </row>
    <row r="151" spans="1:24" x14ac:dyDescent="0.25">
      <c r="A151" s="4" t="s">
        <v>177</v>
      </c>
      <c r="B151" t="s">
        <v>5</v>
      </c>
      <c r="C151" t="s">
        <v>6</v>
      </c>
      <c r="D151" s="3">
        <f t="shared" si="40"/>
        <v>74</v>
      </c>
      <c r="E151" s="4">
        <f t="shared" si="41"/>
        <v>7</v>
      </c>
      <c r="F151" s="4">
        <f t="shared" si="42"/>
        <v>22</v>
      </c>
      <c r="G151" s="3">
        <f>IF(E151&gt;=20,2000,1900) + D151</f>
        <v>1974</v>
      </c>
      <c r="H151">
        <f t="shared" si="43"/>
        <v>7</v>
      </c>
      <c r="I151" s="4">
        <f t="shared" si="44"/>
        <v>22</v>
      </c>
      <c r="J151">
        <f t="shared" si="45"/>
        <v>19740722</v>
      </c>
      <c r="K151" t="str">
        <f t="shared" si="46"/>
        <v>22.07.1974</v>
      </c>
      <c r="L151" s="4">
        <f t="shared" si="47"/>
        <v>7</v>
      </c>
      <c r="M151" s="4">
        <f t="shared" si="48"/>
        <v>12</v>
      </c>
      <c r="N151" s="4">
        <f t="shared" si="49"/>
        <v>0</v>
      </c>
      <c r="O151" s="4">
        <f t="shared" si="50"/>
        <v>63</v>
      </c>
      <c r="P151" s="4">
        <f t="shared" si="51"/>
        <v>2</v>
      </c>
      <c r="Q151" s="4">
        <f t="shared" si="52"/>
        <v>6</v>
      </c>
      <c r="R151" s="4">
        <f t="shared" si="53"/>
        <v>49</v>
      </c>
      <c r="S151" s="4">
        <f t="shared" si="54"/>
        <v>81</v>
      </c>
      <c r="T151" s="4">
        <f t="shared" si="55"/>
        <v>3</v>
      </c>
      <c r="U151" s="4">
        <f t="shared" si="56"/>
        <v>24</v>
      </c>
      <c r="V151" s="8">
        <f t="shared" si="57"/>
        <v>7</v>
      </c>
      <c r="W151" s="8">
        <f t="shared" si="58"/>
        <v>3</v>
      </c>
      <c r="X151">
        <f t="shared" si="59"/>
        <v>1</v>
      </c>
    </row>
    <row r="152" spans="1:24" x14ac:dyDescent="0.25">
      <c r="A152" s="4" t="s">
        <v>178</v>
      </c>
      <c r="B152" t="s">
        <v>10</v>
      </c>
      <c r="C152" t="s">
        <v>4</v>
      </c>
      <c r="D152" s="3">
        <f t="shared" si="40"/>
        <v>91</v>
      </c>
      <c r="E152" s="4">
        <f t="shared" si="41"/>
        <v>9</v>
      </c>
      <c r="F152" s="4">
        <f t="shared" si="42"/>
        <v>14</v>
      </c>
      <c r="G152" s="3">
        <f>IF(E152&gt;=20,2000,1900) + D152</f>
        <v>1991</v>
      </c>
      <c r="H152">
        <f t="shared" si="43"/>
        <v>9</v>
      </c>
      <c r="I152" s="4">
        <f t="shared" si="44"/>
        <v>14</v>
      </c>
      <c r="J152">
        <f t="shared" si="45"/>
        <v>19910914</v>
      </c>
      <c r="K152" t="str">
        <f t="shared" si="46"/>
        <v>14.09.1991</v>
      </c>
      <c r="L152" s="4">
        <f t="shared" si="47"/>
        <v>9</v>
      </c>
      <c r="M152" s="4">
        <f t="shared" si="48"/>
        <v>3</v>
      </c>
      <c r="N152" s="4">
        <f t="shared" si="49"/>
        <v>0</v>
      </c>
      <c r="O152" s="4">
        <f t="shared" si="50"/>
        <v>81</v>
      </c>
      <c r="P152" s="4">
        <f t="shared" si="51"/>
        <v>1</v>
      </c>
      <c r="Q152" s="4">
        <f t="shared" si="52"/>
        <v>12</v>
      </c>
      <c r="R152" s="4">
        <f t="shared" si="53"/>
        <v>56</v>
      </c>
      <c r="S152" s="4">
        <f t="shared" si="54"/>
        <v>9</v>
      </c>
      <c r="T152" s="4">
        <f t="shared" si="55"/>
        <v>5</v>
      </c>
      <c r="U152" s="4">
        <f t="shared" si="56"/>
        <v>9</v>
      </c>
      <c r="V152" s="8">
        <f t="shared" si="57"/>
        <v>5</v>
      </c>
      <c r="W152" s="8">
        <f t="shared" si="58"/>
        <v>5</v>
      </c>
      <c r="X152">
        <f t="shared" si="59"/>
        <v>1</v>
      </c>
    </row>
    <row r="153" spans="1:24" x14ac:dyDescent="0.25">
      <c r="A153" s="4" t="s">
        <v>179</v>
      </c>
      <c r="B153" t="s">
        <v>9</v>
      </c>
      <c r="C153" t="s">
        <v>6</v>
      </c>
      <c r="D153" s="3">
        <f t="shared" si="40"/>
        <v>57</v>
      </c>
      <c r="E153" s="4">
        <f t="shared" si="41"/>
        <v>12</v>
      </c>
      <c r="F153" s="4">
        <f t="shared" si="42"/>
        <v>23</v>
      </c>
      <c r="G153" s="3">
        <f>IF(E153&gt;=20,2000,1900) + D153</f>
        <v>1957</v>
      </c>
      <c r="H153">
        <f t="shared" si="43"/>
        <v>12</v>
      </c>
      <c r="I153" s="4">
        <f t="shared" si="44"/>
        <v>23</v>
      </c>
      <c r="J153">
        <f t="shared" si="45"/>
        <v>19571223</v>
      </c>
      <c r="K153" t="str">
        <f t="shared" si="46"/>
        <v>23.12.1957</v>
      </c>
      <c r="L153" s="4">
        <f t="shared" si="47"/>
        <v>5</v>
      </c>
      <c r="M153" s="4">
        <f t="shared" si="48"/>
        <v>21</v>
      </c>
      <c r="N153" s="4">
        <f t="shared" si="49"/>
        <v>7</v>
      </c>
      <c r="O153" s="4">
        <f t="shared" si="50"/>
        <v>18</v>
      </c>
      <c r="P153" s="4">
        <f t="shared" si="51"/>
        <v>2</v>
      </c>
      <c r="Q153" s="4">
        <f t="shared" si="52"/>
        <v>9</v>
      </c>
      <c r="R153" s="4">
        <f t="shared" si="53"/>
        <v>0</v>
      </c>
      <c r="S153" s="4">
        <f t="shared" si="54"/>
        <v>0</v>
      </c>
      <c r="T153" s="4">
        <f t="shared" si="55"/>
        <v>2</v>
      </c>
      <c r="U153" s="4">
        <f t="shared" si="56"/>
        <v>12</v>
      </c>
      <c r="V153" s="8">
        <f t="shared" si="57"/>
        <v>6</v>
      </c>
      <c r="W153" s="8">
        <f t="shared" si="58"/>
        <v>4</v>
      </c>
      <c r="X153">
        <f t="shared" si="59"/>
        <v>1</v>
      </c>
    </row>
    <row r="154" spans="1:24" x14ac:dyDescent="0.25">
      <c r="A154" s="4" t="s">
        <v>180</v>
      </c>
      <c r="B154" t="s">
        <v>7</v>
      </c>
      <c r="C154" t="s">
        <v>6</v>
      </c>
      <c r="D154" s="3">
        <f t="shared" si="40"/>
        <v>99</v>
      </c>
      <c r="E154" s="4">
        <f t="shared" si="41"/>
        <v>4</v>
      </c>
      <c r="F154" s="4">
        <f t="shared" si="42"/>
        <v>14</v>
      </c>
      <c r="G154" s="3">
        <f>IF(E154&gt;=20,2000,1900) + D154</f>
        <v>1999</v>
      </c>
      <c r="H154">
        <f t="shared" si="43"/>
        <v>4</v>
      </c>
      <c r="I154" s="4">
        <f t="shared" si="44"/>
        <v>14</v>
      </c>
      <c r="J154">
        <f t="shared" si="45"/>
        <v>19990414</v>
      </c>
      <c r="K154" t="str">
        <f t="shared" si="46"/>
        <v>14.04.1999</v>
      </c>
      <c r="L154" s="4">
        <f t="shared" si="47"/>
        <v>9</v>
      </c>
      <c r="M154" s="4">
        <f t="shared" si="48"/>
        <v>27</v>
      </c>
      <c r="N154" s="4">
        <f t="shared" si="49"/>
        <v>0</v>
      </c>
      <c r="O154" s="4">
        <f t="shared" si="50"/>
        <v>36</v>
      </c>
      <c r="P154" s="4">
        <f t="shared" si="51"/>
        <v>1</v>
      </c>
      <c r="Q154" s="4">
        <f t="shared" si="52"/>
        <v>12</v>
      </c>
      <c r="R154" s="4">
        <f t="shared" si="53"/>
        <v>49</v>
      </c>
      <c r="S154" s="4">
        <f t="shared" si="54"/>
        <v>81</v>
      </c>
      <c r="T154" s="4">
        <f t="shared" si="55"/>
        <v>0</v>
      </c>
      <c r="U154" s="4">
        <f t="shared" si="56"/>
        <v>27</v>
      </c>
      <c r="V154" s="8">
        <f t="shared" si="57"/>
        <v>2</v>
      </c>
      <c r="W154" s="8">
        <f t="shared" si="58"/>
        <v>8</v>
      </c>
      <c r="X154">
        <f t="shared" si="59"/>
        <v>1</v>
      </c>
    </row>
    <row r="155" spans="1:24" x14ac:dyDescent="0.25">
      <c r="A155" s="4" t="s">
        <v>181</v>
      </c>
      <c r="B155" t="s">
        <v>18</v>
      </c>
      <c r="C155" t="s">
        <v>4</v>
      </c>
      <c r="D155" s="3">
        <f t="shared" si="40"/>
        <v>67</v>
      </c>
      <c r="E155" s="4">
        <f t="shared" si="41"/>
        <v>10</v>
      </c>
      <c r="F155" s="4">
        <f t="shared" si="42"/>
        <v>3</v>
      </c>
      <c r="G155" s="3">
        <f>IF(E155&gt;=20,2000,1900) + D155</f>
        <v>1967</v>
      </c>
      <c r="H155">
        <f t="shared" si="43"/>
        <v>10</v>
      </c>
      <c r="I155" s="4">
        <f t="shared" si="44"/>
        <v>3</v>
      </c>
      <c r="J155">
        <f t="shared" si="45"/>
        <v>19671003</v>
      </c>
      <c r="K155" t="str">
        <f t="shared" si="46"/>
        <v>03.10.1967</v>
      </c>
      <c r="L155" s="4">
        <f t="shared" si="47"/>
        <v>6</v>
      </c>
      <c r="M155" s="4">
        <f t="shared" si="48"/>
        <v>21</v>
      </c>
      <c r="N155" s="4">
        <f t="shared" si="49"/>
        <v>7</v>
      </c>
      <c r="O155" s="4">
        <f t="shared" si="50"/>
        <v>0</v>
      </c>
      <c r="P155" s="4">
        <f t="shared" si="51"/>
        <v>0</v>
      </c>
      <c r="Q155" s="4">
        <f t="shared" si="52"/>
        <v>9</v>
      </c>
      <c r="R155" s="4">
        <f t="shared" si="53"/>
        <v>0</v>
      </c>
      <c r="S155" s="4">
        <f t="shared" si="54"/>
        <v>81</v>
      </c>
      <c r="T155" s="4">
        <f t="shared" si="55"/>
        <v>6</v>
      </c>
      <c r="U155" s="4">
        <f t="shared" si="56"/>
        <v>9</v>
      </c>
      <c r="V155" s="8">
        <f t="shared" si="57"/>
        <v>9</v>
      </c>
      <c r="W155" s="8">
        <f t="shared" si="58"/>
        <v>1</v>
      </c>
      <c r="X155">
        <f t="shared" si="59"/>
        <v>1</v>
      </c>
    </row>
    <row r="156" spans="1:24" x14ac:dyDescent="0.25">
      <c r="A156" s="4" t="s">
        <v>182</v>
      </c>
      <c r="B156" t="s">
        <v>17</v>
      </c>
      <c r="C156" t="s">
        <v>4</v>
      </c>
      <c r="D156" s="3">
        <f t="shared" si="40"/>
        <v>82</v>
      </c>
      <c r="E156" s="4">
        <f t="shared" si="41"/>
        <v>6</v>
      </c>
      <c r="F156" s="4">
        <f t="shared" si="42"/>
        <v>20</v>
      </c>
      <c r="G156" s="3">
        <f>IF(E156&gt;=20,2000,1900) + D156</f>
        <v>1982</v>
      </c>
      <c r="H156">
        <f t="shared" si="43"/>
        <v>6</v>
      </c>
      <c r="I156" s="4">
        <f t="shared" si="44"/>
        <v>20</v>
      </c>
      <c r="J156">
        <f t="shared" si="45"/>
        <v>19820620</v>
      </c>
      <c r="K156" t="str">
        <f t="shared" si="46"/>
        <v>20.06.1982</v>
      </c>
      <c r="L156" s="4">
        <f t="shared" si="47"/>
        <v>8</v>
      </c>
      <c r="M156" s="4">
        <f t="shared" si="48"/>
        <v>6</v>
      </c>
      <c r="N156" s="4">
        <f t="shared" si="49"/>
        <v>0</v>
      </c>
      <c r="O156" s="4">
        <f t="shared" si="50"/>
        <v>54</v>
      </c>
      <c r="P156" s="4">
        <f t="shared" si="51"/>
        <v>2</v>
      </c>
      <c r="Q156" s="4">
        <f t="shared" si="52"/>
        <v>0</v>
      </c>
      <c r="R156" s="4">
        <f t="shared" si="53"/>
        <v>35</v>
      </c>
      <c r="S156" s="4">
        <f t="shared" si="54"/>
        <v>72</v>
      </c>
      <c r="T156" s="4">
        <f t="shared" si="55"/>
        <v>2</v>
      </c>
      <c r="U156" s="4">
        <f t="shared" si="56"/>
        <v>3</v>
      </c>
      <c r="V156" s="8">
        <f t="shared" si="57"/>
        <v>2</v>
      </c>
      <c r="W156" s="8">
        <f t="shared" si="58"/>
        <v>8</v>
      </c>
      <c r="X156">
        <f t="shared" si="59"/>
        <v>1</v>
      </c>
    </row>
    <row r="157" spans="1:24" x14ac:dyDescent="0.25">
      <c r="A157" s="4" t="s">
        <v>183</v>
      </c>
      <c r="B157" t="s">
        <v>11</v>
      </c>
      <c r="C157" t="s">
        <v>4</v>
      </c>
      <c r="D157" s="3">
        <f t="shared" si="40"/>
        <v>57</v>
      </c>
      <c r="E157" s="4">
        <f t="shared" si="41"/>
        <v>12</v>
      </c>
      <c r="F157" s="4">
        <f t="shared" si="42"/>
        <v>20</v>
      </c>
      <c r="G157" s="3">
        <f>IF(E157&gt;=20,2000,1900) + D157</f>
        <v>1957</v>
      </c>
      <c r="H157">
        <f t="shared" si="43"/>
        <v>12</v>
      </c>
      <c r="I157" s="4">
        <f t="shared" si="44"/>
        <v>20</v>
      </c>
      <c r="J157">
        <f t="shared" si="45"/>
        <v>19571220</v>
      </c>
      <c r="K157" t="str">
        <f t="shared" si="46"/>
        <v>20.12.1957</v>
      </c>
      <c r="L157" s="4">
        <f t="shared" si="47"/>
        <v>5</v>
      </c>
      <c r="M157" s="4">
        <f t="shared" si="48"/>
        <v>21</v>
      </c>
      <c r="N157" s="4">
        <f t="shared" si="49"/>
        <v>7</v>
      </c>
      <c r="O157" s="4">
        <f t="shared" si="50"/>
        <v>18</v>
      </c>
      <c r="P157" s="4">
        <f t="shared" si="51"/>
        <v>2</v>
      </c>
      <c r="Q157" s="4">
        <f t="shared" si="52"/>
        <v>0</v>
      </c>
      <c r="R157" s="4">
        <f t="shared" si="53"/>
        <v>7</v>
      </c>
      <c r="S157" s="4">
        <f t="shared" si="54"/>
        <v>27</v>
      </c>
      <c r="T157" s="4">
        <f t="shared" si="55"/>
        <v>2</v>
      </c>
      <c r="U157" s="4">
        <f t="shared" si="56"/>
        <v>24</v>
      </c>
      <c r="V157" s="8">
        <f t="shared" si="57"/>
        <v>3</v>
      </c>
      <c r="W157" s="8">
        <f t="shared" si="58"/>
        <v>7</v>
      </c>
      <c r="X157">
        <f t="shared" si="59"/>
        <v>1</v>
      </c>
    </row>
    <row r="158" spans="1:24" x14ac:dyDescent="0.25">
      <c r="A158" s="4" t="s">
        <v>184</v>
      </c>
      <c r="B158" t="s">
        <v>16</v>
      </c>
      <c r="C158" t="s">
        <v>6</v>
      </c>
      <c r="D158" s="3">
        <f t="shared" si="40"/>
        <v>67</v>
      </c>
      <c r="E158" s="4">
        <f t="shared" si="41"/>
        <v>11</v>
      </c>
      <c r="F158" s="4">
        <f t="shared" si="42"/>
        <v>21</v>
      </c>
      <c r="G158" s="3">
        <f>IF(E158&gt;=20,2000,1900) + D158</f>
        <v>1967</v>
      </c>
      <c r="H158">
        <f t="shared" si="43"/>
        <v>11</v>
      </c>
      <c r="I158" s="4">
        <f t="shared" si="44"/>
        <v>21</v>
      </c>
      <c r="J158">
        <f t="shared" si="45"/>
        <v>19671121</v>
      </c>
      <c r="K158" t="str">
        <f t="shared" si="46"/>
        <v>21.11.1967</v>
      </c>
      <c r="L158" s="4">
        <f t="shared" si="47"/>
        <v>6</v>
      </c>
      <c r="M158" s="4">
        <f t="shared" si="48"/>
        <v>21</v>
      </c>
      <c r="N158" s="4">
        <f t="shared" si="49"/>
        <v>7</v>
      </c>
      <c r="O158" s="4">
        <f t="shared" si="50"/>
        <v>9</v>
      </c>
      <c r="P158" s="4">
        <f t="shared" si="51"/>
        <v>2</v>
      </c>
      <c r="Q158" s="4">
        <f t="shared" si="52"/>
        <v>3</v>
      </c>
      <c r="R158" s="4">
        <f t="shared" si="53"/>
        <v>28</v>
      </c>
      <c r="S158" s="4">
        <f t="shared" si="54"/>
        <v>54</v>
      </c>
      <c r="T158" s="4">
        <f t="shared" si="55"/>
        <v>8</v>
      </c>
      <c r="U158" s="4">
        <f t="shared" si="56"/>
        <v>0</v>
      </c>
      <c r="V158" s="8">
        <f t="shared" si="57"/>
        <v>8</v>
      </c>
      <c r="W158" s="8">
        <f t="shared" si="58"/>
        <v>2</v>
      </c>
      <c r="X158">
        <f t="shared" si="59"/>
        <v>1</v>
      </c>
    </row>
    <row r="159" spans="1:24" x14ac:dyDescent="0.25">
      <c r="A159" s="4" t="s">
        <v>185</v>
      </c>
      <c r="B159" t="s">
        <v>9</v>
      </c>
      <c r="C159" t="s">
        <v>4</v>
      </c>
      <c r="D159" s="3">
        <f t="shared" si="40"/>
        <v>87</v>
      </c>
      <c r="E159" s="4">
        <f t="shared" si="41"/>
        <v>9</v>
      </c>
      <c r="F159" s="4">
        <f t="shared" si="42"/>
        <v>2</v>
      </c>
      <c r="G159" s="3">
        <f>IF(E159&gt;=20,2000,1900) + D159</f>
        <v>1987</v>
      </c>
      <c r="H159">
        <f t="shared" si="43"/>
        <v>9</v>
      </c>
      <c r="I159" s="4">
        <f t="shared" si="44"/>
        <v>2</v>
      </c>
      <c r="J159">
        <f t="shared" si="45"/>
        <v>19870902</v>
      </c>
      <c r="K159" t="str">
        <f t="shared" si="46"/>
        <v>02.09.1987</v>
      </c>
      <c r="L159" s="4">
        <f t="shared" si="47"/>
        <v>8</v>
      </c>
      <c r="M159" s="4">
        <f t="shared" si="48"/>
        <v>21</v>
      </c>
      <c r="N159" s="4">
        <f t="shared" si="49"/>
        <v>0</v>
      </c>
      <c r="O159" s="4">
        <f t="shared" si="50"/>
        <v>81</v>
      </c>
      <c r="P159" s="4">
        <f t="shared" si="51"/>
        <v>0</v>
      </c>
      <c r="Q159" s="4">
        <f t="shared" si="52"/>
        <v>6</v>
      </c>
      <c r="R159" s="4">
        <f t="shared" si="53"/>
        <v>14</v>
      </c>
      <c r="S159" s="4">
        <f t="shared" si="54"/>
        <v>9</v>
      </c>
      <c r="T159" s="4">
        <f t="shared" si="55"/>
        <v>8</v>
      </c>
      <c r="U159" s="4">
        <f t="shared" si="56"/>
        <v>0</v>
      </c>
      <c r="V159" s="8">
        <f t="shared" si="57"/>
        <v>7</v>
      </c>
      <c r="W159" s="8">
        <f t="shared" si="58"/>
        <v>3</v>
      </c>
      <c r="X159">
        <f t="shared" si="59"/>
        <v>1</v>
      </c>
    </row>
    <row r="160" spans="1:24" x14ac:dyDescent="0.25">
      <c r="A160" s="4" t="s">
        <v>186</v>
      </c>
      <c r="B160" t="s">
        <v>7</v>
      </c>
      <c r="C160" t="s">
        <v>6</v>
      </c>
      <c r="D160" s="3">
        <f t="shared" si="40"/>
        <v>61</v>
      </c>
      <c r="E160" s="4">
        <f t="shared" si="41"/>
        <v>3</v>
      </c>
      <c r="F160" s="4">
        <f t="shared" si="42"/>
        <v>24</v>
      </c>
      <c r="G160" s="3">
        <f>IF(E160&gt;=20,2000,1900) + D160</f>
        <v>1961</v>
      </c>
      <c r="H160">
        <f t="shared" si="43"/>
        <v>3</v>
      </c>
      <c r="I160" s="4">
        <f t="shared" si="44"/>
        <v>24</v>
      </c>
      <c r="J160">
        <f t="shared" si="45"/>
        <v>19610324</v>
      </c>
      <c r="K160" t="str">
        <f t="shared" si="46"/>
        <v>24.03.1961</v>
      </c>
      <c r="L160" s="4">
        <f t="shared" si="47"/>
        <v>6</v>
      </c>
      <c r="M160" s="4">
        <f t="shared" si="48"/>
        <v>3</v>
      </c>
      <c r="N160" s="4">
        <f t="shared" si="49"/>
        <v>0</v>
      </c>
      <c r="O160" s="4">
        <f t="shared" si="50"/>
        <v>27</v>
      </c>
      <c r="P160" s="4">
        <f t="shared" si="51"/>
        <v>2</v>
      </c>
      <c r="Q160" s="4">
        <f t="shared" si="52"/>
        <v>12</v>
      </c>
      <c r="R160" s="4">
        <f t="shared" si="53"/>
        <v>21</v>
      </c>
      <c r="S160" s="4">
        <f t="shared" si="54"/>
        <v>0</v>
      </c>
      <c r="T160" s="4">
        <f t="shared" si="55"/>
        <v>0</v>
      </c>
      <c r="U160" s="4">
        <f t="shared" si="56"/>
        <v>9</v>
      </c>
      <c r="V160" s="8">
        <f t="shared" si="57"/>
        <v>0</v>
      </c>
      <c r="W160" s="8">
        <f t="shared" si="58"/>
        <v>0</v>
      </c>
      <c r="X160">
        <f t="shared" si="59"/>
        <v>1</v>
      </c>
    </row>
    <row r="161" spans="1:24" x14ac:dyDescent="0.25">
      <c r="A161" s="4" t="s">
        <v>187</v>
      </c>
      <c r="B161" t="s">
        <v>5</v>
      </c>
      <c r="C161" t="s">
        <v>6</v>
      </c>
      <c r="D161" s="3">
        <f t="shared" si="40"/>
        <v>64</v>
      </c>
      <c r="E161" s="4">
        <f t="shared" si="41"/>
        <v>8</v>
      </c>
      <c r="F161" s="4">
        <f t="shared" si="42"/>
        <v>7</v>
      </c>
      <c r="G161" s="3">
        <f>IF(E161&gt;=20,2000,1900) + D161</f>
        <v>1964</v>
      </c>
      <c r="H161">
        <f t="shared" si="43"/>
        <v>8</v>
      </c>
      <c r="I161" s="4">
        <f t="shared" si="44"/>
        <v>7</v>
      </c>
      <c r="J161">
        <f t="shared" si="45"/>
        <v>19640807</v>
      </c>
      <c r="K161" t="str">
        <f t="shared" si="46"/>
        <v>07.08.1964</v>
      </c>
      <c r="L161" s="4">
        <f t="shared" si="47"/>
        <v>6</v>
      </c>
      <c r="M161" s="4">
        <f t="shared" si="48"/>
        <v>12</v>
      </c>
      <c r="N161" s="4">
        <f t="shared" si="49"/>
        <v>0</v>
      </c>
      <c r="O161" s="4">
        <f t="shared" si="50"/>
        <v>72</v>
      </c>
      <c r="P161" s="4">
        <f t="shared" si="51"/>
        <v>0</v>
      </c>
      <c r="Q161" s="4">
        <f t="shared" si="52"/>
        <v>21</v>
      </c>
      <c r="R161" s="4">
        <f t="shared" si="53"/>
        <v>7</v>
      </c>
      <c r="S161" s="4">
        <f t="shared" si="54"/>
        <v>54</v>
      </c>
      <c r="T161" s="4">
        <f t="shared" si="55"/>
        <v>4</v>
      </c>
      <c r="U161" s="4">
        <f t="shared" si="56"/>
        <v>0</v>
      </c>
      <c r="V161" s="8">
        <f t="shared" si="57"/>
        <v>6</v>
      </c>
      <c r="W161" s="8">
        <f t="shared" si="58"/>
        <v>4</v>
      </c>
      <c r="X161">
        <f t="shared" si="59"/>
        <v>1</v>
      </c>
    </row>
    <row r="162" spans="1:24" x14ac:dyDescent="0.25">
      <c r="A162" s="4" t="s">
        <v>188</v>
      </c>
      <c r="B162" t="s">
        <v>9</v>
      </c>
      <c r="C162" t="s">
        <v>6</v>
      </c>
      <c r="D162" s="3">
        <f t="shared" si="40"/>
        <v>59</v>
      </c>
      <c r="E162" s="4">
        <f t="shared" si="41"/>
        <v>6</v>
      </c>
      <c r="F162" s="4">
        <f t="shared" si="42"/>
        <v>27</v>
      </c>
      <c r="G162" s="3">
        <f>IF(E162&gt;=20,2000,1900) + D162</f>
        <v>1959</v>
      </c>
      <c r="H162">
        <f t="shared" si="43"/>
        <v>6</v>
      </c>
      <c r="I162" s="4">
        <f t="shared" si="44"/>
        <v>27</v>
      </c>
      <c r="J162">
        <f t="shared" si="45"/>
        <v>19590627</v>
      </c>
      <c r="K162" t="str">
        <f t="shared" si="46"/>
        <v>27.06.1959</v>
      </c>
      <c r="L162" s="4">
        <f t="shared" si="47"/>
        <v>5</v>
      </c>
      <c r="M162" s="4">
        <f t="shared" si="48"/>
        <v>27</v>
      </c>
      <c r="N162" s="4">
        <f t="shared" si="49"/>
        <v>0</v>
      </c>
      <c r="O162" s="4">
        <f t="shared" si="50"/>
        <v>54</v>
      </c>
      <c r="P162" s="4">
        <f t="shared" si="51"/>
        <v>2</v>
      </c>
      <c r="Q162" s="4">
        <f t="shared" si="52"/>
        <v>21</v>
      </c>
      <c r="R162" s="4">
        <f t="shared" si="53"/>
        <v>63</v>
      </c>
      <c r="S162" s="4">
        <f t="shared" si="54"/>
        <v>54</v>
      </c>
      <c r="T162" s="4">
        <f t="shared" si="55"/>
        <v>5</v>
      </c>
      <c r="U162" s="4">
        <f t="shared" si="56"/>
        <v>21</v>
      </c>
      <c r="V162" s="8">
        <f t="shared" si="57"/>
        <v>2</v>
      </c>
      <c r="W162" s="8">
        <f t="shared" si="58"/>
        <v>8</v>
      </c>
      <c r="X162">
        <f t="shared" si="59"/>
        <v>1</v>
      </c>
    </row>
    <row r="163" spans="1:24" x14ac:dyDescent="0.25">
      <c r="A163" s="4" t="s">
        <v>189</v>
      </c>
      <c r="B163" t="s">
        <v>20</v>
      </c>
      <c r="C163" t="s">
        <v>6</v>
      </c>
      <c r="D163" s="3">
        <f t="shared" si="40"/>
        <v>65</v>
      </c>
      <c r="E163" s="4">
        <f t="shared" si="41"/>
        <v>4</v>
      </c>
      <c r="F163" s="4">
        <f t="shared" si="42"/>
        <v>6</v>
      </c>
      <c r="G163" s="3">
        <f>IF(E163&gt;=20,2000,1900) + D163</f>
        <v>1965</v>
      </c>
      <c r="H163">
        <f t="shared" si="43"/>
        <v>4</v>
      </c>
      <c r="I163" s="4">
        <f t="shared" si="44"/>
        <v>6</v>
      </c>
      <c r="J163">
        <f t="shared" si="45"/>
        <v>19650406</v>
      </c>
      <c r="K163" t="str">
        <f t="shared" si="46"/>
        <v>06.04.1965</v>
      </c>
      <c r="L163" s="4">
        <f t="shared" si="47"/>
        <v>6</v>
      </c>
      <c r="M163" s="4">
        <f t="shared" si="48"/>
        <v>15</v>
      </c>
      <c r="N163" s="4">
        <f t="shared" si="49"/>
        <v>0</v>
      </c>
      <c r="O163" s="4">
        <f t="shared" si="50"/>
        <v>36</v>
      </c>
      <c r="P163" s="4">
        <f t="shared" si="51"/>
        <v>0</v>
      </c>
      <c r="Q163" s="4">
        <f t="shared" si="52"/>
        <v>18</v>
      </c>
      <c r="R163" s="4">
        <f t="shared" si="53"/>
        <v>14</v>
      </c>
      <c r="S163" s="4">
        <f t="shared" si="54"/>
        <v>63</v>
      </c>
      <c r="T163" s="4">
        <f t="shared" si="55"/>
        <v>9</v>
      </c>
      <c r="U163" s="4">
        <f t="shared" si="56"/>
        <v>12</v>
      </c>
      <c r="V163" s="8">
        <f t="shared" si="57"/>
        <v>3</v>
      </c>
      <c r="W163" s="8">
        <f t="shared" si="58"/>
        <v>7</v>
      </c>
      <c r="X163">
        <f t="shared" si="59"/>
        <v>1</v>
      </c>
    </row>
    <row r="164" spans="1:24" x14ac:dyDescent="0.25">
      <c r="A164" s="4" t="s">
        <v>190</v>
      </c>
      <c r="B164" t="s">
        <v>13</v>
      </c>
      <c r="C164" t="s">
        <v>6</v>
      </c>
      <c r="D164" s="3">
        <f t="shared" si="40"/>
        <v>94</v>
      </c>
      <c r="E164" s="4">
        <f t="shared" si="41"/>
        <v>12</v>
      </c>
      <c r="F164" s="4">
        <f t="shared" si="42"/>
        <v>26</v>
      </c>
      <c r="G164" s="3">
        <f>IF(E164&gt;=20,2000,1900) + D164</f>
        <v>1994</v>
      </c>
      <c r="H164">
        <f t="shared" si="43"/>
        <v>12</v>
      </c>
      <c r="I164" s="4">
        <f t="shared" si="44"/>
        <v>26</v>
      </c>
      <c r="J164">
        <f t="shared" si="45"/>
        <v>19941226</v>
      </c>
      <c r="K164" t="str">
        <f t="shared" si="46"/>
        <v>26.12.1994</v>
      </c>
      <c r="L164" s="4">
        <f t="shared" si="47"/>
        <v>9</v>
      </c>
      <c r="M164" s="4">
        <f t="shared" si="48"/>
        <v>12</v>
      </c>
      <c r="N164" s="4">
        <f t="shared" si="49"/>
        <v>7</v>
      </c>
      <c r="O164" s="4">
        <f t="shared" si="50"/>
        <v>18</v>
      </c>
      <c r="P164" s="4">
        <f t="shared" si="51"/>
        <v>2</v>
      </c>
      <c r="Q164" s="4">
        <f t="shared" si="52"/>
        <v>18</v>
      </c>
      <c r="R164" s="4">
        <f t="shared" si="53"/>
        <v>21</v>
      </c>
      <c r="S164" s="4">
        <f t="shared" si="54"/>
        <v>72</v>
      </c>
      <c r="T164" s="4">
        <f t="shared" si="55"/>
        <v>3</v>
      </c>
      <c r="U164" s="4">
        <f t="shared" si="56"/>
        <v>15</v>
      </c>
      <c r="V164" s="8">
        <f t="shared" si="57"/>
        <v>7</v>
      </c>
      <c r="W164" s="8">
        <f t="shared" si="58"/>
        <v>3</v>
      </c>
      <c r="X164">
        <f t="shared" si="59"/>
        <v>1</v>
      </c>
    </row>
    <row r="165" spans="1:24" x14ac:dyDescent="0.25">
      <c r="A165" s="4" t="s">
        <v>191</v>
      </c>
      <c r="B165" t="s">
        <v>20</v>
      </c>
      <c r="C165" t="s">
        <v>4</v>
      </c>
      <c r="D165" s="3">
        <f t="shared" si="40"/>
        <v>58</v>
      </c>
      <c r="E165" s="4">
        <f t="shared" si="41"/>
        <v>9</v>
      </c>
      <c r="F165" s="4">
        <f t="shared" si="42"/>
        <v>13</v>
      </c>
      <c r="G165" s="3">
        <f>IF(E165&gt;=20,2000,1900) + D165</f>
        <v>1958</v>
      </c>
      <c r="H165">
        <f t="shared" si="43"/>
        <v>9</v>
      </c>
      <c r="I165" s="4">
        <f t="shared" si="44"/>
        <v>13</v>
      </c>
      <c r="J165">
        <f t="shared" si="45"/>
        <v>19580913</v>
      </c>
      <c r="K165" t="str">
        <f t="shared" si="46"/>
        <v>13.09.1958</v>
      </c>
      <c r="L165" s="4">
        <f t="shared" si="47"/>
        <v>5</v>
      </c>
      <c r="M165" s="4">
        <f t="shared" si="48"/>
        <v>24</v>
      </c>
      <c r="N165" s="4">
        <f t="shared" si="49"/>
        <v>0</v>
      </c>
      <c r="O165" s="4">
        <f t="shared" si="50"/>
        <v>81</v>
      </c>
      <c r="P165" s="4">
        <f t="shared" si="51"/>
        <v>1</v>
      </c>
      <c r="Q165" s="4">
        <f t="shared" si="52"/>
        <v>9</v>
      </c>
      <c r="R165" s="4">
        <f t="shared" si="53"/>
        <v>56</v>
      </c>
      <c r="S165" s="4">
        <f t="shared" si="54"/>
        <v>9</v>
      </c>
      <c r="T165" s="4">
        <f t="shared" si="55"/>
        <v>3</v>
      </c>
      <c r="U165" s="4">
        <f t="shared" si="56"/>
        <v>3</v>
      </c>
      <c r="V165" s="8">
        <f t="shared" si="57"/>
        <v>1</v>
      </c>
      <c r="W165" s="8">
        <f t="shared" si="58"/>
        <v>9</v>
      </c>
      <c r="X165">
        <f t="shared" si="59"/>
        <v>1</v>
      </c>
    </row>
    <row r="166" spans="1:24" x14ac:dyDescent="0.25">
      <c r="A166" s="4" t="s">
        <v>192</v>
      </c>
      <c r="B166" t="s">
        <v>7</v>
      </c>
      <c r="C166" t="s">
        <v>4</v>
      </c>
      <c r="D166" s="3">
        <f t="shared" si="40"/>
        <v>73</v>
      </c>
      <c r="E166" s="4">
        <f t="shared" si="41"/>
        <v>11</v>
      </c>
      <c r="F166" s="4">
        <f t="shared" si="42"/>
        <v>23</v>
      </c>
      <c r="G166" s="3">
        <f>IF(E166&gt;=20,2000,1900) + D166</f>
        <v>1973</v>
      </c>
      <c r="H166">
        <f t="shared" si="43"/>
        <v>11</v>
      </c>
      <c r="I166" s="4">
        <f t="shared" si="44"/>
        <v>23</v>
      </c>
      <c r="J166">
        <f t="shared" si="45"/>
        <v>19731123</v>
      </c>
      <c r="K166" t="str">
        <f t="shared" si="46"/>
        <v>23.11.1973</v>
      </c>
      <c r="L166" s="4">
        <f t="shared" si="47"/>
        <v>7</v>
      </c>
      <c r="M166" s="4">
        <f t="shared" si="48"/>
        <v>9</v>
      </c>
      <c r="N166" s="4">
        <f t="shared" si="49"/>
        <v>7</v>
      </c>
      <c r="O166" s="4">
        <f t="shared" si="50"/>
        <v>9</v>
      </c>
      <c r="P166" s="4">
        <f t="shared" si="51"/>
        <v>2</v>
      </c>
      <c r="Q166" s="4">
        <f t="shared" si="52"/>
        <v>9</v>
      </c>
      <c r="R166" s="4">
        <f t="shared" si="53"/>
        <v>21</v>
      </c>
      <c r="S166" s="4">
        <f t="shared" si="54"/>
        <v>18</v>
      </c>
      <c r="T166" s="4">
        <f t="shared" si="55"/>
        <v>6</v>
      </c>
      <c r="U166" s="4">
        <f t="shared" si="56"/>
        <v>12</v>
      </c>
      <c r="V166" s="8">
        <f t="shared" si="57"/>
        <v>0</v>
      </c>
      <c r="W166" s="8">
        <f t="shared" si="58"/>
        <v>0</v>
      </c>
      <c r="X166">
        <f t="shared" si="59"/>
        <v>1</v>
      </c>
    </row>
    <row r="167" spans="1:24" x14ac:dyDescent="0.25">
      <c r="A167" s="4" t="s">
        <v>193</v>
      </c>
      <c r="B167" t="s">
        <v>16</v>
      </c>
      <c r="C167" t="s">
        <v>4</v>
      </c>
      <c r="D167" s="3">
        <f t="shared" si="40"/>
        <v>61</v>
      </c>
      <c r="E167" s="4">
        <f t="shared" si="41"/>
        <v>5</v>
      </c>
      <c r="F167" s="4">
        <f t="shared" si="42"/>
        <v>28</v>
      </c>
      <c r="G167" s="3">
        <f>IF(E167&gt;=20,2000,1900) + D167</f>
        <v>1961</v>
      </c>
      <c r="H167">
        <f t="shared" si="43"/>
        <v>5</v>
      </c>
      <c r="I167" s="4">
        <f t="shared" si="44"/>
        <v>28</v>
      </c>
      <c r="J167">
        <f t="shared" si="45"/>
        <v>19610528</v>
      </c>
      <c r="K167" t="str">
        <f t="shared" si="46"/>
        <v>28.05.1961</v>
      </c>
      <c r="L167" s="4">
        <f t="shared" si="47"/>
        <v>6</v>
      </c>
      <c r="M167" s="4">
        <f t="shared" si="48"/>
        <v>3</v>
      </c>
      <c r="N167" s="4">
        <f t="shared" si="49"/>
        <v>0</v>
      </c>
      <c r="O167" s="4">
        <f t="shared" si="50"/>
        <v>45</v>
      </c>
      <c r="P167" s="4">
        <f t="shared" si="51"/>
        <v>2</v>
      </c>
      <c r="Q167" s="4">
        <f t="shared" si="52"/>
        <v>24</v>
      </c>
      <c r="R167" s="4">
        <f t="shared" si="53"/>
        <v>42</v>
      </c>
      <c r="S167" s="4">
        <f t="shared" si="54"/>
        <v>72</v>
      </c>
      <c r="T167" s="4">
        <f t="shared" si="55"/>
        <v>3</v>
      </c>
      <c r="U167" s="4">
        <f t="shared" si="56"/>
        <v>9</v>
      </c>
      <c r="V167" s="8">
        <f t="shared" si="57"/>
        <v>6</v>
      </c>
      <c r="W167" s="8">
        <f t="shared" si="58"/>
        <v>4</v>
      </c>
      <c r="X167">
        <f t="shared" si="59"/>
        <v>1</v>
      </c>
    </row>
    <row r="168" spans="1:24" x14ac:dyDescent="0.25">
      <c r="A168" s="4" t="s">
        <v>194</v>
      </c>
      <c r="B168" t="s">
        <v>18</v>
      </c>
      <c r="C168" t="s">
        <v>6</v>
      </c>
      <c r="D168" s="3">
        <f t="shared" si="40"/>
        <v>71</v>
      </c>
      <c r="E168" s="4">
        <f t="shared" si="41"/>
        <v>2</v>
      </c>
      <c r="F168" s="4">
        <f t="shared" si="42"/>
        <v>16</v>
      </c>
      <c r="G168" s="3">
        <f>IF(E168&gt;=20,2000,1900) + D168</f>
        <v>1971</v>
      </c>
      <c r="H168">
        <f t="shared" si="43"/>
        <v>2</v>
      </c>
      <c r="I168" s="4">
        <f t="shared" si="44"/>
        <v>16</v>
      </c>
      <c r="J168">
        <f t="shared" si="45"/>
        <v>19710216</v>
      </c>
      <c r="K168" t="str">
        <f t="shared" si="46"/>
        <v>16.02.1971</v>
      </c>
      <c r="L168" s="4">
        <f t="shared" si="47"/>
        <v>7</v>
      </c>
      <c r="M168" s="4">
        <f t="shared" si="48"/>
        <v>3</v>
      </c>
      <c r="N168" s="4">
        <f t="shared" si="49"/>
        <v>0</v>
      </c>
      <c r="O168" s="4">
        <f t="shared" si="50"/>
        <v>18</v>
      </c>
      <c r="P168" s="4">
        <f t="shared" si="51"/>
        <v>1</v>
      </c>
      <c r="Q168" s="4">
        <f t="shared" si="52"/>
        <v>18</v>
      </c>
      <c r="R168" s="4">
        <f t="shared" si="53"/>
        <v>7</v>
      </c>
      <c r="S168" s="4">
        <f t="shared" si="54"/>
        <v>9</v>
      </c>
      <c r="T168" s="4">
        <f t="shared" si="55"/>
        <v>1</v>
      </c>
      <c r="U168" s="4">
        <f t="shared" si="56"/>
        <v>24</v>
      </c>
      <c r="V168" s="8">
        <f t="shared" si="57"/>
        <v>8</v>
      </c>
      <c r="W168" s="8">
        <f t="shared" si="58"/>
        <v>2</v>
      </c>
      <c r="X168">
        <f t="shared" si="59"/>
        <v>1</v>
      </c>
    </row>
    <row r="169" spans="1:24" x14ac:dyDescent="0.25">
      <c r="A169" s="4" t="s">
        <v>195</v>
      </c>
      <c r="B169" t="s">
        <v>15</v>
      </c>
      <c r="C169" t="s">
        <v>6</v>
      </c>
      <c r="D169" s="3">
        <f t="shared" si="40"/>
        <v>56</v>
      </c>
      <c r="E169" s="4">
        <f t="shared" si="41"/>
        <v>8</v>
      </c>
      <c r="F169" s="4">
        <f t="shared" si="42"/>
        <v>22</v>
      </c>
      <c r="G169" s="3">
        <f>IF(E169&gt;=20,2000,1900) + D169</f>
        <v>1956</v>
      </c>
      <c r="H169">
        <f t="shared" si="43"/>
        <v>8</v>
      </c>
      <c r="I169" s="4">
        <f t="shared" si="44"/>
        <v>22</v>
      </c>
      <c r="J169">
        <f t="shared" si="45"/>
        <v>19560822</v>
      </c>
      <c r="K169" t="str">
        <f t="shared" si="46"/>
        <v>22.08.1956</v>
      </c>
      <c r="L169" s="4">
        <f t="shared" si="47"/>
        <v>5</v>
      </c>
      <c r="M169" s="4">
        <f t="shared" si="48"/>
        <v>18</v>
      </c>
      <c r="N169" s="4">
        <f t="shared" si="49"/>
        <v>0</v>
      </c>
      <c r="O169" s="4">
        <f t="shared" si="50"/>
        <v>72</v>
      </c>
      <c r="P169" s="4">
        <f t="shared" si="51"/>
        <v>2</v>
      </c>
      <c r="Q169" s="4">
        <f t="shared" si="52"/>
        <v>6</v>
      </c>
      <c r="R169" s="4">
        <f t="shared" si="53"/>
        <v>21</v>
      </c>
      <c r="S169" s="4">
        <f t="shared" si="54"/>
        <v>36</v>
      </c>
      <c r="T169" s="4">
        <f t="shared" si="55"/>
        <v>2</v>
      </c>
      <c r="U169" s="4">
        <f t="shared" si="56"/>
        <v>24</v>
      </c>
      <c r="V169" s="8">
        <f t="shared" si="57"/>
        <v>6</v>
      </c>
      <c r="W169" s="8">
        <f t="shared" si="58"/>
        <v>4</v>
      </c>
      <c r="X169">
        <f t="shared" si="59"/>
        <v>1</v>
      </c>
    </row>
    <row r="170" spans="1:24" x14ac:dyDescent="0.25">
      <c r="A170" s="4" t="s">
        <v>196</v>
      </c>
      <c r="B170" t="s">
        <v>19</v>
      </c>
      <c r="C170" t="s">
        <v>6</v>
      </c>
      <c r="D170" s="3">
        <f t="shared" si="40"/>
        <v>99</v>
      </c>
      <c r="E170" s="4">
        <f t="shared" si="41"/>
        <v>10</v>
      </c>
      <c r="F170" s="4">
        <f t="shared" si="42"/>
        <v>12</v>
      </c>
      <c r="G170" s="3">
        <f>IF(E170&gt;=20,2000,1900) + D170</f>
        <v>1999</v>
      </c>
      <c r="H170">
        <f t="shared" si="43"/>
        <v>10</v>
      </c>
      <c r="I170" s="4">
        <f t="shared" si="44"/>
        <v>12</v>
      </c>
      <c r="J170">
        <f t="shared" si="45"/>
        <v>19991012</v>
      </c>
      <c r="K170" t="str">
        <f t="shared" si="46"/>
        <v>12.10.1999</v>
      </c>
      <c r="L170" s="4">
        <f t="shared" si="47"/>
        <v>9</v>
      </c>
      <c r="M170" s="4">
        <f t="shared" si="48"/>
        <v>27</v>
      </c>
      <c r="N170" s="4">
        <f t="shared" si="49"/>
        <v>7</v>
      </c>
      <c r="O170" s="4">
        <f t="shared" si="50"/>
        <v>0</v>
      </c>
      <c r="P170" s="4">
        <f t="shared" si="51"/>
        <v>1</v>
      </c>
      <c r="Q170" s="4">
        <f t="shared" si="52"/>
        <v>6</v>
      </c>
      <c r="R170" s="4">
        <f t="shared" si="53"/>
        <v>0</v>
      </c>
      <c r="S170" s="4">
        <f t="shared" si="54"/>
        <v>0</v>
      </c>
      <c r="T170" s="4">
        <f t="shared" si="55"/>
        <v>5</v>
      </c>
      <c r="U170" s="4">
        <f t="shared" si="56"/>
        <v>0</v>
      </c>
      <c r="V170" s="8">
        <f t="shared" si="57"/>
        <v>5</v>
      </c>
      <c r="W170" s="8">
        <f t="shared" si="58"/>
        <v>5</v>
      </c>
      <c r="X170">
        <f t="shared" si="59"/>
        <v>1</v>
      </c>
    </row>
    <row r="171" spans="1:24" x14ac:dyDescent="0.25">
      <c r="A171" s="4" t="s">
        <v>197</v>
      </c>
      <c r="B171" t="s">
        <v>18</v>
      </c>
      <c r="C171" t="s">
        <v>6</v>
      </c>
      <c r="D171" s="3">
        <f t="shared" si="40"/>
        <v>52</v>
      </c>
      <c r="E171" s="4">
        <f t="shared" si="41"/>
        <v>10</v>
      </c>
      <c r="F171" s="4">
        <f t="shared" si="42"/>
        <v>17</v>
      </c>
      <c r="G171" s="3">
        <f>IF(E171&gt;=20,2000,1900) + D171</f>
        <v>1952</v>
      </c>
      <c r="H171">
        <f t="shared" si="43"/>
        <v>10</v>
      </c>
      <c r="I171" s="4">
        <f t="shared" si="44"/>
        <v>17</v>
      </c>
      <c r="J171">
        <f t="shared" si="45"/>
        <v>19521017</v>
      </c>
      <c r="K171" t="str">
        <f t="shared" si="46"/>
        <v>17.10.1952</v>
      </c>
      <c r="L171" s="4">
        <f t="shared" si="47"/>
        <v>5</v>
      </c>
      <c r="M171" s="4">
        <f t="shared" si="48"/>
        <v>6</v>
      </c>
      <c r="N171" s="4">
        <f t="shared" si="49"/>
        <v>7</v>
      </c>
      <c r="O171" s="4">
        <f t="shared" si="50"/>
        <v>0</v>
      </c>
      <c r="P171" s="4">
        <f t="shared" si="51"/>
        <v>1</v>
      </c>
      <c r="Q171" s="4">
        <f t="shared" si="52"/>
        <v>21</v>
      </c>
      <c r="R171" s="4">
        <f t="shared" si="53"/>
        <v>56</v>
      </c>
      <c r="S171" s="4">
        <f t="shared" si="54"/>
        <v>45</v>
      </c>
      <c r="T171" s="4">
        <f t="shared" si="55"/>
        <v>8</v>
      </c>
      <c r="U171" s="4">
        <f t="shared" si="56"/>
        <v>27</v>
      </c>
      <c r="V171" s="8">
        <f t="shared" si="57"/>
        <v>6</v>
      </c>
      <c r="W171" s="8">
        <f t="shared" si="58"/>
        <v>4</v>
      </c>
      <c r="X171">
        <f t="shared" si="59"/>
        <v>1</v>
      </c>
    </row>
    <row r="172" spans="1:24" x14ac:dyDescent="0.25">
      <c r="A172" s="4" t="s">
        <v>198</v>
      </c>
      <c r="B172" t="s">
        <v>11</v>
      </c>
      <c r="C172" t="s">
        <v>6</v>
      </c>
      <c r="D172" s="3">
        <f t="shared" si="40"/>
        <v>86</v>
      </c>
      <c r="E172" s="4">
        <f t="shared" si="41"/>
        <v>9</v>
      </c>
      <c r="F172" s="4">
        <f t="shared" si="42"/>
        <v>16</v>
      </c>
      <c r="G172" s="3">
        <f>IF(E172&gt;=20,2000,1900) + D172</f>
        <v>1986</v>
      </c>
      <c r="H172">
        <f t="shared" si="43"/>
        <v>9</v>
      </c>
      <c r="I172" s="4">
        <f t="shared" si="44"/>
        <v>16</v>
      </c>
      <c r="J172">
        <f t="shared" si="45"/>
        <v>19860916</v>
      </c>
      <c r="K172" t="str">
        <f t="shared" si="46"/>
        <v>16.09.1986</v>
      </c>
      <c r="L172" s="4">
        <f t="shared" si="47"/>
        <v>8</v>
      </c>
      <c r="M172" s="4">
        <f t="shared" si="48"/>
        <v>18</v>
      </c>
      <c r="N172" s="4">
        <f t="shared" si="49"/>
        <v>0</v>
      </c>
      <c r="O172" s="4">
        <f t="shared" si="50"/>
        <v>81</v>
      </c>
      <c r="P172" s="4">
        <f t="shared" si="51"/>
        <v>1</v>
      </c>
      <c r="Q172" s="4">
        <f t="shared" si="52"/>
        <v>18</v>
      </c>
      <c r="R172" s="4">
        <f t="shared" si="53"/>
        <v>0</v>
      </c>
      <c r="S172" s="4">
        <f t="shared" si="54"/>
        <v>9</v>
      </c>
      <c r="T172" s="4">
        <f t="shared" si="55"/>
        <v>5</v>
      </c>
      <c r="U172" s="4">
        <f t="shared" si="56"/>
        <v>12</v>
      </c>
      <c r="V172" s="8">
        <f t="shared" si="57"/>
        <v>2</v>
      </c>
      <c r="W172" s="8">
        <f t="shared" si="58"/>
        <v>8</v>
      </c>
      <c r="X172">
        <f t="shared" si="59"/>
        <v>1</v>
      </c>
    </row>
    <row r="173" spans="1:24" x14ac:dyDescent="0.25">
      <c r="A173" s="4" t="s">
        <v>199</v>
      </c>
      <c r="B173" t="s">
        <v>10</v>
      </c>
      <c r="C173" t="s">
        <v>4</v>
      </c>
      <c r="D173" s="3">
        <f t="shared" si="40"/>
        <v>58</v>
      </c>
      <c r="E173" s="4">
        <f t="shared" si="41"/>
        <v>7</v>
      </c>
      <c r="F173" s="4">
        <f t="shared" si="42"/>
        <v>19</v>
      </c>
      <c r="G173" s="3">
        <f>IF(E173&gt;=20,2000,1900) + D173</f>
        <v>1958</v>
      </c>
      <c r="H173">
        <f t="shared" si="43"/>
        <v>7</v>
      </c>
      <c r="I173" s="4">
        <f t="shared" si="44"/>
        <v>19</v>
      </c>
      <c r="J173">
        <f t="shared" si="45"/>
        <v>19580719</v>
      </c>
      <c r="K173" t="str">
        <f t="shared" si="46"/>
        <v>19.07.1958</v>
      </c>
      <c r="L173" s="4">
        <f t="shared" si="47"/>
        <v>5</v>
      </c>
      <c r="M173" s="4">
        <f t="shared" si="48"/>
        <v>24</v>
      </c>
      <c r="N173" s="4">
        <f t="shared" si="49"/>
        <v>0</v>
      </c>
      <c r="O173" s="4">
        <f t="shared" si="50"/>
        <v>63</v>
      </c>
      <c r="P173" s="4">
        <f t="shared" si="51"/>
        <v>1</v>
      </c>
      <c r="Q173" s="4">
        <f t="shared" si="52"/>
        <v>27</v>
      </c>
      <c r="R173" s="4">
        <f t="shared" si="53"/>
        <v>56</v>
      </c>
      <c r="S173" s="4">
        <f t="shared" si="54"/>
        <v>9</v>
      </c>
      <c r="T173" s="4">
        <f t="shared" si="55"/>
        <v>8</v>
      </c>
      <c r="U173" s="4">
        <f t="shared" si="56"/>
        <v>0</v>
      </c>
      <c r="V173" s="8">
        <f t="shared" si="57"/>
        <v>3</v>
      </c>
      <c r="W173" s="8">
        <f t="shared" si="58"/>
        <v>7</v>
      </c>
      <c r="X173">
        <f t="shared" si="59"/>
        <v>1</v>
      </c>
    </row>
    <row r="174" spans="1:24" x14ac:dyDescent="0.25">
      <c r="A174" s="4" t="s">
        <v>200</v>
      </c>
      <c r="B174" t="s">
        <v>16</v>
      </c>
      <c r="C174" t="s">
        <v>6</v>
      </c>
      <c r="D174" s="3">
        <f t="shared" si="40"/>
        <v>95</v>
      </c>
      <c r="E174" s="4">
        <f t="shared" si="41"/>
        <v>3</v>
      </c>
      <c r="F174" s="4">
        <f t="shared" si="42"/>
        <v>4</v>
      </c>
      <c r="G174" s="3">
        <f>IF(E174&gt;=20,2000,1900) + D174</f>
        <v>1995</v>
      </c>
      <c r="H174">
        <f t="shared" si="43"/>
        <v>3</v>
      </c>
      <c r="I174" s="4">
        <f t="shared" si="44"/>
        <v>4</v>
      </c>
      <c r="J174">
        <f t="shared" si="45"/>
        <v>19950304</v>
      </c>
      <c r="K174" t="str">
        <f t="shared" si="46"/>
        <v>04.03.1995</v>
      </c>
      <c r="L174" s="4">
        <f t="shared" si="47"/>
        <v>9</v>
      </c>
      <c r="M174" s="4">
        <f t="shared" si="48"/>
        <v>15</v>
      </c>
      <c r="N174" s="4">
        <f t="shared" si="49"/>
        <v>0</v>
      </c>
      <c r="O174" s="4">
        <f t="shared" si="50"/>
        <v>27</v>
      </c>
      <c r="P174" s="4">
        <f t="shared" si="51"/>
        <v>0</v>
      </c>
      <c r="Q174" s="4">
        <f t="shared" si="52"/>
        <v>12</v>
      </c>
      <c r="R174" s="4">
        <f t="shared" si="53"/>
        <v>14</v>
      </c>
      <c r="S174" s="4">
        <f t="shared" si="54"/>
        <v>36</v>
      </c>
      <c r="T174" s="4">
        <f t="shared" si="55"/>
        <v>2</v>
      </c>
      <c r="U174" s="4">
        <f t="shared" si="56"/>
        <v>27</v>
      </c>
      <c r="V174" s="8">
        <f t="shared" si="57"/>
        <v>2</v>
      </c>
      <c r="W174" s="8">
        <f t="shared" si="58"/>
        <v>8</v>
      </c>
      <c r="X174">
        <f t="shared" si="59"/>
        <v>1</v>
      </c>
    </row>
    <row r="175" spans="1:24" x14ac:dyDescent="0.25">
      <c r="A175" s="4" t="s">
        <v>201</v>
      </c>
      <c r="B175" t="s">
        <v>13</v>
      </c>
      <c r="C175" t="s">
        <v>6</v>
      </c>
      <c r="D175" s="3">
        <f t="shared" si="40"/>
        <v>91</v>
      </c>
      <c r="E175" s="4">
        <f t="shared" si="41"/>
        <v>11</v>
      </c>
      <c r="F175" s="4">
        <f t="shared" si="42"/>
        <v>3</v>
      </c>
      <c r="G175" s="3">
        <f>IF(E175&gt;=20,2000,1900) + D175</f>
        <v>1991</v>
      </c>
      <c r="H175">
        <f t="shared" si="43"/>
        <v>11</v>
      </c>
      <c r="I175" s="4">
        <f t="shared" si="44"/>
        <v>3</v>
      </c>
      <c r="J175">
        <f t="shared" si="45"/>
        <v>19911103</v>
      </c>
      <c r="K175" t="str">
        <f t="shared" si="46"/>
        <v>03.11.1991</v>
      </c>
      <c r="L175" s="4">
        <f t="shared" si="47"/>
        <v>9</v>
      </c>
      <c r="M175" s="4">
        <f t="shared" si="48"/>
        <v>3</v>
      </c>
      <c r="N175" s="4">
        <f t="shared" si="49"/>
        <v>7</v>
      </c>
      <c r="O175" s="4">
        <f t="shared" si="50"/>
        <v>9</v>
      </c>
      <c r="P175" s="4">
        <f t="shared" si="51"/>
        <v>0</v>
      </c>
      <c r="Q175" s="4">
        <f t="shared" si="52"/>
        <v>9</v>
      </c>
      <c r="R175" s="4">
        <f t="shared" si="53"/>
        <v>42</v>
      </c>
      <c r="S175" s="4">
        <f t="shared" si="54"/>
        <v>18</v>
      </c>
      <c r="T175" s="4">
        <f t="shared" si="55"/>
        <v>0</v>
      </c>
      <c r="U175" s="4">
        <f t="shared" si="56"/>
        <v>21</v>
      </c>
      <c r="V175" s="8">
        <f t="shared" si="57"/>
        <v>8</v>
      </c>
      <c r="W175" s="8">
        <f t="shared" si="58"/>
        <v>2</v>
      </c>
      <c r="X175">
        <f t="shared" si="59"/>
        <v>1</v>
      </c>
    </row>
    <row r="176" spans="1:24" x14ac:dyDescent="0.25">
      <c r="A176" s="4" t="s">
        <v>202</v>
      </c>
      <c r="B176" t="s">
        <v>16</v>
      </c>
      <c r="C176" t="s">
        <v>6</v>
      </c>
      <c r="D176" s="3">
        <f t="shared" si="40"/>
        <v>56</v>
      </c>
      <c r="E176" s="4">
        <f t="shared" si="41"/>
        <v>1</v>
      </c>
      <c r="F176" s="4">
        <f t="shared" si="42"/>
        <v>6</v>
      </c>
      <c r="G176" s="3">
        <f>IF(E176&gt;=20,2000,1900) + D176</f>
        <v>1956</v>
      </c>
      <c r="H176">
        <f t="shared" si="43"/>
        <v>1</v>
      </c>
      <c r="I176" s="4">
        <f t="shared" si="44"/>
        <v>6</v>
      </c>
      <c r="J176">
        <f t="shared" si="45"/>
        <v>19560106</v>
      </c>
      <c r="K176" t="str">
        <f t="shared" si="46"/>
        <v>06.01.1956</v>
      </c>
      <c r="L176" s="4">
        <f t="shared" si="47"/>
        <v>5</v>
      </c>
      <c r="M176" s="4">
        <f t="shared" si="48"/>
        <v>18</v>
      </c>
      <c r="N176" s="4">
        <f t="shared" si="49"/>
        <v>0</v>
      </c>
      <c r="O176" s="4">
        <f t="shared" si="50"/>
        <v>9</v>
      </c>
      <c r="P176" s="4">
        <f t="shared" si="51"/>
        <v>0</v>
      </c>
      <c r="Q176" s="4">
        <f t="shared" si="52"/>
        <v>18</v>
      </c>
      <c r="R176" s="4">
        <f t="shared" si="53"/>
        <v>42</v>
      </c>
      <c r="S176" s="4">
        <f t="shared" si="54"/>
        <v>63</v>
      </c>
      <c r="T176" s="4">
        <f t="shared" si="55"/>
        <v>4</v>
      </c>
      <c r="U176" s="4">
        <f t="shared" si="56"/>
        <v>15</v>
      </c>
      <c r="V176" s="8">
        <f t="shared" si="57"/>
        <v>4</v>
      </c>
      <c r="W176" s="8">
        <f t="shared" si="58"/>
        <v>6</v>
      </c>
      <c r="X176">
        <f t="shared" si="59"/>
        <v>1</v>
      </c>
    </row>
    <row r="177" spans="1:24" x14ac:dyDescent="0.25">
      <c r="A177" s="4" t="s">
        <v>203</v>
      </c>
      <c r="B177" t="s">
        <v>18</v>
      </c>
      <c r="C177" t="s">
        <v>4</v>
      </c>
      <c r="D177" s="3">
        <f t="shared" si="40"/>
        <v>75</v>
      </c>
      <c r="E177" s="4">
        <f t="shared" si="41"/>
        <v>6</v>
      </c>
      <c r="F177" s="4">
        <f t="shared" si="42"/>
        <v>27</v>
      </c>
      <c r="G177" s="3">
        <f>IF(E177&gt;=20,2000,1900) + D177</f>
        <v>1975</v>
      </c>
      <c r="H177">
        <f t="shared" si="43"/>
        <v>6</v>
      </c>
      <c r="I177" s="4">
        <f t="shared" si="44"/>
        <v>27</v>
      </c>
      <c r="J177">
        <f t="shared" si="45"/>
        <v>19750627</v>
      </c>
      <c r="K177" t="str">
        <f t="shared" si="46"/>
        <v>27.06.1975</v>
      </c>
      <c r="L177" s="4">
        <f t="shared" si="47"/>
        <v>7</v>
      </c>
      <c r="M177" s="4">
        <f t="shared" si="48"/>
        <v>15</v>
      </c>
      <c r="N177" s="4">
        <f t="shared" si="49"/>
        <v>0</v>
      </c>
      <c r="O177" s="4">
        <f t="shared" si="50"/>
        <v>54</v>
      </c>
      <c r="P177" s="4">
        <f t="shared" si="51"/>
        <v>2</v>
      </c>
      <c r="Q177" s="4">
        <f t="shared" si="52"/>
        <v>21</v>
      </c>
      <c r="R177" s="4">
        <f t="shared" si="53"/>
        <v>28</v>
      </c>
      <c r="S177" s="4">
        <f t="shared" si="54"/>
        <v>9</v>
      </c>
      <c r="T177" s="4">
        <f t="shared" si="55"/>
        <v>4</v>
      </c>
      <c r="U177" s="4">
        <f t="shared" si="56"/>
        <v>21</v>
      </c>
      <c r="V177" s="8">
        <f t="shared" si="57"/>
        <v>1</v>
      </c>
      <c r="W177" s="8">
        <f t="shared" si="58"/>
        <v>9</v>
      </c>
      <c r="X177">
        <f t="shared" si="59"/>
        <v>1</v>
      </c>
    </row>
    <row r="178" spans="1:24" x14ac:dyDescent="0.25">
      <c r="A178" s="4" t="s">
        <v>204</v>
      </c>
      <c r="B178" t="s">
        <v>17</v>
      </c>
      <c r="C178" t="s">
        <v>4</v>
      </c>
      <c r="D178" s="3">
        <f t="shared" si="40"/>
        <v>94</v>
      </c>
      <c r="E178" s="4">
        <f t="shared" si="41"/>
        <v>11</v>
      </c>
      <c r="F178" s="4">
        <f t="shared" si="42"/>
        <v>11</v>
      </c>
      <c r="G178" s="3">
        <f>IF(E178&gt;=20,2000,1900) + D178</f>
        <v>1994</v>
      </c>
      <c r="H178">
        <f t="shared" si="43"/>
        <v>11</v>
      </c>
      <c r="I178" s="4">
        <f t="shared" si="44"/>
        <v>11</v>
      </c>
      <c r="J178">
        <f t="shared" si="45"/>
        <v>19941111</v>
      </c>
      <c r="K178" t="str">
        <f t="shared" si="46"/>
        <v>11.11.1994</v>
      </c>
      <c r="L178" s="4">
        <f t="shared" si="47"/>
        <v>9</v>
      </c>
      <c r="M178" s="4">
        <f t="shared" si="48"/>
        <v>12</v>
      </c>
      <c r="N178" s="4">
        <f t="shared" si="49"/>
        <v>7</v>
      </c>
      <c r="O178" s="4">
        <f t="shared" si="50"/>
        <v>9</v>
      </c>
      <c r="P178" s="4">
        <f t="shared" si="51"/>
        <v>1</v>
      </c>
      <c r="Q178" s="4">
        <f t="shared" si="52"/>
        <v>3</v>
      </c>
      <c r="R178" s="4">
        <f t="shared" si="53"/>
        <v>35</v>
      </c>
      <c r="S178" s="4">
        <f t="shared" si="54"/>
        <v>45</v>
      </c>
      <c r="T178" s="4">
        <f t="shared" si="55"/>
        <v>3</v>
      </c>
      <c r="U178" s="4">
        <f t="shared" si="56"/>
        <v>27</v>
      </c>
      <c r="V178" s="8">
        <f t="shared" si="57"/>
        <v>1</v>
      </c>
      <c r="W178" s="8">
        <f t="shared" si="58"/>
        <v>9</v>
      </c>
      <c r="X178">
        <f t="shared" si="59"/>
        <v>1</v>
      </c>
    </row>
    <row r="179" spans="1:24" x14ac:dyDescent="0.25">
      <c r="A179" s="4" t="s">
        <v>205</v>
      </c>
      <c r="B179" t="s">
        <v>12</v>
      </c>
      <c r="C179" t="s">
        <v>6</v>
      </c>
      <c r="D179" s="3">
        <f t="shared" si="40"/>
        <v>81</v>
      </c>
      <c r="E179" s="4">
        <f t="shared" si="41"/>
        <v>2</v>
      </c>
      <c r="F179" s="4">
        <f t="shared" si="42"/>
        <v>15</v>
      </c>
      <c r="G179" s="3">
        <f>IF(E179&gt;=20,2000,1900) + D179</f>
        <v>1981</v>
      </c>
      <c r="H179">
        <f t="shared" si="43"/>
        <v>2</v>
      </c>
      <c r="I179" s="4">
        <f t="shared" si="44"/>
        <v>15</v>
      </c>
      <c r="J179">
        <f t="shared" si="45"/>
        <v>19810215</v>
      </c>
      <c r="K179" t="str">
        <f t="shared" si="46"/>
        <v>15.02.1981</v>
      </c>
      <c r="L179" s="4">
        <f t="shared" si="47"/>
        <v>8</v>
      </c>
      <c r="M179" s="4">
        <f t="shared" si="48"/>
        <v>3</v>
      </c>
      <c r="N179" s="4">
        <f t="shared" si="49"/>
        <v>0</v>
      </c>
      <c r="O179" s="4">
        <f t="shared" si="50"/>
        <v>18</v>
      </c>
      <c r="P179" s="4">
        <f t="shared" si="51"/>
        <v>1</v>
      </c>
      <c r="Q179" s="4">
        <f t="shared" si="52"/>
        <v>15</v>
      </c>
      <c r="R179" s="4">
        <f t="shared" si="53"/>
        <v>21</v>
      </c>
      <c r="S179" s="4">
        <f t="shared" si="54"/>
        <v>63</v>
      </c>
      <c r="T179" s="4">
        <f t="shared" si="55"/>
        <v>3</v>
      </c>
      <c r="U179" s="4">
        <f t="shared" si="56"/>
        <v>27</v>
      </c>
      <c r="V179" s="8">
        <f t="shared" si="57"/>
        <v>9</v>
      </c>
      <c r="W179" s="8">
        <f t="shared" si="58"/>
        <v>1</v>
      </c>
      <c r="X179">
        <f t="shared" si="59"/>
        <v>1</v>
      </c>
    </row>
    <row r="180" spans="1:24" x14ac:dyDescent="0.25">
      <c r="A180" s="4" t="s">
        <v>206</v>
      </c>
      <c r="B180" t="s">
        <v>11</v>
      </c>
      <c r="C180" t="s">
        <v>6</v>
      </c>
      <c r="D180" s="3">
        <f t="shared" si="40"/>
        <v>90</v>
      </c>
      <c r="E180" s="4">
        <f t="shared" si="41"/>
        <v>10</v>
      </c>
      <c r="F180" s="4">
        <f t="shared" si="42"/>
        <v>31</v>
      </c>
      <c r="G180" s="3">
        <f>IF(E180&gt;=20,2000,1900) + D180</f>
        <v>1990</v>
      </c>
      <c r="H180">
        <f t="shared" si="43"/>
        <v>10</v>
      </c>
      <c r="I180" s="4">
        <f t="shared" si="44"/>
        <v>31</v>
      </c>
      <c r="J180">
        <f t="shared" si="45"/>
        <v>19901031</v>
      </c>
      <c r="K180" t="str">
        <f t="shared" si="46"/>
        <v>31.10.1990</v>
      </c>
      <c r="L180" s="4">
        <f t="shared" si="47"/>
        <v>9</v>
      </c>
      <c r="M180" s="4">
        <f t="shared" si="48"/>
        <v>0</v>
      </c>
      <c r="N180" s="4">
        <f t="shared" si="49"/>
        <v>7</v>
      </c>
      <c r="O180" s="4">
        <f t="shared" si="50"/>
        <v>0</v>
      </c>
      <c r="P180" s="4">
        <f t="shared" si="51"/>
        <v>3</v>
      </c>
      <c r="Q180" s="4">
        <f t="shared" si="52"/>
        <v>3</v>
      </c>
      <c r="R180" s="4">
        <f t="shared" si="53"/>
        <v>42</v>
      </c>
      <c r="S180" s="4">
        <f t="shared" si="54"/>
        <v>63</v>
      </c>
      <c r="T180" s="4">
        <f t="shared" si="55"/>
        <v>4</v>
      </c>
      <c r="U180" s="4">
        <f t="shared" si="56"/>
        <v>18</v>
      </c>
      <c r="V180" s="8">
        <f t="shared" si="57"/>
        <v>9</v>
      </c>
      <c r="W180" s="8">
        <f t="shared" si="58"/>
        <v>1</v>
      </c>
      <c r="X180">
        <f t="shared" si="59"/>
        <v>1</v>
      </c>
    </row>
    <row r="181" spans="1:24" x14ac:dyDescent="0.25">
      <c r="A181" s="4" t="s">
        <v>207</v>
      </c>
      <c r="B181" t="s">
        <v>11</v>
      </c>
      <c r="C181" t="s">
        <v>6</v>
      </c>
      <c r="D181" s="3">
        <f t="shared" si="40"/>
        <v>72</v>
      </c>
      <c r="E181" s="4">
        <f t="shared" si="41"/>
        <v>3</v>
      </c>
      <c r="F181" s="4">
        <f t="shared" si="42"/>
        <v>31</v>
      </c>
      <c r="G181" s="3">
        <f>IF(E181&gt;=20,2000,1900) + D181</f>
        <v>1972</v>
      </c>
      <c r="H181">
        <f t="shared" si="43"/>
        <v>3</v>
      </c>
      <c r="I181" s="4">
        <f t="shared" si="44"/>
        <v>31</v>
      </c>
      <c r="J181">
        <f t="shared" si="45"/>
        <v>19720331</v>
      </c>
      <c r="K181" t="str">
        <f t="shared" si="46"/>
        <v>31.03.1972</v>
      </c>
      <c r="L181" s="4">
        <f t="shared" si="47"/>
        <v>7</v>
      </c>
      <c r="M181" s="4">
        <f t="shared" si="48"/>
        <v>6</v>
      </c>
      <c r="N181" s="4">
        <f t="shared" si="49"/>
        <v>0</v>
      </c>
      <c r="O181" s="4">
        <f t="shared" si="50"/>
        <v>27</v>
      </c>
      <c r="P181" s="4">
        <f t="shared" si="51"/>
        <v>3</v>
      </c>
      <c r="Q181" s="4">
        <f t="shared" si="52"/>
        <v>3</v>
      </c>
      <c r="R181" s="4">
        <f t="shared" si="53"/>
        <v>14</v>
      </c>
      <c r="S181" s="4">
        <f t="shared" si="54"/>
        <v>54</v>
      </c>
      <c r="T181" s="4">
        <f t="shared" si="55"/>
        <v>5</v>
      </c>
      <c r="U181" s="4">
        <f t="shared" si="56"/>
        <v>21</v>
      </c>
      <c r="V181" s="8">
        <f t="shared" si="57"/>
        <v>0</v>
      </c>
      <c r="W181" s="8">
        <f t="shared" si="58"/>
        <v>0</v>
      </c>
      <c r="X181">
        <f t="shared" si="59"/>
        <v>0</v>
      </c>
    </row>
    <row r="182" spans="1:24" x14ac:dyDescent="0.25">
      <c r="A182" s="4" t="s">
        <v>208</v>
      </c>
      <c r="B182" t="s">
        <v>16</v>
      </c>
      <c r="C182" t="s">
        <v>6</v>
      </c>
      <c r="D182" s="3">
        <f t="shared" si="40"/>
        <v>90</v>
      </c>
      <c r="E182" s="4">
        <f t="shared" si="41"/>
        <v>1</v>
      </c>
      <c r="F182" s="4">
        <f t="shared" si="42"/>
        <v>4</v>
      </c>
      <c r="G182" s="3">
        <f>IF(E182&gt;=20,2000,1900) + D182</f>
        <v>1990</v>
      </c>
      <c r="H182">
        <f t="shared" si="43"/>
        <v>1</v>
      </c>
      <c r="I182" s="4">
        <f t="shared" si="44"/>
        <v>4</v>
      </c>
      <c r="J182">
        <f t="shared" si="45"/>
        <v>19900104</v>
      </c>
      <c r="K182" t="str">
        <f t="shared" si="46"/>
        <v>04.01.1990</v>
      </c>
      <c r="L182" s="4">
        <f t="shared" si="47"/>
        <v>9</v>
      </c>
      <c r="M182" s="4">
        <f t="shared" si="48"/>
        <v>0</v>
      </c>
      <c r="N182" s="4">
        <f t="shared" si="49"/>
        <v>0</v>
      </c>
      <c r="O182" s="4">
        <f t="shared" si="50"/>
        <v>9</v>
      </c>
      <c r="P182" s="4">
        <f t="shared" si="51"/>
        <v>0</v>
      </c>
      <c r="Q182" s="4">
        <f t="shared" si="52"/>
        <v>12</v>
      </c>
      <c r="R182" s="4">
        <f t="shared" si="53"/>
        <v>49</v>
      </c>
      <c r="S182" s="4">
        <f t="shared" si="54"/>
        <v>36</v>
      </c>
      <c r="T182" s="4">
        <f t="shared" si="55"/>
        <v>4</v>
      </c>
      <c r="U182" s="4">
        <f t="shared" si="56"/>
        <v>3</v>
      </c>
      <c r="V182" s="8">
        <f t="shared" si="57"/>
        <v>2</v>
      </c>
      <c r="W182" s="8">
        <f t="shared" si="58"/>
        <v>8</v>
      </c>
      <c r="X182">
        <f t="shared" si="59"/>
        <v>1</v>
      </c>
    </row>
    <row r="183" spans="1:24" x14ac:dyDescent="0.25">
      <c r="A183" s="4" t="s">
        <v>209</v>
      </c>
      <c r="B183" t="s">
        <v>7</v>
      </c>
      <c r="C183" t="s">
        <v>4</v>
      </c>
      <c r="D183" s="3">
        <f t="shared" si="40"/>
        <v>93</v>
      </c>
      <c r="E183" s="4">
        <f t="shared" si="41"/>
        <v>10</v>
      </c>
      <c r="F183" s="4">
        <f t="shared" si="42"/>
        <v>11</v>
      </c>
      <c r="G183" s="3">
        <f>IF(E183&gt;=20,2000,1900) + D183</f>
        <v>1993</v>
      </c>
      <c r="H183">
        <f t="shared" si="43"/>
        <v>10</v>
      </c>
      <c r="I183" s="4">
        <f t="shared" si="44"/>
        <v>11</v>
      </c>
      <c r="J183">
        <f t="shared" si="45"/>
        <v>19931011</v>
      </c>
      <c r="K183" t="str">
        <f t="shared" si="46"/>
        <v>11.10.1993</v>
      </c>
      <c r="L183" s="4">
        <f t="shared" si="47"/>
        <v>9</v>
      </c>
      <c r="M183" s="4">
        <f t="shared" si="48"/>
        <v>9</v>
      </c>
      <c r="N183" s="4">
        <f t="shared" si="49"/>
        <v>7</v>
      </c>
      <c r="O183" s="4">
        <f t="shared" si="50"/>
        <v>0</v>
      </c>
      <c r="P183" s="4">
        <f t="shared" si="51"/>
        <v>1</v>
      </c>
      <c r="Q183" s="4">
        <f t="shared" si="52"/>
        <v>3</v>
      </c>
      <c r="R183" s="4">
        <f t="shared" si="53"/>
        <v>35</v>
      </c>
      <c r="S183" s="4">
        <f t="shared" si="54"/>
        <v>0</v>
      </c>
      <c r="T183" s="4">
        <f t="shared" si="55"/>
        <v>9</v>
      </c>
      <c r="U183" s="4">
        <f t="shared" si="56"/>
        <v>27</v>
      </c>
      <c r="V183" s="8">
        <f t="shared" si="57"/>
        <v>0</v>
      </c>
      <c r="W183" s="8">
        <f t="shared" si="58"/>
        <v>0</v>
      </c>
      <c r="X183">
        <f t="shared" si="59"/>
        <v>1</v>
      </c>
    </row>
    <row r="184" spans="1:24" x14ac:dyDescent="0.25">
      <c r="A184" s="4" t="s">
        <v>210</v>
      </c>
      <c r="B184" t="s">
        <v>20</v>
      </c>
      <c r="C184" t="s">
        <v>4</v>
      </c>
      <c r="D184" s="3">
        <f t="shared" si="40"/>
        <v>96</v>
      </c>
      <c r="E184" s="4">
        <f t="shared" si="41"/>
        <v>9</v>
      </c>
      <c r="F184" s="4">
        <f t="shared" si="42"/>
        <v>15</v>
      </c>
      <c r="G184" s="3">
        <f>IF(E184&gt;=20,2000,1900) + D184</f>
        <v>1996</v>
      </c>
      <c r="H184">
        <f t="shared" si="43"/>
        <v>9</v>
      </c>
      <c r="I184" s="4">
        <f t="shared" si="44"/>
        <v>15</v>
      </c>
      <c r="J184">
        <f t="shared" si="45"/>
        <v>19960915</v>
      </c>
      <c r="K184" t="str">
        <f t="shared" si="46"/>
        <v>15.09.1996</v>
      </c>
      <c r="L184" s="4">
        <f t="shared" si="47"/>
        <v>9</v>
      </c>
      <c r="M184" s="4">
        <f t="shared" si="48"/>
        <v>18</v>
      </c>
      <c r="N184" s="4">
        <f t="shared" si="49"/>
        <v>0</v>
      </c>
      <c r="O184" s="4">
        <f t="shared" si="50"/>
        <v>81</v>
      </c>
      <c r="P184" s="4">
        <f t="shared" si="51"/>
        <v>1</v>
      </c>
      <c r="Q184" s="4">
        <f t="shared" si="52"/>
        <v>15</v>
      </c>
      <c r="R184" s="4">
        <f t="shared" si="53"/>
        <v>7</v>
      </c>
      <c r="S184" s="4">
        <f t="shared" si="54"/>
        <v>45</v>
      </c>
      <c r="T184" s="4">
        <f t="shared" si="55"/>
        <v>9</v>
      </c>
      <c r="U184" s="4">
        <f t="shared" si="56"/>
        <v>21</v>
      </c>
      <c r="V184" s="8">
        <f t="shared" si="57"/>
        <v>6</v>
      </c>
      <c r="W184" s="8">
        <f t="shared" si="58"/>
        <v>4</v>
      </c>
      <c r="X184">
        <f t="shared" si="59"/>
        <v>1</v>
      </c>
    </row>
    <row r="185" spans="1:24" x14ac:dyDescent="0.25">
      <c r="A185" s="4" t="s">
        <v>211</v>
      </c>
      <c r="B185" t="s">
        <v>15</v>
      </c>
      <c r="C185" t="s">
        <v>4</v>
      </c>
      <c r="D185" s="3">
        <f t="shared" si="40"/>
        <v>65</v>
      </c>
      <c r="E185" s="4">
        <f t="shared" si="41"/>
        <v>1</v>
      </c>
      <c r="F185" s="4">
        <f t="shared" si="42"/>
        <v>10</v>
      </c>
      <c r="G185" s="3">
        <f>IF(E185&gt;=20,2000,1900) + D185</f>
        <v>1965</v>
      </c>
      <c r="H185">
        <f t="shared" si="43"/>
        <v>1</v>
      </c>
      <c r="I185" s="4">
        <f t="shared" si="44"/>
        <v>10</v>
      </c>
      <c r="J185">
        <f t="shared" si="45"/>
        <v>19650110</v>
      </c>
      <c r="K185" t="str">
        <f t="shared" si="46"/>
        <v>10.01.1965</v>
      </c>
      <c r="L185" s="4">
        <f t="shared" si="47"/>
        <v>6</v>
      </c>
      <c r="M185" s="4">
        <f t="shared" si="48"/>
        <v>15</v>
      </c>
      <c r="N185" s="4">
        <f t="shared" si="49"/>
        <v>0</v>
      </c>
      <c r="O185" s="4">
        <f t="shared" si="50"/>
        <v>9</v>
      </c>
      <c r="P185" s="4">
        <f t="shared" si="51"/>
        <v>1</v>
      </c>
      <c r="Q185" s="4">
        <f t="shared" si="52"/>
        <v>0</v>
      </c>
      <c r="R185" s="4">
        <f t="shared" si="53"/>
        <v>63</v>
      </c>
      <c r="S185" s="4">
        <f t="shared" si="54"/>
        <v>54</v>
      </c>
      <c r="T185" s="4">
        <f t="shared" si="55"/>
        <v>2</v>
      </c>
      <c r="U185" s="4">
        <f t="shared" si="56"/>
        <v>27</v>
      </c>
      <c r="V185" s="8">
        <f t="shared" si="57"/>
        <v>7</v>
      </c>
      <c r="W185" s="8">
        <f t="shared" si="58"/>
        <v>3</v>
      </c>
      <c r="X185">
        <f t="shared" si="59"/>
        <v>1</v>
      </c>
    </row>
    <row r="186" spans="1:24" x14ac:dyDescent="0.25">
      <c r="A186" s="4" t="s">
        <v>212</v>
      </c>
      <c r="B186" t="s">
        <v>9</v>
      </c>
      <c r="C186" t="s">
        <v>6</v>
      </c>
      <c r="D186" s="3">
        <f t="shared" si="40"/>
        <v>53</v>
      </c>
      <c r="E186" s="4">
        <f t="shared" si="41"/>
        <v>12</v>
      </c>
      <c r="F186" s="4">
        <f t="shared" si="42"/>
        <v>31</v>
      </c>
      <c r="G186" s="3">
        <f>IF(E186&gt;=20,2000,1900) + D186</f>
        <v>1953</v>
      </c>
      <c r="H186">
        <f t="shared" si="43"/>
        <v>12</v>
      </c>
      <c r="I186" s="4">
        <f t="shared" si="44"/>
        <v>31</v>
      </c>
      <c r="J186">
        <f t="shared" si="45"/>
        <v>19531231</v>
      </c>
      <c r="K186" t="str">
        <f t="shared" si="46"/>
        <v>31.12.1953</v>
      </c>
      <c r="L186" s="4">
        <f t="shared" si="47"/>
        <v>5</v>
      </c>
      <c r="M186" s="4">
        <f t="shared" si="48"/>
        <v>9</v>
      </c>
      <c r="N186" s="4">
        <f t="shared" si="49"/>
        <v>7</v>
      </c>
      <c r="O186" s="4">
        <f t="shared" si="50"/>
        <v>18</v>
      </c>
      <c r="P186" s="4">
        <f t="shared" si="51"/>
        <v>3</v>
      </c>
      <c r="Q186" s="4">
        <f t="shared" si="52"/>
        <v>3</v>
      </c>
      <c r="R186" s="4">
        <f t="shared" si="53"/>
        <v>63</v>
      </c>
      <c r="S186" s="4">
        <f t="shared" si="54"/>
        <v>9</v>
      </c>
      <c r="T186" s="4">
        <f t="shared" si="55"/>
        <v>5</v>
      </c>
      <c r="U186" s="4">
        <f t="shared" si="56"/>
        <v>21</v>
      </c>
      <c r="V186" s="8">
        <f t="shared" si="57"/>
        <v>3</v>
      </c>
      <c r="W186" s="8">
        <f t="shared" si="58"/>
        <v>7</v>
      </c>
      <c r="X186">
        <f t="shared" si="59"/>
        <v>1</v>
      </c>
    </row>
    <row r="187" spans="1:24" x14ac:dyDescent="0.25">
      <c r="A187" s="4" t="s">
        <v>213</v>
      </c>
      <c r="B187" t="s">
        <v>14</v>
      </c>
      <c r="C187" t="s">
        <v>6</v>
      </c>
      <c r="D187" s="3">
        <f t="shared" si="40"/>
        <v>73</v>
      </c>
      <c r="E187" s="4">
        <f t="shared" si="41"/>
        <v>6</v>
      </c>
      <c r="F187" s="4">
        <f t="shared" si="42"/>
        <v>2</v>
      </c>
      <c r="G187" s="3">
        <f>IF(E187&gt;=20,2000,1900) + D187</f>
        <v>1973</v>
      </c>
      <c r="H187">
        <f t="shared" si="43"/>
        <v>6</v>
      </c>
      <c r="I187" s="4">
        <f t="shared" si="44"/>
        <v>2</v>
      </c>
      <c r="J187">
        <f t="shared" si="45"/>
        <v>19730602</v>
      </c>
      <c r="K187" t="str">
        <f t="shared" si="46"/>
        <v>02.06.1973</v>
      </c>
      <c r="L187" s="4">
        <f t="shared" si="47"/>
        <v>7</v>
      </c>
      <c r="M187" s="4">
        <f t="shared" si="48"/>
        <v>9</v>
      </c>
      <c r="N187" s="4">
        <f t="shared" si="49"/>
        <v>0</v>
      </c>
      <c r="O187" s="4">
        <f t="shared" si="50"/>
        <v>54</v>
      </c>
      <c r="P187" s="4">
        <f t="shared" si="51"/>
        <v>0</v>
      </c>
      <c r="Q187" s="4">
        <f t="shared" si="52"/>
        <v>6</v>
      </c>
      <c r="R187" s="4">
        <f t="shared" si="53"/>
        <v>63</v>
      </c>
      <c r="S187" s="4">
        <f t="shared" si="54"/>
        <v>72</v>
      </c>
      <c r="T187" s="4">
        <f t="shared" si="55"/>
        <v>3</v>
      </c>
      <c r="U187" s="4">
        <f t="shared" si="56"/>
        <v>15</v>
      </c>
      <c r="V187" s="8">
        <f t="shared" si="57"/>
        <v>9</v>
      </c>
      <c r="W187" s="8">
        <f t="shared" si="58"/>
        <v>1</v>
      </c>
      <c r="X187">
        <f t="shared" si="59"/>
        <v>1</v>
      </c>
    </row>
    <row r="188" spans="1:24" x14ac:dyDescent="0.25">
      <c r="A188" s="4" t="s">
        <v>214</v>
      </c>
      <c r="B188" t="s">
        <v>14</v>
      </c>
      <c r="C188" t="s">
        <v>4</v>
      </c>
      <c r="D188" s="3">
        <f t="shared" si="40"/>
        <v>77</v>
      </c>
      <c r="E188" s="4">
        <f t="shared" si="41"/>
        <v>12</v>
      </c>
      <c r="F188" s="4">
        <f t="shared" si="42"/>
        <v>19</v>
      </c>
      <c r="G188" s="3">
        <f>IF(E188&gt;=20,2000,1900) + D188</f>
        <v>1977</v>
      </c>
      <c r="H188">
        <f t="shared" si="43"/>
        <v>12</v>
      </c>
      <c r="I188" s="4">
        <f t="shared" si="44"/>
        <v>19</v>
      </c>
      <c r="J188">
        <f t="shared" si="45"/>
        <v>19771219</v>
      </c>
      <c r="K188" t="str">
        <f t="shared" si="46"/>
        <v>19.12.1977</v>
      </c>
      <c r="L188" s="4">
        <f t="shared" si="47"/>
        <v>7</v>
      </c>
      <c r="M188" s="4">
        <f t="shared" si="48"/>
        <v>21</v>
      </c>
      <c r="N188" s="4">
        <f t="shared" si="49"/>
        <v>7</v>
      </c>
      <c r="O188" s="4">
        <f t="shared" si="50"/>
        <v>18</v>
      </c>
      <c r="P188" s="4">
        <f t="shared" si="51"/>
        <v>1</v>
      </c>
      <c r="Q188" s="4">
        <f t="shared" si="52"/>
        <v>27</v>
      </c>
      <c r="R188" s="4">
        <f t="shared" si="53"/>
        <v>28</v>
      </c>
      <c r="S188" s="4">
        <f t="shared" si="54"/>
        <v>36</v>
      </c>
      <c r="T188" s="4">
        <f t="shared" si="55"/>
        <v>2</v>
      </c>
      <c r="U188" s="4">
        <f t="shared" si="56"/>
        <v>18</v>
      </c>
      <c r="V188" s="8">
        <f t="shared" si="57"/>
        <v>5</v>
      </c>
      <c r="W188" s="8">
        <f t="shared" si="58"/>
        <v>5</v>
      </c>
      <c r="X188">
        <f t="shared" si="59"/>
        <v>1</v>
      </c>
    </row>
    <row r="189" spans="1:24" x14ac:dyDescent="0.25">
      <c r="A189" s="4" t="s">
        <v>215</v>
      </c>
      <c r="B189" t="s">
        <v>7</v>
      </c>
      <c r="C189" t="s">
        <v>4</v>
      </c>
      <c r="D189" s="3">
        <f t="shared" si="40"/>
        <v>68</v>
      </c>
      <c r="E189" s="4">
        <f t="shared" si="41"/>
        <v>3</v>
      </c>
      <c r="F189" s="4">
        <f t="shared" si="42"/>
        <v>10</v>
      </c>
      <c r="G189" s="3">
        <f>IF(E189&gt;=20,2000,1900) + D189</f>
        <v>1968</v>
      </c>
      <c r="H189">
        <f t="shared" si="43"/>
        <v>3</v>
      </c>
      <c r="I189" s="4">
        <f t="shared" si="44"/>
        <v>10</v>
      </c>
      <c r="J189">
        <f t="shared" si="45"/>
        <v>19680310</v>
      </c>
      <c r="K189" t="str">
        <f t="shared" si="46"/>
        <v>10.03.1968</v>
      </c>
      <c r="L189" s="4">
        <f t="shared" si="47"/>
        <v>6</v>
      </c>
      <c r="M189" s="4">
        <f t="shared" si="48"/>
        <v>24</v>
      </c>
      <c r="N189" s="4">
        <f t="shared" si="49"/>
        <v>0</v>
      </c>
      <c r="O189" s="4">
        <f t="shared" si="50"/>
        <v>27</v>
      </c>
      <c r="P189" s="4">
        <f t="shared" si="51"/>
        <v>1</v>
      </c>
      <c r="Q189" s="4">
        <f t="shared" si="52"/>
        <v>0</v>
      </c>
      <c r="R189" s="4">
        <f t="shared" si="53"/>
        <v>28</v>
      </c>
      <c r="S189" s="4">
        <f t="shared" si="54"/>
        <v>72</v>
      </c>
      <c r="T189" s="4">
        <f t="shared" si="55"/>
        <v>8</v>
      </c>
      <c r="U189" s="4">
        <f t="shared" si="56"/>
        <v>6</v>
      </c>
      <c r="V189" s="8">
        <f t="shared" si="57"/>
        <v>2</v>
      </c>
      <c r="W189" s="8">
        <f t="shared" si="58"/>
        <v>8</v>
      </c>
      <c r="X189">
        <f t="shared" si="59"/>
        <v>1</v>
      </c>
    </row>
    <row r="190" spans="1:24" x14ac:dyDescent="0.25">
      <c r="A190" s="4" t="s">
        <v>216</v>
      </c>
      <c r="B190" t="s">
        <v>16</v>
      </c>
      <c r="C190" t="s">
        <v>6</v>
      </c>
      <c r="D190" s="3">
        <f t="shared" si="40"/>
        <v>98</v>
      </c>
      <c r="E190" s="4">
        <f t="shared" si="41"/>
        <v>10</v>
      </c>
      <c r="F190" s="4">
        <f t="shared" si="42"/>
        <v>6</v>
      </c>
      <c r="G190" s="3">
        <f>IF(E190&gt;=20,2000,1900) + D190</f>
        <v>1998</v>
      </c>
      <c r="H190">
        <f t="shared" si="43"/>
        <v>10</v>
      </c>
      <c r="I190" s="4">
        <f t="shared" si="44"/>
        <v>6</v>
      </c>
      <c r="J190">
        <f t="shared" si="45"/>
        <v>19981006</v>
      </c>
      <c r="K190" t="str">
        <f t="shared" si="46"/>
        <v>06.10.1998</v>
      </c>
      <c r="L190" s="4">
        <f t="shared" si="47"/>
        <v>9</v>
      </c>
      <c r="M190" s="4">
        <f t="shared" si="48"/>
        <v>24</v>
      </c>
      <c r="N190" s="4">
        <f t="shared" si="49"/>
        <v>7</v>
      </c>
      <c r="O190" s="4">
        <f t="shared" si="50"/>
        <v>0</v>
      </c>
      <c r="P190" s="4">
        <f t="shared" si="51"/>
        <v>0</v>
      </c>
      <c r="Q190" s="4">
        <f t="shared" si="52"/>
        <v>18</v>
      </c>
      <c r="R190" s="4">
        <f t="shared" si="53"/>
        <v>63</v>
      </c>
      <c r="S190" s="4">
        <f t="shared" si="54"/>
        <v>27</v>
      </c>
      <c r="T190" s="4">
        <f t="shared" si="55"/>
        <v>6</v>
      </c>
      <c r="U190" s="4">
        <f t="shared" si="56"/>
        <v>12</v>
      </c>
      <c r="V190" s="8">
        <f t="shared" si="57"/>
        <v>6</v>
      </c>
      <c r="W190" s="8">
        <f t="shared" si="58"/>
        <v>4</v>
      </c>
      <c r="X190">
        <f t="shared" si="59"/>
        <v>1</v>
      </c>
    </row>
    <row r="191" spans="1:24" x14ac:dyDescent="0.25">
      <c r="A191" s="4" t="s">
        <v>217</v>
      </c>
      <c r="B191" t="s">
        <v>12</v>
      </c>
      <c r="C191" t="s">
        <v>4</v>
      </c>
      <c r="D191" s="3">
        <f t="shared" si="40"/>
        <v>76</v>
      </c>
      <c r="E191" s="4">
        <f t="shared" si="41"/>
        <v>7</v>
      </c>
      <c r="F191" s="4">
        <f t="shared" si="42"/>
        <v>29</v>
      </c>
      <c r="G191" s="3">
        <f>IF(E191&gt;=20,2000,1900) + D191</f>
        <v>1976</v>
      </c>
      <c r="H191">
        <f t="shared" si="43"/>
        <v>7</v>
      </c>
      <c r="I191" s="4">
        <f t="shared" si="44"/>
        <v>29</v>
      </c>
      <c r="J191">
        <f t="shared" si="45"/>
        <v>19760729</v>
      </c>
      <c r="K191" t="str">
        <f t="shared" si="46"/>
        <v>29.07.1976</v>
      </c>
      <c r="L191" s="4">
        <f t="shared" si="47"/>
        <v>7</v>
      </c>
      <c r="M191" s="4">
        <f t="shared" si="48"/>
        <v>18</v>
      </c>
      <c r="N191" s="4">
        <f t="shared" si="49"/>
        <v>0</v>
      </c>
      <c r="O191" s="4">
        <f t="shared" si="50"/>
        <v>63</v>
      </c>
      <c r="P191" s="4">
        <f t="shared" si="51"/>
        <v>2</v>
      </c>
      <c r="Q191" s="4">
        <f t="shared" si="52"/>
        <v>27</v>
      </c>
      <c r="R191" s="4">
        <f t="shared" si="53"/>
        <v>7</v>
      </c>
      <c r="S191" s="4">
        <f t="shared" si="54"/>
        <v>36</v>
      </c>
      <c r="T191" s="4">
        <f t="shared" si="55"/>
        <v>8</v>
      </c>
      <c r="U191" s="4">
        <f t="shared" si="56"/>
        <v>21</v>
      </c>
      <c r="V191" s="8">
        <f t="shared" si="57"/>
        <v>9</v>
      </c>
      <c r="W191" s="8">
        <f t="shared" si="58"/>
        <v>1</v>
      </c>
      <c r="X191">
        <f t="shared" si="59"/>
        <v>1</v>
      </c>
    </row>
    <row r="192" spans="1:24" x14ac:dyDescent="0.25">
      <c r="A192" s="4" t="s">
        <v>218</v>
      </c>
      <c r="B192" t="s">
        <v>15</v>
      </c>
      <c r="C192" t="s">
        <v>4</v>
      </c>
      <c r="D192" s="3">
        <f t="shared" si="40"/>
        <v>55</v>
      </c>
      <c r="E192" s="4">
        <f t="shared" si="41"/>
        <v>4</v>
      </c>
      <c r="F192" s="4">
        <f t="shared" si="42"/>
        <v>14</v>
      </c>
      <c r="G192" s="3">
        <f>IF(E192&gt;=20,2000,1900) + D192</f>
        <v>1955</v>
      </c>
      <c r="H192">
        <f t="shared" si="43"/>
        <v>4</v>
      </c>
      <c r="I192" s="4">
        <f t="shared" si="44"/>
        <v>14</v>
      </c>
      <c r="J192">
        <f t="shared" si="45"/>
        <v>19550414</v>
      </c>
      <c r="K192" t="str">
        <f t="shared" si="46"/>
        <v>14.04.1955</v>
      </c>
      <c r="L192" s="4">
        <f t="shared" si="47"/>
        <v>5</v>
      </c>
      <c r="M192" s="4">
        <f t="shared" si="48"/>
        <v>15</v>
      </c>
      <c r="N192" s="4">
        <f t="shared" si="49"/>
        <v>0</v>
      </c>
      <c r="O192" s="4">
        <f t="shared" si="50"/>
        <v>36</v>
      </c>
      <c r="P192" s="4">
        <f t="shared" si="51"/>
        <v>1</v>
      </c>
      <c r="Q192" s="4">
        <f t="shared" si="52"/>
        <v>12</v>
      </c>
      <c r="R192" s="4">
        <f t="shared" si="53"/>
        <v>14</v>
      </c>
      <c r="S192" s="4">
        <f t="shared" si="54"/>
        <v>81</v>
      </c>
      <c r="T192" s="4">
        <f t="shared" si="55"/>
        <v>4</v>
      </c>
      <c r="U192" s="4">
        <f t="shared" si="56"/>
        <v>21</v>
      </c>
      <c r="V192" s="8">
        <f t="shared" si="57"/>
        <v>9</v>
      </c>
      <c r="W192" s="8">
        <f t="shared" si="58"/>
        <v>1</v>
      </c>
      <c r="X192">
        <f t="shared" si="59"/>
        <v>1</v>
      </c>
    </row>
    <row r="193" spans="1:24" x14ac:dyDescent="0.25">
      <c r="A193" s="4" t="s">
        <v>219</v>
      </c>
      <c r="B193" t="s">
        <v>13</v>
      </c>
      <c r="C193" t="s">
        <v>4</v>
      </c>
      <c r="D193" s="3">
        <f t="shared" si="40"/>
        <v>96</v>
      </c>
      <c r="E193" s="4">
        <f t="shared" si="41"/>
        <v>1</v>
      </c>
      <c r="F193" s="4">
        <f t="shared" si="42"/>
        <v>6</v>
      </c>
      <c r="G193" s="3">
        <f>IF(E193&gt;=20,2000,1900) + D193</f>
        <v>1996</v>
      </c>
      <c r="H193">
        <f t="shared" si="43"/>
        <v>1</v>
      </c>
      <c r="I193" s="4">
        <f t="shared" si="44"/>
        <v>6</v>
      </c>
      <c r="J193">
        <f t="shared" si="45"/>
        <v>19960106</v>
      </c>
      <c r="K193" t="str">
        <f t="shared" si="46"/>
        <v>06.01.1996</v>
      </c>
      <c r="L193" s="4">
        <f t="shared" si="47"/>
        <v>9</v>
      </c>
      <c r="M193" s="4">
        <f t="shared" si="48"/>
        <v>18</v>
      </c>
      <c r="N193" s="4">
        <f t="shared" si="49"/>
        <v>0</v>
      </c>
      <c r="O193" s="4">
        <f t="shared" si="50"/>
        <v>9</v>
      </c>
      <c r="P193" s="4">
        <f t="shared" si="51"/>
        <v>0</v>
      </c>
      <c r="Q193" s="4">
        <f t="shared" si="52"/>
        <v>18</v>
      </c>
      <c r="R193" s="4">
        <f t="shared" si="53"/>
        <v>35</v>
      </c>
      <c r="S193" s="4">
        <f t="shared" si="54"/>
        <v>72</v>
      </c>
      <c r="T193" s="4">
        <f t="shared" si="55"/>
        <v>9</v>
      </c>
      <c r="U193" s="4">
        <f t="shared" si="56"/>
        <v>0</v>
      </c>
      <c r="V193" s="8">
        <f t="shared" si="57"/>
        <v>0</v>
      </c>
      <c r="W193" s="8">
        <f t="shared" si="58"/>
        <v>0</v>
      </c>
      <c r="X193">
        <f t="shared" si="59"/>
        <v>1</v>
      </c>
    </row>
    <row r="194" spans="1:24" x14ac:dyDescent="0.25">
      <c r="A194" s="4" t="s">
        <v>220</v>
      </c>
      <c r="B194" t="s">
        <v>14</v>
      </c>
      <c r="C194" t="s">
        <v>6</v>
      </c>
      <c r="D194" s="3">
        <f t="shared" si="40"/>
        <v>84</v>
      </c>
      <c r="E194" s="4">
        <f t="shared" si="41"/>
        <v>3</v>
      </c>
      <c r="F194" s="4">
        <f t="shared" si="42"/>
        <v>23</v>
      </c>
      <c r="G194" s="3">
        <f>IF(E194&gt;=20,2000,1900) + D194</f>
        <v>1984</v>
      </c>
      <c r="H194">
        <f t="shared" si="43"/>
        <v>3</v>
      </c>
      <c r="I194" s="4">
        <f t="shared" si="44"/>
        <v>23</v>
      </c>
      <c r="J194">
        <f t="shared" si="45"/>
        <v>19840323</v>
      </c>
      <c r="K194" t="str">
        <f t="shared" si="46"/>
        <v>23.03.1984</v>
      </c>
      <c r="L194" s="4">
        <f t="shared" si="47"/>
        <v>8</v>
      </c>
      <c r="M194" s="4">
        <f t="shared" si="48"/>
        <v>12</v>
      </c>
      <c r="N194" s="4">
        <f t="shared" si="49"/>
        <v>0</v>
      </c>
      <c r="O194" s="4">
        <f t="shared" si="50"/>
        <v>27</v>
      </c>
      <c r="P194" s="4">
        <f t="shared" si="51"/>
        <v>2</v>
      </c>
      <c r="Q194" s="4">
        <f t="shared" si="52"/>
        <v>9</v>
      </c>
      <c r="R194" s="4">
        <f t="shared" si="53"/>
        <v>49</v>
      </c>
      <c r="S194" s="4">
        <f t="shared" si="54"/>
        <v>18</v>
      </c>
      <c r="T194" s="4">
        <f t="shared" si="55"/>
        <v>7</v>
      </c>
      <c r="U194" s="4">
        <f t="shared" si="56"/>
        <v>24</v>
      </c>
      <c r="V194" s="8">
        <f t="shared" si="57"/>
        <v>6</v>
      </c>
      <c r="W194" s="8">
        <f t="shared" si="58"/>
        <v>4</v>
      </c>
      <c r="X194">
        <f t="shared" si="59"/>
        <v>1</v>
      </c>
    </row>
    <row r="195" spans="1:24" x14ac:dyDescent="0.25">
      <c r="A195" s="4" t="s">
        <v>221</v>
      </c>
      <c r="B195" t="s">
        <v>10</v>
      </c>
      <c r="C195" t="s">
        <v>4</v>
      </c>
      <c r="D195" s="3">
        <f t="shared" ref="D195:D258" si="60">MID(A195,1,2)*1</f>
        <v>50</v>
      </c>
      <c r="E195" s="4">
        <f t="shared" ref="E195:E258" si="61">MID(A195,3,2)*1</f>
        <v>10</v>
      </c>
      <c r="F195" s="4">
        <f t="shared" ref="F195:F258" si="62">MID(A195,5,2)*1</f>
        <v>14</v>
      </c>
      <c r="G195" s="3">
        <f>IF(E195&gt;=20,2000,1900) + D195</f>
        <v>1950</v>
      </c>
      <c r="H195">
        <f t="shared" ref="H195:H258" si="63">IF(E195&gt;=20,E195-20,E195)</f>
        <v>10</v>
      </c>
      <c r="I195" s="4">
        <f t="shared" ref="I195:I258" si="64">F195</f>
        <v>14</v>
      </c>
      <c r="J195">
        <f t="shared" ref="J195:J258" si="65">CONCATENATE(G195,IF(LEN(E195)=1,CONCATENATE("0",E195),E195),IF(LEN(F195)=1,CONCATENATE("0",F195),F195))*1</f>
        <v>19501014</v>
      </c>
      <c r="K195" t="str">
        <f t="shared" ref="K195:K258" si="66">CONCATENATE(RIGHT(J195,2),".",MID(J195,5,2),".",LEFT(J195,4))</f>
        <v>14.10.1950</v>
      </c>
      <c r="L195" s="4">
        <f t="shared" ref="L195:L258" si="67">MID(A195,1,1)*1</f>
        <v>5</v>
      </c>
      <c r="M195" s="4">
        <f t="shared" ref="M195:M258" si="68">MID(A195,2,1)*3</f>
        <v>0</v>
      </c>
      <c r="N195" s="4">
        <f t="shared" ref="N195:N258" si="69">MID(A195,3,1)*7</f>
        <v>7</v>
      </c>
      <c r="O195" s="4">
        <f t="shared" ref="O195:O258" si="70">MID(A195,4,1)*9</f>
        <v>0</v>
      </c>
      <c r="P195" s="4">
        <f t="shared" ref="P195:P258" si="71">MID(A195,5,1)*1</f>
        <v>1</v>
      </c>
      <c r="Q195" s="4">
        <f t="shared" ref="Q195:Q258" si="72">MID(A195,6,1)*3</f>
        <v>12</v>
      </c>
      <c r="R195" s="4">
        <f t="shared" ref="R195:R258" si="73">MID(A195,7,1)*7</f>
        <v>0</v>
      </c>
      <c r="S195" s="4">
        <f t="shared" ref="S195:S258" si="74">MID(A195,8,1)*9</f>
        <v>81</v>
      </c>
      <c r="T195" s="4">
        <f t="shared" ref="T195:T258" si="75">MID(A195,9,1)*1</f>
        <v>1</v>
      </c>
      <c r="U195" s="4">
        <f t="shared" ref="U195:U258" si="76">MID(A195,10,1)*3</f>
        <v>24</v>
      </c>
      <c r="V195" s="8">
        <f t="shared" ref="V195:V258" si="77">MOD(SUM(L195:U195),10)</f>
        <v>1</v>
      </c>
      <c r="W195" s="8">
        <f t="shared" ref="W195:W258" si="78">IF(V195=0,0,10-V195)</f>
        <v>9</v>
      </c>
      <c r="X195">
        <f t="shared" ref="X195:X258" si="79">IF(W195=RIGHT(A195,1)*1,1,0)</f>
        <v>1</v>
      </c>
    </row>
    <row r="196" spans="1:24" x14ac:dyDescent="0.25">
      <c r="A196" s="4" t="s">
        <v>222</v>
      </c>
      <c r="B196" t="s">
        <v>19</v>
      </c>
      <c r="C196" t="s">
        <v>6</v>
      </c>
      <c r="D196" s="3">
        <f t="shared" si="60"/>
        <v>54</v>
      </c>
      <c r="E196" s="4">
        <f t="shared" si="61"/>
        <v>12</v>
      </c>
      <c r="F196" s="4">
        <f t="shared" si="62"/>
        <v>22</v>
      </c>
      <c r="G196" s="3">
        <f>IF(E196&gt;=20,2000,1900) + D196</f>
        <v>1954</v>
      </c>
      <c r="H196">
        <f t="shared" si="63"/>
        <v>12</v>
      </c>
      <c r="I196" s="4">
        <f t="shared" si="64"/>
        <v>22</v>
      </c>
      <c r="J196">
        <f t="shared" si="65"/>
        <v>19541222</v>
      </c>
      <c r="K196" t="str">
        <f t="shared" si="66"/>
        <v>22.12.1954</v>
      </c>
      <c r="L196" s="4">
        <f t="shared" si="67"/>
        <v>5</v>
      </c>
      <c r="M196" s="4">
        <f t="shared" si="68"/>
        <v>12</v>
      </c>
      <c r="N196" s="4">
        <f t="shared" si="69"/>
        <v>7</v>
      </c>
      <c r="O196" s="4">
        <f t="shared" si="70"/>
        <v>18</v>
      </c>
      <c r="P196" s="4">
        <f t="shared" si="71"/>
        <v>2</v>
      </c>
      <c r="Q196" s="4">
        <f t="shared" si="72"/>
        <v>6</v>
      </c>
      <c r="R196" s="4">
        <f t="shared" si="73"/>
        <v>63</v>
      </c>
      <c r="S196" s="4">
        <f t="shared" si="74"/>
        <v>45</v>
      </c>
      <c r="T196" s="4">
        <f t="shared" si="75"/>
        <v>1</v>
      </c>
      <c r="U196" s="4">
        <f t="shared" si="76"/>
        <v>21</v>
      </c>
      <c r="V196" s="8">
        <f t="shared" si="77"/>
        <v>0</v>
      </c>
      <c r="W196" s="8">
        <f t="shared" si="78"/>
        <v>0</v>
      </c>
      <c r="X196">
        <f t="shared" si="79"/>
        <v>1</v>
      </c>
    </row>
    <row r="197" spans="1:24" x14ac:dyDescent="0.25">
      <c r="A197" s="4" t="s">
        <v>223</v>
      </c>
      <c r="B197" t="s">
        <v>12</v>
      </c>
      <c r="C197" t="s">
        <v>4</v>
      </c>
      <c r="D197" s="3">
        <f t="shared" si="60"/>
        <v>67</v>
      </c>
      <c r="E197" s="4">
        <f t="shared" si="61"/>
        <v>9</v>
      </c>
      <c r="F197" s="4">
        <f t="shared" si="62"/>
        <v>24</v>
      </c>
      <c r="G197" s="3">
        <f>IF(E197&gt;=20,2000,1900) + D197</f>
        <v>1967</v>
      </c>
      <c r="H197">
        <f t="shared" si="63"/>
        <v>9</v>
      </c>
      <c r="I197" s="4">
        <f t="shared" si="64"/>
        <v>24</v>
      </c>
      <c r="J197">
        <f t="shared" si="65"/>
        <v>19670924</v>
      </c>
      <c r="K197" t="str">
        <f t="shared" si="66"/>
        <v>24.09.1967</v>
      </c>
      <c r="L197" s="4">
        <f t="shared" si="67"/>
        <v>6</v>
      </c>
      <c r="M197" s="4">
        <f t="shared" si="68"/>
        <v>21</v>
      </c>
      <c r="N197" s="4">
        <f t="shared" si="69"/>
        <v>0</v>
      </c>
      <c r="O197" s="4">
        <f t="shared" si="70"/>
        <v>81</v>
      </c>
      <c r="P197" s="4">
        <f t="shared" si="71"/>
        <v>2</v>
      </c>
      <c r="Q197" s="4">
        <f t="shared" si="72"/>
        <v>12</v>
      </c>
      <c r="R197" s="4">
        <f t="shared" si="73"/>
        <v>0</v>
      </c>
      <c r="S197" s="4">
        <f t="shared" si="74"/>
        <v>36</v>
      </c>
      <c r="T197" s="4">
        <f t="shared" si="75"/>
        <v>0</v>
      </c>
      <c r="U197" s="4">
        <f t="shared" si="76"/>
        <v>15</v>
      </c>
      <c r="V197" s="8">
        <f t="shared" si="77"/>
        <v>3</v>
      </c>
      <c r="W197" s="8">
        <f t="shared" si="78"/>
        <v>7</v>
      </c>
      <c r="X197">
        <f t="shared" si="79"/>
        <v>1</v>
      </c>
    </row>
    <row r="198" spans="1:24" x14ac:dyDescent="0.25">
      <c r="A198" s="4" t="s">
        <v>224</v>
      </c>
      <c r="B198" t="s">
        <v>7</v>
      </c>
      <c r="C198" t="s">
        <v>4</v>
      </c>
      <c r="D198" s="3">
        <f t="shared" si="60"/>
        <v>67</v>
      </c>
      <c r="E198" s="4">
        <f t="shared" si="61"/>
        <v>2</v>
      </c>
      <c r="F198" s="4">
        <f t="shared" si="62"/>
        <v>23</v>
      </c>
      <c r="G198" s="3">
        <f>IF(E198&gt;=20,2000,1900) + D198</f>
        <v>1967</v>
      </c>
      <c r="H198">
        <f t="shared" si="63"/>
        <v>2</v>
      </c>
      <c r="I198" s="4">
        <f t="shared" si="64"/>
        <v>23</v>
      </c>
      <c r="J198">
        <f t="shared" si="65"/>
        <v>19670223</v>
      </c>
      <c r="K198" t="str">
        <f t="shared" si="66"/>
        <v>23.02.1967</v>
      </c>
      <c r="L198" s="4">
        <f t="shared" si="67"/>
        <v>6</v>
      </c>
      <c r="M198" s="4">
        <f t="shared" si="68"/>
        <v>21</v>
      </c>
      <c r="N198" s="4">
        <f t="shared" si="69"/>
        <v>0</v>
      </c>
      <c r="O198" s="4">
        <f t="shared" si="70"/>
        <v>18</v>
      </c>
      <c r="P198" s="4">
        <f t="shared" si="71"/>
        <v>2</v>
      </c>
      <c r="Q198" s="4">
        <f t="shared" si="72"/>
        <v>9</v>
      </c>
      <c r="R198" s="4">
        <f t="shared" si="73"/>
        <v>63</v>
      </c>
      <c r="S198" s="4">
        <f t="shared" si="74"/>
        <v>9</v>
      </c>
      <c r="T198" s="4">
        <f t="shared" si="75"/>
        <v>0</v>
      </c>
      <c r="U198" s="4">
        <f t="shared" si="76"/>
        <v>21</v>
      </c>
      <c r="V198" s="8">
        <f t="shared" si="77"/>
        <v>9</v>
      </c>
      <c r="W198" s="8">
        <f t="shared" si="78"/>
        <v>1</v>
      </c>
      <c r="X198">
        <f t="shared" si="79"/>
        <v>1</v>
      </c>
    </row>
    <row r="199" spans="1:24" x14ac:dyDescent="0.25">
      <c r="A199" s="4" t="s">
        <v>225</v>
      </c>
      <c r="B199" t="s">
        <v>14</v>
      </c>
      <c r="C199" t="s">
        <v>6</v>
      </c>
      <c r="D199" s="3">
        <f t="shared" si="60"/>
        <v>97</v>
      </c>
      <c r="E199" s="4">
        <f t="shared" si="61"/>
        <v>4</v>
      </c>
      <c r="F199" s="4">
        <f t="shared" si="62"/>
        <v>19</v>
      </c>
      <c r="G199" s="3">
        <f>IF(E199&gt;=20,2000,1900) + D199</f>
        <v>1997</v>
      </c>
      <c r="H199">
        <f t="shared" si="63"/>
        <v>4</v>
      </c>
      <c r="I199" s="4">
        <f t="shared" si="64"/>
        <v>19</v>
      </c>
      <c r="J199">
        <f t="shared" si="65"/>
        <v>19970419</v>
      </c>
      <c r="K199" t="str">
        <f t="shared" si="66"/>
        <v>19.04.1997</v>
      </c>
      <c r="L199" s="4">
        <f t="shared" si="67"/>
        <v>9</v>
      </c>
      <c r="M199" s="4">
        <f t="shared" si="68"/>
        <v>21</v>
      </c>
      <c r="N199" s="4">
        <f t="shared" si="69"/>
        <v>0</v>
      </c>
      <c r="O199" s="4">
        <f t="shared" si="70"/>
        <v>36</v>
      </c>
      <c r="P199" s="4">
        <f t="shared" si="71"/>
        <v>1</v>
      </c>
      <c r="Q199" s="4">
        <f t="shared" si="72"/>
        <v>27</v>
      </c>
      <c r="R199" s="4">
        <f t="shared" si="73"/>
        <v>28</v>
      </c>
      <c r="S199" s="4">
        <f t="shared" si="74"/>
        <v>72</v>
      </c>
      <c r="T199" s="4">
        <f t="shared" si="75"/>
        <v>1</v>
      </c>
      <c r="U199" s="4">
        <f t="shared" si="76"/>
        <v>9</v>
      </c>
      <c r="V199" s="8">
        <f t="shared" si="77"/>
        <v>4</v>
      </c>
      <c r="W199" s="8">
        <f t="shared" si="78"/>
        <v>6</v>
      </c>
      <c r="X199">
        <f t="shared" si="79"/>
        <v>1</v>
      </c>
    </row>
    <row r="200" spans="1:24" x14ac:dyDescent="0.25">
      <c r="A200" s="4" t="s">
        <v>226</v>
      </c>
      <c r="B200" t="s">
        <v>13</v>
      </c>
      <c r="C200" t="s">
        <v>6</v>
      </c>
      <c r="D200" s="3">
        <f t="shared" si="60"/>
        <v>99</v>
      </c>
      <c r="E200" s="4">
        <f t="shared" si="61"/>
        <v>1</v>
      </c>
      <c r="F200" s="4">
        <f t="shared" si="62"/>
        <v>12</v>
      </c>
      <c r="G200" s="3">
        <f>IF(E200&gt;=20,2000,1900) + D200</f>
        <v>1999</v>
      </c>
      <c r="H200">
        <f t="shared" si="63"/>
        <v>1</v>
      </c>
      <c r="I200" s="4">
        <f t="shared" si="64"/>
        <v>12</v>
      </c>
      <c r="J200">
        <f t="shared" si="65"/>
        <v>19990112</v>
      </c>
      <c r="K200" t="str">
        <f t="shared" si="66"/>
        <v>12.01.1999</v>
      </c>
      <c r="L200" s="4">
        <f t="shared" si="67"/>
        <v>9</v>
      </c>
      <c r="M200" s="4">
        <f t="shared" si="68"/>
        <v>27</v>
      </c>
      <c r="N200" s="4">
        <f t="shared" si="69"/>
        <v>0</v>
      </c>
      <c r="O200" s="4">
        <f t="shared" si="70"/>
        <v>9</v>
      </c>
      <c r="P200" s="4">
        <f t="shared" si="71"/>
        <v>1</v>
      </c>
      <c r="Q200" s="4">
        <f t="shared" si="72"/>
        <v>6</v>
      </c>
      <c r="R200" s="4">
        <f t="shared" si="73"/>
        <v>49</v>
      </c>
      <c r="S200" s="4">
        <f t="shared" si="74"/>
        <v>45</v>
      </c>
      <c r="T200" s="4">
        <f t="shared" si="75"/>
        <v>5</v>
      </c>
      <c r="U200" s="4">
        <f t="shared" si="76"/>
        <v>6</v>
      </c>
      <c r="V200" s="8">
        <f t="shared" si="77"/>
        <v>7</v>
      </c>
      <c r="W200" s="8">
        <f t="shared" si="78"/>
        <v>3</v>
      </c>
      <c r="X200">
        <f t="shared" si="79"/>
        <v>1</v>
      </c>
    </row>
    <row r="201" spans="1:24" x14ac:dyDescent="0.25">
      <c r="A201" s="4" t="s">
        <v>227</v>
      </c>
      <c r="B201" t="s">
        <v>11</v>
      </c>
      <c r="C201" t="s">
        <v>6</v>
      </c>
      <c r="D201" s="3">
        <f t="shared" si="60"/>
        <v>57</v>
      </c>
      <c r="E201" s="4">
        <f t="shared" si="61"/>
        <v>7</v>
      </c>
      <c r="F201" s="4">
        <f t="shared" si="62"/>
        <v>12</v>
      </c>
      <c r="G201" s="3">
        <f>IF(E201&gt;=20,2000,1900) + D201</f>
        <v>1957</v>
      </c>
      <c r="H201">
        <f t="shared" si="63"/>
        <v>7</v>
      </c>
      <c r="I201" s="4">
        <f t="shared" si="64"/>
        <v>12</v>
      </c>
      <c r="J201">
        <f t="shared" si="65"/>
        <v>19570712</v>
      </c>
      <c r="K201" t="str">
        <f t="shared" si="66"/>
        <v>12.07.1957</v>
      </c>
      <c r="L201" s="4">
        <f t="shared" si="67"/>
        <v>5</v>
      </c>
      <c r="M201" s="4">
        <f t="shared" si="68"/>
        <v>21</v>
      </c>
      <c r="N201" s="4">
        <f t="shared" si="69"/>
        <v>0</v>
      </c>
      <c r="O201" s="4">
        <f t="shared" si="70"/>
        <v>63</v>
      </c>
      <c r="P201" s="4">
        <f t="shared" si="71"/>
        <v>1</v>
      </c>
      <c r="Q201" s="4">
        <f t="shared" si="72"/>
        <v>6</v>
      </c>
      <c r="R201" s="4">
        <f t="shared" si="73"/>
        <v>14</v>
      </c>
      <c r="S201" s="4">
        <f t="shared" si="74"/>
        <v>18</v>
      </c>
      <c r="T201" s="4">
        <f t="shared" si="75"/>
        <v>7</v>
      </c>
      <c r="U201" s="4">
        <f t="shared" si="76"/>
        <v>24</v>
      </c>
      <c r="V201" s="8">
        <f t="shared" si="77"/>
        <v>9</v>
      </c>
      <c r="W201" s="8">
        <f t="shared" si="78"/>
        <v>1</v>
      </c>
      <c r="X201">
        <f t="shared" si="79"/>
        <v>1</v>
      </c>
    </row>
    <row r="202" spans="1:24" x14ac:dyDescent="0.25">
      <c r="A202" s="4" t="s">
        <v>228</v>
      </c>
      <c r="B202" t="s">
        <v>17</v>
      </c>
      <c r="C202" t="s">
        <v>6</v>
      </c>
      <c r="D202" s="3">
        <f t="shared" si="60"/>
        <v>93</v>
      </c>
      <c r="E202" s="4">
        <f t="shared" si="61"/>
        <v>1</v>
      </c>
      <c r="F202" s="4">
        <f t="shared" si="62"/>
        <v>29</v>
      </c>
      <c r="G202" s="3">
        <f>IF(E202&gt;=20,2000,1900) + D202</f>
        <v>1993</v>
      </c>
      <c r="H202">
        <f t="shared" si="63"/>
        <v>1</v>
      </c>
      <c r="I202" s="4">
        <f t="shared" si="64"/>
        <v>29</v>
      </c>
      <c r="J202">
        <f t="shared" si="65"/>
        <v>19930129</v>
      </c>
      <c r="K202" t="str">
        <f t="shared" si="66"/>
        <v>29.01.1993</v>
      </c>
      <c r="L202" s="4">
        <f t="shared" si="67"/>
        <v>9</v>
      </c>
      <c r="M202" s="4">
        <f t="shared" si="68"/>
        <v>9</v>
      </c>
      <c r="N202" s="4">
        <f t="shared" si="69"/>
        <v>0</v>
      </c>
      <c r="O202" s="4">
        <f t="shared" si="70"/>
        <v>9</v>
      </c>
      <c r="P202" s="4">
        <f t="shared" si="71"/>
        <v>2</v>
      </c>
      <c r="Q202" s="4">
        <f t="shared" si="72"/>
        <v>27</v>
      </c>
      <c r="R202" s="4">
        <f t="shared" si="73"/>
        <v>49</v>
      </c>
      <c r="S202" s="4">
        <f t="shared" si="74"/>
        <v>27</v>
      </c>
      <c r="T202" s="4">
        <f t="shared" si="75"/>
        <v>2</v>
      </c>
      <c r="U202" s="4">
        <f t="shared" si="76"/>
        <v>9</v>
      </c>
      <c r="V202" s="8">
        <f t="shared" si="77"/>
        <v>3</v>
      </c>
      <c r="W202" s="8">
        <f t="shared" si="78"/>
        <v>7</v>
      </c>
      <c r="X202">
        <f t="shared" si="79"/>
        <v>1</v>
      </c>
    </row>
    <row r="203" spans="1:24" x14ac:dyDescent="0.25">
      <c r="A203" s="4" t="s">
        <v>229</v>
      </c>
      <c r="B203" t="s">
        <v>9</v>
      </c>
      <c r="C203" t="s">
        <v>4</v>
      </c>
      <c r="D203" s="3">
        <f t="shared" si="60"/>
        <v>59</v>
      </c>
      <c r="E203" s="4">
        <f t="shared" si="61"/>
        <v>8</v>
      </c>
      <c r="F203" s="4">
        <f t="shared" si="62"/>
        <v>27</v>
      </c>
      <c r="G203" s="3">
        <f>IF(E203&gt;=20,2000,1900) + D203</f>
        <v>1959</v>
      </c>
      <c r="H203">
        <f t="shared" si="63"/>
        <v>8</v>
      </c>
      <c r="I203" s="4">
        <f t="shared" si="64"/>
        <v>27</v>
      </c>
      <c r="J203">
        <f t="shared" si="65"/>
        <v>19590827</v>
      </c>
      <c r="K203" t="str">
        <f t="shared" si="66"/>
        <v>27.08.1959</v>
      </c>
      <c r="L203" s="4">
        <f t="shared" si="67"/>
        <v>5</v>
      </c>
      <c r="M203" s="4">
        <f t="shared" si="68"/>
        <v>27</v>
      </c>
      <c r="N203" s="4">
        <f t="shared" si="69"/>
        <v>0</v>
      </c>
      <c r="O203" s="4">
        <f t="shared" si="70"/>
        <v>72</v>
      </c>
      <c r="P203" s="4">
        <f t="shared" si="71"/>
        <v>2</v>
      </c>
      <c r="Q203" s="4">
        <f t="shared" si="72"/>
        <v>21</v>
      </c>
      <c r="R203" s="4">
        <f t="shared" si="73"/>
        <v>63</v>
      </c>
      <c r="S203" s="4">
        <f t="shared" si="74"/>
        <v>9</v>
      </c>
      <c r="T203" s="4">
        <f t="shared" si="75"/>
        <v>7</v>
      </c>
      <c r="U203" s="4">
        <f t="shared" si="76"/>
        <v>24</v>
      </c>
      <c r="V203" s="8">
        <f t="shared" si="77"/>
        <v>0</v>
      </c>
      <c r="W203" s="8">
        <f t="shared" si="78"/>
        <v>0</v>
      </c>
      <c r="X203">
        <f t="shared" si="79"/>
        <v>1</v>
      </c>
    </row>
    <row r="204" spans="1:24" x14ac:dyDescent="0.25">
      <c r="A204" s="4" t="s">
        <v>230</v>
      </c>
      <c r="B204" t="s">
        <v>20</v>
      </c>
      <c r="C204" t="s">
        <v>4</v>
      </c>
      <c r="D204" s="3">
        <f t="shared" si="60"/>
        <v>81</v>
      </c>
      <c r="E204" s="4">
        <f t="shared" si="61"/>
        <v>9</v>
      </c>
      <c r="F204" s="4">
        <f t="shared" si="62"/>
        <v>16</v>
      </c>
      <c r="G204" s="3">
        <f>IF(E204&gt;=20,2000,1900) + D204</f>
        <v>1981</v>
      </c>
      <c r="H204">
        <f t="shared" si="63"/>
        <v>9</v>
      </c>
      <c r="I204" s="4">
        <f t="shared" si="64"/>
        <v>16</v>
      </c>
      <c r="J204">
        <f t="shared" si="65"/>
        <v>19810916</v>
      </c>
      <c r="K204" t="str">
        <f t="shared" si="66"/>
        <v>16.09.1981</v>
      </c>
      <c r="L204" s="4">
        <f t="shared" si="67"/>
        <v>8</v>
      </c>
      <c r="M204" s="4">
        <f t="shared" si="68"/>
        <v>3</v>
      </c>
      <c r="N204" s="4">
        <f t="shared" si="69"/>
        <v>0</v>
      </c>
      <c r="O204" s="4">
        <f t="shared" si="70"/>
        <v>81</v>
      </c>
      <c r="P204" s="4">
        <f t="shared" si="71"/>
        <v>1</v>
      </c>
      <c r="Q204" s="4">
        <f t="shared" si="72"/>
        <v>18</v>
      </c>
      <c r="R204" s="4">
        <f t="shared" si="73"/>
        <v>63</v>
      </c>
      <c r="S204" s="4">
        <f t="shared" si="74"/>
        <v>27</v>
      </c>
      <c r="T204" s="4">
        <f t="shared" si="75"/>
        <v>0</v>
      </c>
      <c r="U204" s="4">
        <f t="shared" si="76"/>
        <v>21</v>
      </c>
      <c r="V204" s="8">
        <f t="shared" si="77"/>
        <v>2</v>
      </c>
      <c r="W204" s="8">
        <f t="shared" si="78"/>
        <v>8</v>
      </c>
      <c r="X204">
        <f t="shared" si="79"/>
        <v>1</v>
      </c>
    </row>
    <row r="205" spans="1:24" x14ac:dyDescent="0.25">
      <c r="A205" s="4" t="s">
        <v>231</v>
      </c>
      <c r="B205" t="s">
        <v>14</v>
      </c>
      <c r="C205" t="s">
        <v>4</v>
      </c>
      <c r="D205" s="3">
        <f t="shared" si="60"/>
        <v>71</v>
      </c>
      <c r="E205" s="4">
        <f t="shared" si="61"/>
        <v>2</v>
      </c>
      <c r="F205" s="4">
        <f t="shared" si="62"/>
        <v>28</v>
      </c>
      <c r="G205" s="3">
        <f>IF(E205&gt;=20,2000,1900) + D205</f>
        <v>1971</v>
      </c>
      <c r="H205">
        <f t="shared" si="63"/>
        <v>2</v>
      </c>
      <c r="I205" s="4">
        <f t="shared" si="64"/>
        <v>28</v>
      </c>
      <c r="J205">
        <f t="shared" si="65"/>
        <v>19710228</v>
      </c>
      <c r="K205" t="str">
        <f t="shared" si="66"/>
        <v>28.02.1971</v>
      </c>
      <c r="L205" s="4">
        <f t="shared" si="67"/>
        <v>7</v>
      </c>
      <c r="M205" s="4">
        <f t="shared" si="68"/>
        <v>3</v>
      </c>
      <c r="N205" s="4">
        <f t="shared" si="69"/>
        <v>0</v>
      </c>
      <c r="O205" s="4">
        <f t="shared" si="70"/>
        <v>18</v>
      </c>
      <c r="P205" s="4">
        <f t="shared" si="71"/>
        <v>2</v>
      </c>
      <c r="Q205" s="4">
        <f t="shared" si="72"/>
        <v>24</v>
      </c>
      <c r="R205" s="4">
        <f t="shared" si="73"/>
        <v>28</v>
      </c>
      <c r="S205" s="4">
        <f t="shared" si="74"/>
        <v>45</v>
      </c>
      <c r="T205" s="4">
        <f t="shared" si="75"/>
        <v>7</v>
      </c>
      <c r="U205" s="4">
        <f t="shared" si="76"/>
        <v>15</v>
      </c>
      <c r="V205" s="8">
        <f t="shared" si="77"/>
        <v>9</v>
      </c>
      <c r="W205" s="8">
        <f t="shared" si="78"/>
        <v>1</v>
      </c>
      <c r="X205">
        <f t="shared" si="79"/>
        <v>1</v>
      </c>
    </row>
    <row r="206" spans="1:24" x14ac:dyDescent="0.25">
      <c r="A206" s="4" t="s">
        <v>232</v>
      </c>
      <c r="B206" t="s">
        <v>9</v>
      </c>
      <c r="C206" t="s">
        <v>6</v>
      </c>
      <c r="D206" s="3">
        <f t="shared" si="60"/>
        <v>74</v>
      </c>
      <c r="E206" s="4">
        <f t="shared" si="61"/>
        <v>12</v>
      </c>
      <c r="F206" s="4">
        <f t="shared" si="62"/>
        <v>30</v>
      </c>
      <c r="G206" s="3">
        <f>IF(E206&gt;=20,2000,1900) + D206</f>
        <v>1974</v>
      </c>
      <c r="H206">
        <f t="shared" si="63"/>
        <v>12</v>
      </c>
      <c r="I206" s="4">
        <f t="shared" si="64"/>
        <v>30</v>
      </c>
      <c r="J206">
        <f t="shared" si="65"/>
        <v>19741230</v>
      </c>
      <c r="K206" t="str">
        <f t="shared" si="66"/>
        <v>30.12.1974</v>
      </c>
      <c r="L206" s="4">
        <f t="shared" si="67"/>
        <v>7</v>
      </c>
      <c r="M206" s="4">
        <f t="shared" si="68"/>
        <v>12</v>
      </c>
      <c r="N206" s="4">
        <f t="shared" si="69"/>
        <v>7</v>
      </c>
      <c r="O206" s="4">
        <f t="shared" si="70"/>
        <v>18</v>
      </c>
      <c r="P206" s="4">
        <f t="shared" si="71"/>
        <v>3</v>
      </c>
      <c r="Q206" s="4">
        <f t="shared" si="72"/>
        <v>0</v>
      </c>
      <c r="R206" s="4">
        <f t="shared" si="73"/>
        <v>28</v>
      </c>
      <c r="S206" s="4">
        <f t="shared" si="74"/>
        <v>45</v>
      </c>
      <c r="T206" s="4">
        <f t="shared" si="75"/>
        <v>3</v>
      </c>
      <c r="U206" s="4">
        <f t="shared" si="76"/>
        <v>12</v>
      </c>
      <c r="V206" s="8">
        <f t="shared" si="77"/>
        <v>5</v>
      </c>
      <c r="W206" s="8">
        <f t="shared" si="78"/>
        <v>5</v>
      </c>
      <c r="X206">
        <f t="shared" si="79"/>
        <v>1</v>
      </c>
    </row>
    <row r="207" spans="1:24" x14ac:dyDescent="0.25">
      <c r="A207" s="4" t="s">
        <v>233</v>
      </c>
      <c r="B207" t="s">
        <v>20</v>
      </c>
      <c r="C207" t="s">
        <v>6</v>
      </c>
      <c r="D207" s="3">
        <f t="shared" si="60"/>
        <v>88</v>
      </c>
      <c r="E207" s="4">
        <f t="shared" si="61"/>
        <v>6</v>
      </c>
      <c r="F207" s="4">
        <f t="shared" si="62"/>
        <v>4</v>
      </c>
      <c r="G207" s="3">
        <f>IF(E207&gt;=20,2000,1900) + D207</f>
        <v>1988</v>
      </c>
      <c r="H207">
        <f t="shared" si="63"/>
        <v>6</v>
      </c>
      <c r="I207" s="4">
        <f t="shared" si="64"/>
        <v>4</v>
      </c>
      <c r="J207">
        <f t="shared" si="65"/>
        <v>19880604</v>
      </c>
      <c r="K207" t="str">
        <f t="shared" si="66"/>
        <v>04.06.1988</v>
      </c>
      <c r="L207" s="4">
        <f t="shared" si="67"/>
        <v>8</v>
      </c>
      <c r="M207" s="4">
        <f t="shared" si="68"/>
        <v>24</v>
      </c>
      <c r="N207" s="4">
        <f t="shared" si="69"/>
        <v>0</v>
      </c>
      <c r="O207" s="4">
        <f t="shared" si="70"/>
        <v>54</v>
      </c>
      <c r="P207" s="4">
        <f t="shared" si="71"/>
        <v>0</v>
      </c>
      <c r="Q207" s="4">
        <f t="shared" si="72"/>
        <v>12</v>
      </c>
      <c r="R207" s="4">
        <f t="shared" si="73"/>
        <v>56</v>
      </c>
      <c r="S207" s="4">
        <f t="shared" si="74"/>
        <v>36</v>
      </c>
      <c r="T207" s="4">
        <f t="shared" si="75"/>
        <v>4</v>
      </c>
      <c r="U207" s="4">
        <f t="shared" si="76"/>
        <v>0</v>
      </c>
      <c r="V207" s="8">
        <f t="shared" si="77"/>
        <v>4</v>
      </c>
      <c r="W207" s="8">
        <f t="shared" si="78"/>
        <v>6</v>
      </c>
      <c r="X207">
        <f t="shared" si="79"/>
        <v>1</v>
      </c>
    </row>
    <row r="208" spans="1:24" x14ac:dyDescent="0.25">
      <c r="A208" s="4" t="s">
        <v>234</v>
      </c>
      <c r="B208" t="s">
        <v>20</v>
      </c>
      <c r="C208" t="s">
        <v>6</v>
      </c>
      <c r="D208" s="3">
        <f t="shared" si="60"/>
        <v>85</v>
      </c>
      <c r="E208" s="4">
        <f t="shared" si="61"/>
        <v>1</v>
      </c>
      <c r="F208" s="4">
        <f t="shared" si="62"/>
        <v>27</v>
      </c>
      <c r="G208" s="3">
        <f>IF(E208&gt;=20,2000,1900) + D208</f>
        <v>1985</v>
      </c>
      <c r="H208">
        <f t="shared" si="63"/>
        <v>1</v>
      </c>
      <c r="I208" s="4">
        <f t="shared" si="64"/>
        <v>27</v>
      </c>
      <c r="J208">
        <f t="shared" si="65"/>
        <v>19850127</v>
      </c>
      <c r="K208" t="str">
        <f t="shared" si="66"/>
        <v>27.01.1985</v>
      </c>
      <c r="L208" s="4">
        <f t="shared" si="67"/>
        <v>8</v>
      </c>
      <c r="M208" s="4">
        <f t="shared" si="68"/>
        <v>15</v>
      </c>
      <c r="N208" s="4">
        <f t="shared" si="69"/>
        <v>0</v>
      </c>
      <c r="O208" s="4">
        <f t="shared" si="70"/>
        <v>9</v>
      </c>
      <c r="P208" s="4">
        <f t="shared" si="71"/>
        <v>2</v>
      </c>
      <c r="Q208" s="4">
        <f t="shared" si="72"/>
        <v>21</v>
      </c>
      <c r="R208" s="4">
        <f t="shared" si="73"/>
        <v>56</v>
      </c>
      <c r="S208" s="4">
        <f t="shared" si="74"/>
        <v>36</v>
      </c>
      <c r="T208" s="4">
        <f t="shared" si="75"/>
        <v>3</v>
      </c>
      <c r="U208" s="4">
        <f t="shared" si="76"/>
        <v>27</v>
      </c>
      <c r="V208" s="8">
        <f t="shared" si="77"/>
        <v>7</v>
      </c>
      <c r="W208" s="8">
        <f t="shared" si="78"/>
        <v>3</v>
      </c>
      <c r="X208">
        <f t="shared" si="79"/>
        <v>1</v>
      </c>
    </row>
    <row r="209" spans="1:24" x14ac:dyDescent="0.25">
      <c r="A209" s="4" t="s">
        <v>235</v>
      </c>
      <c r="B209" t="s">
        <v>12</v>
      </c>
      <c r="C209" t="s">
        <v>4</v>
      </c>
      <c r="D209" s="3">
        <f t="shared" si="60"/>
        <v>94</v>
      </c>
      <c r="E209" s="4">
        <f t="shared" si="61"/>
        <v>11</v>
      </c>
      <c r="F209" s="4">
        <f t="shared" si="62"/>
        <v>21</v>
      </c>
      <c r="G209" s="3">
        <f>IF(E209&gt;=20,2000,1900) + D209</f>
        <v>1994</v>
      </c>
      <c r="H209">
        <f t="shared" si="63"/>
        <v>11</v>
      </c>
      <c r="I209" s="4">
        <f t="shared" si="64"/>
        <v>21</v>
      </c>
      <c r="J209">
        <f t="shared" si="65"/>
        <v>19941121</v>
      </c>
      <c r="K209" t="str">
        <f t="shared" si="66"/>
        <v>21.11.1994</v>
      </c>
      <c r="L209" s="4">
        <f t="shared" si="67"/>
        <v>9</v>
      </c>
      <c r="M209" s="4">
        <f t="shared" si="68"/>
        <v>12</v>
      </c>
      <c r="N209" s="4">
        <f t="shared" si="69"/>
        <v>7</v>
      </c>
      <c r="O209" s="4">
        <f t="shared" si="70"/>
        <v>9</v>
      </c>
      <c r="P209" s="4">
        <f t="shared" si="71"/>
        <v>2</v>
      </c>
      <c r="Q209" s="4">
        <f t="shared" si="72"/>
        <v>3</v>
      </c>
      <c r="R209" s="4">
        <f t="shared" si="73"/>
        <v>42</v>
      </c>
      <c r="S209" s="4">
        <f t="shared" si="74"/>
        <v>54</v>
      </c>
      <c r="T209" s="4">
        <f t="shared" si="75"/>
        <v>6</v>
      </c>
      <c r="U209" s="4">
        <f t="shared" si="76"/>
        <v>9</v>
      </c>
      <c r="V209" s="8">
        <f t="shared" si="77"/>
        <v>3</v>
      </c>
      <c r="W209" s="8">
        <f t="shared" si="78"/>
        <v>7</v>
      </c>
      <c r="X209">
        <f t="shared" si="79"/>
        <v>1</v>
      </c>
    </row>
    <row r="210" spans="1:24" x14ac:dyDescent="0.25">
      <c r="A210" s="4" t="s">
        <v>236</v>
      </c>
      <c r="B210" t="s">
        <v>12</v>
      </c>
      <c r="C210" t="s">
        <v>4</v>
      </c>
      <c r="D210" s="3">
        <f t="shared" si="60"/>
        <v>68</v>
      </c>
      <c r="E210" s="4">
        <f t="shared" si="61"/>
        <v>9</v>
      </c>
      <c r="F210" s="4">
        <f t="shared" si="62"/>
        <v>16</v>
      </c>
      <c r="G210" s="3">
        <f>IF(E210&gt;=20,2000,1900) + D210</f>
        <v>1968</v>
      </c>
      <c r="H210">
        <f t="shared" si="63"/>
        <v>9</v>
      </c>
      <c r="I210" s="4">
        <f t="shared" si="64"/>
        <v>16</v>
      </c>
      <c r="J210">
        <f t="shared" si="65"/>
        <v>19680916</v>
      </c>
      <c r="K210" t="str">
        <f t="shared" si="66"/>
        <v>16.09.1968</v>
      </c>
      <c r="L210" s="4">
        <f t="shared" si="67"/>
        <v>6</v>
      </c>
      <c r="M210" s="4">
        <f t="shared" si="68"/>
        <v>24</v>
      </c>
      <c r="N210" s="4">
        <f t="shared" si="69"/>
        <v>0</v>
      </c>
      <c r="O210" s="4">
        <f t="shared" si="70"/>
        <v>81</v>
      </c>
      <c r="P210" s="4">
        <f t="shared" si="71"/>
        <v>1</v>
      </c>
      <c r="Q210" s="4">
        <f t="shared" si="72"/>
        <v>18</v>
      </c>
      <c r="R210" s="4">
        <f t="shared" si="73"/>
        <v>35</v>
      </c>
      <c r="S210" s="4">
        <f t="shared" si="74"/>
        <v>63</v>
      </c>
      <c r="T210" s="4">
        <f t="shared" si="75"/>
        <v>0</v>
      </c>
      <c r="U210" s="4">
        <f t="shared" si="76"/>
        <v>3</v>
      </c>
      <c r="V210" s="8">
        <f t="shared" si="77"/>
        <v>1</v>
      </c>
      <c r="W210" s="8">
        <f t="shared" si="78"/>
        <v>9</v>
      </c>
      <c r="X210">
        <f t="shared" si="79"/>
        <v>1</v>
      </c>
    </row>
    <row r="211" spans="1:24" x14ac:dyDescent="0.25">
      <c r="A211" s="4" t="s">
        <v>237</v>
      </c>
      <c r="B211" t="s">
        <v>14</v>
      </c>
      <c r="C211" t="s">
        <v>6</v>
      </c>
      <c r="D211" s="3">
        <f t="shared" si="60"/>
        <v>54</v>
      </c>
      <c r="E211" s="4">
        <f t="shared" si="61"/>
        <v>8</v>
      </c>
      <c r="F211" s="4">
        <f t="shared" si="62"/>
        <v>13</v>
      </c>
      <c r="G211" s="3">
        <f>IF(E211&gt;=20,2000,1900) + D211</f>
        <v>1954</v>
      </c>
      <c r="H211">
        <f t="shared" si="63"/>
        <v>8</v>
      </c>
      <c r="I211" s="4">
        <f t="shared" si="64"/>
        <v>13</v>
      </c>
      <c r="J211">
        <f t="shared" si="65"/>
        <v>19540813</v>
      </c>
      <c r="K211" t="str">
        <f t="shared" si="66"/>
        <v>13.08.1954</v>
      </c>
      <c r="L211" s="4">
        <f t="shared" si="67"/>
        <v>5</v>
      </c>
      <c r="M211" s="4">
        <f t="shared" si="68"/>
        <v>12</v>
      </c>
      <c r="N211" s="4">
        <f t="shared" si="69"/>
        <v>0</v>
      </c>
      <c r="O211" s="4">
        <f t="shared" si="70"/>
        <v>72</v>
      </c>
      <c r="P211" s="4">
        <f t="shared" si="71"/>
        <v>1</v>
      </c>
      <c r="Q211" s="4">
        <f t="shared" si="72"/>
        <v>9</v>
      </c>
      <c r="R211" s="4">
        <f t="shared" si="73"/>
        <v>28</v>
      </c>
      <c r="S211" s="4">
        <f t="shared" si="74"/>
        <v>9</v>
      </c>
      <c r="T211" s="4">
        <f t="shared" si="75"/>
        <v>8</v>
      </c>
      <c r="U211" s="4">
        <f t="shared" si="76"/>
        <v>12</v>
      </c>
      <c r="V211" s="8">
        <f t="shared" si="77"/>
        <v>6</v>
      </c>
      <c r="W211" s="8">
        <f t="shared" si="78"/>
        <v>4</v>
      </c>
      <c r="X211">
        <f t="shared" si="79"/>
        <v>1</v>
      </c>
    </row>
    <row r="212" spans="1:24" x14ac:dyDescent="0.25">
      <c r="A212" s="4" t="s">
        <v>238</v>
      </c>
      <c r="B212" t="s">
        <v>14</v>
      </c>
      <c r="C212" t="s">
        <v>4</v>
      </c>
      <c r="D212" s="3">
        <f t="shared" si="60"/>
        <v>60</v>
      </c>
      <c r="E212" s="4">
        <f t="shared" si="61"/>
        <v>1</v>
      </c>
      <c r="F212" s="4">
        <f t="shared" si="62"/>
        <v>23</v>
      </c>
      <c r="G212" s="3">
        <f>IF(E212&gt;=20,2000,1900) + D212</f>
        <v>1960</v>
      </c>
      <c r="H212">
        <f t="shared" si="63"/>
        <v>1</v>
      </c>
      <c r="I212" s="4">
        <f t="shared" si="64"/>
        <v>23</v>
      </c>
      <c r="J212">
        <f t="shared" si="65"/>
        <v>19600123</v>
      </c>
      <c r="K212" t="str">
        <f t="shared" si="66"/>
        <v>23.01.1960</v>
      </c>
      <c r="L212" s="4">
        <f t="shared" si="67"/>
        <v>6</v>
      </c>
      <c r="M212" s="4">
        <f t="shared" si="68"/>
        <v>0</v>
      </c>
      <c r="N212" s="4">
        <f t="shared" si="69"/>
        <v>0</v>
      </c>
      <c r="O212" s="4">
        <f t="shared" si="70"/>
        <v>9</v>
      </c>
      <c r="P212" s="4">
        <f t="shared" si="71"/>
        <v>2</v>
      </c>
      <c r="Q212" s="4">
        <f t="shared" si="72"/>
        <v>9</v>
      </c>
      <c r="R212" s="4">
        <f t="shared" si="73"/>
        <v>7</v>
      </c>
      <c r="S212" s="4">
        <f t="shared" si="74"/>
        <v>0</v>
      </c>
      <c r="T212" s="4">
        <f t="shared" si="75"/>
        <v>9</v>
      </c>
      <c r="U212" s="4">
        <f t="shared" si="76"/>
        <v>15</v>
      </c>
      <c r="V212" s="8">
        <f t="shared" si="77"/>
        <v>7</v>
      </c>
      <c r="W212" s="8">
        <f t="shared" si="78"/>
        <v>3</v>
      </c>
      <c r="X212">
        <f t="shared" si="79"/>
        <v>1</v>
      </c>
    </row>
    <row r="213" spans="1:24" x14ac:dyDescent="0.25">
      <c r="A213" s="4" t="s">
        <v>239</v>
      </c>
      <c r="B213" t="s">
        <v>14</v>
      </c>
      <c r="C213" t="s">
        <v>4</v>
      </c>
      <c r="D213" s="3">
        <f t="shared" si="60"/>
        <v>61</v>
      </c>
      <c r="E213" s="4">
        <f t="shared" si="61"/>
        <v>4</v>
      </c>
      <c r="F213" s="4">
        <f t="shared" si="62"/>
        <v>29</v>
      </c>
      <c r="G213" s="3">
        <f>IF(E213&gt;=20,2000,1900) + D213</f>
        <v>1961</v>
      </c>
      <c r="H213">
        <f t="shared" si="63"/>
        <v>4</v>
      </c>
      <c r="I213" s="4">
        <f t="shared" si="64"/>
        <v>29</v>
      </c>
      <c r="J213">
        <f t="shared" si="65"/>
        <v>19610429</v>
      </c>
      <c r="K213" t="str">
        <f t="shared" si="66"/>
        <v>29.04.1961</v>
      </c>
      <c r="L213" s="4">
        <f t="shared" si="67"/>
        <v>6</v>
      </c>
      <c r="M213" s="4">
        <f t="shared" si="68"/>
        <v>3</v>
      </c>
      <c r="N213" s="4">
        <f t="shared" si="69"/>
        <v>0</v>
      </c>
      <c r="O213" s="4">
        <f t="shared" si="70"/>
        <v>36</v>
      </c>
      <c r="P213" s="4">
        <f t="shared" si="71"/>
        <v>2</v>
      </c>
      <c r="Q213" s="4">
        <f t="shared" si="72"/>
        <v>27</v>
      </c>
      <c r="R213" s="4">
        <f t="shared" si="73"/>
        <v>49</v>
      </c>
      <c r="S213" s="4">
        <f t="shared" si="74"/>
        <v>72</v>
      </c>
      <c r="T213" s="4">
        <f t="shared" si="75"/>
        <v>8</v>
      </c>
      <c r="U213" s="4">
        <f t="shared" si="76"/>
        <v>18</v>
      </c>
      <c r="V213" s="8">
        <f t="shared" si="77"/>
        <v>1</v>
      </c>
      <c r="W213" s="8">
        <f t="shared" si="78"/>
        <v>9</v>
      </c>
      <c r="X213">
        <f t="shared" si="79"/>
        <v>1</v>
      </c>
    </row>
    <row r="214" spans="1:24" x14ac:dyDescent="0.25">
      <c r="A214" s="4" t="s">
        <v>240</v>
      </c>
      <c r="B214" t="s">
        <v>11</v>
      </c>
      <c r="C214" t="s">
        <v>4</v>
      </c>
      <c r="D214" s="3">
        <f t="shared" si="60"/>
        <v>67</v>
      </c>
      <c r="E214" s="4">
        <f t="shared" si="61"/>
        <v>12</v>
      </c>
      <c r="F214" s="4">
        <f t="shared" si="62"/>
        <v>25</v>
      </c>
      <c r="G214" s="3">
        <f>IF(E214&gt;=20,2000,1900) + D214</f>
        <v>1967</v>
      </c>
      <c r="H214">
        <f t="shared" si="63"/>
        <v>12</v>
      </c>
      <c r="I214" s="4">
        <f t="shared" si="64"/>
        <v>25</v>
      </c>
      <c r="J214">
        <f t="shared" si="65"/>
        <v>19671225</v>
      </c>
      <c r="K214" t="str">
        <f t="shared" si="66"/>
        <v>25.12.1967</v>
      </c>
      <c r="L214" s="4">
        <f t="shared" si="67"/>
        <v>6</v>
      </c>
      <c r="M214" s="4">
        <f t="shared" si="68"/>
        <v>21</v>
      </c>
      <c r="N214" s="4">
        <f t="shared" si="69"/>
        <v>7</v>
      </c>
      <c r="O214" s="4">
        <f t="shared" si="70"/>
        <v>18</v>
      </c>
      <c r="P214" s="4">
        <f t="shared" si="71"/>
        <v>2</v>
      </c>
      <c r="Q214" s="4">
        <f t="shared" si="72"/>
        <v>15</v>
      </c>
      <c r="R214" s="4">
        <f t="shared" si="73"/>
        <v>49</v>
      </c>
      <c r="S214" s="4">
        <f t="shared" si="74"/>
        <v>45</v>
      </c>
      <c r="T214" s="4">
        <f t="shared" si="75"/>
        <v>4</v>
      </c>
      <c r="U214" s="4">
        <f t="shared" si="76"/>
        <v>18</v>
      </c>
      <c r="V214" s="8">
        <f t="shared" si="77"/>
        <v>5</v>
      </c>
      <c r="W214" s="8">
        <f t="shared" si="78"/>
        <v>5</v>
      </c>
      <c r="X214">
        <f t="shared" si="79"/>
        <v>1</v>
      </c>
    </row>
    <row r="215" spans="1:24" x14ac:dyDescent="0.25">
      <c r="A215" s="4" t="s">
        <v>241</v>
      </c>
      <c r="B215" t="s">
        <v>5</v>
      </c>
      <c r="C215" t="s">
        <v>6</v>
      </c>
      <c r="D215" s="3">
        <f t="shared" si="60"/>
        <v>85</v>
      </c>
      <c r="E215" s="4">
        <f t="shared" si="61"/>
        <v>6</v>
      </c>
      <c r="F215" s="4">
        <f t="shared" si="62"/>
        <v>5</v>
      </c>
      <c r="G215" s="3">
        <f>IF(E215&gt;=20,2000,1900) + D215</f>
        <v>1985</v>
      </c>
      <c r="H215">
        <f t="shared" si="63"/>
        <v>6</v>
      </c>
      <c r="I215" s="4">
        <f t="shared" si="64"/>
        <v>5</v>
      </c>
      <c r="J215">
        <f t="shared" si="65"/>
        <v>19850605</v>
      </c>
      <c r="K215" t="str">
        <f t="shared" si="66"/>
        <v>05.06.1985</v>
      </c>
      <c r="L215" s="4">
        <f t="shared" si="67"/>
        <v>8</v>
      </c>
      <c r="M215" s="4">
        <f t="shared" si="68"/>
        <v>15</v>
      </c>
      <c r="N215" s="4">
        <f t="shared" si="69"/>
        <v>0</v>
      </c>
      <c r="O215" s="4">
        <f t="shared" si="70"/>
        <v>54</v>
      </c>
      <c r="P215" s="4">
        <f t="shared" si="71"/>
        <v>0</v>
      </c>
      <c r="Q215" s="4">
        <f t="shared" si="72"/>
        <v>15</v>
      </c>
      <c r="R215" s="4">
        <f t="shared" si="73"/>
        <v>42</v>
      </c>
      <c r="S215" s="4">
        <f t="shared" si="74"/>
        <v>9</v>
      </c>
      <c r="T215" s="4">
        <f t="shared" si="75"/>
        <v>6</v>
      </c>
      <c r="U215" s="4">
        <f t="shared" si="76"/>
        <v>24</v>
      </c>
      <c r="V215" s="8">
        <f t="shared" si="77"/>
        <v>3</v>
      </c>
      <c r="W215" s="8">
        <f t="shared" si="78"/>
        <v>7</v>
      </c>
      <c r="X215">
        <f t="shared" si="79"/>
        <v>1</v>
      </c>
    </row>
    <row r="216" spans="1:24" x14ac:dyDescent="0.25">
      <c r="A216" s="4" t="s">
        <v>242</v>
      </c>
      <c r="B216" t="s">
        <v>17</v>
      </c>
      <c r="C216" t="s">
        <v>6</v>
      </c>
      <c r="D216" s="3">
        <f t="shared" si="60"/>
        <v>62</v>
      </c>
      <c r="E216" s="4">
        <f t="shared" si="61"/>
        <v>3</v>
      </c>
      <c r="F216" s="4">
        <f t="shared" si="62"/>
        <v>5</v>
      </c>
      <c r="G216" s="3">
        <f>IF(E216&gt;=20,2000,1900) + D216</f>
        <v>1962</v>
      </c>
      <c r="H216">
        <f t="shared" si="63"/>
        <v>3</v>
      </c>
      <c r="I216" s="4">
        <f t="shared" si="64"/>
        <v>5</v>
      </c>
      <c r="J216">
        <f t="shared" si="65"/>
        <v>19620305</v>
      </c>
      <c r="K216" t="str">
        <f t="shared" si="66"/>
        <v>05.03.1962</v>
      </c>
      <c r="L216" s="4">
        <f t="shared" si="67"/>
        <v>6</v>
      </c>
      <c r="M216" s="4">
        <f t="shared" si="68"/>
        <v>6</v>
      </c>
      <c r="N216" s="4">
        <f t="shared" si="69"/>
        <v>0</v>
      </c>
      <c r="O216" s="4">
        <f t="shared" si="70"/>
        <v>27</v>
      </c>
      <c r="P216" s="4">
        <f t="shared" si="71"/>
        <v>0</v>
      </c>
      <c r="Q216" s="4">
        <f t="shared" si="72"/>
        <v>15</v>
      </c>
      <c r="R216" s="4">
        <f t="shared" si="73"/>
        <v>28</v>
      </c>
      <c r="S216" s="4">
        <f t="shared" si="74"/>
        <v>54</v>
      </c>
      <c r="T216" s="4">
        <f t="shared" si="75"/>
        <v>6</v>
      </c>
      <c r="U216" s="4">
        <f t="shared" si="76"/>
        <v>12</v>
      </c>
      <c r="V216" s="8">
        <f t="shared" si="77"/>
        <v>4</v>
      </c>
      <c r="W216" s="8">
        <f t="shared" si="78"/>
        <v>6</v>
      </c>
      <c r="X216">
        <f t="shared" si="79"/>
        <v>1</v>
      </c>
    </row>
    <row r="217" spans="1:24" x14ac:dyDescent="0.25">
      <c r="A217" s="4" t="s">
        <v>243</v>
      </c>
      <c r="B217" t="s">
        <v>9</v>
      </c>
      <c r="C217" t="s">
        <v>6</v>
      </c>
      <c r="D217" s="3">
        <f t="shared" si="60"/>
        <v>87</v>
      </c>
      <c r="E217" s="4">
        <f t="shared" si="61"/>
        <v>7</v>
      </c>
      <c r="F217" s="4">
        <f t="shared" si="62"/>
        <v>16</v>
      </c>
      <c r="G217" s="3">
        <f>IF(E217&gt;=20,2000,1900) + D217</f>
        <v>1987</v>
      </c>
      <c r="H217">
        <f t="shared" si="63"/>
        <v>7</v>
      </c>
      <c r="I217" s="4">
        <f t="shared" si="64"/>
        <v>16</v>
      </c>
      <c r="J217">
        <f t="shared" si="65"/>
        <v>19870716</v>
      </c>
      <c r="K217" t="str">
        <f t="shared" si="66"/>
        <v>16.07.1987</v>
      </c>
      <c r="L217" s="4">
        <f t="shared" si="67"/>
        <v>8</v>
      </c>
      <c r="M217" s="4">
        <f t="shared" si="68"/>
        <v>21</v>
      </c>
      <c r="N217" s="4">
        <f t="shared" si="69"/>
        <v>0</v>
      </c>
      <c r="O217" s="4">
        <f t="shared" si="70"/>
        <v>63</v>
      </c>
      <c r="P217" s="4">
        <f t="shared" si="71"/>
        <v>1</v>
      </c>
      <c r="Q217" s="4">
        <f t="shared" si="72"/>
        <v>18</v>
      </c>
      <c r="R217" s="4">
        <f t="shared" si="73"/>
        <v>35</v>
      </c>
      <c r="S217" s="4">
        <f t="shared" si="74"/>
        <v>0</v>
      </c>
      <c r="T217" s="4">
        <f t="shared" si="75"/>
        <v>9</v>
      </c>
      <c r="U217" s="4">
        <f t="shared" si="76"/>
        <v>21</v>
      </c>
      <c r="V217" s="8">
        <f t="shared" si="77"/>
        <v>6</v>
      </c>
      <c r="W217" s="8">
        <f t="shared" si="78"/>
        <v>4</v>
      </c>
      <c r="X217">
        <f t="shared" si="79"/>
        <v>1</v>
      </c>
    </row>
    <row r="218" spans="1:24" x14ac:dyDescent="0.25">
      <c r="A218" s="4" t="s">
        <v>244</v>
      </c>
      <c r="B218" t="s">
        <v>9</v>
      </c>
      <c r="C218" t="s">
        <v>6</v>
      </c>
      <c r="D218" s="3">
        <f t="shared" si="60"/>
        <v>80</v>
      </c>
      <c r="E218" s="4">
        <f t="shared" si="61"/>
        <v>5</v>
      </c>
      <c r="F218" s="4">
        <f t="shared" si="62"/>
        <v>13</v>
      </c>
      <c r="G218" s="3">
        <f>IF(E218&gt;=20,2000,1900) + D218</f>
        <v>1980</v>
      </c>
      <c r="H218">
        <f t="shared" si="63"/>
        <v>5</v>
      </c>
      <c r="I218" s="4">
        <f t="shared" si="64"/>
        <v>13</v>
      </c>
      <c r="J218">
        <f t="shared" si="65"/>
        <v>19800513</v>
      </c>
      <c r="K218" t="str">
        <f t="shared" si="66"/>
        <v>13.05.1980</v>
      </c>
      <c r="L218" s="4">
        <f t="shared" si="67"/>
        <v>8</v>
      </c>
      <c r="M218" s="4">
        <f t="shared" si="68"/>
        <v>0</v>
      </c>
      <c r="N218" s="4">
        <f t="shared" si="69"/>
        <v>0</v>
      </c>
      <c r="O218" s="4">
        <f t="shared" si="70"/>
        <v>45</v>
      </c>
      <c r="P218" s="4">
        <f t="shared" si="71"/>
        <v>1</v>
      </c>
      <c r="Q218" s="4">
        <f t="shared" si="72"/>
        <v>9</v>
      </c>
      <c r="R218" s="4">
        <f t="shared" si="73"/>
        <v>42</v>
      </c>
      <c r="S218" s="4">
        <f t="shared" si="74"/>
        <v>45</v>
      </c>
      <c r="T218" s="4">
        <f t="shared" si="75"/>
        <v>0</v>
      </c>
      <c r="U218" s="4">
        <f t="shared" si="76"/>
        <v>21</v>
      </c>
      <c r="V218" s="8">
        <f t="shared" si="77"/>
        <v>1</v>
      </c>
      <c r="W218" s="8">
        <f t="shared" si="78"/>
        <v>9</v>
      </c>
      <c r="X218">
        <f t="shared" si="79"/>
        <v>1</v>
      </c>
    </row>
    <row r="219" spans="1:24" x14ac:dyDescent="0.25">
      <c r="A219" s="4" t="s">
        <v>245</v>
      </c>
      <c r="B219" t="s">
        <v>9</v>
      </c>
      <c r="C219" t="s">
        <v>6</v>
      </c>
      <c r="D219" s="3">
        <f t="shared" si="60"/>
        <v>63</v>
      </c>
      <c r="E219" s="4">
        <f t="shared" si="61"/>
        <v>3</v>
      </c>
      <c r="F219" s="4">
        <f t="shared" si="62"/>
        <v>12</v>
      </c>
      <c r="G219" s="3">
        <f>IF(E219&gt;=20,2000,1900) + D219</f>
        <v>1963</v>
      </c>
      <c r="H219">
        <f t="shared" si="63"/>
        <v>3</v>
      </c>
      <c r="I219" s="4">
        <f t="shared" si="64"/>
        <v>12</v>
      </c>
      <c r="J219">
        <f t="shared" si="65"/>
        <v>19630312</v>
      </c>
      <c r="K219" t="str">
        <f t="shared" si="66"/>
        <v>12.03.1963</v>
      </c>
      <c r="L219" s="4">
        <f t="shared" si="67"/>
        <v>6</v>
      </c>
      <c r="M219" s="4">
        <f t="shared" si="68"/>
        <v>9</v>
      </c>
      <c r="N219" s="4">
        <f t="shared" si="69"/>
        <v>0</v>
      </c>
      <c r="O219" s="4">
        <f t="shared" si="70"/>
        <v>27</v>
      </c>
      <c r="P219" s="4">
        <f t="shared" si="71"/>
        <v>1</v>
      </c>
      <c r="Q219" s="4">
        <f t="shared" si="72"/>
        <v>6</v>
      </c>
      <c r="R219" s="4">
        <f t="shared" si="73"/>
        <v>0</v>
      </c>
      <c r="S219" s="4">
        <f t="shared" si="74"/>
        <v>63</v>
      </c>
      <c r="T219" s="4">
        <f t="shared" si="75"/>
        <v>8</v>
      </c>
      <c r="U219" s="4">
        <f t="shared" si="76"/>
        <v>9</v>
      </c>
      <c r="V219" s="8">
        <f t="shared" si="77"/>
        <v>9</v>
      </c>
      <c r="W219" s="8">
        <f t="shared" si="78"/>
        <v>1</v>
      </c>
      <c r="X219">
        <f t="shared" si="79"/>
        <v>1</v>
      </c>
    </row>
    <row r="220" spans="1:24" x14ac:dyDescent="0.25">
      <c r="A220" s="4" t="s">
        <v>246</v>
      </c>
      <c r="B220" t="s">
        <v>18</v>
      </c>
      <c r="C220" t="s">
        <v>4</v>
      </c>
      <c r="D220" s="3">
        <f t="shared" si="60"/>
        <v>99</v>
      </c>
      <c r="E220" s="4">
        <f t="shared" si="61"/>
        <v>11</v>
      </c>
      <c r="F220" s="4">
        <f t="shared" si="62"/>
        <v>27</v>
      </c>
      <c r="G220" s="3">
        <f>IF(E220&gt;=20,2000,1900) + D220</f>
        <v>1999</v>
      </c>
      <c r="H220">
        <f t="shared" si="63"/>
        <v>11</v>
      </c>
      <c r="I220" s="4">
        <f t="shared" si="64"/>
        <v>27</v>
      </c>
      <c r="J220">
        <f t="shared" si="65"/>
        <v>19991127</v>
      </c>
      <c r="K220" t="str">
        <f t="shared" si="66"/>
        <v>27.11.1999</v>
      </c>
      <c r="L220" s="4">
        <f t="shared" si="67"/>
        <v>9</v>
      </c>
      <c r="M220" s="4">
        <f t="shared" si="68"/>
        <v>27</v>
      </c>
      <c r="N220" s="4">
        <f t="shared" si="69"/>
        <v>7</v>
      </c>
      <c r="O220" s="4">
        <f t="shared" si="70"/>
        <v>9</v>
      </c>
      <c r="P220" s="4">
        <f t="shared" si="71"/>
        <v>2</v>
      </c>
      <c r="Q220" s="4">
        <f t="shared" si="72"/>
        <v>21</v>
      </c>
      <c r="R220" s="4">
        <f t="shared" si="73"/>
        <v>49</v>
      </c>
      <c r="S220" s="4">
        <f t="shared" si="74"/>
        <v>54</v>
      </c>
      <c r="T220" s="4">
        <f t="shared" si="75"/>
        <v>0</v>
      </c>
      <c r="U220" s="4">
        <f t="shared" si="76"/>
        <v>6</v>
      </c>
      <c r="V220" s="8">
        <f t="shared" si="77"/>
        <v>4</v>
      </c>
      <c r="W220" s="8">
        <f t="shared" si="78"/>
        <v>6</v>
      </c>
      <c r="X220">
        <f t="shared" si="79"/>
        <v>1</v>
      </c>
    </row>
    <row r="221" spans="1:24" x14ac:dyDescent="0.25">
      <c r="A221" s="4" t="s">
        <v>247</v>
      </c>
      <c r="B221" t="s">
        <v>12</v>
      </c>
      <c r="C221" t="s">
        <v>4</v>
      </c>
      <c r="D221" s="3">
        <f t="shared" si="60"/>
        <v>90</v>
      </c>
      <c r="E221" s="4">
        <f t="shared" si="61"/>
        <v>7</v>
      </c>
      <c r="F221" s="4">
        <f t="shared" si="62"/>
        <v>13</v>
      </c>
      <c r="G221" s="3">
        <f>IF(E221&gt;=20,2000,1900) + D221</f>
        <v>1990</v>
      </c>
      <c r="H221">
        <f t="shared" si="63"/>
        <v>7</v>
      </c>
      <c r="I221" s="4">
        <f t="shared" si="64"/>
        <v>13</v>
      </c>
      <c r="J221">
        <f t="shared" si="65"/>
        <v>19900713</v>
      </c>
      <c r="K221" t="str">
        <f t="shared" si="66"/>
        <v>13.07.1990</v>
      </c>
      <c r="L221" s="4">
        <f t="shared" si="67"/>
        <v>9</v>
      </c>
      <c r="M221" s="4">
        <f t="shared" si="68"/>
        <v>0</v>
      </c>
      <c r="N221" s="4">
        <f t="shared" si="69"/>
        <v>0</v>
      </c>
      <c r="O221" s="4">
        <f t="shared" si="70"/>
        <v>63</v>
      </c>
      <c r="P221" s="4">
        <f t="shared" si="71"/>
        <v>1</v>
      </c>
      <c r="Q221" s="4">
        <f t="shared" si="72"/>
        <v>9</v>
      </c>
      <c r="R221" s="4">
        <f t="shared" si="73"/>
        <v>56</v>
      </c>
      <c r="S221" s="4">
        <f t="shared" si="74"/>
        <v>63</v>
      </c>
      <c r="T221" s="4">
        <f t="shared" si="75"/>
        <v>7</v>
      </c>
      <c r="U221" s="4">
        <f t="shared" si="76"/>
        <v>18</v>
      </c>
      <c r="V221" s="8">
        <f t="shared" si="77"/>
        <v>6</v>
      </c>
      <c r="W221" s="8">
        <f t="shared" si="78"/>
        <v>4</v>
      </c>
      <c r="X221">
        <f t="shared" si="79"/>
        <v>1</v>
      </c>
    </row>
    <row r="222" spans="1:24" x14ac:dyDescent="0.25">
      <c r="A222" s="4" t="s">
        <v>248</v>
      </c>
      <c r="B222" t="s">
        <v>15</v>
      </c>
      <c r="C222" t="s">
        <v>6</v>
      </c>
      <c r="D222" s="3">
        <f t="shared" si="60"/>
        <v>79</v>
      </c>
      <c r="E222" s="4">
        <f t="shared" si="61"/>
        <v>10</v>
      </c>
      <c r="F222" s="4">
        <f t="shared" si="62"/>
        <v>1</v>
      </c>
      <c r="G222" s="3">
        <f>IF(E222&gt;=20,2000,1900) + D222</f>
        <v>1979</v>
      </c>
      <c r="H222">
        <f t="shared" si="63"/>
        <v>10</v>
      </c>
      <c r="I222" s="4">
        <f t="shared" si="64"/>
        <v>1</v>
      </c>
      <c r="J222">
        <f t="shared" si="65"/>
        <v>19791001</v>
      </c>
      <c r="K222" t="str">
        <f t="shared" si="66"/>
        <v>01.10.1979</v>
      </c>
      <c r="L222" s="4">
        <f t="shared" si="67"/>
        <v>7</v>
      </c>
      <c r="M222" s="4">
        <f t="shared" si="68"/>
        <v>27</v>
      </c>
      <c r="N222" s="4">
        <f t="shared" si="69"/>
        <v>7</v>
      </c>
      <c r="O222" s="4">
        <f t="shared" si="70"/>
        <v>0</v>
      </c>
      <c r="P222" s="4">
        <f t="shared" si="71"/>
        <v>0</v>
      </c>
      <c r="Q222" s="4">
        <f t="shared" si="72"/>
        <v>3</v>
      </c>
      <c r="R222" s="4">
        <f t="shared" si="73"/>
        <v>14</v>
      </c>
      <c r="S222" s="4">
        <f t="shared" si="74"/>
        <v>9</v>
      </c>
      <c r="T222" s="4">
        <f t="shared" si="75"/>
        <v>6</v>
      </c>
      <c r="U222" s="4">
        <f t="shared" si="76"/>
        <v>0</v>
      </c>
      <c r="V222" s="8">
        <f t="shared" si="77"/>
        <v>3</v>
      </c>
      <c r="W222" s="8">
        <f t="shared" si="78"/>
        <v>7</v>
      </c>
      <c r="X222">
        <f t="shared" si="79"/>
        <v>1</v>
      </c>
    </row>
    <row r="223" spans="1:24" x14ac:dyDescent="0.25">
      <c r="A223" s="4" t="s">
        <v>249</v>
      </c>
      <c r="B223" t="s">
        <v>8</v>
      </c>
      <c r="C223" t="s">
        <v>6</v>
      </c>
      <c r="D223" s="3">
        <f t="shared" si="60"/>
        <v>67</v>
      </c>
      <c r="E223" s="4">
        <f t="shared" si="61"/>
        <v>2</v>
      </c>
      <c r="F223" s="4">
        <f t="shared" si="62"/>
        <v>16</v>
      </c>
      <c r="G223" s="3">
        <f>IF(E223&gt;=20,2000,1900) + D223</f>
        <v>1967</v>
      </c>
      <c r="H223">
        <f t="shared" si="63"/>
        <v>2</v>
      </c>
      <c r="I223" s="4">
        <f t="shared" si="64"/>
        <v>16</v>
      </c>
      <c r="J223">
        <f t="shared" si="65"/>
        <v>19670216</v>
      </c>
      <c r="K223" t="str">
        <f t="shared" si="66"/>
        <v>16.02.1967</v>
      </c>
      <c r="L223" s="4">
        <f t="shared" si="67"/>
        <v>6</v>
      </c>
      <c r="M223" s="4">
        <f t="shared" si="68"/>
        <v>21</v>
      </c>
      <c r="N223" s="4">
        <f t="shared" si="69"/>
        <v>0</v>
      </c>
      <c r="O223" s="4">
        <f t="shared" si="70"/>
        <v>18</v>
      </c>
      <c r="P223" s="4">
        <f t="shared" si="71"/>
        <v>1</v>
      </c>
      <c r="Q223" s="4">
        <f t="shared" si="72"/>
        <v>18</v>
      </c>
      <c r="R223" s="4">
        <f t="shared" si="73"/>
        <v>63</v>
      </c>
      <c r="S223" s="4">
        <f t="shared" si="74"/>
        <v>63</v>
      </c>
      <c r="T223" s="4">
        <f t="shared" si="75"/>
        <v>3</v>
      </c>
      <c r="U223" s="4">
        <f t="shared" si="76"/>
        <v>6</v>
      </c>
      <c r="V223" s="8">
        <f t="shared" si="77"/>
        <v>9</v>
      </c>
      <c r="W223" s="8">
        <f t="shared" si="78"/>
        <v>1</v>
      </c>
      <c r="X223">
        <f t="shared" si="79"/>
        <v>1</v>
      </c>
    </row>
    <row r="224" spans="1:24" x14ac:dyDescent="0.25">
      <c r="A224" s="4" t="s">
        <v>250</v>
      </c>
      <c r="B224" t="s">
        <v>20</v>
      </c>
      <c r="C224" t="s">
        <v>4</v>
      </c>
      <c r="D224" s="3">
        <f t="shared" si="60"/>
        <v>80</v>
      </c>
      <c r="E224" s="4">
        <f t="shared" si="61"/>
        <v>12</v>
      </c>
      <c r="F224" s="4">
        <f t="shared" si="62"/>
        <v>29</v>
      </c>
      <c r="G224" s="3">
        <f>IF(E224&gt;=20,2000,1900) + D224</f>
        <v>1980</v>
      </c>
      <c r="H224">
        <f t="shared" si="63"/>
        <v>12</v>
      </c>
      <c r="I224" s="4">
        <f t="shared" si="64"/>
        <v>29</v>
      </c>
      <c r="J224">
        <f t="shared" si="65"/>
        <v>19801229</v>
      </c>
      <c r="K224" t="str">
        <f t="shared" si="66"/>
        <v>29.12.1980</v>
      </c>
      <c r="L224" s="4">
        <f t="shared" si="67"/>
        <v>8</v>
      </c>
      <c r="M224" s="4">
        <f t="shared" si="68"/>
        <v>0</v>
      </c>
      <c r="N224" s="4">
        <f t="shared" si="69"/>
        <v>7</v>
      </c>
      <c r="O224" s="4">
        <f t="shared" si="70"/>
        <v>18</v>
      </c>
      <c r="P224" s="4">
        <f t="shared" si="71"/>
        <v>2</v>
      </c>
      <c r="Q224" s="4">
        <f t="shared" si="72"/>
        <v>27</v>
      </c>
      <c r="R224" s="4">
        <f t="shared" si="73"/>
        <v>21</v>
      </c>
      <c r="S224" s="4">
        <f t="shared" si="74"/>
        <v>9</v>
      </c>
      <c r="T224" s="4">
        <f t="shared" si="75"/>
        <v>2</v>
      </c>
      <c r="U224" s="4">
        <f t="shared" si="76"/>
        <v>12</v>
      </c>
      <c r="V224" s="8">
        <f t="shared" si="77"/>
        <v>6</v>
      </c>
      <c r="W224" s="8">
        <f t="shared" si="78"/>
        <v>4</v>
      </c>
      <c r="X224">
        <f t="shared" si="79"/>
        <v>1</v>
      </c>
    </row>
    <row r="225" spans="1:24" x14ac:dyDescent="0.25">
      <c r="A225" s="4" t="s">
        <v>251</v>
      </c>
      <c r="B225" t="s">
        <v>7</v>
      </c>
      <c r="C225" t="s">
        <v>6</v>
      </c>
      <c r="D225" s="3">
        <f t="shared" si="60"/>
        <v>68</v>
      </c>
      <c r="E225" s="4">
        <f t="shared" si="61"/>
        <v>2</v>
      </c>
      <c r="F225" s="4">
        <f t="shared" si="62"/>
        <v>15</v>
      </c>
      <c r="G225" s="3">
        <f>IF(E225&gt;=20,2000,1900) + D225</f>
        <v>1968</v>
      </c>
      <c r="H225">
        <f t="shared" si="63"/>
        <v>2</v>
      </c>
      <c r="I225" s="4">
        <f t="shared" si="64"/>
        <v>15</v>
      </c>
      <c r="J225">
        <f t="shared" si="65"/>
        <v>19680215</v>
      </c>
      <c r="K225" t="str">
        <f t="shared" si="66"/>
        <v>15.02.1968</v>
      </c>
      <c r="L225" s="4">
        <f t="shared" si="67"/>
        <v>6</v>
      </c>
      <c r="M225" s="4">
        <f t="shared" si="68"/>
        <v>24</v>
      </c>
      <c r="N225" s="4">
        <f t="shared" si="69"/>
        <v>0</v>
      </c>
      <c r="O225" s="4">
        <f t="shared" si="70"/>
        <v>18</v>
      </c>
      <c r="P225" s="4">
        <f t="shared" si="71"/>
        <v>1</v>
      </c>
      <c r="Q225" s="4">
        <f t="shared" si="72"/>
        <v>15</v>
      </c>
      <c r="R225" s="4">
        <f t="shared" si="73"/>
        <v>42</v>
      </c>
      <c r="S225" s="4">
        <f t="shared" si="74"/>
        <v>9</v>
      </c>
      <c r="T225" s="4">
        <f t="shared" si="75"/>
        <v>5</v>
      </c>
      <c r="U225" s="4">
        <f t="shared" si="76"/>
        <v>21</v>
      </c>
      <c r="V225" s="8">
        <f t="shared" si="77"/>
        <v>1</v>
      </c>
      <c r="W225" s="8">
        <f t="shared" si="78"/>
        <v>9</v>
      </c>
      <c r="X225">
        <f t="shared" si="79"/>
        <v>1</v>
      </c>
    </row>
    <row r="226" spans="1:24" x14ac:dyDescent="0.25">
      <c r="A226" s="4" t="s">
        <v>252</v>
      </c>
      <c r="B226" t="s">
        <v>16</v>
      </c>
      <c r="C226" t="s">
        <v>4</v>
      </c>
      <c r="D226" s="3">
        <f t="shared" si="60"/>
        <v>57</v>
      </c>
      <c r="E226" s="4">
        <f t="shared" si="61"/>
        <v>5</v>
      </c>
      <c r="F226" s="4">
        <f t="shared" si="62"/>
        <v>17</v>
      </c>
      <c r="G226" s="3">
        <f>IF(E226&gt;=20,2000,1900) + D226</f>
        <v>1957</v>
      </c>
      <c r="H226">
        <f t="shared" si="63"/>
        <v>5</v>
      </c>
      <c r="I226" s="4">
        <f t="shared" si="64"/>
        <v>17</v>
      </c>
      <c r="J226">
        <f t="shared" si="65"/>
        <v>19570517</v>
      </c>
      <c r="K226" t="str">
        <f t="shared" si="66"/>
        <v>17.05.1957</v>
      </c>
      <c r="L226" s="4">
        <f t="shared" si="67"/>
        <v>5</v>
      </c>
      <c r="M226" s="4">
        <f t="shared" si="68"/>
        <v>21</v>
      </c>
      <c r="N226" s="4">
        <f t="shared" si="69"/>
        <v>0</v>
      </c>
      <c r="O226" s="4">
        <f t="shared" si="70"/>
        <v>45</v>
      </c>
      <c r="P226" s="4">
        <f t="shared" si="71"/>
        <v>1</v>
      </c>
      <c r="Q226" s="4">
        <f t="shared" si="72"/>
        <v>21</v>
      </c>
      <c r="R226" s="4">
        <f t="shared" si="73"/>
        <v>0</v>
      </c>
      <c r="S226" s="4">
        <f t="shared" si="74"/>
        <v>0</v>
      </c>
      <c r="T226" s="4">
        <f t="shared" si="75"/>
        <v>1</v>
      </c>
      <c r="U226" s="4">
        <f t="shared" si="76"/>
        <v>3</v>
      </c>
      <c r="V226" s="8">
        <f t="shared" si="77"/>
        <v>7</v>
      </c>
      <c r="W226" s="8">
        <f t="shared" si="78"/>
        <v>3</v>
      </c>
      <c r="X226">
        <f t="shared" si="79"/>
        <v>1</v>
      </c>
    </row>
    <row r="227" spans="1:24" x14ac:dyDescent="0.25">
      <c r="A227" s="4" t="s">
        <v>253</v>
      </c>
      <c r="B227" t="s">
        <v>11</v>
      </c>
      <c r="C227" t="s">
        <v>6</v>
      </c>
      <c r="D227" s="3">
        <f t="shared" si="60"/>
        <v>96</v>
      </c>
      <c r="E227" s="4">
        <f t="shared" si="61"/>
        <v>11</v>
      </c>
      <c r="F227" s="4">
        <f t="shared" si="62"/>
        <v>12</v>
      </c>
      <c r="G227" s="3">
        <f>IF(E227&gt;=20,2000,1900) + D227</f>
        <v>1996</v>
      </c>
      <c r="H227">
        <f t="shared" si="63"/>
        <v>11</v>
      </c>
      <c r="I227" s="4">
        <f t="shared" si="64"/>
        <v>12</v>
      </c>
      <c r="J227">
        <f t="shared" si="65"/>
        <v>19961112</v>
      </c>
      <c r="K227" t="str">
        <f t="shared" si="66"/>
        <v>12.11.1996</v>
      </c>
      <c r="L227" s="4">
        <f t="shared" si="67"/>
        <v>9</v>
      </c>
      <c r="M227" s="4">
        <f t="shared" si="68"/>
        <v>18</v>
      </c>
      <c r="N227" s="4">
        <f t="shared" si="69"/>
        <v>7</v>
      </c>
      <c r="O227" s="4">
        <f t="shared" si="70"/>
        <v>9</v>
      </c>
      <c r="P227" s="4">
        <f t="shared" si="71"/>
        <v>1</v>
      </c>
      <c r="Q227" s="4">
        <f t="shared" si="72"/>
        <v>6</v>
      </c>
      <c r="R227" s="4">
        <f t="shared" si="73"/>
        <v>7</v>
      </c>
      <c r="S227" s="4">
        <f t="shared" si="74"/>
        <v>18</v>
      </c>
      <c r="T227" s="4">
        <f t="shared" si="75"/>
        <v>0</v>
      </c>
      <c r="U227" s="4">
        <f t="shared" si="76"/>
        <v>18</v>
      </c>
      <c r="V227" s="8">
        <f t="shared" si="77"/>
        <v>3</v>
      </c>
      <c r="W227" s="8">
        <f t="shared" si="78"/>
        <v>7</v>
      </c>
      <c r="X227">
        <f t="shared" si="79"/>
        <v>1</v>
      </c>
    </row>
    <row r="228" spans="1:24" x14ac:dyDescent="0.25">
      <c r="A228" s="4" t="s">
        <v>254</v>
      </c>
      <c r="B228" t="s">
        <v>15</v>
      </c>
      <c r="C228" t="s">
        <v>6</v>
      </c>
      <c r="D228" s="3">
        <f t="shared" si="60"/>
        <v>89</v>
      </c>
      <c r="E228" s="4">
        <f t="shared" si="61"/>
        <v>3</v>
      </c>
      <c r="F228" s="4">
        <f t="shared" si="62"/>
        <v>10</v>
      </c>
      <c r="G228" s="3">
        <f>IF(E228&gt;=20,2000,1900) + D228</f>
        <v>1989</v>
      </c>
      <c r="H228">
        <f t="shared" si="63"/>
        <v>3</v>
      </c>
      <c r="I228" s="4">
        <f t="shared" si="64"/>
        <v>10</v>
      </c>
      <c r="J228">
        <f t="shared" si="65"/>
        <v>19890310</v>
      </c>
      <c r="K228" t="str">
        <f t="shared" si="66"/>
        <v>10.03.1989</v>
      </c>
      <c r="L228" s="4">
        <f t="shared" si="67"/>
        <v>8</v>
      </c>
      <c r="M228" s="4">
        <f t="shared" si="68"/>
        <v>27</v>
      </c>
      <c r="N228" s="4">
        <f t="shared" si="69"/>
        <v>0</v>
      </c>
      <c r="O228" s="4">
        <f t="shared" si="70"/>
        <v>27</v>
      </c>
      <c r="P228" s="4">
        <f t="shared" si="71"/>
        <v>1</v>
      </c>
      <c r="Q228" s="4">
        <f t="shared" si="72"/>
        <v>0</v>
      </c>
      <c r="R228" s="4">
        <f t="shared" si="73"/>
        <v>63</v>
      </c>
      <c r="S228" s="4">
        <f t="shared" si="74"/>
        <v>81</v>
      </c>
      <c r="T228" s="4">
        <f t="shared" si="75"/>
        <v>3</v>
      </c>
      <c r="U228" s="4">
        <f t="shared" si="76"/>
        <v>3</v>
      </c>
      <c r="V228" s="8">
        <f t="shared" si="77"/>
        <v>3</v>
      </c>
      <c r="W228" s="8">
        <f t="shared" si="78"/>
        <v>7</v>
      </c>
      <c r="X228">
        <f t="shared" si="79"/>
        <v>1</v>
      </c>
    </row>
    <row r="229" spans="1:24" x14ac:dyDescent="0.25">
      <c r="A229" s="4" t="s">
        <v>255</v>
      </c>
      <c r="B229" t="s">
        <v>19</v>
      </c>
      <c r="C229" t="s">
        <v>4</v>
      </c>
      <c r="D229" s="3">
        <f t="shared" si="60"/>
        <v>82</v>
      </c>
      <c r="E229" s="4">
        <f t="shared" si="61"/>
        <v>9</v>
      </c>
      <c r="F229" s="4">
        <f t="shared" si="62"/>
        <v>13</v>
      </c>
      <c r="G229" s="3">
        <f>IF(E229&gt;=20,2000,1900) + D229</f>
        <v>1982</v>
      </c>
      <c r="H229">
        <f t="shared" si="63"/>
        <v>9</v>
      </c>
      <c r="I229" s="4">
        <f t="shared" si="64"/>
        <v>13</v>
      </c>
      <c r="J229">
        <f t="shared" si="65"/>
        <v>19820913</v>
      </c>
      <c r="K229" t="str">
        <f t="shared" si="66"/>
        <v>13.09.1982</v>
      </c>
      <c r="L229" s="4">
        <f t="shared" si="67"/>
        <v>8</v>
      </c>
      <c r="M229" s="4">
        <f t="shared" si="68"/>
        <v>6</v>
      </c>
      <c r="N229" s="4">
        <f t="shared" si="69"/>
        <v>0</v>
      </c>
      <c r="O229" s="4">
        <f t="shared" si="70"/>
        <v>81</v>
      </c>
      <c r="P229" s="4">
        <f t="shared" si="71"/>
        <v>1</v>
      </c>
      <c r="Q229" s="4">
        <f t="shared" si="72"/>
        <v>9</v>
      </c>
      <c r="R229" s="4">
        <f t="shared" si="73"/>
        <v>56</v>
      </c>
      <c r="S229" s="4">
        <f t="shared" si="74"/>
        <v>18</v>
      </c>
      <c r="T229" s="4">
        <f t="shared" si="75"/>
        <v>8</v>
      </c>
      <c r="U229" s="4">
        <f t="shared" si="76"/>
        <v>9</v>
      </c>
      <c r="V229" s="8">
        <f t="shared" si="77"/>
        <v>6</v>
      </c>
      <c r="W229" s="8">
        <f t="shared" si="78"/>
        <v>4</v>
      </c>
      <c r="X229">
        <f t="shared" si="79"/>
        <v>1</v>
      </c>
    </row>
    <row r="230" spans="1:24" x14ac:dyDescent="0.25">
      <c r="A230" s="4" t="s">
        <v>256</v>
      </c>
      <c r="B230" t="s">
        <v>7</v>
      </c>
      <c r="C230" t="s">
        <v>4</v>
      </c>
      <c r="D230" s="3">
        <f t="shared" si="60"/>
        <v>51</v>
      </c>
      <c r="E230" s="4">
        <f t="shared" si="61"/>
        <v>12</v>
      </c>
      <c r="F230" s="4">
        <f t="shared" si="62"/>
        <v>20</v>
      </c>
      <c r="G230" s="3">
        <f>IF(E230&gt;=20,2000,1900) + D230</f>
        <v>1951</v>
      </c>
      <c r="H230">
        <f t="shared" si="63"/>
        <v>12</v>
      </c>
      <c r="I230" s="4">
        <f t="shared" si="64"/>
        <v>20</v>
      </c>
      <c r="J230">
        <f t="shared" si="65"/>
        <v>19511220</v>
      </c>
      <c r="K230" t="str">
        <f t="shared" si="66"/>
        <v>20.12.1951</v>
      </c>
      <c r="L230" s="4">
        <f t="shared" si="67"/>
        <v>5</v>
      </c>
      <c r="M230" s="4">
        <f t="shared" si="68"/>
        <v>3</v>
      </c>
      <c r="N230" s="4">
        <f t="shared" si="69"/>
        <v>7</v>
      </c>
      <c r="O230" s="4">
        <f t="shared" si="70"/>
        <v>18</v>
      </c>
      <c r="P230" s="4">
        <f t="shared" si="71"/>
        <v>2</v>
      </c>
      <c r="Q230" s="4">
        <f t="shared" si="72"/>
        <v>0</v>
      </c>
      <c r="R230" s="4">
        <f t="shared" si="73"/>
        <v>0</v>
      </c>
      <c r="S230" s="4">
        <f t="shared" si="74"/>
        <v>45</v>
      </c>
      <c r="T230" s="4">
        <f t="shared" si="75"/>
        <v>1</v>
      </c>
      <c r="U230" s="4">
        <f t="shared" si="76"/>
        <v>18</v>
      </c>
      <c r="V230" s="8">
        <f t="shared" si="77"/>
        <v>9</v>
      </c>
      <c r="W230" s="8">
        <f t="shared" si="78"/>
        <v>1</v>
      </c>
      <c r="X230">
        <f t="shared" si="79"/>
        <v>1</v>
      </c>
    </row>
    <row r="231" spans="1:24" x14ac:dyDescent="0.25">
      <c r="A231" s="4" t="s">
        <v>257</v>
      </c>
      <c r="B231" t="s">
        <v>9</v>
      </c>
      <c r="C231" t="s">
        <v>6</v>
      </c>
      <c r="D231" s="3">
        <f t="shared" si="60"/>
        <v>65</v>
      </c>
      <c r="E231" s="4">
        <f t="shared" si="61"/>
        <v>8</v>
      </c>
      <c r="F231" s="4">
        <f t="shared" si="62"/>
        <v>18</v>
      </c>
      <c r="G231" s="3">
        <f>IF(E231&gt;=20,2000,1900) + D231</f>
        <v>1965</v>
      </c>
      <c r="H231">
        <f t="shared" si="63"/>
        <v>8</v>
      </c>
      <c r="I231" s="4">
        <f t="shared" si="64"/>
        <v>18</v>
      </c>
      <c r="J231">
        <f t="shared" si="65"/>
        <v>19650818</v>
      </c>
      <c r="K231" t="str">
        <f t="shared" si="66"/>
        <v>18.08.1965</v>
      </c>
      <c r="L231" s="4">
        <f t="shared" si="67"/>
        <v>6</v>
      </c>
      <c r="M231" s="4">
        <f t="shared" si="68"/>
        <v>15</v>
      </c>
      <c r="N231" s="4">
        <f t="shared" si="69"/>
        <v>0</v>
      </c>
      <c r="O231" s="4">
        <f t="shared" si="70"/>
        <v>72</v>
      </c>
      <c r="P231" s="4">
        <f t="shared" si="71"/>
        <v>1</v>
      </c>
      <c r="Q231" s="4">
        <f t="shared" si="72"/>
        <v>24</v>
      </c>
      <c r="R231" s="4">
        <f t="shared" si="73"/>
        <v>14</v>
      </c>
      <c r="S231" s="4">
        <f t="shared" si="74"/>
        <v>63</v>
      </c>
      <c r="T231" s="4">
        <f t="shared" si="75"/>
        <v>2</v>
      </c>
      <c r="U231" s="4">
        <f t="shared" si="76"/>
        <v>12</v>
      </c>
      <c r="V231" s="8">
        <f t="shared" si="77"/>
        <v>9</v>
      </c>
      <c r="W231" s="8">
        <f t="shared" si="78"/>
        <v>1</v>
      </c>
      <c r="X231">
        <f t="shared" si="79"/>
        <v>1</v>
      </c>
    </row>
    <row r="232" spans="1:24" x14ac:dyDescent="0.25">
      <c r="A232" s="4" t="s">
        <v>258</v>
      </c>
      <c r="B232" t="s">
        <v>14</v>
      </c>
      <c r="C232" t="s">
        <v>4</v>
      </c>
      <c r="D232" s="3">
        <f t="shared" si="60"/>
        <v>52</v>
      </c>
      <c r="E232" s="4">
        <f t="shared" si="61"/>
        <v>7</v>
      </c>
      <c r="F232" s="4">
        <f t="shared" si="62"/>
        <v>31</v>
      </c>
      <c r="G232" s="3">
        <f>IF(E232&gt;=20,2000,1900) + D232</f>
        <v>1952</v>
      </c>
      <c r="H232">
        <f t="shared" si="63"/>
        <v>7</v>
      </c>
      <c r="I232" s="4">
        <f t="shared" si="64"/>
        <v>31</v>
      </c>
      <c r="J232">
        <f t="shared" si="65"/>
        <v>19520731</v>
      </c>
      <c r="K232" t="str">
        <f t="shared" si="66"/>
        <v>31.07.1952</v>
      </c>
      <c r="L232" s="4">
        <f t="shared" si="67"/>
        <v>5</v>
      </c>
      <c r="M232" s="4">
        <f t="shared" si="68"/>
        <v>6</v>
      </c>
      <c r="N232" s="4">
        <f t="shared" si="69"/>
        <v>0</v>
      </c>
      <c r="O232" s="4">
        <f t="shared" si="70"/>
        <v>63</v>
      </c>
      <c r="P232" s="4">
        <f t="shared" si="71"/>
        <v>3</v>
      </c>
      <c r="Q232" s="4">
        <f t="shared" si="72"/>
        <v>3</v>
      </c>
      <c r="R232" s="4">
        <f t="shared" si="73"/>
        <v>28</v>
      </c>
      <c r="S232" s="4">
        <f t="shared" si="74"/>
        <v>81</v>
      </c>
      <c r="T232" s="4">
        <f t="shared" si="75"/>
        <v>3</v>
      </c>
      <c r="U232" s="4">
        <f t="shared" si="76"/>
        <v>15</v>
      </c>
      <c r="V232" s="8">
        <f t="shared" si="77"/>
        <v>7</v>
      </c>
      <c r="W232" s="8">
        <f t="shared" si="78"/>
        <v>3</v>
      </c>
      <c r="X232">
        <f t="shared" si="79"/>
        <v>1</v>
      </c>
    </row>
    <row r="233" spans="1:24" x14ac:dyDescent="0.25">
      <c r="A233" s="4" t="s">
        <v>259</v>
      </c>
      <c r="B233" t="s">
        <v>8</v>
      </c>
      <c r="C233" t="s">
        <v>6</v>
      </c>
      <c r="D233" s="3">
        <f t="shared" si="60"/>
        <v>52</v>
      </c>
      <c r="E233" s="4">
        <f t="shared" si="61"/>
        <v>7</v>
      </c>
      <c r="F233" s="4">
        <f t="shared" si="62"/>
        <v>27</v>
      </c>
      <c r="G233" s="3">
        <f>IF(E233&gt;=20,2000,1900) + D233</f>
        <v>1952</v>
      </c>
      <c r="H233">
        <f t="shared" si="63"/>
        <v>7</v>
      </c>
      <c r="I233" s="4">
        <f t="shared" si="64"/>
        <v>27</v>
      </c>
      <c r="J233">
        <f t="shared" si="65"/>
        <v>19520727</v>
      </c>
      <c r="K233" t="str">
        <f t="shared" si="66"/>
        <v>27.07.1952</v>
      </c>
      <c r="L233" s="4">
        <f t="shared" si="67"/>
        <v>5</v>
      </c>
      <c r="M233" s="4">
        <f t="shared" si="68"/>
        <v>6</v>
      </c>
      <c r="N233" s="4">
        <f t="shared" si="69"/>
        <v>0</v>
      </c>
      <c r="O233" s="4">
        <f t="shared" si="70"/>
        <v>63</v>
      </c>
      <c r="P233" s="4">
        <f t="shared" si="71"/>
        <v>2</v>
      </c>
      <c r="Q233" s="4">
        <f t="shared" si="72"/>
        <v>21</v>
      </c>
      <c r="R233" s="4">
        <f t="shared" si="73"/>
        <v>42</v>
      </c>
      <c r="S233" s="4">
        <f t="shared" si="74"/>
        <v>72</v>
      </c>
      <c r="T233" s="4">
        <f t="shared" si="75"/>
        <v>7</v>
      </c>
      <c r="U233" s="4">
        <f t="shared" si="76"/>
        <v>18</v>
      </c>
      <c r="V233" s="8">
        <f t="shared" si="77"/>
        <v>6</v>
      </c>
      <c r="W233" s="8">
        <f t="shared" si="78"/>
        <v>4</v>
      </c>
      <c r="X233">
        <f t="shared" si="79"/>
        <v>1</v>
      </c>
    </row>
    <row r="234" spans="1:24" x14ac:dyDescent="0.25">
      <c r="A234" s="4" t="s">
        <v>260</v>
      </c>
      <c r="B234" t="s">
        <v>16</v>
      </c>
      <c r="C234" t="s">
        <v>4</v>
      </c>
      <c r="D234" s="3">
        <f t="shared" si="60"/>
        <v>73</v>
      </c>
      <c r="E234" s="4">
        <f t="shared" si="61"/>
        <v>5</v>
      </c>
      <c r="F234" s="4">
        <f t="shared" si="62"/>
        <v>8</v>
      </c>
      <c r="G234" s="3">
        <f>IF(E234&gt;=20,2000,1900) + D234</f>
        <v>1973</v>
      </c>
      <c r="H234">
        <f t="shared" si="63"/>
        <v>5</v>
      </c>
      <c r="I234" s="4">
        <f t="shared" si="64"/>
        <v>8</v>
      </c>
      <c r="J234">
        <f t="shared" si="65"/>
        <v>19730508</v>
      </c>
      <c r="K234" t="str">
        <f t="shared" si="66"/>
        <v>08.05.1973</v>
      </c>
      <c r="L234" s="4">
        <f t="shared" si="67"/>
        <v>7</v>
      </c>
      <c r="M234" s="4">
        <f t="shared" si="68"/>
        <v>9</v>
      </c>
      <c r="N234" s="4">
        <f t="shared" si="69"/>
        <v>0</v>
      </c>
      <c r="O234" s="4">
        <f t="shared" si="70"/>
        <v>45</v>
      </c>
      <c r="P234" s="4">
        <f t="shared" si="71"/>
        <v>0</v>
      </c>
      <c r="Q234" s="4">
        <f t="shared" si="72"/>
        <v>24</v>
      </c>
      <c r="R234" s="4">
        <f t="shared" si="73"/>
        <v>7</v>
      </c>
      <c r="S234" s="4">
        <f t="shared" si="74"/>
        <v>81</v>
      </c>
      <c r="T234" s="4">
        <f t="shared" si="75"/>
        <v>7</v>
      </c>
      <c r="U234" s="4">
        <f t="shared" si="76"/>
        <v>15</v>
      </c>
      <c r="V234" s="8">
        <f t="shared" si="77"/>
        <v>5</v>
      </c>
      <c r="W234" s="8">
        <f t="shared" si="78"/>
        <v>5</v>
      </c>
      <c r="X234">
        <f t="shared" si="79"/>
        <v>1</v>
      </c>
    </row>
    <row r="235" spans="1:24" x14ac:dyDescent="0.25">
      <c r="A235" s="4" t="s">
        <v>261</v>
      </c>
      <c r="B235" t="s">
        <v>19</v>
      </c>
      <c r="C235" t="s">
        <v>6</v>
      </c>
      <c r="D235" s="3">
        <f t="shared" si="60"/>
        <v>61</v>
      </c>
      <c r="E235" s="4">
        <f t="shared" si="61"/>
        <v>4</v>
      </c>
      <c r="F235" s="4">
        <f t="shared" si="62"/>
        <v>18</v>
      </c>
      <c r="G235" s="3">
        <f>IF(E235&gt;=20,2000,1900) + D235</f>
        <v>1961</v>
      </c>
      <c r="H235">
        <f t="shared" si="63"/>
        <v>4</v>
      </c>
      <c r="I235" s="4">
        <f t="shared" si="64"/>
        <v>18</v>
      </c>
      <c r="J235">
        <f t="shared" si="65"/>
        <v>19610418</v>
      </c>
      <c r="K235" t="str">
        <f t="shared" si="66"/>
        <v>18.04.1961</v>
      </c>
      <c r="L235" s="4">
        <f t="shared" si="67"/>
        <v>6</v>
      </c>
      <c r="M235" s="4">
        <f t="shared" si="68"/>
        <v>3</v>
      </c>
      <c r="N235" s="4">
        <f t="shared" si="69"/>
        <v>0</v>
      </c>
      <c r="O235" s="4">
        <f t="shared" si="70"/>
        <v>36</v>
      </c>
      <c r="P235" s="4">
        <f t="shared" si="71"/>
        <v>1</v>
      </c>
      <c r="Q235" s="4">
        <f t="shared" si="72"/>
        <v>24</v>
      </c>
      <c r="R235" s="4">
        <f t="shared" si="73"/>
        <v>28</v>
      </c>
      <c r="S235" s="4">
        <f t="shared" si="74"/>
        <v>18</v>
      </c>
      <c r="T235" s="4">
        <f t="shared" si="75"/>
        <v>3</v>
      </c>
      <c r="U235" s="4">
        <f t="shared" si="76"/>
        <v>24</v>
      </c>
      <c r="V235" s="8">
        <f t="shared" si="77"/>
        <v>3</v>
      </c>
      <c r="W235" s="8">
        <f t="shared" si="78"/>
        <v>7</v>
      </c>
      <c r="X235">
        <f t="shared" si="79"/>
        <v>1</v>
      </c>
    </row>
    <row r="236" spans="1:24" x14ac:dyDescent="0.25">
      <c r="A236" s="4" t="s">
        <v>262</v>
      </c>
      <c r="B236" t="s">
        <v>8</v>
      </c>
      <c r="C236" t="s">
        <v>4</v>
      </c>
      <c r="D236" s="3">
        <f t="shared" si="60"/>
        <v>66</v>
      </c>
      <c r="E236" s="4">
        <f t="shared" si="61"/>
        <v>7</v>
      </c>
      <c r="F236" s="4">
        <f t="shared" si="62"/>
        <v>20</v>
      </c>
      <c r="G236" s="3">
        <f>IF(E236&gt;=20,2000,1900) + D236</f>
        <v>1966</v>
      </c>
      <c r="H236">
        <f t="shared" si="63"/>
        <v>7</v>
      </c>
      <c r="I236" s="4">
        <f t="shared" si="64"/>
        <v>20</v>
      </c>
      <c r="J236">
        <f t="shared" si="65"/>
        <v>19660720</v>
      </c>
      <c r="K236" t="str">
        <f t="shared" si="66"/>
        <v>20.07.1966</v>
      </c>
      <c r="L236" s="4">
        <f t="shared" si="67"/>
        <v>6</v>
      </c>
      <c r="M236" s="4">
        <f t="shared" si="68"/>
        <v>18</v>
      </c>
      <c r="N236" s="4">
        <f t="shared" si="69"/>
        <v>0</v>
      </c>
      <c r="O236" s="4">
        <f t="shared" si="70"/>
        <v>63</v>
      </c>
      <c r="P236" s="4">
        <f t="shared" si="71"/>
        <v>2</v>
      </c>
      <c r="Q236" s="4">
        <f t="shared" si="72"/>
        <v>0</v>
      </c>
      <c r="R236" s="4">
        <f t="shared" si="73"/>
        <v>7</v>
      </c>
      <c r="S236" s="4">
        <f t="shared" si="74"/>
        <v>18</v>
      </c>
      <c r="T236" s="4">
        <f t="shared" si="75"/>
        <v>6</v>
      </c>
      <c r="U236" s="4">
        <f t="shared" si="76"/>
        <v>24</v>
      </c>
      <c r="V236" s="8">
        <f t="shared" si="77"/>
        <v>4</v>
      </c>
      <c r="W236" s="8">
        <f t="shared" si="78"/>
        <v>6</v>
      </c>
      <c r="X236">
        <f t="shared" si="79"/>
        <v>1</v>
      </c>
    </row>
    <row r="237" spans="1:24" x14ac:dyDescent="0.25">
      <c r="A237" s="4" t="s">
        <v>263</v>
      </c>
      <c r="B237" t="s">
        <v>3</v>
      </c>
      <c r="C237" t="s">
        <v>4</v>
      </c>
      <c r="D237" s="3">
        <f t="shared" si="60"/>
        <v>52</v>
      </c>
      <c r="E237" s="4">
        <f t="shared" si="61"/>
        <v>1</v>
      </c>
      <c r="F237" s="4">
        <f t="shared" si="62"/>
        <v>15</v>
      </c>
      <c r="G237" s="3">
        <f>IF(E237&gt;=20,2000,1900) + D237</f>
        <v>1952</v>
      </c>
      <c r="H237">
        <f t="shared" si="63"/>
        <v>1</v>
      </c>
      <c r="I237" s="4">
        <f t="shared" si="64"/>
        <v>15</v>
      </c>
      <c r="J237">
        <f t="shared" si="65"/>
        <v>19520115</v>
      </c>
      <c r="K237" t="str">
        <f t="shared" si="66"/>
        <v>15.01.1952</v>
      </c>
      <c r="L237" s="4">
        <f t="shared" si="67"/>
        <v>5</v>
      </c>
      <c r="M237" s="4">
        <f t="shared" si="68"/>
        <v>6</v>
      </c>
      <c r="N237" s="4">
        <f t="shared" si="69"/>
        <v>0</v>
      </c>
      <c r="O237" s="4">
        <f t="shared" si="70"/>
        <v>9</v>
      </c>
      <c r="P237" s="4">
        <f t="shared" si="71"/>
        <v>1</v>
      </c>
      <c r="Q237" s="4">
        <f t="shared" si="72"/>
        <v>15</v>
      </c>
      <c r="R237" s="4">
        <f t="shared" si="73"/>
        <v>7</v>
      </c>
      <c r="S237" s="4">
        <f t="shared" si="74"/>
        <v>27</v>
      </c>
      <c r="T237" s="4">
        <f t="shared" si="75"/>
        <v>6</v>
      </c>
      <c r="U237" s="4">
        <f t="shared" si="76"/>
        <v>6</v>
      </c>
      <c r="V237" s="8">
        <f t="shared" si="77"/>
        <v>2</v>
      </c>
      <c r="W237" s="8">
        <f t="shared" si="78"/>
        <v>8</v>
      </c>
      <c r="X237">
        <f t="shared" si="79"/>
        <v>1</v>
      </c>
    </row>
    <row r="238" spans="1:24" x14ac:dyDescent="0.25">
      <c r="A238" s="4" t="s">
        <v>264</v>
      </c>
      <c r="B238" t="s">
        <v>17</v>
      </c>
      <c r="C238" t="s">
        <v>6</v>
      </c>
      <c r="D238" s="3">
        <f t="shared" si="60"/>
        <v>90</v>
      </c>
      <c r="E238" s="4">
        <f t="shared" si="61"/>
        <v>3</v>
      </c>
      <c r="F238" s="4">
        <f t="shared" si="62"/>
        <v>7</v>
      </c>
      <c r="G238" s="3">
        <f>IF(E238&gt;=20,2000,1900) + D238</f>
        <v>1990</v>
      </c>
      <c r="H238">
        <f t="shared" si="63"/>
        <v>3</v>
      </c>
      <c r="I238" s="4">
        <f t="shared" si="64"/>
        <v>7</v>
      </c>
      <c r="J238">
        <f t="shared" si="65"/>
        <v>19900307</v>
      </c>
      <c r="K238" t="str">
        <f t="shared" si="66"/>
        <v>07.03.1990</v>
      </c>
      <c r="L238" s="4">
        <f t="shared" si="67"/>
        <v>9</v>
      </c>
      <c r="M238" s="4">
        <f t="shared" si="68"/>
        <v>0</v>
      </c>
      <c r="N238" s="4">
        <f t="shared" si="69"/>
        <v>0</v>
      </c>
      <c r="O238" s="4">
        <f t="shared" si="70"/>
        <v>27</v>
      </c>
      <c r="P238" s="4">
        <f t="shared" si="71"/>
        <v>0</v>
      </c>
      <c r="Q238" s="4">
        <f t="shared" si="72"/>
        <v>21</v>
      </c>
      <c r="R238" s="4">
        <f t="shared" si="73"/>
        <v>63</v>
      </c>
      <c r="S238" s="4">
        <f t="shared" si="74"/>
        <v>36</v>
      </c>
      <c r="T238" s="4">
        <f t="shared" si="75"/>
        <v>9</v>
      </c>
      <c r="U238" s="4">
        <f t="shared" si="76"/>
        <v>9</v>
      </c>
      <c r="V238" s="8">
        <f t="shared" si="77"/>
        <v>4</v>
      </c>
      <c r="W238" s="8">
        <f t="shared" si="78"/>
        <v>6</v>
      </c>
      <c r="X238">
        <f t="shared" si="79"/>
        <v>1</v>
      </c>
    </row>
    <row r="239" spans="1:24" x14ac:dyDescent="0.25">
      <c r="A239" s="4" t="s">
        <v>265</v>
      </c>
      <c r="B239" t="s">
        <v>18</v>
      </c>
      <c r="C239" t="s">
        <v>4</v>
      </c>
      <c r="D239" s="3">
        <f t="shared" si="60"/>
        <v>79</v>
      </c>
      <c r="E239" s="4">
        <f t="shared" si="61"/>
        <v>1</v>
      </c>
      <c r="F239" s="4">
        <f t="shared" si="62"/>
        <v>19</v>
      </c>
      <c r="G239" s="3">
        <f>IF(E239&gt;=20,2000,1900) + D239</f>
        <v>1979</v>
      </c>
      <c r="H239">
        <f t="shared" si="63"/>
        <v>1</v>
      </c>
      <c r="I239" s="4">
        <f t="shared" si="64"/>
        <v>19</v>
      </c>
      <c r="J239">
        <f t="shared" si="65"/>
        <v>19790119</v>
      </c>
      <c r="K239" t="str">
        <f t="shared" si="66"/>
        <v>19.01.1979</v>
      </c>
      <c r="L239" s="4">
        <f t="shared" si="67"/>
        <v>7</v>
      </c>
      <c r="M239" s="4">
        <f t="shared" si="68"/>
        <v>27</v>
      </c>
      <c r="N239" s="4">
        <f t="shared" si="69"/>
        <v>0</v>
      </c>
      <c r="O239" s="4">
        <f t="shared" si="70"/>
        <v>9</v>
      </c>
      <c r="P239" s="4">
        <f t="shared" si="71"/>
        <v>1</v>
      </c>
      <c r="Q239" s="4">
        <f t="shared" si="72"/>
        <v>27</v>
      </c>
      <c r="R239" s="4">
        <f t="shared" si="73"/>
        <v>56</v>
      </c>
      <c r="S239" s="4">
        <f t="shared" si="74"/>
        <v>9</v>
      </c>
      <c r="T239" s="4">
        <f t="shared" si="75"/>
        <v>3</v>
      </c>
      <c r="U239" s="4">
        <f t="shared" si="76"/>
        <v>3</v>
      </c>
      <c r="V239" s="8">
        <f t="shared" si="77"/>
        <v>2</v>
      </c>
      <c r="W239" s="8">
        <f t="shared" si="78"/>
        <v>8</v>
      </c>
      <c r="X239">
        <f t="shared" si="79"/>
        <v>1</v>
      </c>
    </row>
    <row r="240" spans="1:24" x14ac:dyDescent="0.25">
      <c r="A240" s="4" t="s">
        <v>266</v>
      </c>
      <c r="B240" t="s">
        <v>13</v>
      </c>
      <c r="C240" t="s">
        <v>4</v>
      </c>
      <c r="D240" s="3">
        <f t="shared" si="60"/>
        <v>93</v>
      </c>
      <c r="E240" s="4">
        <f t="shared" si="61"/>
        <v>8</v>
      </c>
      <c r="F240" s="4">
        <f t="shared" si="62"/>
        <v>20</v>
      </c>
      <c r="G240" s="3">
        <f>IF(E240&gt;=20,2000,1900) + D240</f>
        <v>1993</v>
      </c>
      <c r="H240">
        <f t="shared" si="63"/>
        <v>8</v>
      </c>
      <c r="I240" s="4">
        <f t="shared" si="64"/>
        <v>20</v>
      </c>
      <c r="J240">
        <f t="shared" si="65"/>
        <v>19930820</v>
      </c>
      <c r="K240" t="str">
        <f t="shared" si="66"/>
        <v>20.08.1993</v>
      </c>
      <c r="L240" s="4">
        <f t="shared" si="67"/>
        <v>9</v>
      </c>
      <c r="M240" s="4">
        <f t="shared" si="68"/>
        <v>9</v>
      </c>
      <c r="N240" s="4">
        <f t="shared" si="69"/>
        <v>0</v>
      </c>
      <c r="O240" s="4">
        <f t="shared" si="70"/>
        <v>72</v>
      </c>
      <c r="P240" s="4">
        <f t="shared" si="71"/>
        <v>2</v>
      </c>
      <c r="Q240" s="4">
        <f t="shared" si="72"/>
        <v>0</v>
      </c>
      <c r="R240" s="4">
        <f t="shared" si="73"/>
        <v>28</v>
      </c>
      <c r="S240" s="4">
        <f t="shared" si="74"/>
        <v>81</v>
      </c>
      <c r="T240" s="4">
        <f t="shared" si="75"/>
        <v>6</v>
      </c>
      <c r="U240" s="4">
        <f t="shared" si="76"/>
        <v>15</v>
      </c>
      <c r="V240" s="8">
        <f t="shared" si="77"/>
        <v>2</v>
      </c>
      <c r="W240" s="8">
        <f t="shared" si="78"/>
        <v>8</v>
      </c>
      <c r="X240">
        <f t="shared" si="79"/>
        <v>1</v>
      </c>
    </row>
    <row r="241" spans="1:24" x14ac:dyDescent="0.25">
      <c r="A241" s="4" t="s">
        <v>267</v>
      </c>
      <c r="B241" t="s">
        <v>16</v>
      </c>
      <c r="C241" t="s">
        <v>6</v>
      </c>
      <c r="D241" s="3">
        <f t="shared" si="60"/>
        <v>95</v>
      </c>
      <c r="E241" s="4">
        <f t="shared" si="61"/>
        <v>2</v>
      </c>
      <c r="F241" s="4">
        <f t="shared" si="62"/>
        <v>5</v>
      </c>
      <c r="G241" s="3">
        <f>IF(E241&gt;=20,2000,1900) + D241</f>
        <v>1995</v>
      </c>
      <c r="H241">
        <f t="shared" si="63"/>
        <v>2</v>
      </c>
      <c r="I241" s="4">
        <f t="shared" si="64"/>
        <v>5</v>
      </c>
      <c r="J241">
        <f t="shared" si="65"/>
        <v>19950205</v>
      </c>
      <c r="K241" t="str">
        <f t="shared" si="66"/>
        <v>05.02.1995</v>
      </c>
      <c r="L241" s="4">
        <f t="shared" si="67"/>
        <v>9</v>
      </c>
      <c r="M241" s="4">
        <f t="shared" si="68"/>
        <v>15</v>
      </c>
      <c r="N241" s="4">
        <f t="shared" si="69"/>
        <v>0</v>
      </c>
      <c r="O241" s="4">
        <f t="shared" si="70"/>
        <v>18</v>
      </c>
      <c r="P241" s="4">
        <f t="shared" si="71"/>
        <v>0</v>
      </c>
      <c r="Q241" s="4">
        <f t="shared" si="72"/>
        <v>15</v>
      </c>
      <c r="R241" s="4">
        <f t="shared" si="73"/>
        <v>21</v>
      </c>
      <c r="S241" s="4">
        <f t="shared" si="74"/>
        <v>81</v>
      </c>
      <c r="T241" s="4">
        <f t="shared" si="75"/>
        <v>6</v>
      </c>
      <c r="U241" s="4">
        <f t="shared" si="76"/>
        <v>3</v>
      </c>
      <c r="V241" s="8">
        <f t="shared" si="77"/>
        <v>8</v>
      </c>
      <c r="W241" s="8">
        <f t="shared" si="78"/>
        <v>2</v>
      </c>
      <c r="X241">
        <f t="shared" si="79"/>
        <v>1</v>
      </c>
    </row>
    <row r="242" spans="1:24" x14ac:dyDescent="0.25">
      <c r="A242" s="4" t="s">
        <v>268</v>
      </c>
      <c r="B242" t="s">
        <v>11</v>
      </c>
      <c r="C242" t="s">
        <v>4</v>
      </c>
      <c r="D242" s="3">
        <f t="shared" si="60"/>
        <v>62</v>
      </c>
      <c r="E242" s="4">
        <f t="shared" si="61"/>
        <v>12</v>
      </c>
      <c r="F242" s="4">
        <f t="shared" si="62"/>
        <v>10</v>
      </c>
      <c r="G242" s="3">
        <f>IF(E242&gt;=20,2000,1900) + D242</f>
        <v>1962</v>
      </c>
      <c r="H242">
        <f t="shared" si="63"/>
        <v>12</v>
      </c>
      <c r="I242" s="4">
        <f t="shared" si="64"/>
        <v>10</v>
      </c>
      <c r="J242">
        <f t="shared" si="65"/>
        <v>19621210</v>
      </c>
      <c r="K242" t="str">
        <f t="shared" si="66"/>
        <v>10.12.1962</v>
      </c>
      <c r="L242" s="4">
        <f t="shared" si="67"/>
        <v>6</v>
      </c>
      <c r="M242" s="4">
        <f t="shared" si="68"/>
        <v>6</v>
      </c>
      <c r="N242" s="4">
        <f t="shared" si="69"/>
        <v>7</v>
      </c>
      <c r="O242" s="4">
        <f t="shared" si="70"/>
        <v>18</v>
      </c>
      <c r="P242" s="4">
        <f t="shared" si="71"/>
        <v>1</v>
      </c>
      <c r="Q242" s="4">
        <f t="shared" si="72"/>
        <v>0</v>
      </c>
      <c r="R242" s="4">
        <f t="shared" si="73"/>
        <v>14</v>
      </c>
      <c r="S242" s="4">
        <f t="shared" si="74"/>
        <v>54</v>
      </c>
      <c r="T242" s="4">
        <f t="shared" si="75"/>
        <v>8</v>
      </c>
      <c r="U242" s="4">
        <f t="shared" si="76"/>
        <v>27</v>
      </c>
      <c r="V242" s="8">
        <f t="shared" si="77"/>
        <v>1</v>
      </c>
      <c r="W242" s="8">
        <f t="shared" si="78"/>
        <v>9</v>
      </c>
      <c r="X242">
        <f t="shared" si="79"/>
        <v>1</v>
      </c>
    </row>
    <row r="243" spans="1:24" x14ac:dyDescent="0.25">
      <c r="A243" s="4" t="s">
        <v>269</v>
      </c>
      <c r="B243" t="s">
        <v>8</v>
      </c>
      <c r="C243" t="s">
        <v>6</v>
      </c>
      <c r="D243" s="3">
        <f t="shared" si="60"/>
        <v>98</v>
      </c>
      <c r="E243" s="4">
        <f t="shared" si="61"/>
        <v>7</v>
      </c>
      <c r="F243" s="4">
        <f t="shared" si="62"/>
        <v>5</v>
      </c>
      <c r="G243" s="3">
        <f>IF(E243&gt;=20,2000,1900) + D243</f>
        <v>1998</v>
      </c>
      <c r="H243">
        <f t="shared" si="63"/>
        <v>7</v>
      </c>
      <c r="I243" s="4">
        <f t="shared" si="64"/>
        <v>5</v>
      </c>
      <c r="J243">
        <f t="shared" si="65"/>
        <v>19980705</v>
      </c>
      <c r="K243" t="str">
        <f t="shared" si="66"/>
        <v>05.07.1998</v>
      </c>
      <c r="L243" s="4">
        <f t="shared" si="67"/>
        <v>9</v>
      </c>
      <c r="M243" s="4">
        <f t="shared" si="68"/>
        <v>24</v>
      </c>
      <c r="N243" s="4">
        <f t="shared" si="69"/>
        <v>0</v>
      </c>
      <c r="O243" s="4">
        <f t="shared" si="70"/>
        <v>63</v>
      </c>
      <c r="P243" s="4">
        <f t="shared" si="71"/>
        <v>0</v>
      </c>
      <c r="Q243" s="4">
        <f t="shared" si="72"/>
        <v>15</v>
      </c>
      <c r="R243" s="4">
        <f t="shared" si="73"/>
        <v>14</v>
      </c>
      <c r="S243" s="4">
        <f t="shared" si="74"/>
        <v>81</v>
      </c>
      <c r="T243" s="4">
        <f t="shared" si="75"/>
        <v>2</v>
      </c>
      <c r="U243" s="4">
        <f t="shared" si="76"/>
        <v>21</v>
      </c>
      <c r="V243" s="8">
        <f t="shared" si="77"/>
        <v>9</v>
      </c>
      <c r="W243" s="8">
        <f t="shared" si="78"/>
        <v>1</v>
      </c>
      <c r="X243">
        <f t="shared" si="79"/>
        <v>1</v>
      </c>
    </row>
    <row r="244" spans="1:24" x14ac:dyDescent="0.25">
      <c r="A244" s="4" t="s">
        <v>270</v>
      </c>
      <c r="B244" t="s">
        <v>3</v>
      </c>
      <c r="C244" t="s">
        <v>4</v>
      </c>
      <c r="D244" s="3">
        <f t="shared" si="60"/>
        <v>93</v>
      </c>
      <c r="E244" s="4">
        <f t="shared" si="61"/>
        <v>3</v>
      </c>
      <c r="F244" s="4">
        <f t="shared" si="62"/>
        <v>5</v>
      </c>
      <c r="G244" s="3">
        <f>IF(E244&gt;=20,2000,1900) + D244</f>
        <v>1993</v>
      </c>
      <c r="H244">
        <f t="shared" si="63"/>
        <v>3</v>
      </c>
      <c r="I244" s="4">
        <f t="shared" si="64"/>
        <v>5</v>
      </c>
      <c r="J244">
        <f t="shared" si="65"/>
        <v>19930305</v>
      </c>
      <c r="K244" t="str">
        <f t="shared" si="66"/>
        <v>05.03.1993</v>
      </c>
      <c r="L244" s="4">
        <f t="shared" si="67"/>
        <v>9</v>
      </c>
      <c r="M244" s="4">
        <f t="shared" si="68"/>
        <v>9</v>
      </c>
      <c r="N244" s="4">
        <f t="shared" si="69"/>
        <v>0</v>
      </c>
      <c r="O244" s="4">
        <f t="shared" si="70"/>
        <v>27</v>
      </c>
      <c r="P244" s="4">
        <f t="shared" si="71"/>
        <v>0</v>
      </c>
      <c r="Q244" s="4">
        <f t="shared" si="72"/>
        <v>15</v>
      </c>
      <c r="R244" s="4">
        <f t="shared" si="73"/>
        <v>21</v>
      </c>
      <c r="S244" s="4">
        <f t="shared" si="74"/>
        <v>9</v>
      </c>
      <c r="T244" s="4">
        <f t="shared" si="75"/>
        <v>5</v>
      </c>
      <c r="U244" s="4">
        <f t="shared" si="76"/>
        <v>9</v>
      </c>
      <c r="V244" s="8">
        <f t="shared" si="77"/>
        <v>4</v>
      </c>
      <c r="W244" s="8">
        <f t="shared" si="78"/>
        <v>6</v>
      </c>
      <c r="X244">
        <f t="shared" si="79"/>
        <v>1</v>
      </c>
    </row>
    <row r="245" spans="1:24" x14ac:dyDescent="0.25">
      <c r="A245" s="4" t="s">
        <v>271</v>
      </c>
      <c r="B245" t="s">
        <v>15</v>
      </c>
      <c r="C245" t="s">
        <v>6</v>
      </c>
      <c r="D245" s="3">
        <f t="shared" si="60"/>
        <v>89</v>
      </c>
      <c r="E245" s="4">
        <f t="shared" si="61"/>
        <v>5</v>
      </c>
      <c r="F245" s="4">
        <f t="shared" si="62"/>
        <v>19</v>
      </c>
      <c r="G245" s="3">
        <f>IF(E245&gt;=20,2000,1900) + D245</f>
        <v>1989</v>
      </c>
      <c r="H245">
        <f t="shared" si="63"/>
        <v>5</v>
      </c>
      <c r="I245" s="4">
        <f t="shared" si="64"/>
        <v>19</v>
      </c>
      <c r="J245">
        <f t="shared" si="65"/>
        <v>19890519</v>
      </c>
      <c r="K245" t="str">
        <f t="shared" si="66"/>
        <v>19.05.1989</v>
      </c>
      <c r="L245" s="4">
        <f t="shared" si="67"/>
        <v>8</v>
      </c>
      <c r="M245" s="4">
        <f t="shared" si="68"/>
        <v>27</v>
      </c>
      <c r="N245" s="4">
        <f t="shared" si="69"/>
        <v>0</v>
      </c>
      <c r="O245" s="4">
        <f t="shared" si="70"/>
        <v>45</v>
      </c>
      <c r="P245" s="4">
        <f t="shared" si="71"/>
        <v>1</v>
      </c>
      <c r="Q245" s="4">
        <f t="shared" si="72"/>
        <v>27</v>
      </c>
      <c r="R245" s="4">
        <f t="shared" si="73"/>
        <v>63</v>
      </c>
      <c r="S245" s="4">
        <f t="shared" si="74"/>
        <v>63</v>
      </c>
      <c r="T245" s="4">
        <f t="shared" si="75"/>
        <v>2</v>
      </c>
      <c r="U245" s="4">
        <f t="shared" si="76"/>
        <v>12</v>
      </c>
      <c r="V245" s="8">
        <f t="shared" si="77"/>
        <v>8</v>
      </c>
      <c r="W245" s="8">
        <f t="shared" si="78"/>
        <v>2</v>
      </c>
      <c r="X245">
        <f t="shared" si="79"/>
        <v>1</v>
      </c>
    </row>
    <row r="246" spans="1:24" x14ac:dyDescent="0.25">
      <c r="A246" s="4" t="s">
        <v>272</v>
      </c>
      <c r="B246" t="s">
        <v>11</v>
      </c>
      <c r="C246" t="s">
        <v>6</v>
      </c>
      <c r="D246" s="3">
        <f t="shared" si="60"/>
        <v>98</v>
      </c>
      <c r="E246" s="4">
        <f t="shared" si="61"/>
        <v>3</v>
      </c>
      <c r="F246" s="4">
        <f t="shared" si="62"/>
        <v>15</v>
      </c>
      <c r="G246" s="3">
        <f>IF(E246&gt;=20,2000,1900) + D246</f>
        <v>1998</v>
      </c>
      <c r="H246">
        <f t="shared" si="63"/>
        <v>3</v>
      </c>
      <c r="I246" s="4">
        <f t="shared" si="64"/>
        <v>15</v>
      </c>
      <c r="J246">
        <f t="shared" si="65"/>
        <v>19980315</v>
      </c>
      <c r="K246" t="str">
        <f t="shared" si="66"/>
        <v>15.03.1998</v>
      </c>
      <c r="L246" s="4">
        <f t="shared" si="67"/>
        <v>9</v>
      </c>
      <c r="M246" s="4">
        <f t="shared" si="68"/>
        <v>24</v>
      </c>
      <c r="N246" s="4">
        <f t="shared" si="69"/>
        <v>0</v>
      </c>
      <c r="O246" s="4">
        <f t="shared" si="70"/>
        <v>27</v>
      </c>
      <c r="P246" s="4">
        <f t="shared" si="71"/>
        <v>1</v>
      </c>
      <c r="Q246" s="4">
        <f t="shared" si="72"/>
        <v>15</v>
      </c>
      <c r="R246" s="4">
        <f t="shared" si="73"/>
        <v>63</v>
      </c>
      <c r="S246" s="4">
        <f t="shared" si="74"/>
        <v>18</v>
      </c>
      <c r="T246" s="4">
        <f t="shared" si="75"/>
        <v>1</v>
      </c>
      <c r="U246" s="4">
        <f t="shared" si="76"/>
        <v>6</v>
      </c>
      <c r="V246" s="8">
        <f t="shared" si="77"/>
        <v>4</v>
      </c>
      <c r="W246" s="8">
        <f t="shared" si="78"/>
        <v>6</v>
      </c>
      <c r="X246">
        <f t="shared" si="79"/>
        <v>1</v>
      </c>
    </row>
    <row r="247" spans="1:24" x14ac:dyDescent="0.25">
      <c r="A247" s="4" t="s">
        <v>273</v>
      </c>
      <c r="B247" t="s">
        <v>9</v>
      </c>
      <c r="C247" t="s">
        <v>4</v>
      </c>
      <c r="D247" s="3">
        <f t="shared" si="60"/>
        <v>96</v>
      </c>
      <c r="E247" s="4">
        <f t="shared" si="61"/>
        <v>3</v>
      </c>
      <c r="F247" s="4">
        <f t="shared" si="62"/>
        <v>24</v>
      </c>
      <c r="G247" s="3">
        <f>IF(E247&gt;=20,2000,1900) + D247</f>
        <v>1996</v>
      </c>
      <c r="H247">
        <f t="shared" si="63"/>
        <v>3</v>
      </c>
      <c r="I247" s="4">
        <f t="shared" si="64"/>
        <v>24</v>
      </c>
      <c r="J247">
        <f t="shared" si="65"/>
        <v>19960324</v>
      </c>
      <c r="K247" t="str">
        <f t="shared" si="66"/>
        <v>24.03.1996</v>
      </c>
      <c r="L247" s="4">
        <f t="shared" si="67"/>
        <v>9</v>
      </c>
      <c r="M247" s="4">
        <f t="shared" si="68"/>
        <v>18</v>
      </c>
      <c r="N247" s="4">
        <f t="shared" si="69"/>
        <v>0</v>
      </c>
      <c r="O247" s="4">
        <f t="shared" si="70"/>
        <v>27</v>
      </c>
      <c r="P247" s="4">
        <f t="shared" si="71"/>
        <v>2</v>
      </c>
      <c r="Q247" s="4">
        <f t="shared" si="72"/>
        <v>12</v>
      </c>
      <c r="R247" s="4">
        <f t="shared" si="73"/>
        <v>63</v>
      </c>
      <c r="S247" s="4">
        <f t="shared" si="74"/>
        <v>45</v>
      </c>
      <c r="T247" s="4">
        <f t="shared" si="75"/>
        <v>4</v>
      </c>
      <c r="U247" s="4">
        <f t="shared" si="76"/>
        <v>0</v>
      </c>
      <c r="V247" s="8">
        <f t="shared" si="77"/>
        <v>0</v>
      </c>
      <c r="W247" s="8">
        <f t="shared" si="78"/>
        <v>0</v>
      </c>
      <c r="X247">
        <f t="shared" si="79"/>
        <v>1</v>
      </c>
    </row>
    <row r="248" spans="1:24" x14ac:dyDescent="0.25">
      <c r="A248" s="4" t="s">
        <v>274</v>
      </c>
      <c r="B248" t="s">
        <v>12</v>
      </c>
      <c r="C248" t="s">
        <v>4</v>
      </c>
      <c r="D248" s="3">
        <f t="shared" si="60"/>
        <v>76</v>
      </c>
      <c r="E248" s="4">
        <f t="shared" si="61"/>
        <v>6</v>
      </c>
      <c r="F248" s="4">
        <f t="shared" si="62"/>
        <v>4</v>
      </c>
      <c r="G248" s="3">
        <f>IF(E248&gt;=20,2000,1900) + D248</f>
        <v>1976</v>
      </c>
      <c r="H248">
        <f t="shared" si="63"/>
        <v>6</v>
      </c>
      <c r="I248" s="4">
        <f t="shared" si="64"/>
        <v>4</v>
      </c>
      <c r="J248">
        <f t="shared" si="65"/>
        <v>19760604</v>
      </c>
      <c r="K248" t="str">
        <f t="shared" si="66"/>
        <v>04.06.1976</v>
      </c>
      <c r="L248" s="4">
        <f t="shared" si="67"/>
        <v>7</v>
      </c>
      <c r="M248" s="4">
        <f t="shared" si="68"/>
        <v>18</v>
      </c>
      <c r="N248" s="4">
        <f t="shared" si="69"/>
        <v>0</v>
      </c>
      <c r="O248" s="4">
        <f t="shared" si="70"/>
        <v>54</v>
      </c>
      <c r="P248" s="4">
        <f t="shared" si="71"/>
        <v>0</v>
      </c>
      <c r="Q248" s="4">
        <f t="shared" si="72"/>
        <v>12</v>
      </c>
      <c r="R248" s="4">
        <f t="shared" si="73"/>
        <v>0</v>
      </c>
      <c r="S248" s="4">
        <f t="shared" si="74"/>
        <v>63</v>
      </c>
      <c r="T248" s="4">
        <f t="shared" si="75"/>
        <v>7</v>
      </c>
      <c r="U248" s="4">
        <f t="shared" si="76"/>
        <v>3</v>
      </c>
      <c r="V248" s="8">
        <f t="shared" si="77"/>
        <v>4</v>
      </c>
      <c r="W248" s="8">
        <f t="shared" si="78"/>
        <v>6</v>
      </c>
      <c r="X248">
        <f t="shared" si="79"/>
        <v>1</v>
      </c>
    </row>
    <row r="249" spans="1:24" x14ac:dyDescent="0.25">
      <c r="A249" s="4" t="s">
        <v>275</v>
      </c>
      <c r="B249" t="s">
        <v>7</v>
      </c>
      <c r="C249" t="s">
        <v>6</v>
      </c>
      <c r="D249" s="3">
        <f t="shared" si="60"/>
        <v>86</v>
      </c>
      <c r="E249" s="4">
        <f t="shared" si="61"/>
        <v>10</v>
      </c>
      <c r="F249" s="4">
        <f t="shared" si="62"/>
        <v>23</v>
      </c>
      <c r="G249" s="3">
        <f>IF(E249&gt;=20,2000,1900) + D249</f>
        <v>1986</v>
      </c>
      <c r="H249">
        <f t="shared" si="63"/>
        <v>10</v>
      </c>
      <c r="I249" s="4">
        <f t="shared" si="64"/>
        <v>23</v>
      </c>
      <c r="J249">
        <f t="shared" si="65"/>
        <v>19861023</v>
      </c>
      <c r="K249" t="str">
        <f t="shared" si="66"/>
        <v>23.10.1986</v>
      </c>
      <c r="L249" s="4">
        <f t="shared" si="67"/>
        <v>8</v>
      </c>
      <c r="M249" s="4">
        <f t="shared" si="68"/>
        <v>18</v>
      </c>
      <c r="N249" s="4">
        <f t="shared" si="69"/>
        <v>7</v>
      </c>
      <c r="O249" s="4">
        <f t="shared" si="70"/>
        <v>0</v>
      </c>
      <c r="P249" s="4">
        <f t="shared" si="71"/>
        <v>2</v>
      </c>
      <c r="Q249" s="4">
        <f t="shared" si="72"/>
        <v>9</v>
      </c>
      <c r="R249" s="4">
        <f t="shared" si="73"/>
        <v>42</v>
      </c>
      <c r="S249" s="4">
        <f t="shared" si="74"/>
        <v>27</v>
      </c>
      <c r="T249" s="4">
        <f t="shared" si="75"/>
        <v>7</v>
      </c>
      <c r="U249" s="4">
        <f t="shared" si="76"/>
        <v>24</v>
      </c>
      <c r="V249" s="8">
        <f t="shared" si="77"/>
        <v>4</v>
      </c>
      <c r="W249" s="8">
        <f t="shared" si="78"/>
        <v>6</v>
      </c>
      <c r="X249">
        <f t="shared" si="79"/>
        <v>1</v>
      </c>
    </row>
    <row r="250" spans="1:24" x14ac:dyDescent="0.25">
      <c r="A250" s="4" t="s">
        <v>276</v>
      </c>
      <c r="B250" t="s">
        <v>19</v>
      </c>
      <c r="C250" t="s">
        <v>6</v>
      </c>
      <c r="D250" s="3">
        <f t="shared" si="60"/>
        <v>50</v>
      </c>
      <c r="E250" s="4">
        <f t="shared" si="61"/>
        <v>1</v>
      </c>
      <c r="F250" s="4">
        <f t="shared" si="62"/>
        <v>10</v>
      </c>
      <c r="G250" s="3">
        <f>IF(E250&gt;=20,2000,1900) + D250</f>
        <v>1950</v>
      </c>
      <c r="H250">
        <f t="shared" si="63"/>
        <v>1</v>
      </c>
      <c r="I250" s="4">
        <f t="shared" si="64"/>
        <v>10</v>
      </c>
      <c r="J250">
        <f t="shared" si="65"/>
        <v>19500110</v>
      </c>
      <c r="K250" t="str">
        <f t="shared" si="66"/>
        <v>10.01.1950</v>
      </c>
      <c r="L250" s="4">
        <f t="shared" si="67"/>
        <v>5</v>
      </c>
      <c r="M250" s="4">
        <f t="shared" si="68"/>
        <v>0</v>
      </c>
      <c r="N250" s="4">
        <f t="shared" si="69"/>
        <v>0</v>
      </c>
      <c r="O250" s="4">
        <f t="shared" si="70"/>
        <v>9</v>
      </c>
      <c r="P250" s="4">
        <f t="shared" si="71"/>
        <v>1</v>
      </c>
      <c r="Q250" s="4">
        <f t="shared" si="72"/>
        <v>0</v>
      </c>
      <c r="R250" s="4">
        <f t="shared" si="73"/>
        <v>14</v>
      </c>
      <c r="S250" s="4">
        <f t="shared" si="74"/>
        <v>9</v>
      </c>
      <c r="T250" s="4">
        <f t="shared" si="75"/>
        <v>6</v>
      </c>
      <c r="U250" s="4">
        <f t="shared" si="76"/>
        <v>12</v>
      </c>
      <c r="V250" s="8">
        <f t="shared" si="77"/>
        <v>6</v>
      </c>
      <c r="W250" s="8">
        <f t="shared" si="78"/>
        <v>4</v>
      </c>
      <c r="X250">
        <f t="shared" si="79"/>
        <v>1</v>
      </c>
    </row>
    <row r="251" spans="1:24" x14ac:dyDescent="0.25">
      <c r="A251" s="4" t="s">
        <v>277</v>
      </c>
      <c r="B251" t="s">
        <v>11</v>
      </c>
      <c r="C251" t="s">
        <v>6</v>
      </c>
      <c r="D251" s="3">
        <f t="shared" si="60"/>
        <v>79</v>
      </c>
      <c r="E251" s="4">
        <f t="shared" si="61"/>
        <v>2</v>
      </c>
      <c r="F251" s="4">
        <f t="shared" si="62"/>
        <v>9</v>
      </c>
      <c r="G251" s="3">
        <f>IF(E251&gt;=20,2000,1900) + D251</f>
        <v>1979</v>
      </c>
      <c r="H251">
        <f t="shared" si="63"/>
        <v>2</v>
      </c>
      <c r="I251" s="4">
        <f t="shared" si="64"/>
        <v>9</v>
      </c>
      <c r="J251">
        <f t="shared" si="65"/>
        <v>19790209</v>
      </c>
      <c r="K251" t="str">
        <f t="shared" si="66"/>
        <v>09.02.1979</v>
      </c>
      <c r="L251" s="4">
        <f t="shared" si="67"/>
        <v>7</v>
      </c>
      <c r="M251" s="4">
        <f t="shared" si="68"/>
        <v>27</v>
      </c>
      <c r="N251" s="4">
        <f t="shared" si="69"/>
        <v>0</v>
      </c>
      <c r="O251" s="4">
        <f t="shared" si="70"/>
        <v>18</v>
      </c>
      <c r="P251" s="4">
        <f t="shared" si="71"/>
        <v>0</v>
      </c>
      <c r="Q251" s="4">
        <f t="shared" si="72"/>
        <v>27</v>
      </c>
      <c r="R251" s="4">
        <f t="shared" si="73"/>
        <v>7</v>
      </c>
      <c r="S251" s="4">
        <f t="shared" si="74"/>
        <v>72</v>
      </c>
      <c r="T251" s="4">
        <f t="shared" si="75"/>
        <v>0</v>
      </c>
      <c r="U251" s="4">
        <f t="shared" si="76"/>
        <v>15</v>
      </c>
      <c r="V251" s="8">
        <f t="shared" si="77"/>
        <v>3</v>
      </c>
      <c r="W251" s="8">
        <f t="shared" si="78"/>
        <v>7</v>
      </c>
      <c r="X251">
        <f t="shared" si="79"/>
        <v>1</v>
      </c>
    </row>
    <row r="252" spans="1:24" x14ac:dyDescent="0.25">
      <c r="A252" s="4" t="s">
        <v>278</v>
      </c>
      <c r="B252" t="s">
        <v>13</v>
      </c>
      <c r="C252" t="s">
        <v>6</v>
      </c>
      <c r="D252" s="3">
        <f t="shared" si="60"/>
        <v>78</v>
      </c>
      <c r="E252" s="4">
        <f t="shared" si="61"/>
        <v>2</v>
      </c>
      <c r="F252" s="4">
        <f t="shared" si="62"/>
        <v>24</v>
      </c>
      <c r="G252" s="3">
        <f>IF(E252&gt;=20,2000,1900) + D252</f>
        <v>1978</v>
      </c>
      <c r="H252">
        <f t="shared" si="63"/>
        <v>2</v>
      </c>
      <c r="I252" s="4">
        <f t="shared" si="64"/>
        <v>24</v>
      </c>
      <c r="J252">
        <f t="shared" si="65"/>
        <v>19780224</v>
      </c>
      <c r="K252" t="str">
        <f t="shared" si="66"/>
        <v>24.02.1978</v>
      </c>
      <c r="L252" s="4">
        <f t="shared" si="67"/>
        <v>7</v>
      </c>
      <c r="M252" s="4">
        <f t="shared" si="68"/>
        <v>24</v>
      </c>
      <c r="N252" s="4">
        <f t="shared" si="69"/>
        <v>0</v>
      </c>
      <c r="O252" s="4">
        <f t="shared" si="70"/>
        <v>18</v>
      </c>
      <c r="P252" s="4">
        <f t="shared" si="71"/>
        <v>2</v>
      </c>
      <c r="Q252" s="4">
        <f t="shared" si="72"/>
        <v>12</v>
      </c>
      <c r="R252" s="4">
        <f t="shared" si="73"/>
        <v>49</v>
      </c>
      <c r="S252" s="4">
        <f t="shared" si="74"/>
        <v>9</v>
      </c>
      <c r="T252" s="4">
        <f t="shared" si="75"/>
        <v>5</v>
      </c>
      <c r="U252" s="4">
        <f t="shared" si="76"/>
        <v>6</v>
      </c>
      <c r="V252" s="8">
        <f t="shared" si="77"/>
        <v>2</v>
      </c>
      <c r="W252" s="8">
        <f t="shared" si="78"/>
        <v>8</v>
      </c>
      <c r="X252">
        <f t="shared" si="79"/>
        <v>1</v>
      </c>
    </row>
    <row r="253" spans="1:24" x14ac:dyDescent="0.25">
      <c r="A253" s="4" t="s">
        <v>279</v>
      </c>
      <c r="B253" t="s">
        <v>14</v>
      </c>
      <c r="C253" t="s">
        <v>4</v>
      </c>
      <c r="D253" s="3">
        <f t="shared" si="60"/>
        <v>63</v>
      </c>
      <c r="E253" s="4">
        <f t="shared" si="61"/>
        <v>12</v>
      </c>
      <c r="F253" s="4">
        <f t="shared" si="62"/>
        <v>10</v>
      </c>
      <c r="G253" s="3">
        <f>IF(E253&gt;=20,2000,1900) + D253</f>
        <v>1963</v>
      </c>
      <c r="H253">
        <f t="shared" si="63"/>
        <v>12</v>
      </c>
      <c r="I253" s="4">
        <f t="shared" si="64"/>
        <v>10</v>
      </c>
      <c r="J253">
        <f t="shared" si="65"/>
        <v>19631210</v>
      </c>
      <c r="K253" t="str">
        <f t="shared" si="66"/>
        <v>10.12.1963</v>
      </c>
      <c r="L253" s="4">
        <f t="shared" si="67"/>
        <v>6</v>
      </c>
      <c r="M253" s="4">
        <f t="shared" si="68"/>
        <v>9</v>
      </c>
      <c r="N253" s="4">
        <f t="shared" si="69"/>
        <v>7</v>
      </c>
      <c r="O253" s="4">
        <f t="shared" si="70"/>
        <v>18</v>
      </c>
      <c r="P253" s="4">
        <f t="shared" si="71"/>
        <v>1</v>
      </c>
      <c r="Q253" s="4">
        <f t="shared" si="72"/>
        <v>0</v>
      </c>
      <c r="R253" s="4">
        <f t="shared" si="73"/>
        <v>7</v>
      </c>
      <c r="S253" s="4">
        <f t="shared" si="74"/>
        <v>0</v>
      </c>
      <c r="T253" s="4">
        <f t="shared" si="75"/>
        <v>6</v>
      </c>
      <c r="U253" s="4">
        <f t="shared" si="76"/>
        <v>18</v>
      </c>
      <c r="V253" s="8">
        <f t="shared" si="77"/>
        <v>2</v>
      </c>
      <c r="W253" s="8">
        <f t="shared" si="78"/>
        <v>8</v>
      </c>
      <c r="X253">
        <f t="shared" si="79"/>
        <v>1</v>
      </c>
    </row>
    <row r="254" spans="1:24" x14ac:dyDescent="0.25">
      <c r="A254" s="4" t="s">
        <v>280</v>
      </c>
      <c r="B254" t="s">
        <v>19</v>
      </c>
      <c r="C254" t="s">
        <v>4</v>
      </c>
      <c r="D254" s="3">
        <f t="shared" si="60"/>
        <v>56</v>
      </c>
      <c r="E254" s="4">
        <f t="shared" si="61"/>
        <v>8</v>
      </c>
      <c r="F254" s="4">
        <f t="shared" si="62"/>
        <v>8</v>
      </c>
      <c r="G254" s="3">
        <f>IF(E254&gt;=20,2000,1900) + D254</f>
        <v>1956</v>
      </c>
      <c r="H254">
        <f t="shared" si="63"/>
        <v>8</v>
      </c>
      <c r="I254" s="4">
        <f t="shared" si="64"/>
        <v>8</v>
      </c>
      <c r="J254">
        <f t="shared" si="65"/>
        <v>19560808</v>
      </c>
      <c r="K254" t="str">
        <f t="shared" si="66"/>
        <v>08.08.1956</v>
      </c>
      <c r="L254" s="4">
        <f t="shared" si="67"/>
        <v>5</v>
      </c>
      <c r="M254" s="4">
        <f t="shared" si="68"/>
        <v>18</v>
      </c>
      <c r="N254" s="4">
        <f t="shared" si="69"/>
        <v>0</v>
      </c>
      <c r="O254" s="4">
        <f t="shared" si="70"/>
        <v>72</v>
      </c>
      <c r="P254" s="4">
        <f t="shared" si="71"/>
        <v>0</v>
      </c>
      <c r="Q254" s="4">
        <f t="shared" si="72"/>
        <v>24</v>
      </c>
      <c r="R254" s="4">
        <f t="shared" si="73"/>
        <v>21</v>
      </c>
      <c r="S254" s="4">
        <f t="shared" si="74"/>
        <v>27</v>
      </c>
      <c r="T254" s="4">
        <f t="shared" si="75"/>
        <v>9</v>
      </c>
      <c r="U254" s="4">
        <f t="shared" si="76"/>
        <v>12</v>
      </c>
      <c r="V254" s="8">
        <f t="shared" si="77"/>
        <v>8</v>
      </c>
      <c r="W254" s="8">
        <f t="shared" si="78"/>
        <v>2</v>
      </c>
      <c r="X254">
        <f t="shared" si="79"/>
        <v>1</v>
      </c>
    </row>
    <row r="255" spans="1:24" x14ac:dyDescent="0.25">
      <c r="A255" s="4" t="s">
        <v>281</v>
      </c>
      <c r="B255" t="s">
        <v>17</v>
      </c>
      <c r="C255" t="s">
        <v>4</v>
      </c>
      <c r="D255" s="3">
        <f t="shared" si="60"/>
        <v>66</v>
      </c>
      <c r="E255" s="4">
        <f t="shared" si="61"/>
        <v>10</v>
      </c>
      <c r="F255" s="4">
        <f t="shared" si="62"/>
        <v>10</v>
      </c>
      <c r="G255" s="3">
        <f>IF(E255&gt;=20,2000,1900) + D255</f>
        <v>1966</v>
      </c>
      <c r="H255">
        <f t="shared" si="63"/>
        <v>10</v>
      </c>
      <c r="I255" s="4">
        <f t="shared" si="64"/>
        <v>10</v>
      </c>
      <c r="J255">
        <f t="shared" si="65"/>
        <v>19661010</v>
      </c>
      <c r="K255" t="str">
        <f t="shared" si="66"/>
        <v>10.10.1966</v>
      </c>
      <c r="L255" s="4">
        <f t="shared" si="67"/>
        <v>6</v>
      </c>
      <c r="M255" s="4">
        <f t="shared" si="68"/>
        <v>18</v>
      </c>
      <c r="N255" s="4">
        <f t="shared" si="69"/>
        <v>7</v>
      </c>
      <c r="O255" s="4">
        <f t="shared" si="70"/>
        <v>0</v>
      </c>
      <c r="P255" s="4">
        <f t="shared" si="71"/>
        <v>1</v>
      </c>
      <c r="Q255" s="4">
        <f t="shared" si="72"/>
        <v>0</v>
      </c>
      <c r="R255" s="4">
        <f t="shared" si="73"/>
        <v>56</v>
      </c>
      <c r="S255" s="4">
        <f t="shared" si="74"/>
        <v>18</v>
      </c>
      <c r="T255" s="4">
        <f t="shared" si="75"/>
        <v>6</v>
      </c>
      <c r="U255" s="4">
        <f t="shared" si="76"/>
        <v>18</v>
      </c>
      <c r="V255" s="8">
        <f t="shared" si="77"/>
        <v>0</v>
      </c>
      <c r="W255" s="8">
        <f t="shared" si="78"/>
        <v>0</v>
      </c>
      <c r="X255">
        <f t="shared" si="79"/>
        <v>1</v>
      </c>
    </row>
    <row r="256" spans="1:24" x14ac:dyDescent="0.25">
      <c r="A256" s="4" t="s">
        <v>282</v>
      </c>
      <c r="B256" t="s">
        <v>13</v>
      </c>
      <c r="C256" t="s">
        <v>6</v>
      </c>
      <c r="D256" s="3">
        <f t="shared" si="60"/>
        <v>65</v>
      </c>
      <c r="E256" s="4">
        <f t="shared" si="61"/>
        <v>5</v>
      </c>
      <c r="F256" s="4">
        <f t="shared" si="62"/>
        <v>23</v>
      </c>
      <c r="G256" s="3">
        <f>IF(E256&gt;=20,2000,1900) + D256</f>
        <v>1965</v>
      </c>
      <c r="H256">
        <f t="shared" si="63"/>
        <v>5</v>
      </c>
      <c r="I256" s="4">
        <f t="shared" si="64"/>
        <v>23</v>
      </c>
      <c r="J256">
        <f t="shared" si="65"/>
        <v>19650523</v>
      </c>
      <c r="K256" t="str">
        <f t="shared" si="66"/>
        <v>23.05.1965</v>
      </c>
      <c r="L256" s="4">
        <f t="shared" si="67"/>
        <v>6</v>
      </c>
      <c r="M256" s="4">
        <f t="shared" si="68"/>
        <v>15</v>
      </c>
      <c r="N256" s="4">
        <f t="shared" si="69"/>
        <v>0</v>
      </c>
      <c r="O256" s="4">
        <f t="shared" si="70"/>
        <v>45</v>
      </c>
      <c r="P256" s="4">
        <f t="shared" si="71"/>
        <v>2</v>
      </c>
      <c r="Q256" s="4">
        <f t="shared" si="72"/>
        <v>9</v>
      </c>
      <c r="R256" s="4">
        <f t="shared" si="73"/>
        <v>49</v>
      </c>
      <c r="S256" s="4">
        <f t="shared" si="74"/>
        <v>27</v>
      </c>
      <c r="T256" s="4">
        <f t="shared" si="75"/>
        <v>2</v>
      </c>
      <c r="U256" s="4">
        <f t="shared" si="76"/>
        <v>15</v>
      </c>
      <c r="V256" s="8">
        <f t="shared" si="77"/>
        <v>0</v>
      </c>
      <c r="W256" s="8">
        <f t="shared" si="78"/>
        <v>0</v>
      </c>
      <c r="X256">
        <f t="shared" si="79"/>
        <v>1</v>
      </c>
    </row>
    <row r="257" spans="1:24" x14ac:dyDescent="0.25">
      <c r="A257" s="4" t="s">
        <v>283</v>
      </c>
      <c r="B257" t="s">
        <v>9</v>
      </c>
      <c r="C257" t="s">
        <v>6</v>
      </c>
      <c r="D257" s="3">
        <f t="shared" si="60"/>
        <v>54</v>
      </c>
      <c r="E257" s="4">
        <f t="shared" si="61"/>
        <v>6</v>
      </c>
      <c r="F257" s="4">
        <f t="shared" si="62"/>
        <v>18</v>
      </c>
      <c r="G257" s="3">
        <f>IF(E257&gt;=20,2000,1900) + D257</f>
        <v>1954</v>
      </c>
      <c r="H257">
        <f t="shared" si="63"/>
        <v>6</v>
      </c>
      <c r="I257" s="4">
        <f t="shared" si="64"/>
        <v>18</v>
      </c>
      <c r="J257">
        <f t="shared" si="65"/>
        <v>19540618</v>
      </c>
      <c r="K257" t="str">
        <f t="shared" si="66"/>
        <v>18.06.1954</v>
      </c>
      <c r="L257" s="4">
        <f t="shared" si="67"/>
        <v>5</v>
      </c>
      <c r="M257" s="4">
        <f t="shared" si="68"/>
        <v>12</v>
      </c>
      <c r="N257" s="4">
        <f t="shared" si="69"/>
        <v>0</v>
      </c>
      <c r="O257" s="4">
        <f t="shared" si="70"/>
        <v>54</v>
      </c>
      <c r="P257" s="4">
        <f t="shared" si="71"/>
        <v>1</v>
      </c>
      <c r="Q257" s="4">
        <f t="shared" si="72"/>
        <v>24</v>
      </c>
      <c r="R257" s="4">
        <f t="shared" si="73"/>
        <v>28</v>
      </c>
      <c r="S257" s="4">
        <f t="shared" si="74"/>
        <v>9</v>
      </c>
      <c r="T257" s="4">
        <f t="shared" si="75"/>
        <v>5</v>
      </c>
      <c r="U257" s="4">
        <f t="shared" si="76"/>
        <v>9</v>
      </c>
      <c r="V257" s="8">
        <f t="shared" si="77"/>
        <v>7</v>
      </c>
      <c r="W257" s="8">
        <f t="shared" si="78"/>
        <v>3</v>
      </c>
      <c r="X257">
        <f t="shared" si="79"/>
        <v>1</v>
      </c>
    </row>
    <row r="258" spans="1:24" x14ac:dyDescent="0.25">
      <c r="A258" s="4" t="s">
        <v>284</v>
      </c>
      <c r="B258" t="s">
        <v>8</v>
      </c>
      <c r="C258" t="s">
        <v>6</v>
      </c>
      <c r="D258" s="3">
        <f t="shared" si="60"/>
        <v>90</v>
      </c>
      <c r="E258" s="4">
        <f t="shared" si="61"/>
        <v>4</v>
      </c>
      <c r="F258" s="4">
        <f t="shared" si="62"/>
        <v>22</v>
      </c>
      <c r="G258" s="3">
        <f>IF(E258&gt;=20,2000,1900) + D258</f>
        <v>1990</v>
      </c>
      <c r="H258">
        <f t="shared" si="63"/>
        <v>4</v>
      </c>
      <c r="I258" s="4">
        <f t="shared" si="64"/>
        <v>22</v>
      </c>
      <c r="J258">
        <f t="shared" si="65"/>
        <v>19900422</v>
      </c>
      <c r="K258" t="str">
        <f t="shared" si="66"/>
        <v>22.04.1990</v>
      </c>
      <c r="L258" s="4">
        <f t="shared" si="67"/>
        <v>9</v>
      </c>
      <c r="M258" s="4">
        <f t="shared" si="68"/>
        <v>0</v>
      </c>
      <c r="N258" s="4">
        <f t="shared" si="69"/>
        <v>0</v>
      </c>
      <c r="O258" s="4">
        <f t="shared" si="70"/>
        <v>36</v>
      </c>
      <c r="P258" s="4">
        <f t="shared" si="71"/>
        <v>2</v>
      </c>
      <c r="Q258" s="4">
        <f t="shared" si="72"/>
        <v>6</v>
      </c>
      <c r="R258" s="4">
        <f t="shared" si="73"/>
        <v>63</v>
      </c>
      <c r="S258" s="4">
        <f t="shared" si="74"/>
        <v>63</v>
      </c>
      <c r="T258" s="4">
        <f t="shared" si="75"/>
        <v>3</v>
      </c>
      <c r="U258" s="4">
        <f t="shared" si="76"/>
        <v>12</v>
      </c>
      <c r="V258" s="8">
        <f t="shared" si="77"/>
        <v>4</v>
      </c>
      <c r="W258" s="8">
        <f t="shared" si="78"/>
        <v>6</v>
      </c>
      <c r="X258">
        <f t="shared" si="79"/>
        <v>1</v>
      </c>
    </row>
    <row r="259" spans="1:24" x14ac:dyDescent="0.25">
      <c r="A259" s="4" t="s">
        <v>285</v>
      </c>
      <c r="B259" t="s">
        <v>7</v>
      </c>
      <c r="C259" t="s">
        <v>6</v>
      </c>
      <c r="D259" s="3">
        <f t="shared" ref="D259:D322" si="80">MID(A259,1,2)*1</f>
        <v>58</v>
      </c>
      <c r="E259" s="4">
        <f t="shared" ref="E259:E322" si="81">MID(A259,3,2)*1</f>
        <v>1</v>
      </c>
      <c r="F259" s="4">
        <f t="shared" ref="F259:F322" si="82">MID(A259,5,2)*1</f>
        <v>22</v>
      </c>
      <c r="G259" s="3">
        <f>IF(E259&gt;=20,2000,1900) + D259</f>
        <v>1958</v>
      </c>
      <c r="H259">
        <f t="shared" ref="H259:H322" si="83">IF(E259&gt;=20,E259-20,E259)</f>
        <v>1</v>
      </c>
      <c r="I259" s="4">
        <f t="shared" ref="I259:I322" si="84">F259</f>
        <v>22</v>
      </c>
      <c r="J259">
        <f t="shared" ref="J259:J322" si="85">CONCATENATE(G259,IF(LEN(E259)=1,CONCATENATE("0",E259),E259),IF(LEN(F259)=1,CONCATENATE("0",F259),F259))*1</f>
        <v>19580122</v>
      </c>
      <c r="K259" t="str">
        <f t="shared" ref="K259:K322" si="86">CONCATENATE(RIGHT(J259,2),".",MID(J259,5,2),".",LEFT(J259,4))</f>
        <v>22.01.1958</v>
      </c>
      <c r="L259" s="4">
        <f t="shared" ref="L259:L322" si="87">MID(A259,1,1)*1</f>
        <v>5</v>
      </c>
      <c r="M259" s="4">
        <f t="shared" ref="M259:M322" si="88">MID(A259,2,1)*3</f>
        <v>24</v>
      </c>
      <c r="N259" s="4">
        <f t="shared" ref="N259:N322" si="89">MID(A259,3,1)*7</f>
        <v>0</v>
      </c>
      <c r="O259" s="4">
        <f t="shared" ref="O259:O322" si="90">MID(A259,4,1)*9</f>
        <v>9</v>
      </c>
      <c r="P259" s="4">
        <f t="shared" ref="P259:P322" si="91">MID(A259,5,1)*1</f>
        <v>2</v>
      </c>
      <c r="Q259" s="4">
        <f t="shared" ref="Q259:Q322" si="92">MID(A259,6,1)*3</f>
        <v>6</v>
      </c>
      <c r="R259" s="4">
        <f t="shared" ref="R259:R322" si="93">MID(A259,7,1)*7</f>
        <v>63</v>
      </c>
      <c r="S259" s="4">
        <f t="shared" ref="S259:S322" si="94">MID(A259,8,1)*9</f>
        <v>9</v>
      </c>
      <c r="T259" s="4">
        <f t="shared" ref="T259:T322" si="95">MID(A259,9,1)*1</f>
        <v>8</v>
      </c>
      <c r="U259" s="4">
        <f t="shared" ref="U259:U322" si="96">MID(A259,10,1)*3</f>
        <v>21</v>
      </c>
      <c r="V259" s="8">
        <f t="shared" ref="V259:V322" si="97">MOD(SUM(L259:U259),10)</f>
        <v>7</v>
      </c>
      <c r="W259" s="8">
        <f t="shared" ref="W259:W322" si="98">IF(V259=0,0,10-V259)</f>
        <v>3</v>
      </c>
      <c r="X259">
        <f t="shared" ref="X259:X322" si="99">IF(W259=RIGHT(A259,1)*1,1,0)</f>
        <v>1</v>
      </c>
    </row>
    <row r="260" spans="1:24" x14ac:dyDescent="0.25">
      <c r="A260" s="4" t="s">
        <v>286</v>
      </c>
      <c r="B260" t="s">
        <v>15</v>
      </c>
      <c r="C260" t="s">
        <v>4</v>
      </c>
      <c r="D260" s="3">
        <f t="shared" si="80"/>
        <v>88</v>
      </c>
      <c r="E260" s="4">
        <f t="shared" si="81"/>
        <v>2</v>
      </c>
      <c r="F260" s="4">
        <f t="shared" si="82"/>
        <v>2</v>
      </c>
      <c r="G260" s="3">
        <f>IF(E260&gt;=20,2000,1900) + D260</f>
        <v>1988</v>
      </c>
      <c r="H260">
        <f t="shared" si="83"/>
        <v>2</v>
      </c>
      <c r="I260" s="4">
        <f t="shared" si="84"/>
        <v>2</v>
      </c>
      <c r="J260">
        <f t="shared" si="85"/>
        <v>19880202</v>
      </c>
      <c r="K260" t="str">
        <f t="shared" si="86"/>
        <v>02.02.1988</v>
      </c>
      <c r="L260" s="4">
        <f t="shared" si="87"/>
        <v>8</v>
      </c>
      <c r="M260" s="4">
        <f t="shared" si="88"/>
        <v>24</v>
      </c>
      <c r="N260" s="4">
        <f t="shared" si="89"/>
        <v>0</v>
      </c>
      <c r="O260" s="4">
        <f t="shared" si="90"/>
        <v>18</v>
      </c>
      <c r="P260" s="4">
        <f t="shared" si="91"/>
        <v>0</v>
      </c>
      <c r="Q260" s="4">
        <f t="shared" si="92"/>
        <v>6</v>
      </c>
      <c r="R260" s="4">
        <f t="shared" si="93"/>
        <v>63</v>
      </c>
      <c r="S260" s="4">
        <f t="shared" si="94"/>
        <v>0</v>
      </c>
      <c r="T260" s="4">
        <f t="shared" si="95"/>
        <v>8</v>
      </c>
      <c r="U260" s="4">
        <f t="shared" si="96"/>
        <v>27</v>
      </c>
      <c r="V260" s="8">
        <f t="shared" si="97"/>
        <v>4</v>
      </c>
      <c r="W260" s="8">
        <f t="shared" si="98"/>
        <v>6</v>
      </c>
      <c r="X260">
        <f t="shared" si="99"/>
        <v>1</v>
      </c>
    </row>
    <row r="261" spans="1:24" x14ac:dyDescent="0.25">
      <c r="A261" s="4" t="s">
        <v>287</v>
      </c>
      <c r="B261" t="s">
        <v>19</v>
      </c>
      <c r="C261" t="s">
        <v>6</v>
      </c>
      <c r="D261" s="3">
        <f t="shared" si="80"/>
        <v>74</v>
      </c>
      <c r="E261" s="4">
        <f t="shared" si="81"/>
        <v>7</v>
      </c>
      <c r="F261" s="4">
        <f t="shared" si="82"/>
        <v>23</v>
      </c>
      <c r="G261" s="3">
        <f>IF(E261&gt;=20,2000,1900) + D261</f>
        <v>1974</v>
      </c>
      <c r="H261">
        <f t="shared" si="83"/>
        <v>7</v>
      </c>
      <c r="I261" s="4">
        <f t="shared" si="84"/>
        <v>23</v>
      </c>
      <c r="J261">
        <f t="shared" si="85"/>
        <v>19740723</v>
      </c>
      <c r="K261" t="str">
        <f t="shared" si="86"/>
        <v>23.07.1974</v>
      </c>
      <c r="L261" s="4">
        <f t="shared" si="87"/>
        <v>7</v>
      </c>
      <c r="M261" s="4">
        <f t="shared" si="88"/>
        <v>12</v>
      </c>
      <c r="N261" s="4">
        <f t="shared" si="89"/>
        <v>0</v>
      </c>
      <c r="O261" s="4">
        <f t="shared" si="90"/>
        <v>63</v>
      </c>
      <c r="P261" s="4">
        <f t="shared" si="91"/>
        <v>2</v>
      </c>
      <c r="Q261" s="4">
        <f t="shared" si="92"/>
        <v>9</v>
      </c>
      <c r="R261" s="4">
        <f t="shared" si="93"/>
        <v>0</v>
      </c>
      <c r="S261" s="4">
        <f t="shared" si="94"/>
        <v>63</v>
      </c>
      <c r="T261" s="4">
        <f t="shared" si="95"/>
        <v>8</v>
      </c>
      <c r="U261" s="4">
        <f t="shared" si="96"/>
        <v>9</v>
      </c>
      <c r="V261" s="8">
        <f t="shared" si="97"/>
        <v>3</v>
      </c>
      <c r="W261" s="8">
        <f t="shared" si="98"/>
        <v>7</v>
      </c>
      <c r="X261">
        <f t="shared" si="99"/>
        <v>1</v>
      </c>
    </row>
    <row r="262" spans="1:24" x14ac:dyDescent="0.25">
      <c r="A262" s="4" t="s">
        <v>288</v>
      </c>
      <c r="B262" t="s">
        <v>19</v>
      </c>
      <c r="C262" t="s">
        <v>6</v>
      </c>
      <c r="D262" s="3">
        <f t="shared" si="80"/>
        <v>72</v>
      </c>
      <c r="E262" s="4">
        <f t="shared" si="81"/>
        <v>12</v>
      </c>
      <c r="F262" s="4">
        <f t="shared" si="82"/>
        <v>27</v>
      </c>
      <c r="G262" s="3">
        <f>IF(E262&gt;=20,2000,1900) + D262</f>
        <v>1972</v>
      </c>
      <c r="H262">
        <f t="shared" si="83"/>
        <v>12</v>
      </c>
      <c r="I262" s="4">
        <f t="shared" si="84"/>
        <v>27</v>
      </c>
      <c r="J262">
        <f t="shared" si="85"/>
        <v>19721227</v>
      </c>
      <c r="K262" t="str">
        <f t="shared" si="86"/>
        <v>27.12.1972</v>
      </c>
      <c r="L262" s="4">
        <f t="shared" si="87"/>
        <v>7</v>
      </c>
      <c r="M262" s="4">
        <f t="shared" si="88"/>
        <v>6</v>
      </c>
      <c r="N262" s="4">
        <f t="shared" si="89"/>
        <v>7</v>
      </c>
      <c r="O262" s="4">
        <f t="shared" si="90"/>
        <v>18</v>
      </c>
      <c r="P262" s="4">
        <f t="shared" si="91"/>
        <v>2</v>
      </c>
      <c r="Q262" s="4">
        <f t="shared" si="92"/>
        <v>21</v>
      </c>
      <c r="R262" s="4">
        <f t="shared" si="93"/>
        <v>14</v>
      </c>
      <c r="S262" s="4">
        <f t="shared" si="94"/>
        <v>36</v>
      </c>
      <c r="T262" s="4">
        <f t="shared" si="95"/>
        <v>9</v>
      </c>
      <c r="U262" s="4">
        <f t="shared" si="96"/>
        <v>0</v>
      </c>
      <c r="V262" s="8">
        <f t="shared" si="97"/>
        <v>0</v>
      </c>
      <c r="W262" s="8">
        <f t="shared" si="98"/>
        <v>0</v>
      </c>
      <c r="X262">
        <f t="shared" si="99"/>
        <v>1</v>
      </c>
    </row>
    <row r="263" spans="1:24" x14ac:dyDescent="0.25">
      <c r="A263" s="4" t="s">
        <v>289</v>
      </c>
      <c r="B263" t="s">
        <v>16</v>
      </c>
      <c r="C263" t="s">
        <v>6</v>
      </c>
      <c r="D263" s="3">
        <f t="shared" si="80"/>
        <v>76</v>
      </c>
      <c r="E263" s="4">
        <f t="shared" si="81"/>
        <v>8</v>
      </c>
      <c r="F263" s="4">
        <f t="shared" si="82"/>
        <v>18</v>
      </c>
      <c r="G263" s="3">
        <f>IF(E263&gt;=20,2000,1900) + D263</f>
        <v>1976</v>
      </c>
      <c r="H263">
        <f t="shared" si="83"/>
        <v>8</v>
      </c>
      <c r="I263" s="4">
        <f t="shared" si="84"/>
        <v>18</v>
      </c>
      <c r="J263">
        <f t="shared" si="85"/>
        <v>19760818</v>
      </c>
      <c r="K263" t="str">
        <f t="shared" si="86"/>
        <v>18.08.1976</v>
      </c>
      <c r="L263" s="4">
        <f t="shared" si="87"/>
        <v>7</v>
      </c>
      <c r="M263" s="4">
        <f t="shared" si="88"/>
        <v>18</v>
      </c>
      <c r="N263" s="4">
        <f t="shared" si="89"/>
        <v>0</v>
      </c>
      <c r="O263" s="4">
        <f t="shared" si="90"/>
        <v>72</v>
      </c>
      <c r="P263" s="4">
        <f t="shared" si="91"/>
        <v>1</v>
      </c>
      <c r="Q263" s="4">
        <f t="shared" si="92"/>
        <v>24</v>
      </c>
      <c r="R263" s="4">
        <f t="shared" si="93"/>
        <v>14</v>
      </c>
      <c r="S263" s="4">
        <f t="shared" si="94"/>
        <v>27</v>
      </c>
      <c r="T263" s="4">
        <f t="shared" si="95"/>
        <v>1</v>
      </c>
      <c r="U263" s="4">
        <f t="shared" si="96"/>
        <v>27</v>
      </c>
      <c r="V263" s="8">
        <f t="shared" si="97"/>
        <v>1</v>
      </c>
      <c r="W263" s="8">
        <f t="shared" si="98"/>
        <v>9</v>
      </c>
      <c r="X263">
        <f t="shared" si="99"/>
        <v>1</v>
      </c>
    </row>
    <row r="264" spans="1:24" x14ac:dyDescent="0.25">
      <c r="A264" s="4" t="s">
        <v>290</v>
      </c>
      <c r="B264" t="s">
        <v>10</v>
      </c>
      <c r="C264" t="s">
        <v>6</v>
      </c>
      <c r="D264" s="3">
        <f t="shared" si="80"/>
        <v>79</v>
      </c>
      <c r="E264" s="4">
        <f t="shared" si="81"/>
        <v>4</v>
      </c>
      <c r="F264" s="4">
        <f t="shared" si="82"/>
        <v>25</v>
      </c>
      <c r="G264" s="3">
        <f>IF(E264&gt;=20,2000,1900) + D264</f>
        <v>1979</v>
      </c>
      <c r="H264">
        <f t="shared" si="83"/>
        <v>4</v>
      </c>
      <c r="I264" s="4">
        <f t="shared" si="84"/>
        <v>25</v>
      </c>
      <c r="J264">
        <f t="shared" si="85"/>
        <v>19790425</v>
      </c>
      <c r="K264" t="str">
        <f t="shared" si="86"/>
        <v>25.04.1979</v>
      </c>
      <c r="L264" s="4">
        <f t="shared" si="87"/>
        <v>7</v>
      </c>
      <c r="M264" s="4">
        <f t="shared" si="88"/>
        <v>27</v>
      </c>
      <c r="N264" s="4">
        <f t="shared" si="89"/>
        <v>0</v>
      </c>
      <c r="O264" s="4">
        <f t="shared" si="90"/>
        <v>36</v>
      </c>
      <c r="P264" s="4">
        <f t="shared" si="91"/>
        <v>2</v>
      </c>
      <c r="Q264" s="4">
        <f t="shared" si="92"/>
        <v>15</v>
      </c>
      <c r="R264" s="4">
        <f t="shared" si="93"/>
        <v>0</v>
      </c>
      <c r="S264" s="4">
        <f t="shared" si="94"/>
        <v>18</v>
      </c>
      <c r="T264" s="4">
        <f t="shared" si="95"/>
        <v>2</v>
      </c>
      <c r="U264" s="4">
        <f t="shared" si="96"/>
        <v>12</v>
      </c>
      <c r="V264" s="8">
        <f t="shared" si="97"/>
        <v>9</v>
      </c>
      <c r="W264" s="8">
        <f t="shared" si="98"/>
        <v>1</v>
      </c>
      <c r="X264">
        <f t="shared" si="99"/>
        <v>1</v>
      </c>
    </row>
    <row r="265" spans="1:24" x14ac:dyDescent="0.25">
      <c r="A265" s="4" t="s">
        <v>291</v>
      </c>
      <c r="B265" t="s">
        <v>7</v>
      </c>
      <c r="C265" t="s">
        <v>4</v>
      </c>
      <c r="D265" s="3">
        <f t="shared" si="80"/>
        <v>57</v>
      </c>
      <c r="E265" s="4">
        <f t="shared" si="81"/>
        <v>7</v>
      </c>
      <c r="F265" s="4">
        <f t="shared" si="82"/>
        <v>17</v>
      </c>
      <c r="G265" s="3">
        <f>IF(E265&gt;=20,2000,1900) + D265</f>
        <v>1957</v>
      </c>
      <c r="H265">
        <f t="shared" si="83"/>
        <v>7</v>
      </c>
      <c r="I265" s="4">
        <f t="shared" si="84"/>
        <v>17</v>
      </c>
      <c r="J265">
        <f t="shared" si="85"/>
        <v>19570717</v>
      </c>
      <c r="K265" t="str">
        <f t="shared" si="86"/>
        <v>17.07.1957</v>
      </c>
      <c r="L265" s="4">
        <f t="shared" si="87"/>
        <v>5</v>
      </c>
      <c r="M265" s="4">
        <f t="shared" si="88"/>
        <v>21</v>
      </c>
      <c r="N265" s="4">
        <f t="shared" si="89"/>
        <v>0</v>
      </c>
      <c r="O265" s="4">
        <f t="shared" si="90"/>
        <v>63</v>
      </c>
      <c r="P265" s="4">
        <f t="shared" si="91"/>
        <v>1</v>
      </c>
      <c r="Q265" s="4">
        <f t="shared" si="92"/>
        <v>21</v>
      </c>
      <c r="R265" s="4">
        <f t="shared" si="93"/>
        <v>28</v>
      </c>
      <c r="S265" s="4">
        <f t="shared" si="94"/>
        <v>72</v>
      </c>
      <c r="T265" s="4">
        <f t="shared" si="95"/>
        <v>1</v>
      </c>
      <c r="U265" s="4">
        <f t="shared" si="96"/>
        <v>12</v>
      </c>
      <c r="V265" s="8">
        <f t="shared" si="97"/>
        <v>4</v>
      </c>
      <c r="W265" s="8">
        <f t="shared" si="98"/>
        <v>6</v>
      </c>
      <c r="X265">
        <f t="shared" si="99"/>
        <v>1</v>
      </c>
    </row>
    <row r="266" spans="1:24" x14ac:dyDescent="0.25">
      <c r="A266" s="4" t="s">
        <v>292</v>
      </c>
      <c r="B266" t="s">
        <v>5</v>
      </c>
      <c r="C266" t="s">
        <v>4</v>
      </c>
      <c r="D266" s="3">
        <f t="shared" si="80"/>
        <v>69</v>
      </c>
      <c r="E266" s="4">
        <f t="shared" si="81"/>
        <v>4</v>
      </c>
      <c r="F266" s="4">
        <f t="shared" si="82"/>
        <v>28</v>
      </c>
      <c r="G266" s="3">
        <f>IF(E266&gt;=20,2000,1900) + D266</f>
        <v>1969</v>
      </c>
      <c r="H266">
        <f t="shared" si="83"/>
        <v>4</v>
      </c>
      <c r="I266" s="4">
        <f t="shared" si="84"/>
        <v>28</v>
      </c>
      <c r="J266">
        <f t="shared" si="85"/>
        <v>19690428</v>
      </c>
      <c r="K266" t="str">
        <f t="shared" si="86"/>
        <v>28.04.1969</v>
      </c>
      <c r="L266" s="4">
        <f t="shared" si="87"/>
        <v>6</v>
      </c>
      <c r="M266" s="4">
        <f t="shared" si="88"/>
        <v>27</v>
      </c>
      <c r="N266" s="4">
        <f t="shared" si="89"/>
        <v>0</v>
      </c>
      <c r="O266" s="4">
        <f t="shared" si="90"/>
        <v>36</v>
      </c>
      <c r="P266" s="4">
        <f t="shared" si="91"/>
        <v>2</v>
      </c>
      <c r="Q266" s="4">
        <f t="shared" si="92"/>
        <v>24</v>
      </c>
      <c r="R266" s="4">
        <f t="shared" si="93"/>
        <v>21</v>
      </c>
      <c r="S266" s="4">
        <f t="shared" si="94"/>
        <v>0</v>
      </c>
      <c r="T266" s="4">
        <f t="shared" si="95"/>
        <v>4</v>
      </c>
      <c r="U266" s="4">
        <f t="shared" si="96"/>
        <v>27</v>
      </c>
      <c r="V266" s="8">
        <f t="shared" si="97"/>
        <v>7</v>
      </c>
      <c r="W266" s="8">
        <f t="shared" si="98"/>
        <v>3</v>
      </c>
      <c r="X266">
        <f t="shared" si="99"/>
        <v>1</v>
      </c>
    </row>
    <row r="267" spans="1:24" x14ac:dyDescent="0.25">
      <c r="A267" s="4" t="s">
        <v>293</v>
      </c>
      <c r="B267" t="s">
        <v>9</v>
      </c>
      <c r="C267" t="s">
        <v>4</v>
      </c>
      <c r="D267" s="3">
        <f t="shared" si="80"/>
        <v>51</v>
      </c>
      <c r="E267" s="4">
        <f t="shared" si="81"/>
        <v>12</v>
      </c>
      <c r="F267" s="4">
        <f t="shared" si="82"/>
        <v>28</v>
      </c>
      <c r="G267" s="3">
        <f>IF(E267&gt;=20,2000,1900) + D267</f>
        <v>1951</v>
      </c>
      <c r="H267">
        <f t="shared" si="83"/>
        <v>12</v>
      </c>
      <c r="I267" s="4">
        <f t="shared" si="84"/>
        <v>28</v>
      </c>
      <c r="J267">
        <f t="shared" si="85"/>
        <v>19511228</v>
      </c>
      <c r="K267" t="str">
        <f t="shared" si="86"/>
        <v>28.12.1951</v>
      </c>
      <c r="L267" s="4">
        <f t="shared" si="87"/>
        <v>5</v>
      </c>
      <c r="M267" s="4">
        <f t="shared" si="88"/>
        <v>3</v>
      </c>
      <c r="N267" s="4">
        <f t="shared" si="89"/>
        <v>7</v>
      </c>
      <c r="O267" s="4">
        <f t="shared" si="90"/>
        <v>18</v>
      </c>
      <c r="P267" s="4">
        <f t="shared" si="91"/>
        <v>2</v>
      </c>
      <c r="Q267" s="4">
        <f t="shared" si="92"/>
        <v>24</v>
      </c>
      <c r="R267" s="4">
        <f t="shared" si="93"/>
        <v>0</v>
      </c>
      <c r="S267" s="4">
        <f t="shared" si="94"/>
        <v>45</v>
      </c>
      <c r="T267" s="4">
        <f t="shared" si="95"/>
        <v>7</v>
      </c>
      <c r="U267" s="4">
        <f t="shared" si="96"/>
        <v>0</v>
      </c>
      <c r="V267" s="8">
        <f t="shared" si="97"/>
        <v>1</v>
      </c>
      <c r="W267" s="8">
        <f t="shared" si="98"/>
        <v>9</v>
      </c>
      <c r="X267">
        <f t="shared" si="99"/>
        <v>1</v>
      </c>
    </row>
    <row r="268" spans="1:24" x14ac:dyDescent="0.25">
      <c r="A268" s="4" t="s">
        <v>294</v>
      </c>
      <c r="B268" t="s">
        <v>14</v>
      </c>
      <c r="C268" t="s">
        <v>6</v>
      </c>
      <c r="D268" s="3">
        <f t="shared" si="80"/>
        <v>60</v>
      </c>
      <c r="E268" s="4">
        <f t="shared" si="81"/>
        <v>10</v>
      </c>
      <c r="F268" s="4">
        <f t="shared" si="82"/>
        <v>6</v>
      </c>
      <c r="G268" s="3">
        <f>IF(E268&gt;=20,2000,1900) + D268</f>
        <v>1960</v>
      </c>
      <c r="H268">
        <f t="shared" si="83"/>
        <v>10</v>
      </c>
      <c r="I268" s="4">
        <f t="shared" si="84"/>
        <v>6</v>
      </c>
      <c r="J268">
        <f t="shared" si="85"/>
        <v>19601006</v>
      </c>
      <c r="K268" t="str">
        <f t="shared" si="86"/>
        <v>06.10.1960</v>
      </c>
      <c r="L268" s="4">
        <f t="shared" si="87"/>
        <v>6</v>
      </c>
      <c r="M268" s="4">
        <f t="shared" si="88"/>
        <v>0</v>
      </c>
      <c r="N268" s="4">
        <f t="shared" si="89"/>
        <v>7</v>
      </c>
      <c r="O268" s="4">
        <f t="shared" si="90"/>
        <v>0</v>
      </c>
      <c r="P268" s="4">
        <f t="shared" si="91"/>
        <v>0</v>
      </c>
      <c r="Q268" s="4">
        <f t="shared" si="92"/>
        <v>18</v>
      </c>
      <c r="R268" s="4">
        <f t="shared" si="93"/>
        <v>0</v>
      </c>
      <c r="S268" s="4">
        <f t="shared" si="94"/>
        <v>9</v>
      </c>
      <c r="T268" s="4">
        <f t="shared" si="95"/>
        <v>2</v>
      </c>
      <c r="U268" s="4">
        <f t="shared" si="96"/>
        <v>3</v>
      </c>
      <c r="V268" s="8">
        <f t="shared" si="97"/>
        <v>5</v>
      </c>
      <c r="W268" s="8">
        <f t="shared" si="98"/>
        <v>5</v>
      </c>
      <c r="X268">
        <f t="shared" si="99"/>
        <v>1</v>
      </c>
    </row>
    <row r="269" spans="1:24" x14ac:dyDescent="0.25">
      <c r="A269" s="4" t="s">
        <v>295</v>
      </c>
      <c r="B269" t="s">
        <v>15</v>
      </c>
      <c r="C269" t="s">
        <v>6</v>
      </c>
      <c r="D269" s="3">
        <f t="shared" si="80"/>
        <v>71</v>
      </c>
      <c r="E269" s="4">
        <f t="shared" si="81"/>
        <v>3</v>
      </c>
      <c r="F269" s="4">
        <f t="shared" si="82"/>
        <v>26</v>
      </c>
      <c r="G269" s="3">
        <f>IF(E269&gt;=20,2000,1900) + D269</f>
        <v>1971</v>
      </c>
      <c r="H269">
        <f t="shared" si="83"/>
        <v>3</v>
      </c>
      <c r="I269" s="4">
        <f t="shared" si="84"/>
        <v>26</v>
      </c>
      <c r="J269">
        <f t="shared" si="85"/>
        <v>19710326</v>
      </c>
      <c r="K269" t="str">
        <f t="shared" si="86"/>
        <v>26.03.1971</v>
      </c>
      <c r="L269" s="4">
        <f t="shared" si="87"/>
        <v>7</v>
      </c>
      <c r="M269" s="4">
        <f t="shared" si="88"/>
        <v>3</v>
      </c>
      <c r="N269" s="4">
        <f t="shared" si="89"/>
        <v>0</v>
      </c>
      <c r="O269" s="4">
        <f t="shared" si="90"/>
        <v>27</v>
      </c>
      <c r="P269" s="4">
        <f t="shared" si="91"/>
        <v>2</v>
      </c>
      <c r="Q269" s="4">
        <f t="shared" si="92"/>
        <v>18</v>
      </c>
      <c r="R269" s="4">
        <f t="shared" si="93"/>
        <v>49</v>
      </c>
      <c r="S269" s="4">
        <f t="shared" si="94"/>
        <v>27</v>
      </c>
      <c r="T269" s="4">
        <f t="shared" si="95"/>
        <v>0</v>
      </c>
      <c r="U269" s="4">
        <f t="shared" si="96"/>
        <v>3</v>
      </c>
      <c r="V269" s="8">
        <f t="shared" si="97"/>
        <v>6</v>
      </c>
      <c r="W269" s="8">
        <f t="shared" si="98"/>
        <v>4</v>
      </c>
      <c r="X269">
        <f t="shared" si="99"/>
        <v>1</v>
      </c>
    </row>
    <row r="270" spans="1:24" x14ac:dyDescent="0.25">
      <c r="A270" s="4" t="s">
        <v>296</v>
      </c>
      <c r="B270" t="s">
        <v>8</v>
      </c>
      <c r="C270" t="s">
        <v>4</v>
      </c>
      <c r="D270" s="3">
        <f t="shared" si="80"/>
        <v>65</v>
      </c>
      <c r="E270" s="4">
        <f t="shared" si="81"/>
        <v>2</v>
      </c>
      <c r="F270" s="4">
        <f t="shared" si="82"/>
        <v>1</v>
      </c>
      <c r="G270" s="3">
        <f>IF(E270&gt;=20,2000,1900) + D270</f>
        <v>1965</v>
      </c>
      <c r="H270">
        <f t="shared" si="83"/>
        <v>2</v>
      </c>
      <c r="I270" s="4">
        <f t="shared" si="84"/>
        <v>1</v>
      </c>
      <c r="J270">
        <f t="shared" si="85"/>
        <v>19650201</v>
      </c>
      <c r="K270" t="str">
        <f t="shared" si="86"/>
        <v>01.02.1965</v>
      </c>
      <c r="L270" s="4">
        <f t="shared" si="87"/>
        <v>6</v>
      </c>
      <c r="M270" s="4">
        <f t="shared" si="88"/>
        <v>15</v>
      </c>
      <c r="N270" s="4">
        <f t="shared" si="89"/>
        <v>0</v>
      </c>
      <c r="O270" s="4">
        <f t="shared" si="90"/>
        <v>18</v>
      </c>
      <c r="P270" s="4">
        <f t="shared" si="91"/>
        <v>0</v>
      </c>
      <c r="Q270" s="4">
        <f t="shared" si="92"/>
        <v>3</v>
      </c>
      <c r="R270" s="4">
        <f t="shared" si="93"/>
        <v>49</v>
      </c>
      <c r="S270" s="4">
        <f t="shared" si="94"/>
        <v>54</v>
      </c>
      <c r="T270" s="4">
        <f t="shared" si="95"/>
        <v>6</v>
      </c>
      <c r="U270" s="4">
        <f t="shared" si="96"/>
        <v>27</v>
      </c>
      <c r="V270" s="8">
        <f t="shared" si="97"/>
        <v>8</v>
      </c>
      <c r="W270" s="8">
        <f t="shared" si="98"/>
        <v>2</v>
      </c>
      <c r="X270">
        <f t="shared" si="99"/>
        <v>1</v>
      </c>
    </row>
    <row r="271" spans="1:24" x14ac:dyDescent="0.25">
      <c r="A271" s="4" t="s">
        <v>297</v>
      </c>
      <c r="B271" t="s">
        <v>11</v>
      </c>
      <c r="C271" t="s">
        <v>4</v>
      </c>
      <c r="D271" s="3">
        <f t="shared" si="80"/>
        <v>96</v>
      </c>
      <c r="E271" s="4">
        <f t="shared" si="81"/>
        <v>3</v>
      </c>
      <c r="F271" s="4">
        <f t="shared" si="82"/>
        <v>7</v>
      </c>
      <c r="G271" s="3">
        <f>IF(E271&gt;=20,2000,1900) + D271</f>
        <v>1996</v>
      </c>
      <c r="H271">
        <f t="shared" si="83"/>
        <v>3</v>
      </c>
      <c r="I271" s="4">
        <f t="shared" si="84"/>
        <v>7</v>
      </c>
      <c r="J271">
        <f t="shared" si="85"/>
        <v>19960307</v>
      </c>
      <c r="K271" t="str">
        <f t="shared" si="86"/>
        <v>07.03.1996</v>
      </c>
      <c r="L271" s="4">
        <f t="shared" si="87"/>
        <v>9</v>
      </c>
      <c r="M271" s="4">
        <f t="shared" si="88"/>
        <v>18</v>
      </c>
      <c r="N271" s="4">
        <f t="shared" si="89"/>
        <v>0</v>
      </c>
      <c r="O271" s="4">
        <f t="shared" si="90"/>
        <v>27</v>
      </c>
      <c r="P271" s="4">
        <f t="shared" si="91"/>
        <v>0</v>
      </c>
      <c r="Q271" s="4">
        <f t="shared" si="92"/>
        <v>21</v>
      </c>
      <c r="R271" s="4">
        <f t="shared" si="93"/>
        <v>7</v>
      </c>
      <c r="S271" s="4">
        <f t="shared" si="94"/>
        <v>63</v>
      </c>
      <c r="T271" s="4">
        <f t="shared" si="95"/>
        <v>8</v>
      </c>
      <c r="U271" s="4">
        <f t="shared" si="96"/>
        <v>12</v>
      </c>
      <c r="V271" s="8">
        <f t="shared" si="97"/>
        <v>5</v>
      </c>
      <c r="W271" s="8">
        <f t="shared" si="98"/>
        <v>5</v>
      </c>
      <c r="X271">
        <f t="shared" si="99"/>
        <v>1</v>
      </c>
    </row>
    <row r="272" spans="1:24" x14ac:dyDescent="0.25">
      <c r="A272" s="4" t="s">
        <v>298</v>
      </c>
      <c r="B272" t="s">
        <v>11</v>
      </c>
      <c r="C272" t="s">
        <v>6</v>
      </c>
      <c r="D272" s="3">
        <f t="shared" si="80"/>
        <v>58</v>
      </c>
      <c r="E272" s="4">
        <f t="shared" si="81"/>
        <v>7</v>
      </c>
      <c r="F272" s="4">
        <f t="shared" si="82"/>
        <v>24</v>
      </c>
      <c r="G272" s="3">
        <f>IF(E272&gt;=20,2000,1900) + D272</f>
        <v>1958</v>
      </c>
      <c r="H272">
        <f t="shared" si="83"/>
        <v>7</v>
      </c>
      <c r="I272" s="4">
        <f t="shared" si="84"/>
        <v>24</v>
      </c>
      <c r="J272">
        <f t="shared" si="85"/>
        <v>19580724</v>
      </c>
      <c r="K272" t="str">
        <f t="shared" si="86"/>
        <v>24.07.1958</v>
      </c>
      <c r="L272" s="4">
        <f t="shared" si="87"/>
        <v>5</v>
      </c>
      <c r="M272" s="4">
        <f t="shared" si="88"/>
        <v>24</v>
      </c>
      <c r="N272" s="4">
        <f t="shared" si="89"/>
        <v>0</v>
      </c>
      <c r="O272" s="4">
        <f t="shared" si="90"/>
        <v>63</v>
      </c>
      <c r="P272" s="4">
        <f t="shared" si="91"/>
        <v>2</v>
      </c>
      <c r="Q272" s="4">
        <f t="shared" si="92"/>
        <v>12</v>
      </c>
      <c r="R272" s="4">
        <f t="shared" si="93"/>
        <v>21</v>
      </c>
      <c r="S272" s="4">
        <f t="shared" si="94"/>
        <v>45</v>
      </c>
      <c r="T272" s="4">
        <f t="shared" si="95"/>
        <v>1</v>
      </c>
      <c r="U272" s="4">
        <f t="shared" si="96"/>
        <v>3</v>
      </c>
      <c r="V272" s="8">
        <f t="shared" si="97"/>
        <v>6</v>
      </c>
      <c r="W272" s="8">
        <f t="shared" si="98"/>
        <v>4</v>
      </c>
      <c r="X272">
        <f t="shared" si="99"/>
        <v>1</v>
      </c>
    </row>
    <row r="273" spans="1:24" x14ac:dyDescent="0.25">
      <c r="A273" s="4" t="s">
        <v>299</v>
      </c>
      <c r="B273" t="s">
        <v>19</v>
      </c>
      <c r="C273" t="s">
        <v>6</v>
      </c>
      <c r="D273" s="3">
        <f t="shared" si="80"/>
        <v>76</v>
      </c>
      <c r="E273" s="4">
        <f t="shared" si="81"/>
        <v>12</v>
      </c>
      <c r="F273" s="4">
        <f t="shared" si="82"/>
        <v>19</v>
      </c>
      <c r="G273" s="3">
        <f>IF(E273&gt;=20,2000,1900) + D273</f>
        <v>1976</v>
      </c>
      <c r="H273">
        <f t="shared" si="83"/>
        <v>12</v>
      </c>
      <c r="I273" s="4">
        <f t="shared" si="84"/>
        <v>19</v>
      </c>
      <c r="J273">
        <f t="shared" si="85"/>
        <v>19761219</v>
      </c>
      <c r="K273" t="str">
        <f t="shared" si="86"/>
        <v>19.12.1976</v>
      </c>
      <c r="L273" s="4">
        <f t="shared" si="87"/>
        <v>7</v>
      </c>
      <c r="M273" s="4">
        <f t="shared" si="88"/>
        <v>18</v>
      </c>
      <c r="N273" s="4">
        <f t="shared" si="89"/>
        <v>7</v>
      </c>
      <c r="O273" s="4">
        <f t="shared" si="90"/>
        <v>18</v>
      </c>
      <c r="P273" s="4">
        <f t="shared" si="91"/>
        <v>1</v>
      </c>
      <c r="Q273" s="4">
        <f t="shared" si="92"/>
        <v>27</v>
      </c>
      <c r="R273" s="4">
        <f t="shared" si="93"/>
        <v>56</v>
      </c>
      <c r="S273" s="4">
        <f t="shared" si="94"/>
        <v>27</v>
      </c>
      <c r="T273" s="4">
        <f t="shared" si="95"/>
        <v>6</v>
      </c>
      <c r="U273" s="4">
        <f t="shared" si="96"/>
        <v>0</v>
      </c>
      <c r="V273" s="8">
        <f t="shared" si="97"/>
        <v>7</v>
      </c>
      <c r="W273" s="8">
        <f t="shared" si="98"/>
        <v>3</v>
      </c>
      <c r="X273">
        <f t="shared" si="99"/>
        <v>1</v>
      </c>
    </row>
    <row r="274" spans="1:24" x14ac:dyDescent="0.25">
      <c r="A274" s="4" t="s">
        <v>300</v>
      </c>
      <c r="B274" t="s">
        <v>17</v>
      </c>
      <c r="C274" t="s">
        <v>4</v>
      </c>
      <c r="D274" s="3">
        <f t="shared" si="80"/>
        <v>63</v>
      </c>
      <c r="E274" s="4">
        <f t="shared" si="81"/>
        <v>10</v>
      </c>
      <c r="F274" s="4">
        <f t="shared" si="82"/>
        <v>22</v>
      </c>
      <c r="G274" s="3">
        <f>IF(E274&gt;=20,2000,1900) + D274</f>
        <v>1963</v>
      </c>
      <c r="H274">
        <f t="shared" si="83"/>
        <v>10</v>
      </c>
      <c r="I274" s="4">
        <f t="shared" si="84"/>
        <v>22</v>
      </c>
      <c r="J274">
        <f t="shared" si="85"/>
        <v>19631022</v>
      </c>
      <c r="K274" t="str">
        <f t="shared" si="86"/>
        <v>22.10.1963</v>
      </c>
      <c r="L274" s="4">
        <f t="shared" si="87"/>
        <v>6</v>
      </c>
      <c r="M274" s="4">
        <f t="shared" si="88"/>
        <v>9</v>
      </c>
      <c r="N274" s="4">
        <f t="shared" si="89"/>
        <v>7</v>
      </c>
      <c r="O274" s="4">
        <f t="shared" si="90"/>
        <v>0</v>
      </c>
      <c r="P274" s="4">
        <f t="shared" si="91"/>
        <v>2</v>
      </c>
      <c r="Q274" s="4">
        <f t="shared" si="92"/>
        <v>6</v>
      </c>
      <c r="R274" s="4">
        <f t="shared" si="93"/>
        <v>56</v>
      </c>
      <c r="S274" s="4">
        <f t="shared" si="94"/>
        <v>9</v>
      </c>
      <c r="T274" s="4">
        <f t="shared" si="95"/>
        <v>6</v>
      </c>
      <c r="U274" s="4">
        <f t="shared" si="96"/>
        <v>3</v>
      </c>
      <c r="V274" s="8">
        <f t="shared" si="97"/>
        <v>4</v>
      </c>
      <c r="W274" s="8">
        <f t="shared" si="98"/>
        <v>6</v>
      </c>
      <c r="X274">
        <f t="shared" si="99"/>
        <v>1</v>
      </c>
    </row>
    <row r="275" spans="1:24" x14ac:dyDescent="0.25">
      <c r="A275" s="4" t="s">
        <v>301</v>
      </c>
      <c r="B275" t="s">
        <v>15</v>
      </c>
      <c r="C275" t="s">
        <v>6</v>
      </c>
      <c r="D275" s="3">
        <f t="shared" si="80"/>
        <v>60</v>
      </c>
      <c r="E275" s="4">
        <f t="shared" si="81"/>
        <v>10</v>
      </c>
      <c r="F275" s="4">
        <f t="shared" si="82"/>
        <v>20</v>
      </c>
      <c r="G275" s="3">
        <f>IF(E275&gt;=20,2000,1900) + D275</f>
        <v>1960</v>
      </c>
      <c r="H275">
        <f t="shared" si="83"/>
        <v>10</v>
      </c>
      <c r="I275" s="4">
        <f t="shared" si="84"/>
        <v>20</v>
      </c>
      <c r="J275">
        <f t="shared" si="85"/>
        <v>19601020</v>
      </c>
      <c r="K275" t="str">
        <f t="shared" si="86"/>
        <v>20.10.1960</v>
      </c>
      <c r="L275" s="4">
        <f t="shared" si="87"/>
        <v>6</v>
      </c>
      <c r="M275" s="4">
        <f t="shared" si="88"/>
        <v>0</v>
      </c>
      <c r="N275" s="4">
        <f t="shared" si="89"/>
        <v>7</v>
      </c>
      <c r="O275" s="4">
        <f t="shared" si="90"/>
        <v>0</v>
      </c>
      <c r="P275" s="4">
        <f t="shared" si="91"/>
        <v>2</v>
      </c>
      <c r="Q275" s="4">
        <f t="shared" si="92"/>
        <v>0</v>
      </c>
      <c r="R275" s="4">
        <f t="shared" si="93"/>
        <v>28</v>
      </c>
      <c r="S275" s="4">
        <f t="shared" si="94"/>
        <v>36</v>
      </c>
      <c r="T275" s="4">
        <f t="shared" si="95"/>
        <v>1</v>
      </c>
      <c r="U275" s="4">
        <f t="shared" si="96"/>
        <v>21</v>
      </c>
      <c r="V275" s="8">
        <f t="shared" si="97"/>
        <v>1</v>
      </c>
      <c r="W275" s="8">
        <f t="shared" si="98"/>
        <v>9</v>
      </c>
      <c r="X275">
        <f t="shared" si="99"/>
        <v>1</v>
      </c>
    </row>
    <row r="276" spans="1:24" x14ac:dyDescent="0.25">
      <c r="A276" s="4" t="s">
        <v>302</v>
      </c>
      <c r="B276" t="s">
        <v>18</v>
      </c>
      <c r="C276" t="s">
        <v>4</v>
      </c>
      <c r="D276" s="3">
        <f t="shared" si="80"/>
        <v>79</v>
      </c>
      <c r="E276" s="4">
        <f t="shared" si="81"/>
        <v>11</v>
      </c>
      <c r="F276" s="4">
        <f t="shared" si="82"/>
        <v>6</v>
      </c>
      <c r="G276" s="3">
        <f>IF(E276&gt;=20,2000,1900) + D276</f>
        <v>1979</v>
      </c>
      <c r="H276">
        <f t="shared" si="83"/>
        <v>11</v>
      </c>
      <c r="I276" s="4">
        <f t="shared" si="84"/>
        <v>6</v>
      </c>
      <c r="J276">
        <f t="shared" si="85"/>
        <v>19791106</v>
      </c>
      <c r="K276" t="str">
        <f t="shared" si="86"/>
        <v>06.11.1979</v>
      </c>
      <c r="L276" s="4">
        <f t="shared" si="87"/>
        <v>7</v>
      </c>
      <c r="M276" s="4">
        <f t="shared" si="88"/>
        <v>27</v>
      </c>
      <c r="N276" s="4">
        <f t="shared" si="89"/>
        <v>7</v>
      </c>
      <c r="O276" s="4">
        <f t="shared" si="90"/>
        <v>9</v>
      </c>
      <c r="P276" s="4">
        <f t="shared" si="91"/>
        <v>0</v>
      </c>
      <c r="Q276" s="4">
        <f t="shared" si="92"/>
        <v>18</v>
      </c>
      <c r="R276" s="4">
        <f t="shared" si="93"/>
        <v>21</v>
      </c>
      <c r="S276" s="4">
        <f t="shared" si="94"/>
        <v>72</v>
      </c>
      <c r="T276" s="4">
        <f t="shared" si="95"/>
        <v>4</v>
      </c>
      <c r="U276" s="4">
        <f t="shared" si="96"/>
        <v>21</v>
      </c>
      <c r="V276" s="8">
        <f t="shared" si="97"/>
        <v>6</v>
      </c>
      <c r="W276" s="8">
        <f t="shared" si="98"/>
        <v>4</v>
      </c>
      <c r="X276">
        <f t="shared" si="99"/>
        <v>1</v>
      </c>
    </row>
    <row r="277" spans="1:24" x14ac:dyDescent="0.25">
      <c r="A277" s="4" t="s">
        <v>303</v>
      </c>
      <c r="B277" t="s">
        <v>8</v>
      </c>
      <c r="C277" t="s">
        <v>4</v>
      </c>
      <c r="D277" s="3">
        <f t="shared" si="80"/>
        <v>56</v>
      </c>
      <c r="E277" s="4">
        <f t="shared" si="81"/>
        <v>3</v>
      </c>
      <c r="F277" s="4">
        <f t="shared" si="82"/>
        <v>13</v>
      </c>
      <c r="G277" s="3">
        <f>IF(E277&gt;=20,2000,1900) + D277</f>
        <v>1956</v>
      </c>
      <c r="H277">
        <f t="shared" si="83"/>
        <v>3</v>
      </c>
      <c r="I277" s="4">
        <f t="shared" si="84"/>
        <v>13</v>
      </c>
      <c r="J277">
        <f t="shared" si="85"/>
        <v>19560313</v>
      </c>
      <c r="K277" t="str">
        <f t="shared" si="86"/>
        <v>13.03.1956</v>
      </c>
      <c r="L277" s="4">
        <f t="shared" si="87"/>
        <v>5</v>
      </c>
      <c r="M277" s="4">
        <f t="shared" si="88"/>
        <v>18</v>
      </c>
      <c r="N277" s="4">
        <f t="shared" si="89"/>
        <v>0</v>
      </c>
      <c r="O277" s="4">
        <f t="shared" si="90"/>
        <v>27</v>
      </c>
      <c r="P277" s="4">
        <f t="shared" si="91"/>
        <v>1</v>
      </c>
      <c r="Q277" s="4">
        <f t="shared" si="92"/>
        <v>9</v>
      </c>
      <c r="R277" s="4">
        <f t="shared" si="93"/>
        <v>21</v>
      </c>
      <c r="S277" s="4">
        <f t="shared" si="94"/>
        <v>9</v>
      </c>
      <c r="T277" s="4">
        <f t="shared" si="95"/>
        <v>3</v>
      </c>
      <c r="U277" s="4">
        <f t="shared" si="96"/>
        <v>27</v>
      </c>
      <c r="V277" s="8">
        <f t="shared" si="97"/>
        <v>0</v>
      </c>
      <c r="W277" s="8">
        <f t="shared" si="98"/>
        <v>0</v>
      </c>
      <c r="X277">
        <f t="shared" si="99"/>
        <v>1</v>
      </c>
    </row>
    <row r="278" spans="1:24" x14ac:dyDescent="0.25">
      <c r="A278" s="4" t="s">
        <v>304</v>
      </c>
      <c r="B278" t="s">
        <v>8</v>
      </c>
      <c r="C278" t="s">
        <v>6</v>
      </c>
      <c r="D278" s="3">
        <f t="shared" si="80"/>
        <v>88</v>
      </c>
      <c r="E278" s="4">
        <f t="shared" si="81"/>
        <v>3</v>
      </c>
      <c r="F278" s="4">
        <f t="shared" si="82"/>
        <v>19</v>
      </c>
      <c r="G278" s="3">
        <f>IF(E278&gt;=20,2000,1900) + D278</f>
        <v>1988</v>
      </c>
      <c r="H278">
        <f t="shared" si="83"/>
        <v>3</v>
      </c>
      <c r="I278" s="4">
        <f t="shared" si="84"/>
        <v>19</v>
      </c>
      <c r="J278">
        <f t="shared" si="85"/>
        <v>19880319</v>
      </c>
      <c r="K278" t="str">
        <f t="shared" si="86"/>
        <v>19.03.1988</v>
      </c>
      <c r="L278" s="4">
        <f t="shared" si="87"/>
        <v>8</v>
      </c>
      <c r="M278" s="4">
        <f t="shared" si="88"/>
        <v>24</v>
      </c>
      <c r="N278" s="4">
        <f t="shared" si="89"/>
        <v>0</v>
      </c>
      <c r="O278" s="4">
        <f t="shared" si="90"/>
        <v>27</v>
      </c>
      <c r="P278" s="4">
        <f t="shared" si="91"/>
        <v>1</v>
      </c>
      <c r="Q278" s="4">
        <f t="shared" si="92"/>
        <v>27</v>
      </c>
      <c r="R278" s="4">
        <f t="shared" si="93"/>
        <v>42</v>
      </c>
      <c r="S278" s="4">
        <f t="shared" si="94"/>
        <v>54</v>
      </c>
      <c r="T278" s="4">
        <f t="shared" si="95"/>
        <v>5</v>
      </c>
      <c r="U278" s="4">
        <f t="shared" si="96"/>
        <v>3</v>
      </c>
      <c r="V278" s="8">
        <f t="shared" si="97"/>
        <v>1</v>
      </c>
      <c r="W278" s="8">
        <f t="shared" si="98"/>
        <v>9</v>
      </c>
      <c r="X278">
        <f t="shared" si="99"/>
        <v>1</v>
      </c>
    </row>
    <row r="279" spans="1:24" x14ac:dyDescent="0.25">
      <c r="A279" s="4" t="s">
        <v>305</v>
      </c>
      <c r="B279" t="s">
        <v>16</v>
      </c>
      <c r="C279" t="s">
        <v>4</v>
      </c>
      <c r="D279" s="3">
        <f t="shared" si="80"/>
        <v>60</v>
      </c>
      <c r="E279" s="4">
        <f t="shared" si="81"/>
        <v>10</v>
      </c>
      <c r="F279" s="4">
        <f t="shared" si="82"/>
        <v>2</v>
      </c>
      <c r="G279" s="3">
        <f>IF(E279&gt;=20,2000,1900) + D279</f>
        <v>1960</v>
      </c>
      <c r="H279">
        <f t="shared" si="83"/>
        <v>10</v>
      </c>
      <c r="I279" s="4">
        <f t="shared" si="84"/>
        <v>2</v>
      </c>
      <c r="J279">
        <f t="shared" si="85"/>
        <v>19601002</v>
      </c>
      <c r="K279" t="str">
        <f t="shared" si="86"/>
        <v>02.10.1960</v>
      </c>
      <c r="L279" s="4">
        <f t="shared" si="87"/>
        <v>6</v>
      </c>
      <c r="M279" s="4">
        <f t="shared" si="88"/>
        <v>0</v>
      </c>
      <c r="N279" s="4">
        <f t="shared" si="89"/>
        <v>7</v>
      </c>
      <c r="O279" s="4">
        <f t="shared" si="90"/>
        <v>0</v>
      </c>
      <c r="P279" s="4">
        <f t="shared" si="91"/>
        <v>0</v>
      </c>
      <c r="Q279" s="4">
        <f t="shared" si="92"/>
        <v>6</v>
      </c>
      <c r="R279" s="4">
        <f t="shared" si="93"/>
        <v>7</v>
      </c>
      <c r="S279" s="4">
        <f t="shared" si="94"/>
        <v>36</v>
      </c>
      <c r="T279" s="4">
        <f t="shared" si="95"/>
        <v>7</v>
      </c>
      <c r="U279" s="4">
        <f t="shared" si="96"/>
        <v>24</v>
      </c>
      <c r="V279" s="8">
        <f t="shared" si="97"/>
        <v>3</v>
      </c>
      <c r="W279" s="8">
        <f t="shared" si="98"/>
        <v>7</v>
      </c>
      <c r="X279">
        <f t="shared" si="99"/>
        <v>1</v>
      </c>
    </row>
    <row r="280" spans="1:24" x14ac:dyDescent="0.25">
      <c r="A280" s="4" t="s">
        <v>306</v>
      </c>
      <c r="B280" t="s">
        <v>16</v>
      </c>
      <c r="C280" t="s">
        <v>6</v>
      </c>
      <c r="D280" s="3">
        <f t="shared" si="80"/>
        <v>70</v>
      </c>
      <c r="E280" s="4">
        <f t="shared" si="81"/>
        <v>8</v>
      </c>
      <c r="F280" s="4">
        <f t="shared" si="82"/>
        <v>4</v>
      </c>
      <c r="G280" s="3">
        <f>IF(E280&gt;=20,2000,1900) + D280</f>
        <v>1970</v>
      </c>
      <c r="H280">
        <f t="shared" si="83"/>
        <v>8</v>
      </c>
      <c r="I280" s="4">
        <f t="shared" si="84"/>
        <v>4</v>
      </c>
      <c r="J280">
        <f t="shared" si="85"/>
        <v>19700804</v>
      </c>
      <c r="K280" t="str">
        <f t="shared" si="86"/>
        <v>04.08.1970</v>
      </c>
      <c r="L280" s="4">
        <f t="shared" si="87"/>
        <v>7</v>
      </c>
      <c r="M280" s="4">
        <f t="shared" si="88"/>
        <v>0</v>
      </c>
      <c r="N280" s="4">
        <f t="shared" si="89"/>
        <v>0</v>
      </c>
      <c r="O280" s="4">
        <f t="shared" si="90"/>
        <v>72</v>
      </c>
      <c r="P280" s="4">
        <f t="shared" si="91"/>
        <v>0</v>
      </c>
      <c r="Q280" s="4">
        <f t="shared" si="92"/>
        <v>12</v>
      </c>
      <c r="R280" s="4">
        <f t="shared" si="93"/>
        <v>0</v>
      </c>
      <c r="S280" s="4">
        <f t="shared" si="94"/>
        <v>0</v>
      </c>
      <c r="T280" s="4">
        <f t="shared" si="95"/>
        <v>4</v>
      </c>
      <c r="U280" s="4">
        <f t="shared" si="96"/>
        <v>15</v>
      </c>
      <c r="V280" s="8">
        <f t="shared" si="97"/>
        <v>0</v>
      </c>
      <c r="W280" s="8">
        <f t="shared" si="98"/>
        <v>0</v>
      </c>
      <c r="X280">
        <f t="shared" si="99"/>
        <v>1</v>
      </c>
    </row>
    <row r="281" spans="1:24" x14ac:dyDescent="0.25">
      <c r="A281" s="4" t="s">
        <v>307</v>
      </c>
      <c r="B281" t="s">
        <v>20</v>
      </c>
      <c r="C281" t="s">
        <v>4</v>
      </c>
      <c r="D281" s="3">
        <f t="shared" si="80"/>
        <v>71</v>
      </c>
      <c r="E281" s="4">
        <f t="shared" si="81"/>
        <v>11</v>
      </c>
      <c r="F281" s="4">
        <f t="shared" si="82"/>
        <v>19</v>
      </c>
      <c r="G281" s="3">
        <f>IF(E281&gt;=20,2000,1900) + D281</f>
        <v>1971</v>
      </c>
      <c r="H281">
        <f t="shared" si="83"/>
        <v>11</v>
      </c>
      <c r="I281" s="4">
        <f t="shared" si="84"/>
        <v>19</v>
      </c>
      <c r="J281">
        <f t="shared" si="85"/>
        <v>19711119</v>
      </c>
      <c r="K281" t="str">
        <f t="shared" si="86"/>
        <v>19.11.1971</v>
      </c>
      <c r="L281" s="4">
        <f t="shared" si="87"/>
        <v>7</v>
      </c>
      <c r="M281" s="4">
        <f t="shared" si="88"/>
        <v>3</v>
      </c>
      <c r="N281" s="4">
        <f t="shared" si="89"/>
        <v>7</v>
      </c>
      <c r="O281" s="4">
        <f t="shared" si="90"/>
        <v>9</v>
      </c>
      <c r="P281" s="4">
        <f t="shared" si="91"/>
        <v>1</v>
      </c>
      <c r="Q281" s="4">
        <f t="shared" si="92"/>
        <v>27</v>
      </c>
      <c r="R281" s="4">
        <f t="shared" si="93"/>
        <v>42</v>
      </c>
      <c r="S281" s="4">
        <f t="shared" si="94"/>
        <v>18</v>
      </c>
      <c r="T281" s="4">
        <f t="shared" si="95"/>
        <v>8</v>
      </c>
      <c r="U281" s="4">
        <f t="shared" si="96"/>
        <v>15</v>
      </c>
      <c r="V281" s="8">
        <f t="shared" si="97"/>
        <v>7</v>
      </c>
      <c r="W281" s="8">
        <f t="shared" si="98"/>
        <v>3</v>
      </c>
      <c r="X281">
        <f t="shared" si="99"/>
        <v>1</v>
      </c>
    </row>
    <row r="282" spans="1:24" x14ac:dyDescent="0.25">
      <c r="A282" s="4" t="s">
        <v>308</v>
      </c>
      <c r="B282" t="s">
        <v>16</v>
      </c>
      <c r="C282" t="s">
        <v>4</v>
      </c>
      <c r="D282" s="3">
        <f t="shared" si="80"/>
        <v>77</v>
      </c>
      <c r="E282" s="4">
        <f t="shared" si="81"/>
        <v>4</v>
      </c>
      <c r="F282" s="4">
        <f t="shared" si="82"/>
        <v>18</v>
      </c>
      <c r="G282" s="3">
        <f>IF(E282&gt;=20,2000,1900) + D282</f>
        <v>1977</v>
      </c>
      <c r="H282">
        <f t="shared" si="83"/>
        <v>4</v>
      </c>
      <c r="I282" s="4">
        <f t="shared" si="84"/>
        <v>18</v>
      </c>
      <c r="J282">
        <f t="shared" si="85"/>
        <v>19770418</v>
      </c>
      <c r="K282" t="str">
        <f t="shared" si="86"/>
        <v>18.04.1977</v>
      </c>
      <c r="L282" s="4">
        <f t="shared" si="87"/>
        <v>7</v>
      </c>
      <c r="M282" s="4">
        <f t="shared" si="88"/>
        <v>21</v>
      </c>
      <c r="N282" s="4">
        <f t="shared" si="89"/>
        <v>0</v>
      </c>
      <c r="O282" s="4">
        <f t="shared" si="90"/>
        <v>36</v>
      </c>
      <c r="P282" s="4">
        <f t="shared" si="91"/>
        <v>1</v>
      </c>
      <c r="Q282" s="4">
        <f t="shared" si="92"/>
        <v>24</v>
      </c>
      <c r="R282" s="4">
        <f t="shared" si="93"/>
        <v>14</v>
      </c>
      <c r="S282" s="4">
        <f t="shared" si="94"/>
        <v>72</v>
      </c>
      <c r="T282" s="4">
        <f t="shared" si="95"/>
        <v>0</v>
      </c>
      <c r="U282" s="4">
        <f t="shared" si="96"/>
        <v>0</v>
      </c>
      <c r="V282" s="8">
        <f t="shared" si="97"/>
        <v>5</v>
      </c>
      <c r="W282" s="8">
        <f t="shared" si="98"/>
        <v>5</v>
      </c>
      <c r="X282">
        <f t="shared" si="99"/>
        <v>1</v>
      </c>
    </row>
    <row r="283" spans="1:24" x14ac:dyDescent="0.25">
      <c r="A283" s="4" t="s">
        <v>309</v>
      </c>
      <c r="B283" t="s">
        <v>16</v>
      </c>
      <c r="C283" t="s">
        <v>6</v>
      </c>
      <c r="D283" s="3">
        <f t="shared" si="80"/>
        <v>61</v>
      </c>
      <c r="E283" s="4">
        <f t="shared" si="81"/>
        <v>8</v>
      </c>
      <c r="F283" s="4">
        <f t="shared" si="82"/>
        <v>24</v>
      </c>
      <c r="G283" s="3">
        <f>IF(E283&gt;=20,2000,1900) + D283</f>
        <v>1961</v>
      </c>
      <c r="H283">
        <f t="shared" si="83"/>
        <v>8</v>
      </c>
      <c r="I283" s="4">
        <f t="shared" si="84"/>
        <v>24</v>
      </c>
      <c r="J283">
        <f t="shared" si="85"/>
        <v>19610824</v>
      </c>
      <c r="K283" t="str">
        <f t="shared" si="86"/>
        <v>24.08.1961</v>
      </c>
      <c r="L283" s="4">
        <f t="shared" si="87"/>
        <v>6</v>
      </c>
      <c r="M283" s="4">
        <f t="shared" si="88"/>
        <v>3</v>
      </c>
      <c r="N283" s="4">
        <f t="shared" si="89"/>
        <v>0</v>
      </c>
      <c r="O283" s="4">
        <f t="shared" si="90"/>
        <v>72</v>
      </c>
      <c r="P283" s="4">
        <f t="shared" si="91"/>
        <v>2</v>
      </c>
      <c r="Q283" s="4">
        <f t="shared" si="92"/>
        <v>12</v>
      </c>
      <c r="R283" s="4">
        <f t="shared" si="93"/>
        <v>0</v>
      </c>
      <c r="S283" s="4">
        <f t="shared" si="94"/>
        <v>9</v>
      </c>
      <c r="T283" s="4">
        <f t="shared" si="95"/>
        <v>0</v>
      </c>
      <c r="U283" s="4">
        <f t="shared" si="96"/>
        <v>15</v>
      </c>
      <c r="V283" s="8">
        <f t="shared" si="97"/>
        <v>9</v>
      </c>
      <c r="W283" s="8">
        <f t="shared" si="98"/>
        <v>1</v>
      </c>
      <c r="X283">
        <f t="shared" si="99"/>
        <v>1</v>
      </c>
    </row>
    <row r="284" spans="1:24" x14ac:dyDescent="0.25">
      <c r="A284" s="4" t="s">
        <v>310</v>
      </c>
      <c r="B284" t="s">
        <v>13</v>
      </c>
      <c r="C284" t="s">
        <v>4</v>
      </c>
      <c r="D284" s="3">
        <f t="shared" si="80"/>
        <v>53</v>
      </c>
      <c r="E284" s="4">
        <f t="shared" si="81"/>
        <v>8</v>
      </c>
      <c r="F284" s="4">
        <f t="shared" si="82"/>
        <v>3</v>
      </c>
      <c r="G284" s="3">
        <f>IF(E284&gt;=20,2000,1900) + D284</f>
        <v>1953</v>
      </c>
      <c r="H284">
        <f t="shared" si="83"/>
        <v>8</v>
      </c>
      <c r="I284" s="4">
        <f t="shared" si="84"/>
        <v>3</v>
      </c>
      <c r="J284">
        <f t="shared" si="85"/>
        <v>19530803</v>
      </c>
      <c r="K284" t="str">
        <f t="shared" si="86"/>
        <v>03.08.1953</v>
      </c>
      <c r="L284" s="4">
        <f t="shared" si="87"/>
        <v>5</v>
      </c>
      <c r="M284" s="4">
        <f t="shared" si="88"/>
        <v>9</v>
      </c>
      <c r="N284" s="4">
        <f t="shared" si="89"/>
        <v>0</v>
      </c>
      <c r="O284" s="4">
        <f t="shared" si="90"/>
        <v>72</v>
      </c>
      <c r="P284" s="4">
        <f t="shared" si="91"/>
        <v>0</v>
      </c>
      <c r="Q284" s="4">
        <f t="shared" si="92"/>
        <v>9</v>
      </c>
      <c r="R284" s="4">
        <f t="shared" si="93"/>
        <v>28</v>
      </c>
      <c r="S284" s="4">
        <f t="shared" si="94"/>
        <v>54</v>
      </c>
      <c r="T284" s="4">
        <f t="shared" si="95"/>
        <v>7</v>
      </c>
      <c r="U284" s="4">
        <f t="shared" si="96"/>
        <v>18</v>
      </c>
      <c r="V284" s="8">
        <f t="shared" si="97"/>
        <v>2</v>
      </c>
      <c r="W284" s="8">
        <f t="shared" si="98"/>
        <v>8</v>
      </c>
      <c r="X284">
        <f t="shared" si="99"/>
        <v>1</v>
      </c>
    </row>
    <row r="285" spans="1:24" x14ac:dyDescent="0.25">
      <c r="A285" s="4" t="s">
        <v>311</v>
      </c>
      <c r="B285" t="s">
        <v>20</v>
      </c>
      <c r="C285" t="s">
        <v>6</v>
      </c>
      <c r="D285" s="3">
        <f t="shared" si="80"/>
        <v>81</v>
      </c>
      <c r="E285" s="4">
        <f t="shared" si="81"/>
        <v>9</v>
      </c>
      <c r="F285" s="4">
        <f t="shared" si="82"/>
        <v>21</v>
      </c>
      <c r="G285" s="3">
        <f>IF(E285&gt;=20,2000,1900) + D285</f>
        <v>1981</v>
      </c>
      <c r="H285">
        <f t="shared" si="83"/>
        <v>9</v>
      </c>
      <c r="I285" s="4">
        <f t="shared" si="84"/>
        <v>21</v>
      </c>
      <c r="J285">
        <f t="shared" si="85"/>
        <v>19810921</v>
      </c>
      <c r="K285" t="str">
        <f t="shared" si="86"/>
        <v>21.09.1981</v>
      </c>
      <c r="L285" s="4">
        <f t="shared" si="87"/>
        <v>8</v>
      </c>
      <c r="M285" s="4">
        <f t="shared" si="88"/>
        <v>3</v>
      </c>
      <c r="N285" s="4">
        <f t="shared" si="89"/>
        <v>0</v>
      </c>
      <c r="O285" s="4">
        <f t="shared" si="90"/>
        <v>81</v>
      </c>
      <c r="P285" s="4">
        <f t="shared" si="91"/>
        <v>2</v>
      </c>
      <c r="Q285" s="4">
        <f t="shared" si="92"/>
        <v>3</v>
      </c>
      <c r="R285" s="4">
        <f t="shared" si="93"/>
        <v>14</v>
      </c>
      <c r="S285" s="4">
        <f t="shared" si="94"/>
        <v>27</v>
      </c>
      <c r="T285" s="4">
        <f t="shared" si="95"/>
        <v>3</v>
      </c>
      <c r="U285" s="4">
        <f t="shared" si="96"/>
        <v>12</v>
      </c>
      <c r="V285" s="8">
        <f t="shared" si="97"/>
        <v>3</v>
      </c>
      <c r="W285" s="8">
        <f t="shared" si="98"/>
        <v>7</v>
      </c>
      <c r="X285">
        <f t="shared" si="99"/>
        <v>1</v>
      </c>
    </row>
    <row r="286" spans="1:24" x14ac:dyDescent="0.25">
      <c r="A286" s="4" t="s">
        <v>312</v>
      </c>
      <c r="B286" t="s">
        <v>13</v>
      </c>
      <c r="C286" t="s">
        <v>4</v>
      </c>
      <c r="D286" s="3">
        <f t="shared" si="80"/>
        <v>83</v>
      </c>
      <c r="E286" s="4">
        <f t="shared" si="81"/>
        <v>10</v>
      </c>
      <c r="F286" s="4">
        <f t="shared" si="82"/>
        <v>20</v>
      </c>
      <c r="G286" s="3">
        <f>IF(E286&gt;=20,2000,1900) + D286</f>
        <v>1983</v>
      </c>
      <c r="H286">
        <f t="shared" si="83"/>
        <v>10</v>
      </c>
      <c r="I286" s="4">
        <f t="shared" si="84"/>
        <v>20</v>
      </c>
      <c r="J286">
        <f t="shared" si="85"/>
        <v>19831020</v>
      </c>
      <c r="K286" t="str">
        <f t="shared" si="86"/>
        <v>20.10.1983</v>
      </c>
      <c r="L286" s="4">
        <f t="shared" si="87"/>
        <v>8</v>
      </c>
      <c r="M286" s="4">
        <f t="shared" si="88"/>
        <v>9</v>
      </c>
      <c r="N286" s="4">
        <f t="shared" si="89"/>
        <v>7</v>
      </c>
      <c r="O286" s="4">
        <f t="shared" si="90"/>
        <v>0</v>
      </c>
      <c r="P286" s="4">
        <f t="shared" si="91"/>
        <v>2</v>
      </c>
      <c r="Q286" s="4">
        <f t="shared" si="92"/>
        <v>0</v>
      </c>
      <c r="R286" s="4">
        <f t="shared" si="93"/>
        <v>0</v>
      </c>
      <c r="S286" s="4">
        <f t="shared" si="94"/>
        <v>54</v>
      </c>
      <c r="T286" s="4">
        <f t="shared" si="95"/>
        <v>4</v>
      </c>
      <c r="U286" s="4">
        <f t="shared" si="96"/>
        <v>21</v>
      </c>
      <c r="V286" s="8">
        <f t="shared" si="97"/>
        <v>5</v>
      </c>
      <c r="W286" s="8">
        <f t="shared" si="98"/>
        <v>5</v>
      </c>
      <c r="X286">
        <f t="shared" si="99"/>
        <v>1</v>
      </c>
    </row>
    <row r="287" spans="1:24" x14ac:dyDescent="0.25">
      <c r="A287" s="4" t="s">
        <v>313</v>
      </c>
      <c r="B287" t="s">
        <v>10</v>
      </c>
      <c r="C287" t="s">
        <v>6</v>
      </c>
      <c r="D287" s="3">
        <f t="shared" si="80"/>
        <v>57</v>
      </c>
      <c r="E287" s="4">
        <f t="shared" si="81"/>
        <v>8</v>
      </c>
      <c r="F287" s="4">
        <f t="shared" si="82"/>
        <v>7</v>
      </c>
      <c r="G287" s="3">
        <f>IF(E287&gt;=20,2000,1900) + D287</f>
        <v>1957</v>
      </c>
      <c r="H287">
        <f t="shared" si="83"/>
        <v>8</v>
      </c>
      <c r="I287" s="4">
        <f t="shared" si="84"/>
        <v>7</v>
      </c>
      <c r="J287">
        <f t="shared" si="85"/>
        <v>19570807</v>
      </c>
      <c r="K287" t="str">
        <f t="shared" si="86"/>
        <v>07.08.1957</v>
      </c>
      <c r="L287" s="4">
        <f t="shared" si="87"/>
        <v>5</v>
      </c>
      <c r="M287" s="4">
        <f t="shared" si="88"/>
        <v>21</v>
      </c>
      <c r="N287" s="4">
        <f t="shared" si="89"/>
        <v>0</v>
      </c>
      <c r="O287" s="4">
        <f t="shared" si="90"/>
        <v>72</v>
      </c>
      <c r="P287" s="4">
        <f t="shared" si="91"/>
        <v>0</v>
      </c>
      <c r="Q287" s="4">
        <f t="shared" si="92"/>
        <v>21</v>
      </c>
      <c r="R287" s="4">
        <f t="shared" si="93"/>
        <v>56</v>
      </c>
      <c r="S287" s="4">
        <f t="shared" si="94"/>
        <v>81</v>
      </c>
      <c r="T287" s="4">
        <f t="shared" si="95"/>
        <v>4</v>
      </c>
      <c r="U287" s="4">
        <f t="shared" si="96"/>
        <v>9</v>
      </c>
      <c r="V287" s="8">
        <f t="shared" si="97"/>
        <v>9</v>
      </c>
      <c r="W287" s="8">
        <f t="shared" si="98"/>
        <v>1</v>
      </c>
      <c r="X287">
        <f t="shared" si="99"/>
        <v>1</v>
      </c>
    </row>
    <row r="288" spans="1:24" x14ac:dyDescent="0.25">
      <c r="A288" s="4" t="s">
        <v>314</v>
      </c>
      <c r="B288" t="s">
        <v>17</v>
      </c>
      <c r="C288" t="s">
        <v>4</v>
      </c>
      <c r="D288" s="3">
        <f t="shared" si="80"/>
        <v>96</v>
      </c>
      <c r="E288" s="4">
        <f t="shared" si="81"/>
        <v>9</v>
      </c>
      <c r="F288" s="4">
        <f t="shared" si="82"/>
        <v>28</v>
      </c>
      <c r="G288" s="3">
        <f>IF(E288&gt;=20,2000,1900) + D288</f>
        <v>1996</v>
      </c>
      <c r="H288">
        <f t="shared" si="83"/>
        <v>9</v>
      </c>
      <c r="I288" s="4">
        <f t="shared" si="84"/>
        <v>28</v>
      </c>
      <c r="J288">
        <f t="shared" si="85"/>
        <v>19960928</v>
      </c>
      <c r="K288" t="str">
        <f t="shared" si="86"/>
        <v>28.09.1996</v>
      </c>
      <c r="L288" s="4">
        <f t="shared" si="87"/>
        <v>9</v>
      </c>
      <c r="M288" s="4">
        <f t="shared" si="88"/>
        <v>18</v>
      </c>
      <c r="N288" s="4">
        <f t="shared" si="89"/>
        <v>0</v>
      </c>
      <c r="O288" s="4">
        <f t="shared" si="90"/>
        <v>81</v>
      </c>
      <c r="P288" s="4">
        <f t="shared" si="91"/>
        <v>2</v>
      </c>
      <c r="Q288" s="4">
        <f t="shared" si="92"/>
        <v>24</v>
      </c>
      <c r="R288" s="4">
        <f t="shared" si="93"/>
        <v>42</v>
      </c>
      <c r="S288" s="4">
        <f t="shared" si="94"/>
        <v>72</v>
      </c>
      <c r="T288" s="4">
        <f t="shared" si="95"/>
        <v>0</v>
      </c>
      <c r="U288" s="4">
        <f t="shared" si="96"/>
        <v>9</v>
      </c>
      <c r="V288" s="8">
        <f t="shared" si="97"/>
        <v>7</v>
      </c>
      <c r="W288" s="8">
        <f t="shared" si="98"/>
        <v>3</v>
      </c>
      <c r="X288">
        <f t="shared" si="99"/>
        <v>1</v>
      </c>
    </row>
    <row r="289" spans="1:24" x14ac:dyDescent="0.25">
      <c r="A289" s="4" t="s">
        <v>315</v>
      </c>
      <c r="B289" t="s">
        <v>18</v>
      </c>
      <c r="C289" t="s">
        <v>4</v>
      </c>
      <c r="D289" s="3">
        <f t="shared" si="80"/>
        <v>61</v>
      </c>
      <c r="E289" s="4">
        <f t="shared" si="81"/>
        <v>4</v>
      </c>
      <c r="F289" s="4">
        <f t="shared" si="82"/>
        <v>8</v>
      </c>
      <c r="G289" s="3">
        <f>IF(E289&gt;=20,2000,1900) + D289</f>
        <v>1961</v>
      </c>
      <c r="H289">
        <f t="shared" si="83"/>
        <v>4</v>
      </c>
      <c r="I289" s="4">
        <f t="shared" si="84"/>
        <v>8</v>
      </c>
      <c r="J289">
        <f t="shared" si="85"/>
        <v>19610408</v>
      </c>
      <c r="K289" t="str">
        <f t="shared" si="86"/>
        <v>08.04.1961</v>
      </c>
      <c r="L289" s="4">
        <f t="shared" si="87"/>
        <v>6</v>
      </c>
      <c r="M289" s="4">
        <f t="shared" si="88"/>
        <v>3</v>
      </c>
      <c r="N289" s="4">
        <f t="shared" si="89"/>
        <v>0</v>
      </c>
      <c r="O289" s="4">
        <f t="shared" si="90"/>
        <v>36</v>
      </c>
      <c r="P289" s="4">
        <f t="shared" si="91"/>
        <v>0</v>
      </c>
      <c r="Q289" s="4">
        <f t="shared" si="92"/>
        <v>24</v>
      </c>
      <c r="R289" s="4">
        <f t="shared" si="93"/>
        <v>42</v>
      </c>
      <c r="S289" s="4">
        <f t="shared" si="94"/>
        <v>81</v>
      </c>
      <c r="T289" s="4">
        <f t="shared" si="95"/>
        <v>0</v>
      </c>
      <c r="U289" s="4">
        <f t="shared" si="96"/>
        <v>0</v>
      </c>
      <c r="V289" s="8">
        <f t="shared" si="97"/>
        <v>2</v>
      </c>
      <c r="W289" s="8">
        <f t="shared" si="98"/>
        <v>8</v>
      </c>
      <c r="X289">
        <f t="shared" si="99"/>
        <v>1</v>
      </c>
    </row>
    <row r="290" spans="1:24" x14ac:dyDescent="0.25">
      <c r="A290" s="4" t="s">
        <v>316</v>
      </c>
      <c r="B290" t="s">
        <v>13</v>
      </c>
      <c r="C290" t="s">
        <v>6</v>
      </c>
      <c r="D290" s="3">
        <f t="shared" si="80"/>
        <v>56</v>
      </c>
      <c r="E290" s="4">
        <f t="shared" si="81"/>
        <v>11</v>
      </c>
      <c r="F290" s="4">
        <f t="shared" si="82"/>
        <v>24</v>
      </c>
      <c r="G290" s="3">
        <f>IF(E290&gt;=20,2000,1900) + D290</f>
        <v>1956</v>
      </c>
      <c r="H290">
        <f t="shared" si="83"/>
        <v>11</v>
      </c>
      <c r="I290" s="4">
        <f t="shared" si="84"/>
        <v>24</v>
      </c>
      <c r="J290">
        <f t="shared" si="85"/>
        <v>19561124</v>
      </c>
      <c r="K290" t="str">
        <f t="shared" si="86"/>
        <v>24.11.1956</v>
      </c>
      <c r="L290" s="4">
        <f t="shared" si="87"/>
        <v>5</v>
      </c>
      <c r="M290" s="4">
        <f t="shared" si="88"/>
        <v>18</v>
      </c>
      <c r="N290" s="4">
        <f t="shared" si="89"/>
        <v>7</v>
      </c>
      <c r="O290" s="4">
        <f t="shared" si="90"/>
        <v>9</v>
      </c>
      <c r="P290" s="4">
        <f t="shared" si="91"/>
        <v>2</v>
      </c>
      <c r="Q290" s="4">
        <f t="shared" si="92"/>
        <v>12</v>
      </c>
      <c r="R290" s="4">
        <f t="shared" si="93"/>
        <v>14</v>
      </c>
      <c r="S290" s="4">
        <f t="shared" si="94"/>
        <v>0</v>
      </c>
      <c r="T290" s="4">
        <f t="shared" si="95"/>
        <v>8</v>
      </c>
      <c r="U290" s="4">
        <f t="shared" si="96"/>
        <v>18</v>
      </c>
      <c r="V290" s="8">
        <f t="shared" si="97"/>
        <v>3</v>
      </c>
      <c r="W290" s="8">
        <f t="shared" si="98"/>
        <v>7</v>
      </c>
      <c r="X290">
        <f t="shared" si="99"/>
        <v>1</v>
      </c>
    </row>
    <row r="291" spans="1:24" x14ac:dyDescent="0.25">
      <c r="A291" s="4" t="s">
        <v>317</v>
      </c>
      <c r="B291" t="s">
        <v>7</v>
      </c>
      <c r="C291" t="s">
        <v>6</v>
      </c>
      <c r="D291" s="3">
        <f t="shared" si="80"/>
        <v>73</v>
      </c>
      <c r="E291" s="4">
        <f t="shared" si="81"/>
        <v>3</v>
      </c>
      <c r="F291" s="4">
        <f t="shared" si="82"/>
        <v>31</v>
      </c>
      <c r="G291" s="3">
        <f>IF(E291&gt;=20,2000,1900) + D291</f>
        <v>1973</v>
      </c>
      <c r="H291">
        <f t="shared" si="83"/>
        <v>3</v>
      </c>
      <c r="I291" s="4">
        <f t="shared" si="84"/>
        <v>31</v>
      </c>
      <c r="J291">
        <f t="shared" si="85"/>
        <v>19730331</v>
      </c>
      <c r="K291" t="str">
        <f t="shared" si="86"/>
        <v>31.03.1973</v>
      </c>
      <c r="L291" s="4">
        <f t="shared" si="87"/>
        <v>7</v>
      </c>
      <c r="M291" s="4">
        <f t="shared" si="88"/>
        <v>9</v>
      </c>
      <c r="N291" s="4">
        <f t="shared" si="89"/>
        <v>0</v>
      </c>
      <c r="O291" s="4">
        <f t="shared" si="90"/>
        <v>27</v>
      </c>
      <c r="P291" s="4">
        <f t="shared" si="91"/>
        <v>3</v>
      </c>
      <c r="Q291" s="4">
        <f t="shared" si="92"/>
        <v>3</v>
      </c>
      <c r="R291" s="4">
        <f t="shared" si="93"/>
        <v>21</v>
      </c>
      <c r="S291" s="4">
        <f t="shared" si="94"/>
        <v>9</v>
      </c>
      <c r="T291" s="4">
        <f t="shared" si="95"/>
        <v>9</v>
      </c>
      <c r="U291" s="4">
        <f t="shared" si="96"/>
        <v>6</v>
      </c>
      <c r="V291" s="8">
        <f t="shared" si="97"/>
        <v>4</v>
      </c>
      <c r="W291" s="8">
        <f t="shared" si="98"/>
        <v>6</v>
      </c>
      <c r="X291">
        <f t="shared" si="99"/>
        <v>1</v>
      </c>
    </row>
    <row r="292" spans="1:24" x14ac:dyDescent="0.25">
      <c r="A292" s="4" t="s">
        <v>318</v>
      </c>
      <c r="B292" t="s">
        <v>16</v>
      </c>
      <c r="C292" t="s">
        <v>4</v>
      </c>
      <c r="D292" s="3">
        <f t="shared" si="80"/>
        <v>59</v>
      </c>
      <c r="E292" s="4">
        <f t="shared" si="81"/>
        <v>7</v>
      </c>
      <c r="F292" s="4">
        <f t="shared" si="82"/>
        <v>11</v>
      </c>
      <c r="G292" s="3">
        <f>IF(E292&gt;=20,2000,1900) + D292</f>
        <v>1959</v>
      </c>
      <c r="H292">
        <f t="shared" si="83"/>
        <v>7</v>
      </c>
      <c r="I292" s="4">
        <f t="shared" si="84"/>
        <v>11</v>
      </c>
      <c r="J292">
        <f t="shared" si="85"/>
        <v>19590711</v>
      </c>
      <c r="K292" t="str">
        <f t="shared" si="86"/>
        <v>11.07.1959</v>
      </c>
      <c r="L292" s="4">
        <f t="shared" si="87"/>
        <v>5</v>
      </c>
      <c r="M292" s="4">
        <f t="shared" si="88"/>
        <v>27</v>
      </c>
      <c r="N292" s="4">
        <f t="shared" si="89"/>
        <v>0</v>
      </c>
      <c r="O292" s="4">
        <f t="shared" si="90"/>
        <v>63</v>
      </c>
      <c r="P292" s="4">
        <f t="shared" si="91"/>
        <v>1</v>
      </c>
      <c r="Q292" s="4">
        <f t="shared" si="92"/>
        <v>3</v>
      </c>
      <c r="R292" s="4">
        <f t="shared" si="93"/>
        <v>28</v>
      </c>
      <c r="S292" s="4">
        <f t="shared" si="94"/>
        <v>0</v>
      </c>
      <c r="T292" s="4">
        <f t="shared" si="95"/>
        <v>8</v>
      </c>
      <c r="U292" s="4">
        <f t="shared" si="96"/>
        <v>18</v>
      </c>
      <c r="V292" s="8">
        <f t="shared" si="97"/>
        <v>3</v>
      </c>
      <c r="W292" s="8">
        <f t="shared" si="98"/>
        <v>7</v>
      </c>
      <c r="X292">
        <f t="shared" si="99"/>
        <v>1</v>
      </c>
    </row>
    <row r="293" spans="1:24" x14ac:dyDescent="0.25">
      <c r="A293" s="4" t="s">
        <v>319</v>
      </c>
      <c r="B293" t="s">
        <v>11</v>
      </c>
      <c r="C293" t="s">
        <v>6</v>
      </c>
      <c r="D293" s="3">
        <f t="shared" si="80"/>
        <v>53</v>
      </c>
      <c r="E293" s="4">
        <f t="shared" si="81"/>
        <v>6</v>
      </c>
      <c r="F293" s="4">
        <f t="shared" si="82"/>
        <v>26</v>
      </c>
      <c r="G293" s="3">
        <f>IF(E293&gt;=20,2000,1900) + D293</f>
        <v>1953</v>
      </c>
      <c r="H293">
        <f t="shared" si="83"/>
        <v>6</v>
      </c>
      <c r="I293" s="4">
        <f t="shared" si="84"/>
        <v>26</v>
      </c>
      <c r="J293">
        <f t="shared" si="85"/>
        <v>19530626</v>
      </c>
      <c r="K293" t="str">
        <f t="shared" si="86"/>
        <v>26.06.1953</v>
      </c>
      <c r="L293" s="4">
        <f t="shared" si="87"/>
        <v>5</v>
      </c>
      <c r="M293" s="4">
        <f t="shared" si="88"/>
        <v>9</v>
      </c>
      <c r="N293" s="4">
        <f t="shared" si="89"/>
        <v>0</v>
      </c>
      <c r="O293" s="4">
        <f t="shared" si="90"/>
        <v>54</v>
      </c>
      <c r="P293" s="4">
        <f t="shared" si="91"/>
        <v>2</v>
      </c>
      <c r="Q293" s="4">
        <f t="shared" si="92"/>
        <v>18</v>
      </c>
      <c r="R293" s="4">
        <f t="shared" si="93"/>
        <v>0</v>
      </c>
      <c r="S293" s="4">
        <f t="shared" si="94"/>
        <v>0</v>
      </c>
      <c r="T293" s="4">
        <f t="shared" si="95"/>
        <v>3</v>
      </c>
      <c r="U293" s="4">
        <f t="shared" si="96"/>
        <v>27</v>
      </c>
      <c r="V293" s="8">
        <f t="shared" si="97"/>
        <v>8</v>
      </c>
      <c r="W293" s="8">
        <f t="shared" si="98"/>
        <v>2</v>
      </c>
      <c r="X293">
        <f t="shared" si="99"/>
        <v>1</v>
      </c>
    </row>
    <row r="294" spans="1:24" x14ac:dyDescent="0.25">
      <c r="A294" s="4" t="s">
        <v>320</v>
      </c>
      <c r="B294" t="s">
        <v>5</v>
      </c>
      <c r="C294" t="s">
        <v>6</v>
      </c>
      <c r="D294" s="3">
        <f t="shared" si="80"/>
        <v>94</v>
      </c>
      <c r="E294" s="4">
        <f t="shared" si="81"/>
        <v>9</v>
      </c>
      <c r="F294" s="4">
        <f t="shared" si="82"/>
        <v>17</v>
      </c>
      <c r="G294" s="3">
        <f>IF(E294&gt;=20,2000,1900) + D294</f>
        <v>1994</v>
      </c>
      <c r="H294">
        <f t="shared" si="83"/>
        <v>9</v>
      </c>
      <c r="I294" s="4">
        <f t="shared" si="84"/>
        <v>17</v>
      </c>
      <c r="J294">
        <f t="shared" si="85"/>
        <v>19940917</v>
      </c>
      <c r="K294" t="str">
        <f t="shared" si="86"/>
        <v>17.09.1994</v>
      </c>
      <c r="L294" s="4">
        <f t="shared" si="87"/>
        <v>9</v>
      </c>
      <c r="M294" s="4">
        <f t="shared" si="88"/>
        <v>12</v>
      </c>
      <c r="N294" s="4">
        <f t="shared" si="89"/>
        <v>0</v>
      </c>
      <c r="O294" s="4">
        <f t="shared" si="90"/>
        <v>81</v>
      </c>
      <c r="P294" s="4">
        <f t="shared" si="91"/>
        <v>1</v>
      </c>
      <c r="Q294" s="4">
        <f t="shared" si="92"/>
        <v>21</v>
      </c>
      <c r="R294" s="4">
        <f t="shared" si="93"/>
        <v>63</v>
      </c>
      <c r="S294" s="4">
        <f t="shared" si="94"/>
        <v>63</v>
      </c>
      <c r="T294" s="4">
        <f t="shared" si="95"/>
        <v>4</v>
      </c>
      <c r="U294" s="4">
        <f t="shared" si="96"/>
        <v>24</v>
      </c>
      <c r="V294" s="8">
        <f t="shared" si="97"/>
        <v>8</v>
      </c>
      <c r="W294" s="8">
        <f t="shared" si="98"/>
        <v>2</v>
      </c>
      <c r="X294">
        <f t="shared" si="99"/>
        <v>1</v>
      </c>
    </row>
    <row r="295" spans="1:24" x14ac:dyDescent="0.25">
      <c r="A295" s="4" t="s">
        <v>321</v>
      </c>
      <c r="B295" t="s">
        <v>18</v>
      </c>
      <c r="C295" t="s">
        <v>6</v>
      </c>
      <c r="D295" s="3">
        <f t="shared" si="80"/>
        <v>66</v>
      </c>
      <c r="E295" s="4">
        <f t="shared" si="81"/>
        <v>8</v>
      </c>
      <c r="F295" s="4">
        <f t="shared" si="82"/>
        <v>24</v>
      </c>
      <c r="G295" s="3">
        <f>IF(E295&gt;=20,2000,1900) + D295</f>
        <v>1966</v>
      </c>
      <c r="H295">
        <f t="shared" si="83"/>
        <v>8</v>
      </c>
      <c r="I295" s="4">
        <f t="shared" si="84"/>
        <v>24</v>
      </c>
      <c r="J295">
        <f t="shared" si="85"/>
        <v>19660824</v>
      </c>
      <c r="K295" t="str">
        <f t="shared" si="86"/>
        <v>24.08.1966</v>
      </c>
      <c r="L295" s="4">
        <f t="shared" si="87"/>
        <v>6</v>
      </c>
      <c r="M295" s="4">
        <f t="shared" si="88"/>
        <v>18</v>
      </c>
      <c r="N295" s="4">
        <f t="shared" si="89"/>
        <v>0</v>
      </c>
      <c r="O295" s="4">
        <f t="shared" si="90"/>
        <v>72</v>
      </c>
      <c r="P295" s="4">
        <f t="shared" si="91"/>
        <v>2</v>
      </c>
      <c r="Q295" s="4">
        <f t="shared" si="92"/>
        <v>12</v>
      </c>
      <c r="R295" s="4">
        <f t="shared" si="93"/>
        <v>21</v>
      </c>
      <c r="S295" s="4">
        <f t="shared" si="94"/>
        <v>72</v>
      </c>
      <c r="T295" s="4">
        <f t="shared" si="95"/>
        <v>0</v>
      </c>
      <c r="U295" s="4">
        <f t="shared" si="96"/>
        <v>0</v>
      </c>
      <c r="V295" s="8">
        <f t="shared" si="97"/>
        <v>3</v>
      </c>
      <c r="W295" s="8">
        <f t="shared" si="98"/>
        <v>7</v>
      </c>
      <c r="X295">
        <f t="shared" si="99"/>
        <v>1</v>
      </c>
    </row>
    <row r="296" spans="1:24" x14ac:dyDescent="0.25">
      <c r="A296" s="4" t="s">
        <v>322</v>
      </c>
      <c r="B296" t="s">
        <v>18</v>
      </c>
      <c r="C296" t="s">
        <v>4</v>
      </c>
      <c r="D296" s="3">
        <f t="shared" si="80"/>
        <v>70</v>
      </c>
      <c r="E296" s="4">
        <f t="shared" si="81"/>
        <v>12</v>
      </c>
      <c r="F296" s="4">
        <f t="shared" si="82"/>
        <v>4</v>
      </c>
      <c r="G296" s="3">
        <f>IF(E296&gt;=20,2000,1900) + D296</f>
        <v>1970</v>
      </c>
      <c r="H296">
        <f t="shared" si="83"/>
        <v>12</v>
      </c>
      <c r="I296" s="4">
        <f t="shared" si="84"/>
        <v>4</v>
      </c>
      <c r="J296">
        <f t="shared" si="85"/>
        <v>19701204</v>
      </c>
      <c r="K296" t="str">
        <f t="shared" si="86"/>
        <v>04.12.1970</v>
      </c>
      <c r="L296" s="4">
        <f t="shared" si="87"/>
        <v>7</v>
      </c>
      <c r="M296" s="4">
        <f t="shared" si="88"/>
        <v>0</v>
      </c>
      <c r="N296" s="4">
        <f t="shared" si="89"/>
        <v>7</v>
      </c>
      <c r="O296" s="4">
        <f t="shared" si="90"/>
        <v>18</v>
      </c>
      <c r="P296" s="4">
        <f t="shared" si="91"/>
        <v>0</v>
      </c>
      <c r="Q296" s="4">
        <f t="shared" si="92"/>
        <v>12</v>
      </c>
      <c r="R296" s="4">
        <f t="shared" si="93"/>
        <v>21</v>
      </c>
      <c r="S296" s="4">
        <f t="shared" si="94"/>
        <v>36</v>
      </c>
      <c r="T296" s="4">
        <f t="shared" si="95"/>
        <v>1</v>
      </c>
      <c r="U296" s="4">
        <f t="shared" si="96"/>
        <v>15</v>
      </c>
      <c r="V296" s="8">
        <f t="shared" si="97"/>
        <v>7</v>
      </c>
      <c r="W296" s="8">
        <f t="shared" si="98"/>
        <v>3</v>
      </c>
      <c r="X296">
        <f t="shared" si="99"/>
        <v>1</v>
      </c>
    </row>
    <row r="297" spans="1:24" x14ac:dyDescent="0.25">
      <c r="A297" s="4" t="s">
        <v>323</v>
      </c>
      <c r="B297" t="s">
        <v>17</v>
      </c>
      <c r="C297" t="s">
        <v>6</v>
      </c>
      <c r="D297" s="3">
        <f t="shared" si="80"/>
        <v>99</v>
      </c>
      <c r="E297" s="4">
        <f t="shared" si="81"/>
        <v>7</v>
      </c>
      <c r="F297" s="4">
        <f t="shared" si="82"/>
        <v>23</v>
      </c>
      <c r="G297" s="3">
        <f>IF(E297&gt;=20,2000,1900) + D297</f>
        <v>1999</v>
      </c>
      <c r="H297">
        <f t="shared" si="83"/>
        <v>7</v>
      </c>
      <c r="I297" s="4">
        <f t="shared" si="84"/>
        <v>23</v>
      </c>
      <c r="J297">
        <f t="shared" si="85"/>
        <v>19990723</v>
      </c>
      <c r="K297" t="str">
        <f t="shared" si="86"/>
        <v>23.07.1999</v>
      </c>
      <c r="L297" s="4">
        <f t="shared" si="87"/>
        <v>9</v>
      </c>
      <c r="M297" s="4">
        <f t="shared" si="88"/>
        <v>27</v>
      </c>
      <c r="N297" s="4">
        <f t="shared" si="89"/>
        <v>0</v>
      </c>
      <c r="O297" s="4">
        <f t="shared" si="90"/>
        <v>63</v>
      </c>
      <c r="P297" s="4">
        <f t="shared" si="91"/>
        <v>2</v>
      </c>
      <c r="Q297" s="4">
        <f t="shared" si="92"/>
        <v>9</v>
      </c>
      <c r="R297" s="4">
        <f t="shared" si="93"/>
        <v>7</v>
      </c>
      <c r="S297" s="4">
        <f t="shared" si="94"/>
        <v>27</v>
      </c>
      <c r="T297" s="4">
        <f t="shared" si="95"/>
        <v>2</v>
      </c>
      <c r="U297" s="4">
        <f t="shared" si="96"/>
        <v>27</v>
      </c>
      <c r="V297" s="8">
        <f t="shared" si="97"/>
        <v>3</v>
      </c>
      <c r="W297" s="8">
        <f t="shared" si="98"/>
        <v>7</v>
      </c>
      <c r="X297">
        <f t="shared" si="99"/>
        <v>1</v>
      </c>
    </row>
    <row r="298" spans="1:24" x14ac:dyDescent="0.25">
      <c r="A298" s="4" t="s">
        <v>324</v>
      </c>
      <c r="B298" t="s">
        <v>17</v>
      </c>
      <c r="C298" t="s">
        <v>4</v>
      </c>
      <c r="D298" s="3">
        <f t="shared" si="80"/>
        <v>52</v>
      </c>
      <c r="E298" s="4">
        <f t="shared" si="81"/>
        <v>3</v>
      </c>
      <c r="F298" s="4">
        <f t="shared" si="82"/>
        <v>21</v>
      </c>
      <c r="G298" s="3">
        <f>IF(E298&gt;=20,2000,1900) + D298</f>
        <v>1952</v>
      </c>
      <c r="H298">
        <f t="shared" si="83"/>
        <v>3</v>
      </c>
      <c r="I298" s="4">
        <f t="shared" si="84"/>
        <v>21</v>
      </c>
      <c r="J298">
        <f t="shared" si="85"/>
        <v>19520321</v>
      </c>
      <c r="K298" t="str">
        <f t="shared" si="86"/>
        <v>21.03.1952</v>
      </c>
      <c r="L298" s="4">
        <f t="shared" si="87"/>
        <v>5</v>
      </c>
      <c r="M298" s="4">
        <f t="shared" si="88"/>
        <v>6</v>
      </c>
      <c r="N298" s="4">
        <f t="shared" si="89"/>
        <v>0</v>
      </c>
      <c r="O298" s="4">
        <f t="shared" si="90"/>
        <v>27</v>
      </c>
      <c r="P298" s="4">
        <f t="shared" si="91"/>
        <v>2</v>
      </c>
      <c r="Q298" s="4">
        <f t="shared" si="92"/>
        <v>3</v>
      </c>
      <c r="R298" s="4">
        <f t="shared" si="93"/>
        <v>42</v>
      </c>
      <c r="S298" s="4">
        <f t="shared" si="94"/>
        <v>45</v>
      </c>
      <c r="T298" s="4">
        <f t="shared" si="95"/>
        <v>0</v>
      </c>
      <c r="U298" s="4">
        <f t="shared" si="96"/>
        <v>9</v>
      </c>
      <c r="V298" s="8">
        <f t="shared" si="97"/>
        <v>9</v>
      </c>
      <c r="W298" s="8">
        <f t="shared" si="98"/>
        <v>1</v>
      </c>
      <c r="X298">
        <f t="shared" si="99"/>
        <v>1</v>
      </c>
    </row>
    <row r="299" spans="1:24" x14ac:dyDescent="0.25">
      <c r="A299" s="4" t="s">
        <v>325</v>
      </c>
      <c r="B299" t="s">
        <v>3</v>
      </c>
      <c r="C299" t="s">
        <v>6</v>
      </c>
      <c r="D299" s="3">
        <f t="shared" si="80"/>
        <v>89</v>
      </c>
      <c r="E299" s="4">
        <f t="shared" si="81"/>
        <v>10</v>
      </c>
      <c r="F299" s="4">
        <f t="shared" si="82"/>
        <v>11</v>
      </c>
      <c r="G299" s="3">
        <f>IF(E299&gt;=20,2000,1900) + D299</f>
        <v>1989</v>
      </c>
      <c r="H299">
        <f t="shared" si="83"/>
        <v>10</v>
      </c>
      <c r="I299" s="4">
        <f t="shared" si="84"/>
        <v>11</v>
      </c>
      <c r="J299">
        <f t="shared" si="85"/>
        <v>19891011</v>
      </c>
      <c r="K299" t="str">
        <f t="shared" si="86"/>
        <v>11.10.1989</v>
      </c>
      <c r="L299" s="4">
        <f t="shared" si="87"/>
        <v>8</v>
      </c>
      <c r="M299" s="4">
        <f t="shared" si="88"/>
        <v>27</v>
      </c>
      <c r="N299" s="4">
        <f t="shared" si="89"/>
        <v>7</v>
      </c>
      <c r="O299" s="4">
        <f t="shared" si="90"/>
        <v>0</v>
      </c>
      <c r="P299" s="4">
        <f t="shared" si="91"/>
        <v>1</v>
      </c>
      <c r="Q299" s="4">
        <f t="shared" si="92"/>
        <v>3</v>
      </c>
      <c r="R299" s="4">
        <f t="shared" si="93"/>
        <v>28</v>
      </c>
      <c r="S299" s="4">
        <f t="shared" si="94"/>
        <v>81</v>
      </c>
      <c r="T299" s="4">
        <f t="shared" si="95"/>
        <v>3</v>
      </c>
      <c r="U299" s="4">
        <f t="shared" si="96"/>
        <v>3</v>
      </c>
      <c r="V299" s="8">
        <f t="shared" si="97"/>
        <v>1</v>
      </c>
      <c r="W299" s="8">
        <f t="shared" si="98"/>
        <v>9</v>
      </c>
      <c r="X299">
        <f t="shared" si="99"/>
        <v>1</v>
      </c>
    </row>
    <row r="300" spans="1:24" x14ac:dyDescent="0.25">
      <c r="A300" s="4" t="s">
        <v>326</v>
      </c>
      <c r="B300" t="s">
        <v>14</v>
      </c>
      <c r="C300" t="s">
        <v>6</v>
      </c>
      <c r="D300" s="3">
        <f t="shared" si="80"/>
        <v>79</v>
      </c>
      <c r="E300" s="4">
        <f t="shared" si="81"/>
        <v>8</v>
      </c>
      <c r="F300" s="4">
        <f t="shared" si="82"/>
        <v>30</v>
      </c>
      <c r="G300" s="3">
        <f>IF(E300&gt;=20,2000,1900) + D300</f>
        <v>1979</v>
      </c>
      <c r="H300">
        <f t="shared" si="83"/>
        <v>8</v>
      </c>
      <c r="I300" s="4">
        <f t="shared" si="84"/>
        <v>30</v>
      </c>
      <c r="J300">
        <f t="shared" si="85"/>
        <v>19790830</v>
      </c>
      <c r="K300" t="str">
        <f t="shared" si="86"/>
        <v>30.08.1979</v>
      </c>
      <c r="L300" s="4">
        <f t="shared" si="87"/>
        <v>7</v>
      </c>
      <c r="M300" s="4">
        <f t="shared" si="88"/>
        <v>27</v>
      </c>
      <c r="N300" s="4">
        <f t="shared" si="89"/>
        <v>0</v>
      </c>
      <c r="O300" s="4">
        <f t="shared" si="90"/>
        <v>72</v>
      </c>
      <c r="P300" s="4">
        <f t="shared" si="91"/>
        <v>3</v>
      </c>
      <c r="Q300" s="4">
        <f t="shared" si="92"/>
        <v>0</v>
      </c>
      <c r="R300" s="4">
        <f t="shared" si="93"/>
        <v>49</v>
      </c>
      <c r="S300" s="4">
        <f t="shared" si="94"/>
        <v>0</v>
      </c>
      <c r="T300" s="4">
        <f t="shared" si="95"/>
        <v>9</v>
      </c>
      <c r="U300" s="4">
        <f t="shared" si="96"/>
        <v>21</v>
      </c>
      <c r="V300" s="8">
        <f t="shared" si="97"/>
        <v>8</v>
      </c>
      <c r="W300" s="8">
        <f t="shared" si="98"/>
        <v>2</v>
      </c>
      <c r="X300">
        <f t="shared" si="99"/>
        <v>1</v>
      </c>
    </row>
    <row r="301" spans="1:24" x14ac:dyDescent="0.25">
      <c r="A301" s="4" t="s">
        <v>327</v>
      </c>
      <c r="B301" t="s">
        <v>5</v>
      </c>
      <c r="C301" t="s">
        <v>4</v>
      </c>
      <c r="D301" s="3">
        <f t="shared" si="80"/>
        <v>93</v>
      </c>
      <c r="E301" s="4">
        <f t="shared" si="81"/>
        <v>2</v>
      </c>
      <c r="F301" s="4">
        <f t="shared" si="82"/>
        <v>15</v>
      </c>
      <c r="G301" s="3">
        <f>IF(E301&gt;=20,2000,1900) + D301</f>
        <v>1993</v>
      </c>
      <c r="H301">
        <f t="shared" si="83"/>
        <v>2</v>
      </c>
      <c r="I301" s="4">
        <f t="shared" si="84"/>
        <v>15</v>
      </c>
      <c r="J301">
        <f t="shared" si="85"/>
        <v>19930215</v>
      </c>
      <c r="K301" t="str">
        <f t="shared" si="86"/>
        <v>15.02.1993</v>
      </c>
      <c r="L301" s="4">
        <f t="shared" si="87"/>
        <v>9</v>
      </c>
      <c r="M301" s="4">
        <f t="shared" si="88"/>
        <v>9</v>
      </c>
      <c r="N301" s="4">
        <f t="shared" si="89"/>
        <v>0</v>
      </c>
      <c r="O301" s="4">
        <f t="shared" si="90"/>
        <v>18</v>
      </c>
      <c r="P301" s="4">
        <f t="shared" si="91"/>
        <v>1</v>
      </c>
      <c r="Q301" s="4">
        <f t="shared" si="92"/>
        <v>15</v>
      </c>
      <c r="R301" s="4">
        <f t="shared" si="93"/>
        <v>28</v>
      </c>
      <c r="S301" s="4">
        <f t="shared" si="94"/>
        <v>36</v>
      </c>
      <c r="T301" s="4">
        <f t="shared" si="95"/>
        <v>7</v>
      </c>
      <c r="U301" s="4">
        <f t="shared" si="96"/>
        <v>15</v>
      </c>
      <c r="V301" s="8">
        <f t="shared" si="97"/>
        <v>8</v>
      </c>
      <c r="W301" s="8">
        <f t="shared" si="98"/>
        <v>2</v>
      </c>
      <c r="X301">
        <f t="shared" si="99"/>
        <v>1</v>
      </c>
    </row>
    <row r="302" spans="1:24" x14ac:dyDescent="0.25">
      <c r="A302" s="4" t="s">
        <v>328</v>
      </c>
      <c r="B302" t="s">
        <v>17</v>
      </c>
      <c r="C302" t="s">
        <v>4</v>
      </c>
      <c r="D302" s="3">
        <f t="shared" si="80"/>
        <v>92</v>
      </c>
      <c r="E302" s="4">
        <f t="shared" si="81"/>
        <v>11</v>
      </c>
      <c r="F302" s="4">
        <f t="shared" si="82"/>
        <v>24</v>
      </c>
      <c r="G302" s="3">
        <f>IF(E302&gt;=20,2000,1900) + D302</f>
        <v>1992</v>
      </c>
      <c r="H302">
        <f t="shared" si="83"/>
        <v>11</v>
      </c>
      <c r="I302" s="4">
        <f t="shared" si="84"/>
        <v>24</v>
      </c>
      <c r="J302">
        <f t="shared" si="85"/>
        <v>19921124</v>
      </c>
      <c r="K302" t="str">
        <f t="shared" si="86"/>
        <v>24.11.1992</v>
      </c>
      <c r="L302" s="4">
        <f t="shared" si="87"/>
        <v>9</v>
      </c>
      <c r="M302" s="4">
        <f t="shared" si="88"/>
        <v>6</v>
      </c>
      <c r="N302" s="4">
        <f t="shared" si="89"/>
        <v>7</v>
      </c>
      <c r="O302" s="4">
        <f t="shared" si="90"/>
        <v>9</v>
      </c>
      <c r="P302" s="4">
        <f t="shared" si="91"/>
        <v>2</v>
      </c>
      <c r="Q302" s="4">
        <f t="shared" si="92"/>
        <v>12</v>
      </c>
      <c r="R302" s="4">
        <f t="shared" si="93"/>
        <v>21</v>
      </c>
      <c r="S302" s="4">
        <f t="shared" si="94"/>
        <v>9</v>
      </c>
      <c r="T302" s="4">
        <f t="shared" si="95"/>
        <v>1</v>
      </c>
      <c r="U302" s="4">
        <f t="shared" si="96"/>
        <v>27</v>
      </c>
      <c r="V302" s="8">
        <f t="shared" si="97"/>
        <v>3</v>
      </c>
      <c r="W302" s="8">
        <f t="shared" si="98"/>
        <v>7</v>
      </c>
      <c r="X302">
        <f t="shared" si="99"/>
        <v>1</v>
      </c>
    </row>
    <row r="303" spans="1:24" x14ac:dyDescent="0.25">
      <c r="A303" s="4" t="s">
        <v>329</v>
      </c>
      <c r="B303" t="s">
        <v>20</v>
      </c>
      <c r="C303" t="s">
        <v>6</v>
      </c>
      <c r="D303" s="3">
        <f t="shared" si="80"/>
        <v>51</v>
      </c>
      <c r="E303" s="4">
        <f t="shared" si="81"/>
        <v>12</v>
      </c>
      <c r="F303" s="4">
        <f t="shared" si="82"/>
        <v>11</v>
      </c>
      <c r="G303" s="3">
        <f>IF(E303&gt;=20,2000,1900) + D303</f>
        <v>1951</v>
      </c>
      <c r="H303">
        <f t="shared" si="83"/>
        <v>12</v>
      </c>
      <c r="I303" s="4">
        <f t="shared" si="84"/>
        <v>11</v>
      </c>
      <c r="J303">
        <f t="shared" si="85"/>
        <v>19511211</v>
      </c>
      <c r="K303" t="str">
        <f t="shared" si="86"/>
        <v>11.12.1951</v>
      </c>
      <c r="L303" s="4">
        <f t="shared" si="87"/>
        <v>5</v>
      </c>
      <c r="M303" s="4">
        <f t="shared" si="88"/>
        <v>3</v>
      </c>
      <c r="N303" s="4">
        <f t="shared" si="89"/>
        <v>7</v>
      </c>
      <c r="O303" s="4">
        <f t="shared" si="90"/>
        <v>18</v>
      </c>
      <c r="P303" s="4">
        <f t="shared" si="91"/>
        <v>1</v>
      </c>
      <c r="Q303" s="4">
        <f t="shared" si="92"/>
        <v>3</v>
      </c>
      <c r="R303" s="4">
        <f t="shared" si="93"/>
        <v>28</v>
      </c>
      <c r="S303" s="4">
        <f t="shared" si="94"/>
        <v>54</v>
      </c>
      <c r="T303" s="4">
        <f t="shared" si="95"/>
        <v>9</v>
      </c>
      <c r="U303" s="4">
        <f t="shared" si="96"/>
        <v>6</v>
      </c>
      <c r="V303" s="8">
        <f t="shared" si="97"/>
        <v>4</v>
      </c>
      <c r="W303" s="8">
        <f t="shared" si="98"/>
        <v>6</v>
      </c>
      <c r="X303">
        <f t="shared" si="99"/>
        <v>1</v>
      </c>
    </row>
    <row r="304" spans="1:24" x14ac:dyDescent="0.25">
      <c r="A304" s="4" t="s">
        <v>330</v>
      </c>
      <c r="B304" t="s">
        <v>15</v>
      </c>
      <c r="C304" t="s">
        <v>6</v>
      </c>
      <c r="D304" s="3">
        <f t="shared" si="80"/>
        <v>85</v>
      </c>
      <c r="E304" s="4">
        <f t="shared" si="81"/>
        <v>11</v>
      </c>
      <c r="F304" s="4">
        <f t="shared" si="82"/>
        <v>14</v>
      </c>
      <c r="G304" s="3">
        <f>IF(E304&gt;=20,2000,1900) + D304</f>
        <v>1985</v>
      </c>
      <c r="H304">
        <f t="shared" si="83"/>
        <v>11</v>
      </c>
      <c r="I304" s="4">
        <f t="shared" si="84"/>
        <v>14</v>
      </c>
      <c r="J304">
        <f t="shared" si="85"/>
        <v>19851114</v>
      </c>
      <c r="K304" t="str">
        <f t="shared" si="86"/>
        <v>14.11.1985</v>
      </c>
      <c r="L304" s="4">
        <f t="shared" si="87"/>
        <v>8</v>
      </c>
      <c r="M304" s="4">
        <f t="shared" si="88"/>
        <v>15</v>
      </c>
      <c r="N304" s="4">
        <f t="shared" si="89"/>
        <v>7</v>
      </c>
      <c r="O304" s="4">
        <f t="shared" si="90"/>
        <v>9</v>
      </c>
      <c r="P304" s="4">
        <f t="shared" si="91"/>
        <v>1</v>
      </c>
      <c r="Q304" s="4">
        <f t="shared" si="92"/>
        <v>12</v>
      </c>
      <c r="R304" s="4">
        <f t="shared" si="93"/>
        <v>63</v>
      </c>
      <c r="S304" s="4">
        <f t="shared" si="94"/>
        <v>81</v>
      </c>
      <c r="T304" s="4">
        <f t="shared" si="95"/>
        <v>0</v>
      </c>
      <c r="U304" s="4">
        <f t="shared" si="96"/>
        <v>6</v>
      </c>
      <c r="V304" s="8">
        <f t="shared" si="97"/>
        <v>2</v>
      </c>
      <c r="W304" s="8">
        <f t="shared" si="98"/>
        <v>8</v>
      </c>
      <c r="X304">
        <f t="shared" si="99"/>
        <v>1</v>
      </c>
    </row>
    <row r="305" spans="1:24" x14ac:dyDescent="0.25">
      <c r="A305" s="4" t="s">
        <v>331</v>
      </c>
      <c r="B305" t="s">
        <v>20</v>
      </c>
      <c r="C305" t="s">
        <v>4</v>
      </c>
      <c r="D305" s="3">
        <f t="shared" si="80"/>
        <v>98</v>
      </c>
      <c r="E305" s="4">
        <f t="shared" si="81"/>
        <v>1</v>
      </c>
      <c r="F305" s="4">
        <f t="shared" si="82"/>
        <v>20</v>
      </c>
      <c r="G305" s="3">
        <f>IF(E305&gt;=20,2000,1900) + D305</f>
        <v>1998</v>
      </c>
      <c r="H305">
        <f t="shared" si="83"/>
        <v>1</v>
      </c>
      <c r="I305" s="4">
        <f t="shared" si="84"/>
        <v>20</v>
      </c>
      <c r="J305">
        <f t="shared" si="85"/>
        <v>19980120</v>
      </c>
      <c r="K305" t="str">
        <f t="shared" si="86"/>
        <v>20.01.1998</v>
      </c>
      <c r="L305" s="4">
        <f t="shared" si="87"/>
        <v>9</v>
      </c>
      <c r="M305" s="4">
        <f t="shared" si="88"/>
        <v>24</v>
      </c>
      <c r="N305" s="4">
        <f t="shared" si="89"/>
        <v>0</v>
      </c>
      <c r="O305" s="4">
        <f t="shared" si="90"/>
        <v>9</v>
      </c>
      <c r="P305" s="4">
        <f t="shared" si="91"/>
        <v>2</v>
      </c>
      <c r="Q305" s="4">
        <f t="shared" si="92"/>
        <v>0</v>
      </c>
      <c r="R305" s="4">
        <f t="shared" si="93"/>
        <v>28</v>
      </c>
      <c r="S305" s="4">
        <f t="shared" si="94"/>
        <v>18</v>
      </c>
      <c r="T305" s="4">
        <f t="shared" si="95"/>
        <v>0</v>
      </c>
      <c r="U305" s="4">
        <f t="shared" si="96"/>
        <v>12</v>
      </c>
      <c r="V305" s="8">
        <f t="shared" si="97"/>
        <v>2</v>
      </c>
      <c r="W305" s="8">
        <f t="shared" si="98"/>
        <v>8</v>
      </c>
      <c r="X305">
        <f t="shared" si="99"/>
        <v>1</v>
      </c>
    </row>
    <row r="306" spans="1:24" x14ac:dyDescent="0.25">
      <c r="A306" s="4" t="s">
        <v>332</v>
      </c>
      <c r="B306" t="s">
        <v>15</v>
      </c>
      <c r="C306" t="s">
        <v>4</v>
      </c>
      <c r="D306" s="3">
        <f t="shared" si="80"/>
        <v>72</v>
      </c>
      <c r="E306" s="4">
        <f t="shared" si="81"/>
        <v>7</v>
      </c>
      <c r="F306" s="4">
        <f t="shared" si="82"/>
        <v>10</v>
      </c>
      <c r="G306" s="3">
        <f>IF(E306&gt;=20,2000,1900) + D306</f>
        <v>1972</v>
      </c>
      <c r="H306">
        <f t="shared" si="83"/>
        <v>7</v>
      </c>
      <c r="I306" s="4">
        <f t="shared" si="84"/>
        <v>10</v>
      </c>
      <c r="J306">
        <f t="shared" si="85"/>
        <v>19720710</v>
      </c>
      <c r="K306" t="str">
        <f t="shared" si="86"/>
        <v>10.07.1972</v>
      </c>
      <c r="L306" s="4">
        <f t="shared" si="87"/>
        <v>7</v>
      </c>
      <c r="M306" s="4">
        <f t="shared" si="88"/>
        <v>6</v>
      </c>
      <c r="N306" s="4">
        <f t="shared" si="89"/>
        <v>0</v>
      </c>
      <c r="O306" s="4">
        <f t="shared" si="90"/>
        <v>63</v>
      </c>
      <c r="P306" s="4">
        <f t="shared" si="91"/>
        <v>1</v>
      </c>
      <c r="Q306" s="4">
        <f t="shared" si="92"/>
        <v>0</v>
      </c>
      <c r="R306" s="4">
        <f t="shared" si="93"/>
        <v>63</v>
      </c>
      <c r="S306" s="4">
        <f t="shared" si="94"/>
        <v>27</v>
      </c>
      <c r="T306" s="4">
        <f t="shared" si="95"/>
        <v>8</v>
      </c>
      <c r="U306" s="4">
        <f t="shared" si="96"/>
        <v>6</v>
      </c>
      <c r="V306" s="8">
        <f t="shared" si="97"/>
        <v>1</v>
      </c>
      <c r="W306" s="8">
        <f t="shared" si="98"/>
        <v>9</v>
      </c>
      <c r="X306">
        <f t="shared" si="99"/>
        <v>1</v>
      </c>
    </row>
    <row r="307" spans="1:24" x14ac:dyDescent="0.25">
      <c r="A307" s="4" t="s">
        <v>333</v>
      </c>
      <c r="B307" t="s">
        <v>10</v>
      </c>
      <c r="C307" t="s">
        <v>4</v>
      </c>
      <c r="D307" s="3">
        <f t="shared" si="80"/>
        <v>69</v>
      </c>
      <c r="E307" s="4">
        <f t="shared" si="81"/>
        <v>4</v>
      </c>
      <c r="F307" s="4">
        <f t="shared" si="82"/>
        <v>9</v>
      </c>
      <c r="G307" s="3">
        <f>IF(E307&gt;=20,2000,1900) + D307</f>
        <v>1969</v>
      </c>
      <c r="H307">
        <f t="shared" si="83"/>
        <v>4</v>
      </c>
      <c r="I307" s="4">
        <f t="shared" si="84"/>
        <v>9</v>
      </c>
      <c r="J307">
        <f t="shared" si="85"/>
        <v>19690409</v>
      </c>
      <c r="K307" t="str">
        <f t="shared" si="86"/>
        <v>09.04.1969</v>
      </c>
      <c r="L307" s="4">
        <f t="shared" si="87"/>
        <v>6</v>
      </c>
      <c r="M307" s="4">
        <f t="shared" si="88"/>
        <v>27</v>
      </c>
      <c r="N307" s="4">
        <f t="shared" si="89"/>
        <v>0</v>
      </c>
      <c r="O307" s="4">
        <f t="shared" si="90"/>
        <v>36</v>
      </c>
      <c r="P307" s="4">
        <f t="shared" si="91"/>
        <v>0</v>
      </c>
      <c r="Q307" s="4">
        <f t="shared" si="92"/>
        <v>27</v>
      </c>
      <c r="R307" s="4">
        <f t="shared" si="93"/>
        <v>35</v>
      </c>
      <c r="S307" s="4">
        <f t="shared" si="94"/>
        <v>72</v>
      </c>
      <c r="T307" s="4">
        <f t="shared" si="95"/>
        <v>5</v>
      </c>
      <c r="U307" s="4">
        <f t="shared" si="96"/>
        <v>21</v>
      </c>
      <c r="V307" s="8">
        <f t="shared" si="97"/>
        <v>9</v>
      </c>
      <c r="W307" s="8">
        <f t="shared" si="98"/>
        <v>1</v>
      </c>
      <c r="X307">
        <f t="shared" si="99"/>
        <v>1</v>
      </c>
    </row>
    <row r="308" spans="1:24" x14ac:dyDescent="0.25">
      <c r="A308" s="4" t="s">
        <v>334</v>
      </c>
      <c r="B308" t="s">
        <v>5</v>
      </c>
      <c r="C308" t="s">
        <v>4</v>
      </c>
      <c r="D308" s="3">
        <f t="shared" si="80"/>
        <v>69</v>
      </c>
      <c r="E308" s="4">
        <f t="shared" si="81"/>
        <v>9</v>
      </c>
      <c r="F308" s="4">
        <f t="shared" si="82"/>
        <v>4</v>
      </c>
      <c r="G308" s="3">
        <f>IF(E308&gt;=20,2000,1900) + D308</f>
        <v>1969</v>
      </c>
      <c r="H308">
        <f t="shared" si="83"/>
        <v>9</v>
      </c>
      <c r="I308" s="4">
        <f t="shared" si="84"/>
        <v>4</v>
      </c>
      <c r="J308">
        <f t="shared" si="85"/>
        <v>19690904</v>
      </c>
      <c r="K308" t="str">
        <f t="shared" si="86"/>
        <v>04.09.1969</v>
      </c>
      <c r="L308" s="4">
        <f t="shared" si="87"/>
        <v>6</v>
      </c>
      <c r="M308" s="4">
        <f t="shared" si="88"/>
        <v>27</v>
      </c>
      <c r="N308" s="4">
        <f t="shared" si="89"/>
        <v>0</v>
      </c>
      <c r="O308" s="4">
        <f t="shared" si="90"/>
        <v>81</v>
      </c>
      <c r="P308" s="4">
        <f t="shared" si="91"/>
        <v>0</v>
      </c>
      <c r="Q308" s="4">
        <f t="shared" si="92"/>
        <v>12</v>
      </c>
      <c r="R308" s="4">
        <f t="shared" si="93"/>
        <v>49</v>
      </c>
      <c r="S308" s="4">
        <f t="shared" si="94"/>
        <v>9</v>
      </c>
      <c r="T308" s="4">
        <f t="shared" si="95"/>
        <v>6</v>
      </c>
      <c r="U308" s="4">
        <f t="shared" si="96"/>
        <v>3</v>
      </c>
      <c r="V308" s="8">
        <f t="shared" si="97"/>
        <v>3</v>
      </c>
      <c r="W308" s="8">
        <f t="shared" si="98"/>
        <v>7</v>
      </c>
      <c r="X308">
        <f t="shared" si="99"/>
        <v>1</v>
      </c>
    </row>
    <row r="309" spans="1:24" x14ac:dyDescent="0.25">
      <c r="A309" s="4" t="s">
        <v>335</v>
      </c>
      <c r="B309" t="s">
        <v>19</v>
      </c>
      <c r="C309" t="s">
        <v>4</v>
      </c>
      <c r="D309" s="3">
        <f t="shared" si="80"/>
        <v>50</v>
      </c>
      <c r="E309" s="4">
        <f t="shared" si="81"/>
        <v>6</v>
      </c>
      <c r="F309" s="4">
        <f t="shared" si="82"/>
        <v>21</v>
      </c>
      <c r="G309" s="3">
        <f>IF(E309&gt;=20,2000,1900) + D309</f>
        <v>1950</v>
      </c>
      <c r="H309">
        <f t="shared" si="83"/>
        <v>6</v>
      </c>
      <c r="I309" s="4">
        <f t="shared" si="84"/>
        <v>21</v>
      </c>
      <c r="J309">
        <f t="shared" si="85"/>
        <v>19500621</v>
      </c>
      <c r="K309" t="str">
        <f t="shared" si="86"/>
        <v>21.06.1950</v>
      </c>
      <c r="L309" s="4">
        <f t="shared" si="87"/>
        <v>5</v>
      </c>
      <c r="M309" s="4">
        <f t="shared" si="88"/>
        <v>0</v>
      </c>
      <c r="N309" s="4">
        <f t="shared" si="89"/>
        <v>0</v>
      </c>
      <c r="O309" s="4">
        <f t="shared" si="90"/>
        <v>54</v>
      </c>
      <c r="P309" s="4">
        <f t="shared" si="91"/>
        <v>2</v>
      </c>
      <c r="Q309" s="4">
        <f t="shared" si="92"/>
        <v>3</v>
      </c>
      <c r="R309" s="4">
        <f t="shared" si="93"/>
        <v>35</v>
      </c>
      <c r="S309" s="4">
        <f t="shared" si="94"/>
        <v>9</v>
      </c>
      <c r="T309" s="4">
        <f t="shared" si="95"/>
        <v>3</v>
      </c>
      <c r="U309" s="4">
        <f t="shared" si="96"/>
        <v>9</v>
      </c>
      <c r="V309" s="8">
        <f t="shared" si="97"/>
        <v>0</v>
      </c>
      <c r="W309" s="8">
        <f t="shared" si="98"/>
        <v>0</v>
      </c>
      <c r="X309">
        <f t="shared" si="99"/>
        <v>0</v>
      </c>
    </row>
    <row r="310" spans="1:24" x14ac:dyDescent="0.25">
      <c r="A310" s="4" t="s">
        <v>336</v>
      </c>
      <c r="B310" t="s">
        <v>14</v>
      </c>
      <c r="C310" t="s">
        <v>6</v>
      </c>
      <c r="D310" s="3">
        <f t="shared" si="80"/>
        <v>96</v>
      </c>
      <c r="E310" s="4">
        <f t="shared" si="81"/>
        <v>12</v>
      </c>
      <c r="F310" s="4">
        <f t="shared" si="82"/>
        <v>30</v>
      </c>
      <c r="G310" s="3">
        <f>IF(E310&gt;=20,2000,1900) + D310</f>
        <v>1996</v>
      </c>
      <c r="H310">
        <f t="shared" si="83"/>
        <v>12</v>
      </c>
      <c r="I310" s="4">
        <f t="shared" si="84"/>
        <v>30</v>
      </c>
      <c r="J310">
        <f t="shared" si="85"/>
        <v>19961230</v>
      </c>
      <c r="K310" t="str">
        <f t="shared" si="86"/>
        <v>30.12.1996</v>
      </c>
      <c r="L310" s="4">
        <f t="shared" si="87"/>
        <v>9</v>
      </c>
      <c r="M310" s="4">
        <f t="shared" si="88"/>
        <v>18</v>
      </c>
      <c r="N310" s="4">
        <f t="shared" si="89"/>
        <v>7</v>
      </c>
      <c r="O310" s="4">
        <f t="shared" si="90"/>
        <v>18</v>
      </c>
      <c r="P310" s="4">
        <f t="shared" si="91"/>
        <v>3</v>
      </c>
      <c r="Q310" s="4">
        <f t="shared" si="92"/>
        <v>0</v>
      </c>
      <c r="R310" s="4">
        <f t="shared" si="93"/>
        <v>21</v>
      </c>
      <c r="S310" s="4">
        <f t="shared" si="94"/>
        <v>63</v>
      </c>
      <c r="T310" s="4">
        <f t="shared" si="95"/>
        <v>6</v>
      </c>
      <c r="U310" s="4">
        <f t="shared" si="96"/>
        <v>0</v>
      </c>
      <c r="V310" s="8">
        <f t="shared" si="97"/>
        <v>5</v>
      </c>
      <c r="W310" s="8">
        <f t="shared" si="98"/>
        <v>5</v>
      </c>
      <c r="X310">
        <f t="shared" si="99"/>
        <v>1</v>
      </c>
    </row>
    <row r="311" spans="1:24" x14ac:dyDescent="0.25">
      <c r="A311" s="4" t="s">
        <v>337</v>
      </c>
      <c r="B311" t="s">
        <v>11</v>
      </c>
      <c r="C311" t="s">
        <v>4</v>
      </c>
      <c r="D311" s="3">
        <f t="shared" si="80"/>
        <v>50</v>
      </c>
      <c r="E311" s="4">
        <f t="shared" si="81"/>
        <v>4</v>
      </c>
      <c r="F311" s="4">
        <f t="shared" si="82"/>
        <v>7</v>
      </c>
      <c r="G311" s="3">
        <f>IF(E311&gt;=20,2000,1900) + D311</f>
        <v>1950</v>
      </c>
      <c r="H311">
        <f t="shared" si="83"/>
        <v>4</v>
      </c>
      <c r="I311" s="4">
        <f t="shared" si="84"/>
        <v>7</v>
      </c>
      <c r="J311">
        <f t="shared" si="85"/>
        <v>19500407</v>
      </c>
      <c r="K311" t="str">
        <f t="shared" si="86"/>
        <v>07.04.1950</v>
      </c>
      <c r="L311" s="4">
        <f t="shared" si="87"/>
        <v>5</v>
      </c>
      <c r="M311" s="4">
        <f t="shared" si="88"/>
        <v>0</v>
      </c>
      <c r="N311" s="4">
        <f t="shared" si="89"/>
        <v>0</v>
      </c>
      <c r="O311" s="4">
        <f t="shared" si="90"/>
        <v>36</v>
      </c>
      <c r="P311" s="4">
        <f t="shared" si="91"/>
        <v>0</v>
      </c>
      <c r="Q311" s="4">
        <f t="shared" si="92"/>
        <v>21</v>
      </c>
      <c r="R311" s="4">
        <f t="shared" si="93"/>
        <v>21</v>
      </c>
      <c r="S311" s="4">
        <f t="shared" si="94"/>
        <v>9</v>
      </c>
      <c r="T311" s="4">
        <f t="shared" si="95"/>
        <v>1</v>
      </c>
      <c r="U311" s="4">
        <f t="shared" si="96"/>
        <v>3</v>
      </c>
      <c r="V311" s="8">
        <f t="shared" si="97"/>
        <v>6</v>
      </c>
      <c r="W311" s="8">
        <f t="shared" si="98"/>
        <v>4</v>
      </c>
      <c r="X311">
        <f t="shared" si="99"/>
        <v>1</v>
      </c>
    </row>
    <row r="312" spans="1:24" x14ac:dyDescent="0.25">
      <c r="A312" s="4" t="s">
        <v>338</v>
      </c>
      <c r="B312" t="s">
        <v>19</v>
      </c>
      <c r="C312" t="s">
        <v>4</v>
      </c>
      <c r="D312" s="3">
        <f t="shared" si="80"/>
        <v>86</v>
      </c>
      <c r="E312" s="4">
        <f t="shared" si="81"/>
        <v>6</v>
      </c>
      <c r="F312" s="4">
        <f t="shared" si="82"/>
        <v>30</v>
      </c>
      <c r="G312" s="3">
        <f>IF(E312&gt;=20,2000,1900) + D312</f>
        <v>1986</v>
      </c>
      <c r="H312">
        <f t="shared" si="83"/>
        <v>6</v>
      </c>
      <c r="I312" s="4">
        <f t="shared" si="84"/>
        <v>30</v>
      </c>
      <c r="J312">
        <f t="shared" si="85"/>
        <v>19860630</v>
      </c>
      <c r="K312" t="str">
        <f t="shared" si="86"/>
        <v>30.06.1986</v>
      </c>
      <c r="L312" s="4">
        <f t="shared" si="87"/>
        <v>8</v>
      </c>
      <c r="M312" s="4">
        <f t="shared" si="88"/>
        <v>18</v>
      </c>
      <c r="N312" s="4">
        <f t="shared" si="89"/>
        <v>0</v>
      </c>
      <c r="O312" s="4">
        <f t="shared" si="90"/>
        <v>54</v>
      </c>
      <c r="P312" s="4">
        <f t="shared" si="91"/>
        <v>3</v>
      </c>
      <c r="Q312" s="4">
        <f t="shared" si="92"/>
        <v>0</v>
      </c>
      <c r="R312" s="4">
        <f t="shared" si="93"/>
        <v>42</v>
      </c>
      <c r="S312" s="4">
        <f t="shared" si="94"/>
        <v>63</v>
      </c>
      <c r="T312" s="4">
        <f t="shared" si="95"/>
        <v>8</v>
      </c>
      <c r="U312" s="4">
        <f t="shared" si="96"/>
        <v>0</v>
      </c>
      <c r="V312" s="8">
        <f t="shared" si="97"/>
        <v>6</v>
      </c>
      <c r="W312" s="8">
        <f t="shared" si="98"/>
        <v>4</v>
      </c>
      <c r="X312">
        <f t="shared" si="99"/>
        <v>1</v>
      </c>
    </row>
    <row r="313" spans="1:24" x14ac:dyDescent="0.25">
      <c r="A313" s="4" t="s">
        <v>339</v>
      </c>
      <c r="B313" t="s">
        <v>17</v>
      </c>
      <c r="C313" t="s">
        <v>4</v>
      </c>
      <c r="D313" s="3">
        <f t="shared" si="80"/>
        <v>64</v>
      </c>
      <c r="E313" s="4">
        <f t="shared" si="81"/>
        <v>7</v>
      </c>
      <c r="F313" s="4">
        <f t="shared" si="82"/>
        <v>5</v>
      </c>
      <c r="G313" s="3">
        <f>IF(E313&gt;=20,2000,1900) + D313</f>
        <v>1964</v>
      </c>
      <c r="H313">
        <f t="shared" si="83"/>
        <v>7</v>
      </c>
      <c r="I313" s="4">
        <f t="shared" si="84"/>
        <v>5</v>
      </c>
      <c r="J313">
        <f t="shared" si="85"/>
        <v>19640705</v>
      </c>
      <c r="K313" t="str">
        <f t="shared" si="86"/>
        <v>05.07.1964</v>
      </c>
      <c r="L313" s="4">
        <f t="shared" si="87"/>
        <v>6</v>
      </c>
      <c r="M313" s="4">
        <f t="shared" si="88"/>
        <v>12</v>
      </c>
      <c r="N313" s="4">
        <f t="shared" si="89"/>
        <v>0</v>
      </c>
      <c r="O313" s="4">
        <f t="shared" si="90"/>
        <v>63</v>
      </c>
      <c r="P313" s="4">
        <f t="shared" si="91"/>
        <v>0</v>
      </c>
      <c r="Q313" s="4">
        <f t="shared" si="92"/>
        <v>15</v>
      </c>
      <c r="R313" s="4">
        <f t="shared" si="93"/>
        <v>14</v>
      </c>
      <c r="S313" s="4">
        <f t="shared" si="94"/>
        <v>27</v>
      </c>
      <c r="T313" s="4">
        <f t="shared" si="95"/>
        <v>7</v>
      </c>
      <c r="U313" s="4">
        <f t="shared" si="96"/>
        <v>18</v>
      </c>
      <c r="V313" s="8">
        <f t="shared" si="97"/>
        <v>2</v>
      </c>
      <c r="W313" s="8">
        <f t="shared" si="98"/>
        <v>8</v>
      </c>
      <c r="X313">
        <f t="shared" si="99"/>
        <v>1</v>
      </c>
    </row>
    <row r="314" spans="1:24" x14ac:dyDescent="0.25">
      <c r="A314" s="4" t="s">
        <v>340</v>
      </c>
      <c r="B314" t="s">
        <v>12</v>
      </c>
      <c r="C314" t="s">
        <v>4</v>
      </c>
      <c r="D314" s="3">
        <f t="shared" si="80"/>
        <v>61</v>
      </c>
      <c r="E314" s="4">
        <f t="shared" si="81"/>
        <v>11</v>
      </c>
      <c r="F314" s="4">
        <f t="shared" si="82"/>
        <v>14</v>
      </c>
      <c r="G314" s="3">
        <f>IF(E314&gt;=20,2000,1900) + D314</f>
        <v>1961</v>
      </c>
      <c r="H314">
        <f t="shared" si="83"/>
        <v>11</v>
      </c>
      <c r="I314" s="4">
        <f t="shared" si="84"/>
        <v>14</v>
      </c>
      <c r="J314">
        <f t="shared" si="85"/>
        <v>19611114</v>
      </c>
      <c r="K314" t="str">
        <f t="shared" si="86"/>
        <v>14.11.1961</v>
      </c>
      <c r="L314" s="4">
        <f t="shared" si="87"/>
        <v>6</v>
      </c>
      <c r="M314" s="4">
        <f t="shared" si="88"/>
        <v>3</v>
      </c>
      <c r="N314" s="4">
        <f t="shared" si="89"/>
        <v>7</v>
      </c>
      <c r="O314" s="4">
        <f t="shared" si="90"/>
        <v>9</v>
      </c>
      <c r="P314" s="4">
        <f t="shared" si="91"/>
        <v>1</v>
      </c>
      <c r="Q314" s="4">
        <f t="shared" si="92"/>
        <v>12</v>
      </c>
      <c r="R314" s="4">
        <f t="shared" si="93"/>
        <v>56</v>
      </c>
      <c r="S314" s="4">
        <f t="shared" si="94"/>
        <v>63</v>
      </c>
      <c r="T314" s="4">
        <f t="shared" si="95"/>
        <v>1</v>
      </c>
      <c r="U314" s="4">
        <f t="shared" si="96"/>
        <v>12</v>
      </c>
      <c r="V314" s="8">
        <f t="shared" si="97"/>
        <v>0</v>
      </c>
      <c r="W314" s="8">
        <f t="shared" si="98"/>
        <v>0</v>
      </c>
      <c r="X314">
        <f t="shared" si="99"/>
        <v>1</v>
      </c>
    </row>
    <row r="315" spans="1:24" x14ac:dyDescent="0.25">
      <c r="A315" s="4" t="s">
        <v>341</v>
      </c>
      <c r="B315" t="s">
        <v>5</v>
      </c>
      <c r="C315" t="s">
        <v>6</v>
      </c>
      <c r="D315" s="3">
        <f t="shared" si="80"/>
        <v>55</v>
      </c>
      <c r="E315" s="4">
        <f t="shared" si="81"/>
        <v>8</v>
      </c>
      <c r="F315" s="4">
        <f t="shared" si="82"/>
        <v>14</v>
      </c>
      <c r="G315" s="3">
        <f>IF(E315&gt;=20,2000,1900) + D315</f>
        <v>1955</v>
      </c>
      <c r="H315">
        <f t="shared" si="83"/>
        <v>8</v>
      </c>
      <c r="I315" s="4">
        <f t="shared" si="84"/>
        <v>14</v>
      </c>
      <c r="J315">
        <f t="shared" si="85"/>
        <v>19550814</v>
      </c>
      <c r="K315" t="str">
        <f t="shared" si="86"/>
        <v>14.08.1955</v>
      </c>
      <c r="L315" s="4">
        <f t="shared" si="87"/>
        <v>5</v>
      </c>
      <c r="M315" s="4">
        <f t="shared" si="88"/>
        <v>15</v>
      </c>
      <c r="N315" s="4">
        <f t="shared" si="89"/>
        <v>0</v>
      </c>
      <c r="O315" s="4">
        <f t="shared" si="90"/>
        <v>72</v>
      </c>
      <c r="P315" s="4">
        <f t="shared" si="91"/>
        <v>1</v>
      </c>
      <c r="Q315" s="4">
        <f t="shared" si="92"/>
        <v>12</v>
      </c>
      <c r="R315" s="4">
        <f t="shared" si="93"/>
        <v>0</v>
      </c>
      <c r="S315" s="4">
        <f t="shared" si="94"/>
        <v>18</v>
      </c>
      <c r="T315" s="4">
        <f t="shared" si="95"/>
        <v>3</v>
      </c>
      <c r="U315" s="4">
        <f t="shared" si="96"/>
        <v>18</v>
      </c>
      <c r="V315" s="8">
        <f t="shared" si="97"/>
        <v>4</v>
      </c>
      <c r="W315" s="8">
        <f t="shared" si="98"/>
        <v>6</v>
      </c>
      <c r="X315">
        <f t="shared" si="99"/>
        <v>1</v>
      </c>
    </row>
    <row r="316" spans="1:24" x14ac:dyDescent="0.25">
      <c r="A316" s="4" t="s">
        <v>342</v>
      </c>
      <c r="B316" t="s">
        <v>5</v>
      </c>
      <c r="C316" t="s">
        <v>6</v>
      </c>
      <c r="D316" s="3">
        <f t="shared" si="80"/>
        <v>68</v>
      </c>
      <c r="E316" s="4">
        <f t="shared" si="81"/>
        <v>10</v>
      </c>
      <c r="F316" s="4">
        <f t="shared" si="82"/>
        <v>14</v>
      </c>
      <c r="G316" s="3">
        <f>IF(E316&gt;=20,2000,1900) + D316</f>
        <v>1968</v>
      </c>
      <c r="H316">
        <f t="shared" si="83"/>
        <v>10</v>
      </c>
      <c r="I316" s="4">
        <f t="shared" si="84"/>
        <v>14</v>
      </c>
      <c r="J316">
        <f t="shared" si="85"/>
        <v>19681014</v>
      </c>
      <c r="K316" t="str">
        <f t="shared" si="86"/>
        <v>14.10.1968</v>
      </c>
      <c r="L316" s="4">
        <f t="shared" si="87"/>
        <v>6</v>
      </c>
      <c r="M316" s="4">
        <f t="shared" si="88"/>
        <v>24</v>
      </c>
      <c r="N316" s="4">
        <f t="shared" si="89"/>
        <v>7</v>
      </c>
      <c r="O316" s="4">
        <f t="shared" si="90"/>
        <v>0</v>
      </c>
      <c r="P316" s="4">
        <f t="shared" si="91"/>
        <v>1</v>
      </c>
      <c r="Q316" s="4">
        <f t="shared" si="92"/>
        <v>12</v>
      </c>
      <c r="R316" s="4">
        <f t="shared" si="93"/>
        <v>56</v>
      </c>
      <c r="S316" s="4">
        <f t="shared" si="94"/>
        <v>36</v>
      </c>
      <c r="T316" s="4">
        <f t="shared" si="95"/>
        <v>6</v>
      </c>
      <c r="U316" s="4">
        <f t="shared" si="96"/>
        <v>24</v>
      </c>
      <c r="V316" s="8">
        <f t="shared" si="97"/>
        <v>2</v>
      </c>
      <c r="W316" s="8">
        <f t="shared" si="98"/>
        <v>8</v>
      </c>
      <c r="X316">
        <f t="shared" si="99"/>
        <v>1</v>
      </c>
    </row>
    <row r="317" spans="1:24" x14ac:dyDescent="0.25">
      <c r="A317" s="4" t="s">
        <v>343</v>
      </c>
      <c r="B317" t="s">
        <v>17</v>
      </c>
      <c r="C317" t="s">
        <v>6</v>
      </c>
      <c r="D317" s="3">
        <f t="shared" si="80"/>
        <v>96</v>
      </c>
      <c r="E317" s="4">
        <f t="shared" si="81"/>
        <v>7</v>
      </c>
      <c r="F317" s="4">
        <f t="shared" si="82"/>
        <v>21</v>
      </c>
      <c r="G317" s="3">
        <f>IF(E317&gt;=20,2000,1900) + D317</f>
        <v>1996</v>
      </c>
      <c r="H317">
        <f t="shared" si="83"/>
        <v>7</v>
      </c>
      <c r="I317" s="4">
        <f t="shared" si="84"/>
        <v>21</v>
      </c>
      <c r="J317">
        <f t="shared" si="85"/>
        <v>19960721</v>
      </c>
      <c r="K317" t="str">
        <f t="shared" si="86"/>
        <v>21.07.1996</v>
      </c>
      <c r="L317" s="4">
        <f t="shared" si="87"/>
        <v>9</v>
      </c>
      <c r="M317" s="4">
        <f t="shared" si="88"/>
        <v>18</v>
      </c>
      <c r="N317" s="4">
        <f t="shared" si="89"/>
        <v>0</v>
      </c>
      <c r="O317" s="4">
        <f t="shared" si="90"/>
        <v>63</v>
      </c>
      <c r="P317" s="4">
        <f t="shared" si="91"/>
        <v>2</v>
      </c>
      <c r="Q317" s="4">
        <f t="shared" si="92"/>
        <v>3</v>
      </c>
      <c r="R317" s="4">
        <f t="shared" si="93"/>
        <v>0</v>
      </c>
      <c r="S317" s="4">
        <f t="shared" si="94"/>
        <v>9</v>
      </c>
      <c r="T317" s="4">
        <f t="shared" si="95"/>
        <v>6</v>
      </c>
      <c r="U317" s="4">
        <f t="shared" si="96"/>
        <v>6</v>
      </c>
      <c r="V317" s="8">
        <f t="shared" si="97"/>
        <v>6</v>
      </c>
      <c r="W317" s="8">
        <f t="shared" si="98"/>
        <v>4</v>
      </c>
      <c r="X317">
        <f t="shared" si="99"/>
        <v>1</v>
      </c>
    </row>
    <row r="318" spans="1:24" x14ac:dyDescent="0.25">
      <c r="A318" s="4" t="s">
        <v>344</v>
      </c>
      <c r="B318" t="s">
        <v>8</v>
      </c>
      <c r="C318" t="s">
        <v>6</v>
      </c>
      <c r="D318" s="3">
        <f t="shared" si="80"/>
        <v>53</v>
      </c>
      <c r="E318" s="4">
        <f t="shared" si="81"/>
        <v>11</v>
      </c>
      <c r="F318" s="4">
        <f t="shared" si="82"/>
        <v>13</v>
      </c>
      <c r="G318" s="3">
        <f>IF(E318&gt;=20,2000,1900) + D318</f>
        <v>1953</v>
      </c>
      <c r="H318">
        <f t="shared" si="83"/>
        <v>11</v>
      </c>
      <c r="I318" s="4">
        <f t="shared" si="84"/>
        <v>13</v>
      </c>
      <c r="J318">
        <f t="shared" si="85"/>
        <v>19531113</v>
      </c>
      <c r="K318" t="str">
        <f t="shared" si="86"/>
        <v>13.11.1953</v>
      </c>
      <c r="L318" s="4">
        <f t="shared" si="87"/>
        <v>5</v>
      </c>
      <c r="M318" s="4">
        <f t="shared" si="88"/>
        <v>9</v>
      </c>
      <c r="N318" s="4">
        <f t="shared" si="89"/>
        <v>7</v>
      </c>
      <c r="O318" s="4">
        <f t="shared" si="90"/>
        <v>9</v>
      </c>
      <c r="P318" s="4">
        <f t="shared" si="91"/>
        <v>1</v>
      </c>
      <c r="Q318" s="4">
        <f t="shared" si="92"/>
        <v>9</v>
      </c>
      <c r="R318" s="4">
        <f t="shared" si="93"/>
        <v>49</v>
      </c>
      <c r="S318" s="4">
        <f t="shared" si="94"/>
        <v>18</v>
      </c>
      <c r="T318" s="4">
        <f t="shared" si="95"/>
        <v>8</v>
      </c>
      <c r="U318" s="4">
        <f t="shared" si="96"/>
        <v>9</v>
      </c>
      <c r="V318" s="8">
        <f t="shared" si="97"/>
        <v>4</v>
      </c>
      <c r="W318" s="8">
        <f t="shared" si="98"/>
        <v>6</v>
      </c>
      <c r="X318">
        <f t="shared" si="99"/>
        <v>1</v>
      </c>
    </row>
    <row r="319" spans="1:24" x14ac:dyDescent="0.25">
      <c r="A319" s="4" t="s">
        <v>345</v>
      </c>
      <c r="B319" t="s">
        <v>5</v>
      </c>
      <c r="C319" t="s">
        <v>6</v>
      </c>
      <c r="D319" s="3">
        <f t="shared" si="80"/>
        <v>66</v>
      </c>
      <c r="E319" s="4">
        <f t="shared" si="81"/>
        <v>5</v>
      </c>
      <c r="F319" s="4">
        <f t="shared" si="82"/>
        <v>4</v>
      </c>
      <c r="G319" s="3">
        <f>IF(E319&gt;=20,2000,1900) + D319</f>
        <v>1966</v>
      </c>
      <c r="H319">
        <f t="shared" si="83"/>
        <v>5</v>
      </c>
      <c r="I319" s="4">
        <f t="shared" si="84"/>
        <v>4</v>
      </c>
      <c r="J319">
        <f t="shared" si="85"/>
        <v>19660504</v>
      </c>
      <c r="K319" t="str">
        <f t="shared" si="86"/>
        <v>04.05.1966</v>
      </c>
      <c r="L319" s="4">
        <f t="shared" si="87"/>
        <v>6</v>
      </c>
      <c r="M319" s="4">
        <f t="shared" si="88"/>
        <v>18</v>
      </c>
      <c r="N319" s="4">
        <f t="shared" si="89"/>
        <v>0</v>
      </c>
      <c r="O319" s="4">
        <f t="shared" si="90"/>
        <v>45</v>
      </c>
      <c r="P319" s="4">
        <f t="shared" si="91"/>
        <v>0</v>
      </c>
      <c r="Q319" s="4">
        <f t="shared" si="92"/>
        <v>12</v>
      </c>
      <c r="R319" s="4">
        <f t="shared" si="93"/>
        <v>14</v>
      </c>
      <c r="S319" s="4">
        <f t="shared" si="94"/>
        <v>27</v>
      </c>
      <c r="T319" s="4">
        <f t="shared" si="95"/>
        <v>0</v>
      </c>
      <c r="U319" s="4">
        <f t="shared" si="96"/>
        <v>18</v>
      </c>
      <c r="V319" s="8">
        <f t="shared" si="97"/>
        <v>0</v>
      </c>
      <c r="W319" s="8">
        <f t="shared" si="98"/>
        <v>0</v>
      </c>
      <c r="X319">
        <f t="shared" si="99"/>
        <v>1</v>
      </c>
    </row>
    <row r="320" spans="1:24" x14ac:dyDescent="0.25">
      <c r="A320" s="4" t="s">
        <v>346</v>
      </c>
      <c r="B320" t="s">
        <v>8</v>
      </c>
      <c r="C320" t="s">
        <v>6</v>
      </c>
      <c r="D320" s="3">
        <f t="shared" si="80"/>
        <v>50</v>
      </c>
      <c r="E320" s="4">
        <f t="shared" si="81"/>
        <v>11</v>
      </c>
      <c r="F320" s="4">
        <f t="shared" si="82"/>
        <v>25</v>
      </c>
      <c r="G320" s="3">
        <f>IF(E320&gt;=20,2000,1900) + D320</f>
        <v>1950</v>
      </c>
      <c r="H320">
        <f t="shared" si="83"/>
        <v>11</v>
      </c>
      <c r="I320" s="4">
        <f t="shared" si="84"/>
        <v>25</v>
      </c>
      <c r="J320">
        <f t="shared" si="85"/>
        <v>19501125</v>
      </c>
      <c r="K320" t="str">
        <f t="shared" si="86"/>
        <v>25.11.1950</v>
      </c>
      <c r="L320" s="4">
        <f t="shared" si="87"/>
        <v>5</v>
      </c>
      <c r="M320" s="4">
        <f t="shared" si="88"/>
        <v>0</v>
      </c>
      <c r="N320" s="4">
        <f t="shared" si="89"/>
        <v>7</v>
      </c>
      <c r="O320" s="4">
        <f t="shared" si="90"/>
        <v>9</v>
      </c>
      <c r="P320" s="4">
        <f t="shared" si="91"/>
        <v>2</v>
      </c>
      <c r="Q320" s="4">
        <f t="shared" si="92"/>
        <v>15</v>
      </c>
      <c r="R320" s="4">
        <f t="shared" si="93"/>
        <v>49</v>
      </c>
      <c r="S320" s="4">
        <f t="shared" si="94"/>
        <v>18</v>
      </c>
      <c r="T320" s="4">
        <f t="shared" si="95"/>
        <v>1</v>
      </c>
      <c r="U320" s="4">
        <f t="shared" si="96"/>
        <v>0</v>
      </c>
      <c r="V320" s="8">
        <f t="shared" si="97"/>
        <v>6</v>
      </c>
      <c r="W320" s="8">
        <f t="shared" si="98"/>
        <v>4</v>
      </c>
      <c r="X320">
        <f t="shared" si="99"/>
        <v>1</v>
      </c>
    </row>
    <row r="321" spans="1:24" x14ac:dyDescent="0.25">
      <c r="A321" s="4" t="s">
        <v>347</v>
      </c>
      <c r="B321" t="s">
        <v>17</v>
      </c>
      <c r="C321" t="s">
        <v>4</v>
      </c>
      <c r="D321" s="3">
        <f t="shared" si="80"/>
        <v>66</v>
      </c>
      <c r="E321" s="4">
        <f t="shared" si="81"/>
        <v>4</v>
      </c>
      <c r="F321" s="4">
        <f t="shared" si="82"/>
        <v>15</v>
      </c>
      <c r="G321" s="3">
        <f>IF(E321&gt;=20,2000,1900) + D321</f>
        <v>1966</v>
      </c>
      <c r="H321">
        <f t="shared" si="83"/>
        <v>4</v>
      </c>
      <c r="I321" s="4">
        <f t="shared" si="84"/>
        <v>15</v>
      </c>
      <c r="J321">
        <f t="shared" si="85"/>
        <v>19660415</v>
      </c>
      <c r="K321" t="str">
        <f t="shared" si="86"/>
        <v>15.04.1966</v>
      </c>
      <c r="L321" s="4">
        <f t="shared" si="87"/>
        <v>6</v>
      </c>
      <c r="M321" s="4">
        <f t="shared" si="88"/>
        <v>18</v>
      </c>
      <c r="N321" s="4">
        <f t="shared" si="89"/>
        <v>0</v>
      </c>
      <c r="O321" s="4">
        <f t="shared" si="90"/>
        <v>36</v>
      </c>
      <c r="P321" s="4">
        <f t="shared" si="91"/>
        <v>1</v>
      </c>
      <c r="Q321" s="4">
        <f t="shared" si="92"/>
        <v>15</v>
      </c>
      <c r="R321" s="4">
        <f t="shared" si="93"/>
        <v>0</v>
      </c>
      <c r="S321" s="4">
        <f t="shared" si="94"/>
        <v>81</v>
      </c>
      <c r="T321" s="4">
        <f t="shared" si="95"/>
        <v>6</v>
      </c>
      <c r="U321" s="4">
        <f t="shared" si="96"/>
        <v>0</v>
      </c>
      <c r="V321" s="8">
        <f t="shared" si="97"/>
        <v>3</v>
      </c>
      <c r="W321" s="8">
        <f t="shared" si="98"/>
        <v>7</v>
      </c>
      <c r="X321">
        <f t="shared" si="99"/>
        <v>1</v>
      </c>
    </row>
    <row r="322" spans="1:24" x14ac:dyDescent="0.25">
      <c r="A322" s="4" t="s">
        <v>348</v>
      </c>
      <c r="B322" t="s">
        <v>9</v>
      </c>
      <c r="C322" t="s">
        <v>4</v>
      </c>
      <c r="D322" s="3">
        <f t="shared" si="80"/>
        <v>54</v>
      </c>
      <c r="E322" s="4">
        <f t="shared" si="81"/>
        <v>11</v>
      </c>
      <c r="F322" s="4">
        <f t="shared" si="82"/>
        <v>11</v>
      </c>
      <c r="G322" s="3">
        <f>IF(E322&gt;=20,2000,1900) + D322</f>
        <v>1954</v>
      </c>
      <c r="H322">
        <f t="shared" si="83"/>
        <v>11</v>
      </c>
      <c r="I322" s="4">
        <f t="shared" si="84"/>
        <v>11</v>
      </c>
      <c r="J322">
        <f t="shared" si="85"/>
        <v>19541111</v>
      </c>
      <c r="K322" t="str">
        <f t="shared" si="86"/>
        <v>11.11.1954</v>
      </c>
      <c r="L322" s="4">
        <f t="shared" si="87"/>
        <v>5</v>
      </c>
      <c r="M322" s="4">
        <f t="shared" si="88"/>
        <v>12</v>
      </c>
      <c r="N322" s="4">
        <f t="shared" si="89"/>
        <v>7</v>
      </c>
      <c r="O322" s="4">
        <f t="shared" si="90"/>
        <v>9</v>
      </c>
      <c r="P322" s="4">
        <f t="shared" si="91"/>
        <v>1</v>
      </c>
      <c r="Q322" s="4">
        <f t="shared" si="92"/>
        <v>3</v>
      </c>
      <c r="R322" s="4">
        <f t="shared" si="93"/>
        <v>42</v>
      </c>
      <c r="S322" s="4">
        <f t="shared" si="94"/>
        <v>0</v>
      </c>
      <c r="T322" s="4">
        <f t="shared" si="95"/>
        <v>3</v>
      </c>
      <c r="U322" s="4">
        <f t="shared" si="96"/>
        <v>3</v>
      </c>
      <c r="V322" s="8">
        <f t="shared" si="97"/>
        <v>5</v>
      </c>
      <c r="W322" s="8">
        <f t="shared" si="98"/>
        <v>5</v>
      </c>
      <c r="X322">
        <f t="shared" si="99"/>
        <v>1</v>
      </c>
    </row>
    <row r="323" spans="1:24" x14ac:dyDescent="0.25">
      <c r="A323" s="4" t="s">
        <v>349</v>
      </c>
      <c r="B323" t="s">
        <v>14</v>
      </c>
      <c r="C323" t="s">
        <v>6</v>
      </c>
      <c r="D323" s="3">
        <f t="shared" ref="D323:D386" si="100">MID(A323,1,2)*1</f>
        <v>56</v>
      </c>
      <c r="E323" s="4">
        <f t="shared" ref="E323:E386" si="101">MID(A323,3,2)*1</f>
        <v>4</v>
      </c>
      <c r="F323" s="4">
        <f t="shared" ref="F323:F386" si="102">MID(A323,5,2)*1</f>
        <v>2</v>
      </c>
      <c r="G323" s="3">
        <f>IF(E323&gt;=20,2000,1900) + D323</f>
        <v>1956</v>
      </c>
      <c r="H323">
        <f t="shared" ref="H323:H386" si="103">IF(E323&gt;=20,E323-20,E323)</f>
        <v>4</v>
      </c>
      <c r="I323" s="4">
        <f t="shared" ref="I323:I386" si="104">F323</f>
        <v>2</v>
      </c>
      <c r="J323">
        <f t="shared" ref="J323:J386" si="105">CONCATENATE(G323,IF(LEN(E323)=1,CONCATENATE("0",E323),E323),IF(LEN(F323)=1,CONCATENATE("0",F323),F323))*1</f>
        <v>19560402</v>
      </c>
      <c r="K323" t="str">
        <f t="shared" ref="K323:K386" si="106">CONCATENATE(RIGHT(J323,2),".",MID(J323,5,2),".",LEFT(J323,4))</f>
        <v>02.04.1956</v>
      </c>
      <c r="L323" s="4">
        <f t="shared" ref="L323:L386" si="107">MID(A323,1,1)*1</f>
        <v>5</v>
      </c>
      <c r="M323" s="4">
        <f t="shared" ref="M323:M386" si="108">MID(A323,2,1)*3</f>
        <v>18</v>
      </c>
      <c r="N323" s="4">
        <f t="shared" ref="N323:N386" si="109">MID(A323,3,1)*7</f>
        <v>0</v>
      </c>
      <c r="O323" s="4">
        <f t="shared" ref="O323:O386" si="110">MID(A323,4,1)*9</f>
        <v>36</v>
      </c>
      <c r="P323" s="4">
        <f t="shared" ref="P323:P386" si="111">MID(A323,5,1)*1</f>
        <v>0</v>
      </c>
      <c r="Q323" s="4">
        <f t="shared" ref="Q323:Q386" si="112">MID(A323,6,1)*3</f>
        <v>6</v>
      </c>
      <c r="R323" s="4">
        <f t="shared" ref="R323:R386" si="113">MID(A323,7,1)*7</f>
        <v>14</v>
      </c>
      <c r="S323" s="4">
        <f t="shared" ref="S323:S386" si="114">MID(A323,8,1)*9</f>
        <v>72</v>
      </c>
      <c r="T323" s="4">
        <f t="shared" ref="T323:T386" si="115">MID(A323,9,1)*1</f>
        <v>6</v>
      </c>
      <c r="U323" s="4">
        <f t="shared" ref="U323:U386" si="116">MID(A323,10,1)*3</f>
        <v>21</v>
      </c>
      <c r="V323" s="8">
        <f t="shared" ref="V323:V386" si="117">MOD(SUM(L323:U323),10)</f>
        <v>8</v>
      </c>
      <c r="W323" s="8">
        <f t="shared" ref="W323:W386" si="118">IF(V323=0,0,10-V323)</f>
        <v>2</v>
      </c>
      <c r="X323">
        <f t="shared" ref="X323:X386" si="119">IF(W323=RIGHT(A323,1)*1,1,0)</f>
        <v>1</v>
      </c>
    </row>
    <row r="324" spans="1:24" x14ac:dyDescent="0.25">
      <c r="A324" s="4" t="s">
        <v>350</v>
      </c>
      <c r="B324" t="s">
        <v>11</v>
      </c>
      <c r="C324" t="s">
        <v>4</v>
      </c>
      <c r="D324" s="3">
        <f t="shared" si="100"/>
        <v>78</v>
      </c>
      <c r="E324" s="4">
        <f t="shared" si="101"/>
        <v>11</v>
      </c>
      <c r="F324" s="4">
        <f t="shared" si="102"/>
        <v>14</v>
      </c>
      <c r="G324" s="3">
        <f>IF(E324&gt;=20,2000,1900) + D324</f>
        <v>1978</v>
      </c>
      <c r="H324">
        <f t="shared" si="103"/>
        <v>11</v>
      </c>
      <c r="I324" s="4">
        <f t="shared" si="104"/>
        <v>14</v>
      </c>
      <c r="J324">
        <f t="shared" si="105"/>
        <v>19781114</v>
      </c>
      <c r="K324" t="str">
        <f t="shared" si="106"/>
        <v>14.11.1978</v>
      </c>
      <c r="L324" s="4">
        <f t="shared" si="107"/>
        <v>7</v>
      </c>
      <c r="M324" s="4">
        <f t="shared" si="108"/>
        <v>24</v>
      </c>
      <c r="N324" s="4">
        <f t="shared" si="109"/>
        <v>7</v>
      </c>
      <c r="O324" s="4">
        <f t="shared" si="110"/>
        <v>9</v>
      </c>
      <c r="P324" s="4">
        <f t="shared" si="111"/>
        <v>1</v>
      </c>
      <c r="Q324" s="4">
        <f t="shared" si="112"/>
        <v>12</v>
      </c>
      <c r="R324" s="4">
        <f t="shared" si="113"/>
        <v>21</v>
      </c>
      <c r="S324" s="4">
        <f t="shared" si="114"/>
        <v>9</v>
      </c>
      <c r="T324" s="4">
        <f t="shared" si="115"/>
        <v>9</v>
      </c>
      <c r="U324" s="4">
        <f t="shared" si="116"/>
        <v>3</v>
      </c>
      <c r="V324" s="8">
        <f t="shared" si="117"/>
        <v>2</v>
      </c>
      <c r="W324" s="8">
        <f t="shared" si="118"/>
        <v>8</v>
      </c>
      <c r="X324">
        <f t="shared" si="119"/>
        <v>1</v>
      </c>
    </row>
    <row r="325" spans="1:24" x14ac:dyDescent="0.25">
      <c r="A325" s="4" t="s">
        <v>351</v>
      </c>
      <c r="B325" t="s">
        <v>7</v>
      </c>
      <c r="C325" t="s">
        <v>6</v>
      </c>
      <c r="D325" s="3">
        <f t="shared" si="100"/>
        <v>73</v>
      </c>
      <c r="E325" s="4">
        <f t="shared" si="101"/>
        <v>7</v>
      </c>
      <c r="F325" s="4">
        <f t="shared" si="102"/>
        <v>6</v>
      </c>
      <c r="G325" s="3">
        <f>IF(E325&gt;=20,2000,1900) + D325</f>
        <v>1973</v>
      </c>
      <c r="H325">
        <f t="shared" si="103"/>
        <v>7</v>
      </c>
      <c r="I325" s="4">
        <f t="shared" si="104"/>
        <v>6</v>
      </c>
      <c r="J325">
        <f t="shared" si="105"/>
        <v>19730706</v>
      </c>
      <c r="K325" t="str">
        <f t="shared" si="106"/>
        <v>06.07.1973</v>
      </c>
      <c r="L325" s="4">
        <f t="shared" si="107"/>
        <v>7</v>
      </c>
      <c r="M325" s="4">
        <f t="shared" si="108"/>
        <v>9</v>
      </c>
      <c r="N325" s="4">
        <f t="shared" si="109"/>
        <v>0</v>
      </c>
      <c r="O325" s="4">
        <f t="shared" si="110"/>
        <v>63</v>
      </c>
      <c r="P325" s="4">
        <f t="shared" si="111"/>
        <v>0</v>
      </c>
      <c r="Q325" s="4">
        <f t="shared" si="112"/>
        <v>18</v>
      </c>
      <c r="R325" s="4">
        <f t="shared" si="113"/>
        <v>14</v>
      </c>
      <c r="S325" s="4">
        <f t="shared" si="114"/>
        <v>54</v>
      </c>
      <c r="T325" s="4">
        <f t="shared" si="115"/>
        <v>4</v>
      </c>
      <c r="U325" s="4">
        <f t="shared" si="116"/>
        <v>15</v>
      </c>
      <c r="V325" s="8">
        <f t="shared" si="117"/>
        <v>4</v>
      </c>
      <c r="W325" s="8">
        <f t="shared" si="118"/>
        <v>6</v>
      </c>
      <c r="X325">
        <f t="shared" si="119"/>
        <v>1</v>
      </c>
    </row>
    <row r="326" spans="1:24" x14ac:dyDescent="0.25">
      <c r="A326" s="4" t="s">
        <v>352</v>
      </c>
      <c r="B326" t="s">
        <v>14</v>
      </c>
      <c r="C326" t="s">
        <v>6</v>
      </c>
      <c r="D326" s="3">
        <f t="shared" si="100"/>
        <v>61</v>
      </c>
      <c r="E326" s="4">
        <f t="shared" si="101"/>
        <v>4</v>
      </c>
      <c r="F326" s="4">
        <f t="shared" si="102"/>
        <v>24</v>
      </c>
      <c r="G326" s="3">
        <f>IF(E326&gt;=20,2000,1900) + D326</f>
        <v>1961</v>
      </c>
      <c r="H326">
        <f t="shared" si="103"/>
        <v>4</v>
      </c>
      <c r="I326" s="4">
        <f t="shared" si="104"/>
        <v>24</v>
      </c>
      <c r="J326">
        <f t="shared" si="105"/>
        <v>19610424</v>
      </c>
      <c r="K326" t="str">
        <f t="shared" si="106"/>
        <v>24.04.1961</v>
      </c>
      <c r="L326" s="4">
        <f t="shared" si="107"/>
        <v>6</v>
      </c>
      <c r="M326" s="4">
        <f t="shared" si="108"/>
        <v>3</v>
      </c>
      <c r="N326" s="4">
        <f t="shared" si="109"/>
        <v>0</v>
      </c>
      <c r="O326" s="4">
        <f t="shared" si="110"/>
        <v>36</v>
      </c>
      <c r="P326" s="4">
        <f t="shared" si="111"/>
        <v>2</v>
      </c>
      <c r="Q326" s="4">
        <f t="shared" si="112"/>
        <v>12</v>
      </c>
      <c r="R326" s="4">
        <f t="shared" si="113"/>
        <v>21</v>
      </c>
      <c r="S326" s="4">
        <f t="shared" si="114"/>
        <v>27</v>
      </c>
      <c r="T326" s="4">
        <f t="shared" si="115"/>
        <v>3</v>
      </c>
      <c r="U326" s="4">
        <f t="shared" si="116"/>
        <v>12</v>
      </c>
      <c r="V326" s="8">
        <f t="shared" si="117"/>
        <v>2</v>
      </c>
      <c r="W326" s="8">
        <f t="shared" si="118"/>
        <v>8</v>
      </c>
      <c r="X326">
        <f t="shared" si="119"/>
        <v>1</v>
      </c>
    </row>
    <row r="327" spans="1:24" x14ac:dyDescent="0.25">
      <c r="A327" s="4" t="s">
        <v>353</v>
      </c>
      <c r="B327" t="s">
        <v>19</v>
      </c>
      <c r="C327" t="s">
        <v>4</v>
      </c>
      <c r="D327" s="3">
        <f t="shared" si="100"/>
        <v>81</v>
      </c>
      <c r="E327" s="4">
        <f t="shared" si="101"/>
        <v>5</v>
      </c>
      <c r="F327" s="4">
        <f t="shared" si="102"/>
        <v>8</v>
      </c>
      <c r="G327" s="3">
        <f>IF(E327&gt;=20,2000,1900) + D327</f>
        <v>1981</v>
      </c>
      <c r="H327">
        <f t="shared" si="103"/>
        <v>5</v>
      </c>
      <c r="I327" s="4">
        <f t="shared" si="104"/>
        <v>8</v>
      </c>
      <c r="J327">
        <f t="shared" si="105"/>
        <v>19810508</v>
      </c>
      <c r="K327" t="str">
        <f t="shared" si="106"/>
        <v>08.05.1981</v>
      </c>
      <c r="L327" s="4">
        <f t="shared" si="107"/>
        <v>8</v>
      </c>
      <c r="M327" s="4">
        <f t="shared" si="108"/>
        <v>3</v>
      </c>
      <c r="N327" s="4">
        <f t="shared" si="109"/>
        <v>0</v>
      </c>
      <c r="O327" s="4">
        <f t="shared" si="110"/>
        <v>45</v>
      </c>
      <c r="P327" s="4">
        <f t="shared" si="111"/>
        <v>0</v>
      </c>
      <c r="Q327" s="4">
        <f t="shared" si="112"/>
        <v>24</v>
      </c>
      <c r="R327" s="4">
        <f t="shared" si="113"/>
        <v>42</v>
      </c>
      <c r="S327" s="4">
        <f t="shared" si="114"/>
        <v>81</v>
      </c>
      <c r="T327" s="4">
        <f t="shared" si="115"/>
        <v>5</v>
      </c>
      <c r="U327" s="4">
        <f t="shared" si="116"/>
        <v>27</v>
      </c>
      <c r="V327" s="8">
        <f t="shared" si="117"/>
        <v>5</v>
      </c>
      <c r="W327" s="8">
        <f t="shared" si="118"/>
        <v>5</v>
      </c>
      <c r="X327">
        <f t="shared" si="119"/>
        <v>1</v>
      </c>
    </row>
    <row r="328" spans="1:24" x14ac:dyDescent="0.25">
      <c r="A328" s="4" t="s">
        <v>354</v>
      </c>
      <c r="B328" t="s">
        <v>9</v>
      </c>
      <c r="C328" t="s">
        <v>4</v>
      </c>
      <c r="D328" s="3">
        <f t="shared" si="100"/>
        <v>58</v>
      </c>
      <c r="E328" s="4">
        <f t="shared" si="101"/>
        <v>9</v>
      </c>
      <c r="F328" s="4">
        <f t="shared" si="102"/>
        <v>18</v>
      </c>
      <c r="G328" s="3">
        <f>IF(E328&gt;=20,2000,1900) + D328</f>
        <v>1958</v>
      </c>
      <c r="H328">
        <f t="shared" si="103"/>
        <v>9</v>
      </c>
      <c r="I328" s="4">
        <f t="shared" si="104"/>
        <v>18</v>
      </c>
      <c r="J328">
        <f t="shared" si="105"/>
        <v>19580918</v>
      </c>
      <c r="K328" t="str">
        <f t="shared" si="106"/>
        <v>18.09.1958</v>
      </c>
      <c r="L328" s="4">
        <f t="shared" si="107"/>
        <v>5</v>
      </c>
      <c r="M328" s="4">
        <f t="shared" si="108"/>
        <v>24</v>
      </c>
      <c r="N328" s="4">
        <f t="shared" si="109"/>
        <v>0</v>
      </c>
      <c r="O328" s="4">
        <f t="shared" si="110"/>
        <v>81</v>
      </c>
      <c r="P328" s="4">
        <f t="shared" si="111"/>
        <v>1</v>
      </c>
      <c r="Q328" s="4">
        <f t="shared" si="112"/>
        <v>24</v>
      </c>
      <c r="R328" s="4">
        <f t="shared" si="113"/>
        <v>63</v>
      </c>
      <c r="S328" s="4">
        <f t="shared" si="114"/>
        <v>0</v>
      </c>
      <c r="T328" s="4">
        <f t="shared" si="115"/>
        <v>6</v>
      </c>
      <c r="U328" s="4">
        <f t="shared" si="116"/>
        <v>3</v>
      </c>
      <c r="V328" s="8">
        <f t="shared" si="117"/>
        <v>7</v>
      </c>
      <c r="W328" s="8">
        <f t="shared" si="118"/>
        <v>3</v>
      </c>
      <c r="X328">
        <f t="shared" si="119"/>
        <v>1</v>
      </c>
    </row>
    <row r="329" spans="1:24" x14ac:dyDescent="0.25">
      <c r="A329" s="4" t="s">
        <v>355</v>
      </c>
      <c r="B329" t="s">
        <v>5</v>
      </c>
      <c r="C329" t="s">
        <v>6</v>
      </c>
      <c r="D329" s="3">
        <f t="shared" si="100"/>
        <v>66</v>
      </c>
      <c r="E329" s="4">
        <f t="shared" si="101"/>
        <v>8</v>
      </c>
      <c r="F329" s="4">
        <f t="shared" si="102"/>
        <v>22</v>
      </c>
      <c r="G329" s="3">
        <f>IF(E329&gt;=20,2000,1900) + D329</f>
        <v>1966</v>
      </c>
      <c r="H329">
        <f t="shared" si="103"/>
        <v>8</v>
      </c>
      <c r="I329" s="4">
        <f t="shared" si="104"/>
        <v>22</v>
      </c>
      <c r="J329">
        <f t="shared" si="105"/>
        <v>19660822</v>
      </c>
      <c r="K329" t="str">
        <f t="shared" si="106"/>
        <v>22.08.1966</v>
      </c>
      <c r="L329" s="4">
        <f t="shared" si="107"/>
        <v>6</v>
      </c>
      <c r="M329" s="4">
        <f t="shared" si="108"/>
        <v>18</v>
      </c>
      <c r="N329" s="4">
        <f t="shared" si="109"/>
        <v>0</v>
      </c>
      <c r="O329" s="4">
        <f t="shared" si="110"/>
        <v>72</v>
      </c>
      <c r="P329" s="4">
        <f t="shared" si="111"/>
        <v>2</v>
      </c>
      <c r="Q329" s="4">
        <f t="shared" si="112"/>
        <v>6</v>
      </c>
      <c r="R329" s="4">
        <f t="shared" si="113"/>
        <v>21</v>
      </c>
      <c r="S329" s="4">
        <f t="shared" si="114"/>
        <v>18</v>
      </c>
      <c r="T329" s="4">
        <f t="shared" si="115"/>
        <v>7</v>
      </c>
      <c r="U329" s="4">
        <f t="shared" si="116"/>
        <v>15</v>
      </c>
      <c r="V329" s="8">
        <f t="shared" si="117"/>
        <v>5</v>
      </c>
      <c r="W329" s="8">
        <f t="shared" si="118"/>
        <v>5</v>
      </c>
      <c r="X329">
        <f t="shared" si="119"/>
        <v>1</v>
      </c>
    </row>
    <row r="330" spans="1:24" x14ac:dyDescent="0.25">
      <c r="A330" s="4" t="s">
        <v>356</v>
      </c>
      <c r="B330" t="s">
        <v>17</v>
      </c>
      <c r="C330" t="s">
        <v>6</v>
      </c>
      <c r="D330" s="3">
        <f t="shared" si="100"/>
        <v>69</v>
      </c>
      <c r="E330" s="4">
        <f t="shared" si="101"/>
        <v>2</v>
      </c>
      <c r="F330" s="4">
        <f t="shared" si="102"/>
        <v>5</v>
      </c>
      <c r="G330" s="3">
        <f>IF(E330&gt;=20,2000,1900) + D330</f>
        <v>1969</v>
      </c>
      <c r="H330">
        <f t="shared" si="103"/>
        <v>2</v>
      </c>
      <c r="I330" s="4">
        <f t="shared" si="104"/>
        <v>5</v>
      </c>
      <c r="J330">
        <f t="shared" si="105"/>
        <v>19690205</v>
      </c>
      <c r="K330" t="str">
        <f t="shared" si="106"/>
        <v>05.02.1969</v>
      </c>
      <c r="L330" s="4">
        <f t="shared" si="107"/>
        <v>6</v>
      </c>
      <c r="M330" s="4">
        <f t="shared" si="108"/>
        <v>27</v>
      </c>
      <c r="N330" s="4">
        <f t="shared" si="109"/>
        <v>0</v>
      </c>
      <c r="O330" s="4">
        <f t="shared" si="110"/>
        <v>18</v>
      </c>
      <c r="P330" s="4">
        <f t="shared" si="111"/>
        <v>0</v>
      </c>
      <c r="Q330" s="4">
        <f t="shared" si="112"/>
        <v>15</v>
      </c>
      <c r="R330" s="4">
        <f t="shared" si="113"/>
        <v>0</v>
      </c>
      <c r="S330" s="4">
        <f t="shared" si="114"/>
        <v>72</v>
      </c>
      <c r="T330" s="4">
        <f t="shared" si="115"/>
        <v>2</v>
      </c>
      <c r="U330" s="4">
        <f t="shared" si="116"/>
        <v>9</v>
      </c>
      <c r="V330" s="8">
        <f t="shared" si="117"/>
        <v>9</v>
      </c>
      <c r="W330" s="8">
        <f t="shared" si="118"/>
        <v>1</v>
      </c>
      <c r="X330">
        <f t="shared" si="119"/>
        <v>1</v>
      </c>
    </row>
    <row r="331" spans="1:24" x14ac:dyDescent="0.25">
      <c r="A331" s="4" t="s">
        <v>357</v>
      </c>
      <c r="B331" t="s">
        <v>10</v>
      </c>
      <c r="C331" t="s">
        <v>4</v>
      </c>
      <c r="D331" s="3">
        <f t="shared" si="100"/>
        <v>57</v>
      </c>
      <c r="E331" s="4">
        <f t="shared" si="101"/>
        <v>11</v>
      </c>
      <c r="F331" s="4">
        <f t="shared" si="102"/>
        <v>14</v>
      </c>
      <c r="G331" s="3">
        <f>IF(E331&gt;=20,2000,1900) + D331</f>
        <v>1957</v>
      </c>
      <c r="H331">
        <f t="shared" si="103"/>
        <v>11</v>
      </c>
      <c r="I331" s="4">
        <f t="shared" si="104"/>
        <v>14</v>
      </c>
      <c r="J331">
        <f t="shared" si="105"/>
        <v>19571114</v>
      </c>
      <c r="K331" t="str">
        <f t="shared" si="106"/>
        <v>14.11.1957</v>
      </c>
      <c r="L331" s="4">
        <f t="shared" si="107"/>
        <v>5</v>
      </c>
      <c r="M331" s="4">
        <f t="shared" si="108"/>
        <v>21</v>
      </c>
      <c r="N331" s="4">
        <f t="shared" si="109"/>
        <v>7</v>
      </c>
      <c r="O331" s="4">
        <f t="shared" si="110"/>
        <v>9</v>
      </c>
      <c r="P331" s="4">
        <f t="shared" si="111"/>
        <v>1</v>
      </c>
      <c r="Q331" s="4">
        <f t="shared" si="112"/>
        <v>12</v>
      </c>
      <c r="R331" s="4">
        <f t="shared" si="113"/>
        <v>0</v>
      </c>
      <c r="S331" s="4">
        <f t="shared" si="114"/>
        <v>63</v>
      </c>
      <c r="T331" s="4">
        <f t="shared" si="115"/>
        <v>3</v>
      </c>
      <c r="U331" s="4">
        <f t="shared" si="116"/>
        <v>9</v>
      </c>
      <c r="V331" s="8">
        <f t="shared" si="117"/>
        <v>0</v>
      </c>
      <c r="W331" s="8">
        <f t="shared" si="118"/>
        <v>0</v>
      </c>
      <c r="X331">
        <f t="shared" si="119"/>
        <v>1</v>
      </c>
    </row>
    <row r="332" spans="1:24" x14ac:dyDescent="0.25">
      <c r="A332" s="4" t="s">
        <v>358</v>
      </c>
      <c r="B332" t="s">
        <v>12</v>
      </c>
      <c r="C332" t="s">
        <v>4</v>
      </c>
      <c r="D332" s="3">
        <f t="shared" si="100"/>
        <v>52</v>
      </c>
      <c r="E332" s="4">
        <f t="shared" si="101"/>
        <v>11</v>
      </c>
      <c r="F332" s="4">
        <f t="shared" si="102"/>
        <v>7</v>
      </c>
      <c r="G332" s="3">
        <f>IF(E332&gt;=20,2000,1900) + D332</f>
        <v>1952</v>
      </c>
      <c r="H332">
        <f t="shared" si="103"/>
        <v>11</v>
      </c>
      <c r="I332" s="4">
        <f t="shared" si="104"/>
        <v>7</v>
      </c>
      <c r="J332">
        <f t="shared" si="105"/>
        <v>19521107</v>
      </c>
      <c r="K332" t="str">
        <f t="shared" si="106"/>
        <v>07.11.1952</v>
      </c>
      <c r="L332" s="4">
        <f t="shared" si="107"/>
        <v>5</v>
      </c>
      <c r="M332" s="4">
        <f t="shared" si="108"/>
        <v>6</v>
      </c>
      <c r="N332" s="4">
        <f t="shared" si="109"/>
        <v>7</v>
      </c>
      <c r="O332" s="4">
        <f t="shared" si="110"/>
        <v>9</v>
      </c>
      <c r="P332" s="4">
        <f t="shared" si="111"/>
        <v>0</v>
      </c>
      <c r="Q332" s="4">
        <f t="shared" si="112"/>
        <v>21</v>
      </c>
      <c r="R332" s="4">
        <f t="shared" si="113"/>
        <v>35</v>
      </c>
      <c r="S332" s="4">
        <f t="shared" si="114"/>
        <v>72</v>
      </c>
      <c r="T332" s="4">
        <f t="shared" si="115"/>
        <v>0</v>
      </c>
      <c r="U332" s="4">
        <f t="shared" si="116"/>
        <v>15</v>
      </c>
      <c r="V332" s="8">
        <f t="shared" si="117"/>
        <v>0</v>
      </c>
      <c r="W332" s="8">
        <f t="shared" si="118"/>
        <v>0</v>
      </c>
      <c r="X332">
        <f t="shared" si="119"/>
        <v>1</v>
      </c>
    </row>
    <row r="333" spans="1:24" x14ac:dyDescent="0.25">
      <c r="A333" s="4" t="s">
        <v>359</v>
      </c>
      <c r="B333" t="s">
        <v>19</v>
      </c>
      <c r="C333" t="s">
        <v>4</v>
      </c>
      <c r="D333" s="3">
        <f t="shared" si="100"/>
        <v>93</v>
      </c>
      <c r="E333" s="4">
        <f t="shared" si="101"/>
        <v>1</v>
      </c>
      <c r="F333" s="4">
        <f t="shared" si="102"/>
        <v>12</v>
      </c>
      <c r="G333" s="3">
        <f>IF(E333&gt;=20,2000,1900) + D333</f>
        <v>1993</v>
      </c>
      <c r="H333">
        <f t="shared" si="103"/>
        <v>1</v>
      </c>
      <c r="I333" s="4">
        <f t="shared" si="104"/>
        <v>12</v>
      </c>
      <c r="J333">
        <f t="shared" si="105"/>
        <v>19930112</v>
      </c>
      <c r="K333" t="str">
        <f t="shared" si="106"/>
        <v>12.01.1993</v>
      </c>
      <c r="L333" s="4">
        <f t="shared" si="107"/>
        <v>9</v>
      </c>
      <c r="M333" s="4">
        <f t="shared" si="108"/>
        <v>9</v>
      </c>
      <c r="N333" s="4">
        <f t="shared" si="109"/>
        <v>0</v>
      </c>
      <c r="O333" s="4">
        <f t="shared" si="110"/>
        <v>9</v>
      </c>
      <c r="P333" s="4">
        <f t="shared" si="111"/>
        <v>1</v>
      </c>
      <c r="Q333" s="4">
        <f t="shared" si="112"/>
        <v>6</v>
      </c>
      <c r="R333" s="4">
        <f t="shared" si="113"/>
        <v>28</v>
      </c>
      <c r="S333" s="4">
        <f t="shared" si="114"/>
        <v>54</v>
      </c>
      <c r="T333" s="4">
        <f t="shared" si="115"/>
        <v>1</v>
      </c>
      <c r="U333" s="4">
        <f t="shared" si="116"/>
        <v>21</v>
      </c>
      <c r="V333" s="8">
        <f t="shared" si="117"/>
        <v>8</v>
      </c>
      <c r="W333" s="8">
        <f t="shared" si="118"/>
        <v>2</v>
      </c>
      <c r="X333">
        <f t="shared" si="119"/>
        <v>1</v>
      </c>
    </row>
    <row r="334" spans="1:24" x14ac:dyDescent="0.25">
      <c r="A334" s="4" t="s">
        <v>360</v>
      </c>
      <c r="B334" t="s">
        <v>12</v>
      </c>
      <c r="C334" t="s">
        <v>6</v>
      </c>
      <c r="D334" s="3">
        <f t="shared" si="100"/>
        <v>96</v>
      </c>
      <c r="E334" s="4">
        <f t="shared" si="101"/>
        <v>12</v>
      </c>
      <c r="F334" s="4">
        <f t="shared" si="102"/>
        <v>19</v>
      </c>
      <c r="G334" s="3">
        <f>IF(E334&gt;=20,2000,1900) + D334</f>
        <v>1996</v>
      </c>
      <c r="H334">
        <f t="shared" si="103"/>
        <v>12</v>
      </c>
      <c r="I334" s="4">
        <f t="shared" si="104"/>
        <v>19</v>
      </c>
      <c r="J334">
        <f t="shared" si="105"/>
        <v>19961219</v>
      </c>
      <c r="K334" t="str">
        <f t="shared" si="106"/>
        <v>19.12.1996</v>
      </c>
      <c r="L334" s="4">
        <f t="shared" si="107"/>
        <v>9</v>
      </c>
      <c r="M334" s="4">
        <f t="shared" si="108"/>
        <v>18</v>
      </c>
      <c r="N334" s="4">
        <f t="shared" si="109"/>
        <v>7</v>
      </c>
      <c r="O334" s="4">
        <f t="shared" si="110"/>
        <v>18</v>
      </c>
      <c r="P334" s="4">
        <f t="shared" si="111"/>
        <v>1</v>
      </c>
      <c r="Q334" s="4">
        <f t="shared" si="112"/>
        <v>27</v>
      </c>
      <c r="R334" s="4">
        <f t="shared" si="113"/>
        <v>21</v>
      </c>
      <c r="S334" s="4">
        <f t="shared" si="114"/>
        <v>54</v>
      </c>
      <c r="T334" s="4">
        <f t="shared" si="115"/>
        <v>7</v>
      </c>
      <c r="U334" s="4">
        <f t="shared" si="116"/>
        <v>15</v>
      </c>
      <c r="V334" s="8">
        <f t="shared" si="117"/>
        <v>7</v>
      </c>
      <c r="W334" s="8">
        <f t="shared" si="118"/>
        <v>3</v>
      </c>
      <c r="X334">
        <f t="shared" si="119"/>
        <v>1</v>
      </c>
    </row>
    <row r="335" spans="1:24" x14ac:dyDescent="0.25">
      <c r="A335" s="4" t="s">
        <v>361</v>
      </c>
      <c r="B335" t="s">
        <v>17</v>
      </c>
      <c r="C335" t="s">
        <v>6</v>
      </c>
      <c r="D335" s="3">
        <f t="shared" si="100"/>
        <v>79</v>
      </c>
      <c r="E335" s="4">
        <f t="shared" si="101"/>
        <v>6</v>
      </c>
      <c r="F335" s="4">
        <f t="shared" si="102"/>
        <v>16</v>
      </c>
      <c r="G335" s="3">
        <f>IF(E335&gt;=20,2000,1900) + D335</f>
        <v>1979</v>
      </c>
      <c r="H335">
        <f t="shared" si="103"/>
        <v>6</v>
      </c>
      <c r="I335" s="4">
        <f t="shared" si="104"/>
        <v>16</v>
      </c>
      <c r="J335">
        <f t="shared" si="105"/>
        <v>19790616</v>
      </c>
      <c r="K335" t="str">
        <f t="shared" si="106"/>
        <v>16.06.1979</v>
      </c>
      <c r="L335" s="4">
        <f t="shared" si="107"/>
        <v>7</v>
      </c>
      <c r="M335" s="4">
        <f t="shared" si="108"/>
        <v>27</v>
      </c>
      <c r="N335" s="4">
        <f t="shared" si="109"/>
        <v>0</v>
      </c>
      <c r="O335" s="4">
        <f t="shared" si="110"/>
        <v>54</v>
      </c>
      <c r="P335" s="4">
        <f t="shared" si="111"/>
        <v>1</v>
      </c>
      <c r="Q335" s="4">
        <f t="shared" si="112"/>
        <v>18</v>
      </c>
      <c r="R335" s="4">
        <f t="shared" si="113"/>
        <v>0</v>
      </c>
      <c r="S335" s="4">
        <f t="shared" si="114"/>
        <v>36</v>
      </c>
      <c r="T335" s="4">
        <f t="shared" si="115"/>
        <v>9</v>
      </c>
      <c r="U335" s="4">
        <f t="shared" si="116"/>
        <v>9</v>
      </c>
      <c r="V335" s="8">
        <f t="shared" si="117"/>
        <v>1</v>
      </c>
      <c r="W335" s="8">
        <f t="shared" si="118"/>
        <v>9</v>
      </c>
      <c r="X335">
        <f t="shared" si="119"/>
        <v>1</v>
      </c>
    </row>
    <row r="336" spans="1:24" x14ac:dyDescent="0.25">
      <c r="A336" s="4" t="s">
        <v>362</v>
      </c>
      <c r="B336" t="s">
        <v>5</v>
      </c>
      <c r="C336" t="s">
        <v>4</v>
      </c>
      <c r="D336" s="3">
        <f t="shared" si="100"/>
        <v>90</v>
      </c>
      <c r="E336" s="4">
        <f t="shared" si="101"/>
        <v>8</v>
      </c>
      <c r="F336" s="4">
        <f t="shared" si="102"/>
        <v>29</v>
      </c>
      <c r="G336" s="3">
        <f>IF(E336&gt;=20,2000,1900) + D336</f>
        <v>1990</v>
      </c>
      <c r="H336">
        <f t="shared" si="103"/>
        <v>8</v>
      </c>
      <c r="I336" s="4">
        <f t="shared" si="104"/>
        <v>29</v>
      </c>
      <c r="J336">
        <f t="shared" si="105"/>
        <v>19900829</v>
      </c>
      <c r="K336" t="str">
        <f t="shared" si="106"/>
        <v>29.08.1990</v>
      </c>
      <c r="L336" s="4">
        <f t="shared" si="107"/>
        <v>9</v>
      </c>
      <c r="M336" s="4">
        <f t="shared" si="108"/>
        <v>0</v>
      </c>
      <c r="N336" s="4">
        <f t="shared" si="109"/>
        <v>0</v>
      </c>
      <c r="O336" s="4">
        <f t="shared" si="110"/>
        <v>72</v>
      </c>
      <c r="P336" s="4">
        <f t="shared" si="111"/>
        <v>2</v>
      </c>
      <c r="Q336" s="4">
        <f t="shared" si="112"/>
        <v>27</v>
      </c>
      <c r="R336" s="4">
        <f t="shared" si="113"/>
        <v>56</v>
      </c>
      <c r="S336" s="4">
        <f t="shared" si="114"/>
        <v>45</v>
      </c>
      <c r="T336" s="4">
        <f t="shared" si="115"/>
        <v>6</v>
      </c>
      <c r="U336" s="4">
        <f t="shared" si="116"/>
        <v>21</v>
      </c>
      <c r="V336" s="8">
        <f t="shared" si="117"/>
        <v>8</v>
      </c>
      <c r="W336" s="8">
        <f t="shared" si="118"/>
        <v>2</v>
      </c>
      <c r="X336">
        <f t="shared" si="119"/>
        <v>1</v>
      </c>
    </row>
    <row r="337" spans="1:24" x14ac:dyDescent="0.25">
      <c r="A337" s="4" t="s">
        <v>363</v>
      </c>
      <c r="B337" t="s">
        <v>19</v>
      </c>
      <c r="C337" t="s">
        <v>4</v>
      </c>
      <c r="D337" s="3">
        <f t="shared" si="100"/>
        <v>86</v>
      </c>
      <c r="E337" s="4">
        <f t="shared" si="101"/>
        <v>1</v>
      </c>
      <c r="F337" s="4">
        <f t="shared" si="102"/>
        <v>8</v>
      </c>
      <c r="G337" s="3">
        <f>IF(E337&gt;=20,2000,1900) + D337</f>
        <v>1986</v>
      </c>
      <c r="H337">
        <f t="shared" si="103"/>
        <v>1</v>
      </c>
      <c r="I337" s="4">
        <f t="shared" si="104"/>
        <v>8</v>
      </c>
      <c r="J337">
        <f t="shared" si="105"/>
        <v>19860108</v>
      </c>
      <c r="K337" t="str">
        <f t="shared" si="106"/>
        <v>08.01.1986</v>
      </c>
      <c r="L337" s="4">
        <f t="shared" si="107"/>
        <v>8</v>
      </c>
      <c r="M337" s="4">
        <f t="shared" si="108"/>
        <v>18</v>
      </c>
      <c r="N337" s="4">
        <f t="shared" si="109"/>
        <v>0</v>
      </c>
      <c r="O337" s="4">
        <f t="shared" si="110"/>
        <v>9</v>
      </c>
      <c r="P337" s="4">
        <f t="shared" si="111"/>
        <v>0</v>
      </c>
      <c r="Q337" s="4">
        <f t="shared" si="112"/>
        <v>24</v>
      </c>
      <c r="R337" s="4">
        <f t="shared" si="113"/>
        <v>0</v>
      </c>
      <c r="S337" s="4">
        <f t="shared" si="114"/>
        <v>54</v>
      </c>
      <c r="T337" s="4">
        <f t="shared" si="115"/>
        <v>8</v>
      </c>
      <c r="U337" s="4">
        <f t="shared" si="116"/>
        <v>15</v>
      </c>
      <c r="V337" s="8">
        <f t="shared" si="117"/>
        <v>6</v>
      </c>
      <c r="W337" s="8">
        <f t="shared" si="118"/>
        <v>4</v>
      </c>
      <c r="X337">
        <f t="shared" si="119"/>
        <v>1</v>
      </c>
    </row>
    <row r="338" spans="1:24" x14ac:dyDescent="0.25">
      <c r="A338" s="4" t="s">
        <v>364</v>
      </c>
      <c r="B338" t="s">
        <v>13</v>
      </c>
      <c r="C338" t="s">
        <v>4</v>
      </c>
      <c r="D338" s="3">
        <f t="shared" si="100"/>
        <v>60</v>
      </c>
      <c r="E338" s="4">
        <f t="shared" si="101"/>
        <v>5</v>
      </c>
      <c r="F338" s="4">
        <f t="shared" si="102"/>
        <v>14</v>
      </c>
      <c r="G338" s="3">
        <f>IF(E338&gt;=20,2000,1900) + D338</f>
        <v>1960</v>
      </c>
      <c r="H338">
        <f t="shared" si="103"/>
        <v>5</v>
      </c>
      <c r="I338" s="4">
        <f t="shared" si="104"/>
        <v>14</v>
      </c>
      <c r="J338">
        <f t="shared" si="105"/>
        <v>19600514</v>
      </c>
      <c r="K338" t="str">
        <f t="shared" si="106"/>
        <v>14.05.1960</v>
      </c>
      <c r="L338" s="4">
        <f t="shared" si="107"/>
        <v>6</v>
      </c>
      <c r="M338" s="4">
        <f t="shared" si="108"/>
        <v>0</v>
      </c>
      <c r="N338" s="4">
        <f t="shared" si="109"/>
        <v>0</v>
      </c>
      <c r="O338" s="4">
        <f t="shared" si="110"/>
        <v>45</v>
      </c>
      <c r="P338" s="4">
        <f t="shared" si="111"/>
        <v>1</v>
      </c>
      <c r="Q338" s="4">
        <f t="shared" si="112"/>
        <v>12</v>
      </c>
      <c r="R338" s="4">
        <f t="shared" si="113"/>
        <v>63</v>
      </c>
      <c r="S338" s="4">
        <f t="shared" si="114"/>
        <v>36</v>
      </c>
      <c r="T338" s="4">
        <f t="shared" si="115"/>
        <v>6</v>
      </c>
      <c r="U338" s="4">
        <f t="shared" si="116"/>
        <v>0</v>
      </c>
      <c r="V338" s="8">
        <f t="shared" si="117"/>
        <v>9</v>
      </c>
      <c r="W338" s="8">
        <f t="shared" si="118"/>
        <v>1</v>
      </c>
      <c r="X338">
        <f t="shared" si="119"/>
        <v>1</v>
      </c>
    </row>
    <row r="339" spans="1:24" x14ac:dyDescent="0.25">
      <c r="A339" s="4" t="s">
        <v>365</v>
      </c>
      <c r="B339" t="s">
        <v>13</v>
      </c>
      <c r="C339" t="s">
        <v>6</v>
      </c>
      <c r="D339" s="3">
        <f t="shared" si="100"/>
        <v>78</v>
      </c>
      <c r="E339" s="4">
        <f t="shared" si="101"/>
        <v>1</v>
      </c>
      <c r="F339" s="4">
        <f t="shared" si="102"/>
        <v>26</v>
      </c>
      <c r="G339" s="3">
        <f>IF(E339&gt;=20,2000,1900) + D339</f>
        <v>1978</v>
      </c>
      <c r="H339">
        <f t="shared" si="103"/>
        <v>1</v>
      </c>
      <c r="I339" s="4">
        <f t="shared" si="104"/>
        <v>26</v>
      </c>
      <c r="J339">
        <f t="shared" si="105"/>
        <v>19780126</v>
      </c>
      <c r="K339" t="str">
        <f t="shared" si="106"/>
        <v>26.01.1978</v>
      </c>
      <c r="L339" s="4">
        <f t="shared" si="107"/>
        <v>7</v>
      </c>
      <c r="M339" s="4">
        <f t="shared" si="108"/>
        <v>24</v>
      </c>
      <c r="N339" s="4">
        <f t="shared" si="109"/>
        <v>0</v>
      </c>
      <c r="O339" s="4">
        <f t="shared" si="110"/>
        <v>9</v>
      </c>
      <c r="P339" s="4">
        <f t="shared" si="111"/>
        <v>2</v>
      </c>
      <c r="Q339" s="4">
        <f t="shared" si="112"/>
        <v>18</v>
      </c>
      <c r="R339" s="4">
        <f t="shared" si="113"/>
        <v>7</v>
      </c>
      <c r="S339" s="4">
        <f t="shared" si="114"/>
        <v>45</v>
      </c>
      <c r="T339" s="4">
        <f t="shared" si="115"/>
        <v>5</v>
      </c>
      <c r="U339" s="4">
        <f t="shared" si="116"/>
        <v>12</v>
      </c>
      <c r="V339" s="8">
        <f t="shared" si="117"/>
        <v>9</v>
      </c>
      <c r="W339" s="8">
        <f t="shared" si="118"/>
        <v>1</v>
      </c>
      <c r="X339">
        <f t="shared" si="119"/>
        <v>1</v>
      </c>
    </row>
    <row r="340" spans="1:24" x14ac:dyDescent="0.25">
      <c r="A340" s="4" t="s">
        <v>366</v>
      </c>
      <c r="B340" t="s">
        <v>20</v>
      </c>
      <c r="C340" t="s">
        <v>6</v>
      </c>
      <c r="D340" s="3">
        <f t="shared" si="100"/>
        <v>85</v>
      </c>
      <c r="E340" s="4">
        <f t="shared" si="101"/>
        <v>12</v>
      </c>
      <c r="F340" s="4">
        <f t="shared" si="102"/>
        <v>2</v>
      </c>
      <c r="G340" s="3">
        <f>IF(E340&gt;=20,2000,1900) + D340</f>
        <v>1985</v>
      </c>
      <c r="H340">
        <f t="shared" si="103"/>
        <v>12</v>
      </c>
      <c r="I340" s="4">
        <f t="shared" si="104"/>
        <v>2</v>
      </c>
      <c r="J340">
        <f t="shared" si="105"/>
        <v>19851202</v>
      </c>
      <c r="K340" t="str">
        <f t="shared" si="106"/>
        <v>02.12.1985</v>
      </c>
      <c r="L340" s="4">
        <f t="shared" si="107"/>
        <v>8</v>
      </c>
      <c r="M340" s="4">
        <f t="shared" si="108"/>
        <v>15</v>
      </c>
      <c r="N340" s="4">
        <f t="shared" si="109"/>
        <v>7</v>
      </c>
      <c r="O340" s="4">
        <f t="shared" si="110"/>
        <v>18</v>
      </c>
      <c r="P340" s="4">
        <f t="shared" si="111"/>
        <v>0</v>
      </c>
      <c r="Q340" s="4">
        <f t="shared" si="112"/>
        <v>6</v>
      </c>
      <c r="R340" s="4">
        <f t="shared" si="113"/>
        <v>63</v>
      </c>
      <c r="S340" s="4">
        <f t="shared" si="114"/>
        <v>45</v>
      </c>
      <c r="T340" s="4">
        <f t="shared" si="115"/>
        <v>3</v>
      </c>
      <c r="U340" s="4">
        <f t="shared" si="116"/>
        <v>24</v>
      </c>
      <c r="V340" s="8">
        <f t="shared" si="117"/>
        <v>9</v>
      </c>
      <c r="W340" s="8">
        <f t="shared" si="118"/>
        <v>1</v>
      </c>
      <c r="X340">
        <f t="shared" si="119"/>
        <v>1</v>
      </c>
    </row>
    <row r="341" spans="1:24" x14ac:dyDescent="0.25">
      <c r="A341" s="4" t="s">
        <v>367</v>
      </c>
      <c r="B341" t="s">
        <v>19</v>
      </c>
      <c r="C341" t="s">
        <v>4</v>
      </c>
      <c r="D341" s="3">
        <f t="shared" si="100"/>
        <v>52</v>
      </c>
      <c r="E341" s="4">
        <f t="shared" si="101"/>
        <v>4</v>
      </c>
      <c r="F341" s="4">
        <f t="shared" si="102"/>
        <v>25</v>
      </c>
      <c r="G341" s="3">
        <f>IF(E341&gt;=20,2000,1900) + D341</f>
        <v>1952</v>
      </c>
      <c r="H341">
        <f t="shared" si="103"/>
        <v>4</v>
      </c>
      <c r="I341" s="4">
        <f t="shared" si="104"/>
        <v>25</v>
      </c>
      <c r="J341">
        <f t="shared" si="105"/>
        <v>19520425</v>
      </c>
      <c r="K341" t="str">
        <f t="shared" si="106"/>
        <v>25.04.1952</v>
      </c>
      <c r="L341" s="4">
        <f t="shared" si="107"/>
        <v>5</v>
      </c>
      <c r="M341" s="4">
        <f t="shared" si="108"/>
        <v>6</v>
      </c>
      <c r="N341" s="4">
        <f t="shared" si="109"/>
        <v>0</v>
      </c>
      <c r="O341" s="4">
        <f t="shared" si="110"/>
        <v>36</v>
      </c>
      <c r="P341" s="4">
        <f t="shared" si="111"/>
        <v>2</v>
      </c>
      <c r="Q341" s="4">
        <f t="shared" si="112"/>
        <v>15</v>
      </c>
      <c r="R341" s="4">
        <f t="shared" si="113"/>
        <v>35</v>
      </c>
      <c r="S341" s="4">
        <f t="shared" si="114"/>
        <v>72</v>
      </c>
      <c r="T341" s="4">
        <f t="shared" si="115"/>
        <v>5</v>
      </c>
      <c r="U341" s="4">
        <f t="shared" si="116"/>
        <v>0</v>
      </c>
      <c r="V341" s="8">
        <f t="shared" si="117"/>
        <v>6</v>
      </c>
      <c r="W341" s="8">
        <f t="shared" si="118"/>
        <v>4</v>
      </c>
      <c r="X341">
        <f t="shared" si="119"/>
        <v>1</v>
      </c>
    </row>
    <row r="342" spans="1:24" x14ac:dyDescent="0.25">
      <c r="A342" s="4" t="s">
        <v>368</v>
      </c>
      <c r="B342" t="s">
        <v>10</v>
      </c>
      <c r="C342" t="s">
        <v>4</v>
      </c>
      <c r="D342" s="3">
        <f t="shared" si="100"/>
        <v>60</v>
      </c>
      <c r="E342" s="4">
        <f t="shared" si="101"/>
        <v>9</v>
      </c>
      <c r="F342" s="4">
        <f t="shared" si="102"/>
        <v>18</v>
      </c>
      <c r="G342" s="3">
        <f>IF(E342&gt;=20,2000,1900) + D342</f>
        <v>1960</v>
      </c>
      <c r="H342">
        <f t="shared" si="103"/>
        <v>9</v>
      </c>
      <c r="I342" s="4">
        <f t="shared" si="104"/>
        <v>18</v>
      </c>
      <c r="J342">
        <f t="shared" si="105"/>
        <v>19600918</v>
      </c>
      <c r="K342" t="str">
        <f t="shared" si="106"/>
        <v>18.09.1960</v>
      </c>
      <c r="L342" s="4">
        <f t="shared" si="107"/>
        <v>6</v>
      </c>
      <c r="M342" s="4">
        <f t="shared" si="108"/>
        <v>0</v>
      </c>
      <c r="N342" s="4">
        <f t="shared" si="109"/>
        <v>0</v>
      </c>
      <c r="O342" s="4">
        <f t="shared" si="110"/>
        <v>81</v>
      </c>
      <c r="P342" s="4">
        <f t="shared" si="111"/>
        <v>1</v>
      </c>
      <c r="Q342" s="4">
        <f t="shared" si="112"/>
        <v>24</v>
      </c>
      <c r="R342" s="4">
        <f t="shared" si="113"/>
        <v>63</v>
      </c>
      <c r="S342" s="4">
        <f t="shared" si="114"/>
        <v>27</v>
      </c>
      <c r="T342" s="4">
        <f t="shared" si="115"/>
        <v>5</v>
      </c>
      <c r="U342" s="4">
        <f t="shared" si="116"/>
        <v>12</v>
      </c>
      <c r="V342" s="8">
        <f t="shared" si="117"/>
        <v>9</v>
      </c>
      <c r="W342" s="8">
        <f t="shared" si="118"/>
        <v>1</v>
      </c>
      <c r="X342">
        <f t="shared" si="119"/>
        <v>1</v>
      </c>
    </row>
    <row r="343" spans="1:24" x14ac:dyDescent="0.25">
      <c r="A343" s="4" t="s">
        <v>369</v>
      </c>
      <c r="B343" t="s">
        <v>10</v>
      </c>
      <c r="C343" t="s">
        <v>4</v>
      </c>
      <c r="D343" s="3">
        <f t="shared" si="100"/>
        <v>80</v>
      </c>
      <c r="E343" s="4">
        <f t="shared" si="101"/>
        <v>2</v>
      </c>
      <c r="F343" s="4">
        <f t="shared" si="102"/>
        <v>15</v>
      </c>
      <c r="G343" s="3">
        <f>IF(E343&gt;=20,2000,1900) + D343</f>
        <v>1980</v>
      </c>
      <c r="H343">
        <f t="shared" si="103"/>
        <v>2</v>
      </c>
      <c r="I343" s="4">
        <f t="shared" si="104"/>
        <v>15</v>
      </c>
      <c r="J343">
        <f t="shared" si="105"/>
        <v>19800215</v>
      </c>
      <c r="K343" t="str">
        <f t="shared" si="106"/>
        <v>15.02.1980</v>
      </c>
      <c r="L343" s="4">
        <f t="shared" si="107"/>
        <v>8</v>
      </c>
      <c r="M343" s="4">
        <f t="shared" si="108"/>
        <v>0</v>
      </c>
      <c r="N343" s="4">
        <f t="shared" si="109"/>
        <v>0</v>
      </c>
      <c r="O343" s="4">
        <f t="shared" si="110"/>
        <v>18</v>
      </c>
      <c r="P343" s="4">
        <f t="shared" si="111"/>
        <v>1</v>
      </c>
      <c r="Q343" s="4">
        <f t="shared" si="112"/>
        <v>15</v>
      </c>
      <c r="R343" s="4">
        <f t="shared" si="113"/>
        <v>63</v>
      </c>
      <c r="S343" s="4">
        <f t="shared" si="114"/>
        <v>27</v>
      </c>
      <c r="T343" s="4">
        <f t="shared" si="115"/>
        <v>4</v>
      </c>
      <c r="U343" s="4">
        <f t="shared" si="116"/>
        <v>15</v>
      </c>
      <c r="V343" s="8">
        <f t="shared" si="117"/>
        <v>1</v>
      </c>
      <c r="W343" s="8">
        <f t="shared" si="118"/>
        <v>9</v>
      </c>
      <c r="X343">
        <f t="shared" si="119"/>
        <v>1</v>
      </c>
    </row>
    <row r="344" spans="1:24" x14ac:dyDescent="0.25">
      <c r="A344" s="4" t="s">
        <v>370</v>
      </c>
      <c r="B344" t="s">
        <v>10</v>
      </c>
      <c r="C344" t="s">
        <v>6</v>
      </c>
      <c r="D344" s="3">
        <f t="shared" si="100"/>
        <v>62</v>
      </c>
      <c r="E344" s="4">
        <f t="shared" si="101"/>
        <v>1</v>
      </c>
      <c r="F344" s="4">
        <f t="shared" si="102"/>
        <v>19</v>
      </c>
      <c r="G344" s="3">
        <f>IF(E344&gt;=20,2000,1900) + D344</f>
        <v>1962</v>
      </c>
      <c r="H344">
        <f t="shared" si="103"/>
        <v>1</v>
      </c>
      <c r="I344" s="4">
        <f t="shared" si="104"/>
        <v>19</v>
      </c>
      <c r="J344">
        <f t="shared" si="105"/>
        <v>19620119</v>
      </c>
      <c r="K344" t="str">
        <f t="shared" si="106"/>
        <v>19.01.1962</v>
      </c>
      <c r="L344" s="4">
        <f t="shared" si="107"/>
        <v>6</v>
      </c>
      <c r="M344" s="4">
        <f t="shared" si="108"/>
        <v>6</v>
      </c>
      <c r="N344" s="4">
        <f t="shared" si="109"/>
        <v>0</v>
      </c>
      <c r="O344" s="4">
        <f t="shared" si="110"/>
        <v>9</v>
      </c>
      <c r="P344" s="4">
        <f t="shared" si="111"/>
        <v>1</v>
      </c>
      <c r="Q344" s="4">
        <f t="shared" si="112"/>
        <v>27</v>
      </c>
      <c r="R344" s="4">
        <f t="shared" si="113"/>
        <v>21</v>
      </c>
      <c r="S344" s="4">
        <f t="shared" si="114"/>
        <v>81</v>
      </c>
      <c r="T344" s="4">
        <f t="shared" si="115"/>
        <v>1</v>
      </c>
      <c r="U344" s="4">
        <f t="shared" si="116"/>
        <v>24</v>
      </c>
      <c r="V344" s="8">
        <f t="shared" si="117"/>
        <v>6</v>
      </c>
      <c r="W344" s="8">
        <f t="shared" si="118"/>
        <v>4</v>
      </c>
      <c r="X344">
        <f t="shared" si="119"/>
        <v>1</v>
      </c>
    </row>
    <row r="345" spans="1:24" x14ac:dyDescent="0.25">
      <c r="A345" s="4" t="s">
        <v>371</v>
      </c>
      <c r="B345" t="s">
        <v>19</v>
      </c>
      <c r="C345" t="s">
        <v>4</v>
      </c>
      <c r="D345" s="3">
        <f t="shared" si="100"/>
        <v>78</v>
      </c>
      <c r="E345" s="4">
        <f t="shared" si="101"/>
        <v>9</v>
      </c>
      <c r="F345" s="4">
        <f t="shared" si="102"/>
        <v>28</v>
      </c>
      <c r="G345" s="3">
        <f>IF(E345&gt;=20,2000,1900) + D345</f>
        <v>1978</v>
      </c>
      <c r="H345">
        <f t="shared" si="103"/>
        <v>9</v>
      </c>
      <c r="I345" s="4">
        <f t="shared" si="104"/>
        <v>28</v>
      </c>
      <c r="J345">
        <f t="shared" si="105"/>
        <v>19780928</v>
      </c>
      <c r="K345" t="str">
        <f t="shared" si="106"/>
        <v>28.09.1978</v>
      </c>
      <c r="L345" s="4">
        <f t="shared" si="107"/>
        <v>7</v>
      </c>
      <c r="M345" s="4">
        <f t="shared" si="108"/>
        <v>24</v>
      </c>
      <c r="N345" s="4">
        <f t="shared" si="109"/>
        <v>0</v>
      </c>
      <c r="O345" s="4">
        <f t="shared" si="110"/>
        <v>81</v>
      </c>
      <c r="P345" s="4">
        <f t="shared" si="111"/>
        <v>2</v>
      </c>
      <c r="Q345" s="4">
        <f t="shared" si="112"/>
        <v>24</v>
      </c>
      <c r="R345" s="4">
        <f t="shared" si="113"/>
        <v>7</v>
      </c>
      <c r="S345" s="4">
        <f t="shared" si="114"/>
        <v>36</v>
      </c>
      <c r="T345" s="4">
        <f t="shared" si="115"/>
        <v>3</v>
      </c>
      <c r="U345" s="4">
        <f t="shared" si="116"/>
        <v>24</v>
      </c>
      <c r="V345" s="8">
        <f t="shared" si="117"/>
        <v>8</v>
      </c>
      <c r="W345" s="8">
        <f t="shared" si="118"/>
        <v>2</v>
      </c>
      <c r="X345">
        <f t="shared" si="119"/>
        <v>1</v>
      </c>
    </row>
    <row r="346" spans="1:24" x14ac:dyDescent="0.25">
      <c r="A346" s="4" t="s">
        <v>372</v>
      </c>
      <c r="B346" t="s">
        <v>3</v>
      </c>
      <c r="C346" t="s">
        <v>4</v>
      </c>
      <c r="D346" s="3">
        <f t="shared" si="100"/>
        <v>69</v>
      </c>
      <c r="E346" s="4">
        <f t="shared" si="101"/>
        <v>6</v>
      </c>
      <c r="F346" s="4">
        <f t="shared" si="102"/>
        <v>5</v>
      </c>
      <c r="G346" s="3">
        <f>IF(E346&gt;=20,2000,1900) + D346</f>
        <v>1969</v>
      </c>
      <c r="H346">
        <f t="shared" si="103"/>
        <v>6</v>
      </c>
      <c r="I346" s="4">
        <f t="shared" si="104"/>
        <v>5</v>
      </c>
      <c r="J346">
        <f t="shared" si="105"/>
        <v>19690605</v>
      </c>
      <c r="K346" t="str">
        <f t="shared" si="106"/>
        <v>05.06.1969</v>
      </c>
      <c r="L346" s="4">
        <f t="shared" si="107"/>
        <v>6</v>
      </c>
      <c r="M346" s="4">
        <f t="shared" si="108"/>
        <v>27</v>
      </c>
      <c r="N346" s="4">
        <f t="shared" si="109"/>
        <v>0</v>
      </c>
      <c r="O346" s="4">
        <f t="shared" si="110"/>
        <v>54</v>
      </c>
      <c r="P346" s="4">
        <f t="shared" si="111"/>
        <v>0</v>
      </c>
      <c r="Q346" s="4">
        <f t="shared" si="112"/>
        <v>15</v>
      </c>
      <c r="R346" s="4">
        <f t="shared" si="113"/>
        <v>21</v>
      </c>
      <c r="S346" s="4">
        <f t="shared" si="114"/>
        <v>81</v>
      </c>
      <c r="T346" s="4">
        <f t="shared" si="115"/>
        <v>2</v>
      </c>
      <c r="U346" s="4">
        <f t="shared" si="116"/>
        <v>0</v>
      </c>
      <c r="V346" s="8">
        <f t="shared" si="117"/>
        <v>6</v>
      </c>
      <c r="W346" s="8">
        <f t="shared" si="118"/>
        <v>4</v>
      </c>
      <c r="X346">
        <f t="shared" si="119"/>
        <v>1</v>
      </c>
    </row>
    <row r="347" spans="1:24" x14ac:dyDescent="0.25">
      <c r="A347" s="4" t="s">
        <v>373</v>
      </c>
      <c r="B347" t="s">
        <v>13</v>
      </c>
      <c r="C347" t="s">
        <v>4</v>
      </c>
      <c r="D347" s="3">
        <f t="shared" si="100"/>
        <v>54</v>
      </c>
      <c r="E347" s="4">
        <f t="shared" si="101"/>
        <v>1</v>
      </c>
      <c r="F347" s="4">
        <f t="shared" si="102"/>
        <v>20</v>
      </c>
      <c r="G347" s="3">
        <f>IF(E347&gt;=20,2000,1900) + D347</f>
        <v>1954</v>
      </c>
      <c r="H347">
        <f t="shared" si="103"/>
        <v>1</v>
      </c>
      <c r="I347" s="4">
        <f t="shared" si="104"/>
        <v>20</v>
      </c>
      <c r="J347">
        <f t="shared" si="105"/>
        <v>19540120</v>
      </c>
      <c r="K347" t="str">
        <f t="shared" si="106"/>
        <v>20.01.1954</v>
      </c>
      <c r="L347" s="4">
        <f t="shared" si="107"/>
        <v>5</v>
      </c>
      <c r="M347" s="4">
        <f t="shared" si="108"/>
        <v>12</v>
      </c>
      <c r="N347" s="4">
        <f t="shared" si="109"/>
        <v>0</v>
      </c>
      <c r="O347" s="4">
        <f t="shared" si="110"/>
        <v>9</v>
      </c>
      <c r="P347" s="4">
        <f t="shared" si="111"/>
        <v>2</v>
      </c>
      <c r="Q347" s="4">
        <f t="shared" si="112"/>
        <v>0</v>
      </c>
      <c r="R347" s="4">
        <f t="shared" si="113"/>
        <v>14</v>
      </c>
      <c r="S347" s="4">
        <f t="shared" si="114"/>
        <v>81</v>
      </c>
      <c r="T347" s="4">
        <f t="shared" si="115"/>
        <v>4</v>
      </c>
      <c r="U347" s="4">
        <f t="shared" si="116"/>
        <v>24</v>
      </c>
      <c r="V347" s="8">
        <f t="shared" si="117"/>
        <v>1</v>
      </c>
      <c r="W347" s="8">
        <f t="shared" si="118"/>
        <v>9</v>
      </c>
      <c r="X347">
        <f t="shared" si="119"/>
        <v>1</v>
      </c>
    </row>
    <row r="348" spans="1:24" x14ac:dyDescent="0.25">
      <c r="A348" s="4" t="s">
        <v>374</v>
      </c>
      <c r="B348" t="s">
        <v>11</v>
      </c>
      <c r="C348" t="s">
        <v>6</v>
      </c>
      <c r="D348" s="3">
        <f t="shared" si="100"/>
        <v>71</v>
      </c>
      <c r="E348" s="4">
        <f t="shared" si="101"/>
        <v>12</v>
      </c>
      <c r="F348" s="4">
        <f t="shared" si="102"/>
        <v>7</v>
      </c>
      <c r="G348" s="3">
        <f>IF(E348&gt;=20,2000,1900) + D348</f>
        <v>1971</v>
      </c>
      <c r="H348">
        <f t="shared" si="103"/>
        <v>12</v>
      </c>
      <c r="I348" s="4">
        <f t="shared" si="104"/>
        <v>7</v>
      </c>
      <c r="J348">
        <f t="shared" si="105"/>
        <v>19711207</v>
      </c>
      <c r="K348" t="str">
        <f t="shared" si="106"/>
        <v>07.12.1971</v>
      </c>
      <c r="L348" s="4">
        <f t="shared" si="107"/>
        <v>7</v>
      </c>
      <c r="M348" s="4">
        <f t="shared" si="108"/>
        <v>3</v>
      </c>
      <c r="N348" s="4">
        <f t="shared" si="109"/>
        <v>7</v>
      </c>
      <c r="O348" s="4">
        <f t="shared" si="110"/>
        <v>18</v>
      </c>
      <c r="P348" s="4">
        <f t="shared" si="111"/>
        <v>0</v>
      </c>
      <c r="Q348" s="4">
        <f t="shared" si="112"/>
        <v>21</v>
      </c>
      <c r="R348" s="4">
        <f t="shared" si="113"/>
        <v>49</v>
      </c>
      <c r="S348" s="4">
        <f t="shared" si="114"/>
        <v>45</v>
      </c>
      <c r="T348" s="4">
        <f t="shared" si="115"/>
        <v>5</v>
      </c>
      <c r="U348" s="4">
        <f t="shared" si="116"/>
        <v>18</v>
      </c>
      <c r="V348" s="8">
        <f t="shared" si="117"/>
        <v>3</v>
      </c>
      <c r="W348" s="8">
        <f t="shared" si="118"/>
        <v>7</v>
      </c>
      <c r="X348">
        <f t="shared" si="119"/>
        <v>1</v>
      </c>
    </row>
    <row r="349" spans="1:24" x14ac:dyDescent="0.25">
      <c r="A349" s="4" t="s">
        <v>375</v>
      </c>
      <c r="B349" t="s">
        <v>13</v>
      </c>
      <c r="C349" t="s">
        <v>4</v>
      </c>
      <c r="D349" s="3">
        <f t="shared" si="100"/>
        <v>97</v>
      </c>
      <c r="E349" s="4">
        <f t="shared" si="101"/>
        <v>8</v>
      </c>
      <c r="F349" s="4">
        <f t="shared" si="102"/>
        <v>25</v>
      </c>
      <c r="G349" s="3">
        <f>IF(E349&gt;=20,2000,1900) + D349</f>
        <v>1997</v>
      </c>
      <c r="H349">
        <f t="shared" si="103"/>
        <v>8</v>
      </c>
      <c r="I349" s="4">
        <f t="shared" si="104"/>
        <v>25</v>
      </c>
      <c r="J349">
        <f t="shared" si="105"/>
        <v>19970825</v>
      </c>
      <c r="K349" t="str">
        <f t="shared" si="106"/>
        <v>25.08.1997</v>
      </c>
      <c r="L349" s="4">
        <f t="shared" si="107"/>
        <v>9</v>
      </c>
      <c r="M349" s="4">
        <f t="shared" si="108"/>
        <v>21</v>
      </c>
      <c r="N349" s="4">
        <f t="shared" si="109"/>
        <v>0</v>
      </c>
      <c r="O349" s="4">
        <f t="shared" si="110"/>
        <v>72</v>
      </c>
      <c r="P349" s="4">
        <f t="shared" si="111"/>
        <v>2</v>
      </c>
      <c r="Q349" s="4">
        <f t="shared" si="112"/>
        <v>15</v>
      </c>
      <c r="R349" s="4">
        <f t="shared" si="113"/>
        <v>35</v>
      </c>
      <c r="S349" s="4">
        <f t="shared" si="114"/>
        <v>0</v>
      </c>
      <c r="T349" s="4">
        <f t="shared" si="115"/>
        <v>3</v>
      </c>
      <c r="U349" s="4">
        <f t="shared" si="116"/>
        <v>27</v>
      </c>
      <c r="V349" s="8">
        <f t="shared" si="117"/>
        <v>4</v>
      </c>
      <c r="W349" s="8">
        <f t="shared" si="118"/>
        <v>6</v>
      </c>
      <c r="X349">
        <f t="shared" si="119"/>
        <v>1</v>
      </c>
    </row>
    <row r="350" spans="1:24" x14ac:dyDescent="0.25">
      <c r="A350" s="4" t="s">
        <v>376</v>
      </c>
      <c r="B350" t="s">
        <v>16</v>
      </c>
      <c r="C350" t="s">
        <v>4</v>
      </c>
      <c r="D350" s="3">
        <f t="shared" si="100"/>
        <v>83</v>
      </c>
      <c r="E350" s="4">
        <f t="shared" si="101"/>
        <v>9</v>
      </c>
      <c r="F350" s="4">
        <f t="shared" si="102"/>
        <v>20</v>
      </c>
      <c r="G350" s="3">
        <f>IF(E350&gt;=20,2000,1900) + D350</f>
        <v>1983</v>
      </c>
      <c r="H350">
        <f t="shared" si="103"/>
        <v>9</v>
      </c>
      <c r="I350" s="4">
        <f t="shared" si="104"/>
        <v>20</v>
      </c>
      <c r="J350">
        <f t="shared" si="105"/>
        <v>19830920</v>
      </c>
      <c r="K350" t="str">
        <f t="shared" si="106"/>
        <v>20.09.1983</v>
      </c>
      <c r="L350" s="4">
        <f t="shared" si="107"/>
        <v>8</v>
      </c>
      <c r="M350" s="4">
        <f t="shared" si="108"/>
        <v>9</v>
      </c>
      <c r="N350" s="4">
        <f t="shared" si="109"/>
        <v>0</v>
      </c>
      <c r="O350" s="4">
        <f t="shared" si="110"/>
        <v>81</v>
      </c>
      <c r="P350" s="4">
        <f t="shared" si="111"/>
        <v>2</v>
      </c>
      <c r="Q350" s="4">
        <f t="shared" si="112"/>
        <v>0</v>
      </c>
      <c r="R350" s="4">
        <f t="shared" si="113"/>
        <v>28</v>
      </c>
      <c r="S350" s="4">
        <f t="shared" si="114"/>
        <v>45</v>
      </c>
      <c r="T350" s="4">
        <f t="shared" si="115"/>
        <v>2</v>
      </c>
      <c r="U350" s="4">
        <f t="shared" si="116"/>
        <v>24</v>
      </c>
      <c r="V350" s="8">
        <f t="shared" si="117"/>
        <v>9</v>
      </c>
      <c r="W350" s="8">
        <f t="shared" si="118"/>
        <v>1</v>
      </c>
      <c r="X350">
        <f t="shared" si="119"/>
        <v>1</v>
      </c>
    </row>
    <row r="351" spans="1:24" x14ac:dyDescent="0.25">
      <c r="A351" s="4" t="s">
        <v>377</v>
      </c>
      <c r="B351" t="s">
        <v>19</v>
      </c>
      <c r="C351" t="s">
        <v>6</v>
      </c>
      <c r="D351" s="3">
        <f t="shared" si="100"/>
        <v>63</v>
      </c>
      <c r="E351" s="4">
        <f t="shared" si="101"/>
        <v>1</v>
      </c>
      <c r="F351" s="4">
        <f t="shared" si="102"/>
        <v>12</v>
      </c>
      <c r="G351" s="3">
        <f>IF(E351&gt;=20,2000,1900) + D351</f>
        <v>1963</v>
      </c>
      <c r="H351">
        <f t="shared" si="103"/>
        <v>1</v>
      </c>
      <c r="I351" s="4">
        <f t="shared" si="104"/>
        <v>12</v>
      </c>
      <c r="J351">
        <f t="shared" si="105"/>
        <v>19630112</v>
      </c>
      <c r="K351" t="str">
        <f t="shared" si="106"/>
        <v>12.01.1963</v>
      </c>
      <c r="L351" s="4">
        <f t="shared" si="107"/>
        <v>6</v>
      </c>
      <c r="M351" s="4">
        <f t="shared" si="108"/>
        <v>9</v>
      </c>
      <c r="N351" s="4">
        <f t="shared" si="109"/>
        <v>0</v>
      </c>
      <c r="O351" s="4">
        <f t="shared" si="110"/>
        <v>9</v>
      </c>
      <c r="P351" s="4">
        <f t="shared" si="111"/>
        <v>1</v>
      </c>
      <c r="Q351" s="4">
        <f t="shared" si="112"/>
        <v>6</v>
      </c>
      <c r="R351" s="4">
        <f t="shared" si="113"/>
        <v>7</v>
      </c>
      <c r="S351" s="4">
        <f t="shared" si="114"/>
        <v>18</v>
      </c>
      <c r="T351" s="4">
        <f t="shared" si="115"/>
        <v>0</v>
      </c>
      <c r="U351" s="4">
        <f t="shared" si="116"/>
        <v>3</v>
      </c>
      <c r="V351" s="8">
        <f t="shared" si="117"/>
        <v>9</v>
      </c>
      <c r="W351" s="8">
        <f t="shared" si="118"/>
        <v>1</v>
      </c>
      <c r="X351">
        <f t="shared" si="119"/>
        <v>1</v>
      </c>
    </row>
    <row r="352" spans="1:24" x14ac:dyDescent="0.25">
      <c r="A352" s="4" t="s">
        <v>378</v>
      </c>
      <c r="B352" t="s">
        <v>17</v>
      </c>
      <c r="C352" t="s">
        <v>4</v>
      </c>
      <c r="D352" s="3">
        <f t="shared" si="100"/>
        <v>55</v>
      </c>
      <c r="E352" s="4">
        <f t="shared" si="101"/>
        <v>4</v>
      </c>
      <c r="F352" s="4">
        <f t="shared" si="102"/>
        <v>3</v>
      </c>
      <c r="G352" s="3">
        <f>IF(E352&gt;=20,2000,1900) + D352</f>
        <v>1955</v>
      </c>
      <c r="H352">
        <f t="shared" si="103"/>
        <v>4</v>
      </c>
      <c r="I352" s="4">
        <f t="shared" si="104"/>
        <v>3</v>
      </c>
      <c r="J352">
        <f t="shared" si="105"/>
        <v>19550403</v>
      </c>
      <c r="K352" t="str">
        <f t="shared" si="106"/>
        <v>03.04.1955</v>
      </c>
      <c r="L352" s="4">
        <f t="shared" si="107"/>
        <v>5</v>
      </c>
      <c r="M352" s="4">
        <f t="shared" si="108"/>
        <v>15</v>
      </c>
      <c r="N352" s="4">
        <f t="shared" si="109"/>
        <v>0</v>
      </c>
      <c r="O352" s="4">
        <f t="shared" si="110"/>
        <v>36</v>
      </c>
      <c r="P352" s="4">
        <f t="shared" si="111"/>
        <v>0</v>
      </c>
      <c r="Q352" s="4">
        <f t="shared" si="112"/>
        <v>9</v>
      </c>
      <c r="R352" s="4">
        <f t="shared" si="113"/>
        <v>49</v>
      </c>
      <c r="S352" s="4">
        <f t="shared" si="114"/>
        <v>72</v>
      </c>
      <c r="T352" s="4">
        <f t="shared" si="115"/>
        <v>4</v>
      </c>
      <c r="U352" s="4">
        <f t="shared" si="116"/>
        <v>24</v>
      </c>
      <c r="V352" s="8">
        <f t="shared" si="117"/>
        <v>4</v>
      </c>
      <c r="W352" s="8">
        <f t="shared" si="118"/>
        <v>6</v>
      </c>
      <c r="X352">
        <f t="shared" si="119"/>
        <v>1</v>
      </c>
    </row>
    <row r="353" spans="1:24" x14ac:dyDescent="0.25">
      <c r="A353" s="4" t="s">
        <v>379</v>
      </c>
      <c r="B353" t="s">
        <v>11</v>
      </c>
      <c r="C353" t="s">
        <v>6</v>
      </c>
      <c r="D353" s="3">
        <f t="shared" si="100"/>
        <v>93</v>
      </c>
      <c r="E353" s="4">
        <f t="shared" si="101"/>
        <v>4</v>
      </c>
      <c r="F353" s="4">
        <f t="shared" si="102"/>
        <v>23</v>
      </c>
      <c r="G353" s="3">
        <f>IF(E353&gt;=20,2000,1900) + D353</f>
        <v>1993</v>
      </c>
      <c r="H353">
        <f t="shared" si="103"/>
        <v>4</v>
      </c>
      <c r="I353" s="4">
        <f t="shared" si="104"/>
        <v>23</v>
      </c>
      <c r="J353">
        <f t="shared" si="105"/>
        <v>19930423</v>
      </c>
      <c r="K353" t="str">
        <f t="shared" si="106"/>
        <v>23.04.1993</v>
      </c>
      <c r="L353" s="4">
        <f t="shared" si="107"/>
        <v>9</v>
      </c>
      <c r="M353" s="4">
        <f t="shared" si="108"/>
        <v>9</v>
      </c>
      <c r="N353" s="4">
        <f t="shared" si="109"/>
        <v>0</v>
      </c>
      <c r="O353" s="4">
        <f t="shared" si="110"/>
        <v>36</v>
      </c>
      <c r="P353" s="4">
        <f t="shared" si="111"/>
        <v>2</v>
      </c>
      <c r="Q353" s="4">
        <f t="shared" si="112"/>
        <v>9</v>
      </c>
      <c r="R353" s="4">
        <f t="shared" si="113"/>
        <v>28</v>
      </c>
      <c r="S353" s="4">
        <f t="shared" si="114"/>
        <v>45</v>
      </c>
      <c r="T353" s="4">
        <f t="shared" si="115"/>
        <v>8</v>
      </c>
      <c r="U353" s="4">
        <f t="shared" si="116"/>
        <v>21</v>
      </c>
      <c r="V353" s="8">
        <f t="shared" si="117"/>
        <v>7</v>
      </c>
      <c r="W353" s="8">
        <f t="shared" si="118"/>
        <v>3</v>
      </c>
      <c r="X353">
        <f t="shared" si="119"/>
        <v>1</v>
      </c>
    </row>
    <row r="354" spans="1:24" x14ac:dyDescent="0.25">
      <c r="A354" s="4" t="s">
        <v>380</v>
      </c>
      <c r="B354" t="s">
        <v>7</v>
      </c>
      <c r="C354" t="s">
        <v>4</v>
      </c>
      <c r="D354" s="3">
        <f t="shared" si="100"/>
        <v>54</v>
      </c>
      <c r="E354" s="4">
        <f t="shared" si="101"/>
        <v>5</v>
      </c>
      <c r="F354" s="4">
        <f t="shared" si="102"/>
        <v>4</v>
      </c>
      <c r="G354" s="3">
        <f>IF(E354&gt;=20,2000,1900) + D354</f>
        <v>1954</v>
      </c>
      <c r="H354">
        <f t="shared" si="103"/>
        <v>5</v>
      </c>
      <c r="I354" s="4">
        <f t="shared" si="104"/>
        <v>4</v>
      </c>
      <c r="J354">
        <f t="shared" si="105"/>
        <v>19540504</v>
      </c>
      <c r="K354" t="str">
        <f t="shared" si="106"/>
        <v>04.05.1954</v>
      </c>
      <c r="L354" s="4">
        <f t="shared" si="107"/>
        <v>5</v>
      </c>
      <c r="M354" s="4">
        <f t="shared" si="108"/>
        <v>12</v>
      </c>
      <c r="N354" s="4">
        <f t="shared" si="109"/>
        <v>0</v>
      </c>
      <c r="O354" s="4">
        <f t="shared" si="110"/>
        <v>45</v>
      </c>
      <c r="P354" s="4">
        <f t="shared" si="111"/>
        <v>0</v>
      </c>
      <c r="Q354" s="4">
        <f t="shared" si="112"/>
        <v>12</v>
      </c>
      <c r="R354" s="4">
        <f t="shared" si="113"/>
        <v>21</v>
      </c>
      <c r="S354" s="4">
        <f t="shared" si="114"/>
        <v>54</v>
      </c>
      <c r="T354" s="4">
        <f t="shared" si="115"/>
        <v>0</v>
      </c>
      <c r="U354" s="4">
        <f t="shared" si="116"/>
        <v>9</v>
      </c>
      <c r="V354" s="8">
        <f t="shared" si="117"/>
        <v>8</v>
      </c>
      <c r="W354" s="8">
        <f t="shared" si="118"/>
        <v>2</v>
      </c>
      <c r="X354">
        <f t="shared" si="119"/>
        <v>1</v>
      </c>
    </row>
    <row r="355" spans="1:24" x14ac:dyDescent="0.25">
      <c r="A355" s="4" t="s">
        <v>381</v>
      </c>
      <c r="B355" t="s">
        <v>20</v>
      </c>
      <c r="C355" t="s">
        <v>6</v>
      </c>
      <c r="D355" s="3">
        <f t="shared" si="100"/>
        <v>87</v>
      </c>
      <c r="E355" s="4">
        <f t="shared" si="101"/>
        <v>11</v>
      </c>
      <c r="F355" s="4">
        <f t="shared" si="102"/>
        <v>4</v>
      </c>
      <c r="G355" s="3">
        <f>IF(E355&gt;=20,2000,1900) + D355</f>
        <v>1987</v>
      </c>
      <c r="H355">
        <f t="shared" si="103"/>
        <v>11</v>
      </c>
      <c r="I355" s="4">
        <f t="shared" si="104"/>
        <v>4</v>
      </c>
      <c r="J355">
        <f t="shared" si="105"/>
        <v>19871104</v>
      </c>
      <c r="K355" t="str">
        <f t="shared" si="106"/>
        <v>04.11.1987</v>
      </c>
      <c r="L355" s="4">
        <f t="shared" si="107"/>
        <v>8</v>
      </c>
      <c r="M355" s="4">
        <f t="shared" si="108"/>
        <v>21</v>
      </c>
      <c r="N355" s="4">
        <f t="shared" si="109"/>
        <v>7</v>
      </c>
      <c r="O355" s="4">
        <f t="shared" si="110"/>
        <v>9</v>
      </c>
      <c r="P355" s="4">
        <f t="shared" si="111"/>
        <v>0</v>
      </c>
      <c r="Q355" s="4">
        <f t="shared" si="112"/>
        <v>12</v>
      </c>
      <c r="R355" s="4">
        <f t="shared" si="113"/>
        <v>56</v>
      </c>
      <c r="S355" s="4">
        <f t="shared" si="114"/>
        <v>27</v>
      </c>
      <c r="T355" s="4">
        <f t="shared" si="115"/>
        <v>3</v>
      </c>
      <c r="U355" s="4">
        <f t="shared" si="116"/>
        <v>3</v>
      </c>
      <c r="V355" s="8">
        <f t="shared" si="117"/>
        <v>6</v>
      </c>
      <c r="W355" s="8">
        <f t="shared" si="118"/>
        <v>4</v>
      </c>
      <c r="X355">
        <f t="shared" si="119"/>
        <v>1</v>
      </c>
    </row>
    <row r="356" spans="1:24" x14ac:dyDescent="0.25">
      <c r="A356" s="4" t="s">
        <v>382</v>
      </c>
      <c r="B356" t="s">
        <v>18</v>
      </c>
      <c r="C356" t="s">
        <v>6</v>
      </c>
      <c r="D356" s="3">
        <f t="shared" si="100"/>
        <v>56</v>
      </c>
      <c r="E356" s="4">
        <f t="shared" si="101"/>
        <v>10</v>
      </c>
      <c r="F356" s="4">
        <f t="shared" si="102"/>
        <v>2</v>
      </c>
      <c r="G356" s="3">
        <f>IF(E356&gt;=20,2000,1900) + D356</f>
        <v>1956</v>
      </c>
      <c r="H356">
        <f t="shared" si="103"/>
        <v>10</v>
      </c>
      <c r="I356" s="4">
        <f t="shared" si="104"/>
        <v>2</v>
      </c>
      <c r="J356">
        <f t="shared" si="105"/>
        <v>19561002</v>
      </c>
      <c r="K356" t="str">
        <f t="shared" si="106"/>
        <v>02.10.1956</v>
      </c>
      <c r="L356" s="4">
        <f t="shared" si="107"/>
        <v>5</v>
      </c>
      <c r="M356" s="4">
        <f t="shared" si="108"/>
        <v>18</v>
      </c>
      <c r="N356" s="4">
        <f t="shared" si="109"/>
        <v>7</v>
      </c>
      <c r="O356" s="4">
        <f t="shared" si="110"/>
        <v>0</v>
      </c>
      <c r="P356" s="4">
        <f t="shared" si="111"/>
        <v>0</v>
      </c>
      <c r="Q356" s="4">
        <f t="shared" si="112"/>
        <v>6</v>
      </c>
      <c r="R356" s="4">
        <f t="shared" si="113"/>
        <v>14</v>
      </c>
      <c r="S356" s="4">
        <f t="shared" si="114"/>
        <v>45</v>
      </c>
      <c r="T356" s="4">
        <f t="shared" si="115"/>
        <v>5</v>
      </c>
      <c r="U356" s="4">
        <f t="shared" si="116"/>
        <v>27</v>
      </c>
      <c r="V356" s="8">
        <f t="shared" si="117"/>
        <v>7</v>
      </c>
      <c r="W356" s="8">
        <f t="shared" si="118"/>
        <v>3</v>
      </c>
      <c r="X356">
        <f t="shared" si="119"/>
        <v>1</v>
      </c>
    </row>
    <row r="357" spans="1:24" x14ac:dyDescent="0.25">
      <c r="A357" s="4" t="s">
        <v>383</v>
      </c>
      <c r="B357" t="s">
        <v>19</v>
      </c>
      <c r="C357" t="s">
        <v>4</v>
      </c>
      <c r="D357" s="3">
        <f t="shared" si="100"/>
        <v>87</v>
      </c>
      <c r="E357" s="4">
        <f t="shared" si="101"/>
        <v>8</v>
      </c>
      <c r="F357" s="4">
        <f t="shared" si="102"/>
        <v>17</v>
      </c>
      <c r="G357" s="3">
        <f>IF(E357&gt;=20,2000,1900) + D357</f>
        <v>1987</v>
      </c>
      <c r="H357">
        <f t="shared" si="103"/>
        <v>8</v>
      </c>
      <c r="I357" s="4">
        <f t="shared" si="104"/>
        <v>17</v>
      </c>
      <c r="J357">
        <f t="shared" si="105"/>
        <v>19870817</v>
      </c>
      <c r="K357" t="str">
        <f t="shared" si="106"/>
        <v>17.08.1987</v>
      </c>
      <c r="L357" s="4">
        <f t="shared" si="107"/>
        <v>8</v>
      </c>
      <c r="M357" s="4">
        <f t="shared" si="108"/>
        <v>21</v>
      </c>
      <c r="N357" s="4">
        <f t="shared" si="109"/>
        <v>0</v>
      </c>
      <c r="O357" s="4">
        <f t="shared" si="110"/>
        <v>72</v>
      </c>
      <c r="P357" s="4">
        <f t="shared" si="111"/>
        <v>1</v>
      </c>
      <c r="Q357" s="4">
        <f t="shared" si="112"/>
        <v>21</v>
      </c>
      <c r="R357" s="4">
        <f t="shared" si="113"/>
        <v>35</v>
      </c>
      <c r="S357" s="4">
        <f t="shared" si="114"/>
        <v>9</v>
      </c>
      <c r="T357" s="4">
        <f t="shared" si="115"/>
        <v>7</v>
      </c>
      <c r="U357" s="4">
        <f t="shared" si="116"/>
        <v>9</v>
      </c>
      <c r="V357" s="8">
        <f t="shared" si="117"/>
        <v>3</v>
      </c>
      <c r="W357" s="8">
        <f t="shared" si="118"/>
        <v>7</v>
      </c>
      <c r="X357">
        <f t="shared" si="119"/>
        <v>1</v>
      </c>
    </row>
    <row r="358" spans="1:24" x14ac:dyDescent="0.25">
      <c r="A358" s="4" t="s">
        <v>384</v>
      </c>
      <c r="B358" t="s">
        <v>19</v>
      </c>
      <c r="C358" t="s">
        <v>4</v>
      </c>
      <c r="D358" s="3">
        <f t="shared" si="100"/>
        <v>65</v>
      </c>
      <c r="E358" s="4">
        <f t="shared" si="101"/>
        <v>3</v>
      </c>
      <c r="F358" s="4">
        <f t="shared" si="102"/>
        <v>1</v>
      </c>
      <c r="G358" s="3">
        <f>IF(E358&gt;=20,2000,1900) + D358</f>
        <v>1965</v>
      </c>
      <c r="H358">
        <f t="shared" si="103"/>
        <v>3</v>
      </c>
      <c r="I358" s="4">
        <f t="shared" si="104"/>
        <v>1</v>
      </c>
      <c r="J358">
        <f t="shared" si="105"/>
        <v>19650301</v>
      </c>
      <c r="K358" t="str">
        <f t="shared" si="106"/>
        <v>01.03.1965</v>
      </c>
      <c r="L358" s="4">
        <f t="shared" si="107"/>
        <v>6</v>
      </c>
      <c r="M358" s="4">
        <f t="shared" si="108"/>
        <v>15</v>
      </c>
      <c r="N358" s="4">
        <f t="shared" si="109"/>
        <v>0</v>
      </c>
      <c r="O358" s="4">
        <f t="shared" si="110"/>
        <v>27</v>
      </c>
      <c r="P358" s="4">
        <f t="shared" si="111"/>
        <v>0</v>
      </c>
      <c r="Q358" s="4">
        <f t="shared" si="112"/>
        <v>3</v>
      </c>
      <c r="R358" s="4">
        <f t="shared" si="113"/>
        <v>49</v>
      </c>
      <c r="S358" s="4">
        <f t="shared" si="114"/>
        <v>63</v>
      </c>
      <c r="T358" s="4">
        <f t="shared" si="115"/>
        <v>3</v>
      </c>
      <c r="U358" s="4">
        <f t="shared" si="116"/>
        <v>15</v>
      </c>
      <c r="V358" s="8">
        <f t="shared" si="117"/>
        <v>1</v>
      </c>
      <c r="W358" s="8">
        <f t="shared" si="118"/>
        <v>9</v>
      </c>
      <c r="X358">
        <f t="shared" si="119"/>
        <v>1</v>
      </c>
    </row>
    <row r="359" spans="1:24" x14ac:dyDescent="0.25">
      <c r="A359" s="4" t="s">
        <v>385</v>
      </c>
      <c r="B359" t="s">
        <v>12</v>
      </c>
      <c r="C359" t="s">
        <v>6</v>
      </c>
      <c r="D359" s="3">
        <f t="shared" si="100"/>
        <v>98</v>
      </c>
      <c r="E359" s="4">
        <f t="shared" si="101"/>
        <v>10</v>
      </c>
      <c r="F359" s="4">
        <f t="shared" si="102"/>
        <v>14</v>
      </c>
      <c r="G359" s="3">
        <f>IF(E359&gt;=20,2000,1900) + D359</f>
        <v>1998</v>
      </c>
      <c r="H359">
        <f t="shared" si="103"/>
        <v>10</v>
      </c>
      <c r="I359" s="4">
        <f t="shared" si="104"/>
        <v>14</v>
      </c>
      <c r="J359">
        <f t="shared" si="105"/>
        <v>19981014</v>
      </c>
      <c r="K359" t="str">
        <f t="shared" si="106"/>
        <v>14.10.1998</v>
      </c>
      <c r="L359" s="4">
        <f t="shared" si="107"/>
        <v>9</v>
      </c>
      <c r="M359" s="4">
        <f t="shared" si="108"/>
        <v>24</v>
      </c>
      <c r="N359" s="4">
        <f t="shared" si="109"/>
        <v>7</v>
      </c>
      <c r="O359" s="4">
        <f t="shared" si="110"/>
        <v>0</v>
      </c>
      <c r="P359" s="4">
        <f t="shared" si="111"/>
        <v>1</v>
      </c>
      <c r="Q359" s="4">
        <f t="shared" si="112"/>
        <v>12</v>
      </c>
      <c r="R359" s="4">
        <f t="shared" si="113"/>
        <v>63</v>
      </c>
      <c r="S359" s="4">
        <f t="shared" si="114"/>
        <v>54</v>
      </c>
      <c r="T359" s="4">
        <f t="shared" si="115"/>
        <v>1</v>
      </c>
      <c r="U359" s="4">
        <f t="shared" si="116"/>
        <v>27</v>
      </c>
      <c r="V359" s="8">
        <f t="shared" si="117"/>
        <v>8</v>
      </c>
      <c r="W359" s="8">
        <f t="shared" si="118"/>
        <v>2</v>
      </c>
      <c r="X359">
        <f t="shared" si="119"/>
        <v>1</v>
      </c>
    </row>
    <row r="360" spans="1:24" x14ac:dyDescent="0.25">
      <c r="A360" s="4" t="s">
        <v>386</v>
      </c>
      <c r="B360" t="s">
        <v>16</v>
      </c>
      <c r="C360" t="s">
        <v>4</v>
      </c>
      <c r="D360" s="3">
        <f t="shared" si="100"/>
        <v>81</v>
      </c>
      <c r="E360" s="4">
        <f t="shared" si="101"/>
        <v>7</v>
      </c>
      <c r="F360" s="4">
        <f t="shared" si="102"/>
        <v>14</v>
      </c>
      <c r="G360" s="3">
        <f>IF(E360&gt;=20,2000,1900) + D360</f>
        <v>1981</v>
      </c>
      <c r="H360">
        <f t="shared" si="103"/>
        <v>7</v>
      </c>
      <c r="I360" s="4">
        <f t="shared" si="104"/>
        <v>14</v>
      </c>
      <c r="J360">
        <f t="shared" si="105"/>
        <v>19810714</v>
      </c>
      <c r="K360" t="str">
        <f t="shared" si="106"/>
        <v>14.07.1981</v>
      </c>
      <c r="L360" s="4">
        <f t="shared" si="107"/>
        <v>8</v>
      </c>
      <c r="M360" s="4">
        <f t="shared" si="108"/>
        <v>3</v>
      </c>
      <c r="N360" s="4">
        <f t="shared" si="109"/>
        <v>0</v>
      </c>
      <c r="O360" s="4">
        <f t="shared" si="110"/>
        <v>63</v>
      </c>
      <c r="P360" s="4">
        <f t="shared" si="111"/>
        <v>1</v>
      </c>
      <c r="Q360" s="4">
        <f t="shared" si="112"/>
        <v>12</v>
      </c>
      <c r="R360" s="4">
        <f t="shared" si="113"/>
        <v>21</v>
      </c>
      <c r="S360" s="4">
        <f t="shared" si="114"/>
        <v>63</v>
      </c>
      <c r="T360" s="4">
        <f t="shared" si="115"/>
        <v>5</v>
      </c>
      <c r="U360" s="4">
        <f t="shared" si="116"/>
        <v>27</v>
      </c>
      <c r="V360" s="8">
        <f t="shared" si="117"/>
        <v>3</v>
      </c>
      <c r="W360" s="8">
        <f t="shared" si="118"/>
        <v>7</v>
      </c>
      <c r="X360">
        <f t="shared" si="119"/>
        <v>1</v>
      </c>
    </row>
    <row r="361" spans="1:24" x14ac:dyDescent="0.25">
      <c r="A361" s="4" t="s">
        <v>387</v>
      </c>
      <c r="B361" t="s">
        <v>19</v>
      </c>
      <c r="C361" t="s">
        <v>4</v>
      </c>
      <c r="D361" s="3">
        <f t="shared" si="100"/>
        <v>82</v>
      </c>
      <c r="E361" s="4">
        <f t="shared" si="101"/>
        <v>4</v>
      </c>
      <c r="F361" s="4">
        <f t="shared" si="102"/>
        <v>28</v>
      </c>
      <c r="G361" s="3">
        <f>IF(E361&gt;=20,2000,1900) + D361</f>
        <v>1982</v>
      </c>
      <c r="H361">
        <f t="shared" si="103"/>
        <v>4</v>
      </c>
      <c r="I361" s="4">
        <f t="shared" si="104"/>
        <v>28</v>
      </c>
      <c r="J361">
        <f t="shared" si="105"/>
        <v>19820428</v>
      </c>
      <c r="K361" t="str">
        <f t="shared" si="106"/>
        <v>28.04.1982</v>
      </c>
      <c r="L361" s="4">
        <f t="shared" si="107"/>
        <v>8</v>
      </c>
      <c r="M361" s="4">
        <f t="shared" si="108"/>
        <v>6</v>
      </c>
      <c r="N361" s="4">
        <f t="shared" si="109"/>
        <v>0</v>
      </c>
      <c r="O361" s="4">
        <f t="shared" si="110"/>
        <v>36</v>
      </c>
      <c r="P361" s="4">
        <f t="shared" si="111"/>
        <v>2</v>
      </c>
      <c r="Q361" s="4">
        <f t="shared" si="112"/>
        <v>24</v>
      </c>
      <c r="R361" s="4">
        <f t="shared" si="113"/>
        <v>56</v>
      </c>
      <c r="S361" s="4">
        <f t="shared" si="114"/>
        <v>27</v>
      </c>
      <c r="T361" s="4">
        <f t="shared" si="115"/>
        <v>2</v>
      </c>
      <c r="U361" s="4">
        <f t="shared" si="116"/>
        <v>24</v>
      </c>
      <c r="V361" s="8">
        <f t="shared" si="117"/>
        <v>5</v>
      </c>
      <c r="W361" s="8">
        <f t="shared" si="118"/>
        <v>5</v>
      </c>
      <c r="X361">
        <f t="shared" si="119"/>
        <v>1</v>
      </c>
    </row>
    <row r="362" spans="1:24" x14ac:dyDescent="0.25">
      <c r="A362" s="4" t="s">
        <v>388</v>
      </c>
      <c r="B362" t="s">
        <v>16</v>
      </c>
      <c r="C362" t="s">
        <v>4</v>
      </c>
      <c r="D362" s="3">
        <f t="shared" si="100"/>
        <v>76</v>
      </c>
      <c r="E362" s="4">
        <f t="shared" si="101"/>
        <v>10</v>
      </c>
      <c r="F362" s="4">
        <f t="shared" si="102"/>
        <v>5</v>
      </c>
      <c r="G362" s="3">
        <f>IF(E362&gt;=20,2000,1900) + D362</f>
        <v>1976</v>
      </c>
      <c r="H362">
        <f t="shared" si="103"/>
        <v>10</v>
      </c>
      <c r="I362" s="4">
        <f t="shared" si="104"/>
        <v>5</v>
      </c>
      <c r="J362">
        <f t="shared" si="105"/>
        <v>19761005</v>
      </c>
      <c r="K362" t="str">
        <f t="shared" si="106"/>
        <v>05.10.1976</v>
      </c>
      <c r="L362" s="4">
        <f t="shared" si="107"/>
        <v>7</v>
      </c>
      <c r="M362" s="4">
        <f t="shared" si="108"/>
        <v>18</v>
      </c>
      <c r="N362" s="4">
        <f t="shared" si="109"/>
        <v>7</v>
      </c>
      <c r="O362" s="4">
        <f t="shared" si="110"/>
        <v>0</v>
      </c>
      <c r="P362" s="4">
        <f t="shared" si="111"/>
        <v>0</v>
      </c>
      <c r="Q362" s="4">
        <f t="shared" si="112"/>
        <v>15</v>
      </c>
      <c r="R362" s="4">
        <f t="shared" si="113"/>
        <v>7</v>
      </c>
      <c r="S362" s="4">
        <f t="shared" si="114"/>
        <v>72</v>
      </c>
      <c r="T362" s="4">
        <f t="shared" si="115"/>
        <v>5</v>
      </c>
      <c r="U362" s="4">
        <f t="shared" si="116"/>
        <v>3</v>
      </c>
      <c r="V362" s="8">
        <f t="shared" si="117"/>
        <v>4</v>
      </c>
      <c r="W362" s="8">
        <f t="shared" si="118"/>
        <v>6</v>
      </c>
      <c r="X362">
        <f t="shared" si="119"/>
        <v>1</v>
      </c>
    </row>
    <row r="363" spans="1:24" x14ac:dyDescent="0.25">
      <c r="A363" s="4" t="s">
        <v>389</v>
      </c>
      <c r="B363" t="s">
        <v>12</v>
      </c>
      <c r="C363" t="s">
        <v>6</v>
      </c>
      <c r="D363" s="3">
        <f t="shared" si="100"/>
        <v>76</v>
      </c>
      <c r="E363" s="4">
        <f t="shared" si="101"/>
        <v>2</v>
      </c>
      <c r="F363" s="4">
        <f t="shared" si="102"/>
        <v>16</v>
      </c>
      <c r="G363" s="3">
        <f>IF(E363&gt;=20,2000,1900) + D363</f>
        <v>1976</v>
      </c>
      <c r="H363">
        <f t="shared" si="103"/>
        <v>2</v>
      </c>
      <c r="I363" s="4">
        <f t="shared" si="104"/>
        <v>16</v>
      </c>
      <c r="J363">
        <f t="shared" si="105"/>
        <v>19760216</v>
      </c>
      <c r="K363" t="str">
        <f t="shared" si="106"/>
        <v>16.02.1976</v>
      </c>
      <c r="L363" s="4">
        <f t="shared" si="107"/>
        <v>7</v>
      </c>
      <c r="M363" s="4">
        <f t="shared" si="108"/>
        <v>18</v>
      </c>
      <c r="N363" s="4">
        <f t="shared" si="109"/>
        <v>0</v>
      </c>
      <c r="O363" s="4">
        <f t="shared" si="110"/>
        <v>18</v>
      </c>
      <c r="P363" s="4">
        <f t="shared" si="111"/>
        <v>1</v>
      </c>
      <c r="Q363" s="4">
        <f t="shared" si="112"/>
        <v>18</v>
      </c>
      <c r="R363" s="4">
        <f t="shared" si="113"/>
        <v>35</v>
      </c>
      <c r="S363" s="4">
        <f t="shared" si="114"/>
        <v>45</v>
      </c>
      <c r="T363" s="4">
        <f t="shared" si="115"/>
        <v>4</v>
      </c>
      <c r="U363" s="4">
        <f t="shared" si="116"/>
        <v>3</v>
      </c>
      <c r="V363" s="8">
        <f t="shared" si="117"/>
        <v>9</v>
      </c>
      <c r="W363" s="8">
        <f t="shared" si="118"/>
        <v>1</v>
      </c>
      <c r="X363">
        <f t="shared" si="119"/>
        <v>1</v>
      </c>
    </row>
    <row r="364" spans="1:24" x14ac:dyDescent="0.25">
      <c r="A364" s="4" t="s">
        <v>390</v>
      </c>
      <c r="B364" t="s">
        <v>15</v>
      </c>
      <c r="C364" t="s">
        <v>6</v>
      </c>
      <c r="D364" s="3">
        <f t="shared" si="100"/>
        <v>99</v>
      </c>
      <c r="E364" s="4">
        <f t="shared" si="101"/>
        <v>8</v>
      </c>
      <c r="F364" s="4">
        <f t="shared" si="102"/>
        <v>31</v>
      </c>
      <c r="G364" s="3">
        <f>IF(E364&gt;=20,2000,1900) + D364</f>
        <v>1999</v>
      </c>
      <c r="H364">
        <f t="shared" si="103"/>
        <v>8</v>
      </c>
      <c r="I364" s="4">
        <f t="shared" si="104"/>
        <v>31</v>
      </c>
      <c r="J364">
        <f t="shared" si="105"/>
        <v>19990831</v>
      </c>
      <c r="K364" t="str">
        <f t="shared" si="106"/>
        <v>31.08.1999</v>
      </c>
      <c r="L364" s="4">
        <f t="shared" si="107"/>
        <v>9</v>
      </c>
      <c r="M364" s="4">
        <f t="shared" si="108"/>
        <v>27</v>
      </c>
      <c r="N364" s="4">
        <f t="shared" si="109"/>
        <v>0</v>
      </c>
      <c r="O364" s="4">
        <f t="shared" si="110"/>
        <v>72</v>
      </c>
      <c r="P364" s="4">
        <f t="shared" si="111"/>
        <v>3</v>
      </c>
      <c r="Q364" s="4">
        <f t="shared" si="112"/>
        <v>3</v>
      </c>
      <c r="R364" s="4">
        <f t="shared" si="113"/>
        <v>0</v>
      </c>
      <c r="S364" s="4">
        <f t="shared" si="114"/>
        <v>72</v>
      </c>
      <c r="T364" s="4">
        <f t="shared" si="115"/>
        <v>9</v>
      </c>
      <c r="U364" s="4">
        <f t="shared" si="116"/>
        <v>3</v>
      </c>
      <c r="V364" s="8">
        <f t="shared" si="117"/>
        <v>8</v>
      </c>
      <c r="W364" s="8">
        <f t="shared" si="118"/>
        <v>2</v>
      </c>
      <c r="X364">
        <f t="shared" si="119"/>
        <v>1</v>
      </c>
    </row>
    <row r="365" spans="1:24" x14ac:dyDescent="0.25">
      <c r="A365" s="4" t="s">
        <v>391</v>
      </c>
      <c r="B365" t="s">
        <v>5</v>
      </c>
      <c r="C365" t="s">
        <v>6</v>
      </c>
      <c r="D365" s="3">
        <f t="shared" si="100"/>
        <v>53</v>
      </c>
      <c r="E365" s="4">
        <f t="shared" si="101"/>
        <v>4</v>
      </c>
      <c r="F365" s="4">
        <f t="shared" si="102"/>
        <v>14</v>
      </c>
      <c r="G365" s="3">
        <f>IF(E365&gt;=20,2000,1900) + D365</f>
        <v>1953</v>
      </c>
      <c r="H365">
        <f t="shared" si="103"/>
        <v>4</v>
      </c>
      <c r="I365" s="4">
        <f t="shared" si="104"/>
        <v>14</v>
      </c>
      <c r="J365">
        <f t="shared" si="105"/>
        <v>19530414</v>
      </c>
      <c r="K365" t="str">
        <f t="shared" si="106"/>
        <v>14.04.1953</v>
      </c>
      <c r="L365" s="4">
        <f t="shared" si="107"/>
        <v>5</v>
      </c>
      <c r="M365" s="4">
        <f t="shared" si="108"/>
        <v>9</v>
      </c>
      <c r="N365" s="4">
        <f t="shared" si="109"/>
        <v>0</v>
      </c>
      <c r="O365" s="4">
        <f t="shared" si="110"/>
        <v>36</v>
      </c>
      <c r="P365" s="4">
        <f t="shared" si="111"/>
        <v>1</v>
      </c>
      <c r="Q365" s="4">
        <f t="shared" si="112"/>
        <v>12</v>
      </c>
      <c r="R365" s="4">
        <f t="shared" si="113"/>
        <v>28</v>
      </c>
      <c r="S365" s="4">
        <f t="shared" si="114"/>
        <v>54</v>
      </c>
      <c r="T365" s="4">
        <f t="shared" si="115"/>
        <v>0</v>
      </c>
      <c r="U365" s="4">
        <f t="shared" si="116"/>
        <v>21</v>
      </c>
      <c r="V365" s="8">
        <f t="shared" si="117"/>
        <v>6</v>
      </c>
      <c r="W365" s="8">
        <f t="shared" si="118"/>
        <v>4</v>
      </c>
      <c r="X365">
        <f t="shared" si="119"/>
        <v>1</v>
      </c>
    </row>
    <row r="366" spans="1:24" x14ac:dyDescent="0.25">
      <c r="A366" s="4" t="s">
        <v>392</v>
      </c>
      <c r="B366" t="s">
        <v>19</v>
      </c>
      <c r="C366" t="s">
        <v>4</v>
      </c>
      <c r="D366" s="3">
        <f t="shared" si="100"/>
        <v>82</v>
      </c>
      <c r="E366" s="4">
        <f t="shared" si="101"/>
        <v>4</v>
      </c>
      <c r="F366" s="4">
        <f t="shared" si="102"/>
        <v>6</v>
      </c>
      <c r="G366" s="3">
        <f>IF(E366&gt;=20,2000,1900) + D366</f>
        <v>1982</v>
      </c>
      <c r="H366">
        <f t="shared" si="103"/>
        <v>4</v>
      </c>
      <c r="I366" s="4">
        <f t="shared" si="104"/>
        <v>6</v>
      </c>
      <c r="J366">
        <f t="shared" si="105"/>
        <v>19820406</v>
      </c>
      <c r="K366" t="str">
        <f t="shared" si="106"/>
        <v>06.04.1982</v>
      </c>
      <c r="L366" s="4">
        <f t="shared" si="107"/>
        <v>8</v>
      </c>
      <c r="M366" s="4">
        <f t="shared" si="108"/>
        <v>6</v>
      </c>
      <c r="N366" s="4">
        <f t="shared" si="109"/>
        <v>0</v>
      </c>
      <c r="O366" s="4">
        <f t="shared" si="110"/>
        <v>36</v>
      </c>
      <c r="P366" s="4">
        <f t="shared" si="111"/>
        <v>0</v>
      </c>
      <c r="Q366" s="4">
        <f t="shared" si="112"/>
        <v>18</v>
      </c>
      <c r="R366" s="4">
        <f t="shared" si="113"/>
        <v>35</v>
      </c>
      <c r="S366" s="4">
        <f t="shared" si="114"/>
        <v>9</v>
      </c>
      <c r="T366" s="4">
        <f t="shared" si="115"/>
        <v>2</v>
      </c>
      <c r="U366" s="4">
        <f t="shared" si="116"/>
        <v>12</v>
      </c>
      <c r="V366" s="8">
        <f t="shared" si="117"/>
        <v>6</v>
      </c>
      <c r="W366" s="8">
        <f t="shared" si="118"/>
        <v>4</v>
      </c>
      <c r="X366">
        <f t="shared" si="119"/>
        <v>1</v>
      </c>
    </row>
    <row r="367" spans="1:24" x14ac:dyDescent="0.25">
      <c r="A367" s="4" t="s">
        <v>393</v>
      </c>
      <c r="B367" t="s">
        <v>16</v>
      </c>
      <c r="C367" t="s">
        <v>4</v>
      </c>
      <c r="D367" s="3">
        <f t="shared" si="100"/>
        <v>98</v>
      </c>
      <c r="E367" s="4">
        <f t="shared" si="101"/>
        <v>6</v>
      </c>
      <c r="F367" s="4">
        <f t="shared" si="102"/>
        <v>28</v>
      </c>
      <c r="G367" s="3">
        <f>IF(E367&gt;=20,2000,1900) + D367</f>
        <v>1998</v>
      </c>
      <c r="H367">
        <f t="shared" si="103"/>
        <v>6</v>
      </c>
      <c r="I367" s="4">
        <f t="shared" si="104"/>
        <v>28</v>
      </c>
      <c r="J367">
        <f t="shared" si="105"/>
        <v>19980628</v>
      </c>
      <c r="K367" t="str">
        <f t="shared" si="106"/>
        <v>28.06.1998</v>
      </c>
      <c r="L367" s="4">
        <f t="shared" si="107"/>
        <v>9</v>
      </c>
      <c r="M367" s="4">
        <f t="shared" si="108"/>
        <v>24</v>
      </c>
      <c r="N367" s="4">
        <f t="shared" si="109"/>
        <v>0</v>
      </c>
      <c r="O367" s="4">
        <f t="shared" si="110"/>
        <v>54</v>
      </c>
      <c r="P367" s="4">
        <f t="shared" si="111"/>
        <v>2</v>
      </c>
      <c r="Q367" s="4">
        <f t="shared" si="112"/>
        <v>24</v>
      </c>
      <c r="R367" s="4">
        <f t="shared" si="113"/>
        <v>7</v>
      </c>
      <c r="S367" s="4">
        <f t="shared" si="114"/>
        <v>81</v>
      </c>
      <c r="T367" s="4">
        <f t="shared" si="115"/>
        <v>6</v>
      </c>
      <c r="U367" s="4">
        <f t="shared" si="116"/>
        <v>21</v>
      </c>
      <c r="V367" s="8">
        <f t="shared" si="117"/>
        <v>8</v>
      </c>
      <c r="W367" s="8">
        <f t="shared" si="118"/>
        <v>2</v>
      </c>
      <c r="X367">
        <f t="shared" si="119"/>
        <v>1</v>
      </c>
    </row>
    <row r="368" spans="1:24" x14ac:dyDescent="0.25">
      <c r="A368" s="4" t="s">
        <v>394</v>
      </c>
      <c r="B368" t="s">
        <v>12</v>
      </c>
      <c r="C368" t="s">
        <v>4</v>
      </c>
      <c r="D368" s="3">
        <f t="shared" si="100"/>
        <v>71</v>
      </c>
      <c r="E368" s="4">
        <f t="shared" si="101"/>
        <v>8</v>
      </c>
      <c r="F368" s="4">
        <f t="shared" si="102"/>
        <v>24</v>
      </c>
      <c r="G368" s="3">
        <f>IF(E368&gt;=20,2000,1900) + D368</f>
        <v>1971</v>
      </c>
      <c r="H368">
        <f t="shared" si="103"/>
        <v>8</v>
      </c>
      <c r="I368" s="4">
        <f t="shared" si="104"/>
        <v>24</v>
      </c>
      <c r="J368">
        <f t="shared" si="105"/>
        <v>19710824</v>
      </c>
      <c r="K368" t="str">
        <f t="shared" si="106"/>
        <v>24.08.1971</v>
      </c>
      <c r="L368" s="4">
        <f t="shared" si="107"/>
        <v>7</v>
      </c>
      <c r="M368" s="4">
        <f t="shared" si="108"/>
        <v>3</v>
      </c>
      <c r="N368" s="4">
        <f t="shared" si="109"/>
        <v>0</v>
      </c>
      <c r="O368" s="4">
        <f t="shared" si="110"/>
        <v>72</v>
      </c>
      <c r="P368" s="4">
        <f t="shared" si="111"/>
        <v>2</v>
      </c>
      <c r="Q368" s="4">
        <f t="shared" si="112"/>
        <v>12</v>
      </c>
      <c r="R368" s="4">
        <f t="shared" si="113"/>
        <v>42</v>
      </c>
      <c r="S368" s="4">
        <f t="shared" si="114"/>
        <v>36</v>
      </c>
      <c r="T368" s="4">
        <f t="shared" si="115"/>
        <v>8</v>
      </c>
      <c r="U368" s="4">
        <f t="shared" si="116"/>
        <v>21</v>
      </c>
      <c r="V368" s="8">
        <f t="shared" si="117"/>
        <v>3</v>
      </c>
      <c r="W368" s="8">
        <f t="shared" si="118"/>
        <v>7</v>
      </c>
      <c r="X368">
        <f t="shared" si="119"/>
        <v>1</v>
      </c>
    </row>
    <row r="369" spans="1:24" x14ac:dyDescent="0.25">
      <c r="A369" s="4" t="s">
        <v>395</v>
      </c>
      <c r="B369" t="s">
        <v>12</v>
      </c>
      <c r="C369" t="s">
        <v>4</v>
      </c>
      <c r="D369" s="3">
        <f t="shared" si="100"/>
        <v>98</v>
      </c>
      <c r="E369" s="4">
        <f t="shared" si="101"/>
        <v>12</v>
      </c>
      <c r="F369" s="4">
        <f t="shared" si="102"/>
        <v>14</v>
      </c>
      <c r="G369" s="3">
        <f>IF(E369&gt;=20,2000,1900) + D369</f>
        <v>1998</v>
      </c>
      <c r="H369">
        <f t="shared" si="103"/>
        <v>12</v>
      </c>
      <c r="I369" s="4">
        <f t="shared" si="104"/>
        <v>14</v>
      </c>
      <c r="J369">
        <f t="shared" si="105"/>
        <v>19981214</v>
      </c>
      <c r="K369" t="str">
        <f t="shared" si="106"/>
        <v>14.12.1998</v>
      </c>
      <c r="L369" s="4">
        <f t="shared" si="107"/>
        <v>9</v>
      </c>
      <c r="M369" s="4">
        <f t="shared" si="108"/>
        <v>24</v>
      </c>
      <c r="N369" s="4">
        <f t="shared" si="109"/>
        <v>7</v>
      </c>
      <c r="O369" s="4">
        <f t="shared" si="110"/>
        <v>18</v>
      </c>
      <c r="P369" s="4">
        <f t="shared" si="111"/>
        <v>1</v>
      </c>
      <c r="Q369" s="4">
        <f t="shared" si="112"/>
        <v>12</v>
      </c>
      <c r="R369" s="4">
        <f t="shared" si="113"/>
        <v>35</v>
      </c>
      <c r="S369" s="4">
        <f t="shared" si="114"/>
        <v>0</v>
      </c>
      <c r="T369" s="4">
        <f t="shared" si="115"/>
        <v>0</v>
      </c>
      <c r="U369" s="4">
        <f t="shared" si="116"/>
        <v>6</v>
      </c>
      <c r="V369" s="8">
        <f t="shared" si="117"/>
        <v>2</v>
      </c>
      <c r="W369" s="8">
        <f t="shared" si="118"/>
        <v>8</v>
      </c>
      <c r="X369">
        <f t="shared" si="119"/>
        <v>1</v>
      </c>
    </row>
    <row r="370" spans="1:24" x14ac:dyDescent="0.25">
      <c r="A370" s="4" t="s">
        <v>396</v>
      </c>
      <c r="B370" t="s">
        <v>10</v>
      </c>
      <c r="C370" t="s">
        <v>4</v>
      </c>
      <c r="D370" s="3">
        <f t="shared" si="100"/>
        <v>68</v>
      </c>
      <c r="E370" s="4">
        <f t="shared" si="101"/>
        <v>11</v>
      </c>
      <c r="F370" s="4">
        <f t="shared" si="102"/>
        <v>12</v>
      </c>
      <c r="G370" s="3">
        <f>IF(E370&gt;=20,2000,1900) + D370</f>
        <v>1968</v>
      </c>
      <c r="H370">
        <f t="shared" si="103"/>
        <v>11</v>
      </c>
      <c r="I370" s="4">
        <f t="shared" si="104"/>
        <v>12</v>
      </c>
      <c r="J370">
        <f t="shared" si="105"/>
        <v>19681112</v>
      </c>
      <c r="K370" t="str">
        <f t="shared" si="106"/>
        <v>12.11.1968</v>
      </c>
      <c r="L370" s="4">
        <f t="shared" si="107"/>
        <v>6</v>
      </c>
      <c r="M370" s="4">
        <f t="shared" si="108"/>
        <v>24</v>
      </c>
      <c r="N370" s="4">
        <f t="shared" si="109"/>
        <v>7</v>
      </c>
      <c r="O370" s="4">
        <f t="shared" si="110"/>
        <v>9</v>
      </c>
      <c r="P370" s="4">
        <f t="shared" si="111"/>
        <v>1</v>
      </c>
      <c r="Q370" s="4">
        <f t="shared" si="112"/>
        <v>6</v>
      </c>
      <c r="R370" s="4">
        <f t="shared" si="113"/>
        <v>7</v>
      </c>
      <c r="S370" s="4">
        <f t="shared" si="114"/>
        <v>54</v>
      </c>
      <c r="T370" s="4">
        <f t="shared" si="115"/>
        <v>5</v>
      </c>
      <c r="U370" s="4">
        <f t="shared" si="116"/>
        <v>21</v>
      </c>
      <c r="V370" s="8">
        <f t="shared" si="117"/>
        <v>0</v>
      </c>
      <c r="W370" s="8">
        <f t="shared" si="118"/>
        <v>0</v>
      </c>
      <c r="X370">
        <f t="shared" si="119"/>
        <v>1</v>
      </c>
    </row>
    <row r="371" spans="1:24" x14ac:dyDescent="0.25">
      <c r="A371" s="4" t="s">
        <v>397</v>
      </c>
      <c r="B371" t="s">
        <v>9</v>
      </c>
      <c r="C371" t="s">
        <v>6</v>
      </c>
      <c r="D371" s="3">
        <f t="shared" si="100"/>
        <v>96</v>
      </c>
      <c r="E371" s="4">
        <f t="shared" si="101"/>
        <v>11</v>
      </c>
      <c r="F371" s="4">
        <f t="shared" si="102"/>
        <v>25</v>
      </c>
      <c r="G371" s="3">
        <f>IF(E371&gt;=20,2000,1900) + D371</f>
        <v>1996</v>
      </c>
      <c r="H371">
        <f t="shared" si="103"/>
        <v>11</v>
      </c>
      <c r="I371" s="4">
        <f t="shared" si="104"/>
        <v>25</v>
      </c>
      <c r="J371">
        <f t="shared" si="105"/>
        <v>19961125</v>
      </c>
      <c r="K371" t="str">
        <f t="shared" si="106"/>
        <v>25.11.1996</v>
      </c>
      <c r="L371" s="4">
        <f t="shared" si="107"/>
        <v>9</v>
      </c>
      <c r="M371" s="4">
        <f t="shared" si="108"/>
        <v>18</v>
      </c>
      <c r="N371" s="4">
        <f t="shared" si="109"/>
        <v>7</v>
      </c>
      <c r="O371" s="4">
        <f t="shared" si="110"/>
        <v>9</v>
      </c>
      <c r="P371" s="4">
        <f t="shared" si="111"/>
        <v>2</v>
      </c>
      <c r="Q371" s="4">
        <f t="shared" si="112"/>
        <v>15</v>
      </c>
      <c r="R371" s="4">
        <f t="shared" si="113"/>
        <v>49</v>
      </c>
      <c r="S371" s="4">
        <f t="shared" si="114"/>
        <v>81</v>
      </c>
      <c r="T371" s="4">
        <f t="shared" si="115"/>
        <v>4</v>
      </c>
      <c r="U371" s="4">
        <f t="shared" si="116"/>
        <v>21</v>
      </c>
      <c r="V371" s="8">
        <f t="shared" si="117"/>
        <v>5</v>
      </c>
      <c r="W371" s="8">
        <f t="shared" si="118"/>
        <v>5</v>
      </c>
      <c r="X371">
        <f t="shared" si="119"/>
        <v>1</v>
      </c>
    </row>
    <row r="372" spans="1:24" x14ac:dyDescent="0.25">
      <c r="A372" s="4" t="s">
        <v>398</v>
      </c>
      <c r="B372" t="s">
        <v>7</v>
      </c>
      <c r="C372" t="s">
        <v>4</v>
      </c>
      <c r="D372" s="3">
        <f t="shared" si="100"/>
        <v>62</v>
      </c>
      <c r="E372" s="4">
        <f t="shared" si="101"/>
        <v>6</v>
      </c>
      <c r="F372" s="4">
        <f t="shared" si="102"/>
        <v>29</v>
      </c>
      <c r="G372" s="3">
        <f>IF(E372&gt;=20,2000,1900) + D372</f>
        <v>1962</v>
      </c>
      <c r="H372">
        <f t="shared" si="103"/>
        <v>6</v>
      </c>
      <c r="I372" s="4">
        <f t="shared" si="104"/>
        <v>29</v>
      </c>
      <c r="J372">
        <f t="shared" si="105"/>
        <v>19620629</v>
      </c>
      <c r="K372" t="str">
        <f t="shared" si="106"/>
        <v>29.06.1962</v>
      </c>
      <c r="L372" s="4">
        <f t="shared" si="107"/>
        <v>6</v>
      </c>
      <c r="M372" s="4">
        <f t="shared" si="108"/>
        <v>6</v>
      </c>
      <c r="N372" s="4">
        <f t="shared" si="109"/>
        <v>0</v>
      </c>
      <c r="O372" s="4">
        <f t="shared" si="110"/>
        <v>54</v>
      </c>
      <c r="P372" s="4">
        <f t="shared" si="111"/>
        <v>2</v>
      </c>
      <c r="Q372" s="4">
        <f t="shared" si="112"/>
        <v>27</v>
      </c>
      <c r="R372" s="4">
        <f t="shared" si="113"/>
        <v>42</v>
      </c>
      <c r="S372" s="4">
        <f t="shared" si="114"/>
        <v>54</v>
      </c>
      <c r="T372" s="4">
        <f t="shared" si="115"/>
        <v>2</v>
      </c>
      <c r="U372" s="4">
        <f t="shared" si="116"/>
        <v>18</v>
      </c>
      <c r="V372" s="8">
        <f t="shared" si="117"/>
        <v>1</v>
      </c>
      <c r="W372" s="8">
        <f t="shared" si="118"/>
        <v>9</v>
      </c>
      <c r="X372">
        <f t="shared" si="119"/>
        <v>1</v>
      </c>
    </row>
    <row r="373" spans="1:24" x14ac:dyDescent="0.25">
      <c r="A373" s="4" t="s">
        <v>399</v>
      </c>
      <c r="B373" t="s">
        <v>12</v>
      </c>
      <c r="C373" t="s">
        <v>4</v>
      </c>
      <c r="D373" s="3">
        <f t="shared" si="100"/>
        <v>98</v>
      </c>
      <c r="E373" s="4">
        <f t="shared" si="101"/>
        <v>1</v>
      </c>
      <c r="F373" s="4">
        <f t="shared" si="102"/>
        <v>20</v>
      </c>
      <c r="G373" s="3">
        <f>IF(E373&gt;=20,2000,1900) + D373</f>
        <v>1998</v>
      </c>
      <c r="H373">
        <f t="shared" si="103"/>
        <v>1</v>
      </c>
      <c r="I373" s="4">
        <f t="shared" si="104"/>
        <v>20</v>
      </c>
      <c r="J373">
        <f t="shared" si="105"/>
        <v>19980120</v>
      </c>
      <c r="K373" t="str">
        <f t="shared" si="106"/>
        <v>20.01.1998</v>
      </c>
      <c r="L373" s="4">
        <f t="shared" si="107"/>
        <v>9</v>
      </c>
      <c r="M373" s="4">
        <f t="shared" si="108"/>
        <v>24</v>
      </c>
      <c r="N373" s="4">
        <f t="shared" si="109"/>
        <v>0</v>
      </c>
      <c r="O373" s="4">
        <f t="shared" si="110"/>
        <v>9</v>
      </c>
      <c r="P373" s="4">
        <f t="shared" si="111"/>
        <v>2</v>
      </c>
      <c r="Q373" s="4">
        <f t="shared" si="112"/>
        <v>0</v>
      </c>
      <c r="R373" s="4">
        <f t="shared" si="113"/>
        <v>21</v>
      </c>
      <c r="S373" s="4">
        <f t="shared" si="114"/>
        <v>9</v>
      </c>
      <c r="T373" s="4">
        <f t="shared" si="115"/>
        <v>0</v>
      </c>
      <c r="U373" s="4">
        <f t="shared" si="116"/>
        <v>12</v>
      </c>
      <c r="V373" s="8">
        <f t="shared" si="117"/>
        <v>6</v>
      </c>
      <c r="W373" s="8">
        <f t="shared" si="118"/>
        <v>4</v>
      </c>
      <c r="X373">
        <f t="shared" si="119"/>
        <v>1</v>
      </c>
    </row>
    <row r="374" spans="1:24" x14ac:dyDescent="0.25">
      <c r="A374" s="4" t="s">
        <v>400</v>
      </c>
      <c r="B374" t="s">
        <v>7</v>
      </c>
      <c r="C374" t="s">
        <v>6</v>
      </c>
      <c r="D374" s="3">
        <f t="shared" si="100"/>
        <v>81</v>
      </c>
      <c r="E374" s="4">
        <f t="shared" si="101"/>
        <v>6</v>
      </c>
      <c r="F374" s="4">
        <f t="shared" si="102"/>
        <v>16</v>
      </c>
      <c r="G374" s="3">
        <f>IF(E374&gt;=20,2000,1900) + D374</f>
        <v>1981</v>
      </c>
      <c r="H374">
        <f t="shared" si="103"/>
        <v>6</v>
      </c>
      <c r="I374" s="4">
        <f t="shared" si="104"/>
        <v>16</v>
      </c>
      <c r="J374">
        <f t="shared" si="105"/>
        <v>19810616</v>
      </c>
      <c r="K374" t="str">
        <f t="shared" si="106"/>
        <v>16.06.1981</v>
      </c>
      <c r="L374" s="4">
        <f t="shared" si="107"/>
        <v>8</v>
      </c>
      <c r="M374" s="4">
        <f t="shared" si="108"/>
        <v>3</v>
      </c>
      <c r="N374" s="4">
        <f t="shared" si="109"/>
        <v>0</v>
      </c>
      <c r="O374" s="4">
        <f t="shared" si="110"/>
        <v>54</v>
      </c>
      <c r="P374" s="4">
        <f t="shared" si="111"/>
        <v>1</v>
      </c>
      <c r="Q374" s="4">
        <f t="shared" si="112"/>
        <v>18</v>
      </c>
      <c r="R374" s="4">
        <f t="shared" si="113"/>
        <v>42</v>
      </c>
      <c r="S374" s="4">
        <f t="shared" si="114"/>
        <v>36</v>
      </c>
      <c r="T374" s="4">
        <f t="shared" si="115"/>
        <v>7</v>
      </c>
      <c r="U374" s="4">
        <f t="shared" si="116"/>
        <v>21</v>
      </c>
      <c r="V374" s="8">
        <f t="shared" si="117"/>
        <v>0</v>
      </c>
      <c r="W374" s="8">
        <f t="shared" si="118"/>
        <v>0</v>
      </c>
      <c r="X374">
        <f t="shared" si="119"/>
        <v>1</v>
      </c>
    </row>
    <row r="375" spans="1:24" x14ac:dyDescent="0.25">
      <c r="A375" s="4" t="s">
        <v>401</v>
      </c>
      <c r="B375" t="s">
        <v>14</v>
      </c>
      <c r="C375" t="s">
        <v>6</v>
      </c>
      <c r="D375" s="3">
        <f t="shared" si="100"/>
        <v>71</v>
      </c>
      <c r="E375" s="4">
        <f t="shared" si="101"/>
        <v>9</v>
      </c>
      <c r="F375" s="4">
        <f t="shared" si="102"/>
        <v>28</v>
      </c>
      <c r="G375" s="3">
        <f>IF(E375&gt;=20,2000,1900) + D375</f>
        <v>1971</v>
      </c>
      <c r="H375">
        <f t="shared" si="103"/>
        <v>9</v>
      </c>
      <c r="I375" s="4">
        <f t="shared" si="104"/>
        <v>28</v>
      </c>
      <c r="J375">
        <f t="shared" si="105"/>
        <v>19710928</v>
      </c>
      <c r="K375" t="str">
        <f t="shared" si="106"/>
        <v>28.09.1971</v>
      </c>
      <c r="L375" s="4">
        <f t="shared" si="107"/>
        <v>7</v>
      </c>
      <c r="M375" s="4">
        <f t="shared" si="108"/>
        <v>3</v>
      </c>
      <c r="N375" s="4">
        <f t="shared" si="109"/>
        <v>0</v>
      </c>
      <c r="O375" s="4">
        <f t="shared" si="110"/>
        <v>81</v>
      </c>
      <c r="P375" s="4">
        <f t="shared" si="111"/>
        <v>2</v>
      </c>
      <c r="Q375" s="4">
        <f t="shared" si="112"/>
        <v>24</v>
      </c>
      <c r="R375" s="4">
        <f t="shared" si="113"/>
        <v>7</v>
      </c>
      <c r="S375" s="4">
        <f t="shared" si="114"/>
        <v>81</v>
      </c>
      <c r="T375" s="4">
        <f t="shared" si="115"/>
        <v>4</v>
      </c>
      <c r="U375" s="4">
        <f t="shared" si="116"/>
        <v>27</v>
      </c>
      <c r="V375" s="8">
        <f t="shared" si="117"/>
        <v>6</v>
      </c>
      <c r="W375" s="8">
        <f t="shared" si="118"/>
        <v>4</v>
      </c>
      <c r="X375">
        <f t="shared" si="119"/>
        <v>1</v>
      </c>
    </row>
    <row r="376" spans="1:24" x14ac:dyDescent="0.25">
      <c r="A376" s="4" t="s">
        <v>402</v>
      </c>
      <c r="B376" t="s">
        <v>12</v>
      </c>
      <c r="C376" t="s">
        <v>6</v>
      </c>
      <c r="D376" s="3">
        <f t="shared" si="100"/>
        <v>86</v>
      </c>
      <c r="E376" s="4">
        <f t="shared" si="101"/>
        <v>12</v>
      </c>
      <c r="F376" s="4">
        <f t="shared" si="102"/>
        <v>16</v>
      </c>
      <c r="G376" s="3">
        <f>IF(E376&gt;=20,2000,1900) + D376</f>
        <v>1986</v>
      </c>
      <c r="H376">
        <f t="shared" si="103"/>
        <v>12</v>
      </c>
      <c r="I376" s="4">
        <f t="shared" si="104"/>
        <v>16</v>
      </c>
      <c r="J376">
        <f t="shared" si="105"/>
        <v>19861216</v>
      </c>
      <c r="K376" t="str">
        <f t="shared" si="106"/>
        <v>16.12.1986</v>
      </c>
      <c r="L376" s="4">
        <f t="shared" si="107"/>
        <v>8</v>
      </c>
      <c r="M376" s="4">
        <f t="shared" si="108"/>
        <v>18</v>
      </c>
      <c r="N376" s="4">
        <f t="shared" si="109"/>
        <v>7</v>
      </c>
      <c r="O376" s="4">
        <f t="shared" si="110"/>
        <v>18</v>
      </c>
      <c r="P376" s="4">
        <f t="shared" si="111"/>
        <v>1</v>
      </c>
      <c r="Q376" s="4">
        <f t="shared" si="112"/>
        <v>18</v>
      </c>
      <c r="R376" s="4">
        <f t="shared" si="113"/>
        <v>56</v>
      </c>
      <c r="S376" s="4">
        <f t="shared" si="114"/>
        <v>63</v>
      </c>
      <c r="T376" s="4">
        <f t="shared" si="115"/>
        <v>3</v>
      </c>
      <c r="U376" s="4">
        <f t="shared" si="116"/>
        <v>9</v>
      </c>
      <c r="V376" s="8">
        <f t="shared" si="117"/>
        <v>1</v>
      </c>
      <c r="W376" s="8">
        <f t="shared" si="118"/>
        <v>9</v>
      </c>
      <c r="X376">
        <f t="shared" si="119"/>
        <v>1</v>
      </c>
    </row>
    <row r="377" spans="1:24" x14ac:dyDescent="0.25">
      <c r="A377" s="4" t="s">
        <v>403</v>
      </c>
      <c r="B377" t="s">
        <v>18</v>
      </c>
      <c r="C377" t="s">
        <v>4</v>
      </c>
      <c r="D377" s="3">
        <f t="shared" si="100"/>
        <v>57</v>
      </c>
      <c r="E377" s="4">
        <f t="shared" si="101"/>
        <v>12</v>
      </c>
      <c r="F377" s="4">
        <f t="shared" si="102"/>
        <v>16</v>
      </c>
      <c r="G377" s="3">
        <f>IF(E377&gt;=20,2000,1900) + D377</f>
        <v>1957</v>
      </c>
      <c r="H377">
        <f t="shared" si="103"/>
        <v>12</v>
      </c>
      <c r="I377" s="4">
        <f t="shared" si="104"/>
        <v>16</v>
      </c>
      <c r="J377">
        <f t="shared" si="105"/>
        <v>19571216</v>
      </c>
      <c r="K377" t="str">
        <f t="shared" si="106"/>
        <v>16.12.1957</v>
      </c>
      <c r="L377" s="4">
        <f t="shared" si="107"/>
        <v>5</v>
      </c>
      <c r="M377" s="4">
        <f t="shared" si="108"/>
        <v>21</v>
      </c>
      <c r="N377" s="4">
        <f t="shared" si="109"/>
        <v>7</v>
      </c>
      <c r="O377" s="4">
        <f t="shared" si="110"/>
        <v>18</v>
      </c>
      <c r="P377" s="4">
        <f t="shared" si="111"/>
        <v>1</v>
      </c>
      <c r="Q377" s="4">
        <f t="shared" si="112"/>
        <v>18</v>
      </c>
      <c r="R377" s="4">
        <f t="shared" si="113"/>
        <v>63</v>
      </c>
      <c r="S377" s="4">
        <f t="shared" si="114"/>
        <v>36</v>
      </c>
      <c r="T377" s="4">
        <f t="shared" si="115"/>
        <v>2</v>
      </c>
      <c r="U377" s="4">
        <f t="shared" si="116"/>
        <v>18</v>
      </c>
      <c r="V377" s="8">
        <f t="shared" si="117"/>
        <v>9</v>
      </c>
      <c r="W377" s="8">
        <f t="shared" si="118"/>
        <v>1</v>
      </c>
      <c r="X377">
        <f t="shared" si="119"/>
        <v>1</v>
      </c>
    </row>
    <row r="378" spans="1:24" x14ac:dyDescent="0.25">
      <c r="A378" s="4" t="s">
        <v>404</v>
      </c>
      <c r="B378" t="s">
        <v>7</v>
      </c>
      <c r="C378" t="s">
        <v>4</v>
      </c>
      <c r="D378" s="3">
        <f t="shared" si="100"/>
        <v>60</v>
      </c>
      <c r="E378" s="4">
        <f t="shared" si="101"/>
        <v>2</v>
      </c>
      <c r="F378" s="4">
        <f t="shared" si="102"/>
        <v>7</v>
      </c>
      <c r="G378" s="3">
        <f>IF(E378&gt;=20,2000,1900) + D378</f>
        <v>1960</v>
      </c>
      <c r="H378">
        <f t="shared" si="103"/>
        <v>2</v>
      </c>
      <c r="I378" s="4">
        <f t="shared" si="104"/>
        <v>7</v>
      </c>
      <c r="J378">
        <f t="shared" si="105"/>
        <v>19600207</v>
      </c>
      <c r="K378" t="str">
        <f t="shared" si="106"/>
        <v>07.02.1960</v>
      </c>
      <c r="L378" s="4">
        <f t="shared" si="107"/>
        <v>6</v>
      </c>
      <c r="M378" s="4">
        <f t="shared" si="108"/>
        <v>0</v>
      </c>
      <c r="N378" s="4">
        <f t="shared" si="109"/>
        <v>0</v>
      </c>
      <c r="O378" s="4">
        <f t="shared" si="110"/>
        <v>18</v>
      </c>
      <c r="P378" s="4">
        <f t="shared" si="111"/>
        <v>0</v>
      </c>
      <c r="Q378" s="4">
        <f t="shared" si="112"/>
        <v>21</v>
      </c>
      <c r="R378" s="4">
        <f t="shared" si="113"/>
        <v>21</v>
      </c>
      <c r="S378" s="4">
        <f t="shared" si="114"/>
        <v>54</v>
      </c>
      <c r="T378" s="4">
        <f t="shared" si="115"/>
        <v>8</v>
      </c>
      <c r="U378" s="4">
        <f t="shared" si="116"/>
        <v>24</v>
      </c>
      <c r="V378" s="8">
        <f t="shared" si="117"/>
        <v>2</v>
      </c>
      <c r="W378" s="8">
        <f t="shared" si="118"/>
        <v>8</v>
      </c>
      <c r="X378">
        <f t="shared" si="119"/>
        <v>1</v>
      </c>
    </row>
    <row r="379" spans="1:24" x14ac:dyDescent="0.25">
      <c r="A379" s="4" t="s">
        <v>405</v>
      </c>
      <c r="B379" t="s">
        <v>12</v>
      </c>
      <c r="C379" t="s">
        <v>4</v>
      </c>
      <c r="D379" s="3">
        <f t="shared" si="100"/>
        <v>75</v>
      </c>
      <c r="E379" s="4">
        <f t="shared" si="101"/>
        <v>2</v>
      </c>
      <c r="F379" s="4">
        <f t="shared" si="102"/>
        <v>4</v>
      </c>
      <c r="G379" s="3">
        <f>IF(E379&gt;=20,2000,1900) + D379</f>
        <v>1975</v>
      </c>
      <c r="H379">
        <f t="shared" si="103"/>
        <v>2</v>
      </c>
      <c r="I379" s="4">
        <f t="shared" si="104"/>
        <v>4</v>
      </c>
      <c r="J379">
        <f t="shared" si="105"/>
        <v>19750204</v>
      </c>
      <c r="K379" t="str">
        <f t="shared" si="106"/>
        <v>04.02.1975</v>
      </c>
      <c r="L379" s="4">
        <f t="shared" si="107"/>
        <v>7</v>
      </c>
      <c r="M379" s="4">
        <f t="shared" si="108"/>
        <v>15</v>
      </c>
      <c r="N379" s="4">
        <f t="shared" si="109"/>
        <v>0</v>
      </c>
      <c r="O379" s="4">
        <f t="shared" si="110"/>
        <v>18</v>
      </c>
      <c r="P379" s="4">
        <f t="shared" si="111"/>
        <v>0</v>
      </c>
      <c r="Q379" s="4">
        <f t="shared" si="112"/>
        <v>12</v>
      </c>
      <c r="R379" s="4">
        <f t="shared" si="113"/>
        <v>63</v>
      </c>
      <c r="S379" s="4">
        <f t="shared" si="114"/>
        <v>81</v>
      </c>
      <c r="T379" s="4">
        <f t="shared" si="115"/>
        <v>2</v>
      </c>
      <c r="U379" s="4">
        <f t="shared" si="116"/>
        <v>27</v>
      </c>
      <c r="V379" s="8">
        <f t="shared" si="117"/>
        <v>5</v>
      </c>
      <c r="W379" s="8">
        <f t="shared" si="118"/>
        <v>5</v>
      </c>
      <c r="X379">
        <f t="shared" si="119"/>
        <v>1</v>
      </c>
    </row>
    <row r="380" spans="1:24" x14ac:dyDescent="0.25">
      <c r="A380" s="4" t="s">
        <v>406</v>
      </c>
      <c r="B380" t="s">
        <v>18</v>
      </c>
      <c r="C380" t="s">
        <v>4</v>
      </c>
      <c r="D380" s="3">
        <f t="shared" si="100"/>
        <v>77</v>
      </c>
      <c r="E380" s="4">
        <f t="shared" si="101"/>
        <v>11</v>
      </c>
      <c r="F380" s="4">
        <f t="shared" si="102"/>
        <v>15</v>
      </c>
      <c r="G380" s="3">
        <f>IF(E380&gt;=20,2000,1900) + D380</f>
        <v>1977</v>
      </c>
      <c r="H380">
        <f t="shared" si="103"/>
        <v>11</v>
      </c>
      <c r="I380" s="4">
        <f t="shared" si="104"/>
        <v>15</v>
      </c>
      <c r="J380">
        <f t="shared" si="105"/>
        <v>19771115</v>
      </c>
      <c r="K380" t="str">
        <f t="shared" si="106"/>
        <v>15.11.1977</v>
      </c>
      <c r="L380" s="4">
        <f t="shared" si="107"/>
        <v>7</v>
      </c>
      <c r="M380" s="4">
        <f t="shared" si="108"/>
        <v>21</v>
      </c>
      <c r="N380" s="4">
        <f t="shared" si="109"/>
        <v>7</v>
      </c>
      <c r="O380" s="4">
        <f t="shared" si="110"/>
        <v>9</v>
      </c>
      <c r="P380" s="4">
        <f t="shared" si="111"/>
        <v>1</v>
      </c>
      <c r="Q380" s="4">
        <f t="shared" si="112"/>
        <v>15</v>
      </c>
      <c r="R380" s="4">
        <f t="shared" si="113"/>
        <v>35</v>
      </c>
      <c r="S380" s="4">
        <f t="shared" si="114"/>
        <v>45</v>
      </c>
      <c r="T380" s="4">
        <f t="shared" si="115"/>
        <v>5</v>
      </c>
      <c r="U380" s="4">
        <f t="shared" si="116"/>
        <v>15</v>
      </c>
      <c r="V380" s="8">
        <f t="shared" si="117"/>
        <v>0</v>
      </c>
      <c r="W380" s="8">
        <f t="shared" si="118"/>
        <v>0</v>
      </c>
      <c r="X380">
        <f t="shared" si="119"/>
        <v>1</v>
      </c>
    </row>
    <row r="381" spans="1:24" x14ac:dyDescent="0.25">
      <c r="A381" s="4" t="s">
        <v>407</v>
      </c>
      <c r="B381" t="s">
        <v>16</v>
      </c>
      <c r="C381" t="s">
        <v>4</v>
      </c>
      <c r="D381" s="3">
        <f t="shared" si="100"/>
        <v>58</v>
      </c>
      <c r="E381" s="4">
        <f t="shared" si="101"/>
        <v>2</v>
      </c>
      <c r="F381" s="4">
        <f t="shared" si="102"/>
        <v>17</v>
      </c>
      <c r="G381" s="3">
        <f>IF(E381&gt;=20,2000,1900) + D381</f>
        <v>1958</v>
      </c>
      <c r="H381">
        <f t="shared" si="103"/>
        <v>2</v>
      </c>
      <c r="I381" s="4">
        <f t="shared" si="104"/>
        <v>17</v>
      </c>
      <c r="J381">
        <f t="shared" si="105"/>
        <v>19580217</v>
      </c>
      <c r="K381" t="str">
        <f t="shared" si="106"/>
        <v>17.02.1958</v>
      </c>
      <c r="L381" s="4">
        <f t="shared" si="107"/>
        <v>5</v>
      </c>
      <c r="M381" s="4">
        <f t="shared" si="108"/>
        <v>24</v>
      </c>
      <c r="N381" s="4">
        <f t="shared" si="109"/>
        <v>0</v>
      </c>
      <c r="O381" s="4">
        <f t="shared" si="110"/>
        <v>18</v>
      </c>
      <c r="P381" s="4">
        <f t="shared" si="111"/>
        <v>1</v>
      </c>
      <c r="Q381" s="4">
        <f t="shared" si="112"/>
        <v>21</v>
      </c>
      <c r="R381" s="4">
        <f t="shared" si="113"/>
        <v>35</v>
      </c>
      <c r="S381" s="4">
        <f t="shared" si="114"/>
        <v>72</v>
      </c>
      <c r="T381" s="4">
        <f t="shared" si="115"/>
        <v>3</v>
      </c>
      <c r="U381" s="4">
        <f t="shared" si="116"/>
        <v>21</v>
      </c>
      <c r="V381" s="8">
        <f t="shared" si="117"/>
        <v>0</v>
      </c>
      <c r="W381" s="8">
        <f t="shared" si="118"/>
        <v>0</v>
      </c>
      <c r="X381">
        <f t="shared" si="119"/>
        <v>1</v>
      </c>
    </row>
    <row r="382" spans="1:24" x14ac:dyDescent="0.25">
      <c r="A382" s="4" t="s">
        <v>408</v>
      </c>
      <c r="B382" t="s">
        <v>13</v>
      </c>
      <c r="C382" t="s">
        <v>4</v>
      </c>
      <c r="D382" s="3">
        <f t="shared" si="100"/>
        <v>76</v>
      </c>
      <c r="E382" s="4">
        <f t="shared" si="101"/>
        <v>8</v>
      </c>
      <c r="F382" s="4">
        <f t="shared" si="102"/>
        <v>27</v>
      </c>
      <c r="G382" s="3">
        <f>IF(E382&gt;=20,2000,1900) + D382</f>
        <v>1976</v>
      </c>
      <c r="H382">
        <f t="shared" si="103"/>
        <v>8</v>
      </c>
      <c r="I382" s="4">
        <f t="shared" si="104"/>
        <v>27</v>
      </c>
      <c r="J382">
        <f t="shared" si="105"/>
        <v>19760827</v>
      </c>
      <c r="K382" t="str">
        <f t="shared" si="106"/>
        <v>27.08.1976</v>
      </c>
      <c r="L382" s="4">
        <f t="shared" si="107"/>
        <v>7</v>
      </c>
      <c r="M382" s="4">
        <f t="shared" si="108"/>
        <v>18</v>
      </c>
      <c r="N382" s="4">
        <f t="shared" si="109"/>
        <v>0</v>
      </c>
      <c r="O382" s="4">
        <f t="shared" si="110"/>
        <v>72</v>
      </c>
      <c r="P382" s="4">
        <f t="shared" si="111"/>
        <v>2</v>
      </c>
      <c r="Q382" s="4">
        <f t="shared" si="112"/>
        <v>21</v>
      </c>
      <c r="R382" s="4">
        <f t="shared" si="113"/>
        <v>28</v>
      </c>
      <c r="S382" s="4">
        <f t="shared" si="114"/>
        <v>0</v>
      </c>
      <c r="T382" s="4">
        <f t="shared" si="115"/>
        <v>5</v>
      </c>
      <c r="U382" s="4">
        <f t="shared" si="116"/>
        <v>9</v>
      </c>
      <c r="V382" s="8">
        <f t="shared" si="117"/>
        <v>2</v>
      </c>
      <c r="W382" s="8">
        <f t="shared" si="118"/>
        <v>8</v>
      </c>
      <c r="X382">
        <f t="shared" si="119"/>
        <v>1</v>
      </c>
    </row>
    <row r="383" spans="1:24" x14ac:dyDescent="0.25">
      <c r="A383" s="4" t="s">
        <v>409</v>
      </c>
      <c r="B383" t="s">
        <v>7</v>
      </c>
      <c r="C383" t="s">
        <v>4</v>
      </c>
      <c r="D383" s="3">
        <f t="shared" si="100"/>
        <v>98</v>
      </c>
      <c r="E383" s="4">
        <f t="shared" si="101"/>
        <v>6</v>
      </c>
      <c r="F383" s="4">
        <f t="shared" si="102"/>
        <v>7</v>
      </c>
      <c r="G383" s="3">
        <f>IF(E383&gt;=20,2000,1900) + D383</f>
        <v>1998</v>
      </c>
      <c r="H383">
        <f t="shared" si="103"/>
        <v>6</v>
      </c>
      <c r="I383" s="4">
        <f t="shared" si="104"/>
        <v>7</v>
      </c>
      <c r="J383">
        <f t="shared" si="105"/>
        <v>19980607</v>
      </c>
      <c r="K383" t="str">
        <f t="shared" si="106"/>
        <v>07.06.1998</v>
      </c>
      <c r="L383" s="4">
        <f t="shared" si="107"/>
        <v>9</v>
      </c>
      <c r="M383" s="4">
        <f t="shared" si="108"/>
        <v>24</v>
      </c>
      <c r="N383" s="4">
        <f t="shared" si="109"/>
        <v>0</v>
      </c>
      <c r="O383" s="4">
        <f t="shared" si="110"/>
        <v>54</v>
      </c>
      <c r="P383" s="4">
        <f t="shared" si="111"/>
        <v>0</v>
      </c>
      <c r="Q383" s="4">
        <f t="shared" si="112"/>
        <v>21</v>
      </c>
      <c r="R383" s="4">
        <f t="shared" si="113"/>
        <v>0</v>
      </c>
      <c r="S383" s="4">
        <f t="shared" si="114"/>
        <v>9</v>
      </c>
      <c r="T383" s="4">
        <f t="shared" si="115"/>
        <v>4</v>
      </c>
      <c r="U383" s="4">
        <f t="shared" si="116"/>
        <v>15</v>
      </c>
      <c r="V383" s="8">
        <f t="shared" si="117"/>
        <v>6</v>
      </c>
      <c r="W383" s="8">
        <f t="shared" si="118"/>
        <v>4</v>
      </c>
      <c r="X383">
        <f t="shared" si="119"/>
        <v>1</v>
      </c>
    </row>
    <row r="384" spans="1:24" x14ac:dyDescent="0.25">
      <c r="A384" s="4" t="s">
        <v>410</v>
      </c>
      <c r="B384" t="s">
        <v>5</v>
      </c>
      <c r="C384" t="s">
        <v>6</v>
      </c>
      <c r="D384" s="3">
        <f t="shared" si="100"/>
        <v>50</v>
      </c>
      <c r="E384" s="4">
        <f t="shared" si="101"/>
        <v>11</v>
      </c>
      <c r="F384" s="4">
        <f t="shared" si="102"/>
        <v>19</v>
      </c>
      <c r="G384" s="3">
        <f>IF(E384&gt;=20,2000,1900) + D384</f>
        <v>1950</v>
      </c>
      <c r="H384">
        <f t="shared" si="103"/>
        <v>11</v>
      </c>
      <c r="I384" s="4">
        <f t="shared" si="104"/>
        <v>19</v>
      </c>
      <c r="J384">
        <f t="shared" si="105"/>
        <v>19501119</v>
      </c>
      <c r="K384" t="str">
        <f t="shared" si="106"/>
        <v>19.11.1950</v>
      </c>
      <c r="L384" s="4">
        <f t="shared" si="107"/>
        <v>5</v>
      </c>
      <c r="M384" s="4">
        <f t="shared" si="108"/>
        <v>0</v>
      </c>
      <c r="N384" s="4">
        <f t="shared" si="109"/>
        <v>7</v>
      </c>
      <c r="O384" s="4">
        <f t="shared" si="110"/>
        <v>9</v>
      </c>
      <c r="P384" s="4">
        <f t="shared" si="111"/>
        <v>1</v>
      </c>
      <c r="Q384" s="4">
        <f t="shared" si="112"/>
        <v>27</v>
      </c>
      <c r="R384" s="4">
        <f t="shared" si="113"/>
        <v>28</v>
      </c>
      <c r="S384" s="4">
        <f t="shared" si="114"/>
        <v>54</v>
      </c>
      <c r="T384" s="4">
        <f t="shared" si="115"/>
        <v>7</v>
      </c>
      <c r="U384" s="4">
        <f t="shared" si="116"/>
        <v>15</v>
      </c>
      <c r="V384" s="8">
        <f t="shared" si="117"/>
        <v>3</v>
      </c>
      <c r="W384" s="8">
        <f t="shared" si="118"/>
        <v>7</v>
      </c>
      <c r="X384">
        <f t="shared" si="119"/>
        <v>1</v>
      </c>
    </row>
    <row r="385" spans="1:24" x14ac:dyDescent="0.25">
      <c r="A385" s="4" t="s">
        <v>411</v>
      </c>
      <c r="B385" t="s">
        <v>5</v>
      </c>
      <c r="C385" t="s">
        <v>6</v>
      </c>
      <c r="D385" s="3">
        <f t="shared" si="100"/>
        <v>64</v>
      </c>
      <c r="E385" s="4">
        <f t="shared" si="101"/>
        <v>1</v>
      </c>
      <c r="F385" s="4">
        <f t="shared" si="102"/>
        <v>19</v>
      </c>
      <c r="G385" s="3">
        <f>IF(E385&gt;=20,2000,1900) + D385</f>
        <v>1964</v>
      </c>
      <c r="H385">
        <f t="shared" si="103"/>
        <v>1</v>
      </c>
      <c r="I385" s="4">
        <f t="shared" si="104"/>
        <v>19</v>
      </c>
      <c r="J385">
        <f t="shared" si="105"/>
        <v>19640119</v>
      </c>
      <c r="K385" t="str">
        <f t="shared" si="106"/>
        <v>19.01.1964</v>
      </c>
      <c r="L385" s="4">
        <f t="shared" si="107"/>
        <v>6</v>
      </c>
      <c r="M385" s="4">
        <f t="shared" si="108"/>
        <v>12</v>
      </c>
      <c r="N385" s="4">
        <f t="shared" si="109"/>
        <v>0</v>
      </c>
      <c r="O385" s="4">
        <f t="shared" si="110"/>
        <v>9</v>
      </c>
      <c r="P385" s="4">
        <f t="shared" si="111"/>
        <v>1</v>
      </c>
      <c r="Q385" s="4">
        <f t="shared" si="112"/>
        <v>27</v>
      </c>
      <c r="R385" s="4">
        <f t="shared" si="113"/>
        <v>28</v>
      </c>
      <c r="S385" s="4">
        <f t="shared" si="114"/>
        <v>27</v>
      </c>
      <c r="T385" s="4">
        <f t="shared" si="115"/>
        <v>5</v>
      </c>
      <c r="U385" s="4">
        <f t="shared" si="116"/>
        <v>21</v>
      </c>
      <c r="V385" s="8">
        <f t="shared" si="117"/>
        <v>6</v>
      </c>
      <c r="W385" s="8">
        <f t="shared" si="118"/>
        <v>4</v>
      </c>
      <c r="X385">
        <f t="shared" si="119"/>
        <v>1</v>
      </c>
    </row>
    <row r="386" spans="1:24" x14ac:dyDescent="0.25">
      <c r="A386" s="4" t="s">
        <v>412</v>
      </c>
      <c r="B386" t="s">
        <v>10</v>
      </c>
      <c r="C386" t="s">
        <v>6</v>
      </c>
      <c r="D386" s="3">
        <f t="shared" si="100"/>
        <v>64</v>
      </c>
      <c r="E386" s="4">
        <f t="shared" si="101"/>
        <v>11</v>
      </c>
      <c r="F386" s="4">
        <f t="shared" si="102"/>
        <v>19</v>
      </c>
      <c r="G386" s="3">
        <f>IF(E386&gt;=20,2000,1900) + D386</f>
        <v>1964</v>
      </c>
      <c r="H386">
        <f t="shared" si="103"/>
        <v>11</v>
      </c>
      <c r="I386" s="4">
        <f t="shared" si="104"/>
        <v>19</v>
      </c>
      <c r="J386">
        <f t="shared" si="105"/>
        <v>19641119</v>
      </c>
      <c r="K386" t="str">
        <f t="shared" si="106"/>
        <v>19.11.1964</v>
      </c>
      <c r="L386" s="4">
        <f t="shared" si="107"/>
        <v>6</v>
      </c>
      <c r="M386" s="4">
        <f t="shared" si="108"/>
        <v>12</v>
      </c>
      <c r="N386" s="4">
        <f t="shared" si="109"/>
        <v>7</v>
      </c>
      <c r="O386" s="4">
        <f t="shared" si="110"/>
        <v>9</v>
      </c>
      <c r="P386" s="4">
        <f t="shared" si="111"/>
        <v>1</v>
      </c>
      <c r="Q386" s="4">
        <f t="shared" si="112"/>
        <v>27</v>
      </c>
      <c r="R386" s="4">
        <f t="shared" si="113"/>
        <v>49</v>
      </c>
      <c r="S386" s="4">
        <f t="shared" si="114"/>
        <v>72</v>
      </c>
      <c r="T386" s="4">
        <f t="shared" si="115"/>
        <v>5</v>
      </c>
      <c r="U386" s="4">
        <f t="shared" si="116"/>
        <v>15</v>
      </c>
      <c r="V386" s="8">
        <f t="shared" si="117"/>
        <v>3</v>
      </c>
      <c r="W386" s="8">
        <f t="shared" si="118"/>
        <v>7</v>
      </c>
      <c r="X386">
        <f t="shared" si="119"/>
        <v>1</v>
      </c>
    </row>
    <row r="387" spans="1:24" x14ac:dyDescent="0.25">
      <c r="A387" s="4" t="s">
        <v>413</v>
      </c>
      <c r="B387" t="s">
        <v>14</v>
      </c>
      <c r="C387" t="s">
        <v>6</v>
      </c>
      <c r="D387" s="3">
        <f t="shared" ref="D387:D450" si="120">MID(A387,1,2)*1</f>
        <v>67</v>
      </c>
      <c r="E387" s="4">
        <f t="shared" ref="E387:E450" si="121">MID(A387,3,2)*1</f>
        <v>9</v>
      </c>
      <c r="F387" s="4">
        <f t="shared" ref="F387:F450" si="122">MID(A387,5,2)*1</f>
        <v>8</v>
      </c>
      <c r="G387" s="3">
        <f>IF(E387&gt;=20,2000,1900) + D387</f>
        <v>1967</v>
      </c>
      <c r="H387">
        <f t="shared" ref="H387:H450" si="123">IF(E387&gt;=20,E387-20,E387)</f>
        <v>9</v>
      </c>
      <c r="I387" s="4">
        <f t="shared" ref="I387:I450" si="124">F387</f>
        <v>8</v>
      </c>
      <c r="J387">
        <f t="shared" ref="J387:J450" si="125">CONCATENATE(G387,IF(LEN(E387)=1,CONCATENATE("0",E387),E387),IF(LEN(F387)=1,CONCATENATE("0",F387),F387))*1</f>
        <v>19670908</v>
      </c>
      <c r="K387" t="str">
        <f t="shared" ref="K387:K450" si="126">CONCATENATE(RIGHT(J387,2),".",MID(J387,5,2),".",LEFT(J387,4))</f>
        <v>08.09.1967</v>
      </c>
      <c r="L387" s="4">
        <f t="shared" ref="L387:L450" si="127">MID(A387,1,1)*1</f>
        <v>6</v>
      </c>
      <c r="M387" s="4">
        <f t="shared" ref="M387:M450" si="128">MID(A387,2,1)*3</f>
        <v>21</v>
      </c>
      <c r="N387" s="4">
        <f t="shared" ref="N387:N450" si="129">MID(A387,3,1)*7</f>
        <v>0</v>
      </c>
      <c r="O387" s="4">
        <f t="shared" ref="O387:O450" si="130">MID(A387,4,1)*9</f>
        <v>81</v>
      </c>
      <c r="P387" s="4">
        <f t="shared" ref="P387:P450" si="131">MID(A387,5,1)*1</f>
        <v>0</v>
      </c>
      <c r="Q387" s="4">
        <f t="shared" ref="Q387:Q450" si="132">MID(A387,6,1)*3</f>
        <v>24</v>
      </c>
      <c r="R387" s="4">
        <f t="shared" ref="R387:R450" si="133">MID(A387,7,1)*7</f>
        <v>14</v>
      </c>
      <c r="S387" s="4">
        <f t="shared" ref="S387:S450" si="134">MID(A387,8,1)*9</f>
        <v>72</v>
      </c>
      <c r="T387" s="4">
        <f t="shared" ref="T387:T450" si="135">MID(A387,9,1)*1</f>
        <v>3</v>
      </c>
      <c r="U387" s="4">
        <f t="shared" ref="U387:U450" si="136">MID(A387,10,1)*3</f>
        <v>6</v>
      </c>
      <c r="V387" s="8">
        <f t="shared" ref="V387:V450" si="137">MOD(SUM(L387:U387),10)</f>
        <v>7</v>
      </c>
      <c r="W387" s="8">
        <f t="shared" ref="W387:W450" si="138">IF(V387=0,0,10-V387)</f>
        <v>3</v>
      </c>
      <c r="X387">
        <f t="shared" ref="X387:X450" si="139">IF(W387=RIGHT(A387,1)*1,1,0)</f>
        <v>1</v>
      </c>
    </row>
    <row r="388" spans="1:24" x14ac:dyDescent="0.25">
      <c r="A388" s="4" t="s">
        <v>414</v>
      </c>
      <c r="B388" t="s">
        <v>3</v>
      </c>
      <c r="C388" t="s">
        <v>6</v>
      </c>
      <c r="D388" s="3">
        <f t="shared" si="120"/>
        <v>55</v>
      </c>
      <c r="E388" s="4">
        <f t="shared" si="121"/>
        <v>1</v>
      </c>
      <c r="F388" s="4">
        <f t="shared" si="122"/>
        <v>17</v>
      </c>
      <c r="G388" s="3">
        <f>IF(E388&gt;=20,2000,1900) + D388</f>
        <v>1955</v>
      </c>
      <c r="H388">
        <f t="shared" si="123"/>
        <v>1</v>
      </c>
      <c r="I388" s="4">
        <f t="shared" si="124"/>
        <v>17</v>
      </c>
      <c r="J388">
        <f t="shared" si="125"/>
        <v>19550117</v>
      </c>
      <c r="K388" t="str">
        <f t="shared" si="126"/>
        <v>17.01.1955</v>
      </c>
      <c r="L388" s="4">
        <f t="shared" si="127"/>
        <v>5</v>
      </c>
      <c r="M388" s="4">
        <f t="shared" si="128"/>
        <v>15</v>
      </c>
      <c r="N388" s="4">
        <f t="shared" si="129"/>
        <v>0</v>
      </c>
      <c r="O388" s="4">
        <f t="shared" si="130"/>
        <v>9</v>
      </c>
      <c r="P388" s="4">
        <f t="shared" si="131"/>
        <v>1</v>
      </c>
      <c r="Q388" s="4">
        <f t="shared" si="132"/>
        <v>21</v>
      </c>
      <c r="R388" s="4">
        <f t="shared" si="133"/>
        <v>21</v>
      </c>
      <c r="S388" s="4">
        <f t="shared" si="134"/>
        <v>9</v>
      </c>
      <c r="T388" s="4">
        <f t="shared" si="135"/>
        <v>7</v>
      </c>
      <c r="U388" s="4">
        <f t="shared" si="136"/>
        <v>18</v>
      </c>
      <c r="V388" s="8">
        <f t="shared" si="137"/>
        <v>6</v>
      </c>
      <c r="W388" s="8">
        <f t="shared" si="138"/>
        <v>4</v>
      </c>
      <c r="X388">
        <f t="shared" si="139"/>
        <v>1</v>
      </c>
    </row>
    <row r="389" spans="1:24" x14ac:dyDescent="0.25">
      <c r="A389" s="4" t="s">
        <v>415</v>
      </c>
      <c r="B389" t="s">
        <v>16</v>
      </c>
      <c r="C389" t="s">
        <v>4</v>
      </c>
      <c r="D389" s="3">
        <f t="shared" si="120"/>
        <v>76</v>
      </c>
      <c r="E389" s="4">
        <f t="shared" si="121"/>
        <v>9</v>
      </c>
      <c r="F389" s="4">
        <f t="shared" si="122"/>
        <v>4</v>
      </c>
      <c r="G389" s="3">
        <f>IF(E389&gt;=20,2000,1900) + D389</f>
        <v>1976</v>
      </c>
      <c r="H389">
        <f t="shared" si="123"/>
        <v>9</v>
      </c>
      <c r="I389" s="4">
        <f t="shared" si="124"/>
        <v>4</v>
      </c>
      <c r="J389">
        <f t="shared" si="125"/>
        <v>19760904</v>
      </c>
      <c r="K389" t="str">
        <f t="shared" si="126"/>
        <v>04.09.1976</v>
      </c>
      <c r="L389" s="4">
        <f t="shared" si="127"/>
        <v>7</v>
      </c>
      <c r="M389" s="4">
        <f t="shared" si="128"/>
        <v>18</v>
      </c>
      <c r="N389" s="4">
        <f t="shared" si="129"/>
        <v>0</v>
      </c>
      <c r="O389" s="4">
        <f t="shared" si="130"/>
        <v>81</v>
      </c>
      <c r="P389" s="4">
        <f t="shared" si="131"/>
        <v>0</v>
      </c>
      <c r="Q389" s="4">
        <f t="shared" si="132"/>
        <v>12</v>
      </c>
      <c r="R389" s="4">
        <f t="shared" si="133"/>
        <v>0</v>
      </c>
      <c r="S389" s="4">
        <f t="shared" si="134"/>
        <v>54</v>
      </c>
      <c r="T389" s="4">
        <f t="shared" si="135"/>
        <v>3</v>
      </c>
      <c r="U389" s="4">
        <f t="shared" si="136"/>
        <v>0</v>
      </c>
      <c r="V389" s="8">
        <f t="shared" si="137"/>
        <v>5</v>
      </c>
      <c r="W389" s="8">
        <f t="shared" si="138"/>
        <v>5</v>
      </c>
      <c r="X389">
        <f t="shared" si="139"/>
        <v>1</v>
      </c>
    </row>
    <row r="390" spans="1:24" x14ac:dyDescent="0.25">
      <c r="A390" s="4" t="s">
        <v>416</v>
      </c>
      <c r="B390" t="s">
        <v>19</v>
      </c>
      <c r="C390" t="s">
        <v>6</v>
      </c>
      <c r="D390" s="3">
        <f t="shared" si="120"/>
        <v>80</v>
      </c>
      <c r="E390" s="4">
        <f t="shared" si="121"/>
        <v>2</v>
      </c>
      <c r="F390" s="4">
        <f t="shared" si="122"/>
        <v>8</v>
      </c>
      <c r="G390" s="3">
        <f>IF(E390&gt;=20,2000,1900) + D390</f>
        <v>1980</v>
      </c>
      <c r="H390">
        <f t="shared" si="123"/>
        <v>2</v>
      </c>
      <c r="I390" s="4">
        <f t="shared" si="124"/>
        <v>8</v>
      </c>
      <c r="J390">
        <f t="shared" si="125"/>
        <v>19800208</v>
      </c>
      <c r="K390" t="str">
        <f t="shared" si="126"/>
        <v>08.02.1980</v>
      </c>
      <c r="L390" s="4">
        <f t="shared" si="127"/>
        <v>8</v>
      </c>
      <c r="M390" s="4">
        <f t="shared" si="128"/>
        <v>0</v>
      </c>
      <c r="N390" s="4">
        <f t="shared" si="129"/>
        <v>0</v>
      </c>
      <c r="O390" s="4">
        <f t="shared" si="130"/>
        <v>18</v>
      </c>
      <c r="P390" s="4">
        <f t="shared" si="131"/>
        <v>0</v>
      </c>
      <c r="Q390" s="4">
        <f t="shared" si="132"/>
        <v>24</v>
      </c>
      <c r="R390" s="4">
        <f t="shared" si="133"/>
        <v>7</v>
      </c>
      <c r="S390" s="4">
        <f t="shared" si="134"/>
        <v>81</v>
      </c>
      <c r="T390" s="4">
        <f t="shared" si="135"/>
        <v>5</v>
      </c>
      <c r="U390" s="4">
        <f t="shared" si="136"/>
        <v>21</v>
      </c>
      <c r="V390" s="8">
        <f t="shared" si="137"/>
        <v>4</v>
      </c>
      <c r="W390" s="8">
        <f t="shared" si="138"/>
        <v>6</v>
      </c>
      <c r="X390">
        <f t="shared" si="139"/>
        <v>1</v>
      </c>
    </row>
    <row r="391" spans="1:24" x14ac:dyDescent="0.25">
      <c r="A391" s="4" t="s">
        <v>417</v>
      </c>
      <c r="B391" t="s">
        <v>17</v>
      </c>
      <c r="C391" t="s">
        <v>6</v>
      </c>
      <c r="D391" s="3">
        <f t="shared" si="120"/>
        <v>73</v>
      </c>
      <c r="E391" s="4">
        <f t="shared" si="121"/>
        <v>2</v>
      </c>
      <c r="F391" s="4">
        <f t="shared" si="122"/>
        <v>1</v>
      </c>
      <c r="G391" s="3">
        <f>IF(E391&gt;=20,2000,1900) + D391</f>
        <v>1973</v>
      </c>
      <c r="H391">
        <f t="shared" si="123"/>
        <v>2</v>
      </c>
      <c r="I391" s="4">
        <f t="shared" si="124"/>
        <v>1</v>
      </c>
      <c r="J391">
        <f t="shared" si="125"/>
        <v>19730201</v>
      </c>
      <c r="K391" t="str">
        <f t="shared" si="126"/>
        <v>01.02.1973</v>
      </c>
      <c r="L391" s="4">
        <f t="shared" si="127"/>
        <v>7</v>
      </c>
      <c r="M391" s="4">
        <f t="shared" si="128"/>
        <v>9</v>
      </c>
      <c r="N391" s="4">
        <f t="shared" si="129"/>
        <v>0</v>
      </c>
      <c r="O391" s="4">
        <f t="shared" si="130"/>
        <v>18</v>
      </c>
      <c r="P391" s="4">
        <f t="shared" si="131"/>
        <v>0</v>
      </c>
      <c r="Q391" s="4">
        <f t="shared" si="132"/>
        <v>3</v>
      </c>
      <c r="R391" s="4">
        <f t="shared" si="133"/>
        <v>14</v>
      </c>
      <c r="S391" s="4">
        <f t="shared" si="134"/>
        <v>18</v>
      </c>
      <c r="T391" s="4">
        <f t="shared" si="135"/>
        <v>8</v>
      </c>
      <c r="U391" s="4">
        <f t="shared" si="136"/>
        <v>21</v>
      </c>
      <c r="V391" s="8">
        <f t="shared" si="137"/>
        <v>8</v>
      </c>
      <c r="W391" s="8">
        <f t="shared" si="138"/>
        <v>2</v>
      </c>
      <c r="X391">
        <f t="shared" si="139"/>
        <v>1</v>
      </c>
    </row>
    <row r="392" spans="1:24" x14ac:dyDescent="0.25">
      <c r="A392" s="4" t="s">
        <v>418</v>
      </c>
      <c r="B392" t="s">
        <v>20</v>
      </c>
      <c r="C392" t="s">
        <v>4</v>
      </c>
      <c r="D392" s="3">
        <f t="shared" si="120"/>
        <v>67</v>
      </c>
      <c r="E392" s="4">
        <f t="shared" si="121"/>
        <v>3</v>
      </c>
      <c r="F392" s="4">
        <f t="shared" si="122"/>
        <v>4</v>
      </c>
      <c r="G392" s="3">
        <f>IF(E392&gt;=20,2000,1900) + D392</f>
        <v>1967</v>
      </c>
      <c r="H392">
        <f t="shared" si="123"/>
        <v>3</v>
      </c>
      <c r="I392" s="4">
        <f t="shared" si="124"/>
        <v>4</v>
      </c>
      <c r="J392">
        <f t="shared" si="125"/>
        <v>19670304</v>
      </c>
      <c r="K392" t="str">
        <f t="shared" si="126"/>
        <v>04.03.1967</v>
      </c>
      <c r="L392" s="4">
        <f t="shared" si="127"/>
        <v>6</v>
      </c>
      <c r="M392" s="4">
        <f t="shared" si="128"/>
        <v>21</v>
      </c>
      <c r="N392" s="4">
        <f t="shared" si="129"/>
        <v>0</v>
      </c>
      <c r="O392" s="4">
        <f t="shared" si="130"/>
        <v>27</v>
      </c>
      <c r="P392" s="4">
        <f t="shared" si="131"/>
        <v>0</v>
      </c>
      <c r="Q392" s="4">
        <f t="shared" si="132"/>
        <v>12</v>
      </c>
      <c r="R392" s="4">
        <f t="shared" si="133"/>
        <v>14</v>
      </c>
      <c r="S392" s="4">
        <f t="shared" si="134"/>
        <v>72</v>
      </c>
      <c r="T392" s="4">
        <f t="shared" si="135"/>
        <v>8</v>
      </c>
      <c r="U392" s="4">
        <f t="shared" si="136"/>
        <v>18</v>
      </c>
      <c r="V392" s="8">
        <f t="shared" si="137"/>
        <v>8</v>
      </c>
      <c r="W392" s="8">
        <f t="shared" si="138"/>
        <v>2</v>
      </c>
      <c r="X392">
        <f t="shared" si="139"/>
        <v>1</v>
      </c>
    </row>
    <row r="393" spans="1:24" x14ac:dyDescent="0.25">
      <c r="A393" s="4" t="s">
        <v>419</v>
      </c>
      <c r="B393" t="s">
        <v>8</v>
      </c>
      <c r="C393" t="s">
        <v>4</v>
      </c>
      <c r="D393" s="3">
        <f t="shared" si="120"/>
        <v>93</v>
      </c>
      <c r="E393" s="4">
        <f t="shared" si="121"/>
        <v>2</v>
      </c>
      <c r="F393" s="4">
        <f t="shared" si="122"/>
        <v>12</v>
      </c>
      <c r="G393" s="3">
        <f>IF(E393&gt;=20,2000,1900) + D393</f>
        <v>1993</v>
      </c>
      <c r="H393">
        <f t="shared" si="123"/>
        <v>2</v>
      </c>
      <c r="I393" s="4">
        <f t="shared" si="124"/>
        <v>12</v>
      </c>
      <c r="J393">
        <f t="shared" si="125"/>
        <v>19930212</v>
      </c>
      <c r="K393" t="str">
        <f t="shared" si="126"/>
        <v>12.02.1993</v>
      </c>
      <c r="L393" s="4">
        <f t="shared" si="127"/>
        <v>9</v>
      </c>
      <c r="M393" s="4">
        <f t="shared" si="128"/>
        <v>9</v>
      </c>
      <c r="N393" s="4">
        <f t="shared" si="129"/>
        <v>0</v>
      </c>
      <c r="O393" s="4">
        <f t="shared" si="130"/>
        <v>18</v>
      </c>
      <c r="P393" s="4">
        <f t="shared" si="131"/>
        <v>1</v>
      </c>
      <c r="Q393" s="4">
        <f t="shared" si="132"/>
        <v>6</v>
      </c>
      <c r="R393" s="4">
        <f t="shared" si="133"/>
        <v>0</v>
      </c>
      <c r="S393" s="4">
        <f t="shared" si="134"/>
        <v>54</v>
      </c>
      <c r="T393" s="4">
        <f t="shared" si="135"/>
        <v>3</v>
      </c>
      <c r="U393" s="4">
        <f t="shared" si="136"/>
        <v>18</v>
      </c>
      <c r="V393" s="8">
        <f t="shared" si="137"/>
        <v>8</v>
      </c>
      <c r="W393" s="8">
        <f t="shared" si="138"/>
        <v>2</v>
      </c>
      <c r="X393">
        <f t="shared" si="139"/>
        <v>1</v>
      </c>
    </row>
    <row r="394" spans="1:24" x14ac:dyDescent="0.25">
      <c r="A394" s="4" t="s">
        <v>420</v>
      </c>
      <c r="B394" t="s">
        <v>5</v>
      </c>
      <c r="C394" t="s">
        <v>4</v>
      </c>
      <c r="D394" s="3">
        <f t="shared" si="120"/>
        <v>89</v>
      </c>
      <c r="E394" s="4">
        <f t="shared" si="121"/>
        <v>5</v>
      </c>
      <c r="F394" s="4">
        <f t="shared" si="122"/>
        <v>5</v>
      </c>
      <c r="G394" s="3">
        <f>IF(E394&gt;=20,2000,1900) + D394</f>
        <v>1989</v>
      </c>
      <c r="H394">
        <f t="shared" si="123"/>
        <v>5</v>
      </c>
      <c r="I394" s="4">
        <f t="shared" si="124"/>
        <v>5</v>
      </c>
      <c r="J394">
        <f t="shared" si="125"/>
        <v>19890505</v>
      </c>
      <c r="K394" t="str">
        <f t="shared" si="126"/>
        <v>05.05.1989</v>
      </c>
      <c r="L394" s="4">
        <f t="shared" si="127"/>
        <v>8</v>
      </c>
      <c r="M394" s="4">
        <f t="shared" si="128"/>
        <v>27</v>
      </c>
      <c r="N394" s="4">
        <f t="shared" si="129"/>
        <v>0</v>
      </c>
      <c r="O394" s="4">
        <f t="shared" si="130"/>
        <v>45</v>
      </c>
      <c r="P394" s="4">
        <f t="shared" si="131"/>
        <v>0</v>
      </c>
      <c r="Q394" s="4">
        <f t="shared" si="132"/>
        <v>15</v>
      </c>
      <c r="R394" s="4">
        <f t="shared" si="133"/>
        <v>0</v>
      </c>
      <c r="S394" s="4">
        <f t="shared" si="134"/>
        <v>45</v>
      </c>
      <c r="T394" s="4">
        <f t="shared" si="135"/>
        <v>9</v>
      </c>
      <c r="U394" s="4">
        <f t="shared" si="136"/>
        <v>18</v>
      </c>
      <c r="V394" s="8">
        <f t="shared" si="137"/>
        <v>7</v>
      </c>
      <c r="W394" s="8">
        <f t="shared" si="138"/>
        <v>3</v>
      </c>
      <c r="X394">
        <f t="shared" si="139"/>
        <v>1</v>
      </c>
    </row>
    <row r="395" spans="1:24" x14ac:dyDescent="0.25">
      <c r="A395" s="4" t="s">
        <v>421</v>
      </c>
      <c r="B395" t="s">
        <v>16</v>
      </c>
      <c r="C395" t="s">
        <v>4</v>
      </c>
      <c r="D395" s="3">
        <f t="shared" si="120"/>
        <v>73</v>
      </c>
      <c r="E395" s="4">
        <f t="shared" si="121"/>
        <v>10</v>
      </c>
      <c r="F395" s="4">
        <f t="shared" si="122"/>
        <v>14</v>
      </c>
      <c r="G395" s="3">
        <f>IF(E395&gt;=20,2000,1900) + D395</f>
        <v>1973</v>
      </c>
      <c r="H395">
        <f t="shared" si="123"/>
        <v>10</v>
      </c>
      <c r="I395" s="4">
        <f t="shared" si="124"/>
        <v>14</v>
      </c>
      <c r="J395">
        <f t="shared" si="125"/>
        <v>19731014</v>
      </c>
      <c r="K395" t="str">
        <f t="shared" si="126"/>
        <v>14.10.1973</v>
      </c>
      <c r="L395" s="4">
        <f t="shared" si="127"/>
        <v>7</v>
      </c>
      <c r="M395" s="4">
        <f t="shared" si="128"/>
        <v>9</v>
      </c>
      <c r="N395" s="4">
        <f t="shared" si="129"/>
        <v>7</v>
      </c>
      <c r="O395" s="4">
        <f t="shared" si="130"/>
        <v>0</v>
      </c>
      <c r="P395" s="4">
        <f t="shared" si="131"/>
        <v>1</v>
      </c>
      <c r="Q395" s="4">
        <f t="shared" si="132"/>
        <v>12</v>
      </c>
      <c r="R395" s="4">
        <f t="shared" si="133"/>
        <v>63</v>
      </c>
      <c r="S395" s="4">
        <f t="shared" si="134"/>
        <v>27</v>
      </c>
      <c r="T395" s="4">
        <f t="shared" si="135"/>
        <v>3</v>
      </c>
      <c r="U395" s="4">
        <f t="shared" si="136"/>
        <v>6</v>
      </c>
      <c r="V395" s="8">
        <f t="shared" si="137"/>
        <v>5</v>
      </c>
      <c r="W395" s="8">
        <f t="shared" si="138"/>
        <v>5</v>
      </c>
      <c r="X395">
        <f t="shared" si="139"/>
        <v>1</v>
      </c>
    </row>
    <row r="396" spans="1:24" x14ac:dyDescent="0.25">
      <c r="A396" s="4" t="s">
        <v>422</v>
      </c>
      <c r="B396" t="s">
        <v>3</v>
      </c>
      <c r="C396" t="s">
        <v>6</v>
      </c>
      <c r="D396" s="3">
        <f t="shared" si="120"/>
        <v>85</v>
      </c>
      <c r="E396" s="4">
        <f t="shared" si="121"/>
        <v>7</v>
      </c>
      <c r="F396" s="4">
        <f t="shared" si="122"/>
        <v>14</v>
      </c>
      <c r="G396" s="3">
        <f>IF(E396&gt;=20,2000,1900) + D396</f>
        <v>1985</v>
      </c>
      <c r="H396">
        <f t="shared" si="123"/>
        <v>7</v>
      </c>
      <c r="I396" s="4">
        <f t="shared" si="124"/>
        <v>14</v>
      </c>
      <c r="J396">
        <f t="shared" si="125"/>
        <v>19850714</v>
      </c>
      <c r="K396" t="str">
        <f t="shared" si="126"/>
        <v>14.07.1985</v>
      </c>
      <c r="L396" s="4">
        <f t="shared" si="127"/>
        <v>8</v>
      </c>
      <c r="M396" s="4">
        <f t="shared" si="128"/>
        <v>15</v>
      </c>
      <c r="N396" s="4">
        <f t="shared" si="129"/>
        <v>0</v>
      </c>
      <c r="O396" s="4">
        <f t="shared" si="130"/>
        <v>63</v>
      </c>
      <c r="P396" s="4">
        <f t="shared" si="131"/>
        <v>1</v>
      </c>
      <c r="Q396" s="4">
        <f t="shared" si="132"/>
        <v>12</v>
      </c>
      <c r="R396" s="4">
        <f t="shared" si="133"/>
        <v>49</v>
      </c>
      <c r="S396" s="4">
        <f t="shared" si="134"/>
        <v>27</v>
      </c>
      <c r="T396" s="4">
        <f t="shared" si="135"/>
        <v>7</v>
      </c>
      <c r="U396" s="4">
        <f t="shared" si="136"/>
        <v>18</v>
      </c>
      <c r="V396" s="8">
        <f t="shared" si="137"/>
        <v>0</v>
      </c>
      <c r="W396" s="8">
        <f t="shared" si="138"/>
        <v>0</v>
      </c>
      <c r="X396">
        <f t="shared" si="139"/>
        <v>1</v>
      </c>
    </row>
    <row r="397" spans="1:24" x14ac:dyDescent="0.25">
      <c r="A397" s="4" t="s">
        <v>423</v>
      </c>
      <c r="B397" t="s">
        <v>5</v>
      </c>
      <c r="C397" t="s">
        <v>6</v>
      </c>
      <c r="D397" s="3">
        <f t="shared" si="120"/>
        <v>65</v>
      </c>
      <c r="E397" s="4">
        <f t="shared" si="121"/>
        <v>7</v>
      </c>
      <c r="F397" s="4">
        <f t="shared" si="122"/>
        <v>14</v>
      </c>
      <c r="G397" s="3">
        <f>IF(E397&gt;=20,2000,1900) + D397</f>
        <v>1965</v>
      </c>
      <c r="H397">
        <f t="shared" si="123"/>
        <v>7</v>
      </c>
      <c r="I397" s="4">
        <f t="shared" si="124"/>
        <v>14</v>
      </c>
      <c r="J397">
        <f t="shared" si="125"/>
        <v>19650714</v>
      </c>
      <c r="K397" t="str">
        <f t="shared" si="126"/>
        <v>14.07.1965</v>
      </c>
      <c r="L397" s="4">
        <f t="shared" si="127"/>
        <v>6</v>
      </c>
      <c r="M397" s="4">
        <f t="shared" si="128"/>
        <v>15</v>
      </c>
      <c r="N397" s="4">
        <f t="shared" si="129"/>
        <v>0</v>
      </c>
      <c r="O397" s="4">
        <f t="shared" si="130"/>
        <v>63</v>
      </c>
      <c r="P397" s="4">
        <f t="shared" si="131"/>
        <v>1</v>
      </c>
      <c r="Q397" s="4">
        <f t="shared" si="132"/>
        <v>12</v>
      </c>
      <c r="R397" s="4">
        <f t="shared" si="133"/>
        <v>14</v>
      </c>
      <c r="S397" s="4">
        <f t="shared" si="134"/>
        <v>36</v>
      </c>
      <c r="T397" s="4">
        <f t="shared" si="135"/>
        <v>8</v>
      </c>
      <c r="U397" s="4">
        <f t="shared" si="136"/>
        <v>9</v>
      </c>
      <c r="V397" s="8">
        <f t="shared" si="137"/>
        <v>4</v>
      </c>
      <c r="W397" s="8">
        <f t="shared" si="138"/>
        <v>6</v>
      </c>
      <c r="X397">
        <f t="shared" si="139"/>
        <v>1</v>
      </c>
    </row>
    <row r="398" spans="1:24" x14ac:dyDescent="0.25">
      <c r="A398" s="4" t="s">
        <v>424</v>
      </c>
      <c r="B398" t="s">
        <v>20</v>
      </c>
      <c r="C398" t="s">
        <v>4</v>
      </c>
      <c r="D398" s="3">
        <f t="shared" si="120"/>
        <v>61</v>
      </c>
      <c r="E398" s="4">
        <f t="shared" si="121"/>
        <v>2</v>
      </c>
      <c r="F398" s="4">
        <f t="shared" si="122"/>
        <v>13</v>
      </c>
      <c r="G398" s="3">
        <f>IF(E398&gt;=20,2000,1900) + D398</f>
        <v>1961</v>
      </c>
      <c r="H398">
        <f t="shared" si="123"/>
        <v>2</v>
      </c>
      <c r="I398" s="4">
        <f t="shared" si="124"/>
        <v>13</v>
      </c>
      <c r="J398">
        <f t="shared" si="125"/>
        <v>19610213</v>
      </c>
      <c r="K398" t="str">
        <f t="shared" si="126"/>
        <v>13.02.1961</v>
      </c>
      <c r="L398" s="4">
        <f t="shared" si="127"/>
        <v>6</v>
      </c>
      <c r="M398" s="4">
        <f t="shared" si="128"/>
        <v>3</v>
      </c>
      <c r="N398" s="4">
        <f t="shared" si="129"/>
        <v>0</v>
      </c>
      <c r="O398" s="4">
        <f t="shared" si="130"/>
        <v>18</v>
      </c>
      <c r="P398" s="4">
        <f t="shared" si="131"/>
        <v>1</v>
      </c>
      <c r="Q398" s="4">
        <f t="shared" si="132"/>
        <v>9</v>
      </c>
      <c r="R398" s="4">
        <f t="shared" si="133"/>
        <v>28</v>
      </c>
      <c r="S398" s="4">
        <f t="shared" si="134"/>
        <v>18</v>
      </c>
      <c r="T398" s="4">
        <f t="shared" si="135"/>
        <v>2</v>
      </c>
      <c r="U398" s="4">
        <f t="shared" si="136"/>
        <v>27</v>
      </c>
      <c r="V398" s="8">
        <f t="shared" si="137"/>
        <v>2</v>
      </c>
      <c r="W398" s="8">
        <f t="shared" si="138"/>
        <v>8</v>
      </c>
      <c r="X398">
        <f t="shared" si="139"/>
        <v>1</v>
      </c>
    </row>
    <row r="399" spans="1:24" x14ac:dyDescent="0.25">
      <c r="A399" s="4" t="s">
        <v>425</v>
      </c>
      <c r="B399" t="s">
        <v>10</v>
      </c>
      <c r="C399" t="s">
        <v>4</v>
      </c>
      <c r="D399" s="3">
        <f t="shared" si="120"/>
        <v>84</v>
      </c>
      <c r="E399" s="4">
        <f t="shared" si="121"/>
        <v>12</v>
      </c>
      <c r="F399" s="4">
        <f t="shared" si="122"/>
        <v>14</v>
      </c>
      <c r="G399" s="3">
        <f>IF(E399&gt;=20,2000,1900) + D399</f>
        <v>1984</v>
      </c>
      <c r="H399">
        <f t="shared" si="123"/>
        <v>12</v>
      </c>
      <c r="I399" s="4">
        <f t="shared" si="124"/>
        <v>14</v>
      </c>
      <c r="J399">
        <f t="shared" si="125"/>
        <v>19841214</v>
      </c>
      <c r="K399" t="str">
        <f t="shared" si="126"/>
        <v>14.12.1984</v>
      </c>
      <c r="L399" s="4">
        <f t="shared" si="127"/>
        <v>8</v>
      </c>
      <c r="M399" s="4">
        <f t="shared" si="128"/>
        <v>12</v>
      </c>
      <c r="N399" s="4">
        <f t="shared" si="129"/>
        <v>7</v>
      </c>
      <c r="O399" s="4">
        <f t="shared" si="130"/>
        <v>18</v>
      </c>
      <c r="P399" s="4">
        <f t="shared" si="131"/>
        <v>1</v>
      </c>
      <c r="Q399" s="4">
        <f t="shared" si="132"/>
        <v>12</v>
      </c>
      <c r="R399" s="4">
        <f t="shared" si="133"/>
        <v>14</v>
      </c>
      <c r="S399" s="4">
        <f t="shared" si="134"/>
        <v>18</v>
      </c>
      <c r="T399" s="4">
        <f t="shared" si="135"/>
        <v>1</v>
      </c>
      <c r="U399" s="4">
        <f t="shared" si="136"/>
        <v>27</v>
      </c>
      <c r="V399" s="8">
        <f t="shared" si="137"/>
        <v>8</v>
      </c>
      <c r="W399" s="8">
        <f t="shared" si="138"/>
        <v>2</v>
      </c>
      <c r="X399">
        <f t="shared" si="139"/>
        <v>1</v>
      </c>
    </row>
    <row r="400" spans="1:24" x14ac:dyDescent="0.25">
      <c r="A400" s="4" t="s">
        <v>426</v>
      </c>
      <c r="B400" t="s">
        <v>14</v>
      </c>
      <c r="C400" t="s">
        <v>4</v>
      </c>
      <c r="D400" s="3">
        <f t="shared" si="120"/>
        <v>74</v>
      </c>
      <c r="E400" s="4">
        <f t="shared" si="121"/>
        <v>9</v>
      </c>
      <c r="F400" s="4">
        <f t="shared" si="122"/>
        <v>22</v>
      </c>
      <c r="G400" s="3">
        <f>IF(E400&gt;=20,2000,1900) + D400</f>
        <v>1974</v>
      </c>
      <c r="H400">
        <f t="shared" si="123"/>
        <v>9</v>
      </c>
      <c r="I400" s="4">
        <f t="shared" si="124"/>
        <v>22</v>
      </c>
      <c r="J400">
        <f t="shared" si="125"/>
        <v>19740922</v>
      </c>
      <c r="K400" t="str">
        <f t="shared" si="126"/>
        <v>22.09.1974</v>
      </c>
      <c r="L400" s="4">
        <f t="shared" si="127"/>
        <v>7</v>
      </c>
      <c r="M400" s="4">
        <f t="shared" si="128"/>
        <v>12</v>
      </c>
      <c r="N400" s="4">
        <f t="shared" si="129"/>
        <v>0</v>
      </c>
      <c r="O400" s="4">
        <f t="shared" si="130"/>
        <v>81</v>
      </c>
      <c r="P400" s="4">
        <f t="shared" si="131"/>
        <v>2</v>
      </c>
      <c r="Q400" s="4">
        <f t="shared" si="132"/>
        <v>6</v>
      </c>
      <c r="R400" s="4">
        <f t="shared" si="133"/>
        <v>35</v>
      </c>
      <c r="S400" s="4">
        <f t="shared" si="134"/>
        <v>45</v>
      </c>
      <c r="T400" s="4">
        <f t="shared" si="135"/>
        <v>0</v>
      </c>
      <c r="U400" s="4">
        <f t="shared" si="136"/>
        <v>21</v>
      </c>
      <c r="V400" s="8">
        <f t="shared" si="137"/>
        <v>9</v>
      </c>
      <c r="W400" s="8">
        <f t="shared" si="138"/>
        <v>1</v>
      </c>
      <c r="X400">
        <f t="shared" si="139"/>
        <v>1</v>
      </c>
    </row>
    <row r="401" spans="1:24" x14ac:dyDescent="0.25">
      <c r="A401" s="4" t="s">
        <v>427</v>
      </c>
      <c r="B401" t="s">
        <v>17</v>
      </c>
      <c r="C401" t="s">
        <v>4</v>
      </c>
      <c r="D401" s="3">
        <f t="shared" si="120"/>
        <v>53</v>
      </c>
      <c r="E401" s="4">
        <f t="shared" si="121"/>
        <v>5</v>
      </c>
      <c r="F401" s="4">
        <f t="shared" si="122"/>
        <v>27</v>
      </c>
      <c r="G401" s="3">
        <f>IF(E401&gt;=20,2000,1900) + D401</f>
        <v>1953</v>
      </c>
      <c r="H401">
        <f t="shared" si="123"/>
        <v>5</v>
      </c>
      <c r="I401" s="4">
        <f t="shared" si="124"/>
        <v>27</v>
      </c>
      <c r="J401">
        <f t="shared" si="125"/>
        <v>19530527</v>
      </c>
      <c r="K401" t="str">
        <f t="shared" si="126"/>
        <v>27.05.1953</v>
      </c>
      <c r="L401" s="4">
        <f t="shared" si="127"/>
        <v>5</v>
      </c>
      <c r="M401" s="4">
        <f t="shared" si="128"/>
        <v>9</v>
      </c>
      <c r="N401" s="4">
        <f t="shared" si="129"/>
        <v>0</v>
      </c>
      <c r="O401" s="4">
        <f t="shared" si="130"/>
        <v>45</v>
      </c>
      <c r="P401" s="4">
        <f t="shared" si="131"/>
        <v>2</v>
      </c>
      <c r="Q401" s="4">
        <f t="shared" si="132"/>
        <v>21</v>
      </c>
      <c r="R401" s="4">
        <f t="shared" si="133"/>
        <v>42</v>
      </c>
      <c r="S401" s="4">
        <f t="shared" si="134"/>
        <v>45</v>
      </c>
      <c r="T401" s="4">
        <f t="shared" si="135"/>
        <v>7</v>
      </c>
      <c r="U401" s="4">
        <f t="shared" si="136"/>
        <v>6</v>
      </c>
      <c r="V401" s="8">
        <f t="shared" si="137"/>
        <v>2</v>
      </c>
      <c r="W401" s="8">
        <f t="shared" si="138"/>
        <v>8</v>
      </c>
      <c r="X401">
        <f t="shared" si="139"/>
        <v>1</v>
      </c>
    </row>
    <row r="402" spans="1:24" x14ac:dyDescent="0.25">
      <c r="A402" s="4" t="s">
        <v>428</v>
      </c>
      <c r="B402" t="s">
        <v>9</v>
      </c>
      <c r="C402" t="s">
        <v>6</v>
      </c>
      <c r="D402" s="3">
        <f t="shared" si="120"/>
        <v>97</v>
      </c>
      <c r="E402" s="4">
        <f t="shared" si="121"/>
        <v>4</v>
      </c>
      <c r="F402" s="4">
        <f t="shared" si="122"/>
        <v>29</v>
      </c>
      <c r="G402" s="3">
        <f>IF(E402&gt;=20,2000,1900) + D402</f>
        <v>1997</v>
      </c>
      <c r="H402">
        <f t="shared" si="123"/>
        <v>4</v>
      </c>
      <c r="I402" s="4">
        <f t="shared" si="124"/>
        <v>29</v>
      </c>
      <c r="J402">
        <f t="shared" si="125"/>
        <v>19970429</v>
      </c>
      <c r="K402" t="str">
        <f t="shared" si="126"/>
        <v>29.04.1997</v>
      </c>
      <c r="L402" s="4">
        <f t="shared" si="127"/>
        <v>9</v>
      </c>
      <c r="M402" s="4">
        <f t="shared" si="128"/>
        <v>21</v>
      </c>
      <c r="N402" s="4">
        <f t="shared" si="129"/>
        <v>0</v>
      </c>
      <c r="O402" s="4">
        <f t="shared" si="130"/>
        <v>36</v>
      </c>
      <c r="P402" s="4">
        <f t="shared" si="131"/>
        <v>2</v>
      </c>
      <c r="Q402" s="4">
        <f t="shared" si="132"/>
        <v>27</v>
      </c>
      <c r="R402" s="4">
        <f t="shared" si="133"/>
        <v>21</v>
      </c>
      <c r="S402" s="4">
        <f t="shared" si="134"/>
        <v>9</v>
      </c>
      <c r="T402" s="4">
        <f t="shared" si="135"/>
        <v>8</v>
      </c>
      <c r="U402" s="4">
        <f t="shared" si="136"/>
        <v>12</v>
      </c>
      <c r="V402" s="8">
        <f t="shared" si="137"/>
        <v>5</v>
      </c>
      <c r="W402" s="8">
        <f t="shared" si="138"/>
        <v>5</v>
      </c>
      <c r="X402">
        <f t="shared" si="139"/>
        <v>1</v>
      </c>
    </row>
    <row r="403" spans="1:24" x14ac:dyDescent="0.25">
      <c r="A403" s="4" t="s">
        <v>429</v>
      </c>
      <c r="B403" t="s">
        <v>7</v>
      </c>
      <c r="C403" t="s">
        <v>4</v>
      </c>
      <c r="D403" s="3">
        <f t="shared" si="120"/>
        <v>78</v>
      </c>
      <c r="E403" s="4">
        <f t="shared" si="121"/>
        <v>6</v>
      </c>
      <c r="F403" s="4">
        <f t="shared" si="122"/>
        <v>25</v>
      </c>
      <c r="G403" s="3">
        <f>IF(E403&gt;=20,2000,1900) + D403</f>
        <v>1978</v>
      </c>
      <c r="H403">
        <f t="shared" si="123"/>
        <v>6</v>
      </c>
      <c r="I403" s="4">
        <f t="shared" si="124"/>
        <v>25</v>
      </c>
      <c r="J403">
        <f t="shared" si="125"/>
        <v>19780625</v>
      </c>
      <c r="K403" t="str">
        <f t="shared" si="126"/>
        <v>25.06.1978</v>
      </c>
      <c r="L403" s="4">
        <f t="shared" si="127"/>
        <v>7</v>
      </c>
      <c r="M403" s="4">
        <f t="shared" si="128"/>
        <v>24</v>
      </c>
      <c r="N403" s="4">
        <f t="shared" si="129"/>
        <v>0</v>
      </c>
      <c r="O403" s="4">
        <f t="shared" si="130"/>
        <v>54</v>
      </c>
      <c r="P403" s="4">
        <f t="shared" si="131"/>
        <v>2</v>
      </c>
      <c r="Q403" s="4">
        <f t="shared" si="132"/>
        <v>15</v>
      </c>
      <c r="R403" s="4">
        <f t="shared" si="133"/>
        <v>14</v>
      </c>
      <c r="S403" s="4">
        <f t="shared" si="134"/>
        <v>0</v>
      </c>
      <c r="T403" s="4">
        <f t="shared" si="135"/>
        <v>0</v>
      </c>
      <c r="U403" s="4">
        <f t="shared" si="136"/>
        <v>24</v>
      </c>
      <c r="V403" s="8">
        <f t="shared" si="137"/>
        <v>0</v>
      </c>
      <c r="W403" s="8">
        <f t="shared" si="138"/>
        <v>0</v>
      </c>
      <c r="X403">
        <f t="shared" si="139"/>
        <v>1</v>
      </c>
    </row>
    <row r="404" spans="1:24" x14ac:dyDescent="0.25">
      <c r="A404" s="4" t="s">
        <v>430</v>
      </c>
      <c r="B404" t="s">
        <v>11</v>
      </c>
      <c r="C404" t="s">
        <v>4</v>
      </c>
      <c r="D404" s="3">
        <f t="shared" si="120"/>
        <v>65</v>
      </c>
      <c r="E404" s="4">
        <f t="shared" si="121"/>
        <v>11</v>
      </c>
      <c r="F404" s="4">
        <f t="shared" si="122"/>
        <v>19</v>
      </c>
      <c r="G404" s="3">
        <f>IF(E404&gt;=20,2000,1900) + D404</f>
        <v>1965</v>
      </c>
      <c r="H404">
        <f t="shared" si="123"/>
        <v>11</v>
      </c>
      <c r="I404" s="4">
        <f t="shared" si="124"/>
        <v>19</v>
      </c>
      <c r="J404">
        <f t="shared" si="125"/>
        <v>19651119</v>
      </c>
      <c r="K404" t="str">
        <f t="shared" si="126"/>
        <v>19.11.1965</v>
      </c>
      <c r="L404" s="4">
        <f t="shared" si="127"/>
        <v>6</v>
      </c>
      <c r="M404" s="4">
        <f t="shared" si="128"/>
        <v>15</v>
      </c>
      <c r="N404" s="4">
        <f t="shared" si="129"/>
        <v>7</v>
      </c>
      <c r="O404" s="4">
        <f t="shared" si="130"/>
        <v>9</v>
      </c>
      <c r="P404" s="4">
        <f t="shared" si="131"/>
        <v>1</v>
      </c>
      <c r="Q404" s="4">
        <f t="shared" si="132"/>
        <v>27</v>
      </c>
      <c r="R404" s="4">
        <f t="shared" si="133"/>
        <v>35</v>
      </c>
      <c r="S404" s="4">
        <f t="shared" si="134"/>
        <v>81</v>
      </c>
      <c r="T404" s="4">
        <f t="shared" si="135"/>
        <v>8</v>
      </c>
      <c r="U404" s="4">
        <f t="shared" si="136"/>
        <v>6</v>
      </c>
      <c r="V404" s="8">
        <f t="shared" si="137"/>
        <v>5</v>
      </c>
      <c r="W404" s="8">
        <f t="shared" si="138"/>
        <v>5</v>
      </c>
      <c r="X404">
        <f t="shared" si="139"/>
        <v>1</v>
      </c>
    </row>
    <row r="405" spans="1:24" x14ac:dyDescent="0.25">
      <c r="A405" s="4" t="s">
        <v>431</v>
      </c>
      <c r="B405" t="s">
        <v>3</v>
      </c>
      <c r="C405" t="s">
        <v>4</v>
      </c>
      <c r="D405" s="3">
        <f t="shared" si="120"/>
        <v>50</v>
      </c>
      <c r="E405" s="4">
        <f t="shared" si="121"/>
        <v>1</v>
      </c>
      <c r="F405" s="4">
        <f t="shared" si="122"/>
        <v>14</v>
      </c>
      <c r="G405" s="3">
        <f>IF(E405&gt;=20,2000,1900) + D405</f>
        <v>1950</v>
      </c>
      <c r="H405">
        <f t="shared" si="123"/>
        <v>1</v>
      </c>
      <c r="I405" s="4">
        <f t="shared" si="124"/>
        <v>14</v>
      </c>
      <c r="J405">
        <f t="shared" si="125"/>
        <v>19500114</v>
      </c>
      <c r="K405" t="str">
        <f t="shared" si="126"/>
        <v>14.01.1950</v>
      </c>
      <c r="L405" s="4">
        <f t="shared" si="127"/>
        <v>5</v>
      </c>
      <c r="M405" s="4">
        <f t="shared" si="128"/>
        <v>0</v>
      </c>
      <c r="N405" s="4">
        <f t="shared" si="129"/>
        <v>0</v>
      </c>
      <c r="O405" s="4">
        <f t="shared" si="130"/>
        <v>9</v>
      </c>
      <c r="P405" s="4">
        <f t="shared" si="131"/>
        <v>1</v>
      </c>
      <c r="Q405" s="4">
        <f t="shared" si="132"/>
        <v>12</v>
      </c>
      <c r="R405" s="4">
        <f t="shared" si="133"/>
        <v>28</v>
      </c>
      <c r="S405" s="4">
        <f t="shared" si="134"/>
        <v>0</v>
      </c>
      <c r="T405" s="4">
        <f t="shared" si="135"/>
        <v>8</v>
      </c>
      <c r="U405" s="4">
        <f t="shared" si="136"/>
        <v>0</v>
      </c>
      <c r="V405" s="8">
        <f t="shared" si="137"/>
        <v>3</v>
      </c>
      <c r="W405" s="8">
        <f t="shared" si="138"/>
        <v>7</v>
      </c>
      <c r="X405">
        <f t="shared" si="139"/>
        <v>1</v>
      </c>
    </row>
    <row r="406" spans="1:24" x14ac:dyDescent="0.25">
      <c r="A406" s="4" t="s">
        <v>432</v>
      </c>
      <c r="B406" t="s">
        <v>11</v>
      </c>
      <c r="C406" t="s">
        <v>6</v>
      </c>
      <c r="D406" s="3">
        <f t="shared" si="120"/>
        <v>83</v>
      </c>
      <c r="E406" s="4">
        <f t="shared" si="121"/>
        <v>11</v>
      </c>
      <c r="F406" s="4">
        <f t="shared" si="122"/>
        <v>10</v>
      </c>
      <c r="G406" s="3">
        <f>IF(E406&gt;=20,2000,1900) + D406</f>
        <v>1983</v>
      </c>
      <c r="H406">
        <f t="shared" si="123"/>
        <v>11</v>
      </c>
      <c r="I406" s="4">
        <f t="shared" si="124"/>
        <v>10</v>
      </c>
      <c r="J406">
        <f t="shared" si="125"/>
        <v>19831110</v>
      </c>
      <c r="K406" t="str">
        <f t="shared" si="126"/>
        <v>10.11.1983</v>
      </c>
      <c r="L406" s="4">
        <f t="shared" si="127"/>
        <v>8</v>
      </c>
      <c r="M406" s="4">
        <f t="shared" si="128"/>
        <v>9</v>
      </c>
      <c r="N406" s="4">
        <f t="shared" si="129"/>
        <v>7</v>
      </c>
      <c r="O406" s="4">
        <f t="shared" si="130"/>
        <v>9</v>
      </c>
      <c r="P406" s="4">
        <f t="shared" si="131"/>
        <v>1</v>
      </c>
      <c r="Q406" s="4">
        <f t="shared" si="132"/>
        <v>0</v>
      </c>
      <c r="R406" s="4">
        <f t="shared" si="133"/>
        <v>63</v>
      </c>
      <c r="S406" s="4">
        <f t="shared" si="134"/>
        <v>18</v>
      </c>
      <c r="T406" s="4">
        <f t="shared" si="135"/>
        <v>7</v>
      </c>
      <c r="U406" s="4">
        <f t="shared" si="136"/>
        <v>6</v>
      </c>
      <c r="V406" s="8">
        <f t="shared" si="137"/>
        <v>8</v>
      </c>
      <c r="W406" s="8">
        <f t="shared" si="138"/>
        <v>2</v>
      </c>
      <c r="X406">
        <f t="shared" si="139"/>
        <v>1</v>
      </c>
    </row>
    <row r="407" spans="1:24" x14ac:dyDescent="0.25">
      <c r="A407" s="4" t="s">
        <v>433</v>
      </c>
      <c r="B407" t="s">
        <v>17</v>
      </c>
      <c r="C407" t="s">
        <v>6</v>
      </c>
      <c r="D407" s="3">
        <f t="shared" si="120"/>
        <v>75</v>
      </c>
      <c r="E407" s="4">
        <f t="shared" si="121"/>
        <v>12</v>
      </c>
      <c r="F407" s="4">
        <f t="shared" si="122"/>
        <v>21</v>
      </c>
      <c r="G407" s="3">
        <f>IF(E407&gt;=20,2000,1900) + D407</f>
        <v>1975</v>
      </c>
      <c r="H407">
        <f t="shared" si="123"/>
        <v>12</v>
      </c>
      <c r="I407" s="4">
        <f t="shared" si="124"/>
        <v>21</v>
      </c>
      <c r="J407">
        <f t="shared" si="125"/>
        <v>19751221</v>
      </c>
      <c r="K407" t="str">
        <f t="shared" si="126"/>
        <v>21.12.1975</v>
      </c>
      <c r="L407" s="4">
        <f t="shared" si="127"/>
        <v>7</v>
      </c>
      <c r="M407" s="4">
        <f t="shared" si="128"/>
        <v>15</v>
      </c>
      <c r="N407" s="4">
        <f t="shared" si="129"/>
        <v>7</v>
      </c>
      <c r="O407" s="4">
        <f t="shared" si="130"/>
        <v>18</v>
      </c>
      <c r="P407" s="4">
        <f t="shared" si="131"/>
        <v>2</v>
      </c>
      <c r="Q407" s="4">
        <f t="shared" si="132"/>
        <v>3</v>
      </c>
      <c r="R407" s="4">
        <f t="shared" si="133"/>
        <v>28</v>
      </c>
      <c r="S407" s="4">
        <f t="shared" si="134"/>
        <v>27</v>
      </c>
      <c r="T407" s="4">
        <f t="shared" si="135"/>
        <v>9</v>
      </c>
      <c r="U407" s="4">
        <f t="shared" si="136"/>
        <v>21</v>
      </c>
      <c r="V407" s="8">
        <f t="shared" si="137"/>
        <v>7</v>
      </c>
      <c r="W407" s="8">
        <f t="shared" si="138"/>
        <v>3</v>
      </c>
      <c r="X407">
        <f t="shared" si="139"/>
        <v>1</v>
      </c>
    </row>
    <row r="408" spans="1:24" x14ac:dyDescent="0.25">
      <c r="A408" s="4" t="s">
        <v>434</v>
      </c>
      <c r="B408" t="s">
        <v>5</v>
      </c>
      <c r="C408" t="s">
        <v>4</v>
      </c>
      <c r="D408" s="3">
        <f t="shared" si="120"/>
        <v>65</v>
      </c>
      <c r="E408" s="4">
        <f t="shared" si="121"/>
        <v>10</v>
      </c>
      <c r="F408" s="4">
        <f t="shared" si="122"/>
        <v>5</v>
      </c>
      <c r="G408" s="3">
        <f>IF(E408&gt;=20,2000,1900) + D408</f>
        <v>1965</v>
      </c>
      <c r="H408">
        <f t="shared" si="123"/>
        <v>10</v>
      </c>
      <c r="I408" s="4">
        <f t="shared" si="124"/>
        <v>5</v>
      </c>
      <c r="J408">
        <f t="shared" si="125"/>
        <v>19651005</v>
      </c>
      <c r="K408" t="str">
        <f t="shared" si="126"/>
        <v>05.10.1965</v>
      </c>
      <c r="L408" s="4">
        <f t="shared" si="127"/>
        <v>6</v>
      </c>
      <c r="M408" s="4">
        <f t="shared" si="128"/>
        <v>15</v>
      </c>
      <c r="N408" s="4">
        <f t="shared" si="129"/>
        <v>7</v>
      </c>
      <c r="O408" s="4">
        <f t="shared" si="130"/>
        <v>0</v>
      </c>
      <c r="P408" s="4">
        <f t="shared" si="131"/>
        <v>0</v>
      </c>
      <c r="Q408" s="4">
        <f t="shared" si="132"/>
        <v>15</v>
      </c>
      <c r="R408" s="4">
        <f t="shared" si="133"/>
        <v>28</v>
      </c>
      <c r="S408" s="4">
        <f t="shared" si="134"/>
        <v>81</v>
      </c>
      <c r="T408" s="4">
        <f t="shared" si="135"/>
        <v>2</v>
      </c>
      <c r="U408" s="4">
        <f t="shared" si="136"/>
        <v>15</v>
      </c>
      <c r="V408" s="8">
        <f t="shared" si="137"/>
        <v>9</v>
      </c>
      <c r="W408" s="8">
        <f t="shared" si="138"/>
        <v>1</v>
      </c>
      <c r="X408">
        <f t="shared" si="139"/>
        <v>1</v>
      </c>
    </row>
    <row r="409" spans="1:24" x14ac:dyDescent="0.25">
      <c r="A409" s="4" t="s">
        <v>435</v>
      </c>
      <c r="B409" t="s">
        <v>9</v>
      </c>
      <c r="C409" t="s">
        <v>6</v>
      </c>
      <c r="D409" s="3">
        <f t="shared" si="120"/>
        <v>70</v>
      </c>
      <c r="E409" s="4">
        <f t="shared" si="121"/>
        <v>2</v>
      </c>
      <c r="F409" s="4">
        <f t="shared" si="122"/>
        <v>19</v>
      </c>
      <c r="G409" s="3">
        <f>IF(E409&gt;=20,2000,1900) + D409</f>
        <v>1970</v>
      </c>
      <c r="H409">
        <f t="shared" si="123"/>
        <v>2</v>
      </c>
      <c r="I409" s="4">
        <f t="shared" si="124"/>
        <v>19</v>
      </c>
      <c r="J409">
        <f t="shared" si="125"/>
        <v>19700219</v>
      </c>
      <c r="K409" t="str">
        <f t="shared" si="126"/>
        <v>19.02.1970</v>
      </c>
      <c r="L409" s="4">
        <f t="shared" si="127"/>
        <v>7</v>
      </c>
      <c r="M409" s="4">
        <f t="shared" si="128"/>
        <v>0</v>
      </c>
      <c r="N409" s="4">
        <f t="shared" si="129"/>
        <v>0</v>
      </c>
      <c r="O409" s="4">
        <f t="shared" si="130"/>
        <v>18</v>
      </c>
      <c r="P409" s="4">
        <f t="shared" si="131"/>
        <v>1</v>
      </c>
      <c r="Q409" s="4">
        <f t="shared" si="132"/>
        <v>27</v>
      </c>
      <c r="R409" s="4">
        <f t="shared" si="133"/>
        <v>63</v>
      </c>
      <c r="S409" s="4">
        <f t="shared" si="134"/>
        <v>0</v>
      </c>
      <c r="T409" s="4">
        <f t="shared" si="135"/>
        <v>2</v>
      </c>
      <c r="U409" s="4">
        <f t="shared" si="136"/>
        <v>6</v>
      </c>
      <c r="V409" s="8">
        <f t="shared" si="137"/>
        <v>4</v>
      </c>
      <c r="W409" s="8">
        <f t="shared" si="138"/>
        <v>6</v>
      </c>
      <c r="X409">
        <f t="shared" si="139"/>
        <v>1</v>
      </c>
    </row>
    <row r="410" spans="1:24" x14ac:dyDescent="0.25">
      <c r="A410" s="4" t="s">
        <v>436</v>
      </c>
      <c r="B410" t="s">
        <v>15</v>
      </c>
      <c r="C410" t="s">
        <v>4</v>
      </c>
      <c r="D410" s="3">
        <f t="shared" si="120"/>
        <v>79</v>
      </c>
      <c r="E410" s="4">
        <f t="shared" si="121"/>
        <v>5</v>
      </c>
      <c r="F410" s="4">
        <f t="shared" si="122"/>
        <v>30</v>
      </c>
      <c r="G410" s="3">
        <f>IF(E410&gt;=20,2000,1900) + D410</f>
        <v>1979</v>
      </c>
      <c r="H410">
        <f t="shared" si="123"/>
        <v>5</v>
      </c>
      <c r="I410" s="4">
        <f t="shared" si="124"/>
        <v>30</v>
      </c>
      <c r="J410">
        <f t="shared" si="125"/>
        <v>19790530</v>
      </c>
      <c r="K410" t="str">
        <f t="shared" si="126"/>
        <v>30.05.1979</v>
      </c>
      <c r="L410" s="4">
        <f t="shared" si="127"/>
        <v>7</v>
      </c>
      <c r="M410" s="4">
        <f t="shared" si="128"/>
        <v>27</v>
      </c>
      <c r="N410" s="4">
        <f t="shared" si="129"/>
        <v>0</v>
      </c>
      <c r="O410" s="4">
        <f t="shared" si="130"/>
        <v>45</v>
      </c>
      <c r="P410" s="4">
        <f t="shared" si="131"/>
        <v>3</v>
      </c>
      <c r="Q410" s="4">
        <f t="shared" si="132"/>
        <v>0</v>
      </c>
      <c r="R410" s="4">
        <f t="shared" si="133"/>
        <v>14</v>
      </c>
      <c r="S410" s="4">
        <f t="shared" si="134"/>
        <v>45</v>
      </c>
      <c r="T410" s="4">
        <f t="shared" si="135"/>
        <v>3</v>
      </c>
      <c r="U410" s="4">
        <f t="shared" si="136"/>
        <v>12</v>
      </c>
      <c r="V410" s="8">
        <f t="shared" si="137"/>
        <v>6</v>
      </c>
      <c r="W410" s="8">
        <f t="shared" si="138"/>
        <v>4</v>
      </c>
      <c r="X410">
        <f t="shared" si="139"/>
        <v>1</v>
      </c>
    </row>
    <row r="411" spans="1:24" x14ac:dyDescent="0.25">
      <c r="A411" s="4" t="s">
        <v>437</v>
      </c>
      <c r="B411" t="s">
        <v>20</v>
      </c>
      <c r="C411" t="s">
        <v>4</v>
      </c>
      <c r="D411" s="3">
        <f t="shared" si="120"/>
        <v>98</v>
      </c>
      <c r="E411" s="4">
        <f t="shared" si="121"/>
        <v>10</v>
      </c>
      <c r="F411" s="4">
        <f t="shared" si="122"/>
        <v>7</v>
      </c>
      <c r="G411" s="3">
        <f>IF(E411&gt;=20,2000,1900) + D411</f>
        <v>1998</v>
      </c>
      <c r="H411">
        <f t="shared" si="123"/>
        <v>10</v>
      </c>
      <c r="I411" s="4">
        <f t="shared" si="124"/>
        <v>7</v>
      </c>
      <c r="J411">
        <f t="shared" si="125"/>
        <v>19981007</v>
      </c>
      <c r="K411" t="str">
        <f t="shared" si="126"/>
        <v>07.10.1998</v>
      </c>
      <c r="L411" s="4">
        <f t="shared" si="127"/>
        <v>9</v>
      </c>
      <c r="M411" s="4">
        <f t="shared" si="128"/>
        <v>24</v>
      </c>
      <c r="N411" s="4">
        <f t="shared" si="129"/>
        <v>7</v>
      </c>
      <c r="O411" s="4">
        <f t="shared" si="130"/>
        <v>0</v>
      </c>
      <c r="P411" s="4">
        <f t="shared" si="131"/>
        <v>0</v>
      </c>
      <c r="Q411" s="4">
        <f t="shared" si="132"/>
        <v>21</v>
      </c>
      <c r="R411" s="4">
        <f t="shared" si="133"/>
        <v>21</v>
      </c>
      <c r="S411" s="4">
        <f t="shared" si="134"/>
        <v>81</v>
      </c>
      <c r="T411" s="4">
        <f t="shared" si="135"/>
        <v>5</v>
      </c>
      <c r="U411" s="4">
        <f t="shared" si="136"/>
        <v>3</v>
      </c>
      <c r="V411" s="8">
        <f t="shared" si="137"/>
        <v>1</v>
      </c>
      <c r="W411" s="8">
        <f t="shared" si="138"/>
        <v>9</v>
      </c>
      <c r="X411">
        <f t="shared" si="139"/>
        <v>1</v>
      </c>
    </row>
    <row r="412" spans="1:24" x14ac:dyDescent="0.25">
      <c r="A412" s="4" t="s">
        <v>438</v>
      </c>
      <c r="B412" t="s">
        <v>14</v>
      </c>
      <c r="C412" t="s">
        <v>4</v>
      </c>
      <c r="D412" s="3">
        <f t="shared" si="120"/>
        <v>61</v>
      </c>
      <c r="E412" s="4">
        <f t="shared" si="121"/>
        <v>4</v>
      </c>
      <c r="F412" s="4">
        <f t="shared" si="122"/>
        <v>4</v>
      </c>
      <c r="G412" s="3">
        <f>IF(E412&gt;=20,2000,1900) + D412</f>
        <v>1961</v>
      </c>
      <c r="H412">
        <f t="shared" si="123"/>
        <v>4</v>
      </c>
      <c r="I412" s="4">
        <f t="shared" si="124"/>
        <v>4</v>
      </c>
      <c r="J412">
        <f t="shared" si="125"/>
        <v>19610404</v>
      </c>
      <c r="K412" t="str">
        <f t="shared" si="126"/>
        <v>04.04.1961</v>
      </c>
      <c r="L412" s="4">
        <f t="shared" si="127"/>
        <v>6</v>
      </c>
      <c r="M412" s="4">
        <f t="shared" si="128"/>
        <v>3</v>
      </c>
      <c r="N412" s="4">
        <f t="shared" si="129"/>
        <v>0</v>
      </c>
      <c r="O412" s="4">
        <f t="shared" si="130"/>
        <v>36</v>
      </c>
      <c r="P412" s="4">
        <f t="shared" si="131"/>
        <v>0</v>
      </c>
      <c r="Q412" s="4">
        <f t="shared" si="132"/>
        <v>12</v>
      </c>
      <c r="R412" s="4">
        <f t="shared" si="133"/>
        <v>28</v>
      </c>
      <c r="S412" s="4">
        <f t="shared" si="134"/>
        <v>45</v>
      </c>
      <c r="T412" s="4">
        <f t="shared" si="135"/>
        <v>6</v>
      </c>
      <c r="U412" s="4">
        <f t="shared" si="136"/>
        <v>21</v>
      </c>
      <c r="V412" s="8">
        <f t="shared" si="137"/>
        <v>7</v>
      </c>
      <c r="W412" s="8">
        <f t="shared" si="138"/>
        <v>3</v>
      </c>
      <c r="X412">
        <f t="shared" si="139"/>
        <v>1</v>
      </c>
    </row>
    <row r="413" spans="1:24" x14ac:dyDescent="0.25">
      <c r="A413" s="4" t="s">
        <v>439</v>
      </c>
      <c r="B413" t="s">
        <v>13</v>
      </c>
      <c r="C413" t="s">
        <v>4</v>
      </c>
      <c r="D413" s="3">
        <f t="shared" si="120"/>
        <v>54</v>
      </c>
      <c r="E413" s="4">
        <f t="shared" si="121"/>
        <v>12</v>
      </c>
      <c r="F413" s="4">
        <f t="shared" si="122"/>
        <v>9</v>
      </c>
      <c r="G413" s="3">
        <f>IF(E413&gt;=20,2000,1900) + D413</f>
        <v>1954</v>
      </c>
      <c r="H413">
        <f t="shared" si="123"/>
        <v>12</v>
      </c>
      <c r="I413" s="4">
        <f t="shared" si="124"/>
        <v>9</v>
      </c>
      <c r="J413">
        <f t="shared" si="125"/>
        <v>19541209</v>
      </c>
      <c r="K413" t="str">
        <f t="shared" si="126"/>
        <v>09.12.1954</v>
      </c>
      <c r="L413" s="4">
        <f t="shared" si="127"/>
        <v>5</v>
      </c>
      <c r="M413" s="4">
        <f t="shared" si="128"/>
        <v>12</v>
      </c>
      <c r="N413" s="4">
        <f t="shared" si="129"/>
        <v>7</v>
      </c>
      <c r="O413" s="4">
        <f t="shared" si="130"/>
        <v>18</v>
      </c>
      <c r="P413" s="4">
        <f t="shared" si="131"/>
        <v>0</v>
      </c>
      <c r="Q413" s="4">
        <f t="shared" si="132"/>
        <v>27</v>
      </c>
      <c r="R413" s="4">
        <f t="shared" si="133"/>
        <v>35</v>
      </c>
      <c r="S413" s="4">
        <f t="shared" si="134"/>
        <v>54</v>
      </c>
      <c r="T413" s="4">
        <f t="shared" si="135"/>
        <v>6</v>
      </c>
      <c r="U413" s="4">
        <f t="shared" si="136"/>
        <v>12</v>
      </c>
      <c r="V413" s="8">
        <f t="shared" si="137"/>
        <v>6</v>
      </c>
      <c r="W413" s="8">
        <f t="shared" si="138"/>
        <v>4</v>
      </c>
      <c r="X413">
        <f t="shared" si="139"/>
        <v>1</v>
      </c>
    </row>
    <row r="414" spans="1:24" x14ac:dyDescent="0.25">
      <c r="A414" s="4" t="s">
        <v>440</v>
      </c>
      <c r="B414" t="s">
        <v>13</v>
      </c>
      <c r="C414" t="s">
        <v>6</v>
      </c>
      <c r="D414" s="3">
        <f t="shared" si="120"/>
        <v>87</v>
      </c>
      <c r="E414" s="4">
        <f t="shared" si="121"/>
        <v>1</v>
      </c>
      <c r="F414" s="4">
        <f t="shared" si="122"/>
        <v>17</v>
      </c>
      <c r="G414" s="3">
        <f>IF(E414&gt;=20,2000,1900) + D414</f>
        <v>1987</v>
      </c>
      <c r="H414">
        <f t="shared" si="123"/>
        <v>1</v>
      </c>
      <c r="I414" s="4">
        <f t="shared" si="124"/>
        <v>17</v>
      </c>
      <c r="J414">
        <f t="shared" si="125"/>
        <v>19870117</v>
      </c>
      <c r="K414" t="str">
        <f t="shared" si="126"/>
        <v>17.01.1987</v>
      </c>
      <c r="L414" s="4">
        <f t="shared" si="127"/>
        <v>8</v>
      </c>
      <c r="M414" s="4">
        <f t="shared" si="128"/>
        <v>21</v>
      </c>
      <c r="N414" s="4">
        <f t="shared" si="129"/>
        <v>0</v>
      </c>
      <c r="O414" s="4">
        <f t="shared" si="130"/>
        <v>9</v>
      </c>
      <c r="P414" s="4">
        <f t="shared" si="131"/>
        <v>1</v>
      </c>
      <c r="Q414" s="4">
        <f t="shared" si="132"/>
        <v>21</v>
      </c>
      <c r="R414" s="4">
        <f t="shared" si="133"/>
        <v>14</v>
      </c>
      <c r="S414" s="4">
        <f t="shared" si="134"/>
        <v>54</v>
      </c>
      <c r="T414" s="4">
        <f t="shared" si="135"/>
        <v>2</v>
      </c>
      <c r="U414" s="4">
        <f t="shared" si="136"/>
        <v>6</v>
      </c>
      <c r="V414" s="8">
        <f t="shared" si="137"/>
        <v>6</v>
      </c>
      <c r="W414" s="8">
        <f t="shared" si="138"/>
        <v>4</v>
      </c>
      <c r="X414">
        <f t="shared" si="139"/>
        <v>1</v>
      </c>
    </row>
    <row r="415" spans="1:24" x14ac:dyDescent="0.25">
      <c r="A415" s="4" t="s">
        <v>441</v>
      </c>
      <c r="B415" t="s">
        <v>7</v>
      </c>
      <c r="C415" t="s">
        <v>4</v>
      </c>
      <c r="D415" s="3">
        <f t="shared" si="120"/>
        <v>89</v>
      </c>
      <c r="E415" s="4">
        <f t="shared" si="121"/>
        <v>12</v>
      </c>
      <c r="F415" s="4">
        <f t="shared" si="122"/>
        <v>21</v>
      </c>
      <c r="G415" s="3">
        <f>IF(E415&gt;=20,2000,1900) + D415</f>
        <v>1989</v>
      </c>
      <c r="H415">
        <f t="shared" si="123"/>
        <v>12</v>
      </c>
      <c r="I415" s="4">
        <f t="shared" si="124"/>
        <v>21</v>
      </c>
      <c r="J415">
        <f t="shared" si="125"/>
        <v>19891221</v>
      </c>
      <c r="K415" t="str">
        <f t="shared" si="126"/>
        <v>21.12.1989</v>
      </c>
      <c r="L415" s="4">
        <f t="shared" si="127"/>
        <v>8</v>
      </c>
      <c r="M415" s="4">
        <f t="shared" si="128"/>
        <v>27</v>
      </c>
      <c r="N415" s="4">
        <f t="shared" si="129"/>
        <v>7</v>
      </c>
      <c r="O415" s="4">
        <f t="shared" si="130"/>
        <v>18</v>
      </c>
      <c r="P415" s="4">
        <f t="shared" si="131"/>
        <v>2</v>
      </c>
      <c r="Q415" s="4">
        <f t="shared" si="132"/>
        <v>3</v>
      </c>
      <c r="R415" s="4">
        <f t="shared" si="133"/>
        <v>7</v>
      </c>
      <c r="S415" s="4">
        <f t="shared" si="134"/>
        <v>0</v>
      </c>
      <c r="T415" s="4">
        <f t="shared" si="135"/>
        <v>5</v>
      </c>
      <c r="U415" s="4">
        <f t="shared" si="136"/>
        <v>12</v>
      </c>
      <c r="V415" s="8">
        <f t="shared" si="137"/>
        <v>9</v>
      </c>
      <c r="W415" s="8">
        <f t="shared" si="138"/>
        <v>1</v>
      </c>
      <c r="X415">
        <f t="shared" si="139"/>
        <v>1</v>
      </c>
    </row>
    <row r="416" spans="1:24" x14ac:dyDescent="0.25">
      <c r="A416" s="4" t="s">
        <v>442</v>
      </c>
      <c r="B416" t="s">
        <v>15</v>
      </c>
      <c r="C416" t="s">
        <v>4</v>
      </c>
      <c r="D416" s="3">
        <f t="shared" si="120"/>
        <v>63</v>
      </c>
      <c r="E416" s="4">
        <f t="shared" si="121"/>
        <v>10</v>
      </c>
      <c r="F416" s="4">
        <f t="shared" si="122"/>
        <v>25</v>
      </c>
      <c r="G416" s="3">
        <f>IF(E416&gt;=20,2000,1900) + D416</f>
        <v>1963</v>
      </c>
      <c r="H416">
        <f t="shared" si="123"/>
        <v>10</v>
      </c>
      <c r="I416" s="4">
        <f t="shared" si="124"/>
        <v>25</v>
      </c>
      <c r="J416">
        <f t="shared" si="125"/>
        <v>19631025</v>
      </c>
      <c r="K416" t="str">
        <f t="shared" si="126"/>
        <v>25.10.1963</v>
      </c>
      <c r="L416" s="4">
        <f t="shared" si="127"/>
        <v>6</v>
      </c>
      <c r="M416" s="4">
        <f t="shared" si="128"/>
        <v>9</v>
      </c>
      <c r="N416" s="4">
        <f t="shared" si="129"/>
        <v>7</v>
      </c>
      <c r="O416" s="4">
        <f t="shared" si="130"/>
        <v>0</v>
      </c>
      <c r="P416" s="4">
        <f t="shared" si="131"/>
        <v>2</v>
      </c>
      <c r="Q416" s="4">
        <f t="shared" si="132"/>
        <v>15</v>
      </c>
      <c r="R416" s="4">
        <f t="shared" si="133"/>
        <v>42</v>
      </c>
      <c r="S416" s="4">
        <f t="shared" si="134"/>
        <v>18</v>
      </c>
      <c r="T416" s="4">
        <f t="shared" si="135"/>
        <v>2</v>
      </c>
      <c r="U416" s="4">
        <f t="shared" si="136"/>
        <v>27</v>
      </c>
      <c r="V416" s="8">
        <f t="shared" si="137"/>
        <v>8</v>
      </c>
      <c r="W416" s="8">
        <f t="shared" si="138"/>
        <v>2</v>
      </c>
      <c r="X416">
        <f t="shared" si="139"/>
        <v>1</v>
      </c>
    </row>
    <row r="417" spans="1:24" x14ac:dyDescent="0.25">
      <c r="A417" s="4" t="s">
        <v>443</v>
      </c>
      <c r="B417" t="s">
        <v>20</v>
      </c>
      <c r="C417" t="s">
        <v>6</v>
      </c>
      <c r="D417" s="3">
        <f t="shared" si="120"/>
        <v>91</v>
      </c>
      <c r="E417" s="4">
        <f t="shared" si="121"/>
        <v>10</v>
      </c>
      <c r="F417" s="4">
        <f t="shared" si="122"/>
        <v>17</v>
      </c>
      <c r="G417" s="3">
        <f>IF(E417&gt;=20,2000,1900) + D417</f>
        <v>1991</v>
      </c>
      <c r="H417">
        <f t="shared" si="123"/>
        <v>10</v>
      </c>
      <c r="I417" s="4">
        <f t="shared" si="124"/>
        <v>17</v>
      </c>
      <c r="J417">
        <f t="shared" si="125"/>
        <v>19911017</v>
      </c>
      <c r="K417" t="str">
        <f t="shared" si="126"/>
        <v>17.10.1991</v>
      </c>
      <c r="L417" s="4">
        <f t="shared" si="127"/>
        <v>9</v>
      </c>
      <c r="M417" s="4">
        <f t="shared" si="128"/>
        <v>3</v>
      </c>
      <c r="N417" s="4">
        <f t="shared" si="129"/>
        <v>7</v>
      </c>
      <c r="O417" s="4">
        <f t="shared" si="130"/>
        <v>0</v>
      </c>
      <c r="P417" s="4">
        <f t="shared" si="131"/>
        <v>1</v>
      </c>
      <c r="Q417" s="4">
        <f t="shared" si="132"/>
        <v>21</v>
      </c>
      <c r="R417" s="4">
        <f t="shared" si="133"/>
        <v>35</v>
      </c>
      <c r="S417" s="4">
        <f t="shared" si="134"/>
        <v>72</v>
      </c>
      <c r="T417" s="4">
        <f t="shared" si="135"/>
        <v>4</v>
      </c>
      <c r="U417" s="4">
        <f t="shared" si="136"/>
        <v>12</v>
      </c>
      <c r="V417" s="8">
        <f t="shared" si="137"/>
        <v>4</v>
      </c>
      <c r="W417" s="8">
        <f t="shared" si="138"/>
        <v>6</v>
      </c>
      <c r="X417">
        <f t="shared" si="139"/>
        <v>1</v>
      </c>
    </row>
    <row r="418" spans="1:24" x14ac:dyDescent="0.25">
      <c r="A418" s="4" t="s">
        <v>444</v>
      </c>
      <c r="B418" t="s">
        <v>14</v>
      </c>
      <c r="C418" t="s">
        <v>6</v>
      </c>
      <c r="D418" s="3">
        <f t="shared" si="120"/>
        <v>73</v>
      </c>
      <c r="E418" s="4">
        <f t="shared" si="121"/>
        <v>4</v>
      </c>
      <c r="F418" s="4">
        <f t="shared" si="122"/>
        <v>12</v>
      </c>
      <c r="G418" s="3">
        <f>IF(E418&gt;=20,2000,1900) + D418</f>
        <v>1973</v>
      </c>
      <c r="H418">
        <f t="shared" si="123"/>
        <v>4</v>
      </c>
      <c r="I418" s="4">
        <f t="shared" si="124"/>
        <v>12</v>
      </c>
      <c r="J418">
        <f t="shared" si="125"/>
        <v>19730412</v>
      </c>
      <c r="K418" t="str">
        <f t="shared" si="126"/>
        <v>12.04.1973</v>
      </c>
      <c r="L418" s="4">
        <f t="shared" si="127"/>
        <v>7</v>
      </c>
      <c r="M418" s="4">
        <f t="shared" si="128"/>
        <v>9</v>
      </c>
      <c r="N418" s="4">
        <f t="shared" si="129"/>
        <v>0</v>
      </c>
      <c r="O418" s="4">
        <f t="shared" si="130"/>
        <v>36</v>
      </c>
      <c r="P418" s="4">
        <f t="shared" si="131"/>
        <v>1</v>
      </c>
      <c r="Q418" s="4">
        <f t="shared" si="132"/>
        <v>6</v>
      </c>
      <c r="R418" s="4">
        <f t="shared" si="133"/>
        <v>49</v>
      </c>
      <c r="S418" s="4">
        <f t="shared" si="134"/>
        <v>63</v>
      </c>
      <c r="T418" s="4">
        <f t="shared" si="135"/>
        <v>6</v>
      </c>
      <c r="U418" s="4">
        <f t="shared" si="136"/>
        <v>3</v>
      </c>
      <c r="V418" s="8">
        <f t="shared" si="137"/>
        <v>0</v>
      </c>
      <c r="W418" s="8">
        <f t="shared" si="138"/>
        <v>0</v>
      </c>
      <c r="X418">
        <f t="shared" si="139"/>
        <v>1</v>
      </c>
    </row>
    <row r="419" spans="1:24" x14ac:dyDescent="0.25">
      <c r="A419" s="4" t="s">
        <v>445</v>
      </c>
      <c r="B419" t="s">
        <v>19</v>
      </c>
      <c r="C419" t="s">
        <v>4</v>
      </c>
      <c r="D419" s="3">
        <f t="shared" si="120"/>
        <v>63</v>
      </c>
      <c r="E419" s="4">
        <f t="shared" si="121"/>
        <v>10</v>
      </c>
      <c r="F419" s="4">
        <f t="shared" si="122"/>
        <v>12</v>
      </c>
      <c r="G419" s="3">
        <f>IF(E419&gt;=20,2000,1900) + D419</f>
        <v>1963</v>
      </c>
      <c r="H419">
        <f t="shared" si="123"/>
        <v>10</v>
      </c>
      <c r="I419" s="4">
        <f t="shared" si="124"/>
        <v>12</v>
      </c>
      <c r="J419">
        <f t="shared" si="125"/>
        <v>19631012</v>
      </c>
      <c r="K419" t="str">
        <f t="shared" si="126"/>
        <v>12.10.1963</v>
      </c>
      <c r="L419" s="4">
        <f t="shared" si="127"/>
        <v>6</v>
      </c>
      <c r="M419" s="4">
        <f t="shared" si="128"/>
        <v>9</v>
      </c>
      <c r="N419" s="4">
        <f t="shared" si="129"/>
        <v>7</v>
      </c>
      <c r="O419" s="4">
        <f t="shared" si="130"/>
        <v>0</v>
      </c>
      <c r="P419" s="4">
        <f t="shared" si="131"/>
        <v>1</v>
      </c>
      <c r="Q419" s="4">
        <f t="shared" si="132"/>
        <v>6</v>
      </c>
      <c r="R419" s="4">
        <f t="shared" si="133"/>
        <v>21</v>
      </c>
      <c r="S419" s="4">
        <f t="shared" si="134"/>
        <v>27</v>
      </c>
      <c r="T419" s="4">
        <f t="shared" si="135"/>
        <v>7</v>
      </c>
      <c r="U419" s="4">
        <f t="shared" si="136"/>
        <v>6</v>
      </c>
      <c r="V419" s="8">
        <f t="shared" si="137"/>
        <v>0</v>
      </c>
      <c r="W419" s="8">
        <f t="shared" si="138"/>
        <v>0</v>
      </c>
      <c r="X419">
        <f t="shared" si="139"/>
        <v>1</v>
      </c>
    </row>
    <row r="420" spans="1:24" x14ac:dyDescent="0.25">
      <c r="A420" s="4" t="s">
        <v>446</v>
      </c>
      <c r="B420" t="s">
        <v>10</v>
      </c>
      <c r="C420" t="s">
        <v>6</v>
      </c>
      <c r="D420" s="3">
        <f t="shared" si="120"/>
        <v>84</v>
      </c>
      <c r="E420" s="4">
        <f t="shared" si="121"/>
        <v>2</v>
      </c>
      <c r="F420" s="4">
        <f t="shared" si="122"/>
        <v>14</v>
      </c>
      <c r="G420" s="3">
        <f>IF(E420&gt;=20,2000,1900) + D420</f>
        <v>1984</v>
      </c>
      <c r="H420">
        <f t="shared" si="123"/>
        <v>2</v>
      </c>
      <c r="I420" s="4">
        <f t="shared" si="124"/>
        <v>14</v>
      </c>
      <c r="J420">
        <f t="shared" si="125"/>
        <v>19840214</v>
      </c>
      <c r="K420" t="str">
        <f t="shared" si="126"/>
        <v>14.02.1984</v>
      </c>
      <c r="L420" s="4">
        <f t="shared" si="127"/>
        <v>8</v>
      </c>
      <c r="M420" s="4">
        <f t="shared" si="128"/>
        <v>12</v>
      </c>
      <c r="N420" s="4">
        <f t="shared" si="129"/>
        <v>0</v>
      </c>
      <c r="O420" s="4">
        <f t="shared" si="130"/>
        <v>18</v>
      </c>
      <c r="P420" s="4">
        <f t="shared" si="131"/>
        <v>1</v>
      </c>
      <c r="Q420" s="4">
        <f t="shared" si="132"/>
        <v>12</v>
      </c>
      <c r="R420" s="4">
        <f t="shared" si="133"/>
        <v>63</v>
      </c>
      <c r="S420" s="4">
        <f t="shared" si="134"/>
        <v>63</v>
      </c>
      <c r="T420" s="4">
        <f t="shared" si="135"/>
        <v>9</v>
      </c>
      <c r="U420" s="4">
        <f t="shared" si="136"/>
        <v>24</v>
      </c>
      <c r="V420" s="8">
        <f t="shared" si="137"/>
        <v>0</v>
      </c>
      <c r="W420" s="8">
        <f t="shared" si="138"/>
        <v>0</v>
      </c>
      <c r="X420">
        <f t="shared" si="139"/>
        <v>1</v>
      </c>
    </row>
    <row r="421" spans="1:24" x14ac:dyDescent="0.25">
      <c r="A421" s="4" t="s">
        <v>447</v>
      </c>
      <c r="B421" t="s">
        <v>5</v>
      </c>
      <c r="C421" t="s">
        <v>4</v>
      </c>
      <c r="D421" s="3">
        <f t="shared" si="120"/>
        <v>87</v>
      </c>
      <c r="E421" s="4">
        <f t="shared" si="121"/>
        <v>5</v>
      </c>
      <c r="F421" s="4">
        <f t="shared" si="122"/>
        <v>13</v>
      </c>
      <c r="G421" s="3">
        <f>IF(E421&gt;=20,2000,1900) + D421</f>
        <v>1987</v>
      </c>
      <c r="H421">
        <f t="shared" si="123"/>
        <v>5</v>
      </c>
      <c r="I421" s="4">
        <f t="shared" si="124"/>
        <v>13</v>
      </c>
      <c r="J421">
        <f t="shared" si="125"/>
        <v>19870513</v>
      </c>
      <c r="K421" t="str">
        <f t="shared" si="126"/>
        <v>13.05.1987</v>
      </c>
      <c r="L421" s="4">
        <f t="shared" si="127"/>
        <v>8</v>
      </c>
      <c r="M421" s="4">
        <f t="shared" si="128"/>
        <v>21</v>
      </c>
      <c r="N421" s="4">
        <f t="shared" si="129"/>
        <v>0</v>
      </c>
      <c r="O421" s="4">
        <f t="shared" si="130"/>
        <v>45</v>
      </c>
      <c r="P421" s="4">
        <f t="shared" si="131"/>
        <v>1</v>
      </c>
      <c r="Q421" s="4">
        <f t="shared" si="132"/>
        <v>9</v>
      </c>
      <c r="R421" s="4">
        <f t="shared" si="133"/>
        <v>14</v>
      </c>
      <c r="S421" s="4">
        <f t="shared" si="134"/>
        <v>0</v>
      </c>
      <c r="T421" s="4">
        <f t="shared" si="135"/>
        <v>0</v>
      </c>
      <c r="U421" s="4">
        <f t="shared" si="136"/>
        <v>6</v>
      </c>
      <c r="V421" s="8">
        <f t="shared" si="137"/>
        <v>4</v>
      </c>
      <c r="W421" s="8">
        <f t="shared" si="138"/>
        <v>6</v>
      </c>
      <c r="X421">
        <f t="shared" si="139"/>
        <v>1</v>
      </c>
    </row>
    <row r="422" spans="1:24" x14ac:dyDescent="0.25">
      <c r="A422" s="4" t="s">
        <v>448</v>
      </c>
      <c r="B422" t="s">
        <v>17</v>
      </c>
      <c r="C422" t="s">
        <v>4</v>
      </c>
      <c r="D422" s="3">
        <f t="shared" si="120"/>
        <v>87</v>
      </c>
      <c r="E422" s="4">
        <f t="shared" si="121"/>
        <v>12</v>
      </c>
      <c r="F422" s="4">
        <f t="shared" si="122"/>
        <v>22</v>
      </c>
      <c r="G422" s="3">
        <f>IF(E422&gt;=20,2000,1900) + D422</f>
        <v>1987</v>
      </c>
      <c r="H422">
        <f t="shared" si="123"/>
        <v>12</v>
      </c>
      <c r="I422" s="4">
        <f t="shared" si="124"/>
        <v>22</v>
      </c>
      <c r="J422">
        <f t="shared" si="125"/>
        <v>19871222</v>
      </c>
      <c r="K422" t="str">
        <f t="shared" si="126"/>
        <v>22.12.1987</v>
      </c>
      <c r="L422" s="4">
        <f t="shared" si="127"/>
        <v>8</v>
      </c>
      <c r="M422" s="4">
        <f t="shared" si="128"/>
        <v>21</v>
      </c>
      <c r="N422" s="4">
        <f t="shared" si="129"/>
        <v>7</v>
      </c>
      <c r="O422" s="4">
        <f t="shared" si="130"/>
        <v>18</v>
      </c>
      <c r="P422" s="4">
        <f t="shared" si="131"/>
        <v>2</v>
      </c>
      <c r="Q422" s="4">
        <f t="shared" si="132"/>
        <v>6</v>
      </c>
      <c r="R422" s="4">
        <f t="shared" si="133"/>
        <v>7</v>
      </c>
      <c r="S422" s="4">
        <f t="shared" si="134"/>
        <v>54</v>
      </c>
      <c r="T422" s="4">
        <f t="shared" si="135"/>
        <v>4</v>
      </c>
      <c r="U422" s="4">
        <f t="shared" si="136"/>
        <v>9</v>
      </c>
      <c r="V422" s="8">
        <f t="shared" si="137"/>
        <v>6</v>
      </c>
      <c r="W422" s="8">
        <f t="shared" si="138"/>
        <v>4</v>
      </c>
      <c r="X422">
        <f t="shared" si="139"/>
        <v>1</v>
      </c>
    </row>
    <row r="423" spans="1:24" x14ac:dyDescent="0.25">
      <c r="A423" s="4" t="s">
        <v>449</v>
      </c>
      <c r="B423" t="s">
        <v>12</v>
      </c>
      <c r="C423" t="s">
        <v>4</v>
      </c>
      <c r="D423" s="3">
        <f t="shared" si="120"/>
        <v>63</v>
      </c>
      <c r="E423" s="4">
        <f t="shared" si="121"/>
        <v>6</v>
      </c>
      <c r="F423" s="4">
        <f t="shared" si="122"/>
        <v>29</v>
      </c>
      <c r="G423" s="3">
        <f>IF(E423&gt;=20,2000,1900) + D423</f>
        <v>1963</v>
      </c>
      <c r="H423">
        <f t="shared" si="123"/>
        <v>6</v>
      </c>
      <c r="I423" s="4">
        <f t="shared" si="124"/>
        <v>29</v>
      </c>
      <c r="J423">
        <f t="shared" si="125"/>
        <v>19630629</v>
      </c>
      <c r="K423" t="str">
        <f t="shared" si="126"/>
        <v>29.06.1963</v>
      </c>
      <c r="L423" s="4">
        <f t="shared" si="127"/>
        <v>6</v>
      </c>
      <c r="M423" s="4">
        <f t="shared" si="128"/>
        <v>9</v>
      </c>
      <c r="N423" s="4">
        <f t="shared" si="129"/>
        <v>0</v>
      </c>
      <c r="O423" s="4">
        <f t="shared" si="130"/>
        <v>54</v>
      </c>
      <c r="P423" s="4">
        <f t="shared" si="131"/>
        <v>2</v>
      </c>
      <c r="Q423" s="4">
        <f t="shared" si="132"/>
        <v>27</v>
      </c>
      <c r="R423" s="4">
        <f t="shared" si="133"/>
        <v>14</v>
      </c>
      <c r="S423" s="4">
        <f t="shared" si="134"/>
        <v>81</v>
      </c>
      <c r="T423" s="4">
        <f t="shared" si="135"/>
        <v>1</v>
      </c>
      <c r="U423" s="4">
        <f t="shared" si="136"/>
        <v>27</v>
      </c>
      <c r="V423" s="8">
        <f t="shared" si="137"/>
        <v>1</v>
      </c>
      <c r="W423" s="8">
        <f t="shared" si="138"/>
        <v>9</v>
      </c>
      <c r="X423">
        <f t="shared" si="139"/>
        <v>1</v>
      </c>
    </row>
    <row r="424" spans="1:24" x14ac:dyDescent="0.25">
      <c r="A424" s="4" t="s">
        <v>450</v>
      </c>
      <c r="B424" t="s">
        <v>19</v>
      </c>
      <c r="C424" t="s">
        <v>6</v>
      </c>
      <c r="D424" s="3">
        <f t="shared" si="120"/>
        <v>99</v>
      </c>
      <c r="E424" s="4">
        <f t="shared" si="121"/>
        <v>1</v>
      </c>
      <c r="F424" s="4">
        <f t="shared" si="122"/>
        <v>12</v>
      </c>
      <c r="G424" s="3">
        <f>IF(E424&gt;=20,2000,1900) + D424</f>
        <v>1999</v>
      </c>
      <c r="H424">
        <f t="shared" si="123"/>
        <v>1</v>
      </c>
      <c r="I424" s="4">
        <f t="shared" si="124"/>
        <v>12</v>
      </c>
      <c r="J424">
        <f t="shared" si="125"/>
        <v>19990112</v>
      </c>
      <c r="K424" t="str">
        <f t="shared" si="126"/>
        <v>12.01.1999</v>
      </c>
      <c r="L424" s="4">
        <f t="shared" si="127"/>
        <v>9</v>
      </c>
      <c r="M424" s="4">
        <f t="shared" si="128"/>
        <v>27</v>
      </c>
      <c r="N424" s="4">
        <f t="shared" si="129"/>
        <v>0</v>
      </c>
      <c r="O424" s="4">
        <f t="shared" si="130"/>
        <v>9</v>
      </c>
      <c r="P424" s="4">
        <f t="shared" si="131"/>
        <v>1</v>
      </c>
      <c r="Q424" s="4">
        <f t="shared" si="132"/>
        <v>6</v>
      </c>
      <c r="R424" s="4">
        <f t="shared" si="133"/>
        <v>56</v>
      </c>
      <c r="S424" s="4">
        <f t="shared" si="134"/>
        <v>9</v>
      </c>
      <c r="T424" s="4">
        <f t="shared" si="135"/>
        <v>2</v>
      </c>
      <c r="U424" s="4">
        <f t="shared" si="136"/>
        <v>15</v>
      </c>
      <c r="V424" s="8">
        <f t="shared" si="137"/>
        <v>4</v>
      </c>
      <c r="W424" s="8">
        <f t="shared" si="138"/>
        <v>6</v>
      </c>
      <c r="X424">
        <f t="shared" si="139"/>
        <v>1</v>
      </c>
    </row>
    <row r="425" spans="1:24" x14ac:dyDescent="0.25">
      <c r="A425" s="4" t="s">
        <v>451</v>
      </c>
      <c r="B425" t="s">
        <v>19</v>
      </c>
      <c r="C425" t="s">
        <v>6</v>
      </c>
      <c r="D425" s="3">
        <f t="shared" si="120"/>
        <v>72</v>
      </c>
      <c r="E425" s="4">
        <f t="shared" si="121"/>
        <v>11</v>
      </c>
      <c r="F425" s="4">
        <f t="shared" si="122"/>
        <v>7</v>
      </c>
      <c r="G425" s="3">
        <f>IF(E425&gt;=20,2000,1900) + D425</f>
        <v>1972</v>
      </c>
      <c r="H425">
        <f t="shared" si="123"/>
        <v>11</v>
      </c>
      <c r="I425" s="4">
        <f t="shared" si="124"/>
        <v>7</v>
      </c>
      <c r="J425">
        <f t="shared" si="125"/>
        <v>19721107</v>
      </c>
      <c r="K425" t="str">
        <f t="shared" si="126"/>
        <v>07.11.1972</v>
      </c>
      <c r="L425" s="4">
        <f t="shared" si="127"/>
        <v>7</v>
      </c>
      <c r="M425" s="4">
        <f t="shared" si="128"/>
        <v>6</v>
      </c>
      <c r="N425" s="4">
        <f t="shared" si="129"/>
        <v>7</v>
      </c>
      <c r="O425" s="4">
        <f t="shared" si="130"/>
        <v>9</v>
      </c>
      <c r="P425" s="4">
        <f t="shared" si="131"/>
        <v>0</v>
      </c>
      <c r="Q425" s="4">
        <f t="shared" si="132"/>
        <v>21</v>
      </c>
      <c r="R425" s="4">
        <f t="shared" si="133"/>
        <v>35</v>
      </c>
      <c r="S425" s="4">
        <f t="shared" si="134"/>
        <v>0</v>
      </c>
      <c r="T425" s="4">
        <f t="shared" si="135"/>
        <v>4</v>
      </c>
      <c r="U425" s="4">
        <f t="shared" si="136"/>
        <v>24</v>
      </c>
      <c r="V425" s="8">
        <f t="shared" si="137"/>
        <v>3</v>
      </c>
      <c r="W425" s="8">
        <f t="shared" si="138"/>
        <v>7</v>
      </c>
      <c r="X425">
        <f t="shared" si="139"/>
        <v>1</v>
      </c>
    </row>
    <row r="426" spans="1:24" x14ac:dyDescent="0.25">
      <c r="A426" s="4" t="s">
        <v>452</v>
      </c>
      <c r="B426" t="s">
        <v>16</v>
      </c>
      <c r="C426" t="s">
        <v>6</v>
      </c>
      <c r="D426" s="3">
        <f t="shared" si="120"/>
        <v>70</v>
      </c>
      <c r="E426" s="4">
        <f t="shared" si="121"/>
        <v>5</v>
      </c>
      <c r="F426" s="4">
        <f t="shared" si="122"/>
        <v>23</v>
      </c>
      <c r="G426" s="3">
        <f>IF(E426&gt;=20,2000,1900) + D426</f>
        <v>1970</v>
      </c>
      <c r="H426">
        <f t="shared" si="123"/>
        <v>5</v>
      </c>
      <c r="I426" s="4">
        <f t="shared" si="124"/>
        <v>23</v>
      </c>
      <c r="J426">
        <f t="shared" si="125"/>
        <v>19700523</v>
      </c>
      <c r="K426" t="str">
        <f t="shared" si="126"/>
        <v>23.05.1970</v>
      </c>
      <c r="L426" s="4">
        <f t="shared" si="127"/>
        <v>7</v>
      </c>
      <c r="M426" s="4">
        <f t="shared" si="128"/>
        <v>0</v>
      </c>
      <c r="N426" s="4">
        <f t="shared" si="129"/>
        <v>0</v>
      </c>
      <c r="O426" s="4">
        <f t="shared" si="130"/>
        <v>45</v>
      </c>
      <c r="P426" s="4">
        <f t="shared" si="131"/>
        <v>2</v>
      </c>
      <c r="Q426" s="4">
        <f t="shared" si="132"/>
        <v>9</v>
      </c>
      <c r="R426" s="4">
        <f t="shared" si="133"/>
        <v>21</v>
      </c>
      <c r="S426" s="4">
        <f t="shared" si="134"/>
        <v>36</v>
      </c>
      <c r="T426" s="4">
        <f t="shared" si="135"/>
        <v>2</v>
      </c>
      <c r="U426" s="4">
        <f t="shared" si="136"/>
        <v>3</v>
      </c>
      <c r="V426" s="8">
        <f t="shared" si="137"/>
        <v>5</v>
      </c>
      <c r="W426" s="8">
        <f t="shared" si="138"/>
        <v>5</v>
      </c>
      <c r="X426">
        <f t="shared" si="139"/>
        <v>1</v>
      </c>
    </row>
    <row r="427" spans="1:24" x14ac:dyDescent="0.25">
      <c r="A427" s="4" t="s">
        <v>453</v>
      </c>
      <c r="B427" t="s">
        <v>12</v>
      </c>
      <c r="C427" t="s">
        <v>6</v>
      </c>
      <c r="D427" s="3">
        <f t="shared" si="120"/>
        <v>53</v>
      </c>
      <c r="E427" s="4">
        <f t="shared" si="121"/>
        <v>8</v>
      </c>
      <c r="F427" s="4">
        <f t="shared" si="122"/>
        <v>6</v>
      </c>
      <c r="G427" s="3">
        <f>IF(E427&gt;=20,2000,1900) + D427</f>
        <v>1953</v>
      </c>
      <c r="H427">
        <f t="shared" si="123"/>
        <v>8</v>
      </c>
      <c r="I427" s="4">
        <f t="shared" si="124"/>
        <v>6</v>
      </c>
      <c r="J427">
        <f t="shared" si="125"/>
        <v>19530806</v>
      </c>
      <c r="K427" t="str">
        <f t="shared" si="126"/>
        <v>06.08.1953</v>
      </c>
      <c r="L427" s="4">
        <f t="shared" si="127"/>
        <v>5</v>
      </c>
      <c r="M427" s="4">
        <f t="shared" si="128"/>
        <v>9</v>
      </c>
      <c r="N427" s="4">
        <f t="shared" si="129"/>
        <v>0</v>
      </c>
      <c r="O427" s="4">
        <f t="shared" si="130"/>
        <v>72</v>
      </c>
      <c r="P427" s="4">
        <f t="shared" si="131"/>
        <v>0</v>
      </c>
      <c r="Q427" s="4">
        <f t="shared" si="132"/>
        <v>18</v>
      </c>
      <c r="R427" s="4">
        <f t="shared" si="133"/>
        <v>21</v>
      </c>
      <c r="S427" s="4">
        <f t="shared" si="134"/>
        <v>72</v>
      </c>
      <c r="T427" s="4">
        <f t="shared" si="135"/>
        <v>3</v>
      </c>
      <c r="U427" s="4">
        <f t="shared" si="136"/>
        <v>12</v>
      </c>
      <c r="V427" s="8">
        <f t="shared" si="137"/>
        <v>2</v>
      </c>
      <c r="W427" s="8">
        <f t="shared" si="138"/>
        <v>8</v>
      </c>
      <c r="X427">
        <f t="shared" si="139"/>
        <v>1</v>
      </c>
    </row>
    <row r="428" spans="1:24" x14ac:dyDescent="0.25">
      <c r="A428" s="4" t="s">
        <v>454</v>
      </c>
      <c r="B428" t="s">
        <v>13</v>
      </c>
      <c r="C428" t="s">
        <v>6</v>
      </c>
      <c r="D428" s="3">
        <f t="shared" si="120"/>
        <v>63</v>
      </c>
      <c r="E428" s="4">
        <f t="shared" si="121"/>
        <v>9</v>
      </c>
      <c r="F428" s="4">
        <f t="shared" si="122"/>
        <v>26</v>
      </c>
      <c r="G428" s="3">
        <f>IF(E428&gt;=20,2000,1900) + D428</f>
        <v>1963</v>
      </c>
      <c r="H428">
        <f t="shared" si="123"/>
        <v>9</v>
      </c>
      <c r="I428" s="4">
        <f t="shared" si="124"/>
        <v>26</v>
      </c>
      <c r="J428">
        <f t="shared" si="125"/>
        <v>19630926</v>
      </c>
      <c r="K428" t="str">
        <f t="shared" si="126"/>
        <v>26.09.1963</v>
      </c>
      <c r="L428" s="4">
        <f t="shared" si="127"/>
        <v>6</v>
      </c>
      <c r="M428" s="4">
        <f t="shared" si="128"/>
        <v>9</v>
      </c>
      <c r="N428" s="4">
        <f t="shared" si="129"/>
        <v>0</v>
      </c>
      <c r="O428" s="4">
        <f t="shared" si="130"/>
        <v>81</v>
      </c>
      <c r="P428" s="4">
        <f t="shared" si="131"/>
        <v>2</v>
      </c>
      <c r="Q428" s="4">
        <f t="shared" si="132"/>
        <v>18</v>
      </c>
      <c r="R428" s="4">
        <f t="shared" si="133"/>
        <v>35</v>
      </c>
      <c r="S428" s="4">
        <f t="shared" si="134"/>
        <v>45</v>
      </c>
      <c r="T428" s="4">
        <f t="shared" si="135"/>
        <v>9</v>
      </c>
      <c r="U428" s="4">
        <f t="shared" si="136"/>
        <v>9</v>
      </c>
      <c r="V428" s="8">
        <f t="shared" si="137"/>
        <v>4</v>
      </c>
      <c r="W428" s="8">
        <f t="shared" si="138"/>
        <v>6</v>
      </c>
      <c r="X428">
        <f t="shared" si="139"/>
        <v>1</v>
      </c>
    </row>
    <row r="429" spans="1:24" x14ac:dyDescent="0.25">
      <c r="A429" s="4" t="s">
        <v>455</v>
      </c>
      <c r="B429" t="s">
        <v>15</v>
      </c>
      <c r="C429" t="s">
        <v>4</v>
      </c>
      <c r="D429" s="3">
        <f t="shared" si="120"/>
        <v>80</v>
      </c>
      <c r="E429" s="4">
        <f t="shared" si="121"/>
        <v>1</v>
      </c>
      <c r="F429" s="4">
        <f t="shared" si="122"/>
        <v>23</v>
      </c>
      <c r="G429" s="3">
        <f>IF(E429&gt;=20,2000,1900) + D429</f>
        <v>1980</v>
      </c>
      <c r="H429">
        <f t="shared" si="123"/>
        <v>1</v>
      </c>
      <c r="I429" s="4">
        <f t="shared" si="124"/>
        <v>23</v>
      </c>
      <c r="J429">
        <f t="shared" si="125"/>
        <v>19800123</v>
      </c>
      <c r="K429" t="str">
        <f t="shared" si="126"/>
        <v>23.01.1980</v>
      </c>
      <c r="L429" s="4">
        <f t="shared" si="127"/>
        <v>8</v>
      </c>
      <c r="M429" s="4">
        <f t="shared" si="128"/>
        <v>0</v>
      </c>
      <c r="N429" s="4">
        <f t="shared" si="129"/>
        <v>0</v>
      </c>
      <c r="O429" s="4">
        <f t="shared" si="130"/>
        <v>9</v>
      </c>
      <c r="P429" s="4">
        <f t="shared" si="131"/>
        <v>2</v>
      </c>
      <c r="Q429" s="4">
        <f t="shared" si="132"/>
        <v>9</v>
      </c>
      <c r="R429" s="4">
        <f t="shared" si="133"/>
        <v>42</v>
      </c>
      <c r="S429" s="4">
        <f t="shared" si="134"/>
        <v>45</v>
      </c>
      <c r="T429" s="4">
        <f t="shared" si="135"/>
        <v>7</v>
      </c>
      <c r="U429" s="4">
        <f t="shared" si="136"/>
        <v>0</v>
      </c>
      <c r="V429" s="8">
        <f t="shared" si="137"/>
        <v>2</v>
      </c>
      <c r="W429" s="8">
        <f t="shared" si="138"/>
        <v>8</v>
      </c>
      <c r="X429">
        <f t="shared" si="139"/>
        <v>1</v>
      </c>
    </row>
    <row r="430" spans="1:24" x14ac:dyDescent="0.25">
      <c r="A430" s="4" t="s">
        <v>456</v>
      </c>
      <c r="B430" t="s">
        <v>5</v>
      </c>
      <c r="C430" t="s">
        <v>4</v>
      </c>
      <c r="D430" s="3">
        <f t="shared" si="120"/>
        <v>88</v>
      </c>
      <c r="E430" s="4">
        <f t="shared" si="121"/>
        <v>9</v>
      </c>
      <c r="F430" s="4">
        <f t="shared" si="122"/>
        <v>28</v>
      </c>
      <c r="G430" s="3">
        <f>IF(E430&gt;=20,2000,1900) + D430</f>
        <v>1988</v>
      </c>
      <c r="H430">
        <f t="shared" si="123"/>
        <v>9</v>
      </c>
      <c r="I430" s="4">
        <f t="shared" si="124"/>
        <v>28</v>
      </c>
      <c r="J430">
        <f t="shared" si="125"/>
        <v>19880928</v>
      </c>
      <c r="K430" t="str">
        <f t="shared" si="126"/>
        <v>28.09.1988</v>
      </c>
      <c r="L430" s="4">
        <f t="shared" si="127"/>
        <v>8</v>
      </c>
      <c r="M430" s="4">
        <f t="shared" si="128"/>
        <v>24</v>
      </c>
      <c r="N430" s="4">
        <f t="shared" si="129"/>
        <v>0</v>
      </c>
      <c r="O430" s="4">
        <f t="shared" si="130"/>
        <v>81</v>
      </c>
      <c r="P430" s="4">
        <f t="shared" si="131"/>
        <v>2</v>
      </c>
      <c r="Q430" s="4">
        <f t="shared" si="132"/>
        <v>24</v>
      </c>
      <c r="R430" s="4">
        <f t="shared" si="133"/>
        <v>21</v>
      </c>
      <c r="S430" s="4">
        <f t="shared" si="134"/>
        <v>9</v>
      </c>
      <c r="T430" s="4">
        <f t="shared" si="135"/>
        <v>6</v>
      </c>
      <c r="U430" s="4">
        <f t="shared" si="136"/>
        <v>6</v>
      </c>
      <c r="V430" s="8">
        <f t="shared" si="137"/>
        <v>1</v>
      </c>
      <c r="W430" s="8">
        <f t="shared" si="138"/>
        <v>9</v>
      </c>
      <c r="X430">
        <f t="shared" si="139"/>
        <v>1</v>
      </c>
    </row>
    <row r="431" spans="1:24" x14ac:dyDescent="0.25">
      <c r="A431" s="4" t="s">
        <v>457</v>
      </c>
      <c r="B431" t="s">
        <v>18</v>
      </c>
      <c r="C431" t="s">
        <v>6</v>
      </c>
      <c r="D431" s="3">
        <f t="shared" si="120"/>
        <v>63</v>
      </c>
      <c r="E431" s="4">
        <f t="shared" si="121"/>
        <v>6</v>
      </c>
      <c r="F431" s="4">
        <f t="shared" si="122"/>
        <v>20</v>
      </c>
      <c r="G431" s="3">
        <f>IF(E431&gt;=20,2000,1900) + D431</f>
        <v>1963</v>
      </c>
      <c r="H431">
        <f t="shared" si="123"/>
        <v>6</v>
      </c>
      <c r="I431" s="4">
        <f t="shared" si="124"/>
        <v>20</v>
      </c>
      <c r="J431">
        <f t="shared" si="125"/>
        <v>19630620</v>
      </c>
      <c r="K431" t="str">
        <f t="shared" si="126"/>
        <v>20.06.1963</v>
      </c>
      <c r="L431" s="4">
        <f t="shared" si="127"/>
        <v>6</v>
      </c>
      <c r="M431" s="4">
        <f t="shared" si="128"/>
        <v>9</v>
      </c>
      <c r="N431" s="4">
        <f t="shared" si="129"/>
        <v>0</v>
      </c>
      <c r="O431" s="4">
        <f t="shared" si="130"/>
        <v>54</v>
      </c>
      <c r="P431" s="4">
        <f t="shared" si="131"/>
        <v>2</v>
      </c>
      <c r="Q431" s="4">
        <f t="shared" si="132"/>
        <v>0</v>
      </c>
      <c r="R431" s="4">
        <f t="shared" si="133"/>
        <v>21</v>
      </c>
      <c r="S431" s="4">
        <f t="shared" si="134"/>
        <v>54</v>
      </c>
      <c r="T431" s="4">
        <f t="shared" si="135"/>
        <v>4</v>
      </c>
      <c r="U431" s="4">
        <f t="shared" si="136"/>
        <v>18</v>
      </c>
      <c r="V431" s="8">
        <f t="shared" si="137"/>
        <v>8</v>
      </c>
      <c r="W431" s="8">
        <f t="shared" si="138"/>
        <v>2</v>
      </c>
      <c r="X431">
        <f t="shared" si="139"/>
        <v>1</v>
      </c>
    </row>
    <row r="432" spans="1:24" x14ac:dyDescent="0.25">
      <c r="A432" s="4" t="s">
        <v>458</v>
      </c>
      <c r="B432" t="s">
        <v>15</v>
      </c>
      <c r="C432" t="s">
        <v>4</v>
      </c>
      <c r="D432" s="3">
        <f t="shared" si="120"/>
        <v>62</v>
      </c>
      <c r="E432" s="4">
        <f t="shared" si="121"/>
        <v>2</v>
      </c>
      <c r="F432" s="4">
        <f t="shared" si="122"/>
        <v>6</v>
      </c>
      <c r="G432" s="3">
        <f>IF(E432&gt;=20,2000,1900) + D432</f>
        <v>1962</v>
      </c>
      <c r="H432">
        <f t="shared" si="123"/>
        <v>2</v>
      </c>
      <c r="I432" s="4">
        <f t="shared" si="124"/>
        <v>6</v>
      </c>
      <c r="J432">
        <f t="shared" si="125"/>
        <v>19620206</v>
      </c>
      <c r="K432" t="str">
        <f t="shared" si="126"/>
        <v>06.02.1962</v>
      </c>
      <c r="L432" s="4">
        <f t="shared" si="127"/>
        <v>6</v>
      </c>
      <c r="M432" s="4">
        <f t="shared" si="128"/>
        <v>6</v>
      </c>
      <c r="N432" s="4">
        <f t="shared" si="129"/>
        <v>0</v>
      </c>
      <c r="O432" s="4">
        <f t="shared" si="130"/>
        <v>18</v>
      </c>
      <c r="P432" s="4">
        <f t="shared" si="131"/>
        <v>0</v>
      </c>
      <c r="Q432" s="4">
        <f t="shared" si="132"/>
        <v>18</v>
      </c>
      <c r="R432" s="4">
        <f t="shared" si="133"/>
        <v>42</v>
      </c>
      <c r="S432" s="4">
        <f t="shared" si="134"/>
        <v>18</v>
      </c>
      <c r="T432" s="4">
        <f t="shared" si="135"/>
        <v>8</v>
      </c>
      <c r="U432" s="4">
        <f t="shared" si="136"/>
        <v>21</v>
      </c>
      <c r="V432" s="8">
        <f t="shared" si="137"/>
        <v>7</v>
      </c>
      <c r="W432" s="8">
        <f t="shared" si="138"/>
        <v>3</v>
      </c>
      <c r="X432">
        <f t="shared" si="139"/>
        <v>1</v>
      </c>
    </row>
    <row r="433" spans="1:24" x14ac:dyDescent="0.25">
      <c r="A433" s="4" t="s">
        <v>459</v>
      </c>
      <c r="B433" t="s">
        <v>20</v>
      </c>
      <c r="C433" t="s">
        <v>6</v>
      </c>
      <c r="D433" s="3">
        <f t="shared" si="120"/>
        <v>85</v>
      </c>
      <c r="E433" s="4">
        <f t="shared" si="121"/>
        <v>12</v>
      </c>
      <c r="F433" s="4">
        <f t="shared" si="122"/>
        <v>7</v>
      </c>
      <c r="G433" s="3">
        <f>IF(E433&gt;=20,2000,1900) + D433</f>
        <v>1985</v>
      </c>
      <c r="H433">
        <f t="shared" si="123"/>
        <v>12</v>
      </c>
      <c r="I433" s="4">
        <f t="shared" si="124"/>
        <v>7</v>
      </c>
      <c r="J433">
        <f t="shared" si="125"/>
        <v>19851207</v>
      </c>
      <c r="K433" t="str">
        <f t="shared" si="126"/>
        <v>07.12.1985</v>
      </c>
      <c r="L433" s="4">
        <f t="shared" si="127"/>
        <v>8</v>
      </c>
      <c r="M433" s="4">
        <f t="shared" si="128"/>
        <v>15</v>
      </c>
      <c r="N433" s="4">
        <f t="shared" si="129"/>
        <v>7</v>
      </c>
      <c r="O433" s="4">
        <f t="shared" si="130"/>
        <v>18</v>
      </c>
      <c r="P433" s="4">
        <f t="shared" si="131"/>
        <v>0</v>
      </c>
      <c r="Q433" s="4">
        <f t="shared" si="132"/>
        <v>21</v>
      </c>
      <c r="R433" s="4">
        <f t="shared" si="133"/>
        <v>35</v>
      </c>
      <c r="S433" s="4">
        <f t="shared" si="134"/>
        <v>27</v>
      </c>
      <c r="T433" s="4">
        <f t="shared" si="135"/>
        <v>9</v>
      </c>
      <c r="U433" s="4">
        <f t="shared" si="136"/>
        <v>6</v>
      </c>
      <c r="V433" s="8">
        <f t="shared" si="137"/>
        <v>6</v>
      </c>
      <c r="W433" s="8">
        <f t="shared" si="138"/>
        <v>4</v>
      </c>
      <c r="X433">
        <f t="shared" si="139"/>
        <v>1</v>
      </c>
    </row>
    <row r="434" spans="1:24" x14ac:dyDescent="0.25">
      <c r="A434" s="4" t="s">
        <v>460</v>
      </c>
      <c r="B434" t="s">
        <v>17</v>
      </c>
      <c r="C434" t="s">
        <v>4</v>
      </c>
      <c r="D434" s="3">
        <f t="shared" si="120"/>
        <v>57</v>
      </c>
      <c r="E434" s="4">
        <f t="shared" si="121"/>
        <v>7</v>
      </c>
      <c r="F434" s="4">
        <f t="shared" si="122"/>
        <v>24</v>
      </c>
      <c r="G434" s="3">
        <f>IF(E434&gt;=20,2000,1900) + D434</f>
        <v>1957</v>
      </c>
      <c r="H434">
        <f t="shared" si="123"/>
        <v>7</v>
      </c>
      <c r="I434" s="4">
        <f t="shared" si="124"/>
        <v>24</v>
      </c>
      <c r="J434">
        <f t="shared" si="125"/>
        <v>19570724</v>
      </c>
      <c r="K434" t="str">
        <f t="shared" si="126"/>
        <v>24.07.1957</v>
      </c>
      <c r="L434" s="4">
        <f t="shared" si="127"/>
        <v>5</v>
      </c>
      <c r="M434" s="4">
        <f t="shared" si="128"/>
        <v>21</v>
      </c>
      <c r="N434" s="4">
        <f t="shared" si="129"/>
        <v>0</v>
      </c>
      <c r="O434" s="4">
        <f t="shared" si="130"/>
        <v>63</v>
      </c>
      <c r="P434" s="4">
        <f t="shared" si="131"/>
        <v>2</v>
      </c>
      <c r="Q434" s="4">
        <f t="shared" si="132"/>
        <v>12</v>
      </c>
      <c r="R434" s="4">
        <f t="shared" si="133"/>
        <v>63</v>
      </c>
      <c r="S434" s="4">
        <f t="shared" si="134"/>
        <v>0</v>
      </c>
      <c r="T434" s="4">
        <f t="shared" si="135"/>
        <v>0</v>
      </c>
      <c r="U434" s="4">
        <f t="shared" si="136"/>
        <v>3</v>
      </c>
      <c r="V434" s="8">
        <f t="shared" si="137"/>
        <v>9</v>
      </c>
      <c r="W434" s="8">
        <f t="shared" si="138"/>
        <v>1</v>
      </c>
      <c r="X434">
        <f t="shared" si="139"/>
        <v>1</v>
      </c>
    </row>
    <row r="435" spans="1:24" x14ac:dyDescent="0.25">
      <c r="A435" s="4" t="s">
        <v>461</v>
      </c>
      <c r="B435" t="s">
        <v>20</v>
      </c>
      <c r="C435" t="s">
        <v>6</v>
      </c>
      <c r="D435" s="3">
        <f t="shared" si="120"/>
        <v>82</v>
      </c>
      <c r="E435" s="4">
        <f t="shared" si="121"/>
        <v>2</v>
      </c>
      <c r="F435" s="4">
        <f t="shared" si="122"/>
        <v>2</v>
      </c>
      <c r="G435" s="3">
        <f>IF(E435&gt;=20,2000,1900) + D435</f>
        <v>1982</v>
      </c>
      <c r="H435">
        <f t="shared" si="123"/>
        <v>2</v>
      </c>
      <c r="I435" s="4">
        <f t="shared" si="124"/>
        <v>2</v>
      </c>
      <c r="J435">
        <f t="shared" si="125"/>
        <v>19820202</v>
      </c>
      <c r="K435" t="str">
        <f t="shared" si="126"/>
        <v>02.02.1982</v>
      </c>
      <c r="L435" s="4">
        <f t="shared" si="127"/>
        <v>8</v>
      </c>
      <c r="M435" s="4">
        <f t="shared" si="128"/>
        <v>6</v>
      </c>
      <c r="N435" s="4">
        <f t="shared" si="129"/>
        <v>0</v>
      </c>
      <c r="O435" s="4">
        <f t="shared" si="130"/>
        <v>18</v>
      </c>
      <c r="P435" s="4">
        <f t="shared" si="131"/>
        <v>0</v>
      </c>
      <c r="Q435" s="4">
        <f t="shared" si="132"/>
        <v>6</v>
      </c>
      <c r="R435" s="4">
        <f t="shared" si="133"/>
        <v>63</v>
      </c>
      <c r="S435" s="4">
        <f t="shared" si="134"/>
        <v>63</v>
      </c>
      <c r="T435" s="4">
        <f t="shared" si="135"/>
        <v>3</v>
      </c>
      <c r="U435" s="4">
        <f t="shared" si="136"/>
        <v>21</v>
      </c>
      <c r="V435" s="8">
        <f t="shared" si="137"/>
        <v>8</v>
      </c>
      <c r="W435" s="8">
        <f t="shared" si="138"/>
        <v>2</v>
      </c>
      <c r="X435">
        <f t="shared" si="139"/>
        <v>1</v>
      </c>
    </row>
    <row r="436" spans="1:24" x14ac:dyDescent="0.25">
      <c r="A436" s="4" t="s">
        <v>462</v>
      </c>
      <c r="B436" t="s">
        <v>11</v>
      </c>
      <c r="C436" t="s">
        <v>4</v>
      </c>
      <c r="D436" s="3">
        <f t="shared" si="120"/>
        <v>93</v>
      </c>
      <c r="E436" s="4">
        <f t="shared" si="121"/>
        <v>11</v>
      </c>
      <c r="F436" s="4">
        <f t="shared" si="122"/>
        <v>30</v>
      </c>
      <c r="G436" s="3">
        <f>IF(E436&gt;=20,2000,1900) + D436</f>
        <v>1993</v>
      </c>
      <c r="H436">
        <f t="shared" si="123"/>
        <v>11</v>
      </c>
      <c r="I436" s="4">
        <f t="shared" si="124"/>
        <v>30</v>
      </c>
      <c r="J436">
        <f t="shared" si="125"/>
        <v>19931130</v>
      </c>
      <c r="K436" t="str">
        <f t="shared" si="126"/>
        <v>30.11.1993</v>
      </c>
      <c r="L436" s="4">
        <f t="shared" si="127"/>
        <v>9</v>
      </c>
      <c r="M436" s="4">
        <f t="shared" si="128"/>
        <v>9</v>
      </c>
      <c r="N436" s="4">
        <f t="shared" si="129"/>
        <v>7</v>
      </c>
      <c r="O436" s="4">
        <f t="shared" si="130"/>
        <v>9</v>
      </c>
      <c r="P436" s="4">
        <f t="shared" si="131"/>
        <v>3</v>
      </c>
      <c r="Q436" s="4">
        <f t="shared" si="132"/>
        <v>0</v>
      </c>
      <c r="R436" s="4">
        <f t="shared" si="133"/>
        <v>14</v>
      </c>
      <c r="S436" s="4">
        <f t="shared" si="134"/>
        <v>18</v>
      </c>
      <c r="T436" s="4">
        <f t="shared" si="135"/>
        <v>2</v>
      </c>
      <c r="U436" s="4">
        <f t="shared" si="136"/>
        <v>0</v>
      </c>
      <c r="V436" s="8">
        <f t="shared" si="137"/>
        <v>1</v>
      </c>
      <c r="W436" s="8">
        <f t="shared" si="138"/>
        <v>9</v>
      </c>
      <c r="X436">
        <f t="shared" si="139"/>
        <v>1</v>
      </c>
    </row>
    <row r="437" spans="1:24" x14ac:dyDescent="0.25">
      <c r="A437" s="4" t="s">
        <v>463</v>
      </c>
      <c r="B437" t="s">
        <v>3</v>
      </c>
      <c r="C437" t="s">
        <v>4</v>
      </c>
      <c r="D437" s="3">
        <f t="shared" si="120"/>
        <v>80</v>
      </c>
      <c r="E437" s="4">
        <f t="shared" si="121"/>
        <v>3</v>
      </c>
      <c r="F437" s="4">
        <f t="shared" si="122"/>
        <v>29</v>
      </c>
      <c r="G437" s="3">
        <f>IF(E437&gt;=20,2000,1900) + D437</f>
        <v>1980</v>
      </c>
      <c r="H437">
        <f t="shared" si="123"/>
        <v>3</v>
      </c>
      <c r="I437" s="4">
        <f t="shared" si="124"/>
        <v>29</v>
      </c>
      <c r="J437">
        <f t="shared" si="125"/>
        <v>19800329</v>
      </c>
      <c r="K437" t="str">
        <f t="shared" si="126"/>
        <v>29.03.1980</v>
      </c>
      <c r="L437" s="4">
        <f t="shared" si="127"/>
        <v>8</v>
      </c>
      <c r="M437" s="4">
        <f t="shared" si="128"/>
        <v>0</v>
      </c>
      <c r="N437" s="4">
        <f t="shared" si="129"/>
        <v>0</v>
      </c>
      <c r="O437" s="4">
        <f t="shared" si="130"/>
        <v>27</v>
      </c>
      <c r="P437" s="4">
        <f t="shared" si="131"/>
        <v>2</v>
      </c>
      <c r="Q437" s="4">
        <f t="shared" si="132"/>
        <v>27</v>
      </c>
      <c r="R437" s="4">
        <f t="shared" si="133"/>
        <v>35</v>
      </c>
      <c r="S437" s="4">
        <f t="shared" si="134"/>
        <v>63</v>
      </c>
      <c r="T437" s="4">
        <f t="shared" si="135"/>
        <v>9</v>
      </c>
      <c r="U437" s="4">
        <f t="shared" si="136"/>
        <v>12</v>
      </c>
      <c r="V437" s="8">
        <f t="shared" si="137"/>
        <v>3</v>
      </c>
      <c r="W437" s="8">
        <f t="shared" si="138"/>
        <v>7</v>
      </c>
      <c r="X437">
        <f t="shared" si="139"/>
        <v>1</v>
      </c>
    </row>
    <row r="438" spans="1:24" x14ac:dyDescent="0.25">
      <c r="A438" s="4" t="s">
        <v>464</v>
      </c>
      <c r="B438" t="s">
        <v>11</v>
      </c>
      <c r="C438" t="s">
        <v>4</v>
      </c>
      <c r="D438" s="3">
        <f t="shared" si="120"/>
        <v>97</v>
      </c>
      <c r="E438" s="4">
        <f t="shared" si="121"/>
        <v>6</v>
      </c>
      <c r="F438" s="4">
        <f t="shared" si="122"/>
        <v>16</v>
      </c>
      <c r="G438" s="3">
        <f>IF(E438&gt;=20,2000,1900) + D438</f>
        <v>1997</v>
      </c>
      <c r="H438">
        <f t="shared" si="123"/>
        <v>6</v>
      </c>
      <c r="I438" s="4">
        <f t="shared" si="124"/>
        <v>16</v>
      </c>
      <c r="J438">
        <f t="shared" si="125"/>
        <v>19970616</v>
      </c>
      <c r="K438" t="str">
        <f t="shared" si="126"/>
        <v>16.06.1997</v>
      </c>
      <c r="L438" s="4">
        <f t="shared" si="127"/>
        <v>9</v>
      </c>
      <c r="M438" s="4">
        <f t="shared" si="128"/>
        <v>21</v>
      </c>
      <c r="N438" s="4">
        <f t="shared" si="129"/>
        <v>0</v>
      </c>
      <c r="O438" s="4">
        <f t="shared" si="130"/>
        <v>54</v>
      </c>
      <c r="P438" s="4">
        <f t="shared" si="131"/>
        <v>1</v>
      </c>
      <c r="Q438" s="4">
        <f t="shared" si="132"/>
        <v>18</v>
      </c>
      <c r="R438" s="4">
        <f t="shared" si="133"/>
        <v>42</v>
      </c>
      <c r="S438" s="4">
        <f t="shared" si="134"/>
        <v>54</v>
      </c>
      <c r="T438" s="4">
        <f t="shared" si="135"/>
        <v>5</v>
      </c>
      <c r="U438" s="4">
        <f t="shared" si="136"/>
        <v>9</v>
      </c>
      <c r="V438" s="8">
        <f t="shared" si="137"/>
        <v>3</v>
      </c>
      <c r="W438" s="8">
        <f t="shared" si="138"/>
        <v>7</v>
      </c>
      <c r="X438">
        <f t="shared" si="139"/>
        <v>1</v>
      </c>
    </row>
    <row r="439" spans="1:24" x14ac:dyDescent="0.25">
      <c r="A439" s="4" t="s">
        <v>465</v>
      </c>
      <c r="B439" t="s">
        <v>11</v>
      </c>
      <c r="C439" t="s">
        <v>4</v>
      </c>
      <c r="D439" s="3">
        <f t="shared" si="120"/>
        <v>99</v>
      </c>
      <c r="E439" s="4">
        <f t="shared" si="121"/>
        <v>4</v>
      </c>
      <c r="F439" s="4">
        <f t="shared" si="122"/>
        <v>22</v>
      </c>
      <c r="G439" s="3">
        <f>IF(E439&gt;=20,2000,1900) + D439</f>
        <v>1999</v>
      </c>
      <c r="H439">
        <f t="shared" si="123"/>
        <v>4</v>
      </c>
      <c r="I439" s="4">
        <f t="shared" si="124"/>
        <v>22</v>
      </c>
      <c r="J439">
        <f t="shared" si="125"/>
        <v>19990422</v>
      </c>
      <c r="K439" t="str">
        <f t="shared" si="126"/>
        <v>22.04.1999</v>
      </c>
      <c r="L439" s="4">
        <f t="shared" si="127"/>
        <v>9</v>
      </c>
      <c r="M439" s="4">
        <f t="shared" si="128"/>
        <v>27</v>
      </c>
      <c r="N439" s="4">
        <f t="shared" si="129"/>
        <v>0</v>
      </c>
      <c r="O439" s="4">
        <f t="shared" si="130"/>
        <v>36</v>
      </c>
      <c r="P439" s="4">
        <f t="shared" si="131"/>
        <v>2</v>
      </c>
      <c r="Q439" s="4">
        <f t="shared" si="132"/>
        <v>6</v>
      </c>
      <c r="R439" s="4">
        <f t="shared" si="133"/>
        <v>56</v>
      </c>
      <c r="S439" s="4">
        <f t="shared" si="134"/>
        <v>18</v>
      </c>
      <c r="T439" s="4">
        <f t="shared" si="135"/>
        <v>2</v>
      </c>
      <c r="U439" s="4">
        <f t="shared" si="136"/>
        <v>3</v>
      </c>
      <c r="V439" s="8">
        <f t="shared" si="137"/>
        <v>9</v>
      </c>
      <c r="W439" s="8">
        <f t="shared" si="138"/>
        <v>1</v>
      </c>
      <c r="X439">
        <f t="shared" si="139"/>
        <v>1</v>
      </c>
    </row>
    <row r="440" spans="1:24" x14ac:dyDescent="0.25">
      <c r="A440" s="4" t="s">
        <v>466</v>
      </c>
      <c r="B440" t="s">
        <v>7</v>
      </c>
      <c r="C440" t="s">
        <v>4</v>
      </c>
      <c r="D440" s="3">
        <f t="shared" si="120"/>
        <v>90</v>
      </c>
      <c r="E440" s="4">
        <f t="shared" si="121"/>
        <v>12</v>
      </c>
      <c r="F440" s="4">
        <f t="shared" si="122"/>
        <v>22</v>
      </c>
      <c r="G440" s="3">
        <f>IF(E440&gt;=20,2000,1900) + D440</f>
        <v>1990</v>
      </c>
      <c r="H440">
        <f t="shared" si="123"/>
        <v>12</v>
      </c>
      <c r="I440" s="4">
        <f t="shared" si="124"/>
        <v>22</v>
      </c>
      <c r="J440">
        <f t="shared" si="125"/>
        <v>19901222</v>
      </c>
      <c r="K440" t="str">
        <f t="shared" si="126"/>
        <v>22.12.1990</v>
      </c>
      <c r="L440" s="4">
        <f t="shared" si="127"/>
        <v>9</v>
      </c>
      <c r="M440" s="4">
        <f t="shared" si="128"/>
        <v>0</v>
      </c>
      <c r="N440" s="4">
        <f t="shared" si="129"/>
        <v>7</v>
      </c>
      <c r="O440" s="4">
        <f t="shared" si="130"/>
        <v>18</v>
      </c>
      <c r="P440" s="4">
        <f t="shared" si="131"/>
        <v>2</v>
      </c>
      <c r="Q440" s="4">
        <f t="shared" si="132"/>
        <v>6</v>
      </c>
      <c r="R440" s="4">
        <f t="shared" si="133"/>
        <v>63</v>
      </c>
      <c r="S440" s="4">
        <f t="shared" si="134"/>
        <v>36</v>
      </c>
      <c r="T440" s="4">
        <f t="shared" si="135"/>
        <v>9</v>
      </c>
      <c r="U440" s="4">
        <f t="shared" si="136"/>
        <v>3</v>
      </c>
      <c r="V440" s="8">
        <f t="shared" si="137"/>
        <v>3</v>
      </c>
      <c r="W440" s="8">
        <f t="shared" si="138"/>
        <v>7</v>
      </c>
      <c r="X440">
        <f t="shared" si="139"/>
        <v>1</v>
      </c>
    </row>
    <row r="441" spans="1:24" x14ac:dyDescent="0.25">
      <c r="A441" s="4" t="s">
        <v>467</v>
      </c>
      <c r="B441" t="s">
        <v>3</v>
      </c>
      <c r="C441" t="s">
        <v>4</v>
      </c>
      <c r="D441" s="3">
        <f t="shared" si="120"/>
        <v>98</v>
      </c>
      <c r="E441" s="4">
        <f t="shared" si="121"/>
        <v>4</v>
      </c>
      <c r="F441" s="4">
        <f t="shared" si="122"/>
        <v>20</v>
      </c>
      <c r="G441" s="3">
        <f>IF(E441&gt;=20,2000,1900) + D441</f>
        <v>1998</v>
      </c>
      <c r="H441">
        <f t="shared" si="123"/>
        <v>4</v>
      </c>
      <c r="I441" s="4">
        <f t="shared" si="124"/>
        <v>20</v>
      </c>
      <c r="J441">
        <f t="shared" si="125"/>
        <v>19980420</v>
      </c>
      <c r="K441" t="str">
        <f t="shared" si="126"/>
        <v>20.04.1998</v>
      </c>
      <c r="L441" s="4">
        <f t="shared" si="127"/>
        <v>9</v>
      </c>
      <c r="M441" s="4">
        <f t="shared" si="128"/>
        <v>24</v>
      </c>
      <c r="N441" s="4">
        <f t="shared" si="129"/>
        <v>0</v>
      </c>
      <c r="O441" s="4">
        <f t="shared" si="130"/>
        <v>36</v>
      </c>
      <c r="P441" s="4">
        <f t="shared" si="131"/>
        <v>2</v>
      </c>
      <c r="Q441" s="4">
        <f t="shared" si="132"/>
        <v>0</v>
      </c>
      <c r="R441" s="4">
        <f t="shared" si="133"/>
        <v>21</v>
      </c>
      <c r="S441" s="4">
        <f t="shared" si="134"/>
        <v>45</v>
      </c>
      <c r="T441" s="4">
        <f t="shared" si="135"/>
        <v>6</v>
      </c>
      <c r="U441" s="4">
        <f t="shared" si="136"/>
        <v>9</v>
      </c>
      <c r="V441" s="8">
        <f t="shared" si="137"/>
        <v>2</v>
      </c>
      <c r="W441" s="8">
        <f t="shared" si="138"/>
        <v>8</v>
      </c>
      <c r="X441">
        <f t="shared" si="139"/>
        <v>1</v>
      </c>
    </row>
    <row r="442" spans="1:24" x14ac:dyDescent="0.25">
      <c r="A442" s="4" t="s">
        <v>468</v>
      </c>
      <c r="B442" t="s">
        <v>11</v>
      </c>
      <c r="C442" t="s">
        <v>4</v>
      </c>
      <c r="D442" s="3">
        <f t="shared" si="120"/>
        <v>63</v>
      </c>
      <c r="E442" s="4">
        <f t="shared" si="121"/>
        <v>9</v>
      </c>
      <c r="F442" s="4">
        <f t="shared" si="122"/>
        <v>6</v>
      </c>
      <c r="G442" s="3">
        <f>IF(E442&gt;=20,2000,1900) + D442</f>
        <v>1963</v>
      </c>
      <c r="H442">
        <f t="shared" si="123"/>
        <v>9</v>
      </c>
      <c r="I442" s="4">
        <f t="shared" si="124"/>
        <v>6</v>
      </c>
      <c r="J442">
        <f t="shared" si="125"/>
        <v>19630906</v>
      </c>
      <c r="K442" t="str">
        <f t="shared" si="126"/>
        <v>06.09.1963</v>
      </c>
      <c r="L442" s="4">
        <f t="shared" si="127"/>
        <v>6</v>
      </c>
      <c r="M442" s="4">
        <f t="shared" si="128"/>
        <v>9</v>
      </c>
      <c r="N442" s="4">
        <f t="shared" si="129"/>
        <v>0</v>
      </c>
      <c r="O442" s="4">
        <f t="shared" si="130"/>
        <v>81</v>
      </c>
      <c r="P442" s="4">
        <f t="shared" si="131"/>
        <v>0</v>
      </c>
      <c r="Q442" s="4">
        <f t="shared" si="132"/>
        <v>18</v>
      </c>
      <c r="R442" s="4">
        <f t="shared" si="133"/>
        <v>14</v>
      </c>
      <c r="S442" s="4">
        <f t="shared" si="134"/>
        <v>36</v>
      </c>
      <c r="T442" s="4">
        <f t="shared" si="135"/>
        <v>6</v>
      </c>
      <c r="U442" s="4">
        <f t="shared" si="136"/>
        <v>21</v>
      </c>
      <c r="V442" s="8">
        <f t="shared" si="137"/>
        <v>1</v>
      </c>
      <c r="W442" s="8">
        <f t="shared" si="138"/>
        <v>9</v>
      </c>
      <c r="X442">
        <f t="shared" si="139"/>
        <v>1</v>
      </c>
    </row>
    <row r="443" spans="1:24" x14ac:dyDescent="0.25">
      <c r="A443" s="4" t="s">
        <v>469</v>
      </c>
      <c r="B443" t="s">
        <v>14</v>
      </c>
      <c r="C443" t="s">
        <v>4</v>
      </c>
      <c r="D443" s="3">
        <f t="shared" si="120"/>
        <v>56</v>
      </c>
      <c r="E443" s="4">
        <f t="shared" si="121"/>
        <v>4</v>
      </c>
      <c r="F443" s="4">
        <f t="shared" si="122"/>
        <v>16</v>
      </c>
      <c r="G443" s="3">
        <f>IF(E443&gt;=20,2000,1900) + D443</f>
        <v>1956</v>
      </c>
      <c r="H443">
        <f t="shared" si="123"/>
        <v>4</v>
      </c>
      <c r="I443" s="4">
        <f t="shared" si="124"/>
        <v>16</v>
      </c>
      <c r="J443">
        <f t="shared" si="125"/>
        <v>19560416</v>
      </c>
      <c r="K443" t="str">
        <f t="shared" si="126"/>
        <v>16.04.1956</v>
      </c>
      <c r="L443" s="4">
        <f t="shared" si="127"/>
        <v>5</v>
      </c>
      <c r="M443" s="4">
        <f t="shared" si="128"/>
        <v>18</v>
      </c>
      <c r="N443" s="4">
        <f t="shared" si="129"/>
        <v>0</v>
      </c>
      <c r="O443" s="4">
        <f t="shared" si="130"/>
        <v>36</v>
      </c>
      <c r="P443" s="4">
        <f t="shared" si="131"/>
        <v>1</v>
      </c>
      <c r="Q443" s="4">
        <f t="shared" si="132"/>
        <v>18</v>
      </c>
      <c r="R443" s="4">
        <f t="shared" si="133"/>
        <v>0</v>
      </c>
      <c r="S443" s="4">
        <f t="shared" si="134"/>
        <v>72</v>
      </c>
      <c r="T443" s="4">
        <f t="shared" si="135"/>
        <v>1</v>
      </c>
      <c r="U443" s="4">
        <f t="shared" si="136"/>
        <v>15</v>
      </c>
      <c r="V443" s="8">
        <f t="shared" si="137"/>
        <v>6</v>
      </c>
      <c r="W443" s="8">
        <f t="shared" si="138"/>
        <v>4</v>
      </c>
      <c r="X443">
        <f t="shared" si="139"/>
        <v>1</v>
      </c>
    </row>
    <row r="444" spans="1:24" x14ac:dyDescent="0.25">
      <c r="A444" s="4" t="s">
        <v>470</v>
      </c>
      <c r="B444" t="s">
        <v>11</v>
      </c>
      <c r="C444" t="s">
        <v>4</v>
      </c>
      <c r="D444" s="3">
        <f t="shared" si="120"/>
        <v>61</v>
      </c>
      <c r="E444" s="4">
        <f t="shared" si="121"/>
        <v>6</v>
      </c>
      <c r="F444" s="4">
        <f t="shared" si="122"/>
        <v>13</v>
      </c>
      <c r="G444" s="3">
        <f>IF(E444&gt;=20,2000,1900) + D444</f>
        <v>1961</v>
      </c>
      <c r="H444">
        <f t="shared" si="123"/>
        <v>6</v>
      </c>
      <c r="I444" s="4">
        <f t="shared" si="124"/>
        <v>13</v>
      </c>
      <c r="J444">
        <f t="shared" si="125"/>
        <v>19610613</v>
      </c>
      <c r="K444" t="str">
        <f t="shared" si="126"/>
        <v>13.06.1961</v>
      </c>
      <c r="L444" s="4">
        <f t="shared" si="127"/>
        <v>6</v>
      </c>
      <c r="M444" s="4">
        <f t="shared" si="128"/>
        <v>3</v>
      </c>
      <c r="N444" s="4">
        <f t="shared" si="129"/>
        <v>0</v>
      </c>
      <c r="O444" s="4">
        <f t="shared" si="130"/>
        <v>54</v>
      </c>
      <c r="P444" s="4">
        <f t="shared" si="131"/>
        <v>1</v>
      </c>
      <c r="Q444" s="4">
        <f t="shared" si="132"/>
        <v>9</v>
      </c>
      <c r="R444" s="4">
        <f t="shared" si="133"/>
        <v>42</v>
      </c>
      <c r="S444" s="4">
        <f t="shared" si="134"/>
        <v>63</v>
      </c>
      <c r="T444" s="4">
        <f t="shared" si="135"/>
        <v>0</v>
      </c>
      <c r="U444" s="4">
        <f t="shared" si="136"/>
        <v>6</v>
      </c>
      <c r="V444" s="8">
        <f t="shared" si="137"/>
        <v>4</v>
      </c>
      <c r="W444" s="8">
        <f t="shared" si="138"/>
        <v>6</v>
      </c>
      <c r="X444">
        <f t="shared" si="139"/>
        <v>1</v>
      </c>
    </row>
    <row r="445" spans="1:24" x14ac:dyDescent="0.25">
      <c r="A445" s="4" t="s">
        <v>471</v>
      </c>
      <c r="B445" t="s">
        <v>16</v>
      </c>
      <c r="C445" t="s">
        <v>6</v>
      </c>
      <c r="D445" s="3">
        <f t="shared" si="120"/>
        <v>65</v>
      </c>
      <c r="E445" s="4">
        <f t="shared" si="121"/>
        <v>3</v>
      </c>
      <c r="F445" s="4">
        <f t="shared" si="122"/>
        <v>2</v>
      </c>
      <c r="G445" s="3">
        <f>IF(E445&gt;=20,2000,1900) + D445</f>
        <v>1965</v>
      </c>
      <c r="H445">
        <f t="shared" si="123"/>
        <v>3</v>
      </c>
      <c r="I445" s="4">
        <f t="shared" si="124"/>
        <v>2</v>
      </c>
      <c r="J445">
        <f t="shared" si="125"/>
        <v>19650302</v>
      </c>
      <c r="K445" t="str">
        <f t="shared" si="126"/>
        <v>02.03.1965</v>
      </c>
      <c r="L445" s="4">
        <f t="shared" si="127"/>
        <v>6</v>
      </c>
      <c r="M445" s="4">
        <f t="shared" si="128"/>
        <v>15</v>
      </c>
      <c r="N445" s="4">
        <f t="shared" si="129"/>
        <v>0</v>
      </c>
      <c r="O445" s="4">
        <f t="shared" si="130"/>
        <v>27</v>
      </c>
      <c r="P445" s="4">
        <f t="shared" si="131"/>
        <v>0</v>
      </c>
      <c r="Q445" s="4">
        <f t="shared" si="132"/>
        <v>6</v>
      </c>
      <c r="R445" s="4">
        <f t="shared" si="133"/>
        <v>56</v>
      </c>
      <c r="S445" s="4">
        <f t="shared" si="134"/>
        <v>27</v>
      </c>
      <c r="T445" s="4">
        <f t="shared" si="135"/>
        <v>3</v>
      </c>
      <c r="U445" s="4">
        <f t="shared" si="136"/>
        <v>27</v>
      </c>
      <c r="V445" s="8">
        <f t="shared" si="137"/>
        <v>7</v>
      </c>
      <c r="W445" s="8">
        <f t="shared" si="138"/>
        <v>3</v>
      </c>
      <c r="X445">
        <f t="shared" si="139"/>
        <v>1</v>
      </c>
    </row>
    <row r="446" spans="1:24" x14ac:dyDescent="0.25">
      <c r="A446" s="4" t="s">
        <v>472</v>
      </c>
      <c r="B446" t="s">
        <v>12</v>
      </c>
      <c r="C446" t="s">
        <v>4</v>
      </c>
      <c r="D446" s="3">
        <f t="shared" si="120"/>
        <v>92</v>
      </c>
      <c r="E446" s="4">
        <f t="shared" si="121"/>
        <v>1</v>
      </c>
      <c r="F446" s="4">
        <f t="shared" si="122"/>
        <v>29</v>
      </c>
      <c r="G446" s="3">
        <f>IF(E446&gt;=20,2000,1900) + D446</f>
        <v>1992</v>
      </c>
      <c r="H446">
        <f t="shared" si="123"/>
        <v>1</v>
      </c>
      <c r="I446" s="4">
        <f t="shared" si="124"/>
        <v>29</v>
      </c>
      <c r="J446">
        <f t="shared" si="125"/>
        <v>19920129</v>
      </c>
      <c r="K446" t="str">
        <f t="shared" si="126"/>
        <v>29.01.1992</v>
      </c>
      <c r="L446" s="4">
        <f t="shared" si="127"/>
        <v>9</v>
      </c>
      <c r="M446" s="4">
        <f t="shared" si="128"/>
        <v>6</v>
      </c>
      <c r="N446" s="4">
        <f t="shared" si="129"/>
        <v>0</v>
      </c>
      <c r="O446" s="4">
        <f t="shared" si="130"/>
        <v>9</v>
      </c>
      <c r="P446" s="4">
        <f t="shared" si="131"/>
        <v>2</v>
      </c>
      <c r="Q446" s="4">
        <f t="shared" si="132"/>
        <v>27</v>
      </c>
      <c r="R446" s="4">
        <f t="shared" si="133"/>
        <v>63</v>
      </c>
      <c r="S446" s="4">
        <f t="shared" si="134"/>
        <v>72</v>
      </c>
      <c r="T446" s="4">
        <f t="shared" si="135"/>
        <v>4</v>
      </c>
      <c r="U446" s="4">
        <f t="shared" si="136"/>
        <v>27</v>
      </c>
      <c r="V446" s="8">
        <f t="shared" si="137"/>
        <v>9</v>
      </c>
      <c r="W446" s="8">
        <f t="shared" si="138"/>
        <v>1</v>
      </c>
      <c r="X446">
        <f t="shared" si="139"/>
        <v>1</v>
      </c>
    </row>
    <row r="447" spans="1:24" x14ac:dyDescent="0.25">
      <c r="A447" s="4" t="s">
        <v>473</v>
      </c>
      <c r="B447" t="s">
        <v>15</v>
      </c>
      <c r="C447" t="s">
        <v>6</v>
      </c>
      <c r="D447" s="3">
        <f t="shared" si="120"/>
        <v>98</v>
      </c>
      <c r="E447" s="4">
        <f t="shared" si="121"/>
        <v>2</v>
      </c>
      <c r="F447" s="4">
        <f t="shared" si="122"/>
        <v>13</v>
      </c>
      <c r="G447" s="3">
        <f>IF(E447&gt;=20,2000,1900) + D447</f>
        <v>1998</v>
      </c>
      <c r="H447">
        <f t="shared" si="123"/>
        <v>2</v>
      </c>
      <c r="I447" s="4">
        <f t="shared" si="124"/>
        <v>13</v>
      </c>
      <c r="J447">
        <f t="shared" si="125"/>
        <v>19980213</v>
      </c>
      <c r="K447" t="str">
        <f t="shared" si="126"/>
        <v>13.02.1998</v>
      </c>
      <c r="L447" s="4">
        <f t="shared" si="127"/>
        <v>9</v>
      </c>
      <c r="M447" s="4">
        <f t="shared" si="128"/>
        <v>24</v>
      </c>
      <c r="N447" s="4">
        <f t="shared" si="129"/>
        <v>0</v>
      </c>
      <c r="O447" s="4">
        <f t="shared" si="130"/>
        <v>18</v>
      </c>
      <c r="P447" s="4">
        <f t="shared" si="131"/>
        <v>1</v>
      </c>
      <c r="Q447" s="4">
        <f t="shared" si="132"/>
        <v>9</v>
      </c>
      <c r="R447" s="4">
        <f t="shared" si="133"/>
        <v>28</v>
      </c>
      <c r="S447" s="4">
        <f t="shared" si="134"/>
        <v>63</v>
      </c>
      <c r="T447" s="4">
        <f t="shared" si="135"/>
        <v>5</v>
      </c>
      <c r="U447" s="4">
        <f t="shared" si="136"/>
        <v>3</v>
      </c>
      <c r="V447" s="8">
        <f t="shared" si="137"/>
        <v>0</v>
      </c>
      <c r="W447" s="8">
        <f t="shared" si="138"/>
        <v>0</v>
      </c>
      <c r="X447">
        <f t="shared" si="139"/>
        <v>1</v>
      </c>
    </row>
    <row r="448" spans="1:24" x14ac:dyDescent="0.25">
      <c r="A448" s="4" t="s">
        <v>474</v>
      </c>
      <c r="B448" t="s">
        <v>10</v>
      </c>
      <c r="C448" t="s">
        <v>6</v>
      </c>
      <c r="D448" s="3">
        <f t="shared" si="120"/>
        <v>61</v>
      </c>
      <c r="E448" s="4">
        <f t="shared" si="121"/>
        <v>2</v>
      </c>
      <c r="F448" s="4">
        <f t="shared" si="122"/>
        <v>7</v>
      </c>
      <c r="G448" s="3">
        <f>IF(E448&gt;=20,2000,1900) + D448</f>
        <v>1961</v>
      </c>
      <c r="H448">
        <f t="shared" si="123"/>
        <v>2</v>
      </c>
      <c r="I448" s="4">
        <f t="shared" si="124"/>
        <v>7</v>
      </c>
      <c r="J448">
        <f t="shared" si="125"/>
        <v>19610207</v>
      </c>
      <c r="K448" t="str">
        <f t="shared" si="126"/>
        <v>07.02.1961</v>
      </c>
      <c r="L448" s="4">
        <f t="shared" si="127"/>
        <v>6</v>
      </c>
      <c r="M448" s="4">
        <f t="shared" si="128"/>
        <v>3</v>
      </c>
      <c r="N448" s="4">
        <f t="shared" si="129"/>
        <v>0</v>
      </c>
      <c r="O448" s="4">
        <f t="shared" si="130"/>
        <v>18</v>
      </c>
      <c r="P448" s="4">
        <f t="shared" si="131"/>
        <v>0</v>
      </c>
      <c r="Q448" s="4">
        <f t="shared" si="132"/>
        <v>21</v>
      </c>
      <c r="R448" s="4">
        <f t="shared" si="133"/>
        <v>21</v>
      </c>
      <c r="S448" s="4">
        <f t="shared" si="134"/>
        <v>18</v>
      </c>
      <c r="T448" s="4">
        <f t="shared" si="135"/>
        <v>2</v>
      </c>
      <c r="U448" s="4">
        <f t="shared" si="136"/>
        <v>3</v>
      </c>
      <c r="V448" s="8">
        <f t="shared" si="137"/>
        <v>2</v>
      </c>
      <c r="W448" s="8">
        <f t="shared" si="138"/>
        <v>8</v>
      </c>
      <c r="X448">
        <f t="shared" si="139"/>
        <v>1</v>
      </c>
    </row>
    <row r="449" spans="1:24" x14ac:dyDescent="0.25">
      <c r="A449" s="4" t="s">
        <v>475</v>
      </c>
      <c r="B449" t="s">
        <v>11</v>
      </c>
      <c r="C449" t="s">
        <v>6</v>
      </c>
      <c r="D449" s="3">
        <f t="shared" si="120"/>
        <v>51</v>
      </c>
      <c r="E449" s="4">
        <f t="shared" si="121"/>
        <v>10</v>
      </c>
      <c r="F449" s="4">
        <f t="shared" si="122"/>
        <v>8</v>
      </c>
      <c r="G449" s="3">
        <f>IF(E449&gt;=20,2000,1900) + D449</f>
        <v>1951</v>
      </c>
      <c r="H449">
        <f t="shared" si="123"/>
        <v>10</v>
      </c>
      <c r="I449" s="4">
        <f t="shared" si="124"/>
        <v>8</v>
      </c>
      <c r="J449">
        <f t="shared" si="125"/>
        <v>19511008</v>
      </c>
      <c r="K449" t="str">
        <f t="shared" si="126"/>
        <v>08.10.1951</v>
      </c>
      <c r="L449" s="4">
        <f t="shared" si="127"/>
        <v>5</v>
      </c>
      <c r="M449" s="4">
        <f t="shared" si="128"/>
        <v>3</v>
      </c>
      <c r="N449" s="4">
        <f t="shared" si="129"/>
        <v>7</v>
      </c>
      <c r="O449" s="4">
        <f t="shared" si="130"/>
        <v>0</v>
      </c>
      <c r="P449" s="4">
        <f t="shared" si="131"/>
        <v>0</v>
      </c>
      <c r="Q449" s="4">
        <f t="shared" si="132"/>
        <v>24</v>
      </c>
      <c r="R449" s="4">
        <f t="shared" si="133"/>
        <v>35</v>
      </c>
      <c r="S449" s="4">
        <f t="shared" si="134"/>
        <v>81</v>
      </c>
      <c r="T449" s="4">
        <f t="shared" si="135"/>
        <v>0</v>
      </c>
      <c r="U449" s="4">
        <f t="shared" si="136"/>
        <v>24</v>
      </c>
      <c r="V449" s="8">
        <f t="shared" si="137"/>
        <v>9</v>
      </c>
      <c r="W449" s="8">
        <f t="shared" si="138"/>
        <v>1</v>
      </c>
      <c r="X449">
        <f t="shared" si="139"/>
        <v>1</v>
      </c>
    </row>
    <row r="450" spans="1:24" x14ac:dyDescent="0.25">
      <c r="A450" s="4" t="s">
        <v>476</v>
      </c>
      <c r="B450" t="s">
        <v>12</v>
      </c>
      <c r="C450" t="s">
        <v>4</v>
      </c>
      <c r="D450" s="3">
        <f t="shared" si="120"/>
        <v>58</v>
      </c>
      <c r="E450" s="4">
        <f t="shared" si="121"/>
        <v>9</v>
      </c>
      <c r="F450" s="4">
        <f t="shared" si="122"/>
        <v>23</v>
      </c>
      <c r="G450" s="3">
        <f>IF(E450&gt;=20,2000,1900) + D450</f>
        <v>1958</v>
      </c>
      <c r="H450">
        <f t="shared" si="123"/>
        <v>9</v>
      </c>
      <c r="I450" s="4">
        <f t="shared" si="124"/>
        <v>23</v>
      </c>
      <c r="J450">
        <f t="shared" si="125"/>
        <v>19580923</v>
      </c>
      <c r="K450" t="str">
        <f t="shared" si="126"/>
        <v>23.09.1958</v>
      </c>
      <c r="L450" s="4">
        <f t="shared" si="127"/>
        <v>5</v>
      </c>
      <c r="M450" s="4">
        <f t="shared" si="128"/>
        <v>24</v>
      </c>
      <c r="N450" s="4">
        <f t="shared" si="129"/>
        <v>0</v>
      </c>
      <c r="O450" s="4">
        <f t="shared" si="130"/>
        <v>81</v>
      </c>
      <c r="P450" s="4">
        <f t="shared" si="131"/>
        <v>2</v>
      </c>
      <c r="Q450" s="4">
        <f t="shared" si="132"/>
        <v>9</v>
      </c>
      <c r="R450" s="4">
        <f t="shared" si="133"/>
        <v>56</v>
      </c>
      <c r="S450" s="4">
        <f t="shared" si="134"/>
        <v>72</v>
      </c>
      <c r="T450" s="4">
        <f t="shared" si="135"/>
        <v>2</v>
      </c>
      <c r="U450" s="4">
        <f t="shared" si="136"/>
        <v>3</v>
      </c>
      <c r="V450" s="8">
        <f t="shared" si="137"/>
        <v>4</v>
      </c>
      <c r="W450" s="8">
        <f t="shared" si="138"/>
        <v>6</v>
      </c>
      <c r="X450">
        <f t="shared" si="139"/>
        <v>1</v>
      </c>
    </row>
    <row r="451" spans="1:24" x14ac:dyDescent="0.25">
      <c r="A451" s="4" t="s">
        <v>477</v>
      </c>
      <c r="B451" t="s">
        <v>15</v>
      </c>
      <c r="C451" t="s">
        <v>4</v>
      </c>
      <c r="D451" s="3">
        <f t="shared" ref="D451:D514" si="140">MID(A451,1,2)*1</f>
        <v>58</v>
      </c>
      <c r="E451" s="4">
        <f t="shared" ref="E451:E514" si="141">MID(A451,3,2)*1</f>
        <v>8</v>
      </c>
      <c r="F451" s="4">
        <f t="shared" ref="F451:F514" si="142">MID(A451,5,2)*1</f>
        <v>18</v>
      </c>
      <c r="G451" s="3">
        <f>IF(E451&gt;=20,2000,1900) + D451</f>
        <v>1958</v>
      </c>
      <c r="H451">
        <f t="shared" ref="H451:H514" si="143">IF(E451&gt;=20,E451-20,E451)</f>
        <v>8</v>
      </c>
      <c r="I451" s="4">
        <f t="shared" ref="I451:I514" si="144">F451</f>
        <v>18</v>
      </c>
      <c r="J451">
        <f t="shared" ref="J451:J514" si="145">CONCATENATE(G451,IF(LEN(E451)=1,CONCATENATE("0",E451),E451),IF(LEN(F451)=1,CONCATENATE("0",F451),F451))*1</f>
        <v>19580818</v>
      </c>
      <c r="K451" t="str">
        <f t="shared" ref="K451:K514" si="146">CONCATENATE(RIGHT(J451,2),".",MID(J451,5,2),".",LEFT(J451,4))</f>
        <v>18.08.1958</v>
      </c>
      <c r="L451" s="4">
        <f t="shared" ref="L451:L514" si="147">MID(A451,1,1)*1</f>
        <v>5</v>
      </c>
      <c r="M451" s="4">
        <f t="shared" ref="M451:M514" si="148">MID(A451,2,1)*3</f>
        <v>24</v>
      </c>
      <c r="N451" s="4">
        <f t="shared" ref="N451:N514" si="149">MID(A451,3,1)*7</f>
        <v>0</v>
      </c>
      <c r="O451" s="4">
        <f t="shared" ref="O451:O514" si="150">MID(A451,4,1)*9</f>
        <v>72</v>
      </c>
      <c r="P451" s="4">
        <f t="shared" ref="P451:P514" si="151">MID(A451,5,1)*1</f>
        <v>1</v>
      </c>
      <c r="Q451" s="4">
        <f t="shared" ref="Q451:Q514" si="152">MID(A451,6,1)*3</f>
        <v>24</v>
      </c>
      <c r="R451" s="4">
        <f t="shared" ref="R451:R514" si="153">MID(A451,7,1)*7</f>
        <v>35</v>
      </c>
      <c r="S451" s="4">
        <f t="shared" ref="S451:S514" si="154">MID(A451,8,1)*9</f>
        <v>63</v>
      </c>
      <c r="T451" s="4">
        <f t="shared" ref="T451:T514" si="155">MID(A451,9,1)*1</f>
        <v>0</v>
      </c>
      <c r="U451" s="4">
        <f t="shared" ref="U451:U514" si="156">MID(A451,10,1)*3</f>
        <v>3</v>
      </c>
      <c r="V451" s="8">
        <f t="shared" ref="V451:V514" si="157">MOD(SUM(L451:U451),10)</f>
        <v>7</v>
      </c>
      <c r="W451" s="8">
        <f t="shared" ref="W451:W514" si="158">IF(V451=0,0,10-V451)</f>
        <v>3</v>
      </c>
      <c r="X451">
        <f t="shared" ref="X451:X514" si="159">IF(W451=RIGHT(A451,1)*1,1,0)</f>
        <v>1</v>
      </c>
    </row>
    <row r="452" spans="1:24" x14ac:dyDescent="0.25">
      <c r="A452" s="4" t="s">
        <v>478</v>
      </c>
      <c r="B452" t="s">
        <v>17</v>
      </c>
      <c r="C452" t="s">
        <v>4</v>
      </c>
      <c r="D452" s="3">
        <f t="shared" si="140"/>
        <v>51</v>
      </c>
      <c r="E452" s="4">
        <f t="shared" si="141"/>
        <v>11</v>
      </c>
      <c r="F452" s="4">
        <f t="shared" si="142"/>
        <v>20</v>
      </c>
      <c r="G452" s="3">
        <f>IF(E452&gt;=20,2000,1900) + D452</f>
        <v>1951</v>
      </c>
      <c r="H452">
        <f t="shared" si="143"/>
        <v>11</v>
      </c>
      <c r="I452" s="4">
        <f t="shared" si="144"/>
        <v>20</v>
      </c>
      <c r="J452">
        <f t="shared" si="145"/>
        <v>19511120</v>
      </c>
      <c r="K452" t="str">
        <f t="shared" si="146"/>
        <v>20.11.1951</v>
      </c>
      <c r="L452" s="4">
        <f t="shared" si="147"/>
        <v>5</v>
      </c>
      <c r="M452" s="4">
        <f t="shared" si="148"/>
        <v>3</v>
      </c>
      <c r="N452" s="4">
        <f t="shared" si="149"/>
        <v>7</v>
      </c>
      <c r="O452" s="4">
        <f t="shared" si="150"/>
        <v>9</v>
      </c>
      <c r="P452" s="4">
        <f t="shared" si="151"/>
        <v>2</v>
      </c>
      <c r="Q452" s="4">
        <f t="shared" si="152"/>
        <v>0</v>
      </c>
      <c r="R452" s="4">
        <f t="shared" si="153"/>
        <v>42</v>
      </c>
      <c r="S452" s="4">
        <f t="shared" si="154"/>
        <v>54</v>
      </c>
      <c r="T452" s="4">
        <f t="shared" si="155"/>
        <v>1</v>
      </c>
      <c r="U452" s="4">
        <f t="shared" si="156"/>
        <v>3</v>
      </c>
      <c r="V452" s="8">
        <f t="shared" si="157"/>
        <v>6</v>
      </c>
      <c r="W452" s="8">
        <f t="shared" si="158"/>
        <v>4</v>
      </c>
      <c r="X452">
        <f t="shared" si="159"/>
        <v>1</v>
      </c>
    </row>
    <row r="453" spans="1:24" x14ac:dyDescent="0.25">
      <c r="A453" s="4" t="s">
        <v>479</v>
      </c>
      <c r="B453" t="s">
        <v>15</v>
      </c>
      <c r="C453" t="s">
        <v>4</v>
      </c>
      <c r="D453" s="3">
        <f t="shared" si="140"/>
        <v>89</v>
      </c>
      <c r="E453" s="4">
        <f t="shared" si="141"/>
        <v>1</v>
      </c>
      <c r="F453" s="4">
        <f t="shared" si="142"/>
        <v>1</v>
      </c>
      <c r="G453" s="3">
        <f>IF(E453&gt;=20,2000,1900) + D453</f>
        <v>1989</v>
      </c>
      <c r="H453">
        <f t="shared" si="143"/>
        <v>1</v>
      </c>
      <c r="I453" s="4">
        <f t="shared" si="144"/>
        <v>1</v>
      </c>
      <c r="J453">
        <f t="shared" si="145"/>
        <v>19890101</v>
      </c>
      <c r="K453" t="str">
        <f t="shared" si="146"/>
        <v>01.01.1989</v>
      </c>
      <c r="L453" s="4">
        <f t="shared" si="147"/>
        <v>8</v>
      </c>
      <c r="M453" s="4">
        <f t="shared" si="148"/>
        <v>27</v>
      </c>
      <c r="N453" s="4">
        <f t="shared" si="149"/>
        <v>0</v>
      </c>
      <c r="O453" s="4">
        <f t="shared" si="150"/>
        <v>9</v>
      </c>
      <c r="P453" s="4">
        <f t="shared" si="151"/>
        <v>0</v>
      </c>
      <c r="Q453" s="4">
        <f t="shared" si="152"/>
        <v>3</v>
      </c>
      <c r="R453" s="4">
        <f t="shared" si="153"/>
        <v>28</v>
      </c>
      <c r="S453" s="4">
        <f t="shared" si="154"/>
        <v>45</v>
      </c>
      <c r="T453" s="4">
        <f t="shared" si="155"/>
        <v>1</v>
      </c>
      <c r="U453" s="4">
        <f t="shared" si="156"/>
        <v>6</v>
      </c>
      <c r="V453" s="8">
        <f t="shared" si="157"/>
        <v>7</v>
      </c>
      <c r="W453" s="8">
        <f t="shared" si="158"/>
        <v>3</v>
      </c>
      <c r="X453">
        <f t="shared" si="159"/>
        <v>1</v>
      </c>
    </row>
    <row r="454" spans="1:24" x14ac:dyDescent="0.25">
      <c r="A454" s="4" t="s">
        <v>480</v>
      </c>
      <c r="B454" t="s">
        <v>14</v>
      </c>
      <c r="C454" t="s">
        <v>6</v>
      </c>
      <c r="D454" s="3">
        <f t="shared" si="140"/>
        <v>84</v>
      </c>
      <c r="E454" s="4">
        <f t="shared" si="141"/>
        <v>2</v>
      </c>
      <c r="F454" s="4">
        <f t="shared" si="142"/>
        <v>11</v>
      </c>
      <c r="G454" s="3">
        <f>IF(E454&gt;=20,2000,1900) + D454</f>
        <v>1984</v>
      </c>
      <c r="H454">
        <f t="shared" si="143"/>
        <v>2</v>
      </c>
      <c r="I454" s="4">
        <f t="shared" si="144"/>
        <v>11</v>
      </c>
      <c r="J454">
        <f t="shared" si="145"/>
        <v>19840211</v>
      </c>
      <c r="K454" t="str">
        <f t="shared" si="146"/>
        <v>11.02.1984</v>
      </c>
      <c r="L454" s="4">
        <f t="shared" si="147"/>
        <v>8</v>
      </c>
      <c r="M454" s="4">
        <f t="shared" si="148"/>
        <v>12</v>
      </c>
      <c r="N454" s="4">
        <f t="shared" si="149"/>
        <v>0</v>
      </c>
      <c r="O454" s="4">
        <f t="shared" si="150"/>
        <v>18</v>
      </c>
      <c r="P454" s="4">
        <f t="shared" si="151"/>
        <v>1</v>
      </c>
      <c r="Q454" s="4">
        <f t="shared" si="152"/>
        <v>3</v>
      </c>
      <c r="R454" s="4">
        <f t="shared" si="153"/>
        <v>21</v>
      </c>
      <c r="S454" s="4">
        <f t="shared" si="154"/>
        <v>63</v>
      </c>
      <c r="T454" s="4">
        <f t="shared" si="155"/>
        <v>4</v>
      </c>
      <c r="U454" s="4">
        <f t="shared" si="156"/>
        <v>6</v>
      </c>
      <c r="V454" s="8">
        <f t="shared" si="157"/>
        <v>6</v>
      </c>
      <c r="W454" s="8">
        <f t="shared" si="158"/>
        <v>4</v>
      </c>
      <c r="X454">
        <f t="shared" si="159"/>
        <v>1</v>
      </c>
    </row>
    <row r="455" spans="1:24" x14ac:dyDescent="0.25">
      <c r="A455" s="4" t="s">
        <v>481</v>
      </c>
      <c r="B455" t="s">
        <v>9</v>
      </c>
      <c r="C455" t="s">
        <v>6</v>
      </c>
      <c r="D455" s="3">
        <f t="shared" si="140"/>
        <v>66</v>
      </c>
      <c r="E455" s="4">
        <f t="shared" si="141"/>
        <v>7</v>
      </c>
      <c r="F455" s="4">
        <f t="shared" si="142"/>
        <v>11</v>
      </c>
      <c r="G455" s="3">
        <f>IF(E455&gt;=20,2000,1900) + D455</f>
        <v>1966</v>
      </c>
      <c r="H455">
        <f t="shared" si="143"/>
        <v>7</v>
      </c>
      <c r="I455" s="4">
        <f t="shared" si="144"/>
        <v>11</v>
      </c>
      <c r="J455">
        <f t="shared" si="145"/>
        <v>19660711</v>
      </c>
      <c r="K455" t="str">
        <f t="shared" si="146"/>
        <v>11.07.1966</v>
      </c>
      <c r="L455" s="4">
        <f t="shared" si="147"/>
        <v>6</v>
      </c>
      <c r="M455" s="4">
        <f t="shared" si="148"/>
        <v>18</v>
      </c>
      <c r="N455" s="4">
        <f t="shared" si="149"/>
        <v>0</v>
      </c>
      <c r="O455" s="4">
        <f t="shared" si="150"/>
        <v>63</v>
      </c>
      <c r="P455" s="4">
        <f t="shared" si="151"/>
        <v>1</v>
      </c>
      <c r="Q455" s="4">
        <f t="shared" si="152"/>
        <v>3</v>
      </c>
      <c r="R455" s="4">
        <f t="shared" si="153"/>
        <v>63</v>
      </c>
      <c r="S455" s="4">
        <f t="shared" si="154"/>
        <v>9</v>
      </c>
      <c r="T455" s="4">
        <f t="shared" si="155"/>
        <v>2</v>
      </c>
      <c r="U455" s="4">
        <f t="shared" si="156"/>
        <v>24</v>
      </c>
      <c r="V455" s="8">
        <f t="shared" si="157"/>
        <v>9</v>
      </c>
      <c r="W455" s="8">
        <f t="shared" si="158"/>
        <v>1</v>
      </c>
      <c r="X455">
        <f t="shared" si="159"/>
        <v>1</v>
      </c>
    </row>
    <row r="456" spans="1:24" x14ac:dyDescent="0.25">
      <c r="A456" s="4" t="s">
        <v>482</v>
      </c>
      <c r="B456" t="s">
        <v>9</v>
      </c>
      <c r="C456" t="s">
        <v>6</v>
      </c>
      <c r="D456" s="3">
        <f t="shared" si="140"/>
        <v>64</v>
      </c>
      <c r="E456" s="4">
        <f t="shared" si="141"/>
        <v>11</v>
      </c>
      <c r="F456" s="4">
        <f t="shared" si="142"/>
        <v>5</v>
      </c>
      <c r="G456" s="3">
        <f>IF(E456&gt;=20,2000,1900) + D456</f>
        <v>1964</v>
      </c>
      <c r="H456">
        <f t="shared" si="143"/>
        <v>11</v>
      </c>
      <c r="I456" s="4">
        <f t="shared" si="144"/>
        <v>5</v>
      </c>
      <c r="J456">
        <f t="shared" si="145"/>
        <v>19641105</v>
      </c>
      <c r="K456" t="str">
        <f t="shared" si="146"/>
        <v>05.11.1964</v>
      </c>
      <c r="L456" s="4">
        <f t="shared" si="147"/>
        <v>6</v>
      </c>
      <c r="M456" s="4">
        <f t="shared" si="148"/>
        <v>12</v>
      </c>
      <c r="N456" s="4">
        <f t="shared" si="149"/>
        <v>7</v>
      </c>
      <c r="O456" s="4">
        <f t="shared" si="150"/>
        <v>9</v>
      </c>
      <c r="P456" s="4">
        <f t="shared" si="151"/>
        <v>0</v>
      </c>
      <c r="Q456" s="4">
        <f t="shared" si="152"/>
        <v>15</v>
      </c>
      <c r="R456" s="4">
        <f t="shared" si="153"/>
        <v>14</v>
      </c>
      <c r="S456" s="4">
        <f t="shared" si="154"/>
        <v>9</v>
      </c>
      <c r="T456" s="4">
        <f t="shared" si="155"/>
        <v>1</v>
      </c>
      <c r="U456" s="4">
        <f t="shared" si="156"/>
        <v>18</v>
      </c>
      <c r="V456" s="8">
        <f t="shared" si="157"/>
        <v>1</v>
      </c>
      <c r="W456" s="8">
        <f t="shared" si="158"/>
        <v>9</v>
      </c>
      <c r="X456">
        <f t="shared" si="159"/>
        <v>1</v>
      </c>
    </row>
    <row r="457" spans="1:24" x14ac:dyDescent="0.25">
      <c r="A457" s="4" t="s">
        <v>483</v>
      </c>
      <c r="B457" t="s">
        <v>7</v>
      </c>
      <c r="C457" t="s">
        <v>6</v>
      </c>
      <c r="D457" s="3">
        <f t="shared" si="140"/>
        <v>80</v>
      </c>
      <c r="E457" s="4">
        <f t="shared" si="141"/>
        <v>9</v>
      </c>
      <c r="F457" s="4">
        <f t="shared" si="142"/>
        <v>7</v>
      </c>
      <c r="G457" s="3">
        <f>IF(E457&gt;=20,2000,1900) + D457</f>
        <v>1980</v>
      </c>
      <c r="H457">
        <f t="shared" si="143"/>
        <v>9</v>
      </c>
      <c r="I457" s="4">
        <f t="shared" si="144"/>
        <v>7</v>
      </c>
      <c r="J457">
        <f t="shared" si="145"/>
        <v>19800907</v>
      </c>
      <c r="K457" t="str">
        <f t="shared" si="146"/>
        <v>07.09.1980</v>
      </c>
      <c r="L457" s="4">
        <f t="shared" si="147"/>
        <v>8</v>
      </c>
      <c r="M457" s="4">
        <f t="shared" si="148"/>
        <v>0</v>
      </c>
      <c r="N457" s="4">
        <f t="shared" si="149"/>
        <v>0</v>
      </c>
      <c r="O457" s="4">
        <f t="shared" si="150"/>
        <v>81</v>
      </c>
      <c r="P457" s="4">
        <f t="shared" si="151"/>
        <v>0</v>
      </c>
      <c r="Q457" s="4">
        <f t="shared" si="152"/>
        <v>21</v>
      </c>
      <c r="R457" s="4">
        <f t="shared" si="153"/>
        <v>14</v>
      </c>
      <c r="S457" s="4">
        <f t="shared" si="154"/>
        <v>36</v>
      </c>
      <c r="T457" s="4">
        <f t="shared" si="155"/>
        <v>6</v>
      </c>
      <c r="U457" s="4">
        <f t="shared" si="156"/>
        <v>18</v>
      </c>
      <c r="V457" s="8">
        <f t="shared" si="157"/>
        <v>4</v>
      </c>
      <c r="W457" s="8">
        <f t="shared" si="158"/>
        <v>6</v>
      </c>
      <c r="X457">
        <f t="shared" si="159"/>
        <v>1</v>
      </c>
    </row>
    <row r="458" spans="1:24" x14ac:dyDescent="0.25">
      <c r="A458" s="4" t="s">
        <v>484</v>
      </c>
      <c r="B458" t="s">
        <v>17</v>
      </c>
      <c r="C458" t="s">
        <v>4</v>
      </c>
      <c r="D458" s="3">
        <f t="shared" si="140"/>
        <v>60</v>
      </c>
      <c r="E458" s="4">
        <f t="shared" si="141"/>
        <v>8</v>
      </c>
      <c r="F458" s="4">
        <f t="shared" si="142"/>
        <v>10</v>
      </c>
      <c r="G458" s="3">
        <f>IF(E458&gt;=20,2000,1900) + D458</f>
        <v>1960</v>
      </c>
      <c r="H458">
        <f t="shared" si="143"/>
        <v>8</v>
      </c>
      <c r="I458" s="4">
        <f t="shared" si="144"/>
        <v>10</v>
      </c>
      <c r="J458">
        <f t="shared" si="145"/>
        <v>19600810</v>
      </c>
      <c r="K458" t="str">
        <f t="shared" si="146"/>
        <v>10.08.1960</v>
      </c>
      <c r="L458" s="4">
        <f t="shared" si="147"/>
        <v>6</v>
      </c>
      <c r="M458" s="4">
        <f t="shared" si="148"/>
        <v>0</v>
      </c>
      <c r="N458" s="4">
        <f t="shared" si="149"/>
        <v>0</v>
      </c>
      <c r="O458" s="4">
        <f t="shared" si="150"/>
        <v>72</v>
      </c>
      <c r="P458" s="4">
        <f t="shared" si="151"/>
        <v>1</v>
      </c>
      <c r="Q458" s="4">
        <f t="shared" si="152"/>
        <v>0</v>
      </c>
      <c r="R458" s="4">
        <f t="shared" si="153"/>
        <v>63</v>
      </c>
      <c r="S458" s="4">
        <f t="shared" si="154"/>
        <v>72</v>
      </c>
      <c r="T458" s="4">
        <f t="shared" si="155"/>
        <v>0</v>
      </c>
      <c r="U458" s="4">
        <f t="shared" si="156"/>
        <v>12</v>
      </c>
      <c r="V458" s="8">
        <f t="shared" si="157"/>
        <v>6</v>
      </c>
      <c r="W458" s="8">
        <f t="shared" si="158"/>
        <v>4</v>
      </c>
      <c r="X458">
        <f t="shared" si="159"/>
        <v>1</v>
      </c>
    </row>
    <row r="459" spans="1:24" x14ac:dyDescent="0.25">
      <c r="A459" s="4" t="s">
        <v>485</v>
      </c>
      <c r="B459" t="s">
        <v>5</v>
      </c>
      <c r="C459" t="s">
        <v>6</v>
      </c>
      <c r="D459" s="3">
        <f t="shared" si="140"/>
        <v>81</v>
      </c>
      <c r="E459" s="4">
        <f t="shared" si="141"/>
        <v>6</v>
      </c>
      <c r="F459" s="4">
        <f t="shared" si="142"/>
        <v>6</v>
      </c>
      <c r="G459" s="3">
        <f>IF(E459&gt;=20,2000,1900) + D459</f>
        <v>1981</v>
      </c>
      <c r="H459">
        <f t="shared" si="143"/>
        <v>6</v>
      </c>
      <c r="I459" s="4">
        <f t="shared" si="144"/>
        <v>6</v>
      </c>
      <c r="J459">
        <f t="shared" si="145"/>
        <v>19810606</v>
      </c>
      <c r="K459" t="str">
        <f t="shared" si="146"/>
        <v>06.06.1981</v>
      </c>
      <c r="L459" s="4">
        <f t="shared" si="147"/>
        <v>8</v>
      </c>
      <c r="M459" s="4">
        <f t="shared" si="148"/>
        <v>3</v>
      </c>
      <c r="N459" s="4">
        <f t="shared" si="149"/>
        <v>0</v>
      </c>
      <c r="O459" s="4">
        <f t="shared" si="150"/>
        <v>54</v>
      </c>
      <c r="P459" s="4">
        <f t="shared" si="151"/>
        <v>0</v>
      </c>
      <c r="Q459" s="4">
        <f t="shared" si="152"/>
        <v>18</v>
      </c>
      <c r="R459" s="4">
        <f t="shared" si="153"/>
        <v>49</v>
      </c>
      <c r="S459" s="4">
        <f t="shared" si="154"/>
        <v>18</v>
      </c>
      <c r="T459" s="4">
        <f t="shared" si="155"/>
        <v>3</v>
      </c>
      <c r="U459" s="4">
        <f t="shared" si="156"/>
        <v>12</v>
      </c>
      <c r="V459" s="8">
        <f t="shared" si="157"/>
        <v>5</v>
      </c>
      <c r="W459" s="8">
        <f t="shared" si="158"/>
        <v>5</v>
      </c>
      <c r="X459">
        <f t="shared" si="159"/>
        <v>1</v>
      </c>
    </row>
    <row r="460" spans="1:24" x14ac:dyDescent="0.25">
      <c r="A460" s="4" t="s">
        <v>486</v>
      </c>
      <c r="B460" t="s">
        <v>19</v>
      </c>
      <c r="C460" t="s">
        <v>4</v>
      </c>
      <c r="D460" s="3">
        <f t="shared" si="140"/>
        <v>72</v>
      </c>
      <c r="E460" s="4">
        <f t="shared" si="141"/>
        <v>4</v>
      </c>
      <c r="F460" s="4">
        <f t="shared" si="142"/>
        <v>11</v>
      </c>
      <c r="G460" s="3">
        <f>IF(E460&gt;=20,2000,1900) + D460</f>
        <v>1972</v>
      </c>
      <c r="H460">
        <f t="shared" si="143"/>
        <v>4</v>
      </c>
      <c r="I460" s="4">
        <f t="shared" si="144"/>
        <v>11</v>
      </c>
      <c r="J460">
        <f t="shared" si="145"/>
        <v>19720411</v>
      </c>
      <c r="K460" t="str">
        <f t="shared" si="146"/>
        <v>11.04.1972</v>
      </c>
      <c r="L460" s="4">
        <f t="shared" si="147"/>
        <v>7</v>
      </c>
      <c r="M460" s="4">
        <f t="shared" si="148"/>
        <v>6</v>
      </c>
      <c r="N460" s="4">
        <f t="shared" si="149"/>
        <v>0</v>
      </c>
      <c r="O460" s="4">
        <f t="shared" si="150"/>
        <v>36</v>
      </c>
      <c r="P460" s="4">
        <f t="shared" si="151"/>
        <v>1</v>
      </c>
      <c r="Q460" s="4">
        <f t="shared" si="152"/>
        <v>3</v>
      </c>
      <c r="R460" s="4">
        <f t="shared" si="153"/>
        <v>56</v>
      </c>
      <c r="S460" s="4">
        <f t="shared" si="154"/>
        <v>72</v>
      </c>
      <c r="T460" s="4">
        <f t="shared" si="155"/>
        <v>4</v>
      </c>
      <c r="U460" s="4">
        <f t="shared" si="156"/>
        <v>27</v>
      </c>
      <c r="V460" s="8">
        <f t="shared" si="157"/>
        <v>2</v>
      </c>
      <c r="W460" s="8">
        <f t="shared" si="158"/>
        <v>8</v>
      </c>
      <c r="X460">
        <f t="shared" si="159"/>
        <v>1</v>
      </c>
    </row>
    <row r="461" spans="1:24" x14ac:dyDescent="0.25">
      <c r="A461" s="4" t="s">
        <v>487</v>
      </c>
      <c r="B461" t="s">
        <v>15</v>
      </c>
      <c r="C461" t="s">
        <v>6</v>
      </c>
      <c r="D461" s="3">
        <f t="shared" si="140"/>
        <v>93</v>
      </c>
      <c r="E461" s="4">
        <f t="shared" si="141"/>
        <v>5</v>
      </c>
      <c r="F461" s="4">
        <f t="shared" si="142"/>
        <v>2</v>
      </c>
      <c r="G461" s="3">
        <f>IF(E461&gt;=20,2000,1900) + D461</f>
        <v>1993</v>
      </c>
      <c r="H461">
        <f t="shared" si="143"/>
        <v>5</v>
      </c>
      <c r="I461" s="4">
        <f t="shared" si="144"/>
        <v>2</v>
      </c>
      <c r="J461">
        <f t="shared" si="145"/>
        <v>19930502</v>
      </c>
      <c r="K461" t="str">
        <f t="shared" si="146"/>
        <v>02.05.1993</v>
      </c>
      <c r="L461" s="4">
        <f t="shared" si="147"/>
        <v>9</v>
      </c>
      <c r="M461" s="4">
        <f t="shared" si="148"/>
        <v>9</v>
      </c>
      <c r="N461" s="4">
        <f t="shared" si="149"/>
        <v>0</v>
      </c>
      <c r="O461" s="4">
        <f t="shared" si="150"/>
        <v>45</v>
      </c>
      <c r="P461" s="4">
        <f t="shared" si="151"/>
        <v>0</v>
      </c>
      <c r="Q461" s="4">
        <f t="shared" si="152"/>
        <v>6</v>
      </c>
      <c r="R461" s="4">
        <f t="shared" si="153"/>
        <v>21</v>
      </c>
      <c r="S461" s="4">
        <f t="shared" si="154"/>
        <v>63</v>
      </c>
      <c r="T461" s="4">
        <f t="shared" si="155"/>
        <v>3</v>
      </c>
      <c r="U461" s="4">
        <f t="shared" si="156"/>
        <v>6</v>
      </c>
      <c r="V461" s="8">
        <f t="shared" si="157"/>
        <v>2</v>
      </c>
      <c r="W461" s="8">
        <f t="shared" si="158"/>
        <v>8</v>
      </c>
      <c r="X461">
        <f t="shared" si="159"/>
        <v>1</v>
      </c>
    </row>
    <row r="462" spans="1:24" x14ac:dyDescent="0.25">
      <c r="A462" s="4" t="s">
        <v>488</v>
      </c>
      <c r="B462" t="s">
        <v>5</v>
      </c>
      <c r="C462" t="s">
        <v>6</v>
      </c>
      <c r="D462" s="3">
        <f t="shared" si="140"/>
        <v>57</v>
      </c>
      <c r="E462" s="4">
        <f t="shared" si="141"/>
        <v>11</v>
      </c>
      <c r="F462" s="4">
        <f t="shared" si="142"/>
        <v>10</v>
      </c>
      <c r="G462" s="3">
        <f>IF(E462&gt;=20,2000,1900) + D462</f>
        <v>1957</v>
      </c>
      <c r="H462">
        <f t="shared" si="143"/>
        <v>11</v>
      </c>
      <c r="I462" s="4">
        <f t="shared" si="144"/>
        <v>10</v>
      </c>
      <c r="J462">
        <f t="shared" si="145"/>
        <v>19571110</v>
      </c>
      <c r="K462" t="str">
        <f t="shared" si="146"/>
        <v>10.11.1957</v>
      </c>
      <c r="L462" s="4">
        <f t="shared" si="147"/>
        <v>5</v>
      </c>
      <c r="M462" s="4">
        <f t="shared" si="148"/>
        <v>21</v>
      </c>
      <c r="N462" s="4">
        <f t="shared" si="149"/>
        <v>7</v>
      </c>
      <c r="O462" s="4">
        <f t="shared" si="150"/>
        <v>9</v>
      </c>
      <c r="P462" s="4">
        <f t="shared" si="151"/>
        <v>1</v>
      </c>
      <c r="Q462" s="4">
        <f t="shared" si="152"/>
        <v>0</v>
      </c>
      <c r="R462" s="4">
        <f t="shared" si="153"/>
        <v>21</v>
      </c>
      <c r="S462" s="4">
        <f t="shared" si="154"/>
        <v>0</v>
      </c>
      <c r="T462" s="4">
        <f t="shared" si="155"/>
        <v>9</v>
      </c>
      <c r="U462" s="4">
        <f t="shared" si="156"/>
        <v>18</v>
      </c>
      <c r="V462" s="8">
        <f t="shared" si="157"/>
        <v>1</v>
      </c>
      <c r="W462" s="8">
        <f t="shared" si="158"/>
        <v>9</v>
      </c>
      <c r="X462">
        <f t="shared" si="159"/>
        <v>1</v>
      </c>
    </row>
    <row r="463" spans="1:24" x14ac:dyDescent="0.25">
      <c r="A463" s="4" t="s">
        <v>489</v>
      </c>
      <c r="B463" t="s">
        <v>7</v>
      </c>
      <c r="C463" t="s">
        <v>6</v>
      </c>
      <c r="D463" s="3">
        <f t="shared" si="140"/>
        <v>95</v>
      </c>
      <c r="E463" s="4">
        <f t="shared" si="141"/>
        <v>12</v>
      </c>
      <c r="F463" s="4">
        <f t="shared" si="142"/>
        <v>1</v>
      </c>
      <c r="G463" s="3">
        <f>IF(E463&gt;=20,2000,1900) + D463</f>
        <v>1995</v>
      </c>
      <c r="H463">
        <f t="shared" si="143"/>
        <v>12</v>
      </c>
      <c r="I463" s="4">
        <f t="shared" si="144"/>
        <v>1</v>
      </c>
      <c r="J463">
        <f t="shared" si="145"/>
        <v>19951201</v>
      </c>
      <c r="K463" t="str">
        <f t="shared" si="146"/>
        <v>01.12.1995</v>
      </c>
      <c r="L463" s="4">
        <f t="shared" si="147"/>
        <v>9</v>
      </c>
      <c r="M463" s="4">
        <f t="shared" si="148"/>
        <v>15</v>
      </c>
      <c r="N463" s="4">
        <f t="shared" si="149"/>
        <v>7</v>
      </c>
      <c r="O463" s="4">
        <f t="shared" si="150"/>
        <v>18</v>
      </c>
      <c r="P463" s="4">
        <f t="shared" si="151"/>
        <v>0</v>
      </c>
      <c r="Q463" s="4">
        <f t="shared" si="152"/>
        <v>3</v>
      </c>
      <c r="R463" s="4">
        <f t="shared" si="153"/>
        <v>56</v>
      </c>
      <c r="S463" s="4">
        <f t="shared" si="154"/>
        <v>81</v>
      </c>
      <c r="T463" s="4">
        <f t="shared" si="155"/>
        <v>9</v>
      </c>
      <c r="U463" s="4">
        <f t="shared" si="156"/>
        <v>6</v>
      </c>
      <c r="V463" s="8">
        <f t="shared" si="157"/>
        <v>4</v>
      </c>
      <c r="W463" s="8">
        <f t="shared" si="158"/>
        <v>6</v>
      </c>
      <c r="X463">
        <f t="shared" si="159"/>
        <v>1</v>
      </c>
    </row>
    <row r="464" spans="1:24" x14ac:dyDescent="0.25">
      <c r="A464" s="4" t="s">
        <v>490</v>
      </c>
      <c r="B464" t="s">
        <v>7</v>
      </c>
      <c r="C464" t="s">
        <v>6</v>
      </c>
      <c r="D464" s="3">
        <f t="shared" si="140"/>
        <v>50</v>
      </c>
      <c r="E464" s="4">
        <f t="shared" si="141"/>
        <v>3</v>
      </c>
      <c r="F464" s="4">
        <f t="shared" si="142"/>
        <v>5</v>
      </c>
      <c r="G464" s="3">
        <f>IF(E464&gt;=20,2000,1900) + D464</f>
        <v>1950</v>
      </c>
      <c r="H464">
        <f t="shared" si="143"/>
        <v>3</v>
      </c>
      <c r="I464" s="4">
        <f t="shared" si="144"/>
        <v>5</v>
      </c>
      <c r="J464">
        <f t="shared" si="145"/>
        <v>19500305</v>
      </c>
      <c r="K464" t="str">
        <f t="shared" si="146"/>
        <v>05.03.1950</v>
      </c>
      <c r="L464" s="4">
        <f t="shared" si="147"/>
        <v>5</v>
      </c>
      <c r="M464" s="4">
        <f t="shared" si="148"/>
        <v>0</v>
      </c>
      <c r="N464" s="4">
        <f t="shared" si="149"/>
        <v>0</v>
      </c>
      <c r="O464" s="4">
        <f t="shared" si="150"/>
        <v>27</v>
      </c>
      <c r="P464" s="4">
        <f t="shared" si="151"/>
        <v>0</v>
      </c>
      <c r="Q464" s="4">
        <f t="shared" si="152"/>
        <v>15</v>
      </c>
      <c r="R464" s="4">
        <f t="shared" si="153"/>
        <v>35</v>
      </c>
      <c r="S464" s="4">
        <f t="shared" si="154"/>
        <v>72</v>
      </c>
      <c r="T464" s="4">
        <f t="shared" si="155"/>
        <v>6</v>
      </c>
      <c r="U464" s="4">
        <f t="shared" si="156"/>
        <v>3</v>
      </c>
      <c r="V464" s="8">
        <f t="shared" si="157"/>
        <v>3</v>
      </c>
      <c r="W464" s="8">
        <f t="shared" si="158"/>
        <v>7</v>
      </c>
      <c r="X464">
        <f t="shared" si="159"/>
        <v>1</v>
      </c>
    </row>
    <row r="465" spans="1:24" x14ac:dyDescent="0.25">
      <c r="A465" s="4" t="s">
        <v>491</v>
      </c>
      <c r="B465" t="s">
        <v>12</v>
      </c>
      <c r="C465" t="s">
        <v>6</v>
      </c>
      <c r="D465" s="3">
        <f t="shared" si="140"/>
        <v>99</v>
      </c>
      <c r="E465" s="4">
        <f t="shared" si="141"/>
        <v>3</v>
      </c>
      <c r="F465" s="4">
        <f t="shared" si="142"/>
        <v>7</v>
      </c>
      <c r="G465" s="3">
        <f>IF(E465&gt;=20,2000,1900) + D465</f>
        <v>1999</v>
      </c>
      <c r="H465">
        <f t="shared" si="143"/>
        <v>3</v>
      </c>
      <c r="I465" s="4">
        <f t="shared" si="144"/>
        <v>7</v>
      </c>
      <c r="J465">
        <f t="shared" si="145"/>
        <v>19990307</v>
      </c>
      <c r="K465" t="str">
        <f t="shared" si="146"/>
        <v>07.03.1999</v>
      </c>
      <c r="L465" s="4">
        <f t="shared" si="147"/>
        <v>9</v>
      </c>
      <c r="M465" s="4">
        <f t="shared" si="148"/>
        <v>27</v>
      </c>
      <c r="N465" s="4">
        <f t="shared" si="149"/>
        <v>0</v>
      </c>
      <c r="O465" s="4">
        <f t="shared" si="150"/>
        <v>27</v>
      </c>
      <c r="P465" s="4">
        <f t="shared" si="151"/>
        <v>0</v>
      </c>
      <c r="Q465" s="4">
        <f t="shared" si="152"/>
        <v>21</v>
      </c>
      <c r="R465" s="4">
        <f t="shared" si="153"/>
        <v>56</v>
      </c>
      <c r="S465" s="4">
        <f t="shared" si="154"/>
        <v>63</v>
      </c>
      <c r="T465" s="4">
        <f t="shared" si="155"/>
        <v>5</v>
      </c>
      <c r="U465" s="4">
        <f t="shared" si="156"/>
        <v>6</v>
      </c>
      <c r="V465" s="8">
        <f t="shared" si="157"/>
        <v>4</v>
      </c>
      <c r="W465" s="8">
        <f t="shared" si="158"/>
        <v>6</v>
      </c>
      <c r="X465">
        <f t="shared" si="159"/>
        <v>1</v>
      </c>
    </row>
    <row r="466" spans="1:24" x14ac:dyDescent="0.25">
      <c r="A466" s="4" t="s">
        <v>492</v>
      </c>
      <c r="B466" t="s">
        <v>5</v>
      </c>
      <c r="C466" t="s">
        <v>6</v>
      </c>
      <c r="D466" s="3">
        <f t="shared" si="140"/>
        <v>86</v>
      </c>
      <c r="E466" s="4">
        <f t="shared" si="141"/>
        <v>1</v>
      </c>
      <c r="F466" s="4">
        <f t="shared" si="142"/>
        <v>28</v>
      </c>
      <c r="G466" s="3">
        <f>IF(E466&gt;=20,2000,1900) + D466</f>
        <v>1986</v>
      </c>
      <c r="H466">
        <f t="shared" si="143"/>
        <v>1</v>
      </c>
      <c r="I466" s="4">
        <f t="shared" si="144"/>
        <v>28</v>
      </c>
      <c r="J466">
        <f t="shared" si="145"/>
        <v>19860128</v>
      </c>
      <c r="K466" t="str">
        <f t="shared" si="146"/>
        <v>28.01.1986</v>
      </c>
      <c r="L466" s="4">
        <f t="shared" si="147"/>
        <v>8</v>
      </c>
      <c r="M466" s="4">
        <f t="shared" si="148"/>
        <v>18</v>
      </c>
      <c r="N466" s="4">
        <f t="shared" si="149"/>
        <v>0</v>
      </c>
      <c r="O466" s="4">
        <f t="shared" si="150"/>
        <v>9</v>
      </c>
      <c r="P466" s="4">
        <f t="shared" si="151"/>
        <v>2</v>
      </c>
      <c r="Q466" s="4">
        <f t="shared" si="152"/>
        <v>24</v>
      </c>
      <c r="R466" s="4">
        <f t="shared" si="153"/>
        <v>63</v>
      </c>
      <c r="S466" s="4">
        <f t="shared" si="154"/>
        <v>27</v>
      </c>
      <c r="T466" s="4">
        <f t="shared" si="155"/>
        <v>7</v>
      </c>
      <c r="U466" s="4">
        <f t="shared" si="156"/>
        <v>27</v>
      </c>
      <c r="V466" s="8">
        <f t="shared" si="157"/>
        <v>5</v>
      </c>
      <c r="W466" s="8">
        <f t="shared" si="158"/>
        <v>5</v>
      </c>
      <c r="X466">
        <f t="shared" si="159"/>
        <v>1</v>
      </c>
    </row>
    <row r="467" spans="1:24" x14ac:dyDescent="0.25">
      <c r="A467" s="4" t="s">
        <v>493</v>
      </c>
      <c r="B467" t="s">
        <v>16</v>
      </c>
      <c r="C467" t="s">
        <v>4</v>
      </c>
      <c r="D467" s="3">
        <f t="shared" si="140"/>
        <v>77</v>
      </c>
      <c r="E467" s="4">
        <f t="shared" si="141"/>
        <v>7</v>
      </c>
      <c r="F467" s="4">
        <f t="shared" si="142"/>
        <v>9</v>
      </c>
      <c r="G467" s="3">
        <f>IF(E467&gt;=20,2000,1900) + D467</f>
        <v>1977</v>
      </c>
      <c r="H467">
        <f t="shared" si="143"/>
        <v>7</v>
      </c>
      <c r="I467" s="4">
        <f t="shared" si="144"/>
        <v>9</v>
      </c>
      <c r="J467">
        <f t="shared" si="145"/>
        <v>19770709</v>
      </c>
      <c r="K467" t="str">
        <f t="shared" si="146"/>
        <v>09.07.1977</v>
      </c>
      <c r="L467" s="4">
        <f t="shared" si="147"/>
        <v>7</v>
      </c>
      <c r="M467" s="4">
        <f t="shared" si="148"/>
        <v>21</v>
      </c>
      <c r="N467" s="4">
        <f t="shared" si="149"/>
        <v>0</v>
      </c>
      <c r="O467" s="4">
        <f t="shared" si="150"/>
        <v>63</v>
      </c>
      <c r="P467" s="4">
        <f t="shared" si="151"/>
        <v>0</v>
      </c>
      <c r="Q467" s="4">
        <f t="shared" si="152"/>
        <v>27</v>
      </c>
      <c r="R467" s="4">
        <f t="shared" si="153"/>
        <v>7</v>
      </c>
      <c r="S467" s="4">
        <f t="shared" si="154"/>
        <v>63</v>
      </c>
      <c r="T467" s="4">
        <f t="shared" si="155"/>
        <v>2</v>
      </c>
      <c r="U467" s="4">
        <f t="shared" si="156"/>
        <v>21</v>
      </c>
      <c r="V467" s="8">
        <f t="shared" si="157"/>
        <v>1</v>
      </c>
      <c r="W467" s="8">
        <f t="shared" si="158"/>
        <v>9</v>
      </c>
      <c r="X467">
        <f t="shared" si="159"/>
        <v>1</v>
      </c>
    </row>
    <row r="468" spans="1:24" x14ac:dyDescent="0.25">
      <c r="A468" s="4" t="s">
        <v>494</v>
      </c>
      <c r="B468" t="s">
        <v>3</v>
      </c>
      <c r="C468" t="s">
        <v>4</v>
      </c>
      <c r="D468" s="3">
        <f t="shared" si="140"/>
        <v>81</v>
      </c>
      <c r="E468" s="4">
        <f t="shared" si="141"/>
        <v>11</v>
      </c>
      <c r="F468" s="4">
        <f t="shared" si="142"/>
        <v>7</v>
      </c>
      <c r="G468" s="3">
        <f>IF(E468&gt;=20,2000,1900) + D468</f>
        <v>1981</v>
      </c>
      <c r="H468">
        <f t="shared" si="143"/>
        <v>11</v>
      </c>
      <c r="I468" s="4">
        <f t="shared" si="144"/>
        <v>7</v>
      </c>
      <c r="J468">
        <f t="shared" si="145"/>
        <v>19811107</v>
      </c>
      <c r="K468" t="str">
        <f t="shared" si="146"/>
        <v>07.11.1981</v>
      </c>
      <c r="L468" s="4">
        <f t="shared" si="147"/>
        <v>8</v>
      </c>
      <c r="M468" s="4">
        <f t="shared" si="148"/>
        <v>3</v>
      </c>
      <c r="N468" s="4">
        <f t="shared" si="149"/>
        <v>7</v>
      </c>
      <c r="O468" s="4">
        <f t="shared" si="150"/>
        <v>9</v>
      </c>
      <c r="P468" s="4">
        <f t="shared" si="151"/>
        <v>0</v>
      </c>
      <c r="Q468" s="4">
        <f t="shared" si="152"/>
        <v>21</v>
      </c>
      <c r="R468" s="4">
        <f t="shared" si="153"/>
        <v>42</v>
      </c>
      <c r="S468" s="4">
        <f t="shared" si="154"/>
        <v>81</v>
      </c>
      <c r="T468" s="4">
        <f t="shared" si="155"/>
        <v>3</v>
      </c>
      <c r="U468" s="4">
        <f t="shared" si="156"/>
        <v>24</v>
      </c>
      <c r="V468" s="8">
        <f t="shared" si="157"/>
        <v>8</v>
      </c>
      <c r="W468" s="8">
        <f t="shared" si="158"/>
        <v>2</v>
      </c>
      <c r="X468">
        <f t="shared" si="159"/>
        <v>1</v>
      </c>
    </row>
    <row r="469" spans="1:24" x14ac:dyDescent="0.25">
      <c r="A469" s="4" t="s">
        <v>495</v>
      </c>
      <c r="B469" t="s">
        <v>7</v>
      </c>
      <c r="C469" t="s">
        <v>4</v>
      </c>
      <c r="D469" s="3">
        <f t="shared" si="140"/>
        <v>77</v>
      </c>
      <c r="E469" s="4">
        <f t="shared" si="141"/>
        <v>11</v>
      </c>
      <c r="F469" s="4">
        <f t="shared" si="142"/>
        <v>11</v>
      </c>
      <c r="G469" s="3">
        <f>IF(E469&gt;=20,2000,1900) + D469</f>
        <v>1977</v>
      </c>
      <c r="H469">
        <f t="shared" si="143"/>
        <v>11</v>
      </c>
      <c r="I469" s="4">
        <f t="shared" si="144"/>
        <v>11</v>
      </c>
      <c r="J469">
        <f t="shared" si="145"/>
        <v>19771111</v>
      </c>
      <c r="K469" t="str">
        <f t="shared" si="146"/>
        <v>11.11.1977</v>
      </c>
      <c r="L469" s="4">
        <f t="shared" si="147"/>
        <v>7</v>
      </c>
      <c r="M469" s="4">
        <f t="shared" si="148"/>
        <v>21</v>
      </c>
      <c r="N469" s="4">
        <f t="shared" si="149"/>
        <v>7</v>
      </c>
      <c r="O469" s="4">
        <f t="shared" si="150"/>
        <v>9</v>
      </c>
      <c r="P469" s="4">
        <f t="shared" si="151"/>
        <v>1</v>
      </c>
      <c r="Q469" s="4">
        <f t="shared" si="152"/>
        <v>3</v>
      </c>
      <c r="R469" s="4">
        <f t="shared" si="153"/>
        <v>35</v>
      </c>
      <c r="S469" s="4">
        <f t="shared" si="154"/>
        <v>81</v>
      </c>
      <c r="T469" s="4">
        <f t="shared" si="155"/>
        <v>9</v>
      </c>
      <c r="U469" s="4">
        <f t="shared" si="156"/>
        <v>21</v>
      </c>
      <c r="V469" s="8">
        <f t="shared" si="157"/>
        <v>4</v>
      </c>
      <c r="W469" s="8">
        <f t="shared" si="158"/>
        <v>6</v>
      </c>
      <c r="X469">
        <f t="shared" si="159"/>
        <v>1</v>
      </c>
    </row>
    <row r="470" spans="1:24" x14ac:dyDescent="0.25">
      <c r="A470" s="4" t="s">
        <v>496</v>
      </c>
      <c r="B470" t="s">
        <v>13</v>
      </c>
      <c r="C470" t="s">
        <v>4</v>
      </c>
      <c r="D470" s="3">
        <f t="shared" si="140"/>
        <v>70</v>
      </c>
      <c r="E470" s="4">
        <f t="shared" si="141"/>
        <v>10</v>
      </c>
      <c r="F470" s="4">
        <f t="shared" si="142"/>
        <v>1</v>
      </c>
      <c r="G470" s="3">
        <f>IF(E470&gt;=20,2000,1900) + D470</f>
        <v>1970</v>
      </c>
      <c r="H470">
        <f t="shared" si="143"/>
        <v>10</v>
      </c>
      <c r="I470" s="4">
        <f t="shared" si="144"/>
        <v>1</v>
      </c>
      <c r="J470">
        <f t="shared" si="145"/>
        <v>19701001</v>
      </c>
      <c r="K470" t="str">
        <f t="shared" si="146"/>
        <v>01.10.1970</v>
      </c>
      <c r="L470" s="4">
        <f t="shared" si="147"/>
        <v>7</v>
      </c>
      <c r="M470" s="4">
        <f t="shared" si="148"/>
        <v>0</v>
      </c>
      <c r="N470" s="4">
        <f t="shared" si="149"/>
        <v>7</v>
      </c>
      <c r="O470" s="4">
        <f t="shared" si="150"/>
        <v>0</v>
      </c>
      <c r="P470" s="4">
        <f t="shared" si="151"/>
        <v>0</v>
      </c>
      <c r="Q470" s="4">
        <f t="shared" si="152"/>
        <v>3</v>
      </c>
      <c r="R470" s="4">
        <f t="shared" si="153"/>
        <v>56</v>
      </c>
      <c r="S470" s="4">
        <f t="shared" si="154"/>
        <v>63</v>
      </c>
      <c r="T470" s="4">
        <f t="shared" si="155"/>
        <v>1</v>
      </c>
      <c r="U470" s="4">
        <f t="shared" si="156"/>
        <v>12</v>
      </c>
      <c r="V470" s="8">
        <f t="shared" si="157"/>
        <v>9</v>
      </c>
      <c r="W470" s="8">
        <f t="shared" si="158"/>
        <v>1</v>
      </c>
      <c r="X470">
        <f t="shared" si="159"/>
        <v>1</v>
      </c>
    </row>
    <row r="471" spans="1:24" x14ac:dyDescent="0.25">
      <c r="A471" s="4" t="s">
        <v>497</v>
      </c>
      <c r="B471" t="s">
        <v>15</v>
      </c>
      <c r="C471" t="s">
        <v>6</v>
      </c>
      <c r="D471" s="3">
        <f t="shared" si="140"/>
        <v>65</v>
      </c>
      <c r="E471" s="4">
        <f t="shared" si="141"/>
        <v>2</v>
      </c>
      <c r="F471" s="4">
        <f t="shared" si="142"/>
        <v>15</v>
      </c>
      <c r="G471" s="3">
        <f>IF(E471&gt;=20,2000,1900) + D471</f>
        <v>1965</v>
      </c>
      <c r="H471">
        <f t="shared" si="143"/>
        <v>2</v>
      </c>
      <c r="I471" s="4">
        <f t="shared" si="144"/>
        <v>15</v>
      </c>
      <c r="J471">
        <f t="shared" si="145"/>
        <v>19650215</v>
      </c>
      <c r="K471" t="str">
        <f t="shared" si="146"/>
        <v>15.02.1965</v>
      </c>
      <c r="L471" s="4">
        <f t="shared" si="147"/>
        <v>6</v>
      </c>
      <c r="M471" s="4">
        <f t="shared" si="148"/>
        <v>15</v>
      </c>
      <c r="N471" s="4">
        <f t="shared" si="149"/>
        <v>0</v>
      </c>
      <c r="O471" s="4">
        <f t="shared" si="150"/>
        <v>18</v>
      </c>
      <c r="P471" s="4">
        <f t="shared" si="151"/>
        <v>1</v>
      </c>
      <c r="Q471" s="4">
        <f t="shared" si="152"/>
        <v>15</v>
      </c>
      <c r="R471" s="4">
        <f t="shared" si="153"/>
        <v>0</v>
      </c>
      <c r="S471" s="4">
        <f t="shared" si="154"/>
        <v>0</v>
      </c>
      <c r="T471" s="4">
        <f t="shared" si="155"/>
        <v>0</v>
      </c>
      <c r="U471" s="4">
        <f t="shared" si="156"/>
        <v>12</v>
      </c>
      <c r="V471" s="8">
        <f t="shared" si="157"/>
        <v>7</v>
      </c>
      <c r="W471" s="8">
        <f t="shared" si="158"/>
        <v>3</v>
      </c>
      <c r="X471">
        <f t="shared" si="159"/>
        <v>1</v>
      </c>
    </row>
    <row r="472" spans="1:24" x14ac:dyDescent="0.25">
      <c r="A472" s="4" t="s">
        <v>498</v>
      </c>
      <c r="B472" t="s">
        <v>20</v>
      </c>
      <c r="C472" t="s">
        <v>4</v>
      </c>
      <c r="D472" s="3">
        <f t="shared" si="140"/>
        <v>85</v>
      </c>
      <c r="E472" s="4">
        <f t="shared" si="141"/>
        <v>6</v>
      </c>
      <c r="F472" s="4">
        <f t="shared" si="142"/>
        <v>8</v>
      </c>
      <c r="G472" s="3">
        <f>IF(E472&gt;=20,2000,1900) + D472</f>
        <v>1985</v>
      </c>
      <c r="H472">
        <f t="shared" si="143"/>
        <v>6</v>
      </c>
      <c r="I472" s="4">
        <f t="shared" si="144"/>
        <v>8</v>
      </c>
      <c r="J472">
        <f t="shared" si="145"/>
        <v>19850608</v>
      </c>
      <c r="K472" t="str">
        <f t="shared" si="146"/>
        <v>08.06.1985</v>
      </c>
      <c r="L472" s="4">
        <f t="shared" si="147"/>
        <v>8</v>
      </c>
      <c r="M472" s="4">
        <f t="shared" si="148"/>
        <v>15</v>
      </c>
      <c r="N472" s="4">
        <f t="shared" si="149"/>
        <v>0</v>
      </c>
      <c r="O472" s="4">
        <f t="shared" si="150"/>
        <v>54</v>
      </c>
      <c r="P472" s="4">
        <f t="shared" si="151"/>
        <v>0</v>
      </c>
      <c r="Q472" s="4">
        <f t="shared" si="152"/>
        <v>24</v>
      </c>
      <c r="R472" s="4">
        <f t="shared" si="153"/>
        <v>56</v>
      </c>
      <c r="S472" s="4">
        <f t="shared" si="154"/>
        <v>45</v>
      </c>
      <c r="T472" s="4">
        <f t="shared" si="155"/>
        <v>3</v>
      </c>
      <c r="U472" s="4">
        <f t="shared" si="156"/>
        <v>3</v>
      </c>
      <c r="V472" s="8">
        <f t="shared" si="157"/>
        <v>8</v>
      </c>
      <c r="W472" s="8">
        <f t="shared" si="158"/>
        <v>2</v>
      </c>
      <c r="X472">
        <f t="shared" si="159"/>
        <v>1</v>
      </c>
    </row>
    <row r="473" spans="1:24" x14ac:dyDescent="0.25">
      <c r="A473" s="4" t="s">
        <v>499</v>
      </c>
      <c r="B473" t="s">
        <v>5</v>
      </c>
      <c r="C473" t="s">
        <v>6</v>
      </c>
      <c r="D473" s="3">
        <f t="shared" si="140"/>
        <v>71</v>
      </c>
      <c r="E473" s="4">
        <f t="shared" si="141"/>
        <v>5</v>
      </c>
      <c r="F473" s="4">
        <f t="shared" si="142"/>
        <v>6</v>
      </c>
      <c r="G473" s="3">
        <f>IF(E473&gt;=20,2000,1900) + D473</f>
        <v>1971</v>
      </c>
      <c r="H473">
        <f t="shared" si="143"/>
        <v>5</v>
      </c>
      <c r="I473" s="4">
        <f t="shared" si="144"/>
        <v>6</v>
      </c>
      <c r="J473">
        <f t="shared" si="145"/>
        <v>19710506</v>
      </c>
      <c r="K473" t="str">
        <f t="shared" si="146"/>
        <v>06.05.1971</v>
      </c>
      <c r="L473" s="4">
        <f t="shared" si="147"/>
        <v>7</v>
      </c>
      <c r="M473" s="4">
        <f t="shared" si="148"/>
        <v>3</v>
      </c>
      <c r="N473" s="4">
        <f t="shared" si="149"/>
        <v>0</v>
      </c>
      <c r="O473" s="4">
        <f t="shared" si="150"/>
        <v>45</v>
      </c>
      <c r="P473" s="4">
        <f t="shared" si="151"/>
        <v>0</v>
      </c>
      <c r="Q473" s="4">
        <f t="shared" si="152"/>
        <v>18</v>
      </c>
      <c r="R473" s="4">
        <f t="shared" si="153"/>
        <v>42</v>
      </c>
      <c r="S473" s="4">
        <f t="shared" si="154"/>
        <v>0</v>
      </c>
      <c r="T473" s="4">
        <f t="shared" si="155"/>
        <v>5</v>
      </c>
      <c r="U473" s="4">
        <f t="shared" si="156"/>
        <v>24</v>
      </c>
      <c r="V473" s="8">
        <f t="shared" si="157"/>
        <v>4</v>
      </c>
      <c r="W473" s="8">
        <f t="shared" si="158"/>
        <v>6</v>
      </c>
      <c r="X473">
        <f t="shared" si="159"/>
        <v>1</v>
      </c>
    </row>
    <row r="474" spans="1:24" x14ac:dyDescent="0.25">
      <c r="A474" s="4" t="s">
        <v>500</v>
      </c>
      <c r="B474" t="s">
        <v>10</v>
      </c>
      <c r="C474" t="s">
        <v>6</v>
      </c>
      <c r="D474" s="3">
        <f t="shared" si="140"/>
        <v>59</v>
      </c>
      <c r="E474" s="4">
        <f t="shared" si="141"/>
        <v>7</v>
      </c>
      <c r="F474" s="4">
        <f t="shared" si="142"/>
        <v>17</v>
      </c>
      <c r="G474" s="3">
        <f>IF(E474&gt;=20,2000,1900) + D474</f>
        <v>1959</v>
      </c>
      <c r="H474">
        <f t="shared" si="143"/>
        <v>7</v>
      </c>
      <c r="I474" s="4">
        <f t="shared" si="144"/>
        <v>17</v>
      </c>
      <c r="J474">
        <f t="shared" si="145"/>
        <v>19590717</v>
      </c>
      <c r="K474" t="str">
        <f t="shared" si="146"/>
        <v>17.07.1959</v>
      </c>
      <c r="L474" s="4">
        <f t="shared" si="147"/>
        <v>5</v>
      </c>
      <c r="M474" s="4">
        <f t="shared" si="148"/>
        <v>27</v>
      </c>
      <c r="N474" s="4">
        <f t="shared" si="149"/>
        <v>0</v>
      </c>
      <c r="O474" s="4">
        <f t="shared" si="150"/>
        <v>63</v>
      </c>
      <c r="P474" s="4">
        <f t="shared" si="151"/>
        <v>1</v>
      </c>
      <c r="Q474" s="4">
        <f t="shared" si="152"/>
        <v>21</v>
      </c>
      <c r="R474" s="4">
        <f t="shared" si="153"/>
        <v>21</v>
      </c>
      <c r="S474" s="4">
        <f t="shared" si="154"/>
        <v>72</v>
      </c>
      <c r="T474" s="4">
        <f t="shared" si="155"/>
        <v>5</v>
      </c>
      <c r="U474" s="4">
        <f t="shared" si="156"/>
        <v>27</v>
      </c>
      <c r="V474" s="8">
        <f t="shared" si="157"/>
        <v>2</v>
      </c>
      <c r="W474" s="8">
        <f t="shared" si="158"/>
        <v>8</v>
      </c>
      <c r="X474">
        <f t="shared" si="159"/>
        <v>1</v>
      </c>
    </row>
    <row r="475" spans="1:24" x14ac:dyDescent="0.25">
      <c r="A475" s="4" t="s">
        <v>501</v>
      </c>
      <c r="B475" t="s">
        <v>19</v>
      </c>
      <c r="C475" t="s">
        <v>6</v>
      </c>
      <c r="D475" s="3">
        <f t="shared" si="140"/>
        <v>95</v>
      </c>
      <c r="E475" s="4">
        <f t="shared" si="141"/>
        <v>3</v>
      </c>
      <c r="F475" s="4">
        <f t="shared" si="142"/>
        <v>24</v>
      </c>
      <c r="G475" s="3">
        <f>IF(E475&gt;=20,2000,1900) + D475</f>
        <v>1995</v>
      </c>
      <c r="H475">
        <f t="shared" si="143"/>
        <v>3</v>
      </c>
      <c r="I475" s="4">
        <f t="shared" si="144"/>
        <v>24</v>
      </c>
      <c r="J475">
        <f t="shared" si="145"/>
        <v>19950324</v>
      </c>
      <c r="K475" t="str">
        <f t="shared" si="146"/>
        <v>24.03.1995</v>
      </c>
      <c r="L475" s="4">
        <f t="shared" si="147"/>
        <v>9</v>
      </c>
      <c r="M475" s="4">
        <f t="shared" si="148"/>
        <v>15</v>
      </c>
      <c r="N475" s="4">
        <f t="shared" si="149"/>
        <v>0</v>
      </c>
      <c r="O475" s="4">
        <f t="shared" si="150"/>
        <v>27</v>
      </c>
      <c r="P475" s="4">
        <f t="shared" si="151"/>
        <v>2</v>
      </c>
      <c r="Q475" s="4">
        <f t="shared" si="152"/>
        <v>12</v>
      </c>
      <c r="R475" s="4">
        <f t="shared" si="153"/>
        <v>28</v>
      </c>
      <c r="S475" s="4">
        <f t="shared" si="154"/>
        <v>0</v>
      </c>
      <c r="T475" s="4">
        <f t="shared" si="155"/>
        <v>5</v>
      </c>
      <c r="U475" s="4">
        <f t="shared" si="156"/>
        <v>21</v>
      </c>
      <c r="V475" s="8">
        <f t="shared" si="157"/>
        <v>9</v>
      </c>
      <c r="W475" s="8">
        <f t="shared" si="158"/>
        <v>1</v>
      </c>
      <c r="X475">
        <f t="shared" si="159"/>
        <v>1</v>
      </c>
    </row>
    <row r="476" spans="1:24" x14ac:dyDescent="0.25">
      <c r="A476" s="4" t="s">
        <v>502</v>
      </c>
      <c r="B476" t="s">
        <v>9</v>
      </c>
      <c r="C476" t="s">
        <v>4</v>
      </c>
      <c r="D476" s="3">
        <f t="shared" si="140"/>
        <v>89</v>
      </c>
      <c r="E476" s="4">
        <f t="shared" si="141"/>
        <v>6</v>
      </c>
      <c r="F476" s="4">
        <f t="shared" si="142"/>
        <v>17</v>
      </c>
      <c r="G476" s="3">
        <f>IF(E476&gt;=20,2000,1900) + D476</f>
        <v>1989</v>
      </c>
      <c r="H476">
        <f t="shared" si="143"/>
        <v>6</v>
      </c>
      <c r="I476" s="4">
        <f t="shared" si="144"/>
        <v>17</v>
      </c>
      <c r="J476">
        <f t="shared" si="145"/>
        <v>19890617</v>
      </c>
      <c r="K476" t="str">
        <f t="shared" si="146"/>
        <v>17.06.1989</v>
      </c>
      <c r="L476" s="4">
        <f t="shared" si="147"/>
        <v>8</v>
      </c>
      <c r="M476" s="4">
        <f t="shared" si="148"/>
        <v>27</v>
      </c>
      <c r="N476" s="4">
        <f t="shared" si="149"/>
        <v>0</v>
      </c>
      <c r="O476" s="4">
        <f t="shared" si="150"/>
        <v>54</v>
      </c>
      <c r="P476" s="4">
        <f t="shared" si="151"/>
        <v>1</v>
      </c>
      <c r="Q476" s="4">
        <f t="shared" si="152"/>
        <v>21</v>
      </c>
      <c r="R476" s="4">
        <f t="shared" si="153"/>
        <v>0</v>
      </c>
      <c r="S476" s="4">
        <f t="shared" si="154"/>
        <v>36</v>
      </c>
      <c r="T476" s="4">
        <f t="shared" si="155"/>
        <v>7</v>
      </c>
      <c r="U476" s="4">
        <f t="shared" si="156"/>
        <v>12</v>
      </c>
      <c r="V476" s="8">
        <f t="shared" si="157"/>
        <v>6</v>
      </c>
      <c r="W476" s="8">
        <f t="shared" si="158"/>
        <v>4</v>
      </c>
      <c r="X476">
        <f t="shared" si="159"/>
        <v>1</v>
      </c>
    </row>
    <row r="477" spans="1:24" x14ac:dyDescent="0.25">
      <c r="A477" s="4" t="s">
        <v>503</v>
      </c>
      <c r="B477" t="s">
        <v>17</v>
      </c>
      <c r="C477" t="s">
        <v>4</v>
      </c>
      <c r="D477" s="3">
        <f t="shared" si="140"/>
        <v>51</v>
      </c>
      <c r="E477" s="4">
        <f t="shared" si="141"/>
        <v>8</v>
      </c>
      <c r="F477" s="4">
        <f t="shared" si="142"/>
        <v>8</v>
      </c>
      <c r="G477" s="3">
        <f>IF(E477&gt;=20,2000,1900) + D477</f>
        <v>1951</v>
      </c>
      <c r="H477">
        <f t="shared" si="143"/>
        <v>8</v>
      </c>
      <c r="I477" s="4">
        <f t="shared" si="144"/>
        <v>8</v>
      </c>
      <c r="J477">
        <f t="shared" si="145"/>
        <v>19510808</v>
      </c>
      <c r="K477" t="str">
        <f t="shared" si="146"/>
        <v>08.08.1951</v>
      </c>
      <c r="L477" s="4">
        <f t="shared" si="147"/>
        <v>5</v>
      </c>
      <c r="M477" s="4">
        <f t="shared" si="148"/>
        <v>3</v>
      </c>
      <c r="N477" s="4">
        <f t="shared" si="149"/>
        <v>0</v>
      </c>
      <c r="O477" s="4">
        <f t="shared" si="150"/>
        <v>72</v>
      </c>
      <c r="P477" s="4">
        <f t="shared" si="151"/>
        <v>0</v>
      </c>
      <c r="Q477" s="4">
        <f t="shared" si="152"/>
        <v>24</v>
      </c>
      <c r="R477" s="4">
        <f t="shared" si="153"/>
        <v>63</v>
      </c>
      <c r="S477" s="4">
        <f t="shared" si="154"/>
        <v>72</v>
      </c>
      <c r="T477" s="4">
        <f t="shared" si="155"/>
        <v>6</v>
      </c>
      <c r="U477" s="4">
        <f t="shared" si="156"/>
        <v>6</v>
      </c>
      <c r="V477" s="8">
        <f t="shared" si="157"/>
        <v>1</v>
      </c>
      <c r="W477" s="8">
        <f t="shared" si="158"/>
        <v>9</v>
      </c>
      <c r="X477">
        <f t="shared" si="159"/>
        <v>1</v>
      </c>
    </row>
    <row r="478" spans="1:24" x14ac:dyDescent="0.25">
      <c r="A478" s="4" t="s">
        <v>504</v>
      </c>
      <c r="B478" t="s">
        <v>19</v>
      </c>
      <c r="C478" t="s">
        <v>4</v>
      </c>
      <c r="D478" s="3">
        <f t="shared" si="140"/>
        <v>57</v>
      </c>
      <c r="E478" s="4">
        <f t="shared" si="141"/>
        <v>2</v>
      </c>
      <c r="F478" s="4">
        <f t="shared" si="142"/>
        <v>21</v>
      </c>
      <c r="G478" s="3">
        <f>IF(E478&gt;=20,2000,1900) + D478</f>
        <v>1957</v>
      </c>
      <c r="H478">
        <f t="shared" si="143"/>
        <v>2</v>
      </c>
      <c r="I478" s="4">
        <f t="shared" si="144"/>
        <v>21</v>
      </c>
      <c r="J478">
        <f t="shared" si="145"/>
        <v>19570221</v>
      </c>
      <c r="K478" t="str">
        <f t="shared" si="146"/>
        <v>21.02.1957</v>
      </c>
      <c r="L478" s="4">
        <f t="shared" si="147"/>
        <v>5</v>
      </c>
      <c r="M478" s="4">
        <f t="shared" si="148"/>
        <v>21</v>
      </c>
      <c r="N478" s="4">
        <f t="shared" si="149"/>
        <v>0</v>
      </c>
      <c r="O478" s="4">
        <f t="shared" si="150"/>
        <v>18</v>
      </c>
      <c r="P478" s="4">
        <f t="shared" si="151"/>
        <v>2</v>
      </c>
      <c r="Q478" s="4">
        <f t="shared" si="152"/>
        <v>3</v>
      </c>
      <c r="R478" s="4">
        <f t="shared" si="153"/>
        <v>28</v>
      </c>
      <c r="S478" s="4">
        <f t="shared" si="154"/>
        <v>9</v>
      </c>
      <c r="T478" s="4">
        <f t="shared" si="155"/>
        <v>9</v>
      </c>
      <c r="U478" s="4">
        <f t="shared" si="156"/>
        <v>0</v>
      </c>
      <c r="V478" s="8">
        <f t="shared" si="157"/>
        <v>5</v>
      </c>
      <c r="W478" s="8">
        <f t="shared" si="158"/>
        <v>5</v>
      </c>
      <c r="X478">
        <f t="shared" si="159"/>
        <v>1</v>
      </c>
    </row>
    <row r="479" spans="1:24" x14ac:dyDescent="0.25">
      <c r="A479" s="4" t="s">
        <v>505</v>
      </c>
      <c r="B479" t="s">
        <v>16</v>
      </c>
      <c r="C479" t="s">
        <v>4</v>
      </c>
      <c r="D479" s="3">
        <f t="shared" si="140"/>
        <v>83</v>
      </c>
      <c r="E479" s="4">
        <f t="shared" si="141"/>
        <v>4</v>
      </c>
      <c r="F479" s="4">
        <f t="shared" si="142"/>
        <v>1</v>
      </c>
      <c r="G479" s="3">
        <f>IF(E479&gt;=20,2000,1900) + D479</f>
        <v>1983</v>
      </c>
      <c r="H479">
        <f t="shared" si="143"/>
        <v>4</v>
      </c>
      <c r="I479" s="4">
        <f t="shared" si="144"/>
        <v>1</v>
      </c>
      <c r="J479">
        <f t="shared" si="145"/>
        <v>19830401</v>
      </c>
      <c r="K479" t="str">
        <f t="shared" si="146"/>
        <v>01.04.1983</v>
      </c>
      <c r="L479" s="4">
        <f t="shared" si="147"/>
        <v>8</v>
      </c>
      <c r="M479" s="4">
        <f t="shared" si="148"/>
        <v>9</v>
      </c>
      <c r="N479" s="4">
        <f t="shared" si="149"/>
        <v>0</v>
      </c>
      <c r="O479" s="4">
        <f t="shared" si="150"/>
        <v>36</v>
      </c>
      <c r="P479" s="4">
        <f t="shared" si="151"/>
        <v>0</v>
      </c>
      <c r="Q479" s="4">
        <f t="shared" si="152"/>
        <v>3</v>
      </c>
      <c r="R479" s="4">
        <f t="shared" si="153"/>
        <v>28</v>
      </c>
      <c r="S479" s="4">
        <f t="shared" si="154"/>
        <v>54</v>
      </c>
      <c r="T479" s="4">
        <f t="shared" si="155"/>
        <v>7</v>
      </c>
      <c r="U479" s="4">
        <f t="shared" si="156"/>
        <v>15</v>
      </c>
      <c r="V479" s="8">
        <f t="shared" si="157"/>
        <v>0</v>
      </c>
      <c r="W479" s="8">
        <f t="shared" si="158"/>
        <v>0</v>
      </c>
      <c r="X479">
        <f t="shared" si="159"/>
        <v>1</v>
      </c>
    </row>
    <row r="480" spans="1:24" x14ac:dyDescent="0.25">
      <c r="A480" s="4" t="s">
        <v>506</v>
      </c>
      <c r="B480" t="s">
        <v>17</v>
      </c>
      <c r="C480" t="s">
        <v>6</v>
      </c>
      <c r="D480" s="3">
        <f t="shared" si="140"/>
        <v>94</v>
      </c>
      <c r="E480" s="4">
        <f t="shared" si="141"/>
        <v>7</v>
      </c>
      <c r="F480" s="4">
        <f t="shared" si="142"/>
        <v>30</v>
      </c>
      <c r="G480" s="3">
        <f>IF(E480&gt;=20,2000,1900) + D480</f>
        <v>1994</v>
      </c>
      <c r="H480">
        <f t="shared" si="143"/>
        <v>7</v>
      </c>
      <c r="I480" s="4">
        <f t="shared" si="144"/>
        <v>30</v>
      </c>
      <c r="J480">
        <f t="shared" si="145"/>
        <v>19940730</v>
      </c>
      <c r="K480" t="str">
        <f t="shared" si="146"/>
        <v>30.07.1994</v>
      </c>
      <c r="L480" s="4">
        <f t="shared" si="147"/>
        <v>9</v>
      </c>
      <c r="M480" s="4">
        <f t="shared" si="148"/>
        <v>12</v>
      </c>
      <c r="N480" s="4">
        <f t="shared" si="149"/>
        <v>0</v>
      </c>
      <c r="O480" s="4">
        <f t="shared" si="150"/>
        <v>63</v>
      </c>
      <c r="P480" s="4">
        <f t="shared" si="151"/>
        <v>3</v>
      </c>
      <c r="Q480" s="4">
        <f t="shared" si="152"/>
        <v>0</v>
      </c>
      <c r="R480" s="4">
        <f t="shared" si="153"/>
        <v>28</v>
      </c>
      <c r="S480" s="4">
        <f t="shared" si="154"/>
        <v>0</v>
      </c>
      <c r="T480" s="4">
        <f t="shared" si="155"/>
        <v>2</v>
      </c>
      <c r="U480" s="4">
        <f t="shared" si="156"/>
        <v>24</v>
      </c>
      <c r="V480" s="8">
        <f t="shared" si="157"/>
        <v>1</v>
      </c>
      <c r="W480" s="8">
        <f t="shared" si="158"/>
        <v>9</v>
      </c>
      <c r="X480">
        <f t="shared" si="159"/>
        <v>1</v>
      </c>
    </row>
    <row r="481" spans="1:24" x14ac:dyDescent="0.25">
      <c r="A481" s="4" t="s">
        <v>507</v>
      </c>
      <c r="B481" t="s">
        <v>20</v>
      </c>
      <c r="C481" t="s">
        <v>6</v>
      </c>
      <c r="D481" s="3">
        <f t="shared" si="140"/>
        <v>85</v>
      </c>
      <c r="E481" s="4">
        <f t="shared" si="141"/>
        <v>8</v>
      </c>
      <c r="F481" s="4">
        <f t="shared" si="142"/>
        <v>26</v>
      </c>
      <c r="G481" s="3">
        <f>IF(E481&gt;=20,2000,1900) + D481</f>
        <v>1985</v>
      </c>
      <c r="H481">
        <f t="shared" si="143"/>
        <v>8</v>
      </c>
      <c r="I481" s="4">
        <f t="shared" si="144"/>
        <v>26</v>
      </c>
      <c r="J481">
        <f t="shared" si="145"/>
        <v>19850826</v>
      </c>
      <c r="K481" t="str">
        <f t="shared" si="146"/>
        <v>26.08.1985</v>
      </c>
      <c r="L481" s="4">
        <f t="shared" si="147"/>
        <v>8</v>
      </c>
      <c r="M481" s="4">
        <f t="shared" si="148"/>
        <v>15</v>
      </c>
      <c r="N481" s="4">
        <f t="shared" si="149"/>
        <v>0</v>
      </c>
      <c r="O481" s="4">
        <f t="shared" si="150"/>
        <v>72</v>
      </c>
      <c r="P481" s="4">
        <f t="shared" si="151"/>
        <v>2</v>
      </c>
      <c r="Q481" s="4">
        <f t="shared" si="152"/>
        <v>18</v>
      </c>
      <c r="R481" s="4">
        <f t="shared" si="153"/>
        <v>49</v>
      </c>
      <c r="S481" s="4">
        <f t="shared" si="154"/>
        <v>36</v>
      </c>
      <c r="T481" s="4">
        <f t="shared" si="155"/>
        <v>4</v>
      </c>
      <c r="U481" s="4">
        <f t="shared" si="156"/>
        <v>24</v>
      </c>
      <c r="V481" s="8">
        <f t="shared" si="157"/>
        <v>8</v>
      </c>
      <c r="W481" s="8">
        <f t="shared" si="158"/>
        <v>2</v>
      </c>
      <c r="X481">
        <f t="shared" si="159"/>
        <v>1</v>
      </c>
    </row>
    <row r="482" spans="1:24" x14ac:dyDescent="0.25">
      <c r="A482" s="4" t="s">
        <v>508</v>
      </c>
      <c r="B482" t="s">
        <v>8</v>
      </c>
      <c r="C482" t="s">
        <v>6</v>
      </c>
      <c r="D482" s="3">
        <f t="shared" si="140"/>
        <v>68</v>
      </c>
      <c r="E482" s="4">
        <f t="shared" si="141"/>
        <v>7</v>
      </c>
      <c r="F482" s="4">
        <f t="shared" si="142"/>
        <v>11</v>
      </c>
      <c r="G482" s="3">
        <f>IF(E482&gt;=20,2000,1900) + D482</f>
        <v>1968</v>
      </c>
      <c r="H482">
        <f t="shared" si="143"/>
        <v>7</v>
      </c>
      <c r="I482" s="4">
        <f t="shared" si="144"/>
        <v>11</v>
      </c>
      <c r="J482">
        <f t="shared" si="145"/>
        <v>19680711</v>
      </c>
      <c r="K482" t="str">
        <f t="shared" si="146"/>
        <v>11.07.1968</v>
      </c>
      <c r="L482" s="4">
        <f t="shared" si="147"/>
        <v>6</v>
      </c>
      <c r="M482" s="4">
        <f t="shared" si="148"/>
        <v>24</v>
      </c>
      <c r="N482" s="4">
        <f t="shared" si="149"/>
        <v>0</v>
      </c>
      <c r="O482" s="4">
        <f t="shared" si="150"/>
        <v>63</v>
      </c>
      <c r="P482" s="4">
        <f t="shared" si="151"/>
        <v>1</v>
      </c>
      <c r="Q482" s="4">
        <f t="shared" si="152"/>
        <v>3</v>
      </c>
      <c r="R482" s="4">
        <f t="shared" si="153"/>
        <v>63</v>
      </c>
      <c r="S482" s="4">
        <f t="shared" si="154"/>
        <v>18</v>
      </c>
      <c r="T482" s="4">
        <f t="shared" si="155"/>
        <v>8</v>
      </c>
      <c r="U482" s="4">
        <f t="shared" si="156"/>
        <v>21</v>
      </c>
      <c r="V482" s="8">
        <f t="shared" si="157"/>
        <v>7</v>
      </c>
      <c r="W482" s="8">
        <f t="shared" si="158"/>
        <v>3</v>
      </c>
      <c r="X482">
        <f t="shared" si="159"/>
        <v>1</v>
      </c>
    </row>
    <row r="483" spans="1:24" x14ac:dyDescent="0.25">
      <c r="A483" s="4" t="s">
        <v>509</v>
      </c>
      <c r="B483" t="s">
        <v>8</v>
      </c>
      <c r="C483" t="s">
        <v>4</v>
      </c>
      <c r="D483" s="3">
        <f t="shared" si="140"/>
        <v>66</v>
      </c>
      <c r="E483" s="4">
        <f t="shared" si="141"/>
        <v>12</v>
      </c>
      <c r="F483" s="4">
        <f t="shared" si="142"/>
        <v>24</v>
      </c>
      <c r="G483" s="3">
        <f>IF(E483&gt;=20,2000,1900) + D483</f>
        <v>1966</v>
      </c>
      <c r="H483">
        <f t="shared" si="143"/>
        <v>12</v>
      </c>
      <c r="I483" s="4">
        <f t="shared" si="144"/>
        <v>24</v>
      </c>
      <c r="J483">
        <f t="shared" si="145"/>
        <v>19661224</v>
      </c>
      <c r="K483" t="str">
        <f t="shared" si="146"/>
        <v>24.12.1966</v>
      </c>
      <c r="L483" s="4">
        <f t="shared" si="147"/>
        <v>6</v>
      </c>
      <c r="M483" s="4">
        <f t="shared" si="148"/>
        <v>18</v>
      </c>
      <c r="N483" s="4">
        <f t="shared" si="149"/>
        <v>7</v>
      </c>
      <c r="O483" s="4">
        <f t="shared" si="150"/>
        <v>18</v>
      </c>
      <c r="P483" s="4">
        <f t="shared" si="151"/>
        <v>2</v>
      </c>
      <c r="Q483" s="4">
        <f t="shared" si="152"/>
        <v>12</v>
      </c>
      <c r="R483" s="4">
        <f t="shared" si="153"/>
        <v>7</v>
      </c>
      <c r="S483" s="4">
        <f t="shared" si="154"/>
        <v>9</v>
      </c>
      <c r="T483" s="4">
        <f t="shared" si="155"/>
        <v>9</v>
      </c>
      <c r="U483" s="4">
        <f t="shared" si="156"/>
        <v>9</v>
      </c>
      <c r="V483" s="8">
        <f t="shared" si="157"/>
        <v>7</v>
      </c>
      <c r="W483" s="8">
        <f t="shared" si="158"/>
        <v>3</v>
      </c>
      <c r="X483">
        <f t="shared" si="159"/>
        <v>1</v>
      </c>
    </row>
    <row r="484" spans="1:24" x14ac:dyDescent="0.25">
      <c r="A484" s="4" t="s">
        <v>510</v>
      </c>
      <c r="B484" t="s">
        <v>12</v>
      </c>
      <c r="C484" t="s">
        <v>4</v>
      </c>
      <c r="D484" s="3">
        <f t="shared" si="140"/>
        <v>83</v>
      </c>
      <c r="E484" s="4">
        <f t="shared" si="141"/>
        <v>11</v>
      </c>
      <c r="F484" s="4">
        <f t="shared" si="142"/>
        <v>25</v>
      </c>
      <c r="G484" s="3">
        <f>IF(E484&gt;=20,2000,1900) + D484</f>
        <v>1983</v>
      </c>
      <c r="H484">
        <f t="shared" si="143"/>
        <v>11</v>
      </c>
      <c r="I484" s="4">
        <f t="shared" si="144"/>
        <v>25</v>
      </c>
      <c r="J484">
        <f t="shared" si="145"/>
        <v>19831125</v>
      </c>
      <c r="K484" t="str">
        <f t="shared" si="146"/>
        <v>25.11.1983</v>
      </c>
      <c r="L484" s="4">
        <f t="shared" si="147"/>
        <v>8</v>
      </c>
      <c r="M484" s="4">
        <f t="shared" si="148"/>
        <v>9</v>
      </c>
      <c r="N484" s="4">
        <f t="shared" si="149"/>
        <v>7</v>
      </c>
      <c r="O484" s="4">
        <f t="shared" si="150"/>
        <v>9</v>
      </c>
      <c r="P484" s="4">
        <f t="shared" si="151"/>
        <v>2</v>
      </c>
      <c r="Q484" s="4">
        <f t="shared" si="152"/>
        <v>15</v>
      </c>
      <c r="R484" s="4">
        <f t="shared" si="153"/>
        <v>28</v>
      </c>
      <c r="S484" s="4">
        <f t="shared" si="154"/>
        <v>27</v>
      </c>
      <c r="T484" s="4">
        <f t="shared" si="155"/>
        <v>5</v>
      </c>
      <c r="U484" s="4">
        <f t="shared" si="156"/>
        <v>9</v>
      </c>
      <c r="V484" s="8">
        <f t="shared" si="157"/>
        <v>9</v>
      </c>
      <c r="W484" s="8">
        <f t="shared" si="158"/>
        <v>1</v>
      </c>
      <c r="X484">
        <f t="shared" si="159"/>
        <v>1</v>
      </c>
    </row>
    <row r="485" spans="1:24" x14ac:dyDescent="0.25">
      <c r="A485" s="4" t="s">
        <v>511</v>
      </c>
      <c r="B485" t="s">
        <v>20</v>
      </c>
      <c r="C485" t="s">
        <v>4</v>
      </c>
      <c r="D485" s="3">
        <f t="shared" si="140"/>
        <v>72</v>
      </c>
      <c r="E485" s="4">
        <f t="shared" si="141"/>
        <v>3</v>
      </c>
      <c r="F485" s="4">
        <f t="shared" si="142"/>
        <v>29</v>
      </c>
      <c r="G485" s="3">
        <f>IF(E485&gt;=20,2000,1900) + D485</f>
        <v>1972</v>
      </c>
      <c r="H485">
        <f t="shared" si="143"/>
        <v>3</v>
      </c>
      <c r="I485" s="4">
        <f t="shared" si="144"/>
        <v>29</v>
      </c>
      <c r="J485">
        <f t="shared" si="145"/>
        <v>19720329</v>
      </c>
      <c r="K485" t="str">
        <f t="shared" si="146"/>
        <v>29.03.1972</v>
      </c>
      <c r="L485" s="4">
        <f t="shared" si="147"/>
        <v>7</v>
      </c>
      <c r="M485" s="4">
        <f t="shared" si="148"/>
        <v>6</v>
      </c>
      <c r="N485" s="4">
        <f t="shared" si="149"/>
        <v>0</v>
      </c>
      <c r="O485" s="4">
        <f t="shared" si="150"/>
        <v>27</v>
      </c>
      <c r="P485" s="4">
        <f t="shared" si="151"/>
        <v>2</v>
      </c>
      <c r="Q485" s="4">
        <f t="shared" si="152"/>
        <v>27</v>
      </c>
      <c r="R485" s="4">
        <f t="shared" si="153"/>
        <v>28</v>
      </c>
      <c r="S485" s="4">
        <f t="shared" si="154"/>
        <v>0</v>
      </c>
      <c r="T485" s="4">
        <f t="shared" si="155"/>
        <v>3</v>
      </c>
      <c r="U485" s="4">
        <f t="shared" si="156"/>
        <v>15</v>
      </c>
      <c r="V485" s="8">
        <f t="shared" si="157"/>
        <v>5</v>
      </c>
      <c r="W485" s="8">
        <f t="shared" si="158"/>
        <v>5</v>
      </c>
      <c r="X485">
        <f t="shared" si="159"/>
        <v>1</v>
      </c>
    </row>
    <row r="486" spans="1:24" x14ac:dyDescent="0.25">
      <c r="A486" s="4" t="s">
        <v>512</v>
      </c>
      <c r="B486" t="s">
        <v>11</v>
      </c>
      <c r="C486" t="s">
        <v>6</v>
      </c>
      <c r="D486" s="3">
        <f t="shared" si="140"/>
        <v>99</v>
      </c>
      <c r="E486" s="4">
        <f t="shared" si="141"/>
        <v>4</v>
      </c>
      <c r="F486" s="4">
        <f t="shared" si="142"/>
        <v>14</v>
      </c>
      <c r="G486" s="3">
        <f>IF(E486&gt;=20,2000,1900) + D486</f>
        <v>1999</v>
      </c>
      <c r="H486">
        <f t="shared" si="143"/>
        <v>4</v>
      </c>
      <c r="I486" s="4">
        <f t="shared" si="144"/>
        <v>14</v>
      </c>
      <c r="J486">
        <f t="shared" si="145"/>
        <v>19990414</v>
      </c>
      <c r="K486" t="str">
        <f t="shared" si="146"/>
        <v>14.04.1999</v>
      </c>
      <c r="L486" s="4">
        <f t="shared" si="147"/>
        <v>9</v>
      </c>
      <c r="M486" s="4">
        <f t="shared" si="148"/>
        <v>27</v>
      </c>
      <c r="N486" s="4">
        <f t="shared" si="149"/>
        <v>0</v>
      </c>
      <c r="O486" s="4">
        <f t="shared" si="150"/>
        <v>36</v>
      </c>
      <c r="P486" s="4">
        <f t="shared" si="151"/>
        <v>1</v>
      </c>
      <c r="Q486" s="4">
        <f t="shared" si="152"/>
        <v>12</v>
      </c>
      <c r="R486" s="4">
        <f t="shared" si="153"/>
        <v>14</v>
      </c>
      <c r="S486" s="4">
        <f t="shared" si="154"/>
        <v>54</v>
      </c>
      <c r="T486" s="4">
        <f t="shared" si="155"/>
        <v>7</v>
      </c>
      <c r="U486" s="4">
        <f t="shared" si="156"/>
        <v>12</v>
      </c>
      <c r="V486" s="8">
        <f t="shared" si="157"/>
        <v>2</v>
      </c>
      <c r="W486" s="8">
        <f t="shared" si="158"/>
        <v>8</v>
      </c>
      <c r="X486">
        <f t="shared" si="159"/>
        <v>1</v>
      </c>
    </row>
    <row r="487" spans="1:24" x14ac:dyDescent="0.25">
      <c r="A487" s="4" t="s">
        <v>513</v>
      </c>
      <c r="B487" t="s">
        <v>3</v>
      </c>
      <c r="C487" t="s">
        <v>4</v>
      </c>
      <c r="D487" s="3">
        <f t="shared" si="140"/>
        <v>99</v>
      </c>
      <c r="E487" s="4">
        <f t="shared" si="141"/>
        <v>8</v>
      </c>
      <c r="F487" s="4">
        <f t="shared" si="142"/>
        <v>20</v>
      </c>
      <c r="G487" s="3">
        <f>IF(E487&gt;=20,2000,1900) + D487</f>
        <v>1999</v>
      </c>
      <c r="H487">
        <f t="shared" si="143"/>
        <v>8</v>
      </c>
      <c r="I487" s="4">
        <f t="shared" si="144"/>
        <v>20</v>
      </c>
      <c r="J487">
        <f t="shared" si="145"/>
        <v>19990820</v>
      </c>
      <c r="K487" t="str">
        <f t="shared" si="146"/>
        <v>20.08.1999</v>
      </c>
      <c r="L487" s="4">
        <f t="shared" si="147"/>
        <v>9</v>
      </c>
      <c r="M487" s="4">
        <f t="shared" si="148"/>
        <v>27</v>
      </c>
      <c r="N487" s="4">
        <f t="shared" si="149"/>
        <v>0</v>
      </c>
      <c r="O487" s="4">
        <f t="shared" si="150"/>
        <v>72</v>
      </c>
      <c r="P487" s="4">
        <f t="shared" si="151"/>
        <v>2</v>
      </c>
      <c r="Q487" s="4">
        <f t="shared" si="152"/>
        <v>0</v>
      </c>
      <c r="R487" s="4">
        <f t="shared" si="153"/>
        <v>7</v>
      </c>
      <c r="S487" s="4">
        <f t="shared" si="154"/>
        <v>27</v>
      </c>
      <c r="T487" s="4">
        <f t="shared" si="155"/>
        <v>5</v>
      </c>
      <c r="U487" s="4">
        <f t="shared" si="156"/>
        <v>15</v>
      </c>
      <c r="V487" s="8">
        <f t="shared" si="157"/>
        <v>4</v>
      </c>
      <c r="W487" s="8">
        <f t="shared" si="158"/>
        <v>6</v>
      </c>
      <c r="X487">
        <f t="shared" si="159"/>
        <v>1</v>
      </c>
    </row>
    <row r="488" spans="1:24" x14ac:dyDescent="0.25">
      <c r="A488" s="4" t="s">
        <v>514</v>
      </c>
      <c r="B488" t="s">
        <v>16</v>
      </c>
      <c r="C488" t="s">
        <v>6</v>
      </c>
      <c r="D488" s="3">
        <f t="shared" si="140"/>
        <v>62</v>
      </c>
      <c r="E488" s="4">
        <f t="shared" si="141"/>
        <v>12</v>
      </c>
      <c r="F488" s="4">
        <f t="shared" si="142"/>
        <v>30</v>
      </c>
      <c r="G488" s="3">
        <f>IF(E488&gt;=20,2000,1900) + D488</f>
        <v>1962</v>
      </c>
      <c r="H488">
        <f t="shared" si="143"/>
        <v>12</v>
      </c>
      <c r="I488" s="4">
        <f t="shared" si="144"/>
        <v>30</v>
      </c>
      <c r="J488">
        <f t="shared" si="145"/>
        <v>19621230</v>
      </c>
      <c r="K488" t="str">
        <f t="shared" si="146"/>
        <v>30.12.1962</v>
      </c>
      <c r="L488" s="4">
        <f t="shared" si="147"/>
        <v>6</v>
      </c>
      <c r="M488" s="4">
        <f t="shared" si="148"/>
        <v>6</v>
      </c>
      <c r="N488" s="4">
        <f t="shared" si="149"/>
        <v>7</v>
      </c>
      <c r="O488" s="4">
        <f t="shared" si="150"/>
        <v>18</v>
      </c>
      <c r="P488" s="4">
        <f t="shared" si="151"/>
        <v>3</v>
      </c>
      <c r="Q488" s="4">
        <f t="shared" si="152"/>
        <v>0</v>
      </c>
      <c r="R488" s="4">
        <f t="shared" si="153"/>
        <v>42</v>
      </c>
      <c r="S488" s="4">
        <f t="shared" si="154"/>
        <v>63</v>
      </c>
      <c r="T488" s="4">
        <f t="shared" si="155"/>
        <v>1</v>
      </c>
      <c r="U488" s="4">
        <f t="shared" si="156"/>
        <v>18</v>
      </c>
      <c r="V488" s="8">
        <f t="shared" si="157"/>
        <v>4</v>
      </c>
      <c r="W488" s="8">
        <f t="shared" si="158"/>
        <v>6</v>
      </c>
      <c r="X488">
        <f t="shared" si="159"/>
        <v>1</v>
      </c>
    </row>
    <row r="489" spans="1:24" x14ac:dyDescent="0.25">
      <c r="A489" s="4" t="s">
        <v>515</v>
      </c>
      <c r="B489" t="s">
        <v>10</v>
      </c>
      <c r="C489" t="s">
        <v>4</v>
      </c>
      <c r="D489" s="3">
        <f t="shared" si="140"/>
        <v>65</v>
      </c>
      <c r="E489" s="4">
        <f t="shared" si="141"/>
        <v>3</v>
      </c>
      <c r="F489" s="4">
        <f t="shared" si="142"/>
        <v>17</v>
      </c>
      <c r="G489" s="3">
        <f>IF(E489&gt;=20,2000,1900) + D489</f>
        <v>1965</v>
      </c>
      <c r="H489">
        <f t="shared" si="143"/>
        <v>3</v>
      </c>
      <c r="I489" s="4">
        <f t="shared" si="144"/>
        <v>17</v>
      </c>
      <c r="J489">
        <f t="shared" si="145"/>
        <v>19650317</v>
      </c>
      <c r="K489" t="str">
        <f t="shared" si="146"/>
        <v>17.03.1965</v>
      </c>
      <c r="L489" s="4">
        <f t="shared" si="147"/>
        <v>6</v>
      </c>
      <c r="M489" s="4">
        <f t="shared" si="148"/>
        <v>15</v>
      </c>
      <c r="N489" s="4">
        <f t="shared" si="149"/>
        <v>0</v>
      </c>
      <c r="O489" s="4">
        <f t="shared" si="150"/>
        <v>27</v>
      </c>
      <c r="P489" s="4">
        <f t="shared" si="151"/>
        <v>1</v>
      </c>
      <c r="Q489" s="4">
        <f t="shared" si="152"/>
        <v>21</v>
      </c>
      <c r="R489" s="4">
        <f t="shared" si="153"/>
        <v>42</v>
      </c>
      <c r="S489" s="4">
        <f t="shared" si="154"/>
        <v>36</v>
      </c>
      <c r="T489" s="4">
        <f t="shared" si="155"/>
        <v>1</v>
      </c>
      <c r="U489" s="4">
        <f t="shared" si="156"/>
        <v>9</v>
      </c>
      <c r="V489" s="8">
        <f t="shared" si="157"/>
        <v>8</v>
      </c>
      <c r="W489" s="8">
        <f t="shared" si="158"/>
        <v>2</v>
      </c>
      <c r="X489">
        <f t="shared" si="159"/>
        <v>1</v>
      </c>
    </row>
    <row r="490" spans="1:24" x14ac:dyDescent="0.25">
      <c r="A490" s="4" t="s">
        <v>516</v>
      </c>
      <c r="B490" t="s">
        <v>8</v>
      </c>
      <c r="C490" t="s">
        <v>6</v>
      </c>
      <c r="D490" s="3">
        <f t="shared" si="140"/>
        <v>66</v>
      </c>
      <c r="E490" s="4">
        <f t="shared" si="141"/>
        <v>3</v>
      </c>
      <c r="F490" s="4">
        <f t="shared" si="142"/>
        <v>15</v>
      </c>
      <c r="G490" s="3">
        <f>IF(E490&gt;=20,2000,1900) + D490</f>
        <v>1966</v>
      </c>
      <c r="H490">
        <f t="shared" si="143"/>
        <v>3</v>
      </c>
      <c r="I490" s="4">
        <f t="shared" si="144"/>
        <v>15</v>
      </c>
      <c r="J490">
        <f t="shared" si="145"/>
        <v>19660315</v>
      </c>
      <c r="K490" t="str">
        <f t="shared" si="146"/>
        <v>15.03.1966</v>
      </c>
      <c r="L490" s="4">
        <f t="shared" si="147"/>
        <v>6</v>
      </c>
      <c r="M490" s="4">
        <f t="shared" si="148"/>
        <v>18</v>
      </c>
      <c r="N490" s="4">
        <f t="shared" si="149"/>
        <v>0</v>
      </c>
      <c r="O490" s="4">
        <f t="shared" si="150"/>
        <v>27</v>
      </c>
      <c r="P490" s="4">
        <f t="shared" si="151"/>
        <v>1</v>
      </c>
      <c r="Q490" s="4">
        <f t="shared" si="152"/>
        <v>15</v>
      </c>
      <c r="R490" s="4">
        <f t="shared" si="153"/>
        <v>14</v>
      </c>
      <c r="S490" s="4">
        <f t="shared" si="154"/>
        <v>45</v>
      </c>
      <c r="T490" s="4">
        <f t="shared" si="155"/>
        <v>3</v>
      </c>
      <c r="U490" s="4">
        <f t="shared" si="156"/>
        <v>18</v>
      </c>
      <c r="V490" s="8">
        <f t="shared" si="157"/>
        <v>7</v>
      </c>
      <c r="W490" s="8">
        <f t="shared" si="158"/>
        <v>3</v>
      </c>
      <c r="X490">
        <f t="shared" si="159"/>
        <v>1</v>
      </c>
    </row>
    <row r="491" spans="1:24" x14ac:dyDescent="0.25">
      <c r="A491" s="4" t="s">
        <v>517</v>
      </c>
      <c r="B491" t="s">
        <v>17</v>
      </c>
      <c r="C491" t="s">
        <v>4</v>
      </c>
      <c r="D491" s="3">
        <f t="shared" si="140"/>
        <v>84</v>
      </c>
      <c r="E491" s="4">
        <f t="shared" si="141"/>
        <v>12</v>
      </c>
      <c r="F491" s="4">
        <f t="shared" si="142"/>
        <v>12</v>
      </c>
      <c r="G491" s="3">
        <f>IF(E491&gt;=20,2000,1900) + D491</f>
        <v>1984</v>
      </c>
      <c r="H491">
        <f t="shared" si="143"/>
        <v>12</v>
      </c>
      <c r="I491" s="4">
        <f t="shared" si="144"/>
        <v>12</v>
      </c>
      <c r="J491">
        <f t="shared" si="145"/>
        <v>19841212</v>
      </c>
      <c r="K491" t="str">
        <f t="shared" si="146"/>
        <v>12.12.1984</v>
      </c>
      <c r="L491" s="4">
        <f t="shared" si="147"/>
        <v>8</v>
      </c>
      <c r="M491" s="4">
        <f t="shared" si="148"/>
        <v>12</v>
      </c>
      <c r="N491" s="4">
        <f t="shared" si="149"/>
        <v>7</v>
      </c>
      <c r="O491" s="4">
        <f t="shared" si="150"/>
        <v>18</v>
      </c>
      <c r="P491" s="4">
        <f t="shared" si="151"/>
        <v>1</v>
      </c>
      <c r="Q491" s="4">
        <f t="shared" si="152"/>
        <v>6</v>
      </c>
      <c r="R491" s="4">
        <f t="shared" si="153"/>
        <v>49</v>
      </c>
      <c r="S491" s="4">
        <f t="shared" si="154"/>
        <v>81</v>
      </c>
      <c r="T491" s="4">
        <f t="shared" si="155"/>
        <v>3</v>
      </c>
      <c r="U491" s="4">
        <f t="shared" si="156"/>
        <v>15</v>
      </c>
      <c r="V491" s="8">
        <f t="shared" si="157"/>
        <v>0</v>
      </c>
      <c r="W491" s="8">
        <f t="shared" si="158"/>
        <v>0</v>
      </c>
      <c r="X491">
        <f t="shared" si="159"/>
        <v>1</v>
      </c>
    </row>
    <row r="492" spans="1:24" x14ac:dyDescent="0.25">
      <c r="A492" s="4" t="s">
        <v>518</v>
      </c>
      <c r="B492" t="s">
        <v>8</v>
      </c>
      <c r="C492" t="s">
        <v>6</v>
      </c>
      <c r="D492" s="3">
        <f t="shared" si="140"/>
        <v>56</v>
      </c>
      <c r="E492" s="4">
        <f t="shared" si="141"/>
        <v>6</v>
      </c>
      <c r="F492" s="4">
        <f t="shared" si="142"/>
        <v>2</v>
      </c>
      <c r="G492" s="3">
        <f>IF(E492&gt;=20,2000,1900) + D492</f>
        <v>1956</v>
      </c>
      <c r="H492">
        <f t="shared" si="143"/>
        <v>6</v>
      </c>
      <c r="I492" s="4">
        <f t="shared" si="144"/>
        <v>2</v>
      </c>
      <c r="J492">
        <f t="shared" si="145"/>
        <v>19560602</v>
      </c>
      <c r="K492" t="str">
        <f t="shared" si="146"/>
        <v>02.06.1956</v>
      </c>
      <c r="L492" s="4">
        <f t="shared" si="147"/>
        <v>5</v>
      </c>
      <c r="M492" s="4">
        <f t="shared" si="148"/>
        <v>18</v>
      </c>
      <c r="N492" s="4">
        <f t="shared" si="149"/>
        <v>0</v>
      </c>
      <c r="O492" s="4">
        <f t="shared" si="150"/>
        <v>54</v>
      </c>
      <c r="P492" s="4">
        <f t="shared" si="151"/>
        <v>0</v>
      </c>
      <c r="Q492" s="4">
        <f t="shared" si="152"/>
        <v>6</v>
      </c>
      <c r="R492" s="4">
        <f t="shared" si="153"/>
        <v>49</v>
      </c>
      <c r="S492" s="4">
        <f t="shared" si="154"/>
        <v>45</v>
      </c>
      <c r="T492" s="4">
        <f t="shared" si="155"/>
        <v>4</v>
      </c>
      <c r="U492" s="4">
        <f t="shared" si="156"/>
        <v>3</v>
      </c>
      <c r="V492" s="8">
        <f t="shared" si="157"/>
        <v>4</v>
      </c>
      <c r="W492" s="8">
        <f t="shared" si="158"/>
        <v>6</v>
      </c>
      <c r="X492">
        <f t="shared" si="159"/>
        <v>1</v>
      </c>
    </row>
    <row r="493" spans="1:24" x14ac:dyDescent="0.25">
      <c r="A493" s="4" t="s">
        <v>519</v>
      </c>
      <c r="B493" t="s">
        <v>13</v>
      </c>
      <c r="C493" t="s">
        <v>4</v>
      </c>
      <c r="D493" s="3">
        <f t="shared" si="140"/>
        <v>88</v>
      </c>
      <c r="E493" s="4">
        <f t="shared" si="141"/>
        <v>6</v>
      </c>
      <c r="F493" s="4">
        <f t="shared" si="142"/>
        <v>2</v>
      </c>
      <c r="G493" s="3">
        <f>IF(E493&gt;=20,2000,1900) + D493</f>
        <v>1988</v>
      </c>
      <c r="H493">
        <f t="shared" si="143"/>
        <v>6</v>
      </c>
      <c r="I493" s="4">
        <f t="shared" si="144"/>
        <v>2</v>
      </c>
      <c r="J493">
        <f t="shared" si="145"/>
        <v>19880602</v>
      </c>
      <c r="K493" t="str">
        <f t="shared" si="146"/>
        <v>02.06.1988</v>
      </c>
      <c r="L493" s="4">
        <f t="shared" si="147"/>
        <v>8</v>
      </c>
      <c r="M493" s="4">
        <f t="shared" si="148"/>
        <v>24</v>
      </c>
      <c r="N493" s="4">
        <f t="shared" si="149"/>
        <v>0</v>
      </c>
      <c r="O493" s="4">
        <f t="shared" si="150"/>
        <v>54</v>
      </c>
      <c r="P493" s="4">
        <f t="shared" si="151"/>
        <v>0</v>
      </c>
      <c r="Q493" s="4">
        <f t="shared" si="152"/>
        <v>6</v>
      </c>
      <c r="R493" s="4">
        <f t="shared" si="153"/>
        <v>63</v>
      </c>
      <c r="S493" s="4">
        <f t="shared" si="154"/>
        <v>72</v>
      </c>
      <c r="T493" s="4">
        <f t="shared" si="155"/>
        <v>5</v>
      </c>
      <c r="U493" s="4">
        <f t="shared" si="156"/>
        <v>21</v>
      </c>
      <c r="V493" s="8">
        <f t="shared" si="157"/>
        <v>3</v>
      </c>
      <c r="W493" s="8">
        <f t="shared" si="158"/>
        <v>7</v>
      </c>
      <c r="X493">
        <f t="shared" si="159"/>
        <v>1</v>
      </c>
    </row>
    <row r="494" spans="1:24" x14ac:dyDescent="0.25">
      <c r="A494" s="4" t="s">
        <v>520</v>
      </c>
      <c r="B494" t="s">
        <v>19</v>
      </c>
      <c r="C494" t="s">
        <v>6</v>
      </c>
      <c r="D494" s="3">
        <f t="shared" si="140"/>
        <v>93</v>
      </c>
      <c r="E494" s="4">
        <f t="shared" si="141"/>
        <v>7</v>
      </c>
      <c r="F494" s="4">
        <f t="shared" si="142"/>
        <v>16</v>
      </c>
      <c r="G494" s="3">
        <f>IF(E494&gt;=20,2000,1900) + D494</f>
        <v>1993</v>
      </c>
      <c r="H494">
        <f t="shared" si="143"/>
        <v>7</v>
      </c>
      <c r="I494" s="4">
        <f t="shared" si="144"/>
        <v>16</v>
      </c>
      <c r="J494">
        <f t="shared" si="145"/>
        <v>19930716</v>
      </c>
      <c r="K494" t="str">
        <f t="shared" si="146"/>
        <v>16.07.1993</v>
      </c>
      <c r="L494" s="4">
        <f t="shared" si="147"/>
        <v>9</v>
      </c>
      <c r="M494" s="4">
        <f t="shared" si="148"/>
        <v>9</v>
      </c>
      <c r="N494" s="4">
        <f t="shared" si="149"/>
        <v>0</v>
      </c>
      <c r="O494" s="4">
        <f t="shared" si="150"/>
        <v>63</v>
      </c>
      <c r="P494" s="4">
        <f t="shared" si="151"/>
        <v>1</v>
      </c>
      <c r="Q494" s="4">
        <f t="shared" si="152"/>
        <v>18</v>
      </c>
      <c r="R494" s="4">
        <f t="shared" si="153"/>
        <v>7</v>
      </c>
      <c r="S494" s="4">
        <f t="shared" si="154"/>
        <v>27</v>
      </c>
      <c r="T494" s="4">
        <f t="shared" si="155"/>
        <v>6</v>
      </c>
      <c r="U494" s="4">
        <f t="shared" si="156"/>
        <v>6</v>
      </c>
      <c r="V494" s="8">
        <f t="shared" si="157"/>
        <v>6</v>
      </c>
      <c r="W494" s="8">
        <f t="shared" si="158"/>
        <v>4</v>
      </c>
      <c r="X494">
        <f t="shared" si="159"/>
        <v>1</v>
      </c>
    </row>
    <row r="495" spans="1:24" x14ac:dyDescent="0.25">
      <c r="A495" s="4" t="s">
        <v>521</v>
      </c>
      <c r="B495" t="s">
        <v>9</v>
      </c>
      <c r="C495" t="s">
        <v>4</v>
      </c>
      <c r="D495" s="3">
        <f t="shared" si="140"/>
        <v>56</v>
      </c>
      <c r="E495" s="4">
        <f t="shared" si="141"/>
        <v>3</v>
      </c>
      <c r="F495" s="4">
        <f t="shared" si="142"/>
        <v>22</v>
      </c>
      <c r="G495" s="3">
        <f>IF(E495&gt;=20,2000,1900) + D495</f>
        <v>1956</v>
      </c>
      <c r="H495">
        <f t="shared" si="143"/>
        <v>3</v>
      </c>
      <c r="I495" s="4">
        <f t="shared" si="144"/>
        <v>22</v>
      </c>
      <c r="J495">
        <f t="shared" si="145"/>
        <v>19560322</v>
      </c>
      <c r="K495" t="str">
        <f t="shared" si="146"/>
        <v>22.03.1956</v>
      </c>
      <c r="L495" s="4">
        <f t="shared" si="147"/>
        <v>5</v>
      </c>
      <c r="M495" s="4">
        <f t="shared" si="148"/>
        <v>18</v>
      </c>
      <c r="N495" s="4">
        <f t="shared" si="149"/>
        <v>0</v>
      </c>
      <c r="O495" s="4">
        <f t="shared" si="150"/>
        <v>27</v>
      </c>
      <c r="P495" s="4">
        <f t="shared" si="151"/>
        <v>2</v>
      </c>
      <c r="Q495" s="4">
        <f t="shared" si="152"/>
        <v>6</v>
      </c>
      <c r="R495" s="4">
        <f t="shared" si="153"/>
        <v>28</v>
      </c>
      <c r="S495" s="4">
        <f t="shared" si="154"/>
        <v>45</v>
      </c>
      <c r="T495" s="4">
        <f t="shared" si="155"/>
        <v>6</v>
      </c>
      <c r="U495" s="4">
        <f t="shared" si="156"/>
        <v>15</v>
      </c>
      <c r="V495" s="8">
        <f t="shared" si="157"/>
        <v>2</v>
      </c>
      <c r="W495" s="8">
        <f t="shared" si="158"/>
        <v>8</v>
      </c>
      <c r="X495">
        <f t="shared" si="159"/>
        <v>1</v>
      </c>
    </row>
    <row r="496" spans="1:24" x14ac:dyDescent="0.25">
      <c r="A496" s="4" t="s">
        <v>522</v>
      </c>
      <c r="B496" t="s">
        <v>7</v>
      </c>
      <c r="C496" t="s">
        <v>4</v>
      </c>
      <c r="D496" s="3">
        <f t="shared" si="140"/>
        <v>64</v>
      </c>
      <c r="E496" s="4">
        <f t="shared" si="141"/>
        <v>8</v>
      </c>
      <c r="F496" s="4">
        <f t="shared" si="142"/>
        <v>11</v>
      </c>
      <c r="G496" s="3">
        <f>IF(E496&gt;=20,2000,1900) + D496</f>
        <v>1964</v>
      </c>
      <c r="H496">
        <f t="shared" si="143"/>
        <v>8</v>
      </c>
      <c r="I496" s="4">
        <f t="shared" si="144"/>
        <v>11</v>
      </c>
      <c r="J496">
        <f t="shared" si="145"/>
        <v>19640811</v>
      </c>
      <c r="K496" t="str">
        <f t="shared" si="146"/>
        <v>11.08.1964</v>
      </c>
      <c r="L496" s="4">
        <f t="shared" si="147"/>
        <v>6</v>
      </c>
      <c r="M496" s="4">
        <f t="shared" si="148"/>
        <v>12</v>
      </c>
      <c r="N496" s="4">
        <f t="shared" si="149"/>
        <v>0</v>
      </c>
      <c r="O496" s="4">
        <f t="shared" si="150"/>
        <v>72</v>
      </c>
      <c r="P496" s="4">
        <f t="shared" si="151"/>
        <v>1</v>
      </c>
      <c r="Q496" s="4">
        <f t="shared" si="152"/>
        <v>3</v>
      </c>
      <c r="R496" s="4">
        <f t="shared" si="153"/>
        <v>63</v>
      </c>
      <c r="S496" s="4">
        <f t="shared" si="154"/>
        <v>0</v>
      </c>
      <c r="T496" s="4">
        <f t="shared" si="155"/>
        <v>5</v>
      </c>
      <c r="U496" s="4">
        <f t="shared" si="156"/>
        <v>6</v>
      </c>
      <c r="V496" s="8">
        <f t="shared" si="157"/>
        <v>8</v>
      </c>
      <c r="W496" s="8">
        <f t="shared" si="158"/>
        <v>2</v>
      </c>
      <c r="X496">
        <f t="shared" si="159"/>
        <v>1</v>
      </c>
    </row>
    <row r="497" spans="1:24" x14ac:dyDescent="0.25">
      <c r="A497" s="4" t="s">
        <v>523</v>
      </c>
      <c r="B497" t="s">
        <v>10</v>
      </c>
      <c r="C497" t="s">
        <v>4</v>
      </c>
      <c r="D497" s="3">
        <f t="shared" si="140"/>
        <v>62</v>
      </c>
      <c r="E497" s="4">
        <f t="shared" si="141"/>
        <v>4</v>
      </c>
      <c r="F497" s="4">
        <f t="shared" si="142"/>
        <v>6</v>
      </c>
      <c r="G497" s="3">
        <f>IF(E497&gt;=20,2000,1900) + D497</f>
        <v>1962</v>
      </c>
      <c r="H497">
        <f t="shared" si="143"/>
        <v>4</v>
      </c>
      <c r="I497" s="4">
        <f t="shared" si="144"/>
        <v>6</v>
      </c>
      <c r="J497">
        <f t="shared" si="145"/>
        <v>19620406</v>
      </c>
      <c r="K497" t="str">
        <f t="shared" si="146"/>
        <v>06.04.1962</v>
      </c>
      <c r="L497" s="4">
        <f t="shared" si="147"/>
        <v>6</v>
      </c>
      <c r="M497" s="4">
        <f t="shared" si="148"/>
        <v>6</v>
      </c>
      <c r="N497" s="4">
        <f t="shared" si="149"/>
        <v>0</v>
      </c>
      <c r="O497" s="4">
        <f t="shared" si="150"/>
        <v>36</v>
      </c>
      <c r="P497" s="4">
        <f t="shared" si="151"/>
        <v>0</v>
      </c>
      <c r="Q497" s="4">
        <f t="shared" si="152"/>
        <v>18</v>
      </c>
      <c r="R497" s="4">
        <f t="shared" si="153"/>
        <v>7</v>
      </c>
      <c r="S497" s="4">
        <f t="shared" si="154"/>
        <v>54</v>
      </c>
      <c r="T497" s="4">
        <f t="shared" si="155"/>
        <v>6</v>
      </c>
      <c r="U497" s="4">
        <f t="shared" si="156"/>
        <v>0</v>
      </c>
      <c r="V497" s="8">
        <f t="shared" si="157"/>
        <v>3</v>
      </c>
      <c r="W497" s="8">
        <f t="shared" si="158"/>
        <v>7</v>
      </c>
      <c r="X497">
        <f t="shared" si="159"/>
        <v>1</v>
      </c>
    </row>
    <row r="498" spans="1:24" x14ac:dyDescent="0.25">
      <c r="A498" s="4" t="s">
        <v>524</v>
      </c>
      <c r="B498" t="s">
        <v>14</v>
      </c>
      <c r="C498" t="s">
        <v>4</v>
      </c>
      <c r="D498" s="3">
        <f t="shared" si="140"/>
        <v>87</v>
      </c>
      <c r="E498" s="4">
        <f t="shared" si="141"/>
        <v>3</v>
      </c>
      <c r="F498" s="4">
        <f t="shared" si="142"/>
        <v>21</v>
      </c>
      <c r="G498" s="3">
        <f>IF(E498&gt;=20,2000,1900) + D498</f>
        <v>1987</v>
      </c>
      <c r="H498">
        <f t="shared" si="143"/>
        <v>3</v>
      </c>
      <c r="I498" s="4">
        <f t="shared" si="144"/>
        <v>21</v>
      </c>
      <c r="J498">
        <f t="shared" si="145"/>
        <v>19870321</v>
      </c>
      <c r="K498" t="str">
        <f t="shared" si="146"/>
        <v>21.03.1987</v>
      </c>
      <c r="L498" s="4">
        <f t="shared" si="147"/>
        <v>8</v>
      </c>
      <c r="M498" s="4">
        <f t="shared" si="148"/>
        <v>21</v>
      </c>
      <c r="N498" s="4">
        <f t="shared" si="149"/>
        <v>0</v>
      </c>
      <c r="O498" s="4">
        <f t="shared" si="150"/>
        <v>27</v>
      </c>
      <c r="P498" s="4">
        <f t="shared" si="151"/>
        <v>2</v>
      </c>
      <c r="Q498" s="4">
        <f t="shared" si="152"/>
        <v>3</v>
      </c>
      <c r="R498" s="4">
        <f t="shared" si="153"/>
        <v>28</v>
      </c>
      <c r="S498" s="4">
        <f t="shared" si="154"/>
        <v>18</v>
      </c>
      <c r="T498" s="4">
        <f t="shared" si="155"/>
        <v>4</v>
      </c>
      <c r="U498" s="4">
        <f t="shared" si="156"/>
        <v>3</v>
      </c>
      <c r="V498" s="8">
        <f t="shared" si="157"/>
        <v>4</v>
      </c>
      <c r="W498" s="8">
        <f t="shared" si="158"/>
        <v>6</v>
      </c>
      <c r="X498">
        <f t="shared" si="159"/>
        <v>1</v>
      </c>
    </row>
    <row r="499" spans="1:24" x14ac:dyDescent="0.25">
      <c r="A499" s="4" t="s">
        <v>525</v>
      </c>
      <c r="B499" t="s">
        <v>7</v>
      </c>
      <c r="C499" t="s">
        <v>4</v>
      </c>
      <c r="D499" s="3">
        <f t="shared" si="140"/>
        <v>73</v>
      </c>
      <c r="E499" s="4">
        <f t="shared" si="141"/>
        <v>10</v>
      </c>
      <c r="F499" s="4">
        <f t="shared" si="142"/>
        <v>14</v>
      </c>
      <c r="G499" s="3">
        <f>IF(E499&gt;=20,2000,1900) + D499</f>
        <v>1973</v>
      </c>
      <c r="H499">
        <f t="shared" si="143"/>
        <v>10</v>
      </c>
      <c r="I499" s="4">
        <f t="shared" si="144"/>
        <v>14</v>
      </c>
      <c r="J499">
        <f t="shared" si="145"/>
        <v>19731014</v>
      </c>
      <c r="K499" t="str">
        <f t="shared" si="146"/>
        <v>14.10.1973</v>
      </c>
      <c r="L499" s="4">
        <f t="shared" si="147"/>
        <v>7</v>
      </c>
      <c r="M499" s="4">
        <f t="shared" si="148"/>
        <v>9</v>
      </c>
      <c r="N499" s="4">
        <f t="shared" si="149"/>
        <v>7</v>
      </c>
      <c r="O499" s="4">
        <f t="shared" si="150"/>
        <v>0</v>
      </c>
      <c r="P499" s="4">
        <f t="shared" si="151"/>
        <v>1</v>
      </c>
      <c r="Q499" s="4">
        <f t="shared" si="152"/>
        <v>12</v>
      </c>
      <c r="R499" s="4">
        <f t="shared" si="153"/>
        <v>35</v>
      </c>
      <c r="S499" s="4">
        <f t="shared" si="154"/>
        <v>45</v>
      </c>
      <c r="T499" s="4">
        <f t="shared" si="155"/>
        <v>5</v>
      </c>
      <c r="U499" s="4">
        <f t="shared" si="156"/>
        <v>15</v>
      </c>
      <c r="V499" s="8">
        <f t="shared" si="157"/>
        <v>6</v>
      </c>
      <c r="W499" s="8">
        <f t="shared" si="158"/>
        <v>4</v>
      </c>
      <c r="X499">
        <f t="shared" si="159"/>
        <v>1</v>
      </c>
    </row>
    <row r="500" spans="1:24" x14ac:dyDescent="0.25">
      <c r="A500" s="4" t="s">
        <v>526</v>
      </c>
      <c r="B500" t="s">
        <v>19</v>
      </c>
      <c r="C500" t="s">
        <v>6</v>
      </c>
      <c r="D500" s="3">
        <f t="shared" si="140"/>
        <v>56</v>
      </c>
      <c r="E500" s="4">
        <f t="shared" si="141"/>
        <v>11</v>
      </c>
      <c r="F500" s="4">
        <f t="shared" si="142"/>
        <v>12</v>
      </c>
      <c r="G500" s="3">
        <f>IF(E500&gt;=20,2000,1900) + D500</f>
        <v>1956</v>
      </c>
      <c r="H500">
        <f t="shared" si="143"/>
        <v>11</v>
      </c>
      <c r="I500" s="4">
        <f t="shared" si="144"/>
        <v>12</v>
      </c>
      <c r="J500">
        <f t="shared" si="145"/>
        <v>19561112</v>
      </c>
      <c r="K500" t="str">
        <f t="shared" si="146"/>
        <v>12.11.1956</v>
      </c>
      <c r="L500" s="4">
        <f t="shared" si="147"/>
        <v>5</v>
      </c>
      <c r="M500" s="4">
        <f t="shared" si="148"/>
        <v>18</v>
      </c>
      <c r="N500" s="4">
        <f t="shared" si="149"/>
        <v>7</v>
      </c>
      <c r="O500" s="4">
        <f t="shared" si="150"/>
        <v>9</v>
      </c>
      <c r="P500" s="4">
        <f t="shared" si="151"/>
        <v>1</v>
      </c>
      <c r="Q500" s="4">
        <f t="shared" si="152"/>
        <v>6</v>
      </c>
      <c r="R500" s="4">
        <f t="shared" si="153"/>
        <v>56</v>
      </c>
      <c r="S500" s="4">
        <f t="shared" si="154"/>
        <v>18</v>
      </c>
      <c r="T500" s="4">
        <f t="shared" si="155"/>
        <v>4</v>
      </c>
      <c r="U500" s="4">
        <f t="shared" si="156"/>
        <v>24</v>
      </c>
      <c r="V500" s="8">
        <f t="shared" si="157"/>
        <v>8</v>
      </c>
      <c r="W500" s="8">
        <f t="shared" si="158"/>
        <v>2</v>
      </c>
      <c r="X500">
        <f t="shared" si="159"/>
        <v>1</v>
      </c>
    </row>
    <row r="501" spans="1:24" x14ac:dyDescent="0.25">
      <c r="A501" s="4" t="s">
        <v>527</v>
      </c>
      <c r="B501" t="s">
        <v>8</v>
      </c>
      <c r="C501" t="s">
        <v>4</v>
      </c>
      <c r="D501" s="3">
        <f t="shared" si="140"/>
        <v>83</v>
      </c>
      <c r="E501" s="4">
        <f t="shared" si="141"/>
        <v>3</v>
      </c>
      <c r="F501" s="4">
        <f t="shared" si="142"/>
        <v>26</v>
      </c>
      <c r="G501" s="3">
        <f>IF(E501&gt;=20,2000,1900) + D501</f>
        <v>1983</v>
      </c>
      <c r="H501">
        <f t="shared" si="143"/>
        <v>3</v>
      </c>
      <c r="I501" s="4">
        <f t="shared" si="144"/>
        <v>26</v>
      </c>
      <c r="J501">
        <f t="shared" si="145"/>
        <v>19830326</v>
      </c>
      <c r="K501" t="str">
        <f t="shared" si="146"/>
        <v>26.03.1983</v>
      </c>
      <c r="L501" s="4">
        <f t="shared" si="147"/>
        <v>8</v>
      </c>
      <c r="M501" s="4">
        <f t="shared" si="148"/>
        <v>9</v>
      </c>
      <c r="N501" s="4">
        <f t="shared" si="149"/>
        <v>0</v>
      </c>
      <c r="O501" s="4">
        <f t="shared" si="150"/>
        <v>27</v>
      </c>
      <c r="P501" s="4">
        <f t="shared" si="151"/>
        <v>2</v>
      </c>
      <c r="Q501" s="4">
        <f t="shared" si="152"/>
        <v>18</v>
      </c>
      <c r="R501" s="4">
        <f t="shared" si="153"/>
        <v>56</v>
      </c>
      <c r="S501" s="4">
        <f t="shared" si="154"/>
        <v>72</v>
      </c>
      <c r="T501" s="4">
        <f t="shared" si="155"/>
        <v>2</v>
      </c>
      <c r="U501" s="4">
        <f t="shared" si="156"/>
        <v>24</v>
      </c>
      <c r="V501" s="8">
        <f t="shared" si="157"/>
        <v>8</v>
      </c>
      <c r="W501" s="8">
        <f t="shared" si="158"/>
        <v>2</v>
      </c>
      <c r="X501">
        <f t="shared" si="159"/>
        <v>1</v>
      </c>
    </row>
    <row r="502" spans="1:24" x14ac:dyDescent="0.25">
      <c r="A502" s="4" t="s">
        <v>528</v>
      </c>
      <c r="B502" t="s">
        <v>9</v>
      </c>
      <c r="C502" t="s">
        <v>4</v>
      </c>
      <c r="D502" s="3">
        <f t="shared" si="140"/>
        <v>88</v>
      </c>
      <c r="E502" s="4">
        <f t="shared" si="141"/>
        <v>5</v>
      </c>
      <c r="F502" s="4">
        <f t="shared" si="142"/>
        <v>10</v>
      </c>
      <c r="G502" s="3">
        <f>IF(E502&gt;=20,2000,1900) + D502</f>
        <v>1988</v>
      </c>
      <c r="H502">
        <f t="shared" si="143"/>
        <v>5</v>
      </c>
      <c r="I502" s="4">
        <f t="shared" si="144"/>
        <v>10</v>
      </c>
      <c r="J502">
        <f t="shared" si="145"/>
        <v>19880510</v>
      </c>
      <c r="K502" t="str">
        <f t="shared" si="146"/>
        <v>10.05.1988</v>
      </c>
      <c r="L502" s="4">
        <f t="shared" si="147"/>
        <v>8</v>
      </c>
      <c r="M502" s="4">
        <f t="shared" si="148"/>
        <v>24</v>
      </c>
      <c r="N502" s="4">
        <f t="shared" si="149"/>
        <v>0</v>
      </c>
      <c r="O502" s="4">
        <f t="shared" si="150"/>
        <v>45</v>
      </c>
      <c r="P502" s="4">
        <f t="shared" si="151"/>
        <v>1</v>
      </c>
      <c r="Q502" s="4">
        <f t="shared" si="152"/>
        <v>0</v>
      </c>
      <c r="R502" s="4">
        <f t="shared" si="153"/>
        <v>63</v>
      </c>
      <c r="S502" s="4">
        <f t="shared" si="154"/>
        <v>18</v>
      </c>
      <c r="T502" s="4">
        <f t="shared" si="155"/>
        <v>5</v>
      </c>
      <c r="U502" s="4">
        <f t="shared" si="156"/>
        <v>12</v>
      </c>
      <c r="V502" s="8">
        <f t="shared" si="157"/>
        <v>6</v>
      </c>
      <c r="W502" s="8">
        <f t="shared" si="158"/>
        <v>4</v>
      </c>
      <c r="X502">
        <f t="shared" si="159"/>
        <v>1</v>
      </c>
    </row>
    <row r="503" spans="1:24" x14ac:dyDescent="0.25">
      <c r="A503" s="4" t="s">
        <v>529</v>
      </c>
      <c r="B503" t="s">
        <v>14</v>
      </c>
      <c r="C503" t="s">
        <v>4</v>
      </c>
      <c r="D503" s="3">
        <f t="shared" si="140"/>
        <v>50</v>
      </c>
      <c r="E503" s="4">
        <f t="shared" si="141"/>
        <v>1</v>
      </c>
      <c r="F503" s="4">
        <f t="shared" si="142"/>
        <v>26</v>
      </c>
      <c r="G503" s="3">
        <f>IF(E503&gt;=20,2000,1900) + D503</f>
        <v>1950</v>
      </c>
      <c r="H503">
        <f t="shared" si="143"/>
        <v>1</v>
      </c>
      <c r="I503" s="4">
        <f t="shared" si="144"/>
        <v>26</v>
      </c>
      <c r="J503">
        <f t="shared" si="145"/>
        <v>19500126</v>
      </c>
      <c r="K503" t="str">
        <f t="shared" si="146"/>
        <v>26.01.1950</v>
      </c>
      <c r="L503" s="4">
        <f t="shared" si="147"/>
        <v>5</v>
      </c>
      <c r="M503" s="4">
        <f t="shared" si="148"/>
        <v>0</v>
      </c>
      <c r="N503" s="4">
        <f t="shared" si="149"/>
        <v>0</v>
      </c>
      <c r="O503" s="4">
        <f t="shared" si="150"/>
        <v>9</v>
      </c>
      <c r="P503" s="4">
        <f t="shared" si="151"/>
        <v>2</v>
      </c>
      <c r="Q503" s="4">
        <f t="shared" si="152"/>
        <v>18</v>
      </c>
      <c r="R503" s="4">
        <f t="shared" si="153"/>
        <v>42</v>
      </c>
      <c r="S503" s="4">
        <f t="shared" si="154"/>
        <v>45</v>
      </c>
      <c r="T503" s="4">
        <f t="shared" si="155"/>
        <v>7</v>
      </c>
      <c r="U503" s="4">
        <f t="shared" si="156"/>
        <v>15</v>
      </c>
      <c r="V503" s="8">
        <f t="shared" si="157"/>
        <v>3</v>
      </c>
      <c r="W503" s="8">
        <f t="shared" si="158"/>
        <v>7</v>
      </c>
      <c r="X503">
        <f t="shared" si="159"/>
        <v>1</v>
      </c>
    </row>
    <row r="504" spans="1:24" x14ac:dyDescent="0.25">
      <c r="A504" s="4" t="s">
        <v>530</v>
      </c>
      <c r="B504" t="s">
        <v>9</v>
      </c>
      <c r="C504" t="s">
        <v>6</v>
      </c>
      <c r="D504" s="3">
        <f t="shared" si="140"/>
        <v>96</v>
      </c>
      <c r="E504" s="4">
        <f t="shared" si="141"/>
        <v>4</v>
      </c>
      <c r="F504" s="4">
        <f t="shared" si="142"/>
        <v>2</v>
      </c>
      <c r="G504" s="3">
        <f>IF(E504&gt;=20,2000,1900) + D504</f>
        <v>1996</v>
      </c>
      <c r="H504">
        <f t="shared" si="143"/>
        <v>4</v>
      </c>
      <c r="I504" s="4">
        <f t="shared" si="144"/>
        <v>2</v>
      </c>
      <c r="J504">
        <f t="shared" si="145"/>
        <v>19960402</v>
      </c>
      <c r="K504" t="str">
        <f t="shared" si="146"/>
        <v>02.04.1996</v>
      </c>
      <c r="L504" s="4">
        <f t="shared" si="147"/>
        <v>9</v>
      </c>
      <c r="M504" s="4">
        <f t="shared" si="148"/>
        <v>18</v>
      </c>
      <c r="N504" s="4">
        <f t="shared" si="149"/>
        <v>0</v>
      </c>
      <c r="O504" s="4">
        <f t="shared" si="150"/>
        <v>36</v>
      </c>
      <c r="P504" s="4">
        <f t="shared" si="151"/>
        <v>0</v>
      </c>
      <c r="Q504" s="4">
        <f t="shared" si="152"/>
        <v>6</v>
      </c>
      <c r="R504" s="4">
        <f t="shared" si="153"/>
        <v>0</v>
      </c>
      <c r="S504" s="4">
        <f t="shared" si="154"/>
        <v>54</v>
      </c>
      <c r="T504" s="4">
        <f t="shared" si="155"/>
        <v>3</v>
      </c>
      <c r="U504" s="4">
        <f t="shared" si="156"/>
        <v>12</v>
      </c>
      <c r="V504" s="8">
        <f t="shared" si="157"/>
        <v>8</v>
      </c>
      <c r="W504" s="8">
        <f t="shared" si="158"/>
        <v>2</v>
      </c>
      <c r="X504">
        <f t="shared" si="159"/>
        <v>1</v>
      </c>
    </row>
    <row r="505" spans="1:24" x14ac:dyDescent="0.25">
      <c r="A505" s="4" t="s">
        <v>531</v>
      </c>
      <c r="B505" t="s">
        <v>7</v>
      </c>
      <c r="C505" t="s">
        <v>4</v>
      </c>
      <c r="D505" s="3">
        <f t="shared" si="140"/>
        <v>91</v>
      </c>
      <c r="E505" s="4">
        <f t="shared" si="141"/>
        <v>4</v>
      </c>
      <c r="F505" s="4">
        <f t="shared" si="142"/>
        <v>10</v>
      </c>
      <c r="G505" s="3">
        <f>IF(E505&gt;=20,2000,1900) + D505</f>
        <v>1991</v>
      </c>
      <c r="H505">
        <f t="shared" si="143"/>
        <v>4</v>
      </c>
      <c r="I505" s="4">
        <f t="shared" si="144"/>
        <v>10</v>
      </c>
      <c r="J505">
        <f t="shared" si="145"/>
        <v>19910410</v>
      </c>
      <c r="K505" t="str">
        <f t="shared" si="146"/>
        <v>10.04.1991</v>
      </c>
      <c r="L505" s="4">
        <f t="shared" si="147"/>
        <v>9</v>
      </c>
      <c r="M505" s="4">
        <f t="shared" si="148"/>
        <v>3</v>
      </c>
      <c r="N505" s="4">
        <f t="shared" si="149"/>
        <v>0</v>
      </c>
      <c r="O505" s="4">
        <f t="shared" si="150"/>
        <v>36</v>
      </c>
      <c r="P505" s="4">
        <f t="shared" si="151"/>
        <v>1</v>
      </c>
      <c r="Q505" s="4">
        <f t="shared" si="152"/>
        <v>0</v>
      </c>
      <c r="R505" s="4">
        <f t="shared" si="153"/>
        <v>42</v>
      </c>
      <c r="S505" s="4">
        <f t="shared" si="154"/>
        <v>81</v>
      </c>
      <c r="T505" s="4">
        <f t="shared" si="155"/>
        <v>9</v>
      </c>
      <c r="U505" s="4">
        <f t="shared" si="156"/>
        <v>15</v>
      </c>
      <c r="V505" s="8">
        <f t="shared" si="157"/>
        <v>6</v>
      </c>
      <c r="W505" s="8">
        <f t="shared" si="158"/>
        <v>4</v>
      </c>
      <c r="X505">
        <f t="shared" si="159"/>
        <v>1</v>
      </c>
    </row>
    <row r="506" spans="1:24" x14ac:dyDescent="0.25">
      <c r="A506" s="4" t="s">
        <v>532</v>
      </c>
      <c r="B506" t="s">
        <v>14</v>
      </c>
      <c r="C506" t="s">
        <v>6</v>
      </c>
      <c r="D506" s="3">
        <f t="shared" si="140"/>
        <v>75</v>
      </c>
      <c r="E506" s="4">
        <f t="shared" si="141"/>
        <v>6</v>
      </c>
      <c r="F506" s="4">
        <f t="shared" si="142"/>
        <v>17</v>
      </c>
      <c r="G506" s="3">
        <f>IF(E506&gt;=20,2000,1900) + D506</f>
        <v>1975</v>
      </c>
      <c r="H506">
        <f t="shared" si="143"/>
        <v>6</v>
      </c>
      <c r="I506" s="4">
        <f t="shared" si="144"/>
        <v>17</v>
      </c>
      <c r="J506">
        <f t="shared" si="145"/>
        <v>19750617</v>
      </c>
      <c r="K506" t="str">
        <f t="shared" si="146"/>
        <v>17.06.1975</v>
      </c>
      <c r="L506" s="4">
        <f t="shared" si="147"/>
        <v>7</v>
      </c>
      <c r="M506" s="4">
        <f t="shared" si="148"/>
        <v>15</v>
      </c>
      <c r="N506" s="4">
        <f t="shared" si="149"/>
        <v>0</v>
      </c>
      <c r="O506" s="4">
        <f t="shared" si="150"/>
        <v>54</v>
      </c>
      <c r="P506" s="4">
        <f t="shared" si="151"/>
        <v>1</v>
      </c>
      <c r="Q506" s="4">
        <f t="shared" si="152"/>
        <v>21</v>
      </c>
      <c r="R506" s="4">
        <f t="shared" si="153"/>
        <v>28</v>
      </c>
      <c r="S506" s="4">
        <f t="shared" si="154"/>
        <v>27</v>
      </c>
      <c r="T506" s="4">
        <f t="shared" si="155"/>
        <v>9</v>
      </c>
      <c r="U506" s="4">
        <f t="shared" si="156"/>
        <v>12</v>
      </c>
      <c r="V506" s="8">
        <f t="shared" si="157"/>
        <v>4</v>
      </c>
      <c r="W506" s="8">
        <f t="shared" si="158"/>
        <v>6</v>
      </c>
      <c r="X506">
        <f t="shared" si="159"/>
        <v>1</v>
      </c>
    </row>
    <row r="507" spans="1:24" x14ac:dyDescent="0.25">
      <c r="A507" s="4" t="s">
        <v>533</v>
      </c>
      <c r="B507" t="s">
        <v>8</v>
      </c>
      <c r="C507" t="s">
        <v>4</v>
      </c>
      <c r="D507" s="3">
        <f t="shared" si="140"/>
        <v>52</v>
      </c>
      <c r="E507" s="4">
        <f t="shared" si="141"/>
        <v>2</v>
      </c>
      <c r="F507" s="4">
        <f t="shared" si="142"/>
        <v>4</v>
      </c>
      <c r="G507" s="3">
        <f>IF(E507&gt;=20,2000,1900) + D507</f>
        <v>1952</v>
      </c>
      <c r="H507">
        <f t="shared" si="143"/>
        <v>2</v>
      </c>
      <c r="I507" s="4">
        <f t="shared" si="144"/>
        <v>4</v>
      </c>
      <c r="J507">
        <f t="shared" si="145"/>
        <v>19520204</v>
      </c>
      <c r="K507" t="str">
        <f t="shared" si="146"/>
        <v>04.02.1952</v>
      </c>
      <c r="L507" s="4">
        <f t="shared" si="147"/>
        <v>5</v>
      </c>
      <c r="M507" s="4">
        <f t="shared" si="148"/>
        <v>6</v>
      </c>
      <c r="N507" s="4">
        <f t="shared" si="149"/>
        <v>0</v>
      </c>
      <c r="O507" s="4">
        <f t="shared" si="150"/>
        <v>18</v>
      </c>
      <c r="P507" s="4">
        <f t="shared" si="151"/>
        <v>0</v>
      </c>
      <c r="Q507" s="4">
        <f t="shared" si="152"/>
        <v>12</v>
      </c>
      <c r="R507" s="4">
        <f t="shared" si="153"/>
        <v>28</v>
      </c>
      <c r="S507" s="4">
        <f t="shared" si="154"/>
        <v>81</v>
      </c>
      <c r="T507" s="4">
        <f t="shared" si="155"/>
        <v>8</v>
      </c>
      <c r="U507" s="4">
        <f t="shared" si="156"/>
        <v>12</v>
      </c>
      <c r="V507" s="8">
        <f t="shared" si="157"/>
        <v>0</v>
      </c>
      <c r="W507" s="8">
        <f t="shared" si="158"/>
        <v>0</v>
      </c>
      <c r="X507">
        <f t="shared" si="159"/>
        <v>1</v>
      </c>
    </row>
    <row r="508" spans="1:24" x14ac:dyDescent="0.25">
      <c r="A508" s="4" t="s">
        <v>534</v>
      </c>
      <c r="B508" t="s">
        <v>15</v>
      </c>
      <c r="C508" t="s">
        <v>4</v>
      </c>
      <c r="D508" s="3">
        <f t="shared" si="140"/>
        <v>94</v>
      </c>
      <c r="E508" s="4">
        <f t="shared" si="141"/>
        <v>2</v>
      </c>
      <c r="F508" s="4">
        <f t="shared" si="142"/>
        <v>17</v>
      </c>
      <c r="G508" s="3">
        <f>IF(E508&gt;=20,2000,1900) + D508</f>
        <v>1994</v>
      </c>
      <c r="H508">
        <f t="shared" si="143"/>
        <v>2</v>
      </c>
      <c r="I508" s="4">
        <f t="shared" si="144"/>
        <v>17</v>
      </c>
      <c r="J508">
        <f t="shared" si="145"/>
        <v>19940217</v>
      </c>
      <c r="K508" t="str">
        <f t="shared" si="146"/>
        <v>17.02.1994</v>
      </c>
      <c r="L508" s="4">
        <f t="shared" si="147"/>
        <v>9</v>
      </c>
      <c r="M508" s="4">
        <f t="shared" si="148"/>
        <v>12</v>
      </c>
      <c r="N508" s="4">
        <f t="shared" si="149"/>
        <v>0</v>
      </c>
      <c r="O508" s="4">
        <f t="shared" si="150"/>
        <v>18</v>
      </c>
      <c r="P508" s="4">
        <f t="shared" si="151"/>
        <v>1</v>
      </c>
      <c r="Q508" s="4">
        <f t="shared" si="152"/>
        <v>21</v>
      </c>
      <c r="R508" s="4">
        <f t="shared" si="153"/>
        <v>42</v>
      </c>
      <c r="S508" s="4">
        <f t="shared" si="154"/>
        <v>63</v>
      </c>
      <c r="T508" s="4">
        <f t="shared" si="155"/>
        <v>9</v>
      </c>
      <c r="U508" s="4">
        <f t="shared" si="156"/>
        <v>24</v>
      </c>
      <c r="V508" s="8">
        <f t="shared" si="157"/>
        <v>9</v>
      </c>
      <c r="W508" s="8">
        <f t="shared" si="158"/>
        <v>1</v>
      </c>
      <c r="X508">
        <f t="shared" si="159"/>
        <v>1</v>
      </c>
    </row>
    <row r="509" spans="1:24" x14ac:dyDescent="0.25">
      <c r="A509" s="4" t="s">
        <v>535</v>
      </c>
      <c r="B509" t="s">
        <v>8</v>
      </c>
      <c r="C509" t="s">
        <v>6</v>
      </c>
      <c r="D509" s="3">
        <f t="shared" si="140"/>
        <v>54</v>
      </c>
      <c r="E509" s="4">
        <f t="shared" si="141"/>
        <v>6</v>
      </c>
      <c r="F509" s="4">
        <f t="shared" si="142"/>
        <v>14</v>
      </c>
      <c r="G509" s="3">
        <f>IF(E509&gt;=20,2000,1900) + D509</f>
        <v>1954</v>
      </c>
      <c r="H509">
        <f t="shared" si="143"/>
        <v>6</v>
      </c>
      <c r="I509" s="4">
        <f t="shared" si="144"/>
        <v>14</v>
      </c>
      <c r="J509">
        <f t="shared" si="145"/>
        <v>19540614</v>
      </c>
      <c r="K509" t="str">
        <f t="shared" si="146"/>
        <v>14.06.1954</v>
      </c>
      <c r="L509" s="4">
        <f t="shared" si="147"/>
        <v>5</v>
      </c>
      <c r="M509" s="4">
        <f t="shared" si="148"/>
        <v>12</v>
      </c>
      <c r="N509" s="4">
        <f t="shared" si="149"/>
        <v>0</v>
      </c>
      <c r="O509" s="4">
        <f t="shared" si="150"/>
        <v>54</v>
      </c>
      <c r="P509" s="4">
        <f t="shared" si="151"/>
        <v>1</v>
      </c>
      <c r="Q509" s="4">
        <f t="shared" si="152"/>
        <v>12</v>
      </c>
      <c r="R509" s="4">
        <f t="shared" si="153"/>
        <v>21</v>
      </c>
      <c r="S509" s="4">
        <f t="shared" si="154"/>
        <v>72</v>
      </c>
      <c r="T509" s="4">
        <f t="shared" si="155"/>
        <v>1</v>
      </c>
      <c r="U509" s="4">
        <f t="shared" si="156"/>
        <v>12</v>
      </c>
      <c r="V509" s="8">
        <f t="shared" si="157"/>
        <v>0</v>
      </c>
      <c r="W509" s="8">
        <f t="shared" si="158"/>
        <v>0</v>
      </c>
      <c r="X509">
        <f t="shared" si="159"/>
        <v>1</v>
      </c>
    </row>
    <row r="510" spans="1:24" x14ac:dyDescent="0.25">
      <c r="A510" s="4" t="s">
        <v>536</v>
      </c>
      <c r="B510" t="s">
        <v>9</v>
      </c>
      <c r="C510" t="s">
        <v>6</v>
      </c>
      <c r="D510" s="3">
        <f t="shared" si="140"/>
        <v>60</v>
      </c>
      <c r="E510" s="4">
        <f t="shared" si="141"/>
        <v>1</v>
      </c>
      <c r="F510" s="4">
        <f t="shared" si="142"/>
        <v>26</v>
      </c>
      <c r="G510" s="3">
        <f>IF(E510&gt;=20,2000,1900) + D510</f>
        <v>1960</v>
      </c>
      <c r="H510">
        <f t="shared" si="143"/>
        <v>1</v>
      </c>
      <c r="I510" s="4">
        <f t="shared" si="144"/>
        <v>26</v>
      </c>
      <c r="J510">
        <f t="shared" si="145"/>
        <v>19600126</v>
      </c>
      <c r="K510" t="str">
        <f t="shared" si="146"/>
        <v>26.01.1960</v>
      </c>
      <c r="L510" s="4">
        <f t="shared" si="147"/>
        <v>6</v>
      </c>
      <c r="M510" s="4">
        <f t="shared" si="148"/>
        <v>0</v>
      </c>
      <c r="N510" s="4">
        <f t="shared" si="149"/>
        <v>0</v>
      </c>
      <c r="O510" s="4">
        <f t="shared" si="150"/>
        <v>9</v>
      </c>
      <c r="P510" s="4">
        <f t="shared" si="151"/>
        <v>2</v>
      </c>
      <c r="Q510" s="4">
        <f t="shared" si="152"/>
        <v>18</v>
      </c>
      <c r="R510" s="4">
        <f t="shared" si="153"/>
        <v>21</v>
      </c>
      <c r="S510" s="4">
        <f t="shared" si="154"/>
        <v>54</v>
      </c>
      <c r="T510" s="4">
        <f t="shared" si="155"/>
        <v>1</v>
      </c>
      <c r="U510" s="4">
        <f t="shared" si="156"/>
        <v>0</v>
      </c>
      <c r="V510" s="8">
        <f t="shared" si="157"/>
        <v>1</v>
      </c>
      <c r="W510" s="8">
        <f t="shared" si="158"/>
        <v>9</v>
      </c>
      <c r="X510">
        <f t="shared" si="159"/>
        <v>1</v>
      </c>
    </row>
    <row r="511" spans="1:24" x14ac:dyDescent="0.25">
      <c r="A511" s="4" t="s">
        <v>537</v>
      </c>
      <c r="B511" t="s">
        <v>14</v>
      </c>
      <c r="C511" t="s">
        <v>6</v>
      </c>
      <c r="D511" s="3">
        <f t="shared" si="140"/>
        <v>64</v>
      </c>
      <c r="E511" s="4">
        <f t="shared" si="141"/>
        <v>3</v>
      </c>
      <c r="F511" s="4">
        <f t="shared" si="142"/>
        <v>13</v>
      </c>
      <c r="G511" s="3">
        <f>IF(E511&gt;=20,2000,1900) + D511</f>
        <v>1964</v>
      </c>
      <c r="H511">
        <f t="shared" si="143"/>
        <v>3</v>
      </c>
      <c r="I511" s="4">
        <f t="shared" si="144"/>
        <v>13</v>
      </c>
      <c r="J511">
        <f t="shared" si="145"/>
        <v>19640313</v>
      </c>
      <c r="K511" t="str">
        <f t="shared" si="146"/>
        <v>13.03.1964</v>
      </c>
      <c r="L511" s="4">
        <f t="shared" si="147"/>
        <v>6</v>
      </c>
      <c r="M511" s="4">
        <f t="shared" si="148"/>
        <v>12</v>
      </c>
      <c r="N511" s="4">
        <f t="shared" si="149"/>
        <v>0</v>
      </c>
      <c r="O511" s="4">
        <f t="shared" si="150"/>
        <v>27</v>
      </c>
      <c r="P511" s="4">
        <f t="shared" si="151"/>
        <v>1</v>
      </c>
      <c r="Q511" s="4">
        <f t="shared" si="152"/>
        <v>9</v>
      </c>
      <c r="R511" s="4">
        <f t="shared" si="153"/>
        <v>14</v>
      </c>
      <c r="S511" s="4">
        <f t="shared" si="154"/>
        <v>72</v>
      </c>
      <c r="T511" s="4">
        <f t="shared" si="155"/>
        <v>6</v>
      </c>
      <c r="U511" s="4">
        <f t="shared" si="156"/>
        <v>9</v>
      </c>
      <c r="V511" s="8">
        <f t="shared" si="157"/>
        <v>6</v>
      </c>
      <c r="W511" s="8">
        <f t="shared" si="158"/>
        <v>4</v>
      </c>
      <c r="X511">
        <f t="shared" si="159"/>
        <v>1</v>
      </c>
    </row>
    <row r="512" spans="1:24" x14ac:dyDescent="0.25">
      <c r="A512" s="4" t="s">
        <v>538</v>
      </c>
      <c r="B512" t="s">
        <v>20</v>
      </c>
      <c r="C512" t="s">
        <v>6</v>
      </c>
      <c r="D512" s="3">
        <f t="shared" si="140"/>
        <v>76</v>
      </c>
      <c r="E512" s="4">
        <f t="shared" si="141"/>
        <v>3</v>
      </c>
      <c r="F512" s="4">
        <f t="shared" si="142"/>
        <v>25</v>
      </c>
      <c r="G512" s="3">
        <f>IF(E512&gt;=20,2000,1900) + D512</f>
        <v>1976</v>
      </c>
      <c r="H512">
        <f t="shared" si="143"/>
        <v>3</v>
      </c>
      <c r="I512" s="4">
        <f t="shared" si="144"/>
        <v>25</v>
      </c>
      <c r="J512">
        <f t="shared" si="145"/>
        <v>19760325</v>
      </c>
      <c r="K512" t="str">
        <f t="shared" si="146"/>
        <v>25.03.1976</v>
      </c>
      <c r="L512" s="4">
        <f t="shared" si="147"/>
        <v>7</v>
      </c>
      <c r="M512" s="4">
        <f t="shared" si="148"/>
        <v>18</v>
      </c>
      <c r="N512" s="4">
        <f t="shared" si="149"/>
        <v>0</v>
      </c>
      <c r="O512" s="4">
        <f t="shared" si="150"/>
        <v>27</v>
      </c>
      <c r="P512" s="4">
        <f t="shared" si="151"/>
        <v>2</v>
      </c>
      <c r="Q512" s="4">
        <f t="shared" si="152"/>
        <v>15</v>
      </c>
      <c r="R512" s="4">
        <f t="shared" si="153"/>
        <v>42</v>
      </c>
      <c r="S512" s="4">
        <f t="shared" si="154"/>
        <v>18</v>
      </c>
      <c r="T512" s="4">
        <f t="shared" si="155"/>
        <v>3</v>
      </c>
      <c r="U512" s="4">
        <f t="shared" si="156"/>
        <v>15</v>
      </c>
      <c r="V512" s="8">
        <f t="shared" si="157"/>
        <v>7</v>
      </c>
      <c r="W512" s="8">
        <f t="shared" si="158"/>
        <v>3</v>
      </c>
      <c r="X512">
        <f t="shared" si="159"/>
        <v>1</v>
      </c>
    </row>
    <row r="513" spans="1:24" x14ac:dyDescent="0.25">
      <c r="A513" s="4" t="s">
        <v>539</v>
      </c>
      <c r="B513" t="s">
        <v>11</v>
      </c>
      <c r="C513" t="s">
        <v>4</v>
      </c>
      <c r="D513" s="3">
        <f t="shared" si="140"/>
        <v>94</v>
      </c>
      <c r="E513" s="4">
        <f t="shared" si="141"/>
        <v>4</v>
      </c>
      <c r="F513" s="4">
        <f t="shared" si="142"/>
        <v>22</v>
      </c>
      <c r="G513" s="3">
        <f>IF(E513&gt;=20,2000,1900) + D513</f>
        <v>1994</v>
      </c>
      <c r="H513">
        <f t="shared" si="143"/>
        <v>4</v>
      </c>
      <c r="I513" s="4">
        <f t="shared" si="144"/>
        <v>22</v>
      </c>
      <c r="J513">
        <f t="shared" si="145"/>
        <v>19940422</v>
      </c>
      <c r="K513" t="str">
        <f t="shared" si="146"/>
        <v>22.04.1994</v>
      </c>
      <c r="L513" s="4">
        <f t="shared" si="147"/>
        <v>9</v>
      </c>
      <c r="M513" s="4">
        <f t="shared" si="148"/>
        <v>12</v>
      </c>
      <c r="N513" s="4">
        <f t="shared" si="149"/>
        <v>0</v>
      </c>
      <c r="O513" s="4">
        <f t="shared" si="150"/>
        <v>36</v>
      </c>
      <c r="P513" s="4">
        <f t="shared" si="151"/>
        <v>2</v>
      </c>
      <c r="Q513" s="4">
        <f t="shared" si="152"/>
        <v>6</v>
      </c>
      <c r="R513" s="4">
        <f t="shared" si="153"/>
        <v>56</v>
      </c>
      <c r="S513" s="4">
        <f t="shared" si="154"/>
        <v>81</v>
      </c>
      <c r="T513" s="4">
        <f t="shared" si="155"/>
        <v>9</v>
      </c>
      <c r="U513" s="4">
        <f t="shared" si="156"/>
        <v>3</v>
      </c>
      <c r="V513" s="8">
        <f t="shared" si="157"/>
        <v>4</v>
      </c>
      <c r="W513" s="8">
        <f t="shared" si="158"/>
        <v>6</v>
      </c>
      <c r="X513">
        <f t="shared" si="159"/>
        <v>1</v>
      </c>
    </row>
    <row r="514" spans="1:24" x14ac:dyDescent="0.25">
      <c r="A514" s="4" t="s">
        <v>540</v>
      </c>
      <c r="B514" t="s">
        <v>16</v>
      </c>
      <c r="C514" t="s">
        <v>6</v>
      </c>
      <c r="D514" s="3">
        <f t="shared" si="140"/>
        <v>72</v>
      </c>
      <c r="E514" s="4">
        <f t="shared" si="141"/>
        <v>1</v>
      </c>
      <c r="F514" s="4">
        <f t="shared" si="142"/>
        <v>12</v>
      </c>
      <c r="G514" s="3">
        <f>IF(E514&gt;=20,2000,1900) + D514</f>
        <v>1972</v>
      </c>
      <c r="H514">
        <f t="shared" si="143"/>
        <v>1</v>
      </c>
      <c r="I514" s="4">
        <f t="shared" si="144"/>
        <v>12</v>
      </c>
      <c r="J514">
        <f t="shared" si="145"/>
        <v>19720112</v>
      </c>
      <c r="K514" t="str">
        <f t="shared" si="146"/>
        <v>12.01.1972</v>
      </c>
      <c r="L514" s="4">
        <f t="shared" si="147"/>
        <v>7</v>
      </c>
      <c r="M514" s="4">
        <f t="shared" si="148"/>
        <v>6</v>
      </c>
      <c r="N514" s="4">
        <f t="shared" si="149"/>
        <v>0</v>
      </c>
      <c r="O514" s="4">
        <f t="shared" si="150"/>
        <v>9</v>
      </c>
      <c r="P514" s="4">
        <f t="shared" si="151"/>
        <v>1</v>
      </c>
      <c r="Q514" s="4">
        <f t="shared" si="152"/>
        <v>6</v>
      </c>
      <c r="R514" s="4">
        <f t="shared" si="153"/>
        <v>21</v>
      </c>
      <c r="S514" s="4">
        <f t="shared" si="154"/>
        <v>45</v>
      </c>
      <c r="T514" s="4">
        <f t="shared" si="155"/>
        <v>8</v>
      </c>
      <c r="U514" s="4">
        <f t="shared" si="156"/>
        <v>18</v>
      </c>
      <c r="V514" s="8">
        <f t="shared" si="157"/>
        <v>1</v>
      </c>
      <c r="W514" s="8">
        <f t="shared" si="158"/>
        <v>9</v>
      </c>
      <c r="X514">
        <f t="shared" si="159"/>
        <v>1</v>
      </c>
    </row>
    <row r="515" spans="1:24" x14ac:dyDescent="0.25">
      <c r="A515" s="4" t="s">
        <v>541</v>
      </c>
      <c r="B515" t="s">
        <v>12</v>
      </c>
      <c r="C515" t="s">
        <v>6</v>
      </c>
      <c r="D515" s="3">
        <f t="shared" ref="D515:D578" si="160">MID(A515,1,2)*1</f>
        <v>55</v>
      </c>
      <c r="E515" s="4">
        <f t="shared" ref="E515:E578" si="161">MID(A515,3,2)*1</f>
        <v>10</v>
      </c>
      <c r="F515" s="4">
        <f t="shared" ref="F515:F578" si="162">MID(A515,5,2)*1</f>
        <v>16</v>
      </c>
      <c r="G515" s="3">
        <f>IF(E515&gt;=20,2000,1900) + D515</f>
        <v>1955</v>
      </c>
      <c r="H515">
        <f t="shared" ref="H515:H578" si="163">IF(E515&gt;=20,E515-20,E515)</f>
        <v>10</v>
      </c>
      <c r="I515" s="4">
        <f t="shared" ref="I515:I578" si="164">F515</f>
        <v>16</v>
      </c>
      <c r="J515">
        <f t="shared" ref="J515:J578" si="165">CONCATENATE(G515,IF(LEN(E515)=1,CONCATENATE("0",E515),E515),IF(LEN(F515)=1,CONCATENATE("0",F515),F515))*1</f>
        <v>19551016</v>
      </c>
      <c r="K515" t="str">
        <f t="shared" ref="K515:K578" si="166">CONCATENATE(RIGHT(J515,2),".",MID(J515,5,2),".",LEFT(J515,4))</f>
        <v>16.10.1955</v>
      </c>
      <c r="L515" s="4">
        <f t="shared" ref="L515:L578" si="167">MID(A515,1,1)*1</f>
        <v>5</v>
      </c>
      <c r="M515" s="4">
        <f t="shared" ref="M515:M578" si="168">MID(A515,2,1)*3</f>
        <v>15</v>
      </c>
      <c r="N515" s="4">
        <f t="shared" ref="N515:N578" si="169">MID(A515,3,1)*7</f>
        <v>7</v>
      </c>
      <c r="O515" s="4">
        <f t="shared" ref="O515:O578" si="170">MID(A515,4,1)*9</f>
        <v>0</v>
      </c>
      <c r="P515" s="4">
        <f t="shared" ref="P515:P578" si="171">MID(A515,5,1)*1</f>
        <v>1</v>
      </c>
      <c r="Q515" s="4">
        <f t="shared" ref="Q515:Q578" si="172">MID(A515,6,1)*3</f>
        <v>18</v>
      </c>
      <c r="R515" s="4">
        <f t="shared" ref="R515:R578" si="173">MID(A515,7,1)*7</f>
        <v>14</v>
      </c>
      <c r="S515" s="4">
        <f t="shared" ref="S515:S578" si="174">MID(A515,8,1)*9</f>
        <v>18</v>
      </c>
      <c r="T515" s="4">
        <f t="shared" ref="T515:T578" si="175">MID(A515,9,1)*1</f>
        <v>8</v>
      </c>
      <c r="U515" s="4">
        <f t="shared" ref="U515:U578" si="176">MID(A515,10,1)*3</f>
        <v>27</v>
      </c>
      <c r="V515" s="8">
        <f t="shared" ref="V515:V578" si="177">MOD(SUM(L515:U515),10)</f>
        <v>3</v>
      </c>
      <c r="W515" s="8">
        <f t="shared" ref="W515:W578" si="178">IF(V515=0,0,10-V515)</f>
        <v>7</v>
      </c>
      <c r="X515">
        <f t="shared" ref="X515:X578" si="179">IF(W515=RIGHT(A515,1)*1,1,0)</f>
        <v>1</v>
      </c>
    </row>
    <row r="516" spans="1:24" x14ac:dyDescent="0.25">
      <c r="A516" s="4" t="s">
        <v>542</v>
      </c>
      <c r="B516" t="s">
        <v>5</v>
      </c>
      <c r="C516" t="s">
        <v>6</v>
      </c>
      <c r="D516" s="3">
        <f t="shared" si="160"/>
        <v>63</v>
      </c>
      <c r="E516" s="4">
        <f t="shared" si="161"/>
        <v>6</v>
      </c>
      <c r="F516" s="4">
        <f t="shared" si="162"/>
        <v>15</v>
      </c>
      <c r="G516" s="3">
        <f>IF(E516&gt;=20,2000,1900) + D516</f>
        <v>1963</v>
      </c>
      <c r="H516">
        <f t="shared" si="163"/>
        <v>6</v>
      </c>
      <c r="I516" s="4">
        <f t="shared" si="164"/>
        <v>15</v>
      </c>
      <c r="J516">
        <f t="shared" si="165"/>
        <v>19630615</v>
      </c>
      <c r="K516" t="str">
        <f t="shared" si="166"/>
        <v>15.06.1963</v>
      </c>
      <c r="L516" s="4">
        <f t="shared" si="167"/>
        <v>6</v>
      </c>
      <c r="M516" s="4">
        <f t="shared" si="168"/>
        <v>9</v>
      </c>
      <c r="N516" s="4">
        <f t="shared" si="169"/>
        <v>0</v>
      </c>
      <c r="O516" s="4">
        <f t="shared" si="170"/>
        <v>54</v>
      </c>
      <c r="P516" s="4">
        <f t="shared" si="171"/>
        <v>1</v>
      </c>
      <c r="Q516" s="4">
        <f t="shared" si="172"/>
        <v>15</v>
      </c>
      <c r="R516" s="4">
        <f t="shared" si="173"/>
        <v>63</v>
      </c>
      <c r="S516" s="4">
        <f t="shared" si="174"/>
        <v>9</v>
      </c>
      <c r="T516" s="4">
        <f t="shared" si="175"/>
        <v>0</v>
      </c>
      <c r="U516" s="4">
        <f t="shared" si="176"/>
        <v>27</v>
      </c>
      <c r="V516" s="8">
        <f t="shared" si="177"/>
        <v>4</v>
      </c>
      <c r="W516" s="8">
        <f t="shared" si="178"/>
        <v>6</v>
      </c>
      <c r="X516">
        <f t="shared" si="179"/>
        <v>1</v>
      </c>
    </row>
    <row r="517" spans="1:24" x14ac:dyDescent="0.25">
      <c r="A517" s="4" t="s">
        <v>543</v>
      </c>
      <c r="B517" t="s">
        <v>15</v>
      </c>
      <c r="C517" t="s">
        <v>6</v>
      </c>
      <c r="D517" s="3">
        <f t="shared" si="160"/>
        <v>66</v>
      </c>
      <c r="E517" s="4">
        <f t="shared" si="161"/>
        <v>9</v>
      </c>
      <c r="F517" s="4">
        <f t="shared" si="162"/>
        <v>20</v>
      </c>
      <c r="G517" s="3">
        <f>IF(E517&gt;=20,2000,1900) + D517</f>
        <v>1966</v>
      </c>
      <c r="H517">
        <f t="shared" si="163"/>
        <v>9</v>
      </c>
      <c r="I517" s="4">
        <f t="shared" si="164"/>
        <v>20</v>
      </c>
      <c r="J517">
        <f t="shared" si="165"/>
        <v>19660920</v>
      </c>
      <c r="K517" t="str">
        <f t="shared" si="166"/>
        <v>20.09.1966</v>
      </c>
      <c r="L517" s="4">
        <f t="shared" si="167"/>
        <v>6</v>
      </c>
      <c r="M517" s="4">
        <f t="shared" si="168"/>
        <v>18</v>
      </c>
      <c r="N517" s="4">
        <f t="shared" si="169"/>
        <v>0</v>
      </c>
      <c r="O517" s="4">
        <f t="shared" si="170"/>
        <v>81</v>
      </c>
      <c r="P517" s="4">
        <f t="shared" si="171"/>
        <v>2</v>
      </c>
      <c r="Q517" s="4">
        <f t="shared" si="172"/>
        <v>0</v>
      </c>
      <c r="R517" s="4">
        <f t="shared" si="173"/>
        <v>56</v>
      </c>
      <c r="S517" s="4">
        <f t="shared" si="174"/>
        <v>54</v>
      </c>
      <c r="T517" s="4">
        <f t="shared" si="175"/>
        <v>2</v>
      </c>
      <c r="U517" s="4">
        <f t="shared" si="176"/>
        <v>24</v>
      </c>
      <c r="V517" s="8">
        <f t="shared" si="177"/>
        <v>3</v>
      </c>
      <c r="W517" s="8">
        <f t="shared" si="178"/>
        <v>7</v>
      </c>
      <c r="X517">
        <f t="shared" si="179"/>
        <v>1</v>
      </c>
    </row>
    <row r="518" spans="1:24" x14ac:dyDescent="0.25">
      <c r="A518" s="4" t="s">
        <v>544</v>
      </c>
      <c r="B518" t="s">
        <v>15</v>
      </c>
      <c r="C518" t="s">
        <v>6</v>
      </c>
      <c r="D518" s="3">
        <f t="shared" si="160"/>
        <v>79</v>
      </c>
      <c r="E518" s="4">
        <f t="shared" si="161"/>
        <v>12</v>
      </c>
      <c r="F518" s="4">
        <f t="shared" si="162"/>
        <v>3</v>
      </c>
      <c r="G518" s="3">
        <f>IF(E518&gt;=20,2000,1900) + D518</f>
        <v>1979</v>
      </c>
      <c r="H518">
        <f t="shared" si="163"/>
        <v>12</v>
      </c>
      <c r="I518" s="4">
        <f t="shared" si="164"/>
        <v>3</v>
      </c>
      <c r="J518">
        <f t="shared" si="165"/>
        <v>19791203</v>
      </c>
      <c r="K518" t="str">
        <f t="shared" si="166"/>
        <v>03.12.1979</v>
      </c>
      <c r="L518" s="4">
        <f t="shared" si="167"/>
        <v>7</v>
      </c>
      <c r="M518" s="4">
        <f t="shared" si="168"/>
        <v>27</v>
      </c>
      <c r="N518" s="4">
        <f t="shared" si="169"/>
        <v>7</v>
      </c>
      <c r="O518" s="4">
        <f t="shared" si="170"/>
        <v>18</v>
      </c>
      <c r="P518" s="4">
        <f t="shared" si="171"/>
        <v>0</v>
      </c>
      <c r="Q518" s="4">
        <f t="shared" si="172"/>
        <v>9</v>
      </c>
      <c r="R518" s="4">
        <f t="shared" si="173"/>
        <v>35</v>
      </c>
      <c r="S518" s="4">
        <f t="shared" si="174"/>
        <v>9</v>
      </c>
      <c r="T518" s="4">
        <f t="shared" si="175"/>
        <v>8</v>
      </c>
      <c r="U518" s="4">
        <f t="shared" si="176"/>
        <v>12</v>
      </c>
      <c r="V518" s="8">
        <f t="shared" si="177"/>
        <v>2</v>
      </c>
      <c r="W518" s="8">
        <f t="shared" si="178"/>
        <v>8</v>
      </c>
      <c r="X518">
        <f t="shared" si="179"/>
        <v>1</v>
      </c>
    </row>
    <row r="519" spans="1:24" x14ac:dyDescent="0.25">
      <c r="A519" s="4" t="s">
        <v>545</v>
      </c>
      <c r="B519" t="s">
        <v>17</v>
      </c>
      <c r="C519" t="s">
        <v>6</v>
      </c>
      <c r="D519" s="3">
        <f t="shared" si="160"/>
        <v>75</v>
      </c>
      <c r="E519" s="4">
        <f t="shared" si="161"/>
        <v>3</v>
      </c>
      <c r="F519" s="4">
        <f t="shared" si="162"/>
        <v>20</v>
      </c>
      <c r="G519" s="3">
        <f>IF(E519&gt;=20,2000,1900) + D519</f>
        <v>1975</v>
      </c>
      <c r="H519">
        <f t="shared" si="163"/>
        <v>3</v>
      </c>
      <c r="I519" s="4">
        <f t="shared" si="164"/>
        <v>20</v>
      </c>
      <c r="J519">
        <f t="shared" si="165"/>
        <v>19750320</v>
      </c>
      <c r="K519" t="str">
        <f t="shared" si="166"/>
        <v>20.03.1975</v>
      </c>
      <c r="L519" s="4">
        <f t="shared" si="167"/>
        <v>7</v>
      </c>
      <c r="M519" s="4">
        <f t="shared" si="168"/>
        <v>15</v>
      </c>
      <c r="N519" s="4">
        <f t="shared" si="169"/>
        <v>0</v>
      </c>
      <c r="O519" s="4">
        <f t="shared" si="170"/>
        <v>27</v>
      </c>
      <c r="P519" s="4">
        <f t="shared" si="171"/>
        <v>2</v>
      </c>
      <c r="Q519" s="4">
        <f t="shared" si="172"/>
        <v>0</v>
      </c>
      <c r="R519" s="4">
        <f t="shared" si="173"/>
        <v>14</v>
      </c>
      <c r="S519" s="4">
        <f t="shared" si="174"/>
        <v>81</v>
      </c>
      <c r="T519" s="4">
        <f t="shared" si="175"/>
        <v>0</v>
      </c>
      <c r="U519" s="4">
        <f t="shared" si="176"/>
        <v>18</v>
      </c>
      <c r="V519" s="8">
        <f t="shared" si="177"/>
        <v>4</v>
      </c>
      <c r="W519" s="8">
        <f t="shared" si="178"/>
        <v>6</v>
      </c>
      <c r="X519">
        <f t="shared" si="179"/>
        <v>1</v>
      </c>
    </row>
    <row r="520" spans="1:24" x14ac:dyDescent="0.25">
      <c r="A520" s="4" t="s">
        <v>546</v>
      </c>
      <c r="B520" t="s">
        <v>17</v>
      </c>
      <c r="C520" t="s">
        <v>4</v>
      </c>
      <c r="D520" s="3">
        <f t="shared" si="160"/>
        <v>64</v>
      </c>
      <c r="E520" s="4">
        <f t="shared" si="161"/>
        <v>12</v>
      </c>
      <c r="F520" s="4">
        <f t="shared" si="162"/>
        <v>6</v>
      </c>
      <c r="G520" s="3">
        <f>IF(E520&gt;=20,2000,1900) + D520</f>
        <v>1964</v>
      </c>
      <c r="H520">
        <f t="shared" si="163"/>
        <v>12</v>
      </c>
      <c r="I520" s="4">
        <f t="shared" si="164"/>
        <v>6</v>
      </c>
      <c r="J520">
        <f t="shared" si="165"/>
        <v>19641206</v>
      </c>
      <c r="K520" t="str">
        <f t="shared" si="166"/>
        <v>06.12.1964</v>
      </c>
      <c r="L520" s="4">
        <f t="shared" si="167"/>
        <v>6</v>
      </c>
      <c r="M520" s="4">
        <f t="shared" si="168"/>
        <v>12</v>
      </c>
      <c r="N520" s="4">
        <f t="shared" si="169"/>
        <v>7</v>
      </c>
      <c r="O520" s="4">
        <f t="shared" si="170"/>
        <v>18</v>
      </c>
      <c r="P520" s="4">
        <f t="shared" si="171"/>
        <v>0</v>
      </c>
      <c r="Q520" s="4">
        <f t="shared" si="172"/>
        <v>18</v>
      </c>
      <c r="R520" s="4">
        <f t="shared" si="173"/>
        <v>21</v>
      </c>
      <c r="S520" s="4">
        <f t="shared" si="174"/>
        <v>9</v>
      </c>
      <c r="T520" s="4">
        <f t="shared" si="175"/>
        <v>3</v>
      </c>
      <c r="U520" s="4">
        <f t="shared" si="176"/>
        <v>15</v>
      </c>
      <c r="V520" s="8">
        <f t="shared" si="177"/>
        <v>9</v>
      </c>
      <c r="W520" s="8">
        <f t="shared" si="178"/>
        <v>1</v>
      </c>
      <c r="X520">
        <f t="shared" si="179"/>
        <v>1</v>
      </c>
    </row>
    <row r="521" spans="1:24" x14ac:dyDescent="0.25">
      <c r="A521" s="4" t="s">
        <v>547</v>
      </c>
      <c r="B521" t="s">
        <v>9</v>
      </c>
      <c r="C521" t="s">
        <v>6</v>
      </c>
      <c r="D521" s="3">
        <f t="shared" si="160"/>
        <v>73</v>
      </c>
      <c r="E521" s="4">
        <f t="shared" si="161"/>
        <v>7</v>
      </c>
      <c r="F521" s="4">
        <f t="shared" si="162"/>
        <v>28</v>
      </c>
      <c r="G521" s="3">
        <f>IF(E521&gt;=20,2000,1900) + D521</f>
        <v>1973</v>
      </c>
      <c r="H521">
        <f t="shared" si="163"/>
        <v>7</v>
      </c>
      <c r="I521" s="4">
        <f t="shared" si="164"/>
        <v>28</v>
      </c>
      <c r="J521">
        <f t="shared" si="165"/>
        <v>19730728</v>
      </c>
      <c r="K521" t="str">
        <f t="shared" si="166"/>
        <v>28.07.1973</v>
      </c>
      <c r="L521" s="4">
        <f t="shared" si="167"/>
        <v>7</v>
      </c>
      <c r="M521" s="4">
        <f t="shared" si="168"/>
        <v>9</v>
      </c>
      <c r="N521" s="4">
        <f t="shared" si="169"/>
        <v>0</v>
      </c>
      <c r="O521" s="4">
        <f t="shared" si="170"/>
        <v>63</v>
      </c>
      <c r="P521" s="4">
        <f t="shared" si="171"/>
        <v>2</v>
      </c>
      <c r="Q521" s="4">
        <f t="shared" si="172"/>
        <v>24</v>
      </c>
      <c r="R521" s="4">
        <f t="shared" si="173"/>
        <v>28</v>
      </c>
      <c r="S521" s="4">
        <f t="shared" si="174"/>
        <v>18</v>
      </c>
      <c r="T521" s="4">
        <f t="shared" si="175"/>
        <v>4</v>
      </c>
      <c r="U521" s="4">
        <f t="shared" si="176"/>
        <v>9</v>
      </c>
      <c r="V521" s="8">
        <f t="shared" si="177"/>
        <v>4</v>
      </c>
      <c r="W521" s="8">
        <f t="shared" si="178"/>
        <v>6</v>
      </c>
      <c r="X521">
        <f t="shared" si="179"/>
        <v>1</v>
      </c>
    </row>
    <row r="522" spans="1:24" x14ac:dyDescent="0.25">
      <c r="A522" s="4" t="s">
        <v>548</v>
      </c>
      <c r="B522" t="s">
        <v>17</v>
      </c>
      <c r="C522" t="s">
        <v>6</v>
      </c>
      <c r="D522" s="3">
        <f t="shared" si="160"/>
        <v>81</v>
      </c>
      <c r="E522" s="4">
        <f t="shared" si="161"/>
        <v>3</v>
      </c>
      <c r="F522" s="4">
        <f t="shared" si="162"/>
        <v>21</v>
      </c>
      <c r="G522" s="3">
        <f>IF(E522&gt;=20,2000,1900) + D522</f>
        <v>1981</v>
      </c>
      <c r="H522">
        <f t="shared" si="163"/>
        <v>3</v>
      </c>
      <c r="I522" s="4">
        <f t="shared" si="164"/>
        <v>21</v>
      </c>
      <c r="J522">
        <f t="shared" si="165"/>
        <v>19810321</v>
      </c>
      <c r="K522" t="str">
        <f t="shared" si="166"/>
        <v>21.03.1981</v>
      </c>
      <c r="L522" s="4">
        <f t="shared" si="167"/>
        <v>8</v>
      </c>
      <c r="M522" s="4">
        <f t="shared" si="168"/>
        <v>3</v>
      </c>
      <c r="N522" s="4">
        <f t="shared" si="169"/>
        <v>0</v>
      </c>
      <c r="O522" s="4">
        <f t="shared" si="170"/>
        <v>27</v>
      </c>
      <c r="P522" s="4">
        <f t="shared" si="171"/>
        <v>2</v>
      </c>
      <c r="Q522" s="4">
        <f t="shared" si="172"/>
        <v>3</v>
      </c>
      <c r="R522" s="4">
        <f t="shared" si="173"/>
        <v>42</v>
      </c>
      <c r="S522" s="4">
        <f t="shared" si="174"/>
        <v>27</v>
      </c>
      <c r="T522" s="4">
        <f t="shared" si="175"/>
        <v>3</v>
      </c>
      <c r="U522" s="4">
        <f t="shared" si="176"/>
        <v>18</v>
      </c>
      <c r="V522" s="8">
        <f t="shared" si="177"/>
        <v>3</v>
      </c>
      <c r="W522" s="8">
        <f t="shared" si="178"/>
        <v>7</v>
      </c>
      <c r="X522">
        <f t="shared" si="179"/>
        <v>1</v>
      </c>
    </row>
    <row r="523" spans="1:24" x14ac:dyDescent="0.25">
      <c r="A523" s="4" t="s">
        <v>549</v>
      </c>
      <c r="B523" t="s">
        <v>18</v>
      </c>
      <c r="C523" t="s">
        <v>4</v>
      </c>
      <c r="D523" s="3">
        <f t="shared" si="160"/>
        <v>99</v>
      </c>
      <c r="E523" s="4">
        <f t="shared" si="161"/>
        <v>12</v>
      </c>
      <c r="F523" s="4">
        <f t="shared" si="162"/>
        <v>2</v>
      </c>
      <c r="G523" s="3">
        <f>IF(E523&gt;=20,2000,1900) + D523</f>
        <v>1999</v>
      </c>
      <c r="H523">
        <f t="shared" si="163"/>
        <v>12</v>
      </c>
      <c r="I523" s="4">
        <f t="shared" si="164"/>
        <v>2</v>
      </c>
      <c r="J523">
        <f t="shared" si="165"/>
        <v>19991202</v>
      </c>
      <c r="K523" t="str">
        <f t="shared" si="166"/>
        <v>02.12.1999</v>
      </c>
      <c r="L523" s="4">
        <f t="shared" si="167"/>
        <v>9</v>
      </c>
      <c r="M523" s="4">
        <f t="shared" si="168"/>
        <v>27</v>
      </c>
      <c r="N523" s="4">
        <f t="shared" si="169"/>
        <v>7</v>
      </c>
      <c r="O523" s="4">
        <f t="shared" si="170"/>
        <v>18</v>
      </c>
      <c r="P523" s="4">
        <f t="shared" si="171"/>
        <v>0</v>
      </c>
      <c r="Q523" s="4">
        <f t="shared" si="172"/>
        <v>6</v>
      </c>
      <c r="R523" s="4">
        <f t="shared" si="173"/>
        <v>49</v>
      </c>
      <c r="S523" s="4">
        <f t="shared" si="174"/>
        <v>27</v>
      </c>
      <c r="T523" s="4">
        <f t="shared" si="175"/>
        <v>5</v>
      </c>
      <c r="U523" s="4">
        <f t="shared" si="176"/>
        <v>3</v>
      </c>
      <c r="V523" s="8">
        <f t="shared" si="177"/>
        <v>1</v>
      </c>
      <c r="W523" s="8">
        <f t="shared" si="178"/>
        <v>9</v>
      </c>
      <c r="X523">
        <f t="shared" si="179"/>
        <v>1</v>
      </c>
    </row>
    <row r="524" spans="1:24" x14ac:dyDescent="0.25">
      <c r="A524" s="4" t="s">
        <v>550</v>
      </c>
      <c r="B524" t="s">
        <v>7</v>
      </c>
      <c r="C524" t="s">
        <v>6</v>
      </c>
      <c r="D524" s="3">
        <f t="shared" si="160"/>
        <v>57</v>
      </c>
      <c r="E524" s="4">
        <f t="shared" si="161"/>
        <v>4</v>
      </c>
      <c r="F524" s="4">
        <f t="shared" si="162"/>
        <v>5</v>
      </c>
      <c r="G524" s="3">
        <f>IF(E524&gt;=20,2000,1900) + D524</f>
        <v>1957</v>
      </c>
      <c r="H524">
        <f t="shared" si="163"/>
        <v>4</v>
      </c>
      <c r="I524" s="4">
        <f t="shared" si="164"/>
        <v>5</v>
      </c>
      <c r="J524">
        <f t="shared" si="165"/>
        <v>19570405</v>
      </c>
      <c r="K524" t="str">
        <f t="shared" si="166"/>
        <v>05.04.1957</v>
      </c>
      <c r="L524" s="4">
        <f t="shared" si="167"/>
        <v>5</v>
      </c>
      <c r="M524" s="4">
        <f t="shared" si="168"/>
        <v>21</v>
      </c>
      <c r="N524" s="4">
        <f t="shared" si="169"/>
        <v>0</v>
      </c>
      <c r="O524" s="4">
        <f t="shared" si="170"/>
        <v>36</v>
      </c>
      <c r="P524" s="4">
        <f t="shared" si="171"/>
        <v>0</v>
      </c>
      <c r="Q524" s="4">
        <f t="shared" si="172"/>
        <v>15</v>
      </c>
      <c r="R524" s="4">
        <f t="shared" si="173"/>
        <v>63</v>
      </c>
      <c r="S524" s="4">
        <f t="shared" si="174"/>
        <v>54</v>
      </c>
      <c r="T524" s="4">
        <f t="shared" si="175"/>
        <v>5</v>
      </c>
      <c r="U524" s="4">
        <f t="shared" si="176"/>
        <v>21</v>
      </c>
      <c r="V524" s="8">
        <f t="shared" si="177"/>
        <v>0</v>
      </c>
      <c r="W524" s="8">
        <f t="shared" si="178"/>
        <v>0</v>
      </c>
      <c r="X524">
        <f t="shared" si="179"/>
        <v>1</v>
      </c>
    </row>
    <row r="525" spans="1:24" x14ac:dyDescent="0.25">
      <c r="A525" s="4" t="s">
        <v>551</v>
      </c>
      <c r="B525" t="s">
        <v>14</v>
      </c>
      <c r="C525" t="s">
        <v>6</v>
      </c>
      <c r="D525" s="3">
        <f t="shared" si="160"/>
        <v>99</v>
      </c>
      <c r="E525" s="4">
        <f t="shared" si="161"/>
        <v>5</v>
      </c>
      <c r="F525" s="4">
        <f t="shared" si="162"/>
        <v>13</v>
      </c>
      <c r="G525" s="3">
        <f>IF(E525&gt;=20,2000,1900) + D525</f>
        <v>1999</v>
      </c>
      <c r="H525">
        <f t="shared" si="163"/>
        <v>5</v>
      </c>
      <c r="I525" s="4">
        <f t="shared" si="164"/>
        <v>13</v>
      </c>
      <c r="J525">
        <f t="shared" si="165"/>
        <v>19990513</v>
      </c>
      <c r="K525" t="str">
        <f t="shared" si="166"/>
        <v>13.05.1999</v>
      </c>
      <c r="L525" s="4">
        <f t="shared" si="167"/>
        <v>9</v>
      </c>
      <c r="M525" s="4">
        <f t="shared" si="168"/>
        <v>27</v>
      </c>
      <c r="N525" s="4">
        <f t="shared" si="169"/>
        <v>0</v>
      </c>
      <c r="O525" s="4">
        <f t="shared" si="170"/>
        <v>45</v>
      </c>
      <c r="P525" s="4">
        <f t="shared" si="171"/>
        <v>1</v>
      </c>
      <c r="Q525" s="4">
        <f t="shared" si="172"/>
        <v>9</v>
      </c>
      <c r="R525" s="4">
        <f t="shared" si="173"/>
        <v>56</v>
      </c>
      <c r="S525" s="4">
        <f t="shared" si="174"/>
        <v>54</v>
      </c>
      <c r="T525" s="4">
        <f t="shared" si="175"/>
        <v>7</v>
      </c>
      <c r="U525" s="4">
        <f t="shared" si="176"/>
        <v>27</v>
      </c>
      <c r="V525" s="8">
        <f t="shared" si="177"/>
        <v>5</v>
      </c>
      <c r="W525" s="8">
        <f t="shared" si="178"/>
        <v>5</v>
      </c>
      <c r="X525">
        <f t="shared" si="179"/>
        <v>1</v>
      </c>
    </row>
    <row r="526" spans="1:24" x14ac:dyDescent="0.25">
      <c r="A526" s="4" t="s">
        <v>552</v>
      </c>
      <c r="B526" t="s">
        <v>11</v>
      </c>
      <c r="C526" t="s">
        <v>4</v>
      </c>
      <c r="D526" s="3">
        <f t="shared" si="160"/>
        <v>73</v>
      </c>
      <c r="E526" s="4">
        <f t="shared" si="161"/>
        <v>3</v>
      </c>
      <c r="F526" s="4">
        <f t="shared" si="162"/>
        <v>18</v>
      </c>
      <c r="G526" s="3">
        <f>IF(E526&gt;=20,2000,1900) + D526</f>
        <v>1973</v>
      </c>
      <c r="H526">
        <f t="shared" si="163"/>
        <v>3</v>
      </c>
      <c r="I526" s="4">
        <f t="shared" si="164"/>
        <v>18</v>
      </c>
      <c r="J526">
        <f t="shared" si="165"/>
        <v>19730318</v>
      </c>
      <c r="K526" t="str">
        <f t="shared" si="166"/>
        <v>18.03.1973</v>
      </c>
      <c r="L526" s="4">
        <f t="shared" si="167"/>
        <v>7</v>
      </c>
      <c r="M526" s="4">
        <f t="shared" si="168"/>
        <v>9</v>
      </c>
      <c r="N526" s="4">
        <f t="shared" si="169"/>
        <v>0</v>
      </c>
      <c r="O526" s="4">
        <f t="shared" si="170"/>
        <v>27</v>
      </c>
      <c r="P526" s="4">
        <f t="shared" si="171"/>
        <v>1</v>
      </c>
      <c r="Q526" s="4">
        <f t="shared" si="172"/>
        <v>24</v>
      </c>
      <c r="R526" s="4">
        <f t="shared" si="173"/>
        <v>7</v>
      </c>
      <c r="S526" s="4">
        <f t="shared" si="174"/>
        <v>27</v>
      </c>
      <c r="T526" s="4">
        <f t="shared" si="175"/>
        <v>1</v>
      </c>
      <c r="U526" s="4">
        <f t="shared" si="176"/>
        <v>21</v>
      </c>
      <c r="V526" s="8">
        <f t="shared" si="177"/>
        <v>4</v>
      </c>
      <c r="W526" s="8">
        <f t="shared" si="178"/>
        <v>6</v>
      </c>
      <c r="X526">
        <f t="shared" si="179"/>
        <v>1</v>
      </c>
    </row>
    <row r="527" spans="1:24" x14ac:dyDescent="0.25">
      <c r="A527" s="4" t="s">
        <v>553</v>
      </c>
      <c r="B527" t="s">
        <v>5</v>
      </c>
      <c r="C527" t="s">
        <v>6</v>
      </c>
      <c r="D527" s="3">
        <f t="shared" si="160"/>
        <v>86</v>
      </c>
      <c r="E527" s="4">
        <f t="shared" si="161"/>
        <v>6</v>
      </c>
      <c r="F527" s="4">
        <f t="shared" si="162"/>
        <v>15</v>
      </c>
      <c r="G527" s="3">
        <f>IF(E527&gt;=20,2000,1900) + D527</f>
        <v>1986</v>
      </c>
      <c r="H527">
        <f t="shared" si="163"/>
        <v>6</v>
      </c>
      <c r="I527" s="4">
        <f t="shared" si="164"/>
        <v>15</v>
      </c>
      <c r="J527">
        <f t="shared" si="165"/>
        <v>19860615</v>
      </c>
      <c r="K527" t="str">
        <f t="shared" si="166"/>
        <v>15.06.1986</v>
      </c>
      <c r="L527" s="4">
        <f t="shared" si="167"/>
        <v>8</v>
      </c>
      <c r="M527" s="4">
        <f t="shared" si="168"/>
        <v>18</v>
      </c>
      <c r="N527" s="4">
        <f t="shared" si="169"/>
        <v>0</v>
      </c>
      <c r="O527" s="4">
        <f t="shared" si="170"/>
        <v>54</v>
      </c>
      <c r="P527" s="4">
        <f t="shared" si="171"/>
        <v>1</v>
      </c>
      <c r="Q527" s="4">
        <f t="shared" si="172"/>
        <v>15</v>
      </c>
      <c r="R527" s="4">
        <f t="shared" si="173"/>
        <v>42</v>
      </c>
      <c r="S527" s="4">
        <f t="shared" si="174"/>
        <v>54</v>
      </c>
      <c r="T527" s="4">
        <f t="shared" si="175"/>
        <v>3</v>
      </c>
      <c r="U527" s="4">
        <f t="shared" si="176"/>
        <v>3</v>
      </c>
      <c r="V527" s="8">
        <f t="shared" si="177"/>
        <v>8</v>
      </c>
      <c r="W527" s="8">
        <f t="shared" si="178"/>
        <v>2</v>
      </c>
      <c r="X527">
        <f t="shared" si="179"/>
        <v>1</v>
      </c>
    </row>
    <row r="528" spans="1:24" x14ac:dyDescent="0.25">
      <c r="A528" s="4" t="s">
        <v>554</v>
      </c>
      <c r="B528" t="s">
        <v>11</v>
      </c>
      <c r="C528" t="s">
        <v>4</v>
      </c>
      <c r="D528" s="3">
        <f t="shared" si="160"/>
        <v>53</v>
      </c>
      <c r="E528" s="4">
        <f t="shared" si="161"/>
        <v>9</v>
      </c>
      <c r="F528" s="4">
        <f t="shared" si="162"/>
        <v>6</v>
      </c>
      <c r="G528" s="3">
        <f>IF(E528&gt;=20,2000,1900) + D528</f>
        <v>1953</v>
      </c>
      <c r="H528">
        <f t="shared" si="163"/>
        <v>9</v>
      </c>
      <c r="I528" s="4">
        <f t="shared" si="164"/>
        <v>6</v>
      </c>
      <c r="J528">
        <f t="shared" si="165"/>
        <v>19530906</v>
      </c>
      <c r="K528" t="str">
        <f t="shared" si="166"/>
        <v>06.09.1953</v>
      </c>
      <c r="L528" s="4">
        <f t="shared" si="167"/>
        <v>5</v>
      </c>
      <c r="M528" s="4">
        <f t="shared" si="168"/>
        <v>9</v>
      </c>
      <c r="N528" s="4">
        <f t="shared" si="169"/>
        <v>0</v>
      </c>
      <c r="O528" s="4">
        <f t="shared" si="170"/>
        <v>81</v>
      </c>
      <c r="P528" s="4">
        <f t="shared" si="171"/>
        <v>0</v>
      </c>
      <c r="Q528" s="4">
        <f t="shared" si="172"/>
        <v>18</v>
      </c>
      <c r="R528" s="4">
        <f t="shared" si="173"/>
        <v>63</v>
      </c>
      <c r="S528" s="4">
        <f t="shared" si="174"/>
        <v>72</v>
      </c>
      <c r="T528" s="4">
        <f t="shared" si="175"/>
        <v>0</v>
      </c>
      <c r="U528" s="4">
        <f t="shared" si="176"/>
        <v>6</v>
      </c>
      <c r="V528" s="8">
        <f t="shared" si="177"/>
        <v>4</v>
      </c>
      <c r="W528" s="8">
        <f t="shared" si="178"/>
        <v>6</v>
      </c>
      <c r="X528">
        <f t="shared" si="179"/>
        <v>1</v>
      </c>
    </row>
    <row r="529" spans="1:24" x14ac:dyDescent="0.25">
      <c r="A529" s="4" t="s">
        <v>555</v>
      </c>
      <c r="B529" t="s">
        <v>3</v>
      </c>
      <c r="C529" t="s">
        <v>4</v>
      </c>
      <c r="D529" s="3">
        <f t="shared" si="160"/>
        <v>75</v>
      </c>
      <c r="E529" s="4">
        <f t="shared" si="161"/>
        <v>2</v>
      </c>
      <c r="F529" s="4">
        <f t="shared" si="162"/>
        <v>13</v>
      </c>
      <c r="G529" s="3">
        <f>IF(E529&gt;=20,2000,1900) + D529</f>
        <v>1975</v>
      </c>
      <c r="H529">
        <f t="shared" si="163"/>
        <v>2</v>
      </c>
      <c r="I529" s="4">
        <f t="shared" si="164"/>
        <v>13</v>
      </c>
      <c r="J529">
        <f t="shared" si="165"/>
        <v>19750213</v>
      </c>
      <c r="K529" t="str">
        <f t="shared" si="166"/>
        <v>13.02.1975</v>
      </c>
      <c r="L529" s="4">
        <f t="shared" si="167"/>
        <v>7</v>
      </c>
      <c r="M529" s="4">
        <f t="shared" si="168"/>
        <v>15</v>
      </c>
      <c r="N529" s="4">
        <f t="shared" si="169"/>
        <v>0</v>
      </c>
      <c r="O529" s="4">
        <f t="shared" si="170"/>
        <v>18</v>
      </c>
      <c r="P529" s="4">
        <f t="shared" si="171"/>
        <v>1</v>
      </c>
      <c r="Q529" s="4">
        <f t="shared" si="172"/>
        <v>9</v>
      </c>
      <c r="R529" s="4">
        <f t="shared" si="173"/>
        <v>35</v>
      </c>
      <c r="S529" s="4">
        <f t="shared" si="174"/>
        <v>63</v>
      </c>
      <c r="T529" s="4">
        <f t="shared" si="175"/>
        <v>6</v>
      </c>
      <c r="U529" s="4">
        <f t="shared" si="176"/>
        <v>3</v>
      </c>
      <c r="V529" s="8">
        <f t="shared" si="177"/>
        <v>7</v>
      </c>
      <c r="W529" s="8">
        <f t="shared" si="178"/>
        <v>3</v>
      </c>
      <c r="X529">
        <f t="shared" si="179"/>
        <v>1</v>
      </c>
    </row>
    <row r="530" spans="1:24" x14ac:dyDescent="0.25">
      <c r="A530" s="4" t="s">
        <v>556</v>
      </c>
      <c r="B530" t="s">
        <v>5</v>
      </c>
      <c r="C530" t="s">
        <v>6</v>
      </c>
      <c r="D530" s="3">
        <f t="shared" si="160"/>
        <v>72</v>
      </c>
      <c r="E530" s="4">
        <f t="shared" si="161"/>
        <v>12</v>
      </c>
      <c r="F530" s="4">
        <f t="shared" si="162"/>
        <v>31</v>
      </c>
      <c r="G530" s="3">
        <f>IF(E530&gt;=20,2000,1900) + D530</f>
        <v>1972</v>
      </c>
      <c r="H530">
        <f t="shared" si="163"/>
        <v>12</v>
      </c>
      <c r="I530" s="4">
        <f t="shared" si="164"/>
        <v>31</v>
      </c>
      <c r="J530">
        <f t="shared" si="165"/>
        <v>19721231</v>
      </c>
      <c r="K530" t="str">
        <f t="shared" si="166"/>
        <v>31.12.1972</v>
      </c>
      <c r="L530" s="4">
        <f t="shared" si="167"/>
        <v>7</v>
      </c>
      <c r="M530" s="4">
        <f t="shared" si="168"/>
        <v>6</v>
      </c>
      <c r="N530" s="4">
        <f t="shared" si="169"/>
        <v>7</v>
      </c>
      <c r="O530" s="4">
        <f t="shared" si="170"/>
        <v>18</v>
      </c>
      <c r="P530" s="4">
        <f t="shared" si="171"/>
        <v>3</v>
      </c>
      <c r="Q530" s="4">
        <f t="shared" si="172"/>
        <v>3</v>
      </c>
      <c r="R530" s="4">
        <f t="shared" si="173"/>
        <v>0</v>
      </c>
      <c r="S530" s="4">
        <f t="shared" si="174"/>
        <v>63</v>
      </c>
      <c r="T530" s="4">
        <f t="shared" si="175"/>
        <v>1</v>
      </c>
      <c r="U530" s="4">
        <f t="shared" si="176"/>
        <v>6</v>
      </c>
      <c r="V530" s="8">
        <f t="shared" si="177"/>
        <v>4</v>
      </c>
      <c r="W530" s="8">
        <f t="shared" si="178"/>
        <v>6</v>
      </c>
      <c r="X530">
        <f t="shared" si="179"/>
        <v>1</v>
      </c>
    </row>
    <row r="531" spans="1:24" x14ac:dyDescent="0.25">
      <c r="A531" s="4" t="s">
        <v>557</v>
      </c>
      <c r="B531" t="s">
        <v>15</v>
      </c>
      <c r="C531" t="s">
        <v>6</v>
      </c>
      <c r="D531" s="3">
        <f t="shared" si="160"/>
        <v>79</v>
      </c>
      <c r="E531" s="4">
        <f t="shared" si="161"/>
        <v>7</v>
      </c>
      <c r="F531" s="4">
        <f t="shared" si="162"/>
        <v>6</v>
      </c>
      <c r="G531" s="3">
        <f>IF(E531&gt;=20,2000,1900) + D531</f>
        <v>1979</v>
      </c>
      <c r="H531">
        <f t="shared" si="163"/>
        <v>7</v>
      </c>
      <c r="I531" s="4">
        <f t="shared" si="164"/>
        <v>6</v>
      </c>
      <c r="J531">
        <f t="shared" si="165"/>
        <v>19790706</v>
      </c>
      <c r="K531" t="str">
        <f t="shared" si="166"/>
        <v>06.07.1979</v>
      </c>
      <c r="L531" s="4">
        <f t="shared" si="167"/>
        <v>7</v>
      </c>
      <c r="M531" s="4">
        <f t="shared" si="168"/>
        <v>27</v>
      </c>
      <c r="N531" s="4">
        <f t="shared" si="169"/>
        <v>0</v>
      </c>
      <c r="O531" s="4">
        <f t="shared" si="170"/>
        <v>63</v>
      </c>
      <c r="P531" s="4">
        <f t="shared" si="171"/>
        <v>0</v>
      </c>
      <c r="Q531" s="4">
        <f t="shared" si="172"/>
        <v>18</v>
      </c>
      <c r="R531" s="4">
        <f t="shared" si="173"/>
        <v>63</v>
      </c>
      <c r="S531" s="4">
        <f t="shared" si="174"/>
        <v>72</v>
      </c>
      <c r="T531" s="4">
        <f t="shared" si="175"/>
        <v>8</v>
      </c>
      <c r="U531" s="4">
        <f t="shared" si="176"/>
        <v>12</v>
      </c>
      <c r="V531" s="8">
        <f t="shared" si="177"/>
        <v>0</v>
      </c>
      <c r="W531" s="8">
        <f t="shared" si="178"/>
        <v>0</v>
      </c>
      <c r="X531">
        <f t="shared" si="179"/>
        <v>1</v>
      </c>
    </row>
    <row r="532" spans="1:24" x14ac:dyDescent="0.25">
      <c r="A532" s="4" t="s">
        <v>558</v>
      </c>
      <c r="B532" t="s">
        <v>13</v>
      </c>
      <c r="C532" t="s">
        <v>6</v>
      </c>
      <c r="D532" s="3">
        <f t="shared" si="160"/>
        <v>99</v>
      </c>
      <c r="E532" s="4">
        <f t="shared" si="161"/>
        <v>12</v>
      </c>
      <c r="F532" s="4">
        <f t="shared" si="162"/>
        <v>16</v>
      </c>
      <c r="G532" s="3">
        <f>IF(E532&gt;=20,2000,1900) + D532</f>
        <v>1999</v>
      </c>
      <c r="H532">
        <f t="shared" si="163"/>
        <v>12</v>
      </c>
      <c r="I532" s="4">
        <f t="shared" si="164"/>
        <v>16</v>
      </c>
      <c r="J532">
        <f t="shared" si="165"/>
        <v>19991216</v>
      </c>
      <c r="K532" t="str">
        <f t="shared" si="166"/>
        <v>16.12.1999</v>
      </c>
      <c r="L532" s="4">
        <f t="shared" si="167"/>
        <v>9</v>
      </c>
      <c r="M532" s="4">
        <f t="shared" si="168"/>
        <v>27</v>
      </c>
      <c r="N532" s="4">
        <f t="shared" si="169"/>
        <v>7</v>
      </c>
      <c r="O532" s="4">
        <f t="shared" si="170"/>
        <v>18</v>
      </c>
      <c r="P532" s="4">
        <f t="shared" si="171"/>
        <v>1</v>
      </c>
      <c r="Q532" s="4">
        <f t="shared" si="172"/>
        <v>18</v>
      </c>
      <c r="R532" s="4">
        <f t="shared" si="173"/>
        <v>28</v>
      </c>
      <c r="S532" s="4">
        <f t="shared" si="174"/>
        <v>0</v>
      </c>
      <c r="T532" s="4">
        <f t="shared" si="175"/>
        <v>0</v>
      </c>
      <c r="U532" s="4">
        <f t="shared" si="176"/>
        <v>21</v>
      </c>
      <c r="V532" s="8">
        <f t="shared" si="177"/>
        <v>9</v>
      </c>
      <c r="W532" s="8">
        <f t="shared" si="178"/>
        <v>1</v>
      </c>
      <c r="X532">
        <f t="shared" si="179"/>
        <v>1</v>
      </c>
    </row>
    <row r="533" spans="1:24" x14ac:dyDescent="0.25">
      <c r="A533" s="4" t="s">
        <v>559</v>
      </c>
      <c r="B533" t="s">
        <v>7</v>
      </c>
      <c r="C533" t="s">
        <v>4</v>
      </c>
      <c r="D533" s="3">
        <f t="shared" si="160"/>
        <v>62</v>
      </c>
      <c r="E533" s="4">
        <f t="shared" si="161"/>
        <v>4</v>
      </c>
      <c r="F533" s="4">
        <f t="shared" si="162"/>
        <v>8</v>
      </c>
      <c r="G533" s="3">
        <f>IF(E533&gt;=20,2000,1900) + D533</f>
        <v>1962</v>
      </c>
      <c r="H533">
        <f t="shared" si="163"/>
        <v>4</v>
      </c>
      <c r="I533" s="4">
        <f t="shared" si="164"/>
        <v>8</v>
      </c>
      <c r="J533">
        <f t="shared" si="165"/>
        <v>19620408</v>
      </c>
      <c r="K533" t="str">
        <f t="shared" si="166"/>
        <v>08.04.1962</v>
      </c>
      <c r="L533" s="4">
        <f t="shared" si="167"/>
        <v>6</v>
      </c>
      <c r="M533" s="4">
        <f t="shared" si="168"/>
        <v>6</v>
      </c>
      <c r="N533" s="4">
        <f t="shared" si="169"/>
        <v>0</v>
      </c>
      <c r="O533" s="4">
        <f t="shared" si="170"/>
        <v>36</v>
      </c>
      <c r="P533" s="4">
        <f t="shared" si="171"/>
        <v>0</v>
      </c>
      <c r="Q533" s="4">
        <f t="shared" si="172"/>
        <v>24</v>
      </c>
      <c r="R533" s="4">
        <f t="shared" si="173"/>
        <v>35</v>
      </c>
      <c r="S533" s="4">
        <f t="shared" si="174"/>
        <v>45</v>
      </c>
      <c r="T533" s="4">
        <f t="shared" si="175"/>
        <v>7</v>
      </c>
      <c r="U533" s="4">
        <f t="shared" si="176"/>
        <v>12</v>
      </c>
      <c r="V533" s="8">
        <f t="shared" si="177"/>
        <v>1</v>
      </c>
      <c r="W533" s="8">
        <f t="shared" si="178"/>
        <v>9</v>
      </c>
      <c r="X533">
        <f t="shared" si="179"/>
        <v>1</v>
      </c>
    </row>
    <row r="534" spans="1:24" x14ac:dyDescent="0.25">
      <c r="A534" s="4" t="s">
        <v>560</v>
      </c>
      <c r="B534" t="s">
        <v>14</v>
      </c>
      <c r="C534" t="s">
        <v>6</v>
      </c>
      <c r="D534" s="3">
        <f t="shared" si="160"/>
        <v>77</v>
      </c>
      <c r="E534" s="4">
        <f t="shared" si="161"/>
        <v>5</v>
      </c>
      <c r="F534" s="4">
        <f t="shared" si="162"/>
        <v>7</v>
      </c>
      <c r="G534" s="3">
        <f>IF(E534&gt;=20,2000,1900) + D534</f>
        <v>1977</v>
      </c>
      <c r="H534">
        <f t="shared" si="163"/>
        <v>5</v>
      </c>
      <c r="I534" s="4">
        <f t="shared" si="164"/>
        <v>7</v>
      </c>
      <c r="J534">
        <f t="shared" si="165"/>
        <v>19770507</v>
      </c>
      <c r="K534" t="str">
        <f t="shared" si="166"/>
        <v>07.05.1977</v>
      </c>
      <c r="L534" s="4">
        <f t="shared" si="167"/>
        <v>7</v>
      </c>
      <c r="M534" s="4">
        <f t="shared" si="168"/>
        <v>21</v>
      </c>
      <c r="N534" s="4">
        <f t="shared" si="169"/>
        <v>0</v>
      </c>
      <c r="O534" s="4">
        <f t="shared" si="170"/>
        <v>45</v>
      </c>
      <c r="P534" s="4">
        <f t="shared" si="171"/>
        <v>0</v>
      </c>
      <c r="Q534" s="4">
        <f t="shared" si="172"/>
        <v>21</v>
      </c>
      <c r="R534" s="4">
        <f t="shared" si="173"/>
        <v>35</v>
      </c>
      <c r="S534" s="4">
        <f t="shared" si="174"/>
        <v>18</v>
      </c>
      <c r="T534" s="4">
        <f t="shared" si="175"/>
        <v>1</v>
      </c>
      <c r="U534" s="4">
        <f t="shared" si="176"/>
        <v>27</v>
      </c>
      <c r="V534" s="8">
        <f t="shared" si="177"/>
        <v>5</v>
      </c>
      <c r="W534" s="8">
        <f t="shared" si="178"/>
        <v>5</v>
      </c>
      <c r="X534">
        <f t="shared" si="179"/>
        <v>1</v>
      </c>
    </row>
    <row r="535" spans="1:24" x14ac:dyDescent="0.25">
      <c r="A535" s="4" t="s">
        <v>561</v>
      </c>
      <c r="B535" t="s">
        <v>10</v>
      </c>
      <c r="C535" t="s">
        <v>6</v>
      </c>
      <c r="D535" s="3">
        <f t="shared" si="160"/>
        <v>61</v>
      </c>
      <c r="E535" s="4">
        <f t="shared" si="161"/>
        <v>1</v>
      </c>
      <c r="F535" s="4">
        <f t="shared" si="162"/>
        <v>18</v>
      </c>
      <c r="G535" s="3">
        <f>IF(E535&gt;=20,2000,1900) + D535</f>
        <v>1961</v>
      </c>
      <c r="H535">
        <f t="shared" si="163"/>
        <v>1</v>
      </c>
      <c r="I535" s="4">
        <f t="shared" si="164"/>
        <v>18</v>
      </c>
      <c r="J535">
        <f t="shared" si="165"/>
        <v>19610118</v>
      </c>
      <c r="K535" t="str">
        <f t="shared" si="166"/>
        <v>18.01.1961</v>
      </c>
      <c r="L535" s="4">
        <f t="shared" si="167"/>
        <v>6</v>
      </c>
      <c r="M535" s="4">
        <f t="shared" si="168"/>
        <v>3</v>
      </c>
      <c r="N535" s="4">
        <f t="shared" si="169"/>
        <v>0</v>
      </c>
      <c r="O535" s="4">
        <f t="shared" si="170"/>
        <v>9</v>
      </c>
      <c r="P535" s="4">
        <f t="shared" si="171"/>
        <v>1</v>
      </c>
      <c r="Q535" s="4">
        <f t="shared" si="172"/>
        <v>24</v>
      </c>
      <c r="R535" s="4">
        <f t="shared" si="173"/>
        <v>28</v>
      </c>
      <c r="S535" s="4">
        <f t="shared" si="174"/>
        <v>72</v>
      </c>
      <c r="T535" s="4">
        <f t="shared" si="175"/>
        <v>5</v>
      </c>
      <c r="U535" s="4">
        <f t="shared" si="176"/>
        <v>6</v>
      </c>
      <c r="V535" s="8">
        <f t="shared" si="177"/>
        <v>4</v>
      </c>
      <c r="W535" s="8">
        <f t="shared" si="178"/>
        <v>6</v>
      </c>
      <c r="X535">
        <f t="shared" si="179"/>
        <v>1</v>
      </c>
    </row>
    <row r="536" spans="1:24" x14ac:dyDescent="0.25">
      <c r="A536" s="4" t="s">
        <v>562</v>
      </c>
      <c r="B536" t="s">
        <v>10</v>
      </c>
      <c r="C536" t="s">
        <v>4</v>
      </c>
      <c r="D536" s="3">
        <f t="shared" si="160"/>
        <v>67</v>
      </c>
      <c r="E536" s="4">
        <f t="shared" si="161"/>
        <v>9</v>
      </c>
      <c r="F536" s="4">
        <f t="shared" si="162"/>
        <v>7</v>
      </c>
      <c r="G536" s="3">
        <f>IF(E536&gt;=20,2000,1900) + D536</f>
        <v>1967</v>
      </c>
      <c r="H536">
        <f t="shared" si="163"/>
        <v>9</v>
      </c>
      <c r="I536" s="4">
        <f t="shared" si="164"/>
        <v>7</v>
      </c>
      <c r="J536">
        <f t="shared" si="165"/>
        <v>19670907</v>
      </c>
      <c r="K536" t="str">
        <f t="shared" si="166"/>
        <v>07.09.1967</v>
      </c>
      <c r="L536" s="4">
        <f t="shared" si="167"/>
        <v>6</v>
      </c>
      <c r="M536" s="4">
        <f t="shared" si="168"/>
        <v>21</v>
      </c>
      <c r="N536" s="4">
        <f t="shared" si="169"/>
        <v>0</v>
      </c>
      <c r="O536" s="4">
        <f t="shared" si="170"/>
        <v>81</v>
      </c>
      <c r="P536" s="4">
        <f t="shared" si="171"/>
        <v>0</v>
      </c>
      <c r="Q536" s="4">
        <f t="shared" si="172"/>
        <v>21</v>
      </c>
      <c r="R536" s="4">
        <f t="shared" si="173"/>
        <v>7</v>
      </c>
      <c r="S536" s="4">
        <f t="shared" si="174"/>
        <v>54</v>
      </c>
      <c r="T536" s="4">
        <f t="shared" si="175"/>
        <v>3</v>
      </c>
      <c r="U536" s="4">
        <f t="shared" si="176"/>
        <v>18</v>
      </c>
      <c r="V536" s="8">
        <f t="shared" si="177"/>
        <v>1</v>
      </c>
      <c r="W536" s="8">
        <f t="shared" si="178"/>
        <v>9</v>
      </c>
      <c r="X536">
        <f t="shared" si="179"/>
        <v>1</v>
      </c>
    </row>
    <row r="537" spans="1:24" x14ac:dyDescent="0.25">
      <c r="A537" s="4" t="s">
        <v>563</v>
      </c>
      <c r="B537" t="s">
        <v>19</v>
      </c>
      <c r="C537" t="s">
        <v>4</v>
      </c>
      <c r="D537" s="3">
        <f t="shared" si="160"/>
        <v>69</v>
      </c>
      <c r="E537" s="4">
        <f t="shared" si="161"/>
        <v>12</v>
      </c>
      <c r="F537" s="4">
        <f t="shared" si="162"/>
        <v>18</v>
      </c>
      <c r="G537" s="3">
        <f>IF(E537&gt;=20,2000,1900) + D537</f>
        <v>1969</v>
      </c>
      <c r="H537">
        <f t="shared" si="163"/>
        <v>12</v>
      </c>
      <c r="I537" s="4">
        <f t="shared" si="164"/>
        <v>18</v>
      </c>
      <c r="J537">
        <f t="shared" si="165"/>
        <v>19691218</v>
      </c>
      <c r="K537" t="str">
        <f t="shared" si="166"/>
        <v>18.12.1969</v>
      </c>
      <c r="L537" s="4">
        <f t="shared" si="167"/>
        <v>6</v>
      </c>
      <c r="M537" s="4">
        <f t="shared" si="168"/>
        <v>27</v>
      </c>
      <c r="N537" s="4">
        <f t="shared" si="169"/>
        <v>7</v>
      </c>
      <c r="O537" s="4">
        <f t="shared" si="170"/>
        <v>18</v>
      </c>
      <c r="P537" s="4">
        <f t="shared" si="171"/>
        <v>1</v>
      </c>
      <c r="Q537" s="4">
        <f t="shared" si="172"/>
        <v>24</v>
      </c>
      <c r="R537" s="4">
        <f t="shared" si="173"/>
        <v>0</v>
      </c>
      <c r="S537" s="4">
        <f t="shared" si="174"/>
        <v>72</v>
      </c>
      <c r="T537" s="4">
        <f t="shared" si="175"/>
        <v>7</v>
      </c>
      <c r="U537" s="4">
        <f t="shared" si="176"/>
        <v>12</v>
      </c>
      <c r="V537" s="8">
        <f t="shared" si="177"/>
        <v>4</v>
      </c>
      <c r="W537" s="8">
        <f t="shared" si="178"/>
        <v>6</v>
      </c>
      <c r="X537">
        <f t="shared" si="179"/>
        <v>1</v>
      </c>
    </row>
    <row r="538" spans="1:24" x14ac:dyDescent="0.25">
      <c r="A538" s="4" t="s">
        <v>564</v>
      </c>
      <c r="B538" t="s">
        <v>11</v>
      </c>
      <c r="C538" t="s">
        <v>6</v>
      </c>
      <c r="D538" s="3">
        <f t="shared" si="160"/>
        <v>95</v>
      </c>
      <c r="E538" s="4">
        <f t="shared" si="161"/>
        <v>2</v>
      </c>
      <c r="F538" s="4">
        <f t="shared" si="162"/>
        <v>21</v>
      </c>
      <c r="G538" s="3">
        <f>IF(E538&gt;=20,2000,1900) + D538</f>
        <v>1995</v>
      </c>
      <c r="H538">
        <f t="shared" si="163"/>
        <v>2</v>
      </c>
      <c r="I538" s="4">
        <f t="shared" si="164"/>
        <v>21</v>
      </c>
      <c r="J538">
        <f t="shared" si="165"/>
        <v>19950221</v>
      </c>
      <c r="K538" t="str">
        <f t="shared" si="166"/>
        <v>21.02.1995</v>
      </c>
      <c r="L538" s="4">
        <f t="shared" si="167"/>
        <v>9</v>
      </c>
      <c r="M538" s="4">
        <f t="shared" si="168"/>
        <v>15</v>
      </c>
      <c r="N538" s="4">
        <f t="shared" si="169"/>
        <v>0</v>
      </c>
      <c r="O538" s="4">
        <f t="shared" si="170"/>
        <v>18</v>
      </c>
      <c r="P538" s="4">
        <f t="shared" si="171"/>
        <v>2</v>
      </c>
      <c r="Q538" s="4">
        <f t="shared" si="172"/>
        <v>3</v>
      </c>
      <c r="R538" s="4">
        <f t="shared" si="173"/>
        <v>28</v>
      </c>
      <c r="S538" s="4">
        <f t="shared" si="174"/>
        <v>36</v>
      </c>
      <c r="T538" s="4">
        <f t="shared" si="175"/>
        <v>6</v>
      </c>
      <c r="U538" s="4">
        <f t="shared" si="176"/>
        <v>21</v>
      </c>
      <c r="V538" s="8">
        <f t="shared" si="177"/>
        <v>8</v>
      </c>
      <c r="W538" s="8">
        <f t="shared" si="178"/>
        <v>2</v>
      </c>
      <c r="X538">
        <f t="shared" si="179"/>
        <v>1</v>
      </c>
    </row>
    <row r="539" spans="1:24" x14ac:dyDescent="0.25">
      <c r="A539" s="4" t="s">
        <v>565</v>
      </c>
      <c r="B539" t="s">
        <v>10</v>
      </c>
      <c r="C539" t="s">
        <v>6</v>
      </c>
      <c r="D539" s="3">
        <f t="shared" si="160"/>
        <v>50</v>
      </c>
      <c r="E539" s="4">
        <f t="shared" si="161"/>
        <v>12</v>
      </c>
      <c r="F539" s="4">
        <f t="shared" si="162"/>
        <v>23</v>
      </c>
      <c r="G539" s="3">
        <f>IF(E539&gt;=20,2000,1900) + D539</f>
        <v>1950</v>
      </c>
      <c r="H539">
        <f t="shared" si="163"/>
        <v>12</v>
      </c>
      <c r="I539" s="4">
        <f t="shared" si="164"/>
        <v>23</v>
      </c>
      <c r="J539">
        <f t="shared" si="165"/>
        <v>19501223</v>
      </c>
      <c r="K539" t="str">
        <f t="shared" si="166"/>
        <v>23.12.1950</v>
      </c>
      <c r="L539" s="4">
        <f t="shared" si="167"/>
        <v>5</v>
      </c>
      <c r="M539" s="4">
        <f t="shared" si="168"/>
        <v>0</v>
      </c>
      <c r="N539" s="4">
        <f t="shared" si="169"/>
        <v>7</v>
      </c>
      <c r="O539" s="4">
        <f t="shared" si="170"/>
        <v>18</v>
      </c>
      <c r="P539" s="4">
        <f t="shared" si="171"/>
        <v>2</v>
      </c>
      <c r="Q539" s="4">
        <f t="shared" si="172"/>
        <v>9</v>
      </c>
      <c r="R539" s="4">
        <f t="shared" si="173"/>
        <v>56</v>
      </c>
      <c r="S539" s="4">
        <f t="shared" si="174"/>
        <v>54</v>
      </c>
      <c r="T539" s="4">
        <f t="shared" si="175"/>
        <v>1</v>
      </c>
      <c r="U539" s="4">
        <f t="shared" si="176"/>
        <v>6</v>
      </c>
      <c r="V539" s="8">
        <f t="shared" si="177"/>
        <v>8</v>
      </c>
      <c r="W539" s="8">
        <f t="shared" si="178"/>
        <v>2</v>
      </c>
      <c r="X539">
        <f t="shared" si="179"/>
        <v>1</v>
      </c>
    </row>
    <row r="540" spans="1:24" x14ac:dyDescent="0.25">
      <c r="A540" s="4" t="s">
        <v>566</v>
      </c>
      <c r="B540" t="s">
        <v>20</v>
      </c>
      <c r="C540" t="s">
        <v>4</v>
      </c>
      <c r="D540" s="3">
        <f t="shared" si="160"/>
        <v>64</v>
      </c>
      <c r="E540" s="4">
        <f t="shared" si="161"/>
        <v>4</v>
      </c>
      <c r="F540" s="4">
        <f t="shared" si="162"/>
        <v>8</v>
      </c>
      <c r="G540" s="3">
        <f>IF(E540&gt;=20,2000,1900) + D540</f>
        <v>1964</v>
      </c>
      <c r="H540">
        <f t="shared" si="163"/>
        <v>4</v>
      </c>
      <c r="I540" s="4">
        <f t="shared" si="164"/>
        <v>8</v>
      </c>
      <c r="J540">
        <f t="shared" si="165"/>
        <v>19640408</v>
      </c>
      <c r="K540" t="str">
        <f t="shared" si="166"/>
        <v>08.04.1964</v>
      </c>
      <c r="L540" s="4">
        <f t="shared" si="167"/>
        <v>6</v>
      </c>
      <c r="M540" s="4">
        <f t="shared" si="168"/>
        <v>12</v>
      </c>
      <c r="N540" s="4">
        <f t="shared" si="169"/>
        <v>0</v>
      </c>
      <c r="O540" s="4">
        <f t="shared" si="170"/>
        <v>36</v>
      </c>
      <c r="P540" s="4">
        <f t="shared" si="171"/>
        <v>0</v>
      </c>
      <c r="Q540" s="4">
        <f t="shared" si="172"/>
        <v>24</v>
      </c>
      <c r="R540" s="4">
        <f t="shared" si="173"/>
        <v>7</v>
      </c>
      <c r="S540" s="4">
        <f t="shared" si="174"/>
        <v>72</v>
      </c>
      <c r="T540" s="4">
        <f t="shared" si="175"/>
        <v>5</v>
      </c>
      <c r="U540" s="4">
        <f t="shared" si="176"/>
        <v>3</v>
      </c>
      <c r="V540" s="8">
        <f t="shared" si="177"/>
        <v>5</v>
      </c>
      <c r="W540" s="8">
        <f t="shared" si="178"/>
        <v>5</v>
      </c>
      <c r="X540">
        <f t="shared" si="179"/>
        <v>1</v>
      </c>
    </row>
    <row r="541" spans="1:24" x14ac:dyDescent="0.25">
      <c r="A541" s="4" t="s">
        <v>567</v>
      </c>
      <c r="B541" t="s">
        <v>18</v>
      </c>
      <c r="C541" t="s">
        <v>4</v>
      </c>
      <c r="D541" s="3">
        <f t="shared" si="160"/>
        <v>74</v>
      </c>
      <c r="E541" s="4">
        <f t="shared" si="161"/>
        <v>11</v>
      </c>
      <c r="F541" s="4">
        <f t="shared" si="162"/>
        <v>4</v>
      </c>
      <c r="G541" s="3">
        <f>IF(E541&gt;=20,2000,1900) + D541</f>
        <v>1974</v>
      </c>
      <c r="H541">
        <f t="shared" si="163"/>
        <v>11</v>
      </c>
      <c r="I541" s="4">
        <f t="shared" si="164"/>
        <v>4</v>
      </c>
      <c r="J541">
        <f t="shared" si="165"/>
        <v>19741104</v>
      </c>
      <c r="K541" t="str">
        <f t="shared" si="166"/>
        <v>04.11.1974</v>
      </c>
      <c r="L541" s="4">
        <f t="shared" si="167"/>
        <v>7</v>
      </c>
      <c r="M541" s="4">
        <f t="shared" si="168"/>
        <v>12</v>
      </c>
      <c r="N541" s="4">
        <f t="shared" si="169"/>
        <v>7</v>
      </c>
      <c r="O541" s="4">
        <f t="shared" si="170"/>
        <v>9</v>
      </c>
      <c r="P541" s="4">
        <f t="shared" si="171"/>
        <v>0</v>
      </c>
      <c r="Q541" s="4">
        <f t="shared" si="172"/>
        <v>12</v>
      </c>
      <c r="R541" s="4">
        <f t="shared" si="173"/>
        <v>14</v>
      </c>
      <c r="S541" s="4">
        <f t="shared" si="174"/>
        <v>0</v>
      </c>
      <c r="T541" s="4">
        <f t="shared" si="175"/>
        <v>4</v>
      </c>
      <c r="U541" s="4">
        <f t="shared" si="176"/>
        <v>9</v>
      </c>
      <c r="V541" s="8">
        <f t="shared" si="177"/>
        <v>4</v>
      </c>
      <c r="W541" s="8">
        <f t="shared" si="178"/>
        <v>6</v>
      </c>
      <c r="X541">
        <f t="shared" si="179"/>
        <v>1</v>
      </c>
    </row>
    <row r="542" spans="1:24" x14ac:dyDescent="0.25">
      <c r="A542" s="4" t="s">
        <v>568</v>
      </c>
      <c r="B542" t="s">
        <v>14</v>
      </c>
      <c r="C542" t="s">
        <v>4</v>
      </c>
      <c r="D542" s="3">
        <f t="shared" si="160"/>
        <v>95</v>
      </c>
      <c r="E542" s="4">
        <f t="shared" si="161"/>
        <v>7</v>
      </c>
      <c r="F542" s="4">
        <f t="shared" si="162"/>
        <v>1</v>
      </c>
      <c r="G542" s="3">
        <f>IF(E542&gt;=20,2000,1900) + D542</f>
        <v>1995</v>
      </c>
      <c r="H542">
        <f t="shared" si="163"/>
        <v>7</v>
      </c>
      <c r="I542" s="4">
        <f t="shared" si="164"/>
        <v>1</v>
      </c>
      <c r="J542">
        <f t="shared" si="165"/>
        <v>19950701</v>
      </c>
      <c r="K542" t="str">
        <f t="shared" si="166"/>
        <v>01.07.1995</v>
      </c>
      <c r="L542" s="4">
        <f t="shared" si="167"/>
        <v>9</v>
      </c>
      <c r="M542" s="4">
        <f t="shared" si="168"/>
        <v>15</v>
      </c>
      <c r="N542" s="4">
        <f t="shared" si="169"/>
        <v>0</v>
      </c>
      <c r="O542" s="4">
        <f t="shared" si="170"/>
        <v>63</v>
      </c>
      <c r="P542" s="4">
        <f t="shared" si="171"/>
        <v>0</v>
      </c>
      <c r="Q542" s="4">
        <f t="shared" si="172"/>
        <v>3</v>
      </c>
      <c r="R542" s="4">
        <f t="shared" si="173"/>
        <v>49</v>
      </c>
      <c r="S542" s="4">
        <f t="shared" si="174"/>
        <v>45</v>
      </c>
      <c r="T542" s="4">
        <f t="shared" si="175"/>
        <v>6</v>
      </c>
      <c r="U542" s="4">
        <f t="shared" si="176"/>
        <v>12</v>
      </c>
      <c r="V542" s="8">
        <f t="shared" si="177"/>
        <v>2</v>
      </c>
      <c r="W542" s="8">
        <f t="shared" si="178"/>
        <v>8</v>
      </c>
      <c r="X542">
        <f t="shared" si="179"/>
        <v>1</v>
      </c>
    </row>
    <row r="543" spans="1:24" x14ac:dyDescent="0.25">
      <c r="A543" s="4" t="s">
        <v>569</v>
      </c>
      <c r="B543" t="s">
        <v>7</v>
      </c>
      <c r="C543" t="s">
        <v>6</v>
      </c>
      <c r="D543" s="3">
        <f t="shared" si="160"/>
        <v>51</v>
      </c>
      <c r="E543" s="4">
        <f t="shared" si="161"/>
        <v>4</v>
      </c>
      <c r="F543" s="4">
        <f t="shared" si="162"/>
        <v>7</v>
      </c>
      <c r="G543" s="3">
        <f>IF(E543&gt;=20,2000,1900) + D543</f>
        <v>1951</v>
      </c>
      <c r="H543">
        <f t="shared" si="163"/>
        <v>4</v>
      </c>
      <c r="I543" s="4">
        <f t="shared" si="164"/>
        <v>7</v>
      </c>
      <c r="J543">
        <f t="shared" si="165"/>
        <v>19510407</v>
      </c>
      <c r="K543" t="str">
        <f t="shared" si="166"/>
        <v>07.04.1951</v>
      </c>
      <c r="L543" s="4">
        <f t="shared" si="167"/>
        <v>5</v>
      </c>
      <c r="M543" s="4">
        <f t="shared" si="168"/>
        <v>3</v>
      </c>
      <c r="N543" s="4">
        <f t="shared" si="169"/>
        <v>0</v>
      </c>
      <c r="O543" s="4">
        <f t="shared" si="170"/>
        <v>36</v>
      </c>
      <c r="P543" s="4">
        <f t="shared" si="171"/>
        <v>0</v>
      </c>
      <c r="Q543" s="4">
        <f t="shared" si="172"/>
        <v>21</v>
      </c>
      <c r="R543" s="4">
        <f t="shared" si="173"/>
        <v>7</v>
      </c>
      <c r="S543" s="4">
        <f t="shared" si="174"/>
        <v>0</v>
      </c>
      <c r="T543" s="4">
        <f t="shared" si="175"/>
        <v>5</v>
      </c>
      <c r="U543" s="4">
        <f t="shared" si="176"/>
        <v>12</v>
      </c>
      <c r="V543" s="8">
        <f t="shared" si="177"/>
        <v>9</v>
      </c>
      <c r="W543" s="8">
        <f t="shared" si="178"/>
        <v>1</v>
      </c>
      <c r="X543">
        <f t="shared" si="179"/>
        <v>1</v>
      </c>
    </row>
    <row r="544" spans="1:24" x14ac:dyDescent="0.25">
      <c r="A544" s="4" t="s">
        <v>570</v>
      </c>
      <c r="B544" t="s">
        <v>13</v>
      </c>
      <c r="C544" t="s">
        <v>4</v>
      </c>
      <c r="D544" s="3">
        <f t="shared" si="160"/>
        <v>68</v>
      </c>
      <c r="E544" s="4">
        <f t="shared" si="161"/>
        <v>5</v>
      </c>
      <c r="F544" s="4">
        <f t="shared" si="162"/>
        <v>3</v>
      </c>
      <c r="G544" s="3">
        <f>IF(E544&gt;=20,2000,1900) + D544</f>
        <v>1968</v>
      </c>
      <c r="H544">
        <f t="shared" si="163"/>
        <v>5</v>
      </c>
      <c r="I544" s="4">
        <f t="shared" si="164"/>
        <v>3</v>
      </c>
      <c r="J544">
        <f t="shared" si="165"/>
        <v>19680503</v>
      </c>
      <c r="K544" t="str">
        <f t="shared" si="166"/>
        <v>03.05.1968</v>
      </c>
      <c r="L544" s="4">
        <f t="shared" si="167"/>
        <v>6</v>
      </c>
      <c r="M544" s="4">
        <f t="shared" si="168"/>
        <v>24</v>
      </c>
      <c r="N544" s="4">
        <f t="shared" si="169"/>
        <v>0</v>
      </c>
      <c r="O544" s="4">
        <f t="shared" si="170"/>
        <v>45</v>
      </c>
      <c r="P544" s="4">
        <f t="shared" si="171"/>
        <v>0</v>
      </c>
      <c r="Q544" s="4">
        <f t="shared" si="172"/>
        <v>9</v>
      </c>
      <c r="R544" s="4">
        <f t="shared" si="173"/>
        <v>0</v>
      </c>
      <c r="S544" s="4">
        <f t="shared" si="174"/>
        <v>63</v>
      </c>
      <c r="T544" s="4">
        <f t="shared" si="175"/>
        <v>3</v>
      </c>
      <c r="U544" s="4">
        <f t="shared" si="176"/>
        <v>27</v>
      </c>
      <c r="V544" s="8">
        <f t="shared" si="177"/>
        <v>7</v>
      </c>
      <c r="W544" s="8">
        <f t="shared" si="178"/>
        <v>3</v>
      </c>
      <c r="X544">
        <f t="shared" si="179"/>
        <v>1</v>
      </c>
    </row>
    <row r="545" spans="1:24" x14ac:dyDescent="0.25">
      <c r="A545" s="4" t="s">
        <v>571</v>
      </c>
      <c r="B545" t="s">
        <v>14</v>
      </c>
      <c r="C545" t="s">
        <v>4</v>
      </c>
      <c r="D545" s="3">
        <f t="shared" si="160"/>
        <v>78</v>
      </c>
      <c r="E545" s="4">
        <f t="shared" si="161"/>
        <v>1</v>
      </c>
      <c r="F545" s="4">
        <f t="shared" si="162"/>
        <v>24</v>
      </c>
      <c r="G545" s="3">
        <f>IF(E545&gt;=20,2000,1900) + D545</f>
        <v>1978</v>
      </c>
      <c r="H545">
        <f t="shared" si="163"/>
        <v>1</v>
      </c>
      <c r="I545" s="4">
        <f t="shared" si="164"/>
        <v>24</v>
      </c>
      <c r="J545">
        <f t="shared" si="165"/>
        <v>19780124</v>
      </c>
      <c r="K545" t="str">
        <f t="shared" si="166"/>
        <v>24.01.1978</v>
      </c>
      <c r="L545" s="4">
        <f t="shared" si="167"/>
        <v>7</v>
      </c>
      <c r="M545" s="4">
        <f t="shared" si="168"/>
        <v>24</v>
      </c>
      <c r="N545" s="4">
        <f t="shared" si="169"/>
        <v>0</v>
      </c>
      <c r="O545" s="4">
        <f t="shared" si="170"/>
        <v>9</v>
      </c>
      <c r="P545" s="4">
        <f t="shared" si="171"/>
        <v>2</v>
      </c>
      <c r="Q545" s="4">
        <f t="shared" si="172"/>
        <v>12</v>
      </c>
      <c r="R545" s="4">
        <f t="shared" si="173"/>
        <v>7</v>
      </c>
      <c r="S545" s="4">
        <f t="shared" si="174"/>
        <v>36</v>
      </c>
      <c r="T545" s="4">
        <f t="shared" si="175"/>
        <v>4</v>
      </c>
      <c r="U545" s="4">
        <f t="shared" si="176"/>
        <v>0</v>
      </c>
      <c r="V545" s="8">
        <f t="shared" si="177"/>
        <v>1</v>
      </c>
      <c r="W545" s="8">
        <f t="shared" si="178"/>
        <v>9</v>
      </c>
      <c r="X545">
        <f t="shared" si="179"/>
        <v>1</v>
      </c>
    </row>
    <row r="546" spans="1:24" x14ac:dyDescent="0.25">
      <c r="A546" s="4" t="s">
        <v>572</v>
      </c>
      <c r="B546" t="s">
        <v>18</v>
      </c>
      <c r="C546" t="s">
        <v>4</v>
      </c>
      <c r="D546" s="3">
        <f t="shared" si="160"/>
        <v>85</v>
      </c>
      <c r="E546" s="4">
        <f t="shared" si="161"/>
        <v>8</v>
      </c>
      <c r="F546" s="4">
        <f t="shared" si="162"/>
        <v>2</v>
      </c>
      <c r="G546" s="3">
        <f>IF(E546&gt;=20,2000,1900) + D546</f>
        <v>1985</v>
      </c>
      <c r="H546">
        <f t="shared" si="163"/>
        <v>8</v>
      </c>
      <c r="I546" s="4">
        <f t="shared" si="164"/>
        <v>2</v>
      </c>
      <c r="J546">
        <f t="shared" si="165"/>
        <v>19850802</v>
      </c>
      <c r="K546" t="str">
        <f t="shared" si="166"/>
        <v>02.08.1985</v>
      </c>
      <c r="L546" s="4">
        <f t="shared" si="167"/>
        <v>8</v>
      </c>
      <c r="M546" s="4">
        <f t="shared" si="168"/>
        <v>15</v>
      </c>
      <c r="N546" s="4">
        <f t="shared" si="169"/>
        <v>0</v>
      </c>
      <c r="O546" s="4">
        <f t="shared" si="170"/>
        <v>72</v>
      </c>
      <c r="P546" s="4">
        <f t="shared" si="171"/>
        <v>0</v>
      </c>
      <c r="Q546" s="4">
        <f t="shared" si="172"/>
        <v>6</v>
      </c>
      <c r="R546" s="4">
        <f t="shared" si="173"/>
        <v>21</v>
      </c>
      <c r="S546" s="4">
        <f t="shared" si="174"/>
        <v>81</v>
      </c>
      <c r="T546" s="4">
        <f t="shared" si="175"/>
        <v>6</v>
      </c>
      <c r="U546" s="4">
        <f t="shared" si="176"/>
        <v>12</v>
      </c>
      <c r="V546" s="8">
        <f t="shared" si="177"/>
        <v>1</v>
      </c>
      <c r="W546" s="8">
        <f t="shared" si="178"/>
        <v>9</v>
      </c>
      <c r="X546">
        <f t="shared" si="179"/>
        <v>1</v>
      </c>
    </row>
    <row r="547" spans="1:24" x14ac:dyDescent="0.25">
      <c r="A547" s="4" t="s">
        <v>573</v>
      </c>
      <c r="B547" t="s">
        <v>3</v>
      </c>
      <c r="C547" t="s">
        <v>4</v>
      </c>
      <c r="D547" s="3">
        <f t="shared" si="160"/>
        <v>80</v>
      </c>
      <c r="E547" s="4">
        <f t="shared" si="161"/>
        <v>11</v>
      </c>
      <c r="F547" s="4">
        <f t="shared" si="162"/>
        <v>18</v>
      </c>
      <c r="G547" s="3">
        <f>IF(E547&gt;=20,2000,1900) + D547</f>
        <v>1980</v>
      </c>
      <c r="H547">
        <f t="shared" si="163"/>
        <v>11</v>
      </c>
      <c r="I547" s="4">
        <f t="shared" si="164"/>
        <v>18</v>
      </c>
      <c r="J547">
        <f t="shared" si="165"/>
        <v>19801118</v>
      </c>
      <c r="K547" t="str">
        <f t="shared" si="166"/>
        <v>18.11.1980</v>
      </c>
      <c r="L547" s="4">
        <f t="shared" si="167"/>
        <v>8</v>
      </c>
      <c r="M547" s="4">
        <f t="shared" si="168"/>
        <v>0</v>
      </c>
      <c r="N547" s="4">
        <f t="shared" si="169"/>
        <v>7</v>
      </c>
      <c r="O547" s="4">
        <f t="shared" si="170"/>
        <v>9</v>
      </c>
      <c r="P547" s="4">
        <f t="shared" si="171"/>
        <v>1</v>
      </c>
      <c r="Q547" s="4">
        <f t="shared" si="172"/>
        <v>24</v>
      </c>
      <c r="R547" s="4">
        <f t="shared" si="173"/>
        <v>28</v>
      </c>
      <c r="S547" s="4">
        <f t="shared" si="174"/>
        <v>45</v>
      </c>
      <c r="T547" s="4">
        <f t="shared" si="175"/>
        <v>5</v>
      </c>
      <c r="U547" s="4">
        <f t="shared" si="176"/>
        <v>18</v>
      </c>
      <c r="V547" s="8">
        <f t="shared" si="177"/>
        <v>5</v>
      </c>
      <c r="W547" s="8">
        <f t="shared" si="178"/>
        <v>5</v>
      </c>
      <c r="X547">
        <f t="shared" si="179"/>
        <v>1</v>
      </c>
    </row>
    <row r="548" spans="1:24" x14ac:dyDescent="0.25">
      <c r="A548" s="4" t="s">
        <v>574</v>
      </c>
      <c r="B548" t="s">
        <v>17</v>
      </c>
      <c r="C548" t="s">
        <v>4</v>
      </c>
      <c r="D548" s="3">
        <f t="shared" si="160"/>
        <v>64</v>
      </c>
      <c r="E548" s="4">
        <f t="shared" si="161"/>
        <v>6</v>
      </c>
      <c r="F548" s="4">
        <f t="shared" si="162"/>
        <v>2</v>
      </c>
      <c r="G548" s="3">
        <f>IF(E548&gt;=20,2000,1900) + D548</f>
        <v>1964</v>
      </c>
      <c r="H548">
        <f t="shared" si="163"/>
        <v>6</v>
      </c>
      <c r="I548" s="4">
        <f t="shared" si="164"/>
        <v>2</v>
      </c>
      <c r="J548">
        <f t="shared" si="165"/>
        <v>19640602</v>
      </c>
      <c r="K548" t="str">
        <f t="shared" si="166"/>
        <v>02.06.1964</v>
      </c>
      <c r="L548" s="4">
        <f t="shared" si="167"/>
        <v>6</v>
      </c>
      <c r="M548" s="4">
        <f t="shared" si="168"/>
        <v>12</v>
      </c>
      <c r="N548" s="4">
        <f t="shared" si="169"/>
        <v>0</v>
      </c>
      <c r="O548" s="4">
        <f t="shared" si="170"/>
        <v>54</v>
      </c>
      <c r="P548" s="4">
        <f t="shared" si="171"/>
        <v>0</v>
      </c>
      <c r="Q548" s="4">
        <f t="shared" si="172"/>
        <v>6</v>
      </c>
      <c r="R548" s="4">
        <f t="shared" si="173"/>
        <v>63</v>
      </c>
      <c r="S548" s="4">
        <f t="shared" si="174"/>
        <v>45</v>
      </c>
      <c r="T548" s="4">
        <f t="shared" si="175"/>
        <v>0</v>
      </c>
      <c r="U548" s="4">
        <f t="shared" si="176"/>
        <v>6</v>
      </c>
      <c r="V548" s="8">
        <f t="shared" si="177"/>
        <v>2</v>
      </c>
      <c r="W548" s="8">
        <f t="shared" si="178"/>
        <v>8</v>
      </c>
      <c r="X548">
        <f t="shared" si="179"/>
        <v>1</v>
      </c>
    </row>
    <row r="549" spans="1:24" x14ac:dyDescent="0.25">
      <c r="A549" s="4" t="s">
        <v>575</v>
      </c>
      <c r="B549" t="s">
        <v>9</v>
      </c>
      <c r="C549" t="s">
        <v>6</v>
      </c>
      <c r="D549" s="3">
        <f t="shared" si="160"/>
        <v>66</v>
      </c>
      <c r="E549" s="4">
        <f t="shared" si="161"/>
        <v>11</v>
      </c>
      <c r="F549" s="4">
        <f t="shared" si="162"/>
        <v>24</v>
      </c>
      <c r="G549" s="3">
        <f>IF(E549&gt;=20,2000,1900) + D549</f>
        <v>1966</v>
      </c>
      <c r="H549">
        <f t="shared" si="163"/>
        <v>11</v>
      </c>
      <c r="I549" s="4">
        <f t="shared" si="164"/>
        <v>24</v>
      </c>
      <c r="J549">
        <f t="shared" si="165"/>
        <v>19661124</v>
      </c>
      <c r="K549" t="str">
        <f t="shared" si="166"/>
        <v>24.11.1966</v>
      </c>
      <c r="L549" s="4">
        <f t="shared" si="167"/>
        <v>6</v>
      </c>
      <c r="M549" s="4">
        <f t="shared" si="168"/>
        <v>18</v>
      </c>
      <c r="N549" s="4">
        <f t="shared" si="169"/>
        <v>7</v>
      </c>
      <c r="O549" s="4">
        <f t="shared" si="170"/>
        <v>9</v>
      </c>
      <c r="P549" s="4">
        <f t="shared" si="171"/>
        <v>2</v>
      </c>
      <c r="Q549" s="4">
        <f t="shared" si="172"/>
        <v>12</v>
      </c>
      <c r="R549" s="4">
        <f t="shared" si="173"/>
        <v>28</v>
      </c>
      <c r="S549" s="4">
        <f t="shared" si="174"/>
        <v>36</v>
      </c>
      <c r="T549" s="4">
        <f t="shared" si="175"/>
        <v>2</v>
      </c>
      <c r="U549" s="4">
        <f t="shared" si="176"/>
        <v>3</v>
      </c>
      <c r="V549" s="8">
        <f t="shared" si="177"/>
        <v>3</v>
      </c>
      <c r="W549" s="8">
        <f t="shared" si="178"/>
        <v>7</v>
      </c>
      <c r="X549">
        <f t="shared" si="179"/>
        <v>1</v>
      </c>
    </row>
    <row r="550" spans="1:24" x14ac:dyDescent="0.25">
      <c r="A550" s="4" t="s">
        <v>576</v>
      </c>
      <c r="B550" t="s">
        <v>11</v>
      </c>
      <c r="C550" t="s">
        <v>6</v>
      </c>
      <c r="D550" s="3">
        <f t="shared" si="160"/>
        <v>95</v>
      </c>
      <c r="E550" s="4">
        <f t="shared" si="161"/>
        <v>1</v>
      </c>
      <c r="F550" s="4">
        <f t="shared" si="162"/>
        <v>5</v>
      </c>
      <c r="G550" s="3">
        <f>IF(E550&gt;=20,2000,1900) + D550</f>
        <v>1995</v>
      </c>
      <c r="H550">
        <f t="shared" si="163"/>
        <v>1</v>
      </c>
      <c r="I550" s="4">
        <f t="shared" si="164"/>
        <v>5</v>
      </c>
      <c r="J550">
        <f t="shared" si="165"/>
        <v>19950105</v>
      </c>
      <c r="K550" t="str">
        <f t="shared" si="166"/>
        <v>05.01.1995</v>
      </c>
      <c r="L550" s="4">
        <f t="shared" si="167"/>
        <v>9</v>
      </c>
      <c r="M550" s="4">
        <f t="shared" si="168"/>
        <v>15</v>
      </c>
      <c r="N550" s="4">
        <f t="shared" si="169"/>
        <v>0</v>
      </c>
      <c r="O550" s="4">
        <f t="shared" si="170"/>
        <v>9</v>
      </c>
      <c r="P550" s="4">
        <f t="shared" si="171"/>
        <v>0</v>
      </c>
      <c r="Q550" s="4">
        <f t="shared" si="172"/>
        <v>15</v>
      </c>
      <c r="R550" s="4">
        <f t="shared" si="173"/>
        <v>21</v>
      </c>
      <c r="S550" s="4">
        <f t="shared" si="174"/>
        <v>9</v>
      </c>
      <c r="T550" s="4">
        <f t="shared" si="175"/>
        <v>3</v>
      </c>
      <c r="U550" s="4">
        <f t="shared" si="176"/>
        <v>15</v>
      </c>
      <c r="V550" s="8">
        <f t="shared" si="177"/>
        <v>6</v>
      </c>
      <c r="W550" s="8">
        <f t="shared" si="178"/>
        <v>4</v>
      </c>
      <c r="X550">
        <f t="shared" si="179"/>
        <v>1</v>
      </c>
    </row>
    <row r="551" spans="1:24" x14ac:dyDescent="0.25">
      <c r="A551" s="4" t="s">
        <v>577</v>
      </c>
      <c r="B551" t="s">
        <v>8</v>
      </c>
      <c r="C551" t="s">
        <v>6</v>
      </c>
      <c r="D551" s="3">
        <f t="shared" si="160"/>
        <v>66</v>
      </c>
      <c r="E551" s="4">
        <f t="shared" si="161"/>
        <v>9</v>
      </c>
      <c r="F551" s="4">
        <f t="shared" si="162"/>
        <v>16</v>
      </c>
      <c r="G551" s="3">
        <f>IF(E551&gt;=20,2000,1900) + D551</f>
        <v>1966</v>
      </c>
      <c r="H551">
        <f t="shared" si="163"/>
        <v>9</v>
      </c>
      <c r="I551" s="4">
        <f t="shared" si="164"/>
        <v>16</v>
      </c>
      <c r="J551">
        <f t="shared" si="165"/>
        <v>19660916</v>
      </c>
      <c r="K551" t="str">
        <f t="shared" si="166"/>
        <v>16.09.1966</v>
      </c>
      <c r="L551" s="4">
        <f t="shared" si="167"/>
        <v>6</v>
      </c>
      <c r="M551" s="4">
        <f t="shared" si="168"/>
        <v>18</v>
      </c>
      <c r="N551" s="4">
        <f t="shared" si="169"/>
        <v>0</v>
      </c>
      <c r="O551" s="4">
        <f t="shared" si="170"/>
        <v>81</v>
      </c>
      <c r="P551" s="4">
        <f t="shared" si="171"/>
        <v>1</v>
      </c>
      <c r="Q551" s="4">
        <f t="shared" si="172"/>
        <v>18</v>
      </c>
      <c r="R551" s="4">
        <f t="shared" si="173"/>
        <v>14</v>
      </c>
      <c r="S551" s="4">
        <f t="shared" si="174"/>
        <v>54</v>
      </c>
      <c r="T551" s="4">
        <f t="shared" si="175"/>
        <v>4</v>
      </c>
      <c r="U551" s="4">
        <f t="shared" si="176"/>
        <v>27</v>
      </c>
      <c r="V551" s="8">
        <f t="shared" si="177"/>
        <v>3</v>
      </c>
      <c r="W551" s="8">
        <f t="shared" si="178"/>
        <v>7</v>
      </c>
      <c r="X551">
        <f t="shared" si="179"/>
        <v>1</v>
      </c>
    </row>
    <row r="552" spans="1:24" x14ac:dyDescent="0.25">
      <c r="A552" s="4" t="s">
        <v>578</v>
      </c>
      <c r="B552" t="s">
        <v>12</v>
      </c>
      <c r="C552" t="s">
        <v>4</v>
      </c>
      <c r="D552" s="3">
        <f t="shared" si="160"/>
        <v>60</v>
      </c>
      <c r="E552" s="4">
        <f t="shared" si="161"/>
        <v>10</v>
      </c>
      <c r="F552" s="4">
        <f t="shared" si="162"/>
        <v>13</v>
      </c>
      <c r="G552" s="3">
        <f>IF(E552&gt;=20,2000,1900) + D552</f>
        <v>1960</v>
      </c>
      <c r="H552">
        <f t="shared" si="163"/>
        <v>10</v>
      </c>
      <c r="I552" s="4">
        <f t="shared" si="164"/>
        <v>13</v>
      </c>
      <c r="J552">
        <f t="shared" si="165"/>
        <v>19601013</v>
      </c>
      <c r="K552" t="str">
        <f t="shared" si="166"/>
        <v>13.10.1960</v>
      </c>
      <c r="L552" s="4">
        <f t="shared" si="167"/>
        <v>6</v>
      </c>
      <c r="M552" s="4">
        <f t="shared" si="168"/>
        <v>0</v>
      </c>
      <c r="N552" s="4">
        <f t="shared" si="169"/>
        <v>7</v>
      </c>
      <c r="O552" s="4">
        <f t="shared" si="170"/>
        <v>0</v>
      </c>
      <c r="P552" s="4">
        <f t="shared" si="171"/>
        <v>1</v>
      </c>
      <c r="Q552" s="4">
        <f t="shared" si="172"/>
        <v>9</v>
      </c>
      <c r="R552" s="4">
        <f t="shared" si="173"/>
        <v>35</v>
      </c>
      <c r="S552" s="4">
        <f t="shared" si="174"/>
        <v>27</v>
      </c>
      <c r="T552" s="4">
        <f t="shared" si="175"/>
        <v>2</v>
      </c>
      <c r="U552" s="4">
        <f t="shared" si="176"/>
        <v>18</v>
      </c>
      <c r="V552" s="8">
        <f t="shared" si="177"/>
        <v>5</v>
      </c>
      <c r="W552" s="8">
        <f t="shared" si="178"/>
        <v>5</v>
      </c>
      <c r="X552">
        <f t="shared" si="179"/>
        <v>1</v>
      </c>
    </row>
    <row r="553" spans="1:24" x14ac:dyDescent="0.25">
      <c r="A553" s="4" t="s">
        <v>579</v>
      </c>
      <c r="B553" t="s">
        <v>12</v>
      </c>
      <c r="C553" t="s">
        <v>4</v>
      </c>
      <c r="D553" s="3">
        <f t="shared" si="160"/>
        <v>73</v>
      </c>
      <c r="E553" s="4">
        <f t="shared" si="161"/>
        <v>11</v>
      </c>
      <c r="F553" s="4">
        <f t="shared" si="162"/>
        <v>22</v>
      </c>
      <c r="G553" s="3">
        <f>IF(E553&gt;=20,2000,1900) + D553</f>
        <v>1973</v>
      </c>
      <c r="H553">
        <f t="shared" si="163"/>
        <v>11</v>
      </c>
      <c r="I553" s="4">
        <f t="shared" si="164"/>
        <v>22</v>
      </c>
      <c r="J553">
        <f t="shared" si="165"/>
        <v>19731122</v>
      </c>
      <c r="K553" t="str">
        <f t="shared" si="166"/>
        <v>22.11.1973</v>
      </c>
      <c r="L553" s="4">
        <f t="shared" si="167"/>
        <v>7</v>
      </c>
      <c r="M553" s="4">
        <f t="shared" si="168"/>
        <v>9</v>
      </c>
      <c r="N553" s="4">
        <f t="shared" si="169"/>
        <v>7</v>
      </c>
      <c r="O553" s="4">
        <f t="shared" si="170"/>
        <v>9</v>
      </c>
      <c r="P553" s="4">
        <f t="shared" si="171"/>
        <v>2</v>
      </c>
      <c r="Q553" s="4">
        <f t="shared" si="172"/>
        <v>6</v>
      </c>
      <c r="R553" s="4">
        <f t="shared" si="173"/>
        <v>21</v>
      </c>
      <c r="S553" s="4">
        <f t="shared" si="174"/>
        <v>36</v>
      </c>
      <c r="T553" s="4">
        <f t="shared" si="175"/>
        <v>0</v>
      </c>
      <c r="U553" s="4">
        <f t="shared" si="176"/>
        <v>18</v>
      </c>
      <c r="V553" s="8">
        <f t="shared" si="177"/>
        <v>5</v>
      </c>
      <c r="W553" s="8">
        <f t="shared" si="178"/>
        <v>5</v>
      </c>
      <c r="X553">
        <f t="shared" si="179"/>
        <v>1</v>
      </c>
    </row>
    <row r="554" spans="1:24" x14ac:dyDescent="0.25">
      <c r="A554" s="4" t="s">
        <v>580</v>
      </c>
      <c r="B554" t="s">
        <v>7</v>
      </c>
      <c r="C554" t="s">
        <v>6</v>
      </c>
      <c r="D554" s="3">
        <f t="shared" si="160"/>
        <v>77</v>
      </c>
      <c r="E554" s="4">
        <f t="shared" si="161"/>
        <v>10</v>
      </c>
      <c r="F554" s="4">
        <f t="shared" si="162"/>
        <v>4</v>
      </c>
      <c r="G554" s="3">
        <f>IF(E554&gt;=20,2000,1900) + D554</f>
        <v>1977</v>
      </c>
      <c r="H554">
        <f t="shared" si="163"/>
        <v>10</v>
      </c>
      <c r="I554" s="4">
        <f t="shared" si="164"/>
        <v>4</v>
      </c>
      <c r="J554">
        <f t="shared" si="165"/>
        <v>19771004</v>
      </c>
      <c r="K554" t="str">
        <f t="shared" si="166"/>
        <v>04.10.1977</v>
      </c>
      <c r="L554" s="4">
        <f t="shared" si="167"/>
        <v>7</v>
      </c>
      <c r="M554" s="4">
        <f t="shared" si="168"/>
        <v>21</v>
      </c>
      <c r="N554" s="4">
        <f t="shared" si="169"/>
        <v>7</v>
      </c>
      <c r="O554" s="4">
        <f t="shared" si="170"/>
        <v>0</v>
      </c>
      <c r="P554" s="4">
        <f t="shared" si="171"/>
        <v>0</v>
      </c>
      <c r="Q554" s="4">
        <f t="shared" si="172"/>
        <v>12</v>
      </c>
      <c r="R554" s="4">
        <f t="shared" si="173"/>
        <v>35</v>
      </c>
      <c r="S554" s="4">
        <f t="shared" si="174"/>
        <v>45</v>
      </c>
      <c r="T554" s="4">
        <f t="shared" si="175"/>
        <v>0</v>
      </c>
      <c r="U554" s="4">
        <f t="shared" si="176"/>
        <v>15</v>
      </c>
      <c r="V554" s="8">
        <f t="shared" si="177"/>
        <v>2</v>
      </c>
      <c r="W554" s="8">
        <f t="shared" si="178"/>
        <v>8</v>
      </c>
      <c r="X554">
        <f t="shared" si="179"/>
        <v>1</v>
      </c>
    </row>
    <row r="555" spans="1:24" x14ac:dyDescent="0.25">
      <c r="A555" s="4" t="s">
        <v>581</v>
      </c>
      <c r="B555" t="s">
        <v>9</v>
      </c>
      <c r="C555" t="s">
        <v>6</v>
      </c>
      <c r="D555" s="3">
        <f t="shared" si="160"/>
        <v>98</v>
      </c>
      <c r="E555" s="4">
        <f t="shared" si="161"/>
        <v>9</v>
      </c>
      <c r="F555" s="4">
        <f t="shared" si="162"/>
        <v>16</v>
      </c>
      <c r="G555" s="3">
        <f>IF(E555&gt;=20,2000,1900) + D555</f>
        <v>1998</v>
      </c>
      <c r="H555">
        <f t="shared" si="163"/>
        <v>9</v>
      </c>
      <c r="I555" s="4">
        <f t="shared" si="164"/>
        <v>16</v>
      </c>
      <c r="J555">
        <f t="shared" si="165"/>
        <v>19980916</v>
      </c>
      <c r="K555" t="str">
        <f t="shared" si="166"/>
        <v>16.09.1998</v>
      </c>
      <c r="L555" s="4">
        <f t="shared" si="167"/>
        <v>9</v>
      </c>
      <c r="M555" s="4">
        <f t="shared" si="168"/>
        <v>24</v>
      </c>
      <c r="N555" s="4">
        <f t="shared" si="169"/>
        <v>0</v>
      </c>
      <c r="O555" s="4">
        <f t="shared" si="170"/>
        <v>81</v>
      </c>
      <c r="P555" s="4">
        <f t="shared" si="171"/>
        <v>1</v>
      </c>
      <c r="Q555" s="4">
        <f t="shared" si="172"/>
        <v>18</v>
      </c>
      <c r="R555" s="4">
        <f t="shared" si="173"/>
        <v>63</v>
      </c>
      <c r="S555" s="4">
        <f t="shared" si="174"/>
        <v>27</v>
      </c>
      <c r="T555" s="4">
        <f t="shared" si="175"/>
        <v>6</v>
      </c>
      <c r="U555" s="4">
        <f t="shared" si="176"/>
        <v>24</v>
      </c>
      <c r="V555" s="8">
        <f t="shared" si="177"/>
        <v>3</v>
      </c>
      <c r="W555" s="8">
        <f t="shared" si="178"/>
        <v>7</v>
      </c>
      <c r="X555">
        <f t="shared" si="179"/>
        <v>1</v>
      </c>
    </row>
    <row r="556" spans="1:24" x14ac:dyDescent="0.25">
      <c r="A556" s="4" t="s">
        <v>582</v>
      </c>
      <c r="B556" t="s">
        <v>16</v>
      </c>
      <c r="C556" t="s">
        <v>6</v>
      </c>
      <c r="D556" s="3">
        <f t="shared" si="160"/>
        <v>67</v>
      </c>
      <c r="E556" s="4">
        <f t="shared" si="161"/>
        <v>9</v>
      </c>
      <c r="F556" s="4">
        <f t="shared" si="162"/>
        <v>14</v>
      </c>
      <c r="G556" s="3">
        <f>IF(E556&gt;=20,2000,1900) + D556</f>
        <v>1967</v>
      </c>
      <c r="H556">
        <f t="shared" si="163"/>
        <v>9</v>
      </c>
      <c r="I556" s="4">
        <f t="shared" si="164"/>
        <v>14</v>
      </c>
      <c r="J556">
        <f t="shared" si="165"/>
        <v>19670914</v>
      </c>
      <c r="K556" t="str">
        <f t="shared" si="166"/>
        <v>14.09.1967</v>
      </c>
      <c r="L556" s="4">
        <f t="shared" si="167"/>
        <v>6</v>
      </c>
      <c r="M556" s="4">
        <f t="shared" si="168"/>
        <v>21</v>
      </c>
      <c r="N556" s="4">
        <f t="shared" si="169"/>
        <v>0</v>
      </c>
      <c r="O556" s="4">
        <f t="shared" si="170"/>
        <v>81</v>
      </c>
      <c r="P556" s="4">
        <f t="shared" si="171"/>
        <v>1</v>
      </c>
      <c r="Q556" s="4">
        <f t="shared" si="172"/>
        <v>12</v>
      </c>
      <c r="R556" s="4">
        <f t="shared" si="173"/>
        <v>28</v>
      </c>
      <c r="S556" s="4">
        <f t="shared" si="174"/>
        <v>81</v>
      </c>
      <c r="T556" s="4">
        <f t="shared" si="175"/>
        <v>0</v>
      </c>
      <c r="U556" s="4">
        <f t="shared" si="176"/>
        <v>9</v>
      </c>
      <c r="V556" s="8">
        <f t="shared" si="177"/>
        <v>9</v>
      </c>
      <c r="W556" s="8">
        <f t="shared" si="178"/>
        <v>1</v>
      </c>
      <c r="X556">
        <f t="shared" si="179"/>
        <v>1</v>
      </c>
    </row>
    <row r="557" spans="1:24" x14ac:dyDescent="0.25">
      <c r="A557" s="4" t="s">
        <v>583</v>
      </c>
      <c r="B557" t="s">
        <v>5</v>
      </c>
      <c r="C557" t="s">
        <v>6</v>
      </c>
      <c r="D557" s="3">
        <f t="shared" si="160"/>
        <v>75</v>
      </c>
      <c r="E557" s="4">
        <f t="shared" si="161"/>
        <v>5</v>
      </c>
      <c r="F557" s="4">
        <f t="shared" si="162"/>
        <v>24</v>
      </c>
      <c r="G557" s="3">
        <f>IF(E557&gt;=20,2000,1900) + D557</f>
        <v>1975</v>
      </c>
      <c r="H557">
        <f t="shared" si="163"/>
        <v>5</v>
      </c>
      <c r="I557" s="4">
        <f t="shared" si="164"/>
        <v>24</v>
      </c>
      <c r="J557">
        <f t="shared" si="165"/>
        <v>19750524</v>
      </c>
      <c r="K557" t="str">
        <f t="shared" si="166"/>
        <v>24.05.1975</v>
      </c>
      <c r="L557" s="4">
        <f t="shared" si="167"/>
        <v>7</v>
      </c>
      <c r="M557" s="4">
        <f t="shared" si="168"/>
        <v>15</v>
      </c>
      <c r="N557" s="4">
        <f t="shared" si="169"/>
        <v>0</v>
      </c>
      <c r="O557" s="4">
        <f t="shared" si="170"/>
        <v>45</v>
      </c>
      <c r="P557" s="4">
        <f t="shared" si="171"/>
        <v>2</v>
      </c>
      <c r="Q557" s="4">
        <f t="shared" si="172"/>
        <v>12</v>
      </c>
      <c r="R557" s="4">
        <f t="shared" si="173"/>
        <v>14</v>
      </c>
      <c r="S557" s="4">
        <f t="shared" si="174"/>
        <v>9</v>
      </c>
      <c r="T557" s="4">
        <f t="shared" si="175"/>
        <v>4</v>
      </c>
      <c r="U557" s="4">
        <f t="shared" si="176"/>
        <v>18</v>
      </c>
      <c r="V557" s="8">
        <f t="shared" si="177"/>
        <v>6</v>
      </c>
      <c r="W557" s="8">
        <f t="shared" si="178"/>
        <v>4</v>
      </c>
      <c r="X557">
        <f t="shared" si="179"/>
        <v>1</v>
      </c>
    </row>
    <row r="558" spans="1:24" x14ac:dyDescent="0.25">
      <c r="A558" s="4" t="s">
        <v>584</v>
      </c>
      <c r="B558" t="s">
        <v>18</v>
      </c>
      <c r="C558" t="s">
        <v>4</v>
      </c>
      <c r="D558" s="3">
        <f t="shared" si="160"/>
        <v>93</v>
      </c>
      <c r="E558" s="4">
        <f t="shared" si="161"/>
        <v>4</v>
      </c>
      <c r="F558" s="4">
        <f t="shared" si="162"/>
        <v>20</v>
      </c>
      <c r="G558" s="3">
        <f>IF(E558&gt;=20,2000,1900) + D558</f>
        <v>1993</v>
      </c>
      <c r="H558">
        <f t="shared" si="163"/>
        <v>4</v>
      </c>
      <c r="I558" s="4">
        <f t="shared" si="164"/>
        <v>20</v>
      </c>
      <c r="J558">
        <f t="shared" si="165"/>
        <v>19930420</v>
      </c>
      <c r="K558" t="str">
        <f t="shared" si="166"/>
        <v>20.04.1993</v>
      </c>
      <c r="L558" s="4">
        <f t="shared" si="167"/>
        <v>9</v>
      </c>
      <c r="M558" s="4">
        <f t="shared" si="168"/>
        <v>9</v>
      </c>
      <c r="N558" s="4">
        <f t="shared" si="169"/>
        <v>0</v>
      </c>
      <c r="O558" s="4">
        <f t="shared" si="170"/>
        <v>36</v>
      </c>
      <c r="P558" s="4">
        <f t="shared" si="171"/>
        <v>2</v>
      </c>
      <c r="Q558" s="4">
        <f t="shared" si="172"/>
        <v>0</v>
      </c>
      <c r="R558" s="4">
        <f t="shared" si="173"/>
        <v>42</v>
      </c>
      <c r="S558" s="4">
        <f t="shared" si="174"/>
        <v>0</v>
      </c>
      <c r="T558" s="4">
        <f t="shared" si="175"/>
        <v>9</v>
      </c>
      <c r="U558" s="4">
        <f t="shared" si="176"/>
        <v>18</v>
      </c>
      <c r="V558" s="8">
        <f t="shared" si="177"/>
        <v>5</v>
      </c>
      <c r="W558" s="8">
        <f t="shared" si="178"/>
        <v>5</v>
      </c>
      <c r="X558">
        <f t="shared" si="179"/>
        <v>1</v>
      </c>
    </row>
    <row r="559" spans="1:24" x14ac:dyDescent="0.25">
      <c r="A559" s="4" t="s">
        <v>585</v>
      </c>
      <c r="B559" t="s">
        <v>20</v>
      </c>
      <c r="C559" t="s">
        <v>6</v>
      </c>
      <c r="D559" s="3">
        <f t="shared" si="160"/>
        <v>58</v>
      </c>
      <c r="E559" s="4">
        <f t="shared" si="161"/>
        <v>1</v>
      </c>
      <c r="F559" s="4">
        <f t="shared" si="162"/>
        <v>14</v>
      </c>
      <c r="G559" s="3">
        <f>IF(E559&gt;=20,2000,1900) + D559</f>
        <v>1958</v>
      </c>
      <c r="H559">
        <f t="shared" si="163"/>
        <v>1</v>
      </c>
      <c r="I559" s="4">
        <f t="shared" si="164"/>
        <v>14</v>
      </c>
      <c r="J559">
        <f t="shared" si="165"/>
        <v>19580114</v>
      </c>
      <c r="K559" t="str">
        <f t="shared" si="166"/>
        <v>14.01.1958</v>
      </c>
      <c r="L559" s="4">
        <f t="shared" si="167"/>
        <v>5</v>
      </c>
      <c r="M559" s="4">
        <f t="shared" si="168"/>
        <v>24</v>
      </c>
      <c r="N559" s="4">
        <f t="shared" si="169"/>
        <v>0</v>
      </c>
      <c r="O559" s="4">
        <f t="shared" si="170"/>
        <v>9</v>
      </c>
      <c r="P559" s="4">
        <f t="shared" si="171"/>
        <v>1</v>
      </c>
      <c r="Q559" s="4">
        <f t="shared" si="172"/>
        <v>12</v>
      </c>
      <c r="R559" s="4">
        <f t="shared" si="173"/>
        <v>21</v>
      </c>
      <c r="S559" s="4">
        <f t="shared" si="174"/>
        <v>63</v>
      </c>
      <c r="T559" s="4">
        <f t="shared" si="175"/>
        <v>3</v>
      </c>
      <c r="U559" s="4">
        <f t="shared" si="176"/>
        <v>27</v>
      </c>
      <c r="V559" s="8">
        <f t="shared" si="177"/>
        <v>5</v>
      </c>
      <c r="W559" s="8">
        <f t="shared" si="178"/>
        <v>5</v>
      </c>
      <c r="X559">
        <f t="shared" si="179"/>
        <v>1</v>
      </c>
    </row>
    <row r="560" spans="1:24" x14ac:dyDescent="0.25">
      <c r="A560" s="4" t="s">
        <v>586</v>
      </c>
      <c r="B560" t="s">
        <v>17</v>
      </c>
      <c r="C560" t="s">
        <v>4</v>
      </c>
      <c r="D560" s="3">
        <f t="shared" si="160"/>
        <v>61</v>
      </c>
      <c r="E560" s="4">
        <f t="shared" si="161"/>
        <v>1</v>
      </c>
      <c r="F560" s="4">
        <f t="shared" si="162"/>
        <v>9</v>
      </c>
      <c r="G560" s="3">
        <f>IF(E560&gt;=20,2000,1900) + D560</f>
        <v>1961</v>
      </c>
      <c r="H560">
        <f t="shared" si="163"/>
        <v>1</v>
      </c>
      <c r="I560" s="4">
        <f t="shared" si="164"/>
        <v>9</v>
      </c>
      <c r="J560">
        <f t="shared" si="165"/>
        <v>19610109</v>
      </c>
      <c r="K560" t="str">
        <f t="shared" si="166"/>
        <v>09.01.1961</v>
      </c>
      <c r="L560" s="4">
        <f t="shared" si="167"/>
        <v>6</v>
      </c>
      <c r="M560" s="4">
        <f t="shared" si="168"/>
        <v>3</v>
      </c>
      <c r="N560" s="4">
        <f t="shared" si="169"/>
        <v>0</v>
      </c>
      <c r="O560" s="4">
        <f t="shared" si="170"/>
        <v>9</v>
      </c>
      <c r="P560" s="4">
        <f t="shared" si="171"/>
        <v>0</v>
      </c>
      <c r="Q560" s="4">
        <f t="shared" si="172"/>
        <v>27</v>
      </c>
      <c r="R560" s="4">
        <f t="shared" si="173"/>
        <v>14</v>
      </c>
      <c r="S560" s="4">
        <f t="shared" si="174"/>
        <v>36</v>
      </c>
      <c r="T560" s="4">
        <f t="shared" si="175"/>
        <v>0</v>
      </c>
      <c r="U560" s="4">
        <f t="shared" si="176"/>
        <v>12</v>
      </c>
      <c r="V560" s="8">
        <f t="shared" si="177"/>
        <v>7</v>
      </c>
      <c r="W560" s="8">
        <f t="shared" si="178"/>
        <v>3</v>
      </c>
      <c r="X560">
        <f t="shared" si="179"/>
        <v>1</v>
      </c>
    </row>
    <row r="561" spans="1:24" x14ac:dyDescent="0.25">
      <c r="A561" s="4" t="s">
        <v>587</v>
      </c>
      <c r="B561" t="s">
        <v>20</v>
      </c>
      <c r="C561" t="s">
        <v>4</v>
      </c>
      <c r="D561" s="3">
        <f t="shared" si="160"/>
        <v>59</v>
      </c>
      <c r="E561" s="4">
        <f t="shared" si="161"/>
        <v>2</v>
      </c>
      <c r="F561" s="4">
        <f t="shared" si="162"/>
        <v>1</v>
      </c>
      <c r="G561" s="3">
        <f>IF(E561&gt;=20,2000,1900) + D561</f>
        <v>1959</v>
      </c>
      <c r="H561">
        <f t="shared" si="163"/>
        <v>2</v>
      </c>
      <c r="I561" s="4">
        <f t="shared" si="164"/>
        <v>1</v>
      </c>
      <c r="J561">
        <f t="shared" si="165"/>
        <v>19590201</v>
      </c>
      <c r="K561" t="str">
        <f t="shared" si="166"/>
        <v>01.02.1959</v>
      </c>
      <c r="L561" s="4">
        <f t="shared" si="167"/>
        <v>5</v>
      </c>
      <c r="M561" s="4">
        <f t="shared" si="168"/>
        <v>27</v>
      </c>
      <c r="N561" s="4">
        <f t="shared" si="169"/>
        <v>0</v>
      </c>
      <c r="O561" s="4">
        <f t="shared" si="170"/>
        <v>18</v>
      </c>
      <c r="P561" s="4">
        <f t="shared" si="171"/>
        <v>0</v>
      </c>
      <c r="Q561" s="4">
        <f t="shared" si="172"/>
        <v>3</v>
      </c>
      <c r="R561" s="4">
        <f t="shared" si="173"/>
        <v>7</v>
      </c>
      <c r="S561" s="4">
        <f t="shared" si="174"/>
        <v>54</v>
      </c>
      <c r="T561" s="4">
        <f t="shared" si="175"/>
        <v>7</v>
      </c>
      <c r="U561" s="4">
        <f t="shared" si="176"/>
        <v>21</v>
      </c>
      <c r="V561" s="8">
        <f t="shared" si="177"/>
        <v>2</v>
      </c>
      <c r="W561" s="8">
        <f t="shared" si="178"/>
        <v>8</v>
      </c>
      <c r="X561">
        <f t="shared" si="179"/>
        <v>1</v>
      </c>
    </row>
    <row r="562" spans="1:24" x14ac:dyDescent="0.25">
      <c r="A562" s="4" t="s">
        <v>588</v>
      </c>
      <c r="B562" t="s">
        <v>10</v>
      </c>
      <c r="C562" t="s">
        <v>6</v>
      </c>
      <c r="D562" s="3">
        <f t="shared" si="160"/>
        <v>85</v>
      </c>
      <c r="E562" s="4">
        <f t="shared" si="161"/>
        <v>1</v>
      </c>
      <c r="F562" s="4">
        <f t="shared" si="162"/>
        <v>20</v>
      </c>
      <c r="G562" s="3">
        <f>IF(E562&gt;=20,2000,1900) + D562</f>
        <v>1985</v>
      </c>
      <c r="H562">
        <f t="shared" si="163"/>
        <v>1</v>
      </c>
      <c r="I562" s="4">
        <f t="shared" si="164"/>
        <v>20</v>
      </c>
      <c r="J562">
        <f t="shared" si="165"/>
        <v>19850120</v>
      </c>
      <c r="K562" t="str">
        <f t="shared" si="166"/>
        <v>20.01.1985</v>
      </c>
      <c r="L562" s="4">
        <f t="shared" si="167"/>
        <v>8</v>
      </c>
      <c r="M562" s="4">
        <f t="shared" si="168"/>
        <v>15</v>
      </c>
      <c r="N562" s="4">
        <f t="shared" si="169"/>
        <v>0</v>
      </c>
      <c r="O562" s="4">
        <f t="shared" si="170"/>
        <v>9</v>
      </c>
      <c r="P562" s="4">
        <f t="shared" si="171"/>
        <v>2</v>
      </c>
      <c r="Q562" s="4">
        <f t="shared" si="172"/>
        <v>0</v>
      </c>
      <c r="R562" s="4">
        <f t="shared" si="173"/>
        <v>0</v>
      </c>
      <c r="S562" s="4">
        <f t="shared" si="174"/>
        <v>54</v>
      </c>
      <c r="T562" s="4">
        <f t="shared" si="175"/>
        <v>5</v>
      </c>
      <c r="U562" s="4">
        <f t="shared" si="176"/>
        <v>6</v>
      </c>
      <c r="V562" s="8">
        <f t="shared" si="177"/>
        <v>9</v>
      </c>
      <c r="W562" s="8">
        <f t="shared" si="178"/>
        <v>1</v>
      </c>
      <c r="X562">
        <f t="shared" si="179"/>
        <v>1</v>
      </c>
    </row>
    <row r="563" spans="1:24" x14ac:dyDescent="0.25">
      <c r="A563" s="4" t="s">
        <v>589</v>
      </c>
      <c r="B563" t="s">
        <v>14</v>
      </c>
      <c r="C563" t="s">
        <v>6</v>
      </c>
      <c r="D563" s="3">
        <f t="shared" si="160"/>
        <v>89</v>
      </c>
      <c r="E563" s="4">
        <f t="shared" si="161"/>
        <v>2</v>
      </c>
      <c r="F563" s="4">
        <f t="shared" si="162"/>
        <v>13</v>
      </c>
      <c r="G563" s="3">
        <f>IF(E563&gt;=20,2000,1900) + D563</f>
        <v>1989</v>
      </c>
      <c r="H563">
        <f t="shared" si="163"/>
        <v>2</v>
      </c>
      <c r="I563" s="4">
        <f t="shared" si="164"/>
        <v>13</v>
      </c>
      <c r="J563">
        <f t="shared" si="165"/>
        <v>19890213</v>
      </c>
      <c r="K563" t="str">
        <f t="shared" si="166"/>
        <v>13.02.1989</v>
      </c>
      <c r="L563" s="4">
        <f t="shared" si="167"/>
        <v>8</v>
      </c>
      <c r="M563" s="4">
        <f t="shared" si="168"/>
        <v>27</v>
      </c>
      <c r="N563" s="4">
        <f t="shared" si="169"/>
        <v>0</v>
      </c>
      <c r="O563" s="4">
        <f t="shared" si="170"/>
        <v>18</v>
      </c>
      <c r="P563" s="4">
        <f t="shared" si="171"/>
        <v>1</v>
      </c>
      <c r="Q563" s="4">
        <f t="shared" si="172"/>
        <v>9</v>
      </c>
      <c r="R563" s="4">
        <f t="shared" si="173"/>
        <v>21</v>
      </c>
      <c r="S563" s="4">
        <f t="shared" si="174"/>
        <v>54</v>
      </c>
      <c r="T563" s="4">
        <f t="shared" si="175"/>
        <v>3</v>
      </c>
      <c r="U563" s="4">
        <f t="shared" si="176"/>
        <v>15</v>
      </c>
      <c r="V563" s="8">
        <f t="shared" si="177"/>
        <v>6</v>
      </c>
      <c r="W563" s="8">
        <f t="shared" si="178"/>
        <v>4</v>
      </c>
      <c r="X563">
        <f t="shared" si="179"/>
        <v>1</v>
      </c>
    </row>
    <row r="564" spans="1:24" x14ac:dyDescent="0.25">
      <c r="A564" s="4" t="s">
        <v>590</v>
      </c>
      <c r="B564" t="s">
        <v>15</v>
      </c>
      <c r="C564" t="s">
        <v>4</v>
      </c>
      <c r="D564" s="3">
        <f t="shared" si="160"/>
        <v>65</v>
      </c>
      <c r="E564" s="4">
        <f t="shared" si="161"/>
        <v>9</v>
      </c>
      <c r="F564" s="4">
        <f t="shared" si="162"/>
        <v>24</v>
      </c>
      <c r="G564" s="3">
        <f>IF(E564&gt;=20,2000,1900) + D564</f>
        <v>1965</v>
      </c>
      <c r="H564">
        <f t="shared" si="163"/>
        <v>9</v>
      </c>
      <c r="I564" s="4">
        <f t="shared" si="164"/>
        <v>24</v>
      </c>
      <c r="J564">
        <f t="shared" si="165"/>
        <v>19650924</v>
      </c>
      <c r="K564" t="str">
        <f t="shared" si="166"/>
        <v>24.09.1965</v>
      </c>
      <c r="L564" s="4">
        <f t="shared" si="167"/>
        <v>6</v>
      </c>
      <c r="M564" s="4">
        <f t="shared" si="168"/>
        <v>15</v>
      </c>
      <c r="N564" s="4">
        <f t="shared" si="169"/>
        <v>0</v>
      </c>
      <c r="O564" s="4">
        <f t="shared" si="170"/>
        <v>81</v>
      </c>
      <c r="P564" s="4">
        <f t="shared" si="171"/>
        <v>2</v>
      </c>
      <c r="Q564" s="4">
        <f t="shared" si="172"/>
        <v>12</v>
      </c>
      <c r="R564" s="4">
        <f t="shared" si="173"/>
        <v>0</v>
      </c>
      <c r="S564" s="4">
        <f t="shared" si="174"/>
        <v>81</v>
      </c>
      <c r="T564" s="4">
        <f t="shared" si="175"/>
        <v>2</v>
      </c>
      <c r="U564" s="4">
        <f t="shared" si="176"/>
        <v>0</v>
      </c>
      <c r="V564" s="8">
        <f t="shared" si="177"/>
        <v>9</v>
      </c>
      <c r="W564" s="8">
        <f t="shared" si="178"/>
        <v>1</v>
      </c>
      <c r="X564">
        <f t="shared" si="179"/>
        <v>1</v>
      </c>
    </row>
    <row r="565" spans="1:24" x14ac:dyDescent="0.25">
      <c r="A565" s="4" t="s">
        <v>591</v>
      </c>
      <c r="B565" t="s">
        <v>12</v>
      </c>
      <c r="C565" t="s">
        <v>6</v>
      </c>
      <c r="D565" s="3">
        <f t="shared" si="160"/>
        <v>69</v>
      </c>
      <c r="E565" s="4">
        <f t="shared" si="161"/>
        <v>7</v>
      </c>
      <c r="F565" s="4">
        <f t="shared" si="162"/>
        <v>23</v>
      </c>
      <c r="G565" s="3">
        <f>IF(E565&gt;=20,2000,1900) + D565</f>
        <v>1969</v>
      </c>
      <c r="H565">
        <f t="shared" si="163"/>
        <v>7</v>
      </c>
      <c r="I565" s="4">
        <f t="shared" si="164"/>
        <v>23</v>
      </c>
      <c r="J565">
        <f t="shared" si="165"/>
        <v>19690723</v>
      </c>
      <c r="K565" t="str">
        <f t="shared" si="166"/>
        <v>23.07.1969</v>
      </c>
      <c r="L565" s="4">
        <f t="shared" si="167"/>
        <v>6</v>
      </c>
      <c r="M565" s="4">
        <f t="shared" si="168"/>
        <v>27</v>
      </c>
      <c r="N565" s="4">
        <f t="shared" si="169"/>
        <v>0</v>
      </c>
      <c r="O565" s="4">
        <f t="shared" si="170"/>
        <v>63</v>
      </c>
      <c r="P565" s="4">
        <f t="shared" si="171"/>
        <v>2</v>
      </c>
      <c r="Q565" s="4">
        <f t="shared" si="172"/>
        <v>9</v>
      </c>
      <c r="R565" s="4">
        <f t="shared" si="173"/>
        <v>35</v>
      </c>
      <c r="S565" s="4">
        <f t="shared" si="174"/>
        <v>18</v>
      </c>
      <c r="T565" s="4">
        <f t="shared" si="175"/>
        <v>0</v>
      </c>
      <c r="U565" s="4">
        <f t="shared" si="176"/>
        <v>0</v>
      </c>
      <c r="V565" s="8">
        <f t="shared" si="177"/>
        <v>0</v>
      </c>
      <c r="W565" s="8">
        <f t="shared" si="178"/>
        <v>0</v>
      </c>
      <c r="X565">
        <f t="shared" si="179"/>
        <v>1</v>
      </c>
    </row>
    <row r="566" spans="1:24" x14ac:dyDescent="0.25">
      <c r="A566" s="4" t="s">
        <v>592</v>
      </c>
      <c r="B566" t="s">
        <v>9</v>
      </c>
      <c r="C566" t="s">
        <v>4</v>
      </c>
      <c r="D566" s="3">
        <f t="shared" si="160"/>
        <v>80</v>
      </c>
      <c r="E566" s="4">
        <f t="shared" si="161"/>
        <v>10</v>
      </c>
      <c r="F566" s="4">
        <f t="shared" si="162"/>
        <v>14</v>
      </c>
      <c r="G566" s="3">
        <f>IF(E566&gt;=20,2000,1900) + D566</f>
        <v>1980</v>
      </c>
      <c r="H566">
        <f t="shared" si="163"/>
        <v>10</v>
      </c>
      <c r="I566" s="4">
        <f t="shared" si="164"/>
        <v>14</v>
      </c>
      <c r="J566">
        <f t="shared" si="165"/>
        <v>19801014</v>
      </c>
      <c r="K566" t="str">
        <f t="shared" si="166"/>
        <v>14.10.1980</v>
      </c>
      <c r="L566" s="4">
        <f t="shared" si="167"/>
        <v>8</v>
      </c>
      <c r="M566" s="4">
        <f t="shared" si="168"/>
        <v>0</v>
      </c>
      <c r="N566" s="4">
        <f t="shared" si="169"/>
        <v>7</v>
      </c>
      <c r="O566" s="4">
        <f t="shared" si="170"/>
        <v>0</v>
      </c>
      <c r="P566" s="4">
        <f t="shared" si="171"/>
        <v>1</v>
      </c>
      <c r="Q566" s="4">
        <f t="shared" si="172"/>
        <v>12</v>
      </c>
      <c r="R566" s="4">
        <f t="shared" si="173"/>
        <v>14</v>
      </c>
      <c r="S566" s="4">
        <f t="shared" si="174"/>
        <v>81</v>
      </c>
      <c r="T566" s="4">
        <f t="shared" si="175"/>
        <v>4</v>
      </c>
      <c r="U566" s="4">
        <f t="shared" si="176"/>
        <v>9</v>
      </c>
      <c r="V566" s="8">
        <f t="shared" si="177"/>
        <v>6</v>
      </c>
      <c r="W566" s="8">
        <f t="shared" si="178"/>
        <v>4</v>
      </c>
      <c r="X566">
        <f t="shared" si="179"/>
        <v>1</v>
      </c>
    </row>
    <row r="567" spans="1:24" x14ac:dyDescent="0.25">
      <c r="A567" s="4" t="s">
        <v>593</v>
      </c>
      <c r="B567" t="s">
        <v>18</v>
      </c>
      <c r="C567" t="s">
        <v>6</v>
      </c>
      <c r="D567" s="3">
        <f t="shared" si="160"/>
        <v>74</v>
      </c>
      <c r="E567" s="4">
        <f t="shared" si="161"/>
        <v>4</v>
      </c>
      <c r="F567" s="4">
        <f t="shared" si="162"/>
        <v>11</v>
      </c>
      <c r="G567" s="3">
        <f>IF(E567&gt;=20,2000,1900) + D567</f>
        <v>1974</v>
      </c>
      <c r="H567">
        <f t="shared" si="163"/>
        <v>4</v>
      </c>
      <c r="I567" s="4">
        <f t="shared" si="164"/>
        <v>11</v>
      </c>
      <c r="J567">
        <f t="shared" si="165"/>
        <v>19740411</v>
      </c>
      <c r="K567" t="str">
        <f t="shared" si="166"/>
        <v>11.04.1974</v>
      </c>
      <c r="L567" s="4">
        <f t="shared" si="167"/>
        <v>7</v>
      </c>
      <c r="M567" s="4">
        <f t="shared" si="168"/>
        <v>12</v>
      </c>
      <c r="N567" s="4">
        <f t="shared" si="169"/>
        <v>0</v>
      </c>
      <c r="O567" s="4">
        <f t="shared" si="170"/>
        <v>36</v>
      </c>
      <c r="P567" s="4">
        <f t="shared" si="171"/>
        <v>1</v>
      </c>
      <c r="Q567" s="4">
        <f t="shared" si="172"/>
        <v>3</v>
      </c>
      <c r="R567" s="4">
        <f t="shared" si="173"/>
        <v>42</v>
      </c>
      <c r="S567" s="4">
        <f t="shared" si="174"/>
        <v>27</v>
      </c>
      <c r="T567" s="4">
        <f t="shared" si="175"/>
        <v>0</v>
      </c>
      <c r="U567" s="4">
        <f t="shared" si="176"/>
        <v>27</v>
      </c>
      <c r="V567" s="8">
        <f t="shared" si="177"/>
        <v>5</v>
      </c>
      <c r="W567" s="8">
        <f t="shared" si="178"/>
        <v>5</v>
      </c>
      <c r="X567">
        <f t="shared" si="179"/>
        <v>1</v>
      </c>
    </row>
    <row r="568" spans="1:24" x14ac:dyDescent="0.25">
      <c r="A568" s="4" t="s">
        <v>594</v>
      </c>
      <c r="B568" t="s">
        <v>11</v>
      </c>
      <c r="C568" t="s">
        <v>6</v>
      </c>
      <c r="D568" s="3">
        <f t="shared" si="160"/>
        <v>95</v>
      </c>
      <c r="E568" s="4">
        <f t="shared" si="161"/>
        <v>3</v>
      </c>
      <c r="F568" s="4">
        <f t="shared" si="162"/>
        <v>3</v>
      </c>
      <c r="G568" s="3">
        <f>IF(E568&gt;=20,2000,1900) + D568</f>
        <v>1995</v>
      </c>
      <c r="H568">
        <f t="shared" si="163"/>
        <v>3</v>
      </c>
      <c r="I568" s="4">
        <f t="shared" si="164"/>
        <v>3</v>
      </c>
      <c r="J568">
        <f t="shared" si="165"/>
        <v>19950303</v>
      </c>
      <c r="K568" t="str">
        <f t="shared" si="166"/>
        <v>03.03.1995</v>
      </c>
      <c r="L568" s="4">
        <f t="shared" si="167"/>
        <v>9</v>
      </c>
      <c r="M568" s="4">
        <f t="shared" si="168"/>
        <v>15</v>
      </c>
      <c r="N568" s="4">
        <f t="shared" si="169"/>
        <v>0</v>
      </c>
      <c r="O568" s="4">
        <f t="shared" si="170"/>
        <v>27</v>
      </c>
      <c r="P568" s="4">
        <f t="shared" si="171"/>
        <v>0</v>
      </c>
      <c r="Q568" s="4">
        <f t="shared" si="172"/>
        <v>9</v>
      </c>
      <c r="R568" s="4">
        <f t="shared" si="173"/>
        <v>7</v>
      </c>
      <c r="S568" s="4">
        <f t="shared" si="174"/>
        <v>0</v>
      </c>
      <c r="T568" s="4">
        <f t="shared" si="175"/>
        <v>8</v>
      </c>
      <c r="U568" s="4">
        <f t="shared" si="176"/>
        <v>9</v>
      </c>
      <c r="V568" s="8">
        <f t="shared" si="177"/>
        <v>4</v>
      </c>
      <c r="W568" s="8">
        <f t="shared" si="178"/>
        <v>6</v>
      </c>
      <c r="X568">
        <f t="shared" si="179"/>
        <v>1</v>
      </c>
    </row>
    <row r="569" spans="1:24" x14ac:dyDescent="0.25">
      <c r="A569" s="4" t="s">
        <v>595</v>
      </c>
      <c r="B569" t="s">
        <v>9</v>
      </c>
      <c r="C569" t="s">
        <v>6</v>
      </c>
      <c r="D569" s="3">
        <f t="shared" si="160"/>
        <v>84</v>
      </c>
      <c r="E569" s="4">
        <f t="shared" si="161"/>
        <v>8</v>
      </c>
      <c r="F569" s="4">
        <f t="shared" si="162"/>
        <v>31</v>
      </c>
      <c r="G569" s="3">
        <f>IF(E569&gt;=20,2000,1900) + D569</f>
        <v>1984</v>
      </c>
      <c r="H569">
        <f t="shared" si="163"/>
        <v>8</v>
      </c>
      <c r="I569" s="4">
        <f t="shared" si="164"/>
        <v>31</v>
      </c>
      <c r="J569">
        <f t="shared" si="165"/>
        <v>19840831</v>
      </c>
      <c r="K569" t="str">
        <f t="shared" si="166"/>
        <v>31.08.1984</v>
      </c>
      <c r="L569" s="4">
        <f t="shared" si="167"/>
        <v>8</v>
      </c>
      <c r="M569" s="4">
        <f t="shared" si="168"/>
        <v>12</v>
      </c>
      <c r="N569" s="4">
        <f t="shared" si="169"/>
        <v>0</v>
      </c>
      <c r="O569" s="4">
        <f t="shared" si="170"/>
        <v>72</v>
      </c>
      <c r="P569" s="4">
        <f t="shared" si="171"/>
        <v>3</v>
      </c>
      <c r="Q569" s="4">
        <f t="shared" si="172"/>
        <v>3</v>
      </c>
      <c r="R569" s="4">
        <f t="shared" si="173"/>
        <v>7</v>
      </c>
      <c r="S569" s="4">
        <f t="shared" si="174"/>
        <v>0</v>
      </c>
      <c r="T569" s="4">
        <f t="shared" si="175"/>
        <v>2</v>
      </c>
      <c r="U569" s="4">
        <f t="shared" si="176"/>
        <v>12</v>
      </c>
      <c r="V569" s="8">
        <f t="shared" si="177"/>
        <v>9</v>
      </c>
      <c r="W569" s="8">
        <f t="shared" si="178"/>
        <v>1</v>
      </c>
      <c r="X569">
        <f t="shared" si="179"/>
        <v>1</v>
      </c>
    </row>
    <row r="570" spans="1:24" x14ac:dyDescent="0.25">
      <c r="A570" s="4" t="s">
        <v>596</v>
      </c>
      <c r="B570" t="s">
        <v>20</v>
      </c>
      <c r="C570" t="s">
        <v>6</v>
      </c>
      <c r="D570" s="3">
        <f t="shared" si="160"/>
        <v>81</v>
      </c>
      <c r="E570" s="4">
        <f t="shared" si="161"/>
        <v>8</v>
      </c>
      <c r="F570" s="4">
        <f t="shared" si="162"/>
        <v>27</v>
      </c>
      <c r="G570" s="3">
        <f>IF(E570&gt;=20,2000,1900) + D570</f>
        <v>1981</v>
      </c>
      <c r="H570">
        <f t="shared" si="163"/>
        <v>8</v>
      </c>
      <c r="I570" s="4">
        <f t="shared" si="164"/>
        <v>27</v>
      </c>
      <c r="J570">
        <f t="shared" si="165"/>
        <v>19810827</v>
      </c>
      <c r="K570" t="str">
        <f t="shared" si="166"/>
        <v>27.08.1981</v>
      </c>
      <c r="L570" s="4">
        <f t="shared" si="167"/>
        <v>8</v>
      </c>
      <c r="M570" s="4">
        <f t="shared" si="168"/>
        <v>3</v>
      </c>
      <c r="N570" s="4">
        <f t="shared" si="169"/>
        <v>0</v>
      </c>
      <c r="O570" s="4">
        <f t="shared" si="170"/>
        <v>72</v>
      </c>
      <c r="P570" s="4">
        <f t="shared" si="171"/>
        <v>2</v>
      </c>
      <c r="Q570" s="4">
        <f t="shared" si="172"/>
        <v>21</v>
      </c>
      <c r="R570" s="4">
        <f t="shared" si="173"/>
        <v>35</v>
      </c>
      <c r="S570" s="4">
        <f t="shared" si="174"/>
        <v>27</v>
      </c>
      <c r="T570" s="4">
        <f t="shared" si="175"/>
        <v>1</v>
      </c>
      <c r="U570" s="4">
        <f t="shared" si="176"/>
        <v>24</v>
      </c>
      <c r="V570" s="8">
        <f t="shared" si="177"/>
        <v>3</v>
      </c>
      <c r="W570" s="8">
        <f t="shared" si="178"/>
        <v>7</v>
      </c>
      <c r="X570">
        <f t="shared" si="179"/>
        <v>1</v>
      </c>
    </row>
    <row r="571" spans="1:24" x14ac:dyDescent="0.25">
      <c r="A571" s="4" t="s">
        <v>597</v>
      </c>
      <c r="B571" t="s">
        <v>16</v>
      </c>
      <c r="C571" t="s">
        <v>6</v>
      </c>
      <c r="D571" s="3">
        <f t="shared" si="160"/>
        <v>64</v>
      </c>
      <c r="E571" s="4">
        <f t="shared" si="161"/>
        <v>6</v>
      </c>
      <c r="F571" s="4">
        <f t="shared" si="162"/>
        <v>14</v>
      </c>
      <c r="G571" s="3">
        <f>IF(E571&gt;=20,2000,1900) + D571</f>
        <v>1964</v>
      </c>
      <c r="H571">
        <f t="shared" si="163"/>
        <v>6</v>
      </c>
      <c r="I571" s="4">
        <f t="shared" si="164"/>
        <v>14</v>
      </c>
      <c r="J571">
        <f t="shared" si="165"/>
        <v>19640614</v>
      </c>
      <c r="K571" t="str">
        <f t="shared" si="166"/>
        <v>14.06.1964</v>
      </c>
      <c r="L571" s="4">
        <f t="shared" si="167"/>
        <v>6</v>
      </c>
      <c r="M571" s="4">
        <f t="shared" si="168"/>
        <v>12</v>
      </c>
      <c r="N571" s="4">
        <f t="shared" si="169"/>
        <v>0</v>
      </c>
      <c r="O571" s="4">
        <f t="shared" si="170"/>
        <v>54</v>
      </c>
      <c r="P571" s="4">
        <f t="shared" si="171"/>
        <v>1</v>
      </c>
      <c r="Q571" s="4">
        <f t="shared" si="172"/>
        <v>12</v>
      </c>
      <c r="R571" s="4">
        <f t="shared" si="173"/>
        <v>28</v>
      </c>
      <c r="S571" s="4">
        <f t="shared" si="174"/>
        <v>72</v>
      </c>
      <c r="T571" s="4">
        <f t="shared" si="175"/>
        <v>0</v>
      </c>
      <c r="U571" s="4">
        <f t="shared" si="176"/>
        <v>15</v>
      </c>
      <c r="V571" s="8">
        <f t="shared" si="177"/>
        <v>0</v>
      </c>
      <c r="W571" s="8">
        <f t="shared" si="178"/>
        <v>0</v>
      </c>
      <c r="X571">
        <f t="shared" si="179"/>
        <v>1</v>
      </c>
    </row>
    <row r="572" spans="1:24" x14ac:dyDescent="0.25">
      <c r="A572" s="4" t="s">
        <v>598</v>
      </c>
      <c r="B572" t="s">
        <v>11</v>
      </c>
      <c r="C572" t="s">
        <v>6</v>
      </c>
      <c r="D572" s="3">
        <f t="shared" si="160"/>
        <v>96</v>
      </c>
      <c r="E572" s="4">
        <f t="shared" si="161"/>
        <v>9</v>
      </c>
      <c r="F572" s="4">
        <f t="shared" si="162"/>
        <v>13</v>
      </c>
      <c r="G572" s="3">
        <f>IF(E572&gt;=20,2000,1900) + D572</f>
        <v>1996</v>
      </c>
      <c r="H572">
        <f t="shared" si="163"/>
        <v>9</v>
      </c>
      <c r="I572" s="4">
        <f t="shared" si="164"/>
        <v>13</v>
      </c>
      <c r="J572">
        <f t="shared" si="165"/>
        <v>19960913</v>
      </c>
      <c r="K572" t="str">
        <f t="shared" si="166"/>
        <v>13.09.1996</v>
      </c>
      <c r="L572" s="4">
        <f t="shared" si="167"/>
        <v>9</v>
      </c>
      <c r="M572" s="4">
        <f t="shared" si="168"/>
        <v>18</v>
      </c>
      <c r="N572" s="4">
        <f t="shared" si="169"/>
        <v>0</v>
      </c>
      <c r="O572" s="4">
        <f t="shared" si="170"/>
        <v>81</v>
      </c>
      <c r="P572" s="4">
        <f t="shared" si="171"/>
        <v>1</v>
      </c>
      <c r="Q572" s="4">
        <f t="shared" si="172"/>
        <v>9</v>
      </c>
      <c r="R572" s="4">
        <f t="shared" si="173"/>
        <v>56</v>
      </c>
      <c r="S572" s="4">
        <f t="shared" si="174"/>
        <v>18</v>
      </c>
      <c r="T572" s="4">
        <f t="shared" si="175"/>
        <v>9</v>
      </c>
      <c r="U572" s="4">
        <f t="shared" si="176"/>
        <v>27</v>
      </c>
      <c r="V572" s="8">
        <f t="shared" si="177"/>
        <v>8</v>
      </c>
      <c r="W572" s="8">
        <f t="shared" si="178"/>
        <v>2</v>
      </c>
      <c r="X572">
        <f t="shared" si="179"/>
        <v>1</v>
      </c>
    </row>
    <row r="573" spans="1:24" x14ac:dyDescent="0.25">
      <c r="A573" s="4" t="s">
        <v>599</v>
      </c>
      <c r="B573" t="s">
        <v>13</v>
      </c>
      <c r="C573" t="s">
        <v>6</v>
      </c>
      <c r="D573" s="3">
        <f t="shared" si="160"/>
        <v>84</v>
      </c>
      <c r="E573" s="4">
        <f t="shared" si="161"/>
        <v>4</v>
      </c>
      <c r="F573" s="4">
        <f t="shared" si="162"/>
        <v>16</v>
      </c>
      <c r="G573" s="3">
        <f>IF(E573&gt;=20,2000,1900) + D573</f>
        <v>1984</v>
      </c>
      <c r="H573">
        <f t="shared" si="163"/>
        <v>4</v>
      </c>
      <c r="I573" s="4">
        <f t="shared" si="164"/>
        <v>16</v>
      </c>
      <c r="J573">
        <f t="shared" si="165"/>
        <v>19840416</v>
      </c>
      <c r="K573" t="str">
        <f t="shared" si="166"/>
        <v>16.04.1984</v>
      </c>
      <c r="L573" s="4">
        <f t="shared" si="167"/>
        <v>8</v>
      </c>
      <c r="M573" s="4">
        <f t="shared" si="168"/>
        <v>12</v>
      </c>
      <c r="N573" s="4">
        <f t="shared" si="169"/>
        <v>0</v>
      </c>
      <c r="O573" s="4">
        <f t="shared" si="170"/>
        <v>36</v>
      </c>
      <c r="P573" s="4">
        <f t="shared" si="171"/>
        <v>1</v>
      </c>
      <c r="Q573" s="4">
        <f t="shared" si="172"/>
        <v>18</v>
      </c>
      <c r="R573" s="4">
        <f t="shared" si="173"/>
        <v>42</v>
      </c>
      <c r="S573" s="4">
        <f t="shared" si="174"/>
        <v>27</v>
      </c>
      <c r="T573" s="4">
        <f t="shared" si="175"/>
        <v>2</v>
      </c>
      <c r="U573" s="4">
        <f t="shared" si="176"/>
        <v>27</v>
      </c>
      <c r="V573" s="8">
        <f t="shared" si="177"/>
        <v>3</v>
      </c>
      <c r="W573" s="8">
        <f t="shared" si="178"/>
        <v>7</v>
      </c>
      <c r="X573">
        <f t="shared" si="179"/>
        <v>1</v>
      </c>
    </row>
    <row r="574" spans="1:24" x14ac:dyDescent="0.25">
      <c r="A574" s="4" t="s">
        <v>600</v>
      </c>
      <c r="B574" t="s">
        <v>15</v>
      </c>
      <c r="C574" t="s">
        <v>6</v>
      </c>
      <c r="D574" s="3">
        <f t="shared" si="160"/>
        <v>94</v>
      </c>
      <c r="E574" s="4">
        <f t="shared" si="161"/>
        <v>11</v>
      </c>
      <c r="F574" s="4">
        <f t="shared" si="162"/>
        <v>30</v>
      </c>
      <c r="G574" s="3">
        <f>IF(E574&gt;=20,2000,1900) + D574</f>
        <v>1994</v>
      </c>
      <c r="H574">
        <f t="shared" si="163"/>
        <v>11</v>
      </c>
      <c r="I574" s="4">
        <f t="shared" si="164"/>
        <v>30</v>
      </c>
      <c r="J574">
        <f t="shared" si="165"/>
        <v>19941130</v>
      </c>
      <c r="K574" t="str">
        <f t="shared" si="166"/>
        <v>30.11.1994</v>
      </c>
      <c r="L574" s="4">
        <f t="shared" si="167"/>
        <v>9</v>
      </c>
      <c r="M574" s="4">
        <f t="shared" si="168"/>
        <v>12</v>
      </c>
      <c r="N574" s="4">
        <f t="shared" si="169"/>
        <v>7</v>
      </c>
      <c r="O574" s="4">
        <f t="shared" si="170"/>
        <v>9</v>
      </c>
      <c r="P574" s="4">
        <f t="shared" si="171"/>
        <v>3</v>
      </c>
      <c r="Q574" s="4">
        <f t="shared" si="172"/>
        <v>0</v>
      </c>
      <c r="R574" s="4">
        <f t="shared" si="173"/>
        <v>49</v>
      </c>
      <c r="S574" s="4">
        <f t="shared" si="174"/>
        <v>36</v>
      </c>
      <c r="T574" s="4">
        <f t="shared" si="175"/>
        <v>5</v>
      </c>
      <c r="U574" s="4">
        <f t="shared" si="176"/>
        <v>15</v>
      </c>
      <c r="V574" s="8">
        <f t="shared" si="177"/>
        <v>5</v>
      </c>
      <c r="W574" s="8">
        <f t="shared" si="178"/>
        <v>5</v>
      </c>
      <c r="X574">
        <f t="shared" si="179"/>
        <v>1</v>
      </c>
    </row>
    <row r="575" spans="1:24" x14ac:dyDescent="0.25">
      <c r="A575" s="4" t="s">
        <v>601</v>
      </c>
      <c r="B575" t="s">
        <v>15</v>
      </c>
      <c r="C575" t="s">
        <v>4</v>
      </c>
      <c r="D575" s="3">
        <f t="shared" si="160"/>
        <v>53</v>
      </c>
      <c r="E575" s="4">
        <f t="shared" si="161"/>
        <v>10</v>
      </c>
      <c r="F575" s="4">
        <f t="shared" si="162"/>
        <v>1</v>
      </c>
      <c r="G575" s="3">
        <f>IF(E575&gt;=20,2000,1900) + D575</f>
        <v>1953</v>
      </c>
      <c r="H575">
        <f t="shared" si="163"/>
        <v>10</v>
      </c>
      <c r="I575" s="4">
        <f t="shared" si="164"/>
        <v>1</v>
      </c>
      <c r="J575">
        <f t="shared" si="165"/>
        <v>19531001</v>
      </c>
      <c r="K575" t="str">
        <f t="shared" si="166"/>
        <v>01.10.1953</v>
      </c>
      <c r="L575" s="4">
        <f t="shared" si="167"/>
        <v>5</v>
      </c>
      <c r="M575" s="4">
        <f t="shared" si="168"/>
        <v>9</v>
      </c>
      <c r="N575" s="4">
        <f t="shared" si="169"/>
        <v>7</v>
      </c>
      <c r="O575" s="4">
        <f t="shared" si="170"/>
        <v>0</v>
      </c>
      <c r="P575" s="4">
        <f t="shared" si="171"/>
        <v>0</v>
      </c>
      <c r="Q575" s="4">
        <f t="shared" si="172"/>
        <v>3</v>
      </c>
      <c r="R575" s="4">
        <f t="shared" si="173"/>
        <v>35</v>
      </c>
      <c r="S575" s="4">
        <f t="shared" si="174"/>
        <v>45</v>
      </c>
      <c r="T575" s="4">
        <f t="shared" si="175"/>
        <v>1</v>
      </c>
      <c r="U575" s="4">
        <f t="shared" si="176"/>
        <v>15</v>
      </c>
      <c r="V575" s="8">
        <f t="shared" si="177"/>
        <v>0</v>
      </c>
      <c r="W575" s="8">
        <f t="shared" si="178"/>
        <v>0</v>
      </c>
      <c r="X575">
        <f t="shared" si="179"/>
        <v>1</v>
      </c>
    </row>
    <row r="576" spans="1:24" x14ac:dyDescent="0.25">
      <c r="A576" s="4" t="s">
        <v>602</v>
      </c>
      <c r="B576" t="s">
        <v>15</v>
      </c>
      <c r="C576" t="s">
        <v>4</v>
      </c>
      <c r="D576" s="3">
        <f t="shared" si="160"/>
        <v>81</v>
      </c>
      <c r="E576" s="4">
        <f t="shared" si="161"/>
        <v>10</v>
      </c>
      <c r="F576" s="4">
        <f t="shared" si="162"/>
        <v>29</v>
      </c>
      <c r="G576" s="3">
        <f>IF(E576&gt;=20,2000,1900) + D576</f>
        <v>1981</v>
      </c>
      <c r="H576">
        <f t="shared" si="163"/>
        <v>10</v>
      </c>
      <c r="I576" s="4">
        <f t="shared" si="164"/>
        <v>29</v>
      </c>
      <c r="J576">
        <f t="shared" si="165"/>
        <v>19811029</v>
      </c>
      <c r="K576" t="str">
        <f t="shared" si="166"/>
        <v>29.10.1981</v>
      </c>
      <c r="L576" s="4">
        <f t="shared" si="167"/>
        <v>8</v>
      </c>
      <c r="M576" s="4">
        <f t="shared" si="168"/>
        <v>3</v>
      </c>
      <c r="N576" s="4">
        <f t="shared" si="169"/>
        <v>7</v>
      </c>
      <c r="O576" s="4">
        <f t="shared" si="170"/>
        <v>0</v>
      </c>
      <c r="P576" s="4">
        <f t="shared" si="171"/>
        <v>2</v>
      </c>
      <c r="Q576" s="4">
        <f t="shared" si="172"/>
        <v>27</v>
      </c>
      <c r="R576" s="4">
        <f t="shared" si="173"/>
        <v>63</v>
      </c>
      <c r="S576" s="4">
        <f t="shared" si="174"/>
        <v>45</v>
      </c>
      <c r="T576" s="4">
        <f t="shared" si="175"/>
        <v>6</v>
      </c>
      <c r="U576" s="4">
        <f t="shared" si="176"/>
        <v>21</v>
      </c>
      <c r="V576" s="8">
        <f t="shared" si="177"/>
        <v>2</v>
      </c>
      <c r="W576" s="8">
        <f t="shared" si="178"/>
        <v>8</v>
      </c>
      <c r="X576">
        <f t="shared" si="179"/>
        <v>1</v>
      </c>
    </row>
    <row r="577" spans="1:24" x14ac:dyDescent="0.25">
      <c r="A577" s="4" t="s">
        <v>603</v>
      </c>
      <c r="B577" t="s">
        <v>18</v>
      </c>
      <c r="C577" t="s">
        <v>6</v>
      </c>
      <c r="D577" s="3">
        <f t="shared" si="160"/>
        <v>91</v>
      </c>
      <c r="E577" s="4">
        <f t="shared" si="161"/>
        <v>2</v>
      </c>
      <c r="F577" s="4">
        <f t="shared" si="162"/>
        <v>3</v>
      </c>
      <c r="G577" s="3">
        <f>IF(E577&gt;=20,2000,1900) + D577</f>
        <v>1991</v>
      </c>
      <c r="H577">
        <f t="shared" si="163"/>
        <v>2</v>
      </c>
      <c r="I577" s="4">
        <f t="shared" si="164"/>
        <v>3</v>
      </c>
      <c r="J577">
        <f t="shared" si="165"/>
        <v>19910203</v>
      </c>
      <c r="K577" t="str">
        <f t="shared" si="166"/>
        <v>03.02.1991</v>
      </c>
      <c r="L577" s="4">
        <f t="shared" si="167"/>
        <v>9</v>
      </c>
      <c r="M577" s="4">
        <f t="shared" si="168"/>
        <v>3</v>
      </c>
      <c r="N577" s="4">
        <f t="shared" si="169"/>
        <v>0</v>
      </c>
      <c r="O577" s="4">
        <f t="shared" si="170"/>
        <v>18</v>
      </c>
      <c r="P577" s="4">
        <f t="shared" si="171"/>
        <v>0</v>
      </c>
      <c r="Q577" s="4">
        <f t="shared" si="172"/>
        <v>9</v>
      </c>
      <c r="R577" s="4">
        <f t="shared" si="173"/>
        <v>56</v>
      </c>
      <c r="S577" s="4">
        <f t="shared" si="174"/>
        <v>45</v>
      </c>
      <c r="T577" s="4">
        <f t="shared" si="175"/>
        <v>1</v>
      </c>
      <c r="U577" s="4">
        <f t="shared" si="176"/>
        <v>27</v>
      </c>
      <c r="V577" s="8">
        <f t="shared" si="177"/>
        <v>8</v>
      </c>
      <c r="W577" s="8">
        <f t="shared" si="178"/>
        <v>2</v>
      </c>
      <c r="X577">
        <f t="shared" si="179"/>
        <v>1</v>
      </c>
    </row>
    <row r="578" spans="1:24" x14ac:dyDescent="0.25">
      <c r="A578" s="4" t="s">
        <v>604</v>
      </c>
      <c r="B578" t="s">
        <v>16</v>
      </c>
      <c r="C578" t="s">
        <v>4</v>
      </c>
      <c r="D578" s="3">
        <f t="shared" si="160"/>
        <v>86</v>
      </c>
      <c r="E578" s="4">
        <f t="shared" si="161"/>
        <v>1</v>
      </c>
      <c r="F578" s="4">
        <f t="shared" si="162"/>
        <v>29</v>
      </c>
      <c r="G578" s="3">
        <f>IF(E578&gt;=20,2000,1900) + D578</f>
        <v>1986</v>
      </c>
      <c r="H578">
        <f t="shared" si="163"/>
        <v>1</v>
      </c>
      <c r="I578" s="4">
        <f t="shared" si="164"/>
        <v>29</v>
      </c>
      <c r="J578">
        <f t="shared" si="165"/>
        <v>19860129</v>
      </c>
      <c r="K578" t="str">
        <f t="shared" si="166"/>
        <v>29.01.1986</v>
      </c>
      <c r="L578" s="4">
        <f t="shared" si="167"/>
        <v>8</v>
      </c>
      <c r="M578" s="4">
        <f t="shared" si="168"/>
        <v>18</v>
      </c>
      <c r="N578" s="4">
        <f t="shared" si="169"/>
        <v>0</v>
      </c>
      <c r="O578" s="4">
        <f t="shared" si="170"/>
        <v>9</v>
      </c>
      <c r="P578" s="4">
        <f t="shared" si="171"/>
        <v>2</v>
      </c>
      <c r="Q578" s="4">
        <f t="shared" si="172"/>
        <v>27</v>
      </c>
      <c r="R578" s="4">
        <f t="shared" si="173"/>
        <v>7</v>
      </c>
      <c r="S578" s="4">
        <f t="shared" si="174"/>
        <v>45</v>
      </c>
      <c r="T578" s="4">
        <f t="shared" si="175"/>
        <v>3</v>
      </c>
      <c r="U578" s="4">
        <f t="shared" si="176"/>
        <v>21</v>
      </c>
      <c r="V578" s="8">
        <f t="shared" si="177"/>
        <v>0</v>
      </c>
      <c r="W578" s="8">
        <f t="shared" si="178"/>
        <v>0</v>
      </c>
      <c r="X578">
        <f t="shared" si="179"/>
        <v>1</v>
      </c>
    </row>
    <row r="579" spans="1:24" x14ac:dyDescent="0.25">
      <c r="A579" s="4" t="s">
        <v>605</v>
      </c>
      <c r="B579" t="s">
        <v>10</v>
      </c>
      <c r="C579" t="s">
        <v>6</v>
      </c>
      <c r="D579" s="3">
        <f t="shared" ref="D579:D642" si="180">MID(A579,1,2)*1</f>
        <v>95</v>
      </c>
      <c r="E579" s="4">
        <f t="shared" ref="E579:E642" si="181">MID(A579,3,2)*1</f>
        <v>1</v>
      </c>
      <c r="F579" s="4">
        <f t="shared" ref="F579:F642" si="182">MID(A579,5,2)*1</f>
        <v>12</v>
      </c>
      <c r="G579" s="3">
        <f>IF(E579&gt;=20,2000,1900) + D579</f>
        <v>1995</v>
      </c>
      <c r="H579">
        <f t="shared" ref="H579:H642" si="183">IF(E579&gt;=20,E579-20,E579)</f>
        <v>1</v>
      </c>
      <c r="I579" s="4">
        <f t="shared" ref="I579:I642" si="184">F579</f>
        <v>12</v>
      </c>
      <c r="J579">
        <f t="shared" ref="J579:J642" si="185">CONCATENATE(G579,IF(LEN(E579)=1,CONCATENATE("0",E579),E579),IF(LEN(F579)=1,CONCATENATE("0",F579),F579))*1</f>
        <v>19950112</v>
      </c>
      <c r="K579" t="str">
        <f t="shared" ref="K579:K642" si="186">CONCATENATE(RIGHT(J579,2),".",MID(J579,5,2),".",LEFT(J579,4))</f>
        <v>12.01.1995</v>
      </c>
      <c r="L579" s="4">
        <f t="shared" ref="L579:L642" si="187">MID(A579,1,1)*1</f>
        <v>9</v>
      </c>
      <c r="M579" s="4">
        <f t="shared" ref="M579:M642" si="188">MID(A579,2,1)*3</f>
        <v>15</v>
      </c>
      <c r="N579" s="4">
        <f t="shared" ref="N579:N642" si="189">MID(A579,3,1)*7</f>
        <v>0</v>
      </c>
      <c r="O579" s="4">
        <f t="shared" ref="O579:O642" si="190">MID(A579,4,1)*9</f>
        <v>9</v>
      </c>
      <c r="P579" s="4">
        <f t="shared" ref="P579:P642" si="191">MID(A579,5,1)*1</f>
        <v>1</v>
      </c>
      <c r="Q579" s="4">
        <f t="shared" ref="Q579:Q642" si="192">MID(A579,6,1)*3</f>
        <v>6</v>
      </c>
      <c r="R579" s="4">
        <f t="shared" ref="R579:R642" si="193">MID(A579,7,1)*7</f>
        <v>21</v>
      </c>
      <c r="S579" s="4">
        <f t="shared" ref="S579:S642" si="194">MID(A579,8,1)*9</f>
        <v>72</v>
      </c>
      <c r="T579" s="4">
        <f t="shared" ref="T579:T642" si="195">MID(A579,9,1)*1</f>
        <v>5</v>
      </c>
      <c r="U579" s="4">
        <f t="shared" ref="U579:U642" si="196">MID(A579,10,1)*3</f>
        <v>18</v>
      </c>
      <c r="V579" s="8">
        <f t="shared" ref="V579:V642" si="197">MOD(SUM(L579:U579),10)</f>
        <v>6</v>
      </c>
      <c r="W579" s="8">
        <f t="shared" ref="W579:W642" si="198">IF(V579=0,0,10-V579)</f>
        <v>4</v>
      </c>
      <c r="X579">
        <f t="shared" ref="X579:X642" si="199">IF(W579=RIGHT(A579,1)*1,1,0)</f>
        <v>1</v>
      </c>
    </row>
    <row r="580" spans="1:24" x14ac:dyDescent="0.25">
      <c r="A580" s="4" t="s">
        <v>606</v>
      </c>
      <c r="B580" t="s">
        <v>19</v>
      </c>
      <c r="C580" t="s">
        <v>4</v>
      </c>
      <c r="D580" s="3">
        <f t="shared" si="180"/>
        <v>63</v>
      </c>
      <c r="E580" s="4">
        <f t="shared" si="181"/>
        <v>6</v>
      </c>
      <c r="F580" s="4">
        <f t="shared" si="182"/>
        <v>5</v>
      </c>
      <c r="G580" s="3">
        <f>IF(E580&gt;=20,2000,1900) + D580</f>
        <v>1963</v>
      </c>
      <c r="H580">
        <f t="shared" si="183"/>
        <v>6</v>
      </c>
      <c r="I580" s="4">
        <f t="shared" si="184"/>
        <v>5</v>
      </c>
      <c r="J580">
        <f t="shared" si="185"/>
        <v>19630605</v>
      </c>
      <c r="K580" t="str">
        <f t="shared" si="186"/>
        <v>05.06.1963</v>
      </c>
      <c r="L580" s="4">
        <f t="shared" si="187"/>
        <v>6</v>
      </c>
      <c r="M580" s="4">
        <f t="shared" si="188"/>
        <v>9</v>
      </c>
      <c r="N580" s="4">
        <f t="shared" si="189"/>
        <v>0</v>
      </c>
      <c r="O580" s="4">
        <f t="shared" si="190"/>
        <v>54</v>
      </c>
      <c r="P580" s="4">
        <f t="shared" si="191"/>
        <v>0</v>
      </c>
      <c r="Q580" s="4">
        <f t="shared" si="192"/>
        <v>15</v>
      </c>
      <c r="R580" s="4">
        <f t="shared" si="193"/>
        <v>63</v>
      </c>
      <c r="S580" s="4">
        <f t="shared" si="194"/>
        <v>0</v>
      </c>
      <c r="T580" s="4">
        <f t="shared" si="195"/>
        <v>8</v>
      </c>
      <c r="U580" s="4">
        <f t="shared" si="196"/>
        <v>3</v>
      </c>
      <c r="V580" s="8">
        <f t="shared" si="197"/>
        <v>8</v>
      </c>
      <c r="W580" s="8">
        <f t="shared" si="198"/>
        <v>2</v>
      </c>
      <c r="X580">
        <f t="shared" si="199"/>
        <v>1</v>
      </c>
    </row>
    <row r="581" spans="1:24" x14ac:dyDescent="0.25">
      <c r="A581" s="4" t="s">
        <v>607</v>
      </c>
      <c r="B581" t="s">
        <v>13</v>
      </c>
      <c r="C581" t="s">
        <v>4</v>
      </c>
      <c r="D581" s="3">
        <f t="shared" si="180"/>
        <v>73</v>
      </c>
      <c r="E581" s="4">
        <f t="shared" si="181"/>
        <v>5</v>
      </c>
      <c r="F581" s="4">
        <f t="shared" si="182"/>
        <v>22</v>
      </c>
      <c r="G581" s="3">
        <f>IF(E581&gt;=20,2000,1900) + D581</f>
        <v>1973</v>
      </c>
      <c r="H581">
        <f t="shared" si="183"/>
        <v>5</v>
      </c>
      <c r="I581" s="4">
        <f t="shared" si="184"/>
        <v>22</v>
      </c>
      <c r="J581">
        <f t="shared" si="185"/>
        <v>19730522</v>
      </c>
      <c r="K581" t="str">
        <f t="shared" si="186"/>
        <v>22.05.1973</v>
      </c>
      <c r="L581" s="4">
        <f t="shared" si="187"/>
        <v>7</v>
      </c>
      <c r="M581" s="4">
        <f t="shared" si="188"/>
        <v>9</v>
      </c>
      <c r="N581" s="4">
        <f t="shared" si="189"/>
        <v>0</v>
      </c>
      <c r="O581" s="4">
        <f t="shared" si="190"/>
        <v>45</v>
      </c>
      <c r="P581" s="4">
        <f t="shared" si="191"/>
        <v>2</v>
      </c>
      <c r="Q581" s="4">
        <f t="shared" si="192"/>
        <v>6</v>
      </c>
      <c r="R581" s="4">
        <f t="shared" si="193"/>
        <v>42</v>
      </c>
      <c r="S581" s="4">
        <f t="shared" si="194"/>
        <v>18</v>
      </c>
      <c r="T581" s="4">
        <f t="shared" si="195"/>
        <v>5</v>
      </c>
      <c r="U581" s="4">
        <f t="shared" si="196"/>
        <v>24</v>
      </c>
      <c r="V581" s="8">
        <f t="shared" si="197"/>
        <v>8</v>
      </c>
      <c r="W581" s="8">
        <f t="shared" si="198"/>
        <v>2</v>
      </c>
      <c r="X581">
        <f t="shared" si="199"/>
        <v>1</v>
      </c>
    </row>
    <row r="582" spans="1:24" x14ac:dyDescent="0.25">
      <c r="A582" s="4" t="s">
        <v>608</v>
      </c>
      <c r="B582" t="s">
        <v>8</v>
      </c>
      <c r="C582" t="s">
        <v>4</v>
      </c>
      <c r="D582" s="3">
        <f t="shared" si="180"/>
        <v>57</v>
      </c>
      <c r="E582" s="4">
        <f t="shared" si="181"/>
        <v>2</v>
      </c>
      <c r="F582" s="4">
        <f t="shared" si="182"/>
        <v>24</v>
      </c>
      <c r="G582" s="3">
        <f>IF(E582&gt;=20,2000,1900) + D582</f>
        <v>1957</v>
      </c>
      <c r="H582">
        <f t="shared" si="183"/>
        <v>2</v>
      </c>
      <c r="I582" s="4">
        <f t="shared" si="184"/>
        <v>24</v>
      </c>
      <c r="J582">
        <f t="shared" si="185"/>
        <v>19570224</v>
      </c>
      <c r="K582" t="str">
        <f t="shared" si="186"/>
        <v>24.02.1957</v>
      </c>
      <c r="L582" s="4">
        <f t="shared" si="187"/>
        <v>5</v>
      </c>
      <c r="M582" s="4">
        <f t="shared" si="188"/>
        <v>21</v>
      </c>
      <c r="N582" s="4">
        <f t="shared" si="189"/>
        <v>0</v>
      </c>
      <c r="O582" s="4">
        <f t="shared" si="190"/>
        <v>18</v>
      </c>
      <c r="P582" s="4">
        <f t="shared" si="191"/>
        <v>2</v>
      </c>
      <c r="Q582" s="4">
        <f t="shared" si="192"/>
        <v>12</v>
      </c>
      <c r="R582" s="4">
        <f t="shared" si="193"/>
        <v>21</v>
      </c>
      <c r="S582" s="4">
        <f t="shared" si="194"/>
        <v>81</v>
      </c>
      <c r="T582" s="4">
        <f t="shared" si="195"/>
        <v>5</v>
      </c>
      <c r="U582" s="4">
        <f t="shared" si="196"/>
        <v>21</v>
      </c>
      <c r="V582" s="8">
        <f t="shared" si="197"/>
        <v>6</v>
      </c>
      <c r="W582" s="8">
        <f t="shared" si="198"/>
        <v>4</v>
      </c>
      <c r="X582">
        <f t="shared" si="199"/>
        <v>1</v>
      </c>
    </row>
    <row r="583" spans="1:24" x14ac:dyDescent="0.25">
      <c r="A583" s="4" t="s">
        <v>609</v>
      </c>
      <c r="B583" t="s">
        <v>18</v>
      </c>
      <c r="C583" t="s">
        <v>6</v>
      </c>
      <c r="D583" s="3">
        <f t="shared" si="180"/>
        <v>50</v>
      </c>
      <c r="E583" s="4">
        <f t="shared" si="181"/>
        <v>9</v>
      </c>
      <c r="F583" s="4">
        <f t="shared" si="182"/>
        <v>17</v>
      </c>
      <c r="G583" s="3">
        <f>IF(E583&gt;=20,2000,1900) + D583</f>
        <v>1950</v>
      </c>
      <c r="H583">
        <f t="shared" si="183"/>
        <v>9</v>
      </c>
      <c r="I583" s="4">
        <f t="shared" si="184"/>
        <v>17</v>
      </c>
      <c r="J583">
        <f t="shared" si="185"/>
        <v>19500917</v>
      </c>
      <c r="K583" t="str">
        <f t="shared" si="186"/>
        <v>17.09.1950</v>
      </c>
      <c r="L583" s="4">
        <f t="shared" si="187"/>
        <v>5</v>
      </c>
      <c r="M583" s="4">
        <f t="shared" si="188"/>
        <v>0</v>
      </c>
      <c r="N583" s="4">
        <f t="shared" si="189"/>
        <v>0</v>
      </c>
      <c r="O583" s="4">
        <f t="shared" si="190"/>
        <v>81</v>
      </c>
      <c r="P583" s="4">
        <f t="shared" si="191"/>
        <v>1</v>
      </c>
      <c r="Q583" s="4">
        <f t="shared" si="192"/>
        <v>21</v>
      </c>
      <c r="R583" s="4">
        <f t="shared" si="193"/>
        <v>56</v>
      </c>
      <c r="S583" s="4">
        <f t="shared" si="194"/>
        <v>18</v>
      </c>
      <c r="T583" s="4">
        <f t="shared" si="195"/>
        <v>7</v>
      </c>
      <c r="U583" s="4">
        <f t="shared" si="196"/>
        <v>0</v>
      </c>
      <c r="V583" s="8">
        <f t="shared" si="197"/>
        <v>9</v>
      </c>
      <c r="W583" s="8">
        <f t="shared" si="198"/>
        <v>1</v>
      </c>
      <c r="X583">
        <f t="shared" si="199"/>
        <v>1</v>
      </c>
    </row>
    <row r="584" spans="1:24" x14ac:dyDescent="0.25">
      <c r="A584" s="4" t="s">
        <v>610</v>
      </c>
      <c r="B584" t="s">
        <v>18</v>
      </c>
      <c r="C584" t="s">
        <v>4</v>
      </c>
      <c r="D584" s="3">
        <f t="shared" si="180"/>
        <v>68</v>
      </c>
      <c r="E584" s="4">
        <f t="shared" si="181"/>
        <v>5</v>
      </c>
      <c r="F584" s="4">
        <f t="shared" si="182"/>
        <v>20</v>
      </c>
      <c r="G584" s="3">
        <f>IF(E584&gt;=20,2000,1900) + D584</f>
        <v>1968</v>
      </c>
      <c r="H584">
        <f t="shared" si="183"/>
        <v>5</v>
      </c>
      <c r="I584" s="4">
        <f t="shared" si="184"/>
        <v>20</v>
      </c>
      <c r="J584">
        <f t="shared" si="185"/>
        <v>19680520</v>
      </c>
      <c r="K584" t="str">
        <f t="shared" si="186"/>
        <v>20.05.1968</v>
      </c>
      <c r="L584" s="4">
        <f t="shared" si="187"/>
        <v>6</v>
      </c>
      <c r="M584" s="4">
        <f t="shared" si="188"/>
        <v>24</v>
      </c>
      <c r="N584" s="4">
        <f t="shared" si="189"/>
        <v>0</v>
      </c>
      <c r="O584" s="4">
        <f t="shared" si="190"/>
        <v>45</v>
      </c>
      <c r="P584" s="4">
        <f t="shared" si="191"/>
        <v>2</v>
      </c>
      <c r="Q584" s="4">
        <f t="shared" si="192"/>
        <v>0</v>
      </c>
      <c r="R584" s="4">
        <f t="shared" si="193"/>
        <v>42</v>
      </c>
      <c r="S584" s="4">
        <f t="shared" si="194"/>
        <v>45</v>
      </c>
      <c r="T584" s="4">
        <f t="shared" si="195"/>
        <v>0</v>
      </c>
      <c r="U584" s="4">
        <f t="shared" si="196"/>
        <v>24</v>
      </c>
      <c r="V584" s="8">
        <f t="shared" si="197"/>
        <v>8</v>
      </c>
      <c r="W584" s="8">
        <f t="shared" si="198"/>
        <v>2</v>
      </c>
      <c r="X584">
        <f t="shared" si="199"/>
        <v>1</v>
      </c>
    </row>
    <row r="585" spans="1:24" x14ac:dyDescent="0.25">
      <c r="A585" s="4" t="s">
        <v>611</v>
      </c>
      <c r="B585" t="s">
        <v>15</v>
      </c>
      <c r="C585" t="s">
        <v>4</v>
      </c>
      <c r="D585" s="3">
        <f t="shared" si="180"/>
        <v>84</v>
      </c>
      <c r="E585" s="4">
        <f t="shared" si="181"/>
        <v>6</v>
      </c>
      <c r="F585" s="4">
        <f t="shared" si="182"/>
        <v>10</v>
      </c>
      <c r="G585" s="3">
        <f>IF(E585&gt;=20,2000,1900) + D585</f>
        <v>1984</v>
      </c>
      <c r="H585">
        <f t="shared" si="183"/>
        <v>6</v>
      </c>
      <c r="I585" s="4">
        <f t="shared" si="184"/>
        <v>10</v>
      </c>
      <c r="J585">
        <f t="shared" si="185"/>
        <v>19840610</v>
      </c>
      <c r="K585" t="str">
        <f t="shared" si="186"/>
        <v>10.06.1984</v>
      </c>
      <c r="L585" s="4">
        <f t="shared" si="187"/>
        <v>8</v>
      </c>
      <c r="M585" s="4">
        <f t="shared" si="188"/>
        <v>12</v>
      </c>
      <c r="N585" s="4">
        <f t="shared" si="189"/>
        <v>0</v>
      </c>
      <c r="O585" s="4">
        <f t="shared" si="190"/>
        <v>54</v>
      </c>
      <c r="P585" s="4">
        <f t="shared" si="191"/>
        <v>1</v>
      </c>
      <c r="Q585" s="4">
        <f t="shared" si="192"/>
        <v>0</v>
      </c>
      <c r="R585" s="4">
        <f t="shared" si="193"/>
        <v>14</v>
      </c>
      <c r="S585" s="4">
        <f t="shared" si="194"/>
        <v>0</v>
      </c>
      <c r="T585" s="4">
        <f t="shared" si="195"/>
        <v>2</v>
      </c>
      <c r="U585" s="4">
        <f t="shared" si="196"/>
        <v>18</v>
      </c>
      <c r="V585" s="8">
        <f t="shared" si="197"/>
        <v>9</v>
      </c>
      <c r="W585" s="8">
        <f t="shared" si="198"/>
        <v>1</v>
      </c>
      <c r="X585">
        <f t="shared" si="199"/>
        <v>1</v>
      </c>
    </row>
    <row r="586" spans="1:24" x14ac:dyDescent="0.25">
      <c r="A586" s="4" t="s">
        <v>612</v>
      </c>
      <c r="B586" t="s">
        <v>17</v>
      </c>
      <c r="C586" t="s">
        <v>6</v>
      </c>
      <c r="D586" s="3">
        <f t="shared" si="180"/>
        <v>77</v>
      </c>
      <c r="E586" s="4">
        <f t="shared" si="181"/>
        <v>4</v>
      </c>
      <c r="F586" s="4">
        <f t="shared" si="182"/>
        <v>1</v>
      </c>
      <c r="G586" s="3">
        <f>IF(E586&gt;=20,2000,1900) + D586</f>
        <v>1977</v>
      </c>
      <c r="H586">
        <f t="shared" si="183"/>
        <v>4</v>
      </c>
      <c r="I586" s="4">
        <f t="shared" si="184"/>
        <v>1</v>
      </c>
      <c r="J586">
        <f t="shared" si="185"/>
        <v>19770401</v>
      </c>
      <c r="K586" t="str">
        <f t="shared" si="186"/>
        <v>01.04.1977</v>
      </c>
      <c r="L586" s="4">
        <f t="shared" si="187"/>
        <v>7</v>
      </c>
      <c r="M586" s="4">
        <f t="shared" si="188"/>
        <v>21</v>
      </c>
      <c r="N586" s="4">
        <f t="shared" si="189"/>
        <v>0</v>
      </c>
      <c r="O586" s="4">
        <f t="shared" si="190"/>
        <v>36</v>
      </c>
      <c r="P586" s="4">
        <f t="shared" si="191"/>
        <v>0</v>
      </c>
      <c r="Q586" s="4">
        <f t="shared" si="192"/>
        <v>3</v>
      </c>
      <c r="R586" s="4">
        <f t="shared" si="193"/>
        <v>35</v>
      </c>
      <c r="S586" s="4">
        <f t="shared" si="194"/>
        <v>45</v>
      </c>
      <c r="T586" s="4">
        <f t="shared" si="195"/>
        <v>4</v>
      </c>
      <c r="U586" s="4">
        <f t="shared" si="196"/>
        <v>6</v>
      </c>
      <c r="V586" s="8">
        <f t="shared" si="197"/>
        <v>7</v>
      </c>
      <c r="W586" s="8">
        <f t="shared" si="198"/>
        <v>3</v>
      </c>
      <c r="X586">
        <f t="shared" si="199"/>
        <v>1</v>
      </c>
    </row>
    <row r="587" spans="1:24" x14ac:dyDescent="0.25">
      <c r="A587" s="4" t="s">
        <v>613</v>
      </c>
      <c r="B587" t="s">
        <v>10</v>
      </c>
      <c r="C587" t="s">
        <v>6</v>
      </c>
      <c r="D587" s="3">
        <f t="shared" si="180"/>
        <v>84</v>
      </c>
      <c r="E587" s="4">
        <f t="shared" si="181"/>
        <v>9</v>
      </c>
      <c r="F587" s="4">
        <f t="shared" si="182"/>
        <v>12</v>
      </c>
      <c r="G587" s="3">
        <f>IF(E587&gt;=20,2000,1900) + D587</f>
        <v>1984</v>
      </c>
      <c r="H587">
        <f t="shared" si="183"/>
        <v>9</v>
      </c>
      <c r="I587" s="4">
        <f t="shared" si="184"/>
        <v>12</v>
      </c>
      <c r="J587">
        <f t="shared" si="185"/>
        <v>19840912</v>
      </c>
      <c r="K587" t="str">
        <f t="shared" si="186"/>
        <v>12.09.1984</v>
      </c>
      <c r="L587" s="4">
        <f t="shared" si="187"/>
        <v>8</v>
      </c>
      <c r="M587" s="4">
        <f t="shared" si="188"/>
        <v>12</v>
      </c>
      <c r="N587" s="4">
        <f t="shared" si="189"/>
        <v>0</v>
      </c>
      <c r="O587" s="4">
        <f t="shared" si="190"/>
        <v>81</v>
      </c>
      <c r="P587" s="4">
        <f t="shared" si="191"/>
        <v>1</v>
      </c>
      <c r="Q587" s="4">
        <f t="shared" si="192"/>
        <v>6</v>
      </c>
      <c r="R587" s="4">
        <f t="shared" si="193"/>
        <v>63</v>
      </c>
      <c r="S587" s="4">
        <f t="shared" si="194"/>
        <v>54</v>
      </c>
      <c r="T587" s="4">
        <f t="shared" si="195"/>
        <v>1</v>
      </c>
      <c r="U587" s="4">
        <f t="shared" si="196"/>
        <v>3</v>
      </c>
      <c r="V587" s="8">
        <f t="shared" si="197"/>
        <v>9</v>
      </c>
      <c r="W587" s="8">
        <f t="shared" si="198"/>
        <v>1</v>
      </c>
      <c r="X587">
        <f t="shared" si="199"/>
        <v>1</v>
      </c>
    </row>
    <row r="588" spans="1:24" x14ac:dyDescent="0.25">
      <c r="A588" s="4" t="s">
        <v>614</v>
      </c>
      <c r="B588" t="s">
        <v>19</v>
      </c>
      <c r="C588" t="s">
        <v>6</v>
      </c>
      <c r="D588" s="3">
        <f t="shared" si="180"/>
        <v>55</v>
      </c>
      <c r="E588" s="4">
        <f t="shared" si="181"/>
        <v>2</v>
      </c>
      <c r="F588" s="4">
        <f t="shared" si="182"/>
        <v>26</v>
      </c>
      <c r="G588" s="3">
        <f>IF(E588&gt;=20,2000,1900) + D588</f>
        <v>1955</v>
      </c>
      <c r="H588">
        <f t="shared" si="183"/>
        <v>2</v>
      </c>
      <c r="I588" s="4">
        <f t="shared" si="184"/>
        <v>26</v>
      </c>
      <c r="J588">
        <f t="shared" si="185"/>
        <v>19550226</v>
      </c>
      <c r="K588" t="str">
        <f t="shared" si="186"/>
        <v>26.02.1955</v>
      </c>
      <c r="L588" s="4">
        <f t="shared" si="187"/>
        <v>5</v>
      </c>
      <c r="M588" s="4">
        <f t="shared" si="188"/>
        <v>15</v>
      </c>
      <c r="N588" s="4">
        <f t="shared" si="189"/>
        <v>0</v>
      </c>
      <c r="O588" s="4">
        <f t="shared" si="190"/>
        <v>18</v>
      </c>
      <c r="P588" s="4">
        <f t="shared" si="191"/>
        <v>2</v>
      </c>
      <c r="Q588" s="4">
        <f t="shared" si="192"/>
        <v>18</v>
      </c>
      <c r="R588" s="4">
        <f t="shared" si="193"/>
        <v>14</v>
      </c>
      <c r="S588" s="4">
        <f t="shared" si="194"/>
        <v>63</v>
      </c>
      <c r="T588" s="4">
        <f t="shared" si="195"/>
        <v>6</v>
      </c>
      <c r="U588" s="4">
        <f t="shared" si="196"/>
        <v>9</v>
      </c>
      <c r="V588" s="8">
        <f t="shared" si="197"/>
        <v>0</v>
      </c>
      <c r="W588" s="8">
        <f t="shared" si="198"/>
        <v>0</v>
      </c>
      <c r="X588">
        <f t="shared" si="199"/>
        <v>1</v>
      </c>
    </row>
    <row r="589" spans="1:24" x14ac:dyDescent="0.25">
      <c r="A589" s="4" t="s">
        <v>615</v>
      </c>
      <c r="B589" t="s">
        <v>17</v>
      </c>
      <c r="C589" t="s">
        <v>6</v>
      </c>
      <c r="D589" s="3">
        <f t="shared" si="180"/>
        <v>69</v>
      </c>
      <c r="E589" s="4">
        <f t="shared" si="181"/>
        <v>8</v>
      </c>
      <c r="F589" s="4">
        <f t="shared" si="182"/>
        <v>22</v>
      </c>
      <c r="G589" s="3">
        <f>IF(E589&gt;=20,2000,1900) + D589</f>
        <v>1969</v>
      </c>
      <c r="H589">
        <f t="shared" si="183"/>
        <v>8</v>
      </c>
      <c r="I589" s="4">
        <f t="shared" si="184"/>
        <v>22</v>
      </c>
      <c r="J589">
        <f t="shared" si="185"/>
        <v>19690822</v>
      </c>
      <c r="K589" t="str">
        <f t="shared" si="186"/>
        <v>22.08.1969</v>
      </c>
      <c r="L589" s="4">
        <f t="shared" si="187"/>
        <v>6</v>
      </c>
      <c r="M589" s="4">
        <f t="shared" si="188"/>
        <v>27</v>
      </c>
      <c r="N589" s="4">
        <f t="shared" si="189"/>
        <v>0</v>
      </c>
      <c r="O589" s="4">
        <f t="shared" si="190"/>
        <v>72</v>
      </c>
      <c r="P589" s="4">
        <f t="shared" si="191"/>
        <v>2</v>
      </c>
      <c r="Q589" s="4">
        <f t="shared" si="192"/>
        <v>6</v>
      </c>
      <c r="R589" s="4">
        <f t="shared" si="193"/>
        <v>7</v>
      </c>
      <c r="S589" s="4">
        <f t="shared" si="194"/>
        <v>63</v>
      </c>
      <c r="T589" s="4">
        <f t="shared" si="195"/>
        <v>9</v>
      </c>
      <c r="U589" s="4">
        <f t="shared" si="196"/>
        <v>6</v>
      </c>
      <c r="V589" s="8">
        <f t="shared" si="197"/>
        <v>8</v>
      </c>
      <c r="W589" s="8">
        <f t="shared" si="198"/>
        <v>2</v>
      </c>
      <c r="X589">
        <f t="shared" si="199"/>
        <v>1</v>
      </c>
    </row>
    <row r="590" spans="1:24" x14ac:dyDescent="0.25">
      <c r="A590" s="4" t="s">
        <v>616</v>
      </c>
      <c r="B590" t="s">
        <v>11</v>
      </c>
      <c r="C590" t="s">
        <v>6</v>
      </c>
      <c r="D590" s="3">
        <f t="shared" si="180"/>
        <v>99</v>
      </c>
      <c r="E590" s="4">
        <f t="shared" si="181"/>
        <v>2</v>
      </c>
      <c r="F590" s="4">
        <f t="shared" si="182"/>
        <v>27</v>
      </c>
      <c r="G590" s="3">
        <f>IF(E590&gt;=20,2000,1900) + D590</f>
        <v>1999</v>
      </c>
      <c r="H590">
        <f t="shared" si="183"/>
        <v>2</v>
      </c>
      <c r="I590" s="4">
        <f t="shared" si="184"/>
        <v>27</v>
      </c>
      <c r="J590">
        <f t="shared" si="185"/>
        <v>19990227</v>
      </c>
      <c r="K590" t="str">
        <f t="shared" si="186"/>
        <v>27.02.1999</v>
      </c>
      <c r="L590" s="4">
        <f t="shared" si="187"/>
        <v>9</v>
      </c>
      <c r="M590" s="4">
        <f t="shared" si="188"/>
        <v>27</v>
      </c>
      <c r="N590" s="4">
        <f t="shared" si="189"/>
        <v>0</v>
      </c>
      <c r="O590" s="4">
        <f t="shared" si="190"/>
        <v>18</v>
      </c>
      <c r="P590" s="4">
        <f t="shared" si="191"/>
        <v>2</v>
      </c>
      <c r="Q590" s="4">
        <f t="shared" si="192"/>
        <v>21</v>
      </c>
      <c r="R590" s="4">
        <f t="shared" si="193"/>
        <v>49</v>
      </c>
      <c r="S590" s="4">
        <f t="shared" si="194"/>
        <v>27</v>
      </c>
      <c r="T590" s="4">
        <f t="shared" si="195"/>
        <v>6</v>
      </c>
      <c r="U590" s="4">
        <f t="shared" si="196"/>
        <v>24</v>
      </c>
      <c r="V590" s="8">
        <f t="shared" si="197"/>
        <v>3</v>
      </c>
      <c r="W590" s="8">
        <f t="shared" si="198"/>
        <v>7</v>
      </c>
      <c r="X590">
        <f t="shared" si="199"/>
        <v>1</v>
      </c>
    </row>
    <row r="591" spans="1:24" x14ac:dyDescent="0.25">
      <c r="A591" s="4" t="s">
        <v>617</v>
      </c>
      <c r="B591" t="s">
        <v>19</v>
      </c>
      <c r="C591" t="s">
        <v>6</v>
      </c>
      <c r="D591" s="3">
        <f t="shared" si="180"/>
        <v>97</v>
      </c>
      <c r="E591" s="4">
        <f t="shared" si="181"/>
        <v>8</v>
      </c>
      <c r="F591" s="4">
        <f t="shared" si="182"/>
        <v>27</v>
      </c>
      <c r="G591" s="3">
        <f>IF(E591&gt;=20,2000,1900) + D591</f>
        <v>1997</v>
      </c>
      <c r="H591">
        <f t="shared" si="183"/>
        <v>8</v>
      </c>
      <c r="I591" s="4">
        <f t="shared" si="184"/>
        <v>27</v>
      </c>
      <c r="J591">
        <f t="shared" si="185"/>
        <v>19970827</v>
      </c>
      <c r="K591" t="str">
        <f t="shared" si="186"/>
        <v>27.08.1997</v>
      </c>
      <c r="L591" s="4">
        <f t="shared" si="187"/>
        <v>9</v>
      </c>
      <c r="M591" s="4">
        <f t="shared" si="188"/>
        <v>21</v>
      </c>
      <c r="N591" s="4">
        <f t="shared" si="189"/>
        <v>0</v>
      </c>
      <c r="O591" s="4">
        <f t="shared" si="190"/>
        <v>72</v>
      </c>
      <c r="P591" s="4">
        <f t="shared" si="191"/>
        <v>2</v>
      </c>
      <c r="Q591" s="4">
        <f t="shared" si="192"/>
        <v>21</v>
      </c>
      <c r="R591" s="4">
        <f t="shared" si="193"/>
        <v>21</v>
      </c>
      <c r="S591" s="4">
        <f t="shared" si="194"/>
        <v>63</v>
      </c>
      <c r="T591" s="4">
        <f t="shared" si="195"/>
        <v>0</v>
      </c>
      <c r="U591" s="4">
        <f t="shared" si="196"/>
        <v>24</v>
      </c>
      <c r="V591" s="8">
        <f t="shared" si="197"/>
        <v>3</v>
      </c>
      <c r="W591" s="8">
        <f t="shared" si="198"/>
        <v>7</v>
      </c>
      <c r="X591">
        <f t="shared" si="199"/>
        <v>1</v>
      </c>
    </row>
    <row r="592" spans="1:24" x14ac:dyDescent="0.25">
      <c r="A592" s="4" t="s">
        <v>618</v>
      </c>
      <c r="B592" t="s">
        <v>11</v>
      </c>
      <c r="C592" t="s">
        <v>6</v>
      </c>
      <c r="D592" s="3">
        <f t="shared" si="180"/>
        <v>54</v>
      </c>
      <c r="E592" s="4">
        <f t="shared" si="181"/>
        <v>1</v>
      </c>
      <c r="F592" s="4">
        <f t="shared" si="182"/>
        <v>6</v>
      </c>
      <c r="G592" s="3">
        <f>IF(E592&gt;=20,2000,1900) + D592</f>
        <v>1954</v>
      </c>
      <c r="H592">
        <f t="shared" si="183"/>
        <v>1</v>
      </c>
      <c r="I592" s="4">
        <f t="shared" si="184"/>
        <v>6</v>
      </c>
      <c r="J592">
        <f t="shared" si="185"/>
        <v>19540106</v>
      </c>
      <c r="K592" t="str">
        <f t="shared" si="186"/>
        <v>06.01.1954</v>
      </c>
      <c r="L592" s="4">
        <f t="shared" si="187"/>
        <v>5</v>
      </c>
      <c r="M592" s="4">
        <f t="shared" si="188"/>
        <v>12</v>
      </c>
      <c r="N592" s="4">
        <f t="shared" si="189"/>
        <v>0</v>
      </c>
      <c r="O592" s="4">
        <f t="shared" si="190"/>
        <v>9</v>
      </c>
      <c r="P592" s="4">
        <f t="shared" si="191"/>
        <v>0</v>
      </c>
      <c r="Q592" s="4">
        <f t="shared" si="192"/>
        <v>18</v>
      </c>
      <c r="R592" s="4">
        <f t="shared" si="193"/>
        <v>7</v>
      </c>
      <c r="S592" s="4">
        <f t="shared" si="194"/>
        <v>0</v>
      </c>
      <c r="T592" s="4">
        <f t="shared" si="195"/>
        <v>0</v>
      </c>
      <c r="U592" s="4">
        <f t="shared" si="196"/>
        <v>12</v>
      </c>
      <c r="V592" s="8">
        <f t="shared" si="197"/>
        <v>3</v>
      </c>
      <c r="W592" s="8">
        <f t="shared" si="198"/>
        <v>7</v>
      </c>
      <c r="X592">
        <f t="shared" si="199"/>
        <v>1</v>
      </c>
    </row>
    <row r="593" spans="1:24" x14ac:dyDescent="0.25">
      <c r="A593" s="4" t="s">
        <v>619</v>
      </c>
      <c r="B593" t="s">
        <v>17</v>
      </c>
      <c r="C593" t="s">
        <v>6</v>
      </c>
      <c r="D593" s="3">
        <f t="shared" si="180"/>
        <v>91</v>
      </c>
      <c r="E593" s="4">
        <f t="shared" si="181"/>
        <v>2</v>
      </c>
      <c r="F593" s="4">
        <f t="shared" si="182"/>
        <v>5</v>
      </c>
      <c r="G593" s="3">
        <f>IF(E593&gt;=20,2000,1900) + D593</f>
        <v>1991</v>
      </c>
      <c r="H593">
        <f t="shared" si="183"/>
        <v>2</v>
      </c>
      <c r="I593" s="4">
        <f t="shared" si="184"/>
        <v>5</v>
      </c>
      <c r="J593">
        <f t="shared" si="185"/>
        <v>19910205</v>
      </c>
      <c r="K593" t="str">
        <f t="shared" si="186"/>
        <v>05.02.1991</v>
      </c>
      <c r="L593" s="4">
        <f t="shared" si="187"/>
        <v>9</v>
      </c>
      <c r="M593" s="4">
        <f t="shared" si="188"/>
        <v>3</v>
      </c>
      <c r="N593" s="4">
        <f t="shared" si="189"/>
        <v>0</v>
      </c>
      <c r="O593" s="4">
        <f t="shared" si="190"/>
        <v>18</v>
      </c>
      <c r="P593" s="4">
        <f t="shared" si="191"/>
        <v>0</v>
      </c>
      <c r="Q593" s="4">
        <f t="shared" si="192"/>
        <v>15</v>
      </c>
      <c r="R593" s="4">
        <f t="shared" si="193"/>
        <v>49</v>
      </c>
      <c r="S593" s="4">
        <f t="shared" si="194"/>
        <v>72</v>
      </c>
      <c r="T593" s="4">
        <f t="shared" si="195"/>
        <v>5</v>
      </c>
      <c r="U593" s="4">
        <f t="shared" si="196"/>
        <v>21</v>
      </c>
      <c r="V593" s="8">
        <f t="shared" si="197"/>
        <v>2</v>
      </c>
      <c r="W593" s="8">
        <f t="shared" si="198"/>
        <v>8</v>
      </c>
      <c r="X593">
        <f t="shared" si="199"/>
        <v>1</v>
      </c>
    </row>
    <row r="594" spans="1:24" x14ac:dyDescent="0.25">
      <c r="A594" s="4" t="s">
        <v>620</v>
      </c>
      <c r="B594" t="s">
        <v>19</v>
      </c>
      <c r="C594" t="s">
        <v>4</v>
      </c>
      <c r="D594" s="3">
        <f t="shared" si="180"/>
        <v>70</v>
      </c>
      <c r="E594" s="4">
        <f t="shared" si="181"/>
        <v>1</v>
      </c>
      <c r="F594" s="4">
        <f t="shared" si="182"/>
        <v>28</v>
      </c>
      <c r="G594" s="3">
        <f>IF(E594&gt;=20,2000,1900) + D594</f>
        <v>1970</v>
      </c>
      <c r="H594">
        <f t="shared" si="183"/>
        <v>1</v>
      </c>
      <c r="I594" s="4">
        <f t="shared" si="184"/>
        <v>28</v>
      </c>
      <c r="J594">
        <f t="shared" si="185"/>
        <v>19700128</v>
      </c>
      <c r="K594" t="str">
        <f t="shared" si="186"/>
        <v>28.01.1970</v>
      </c>
      <c r="L594" s="4">
        <f t="shared" si="187"/>
        <v>7</v>
      </c>
      <c r="M594" s="4">
        <f t="shared" si="188"/>
        <v>0</v>
      </c>
      <c r="N594" s="4">
        <f t="shared" si="189"/>
        <v>0</v>
      </c>
      <c r="O594" s="4">
        <f t="shared" si="190"/>
        <v>9</v>
      </c>
      <c r="P594" s="4">
        <f t="shared" si="191"/>
        <v>2</v>
      </c>
      <c r="Q594" s="4">
        <f t="shared" si="192"/>
        <v>24</v>
      </c>
      <c r="R594" s="4">
        <f t="shared" si="193"/>
        <v>7</v>
      </c>
      <c r="S594" s="4">
        <f t="shared" si="194"/>
        <v>63</v>
      </c>
      <c r="T594" s="4">
        <f t="shared" si="195"/>
        <v>6</v>
      </c>
      <c r="U594" s="4">
        <f t="shared" si="196"/>
        <v>27</v>
      </c>
      <c r="V594" s="8">
        <f t="shared" si="197"/>
        <v>5</v>
      </c>
      <c r="W594" s="8">
        <f t="shared" si="198"/>
        <v>5</v>
      </c>
      <c r="X594">
        <f t="shared" si="199"/>
        <v>1</v>
      </c>
    </row>
    <row r="595" spans="1:24" x14ac:dyDescent="0.25">
      <c r="A595" s="4" t="s">
        <v>621</v>
      </c>
      <c r="B595" t="s">
        <v>12</v>
      </c>
      <c r="C595" t="s">
        <v>4</v>
      </c>
      <c r="D595" s="3">
        <f t="shared" si="180"/>
        <v>70</v>
      </c>
      <c r="E595" s="4">
        <f t="shared" si="181"/>
        <v>12</v>
      </c>
      <c r="F595" s="4">
        <f t="shared" si="182"/>
        <v>29</v>
      </c>
      <c r="G595" s="3">
        <f>IF(E595&gt;=20,2000,1900) + D595</f>
        <v>1970</v>
      </c>
      <c r="H595">
        <f t="shared" si="183"/>
        <v>12</v>
      </c>
      <c r="I595" s="4">
        <f t="shared" si="184"/>
        <v>29</v>
      </c>
      <c r="J595">
        <f t="shared" si="185"/>
        <v>19701229</v>
      </c>
      <c r="K595" t="str">
        <f t="shared" si="186"/>
        <v>29.12.1970</v>
      </c>
      <c r="L595" s="4">
        <f t="shared" si="187"/>
        <v>7</v>
      </c>
      <c r="M595" s="4">
        <f t="shared" si="188"/>
        <v>0</v>
      </c>
      <c r="N595" s="4">
        <f t="shared" si="189"/>
        <v>7</v>
      </c>
      <c r="O595" s="4">
        <f t="shared" si="190"/>
        <v>18</v>
      </c>
      <c r="P595" s="4">
        <f t="shared" si="191"/>
        <v>2</v>
      </c>
      <c r="Q595" s="4">
        <f t="shared" si="192"/>
        <v>27</v>
      </c>
      <c r="R595" s="4">
        <f t="shared" si="193"/>
        <v>63</v>
      </c>
      <c r="S595" s="4">
        <f t="shared" si="194"/>
        <v>63</v>
      </c>
      <c r="T595" s="4">
        <f t="shared" si="195"/>
        <v>6</v>
      </c>
      <c r="U595" s="4">
        <f t="shared" si="196"/>
        <v>27</v>
      </c>
      <c r="V595" s="8">
        <f t="shared" si="197"/>
        <v>0</v>
      </c>
      <c r="W595" s="8">
        <f t="shared" si="198"/>
        <v>0</v>
      </c>
      <c r="X595">
        <f t="shared" si="199"/>
        <v>1</v>
      </c>
    </row>
    <row r="596" spans="1:24" x14ac:dyDescent="0.25">
      <c r="A596" s="4" t="s">
        <v>622</v>
      </c>
      <c r="B596" t="s">
        <v>8</v>
      </c>
      <c r="C596" t="s">
        <v>6</v>
      </c>
      <c r="D596" s="3">
        <f t="shared" si="180"/>
        <v>78</v>
      </c>
      <c r="E596" s="4">
        <f t="shared" si="181"/>
        <v>10</v>
      </c>
      <c r="F596" s="4">
        <f t="shared" si="182"/>
        <v>25</v>
      </c>
      <c r="G596" s="3">
        <f>IF(E596&gt;=20,2000,1900) + D596</f>
        <v>1978</v>
      </c>
      <c r="H596">
        <f t="shared" si="183"/>
        <v>10</v>
      </c>
      <c r="I596" s="4">
        <f t="shared" si="184"/>
        <v>25</v>
      </c>
      <c r="J596">
        <f t="shared" si="185"/>
        <v>19781025</v>
      </c>
      <c r="K596" t="str">
        <f t="shared" si="186"/>
        <v>25.10.1978</v>
      </c>
      <c r="L596" s="4">
        <f t="shared" si="187"/>
        <v>7</v>
      </c>
      <c r="M596" s="4">
        <f t="shared" si="188"/>
        <v>24</v>
      </c>
      <c r="N596" s="4">
        <f t="shared" si="189"/>
        <v>7</v>
      </c>
      <c r="O596" s="4">
        <f t="shared" si="190"/>
        <v>0</v>
      </c>
      <c r="P596" s="4">
        <f t="shared" si="191"/>
        <v>2</v>
      </c>
      <c r="Q596" s="4">
        <f t="shared" si="192"/>
        <v>15</v>
      </c>
      <c r="R596" s="4">
        <f t="shared" si="193"/>
        <v>28</v>
      </c>
      <c r="S596" s="4">
        <f t="shared" si="194"/>
        <v>72</v>
      </c>
      <c r="T596" s="4">
        <f t="shared" si="195"/>
        <v>3</v>
      </c>
      <c r="U596" s="4">
        <f t="shared" si="196"/>
        <v>6</v>
      </c>
      <c r="V596" s="8">
        <f t="shared" si="197"/>
        <v>4</v>
      </c>
      <c r="W596" s="8">
        <f t="shared" si="198"/>
        <v>6</v>
      </c>
      <c r="X596">
        <f t="shared" si="199"/>
        <v>1</v>
      </c>
    </row>
    <row r="597" spans="1:24" x14ac:dyDescent="0.25">
      <c r="A597" s="4" t="s">
        <v>623</v>
      </c>
      <c r="B597" t="s">
        <v>18</v>
      </c>
      <c r="C597" t="s">
        <v>6</v>
      </c>
      <c r="D597" s="3">
        <f t="shared" si="180"/>
        <v>97</v>
      </c>
      <c r="E597" s="4">
        <f t="shared" si="181"/>
        <v>6</v>
      </c>
      <c r="F597" s="4">
        <f t="shared" si="182"/>
        <v>5</v>
      </c>
      <c r="G597" s="3">
        <f>IF(E597&gt;=20,2000,1900) + D597</f>
        <v>1997</v>
      </c>
      <c r="H597">
        <f t="shared" si="183"/>
        <v>6</v>
      </c>
      <c r="I597" s="4">
        <f t="shared" si="184"/>
        <v>5</v>
      </c>
      <c r="J597">
        <f t="shared" si="185"/>
        <v>19970605</v>
      </c>
      <c r="K597" t="str">
        <f t="shared" si="186"/>
        <v>05.06.1997</v>
      </c>
      <c r="L597" s="4">
        <f t="shared" si="187"/>
        <v>9</v>
      </c>
      <c r="M597" s="4">
        <f t="shared" si="188"/>
        <v>21</v>
      </c>
      <c r="N597" s="4">
        <f t="shared" si="189"/>
        <v>0</v>
      </c>
      <c r="O597" s="4">
        <f t="shared" si="190"/>
        <v>54</v>
      </c>
      <c r="P597" s="4">
        <f t="shared" si="191"/>
        <v>0</v>
      </c>
      <c r="Q597" s="4">
        <f t="shared" si="192"/>
        <v>15</v>
      </c>
      <c r="R597" s="4">
        <f t="shared" si="193"/>
        <v>0</v>
      </c>
      <c r="S597" s="4">
        <f t="shared" si="194"/>
        <v>45</v>
      </c>
      <c r="T597" s="4">
        <f t="shared" si="195"/>
        <v>2</v>
      </c>
      <c r="U597" s="4">
        <f t="shared" si="196"/>
        <v>27</v>
      </c>
      <c r="V597" s="8">
        <f t="shared" si="197"/>
        <v>3</v>
      </c>
      <c r="W597" s="8">
        <f t="shared" si="198"/>
        <v>7</v>
      </c>
      <c r="X597">
        <f t="shared" si="199"/>
        <v>1</v>
      </c>
    </row>
    <row r="598" spans="1:24" x14ac:dyDescent="0.25">
      <c r="A598" s="4" t="s">
        <v>624</v>
      </c>
      <c r="B598" t="s">
        <v>9</v>
      </c>
      <c r="C598" t="s">
        <v>6</v>
      </c>
      <c r="D598" s="3">
        <f t="shared" si="180"/>
        <v>84</v>
      </c>
      <c r="E598" s="4">
        <f t="shared" si="181"/>
        <v>12</v>
      </c>
      <c r="F598" s="4">
        <f t="shared" si="182"/>
        <v>24</v>
      </c>
      <c r="G598" s="3">
        <f>IF(E598&gt;=20,2000,1900) + D598</f>
        <v>1984</v>
      </c>
      <c r="H598">
        <f t="shared" si="183"/>
        <v>12</v>
      </c>
      <c r="I598" s="4">
        <f t="shared" si="184"/>
        <v>24</v>
      </c>
      <c r="J598">
        <f t="shared" si="185"/>
        <v>19841224</v>
      </c>
      <c r="K598" t="str">
        <f t="shared" si="186"/>
        <v>24.12.1984</v>
      </c>
      <c r="L598" s="4">
        <f t="shared" si="187"/>
        <v>8</v>
      </c>
      <c r="M598" s="4">
        <f t="shared" si="188"/>
        <v>12</v>
      </c>
      <c r="N598" s="4">
        <f t="shared" si="189"/>
        <v>7</v>
      </c>
      <c r="O598" s="4">
        <f t="shared" si="190"/>
        <v>18</v>
      </c>
      <c r="P598" s="4">
        <f t="shared" si="191"/>
        <v>2</v>
      </c>
      <c r="Q598" s="4">
        <f t="shared" si="192"/>
        <v>12</v>
      </c>
      <c r="R598" s="4">
        <f t="shared" si="193"/>
        <v>49</v>
      </c>
      <c r="S598" s="4">
        <f t="shared" si="194"/>
        <v>81</v>
      </c>
      <c r="T598" s="4">
        <f t="shared" si="195"/>
        <v>6</v>
      </c>
      <c r="U598" s="4">
        <f t="shared" si="196"/>
        <v>21</v>
      </c>
      <c r="V598" s="8">
        <f t="shared" si="197"/>
        <v>6</v>
      </c>
      <c r="W598" s="8">
        <f t="shared" si="198"/>
        <v>4</v>
      </c>
      <c r="X598">
        <f t="shared" si="199"/>
        <v>1</v>
      </c>
    </row>
    <row r="599" spans="1:24" x14ac:dyDescent="0.25">
      <c r="A599" s="4" t="s">
        <v>625</v>
      </c>
      <c r="B599" t="s">
        <v>10</v>
      </c>
      <c r="C599" t="s">
        <v>4</v>
      </c>
      <c r="D599" s="3">
        <f t="shared" si="180"/>
        <v>98</v>
      </c>
      <c r="E599" s="4">
        <f t="shared" si="181"/>
        <v>5</v>
      </c>
      <c r="F599" s="4">
        <f t="shared" si="182"/>
        <v>17</v>
      </c>
      <c r="G599" s="3">
        <f>IF(E599&gt;=20,2000,1900) + D599</f>
        <v>1998</v>
      </c>
      <c r="H599">
        <f t="shared" si="183"/>
        <v>5</v>
      </c>
      <c r="I599" s="4">
        <f t="shared" si="184"/>
        <v>17</v>
      </c>
      <c r="J599">
        <f t="shared" si="185"/>
        <v>19980517</v>
      </c>
      <c r="K599" t="str">
        <f t="shared" si="186"/>
        <v>17.05.1998</v>
      </c>
      <c r="L599" s="4">
        <f t="shared" si="187"/>
        <v>9</v>
      </c>
      <c r="M599" s="4">
        <f t="shared" si="188"/>
        <v>24</v>
      </c>
      <c r="N599" s="4">
        <f t="shared" si="189"/>
        <v>0</v>
      </c>
      <c r="O599" s="4">
        <f t="shared" si="190"/>
        <v>45</v>
      </c>
      <c r="P599" s="4">
        <f t="shared" si="191"/>
        <v>1</v>
      </c>
      <c r="Q599" s="4">
        <f t="shared" si="192"/>
        <v>21</v>
      </c>
      <c r="R599" s="4">
        <f t="shared" si="193"/>
        <v>28</v>
      </c>
      <c r="S599" s="4">
        <f t="shared" si="194"/>
        <v>81</v>
      </c>
      <c r="T599" s="4">
        <f t="shared" si="195"/>
        <v>7</v>
      </c>
      <c r="U599" s="4">
        <f t="shared" si="196"/>
        <v>9</v>
      </c>
      <c r="V599" s="8">
        <f t="shared" si="197"/>
        <v>5</v>
      </c>
      <c r="W599" s="8">
        <f t="shared" si="198"/>
        <v>5</v>
      </c>
      <c r="X599">
        <f t="shared" si="199"/>
        <v>1</v>
      </c>
    </row>
    <row r="600" spans="1:24" x14ac:dyDescent="0.25">
      <c r="A600" s="4" t="s">
        <v>626</v>
      </c>
      <c r="B600" t="s">
        <v>17</v>
      </c>
      <c r="C600" t="s">
        <v>6</v>
      </c>
      <c r="D600" s="3">
        <f t="shared" si="180"/>
        <v>11</v>
      </c>
      <c r="E600" s="4">
        <f t="shared" si="181"/>
        <v>7</v>
      </c>
      <c r="F600" s="4">
        <f t="shared" si="182"/>
        <v>27</v>
      </c>
      <c r="G600" s="3">
        <f>IF(E600&gt;=20,2000,1900) + D600</f>
        <v>1911</v>
      </c>
      <c r="H600">
        <f t="shared" si="183"/>
        <v>7</v>
      </c>
      <c r="I600" s="4">
        <f t="shared" si="184"/>
        <v>27</v>
      </c>
      <c r="J600">
        <f t="shared" si="185"/>
        <v>19110727</v>
      </c>
      <c r="K600" t="str">
        <f t="shared" si="186"/>
        <v>27.07.1911</v>
      </c>
      <c r="L600" s="4">
        <f t="shared" si="187"/>
        <v>1</v>
      </c>
      <c r="M600" s="4">
        <f t="shared" si="188"/>
        <v>3</v>
      </c>
      <c r="N600" s="4">
        <f t="shared" si="189"/>
        <v>0</v>
      </c>
      <c r="O600" s="4">
        <f t="shared" si="190"/>
        <v>63</v>
      </c>
      <c r="P600" s="4">
        <f t="shared" si="191"/>
        <v>2</v>
      </c>
      <c r="Q600" s="4">
        <f t="shared" si="192"/>
        <v>21</v>
      </c>
      <c r="R600" s="4">
        <f t="shared" si="193"/>
        <v>7</v>
      </c>
      <c r="S600" s="4">
        <f t="shared" si="194"/>
        <v>9</v>
      </c>
      <c r="T600" s="4">
        <f t="shared" si="195"/>
        <v>7</v>
      </c>
      <c r="U600" s="4">
        <f t="shared" si="196"/>
        <v>21</v>
      </c>
      <c r="V600" s="8">
        <f t="shared" si="197"/>
        <v>4</v>
      </c>
      <c r="W600" s="8">
        <f t="shared" si="198"/>
        <v>6</v>
      </c>
      <c r="X600">
        <f t="shared" si="199"/>
        <v>1</v>
      </c>
    </row>
    <row r="601" spans="1:24" x14ac:dyDescent="0.25">
      <c r="A601" s="4" t="s">
        <v>627</v>
      </c>
      <c r="B601" t="s">
        <v>18</v>
      </c>
      <c r="C601" t="s">
        <v>6</v>
      </c>
      <c r="D601" s="3">
        <f t="shared" si="180"/>
        <v>5</v>
      </c>
      <c r="E601" s="4">
        <f t="shared" si="181"/>
        <v>25</v>
      </c>
      <c r="F601" s="4">
        <f t="shared" si="182"/>
        <v>17</v>
      </c>
      <c r="G601" s="3">
        <f>IF(E601&gt;=20,2000,1900) + D601</f>
        <v>2005</v>
      </c>
      <c r="H601">
        <f t="shared" si="183"/>
        <v>5</v>
      </c>
      <c r="I601" s="4">
        <f t="shared" si="184"/>
        <v>17</v>
      </c>
      <c r="J601">
        <f t="shared" si="185"/>
        <v>20052517</v>
      </c>
      <c r="K601" t="str">
        <f t="shared" si="186"/>
        <v>17.25.2005</v>
      </c>
      <c r="L601" s="4">
        <f t="shared" si="187"/>
        <v>0</v>
      </c>
      <c r="M601" s="4">
        <f t="shared" si="188"/>
        <v>15</v>
      </c>
      <c r="N601" s="4">
        <f t="shared" si="189"/>
        <v>14</v>
      </c>
      <c r="O601" s="4">
        <f t="shared" si="190"/>
        <v>45</v>
      </c>
      <c r="P601" s="4">
        <f t="shared" si="191"/>
        <v>1</v>
      </c>
      <c r="Q601" s="4">
        <f t="shared" si="192"/>
        <v>21</v>
      </c>
      <c r="R601" s="4">
        <f t="shared" si="193"/>
        <v>14</v>
      </c>
      <c r="S601" s="4">
        <f t="shared" si="194"/>
        <v>81</v>
      </c>
      <c r="T601" s="4">
        <f t="shared" si="195"/>
        <v>6</v>
      </c>
      <c r="U601" s="4">
        <f t="shared" si="196"/>
        <v>18</v>
      </c>
      <c r="V601" s="8">
        <f t="shared" si="197"/>
        <v>5</v>
      </c>
      <c r="W601" s="8">
        <f t="shared" si="198"/>
        <v>5</v>
      </c>
      <c r="X601">
        <f t="shared" si="199"/>
        <v>1</v>
      </c>
    </row>
    <row r="602" spans="1:24" x14ac:dyDescent="0.25">
      <c r="A602" s="4" t="s">
        <v>628</v>
      </c>
      <c r="B602" t="s">
        <v>12</v>
      </c>
      <c r="C602" t="s">
        <v>6</v>
      </c>
      <c r="D602" s="3">
        <f t="shared" si="180"/>
        <v>3</v>
      </c>
      <c r="E602" s="4">
        <f t="shared" si="181"/>
        <v>25</v>
      </c>
      <c r="F602" s="4">
        <f t="shared" si="182"/>
        <v>23</v>
      </c>
      <c r="G602" s="3">
        <f>IF(E602&gt;=20,2000,1900) + D602</f>
        <v>2003</v>
      </c>
      <c r="H602">
        <f t="shared" si="183"/>
        <v>5</v>
      </c>
      <c r="I602" s="4">
        <f t="shared" si="184"/>
        <v>23</v>
      </c>
      <c r="J602">
        <f t="shared" si="185"/>
        <v>20032523</v>
      </c>
      <c r="K602" t="str">
        <f t="shared" si="186"/>
        <v>23.25.2003</v>
      </c>
      <c r="L602" s="4">
        <f t="shared" si="187"/>
        <v>0</v>
      </c>
      <c r="M602" s="4">
        <f t="shared" si="188"/>
        <v>9</v>
      </c>
      <c r="N602" s="4">
        <f t="shared" si="189"/>
        <v>14</v>
      </c>
      <c r="O602" s="4">
        <f t="shared" si="190"/>
        <v>45</v>
      </c>
      <c r="P602" s="4">
        <f t="shared" si="191"/>
        <v>2</v>
      </c>
      <c r="Q602" s="4">
        <f t="shared" si="192"/>
        <v>9</v>
      </c>
      <c r="R602" s="4">
        <f t="shared" si="193"/>
        <v>42</v>
      </c>
      <c r="S602" s="4">
        <f t="shared" si="194"/>
        <v>9</v>
      </c>
      <c r="T602" s="4">
        <f t="shared" si="195"/>
        <v>1</v>
      </c>
      <c r="U602" s="4">
        <f t="shared" si="196"/>
        <v>24</v>
      </c>
      <c r="V602" s="8">
        <f t="shared" si="197"/>
        <v>5</v>
      </c>
      <c r="W602" s="8">
        <f t="shared" si="198"/>
        <v>5</v>
      </c>
      <c r="X602">
        <f t="shared" si="199"/>
        <v>1</v>
      </c>
    </row>
    <row r="603" spans="1:24" x14ac:dyDescent="0.25">
      <c r="A603" s="4" t="s">
        <v>629</v>
      </c>
      <c r="B603" t="s">
        <v>13</v>
      </c>
      <c r="C603" t="s">
        <v>4</v>
      </c>
      <c r="D603" s="3">
        <f t="shared" si="180"/>
        <v>7</v>
      </c>
      <c r="E603" s="4">
        <f t="shared" si="181"/>
        <v>28</v>
      </c>
      <c r="F603" s="4">
        <f t="shared" si="182"/>
        <v>23</v>
      </c>
      <c r="G603" s="3">
        <f>IF(E603&gt;=20,2000,1900) + D603</f>
        <v>2007</v>
      </c>
      <c r="H603">
        <f t="shared" si="183"/>
        <v>8</v>
      </c>
      <c r="I603" s="4">
        <f t="shared" si="184"/>
        <v>23</v>
      </c>
      <c r="J603">
        <f t="shared" si="185"/>
        <v>20072823</v>
      </c>
      <c r="K603" t="str">
        <f t="shared" si="186"/>
        <v>23.28.2007</v>
      </c>
      <c r="L603" s="4">
        <f t="shared" si="187"/>
        <v>0</v>
      </c>
      <c r="M603" s="4">
        <f t="shared" si="188"/>
        <v>21</v>
      </c>
      <c r="N603" s="4">
        <f t="shared" si="189"/>
        <v>14</v>
      </c>
      <c r="O603" s="4">
        <f t="shared" si="190"/>
        <v>72</v>
      </c>
      <c r="P603" s="4">
        <f t="shared" si="191"/>
        <v>2</v>
      </c>
      <c r="Q603" s="4">
        <f t="shared" si="192"/>
        <v>9</v>
      </c>
      <c r="R603" s="4">
        <f t="shared" si="193"/>
        <v>7</v>
      </c>
      <c r="S603" s="4">
        <f t="shared" si="194"/>
        <v>45</v>
      </c>
      <c r="T603" s="4">
        <f t="shared" si="195"/>
        <v>6</v>
      </c>
      <c r="U603" s="4">
        <f t="shared" si="196"/>
        <v>0</v>
      </c>
      <c r="V603" s="8">
        <f t="shared" si="197"/>
        <v>6</v>
      </c>
      <c r="W603" s="8">
        <f t="shared" si="198"/>
        <v>4</v>
      </c>
      <c r="X603">
        <f t="shared" si="199"/>
        <v>1</v>
      </c>
    </row>
    <row r="604" spans="1:24" x14ac:dyDescent="0.25">
      <c r="A604" s="4" t="s">
        <v>630</v>
      </c>
      <c r="B604" t="s">
        <v>16</v>
      </c>
      <c r="C604" t="s">
        <v>6</v>
      </c>
      <c r="D604" s="3">
        <f t="shared" si="180"/>
        <v>3</v>
      </c>
      <c r="E604" s="4">
        <f t="shared" si="181"/>
        <v>24</v>
      </c>
      <c r="F604" s="4">
        <f t="shared" si="182"/>
        <v>17</v>
      </c>
      <c r="G604" s="3">
        <f>IF(E604&gt;=20,2000,1900) + D604</f>
        <v>2003</v>
      </c>
      <c r="H604">
        <f t="shared" si="183"/>
        <v>4</v>
      </c>
      <c r="I604" s="4">
        <f t="shared" si="184"/>
        <v>17</v>
      </c>
      <c r="J604">
        <f t="shared" si="185"/>
        <v>20032417</v>
      </c>
      <c r="K604" t="str">
        <f t="shared" si="186"/>
        <v>17.24.2003</v>
      </c>
      <c r="L604" s="4">
        <f t="shared" si="187"/>
        <v>0</v>
      </c>
      <c r="M604" s="4">
        <f t="shared" si="188"/>
        <v>9</v>
      </c>
      <c r="N604" s="4">
        <f t="shared" si="189"/>
        <v>14</v>
      </c>
      <c r="O604" s="4">
        <f t="shared" si="190"/>
        <v>36</v>
      </c>
      <c r="P604" s="4">
        <f t="shared" si="191"/>
        <v>1</v>
      </c>
      <c r="Q604" s="4">
        <f t="shared" si="192"/>
        <v>21</v>
      </c>
      <c r="R604" s="4">
        <f t="shared" si="193"/>
        <v>0</v>
      </c>
      <c r="S604" s="4">
        <f t="shared" si="194"/>
        <v>9</v>
      </c>
      <c r="T604" s="4">
        <f t="shared" si="195"/>
        <v>4</v>
      </c>
      <c r="U604" s="4">
        <f t="shared" si="196"/>
        <v>15</v>
      </c>
      <c r="V604" s="8">
        <f t="shared" si="197"/>
        <v>9</v>
      </c>
      <c r="W604" s="8">
        <f t="shared" si="198"/>
        <v>1</v>
      </c>
      <c r="X604">
        <f t="shared" si="199"/>
        <v>1</v>
      </c>
    </row>
    <row r="605" spans="1:24" x14ac:dyDescent="0.25">
      <c r="A605" s="4" t="s">
        <v>631</v>
      </c>
      <c r="B605" t="s">
        <v>11</v>
      </c>
      <c r="C605" t="s">
        <v>6</v>
      </c>
      <c r="D605" s="3">
        <f t="shared" si="180"/>
        <v>3</v>
      </c>
      <c r="E605" s="4">
        <f t="shared" si="181"/>
        <v>21</v>
      </c>
      <c r="F605" s="4">
        <f t="shared" si="182"/>
        <v>26</v>
      </c>
      <c r="G605" s="3">
        <f>IF(E605&gt;=20,2000,1900) + D605</f>
        <v>2003</v>
      </c>
      <c r="H605">
        <f t="shared" si="183"/>
        <v>1</v>
      </c>
      <c r="I605" s="4">
        <f t="shared" si="184"/>
        <v>26</v>
      </c>
      <c r="J605">
        <f t="shared" si="185"/>
        <v>20032126</v>
      </c>
      <c r="K605" t="str">
        <f t="shared" si="186"/>
        <v>26.21.2003</v>
      </c>
      <c r="L605" s="4">
        <f t="shared" si="187"/>
        <v>0</v>
      </c>
      <c r="M605" s="4">
        <f t="shared" si="188"/>
        <v>9</v>
      </c>
      <c r="N605" s="4">
        <f t="shared" si="189"/>
        <v>14</v>
      </c>
      <c r="O605" s="4">
        <f t="shared" si="190"/>
        <v>9</v>
      </c>
      <c r="P605" s="4">
        <f t="shared" si="191"/>
        <v>2</v>
      </c>
      <c r="Q605" s="4">
        <f t="shared" si="192"/>
        <v>18</v>
      </c>
      <c r="R605" s="4">
        <f t="shared" si="193"/>
        <v>56</v>
      </c>
      <c r="S605" s="4">
        <f t="shared" si="194"/>
        <v>0</v>
      </c>
      <c r="T605" s="4">
        <f t="shared" si="195"/>
        <v>9</v>
      </c>
      <c r="U605" s="4">
        <f t="shared" si="196"/>
        <v>15</v>
      </c>
      <c r="V605" s="8">
        <f t="shared" si="197"/>
        <v>2</v>
      </c>
      <c r="W605" s="8">
        <f t="shared" si="198"/>
        <v>8</v>
      </c>
      <c r="X605">
        <f t="shared" si="199"/>
        <v>0</v>
      </c>
    </row>
    <row r="606" spans="1:24" x14ac:dyDescent="0.25">
      <c r="A606" s="4" t="s">
        <v>632</v>
      </c>
      <c r="B606" t="s">
        <v>5</v>
      </c>
      <c r="C606" t="s">
        <v>6</v>
      </c>
      <c r="D606" s="3">
        <f t="shared" si="180"/>
        <v>8</v>
      </c>
      <c r="E606" s="4">
        <f t="shared" si="181"/>
        <v>30</v>
      </c>
      <c r="F606" s="4">
        <f t="shared" si="182"/>
        <v>19</v>
      </c>
      <c r="G606" s="3">
        <f>IF(E606&gt;=20,2000,1900) + D606</f>
        <v>2008</v>
      </c>
      <c r="H606">
        <f t="shared" si="183"/>
        <v>10</v>
      </c>
      <c r="I606" s="4">
        <f t="shared" si="184"/>
        <v>19</v>
      </c>
      <c r="J606">
        <f t="shared" si="185"/>
        <v>20083019</v>
      </c>
      <c r="K606" t="str">
        <f t="shared" si="186"/>
        <v>19.30.2008</v>
      </c>
      <c r="L606" s="4">
        <f t="shared" si="187"/>
        <v>0</v>
      </c>
      <c r="M606" s="4">
        <f t="shared" si="188"/>
        <v>24</v>
      </c>
      <c r="N606" s="4">
        <f t="shared" si="189"/>
        <v>21</v>
      </c>
      <c r="O606" s="4">
        <f t="shared" si="190"/>
        <v>0</v>
      </c>
      <c r="P606" s="4">
        <f t="shared" si="191"/>
        <v>1</v>
      </c>
      <c r="Q606" s="4">
        <f t="shared" si="192"/>
        <v>27</v>
      </c>
      <c r="R606" s="4">
        <f t="shared" si="193"/>
        <v>49</v>
      </c>
      <c r="S606" s="4">
        <f t="shared" si="194"/>
        <v>72</v>
      </c>
      <c r="T606" s="4">
        <f t="shared" si="195"/>
        <v>1</v>
      </c>
      <c r="U606" s="4">
        <f t="shared" si="196"/>
        <v>21</v>
      </c>
      <c r="V606" s="8">
        <f t="shared" si="197"/>
        <v>6</v>
      </c>
      <c r="W606" s="8">
        <f t="shared" si="198"/>
        <v>4</v>
      </c>
      <c r="X606">
        <f t="shared" si="199"/>
        <v>1</v>
      </c>
    </row>
    <row r="607" spans="1:24" x14ac:dyDescent="0.25">
      <c r="A607" s="4" t="s">
        <v>633</v>
      </c>
      <c r="B607" t="s">
        <v>16</v>
      </c>
      <c r="C607" t="s">
        <v>6</v>
      </c>
      <c r="D607" s="3">
        <f t="shared" si="180"/>
        <v>4</v>
      </c>
      <c r="E607" s="4">
        <f t="shared" si="181"/>
        <v>29</v>
      </c>
      <c r="F607" s="4">
        <f t="shared" si="182"/>
        <v>12</v>
      </c>
      <c r="G607" s="3">
        <f>IF(E607&gt;=20,2000,1900) + D607</f>
        <v>2004</v>
      </c>
      <c r="H607">
        <f t="shared" si="183"/>
        <v>9</v>
      </c>
      <c r="I607" s="4">
        <f t="shared" si="184"/>
        <v>12</v>
      </c>
      <c r="J607">
        <f t="shared" si="185"/>
        <v>20042912</v>
      </c>
      <c r="K607" t="str">
        <f t="shared" si="186"/>
        <v>12.29.2004</v>
      </c>
      <c r="L607" s="4">
        <f t="shared" si="187"/>
        <v>0</v>
      </c>
      <c r="M607" s="4">
        <f t="shared" si="188"/>
        <v>12</v>
      </c>
      <c r="N607" s="4">
        <f t="shared" si="189"/>
        <v>14</v>
      </c>
      <c r="O607" s="4">
        <f t="shared" si="190"/>
        <v>81</v>
      </c>
      <c r="P607" s="4">
        <f t="shared" si="191"/>
        <v>1</v>
      </c>
      <c r="Q607" s="4">
        <f t="shared" si="192"/>
        <v>6</v>
      </c>
      <c r="R607" s="4">
        <f t="shared" si="193"/>
        <v>14</v>
      </c>
      <c r="S607" s="4">
        <f t="shared" si="194"/>
        <v>72</v>
      </c>
      <c r="T607" s="4">
        <f t="shared" si="195"/>
        <v>9</v>
      </c>
      <c r="U607" s="4">
        <f t="shared" si="196"/>
        <v>12</v>
      </c>
      <c r="V607" s="8">
        <f t="shared" si="197"/>
        <v>1</v>
      </c>
      <c r="W607" s="8">
        <f t="shared" si="198"/>
        <v>9</v>
      </c>
      <c r="X607">
        <f t="shared" si="199"/>
        <v>1</v>
      </c>
    </row>
    <row r="608" spans="1:24" x14ac:dyDescent="0.25">
      <c r="A608" s="4" t="s">
        <v>634</v>
      </c>
      <c r="B608" t="s">
        <v>14</v>
      </c>
      <c r="C608" t="s">
        <v>4</v>
      </c>
      <c r="D608" s="3">
        <f t="shared" si="180"/>
        <v>20</v>
      </c>
      <c r="E608" s="4">
        <f t="shared" si="181"/>
        <v>29</v>
      </c>
      <c r="F608" s="4">
        <f t="shared" si="182"/>
        <v>5</v>
      </c>
      <c r="G608" s="3">
        <f>IF(E608&gt;=20,2000,1900) + D608</f>
        <v>2020</v>
      </c>
      <c r="H608">
        <f t="shared" si="183"/>
        <v>9</v>
      </c>
      <c r="I608" s="4">
        <f t="shared" si="184"/>
        <v>5</v>
      </c>
      <c r="J608">
        <f t="shared" si="185"/>
        <v>20202905</v>
      </c>
      <c r="K608" t="str">
        <f t="shared" si="186"/>
        <v>05.29.2020</v>
      </c>
      <c r="L608" s="4">
        <f t="shared" si="187"/>
        <v>2</v>
      </c>
      <c r="M608" s="4">
        <f t="shared" si="188"/>
        <v>0</v>
      </c>
      <c r="N608" s="4">
        <f t="shared" si="189"/>
        <v>14</v>
      </c>
      <c r="O608" s="4">
        <f t="shared" si="190"/>
        <v>81</v>
      </c>
      <c r="P608" s="4">
        <f t="shared" si="191"/>
        <v>0</v>
      </c>
      <c r="Q608" s="4">
        <f t="shared" si="192"/>
        <v>15</v>
      </c>
      <c r="R608" s="4">
        <f t="shared" si="193"/>
        <v>56</v>
      </c>
      <c r="S608" s="4">
        <f t="shared" si="194"/>
        <v>54</v>
      </c>
      <c r="T608" s="4">
        <f t="shared" si="195"/>
        <v>7</v>
      </c>
      <c r="U608" s="4">
        <f t="shared" si="196"/>
        <v>18</v>
      </c>
      <c r="V608" s="8">
        <f t="shared" si="197"/>
        <v>7</v>
      </c>
      <c r="W608" s="8">
        <f t="shared" si="198"/>
        <v>3</v>
      </c>
      <c r="X608">
        <f t="shared" si="199"/>
        <v>1</v>
      </c>
    </row>
    <row r="609" spans="1:24" x14ac:dyDescent="0.25">
      <c r="A609" s="4" t="s">
        <v>635</v>
      </c>
      <c r="B609" t="s">
        <v>14</v>
      </c>
      <c r="C609" t="s">
        <v>6</v>
      </c>
      <c r="D609" s="3">
        <f t="shared" si="180"/>
        <v>13</v>
      </c>
      <c r="E609" s="4">
        <f t="shared" si="181"/>
        <v>30</v>
      </c>
      <c r="F609" s="4">
        <f t="shared" si="182"/>
        <v>26</v>
      </c>
      <c r="G609" s="3">
        <f>IF(E609&gt;=20,2000,1900) + D609</f>
        <v>2013</v>
      </c>
      <c r="H609">
        <f t="shared" si="183"/>
        <v>10</v>
      </c>
      <c r="I609" s="4">
        <f t="shared" si="184"/>
        <v>26</v>
      </c>
      <c r="J609">
        <f t="shared" si="185"/>
        <v>20133026</v>
      </c>
      <c r="K609" t="str">
        <f t="shared" si="186"/>
        <v>26.30.2013</v>
      </c>
      <c r="L609" s="4">
        <f t="shared" si="187"/>
        <v>1</v>
      </c>
      <c r="M609" s="4">
        <f t="shared" si="188"/>
        <v>9</v>
      </c>
      <c r="N609" s="4">
        <f t="shared" si="189"/>
        <v>21</v>
      </c>
      <c r="O609" s="4">
        <f t="shared" si="190"/>
        <v>0</v>
      </c>
      <c r="P609" s="4">
        <f t="shared" si="191"/>
        <v>2</v>
      </c>
      <c r="Q609" s="4">
        <f t="shared" si="192"/>
        <v>18</v>
      </c>
      <c r="R609" s="4">
        <f t="shared" si="193"/>
        <v>7</v>
      </c>
      <c r="S609" s="4">
        <f t="shared" si="194"/>
        <v>63</v>
      </c>
      <c r="T609" s="4">
        <f t="shared" si="195"/>
        <v>7</v>
      </c>
      <c r="U609" s="4">
        <f t="shared" si="196"/>
        <v>3</v>
      </c>
      <c r="V609" s="8">
        <f t="shared" si="197"/>
        <v>1</v>
      </c>
      <c r="W609" s="8">
        <f t="shared" si="198"/>
        <v>9</v>
      </c>
      <c r="X609">
        <f t="shared" si="199"/>
        <v>1</v>
      </c>
    </row>
    <row r="610" spans="1:24" x14ac:dyDescent="0.25">
      <c r="A610" s="4" t="s">
        <v>636</v>
      </c>
      <c r="B610" t="s">
        <v>20</v>
      </c>
      <c r="C610" t="s">
        <v>6</v>
      </c>
      <c r="D610" s="3">
        <f t="shared" si="180"/>
        <v>9</v>
      </c>
      <c r="E610" s="4">
        <f t="shared" si="181"/>
        <v>21</v>
      </c>
      <c r="F610" s="4">
        <f t="shared" si="182"/>
        <v>4</v>
      </c>
      <c r="G610" s="3">
        <f>IF(E610&gt;=20,2000,1900) + D610</f>
        <v>2009</v>
      </c>
      <c r="H610">
        <f t="shared" si="183"/>
        <v>1</v>
      </c>
      <c r="I610" s="4">
        <f t="shared" si="184"/>
        <v>4</v>
      </c>
      <c r="J610">
        <f t="shared" si="185"/>
        <v>20092104</v>
      </c>
      <c r="K610" t="str">
        <f t="shared" si="186"/>
        <v>04.21.2009</v>
      </c>
      <c r="L610" s="4">
        <f t="shared" si="187"/>
        <v>0</v>
      </c>
      <c r="M610" s="4">
        <f t="shared" si="188"/>
        <v>27</v>
      </c>
      <c r="N610" s="4">
        <f t="shared" si="189"/>
        <v>14</v>
      </c>
      <c r="O610" s="4">
        <f t="shared" si="190"/>
        <v>9</v>
      </c>
      <c r="P610" s="4">
        <f t="shared" si="191"/>
        <v>0</v>
      </c>
      <c r="Q610" s="4">
        <f t="shared" si="192"/>
        <v>12</v>
      </c>
      <c r="R610" s="4">
        <f t="shared" si="193"/>
        <v>0</v>
      </c>
      <c r="S610" s="4">
        <f t="shared" si="194"/>
        <v>36</v>
      </c>
      <c r="T610" s="4">
        <f t="shared" si="195"/>
        <v>6</v>
      </c>
      <c r="U610" s="4">
        <f t="shared" si="196"/>
        <v>24</v>
      </c>
      <c r="V610" s="8">
        <f t="shared" si="197"/>
        <v>8</v>
      </c>
      <c r="W610" s="8">
        <f t="shared" si="198"/>
        <v>2</v>
      </c>
      <c r="X610">
        <f t="shared" si="199"/>
        <v>1</v>
      </c>
    </row>
    <row r="611" spans="1:24" x14ac:dyDescent="0.25">
      <c r="A611" s="4" t="s">
        <v>637</v>
      </c>
      <c r="B611" t="s">
        <v>20</v>
      </c>
      <c r="C611" t="s">
        <v>4</v>
      </c>
      <c r="D611" s="3">
        <f t="shared" si="180"/>
        <v>0</v>
      </c>
      <c r="E611" s="4">
        <f t="shared" si="181"/>
        <v>21</v>
      </c>
      <c r="F611" s="4">
        <f t="shared" si="182"/>
        <v>18</v>
      </c>
      <c r="G611" s="3">
        <f>IF(E611&gt;=20,2000,1900) + D611</f>
        <v>2000</v>
      </c>
      <c r="H611">
        <f t="shared" si="183"/>
        <v>1</v>
      </c>
      <c r="I611" s="4">
        <f t="shared" si="184"/>
        <v>18</v>
      </c>
      <c r="J611">
        <f t="shared" si="185"/>
        <v>20002118</v>
      </c>
      <c r="K611" t="str">
        <f t="shared" si="186"/>
        <v>18.21.2000</v>
      </c>
      <c r="L611" s="4">
        <f t="shared" si="187"/>
        <v>0</v>
      </c>
      <c r="M611" s="4">
        <f t="shared" si="188"/>
        <v>0</v>
      </c>
      <c r="N611" s="4">
        <f t="shared" si="189"/>
        <v>14</v>
      </c>
      <c r="O611" s="4">
        <f t="shared" si="190"/>
        <v>9</v>
      </c>
      <c r="P611" s="4">
        <f t="shared" si="191"/>
        <v>1</v>
      </c>
      <c r="Q611" s="4">
        <f t="shared" si="192"/>
        <v>24</v>
      </c>
      <c r="R611" s="4">
        <f t="shared" si="193"/>
        <v>14</v>
      </c>
      <c r="S611" s="4">
        <f t="shared" si="194"/>
        <v>72</v>
      </c>
      <c r="T611" s="4">
        <f t="shared" si="195"/>
        <v>2</v>
      </c>
      <c r="U611" s="4">
        <f t="shared" si="196"/>
        <v>27</v>
      </c>
      <c r="V611" s="8">
        <f t="shared" si="197"/>
        <v>3</v>
      </c>
      <c r="W611" s="8">
        <f t="shared" si="198"/>
        <v>7</v>
      </c>
      <c r="X611">
        <f t="shared" si="199"/>
        <v>1</v>
      </c>
    </row>
    <row r="612" spans="1:24" x14ac:dyDescent="0.25">
      <c r="A612" s="4" t="s">
        <v>638</v>
      </c>
      <c r="B612" t="s">
        <v>9</v>
      </c>
      <c r="C612" t="s">
        <v>4</v>
      </c>
      <c r="D612" s="3">
        <f t="shared" si="180"/>
        <v>2</v>
      </c>
      <c r="E612" s="4">
        <f t="shared" si="181"/>
        <v>25</v>
      </c>
      <c r="F612" s="4">
        <f t="shared" si="182"/>
        <v>12</v>
      </c>
      <c r="G612" s="3">
        <f>IF(E612&gt;=20,2000,1900) + D612</f>
        <v>2002</v>
      </c>
      <c r="H612">
        <f t="shared" si="183"/>
        <v>5</v>
      </c>
      <c r="I612" s="4">
        <f t="shared" si="184"/>
        <v>12</v>
      </c>
      <c r="J612">
        <f t="shared" si="185"/>
        <v>20022512</v>
      </c>
      <c r="K612" t="str">
        <f t="shared" si="186"/>
        <v>12.25.2002</v>
      </c>
      <c r="L612" s="4">
        <f t="shared" si="187"/>
        <v>0</v>
      </c>
      <c r="M612" s="4">
        <f t="shared" si="188"/>
        <v>6</v>
      </c>
      <c r="N612" s="4">
        <f t="shared" si="189"/>
        <v>14</v>
      </c>
      <c r="O612" s="4">
        <f t="shared" si="190"/>
        <v>45</v>
      </c>
      <c r="P612" s="4">
        <f t="shared" si="191"/>
        <v>1</v>
      </c>
      <c r="Q612" s="4">
        <f t="shared" si="192"/>
        <v>6</v>
      </c>
      <c r="R612" s="4">
        <f t="shared" si="193"/>
        <v>42</v>
      </c>
      <c r="S612" s="4">
        <f t="shared" si="194"/>
        <v>72</v>
      </c>
      <c r="T612" s="4">
        <f t="shared" si="195"/>
        <v>2</v>
      </c>
      <c r="U612" s="4">
        <f t="shared" si="196"/>
        <v>12</v>
      </c>
      <c r="V612" s="8">
        <f t="shared" si="197"/>
        <v>0</v>
      </c>
      <c r="W612" s="8">
        <f t="shared" si="198"/>
        <v>0</v>
      </c>
      <c r="X612">
        <f t="shared" si="199"/>
        <v>1</v>
      </c>
    </row>
    <row r="613" spans="1:24" x14ac:dyDescent="0.25">
      <c r="A613" s="4" t="s">
        <v>639</v>
      </c>
      <c r="B613" t="s">
        <v>20</v>
      </c>
      <c r="C613" t="s">
        <v>4</v>
      </c>
      <c r="D613" s="3">
        <f t="shared" si="180"/>
        <v>3</v>
      </c>
      <c r="E613" s="4">
        <f t="shared" si="181"/>
        <v>23</v>
      </c>
      <c r="F613" s="4">
        <f t="shared" si="182"/>
        <v>11</v>
      </c>
      <c r="G613" s="3">
        <f>IF(E613&gt;=20,2000,1900) + D613</f>
        <v>2003</v>
      </c>
      <c r="H613">
        <f t="shared" si="183"/>
        <v>3</v>
      </c>
      <c r="I613" s="4">
        <f t="shared" si="184"/>
        <v>11</v>
      </c>
      <c r="J613">
        <f t="shared" si="185"/>
        <v>20032311</v>
      </c>
      <c r="K613" t="str">
        <f t="shared" si="186"/>
        <v>11.23.2003</v>
      </c>
      <c r="L613" s="4">
        <f t="shared" si="187"/>
        <v>0</v>
      </c>
      <c r="M613" s="4">
        <f t="shared" si="188"/>
        <v>9</v>
      </c>
      <c r="N613" s="4">
        <f t="shared" si="189"/>
        <v>14</v>
      </c>
      <c r="O613" s="4">
        <f t="shared" si="190"/>
        <v>27</v>
      </c>
      <c r="P613" s="4">
        <f t="shared" si="191"/>
        <v>1</v>
      </c>
      <c r="Q613" s="4">
        <f t="shared" si="192"/>
        <v>3</v>
      </c>
      <c r="R613" s="4">
        <f t="shared" si="193"/>
        <v>0</v>
      </c>
      <c r="S613" s="4">
        <f t="shared" si="194"/>
        <v>63</v>
      </c>
      <c r="T613" s="4">
        <f t="shared" si="195"/>
        <v>1</v>
      </c>
      <c r="U613" s="4">
        <f t="shared" si="196"/>
        <v>18</v>
      </c>
      <c r="V613" s="8">
        <f t="shared" si="197"/>
        <v>6</v>
      </c>
      <c r="W613" s="8">
        <f t="shared" si="198"/>
        <v>4</v>
      </c>
      <c r="X613">
        <f t="shared" si="199"/>
        <v>1</v>
      </c>
    </row>
    <row r="614" spans="1:24" x14ac:dyDescent="0.25">
      <c r="A614" s="4" t="s">
        <v>640</v>
      </c>
      <c r="B614" t="s">
        <v>3</v>
      </c>
      <c r="C614" t="s">
        <v>6</v>
      </c>
      <c r="D614" s="3">
        <f t="shared" si="180"/>
        <v>4</v>
      </c>
      <c r="E614" s="4">
        <f t="shared" si="181"/>
        <v>24</v>
      </c>
      <c r="F614" s="4">
        <f t="shared" si="182"/>
        <v>3</v>
      </c>
      <c r="G614" s="3">
        <f>IF(E614&gt;=20,2000,1900) + D614</f>
        <v>2004</v>
      </c>
      <c r="H614">
        <f t="shared" si="183"/>
        <v>4</v>
      </c>
      <c r="I614" s="4">
        <f t="shared" si="184"/>
        <v>3</v>
      </c>
      <c r="J614">
        <f t="shared" si="185"/>
        <v>20042403</v>
      </c>
      <c r="K614" t="str">
        <f t="shared" si="186"/>
        <v>03.24.2004</v>
      </c>
      <c r="L614" s="4">
        <f t="shared" si="187"/>
        <v>0</v>
      </c>
      <c r="M614" s="4">
        <f t="shared" si="188"/>
        <v>12</v>
      </c>
      <c r="N614" s="4">
        <f t="shared" si="189"/>
        <v>14</v>
      </c>
      <c r="O614" s="4">
        <f t="shared" si="190"/>
        <v>36</v>
      </c>
      <c r="P614" s="4">
        <f t="shared" si="191"/>
        <v>0</v>
      </c>
      <c r="Q614" s="4">
        <f t="shared" si="192"/>
        <v>9</v>
      </c>
      <c r="R614" s="4">
        <f t="shared" si="193"/>
        <v>42</v>
      </c>
      <c r="S614" s="4">
        <f t="shared" si="194"/>
        <v>27</v>
      </c>
      <c r="T614" s="4">
        <f t="shared" si="195"/>
        <v>6</v>
      </c>
      <c r="U614" s="4">
        <f t="shared" si="196"/>
        <v>12</v>
      </c>
      <c r="V614" s="8">
        <f t="shared" si="197"/>
        <v>8</v>
      </c>
      <c r="W614" s="8">
        <f t="shared" si="198"/>
        <v>2</v>
      </c>
      <c r="X614">
        <f t="shared" si="199"/>
        <v>1</v>
      </c>
    </row>
    <row r="615" spans="1:24" x14ac:dyDescent="0.25">
      <c r="A615" s="4" t="s">
        <v>641</v>
      </c>
      <c r="B615" t="s">
        <v>5</v>
      </c>
      <c r="C615" t="s">
        <v>4</v>
      </c>
      <c r="D615" s="3">
        <f t="shared" si="180"/>
        <v>3</v>
      </c>
      <c r="E615" s="4">
        <f t="shared" si="181"/>
        <v>29</v>
      </c>
      <c r="F615" s="4">
        <f t="shared" si="182"/>
        <v>12</v>
      </c>
      <c r="G615" s="3">
        <f>IF(E615&gt;=20,2000,1900) + D615</f>
        <v>2003</v>
      </c>
      <c r="H615">
        <f t="shared" si="183"/>
        <v>9</v>
      </c>
      <c r="I615" s="4">
        <f t="shared" si="184"/>
        <v>12</v>
      </c>
      <c r="J615">
        <f t="shared" si="185"/>
        <v>20032912</v>
      </c>
      <c r="K615" t="str">
        <f t="shared" si="186"/>
        <v>12.29.2003</v>
      </c>
      <c r="L615" s="4">
        <f t="shared" si="187"/>
        <v>0</v>
      </c>
      <c r="M615" s="4">
        <f t="shared" si="188"/>
        <v>9</v>
      </c>
      <c r="N615" s="4">
        <f t="shared" si="189"/>
        <v>14</v>
      </c>
      <c r="O615" s="4">
        <f t="shared" si="190"/>
        <v>81</v>
      </c>
      <c r="P615" s="4">
        <f t="shared" si="191"/>
        <v>1</v>
      </c>
      <c r="Q615" s="4">
        <f t="shared" si="192"/>
        <v>6</v>
      </c>
      <c r="R615" s="4">
        <f t="shared" si="193"/>
        <v>49</v>
      </c>
      <c r="S615" s="4">
        <f t="shared" si="194"/>
        <v>18</v>
      </c>
      <c r="T615" s="4">
        <f t="shared" si="195"/>
        <v>0</v>
      </c>
      <c r="U615" s="4">
        <f t="shared" si="196"/>
        <v>0</v>
      </c>
      <c r="V615" s="8">
        <f t="shared" si="197"/>
        <v>8</v>
      </c>
      <c r="W615" s="8">
        <f t="shared" si="198"/>
        <v>2</v>
      </c>
      <c r="X615">
        <f t="shared" si="199"/>
        <v>1</v>
      </c>
    </row>
    <row r="616" spans="1:24" x14ac:dyDescent="0.25">
      <c r="A616" s="4" t="s">
        <v>642</v>
      </c>
      <c r="B616" t="s">
        <v>10</v>
      </c>
      <c r="C616" t="s">
        <v>6</v>
      </c>
      <c r="D616" s="3">
        <f t="shared" si="180"/>
        <v>22</v>
      </c>
      <c r="E616" s="4">
        <f t="shared" si="181"/>
        <v>28</v>
      </c>
      <c r="F616" s="4">
        <f t="shared" si="182"/>
        <v>15</v>
      </c>
      <c r="G616" s="3">
        <f>IF(E616&gt;=20,2000,1900) + D616</f>
        <v>2022</v>
      </c>
      <c r="H616">
        <f t="shared" si="183"/>
        <v>8</v>
      </c>
      <c r="I616" s="4">
        <f t="shared" si="184"/>
        <v>15</v>
      </c>
      <c r="J616">
        <f t="shared" si="185"/>
        <v>20222815</v>
      </c>
      <c r="K616" t="str">
        <f t="shared" si="186"/>
        <v>15.28.2022</v>
      </c>
      <c r="L616" s="4">
        <f t="shared" si="187"/>
        <v>2</v>
      </c>
      <c r="M616" s="4">
        <f t="shared" si="188"/>
        <v>6</v>
      </c>
      <c r="N616" s="4">
        <f t="shared" si="189"/>
        <v>14</v>
      </c>
      <c r="O616" s="4">
        <f t="shared" si="190"/>
        <v>72</v>
      </c>
      <c r="P616" s="4">
        <f t="shared" si="191"/>
        <v>1</v>
      </c>
      <c r="Q616" s="4">
        <f t="shared" si="192"/>
        <v>15</v>
      </c>
      <c r="R616" s="4">
        <f t="shared" si="193"/>
        <v>0</v>
      </c>
      <c r="S616" s="4">
        <f t="shared" si="194"/>
        <v>63</v>
      </c>
      <c r="T616" s="4">
        <f t="shared" si="195"/>
        <v>5</v>
      </c>
      <c r="U616" s="4">
        <f t="shared" si="196"/>
        <v>3</v>
      </c>
      <c r="V616" s="8">
        <f t="shared" si="197"/>
        <v>1</v>
      </c>
      <c r="W616" s="8">
        <f t="shared" si="198"/>
        <v>9</v>
      </c>
      <c r="X616">
        <f t="shared" si="199"/>
        <v>1</v>
      </c>
    </row>
    <row r="617" spans="1:24" x14ac:dyDescent="0.25">
      <c r="A617" s="4" t="s">
        <v>643</v>
      </c>
      <c r="B617" t="s">
        <v>16</v>
      </c>
      <c r="C617" t="s">
        <v>6</v>
      </c>
      <c r="D617" s="3">
        <f t="shared" si="180"/>
        <v>2</v>
      </c>
      <c r="E617" s="4">
        <f t="shared" si="181"/>
        <v>26</v>
      </c>
      <c r="F617" s="4">
        <f t="shared" si="182"/>
        <v>24</v>
      </c>
      <c r="G617" s="3">
        <f>IF(E617&gt;=20,2000,1900) + D617</f>
        <v>2002</v>
      </c>
      <c r="H617">
        <f t="shared" si="183"/>
        <v>6</v>
      </c>
      <c r="I617" s="4">
        <f t="shared" si="184"/>
        <v>24</v>
      </c>
      <c r="J617">
        <f t="shared" si="185"/>
        <v>20022624</v>
      </c>
      <c r="K617" t="str">
        <f t="shared" si="186"/>
        <v>24.26.2002</v>
      </c>
      <c r="L617" s="4">
        <f t="shared" si="187"/>
        <v>0</v>
      </c>
      <c r="M617" s="4">
        <f t="shared" si="188"/>
        <v>6</v>
      </c>
      <c r="N617" s="4">
        <f t="shared" si="189"/>
        <v>14</v>
      </c>
      <c r="O617" s="4">
        <f t="shared" si="190"/>
        <v>54</v>
      </c>
      <c r="P617" s="4">
        <f t="shared" si="191"/>
        <v>2</v>
      </c>
      <c r="Q617" s="4">
        <f t="shared" si="192"/>
        <v>12</v>
      </c>
      <c r="R617" s="4">
        <f t="shared" si="193"/>
        <v>56</v>
      </c>
      <c r="S617" s="4">
        <f t="shared" si="194"/>
        <v>18</v>
      </c>
      <c r="T617" s="4">
        <f t="shared" si="195"/>
        <v>8</v>
      </c>
      <c r="U617" s="4">
        <f t="shared" si="196"/>
        <v>0</v>
      </c>
      <c r="V617" s="8">
        <f t="shared" si="197"/>
        <v>0</v>
      </c>
      <c r="W617" s="8">
        <f t="shared" si="198"/>
        <v>0</v>
      </c>
      <c r="X617">
        <f t="shared" si="199"/>
        <v>1</v>
      </c>
    </row>
    <row r="618" spans="1:24" x14ac:dyDescent="0.25">
      <c r="A618" s="4" t="s">
        <v>644</v>
      </c>
      <c r="B618" t="s">
        <v>5</v>
      </c>
      <c r="C618" t="s">
        <v>6</v>
      </c>
      <c r="D618" s="3">
        <f t="shared" si="180"/>
        <v>8</v>
      </c>
      <c r="E618" s="4">
        <f t="shared" si="181"/>
        <v>21</v>
      </c>
      <c r="F618" s="4">
        <f t="shared" si="182"/>
        <v>10</v>
      </c>
      <c r="G618" s="3">
        <f>IF(E618&gt;=20,2000,1900) + D618</f>
        <v>2008</v>
      </c>
      <c r="H618">
        <f t="shared" si="183"/>
        <v>1</v>
      </c>
      <c r="I618" s="4">
        <f t="shared" si="184"/>
        <v>10</v>
      </c>
      <c r="J618">
        <f t="shared" si="185"/>
        <v>20082110</v>
      </c>
      <c r="K618" t="str">
        <f t="shared" si="186"/>
        <v>10.21.2008</v>
      </c>
      <c r="L618" s="4">
        <f t="shared" si="187"/>
        <v>0</v>
      </c>
      <c r="M618" s="4">
        <f t="shared" si="188"/>
        <v>24</v>
      </c>
      <c r="N618" s="4">
        <f t="shared" si="189"/>
        <v>14</v>
      </c>
      <c r="O618" s="4">
        <f t="shared" si="190"/>
        <v>9</v>
      </c>
      <c r="P618" s="4">
        <f t="shared" si="191"/>
        <v>1</v>
      </c>
      <c r="Q618" s="4">
        <f t="shared" si="192"/>
        <v>0</v>
      </c>
      <c r="R618" s="4">
        <f t="shared" si="193"/>
        <v>0</v>
      </c>
      <c r="S618" s="4">
        <f t="shared" si="194"/>
        <v>36</v>
      </c>
      <c r="T618" s="4">
        <f t="shared" si="195"/>
        <v>2</v>
      </c>
      <c r="U618" s="4">
        <f t="shared" si="196"/>
        <v>21</v>
      </c>
      <c r="V618" s="8">
        <f t="shared" si="197"/>
        <v>7</v>
      </c>
      <c r="W618" s="8">
        <f t="shared" si="198"/>
        <v>3</v>
      </c>
      <c r="X618">
        <f t="shared" si="199"/>
        <v>1</v>
      </c>
    </row>
    <row r="619" spans="1:24" x14ac:dyDescent="0.25">
      <c r="A619" s="4" t="s">
        <v>645</v>
      </c>
      <c r="B619" t="s">
        <v>13</v>
      </c>
      <c r="C619" t="s">
        <v>6</v>
      </c>
      <c r="D619" s="3">
        <f t="shared" si="180"/>
        <v>21</v>
      </c>
      <c r="E619" s="4">
        <f t="shared" si="181"/>
        <v>21</v>
      </c>
      <c r="F619" s="4">
        <f t="shared" si="182"/>
        <v>9</v>
      </c>
      <c r="G619" s="3">
        <f>IF(E619&gt;=20,2000,1900) + D619</f>
        <v>2021</v>
      </c>
      <c r="H619">
        <f t="shared" si="183"/>
        <v>1</v>
      </c>
      <c r="I619" s="4">
        <f t="shared" si="184"/>
        <v>9</v>
      </c>
      <c r="J619">
        <f t="shared" si="185"/>
        <v>20212109</v>
      </c>
      <c r="K619" t="str">
        <f t="shared" si="186"/>
        <v>09.21.2021</v>
      </c>
      <c r="L619" s="4">
        <f t="shared" si="187"/>
        <v>2</v>
      </c>
      <c r="M619" s="4">
        <f t="shared" si="188"/>
        <v>3</v>
      </c>
      <c r="N619" s="4">
        <f t="shared" si="189"/>
        <v>14</v>
      </c>
      <c r="O619" s="4">
        <f t="shared" si="190"/>
        <v>9</v>
      </c>
      <c r="P619" s="4">
        <f t="shared" si="191"/>
        <v>0</v>
      </c>
      <c r="Q619" s="4">
        <f t="shared" si="192"/>
        <v>27</v>
      </c>
      <c r="R619" s="4">
        <f t="shared" si="193"/>
        <v>28</v>
      </c>
      <c r="S619" s="4">
        <f t="shared" si="194"/>
        <v>72</v>
      </c>
      <c r="T619" s="4">
        <f t="shared" si="195"/>
        <v>1</v>
      </c>
      <c r="U619" s="4">
        <f t="shared" si="196"/>
        <v>24</v>
      </c>
      <c r="V619" s="8">
        <f t="shared" si="197"/>
        <v>0</v>
      </c>
      <c r="W619" s="8">
        <f t="shared" si="198"/>
        <v>0</v>
      </c>
      <c r="X619">
        <f t="shared" si="199"/>
        <v>1</v>
      </c>
    </row>
    <row r="620" spans="1:24" x14ac:dyDescent="0.25">
      <c r="A620" s="4" t="s">
        <v>646</v>
      </c>
      <c r="B620" t="s">
        <v>17</v>
      </c>
      <c r="C620" t="s">
        <v>4</v>
      </c>
      <c r="D620" s="3">
        <f t="shared" si="180"/>
        <v>20</v>
      </c>
      <c r="E620" s="4">
        <f t="shared" si="181"/>
        <v>24</v>
      </c>
      <c r="F620" s="4">
        <f t="shared" si="182"/>
        <v>6</v>
      </c>
      <c r="G620" s="3">
        <f>IF(E620&gt;=20,2000,1900) + D620</f>
        <v>2020</v>
      </c>
      <c r="H620">
        <f t="shared" si="183"/>
        <v>4</v>
      </c>
      <c r="I620" s="4">
        <f t="shared" si="184"/>
        <v>6</v>
      </c>
      <c r="J620">
        <f t="shared" si="185"/>
        <v>20202406</v>
      </c>
      <c r="K620" t="str">
        <f t="shared" si="186"/>
        <v>06.24.2020</v>
      </c>
      <c r="L620" s="4">
        <f t="shared" si="187"/>
        <v>2</v>
      </c>
      <c r="M620" s="4">
        <f t="shared" si="188"/>
        <v>0</v>
      </c>
      <c r="N620" s="4">
        <f t="shared" si="189"/>
        <v>14</v>
      </c>
      <c r="O620" s="4">
        <f t="shared" si="190"/>
        <v>36</v>
      </c>
      <c r="P620" s="4">
        <f t="shared" si="191"/>
        <v>0</v>
      </c>
      <c r="Q620" s="4">
        <f t="shared" si="192"/>
        <v>18</v>
      </c>
      <c r="R620" s="4">
        <f t="shared" si="193"/>
        <v>14</v>
      </c>
      <c r="S620" s="4">
        <f t="shared" si="194"/>
        <v>45</v>
      </c>
      <c r="T620" s="4">
        <f t="shared" si="195"/>
        <v>9</v>
      </c>
      <c r="U620" s="4">
        <f t="shared" si="196"/>
        <v>21</v>
      </c>
      <c r="V620" s="8">
        <f t="shared" si="197"/>
        <v>9</v>
      </c>
      <c r="W620" s="8">
        <f t="shared" si="198"/>
        <v>1</v>
      </c>
      <c r="X620">
        <f t="shared" si="199"/>
        <v>1</v>
      </c>
    </row>
    <row r="621" spans="1:24" x14ac:dyDescent="0.25">
      <c r="A621" s="4" t="s">
        <v>647</v>
      </c>
      <c r="B621" t="s">
        <v>18</v>
      </c>
      <c r="C621" t="s">
        <v>4</v>
      </c>
      <c r="D621" s="3">
        <f t="shared" si="180"/>
        <v>4</v>
      </c>
      <c r="E621" s="4">
        <f t="shared" si="181"/>
        <v>30</v>
      </c>
      <c r="F621" s="4">
        <f t="shared" si="182"/>
        <v>23</v>
      </c>
      <c r="G621" s="3">
        <f>IF(E621&gt;=20,2000,1900) + D621</f>
        <v>2004</v>
      </c>
      <c r="H621">
        <f t="shared" si="183"/>
        <v>10</v>
      </c>
      <c r="I621" s="4">
        <f t="shared" si="184"/>
        <v>23</v>
      </c>
      <c r="J621">
        <f t="shared" si="185"/>
        <v>20043023</v>
      </c>
      <c r="K621" t="str">
        <f t="shared" si="186"/>
        <v>23.30.2004</v>
      </c>
      <c r="L621" s="4">
        <f t="shared" si="187"/>
        <v>0</v>
      </c>
      <c r="M621" s="4">
        <f t="shared" si="188"/>
        <v>12</v>
      </c>
      <c r="N621" s="4">
        <f t="shared" si="189"/>
        <v>21</v>
      </c>
      <c r="O621" s="4">
        <f t="shared" si="190"/>
        <v>0</v>
      </c>
      <c r="P621" s="4">
        <f t="shared" si="191"/>
        <v>2</v>
      </c>
      <c r="Q621" s="4">
        <f t="shared" si="192"/>
        <v>9</v>
      </c>
      <c r="R621" s="4">
        <f t="shared" si="193"/>
        <v>0</v>
      </c>
      <c r="S621" s="4">
        <f t="shared" si="194"/>
        <v>18</v>
      </c>
      <c r="T621" s="4">
        <f t="shared" si="195"/>
        <v>6</v>
      </c>
      <c r="U621" s="4">
        <f t="shared" si="196"/>
        <v>12</v>
      </c>
      <c r="V621" s="8">
        <f t="shared" si="197"/>
        <v>0</v>
      </c>
      <c r="W621" s="8">
        <f t="shared" si="198"/>
        <v>0</v>
      </c>
      <c r="X621">
        <f t="shared" si="199"/>
        <v>1</v>
      </c>
    </row>
    <row r="622" spans="1:24" x14ac:dyDescent="0.25">
      <c r="A622" s="4" t="s">
        <v>648</v>
      </c>
      <c r="B622" t="s">
        <v>19</v>
      </c>
      <c r="C622" t="s">
        <v>6</v>
      </c>
      <c r="D622" s="3">
        <f t="shared" si="180"/>
        <v>21</v>
      </c>
      <c r="E622" s="4">
        <f t="shared" si="181"/>
        <v>21</v>
      </c>
      <c r="F622" s="4">
        <f t="shared" si="182"/>
        <v>31</v>
      </c>
      <c r="G622" s="3">
        <f>IF(E622&gt;=20,2000,1900) + D622</f>
        <v>2021</v>
      </c>
      <c r="H622">
        <f t="shared" si="183"/>
        <v>1</v>
      </c>
      <c r="I622" s="4">
        <f t="shared" si="184"/>
        <v>31</v>
      </c>
      <c r="J622">
        <f t="shared" si="185"/>
        <v>20212131</v>
      </c>
      <c r="K622" t="str">
        <f t="shared" si="186"/>
        <v>31.21.2021</v>
      </c>
      <c r="L622" s="4">
        <f t="shared" si="187"/>
        <v>2</v>
      </c>
      <c r="M622" s="4">
        <f t="shared" si="188"/>
        <v>3</v>
      </c>
      <c r="N622" s="4">
        <f t="shared" si="189"/>
        <v>14</v>
      </c>
      <c r="O622" s="4">
        <f t="shared" si="190"/>
        <v>9</v>
      </c>
      <c r="P622" s="4">
        <f t="shared" si="191"/>
        <v>3</v>
      </c>
      <c r="Q622" s="4">
        <f t="shared" si="192"/>
        <v>3</v>
      </c>
      <c r="R622" s="4">
        <f t="shared" si="193"/>
        <v>63</v>
      </c>
      <c r="S622" s="4">
        <f t="shared" si="194"/>
        <v>54</v>
      </c>
      <c r="T622" s="4">
        <f t="shared" si="195"/>
        <v>3</v>
      </c>
      <c r="U622" s="4">
        <f t="shared" si="196"/>
        <v>3</v>
      </c>
      <c r="V622" s="8">
        <f t="shared" si="197"/>
        <v>7</v>
      </c>
      <c r="W622" s="8">
        <f t="shared" si="198"/>
        <v>3</v>
      </c>
      <c r="X622">
        <f t="shared" si="199"/>
        <v>1</v>
      </c>
    </row>
    <row r="623" spans="1:24" x14ac:dyDescent="0.25">
      <c r="A623" s="4" t="s">
        <v>649</v>
      </c>
      <c r="B623" t="s">
        <v>7</v>
      </c>
      <c r="C623" t="s">
        <v>6</v>
      </c>
      <c r="D623" s="3">
        <f t="shared" si="180"/>
        <v>12</v>
      </c>
      <c r="E623" s="4">
        <f t="shared" si="181"/>
        <v>22</v>
      </c>
      <c r="F623" s="4">
        <f t="shared" si="182"/>
        <v>16</v>
      </c>
      <c r="G623" s="3">
        <f>IF(E623&gt;=20,2000,1900) + D623</f>
        <v>2012</v>
      </c>
      <c r="H623">
        <f t="shared" si="183"/>
        <v>2</v>
      </c>
      <c r="I623" s="4">
        <f t="shared" si="184"/>
        <v>16</v>
      </c>
      <c r="J623">
        <f t="shared" si="185"/>
        <v>20122216</v>
      </c>
      <c r="K623" t="str">
        <f t="shared" si="186"/>
        <v>16.22.2012</v>
      </c>
      <c r="L623" s="4">
        <f t="shared" si="187"/>
        <v>1</v>
      </c>
      <c r="M623" s="4">
        <f t="shared" si="188"/>
        <v>6</v>
      </c>
      <c r="N623" s="4">
        <f t="shared" si="189"/>
        <v>14</v>
      </c>
      <c r="O623" s="4">
        <f t="shared" si="190"/>
        <v>18</v>
      </c>
      <c r="P623" s="4">
        <f t="shared" si="191"/>
        <v>1</v>
      </c>
      <c r="Q623" s="4">
        <f t="shared" si="192"/>
        <v>18</v>
      </c>
      <c r="R623" s="4">
        <f t="shared" si="193"/>
        <v>56</v>
      </c>
      <c r="S623" s="4">
        <f t="shared" si="194"/>
        <v>72</v>
      </c>
      <c r="T623" s="4">
        <f t="shared" si="195"/>
        <v>2</v>
      </c>
      <c r="U623" s="4">
        <f t="shared" si="196"/>
        <v>0</v>
      </c>
      <c r="V623" s="8">
        <f t="shared" si="197"/>
        <v>8</v>
      </c>
      <c r="W623" s="8">
        <f t="shared" si="198"/>
        <v>2</v>
      </c>
      <c r="X623">
        <f t="shared" si="199"/>
        <v>1</v>
      </c>
    </row>
    <row r="624" spans="1:24" x14ac:dyDescent="0.25">
      <c r="A624" s="4" t="s">
        <v>650</v>
      </c>
      <c r="B624" t="s">
        <v>17</v>
      </c>
      <c r="C624" t="s">
        <v>6</v>
      </c>
      <c r="D624" s="3">
        <f t="shared" si="180"/>
        <v>0</v>
      </c>
      <c r="E624" s="4">
        <f t="shared" si="181"/>
        <v>29</v>
      </c>
      <c r="F624" s="4">
        <f t="shared" si="182"/>
        <v>27</v>
      </c>
      <c r="G624" s="3">
        <f>IF(E624&gt;=20,2000,1900) + D624</f>
        <v>2000</v>
      </c>
      <c r="H624">
        <f t="shared" si="183"/>
        <v>9</v>
      </c>
      <c r="I624" s="4">
        <f t="shared" si="184"/>
        <v>27</v>
      </c>
      <c r="J624">
        <f t="shared" si="185"/>
        <v>20002927</v>
      </c>
      <c r="K624" t="str">
        <f t="shared" si="186"/>
        <v>27.29.2000</v>
      </c>
      <c r="L624" s="4">
        <f t="shared" si="187"/>
        <v>0</v>
      </c>
      <c r="M624" s="4">
        <f t="shared" si="188"/>
        <v>0</v>
      </c>
      <c r="N624" s="4">
        <f t="shared" si="189"/>
        <v>14</v>
      </c>
      <c r="O624" s="4">
        <f t="shared" si="190"/>
        <v>81</v>
      </c>
      <c r="P624" s="4">
        <f t="shared" si="191"/>
        <v>2</v>
      </c>
      <c r="Q624" s="4">
        <f t="shared" si="192"/>
        <v>21</v>
      </c>
      <c r="R624" s="4">
        <f t="shared" si="193"/>
        <v>42</v>
      </c>
      <c r="S624" s="4">
        <f t="shared" si="194"/>
        <v>63</v>
      </c>
      <c r="T624" s="4">
        <f t="shared" si="195"/>
        <v>3</v>
      </c>
      <c r="U624" s="4">
        <f t="shared" si="196"/>
        <v>27</v>
      </c>
      <c r="V624" s="8">
        <f t="shared" si="197"/>
        <v>3</v>
      </c>
      <c r="W624" s="8">
        <f t="shared" si="198"/>
        <v>7</v>
      </c>
      <c r="X624">
        <f t="shared" si="199"/>
        <v>1</v>
      </c>
    </row>
    <row r="625" spans="1:24" x14ac:dyDescent="0.25">
      <c r="A625" s="4" t="s">
        <v>651</v>
      </c>
      <c r="B625" t="s">
        <v>15</v>
      </c>
      <c r="C625" t="s">
        <v>4</v>
      </c>
      <c r="D625" s="3">
        <f t="shared" si="180"/>
        <v>9</v>
      </c>
      <c r="E625" s="4">
        <f t="shared" si="181"/>
        <v>28</v>
      </c>
      <c r="F625" s="4">
        <f t="shared" si="182"/>
        <v>8</v>
      </c>
      <c r="G625" s="3">
        <f>IF(E625&gt;=20,2000,1900) + D625</f>
        <v>2009</v>
      </c>
      <c r="H625">
        <f t="shared" si="183"/>
        <v>8</v>
      </c>
      <c r="I625" s="4">
        <f t="shared" si="184"/>
        <v>8</v>
      </c>
      <c r="J625">
        <f t="shared" si="185"/>
        <v>20092808</v>
      </c>
      <c r="K625" t="str">
        <f t="shared" si="186"/>
        <v>08.28.2009</v>
      </c>
      <c r="L625" s="4">
        <f t="shared" si="187"/>
        <v>0</v>
      </c>
      <c r="M625" s="4">
        <f t="shared" si="188"/>
        <v>27</v>
      </c>
      <c r="N625" s="4">
        <f t="shared" si="189"/>
        <v>14</v>
      </c>
      <c r="O625" s="4">
        <f t="shared" si="190"/>
        <v>72</v>
      </c>
      <c r="P625" s="4">
        <f t="shared" si="191"/>
        <v>0</v>
      </c>
      <c r="Q625" s="4">
        <f t="shared" si="192"/>
        <v>24</v>
      </c>
      <c r="R625" s="4">
        <f t="shared" si="193"/>
        <v>21</v>
      </c>
      <c r="S625" s="4">
        <f t="shared" si="194"/>
        <v>36</v>
      </c>
      <c r="T625" s="4">
        <f t="shared" si="195"/>
        <v>7</v>
      </c>
      <c r="U625" s="4">
        <f t="shared" si="196"/>
        <v>18</v>
      </c>
      <c r="V625" s="8">
        <f t="shared" si="197"/>
        <v>9</v>
      </c>
      <c r="W625" s="8">
        <f t="shared" si="198"/>
        <v>1</v>
      </c>
      <c r="X625">
        <f t="shared" si="199"/>
        <v>1</v>
      </c>
    </row>
    <row r="626" spans="1:24" x14ac:dyDescent="0.25">
      <c r="A626" s="4" t="s">
        <v>652</v>
      </c>
      <c r="B626" t="s">
        <v>12</v>
      </c>
      <c r="C626" t="s">
        <v>4</v>
      </c>
      <c r="D626" s="3">
        <f t="shared" si="180"/>
        <v>7</v>
      </c>
      <c r="E626" s="4">
        <f t="shared" si="181"/>
        <v>23</v>
      </c>
      <c r="F626" s="4">
        <f t="shared" si="182"/>
        <v>1</v>
      </c>
      <c r="G626" s="3">
        <f>IF(E626&gt;=20,2000,1900) + D626</f>
        <v>2007</v>
      </c>
      <c r="H626">
        <f t="shared" si="183"/>
        <v>3</v>
      </c>
      <c r="I626" s="4">
        <f t="shared" si="184"/>
        <v>1</v>
      </c>
      <c r="J626">
        <f t="shared" si="185"/>
        <v>20072301</v>
      </c>
      <c r="K626" t="str">
        <f t="shared" si="186"/>
        <v>01.23.2007</v>
      </c>
      <c r="L626" s="4">
        <f t="shared" si="187"/>
        <v>0</v>
      </c>
      <c r="M626" s="4">
        <f t="shared" si="188"/>
        <v>21</v>
      </c>
      <c r="N626" s="4">
        <f t="shared" si="189"/>
        <v>14</v>
      </c>
      <c r="O626" s="4">
        <f t="shared" si="190"/>
        <v>27</v>
      </c>
      <c r="P626" s="4">
        <f t="shared" si="191"/>
        <v>0</v>
      </c>
      <c r="Q626" s="4">
        <f t="shared" si="192"/>
        <v>3</v>
      </c>
      <c r="R626" s="4">
        <f t="shared" si="193"/>
        <v>28</v>
      </c>
      <c r="S626" s="4">
        <f t="shared" si="194"/>
        <v>9</v>
      </c>
      <c r="T626" s="4">
        <f t="shared" si="195"/>
        <v>8</v>
      </c>
      <c r="U626" s="4">
        <f t="shared" si="196"/>
        <v>0</v>
      </c>
      <c r="V626" s="8">
        <f t="shared" si="197"/>
        <v>0</v>
      </c>
      <c r="W626" s="8">
        <f t="shared" si="198"/>
        <v>0</v>
      </c>
      <c r="X626">
        <f t="shared" si="199"/>
        <v>1</v>
      </c>
    </row>
    <row r="627" spans="1:24" x14ac:dyDescent="0.25">
      <c r="A627" s="4" t="s">
        <v>653</v>
      </c>
      <c r="B627" t="s">
        <v>12</v>
      </c>
      <c r="C627" t="s">
        <v>6</v>
      </c>
      <c r="D627" s="3">
        <f t="shared" si="180"/>
        <v>13</v>
      </c>
      <c r="E627" s="4">
        <f t="shared" si="181"/>
        <v>24</v>
      </c>
      <c r="F627" s="4">
        <f t="shared" si="182"/>
        <v>27</v>
      </c>
      <c r="G627" s="3">
        <f>IF(E627&gt;=20,2000,1900) + D627</f>
        <v>2013</v>
      </c>
      <c r="H627">
        <f t="shared" si="183"/>
        <v>4</v>
      </c>
      <c r="I627" s="4">
        <f t="shared" si="184"/>
        <v>27</v>
      </c>
      <c r="J627">
        <f t="shared" si="185"/>
        <v>20132427</v>
      </c>
      <c r="K627" t="str">
        <f t="shared" si="186"/>
        <v>27.24.2013</v>
      </c>
      <c r="L627" s="4">
        <f t="shared" si="187"/>
        <v>1</v>
      </c>
      <c r="M627" s="4">
        <f t="shared" si="188"/>
        <v>9</v>
      </c>
      <c r="N627" s="4">
        <f t="shared" si="189"/>
        <v>14</v>
      </c>
      <c r="O627" s="4">
        <f t="shared" si="190"/>
        <v>36</v>
      </c>
      <c r="P627" s="4">
        <f t="shared" si="191"/>
        <v>2</v>
      </c>
      <c r="Q627" s="4">
        <f t="shared" si="192"/>
        <v>21</v>
      </c>
      <c r="R627" s="4">
        <f t="shared" si="193"/>
        <v>56</v>
      </c>
      <c r="S627" s="4">
        <f t="shared" si="194"/>
        <v>27</v>
      </c>
      <c r="T627" s="4">
        <f t="shared" si="195"/>
        <v>9</v>
      </c>
      <c r="U627" s="4">
        <f t="shared" si="196"/>
        <v>9</v>
      </c>
      <c r="V627" s="8">
        <f t="shared" si="197"/>
        <v>4</v>
      </c>
      <c r="W627" s="8">
        <f t="shared" si="198"/>
        <v>6</v>
      </c>
      <c r="X627">
        <f t="shared" si="199"/>
        <v>1</v>
      </c>
    </row>
    <row r="628" spans="1:24" x14ac:dyDescent="0.25">
      <c r="A628" s="4" t="s">
        <v>654</v>
      </c>
      <c r="B628" t="s">
        <v>13</v>
      </c>
      <c r="C628" t="s">
        <v>6</v>
      </c>
      <c r="D628" s="3">
        <f t="shared" si="180"/>
        <v>19</v>
      </c>
      <c r="E628" s="4">
        <f t="shared" si="181"/>
        <v>30</v>
      </c>
      <c r="F628" s="4">
        <f t="shared" si="182"/>
        <v>16</v>
      </c>
      <c r="G628" s="3">
        <f>IF(E628&gt;=20,2000,1900) + D628</f>
        <v>2019</v>
      </c>
      <c r="H628">
        <f t="shared" si="183"/>
        <v>10</v>
      </c>
      <c r="I628" s="4">
        <f t="shared" si="184"/>
        <v>16</v>
      </c>
      <c r="J628">
        <f t="shared" si="185"/>
        <v>20193016</v>
      </c>
      <c r="K628" t="str">
        <f t="shared" si="186"/>
        <v>16.30.2019</v>
      </c>
      <c r="L628" s="4">
        <f t="shared" si="187"/>
        <v>1</v>
      </c>
      <c r="M628" s="4">
        <f t="shared" si="188"/>
        <v>27</v>
      </c>
      <c r="N628" s="4">
        <f t="shared" si="189"/>
        <v>21</v>
      </c>
      <c r="O628" s="4">
        <f t="shared" si="190"/>
        <v>0</v>
      </c>
      <c r="P628" s="4">
        <f t="shared" si="191"/>
        <v>1</v>
      </c>
      <c r="Q628" s="4">
        <f t="shared" si="192"/>
        <v>18</v>
      </c>
      <c r="R628" s="4">
        <f t="shared" si="193"/>
        <v>7</v>
      </c>
      <c r="S628" s="4">
        <f t="shared" si="194"/>
        <v>45</v>
      </c>
      <c r="T628" s="4">
        <f t="shared" si="195"/>
        <v>4</v>
      </c>
      <c r="U628" s="4">
        <f t="shared" si="196"/>
        <v>0</v>
      </c>
      <c r="V628" s="8">
        <f t="shared" si="197"/>
        <v>4</v>
      </c>
      <c r="W628" s="8">
        <f t="shared" si="198"/>
        <v>6</v>
      </c>
      <c r="X628">
        <f t="shared" si="199"/>
        <v>1</v>
      </c>
    </row>
    <row r="629" spans="1:24" x14ac:dyDescent="0.25">
      <c r="A629" s="4" t="s">
        <v>655</v>
      </c>
      <c r="B629" t="s">
        <v>3</v>
      </c>
      <c r="C629" t="s">
        <v>4</v>
      </c>
      <c r="D629" s="3">
        <f t="shared" si="180"/>
        <v>21</v>
      </c>
      <c r="E629" s="4">
        <f t="shared" si="181"/>
        <v>32</v>
      </c>
      <c r="F629" s="4">
        <f t="shared" si="182"/>
        <v>22</v>
      </c>
      <c r="G629" s="3">
        <f>IF(E629&gt;=20,2000,1900) + D629</f>
        <v>2021</v>
      </c>
      <c r="H629">
        <f t="shared" si="183"/>
        <v>12</v>
      </c>
      <c r="I629" s="4">
        <f t="shared" si="184"/>
        <v>22</v>
      </c>
      <c r="J629">
        <f t="shared" si="185"/>
        <v>20213222</v>
      </c>
      <c r="K629" t="str">
        <f t="shared" si="186"/>
        <v>22.32.2021</v>
      </c>
      <c r="L629" s="4">
        <f t="shared" si="187"/>
        <v>2</v>
      </c>
      <c r="M629" s="4">
        <f t="shared" si="188"/>
        <v>3</v>
      </c>
      <c r="N629" s="4">
        <f t="shared" si="189"/>
        <v>21</v>
      </c>
      <c r="O629" s="4">
        <f t="shared" si="190"/>
        <v>18</v>
      </c>
      <c r="P629" s="4">
        <f t="shared" si="191"/>
        <v>2</v>
      </c>
      <c r="Q629" s="4">
        <f t="shared" si="192"/>
        <v>6</v>
      </c>
      <c r="R629" s="4">
        <f t="shared" si="193"/>
        <v>35</v>
      </c>
      <c r="S629" s="4">
        <f t="shared" si="194"/>
        <v>81</v>
      </c>
      <c r="T629" s="4">
        <f t="shared" si="195"/>
        <v>1</v>
      </c>
      <c r="U629" s="4">
        <f t="shared" si="196"/>
        <v>3</v>
      </c>
      <c r="V629" s="8">
        <f t="shared" si="197"/>
        <v>2</v>
      </c>
      <c r="W629" s="8">
        <f t="shared" si="198"/>
        <v>8</v>
      </c>
      <c r="X629">
        <f t="shared" si="199"/>
        <v>1</v>
      </c>
    </row>
    <row r="630" spans="1:24" x14ac:dyDescent="0.25">
      <c r="A630" s="4" t="s">
        <v>656</v>
      </c>
      <c r="B630" t="s">
        <v>3</v>
      </c>
      <c r="C630" t="s">
        <v>6</v>
      </c>
      <c r="D630" s="3">
        <f t="shared" si="180"/>
        <v>22</v>
      </c>
      <c r="E630" s="4">
        <f t="shared" si="181"/>
        <v>32</v>
      </c>
      <c r="F630" s="4">
        <f t="shared" si="182"/>
        <v>1</v>
      </c>
      <c r="G630" s="3">
        <f>IF(E630&gt;=20,2000,1900) + D630</f>
        <v>2022</v>
      </c>
      <c r="H630">
        <f t="shared" si="183"/>
        <v>12</v>
      </c>
      <c r="I630" s="4">
        <f t="shared" si="184"/>
        <v>1</v>
      </c>
      <c r="J630">
        <f t="shared" si="185"/>
        <v>20223201</v>
      </c>
      <c r="K630" t="str">
        <f t="shared" si="186"/>
        <v>01.32.2022</v>
      </c>
      <c r="L630" s="4">
        <f t="shared" si="187"/>
        <v>2</v>
      </c>
      <c r="M630" s="4">
        <f t="shared" si="188"/>
        <v>6</v>
      </c>
      <c r="N630" s="4">
        <f t="shared" si="189"/>
        <v>21</v>
      </c>
      <c r="O630" s="4">
        <f t="shared" si="190"/>
        <v>18</v>
      </c>
      <c r="P630" s="4">
        <f t="shared" si="191"/>
        <v>0</v>
      </c>
      <c r="Q630" s="4">
        <f t="shared" si="192"/>
        <v>3</v>
      </c>
      <c r="R630" s="4">
        <f t="shared" si="193"/>
        <v>0</v>
      </c>
      <c r="S630" s="4">
        <f t="shared" si="194"/>
        <v>54</v>
      </c>
      <c r="T630" s="4">
        <f t="shared" si="195"/>
        <v>1</v>
      </c>
      <c r="U630" s="4">
        <f t="shared" si="196"/>
        <v>27</v>
      </c>
      <c r="V630" s="8">
        <f t="shared" si="197"/>
        <v>2</v>
      </c>
      <c r="W630" s="8">
        <f t="shared" si="198"/>
        <v>8</v>
      </c>
      <c r="X630">
        <f t="shared" si="199"/>
        <v>1</v>
      </c>
    </row>
    <row r="631" spans="1:24" x14ac:dyDescent="0.25">
      <c r="A631" s="4" t="s">
        <v>657</v>
      </c>
      <c r="B631" t="s">
        <v>15</v>
      </c>
      <c r="C631" t="s">
        <v>4</v>
      </c>
      <c r="D631" s="3">
        <f t="shared" si="180"/>
        <v>3</v>
      </c>
      <c r="E631" s="4">
        <f t="shared" si="181"/>
        <v>23</v>
      </c>
      <c r="F631" s="4">
        <f t="shared" si="182"/>
        <v>18</v>
      </c>
      <c r="G631" s="3">
        <f>IF(E631&gt;=20,2000,1900) + D631</f>
        <v>2003</v>
      </c>
      <c r="H631">
        <f t="shared" si="183"/>
        <v>3</v>
      </c>
      <c r="I631" s="4">
        <f t="shared" si="184"/>
        <v>18</v>
      </c>
      <c r="J631">
        <f t="shared" si="185"/>
        <v>20032318</v>
      </c>
      <c r="K631" t="str">
        <f t="shared" si="186"/>
        <v>18.23.2003</v>
      </c>
      <c r="L631" s="4">
        <f t="shared" si="187"/>
        <v>0</v>
      </c>
      <c r="M631" s="4">
        <f t="shared" si="188"/>
        <v>9</v>
      </c>
      <c r="N631" s="4">
        <f t="shared" si="189"/>
        <v>14</v>
      </c>
      <c r="O631" s="4">
        <f t="shared" si="190"/>
        <v>27</v>
      </c>
      <c r="P631" s="4">
        <f t="shared" si="191"/>
        <v>1</v>
      </c>
      <c r="Q631" s="4">
        <f t="shared" si="192"/>
        <v>24</v>
      </c>
      <c r="R631" s="4">
        <f t="shared" si="193"/>
        <v>21</v>
      </c>
      <c r="S631" s="4">
        <f t="shared" si="194"/>
        <v>72</v>
      </c>
      <c r="T631" s="4">
        <f t="shared" si="195"/>
        <v>1</v>
      </c>
      <c r="U631" s="4">
        <f t="shared" si="196"/>
        <v>12</v>
      </c>
      <c r="V631" s="8">
        <f t="shared" si="197"/>
        <v>1</v>
      </c>
      <c r="W631" s="8">
        <f t="shared" si="198"/>
        <v>9</v>
      </c>
      <c r="X631">
        <f t="shared" si="199"/>
        <v>1</v>
      </c>
    </row>
    <row r="632" spans="1:24" x14ac:dyDescent="0.25">
      <c r="A632" s="4" t="s">
        <v>658</v>
      </c>
      <c r="B632" t="s">
        <v>8</v>
      </c>
      <c r="C632" t="s">
        <v>6</v>
      </c>
      <c r="D632" s="3">
        <f t="shared" si="180"/>
        <v>16</v>
      </c>
      <c r="E632" s="4">
        <f t="shared" si="181"/>
        <v>21</v>
      </c>
      <c r="F632" s="4">
        <f t="shared" si="182"/>
        <v>1</v>
      </c>
      <c r="G632" s="3">
        <f>IF(E632&gt;=20,2000,1900) + D632</f>
        <v>2016</v>
      </c>
      <c r="H632">
        <f t="shared" si="183"/>
        <v>1</v>
      </c>
      <c r="I632" s="4">
        <f t="shared" si="184"/>
        <v>1</v>
      </c>
      <c r="J632">
        <f t="shared" si="185"/>
        <v>20162101</v>
      </c>
      <c r="K632" t="str">
        <f t="shared" si="186"/>
        <v>01.21.2016</v>
      </c>
      <c r="L632" s="4">
        <f t="shared" si="187"/>
        <v>1</v>
      </c>
      <c r="M632" s="4">
        <f t="shared" si="188"/>
        <v>18</v>
      </c>
      <c r="N632" s="4">
        <f t="shared" si="189"/>
        <v>14</v>
      </c>
      <c r="O632" s="4">
        <f t="shared" si="190"/>
        <v>9</v>
      </c>
      <c r="P632" s="4">
        <f t="shared" si="191"/>
        <v>0</v>
      </c>
      <c r="Q632" s="4">
        <f t="shared" si="192"/>
        <v>3</v>
      </c>
      <c r="R632" s="4">
        <f t="shared" si="193"/>
        <v>63</v>
      </c>
      <c r="S632" s="4">
        <f t="shared" si="194"/>
        <v>0</v>
      </c>
      <c r="T632" s="4">
        <f t="shared" si="195"/>
        <v>7</v>
      </c>
      <c r="U632" s="4">
        <f t="shared" si="196"/>
        <v>6</v>
      </c>
      <c r="V632" s="8">
        <f t="shared" si="197"/>
        <v>1</v>
      </c>
      <c r="W632" s="8">
        <f t="shared" si="198"/>
        <v>9</v>
      </c>
      <c r="X632">
        <f t="shared" si="199"/>
        <v>1</v>
      </c>
    </row>
    <row r="633" spans="1:24" x14ac:dyDescent="0.25">
      <c r="A633" s="4" t="s">
        <v>659</v>
      </c>
      <c r="B633" t="s">
        <v>5</v>
      </c>
      <c r="C633" t="s">
        <v>6</v>
      </c>
      <c r="D633" s="3">
        <f t="shared" si="180"/>
        <v>18</v>
      </c>
      <c r="E633" s="4">
        <f t="shared" si="181"/>
        <v>32</v>
      </c>
      <c r="F633" s="4">
        <f t="shared" si="182"/>
        <v>14</v>
      </c>
      <c r="G633" s="3">
        <f>IF(E633&gt;=20,2000,1900) + D633</f>
        <v>2018</v>
      </c>
      <c r="H633">
        <f t="shared" si="183"/>
        <v>12</v>
      </c>
      <c r="I633" s="4">
        <f t="shared" si="184"/>
        <v>14</v>
      </c>
      <c r="J633">
        <f t="shared" si="185"/>
        <v>20183214</v>
      </c>
      <c r="K633" t="str">
        <f t="shared" si="186"/>
        <v>14.32.2018</v>
      </c>
      <c r="L633" s="4">
        <f t="shared" si="187"/>
        <v>1</v>
      </c>
      <c r="M633" s="4">
        <f t="shared" si="188"/>
        <v>24</v>
      </c>
      <c r="N633" s="4">
        <f t="shared" si="189"/>
        <v>21</v>
      </c>
      <c r="O633" s="4">
        <f t="shared" si="190"/>
        <v>18</v>
      </c>
      <c r="P633" s="4">
        <f t="shared" si="191"/>
        <v>1</v>
      </c>
      <c r="Q633" s="4">
        <f t="shared" si="192"/>
        <v>12</v>
      </c>
      <c r="R633" s="4">
        <f t="shared" si="193"/>
        <v>21</v>
      </c>
      <c r="S633" s="4">
        <f t="shared" si="194"/>
        <v>63</v>
      </c>
      <c r="T633" s="4">
        <f t="shared" si="195"/>
        <v>0</v>
      </c>
      <c r="U633" s="4">
        <f t="shared" si="196"/>
        <v>9</v>
      </c>
      <c r="V633" s="8">
        <f t="shared" si="197"/>
        <v>0</v>
      </c>
      <c r="W633" s="8">
        <f t="shared" si="198"/>
        <v>0</v>
      </c>
      <c r="X633">
        <f t="shared" si="199"/>
        <v>1</v>
      </c>
    </row>
    <row r="634" spans="1:24" x14ac:dyDescent="0.25">
      <c r="A634" s="4" t="s">
        <v>660</v>
      </c>
      <c r="B634" t="s">
        <v>12</v>
      </c>
      <c r="C634" t="s">
        <v>4</v>
      </c>
      <c r="D634" s="3">
        <f t="shared" si="180"/>
        <v>16</v>
      </c>
      <c r="E634" s="4">
        <f t="shared" si="181"/>
        <v>26</v>
      </c>
      <c r="F634" s="4">
        <f t="shared" si="182"/>
        <v>16</v>
      </c>
      <c r="G634" s="3">
        <f>IF(E634&gt;=20,2000,1900) + D634</f>
        <v>2016</v>
      </c>
      <c r="H634">
        <f t="shared" si="183"/>
        <v>6</v>
      </c>
      <c r="I634" s="4">
        <f t="shared" si="184"/>
        <v>16</v>
      </c>
      <c r="J634">
        <f t="shared" si="185"/>
        <v>20162616</v>
      </c>
      <c r="K634" t="str">
        <f t="shared" si="186"/>
        <v>16.26.2016</v>
      </c>
      <c r="L634" s="4">
        <f t="shared" si="187"/>
        <v>1</v>
      </c>
      <c r="M634" s="4">
        <f t="shared" si="188"/>
        <v>18</v>
      </c>
      <c r="N634" s="4">
        <f t="shared" si="189"/>
        <v>14</v>
      </c>
      <c r="O634" s="4">
        <f t="shared" si="190"/>
        <v>54</v>
      </c>
      <c r="P634" s="4">
        <f t="shared" si="191"/>
        <v>1</v>
      </c>
      <c r="Q634" s="4">
        <f t="shared" si="192"/>
        <v>18</v>
      </c>
      <c r="R634" s="4">
        <f t="shared" si="193"/>
        <v>28</v>
      </c>
      <c r="S634" s="4">
        <f t="shared" si="194"/>
        <v>18</v>
      </c>
      <c r="T634" s="4">
        <f t="shared" si="195"/>
        <v>8</v>
      </c>
      <c r="U634" s="4">
        <f t="shared" si="196"/>
        <v>24</v>
      </c>
      <c r="V634" s="8">
        <f t="shared" si="197"/>
        <v>4</v>
      </c>
      <c r="W634" s="8">
        <f t="shared" si="198"/>
        <v>6</v>
      </c>
      <c r="X634">
        <f t="shared" si="199"/>
        <v>1</v>
      </c>
    </row>
    <row r="635" spans="1:24" x14ac:dyDescent="0.25">
      <c r="A635" s="4" t="s">
        <v>661</v>
      </c>
      <c r="B635" t="s">
        <v>13</v>
      </c>
      <c r="C635" t="s">
        <v>4</v>
      </c>
      <c r="D635" s="3">
        <f t="shared" si="180"/>
        <v>7</v>
      </c>
      <c r="E635" s="4">
        <f t="shared" si="181"/>
        <v>27</v>
      </c>
      <c r="F635" s="4">
        <f t="shared" si="182"/>
        <v>2</v>
      </c>
      <c r="G635" s="3">
        <f>IF(E635&gt;=20,2000,1900) + D635</f>
        <v>2007</v>
      </c>
      <c r="H635">
        <f t="shared" si="183"/>
        <v>7</v>
      </c>
      <c r="I635" s="4">
        <f t="shared" si="184"/>
        <v>2</v>
      </c>
      <c r="J635">
        <f t="shared" si="185"/>
        <v>20072702</v>
      </c>
      <c r="K635" t="str">
        <f t="shared" si="186"/>
        <v>02.27.2007</v>
      </c>
      <c r="L635" s="4">
        <f t="shared" si="187"/>
        <v>0</v>
      </c>
      <c r="M635" s="4">
        <f t="shared" si="188"/>
        <v>21</v>
      </c>
      <c r="N635" s="4">
        <f t="shared" si="189"/>
        <v>14</v>
      </c>
      <c r="O635" s="4">
        <f t="shared" si="190"/>
        <v>63</v>
      </c>
      <c r="P635" s="4">
        <f t="shared" si="191"/>
        <v>0</v>
      </c>
      <c r="Q635" s="4">
        <f t="shared" si="192"/>
        <v>6</v>
      </c>
      <c r="R635" s="4">
        <f t="shared" si="193"/>
        <v>42</v>
      </c>
      <c r="S635" s="4">
        <f t="shared" si="194"/>
        <v>63</v>
      </c>
      <c r="T635" s="4">
        <f t="shared" si="195"/>
        <v>1</v>
      </c>
      <c r="U635" s="4">
        <f t="shared" si="196"/>
        <v>6</v>
      </c>
      <c r="V635" s="8">
        <f t="shared" si="197"/>
        <v>6</v>
      </c>
      <c r="W635" s="8">
        <f t="shared" si="198"/>
        <v>4</v>
      </c>
      <c r="X635">
        <f t="shared" si="199"/>
        <v>1</v>
      </c>
    </row>
    <row r="636" spans="1:24" x14ac:dyDescent="0.25">
      <c r="A636" s="4" t="s">
        <v>662</v>
      </c>
      <c r="B636" t="s">
        <v>20</v>
      </c>
      <c r="C636" t="s">
        <v>6</v>
      </c>
      <c r="D636" s="3">
        <f t="shared" si="180"/>
        <v>12</v>
      </c>
      <c r="E636" s="4">
        <f t="shared" si="181"/>
        <v>23</v>
      </c>
      <c r="F636" s="4">
        <f t="shared" si="182"/>
        <v>3</v>
      </c>
      <c r="G636" s="3">
        <f>IF(E636&gt;=20,2000,1900) + D636</f>
        <v>2012</v>
      </c>
      <c r="H636">
        <f t="shared" si="183"/>
        <v>3</v>
      </c>
      <c r="I636" s="4">
        <f t="shared" si="184"/>
        <v>3</v>
      </c>
      <c r="J636">
        <f t="shared" si="185"/>
        <v>20122303</v>
      </c>
      <c r="K636" t="str">
        <f t="shared" si="186"/>
        <v>03.23.2012</v>
      </c>
      <c r="L636" s="4">
        <f t="shared" si="187"/>
        <v>1</v>
      </c>
      <c r="M636" s="4">
        <f t="shared" si="188"/>
        <v>6</v>
      </c>
      <c r="N636" s="4">
        <f t="shared" si="189"/>
        <v>14</v>
      </c>
      <c r="O636" s="4">
        <f t="shared" si="190"/>
        <v>27</v>
      </c>
      <c r="P636" s="4">
        <f t="shared" si="191"/>
        <v>0</v>
      </c>
      <c r="Q636" s="4">
        <f t="shared" si="192"/>
        <v>9</v>
      </c>
      <c r="R636" s="4">
        <f t="shared" si="193"/>
        <v>49</v>
      </c>
      <c r="S636" s="4">
        <f t="shared" si="194"/>
        <v>9</v>
      </c>
      <c r="T636" s="4">
        <f t="shared" si="195"/>
        <v>2</v>
      </c>
      <c r="U636" s="4">
        <f t="shared" si="196"/>
        <v>21</v>
      </c>
      <c r="V636" s="8">
        <f t="shared" si="197"/>
        <v>8</v>
      </c>
      <c r="W636" s="8">
        <f t="shared" si="198"/>
        <v>2</v>
      </c>
      <c r="X636">
        <f t="shared" si="199"/>
        <v>1</v>
      </c>
    </row>
    <row r="637" spans="1:24" x14ac:dyDescent="0.25">
      <c r="A637" s="4" t="s">
        <v>663</v>
      </c>
      <c r="B637" t="s">
        <v>3</v>
      </c>
      <c r="C637" t="s">
        <v>6</v>
      </c>
      <c r="D637" s="3">
        <f t="shared" si="180"/>
        <v>19</v>
      </c>
      <c r="E637" s="4">
        <f t="shared" si="181"/>
        <v>31</v>
      </c>
      <c r="F637" s="4">
        <f t="shared" si="182"/>
        <v>22</v>
      </c>
      <c r="G637" s="3">
        <f>IF(E637&gt;=20,2000,1900) + D637</f>
        <v>2019</v>
      </c>
      <c r="H637">
        <f t="shared" si="183"/>
        <v>11</v>
      </c>
      <c r="I637" s="4">
        <f t="shared" si="184"/>
        <v>22</v>
      </c>
      <c r="J637">
        <f t="shared" si="185"/>
        <v>20193122</v>
      </c>
      <c r="K637" t="str">
        <f t="shared" si="186"/>
        <v>22.31.2019</v>
      </c>
      <c r="L637" s="4">
        <f t="shared" si="187"/>
        <v>1</v>
      </c>
      <c r="M637" s="4">
        <f t="shared" si="188"/>
        <v>27</v>
      </c>
      <c r="N637" s="4">
        <f t="shared" si="189"/>
        <v>21</v>
      </c>
      <c r="O637" s="4">
        <f t="shared" si="190"/>
        <v>9</v>
      </c>
      <c r="P637" s="4">
        <f t="shared" si="191"/>
        <v>2</v>
      </c>
      <c r="Q637" s="4">
        <f t="shared" si="192"/>
        <v>6</v>
      </c>
      <c r="R637" s="4">
        <f t="shared" si="193"/>
        <v>63</v>
      </c>
      <c r="S637" s="4">
        <f t="shared" si="194"/>
        <v>9</v>
      </c>
      <c r="T637" s="4">
        <f t="shared" si="195"/>
        <v>2</v>
      </c>
      <c r="U637" s="4">
        <f t="shared" si="196"/>
        <v>3</v>
      </c>
      <c r="V637" s="8">
        <f t="shared" si="197"/>
        <v>3</v>
      </c>
      <c r="W637" s="8">
        <f t="shared" si="198"/>
        <v>7</v>
      </c>
      <c r="X637">
        <f t="shared" si="199"/>
        <v>1</v>
      </c>
    </row>
    <row r="638" spans="1:24" x14ac:dyDescent="0.25">
      <c r="A638" s="4" t="s">
        <v>664</v>
      </c>
      <c r="B638" t="s">
        <v>19</v>
      </c>
      <c r="C638" t="s">
        <v>6</v>
      </c>
      <c r="D638" s="3">
        <f t="shared" si="180"/>
        <v>1</v>
      </c>
      <c r="E638" s="4">
        <f t="shared" si="181"/>
        <v>30</v>
      </c>
      <c r="F638" s="4">
        <f t="shared" si="182"/>
        <v>8</v>
      </c>
      <c r="G638" s="3">
        <f>IF(E638&gt;=20,2000,1900) + D638</f>
        <v>2001</v>
      </c>
      <c r="H638">
        <f t="shared" si="183"/>
        <v>10</v>
      </c>
      <c r="I638" s="4">
        <f t="shared" si="184"/>
        <v>8</v>
      </c>
      <c r="J638">
        <f t="shared" si="185"/>
        <v>20013008</v>
      </c>
      <c r="K638" t="str">
        <f t="shared" si="186"/>
        <v>08.30.2001</v>
      </c>
      <c r="L638" s="4">
        <f t="shared" si="187"/>
        <v>0</v>
      </c>
      <c r="M638" s="4">
        <f t="shared" si="188"/>
        <v>3</v>
      </c>
      <c r="N638" s="4">
        <f t="shared" si="189"/>
        <v>21</v>
      </c>
      <c r="O638" s="4">
        <f t="shared" si="190"/>
        <v>0</v>
      </c>
      <c r="P638" s="4">
        <f t="shared" si="191"/>
        <v>0</v>
      </c>
      <c r="Q638" s="4">
        <f t="shared" si="192"/>
        <v>24</v>
      </c>
      <c r="R638" s="4">
        <f t="shared" si="193"/>
        <v>63</v>
      </c>
      <c r="S638" s="4">
        <f t="shared" si="194"/>
        <v>36</v>
      </c>
      <c r="T638" s="4">
        <f t="shared" si="195"/>
        <v>4</v>
      </c>
      <c r="U638" s="4">
        <f t="shared" si="196"/>
        <v>15</v>
      </c>
      <c r="V638" s="8">
        <f t="shared" si="197"/>
        <v>6</v>
      </c>
      <c r="W638" s="8">
        <f t="shared" si="198"/>
        <v>4</v>
      </c>
      <c r="X638">
        <f t="shared" si="199"/>
        <v>1</v>
      </c>
    </row>
    <row r="639" spans="1:24" x14ac:dyDescent="0.25">
      <c r="A639" s="4" t="s">
        <v>665</v>
      </c>
      <c r="B639" t="s">
        <v>10</v>
      </c>
      <c r="C639" t="s">
        <v>4</v>
      </c>
      <c r="D639" s="3">
        <f t="shared" si="180"/>
        <v>19</v>
      </c>
      <c r="E639" s="4">
        <f t="shared" si="181"/>
        <v>21</v>
      </c>
      <c r="F639" s="4">
        <f t="shared" si="182"/>
        <v>11</v>
      </c>
      <c r="G639" s="3">
        <f>IF(E639&gt;=20,2000,1900) + D639</f>
        <v>2019</v>
      </c>
      <c r="H639">
        <f t="shared" si="183"/>
        <v>1</v>
      </c>
      <c r="I639" s="4">
        <f t="shared" si="184"/>
        <v>11</v>
      </c>
      <c r="J639">
        <f t="shared" si="185"/>
        <v>20192111</v>
      </c>
      <c r="K639" t="str">
        <f t="shared" si="186"/>
        <v>11.21.2019</v>
      </c>
      <c r="L639" s="4">
        <f t="shared" si="187"/>
        <v>1</v>
      </c>
      <c r="M639" s="4">
        <f t="shared" si="188"/>
        <v>27</v>
      </c>
      <c r="N639" s="4">
        <f t="shared" si="189"/>
        <v>14</v>
      </c>
      <c r="O639" s="4">
        <f t="shared" si="190"/>
        <v>9</v>
      </c>
      <c r="P639" s="4">
        <f t="shared" si="191"/>
        <v>1</v>
      </c>
      <c r="Q639" s="4">
        <f t="shared" si="192"/>
        <v>3</v>
      </c>
      <c r="R639" s="4">
        <f t="shared" si="193"/>
        <v>14</v>
      </c>
      <c r="S639" s="4">
        <f t="shared" si="194"/>
        <v>63</v>
      </c>
      <c r="T639" s="4">
        <f t="shared" si="195"/>
        <v>4</v>
      </c>
      <c r="U639" s="4">
        <f t="shared" si="196"/>
        <v>15</v>
      </c>
      <c r="V639" s="8">
        <f t="shared" si="197"/>
        <v>1</v>
      </c>
      <c r="W639" s="8">
        <f t="shared" si="198"/>
        <v>9</v>
      </c>
      <c r="X639">
        <f t="shared" si="199"/>
        <v>1</v>
      </c>
    </row>
    <row r="640" spans="1:24" x14ac:dyDescent="0.25">
      <c r="A640" s="4" t="s">
        <v>666</v>
      </c>
      <c r="B640" t="s">
        <v>16</v>
      </c>
      <c r="C640" t="s">
        <v>4</v>
      </c>
      <c r="D640" s="3">
        <f t="shared" si="180"/>
        <v>22</v>
      </c>
      <c r="E640" s="4">
        <f t="shared" si="181"/>
        <v>24</v>
      </c>
      <c r="F640" s="4">
        <f t="shared" si="182"/>
        <v>26</v>
      </c>
      <c r="G640" s="3">
        <f>IF(E640&gt;=20,2000,1900) + D640</f>
        <v>2022</v>
      </c>
      <c r="H640">
        <f t="shared" si="183"/>
        <v>4</v>
      </c>
      <c r="I640" s="4">
        <f t="shared" si="184"/>
        <v>26</v>
      </c>
      <c r="J640">
        <f t="shared" si="185"/>
        <v>20222426</v>
      </c>
      <c r="K640" t="str">
        <f t="shared" si="186"/>
        <v>26.24.2022</v>
      </c>
      <c r="L640" s="4">
        <f t="shared" si="187"/>
        <v>2</v>
      </c>
      <c r="M640" s="4">
        <f t="shared" si="188"/>
        <v>6</v>
      </c>
      <c r="N640" s="4">
        <f t="shared" si="189"/>
        <v>14</v>
      </c>
      <c r="O640" s="4">
        <f t="shared" si="190"/>
        <v>36</v>
      </c>
      <c r="P640" s="4">
        <f t="shared" si="191"/>
        <v>2</v>
      </c>
      <c r="Q640" s="4">
        <f t="shared" si="192"/>
        <v>18</v>
      </c>
      <c r="R640" s="4">
        <f t="shared" si="193"/>
        <v>35</v>
      </c>
      <c r="S640" s="4">
        <f t="shared" si="194"/>
        <v>9</v>
      </c>
      <c r="T640" s="4">
        <f t="shared" si="195"/>
        <v>4</v>
      </c>
      <c r="U640" s="4">
        <f t="shared" si="196"/>
        <v>18</v>
      </c>
      <c r="V640" s="8">
        <f t="shared" si="197"/>
        <v>4</v>
      </c>
      <c r="W640" s="8">
        <f t="shared" si="198"/>
        <v>6</v>
      </c>
      <c r="X640">
        <f t="shared" si="199"/>
        <v>1</v>
      </c>
    </row>
    <row r="641" spans="1:24" x14ac:dyDescent="0.25">
      <c r="A641" s="4" t="s">
        <v>667</v>
      </c>
      <c r="B641" t="s">
        <v>8</v>
      </c>
      <c r="C641" t="s">
        <v>6</v>
      </c>
      <c r="D641" s="3">
        <f t="shared" si="180"/>
        <v>22</v>
      </c>
      <c r="E641" s="4">
        <f t="shared" si="181"/>
        <v>23</v>
      </c>
      <c r="F641" s="4">
        <f t="shared" si="182"/>
        <v>11</v>
      </c>
      <c r="G641" s="3">
        <f>IF(E641&gt;=20,2000,1900) + D641</f>
        <v>2022</v>
      </c>
      <c r="H641">
        <f t="shared" si="183"/>
        <v>3</v>
      </c>
      <c r="I641" s="4">
        <f t="shared" si="184"/>
        <v>11</v>
      </c>
      <c r="J641">
        <f t="shared" si="185"/>
        <v>20222311</v>
      </c>
      <c r="K641" t="str">
        <f t="shared" si="186"/>
        <v>11.23.2022</v>
      </c>
      <c r="L641" s="4">
        <f t="shared" si="187"/>
        <v>2</v>
      </c>
      <c r="M641" s="4">
        <f t="shared" si="188"/>
        <v>6</v>
      </c>
      <c r="N641" s="4">
        <f t="shared" si="189"/>
        <v>14</v>
      </c>
      <c r="O641" s="4">
        <f t="shared" si="190"/>
        <v>27</v>
      </c>
      <c r="P641" s="4">
        <f t="shared" si="191"/>
        <v>1</v>
      </c>
      <c r="Q641" s="4">
        <f t="shared" si="192"/>
        <v>3</v>
      </c>
      <c r="R641" s="4">
        <f t="shared" si="193"/>
        <v>35</v>
      </c>
      <c r="S641" s="4">
        <f t="shared" si="194"/>
        <v>54</v>
      </c>
      <c r="T641" s="4">
        <f t="shared" si="195"/>
        <v>6</v>
      </c>
      <c r="U641" s="4">
        <f t="shared" si="196"/>
        <v>27</v>
      </c>
      <c r="V641" s="8">
        <f t="shared" si="197"/>
        <v>5</v>
      </c>
      <c r="W641" s="8">
        <f t="shared" si="198"/>
        <v>5</v>
      </c>
      <c r="X641">
        <f t="shared" si="199"/>
        <v>1</v>
      </c>
    </row>
    <row r="642" spans="1:24" x14ac:dyDescent="0.25">
      <c r="A642" s="4" t="s">
        <v>668</v>
      </c>
      <c r="B642" t="s">
        <v>20</v>
      </c>
      <c r="C642" t="s">
        <v>4</v>
      </c>
      <c r="D642" s="3">
        <f t="shared" si="180"/>
        <v>7</v>
      </c>
      <c r="E642" s="4">
        <f t="shared" si="181"/>
        <v>26</v>
      </c>
      <c r="F642" s="4">
        <f t="shared" si="182"/>
        <v>27</v>
      </c>
      <c r="G642" s="3">
        <f>IF(E642&gt;=20,2000,1900) + D642</f>
        <v>2007</v>
      </c>
      <c r="H642">
        <f t="shared" si="183"/>
        <v>6</v>
      </c>
      <c r="I642" s="4">
        <f t="shared" si="184"/>
        <v>27</v>
      </c>
      <c r="J642">
        <f t="shared" si="185"/>
        <v>20072627</v>
      </c>
      <c r="K642" t="str">
        <f t="shared" si="186"/>
        <v>27.26.2007</v>
      </c>
      <c r="L642" s="4">
        <f t="shared" si="187"/>
        <v>0</v>
      </c>
      <c r="M642" s="4">
        <f t="shared" si="188"/>
        <v>21</v>
      </c>
      <c r="N642" s="4">
        <f t="shared" si="189"/>
        <v>14</v>
      </c>
      <c r="O642" s="4">
        <f t="shared" si="190"/>
        <v>54</v>
      </c>
      <c r="P642" s="4">
        <f t="shared" si="191"/>
        <v>2</v>
      </c>
      <c r="Q642" s="4">
        <f t="shared" si="192"/>
        <v>21</v>
      </c>
      <c r="R642" s="4">
        <f t="shared" si="193"/>
        <v>49</v>
      </c>
      <c r="S642" s="4">
        <f t="shared" si="194"/>
        <v>9</v>
      </c>
      <c r="T642" s="4">
        <f t="shared" si="195"/>
        <v>9</v>
      </c>
      <c r="U642" s="4">
        <f t="shared" si="196"/>
        <v>27</v>
      </c>
      <c r="V642" s="8">
        <f t="shared" si="197"/>
        <v>6</v>
      </c>
      <c r="W642" s="8">
        <f t="shared" si="198"/>
        <v>4</v>
      </c>
      <c r="X642">
        <f t="shared" si="199"/>
        <v>1</v>
      </c>
    </row>
    <row r="643" spans="1:24" x14ac:dyDescent="0.25">
      <c r="A643" s="4" t="s">
        <v>669</v>
      </c>
      <c r="B643" t="s">
        <v>17</v>
      </c>
      <c r="C643" t="s">
        <v>6</v>
      </c>
      <c r="D643" s="3">
        <f t="shared" ref="D643:D706" si="200">MID(A643,1,2)*1</f>
        <v>10</v>
      </c>
      <c r="E643" s="4">
        <f t="shared" ref="E643:E706" si="201">MID(A643,3,2)*1</f>
        <v>24</v>
      </c>
      <c r="F643" s="4">
        <f t="shared" ref="F643:F706" si="202">MID(A643,5,2)*1</f>
        <v>21</v>
      </c>
      <c r="G643" s="3">
        <f>IF(E643&gt;=20,2000,1900) + D643</f>
        <v>2010</v>
      </c>
      <c r="H643">
        <f t="shared" ref="H643:H706" si="203">IF(E643&gt;=20,E643-20,E643)</f>
        <v>4</v>
      </c>
      <c r="I643" s="4">
        <f t="shared" ref="I643:I706" si="204">F643</f>
        <v>21</v>
      </c>
      <c r="J643">
        <f t="shared" ref="J643:J706" si="205">CONCATENATE(G643,IF(LEN(E643)=1,CONCATENATE("0",E643),E643),IF(LEN(F643)=1,CONCATENATE("0",F643),F643))*1</f>
        <v>20102421</v>
      </c>
      <c r="K643" t="str">
        <f t="shared" ref="K643:K706" si="206">CONCATENATE(RIGHT(J643,2),".",MID(J643,5,2),".",LEFT(J643,4))</f>
        <v>21.24.2010</v>
      </c>
      <c r="L643" s="4">
        <f t="shared" ref="L643:L706" si="207">MID(A643,1,1)*1</f>
        <v>1</v>
      </c>
      <c r="M643" s="4">
        <f t="shared" ref="M643:M706" si="208">MID(A643,2,1)*3</f>
        <v>0</v>
      </c>
      <c r="N643" s="4">
        <f t="shared" ref="N643:N706" si="209">MID(A643,3,1)*7</f>
        <v>14</v>
      </c>
      <c r="O643" s="4">
        <f t="shared" ref="O643:O706" si="210">MID(A643,4,1)*9</f>
        <v>36</v>
      </c>
      <c r="P643" s="4">
        <f t="shared" ref="P643:P706" si="211">MID(A643,5,1)*1</f>
        <v>2</v>
      </c>
      <c r="Q643" s="4">
        <f t="shared" ref="Q643:Q706" si="212">MID(A643,6,1)*3</f>
        <v>3</v>
      </c>
      <c r="R643" s="4">
        <f t="shared" ref="R643:R706" si="213">MID(A643,7,1)*7</f>
        <v>42</v>
      </c>
      <c r="S643" s="4">
        <f t="shared" ref="S643:S706" si="214">MID(A643,8,1)*9</f>
        <v>36</v>
      </c>
      <c r="T643" s="4">
        <f t="shared" ref="T643:T706" si="215">MID(A643,9,1)*1</f>
        <v>2</v>
      </c>
      <c r="U643" s="4">
        <f t="shared" ref="U643:U706" si="216">MID(A643,10,1)*3</f>
        <v>3</v>
      </c>
      <c r="V643" s="8">
        <f t="shared" ref="V643:V706" si="217">MOD(SUM(L643:U643),10)</f>
        <v>9</v>
      </c>
      <c r="W643" s="8">
        <f t="shared" ref="W643:W706" si="218">IF(V643=0,0,10-V643)</f>
        <v>1</v>
      </c>
      <c r="X643">
        <f t="shared" ref="X643:X706" si="219">IF(W643=RIGHT(A643,1)*1,1,0)</f>
        <v>1</v>
      </c>
    </row>
    <row r="644" spans="1:24" x14ac:dyDescent="0.25">
      <c r="A644" s="4" t="s">
        <v>670</v>
      </c>
      <c r="B644" t="s">
        <v>18</v>
      </c>
      <c r="C644" t="s">
        <v>4</v>
      </c>
      <c r="D644" s="3">
        <f t="shared" si="200"/>
        <v>5</v>
      </c>
      <c r="E644" s="4">
        <f t="shared" si="201"/>
        <v>29</v>
      </c>
      <c r="F644" s="4">
        <f t="shared" si="202"/>
        <v>22</v>
      </c>
      <c r="G644" s="3">
        <f>IF(E644&gt;=20,2000,1900) + D644</f>
        <v>2005</v>
      </c>
      <c r="H644">
        <f t="shared" si="203"/>
        <v>9</v>
      </c>
      <c r="I644" s="4">
        <f t="shared" si="204"/>
        <v>22</v>
      </c>
      <c r="J644">
        <f t="shared" si="205"/>
        <v>20052922</v>
      </c>
      <c r="K644" t="str">
        <f t="shared" si="206"/>
        <v>22.29.2005</v>
      </c>
      <c r="L644" s="4">
        <f t="shared" si="207"/>
        <v>0</v>
      </c>
      <c r="M644" s="4">
        <f t="shared" si="208"/>
        <v>15</v>
      </c>
      <c r="N644" s="4">
        <f t="shared" si="209"/>
        <v>14</v>
      </c>
      <c r="O644" s="4">
        <f t="shared" si="210"/>
        <v>81</v>
      </c>
      <c r="P644" s="4">
        <f t="shared" si="211"/>
        <v>2</v>
      </c>
      <c r="Q644" s="4">
        <f t="shared" si="212"/>
        <v>6</v>
      </c>
      <c r="R644" s="4">
        <f t="shared" si="213"/>
        <v>7</v>
      </c>
      <c r="S644" s="4">
        <f t="shared" si="214"/>
        <v>54</v>
      </c>
      <c r="T644" s="4">
        <f t="shared" si="215"/>
        <v>5</v>
      </c>
      <c r="U644" s="4">
        <f t="shared" si="216"/>
        <v>3</v>
      </c>
      <c r="V644" s="8">
        <f t="shared" si="217"/>
        <v>7</v>
      </c>
      <c r="W644" s="8">
        <f t="shared" si="218"/>
        <v>3</v>
      </c>
      <c r="X644">
        <f t="shared" si="219"/>
        <v>1</v>
      </c>
    </row>
    <row r="645" spans="1:24" x14ac:dyDescent="0.25">
      <c r="A645" s="4" t="s">
        <v>671</v>
      </c>
      <c r="B645" t="s">
        <v>8</v>
      </c>
      <c r="C645" t="s">
        <v>4</v>
      </c>
      <c r="D645" s="3">
        <f t="shared" si="200"/>
        <v>14</v>
      </c>
      <c r="E645" s="4">
        <f t="shared" si="201"/>
        <v>28</v>
      </c>
      <c r="F645" s="4">
        <f t="shared" si="202"/>
        <v>22</v>
      </c>
      <c r="G645" s="3">
        <f>IF(E645&gt;=20,2000,1900) + D645</f>
        <v>2014</v>
      </c>
      <c r="H645">
        <f t="shared" si="203"/>
        <v>8</v>
      </c>
      <c r="I645" s="4">
        <f t="shared" si="204"/>
        <v>22</v>
      </c>
      <c r="J645">
        <f t="shared" si="205"/>
        <v>20142822</v>
      </c>
      <c r="K645" t="str">
        <f t="shared" si="206"/>
        <v>22.28.2014</v>
      </c>
      <c r="L645" s="4">
        <f t="shared" si="207"/>
        <v>1</v>
      </c>
      <c r="M645" s="4">
        <f t="shared" si="208"/>
        <v>12</v>
      </c>
      <c r="N645" s="4">
        <f t="shared" si="209"/>
        <v>14</v>
      </c>
      <c r="O645" s="4">
        <f t="shared" si="210"/>
        <v>72</v>
      </c>
      <c r="P645" s="4">
        <f t="shared" si="211"/>
        <v>2</v>
      </c>
      <c r="Q645" s="4">
        <f t="shared" si="212"/>
        <v>6</v>
      </c>
      <c r="R645" s="4">
        <f t="shared" si="213"/>
        <v>56</v>
      </c>
      <c r="S645" s="4">
        <f t="shared" si="214"/>
        <v>72</v>
      </c>
      <c r="T645" s="4">
        <f t="shared" si="215"/>
        <v>7</v>
      </c>
      <c r="U645" s="4">
        <f t="shared" si="216"/>
        <v>21</v>
      </c>
      <c r="V645" s="8">
        <f t="shared" si="217"/>
        <v>3</v>
      </c>
      <c r="W645" s="8">
        <f t="shared" si="218"/>
        <v>7</v>
      </c>
      <c r="X645">
        <f t="shared" si="219"/>
        <v>1</v>
      </c>
    </row>
    <row r="646" spans="1:24" x14ac:dyDescent="0.25">
      <c r="A646" s="4" t="s">
        <v>672</v>
      </c>
      <c r="B646" t="s">
        <v>5</v>
      </c>
      <c r="C646" t="s">
        <v>6</v>
      </c>
      <c r="D646" s="3">
        <f t="shared" si="200"/>
        <v>18</v>
      </c>
      <c r="E646" s="4">
        <f t="shared" si="201"/>
        <v>23</v>
      </c>
      <c r="F646" s="4">
        <f t="shared" si="202"/>
        <v>2</v>
      </c>
      <c r="G646" s="3">
        <f>IF(E646&gt;=20,2000,1900) + D646</f>
        <v>2018</v>
      </c>
      <c r="H646">
        <f t="shared" si="203"/>
        <v>3</v>
      </c>
      <c r="I646" s="4">
        <f t="shared" si="204"/>
        <v>2</v>
      </c>
      <c r="J646">
        <f t="shared" si="205"/>
        <v>20182302</v>
      </c>
      <c r="K646" t="str">
        <f t="shared" si="206"/>
        <v>02.23.2018</v>
      </c>
      <c r="L646" s="4">
        <f t="shared" si="207"/>
        <v>1</v>
      </c>
      <c r="M646" s="4">
        <f t="shared" si="208"/>
        <v>24</v>
      </c>
      <c r="N646" s="4">
        <f t="shared" si="209"/>
        <v>14</v>
      </c>
      <c r="O646" s="4">
        <f t="shared" si="210"/>
        <v>27</v>
      </c>
      <c r="P646" s="4">
        <f t="shared" si="211"/>
        <v>0</v>
      </c>
      <c r="Q646" s="4">
        <f t="shared" si="212"/>
        <v>6</v>
      </c>
      <c r="R646" s="4">
        <f t="shared" si="213"/>
        <v>35</v>
      </c>
      <c r="S646" s="4">
        <f t="shared" si="214"/>
        <v>63</v>
      </c>
      <c r="T646" s="4">
        <f t="shared" si="215"/>
        <v>5</v>
      </c>
      <c r="U646" s="4">
        <f t="shared" si="216"/>
        <v>18</v>
      </c>
      <c r="V646" s="8">
        <f t="shared" si="217"/>
        <v>3</v>
      </c>
      <c r="W646" s="8">
        <f t="shared" si="218"/>
        <v>7</v>
      </c>
      <c r="X646">
        <f t="shared" si="219"/>
        <v>1</v>
      </c>
    </row>
    <row r="647" spans="1:24" x14ac:dyDescent="0.25">
      <c r="A647" s="4" t="s">
        <v>673</v>
      </c>
      <c r="B647" t="s">
        <v>3</v>
      </c>
      <c r="C647" t="s">
        <v>6</v>
      </c>
      <c r="D647" s="3">
        <f t="shared" si="200"/>
        <v>9</v>
      </c>
      <c r="E647" s="4">
        <f t="shared" si="201"/>
        <v>31</v>
      </c>
      <c r="F647" s="4">
        <f t="shared" si="202"/>
        <v>3</v>
      </c>
      <c r="G647" s="3">
        <f>IF(E647&gt;=20,2000,1900) + D647</f>
        <v>2009</v>
      </c>
      <c r="H647">
        <f t="shared" si="203"/>
        <v>11</v>
      </c>
      <c r="I647" s="4">
        <f t="shared" si="204"/>
        <v>3</v>
      </c>
      <c r="J647">
        <f t="shared" si="205"/>
        <v>20093103</v>
      </c>
      <c r="K647" t="str">
        <f t="shared" si="206"/>
        <v>03.31.2009</v>
      </c>
      <c r="L647" s="4">
        <f t="shared" si="207"/>
        <v>0</v>
      </c>
      <c r="M647" s="4">
        <f t="shared" si="208"/>
        <v>27</v>
      </c>
      <c r="N647" s="4">
        <f t="shared" si="209"/>
        <v>21</v>
      </c>
      <c r="O647" s="4">
        <f t="shared" si="210"/>
        <v>9</v>
      </c>
      <c r="P647" s="4">
        <f t="shared" si="211"/>
        <v>0</v>
      </c>
      <c r="Q647" s="4">
        <f t="shared" si="212"/>
        <v>9</v>
      </c>
      <c r="R647" s="4">
        <f t="shared" si="213"/>
        <v>7</v>
      </c>
      <c r="S647" s="4">
        <f t="shared" si="214"/>
        <v>72</v>
      </c>
      <c r="T647" s="4">
        <f t="shared" si="215"/>
        <v>6</v>
      </c>
      <c r="U647" s="4">
        <f t="shared" si="216"/>
        <v>24</v>
      </c>
      <c r="V647" s="8">
        <f t="shared" si="217"/>
        <v>5</v>
      </c>
      <c r="W647" s="8">
        <f t="shared" si="218"/>
        <v>5</v>
      </c>
      <c r="X647">
        <f t="shared" si="219"/>
        <v>1</v>
      </c>
    </row>
    <row r="648" spans="1:24" x14ac:dyDescent="0.25">
      <c r="A648" s="4" t="s">
        <v>674</v>
      </c>
      <c r="B648" t="s">
        <v>11</v>
      </c>
      <c r="C648" t="s">
        <v>4</v>
      </c>
      <c r="D648" s="3">
        <f t="shared" si="200"/>
        <v>14</v>
      </c>
      <c r="E648" s="4">
        <f t="shared" si="201"/>
        <v>29</v>
      </c>
      <c r="F648" s="4">
        <f t="shared" si="202"/>
        <v>13</v>
      </c>
      <c r="G648" s="3">
        <f>IF(E648&gt;=20,2000,1900) + D648</f>
        <v>2014</v>
      </c>
      <c r="H648">
        <f t="shared" si="203"/>
        <v>9</v>
      </c>
      <c r="I648" s="4">
        <f t="shared" si="204"/>
        <v>13</v>
      </c>
      <c r="J648">
        <f t="shared" si="205"/>
        <v>20142913</v>
      </c>
      <c r="K648" t="str">
        <f t="shared" si="206"/>
        <v>13.29.2014</v>
      </c>
      <c r="L648" s="4">
        <f t="shared" si="207"/>
        <v>1</v>
      </c>
      <c r="M648" s="4">
        <f t="shared" si="208"/>
        <v>12</v>
      </c>
      <c r="N648" s="4">
        <f t="shared" si="209"/>
        <v>14</v>
      </c>
      <c r="O648" s="4">
        <f t="shared" si="210"/>
        <v>81</v>
      </c>
      <c r="P648" s="4">
        <f t="shared" si="211"/>
        <v>1</v>
      </c>
      <c r="Q648" s="4">
        <f t="shared" si="212"/>
        <v>9</v>
      </c>
      <c r="R648" s="4">
        <f t="shared" si="213"/>
        <v>28</v>
      </c>
      <c r="S648" s="4">
        <f t="shared" si="214"/>
        <v>9</v>
      </c>
      <c r="T648" s="4">
        <f t="shared" si="215"/>
        <v>5</v>
      </c>
      <c r="U648" s="4">
        <f t="shared" si="216"/>
        <v>12</v>
      </c>
      <c r="V648" s="8">
        <f t="shared" si="217"/>
        <v>2</v>
      </c>
      <c r="W648" s="8">
        <f t="shared" si="218"/>
        <v>8</v>
      </c>
      <c r="X648">
        <f t="shared" si="219"/>
        <v>1</v>
      </c>
    </row>
    <row r="649" spans="1:24" x14ac:dyDescent="0.25">
      <c r="A649" s="4" t="s">
        <v>675</v>
      </c>
      <c r="B649" t="s">
        <v>16</v>
      </c>
      <c r="C649" t="s">
        <v>6</v>
      </c>
      <c r="D649" s="3">
        <f t="shared" si="200"/>
        <v>5</v>
      </c>
      <c r="E649" s="4">
        <f t="shared" si="201"/>
        <v>22</v>
      </c>
      <c r="F649" s="4">
        <f t="shared" si="202"/>
        <v>8</v>
      </c>
      <c r="G649" s="3">
        <f>IF(E649&gt;=20,2000,1900) + D649</f>
        <v>2005</v>
      </c>
      <c r="H649">
        <f t="shared" si="203"/>
        <v>2</v>
      </c>
      <c r="I649" s="4">
        <f t="shared" si="204"/>
        <v>8</v>
      </c>
      <c r="J649">
        <f t="shared" si="205"/>
        <v>20052208</v>
      </c>
      <c r="K649" t="str">
        <f t="shared" si="206"/>
        <v>08.22.2005</v>
      </c>
      <c r="L649" s="4">
        <f t="shared" si="207"/>
        <v>0</v>
      </c>
      <c r="M649" s="4">
        <f t="shared" si="208"/>
        <v>15</v>
      </c>
      <c r="N649" s="4">
        <f t="shared" si="209"/>
        <v>14</v>
      </c>
      <c r="O649" s="4">
        <f t="shared" si="210"/>
        <v>18</v>
      </c>
      <c r="P649" s="4">
        <f t="shared" si="211"/>
        <v>0</v>
      </c>
      <c r="Q649" s="4">
        <f t="shared" si="212"/>
        <v>24</v>
      </c>
      <c r="R649" s="4">
        <f t="shared" si="213"/>
        <v>49</v>
      </c>
      <c r="S649" s="4">
        <f t="shared" si="214"/>
        <v>9</v>
      </c>
      <c r="T649" s="4">
        <f t="shared" si="215"/>
        <v>5</v>
      </c>
      <c r="U649" s="4">
        <f t="shared" si="216"/>
        <v>0</v>
      </c>
      <c r="V649" s="8">
        <f t="shared" si="217"/>
        <v>4</v>
      </c>
      <c r="W649" s="8">
        <f t="shared" si="218"/>
        <v>6</v>
      </c>
      <c r="X649">
        <f t="shared" si="219"/>
        <v>1</v>
      </c>
    </row>
    <row r="650" spans="1:24" x14ac:dyDescent="0.25">
      <c r="A650" s="4" t="s">
        <v>676</v>
      </c>
      <c r="B650" t="s">
        <v>14</v>
      </c>
      <c r="C650" t="s">
        <v>6</v>
      </c>
      <c r="D650" s="3">
        <f t="shared" si="200"/>
        <v>1</v>
      </c>
      <c r="E650" s="4">
        <f t="shared" si="201"/>
        <v>29</v>
      </c>
      <c r="F650" s="4">
        <f t="shared" si="202"/>
        <v>15</v>
      </c>
      <c r="G650" s="3">
        <f>IF(E650&gt;=20,2000,1900) + D650</f>
        <v>2001</v>
      </c>
      <c r="H650">
        <f t="shared" si="203"/>
        <v>9</v>
      </c>
      <c r="I650" s="4">
        <f t="shared" si="204"/>
        <v>15</v>
      </c>
      <c r="J650">
        <f t="shared" si="205"/>
        <v>20012915</v>
      </c>
      <c r="K650" t="str">
        <f t="shared" si="206"/>
        <v>15.29.2001</v>
      </c>
      <c r="L650" s="4">
        <f t="shared" si="207"/>
        <v>0</v>
      </c>
      <c r="M650" s="4">
        <f t="shared" si="208"/>
        <v>3</v>
      </c>
      <c r="N650" s="4">
        <f t="shared" si="209"/>
        <v>14</v>
      </c>
      <c r="O650" s="4">
        <f t="shared" si="210"/>
        <v>81</v>
      </c>
      <c r="P650" s="4">
        <f t="shared" si="211"/>
        <v>1</v>
      </c>
      <c r="Q650" s="4">
        <f t="shared" si="212"/>
        <v>15</v>
      </c>
      <c r="R650" s="4">
        <f t="shared" si="213"/>
        <v>63</v>
      </c>
      <c r="S650" s="4">
        <f t="shared" si="214"/>
        <v>45</v>
      </c>
      <c r="T650" s="4">
        <f t="shared" si="215"/>
        <v>9</v>
      </c>
      <c r="U650" s="4">
        <f t="shared" si="216"/>
        <v>24</v>
      </c>
      <c r="V650" s="8">
        <f t="shared" si="217"/>
        <v>5</v>
      </c>
      <c r="W650" s="8">
        <f t="shared" si="218"/>
        <v>5</v>
      </c>
      <c r="X650">
        <f t="shared" si="219"/>
        <v>1</v>
      </c>
    </row>
    <row r="651" spans="1:24" x14ac:dyDescent="0.25">
      <c r="A651" s="4" t="s">
        <v>677</v>
      </c>
      <c r="B651" t="s">
        <v>13</v>
      </c>
      <c r="C651" t="s">
        <v>4</v>
      </c>
      <c r="D651" s="3">
        <f t="shared" si="200"/>
        <v>3</v>
      </c>
      <c r="E651" s="4">
        <f t="shared" si="201"/>
        <v>22</v>
      </c>
      <c r="F651" s="4">
        <f t="shared" si="202"/>
        <v>10</v>
      </c>
      <c r="G651" s="3">
        <f>IF(E651&gt;=20,2000,1900) + D651</f>
        <v>2003</v>
      </c>
      <c r="H651">
        <f t="shared" si="203"/>
        <v>2</v>
      </c>
      <c r="I651" s="4">
        <f t="shared" si="204"/>
        <v>10</v>
      </c>
      <c r="J651">
        <f t="shared" si="205"/>
        <v>20032210</v>
      </c>
      <c r="K651" t="str">
        <f t="shared" si="206"/>
        <v>10.22.2003</v>
      </c>
      <c r="L651" s="4">
        <f t="shared" si="207"/>
        <v>0</v>
      </c>
      <c r="M651" s="4">
        <f t="shared" si="208"/>
        <v>9</v>
      </c>
      <c r="N651" s="4">
        <f t="shared" si="209"/>
        <v>14</v>
      </c>
      <c r="O651" s="4">
        <f t="shared" si="210"/>
        <v>18</v>
      </c>
      <c r="P651" s="4">
        <f t="shared" si="211"/>
        <v>1</v>
      </c>
      <c r="Q651" s="4">
        <f t="shared" si="212"/>
        <v>0</v>
      </c>
      <c r="R651" s="4">
        <f t="shared" si="213"/>
        <v>56</v>
      </c>
      <c r="S651" s="4">
        <f t="shared" si="214"/>
        <v>18</v>
      </c>
      <c r="T651" s="4">
        <f t="shared" si="215"/>
        <v>0</v>
      </c>
      <c r="U651" s="4">
        <f t="shared" si="216"/>
        <v>21</v>
      </c>
      <c r="V651" s="8">
        <f t="shared" si="217"/>
        <v>7</v>
      </c>
      <c r="W651" s="8">
        <f t="shared" si="218"/>
        <v>3</v>
      </c>
      <c r="X651">
        <f t="shared" si="219"/>
        <v>1</v>
      </c>
    </row>
    <row r="652" spans="1:24" x14ac:dyDescent="0.25">
      <c r="A652" s="4" t="s">
        <v>678</v>
      </c>
      <c r="B652" t="s">
        <v>14</v>
      </c>
      <c r="C652" t="s">
        <v>4</v>
      </c>
      <c r="D652" s="3">
        <f t="shared" si="200"/>
        <v>13</v>
      </c>
      <c r="E652" s="4">
        <f t="shared" si="201"/>
        <v>28</v>
      </c>
      <c r="F652" s="4">
        <f t="shared" si="202"/>
        <v>16</v>
      </c>
      <c r="G652" s="3">
        <f>IF(E652&gt;=20,2000,1900) + D652</f>
        <v>2013</v>
      </c>
      <c r="H652">
        <f t="shared" si="203"/>
        <v>8</v>
      </c>
      <c r="I652" s="4">
        <f t="shared" si="204"/>
        <v>16</v>
      </c>
      <c r="J652">
        <f t="shared" si="205"/>
        <v>20132816</v>
      </c>
      <c r="K652" t="str">
        <f t="shared" si="206"/>
        <v>16.28.2013</v>
      </c>
      <c r="L652" s="4">
        <f t="shared" si="207"/>
        <v>1</v>
      </c>
      <c r="M652" s="4">
        <f t="shared" si="208"/>
        <v>9</v>
      </c>
      <c r="N652" s="4">
        <f t="shared" si="209"/>
        <v>14</v>
      </c>
      <c r="O652" s="4">
        <f t="shared" si="210"/>
        <v>72</v>
      </c>
      <c r="P652" s="4">
        <f t="shared" si="211"/>
        <v>1</v>
      </c>
      <c r="Q652" s="4">
        <f t="shared" si="212"/>
        <v>18</v>
      </c>
      <c r="R652" s="4">
        <f t="shared" si="213"/>
        <v>7</v>
      </c>
      <c r="S652" s="4">
        <f t="shared" si="214"/>
        <v>45</v>
      </c>
      <c r="T652" s="4">
        <f t="shared" si="215"/>
        <v>5</v>
      </c>
      <c r="U652" s="4">
        <f t="shared" si="216"/>
        <v>27</v>
      </c>
      <c r="V652" s="8">
        <f t="shared" si="217"/>
        <v>9</v>
      </c>
      <c r="W652" s="8">
        <f t="shared" si="218"/>
        <v>1</v>
      </c>
      <c r="X652">
        <f t="shared" si="219"/>
        <v>1</v>
      </c>
    </row>
    <row r="653" spans="1:24" x14ac:dyDescent="0.25">
      <c r="A653" s="4" t="s">
        <v>679</v>
      </c>
      <c r="B653" t="s">
        <v>19</v>
      </c>
      <c r="C653" t="s">
        <v>6</v>
      </c>
      <c r="D653" s="3">
        <f t="shared" si="200"/>
        <v>22</v>
      </c>
      <c r="E653" s="4">
        <f t="shared" si="201"/>
        <v>26</v>
      </c>
      <c r="F653" s="4">
        <f t="shared" si="202"/>
        <v>6</v>
      </c>
      <c r="G653" s="3">
        <f>IF(E653&gt;=20,2000,1900) + D653</f>
        <v>2022</v>
      </c>
      <c r="H653">
        <f t="shared" si="203"/>
        <v>6</v>
      </c>
      <c r="I653" s="4">
        <f t="shared" si="204"/>
        <v>6</v>
      </c>
      <c r="J653">
        <f t="shared" si="205"/>
        <v>20222606</v>
      </c>
      <c r="K653" t="str">
        <f t="shared" si="206"/>
        <v>06.26.2022</v>
      </c>
      <c r="L653" s="4">
        <f t="shared" si="207"/>
        <v>2</v>
      </c>
      <c r="M653" s="4">
        <f t="shared" si="208"/>
        <v>6</v>
      </c>
      <c r="N653" s="4">
        <f t="shared" si="209"/>
        <v>14</v>
      </c>
      <c r="O653" s="4">
        <f t="shared" si="210"/>
        <v>54</v>
      </c>
      <c r="P653" s="4">
        <f t="shared" si="211"/>
        <v>0</v>
      </c>
      <c r="Q653" s="4">
        <f t="shared" si="212"/>
        <v>18</v>
      </c>
      <c r="R653" s="4">
        <f t="shared" si="213"/>
        <v>14</v>
      </c>
      <c r="S653" s="4">
        <f t="shared" si="214"/>
        <v>72</v>
      </c>
      <c r="T653" s="4">
        <f t="shared" si="215"/>
        <v>5</v>
      </c>
      <c r="U653" s="4">
        <f t="shared" si="216"/>
        <v>6</v>
      </c>
      <c r="V653" s="8">
        <f t="shared" si="217"/>
        <v>1</v>
      </c>
      <c r="W653" s="8">
        <f t="shared" si="218"/>
        <v>9</v>
      </c>
      <c r="X653">
        <f t="shared" si="219"/>
        <v>0</v>
      </c>
    </row>
    <row r="654" spans="1:24" x14ac:dyDescent="0.25">
      <c r="A654" s="4" t="s">
        <v>680</v>
      </c>
      <c r="B654" t="s">
        <v>5</v>
      </c>
      <c r="C654" t="s">
        <v>4</v>
      </c>
      <c r="D654" s="3">
        <f t="shared" si="200"/>
        <v>16</v>
      </c>
      <c r="E654" s="4">
        <f t="shared" si="201"/>
        <v>26</v>
      </c>
      <c r="F654" s="4">
        <f t="shared" si="202"/>
        <v>29</v>
      </c>
      <c r="G654" s="3">
        <f>IF(E654&gt;=20,2000,1900) + D654</f>
        <v>2016</v>
      </c>
      <c r="H654">
        <f t="shared" si="203"/>
        <v>6</v>
      </c>
      <c r="I654" s="4">
        <f t="shared" si="204"/>
        <v>29</v>
      </c>
      <c r="J654">
        <f t="shared" si="205"/>
        <v>20162629</v>
      </c>
      <c r="K654" t="str">
        <f t="shared" si="206"/>
        <v>29.26.2016</v>
      </c>
      <c r="L654" s="4">
        <f t="shared" si="207"/>
        <v>1</v>
      </c>
      <c r="M654" s="4">
        <f t="shared" si="208"/>
        <v>18</v>
      </c>
      <c r="N654" s="4">
        <f t="shared" si="209"/>
        <v>14</v>
      </c>
      <c r="O654" s="4">
        <f t="shared" si="210"/>
        <v>54</v>
      </c>
      <c r="P654" s="4">
        <f t="shared" si="211"/>
        <v>2</v>
      </c>
      <c r="Q654" s="4">
        <f t="shared" si="212"/>
        <v>27</v>
      </c>
      <c r="R654" s="4">
        <f t="shared" si="213"/>
        <v>63</v>
      </c>
      <c r="S654" s="4">
        <f t="shared" si="214"/>
        <v>0</v>
      </c>
      <c r="T654" s="4">
        <f t="shared" si="215"/>
        <v>0</v>
      </c>
      <c r="U654" s="4">
        <f t="shared" si="216"/>
        <v>15</v>
      </c>
      <c r="V654" s="8">
        <f t="shared" si="217"/>
        <v>4</v>
      </c>
      <c r="W654" s="8">
        <f t="shared" si="218"/>
        <v>6</v>
      </c>
      <c r="X654">
        <f t="shared" si="219"/>
        <v>1</v>
      </c>
    </row>
    <row r="655" spans="1:24" x14ac:dyDescent="0.25">
      <c r="A655" s="4" t="s">
        <v>681</v>
      </c>
      <c r="B655" t="s">
        <v>7</v>
      </c>
      <c r="C655" t="s">
        <v>4</v>
      </c>
      <c r="D655" s="3">
        <f t="shared" si="200"/>
        <v>3</v>
      </c>
      <c r="E655" s="4">
        <f t="shared" si="201"/>
        <v>26</v>
      </c>
      <c r="F655" s="4">
        <f t="shared" si="202"/>
        <v>25</v>
      </c>
      <c r="G655" s="3">
        <f>IF(E655&gt;=20,2000,1900) + D655</f>
        <v>2003</v>
      </c>
      <c r="H655">
        <f t="shared" si="203"/>
        <v>6</v>
      </c>
      <c r="I655" s="4">
        <f t="shared" si="204"/>
        <v>25</v>
      </c>
      <c r="J655">
        <f t="shared" si="205"/>
        <v>20032625</v>
      </c>
      <c r="K655" t="str">
        <f t="shared" si="206"/>
        <v>25.26.2003</v>
      </c>
      <c r="L655" s="4">
        <f t="shared" si="207"/>
        <v>0</v>
      </c>
      <c r="M655" s="4">
        <f t="shared" si="208"/>
        <v>9</v>
      </c>
      <c r="N655" s="4">
        <f t="shared" si="209"/>
        <v>14</v>
      </c>
      <c r="O655" s="4">
        <f t="shared" si="210"/>
        <v>54</v>
      </c>
      <c r="P655" s="4">
        <f t="shared" si="211"/>
        <v>2</v>
      </c>
      <c r="Q655" s="4">
        <f t="shared" si="212"/>
        <v>15</v>
      </c>
      <c r="R655" s="4">
        <f t="shared" si="213"/>
        <v>49</v>
      </c>
      <c r="S655" s="4">
        <f t="shared" si="214"/>
        <v>72</v>
      </c>
      <c r="T655" s="4">
        <f t="shared" si="215"/>
        <v>3</v>
      </c>
      <c r="U655" s="4">
        <f t="shared" si="216"/>
        <v>6</v>
      </c>
      <c r="V655" s="8">
        <f t="shared" si="217"/>
        <v>4</v>
      </c>
      <c r="W655" s="8">
        <f t="shared" si="218"/>
        <v>6</v>
      </c>
      <c r="X655">
        <f t="shared" si="219"/>
        <v>1</v>
      </c>
    </row>
    <row r="656" spans="1:24" x14ac:dyDescent="0.25">
      <c r="A656" s="4" t="s">
        <v>682</v>
      </c>
      <c r="B656" t="s">
        <v>18</v>
      </c>
      <c r="C656" t="s">
        <v>6</v>
      </c>
      <c r="D656" s="3">
        <f t="shared" si="200"/>
        <v>8</v>
      </c>
      <c r="E656" s="4">
        <f t="shared" si="201"/>
        <v>26</v>
      </c>
      <c r="F656" s="4">
        <f t="shared" si="202"/>
        <v>16</v>
      </c>
      <c r="G656" s="3">
        <f>IF(E656&gt;=20,2000,1900) + D656</f>
        <v>2008</v>
      </c>
      <c r="H656">
        <f t="shared" si="203"/>
        <v>6</v>
      </c>
      <c r="I656" s="4">
        <f t="shared" si="204"/>
        <v>16</v>
      </c>
      <c r="J656">
        <f t="shared" si="205"/>
        <v>20082616</v>
      </c>
      <c r="K656" t="str">
        <f t="shared" si="206"/>
        <v>16.26.2008</v>
      </c>
      <c r="L656" s="4">
        <f t="shared" si="207"/>
        <v>0</v>
      </c>
      <c r="M656" s="4">
        <f t="shared" si="208"/>
        <v>24</v>
      </c>
      <c r="N656" s="4">
        <f t="shared" si="209"/>
        <v>14</v>
      </c>
      <c r="O656" s="4">
        <f t="shared" si="210"/>
        <v>54</v>
      </c>
      <c r="P656" s="4">
        <f t="shared" si="211"/>
        <v>1</v>
      </c>
      <c r="Q656" s="4">
        <f t="shared" si="212"/>
        <v>18</v>
      </c>
      <c r="R656" s="4">
        <f t="shared" si="213"/>
        <v>35</v>
      </c>
      <c r="S656" s="4">
        <f t="shared" si="214"/>
        <v>36</v>
      </c>
      <c r="T656" s="4">
        <f t="shared" si="215"/>
        <v>8</v>
      </c>
      <c r="U656" s="4">
        <f t="shared" si="216"/>
        <v>9</v>
      </c>
      <c r="V656" s="8">
        <f t="shared" si="217"/>
        <v>9</v>
      </c>
      <c r="W656" s="8">
        <f t="shared" si="218"/>
        <v>1</v>
      </c>
      <c r="X656">
        <f t="shared" si="219"/>
        <v>1</v>
      </c>
    </row>
    <row r="657" spans="1:24" x14ac:dyDescent="0.25">
      <c r="A657" s="4" t="s">
        <v>683</v>
      </c>
      <c r="B657" t="s">
        <v>19</v>
      </c>
      <c r="C657" t="s">
        <v>4</v>
      </c>
      <c r="D657" s="3">
        <f t="shared" si="200"/>
        <v>7</v>
      </c>
      <c r="E657" s="4">
        <f t="shared" si="201"/>
        <v>22</v>
      </c>
      <c r="F657" s="4">
        <f t="shared" si="202"/>
        <v>16</v>
      </c>
      <c r="G657" s="3">
        <f>IF(E657&gt;=20,2000,1900) + D657</f>
        <v>2007</v>
      </c>
      <c r="H657">
        <f t="shared" si="203"/>
        <v>2</v>
      </c>
      <c r="I657" s="4">
        <f t="shared" si="204"/>
        <v>16</v>
      </c>
      <c r="J657">
        <f t="shared" si="205"/>
        <v>20072216</v>
      </c>
      <c r="K657" t="str">
        <f t="shared" si="206"/>
        <v>16.22.2007</v>
      </c>
      <c r="L657" s="4">
        <f t="shared" si="207"/>
        <v>0</v>
      </c>
      <c r="M657" s="4">
        <f t="shared" si="208"/>
        <v>21</v>
      </c>
      <c r="N657" s="4">
        <f t="shared" si="209"/>
        <v>14</v>
      </c>
      <c r="O657" s="4">
        <f t="shared" si="210"/>
        <v>18</v>
      </c>
      <c r="P657" s="4">
        <f t="shared" si="211"/>
        <v>1</v>
      </c>
      <c r="Q657" s="4">
        <f t="shared" si="212"/>
        <v>18</v>
      </c>
      <c r="R657" s="4">
        <f t="shared" si="213"/>
        <v>21</v>
      </c>
      <c r="S657" s="4">
        <f t="shared" si="214"/>
        <v>54</v>
      </c>
      <c r="T657" s="4">
        <f t="shared" si="215"/>
        <v>3</v>
      </c>
      <c r="U657" s="4">
        <f t="shared" si="216"/>
        <v>15</v>
      </c>
      <c r="V657" s="8">
        <f t="shared" si="217"/>
        <v>5</v>
      </c>
      <c r="W657" s="8">
        <f t="shared" si="218"/>
        <v>5</v>
      </c>
      <c r="X657">
        <f t="shared" si="219"/>
        <v>1</v>
      </c>
    </row>
    <row r="658" spans="1:24" x14ac:dyDescent="0.25">
      <c r="A658" s="4" t="s">
        <v>684</v>
      </c>
      <c r="B658" t="s">
        <v>19</v>
      </c>
      <c r="C658" t="s">
        <v>4</v>
      </c>
      <c r="D658" s="3">
        <f t="shared" si="200"/>
        <v>3</v>
      </c>
      <c r="E658" s="4">
        <f t="shared" si="201"/>
        <v>22</v>
      </c>
      <c r="F658" s="4">
        <f t="shared" si="202"/>
        <v>10</v>
      </c>
      <c r="G658" s="3">
        <f>IF(E658&gt;=20,2000,1900) + D658</f>
        <v>2003</v>
      </c>
      <c r="H658">
        <f t="shared" si="203"/>
        <v>2</v>
      </c>
      <c r="I658" s="4">
        <f t="shared" si="204"/>
        <v>10</v>
      </c>
      <c r="J658">
        <f t="shared" si="205"/>
        <v>20032210</v>
      </c>
      <c r="K658" t="str">
        <f t="shared" si="206"/>
        <v>10.22.2003</v>
      </c>
      <c r="L658" s="4">
        <f t="shared" si="207"/>
        <v>0</v>
      </c>
      <c r="M658" s="4">
        <f t="shared" si="208"/>
        <v>9</v>
      </c>
      <c r="N658" s="4">
        <f t="shared" si="209"/>
        <v>14</v>
      </c>
      <c r="O658" s="4">
        <f t="shared" si="210"/>
        <v>18</v>
      </c>
      <c r="P658" s="4">
        <f t="shared" si="211"/>
        <v>1</v>
      </c>
      <c r="Q658" s="4">
        <f t="shared" si="212"/>
        <v>0</v>
      </c>
      <c r="R658" s="4">
        <f t="shared" si="213"/>
        <v>42</v>
      </c>
      <c r="S658" s="4">
        <f t="shared" si="214"/>
        <v>36</v>
      </c>
      <c r="T658" s="4">
        <f t="shared" si="215"/>
        <v>3</v>
      </c>
      <c r="U658" s="4">
        <f t="shared" si="216"/>
        <v>27</v>
      </c>
      <c r="V658" s="8">
        <f t="shared" si="217"/>
        <v>0</v>
      </c>
      <c r="W658" s="8">
        <f t="shared" si="218"/>
        <v>0</v>
      </c>
      <c r="X658">
        <f t="shared" si="219"/>
        <v>1</v>
      </c>
    </row>
    <row r="659" spans="1:24" x14ac:dyDescent="0.25">
      <c r="A659" s="4" t="s">
        <v>685</v>
      </c>
      <c r="B659" t="s">
        <v>9</v>
      </c>
      <c r="C659" t="s">
        <v>4</v>
      </c>
      <c r="D659" s="3">
        <f t="shared" si="200"/>
        <v>11</v>
      </c>
      <c r="E659" s="4">
        <f t="shared" si="201"/>
        <v>26</v>
      </c>
      <c r="F659" s="4">
        <f t="shared" si="202"/>
        <v>8</v>
      </c>
      <c r="G659" s="3">
        <f>IF(E659&gt;=20,2000,1900) + D659</f>
        <v>2011</v>
      </c>
      <c r="H659">
        <f t="shared" si="203"/>
        <v>6</v>
      </c>
      <c r="I659" s="4">
        <f t="shared" si="204"/>
        <v>8</v>
      </c>
      <c r="J659">
        <f t="shared" si="205"/>
        <v>20112608</v>
      </c>
      <c r="K659" t="str">
        <f t="shared" si="206"/>
        <v>08.26.2011</v>
      </c>
      <c r="L659" s="4">
        <f t="shared" si="207"/>
        <v>1</v>
      </c>
      <c r="M659" s="4">
        <f t="shared" si="208"/>
        <v>3</v>
      </c>
      <c r="N659" s="4">
        <f t="shared" si="209"/>
        <v>14</v>
      </c>
      <c r="O659" s="4">
        <f t="shared" si="210"/>
        <v>54</v>
      </c>
      <c r="P659" s="4">
        <f t="shared" si="211"/>
        <v>0</v>
      </c>
      <c r="Q659" s="4">
        <f t="shared" si="212"/>
        <v>24</v>
      </c>
      <c r="R659" s="4">
        <f t="shared" si="213"/>
        <v>63</v>
      </c>
      <c r="S659" s="4">
        <f t="shared" si="214"/>
        <v>0</v>
      </c>
      <c r="T659" s="4">
        <f t="shared" si="215"/>
        <v>2</v>
      </c>
      <c r="U659" s="4">
        <f t="shared" si="216"/>
        <v>6</v>
      </c>
      <c r="V659" s="8">
        <f t="shared" si="217"/>
        <v>7</v>
      </c>
      <c r="W659" s="8">
        <f t="shared" si="218"/>
        <v>3</v>
      </c>
      <c r="X659">
        <f t="shared" si="219"/>
        <v>1</v>
      </c>
    </row>
    <row r="660" spans="1:24" x14ac:dyDescent="0.25">
      <c r="A660" s="4" t="s">
        <v>686</v>
      </c>
      <c r="B660" t="s">
        <v>7</v>
      </c>
      <c r="C660" t="s">
        <v>4</v>
      </c>
      <c r="D660" s="3">
        <f t="shared" si="200"/>
        <v>14</v>
      </c>
      <c r="E660" s="4">
        <f t="shared" si="201"/>
        <v>24</v>
      </c>
      <c r="F660" s="4">
        <f t="shared" si="202"/>
        <v>11</v>
      </c>
      <c r="G660" s="3">
        <f>IF(E660&gt;=20,2000,1900) + D660</f>
        <v>2014</v>
      </c>
      <c r="H660">
        <f t="shared" si="203"/>
        <v>4</v>
      </c>
      <c r="I660" s="4">
        <f t="shared" si="204"/>
        <v>11</v>
      </c>
      <c r="J660">
        <f t="shared" si="205"/>
        <v>20142411</v>
      </c>
      <c r="K660" t="str">
        <f t="shared" si="206"/>
        <v>11.24.2014</v>
      </c>
      <c r="L660" s="4">
        <f t="shared" si="207"/>
        <v>1</v>
      </c>
      <c r="M660" s="4">
        <f t="shared" si="208"/>
        <v>12</v>
      </c>
      <c r="N660" s="4">
        <f t="shared" si="209"/>
        <v>14</v>
      </c>
      <c r="O660" s="4">
        <f t="shared" si="210"/>
        <v>36</v>
      </c>
      <c r="P660" s="4">
        <f t="shared" si="211"/>
        <v>1</v>
      </c>
      <c r="Q660" s="4">
        <f t="shared" si="212"/>
        <v>3</v>
      </c>
      <c r="R660" s="4">
        <f t="shared" si="213"/>
        <v>63</v>
      </c>
      <c r="S660" s="4">
        <f t="shared" si="214"/>
        <v>81</v>
      </c>
      <c r="T660" s="4">
        <f t="shared" si="215"/>
        <v>1</v>
      </c>
      <c r="U660" s="4">
        <f t="shared" si="216"/>
        <v>24</v>
      </c>
      <c r="V660" s="8">
        <f t="shared" si="217"/>
        <v>6</v>
      </c>
      <c r="W660" s="8">
        <f t="shared" si="218"/>
        <v>4</v>
      </c>
      <c r="X660">
        <f t="shared" si="219"/>
        <v>1</v>
      </c>
    </row>
    <row r="661" spans="1:24" x14ac:dyDescent="0.25">
      <c r="A661" s="4" t="s">
        <v>687</v>
      </c>
      <c r="B661" t="s">
        <v>19</v>
      </c>
      <c r="C661" t="s">
        <v>4</v>
      </c>
      <c r="D661" s="3">
        <f t="shared" si="200"/>
        <v>12</v>
      </c>
      <c r="E661" s="4">
        <f t="shared" si="201"/>
        <v>24</v>
      </c>
      <c r="F661" s="4">
        <f t="shared" si="202"/>
        <v>12</v>
      </c>
      <c r="G661" s="3">
        <f>IF(E661&gt;=20,2000,1900) + D661</f>
        <v>2012</v>
      </c>
      <c r="H661">
        <f t="shared" si="203"/>
        <v>4</v>
      </c>
      <c r="I661" s="4">
        <f t="shared" si="204"/>
        <v>12</v>
      </c>
      <c r="J661">
        <f t="shared" si="205"/>
        <v>20122412</v>
      </c>
      <c r="K661" t="str">
        <f t="shared" si="206"/>
        <v>12.24.2012</v>
      </c>
      <c r="L661" s="4">
        <f t="shared" si="207"/>
        <v>1</v>
      </c>
      <c r="M661" s="4">
        <f t="shared" si="208"/>
        <v>6</v>
      </c>
      <c r="N661" s="4">
        <f t="shared" si="209"/>
        <v>14</v>
      </c>
      <c r="O661" s="4">
        <f t="shared" si="210"/>
        <v>36</v>
      </c>
      <c r="P661" s="4">
        <f t="shared" si="211"/>
        <v>1</v>
      </c>
      <c r="Q661" s="4">
        <f t="shared" si="212"/>
        <v>6</v>
      </c>
      <c r="R661" s="4">
        <f t="shared" si="213"/>
        <v>14</v>
      </c>
      <c r="S661" s="4">
        <f t="shared" si="214"/>
        <v>54</v>
      </c>
      <c r="T661" s="4">
        <f t="shared" si="215"/>
        <v>9</v>
      </c>
      <c r="U661" s="4">
        <f t="shared" si="216"/>
        <v>3</v>
      </c>
      <c r="V661" s="8">
        <f t="shared" si="217"/>
        <v>4</v>
      </c>
      <c r="W661" s="8">
        <f t="shared" si="218"/>
        <v>6</v>
      </c>
      <c r="X661">
        <f t="shared" si="219"/>
        <v>1</v>
      </c>
    </row>
    <row r="662" spans="1:24" x14ac:dyDescent="0.25">
      <c r="A662" s="4" t="s">
        <v>688</v>
      </c>
      <c r="B662" t="s">
        <v>20</v>
      </c>
      <c r="C662" t="s">
        <v>6</v>
      </c>
      <c r="D662" s="3">
        <f t="shared" si="200"/>
        <v>4</v>
      </c>
      <c r="E662" s="4">
        <f t="shared" si="201"/>
        <v>21</v>
      </c>
      <c r="F662" s="4">
        <f t="shared" si="202"/>
        <v>31</v>
      </c>
      <c r="G662" s="3">
        <f>IF(E662&gt;=20,2000,1900) + D662</f>
        <v>2004</v>
      </c>
      <c r="H662">
        <f t="shared" si="203"/>
        <v>1</v>
      </c>
      <c r="I662" s="4">
        <f t="shared" si="204"/>
        <v>31</v>
      </c>
      <c r="J662">
        <f t="shared" si="205"/>
        <v>20042131</v>
      </c>
      <c r="K662" t="str">
        <f t="shared" si="206"/>
        <v>31.21.2004</v>
      </c>
      <c r="L662" s="4">
        <f t="shared" si="207"/>
        <v>0</v>
      </c>
      <c r="M662" s="4">
        <f t="shared" si="208"/>
        <v>12</v>
      </c>
      <c r="N662" s="4">
        <f t="shared" si="209"/>
        <v>14</v>
      </c>
      <c r="O662" s="4">
        <f t="shared" si="210"/>
        <v>9</v>
      </c>
      <c r="P662" s="4">
        <f t="shared" si="211"/>
        <v>3</v>
      </c>
      <c r="Q662" s="4">
        <f t="shared" si="212"/>
        <v>3</v>
      </c>
      <c r="R662" s="4">
        <f t="shared" si="213"/>
        <v>14</v>
      </c>
      <c r="S662" s="4">
        <f t="shared" si="214"/>
        <v>18</v>
      </c>
      <c r="T662" s="4">
        <f t="shared" si="215"/>
        <v>1</v>
      </c>
      <c r="U662" s="4">
        <f t="shared" si="216"/>
        <v>27</v>
      </c>
      <c r="V662" s="8">
        <f t="shared" si="217"/>
        <v>1</v>
      </c>
      <c r="W662" s="8">
        <f t="shared" si="218"/>
        <v>9</v>
      </c>
      <c r="X662">
        <f t="shared" si="219"/>
        <v>1</v>
      </c>
    </row>
    <row r="663" spans="1:24" x14ac:dyDescent="0.25">
      <c r="A663" s="4" t="s">
        <v>689</v>
      </c>
      <c r="B663" t="s">
        <v>10</v>
      </c>
      <c r="C663" t="s">
        <v>4</v>
      </c>
      <c r="D663" s="3">
        <f t="shared" si="200"/>
        <v>10</v>
      </c>
      <c r="E663" s="4">
        <f t="shared" si="201"/>
        <v>24</v>
      </c>
      <c r="F663" s="4">
        <f t="shared" si="202"/>
        <v>7</v>
      </c>
      <c r="G663" s="3">
        <f>IF(E663&gt;=20,2000,1900) + D663</f>
        <v>2010</v>
      </c>
      <c r="H663">
        <f t="shared" si="203"/>
        <v>4</v>
      </c>
      <c r="I663" s="4">
        <f t="shared" si="204"/>
        <v>7</v>
      </c>
      <c r="J663">
        <f t="shared" si="205"/>
        <v>20102407</v>
      </c>
      <c r="K663" t="str">
        <f t="shared" si="206"/>
        <v>07.24.2010</v>
      </c>
      <c r="L663" s="4">
        <f t="shared" si="207"/>
        <v>1</v>
      </c>
      <c r="M663" s="4">
        <f t="shared" si="208"/>
        <v>0</v>
      </c>
      <c r="N663" s="4">
        <f t="shared" si="209"/>
        <v>14</v>
      </c>
      <c r="O663" s="4">
        <f t="shared" si="210"/>
        <v>36</v>
      </c>
      <c r="P663" s="4">
        <f t="shared" si="211"/>
        <v>0</v>
      </c>
      <c r="Q663" s="4">
        <f t="shared" si="212"/>
        <v>21</v>
      </c>
      <c r="R663" s="4">
        <f t="shared" si="213"/>
        <v>63</v>
      </c>
      <c r="S663" s="4">
        <f t="shared" si="214"/>
        <v>63</v>
      </c>
      <c r="T663" s="4">
        <f t="shared" si="215"/>
        <v>8</v>
      </c>
      <c r="U663" s="4">
        <f t="shared" si="216"/>
        <v>12</v>
      </c>
      <c r="V663" s="8">
        <f t="shared" si="217"/>
        <v>8</v>
      </c>
      <c r="W663" s="8">
        <f t="shared" si="218"/>
        <v>2</v>
      </c>
      <c r="X663">
        <f t="shared" si="219"/>
        <v>1</v>
      </c>
    </row>
    <row r="664" spans="1:24" x14ac:dyDescent="0.25">
      <c r="A664" s="4" t="s">
        <v>690</v>
      </c>
      <c r="B664" t="s">
        <v>17</v>
      </c>
      <c r="C664" t="s">
        <v>6</v>
      </c>
      <c r="D664" s="3">
        <f t="shared" si="200"/>
        <v>19</v>
      </c>
      <c r="E664" s="4">
        <f t="shared" si="201"/>
        <v>25</v>
      </c>
      <c r="F664" s="4">
        <f t="shared" si="202"/>
        <v>11</v>
      </c>
      <c r="G664" s="3">
        <f>IF(E664&gt;=20,2000,1900) + D664</f>
        <v>2019</v>
      </c>
      <c r="H664">
        <f t="shared" si="203"/>
        <v>5</v>
      </c>
      <c r="I664" s="4">
        <f t="shared" si="204"/>
        <v>11</v>
      </c>
      <c r="J664">
        <f t="shared" si="205"/>
        <v>20192511</v>
      </c>
      <c r="K664" t="str">
        <f t="shared" si="206"/>
        <v>11.25.2019</v>
      </c>
      <c r="L664" s="4">
        <f t="shared" si="207"/>
        <v>1</v>
      </c>
      <c r="M664" s="4">
        <f t="shared" si="208"/>
        <v>27</v>
      </c>
      <c r="N664" s="4">
        <f t="shared" si="209"/>
        <v>14</v>
      </c>
      <c r="O664" s="4">
        <f t="shared" si="210"/>
        <v>45</v>
      </c>
      <c r="P664" s="4">
        <f t="shared" si="211"/>
        <v>1</v>
      </c>
      <c r="Q664" s="4">
        <f t="shared" si="212"/>
        <v>3</v>
      </c>
      <c r="R664" s="4">
        <f t="shared" si="213"/>
        <v>35</v>
      </c>
      <c r="S664" s="4">
        <f t="shared" si="214"/>
        <v>81</v>
      </c>
      <c r="T664" s="4">
        <f t="shared" si="215"/>
        <v>4</v>
      </c>
      <c r="U664" s="4">
        <f t="shared" si="216"/>
        <v>3</v>
      </c>
      <c r="V664" s="8">
        <f t="shared" si="217"/>
        <v>4</v>
      </c>
      <c r="W664" s="8">
        <f t="shared" si="218"/>
        <v>6</v>
      </c>
      <c r="X664">
        <f t="shared" si="219"/>
        <v>1</v>
      </c>
    </row>
    <row r="665" spans="1:24" x14ac:dyDescent="0.25">
      <c r="A665" s="4" t="s">
        <v>691</v>
      </c>
      <c r="B665" t="s">
        <v>14</v>
      </c>
      <c r="C665" t="s">
        <v>4</v>
      </c>
      <c r="D665" s="3">
        <f t="shared" si="200"/>
        <v>2</v>
      </c>
      <c r="E665" s="4">
        <f t="shared" si="201"/>
        <v>21</v>
      </c>
      <c r="F665" s="4">
        <f t="shared" si="202"/>
        <v>8</v>
      </c>
      <c r="G665" s="3">
        <f>IF(E665&gt;=20,2000,1900) + D665</f>
        <v>2002</v>
      </c>
      <c r="H665">
        <f t="shared" si="203"/>
        <v>1</v>
      </c>
      <c r="I665" s="4">
        <f t="shared" si="204"/>
        <v>8</v>
      </c>
      <c r="J665">
        <f t="shared" si="205"/>
        <v>20022108</v>
      </c>
      <c r="K665" t="str">
        <f t="shared" si="206"/>
        <v>08.21.2002</v>
      </c>
      <c r="L665" s="4">
        <f t="shared" si="207"/>
        <v>0</v>
      </c>
      <c r="M665" s="4">
        <f t="shared" si="208"/>
        <v>6</v>
      </c>
      <c r="N665" s="4">
        <f t="shared" si="209"/>
        <v>14</v>
      </c>
      <c r="O665" s="4">
        <f t="shared" si="210"/>
        <v>9</v>
      </c>
      <c r="P665" s="4">
        <f t="shared" si="211"/>
        <v>0</v>
      </c>
      <c r="Q665" s="4">
        <f t="shared" si="212"/>
        <v>24</v>
      </c>
      <c r="R665" s="4">
        <f t="shared" si="213"/>
        <v>14</v>
      </c>
      <c r="S665" s="4">
        <f t="shared" si="214"/>
        <v>81</v>
      </c>
      <c r="T665" s="4">
        <f t="shared" si="215"/>
        <v>6</v>
      </c>
      <c r="U665" s="4">
        <f t="shared" si="216"/>
        <v>15</v>
      </c>
      <c r="V665" s="8">
        <f t="shared" si="217"/>
        <v>9</v>
      </c>
      <c r="W665" s="8">
        <f t="shared" si="218"/>
        <v>1</v>
      </c>
      <c r="X665">
        <f t="shared" si="219"/>
        <v>1</v>
      </c>
    </row>
    <row r="666" spans="1:24" x14ac:dyDescent="0.25">
      <c r="A666" s="4" t="s">
        <v>692</v>
      </c>
      <c r="B666" t="s">
        <v>19</v>
      </c>
      <c r="C666" t="s">
        <v>4</v>
      </c>
      <c r="D666" s="3">
        <f t="shared" si="200"/>
        <v>16</v>
      </c>
      <c r="E666" s="4">
        <f t="shared" si="201"/>
        <v>32</v>
      </c>
      <c r="F666" s="4">
        <f t="shared" si="202"/>
        <v>3</v>
      </c>
      <c r="G666" s="3">
        <f>IF(E666&gt;=20,2000,1900) + D666</f>
        <v>2016</v>
      </c>
      <c r="H666">
        <f t="shared" si="203"/>
        <v>12</v>
      </c>
      <c r="I666" s="4">
        <f t="shared" si="204"/>
        <v>3</v>
      </c>
      <c r="J666">
        <f t="shared" si="205"/>
        <v>20163203</v>
      </c>
      <c r="K666" t="str">
        <f t="shared" si="206"/>
        <v>03.32.2016</v>
      </c>
      <c r="L666" s="4">
        <f t="shared" si="207"/>
        <v>1</v>
      </c>
      <c r="M666" s="4">
        <f t="shared" si="208"/>
        <v>18</v>
      </c>
      <c r="N666" s="4">
        <f t="shared" si="209"/>
        <v>21</v>
      </c>
      <c r="O666" s="4">
        <f t="shared" si="210"/>
        <v>18</v>
      </c>
      <c r="P666" s="4">
        <f t="shared" si="211"/>
        <v>0</v>
      </c>
      <c r="Q666" s="4">
        <f t="shared" si="212"/>
        <v>9</v>
      </c>
      <c r="R666" s="4">
        <f t="shared" si="213"/>
        <v>63</v>
      </c>
      <c r="S666" s="4">
        <f t="shared" si="214"/>
        <v>0</v>
      </c>
      <c r="T666" s="4">
        <f t="shared" si="215"/>
        <v>8</v>
      </c>
      <c r="U666" s="4">
        <f t="shared" si="216"/>
        <v>12</v>
      </c>
      <c r="V666" s="8">
        <f t="shared" si="217"/>
        <v>0</v>
      </c>
      <c r="W666" s="8">
        <f t="shared" si="218"/>
        <v>0</v>
      </c>
      <c r="X666">
        <f t="shared" si="219"/>
        <v>1</v>
      </c>
    </row>
    <row r="667" spans="1:24" x14ac:dyDescent="0.25">
      <c r="A667" s="4" t="s">
        <v>693</v>
      </c>
      <c r="B667" t="s">
        <v>14</v>
      </c>
      <c r="C667" t="s">
        <v>4</v>
      </c>
      <c r="D667" s="3">
        <f t="shared" si="200"/>
        <v>22</v>
      </c>
      <c r="E667" s="4">
        <f t="shared" si="201"/>
        <v>29</v>
      </c>
      <c r="F667" s="4">
        <f t="shared" si="202"/>
        <v>5</v>
      </c>
      <c r="G667" s="3">
        <f>IF(E667&gt;=20,2000,1900) + D667</f>
        <v>2022</v>
      </c>
      <c r="H667">
        <f t="shared" si="203"/>
        <v>9</v>
      </c>
      <c r="I667" s="4">
        <f t="shared" si="204"/>
        <v>5</v>
      </c>
      <c r="J667">
        <f t="shared" si="205"/>
        <v>20222905</v>
      </c>
      <c r="K667" t="str">
        <f t="shared" si="206"/>
        <v>05.29.2022</v>
      </c>
      <c r="L667" s="4">
        <f t="shared" si="207"/>
        <v>2</v>
      </c>
      <c r="M667" s="4">
        <f t="shared" si="208"/>
        <v>6</v>
      </c>
      <c r="N667" s="4">
        <f t="shared" si="209"/>
        <v>14</v>
      </c>
      <c r="O667" s="4">
        <f t="shared" si="210"/>
        <v>81</v>
      </c>
      <c r="P667" s="4">
        <f t="shared" si="211"/>
        <v>0</v>
      </c>
      <c r="Q667" s="4">
        <f t="shared" si="212"/>
        <v>15</v>
      </c>
      <c r="R667" s="4">
        <f t="shared" si="213"/>
        <v>49</v>
      </c>
      <c r="S667" s="4">
        <f t="shared" si="214"/>
        <v>36</v>
      </c>
      <c r="T667" s="4">
        <f t="shared" si="215"/>
        <v>7</v>
      </c>
      <c r="U667" s="4">
        <f t="shared" si="216"/>
        <v>18</v>
      </c>
      <c r="V667" s="8">
        <f t="shared" si="217"/>
        <v>8</v>
      </c>
      <c r="W667" s="8">
        <f t="shared" si="218"/>
        <v>2</v>
      </c>
      <c r="X667">
        <f t="shared" si="219"/>
        <v>1</v>
      </c>
    </row>
    <row r="668" spans="1:24" x14ac:dyDescent="0.25">
      <c r="A668" s="4" t="s">
        <v>694</v>
      </c>
      <c r="B668" t="s">
        <v>17</v>
      </c>
      <c r="C668" t="s">
        <v>4</v>
      </c>
      <c r="D668" s="3">
        <f t="shared" si="200"/>
        <v>15</v>
      </c>
      <c r="E668" s="4">
        <f t="shared" si="201"/>
        <v>27</v>
      </c>
      <c r="F668" s="4">
        <f t="shared" si="202"/>
        <v>28</v>
      </c>
      <c r="G668" s="3">
        <f>IF(E668&gt;=20,2000,1900) + D668</f>
        <v>2015</v>
      </c>
      <c r="H668">
        <f t="shared" si="203"/>
        <v>7</v>
      </c>
      <c r="I668" s="4">
        <f t="shared" si="204"/>
        <v>28</v>
      </c>
      <c r="J668">
        <f t="shared" si="205"/>
        <v>20152728</v>
      </c>
      <c r="K668" t="str">
        <f t="shared" si="206"/>
        <v>28.27.2015</v>
      </c>
      <c r="L668" s="4">
        <f t="shared" si="207"/>
        <v>1</v>
      </c>
      <c r="M668" s="4">
        <f t="shared" si="208"/>
        <v>15</v>
      </c>
      <c r="N668" s="4">
        <f t="shared" si="209"/>
        <v>14</v>
      </c>
      <c r="O668" s="4">
        <f t="shared" si="210"/>
        <v>63</v>
      </c>
      <c r="P668" s="4">
        <f t="shared" si="211"/>
        <v>2</v>
      </c>
      <c r="Q668" s="4">
        <f t="shared" si="212"/>
        <v>24</v>
      </c>
      <c r="R668" s="4">
        <f t="shared" si="213"/>
        <v>0</v>
      </c>
      <c r="S668" s="4">
        <f t="shared" si="214"/>
        <v>27</v>
      </c>
      <c r="T668" s="4">
        <f t="shared" si="215"/>
        <v>2</v>
      </c>
      <c r="U668" s="4">
        <f t="shared" si="216"/>
        <v>6</v>
      </c>
      <c r="V668" s="8">
        <f t="shared" si="217"/>
        <v>4</v>
      </c>
      <c r="W668" s="8">
        <f t="shared" si="218"/>
        <v>6</v>
      </c>
      <c r="X668">
        <f t="shared" si="219"/>
        <v>1</v>
      </c>
    </row>
    <row r="669" spans="1:24" x14ac:dyDescent="0.25">
      <c r="A669" s="4" t="s">
        <v>695</v>
      </c>
      <c r="B669" t="s">
        <v>11</v>
      </c>
      <c r="C669" t="s">
        <v>4</v>
      </c>
      <c r="D669" s="3">
        <f t="shared" si="200"/>
        <v>22</v>
      </c>
      <c r="E669" s="4">
        <f t="shared" si="201"/>
        <v>30</v>
      </c>
      <c r="F669" s="4">
        <f t="shared" si="202"/>
        <v>12</v>
      </c>
      <c r="G669" s="3">
        <f>IF(E669&gt;=20,2000,1900) + D669</f>
        <v>2022</v>
      </c>
      <c r="H669">
        <f t="shared" si="203"/>
        <v>10</v>
      </c>
      <c r="I669" s="4">
        <f t="shared" si="204"/>
        <v>12</v>
      </c>
      <c r="J669">
        <f t="shared" si="205"/>
        <v>20223012</v>
      </c>
      <c r="K669" t="str">
        <f t="shared" si="206"/>
        <v>12.30.2022</v>
      </c>
      <c r="L669" s="4">
        <f t="shared" si="207"/>
        <v>2</v>
      </c>
      <c r="M669" s="4">
        <f t="shared" si="208"/>
        <v>6</v>
      </c>
      <c r="N669" s="4">
        <f t="shared" si="209"/>
        <v>21</v>
      </c>
      <c r="O669" s="4">
        <f t="shared" si="210"/>
        <v>0</v>
      </c>
      <c r="P669" s="4">
        <f t="shared" si="211"/>
        <v>1</v>
      </c>
      <c r="Q669" s="4">
        <f t="shared" si="212"/>
        <v>6</v>
      </c>
      <c r="R669" s="4">
        <f t="shared" si="213"/>
        <v>7</v>
      </c>
      <c r="S669" s="4">
        <f t="shared" si="214"/>
        <v>27</v>
      </c>
      <c r="T669" s="4">
        <f t="shared" si="215"/>
        <v>2</v>
      </c>
      <c r="U669" s="4">
        <f t="shared" si="216"/>
        <v>9</v>
      </c>
      <c r="V669" s="8">
        <f t="shared" si="217"/>
        <v>1</v>
      </c>
      <c r="W669" s="8">
        <f t="shared" si="218"/>
        <v>9</v>
      </c>
      <c r="X669">
        <f t="shared" si="219"/>
        <v>1</v>
      </c>
    </row>
    <row r="670" spans="1:24" x14ac:dyDescent="0.25">
      <c r="A670" s="4" t="s">
        <v>696</v>
      </c>
      <c r="B670" t="s">
        <v>3</v>
      </c>
      <c r="C670" t="s">
        <v>6</v>
      </c>
      <c r="D670" s="3">
        <f t="shared" si="200"/>
        <v>12</v>
      </c>
      <c r="E670" s="4">
        <f t="shared" si="201"/>
        <v>29</v>
      </c>
      <c r="F670" s="4">
        <f t="shared" si="202"/>
        <v>30</v>
      </c>
      <c r="G670" s="3">
        <f>IF(E670&gt;=20,2000,1900) + D670</f>
        <v>2012</v>
      </c>
      <c r="H670">
        <f t="shared" si="203"/>
        <v>9</v>
      </c>
      <c r="I670" s="4">
        <f t="shared" si="204"/>
        <v>30</v>
      </c>
      <c r="J670">
        <f t="shared" si="205"/>
        <v>20122930</v>
      </c>
      <c r="K670" t="str">
        <f t="shared" si="206"/>
        <v>30.29.2012</v>
      </c>
      <c r="L670" s="4">
        <f t="shared" si="207"/>
        <v>1</v>
      </c>
      <c r="M670" s="4">
        <f t="shared" si="208"/>
        <v>6</v>
      </c>
      <c r="N670" s="4">
        <f t="shared" si="209"/>
        <v>14</v>
      </c>
      <c r="O670" s="4">
        <f t="shared" si="210"/>
        <v>81</v>
      </c>
      <c r="P670" s="4">
        <f t="shared" si="211"/>
        <v>3</v>
      </c>
      <c r="Q670" s="4">
        <f t="shared" si="212"/>
        <v>0</v>
      </c>
      <c r="R670" s="4">
        <f t="shared" si="213"/>
        <v>21</v>
      </c>
      <c r="S670" s="4">
        <f t="shared" si="214"/>
        <v>36</v>
      </c>
      <c r="T670" s="4">
        <f t="shared" si="215"/>
        <v>5</v>
      </c>
      <c r="U670" s="4">
        <f t="shared" si="216"/>
        <v>15</v>
      </c>
      <c r="V670" s="8">
        <f t="shared" si="217"/>
        <v>2</v>
      </c>
      <c r="W670" s="8">
        <f t="shared" si="218"/>
        <v>8</v>
      </c>
      <c r="X670">
        <f t="shared" si="219"/>
        <v>1</v>
      </c>
    </row>
    <row r="671" spans="1:24" x14ac:dyDescent="0.25">
      <c r="A671" s="4" t="s">
        <v>697</v>
      </c>
      <c r="B671" t="s">
        <v>3</v>
      </c>
      <c r="C671" t="s">
        <v>6</v>
      </c>
      <c r="D671" s="3">
        <f t="shared" si="200"/>
        <v>11</v>
      </c>
      <c r="E671" s="4">
        <f t="shared" si="201"/>
        <v>22</v>
      </c>
      <c r="F671" s="4">
        <f t="shared" si="202"/>
        <v>4</v>
      </c>
      <c r="G671" s="3">
        <f>IF(E671&gt;=20,2000,1900) + D671</f>
        <v>2011</v>
      </c>
      <c r="H671">
        <f t="shared" si="203"/>
        <v>2</v>
      </c>
      <c r="I671" s="4">
        <f t="shared" si="204"/>
        <v>4</v>
      </c>
      <c r="J671">
        <f t="shared" si="205"/>
        <v>20112204</v>
      </c>
      <c r="K671" t="str">
        <f t="shared" si="206"/>
        <v>04.22.2011</v>
      </c>
      <c r="L671" s="4">
        <f t="shared" si="207"/>
        <v>1</v>
      </c>
      <c r="M671" s="4">
        <f t="shared" si="208"/>
        <v>3</v>
      </c>
      <c r="N671" s="4">
        <f t="shared" si="209"/>
        <v>14</v>
      </c>
      <c r="O671" s="4">
        <f t="shared" si="210"/>
        <v>18</v>
      </c>
      <c r="P671" s="4">
        <f t="shared" si="211"/>
        <v>0</v>
      </c>
      <c r="Q671" s="4">
        <f t="shared" si="212"/>
        <v>12</v>
      </c>
      <c r="R671" s="4">
        <f t="shared" si="213"/>
        <v>63</v>
      </c>
      <c r="S671" s="4">
        <f t="shared" si="214"/>
        <v>27</v>
      </c>
      <c r="T671" s="4">
        <f t="shared" si="215"/>
        <v>8</v>
      </c>
      <c r="U671" s="4">
        <f t="shared" si="216"/>
        <v>18</v>
      </c>
      <c r="V671" s="8">
        <f t="shared" si="217"/>
        <v>4</v>
      </c>
      <c r="W671" s="8">
        <f t="shared" si="218"/>
        <v>6</v>
      </c>
      <c r="X671">
        <f t="shared" si="219"/>
        <v>1</v>
      </c>
    </row>
    <row r="672" spans="1:24" x14ac:dyDescent="0.25">
      <c r="A672" s="4" t="s">
        <v>698</v>
      </c>
      <c r="B672" t="s">
        <v>11</v>
      </c>
      <c r="C672" t="s">
        <v>4</v>
      </c>
      <c r="D672" s="3">
        <f t="shared" si="200"/>
        <v>6</v>
      </c>
      <c r="E672" s="4">
        <f t="shared" si="201"/>
        <v>32</v>
      </c>
      <c r="F672" s="4">
        <f t="shared" si="202"/>
        <v>16</v>
      </c>
      <c r="G672" s="3">
        <f>IF(E672&gt;=20,2000,1900) + D672</f>
        <v>2006</v>
      </c>
      <c r="H672">
        <f t="shared" si="203"/>
        <v>12</v>
      </c>
      <c r="I672" s="4">
        <f t="shared" si="204"/>
        <v>16</v>
      </c>
      <c r="J672">
        <f t="shared" si="205"/>
        <v>20063216</v>
      </c>
      <c r="K672" t="str">
        <f t="shared" si="206"/>
        <v>16.32.2006</v>
      </c>
      <c r="L672" s="4">
        <f t="shared" si="207"/>
        <v>0</v>
      </c>
      <c r="M672" s="4">
        <f t="shared" si="208"/>
        <v>18</v>
      </c>
      <c r="N672" s="4">
        <f t="shared" si="209"/>
        <v>21</v>
      </c>
      <c r="O672" s="4">
        <f t="shared" si="210"/>
        <v>18</v>
      </c>
      <c r="P672" s="4">
        <f t="shared" si="211"/>
        <v>1</v>
      </c>
      <c r="Q672" s="4">
        <f t="shared" si="212"/>
        <v>18</v>
      </c>
      <c r="R672" s="4">
        <f t="shared" si="213"/>
        <v>35</v>
      </c>
      <c r="S672" s="4">
        <f t="shared" si="214"/>
        <v>54</v>
      </c>
      <c r="T672" s="4">
        <f t="shared" si="215"/>
        <v>6</v>
      </c>
      <c r="U672" s="4">
        <f t="shared" si="216"/>
        <v>21</v>
      </c>
      <c r="V672" s="8">
        <f t="shared" si="217"/>
        <v>2</v>
      </c>
      <c r="W672" s="8">
        <f t="shared" si="218"/>
        <v>8</v>
      </c>
      <c r="X672">
        <f t="shared" si="219"/>
        <v>1</v>
      </c>
    </row>
    <row r="673" spans="1:24" x14ac:dyDescent="0.25">
      <c r="A673" s="4" t="s">
        <v>699</v>
      </c>
      <c r="B673" t="s">
        <v>10</v>
      </c>
      <c r="C673" t="s">
        <v>4</v>
      </c>
      <c r="D673" s="3">
        <f t="shared" si="200"/>
        <v>8</v>
      </c>
      <c r="E673" s="4">
        <f t="shared" si="201"/>
        <v>27</v>
      </c>
      <c r="F673" s="4">
        <f t="shared" si="202"/>
        <v>18</v>
      </c>
      <c r="G673" s="3">
        <f>IF(E673&gt;=20,2000,1900) + D673</f>
        <v>2008</v>
      </c>
      <c r="H673">
        <f t="shared" si="203"/>
        <v>7</v>
      </c>
      <c r="I673" s="4">
        <f t="shared" si="204"/>
        <v>18</v>
      </c>
      <c r="J673">
        <f t="shared" si="205"/>
        <v>20082718</v>
      </c>
      <c r="K673" t="str">
        <f t="shared" si="206"/>
        <v>18.27.2008</v>
      </c>
      <c r="L673" s="4">
        <f t="shared" si="207"/>
        <v>0</v>
      </c>
      <c r="M673" s="4">
        <f t="shared" si="208"/>
        <v>24</v>
      </c>
      <c r="N673" s="4">
        <f t="shared" si="209"/>
        <v>14</v>
      </c>
      <c r="O673" s="4">
        <f t="shared" si="210"/>
        <v>63</v>
      </c>
      <c r="P673" s="4">
        <f t="shared" si="211"/>
        <v>1</v>
      </c>
      <c r="Q673" s="4">
        <f t="shared" si="212"/>
        <v>24</v>
      </c>
      <c r="R673" s="4">
        <f t="shared" si="213"/>
        <v>35</v>
      </c>
      <c r="S673" s="4">
        <f t="shared" si="214"/>
        <v>36</v>
      </c>
      <c r="T673" s="4">
        <f t="shared" si="215"/>
        <v>7</v>
      </c>
      <c r="U673" s="4">
        <f t="shared" si="216"/>
        <v>9</v>
      </c>
      <c r="V673" s="8">
        <f t="shared" si="217"/>
        <v>3</v>
      </c>
      <c r="W673" s="8">
        <f t="shared" si="218"/>
        <v>7</v>
      </c>
      <c r="X673">
        <f t="shared" si="219"/>
        <v>1</v>
      </c>
    </row>
    <row r="674" spans="1:24" x14ac:dyDescent="0.25">
      <c r="A674" s="4" t="s">
        <v>700</v>
      </c>
      <c r="B674" t="s">
        <v>17</v>
      </c>
      <c r="C674" t="s">
        <v>6</v>
      </c>
      <c r="D674" s="3">
        <f t="shared" si="200"/>
        <v>12</v>
      </c>
      <c r="E674" s="4">
        <f t="shared" si="201"/>
        <v>22</v>
      </c>
      <c r="F674" s="4">
        <f t="shared" si="202"/>
        <v>1</v>
      </c>
      <c r="G674" s="3">
        <f>IF(E674&gt;=20,2000,1900) + D674</f>
        <v>2012</v>
      </c>
      <c r="H674">
        <f t="shared" si="203"/>
        <v>2</v>
      </c>
      <c r="I674" s="4">
        <f t="shared" si="204"/>
        <v>1</v>
      </c>
      <c r="J674">
        <f t="shared" si="205"/>
        <v>20122201</v>
      </c>
      <c r="K674" t="str">
        <f t="shared" si="206"/>
        <v>01.22.2012</v>
      </c>
      <c r="L674" s="4">
        <f t="shared" si="207"/>
        <v>1</v>
      </c>
      <c r="M674" s="4">
        <f t="shared" si="208"/>
        <v>6</v>
      </c>
      <c r="N674" s="4">
        <f t="shared" si="209"/>
        <v>14</v>
      </c>
      <c r="O674" s="4">
        <f t="shared" si="210"/>
        <v>18</v>
      </c>
      <c r="P674" s="4">
        <f t="shared" si="211"/>
        <v>0</v>
      </c>
      <c r="Q674" s="4">
        <f t="shared" si="212"/>
        <v>3</v>
      </c>
      <c r="R674" s="4">
        <f t="shared" si="213"/>
        <v>42</v>
      </c>
      <c r="S674" s="4">
        <f t="shared" si="214"/>
        <v>81</v>
      </c>
      <c r="T674" s="4">
        <f t="shared" si="215"/>
        <v>1</v>
      </c>
      <c r="U674" s="4">
        <f t="shared" si="216"/>
        <v>12</v>
      </c>
      <c r="V674" s="8">
        <f t="shared" si="217"/>
        <v>8</v>
      </c>
      <c r="W674" s="8">
        <f t="shared" si="218"/>
        <v>2</v>
      </c>
      <c r="X674">
        <f t="shared" si="219"/>
        <v>1</v>
      </c>
    </row>
    <row r="675" spans="1:24" x14ac:dyDescent="0.25">
      <c r="A675" s="4" t="s">
        <v>701</v>
      </c>
      <c r="B675" t="s">
        <v>13</v>
      </c>
      <c r="C675" t="s">
        <v>6</v>
      </c>
      <c r="D675" s="3">
        <f t="shared" si="200"/>
        <v>18</v>
      </c>
      <c r="E675" s="4">
        <f t="shared" si="201"/>
        <v>27</v>
      </c>
      <c r="F675" s="4">
        <f t="shared" si="202"/>
        <v>18</v>
      </c>
      <c r="G675" s="3">
        <f>IF(E675&gt;=20,2000,1900) + D675</f>
        <v>2018</v>
      </c>
      <c r="H675">
        <f t="shared" si="203"/>
        <v>7</v>
      </c>
      <c r="I675" s="4">
        <f t="shared" si="204"/>
        <v>18</v>
      </c>
      <c r="J675">
        <f t="shared" si="205"/>
        <v>20182718</v>
      </c>
      <c r="K675" t="str">
        <f t="shared" si="206"/>
        <v>18.27.2018</v>
      </c>
      <c r="L675" s="4">
        <f t="shared" si="207"/>
        <v>1</v>
      </c>
      <c r="M675" s="4">
        <f t="shared" si="208"/>
        <v>24</v>
      </c>
      <c r="N675" s="4">
        <f t="shared" si="209"/>
        <v>14</v>
      </c>
      <c r="O675" s="4">
        <f t="shared" si="210"/>
        <v>63</v>
      </c>
      <c r="P675" s="4">
        <f t="shared" si="211"/>
        <v>1</v>
      </c>
      <c r="Q675" s="4">
        <f t="shared" si="212"/>
        <v>24</v>
      </c>
      <c r="R675" s="4">
        <f t="shared" si="213"/>
        <v>28</v>
      </c>
      <c r="S675" s="4">
        <f t="shared" si="214"/>
        <v>81</v>
      </c>
      <c r="T675" s="4">
        <f t="shared" si="215"/>
        <v>2</v>
      </c>
      <c r="U675" s="4">
        <f t="shared" si="216"/>
        <v>27</v>
      </c>
      <c r="V675" s="8">
        <f t="shared" si="217"/>
        <v>5</v>
      </c>
      <c r="W675" s="8">
        <f t="shared" si="218"/>
        <v>5</v>
      </c>
      <c r="X675">
        <f t="shared" si="219"/>
        <v>1</v>
      </c>
    </row>
    <row r="676" spans="1:24" x14ac:dyDescent="0.25">
      <c r="A676" s="4" t="s">
        <v>702</v>
      </c>
      <c r="B676" t="s">
        <v>14</v>
      </c>
      <c r="C676" t="s">
        <v>6</v>
      </c>
      <c r="D676" s="3">
        <f t="shared" si="200"/>
        <v>6</v>
      </c>
      <c r="E676" s="4">
        <f t="shared" si="201"/>
        <v>21</v>
      </c>
      <c r="F676" s="4">
        <f t="shared" si="202"/>
        <v>8</v>
      </c>
      <c r="G676" s="3">
        <f>IF(E676&gt;=20,2000,1900) + D676</f>
        <v>2006</v>
      </c>
      <c r="H676">
        <f t="shared" si="203"/>
        <v>1</v>
      </c>
      <c r="I676" s="4">
        <f t="shared" si="204"/>
        <v>8</v>
      </c>
      <c r="J676">
        <f t="shared" si="205"/>
        <v>20062108</v>
      </c>
      <c r="K676" t="str">
        <f t="shared" si="206"/>
        <v>08.21.2006</v>
      </c>
      <c r="L676" s="4">
        <f t="shared" si="207"/>
        <v>0</v>
      </c>
      <c r="M676" s="4">
        <f t="shared" si="208"/>
        <v>18</v>
      </c>
      <c r="N676" s="4">
        <f t="shared" si="209"/>
        <v>14</v>
      </c>
      <c r="O676" s="4">
        <f t="shared" si="210"/>
        <v>9</v>
      </c>
      <c r="P676" s="4">
        <f t="shared" si="211"/>
        <v>0</v>
      </c>
      <c r="Q676" s="4">
        <f t="shared" si="212"/>
        <v>24</v>
      </c>
      <c r="R676" s="4">
        <f t="shared" si="213"/>
        <v>28</v>
      </c>
      <c r="S676" s="4">
        <f t="shared" si="214"/>
        <v>27</v>
      </c>
      <c r="T676" s="4">
        <f t="shared" si="215"/>
        <v>0</v>
      </c>
      <c r="U676" s="4">
        <f t="shared" si="216"/>
        <v>15</v>
      </c>
      <c r="V676" s="8">
        <f t="shared" si="217"/>
        <v>5</v>
      </c>
      <c r="W676" s="8">
        <f t="shared" si="218"/>
        <v>5</v>
      </c>
      <c r="X676">
        <f t="shared" si="219"/>
        <v>1</v>
      </c>
    </row>
    <row r="677" spans="1:24" x14ac:dyDescent="0.25">
      <c r="A677" s="4" t="s">
        <v>703</v>
      </c>
      <c r="B677" t="s">
        <v>20</v>
      </c>
      <c r="C677" t="s">
        <v>4</v>
      </c>
      <c r="D677" s="3">
        <f t="shared" si="200"/>
        <v>8</v>
      </c>
      <c r="E677" s="4">
        <f t="shared" si="201"/>
        <v>24</v>
      </c>
      <c r="F677" s="4">
        <f t="shared" si="202"/>
        <v>13</v>
      </c>
      <c r="G677" s="3">
        <f>IF(E677&gt;=20,2000,1900) + D677</f>
        <v>2008</v>
      </c>
      <c r="H677">
        <f t="shared" si="203"/>
        <v>4</v>
      </c>
      <c r="I677" s="4">
        <f t="shared" si="204"/>
        <v>13</v>
      </c>
      <c r="J677">
        <f t="shared" si="205"/>
        <v>20082413</v>
      </c>
      <c r="K677" t="str">
        <f t="shared" si="206"/>
        <v>13.24.2008</v>
      </c>
      <c r="L677" s="4">
        <f t="shared" si="207"/>
        <v>0</v>
      </c>
      <c r="M677" s="4">
        <f t="shared" si="208"/>
        <v>24</v>
      </c>
      <c r="N677" s="4">
        <f t="shared" si="209"/>
        <v>14</v>
      </c>
      <c r="O677" s="4">
        <f t="shared" si="210"/>
        <v>36</v>
      </c>
      <c r="P677" s="4">
        <f t="shared" si="211"/>
        <v>1</v>
      </c>
      <c r="Q677" s="4">
        <f t="shared" si="212"/>
        <v>9</v>
      </c>
      <c r="R677" s="4">
        <f t="shared" si="213"/>
        <v>7</v>
      </c>
      <c r="S677" s="4">
        <f t="shared" si="214"/>
        <v>18</v>
      </c>
      <c r="T677" s="4">
        <f t="shared" si="215"/>
        <v>0</v>
      </c>
      <c r="U677" s="4">
        <f t="shared" si="216"/>
        <v>9</v>
      </c>
      <c r="V677" s="8">
        <f t="shared" si="217"/>
        <v>8</v>
      </c>
      <c r="W677" s="8">
        <f t="shared" si="218"/>
        <v>2</v>
      </c>
      <c r="X677">
        <f t="shared" si="219"/>
        <v>1</v>
      </c>
    </row>
    <row r="678" spans="1:24" x14ac:dyDescent="0.25">
      <c r="A678" s="4" t="s">
        <v>704</v>
      </c>
      <c r="B678" t="s">
        <v>10</v>
      </c>
      <c r="C678" t="s">
        <v>4</v>
      </c>
      <c r="D678" s="3">
        <f t="shared" si="200"/>
        <v>15</v>
      </c>
      <c r="E678" s="4">
        <f t="shared" si="201"/>
        <v>32</v>
      </c>
      <c r="F678" s="4">
        <f t="shared" si="202"/>
        <v>11</v>
      </c>
      <c r="G678" s="3">
        <f>IF(E678&gt;=20,2000,1900) + D678</f>
        <v>2015</v>
      </c>
      <c r="H678">
        <f t="shared" si="203"/>
        <v>12</v>
      </c>
      <c r="I678" s="4">
        <f t="shared" si="204"/>
        <v>11</v>
      </c>
      <c r="J678">
        <f t="shared" si="205"/>
        <v>20153211</v>
      </c>
      <c r="K678" t="str">
        <f t="shared" si="206"/>
        <v>11.32.2015</v>
      </c>
      <c r="L678" s="4">
        <f t="shared" si="207"/>
        <v>1</v>
      </c>
      <c r="M678" s="4">
        <f t="shared" si="208"/>
        <v>15</v>
      </c>
      <c r="N678" s="4">
        <f t="shared" si="209"/>
        <v>21</v>
      </c>
      <c r="O678" s="4">
        <f t="shared" si="210"/>
        <v>18</v>
      </c>
      <c r="P678" s="4">
        <f t="shared" si="211"/>
        <v>1</v>
      </c>
      <c r="Q678" s="4">
        <f t="shared" si="212"/>
        <v>3</v>
      </c>
      <c r="R678" s="4">
        <f t="shared" si="213"/>
        <v>0</v>
      </c>
      <c r="S678" s="4">
        <f t="shared" si="214"/>
        <v>9</v>
      </c>
      <c r="T678" s="4">
        <f t="shared" si="215"/>
        <v>9</v>
      </c>
      <c r="U678" s="4">
        <f t="shared" si="216"/>
        <v>27</v>
      </c>
      <c r="V678" s="8">
        <f t="shared" si="217"/>
        <v>4</v>
      </c>
      <c r="W678" s="8">
        <f t="shared" si="218"/>
        <v>6</v>
      </c>
      <c r="X678">
        <f t="shared" si="219"/>
        <v>1</v>
      </c>
    </row>
    <row r="679" spans="1:24" x14ac:dyDescent="0.25">
      <c r="A679" s="4" t="s">
        <v>705</v>
      </c>
      <c r="B679" t="s">
        <v>11</v>
      </c>
      <c r="C679" t="s">
        <v>4</v>
      </c>
      <c r="D679" s="3">
        <f t="shared" si="200"/>
        <v>9</v>
      </c>
      <c r="E679" s="4">
        <f t="shared" si="201"/>
        <v>23</v>
      </c>
      <c r="F679" s="4">
        <f t="shared" si="202"/>
        <v>3</v>
      </c>
      <c r="G679" s="3">
        <f>IF(E679&gt;=20,2000,1900) + D679</f>
        <v>2009</v>
      </c>
      <c r="H679">
        <f t="shared" si="203"/>
        <v>3</v>
      </c>
      <c r="I679" s="4">
        <f t="shared" si="204"/>
        <v>3</v>
      </c>
      <c r="J679">
        <f t="shared" si="205"/>
        <v>20092303</v>
      </c>
      <c r="K679" t="str">
        <f t="shared" si="206"/>
        <v>03.23.2009</v>
      </c>
      <c r="L679" s="4">
        <f t="shared" si="207"/>
        <v>0</v>
      </c>
      <c r="M679" s="4">
        <f t="shared" si="208"/>
        <v>27</v>
      </c>
      <c r="N679" s="4">
        <f t="shared" si="209"/>
        <v>14</v>
      </c>
      <c r="O679" s="4">
        <f t="shared" si="210"/>
        <v>27</v>
      </c>
      <c r="P679" s="4">
        <f t="shared" si="211"/>
        <v>0</v>
      </c>
      <c r="Q679" s="4">
        <f t="shared" si="212"/>
        <v>9</v>
      </c>
      <c r="R679" s="4">
        <f t="shared" si="213"/>
        <v>14</v>
      </c>
      <c r="S679" s="4">
        <f t="shared" si="214"/>
        <v>9</v>
      </c>
      <c r="T679" s="4">
        <f t="shared" si="215"/>
        <v>6</v>
      </c>
      <c r="U679" s="4">
        <f t="shared" si="216"/>
        <v>0</v>
      </c>
      <c r="V679" s="8">
        <f t="shared" si="217"/>
        <v>6</v>
      </c>
      <c r="W679" s="8">
        <f t="shared" si="218"/>
        <v>4</v>
      </c>
      <c r="X679">
        <f t="shared" si="219"/>
        <v>1</v>
      </c>
    </row>
    <row r="680" spans="1:24" x14ac:dyDescent="0.25">
      <c r="A680" s="4" t="s">
        <v>706</v>
      </c>
      <c r="B680" t="s">
        <v>3</v>
      </c>
      <c r="C680" t="s">
        <v>4</v>
      </c>
      <c r="D680" s="3">
        <f t="shared" si="200"/>
        <v>9</v>
      </c>
      <c r="E680" s="4">
        <f t="shared" si="201"/>
        <v>28</v>
      </c>
      <c r="F680" s="4">
        <f t="shared" si="202"/>
        <v>22</v>
      </c>
      <c r="G680" s="3">
        <f>IF(E680&gt;=20,2000,1900) + D680</f>
        <v>2009</v>
      </c>
      <c r="H680">
        <f t="shared" si="203"/>
        <v>8</v>
      </c>
      <c r="I680" s="4">
        <f t="shared" si="204"/>
        <v>22</v>
      </c>
      <c r="J680">
        <f t="shared" si="205"/>
        <v>20092822</v>
      </c>
      <c r="K680" t="str">
        <f t="shared" si="206"/>
        <v>22.28.2009</v>
      </c>
      <c r="L680" s="4">
        <f t="shared" si="207"/>
        <v>0</v>
      </c>
      <c r="M680" s="4">
        <f t="shared" si="208"/>
        <v>27</v>
      </c>
      <c r="N680" s="4">
        <f t="shared" si="209"/>
        <v>14</v>
      </c>
      <c r="O680" s="4">
        <f t="shared" si="210"/>
        <v>72</v>
      </c>
      <c r="P680" s="4">
        <f t="shared" si="211"/>
        <v>2</v>
      </c>
      <c r="Q680" s="4">
        <f t="shared" si="212"/>
        <v>6</v>
      </c>
      <c r="R680" s="4">
        <f t="shared" si="213"/>
        <v>35</v>
      </c>
      <c r="S680" s="4">
        <f t="shared" si="214"/>
        <v>63</v>
      </c>
      <c r="T680" s="4">
        <f t="shared" si="215"/>
        <v>5</v>
      </c>
      <c r="U680" s="4">
        <f t="shared" si="216"/>
        <v>12</v>
      </c>
      <c r="V680" s="8">
        <f t="shared" si="217"/>
        <v>6</v>
      </c>
      <c r="W680" s="8">
        <f t="shared" si="218"/>
        <v>4</v>
      </c>
      <c r="X680">
        <f t="shared" si="219"/>
        <v>1</v>
      </c>
    </row>
    <row r="681" spans="1:24" x14ac:dyDescent="0.25">
      <c r="A681" s="4" t="s">
        <v>707</v>
      </c>
      <c r="B681" t="s">
        <v>15</v>
      </c>
      <c r="C681" t="s">
        <v>4</v>
      </c>
      <c r="D681" s="3">
        <f t="shared" si="200"/>
        <v>12</v>
      </c>
      <c r="E681" s="4">
        <f t="shared" si="201"/>
        <v>27</v>
      </c>
      <c r="F681" s="4">
        <f t="shared" si="202"/>
        <v>22</v>
      </c>
      <c r="G681" s="3">
        <f>IF(E681&gt;=20,2000,1900) + D681</f>
        <v>2012</v>
      </c>
      <c r="H681">
        <f t="shared" si="203"/>
        <v>7</v>
      </c>
      <c r="I681" s="4">
        <f t="shared" si="204"/>
        <v>22</v>
      </c>
      <c r="J681">
        <f t="shared" si="205"/>
        <v>20122722</v>
      </c>
      <c r="K681" t="str">
        <f t="shared" si="206"/>
        <v>22.27.2012</v>
      </c>
      <c r="L681" s="4">
        <f t="shared" si="207"/>
        <v>1</v>
      </c>
      <c r="M681" s="4">
        <f t="shared" si="208"/>
        <v>6</v>
      </c>
      <c r="N681" s="4">
        <f t="shared" si="209"/>
        <v>14</v>
      </c>
      <c r="O681" s="4">
        <f t="shared" si="210"/>
        <v>63</v>
      </c>
      <c r="P681" s="4">
        <f t="shared" si="211"/>
        <v>2</v>
      </c>
      <c r="Q681" s="4">
        <f t="shared" si="212"/>
        <v>6</v>
      </c>
      <c r="R681" s="4">
        <f t="shared" si="213"/>
        <v>49</v>
      </c>
      <c r="S681" s="4">
        <f t="shared" si="214"/>
        <v>72</v>
      </c>
      <c r="T681" s="4">
        <f t="shared" si="215"/>
        <v>4</v>
      </c>
      <c r="U681" s="4">
        <f t="shared" si="216"/>
        <v>27</v>
      </c>
      <c r="V681" s="8">
        <f t="shared" si="217"/>
        <v>4</v>
      </c>
      <c r="W681" s="8">
        <f t="shared" si="218"/>
        <v>6</v>
      </c>
      <c r="X681">
        <f t="shared" si="219"/>
        <v>1</v>
      </c>
    </row>
    <row r="682" spans="1:24" x14ac:dyDescent="0.25">
      <c r="A682" s="4" t="s">
        <v>708</v>
      </c>
      <c r="B682" t="s">
        <v>3</v>
      </c>
      <c r="C682" t="s">
        <v>6</v>
      </c>
      <c r="D682" s="3">
        <f t="shared" si="200"/>
        <v>6</v>
      </c>
      <c r="E682" s="4">
        <f t="shared" si="201"/>
        <v>26</v>
      </c>
      <c r="F682" s="4">
        <f t="shared" si="202"/>
        <v>17</v>
      </c>
      <c r="G682" s="3">
        <f>IF(E682&gt;=20,2000,1900) + D682</f>
        <v>2006</v>
      </c>
      <c r="H682">
        <f t="shared" si="203"/>
        <v>6</v>
      </c>
      <c r="I682" s="4">
        <f t="shared" si="204"/>
        <v>17</v>
      </c>
      <c r="J682">
        <f t="shared" si="205"/>
        <v>20062617</v>
      </c>
      <c r="K682" t="str">
        <f t="shared" si="206"/>
        <v>17.26.2006</v>
      </c>
      <c r="L682" s="4">
        <f t="shared" si="207"/>
        <v>0</v>
      </c>
      <c r="M682" s="4">
        <f t="shared" si="208"/>
        <v>18</v>
      </c>
      <c r="N682" s="4">
        <f t="shared" si="209"/>
        <v>14</v>
      </c>
      <c r="O682" s="4">
        <f t="shared" si="210"/>
        <v>54</v>
      </c>
      <c r="P682" s="4">
        <f t="shared" si="211"/>
        <v>1</v>
      </c>
      <c r="Q682" s="4">
        <f t="shared" si="212"/>
        <v>21</v>
      </c>
      <c r="R682" s="4">
        <f t="shared" si="213"/>
        <v>7</v>
      </c>
      <c r="S682" s="4">
        <f t="shared" si="214"/>
        <v>36</v>
      </c>
      <c r="T682" s="4">
        <f t="shared" si="215"/>
        <v>8</v>
      </c>
      <c r="U682" s="4">
        <f t="shared" si="216"/>
        <v>0</v>
      </c>
      <c r="V682" s="8">
        <f t="shared" si="217"/>
        <v>9</v>
      </c>
      <c r="W682" s="8">
        <f t="shared" si="218"/>
        <v>1</v>
      </c>
      <c r="X682">
        <f t="shared" si="219"/>
        <v>1</v>
      </c>
    </row>
    <row r="683" spans="1:24" x14ac:dyDescent="0.25">
      <c r="A683" s="4" t="s">
        <v>709</v>
      </c>
      <c r="B683" t="s">
        <v>13</v>
      </c>
      <c r="C683" t="s">
        <v>6</v>
      </c>
      <c r="D683" s="3">
        <f t="shared" si="200"/>
        <v>12</v>
      </c>
      <c r="E683" s="4">
        <f t="shared" si="201"/>
        <v>29</v>
      </c>
      <c r="F683" s="4">
        <f t="shared" si="202"/>
        <v>6</v>
      </c>
      <c r="G683" s="3">
        <f>IF(E683&gt;=20,2000,1900) + D683</f>
        <v>2012</v>
      </c>
      <c r="H683">
        <f t="shared" si="203"/>
        <v>9</v>
      </c>
      <c r="I683" s="4">
        <f t="shared" si="204"/>
        <v>6</v>
      </c>
      <c r="J683">
        <f t="shared" si="205"/>
        <v>20122906</v>
      </c>
      <c r="K683" t="str">
        <f t="shared" si="206"/>
        <v>06.29.2012</v>
      </c>
      <c r="L683" s="4">
        <f t="shared" si="207"/>
        <v>1</v>
      </c>
      <c r="M683" s="4">
        <f t="shared" si="208"/>
        <v>6</v>
      </c>
      <c r="N683" s="4">
        <f t="shared" si="209"/>
        <v>14</v>
      </c>
      <c r="O683" s="4">
        <f t="shared" si="210"/>
        <v>81</v>
      </c>
      <c r="P683" s="4">
        <f t="shared" si="211"/>
        <v>0</v>
      </c>
      <c r="Q683" s="4">
        <f t="shared" si="212"/>
        <v>18</v>
      </c>
      <c r="R683" s="4">
        <f t="shared" si="213"/>
        <v>42</v>
      </c>
      <c r="S683" s="4">
        <f t="shared" si="214"/>
        <v>18</v>
      </c>
      <c r="T683" s="4">
        <f t="shared" si="215"/>
        <v>0</v>
      </c>
      <c r="U683" s="4">
        <f t="shared" si="216"/>
        <v>24</v>
      </c>
      <c r="V683" s="8">
        <f t="shared" si="217"/>
        <v>4</v>
      </c>
      <c r="W683" s="8">
        <f t="shared" si="218"/>
        <v>6</v>
      </c>
      <c r="X683">
        <f t="shared" si="219"/>
        <v>1</v>
      </c>
    </row>
    <row r="684" spans="1:24" x14ac:dyDescent="0.25">
      <c r="A684" s="4" t="s">
        <v>710</v>
      </c>
      <c r="B684" t="s">
        <v>13</v>
      </c>
      <c r="C684" t="s">
        <v>6</v>
      </c>
      <c r="D684" s="3">
        <f t="shared" si="200"/>
        <v>13</v>
      </c>
      <c r="E684" s="4">
        <f t="shared" si="201"/>
        <v>22</v>
      </c>
      <c r="F684" s="4">
        <f t="shared" si="202"/>
        <v>23</v>
      </c>
      <c r="G684" s="3">
        <f>IF(E684&gt;=20,2000,1900) + D684</f>
        <v>2013</v>
      </c>
      <c r="H684">
        <f t="shared" si="203"/>
        <v>2</v>
      </c>
      <c r="I684" s="4">
        <f t="shared" si="204"/>
        <v>23</v>
      </c>
      <c r="J684">
        <f t="shared" si="205"/>
        <v>20132223</v>
      </c>
      <c r="K684" t="str">
        <f t="shared" si="206"/>
        <v>23.22.2013</v>
      </c>
      <c r="L684" s="4">
        <f t="shared" si="207"/>
        <v>1</v>
      </c>
      <c r="M684" s="4">
        <f t="shared" si="208"/>
        <v>9</v>
      </c>
      <c r="N684" s="4">
        <f t="shared" si="209"/>
        <v>14</v>
      </c>
      <c r="O684" s="4">
        <f t="shared" si="210"/>
        <v>18</v>
      </c>
      <c r="P684" s="4">
        <f t="shared" si="211"/>
        <v>2</v>
      </c>
      <c r="Q684" s="4">
        <f t="shared" si="212"/>
        <v>9</v>
      </c>
      <c r="R684" s="4">
        <f t="shared" si="213"/>
        <v>28</v>
      </c>
      <c r="S684" s="4">
        <f t="shared" si="214"/>
        <v>63</v>
      </c>
      <c r="T684" s="4">
        <f t="shared" si="215"/>
        <v>8</v>
      </c>
      <c r="U684" s="4">
        <f t="shared" si="216"/>
        <v>6</v>
      </c>
      <c r="V684" s="8">
        <f t="shared" si="217"/>
        <v>8</v>
      </c>
      <c r="W684" s="8">
        <f t="shared" si="218"/>
        <v>2</v>
      </c>
      <c r="X684">
        <f t="shared" si="219"/>
        <v>1</v>
      </c>
    </row>
    <row r="685" spans="1:24" x14ac:dyDescent="0.25">
      <c r="A685" s="4" t="s">
        <v>711</v>
      </c>
      <c r="B685" t="s">
        <v>10</v>
      </c>
      <c r="C685" t="s">
        <v>4</v>
      </c>
      <c r="D685" s="3">
        <f t="shared" si="200"/>
        <v>17</v>
      </c>
      <c r="E685" s="4">
        <f t="shared" si="201"/>
        <v>29</v>
      </c>
      <c r="F685" s="4">
        <f t="shared" si="202"/>
        <v>27</v>
      </c>
      <c r="G685" s="3">
        <f>IF(E685&gt;=20,2000,1900) + D685</f>
        <v>2017</v>
      </c>
      <c r="H685">
        <f t="shared" si="203"/>
        <v>9</v>
      </c>
      <c r="I685" s="4">
        <f t="shared" si="204"/>
        <v>27</v>
      </c>
      <c r="J685">
        <f t="shared" si="205"/>
        <v>20172927</v>
      </c>
      <c r="K685" t="str">
        <f t="shared" si="206"/>
        <v>27.29.2017</v>
      </c>
      <c r="L685" s="4">
        <f t="shared" si="207"/>
        <v>1</v>
      </c>
      <c r="M685" s="4">
        <f t="shared" si="208"/>
        <v>21</v>
      </c>
      <c r="N685" s="4">
        <f t="shared" si="209"/>
        <v>14</v>
      </c>
      <c r="O685" s="4">
        <f t="shared" si="210"/>
        <v>81</v>
      </c>
      <c r="P685" s="4">
        <f t="shared" si="211"/>
        <v>2</v>
      </c>
      <c r="Q685" s="4">
        <f t="shared" si="212"/>
        <v>21</v>
      </c>
      <c r="R685" s="4">
        <f t="shared" si="213"/>
        <v>28</v>
      </c>
      <c r="S685" s="4">
        <f t="shared" si="214"/>
        <v>81</v>
      </c>
      <c r="T685" s="4">
        <f t="shared" si="215"/>
        <v>8</v>
      </c>
      <c r="U685" s="4">
        <f t="shared" si="216"/>
        <v>21</v>
      </c>
      <c r="V685" s="8">
        <f t="shared" si="217"/>
        <v>8</v>
      </c>
      <c r="W685" s="8">
        <f t="shared" si="218"/>
        <v>2</v>
      </c>
      <c r="X685">
        <f t="shared" si="219"/>
        <v>1</v>
      </c>
    </row>
    <row r="686" spans="1:24" x14ac:dyDescent="0.25">
      <c r="A686" s="4" t="s">
        <v>712</v>
      </c>
      <c r="B686" t="s">
        <v>17</v>
      </c>
      <c r="C686" t="s">
        <v>4</v>
      </c>
      <c r="D686" s="3">
        <f t="shared" si="200"/>
        <v>19</v>
      </c>
      <c r="E686" s="4">
        <f t="shared" si="201"/>
        <v>30</v>
      </c>
      <c r="F686" s="4">
        <f t="shared" si="202"/>
        <v>21</v>
      </c>
      <c r="G686" s="3">
        <f>IF(E686&gt;=20,2000,1900) + D686</f>
        <v>2019</v>
      </c>
      <c r="H686">
        <f t="shared" si="203"/>
        <v>10</v>
      </c>
      <c r="I686" s="4">
        <f t="shared" si="204"/>
        <v>21</v>
      </c>
      <c r="J686">
        <f t="shared" si="205"/>
        <v>20193021</v>
      </c>
      <c r="K686" t="str">
        <f t="shared" si="206"/>
        <v>21.30.2019</v>
      </c>
      <c r="L686" s="4">
        <f t="shared" si="207"/>
        <v>1</v>
      </c>
      <c r="M686" s="4">
        <f t="shared" si="208"/>
        <v>27</v>
      </c>
      <c r="N686" s="4">
        <f t="shared" si="209"/>
        <v>21</v>
      </c>
      <c r="O686" s="4">
        <f t="shared" si="210"/>
        <v>0</v>
      </c>
      <c r="P686" s="4">
        <f t="shared" si="211"/>
        <v>2</v>
      </c>
      <c r="Q686" s="4">
        <f t="shared" si="212"/>
        <v>3</v>
      </c>
      <c r="R686" s="4">
        <f t="shared" si="213"/>
        <v>7</v>
      </c>
      <c r="S686" s="4">
        <f t="shared" si="214"/>
        <v>0</v>
      </c>
      <c r="T686" s="4">
        <f t="shared" si="215"/>
        <v>1</v>
      </c>
      <c r="U686" s="4">
        <f t="shared" si="216"/>
        <v>12</v>
      </c>
      <c r="V686" s="8">
        <f t="shared" si="217"/>
        <v>4</v>
      </c>
      <c r="W686" s="8">
        <f t="shared" si="218"/>
        <v>6</v>
      </c>
      <c r="X686">
        <f t="shared" si="219"/>
        <v>1</v>
      </c>
    </row>
    <row r="687" spans="1:24" x14ac:dyDescent="0.25">
      <c r="A687" s="4" t="s">
        <v>713</v>
      </c>
      <c r="B687" t="s">
        <v>7</v>
      </c>
      <c r="C687" t="s">
        <v>6</v>
      </c>
      <c r="D687" s="3">
        <f t="shared" si="200"/>
        <v>13</v>
      </c>
      <c r="E687" s="4">
        <f t="shared" si="201"/>
        <v>24</v>
      </c>
      <c r="F687" s="4">
        <f t="shared" si="202"/>
        <v>3</v>
      </c>
      <c r="G687" s="3">
        <f>IF(E687&gt;=20,2000,1900) + D687</f>
        <v>2013</v>
      </c>
      <c r="H687">
        <f t="shared" si="203"/>
        <v>4</v>
      </c>
      <c r="I687" s="4">
        <f t="shared" si="204"/>
        <v>3</v>
      </c>
      <c r="J687">
        <f t="shared" si="205"/>
        <v>20132403</v>
      </c>
      <c r="K687" t="str">
        <f t="shared" si="206"/>
        <v>03.24.2013</v>
      </c>
      <c r="L687" s="4">
        <f t="shared" si="207"/>
        <v>1</v>
      </c>
      <c r="M687" s="4">
        <f t="shared" si="208"/>
        <v>9</v>
      </c>
      <c r="N687" s="4">
        <f t="shared" si="209"/>
        <v>14</v>
      </c>
      <c r="O687" s="4">
        <f t="shared" si="210"/>
        <v>36</v>
      </c>
      <c r="P687" s="4">
        <f t="shared" si="211"/>
        <v>0</v>
      </c>
      <c r="Q687" s="4">
        <f t="shared" si="212"/>
        <v>9</v>
      </c>
      <c r="R687" s="4">
        <f t="shared" si="213"/>
        <v>42</v>
      </c>
      <c r="S687" s="4">
        <f t="shared" si="214"/>
        <v>9</v>
      </c>
      <c r="T687" s="4">
        <f t="shared" si="215"/>
        <v>6</v>
      </c>
      <c r="U687" s="4">
        <f t="shared" si="216"/>
        <v>3</v>
      </c>
      <c r="V687" s="8">
        <f t="shared" si="217"/>
        <v>9</v>
      </c>
      <c r="W687" s="8">
        <f t="shared" si="218"/>
        <v>1</v>
      </c>
      <c r="X687">
        <f t="shared" si="219"/>
        <v>1</v>
      </c>
    </row>
    <row r="688" spans="1:24" x14ac:dyDescent="0.25">
      <c r="A688" s="4" t="s">
        <v>714</v>
      </c>
      <c r="B688" t="s">
        <v>17</v>
      </c>
      <c r="C688" t="s">
        <v>6</v>
      </c>
      <c r="D688" s="3">
        <f t="shared" si="200"/>
        <v>15</v>
      </c>
      <c r="E688" s="4">
        <f t="shared" si="201"/>
        <v>24</v>
      </c>
      <c r="F688" s="4">
        <f t="shared" si="202"/>
        <v>3</v>
      </c>
      <c r="G688" s="3">
        <f>IF(E688&gt;=20,2000,1900) + D688</f>
        <v>2015</v>
      </c>
      <c r="H688">
        <f t="shared" si="203"/>
        <v>4</v>
      </c>
      <c r="I688" s="4">
        <f t="shared" si="204"/>
        <v>3</v>
      </c>
      <c r="J688">
        <f t="shared" si="205"/>
        <v>20152403</v>
      </c>
      <c r="K688" t="str">
        <f t="shared" si="206"/>
        <v>03.24.2015</v>
      </c>
      <c r="L688" s="4">
        <f t="shared" si="207"/>
        <v>1</v>
      </c>
      <c r="M688" s="4">
        <f t="shared" si="208"/>
        <v>15</v>
      </c>
      <c r="N688" s="4">
        <f t="shared" si="209"/>
        <v>14</v>
      </c>
      <c r="O688" s="4">
        <f t="shared" si="210"/>
        <v>36</v>
      </c>
      <c r="P688" s="4">
        <f t="shared" si="211"/>
        <v>0</v>
      </c>
      <c r="Q688" s="4">
        <f t="shared" si="212"/>
        <v>9</v>
      </c>
      <c r="R688" s="4">
        <f t="shared" si="213"/>
        <v>35</v>
      </c>
      <c r="S688" s="4">
        <f t="shared" si="214"/>
        <v>36</v>
      </c>
      <c r="T688" s="4">
        <f t="shared" si="215"/>
        <v>0</v>
      </c>
      <c r="U688" s="4">
        <f t="shared" si="216"/>
        <v>12</v>
      </c>
      <c r="V688" s="8">
        <f t="shared" si="217"/>
        <v>8</v>
      </c>
      <c r="W688" s="8">
        <f t="shared" si="218"/>
        <v>2</v>
      </c>
      <c r="X688">
        <f t="shared" si="219"/>
        <v>1</v>
      </c>
    </row>
    <row r="689" spans="1:24" x14ac:dyDescent="0.25">
      <c r="A689" s="4" t="s">
        <v>715</v>
      </c>
      <c r="B689" t="s">
        <v>3</v>
      </c>
      <c r="C689" t="s">
        <v>6</v>
      </c>
      <c r="D689" s="3">
        <f t="shared" si="200"/>
        <v>13</v>
      </c>
      <c r="E689" s="4">
        <f t="shared" si="201"/>
        <v>30</v>
      </c>
      <c r="F689" s="4">
        <f t="shared" si="202"/>
        <v>19</v>
      </c>
      <c r="G689" s="3">
        <f>IF(E689&gt;=20,2000,1900) + D689</f>
        <v>2013</v>
      </c>
      <c r="H689">
        <f t="shared" si="203"/>
        <v>10</v>
      </c>
      <c r="I689" s="4">
        <f t="shared" si="204"/>
        <v>19</v>
      </c>
      <c r="J689">
        <f t="shared" si="205"/>
        <v>20133019</v>
      </c>
      <c r="K689" t="str">
        <f t="shared" si="206"/>
        <v>19.30.2013</v>
      </c>
      <c r="L689" s="4">
        <f t="shared" si="207"/>
        <v>1</v>
      </c>
      <c r="M689" s="4">
        <f t="shared" si="208"/>
        <v>9</v>
      </c>
      <c r="N689" s="4">
        <f t="shared" si="209"/>
        <v>21</v>
      </c>
      <c r="O689" s="4">
        <f t="shared" si="210"/>
        <v>0</v>
      </c>
      <c r="P689" s="4">
        <f t="shared" si="211"/>
        <v>1</v>
      </c>
      <c r="Q689" s="4">
        <f t="shared" si="212"/>
        <v>27</v>
      </c>
      <c r="R689" s="4">
        <f t="shared" si="213"/>
        <v>7</v>
      </c>
      <c r="S689" s="4">
        <f t="shared" si="214"/>
        <v>45</v>
      </c>
      <c r="T689" s="4">
        <f t="shared" si="215"/>
        <v>4</v>
      </c>
      <c r="U689" s="4">
        <f t="shared" si="216"/>
        <v>21</v>
      </c>
      <c r="V689" s="8">
        <f t="shared" si="217"/>
        <v>6</v>
      </c>
      <c r="W689" s="8">
        <f t="shared" si="218"/>
        <v>4</v>
      </c>
      <c r="X689">
        <f t="shared" si="219"/>
        <v>1</v>
      </c>
    </row>
    <row r="690" spans="1:24" x14ac:dyDescent="0.25">
      <c r="A690" s="4" t="s">
        <v>716</v>
      </c>
      <c r="B690" t="s">
        <v>20</v>
      </c>
      <c r="C690" t="s">
        <v>6</v>
      </c>
      <c r="D690" s="3">
        <f t="shared" si="200"/>
        <v>19</v>
      </c>
      <c r="E690" s="4">
        <f t="shared" si="201"/>
        <v>26</v>
      </c>
      <c r="F690" s="4">
        <f t="shared" si="202"/>
        <v>27</v>
      </c>
      <c r="G690" s="3">
        <f>IF(E690&gt;=20,2000,1900) + D690</f>
        <v>2019</v>
      </c>
      <c r="H690">
        <f t="shared" si="203"/>
        <v>6</v>
      </c>
      <c r="I690" s="4">
        <f t="shared" si="204"/>
        <v>27</v>
      </c>
      <c r="J690">
        <f t="shared" si="205"/>
        <v>20192627</v>
      </c>
      <c r="K690" t="str">
        <f t="shared" si="206"/>
        <v>27.26.2019</v>
      </c>
      <c r="L690" s="4">
        <f t="shared" si="207"/>
        <v>1</v>
      </c>
      <c r="M690" s="4">
        <f t="shared" si="208"/>
        <v>27</v>
      </c>
      <c r="N690" s="4">
        <f t="shared" si="209"/>
        <v>14</v>
      </c>
      <c r="O690" s="4">
        <f t="shared" si="210"/>
        <v>54</v>
      </c>
      <c r="P690" s="4">
        <f t="shared" si="211"/>
        <v>2</v>
      </c>
      <c r="Q690" s="4">
        <f t="shared" si="212"/>
        <v>21</v>
      </c>
      <c r="R690" s="4">
        <f t="shared" si="213"/>
        <v>49</v>
      </c>
      <c r="S690" s="4">
        <f t="shared" si="214"/>
        <v>72</v>
      </c>
      <c r="T690" s="4">
        <f t="shared" si="215"/>
        <v>8</v>
      </c>
      <c r="U690" s="4">
        <f t="shared" si="216"/>
        <v>21</v>
      </c>
      <c r="V690" s="8">
        <f t="shared" si="217"/>
        <v>9</v>
      </c>
      <c r="W690" s="8">
        <f t="shared" si="218"/>
        <v>1</v>
      </c>
      <c r="X690">
        <f t="shared" si="219"/>
        <v>1</v>
      </c>
    </row>
    <row r="691" spans="1:24" x14ac:dyDescent="0.25">
      <c r="A691" s="4" t="s">
        <v>717</v>
      </c>
      <c r="B691" t="s">
        <v>9</v>
      </c>
      <c r="C691" t="s">
        <v>4</v>
      </c>
      <c r="D691" s="3">
        <f t="shared" si="200"/>
        <v>13</v>
      </c>
      <c r="E691" s="4">
        <f t="shared" si="201"/>
        <v>28</v>
      </c>
      <c r="F691" s="4">
        <f t="shared" si="202"/>
        <v>9</v>
      </c>
      <c r="G691" s="3">
        <f>IF(E691&gt;=20,2000,1900) + D691</f>
        <v>2013</v>
      </c>
      <c r="H691">
        <f t="shared" si="203"/>
        <v>8</v>
      </c>
      <c r="I691" s="4">
        <f t="shared" si="204"/>
        <v>9</v>
      </c>
      <c r="J691">
        <f t="shared" si="205"/>
        <v>20132809</v>
      </c>
      <c r="K691" t="str">
        <f t="shared" si="206"/>
        <v>09.28.2013</v>
      </c>
      <c r="L691" s="4">
        <f t="shared" si="207"/>
        <v>1</v>
      </c>
      <c r="M691" s="4">
        <f t="shared" si="208"/>
        <v>9</v>
      </c>
      <c r="N691" s="4">
        <f t="shared" si="209"/>
        <v>14</v>
      </c>
      <c r="O691" s="4">
        <f t="shared" si="210"/>
        <v>72</v>
      </c>
      <c r="P691" s="4">
        <f t="shared" si="211"/>
        <v>0</v>
      </c>
      <c r="Q691" s="4">
        <f t="shared" si="212"/>
        <v>27</v>
      </c>
      <c r="R691" s="4">
        <f t="shared" si="213"/>
        <v>49</v>
      </c>
      <c r="S691" s="4">
        <f t="shared" si="214"/>
        <v>72</v>
      </c>
      <c r="T691" s="4">
        <f t="shared" si="215"/>
        <v>3</v>
      </c>
      <c r="U691" s="4">
        <f t="shared" si="216"/>
        <v>9</v>
      </c>
      <c r="V691" s="8">
        <f t="shared" si="217"/>
        <v>6</v>
      </c>
      <c r="W691" s="8">
        <f t="shared" si="218"/>
        <v>4</v>
      </c>
      <c r="X691">
        <f t="shared" si="219"/>
        <v>1</v>
      </c>
    </row>
    <row r="692" spans="1:24" x14ac:dyDescent="0.25">
      <c r="A692" s="4" t="s">
        <v>718</v>
      </c>
      <c r="B692" t="s">
        <v>20</v>
      </c>
      <c r="C692" t="s">
        <v>6</v>
      </c>
      <c r="D692" s="3">
        <f t="shared" si="200"/>
        <v>14</v>
      </c>
      <c r="E692" s="4">
        <f t="shared" si="201"/>
        <v>30</v>
      </c>
      <c r="F692" s="4">
        <f t="shared" si="202"/>
        <v>28</v>
      </c>
      <c r="G692" s="3">
        <f>IF(E692&gt;=20,2000,1900) + D692</f>
        <v>2014</v>
      </c>
      <c r="H692">
        <f t="shared" si="203"/>
        <v>10</v>
      </c>
      <c r="I692" s="4">
        <f t="shared" si="204"/>
        <v>28</v>
      </c>
      <c r="J692">
        <f t="shared" si="205"/>
        <v>20143028</v>
      </c>
      <c r="K692" t="str">
        <f t="shared" si="206"/>
        <v>28.30.2014</v>
      </c>
      <c r="L692" s="4">
        <f t="shared" si="207"/>
        <v>1</v>
      </c>
      <c r="M692" s="4">
        <f t="shared" si="208"/>
        <v>12</v>
      </c>
      <c r="N692" s="4">
        <f t="shared" si="209"/>
        <v>21</v>
      </c>
      <c r="O692" s="4">
        <f t="shared" si="210"/>
        <v>0</v>
      </c>
      <c r="P692" s="4">
        <f t="shared" si="211"/>
        <v>2</v>
      </c>
      <c r="Q692" s="4">
        <f t="shared" si="212"/>
        <v>24</v>
      </c>
      <c r="R692" s="4">
        <f t="shared" si="213"/>
        <v>14</v>
      </c>
      <c r="S692" s="4">
        <f t="shared" si="214"/>
        <v>36</v>
      </c>
      <c r="T692" s="4">
        <f t="shared" si="215"/>
        <v>2</v>
      </c>
      <c r="U692" s="4">
        <f t="shared" si="216"/>
        <v>24</v>
      </c>
      <c r="V692" s="8">
        <f t="shared" si="217"/>
        <v>6</v>
      </c>
      <c r="W692" s="8">
        <f t="shared" si="218"/>
        <v>4</v>
      </c>
      <c r="X692">
        <f t="shared" si="219"/>
        <v>1</v>
      </c>
    </row>
    <row r="693" spans="1:24" x14ac:dyDescent="0.25">
      <c r="A693" s="4" t="s">
        <v>719</v>
      </c>
      <c r="B693" t="s">
        <v>10</v>
      </c>
      <c r="C693" t="s">
        <v>4</v>
      </c>
      <c r="D693" s="3">
        <f t="shared" si="200"/>
        <v>11</v>
      </c>
      <c r="E693" s="4">
        <f t="shared" si="201"/>
        <v>27</v>
      </c>
      <c r="F693" s="4">
        <f t="shared" si="202"/>
        <v>28</v>
      </c>
      <c r="G693" s="3">
        <f>IF(E693&gt;=20,2000,1900) + D693</f>
        <v>2011</v>
      </c>
      <c r="H693">
        <f t="shared" si="203"/>
        <v>7</v>
      </c>
      <c r="I693" s="4">
        <f t="shared" si="204"/>
        <v>28</v>
      </c>
      <c r="J693">
        <f t="shared" si="205"/>
        <v>20112728</v>
      </c>
      <c r="K693" t="str">
        <f t="shared" si="206"/>
        <v>28.27.2011</v>
      </c>
      <c r="L693" s="4">
        <f t="shared" si="207"/>
        <v>1</v>
      </c>
      <c r="M693" s="4">
        <f t="shared" si="208"/>
        <v>3</v>
      </c>
      <c r="N693" s="4">
        <f t="shared" si="209"/>
        <v>14</v>
      </c>
      <c r="O693" s="4">
        <f t="shared" si="210"/>
        <v>63</v>
      </c>
      <c r="P693" s="4">
        <f t="shared" si="211"/>
        <v>2</v>
      </c>
      <c r="Q693" s="4">
        <f t="shared" si="212"/>
        <v>24</v>
      </c>
      <c r="R693" s="4">
        <f t="shared" si="213"/>
        <v>0</v>
      </c>
      <c r="S693" s="4">
        <f t="shared" si="214"/>
        <v>45</v>
      </c>
      <c r="T693" s="4">
        <f t="shared" si="215"/>
        <v>8</v>
      </c>
      <c r="U693" s="4">
        <f t="shared" si="216"/>
        <v>6</v>
      </c>
      <c r="V693" s="8">
        <f t="shared" si="217"/>
        <v>6</v>
      </c>
      <c r="W693" s="8">
        <f t="shared" si="218"/>
        <v>4</v>
      </c>
      <c r="X693">
        <f t="shared" si="219"/>
        <v>1</v>
      </c>
    </row>
    <row r="694" spans="1:24" x14ac:dyDescent="0.25">
      <c r="A694" s="4" t="s">
        <v>720</v>
      </c>
      <c r="B694" t="s">
        <v>19</v>
      </c>
      <c r="C694" t="s">
        <v>6</v>
      </c>
      <c r="D694" s="3">
        <f t="shared" si="200"/>
        <v>5</v>
      </c>
      <c r="E694" s="4">
        <f t="shared" si="201"/>
        <v>29</v>
      </c>
      <c r="F694" s="4">
        <f t="shared" si="202"/>
        <v>18</v>
      </c>
      <c r="G694" s="3">
        <f>IF(E694&gt;=20,2000,1900) + D694</f>
        <v>2005</v>
      </c>
      <c r="H694">
        <f t="shared" si="203"/>
        <v>9</v>
      </c>
      <c r="I694" s="4">
        <f t="shared" si="204"/>
        <v>18</v>
      </c>
      <c r="J694">
        <f t="shared" si="205"/>
        <v>20052918</v>
      </c>
      <c r="K694" t="str">
        <f t="shared" si="206"/>
        <v>18.29.2005</v>
      </c>
      <c r="L694" s="4">
        <f t="shared" si="207"/>
        <v>0</v>
      </c>
      <c r="M694" s="4">
        <f t="shared" si="208"/>
        <v>15</v>
      </c>
      <c r="N694" s="4">
        <f t="shared" si="209"/>
        <v>14</v>
      </c>
      <c r="O694" s="4">
        <f t="shared" si="210"/>
        <v>81</v>
      </c>
      <c r="P694" s="4">
        <f t="shared" si="211"/>
        <v>1</v>
      </c>
      <c r="Q694" s="4">
        <f t="shared" si="212"/>
        <v>24</v>
      </c>
      <c r="R694" s="4">
        <f t="shared" si="213"/>
        <v>49</v>
      </c>
      <c r="S694" s="4">
        <f t="shared" si="214"/>
        <v>81</v>
      </c>
      <c r="T694" s="4">
        <f t="shared" si="215"/>
        <v>9</v>
      </c>
      <c r="U694" s="4">
        <f t="shared" si="216"/>
        <v>3</v>
      </c>
      <c r="V694" s="8">
        <f t="shared" si="217"/>
        <v>7</v>
      </c>
      <c r="W694" s="8">
        <f t="shared" si="218"/>
        <v>3</v>
      </c>
      <c r="X694">
        <f t="shared" si="219"/>
        <v>1</v>
      </c>
    </row>
    <row r="695" spans="1:24" x14ac:dyDescent="0.25">
      <c r="A695" s="4" t="s">
        <v>721</v>
      </c>
      <c r="B695" t="s">
        <v>19</v>
      </c>
      <c r="C695" t="s">
        <v>4</v>
      </c>
      <c r="D695" s="3">
        <f t="shared" si="200"/>
        <v>14</v>
      </c>
      <c r="E695" s="4">
        <f t="shared" si="201"/>
        <v>21</v>
      </c>
      <c r="F695" s="4">
        <f t="shared" si="202"/>
        <v>27</v>
      </c>
      <c r="G695" s="3">
        <f>IF(E695&gt;=20,2000,1900) + D695</f>
        <v>2014</v>
      </c>
      <c r="H695">
        <f t="shared" si="203"/>
        <v>1</v>
      </c>
      <c r="I695" s="4">
        <f t="shared" si="204"/>
        <v>27</v>
      </c>
      <c r="J695">
        <f t="shared" si="205"/>
        <v>20142127</v>
      </c>
      <c r="K695" t="str">
        <f t="shared" si="206"/>
        <v>27.21.2014</v>
      </c>
      <c r="L695" s="4">
        <f t="shared" si="207"/>
        <v>1</v>
      </c>
      <c r="M695" s="4">
        <f t="shared" si="208"/>
        <v>12</v>
      </c>
      <c r="N695" s="4">
        <f t="shared" si="209"/>
        <v>14</v>
      </c>
      <c r="O695" s="4">
        <f t="shared" si="210"/>
        <v>9</v>
      </c>
      <c r="P695" s="4">
        <f t="shared" si="211"/>
        <v>2</v>
      </c>
      <c r="Q695" s="4">
        <f t="shared" si="212"/>
        <v>21</v>
      </c>
      <c r="R695" s="4">
        <f t="shared" si="213"/>
        <v>14</v>
      </c>
      <c r="S695" s="4">
        <f t="shared" si="214"/>
        <v>81</v>
      </c>
      <c r="T695" s="4">
        <f t="shared" si="215"/>
        <v>2</v>
      </c>
      <c r="U695" s="4">
        <f t="shared" si="216"/>
        <v>15</v>
      </c>
      <c r="V695" s="8">
        <f t="shared" si="217"/>
        <v>1</v>
      </c>
      <c r="W695" s="8">
        <f t="shared" si="218"/>
        <v>9</v>
      </c>
      <c r="X695">
        <f t="shared" si="219"/>
        <v>1</v>
      </c>
    </row>
    <row r="696" spans="1:24" x14ac:dyDescent="0.25">
      <c r="A696" s="4" t="s">
        <v>722</v>
      </c>
      <c r="B696" t="s">
        <v>19</v>
      </c>
      <c r="C696" t="s">
        <v>6</v>
      </c>
      <c r="D696" s="3">
        <f t="shared" si="200"/>
        <v>3</v>
      </c>
      <c r="E696" s="4">
        <f t="shared" si="201"/>
        <v>21</v>
      </c>
      <c r="F696" s="4">
        <f t="shared" si="202"/>
        <v>1</v>
      </c>
      <c r="G696" s="3">
        <f>IF(E696&gt;=20,2000,1900) + D696</f>
        <v>2003</v>
      </c>
      <c r="H696">
        <f t="shared" si="203"/>
        <v>1</v>
      </c>
      <c r="I696" s="4">
        <f t="shared" si="204"/>
        <v>1</v>
      </c>
      <c r="J696">
        <f t="shared" si="205"/>
        <v>20032101</v>
      </c>
      <c r="K696" t="str">
        <f t="shared" si="206"/>
        <v>01.21.2003</v>
      </c>
      <c r="L696" s="4">
        <f t="shared" si="207"/>
        <v>0</v>
      </c>
      <c r="M696" s="4">
        <f t="shared" si="208"/>
        <v>9</v>
      </c>
      <c r="N696" s="4">
        <f t="shared" si="209"/>
        <v>14</v>
      </c>
      <c r="O696" s="4">
        <f t="shared" si="210"/>
        <v>9</v>
      </c>
      <c r="P696" s="4">
        <f t="shared" si="211"/>
        <v>0</v>
      </c>
      <c r="Q696" s="4">
        <f t="shared" si="212"/>
        <v>3</v>
      </c>
      <c r="R696" s="4">
        <f t="shared" si="213"/>
        <v>7</v>
      </c>
      <c r="S696" s="4">
        <f t="shared" si="214"/>
        <v>63</v>
      </c>
      <c r="T696" s="4">
        <f t="shared" si="215"/>
        <v>4</v>
      </c>
      <c r="U696" s="4">
        <f t="shared" si="216"/>
        <v>18</v>
      </c>
      <c r="V696" s="8">
        <f t="shared" si="217"/>
        <v>7</v>
      </c>
      <c r="W696" s="8">
        <f t="shared" si="218"/>
        <v>3</v>
      </c>
      <c r="X696">
        <f t="shared" si="219"/>
        <v>1</v>
      </c>
    </row>
    <row r="697" spans="1:24" x14ac:dyDescent="0.25">
      <c r="A697" s="4" t="s">
        <v>723</v>
      </c>
      <c r="B697" t="s">
        <v>16</v>
      </c>
      <c r="C697" t="s">
        <v>6</v>
      </c>
      <c r="D697" s="3">
        <f t="shared" si="200"/>
        <v>14</v>
      </c>
      <c r="E697" s="4">
        <f t="shared" si="201"/>
        <v>29</v>
      </c>
      <c r="F697" s="4">
        <f t="shared" si="202"/>
        <v>14</v>
      </c>
      <c r="G697" s="3">
        <f>IF(E697&gt;=20,2000,1900) + D697</f>
        <v>2014</v>
      </c>
      <c r="H697">
        <f t="shared" si="203"/>
        <v>9</v>
      </c>
      <c r="I697" s="4">
        <f t="shared" si="204"/>
        <v>14</v>
      </c>
      <c r="J697">
        <f t="shared" si="205"/>
        <v>20142914</v>
      </c>
      <c r="K697" t="str">
        <f t="shared" si="206"/>
        <v>14.29.2014</v>
      </c>
      <c r="L697" s="4">
        <f t="shared" si="207"/>
        <v>1</v>
      </c>
      <c r="M697" s="4">
        <f t="shared" si="208"/>
        <v>12</v>
      </c>
      <c r="N697" s="4">
        <f t="shared" si="209"/>
        <v>14</v>
      </c>
      <c r="O697" s="4">
        <f t="shared" si="210"/>
        <v>81</v>
      </c>
      <c r="P697" s="4">
        <f t="shared" si="211"/>
        <v>1</v>
      </c>
      <c r="Q697" s="4">
        <f t="shared" si="212"/>
        <v>12</v>
      </c>
      <c r="R697" s="4">
        <f t="shared" si="213"/>
        <v>63</v>
      </c>
      <c r="S697" s="4">
        <f t="shared" si="214"/>
        <v>72</v>
      </c>
      <c r="T697" s="4">
        <f t="shared" si="215"/>
        <v>5</v>
      </c>
      <c r="U697" s="4">
        <f t="shared" si="216"/>
        <v>0</v>
      </c>
      <c r="V697" s="8">
        <f t="shared" si="217"/>
        <v>1</v>
      </c>
      <c r="W697" s="8">
        <f t="shared" si="218"/>
        <v>9</v>
      </c>
      <c r="X697">
        <f t="shared" si="219"/>
        <v>1</v>
      </c>
    </row>
    <row r="698" spans="1:24" x14ac:dyDescent="0.25">
      <c r="A698" s="4" t="s">
        <v>724</v>
      </c>
      <c r="B698" t="s">
        <v>12</v>
      </c>
      <c r="C698" t="s">
        <v>6</v>
      </c>
      <c r="D698" s="3">
        <f t="shared" si="200"/>
        <v>12</v>
      </c>
      <c r="E698" s="4">
        <f t="shared" si="201"/>
        <v>30</v>
      </c>
      <c r="F698" s="4">
        <f t="shared" si="202"/>
        <v>6</v>
      </c>
      <c r="G698" s="3">
        <f>IF(E698&gt;=20,2000,1900) + D698</f>
        <v>2012</v>
      </c>
      <c r="H698">
        <f t="shared" si="203"/>
        <v>10</v>
      </c>
      <c r="I698" s="4">
        <f t="shared" si="204"/>
        <v>6</v>
      </c>
      <c r="J698">
        <f t="shared" si="205"/>
        <v>20123006</v>
      </c>
      <c r="K698" t="str">
        <f t="shared" si="206"/>
        <v>06.30.2012</v>
      </c>
      <c r="L698" s="4">
        <f t="shared" si="207"/>
        <v>1</v>
      </c>
      <c r="M698" s="4">
        <f t="shared" si="208"/>
        <v>6</v>
      </c>
      <c r="N698" s="4">
        <f t="shared" si="209"/>
        <v>21</v>
      </c>
      <c r="O698" s="4">
        <f t="shared" si="210"/>
        <v>0</v>
      </c>
      <c r="P698" s="4">
        <f t="shared" si="211"/>
        <v>0</v>
      </c>
      <c r="Q698" s="4">
        <f t="shared" si="212"/>
        <v>18</v>
      </c>
      <c r="R698" s="4">
        <f t="shared" si="213"/>
        <v>14</v>
      </c>
      <c r="S698" s="4">
        <f t="shared" si="214"/>
        <v>0</v>
      </c>
      <c r="T698" s="4">
        <f t="shared" si="215"/>
        <v>7</v>
      </c>
      <c r="U698" s="4">
        <f t="shared" si="216"/>
        <v>24</v>
      </c>
      <c r="V698" s="8">
        <f t="shared" si="217"/>
        <v>1</v>
      </c>
      <c r="W698" s="8">
        <f t="shared" si="218"/>
        <v>9</v>
      </c>
      <c r="X698">
        <f t="shared" si="219"/>
        <v>1</v>
      </c>
    </row>
    <row r="699" spans="1:24" x14ac:dyDescent="0.25">
      <c r="A699" s="4" t="s">
        <v>725</v>
      </c>
      <c r="B699" t="s">
        <v>11</v>
      </c>
      <c r="C699" t="s">
        <v>6</v>
      </c>
      <c r="D699" s="3">
        <f t="shared" si="200"/>
        <v>16</v>
      </c>
      <c r="E699" s="4">
        <f t="shared" si="201"/>
        <v>23</v>
      </c>
      <c r="F699" s="4">
        <f t="shared" si="202"/>
        <v>8</v>
      </c>
      <c r="G699" s="3">
        <f>IF(E699&gt;=20,2000,1900) + D699</f>
        <v>2016</v>
      </c>
      <c r="H699">
        <f t="shared" si="203"/>
        <v>3</v>
      </c>
      <c r="I699" s="4">
        <f t="shared" si="204"/>
        <v>8</v>
      </c>
      <c r="J699">
        <f t="shared" si="205"/>
        <v>20162308</v>
      </c>
      <c r="K699" t="str">
        <f t="shared" si="206"/>
        <v>08.23.2016</v>
      </c>
      <c r="L699" s="4">
        <f t="shared" si="207"/>
        <v>1</v>
      </c>
      <c r="M699" s="4">
        <f t="shared" si="208"/>
        <v>18</v>
      </c>
      <c r="N699" s="4">
        <f t="shared" si="209"/>
        <v>14</v>
      </c>
      <c r="O699" s="4">
        <f t="shared" si="210"/>
        <v>27</v>
      </c>
      <c r="P699" s="4">
        <f t="shared" si="211"/>
        <v>0</v>
      </c>
      <c r="Q699" s="4">
        <f t="shared" si="212"/>
        <v>24</v>
      </c>
      <c r="R699" s="4">
        <f t="shared" si="213"/>
        <v>0</v>
      </c>
      <c r="S699" s="4">
        <f t="shared" si="214"/>
        <v>27</v>
      </c>
      <c r="T699" s="4">
        <f t="shared" si="215"/>
        <v>8</v>
      </c>
      <c r="U699" s="4">
        <f t="shared" si="216"/>
        <v>15</v>
      </c>
      <c r="V699" s="8">
        <f t="shared" si="217"/>
        <v>4</v>
      </c>
      <c r="W699" s="8">
        <f t="shared" si="218"/>
        <v>6</v>
      </c>
      <c r="X699">
        <f t="shared" si="219"/>
        <v>1</v>
      </c>
    </row>
    <row r="700" spans="1:24" x14ac:dyDescent="0.25">
      <c r="A700" s="4" t="s">
        <v>726</v>
      </c>
      <c r="B700" t="s">
        <v>11</v>
      </c>
      <c r="C700" t="s">
        <v>6</v>
      </c>
      <c r="D700" s="3">
        <f t="shared" si="200"/>
        <v>1</v>
      </c>
      <c r="E700" s="4">
        <f t="shared" si="201"/>
        <v>22</v>
      </c>
      <c r="F700" s="4">
        <f t="shared" si="202"/>
        <v>7</v>
      </c>
      <c r="G700" s="3">
        <f>IF(E700&gt;=20,2000,1900) + D700</f>
        <v>2001</v>
      </c>
      <c r="H700">
        <f t="shared" si="203"/>
        <v>2</v>
      </c>
      <c r="I700" s="4">
        <f t="shared" si="204"/>
        <v>7</v>
      </c>
      <c r="J700">
        <f t="shared" si="205"/>
        <v>20012207</v>
      </c>
      <c r="K700" t="str">
        <f t="shared" si="206"/>
        <v>07.22.2001</v>
      </c>
      <c r="L700" s="4">
        <f t="shared" si="207"/>
        <v>0</v>
      </c>
      <c r="M700" s="4">
        <f t="shared" si="208"/>
        <v>3</v>
      </c>
      <c r="N700" s="4">
        <f t="shared" si="209"/>
        <v>14</v>
      </c>
      <c r="O700" s="4">
        <f t="shared" si="210"/>
        <v>18</v>
      </c>
      <c r="P700" s="4">
        <f t="shared" si="211"/>
        <v>0</v>
      </c>
      <c r="Q700" s="4">
        <f t="shared" si="212"/>
        <v>21</v>
      </c>
      <c r="R700" s="4">
        <f t="shared" si="213"/>
        <v>7</v>
      </c>
      <c r="S700" s="4">
        <f t="shared" si="214"/>
        <v>81</v>
      </c>
      <c r="T700" s="4">
        <f t="shared" si="215"/>
        <v>1</v>
      </c>
      <c r="U700" s="4">
        <f t="shared" si="216"/>
        <v>3</v>
      </c>
      <c r="V700" s="8">
        <f t="shared" si="217"/>
        <v>8</v>
      </c>
      <c r="W700" s="8">
        <f t="shared" si="218"/>
        <v>2</v>
      </c>
      <c r="X700">
        <f t="shared" si="219"/>
        <v>1</v>
      </c>
    </row>
    <row r="701" spans="1:24" x14ac:dyDescent="0.25">
      <c r="A701" s="4" t="s">
        <v>727</v>
      </c>
      <c r="B701" t="s">
        <v>20</v>
      </c>
      <c r="C701" t="s">
        <v>4</v>
      </c>
      <c r="D701" s="3">
        <f t="shared" si="200"/>
        <v>19</v>
      </c>
      <c r="E701" s="4">
        <f t="shared" si="201"/>
        <v>22</v>
      </c>
      <c r="F701" s="4">
        <f t="shared" si="202"/>
        <v>9</v>
      </c>
      <c r="G701" s="3">
        <f>IF(E701&gt;=20,2000,1900) + D701</f>
        <v>2019</v>
      </c>
      <c r="H701">
        <f t="shared" si="203"/>
        <v>2</v>
      </c>
      <c r="I701" s="4">
        <f t="shared" si="204"/>
        <v>9</v>
      </c>
      <c r="J701">
        <f t="shared" si="205"/>
        <v>20192209</v>
      </c>
      <c r="K701" t="str">
        <f t="shared" si="206"/>
        <v>09.22.2019</v>
      </c>
      <c r="L701" s="4">
        <f t="shared" si="207"/>
        <v>1</v>
      </c>
      <c r="M701" s="4">
        <f t="shared" si="208"/>
        <v>27</v>
      </c>
      <c r="N701" s="4">
        <f t="shared" si="209"/>
        <v>14</v>
      </c>
      <c r="O701" s="4">
        <f t="shared" si="210"/>
        <v>18</v>
      </c>
      <c r="P701" s="4">
        <f t="shared" si="211"/>
        <v>0</v>
      </c>
      <c r="Q701" s="4">
        <f t="shared" si="212"/>
        <v>27</v>
      </c>
      <c r="R701" s="4">
        <f t="shared" si="213"/>
        <v>0</v>
      </c>
      <c r="S701" s="4">
        <f t="shared" si="214"/>
        <v>72</v>
      </c>
      <c r="T701" s="4">
        <f t="shared" si="215"/>
        <v>1</v>
      </c>
      <c r="U701" s="4">
        <f t="shared" si="216"/>
        <v>6</v>
      </c>
      <c r="V701" s="8">
        <f t="shared" si="217"/>
        <v>6</v>
      </c>
      <c r="W701" s="8">
        <f t="shared" si="218"/>
        <v>4</v>
      </c>
      <c r="X701">
        <f t="shared" si="219"/>
        <v>1</v>
      </c>
    </row>
    <row r="702" spans="1:24" x14ac:dyDescent="0.25">
      <c r="A702" s="4" t="s">
        <v>728</v>
      </c>
      <c r="B702" t="s">
        <v>10</v>
      </c>
      <c r="C702" t="s">
        <v>4</v>
      </c>
      <c r="D702" s="3">
        <f t="shared" si="200"/>
        <v>7</v>
      </c>
      <c r="E702" s="4">
        <f t="shared" si="201"/>
        <v>24</v>
      </c>
      <c r="F702" s="4">
        <f t="shared" si="202"/>
        <v>7</v>
      </c>
      <c r="G702" s="3">
        <f>IF(E702&gt;=20,2000,1900) + D702</f>
        <v>2007</v>
      </c>
      <c r="H702">
        <f t="shared" si="203"/>
        <v>4</v>
      </c>
      <c r="I702" s="4">
        <f t="shared" si="204"/>
        <v>7</v>
      </c>
      <c r="J702">
        <f t="shared" si="205"/>
        <v>20072407</v>
      </c>
      <c r="K702" t="str">
        <f t="shared" si="206"/>
        <v>07.24.2007</v>
      </c>
      <c r="L702" s="4">
        <f t="shared" si="207"/>
        <v>0</v>
      </c>
      <c r="M702" s="4">
        <f t="shared" si="208"/>
        <v>21</v>
      </c>
      <c r="N702" s="4">
        <f t="shared" si="209"/>
        <v>14</v>
      </c>
      <c r="O702" s="4">
        <f t="shared" si="210"/>
        <v>36</v>
      </c>
      <c r="P702" s="4">
        <f t="shared" si="211"/>
        <v>0</v>
      </c>
      <c r="Q702" s="4">
        <f t="shared" si="212"/>
        <v>21</v>
      </c>
      <c r="R702" s="4">
        <f t="shared" si="213"/>
        <v>56</v>
      </c>
      <c r="S702" s="4">
        <f t="shared" si="214"/>
        <v>72</v>
      </c>
      <c r="T702" s="4">
        <f t="shared" si="215"/>
        <v>6</v>
      </c>
      <c r="U702" s="4">
        <f t="shared" si="216"/>
        <v>27</v>
      </c>
      <c r="V702" s="8">
        <f t="shared" si="217"/>
        <v>3</v>
      </c>
      <c r="W702" s="8">
        <f t="shared" si="218"/>
        <v>7</v>
      </c>
      <c r="X702">
        <f t="shared" si="219"/>
        <v>1</v>
      </c>
    </row>
    <row r="703" spans="1:24" x14ac:dyDescent="0.25">
      <c r="A703" s="4" t="s">
        <v>729</v>
      </c>
      <c r="B703" t="s">
        <v>18</v>
      </c>
      <c r="C703" t="s">
        <v>4</v>
      </c>
      <c r="D703" s="3">
        <f t="shared" si="200"/>
        <v>6</v>
      </c>
      <c r="E703" s="4">
        <f t="shared" si="201"/>
        <v>29</v>
      </c>
      <c r="F703" s="4">
        <f t="shared" si="202"/>
        <v>22</v>
      </c>
      <c r="G703" s="3">
        <f>IF(E703&gt;=20,2000,1900) + D703</f>
        <v>2006</v>
      </c>
      <c r="H703">
        <f t="shared" si="203"/>
        <v>9</v>
      </c>
      <c r="I703" s="4">
        <f t="shared" si="204"/>
        <v>22</v>
      </c>
      <c r="J703">
        <f t="shared" si="205"/>
        <v>20062922</v>
      </c>
      <c r="K703" t="str">
        <f t="shared" si="206"/>
        <v>22.29.2006</v>
      </c>
      <c r="L703" s="4">
        <f t="shared" si="207"/>
        <v>0</v>
      </c>
      <c r="M703" s="4">
        <f t="shared" si="208"/>
        <v>18</v>
      </c>
      <c r="N703" s="4">
        <f t="shared" si="209"/>
        <v>14</v>
      </c>
      <c r="O703" s="4">
        <f t="shared" si="210"/>
        <v>81</v>
      </c>
      <c r="P703" s="4">
        <f t="shared" si="211"/>
        <v>2</v>
      </c>
      <c r="Q703" s="4">
        <f t="shared" si="212"/>
        <v>6</v>
      </c>
      <c r="R703" s="4">
        <f t="shared" si="213"/>
        <v>42</v>
      </c>
      <c r="S703" s="4">
        <f t="shared" si="214"/>
        <v>9</v>
      </c>
      <c r="T703" s="4">
        <f t="shared" si="215"/>
        <v>5</v>
      </c>
      <c r="U703" s="4">
        <f t="shared" si="216"/>
        <v>15</v>
      </c>
      <c r="V703" s="8">
        <f t="shared" si="217"/>
        <v>2</v>
      </c>
      <c r="W703" s="8">
        <f t="shared" si="218"/>
        <v>8</v>
      </c>
      <c r="X703">
        <f t="shared" si="219"/>
        <v>1</v>
      </c>
    </row>
    <row r="704" spans="1:24" x14ac:dyDescent="0.25">
      <c r="A704" s="4" t="s">
        <v>730</v>
      </c>
      <c r="B704" t="s">
        <v>10</v>
      </c>
      <c r="C704" t="s">
        <v>4</v>
      </c>
      <c r="D704" s="3">
        <f t="shared" si="200"/>
        <v>17</v>
      </c>
      <c r="E704" s="4">
        <f t="shared" si="201"/>
        <v>31</v>
      </c>
      <c r="F704" s="4">
        <f t="shared" si="202"/>
        <v>11</v>
      </c>
      <c r="G704" s="3">
        <f>IF(E704&gt;=20,2000,1900) + D704</f>
        <v>2017</v>
      </c>
      <c r="H704">
        <f t="shared" si="203"/>
        <v>11</v>
      </c>
      <c r="I704" s="4">
        <f t="shared" si="204"/>
        <v>11</v>
      </c>
      <c r="J704">
        <f t="shared" si="205"/>
        <v>20173111</v>
      </c>
      <c r="K704" t="str">
        <f t="shared" si="206"/>
        <v>11.31.2017</v>
      </c>
      <c r="L704" s="4">
        <f t="shared" si="207"/>
        <v>1</v>
      </c>
      <c r="M704" s="4">
        <f t="shared" si="208"/>
        <v>21</v>
      </c>
      <c r="N704" s="4">
        <f t="shared" si="209"/>
        <v>21</v>
      </c>
      <c r="O704" s="4">
        <f t="shared" si="210"/>
        <v>9</v>
      </c>
      <c r="P704" s="4">
        <f t="shared" si="211"/>
        <v>1</v>
      </c>
      <c r="Q704" s="4">
        <f t="shared" si="212"/>
        <v>3</v>
      </c>
      <c r="R704" s="4">
        <f t="shared" si="213"/>
        <v>28</v>
      </c>
      <c r="S704" s="4">
        <f t="shared" si="214"/>
        <v>18</v>
      </c>
      <c r="T704" s="4">
        <f t="shared" si="215"/>
        <v>2</v>
      </c>
      <c r="U704" s="4">
        <f t="shared" si="216"/>
        <v>0</v>
      </c>
      <c r="V704" s="8">
        <f t="shared" si="217"/>
        <v>4</v>
      </c>
      <c r="W704" s="8">
        <f t="shared" si="218"/>
        <v>6</v>
      </c>
      <c r="X704">
        <f t="shared" si="219"/>
        <v>1</v>
      </c>
    </row>
    <row r="705" spans="1:24" x14ac:dyDescent="0.25">
      <c r="A705" s="4" t="s">
        <v>731</v>
      </c>
      <c r="B705" t="s">
        <v>17</v>
      </c>
      <c r="C705" t="s">
        <v>4</v>
      </c>
      <c r="D705" s="3">
        <f t="shared" si="200"/>
        <v>16</v>
      </c>
      <c r="E705" s="4">
        <f t="shared" si="201"/>
        <v>32</v>
      </c>
      <c r="F705" s="4">
        <f t="shared" si="202"/>
        <v>11</v>
      </c>
      <c r="G705" s="3">
        <f>IF(E705&gt;=20,2000,1900) + D705</f>
        <v>2016</v>
      </c>
      <c r="H705">
        <f t="shared" si="203"/>
        <v>12</v>
      </c>
      <c r="I705" s="4">
        <f t="shared" si="204"/>
        <v>11</v>
      </c>
      <c r="J705">
        <f t="shared" si="205"/>
        <v>20163211</v>
      </c>
      <c r="K705" t="str">
        <f t="shared" si="206"/>
        <v>11.32.2016</v>
      </c>
      <c r="L705" s="4">
        <f t="shared" si="207"/>
        <v>1</v>
      </c>
      <c r="M705" s="4">
        <f t="shared" si="208"/>
        <v>18</v>
      </c>
      <c r="N705" s="4">
        <f t="shared" si="209"/>
        <v>21</v>
      </c>
      <c r="O705" s="4">
        <f t="shared" si="210"/>
        <v>18</v>
      </c>
      <c r="P705" s="4">
        <f t="shared" si="211"/>
        <v>1</v>
      </c>
      <c r="Q705" s="4">
        <f t="shared" si="212"/>
        <v>3</v>
      </c>
      <c r="R705" s="4">
        <f t="shared" si="213"/>
        <v>28</v>
      </c>
      <c r="S705" s="4">
        <f t="shared" si="214"/>
        <v>63</v>
      </c>
      <c r="T705" s="4">
        <f t="shared" si="215"/>
        <v>4</v>
      </c>
      <c r="U705" s="4">
        <f t="shared" si="216"/>
        <v>24</v>
      </c>
      <c r="V705" s="8">
        <f t="shared" si="217"/>
        <v>1</v>
      </c>
      <c r="W705" s="8">
        <f t="shared" si="218"/>
        <v>9</v>
      </c>
      <c r="X705">
        <f t="shared" si="219"/>
        <v>1</v>
      </c>
    </row>
    <row r="706" spans="1:24" x14ac:dyDescent="0.25">
      <c r="A706" s="4" t="s">
        <v>732</v>
      </c>
      <c r="B706" t="s">
        <v>19</v>
      </c>
      <c r="C706" t="s">
        <v>6</v>
      </c>
      <c r="D706" s="3">
        <f t="shared" si="200"/>
        <v>6</v>
      </c>
      <c r="E706" s="4">
        <f t="shared" si="201"/>
        <v>29</v>
      </c>
      <c r="F706" s="4">
        <f t="shared" si="202"/>
        <v>21</v>
      </c>
      <c r="G706" s="3">
        <f>IF(E706&gt;=20,2000,1900) + D706</f>
        <v>2006</v>
      </c>
      <c r="H706">
        <f t="shared" si="203"/>
        <v>9</v>
      </c>
      <c r="I706" s="4">
        <f t="shared" si="204"/>
        <v>21</v>
      </c>
      <c r="J706">
        <f t="shared" si="205"/>
        <v>20062921</v>
      </c>
      <c r="K706" t="str">
        <f t="shared" si="206"/>
        <v>21.29.2006</v>
      </c>
      <c r="L706" s="4">
        <f t="shared" si="207"/>
        <v>0</v>
      </c>
      <c r="M706" s="4">
        <f t="shared" si="208"/>
        <v>18</v>
      </c>
      <c r="N706" s="4">
        <f t="shared" si="209"/>
        <v>14</v>
      </c>
      <c r="O706" s="4">
        <f t="shared" si="210"/>
        <v>81</v>
      </c>
      <c r="P706" s="4">
        <f t="shared" si="211"/>
        <v>2</v>
      </c>
      <c r="Q706" s="4">
        <f t="shared" si="212"/>
        <v>3</v>
      </c>
      <c r="R706" s="4">
        <f t="shared" si="213"/>
        <v>21</v>
      </c>
      <c r="S706" s="4">
        <f t="shared" si="214"/>
        <v>45</v>
      </c>
      <c r="T706" s="4">
        <f t="shared" si="215"/>
        <v>2</v>
      </c>
      <c r="U706" s="4">
        <f t="shared" si="216"/>
        <v>12</v>
      </c>
      <c r="V706" s="8">
        <f t="shared" si="217"/>
        <v>8</v>
      </c>
      <c r="W706" s="8">
        <f t="shared" si="218"/>
        <v>2</v>
      </c>
      <c r="X706">
        <f t="shared" si="219"/>
        <v>1</v>
      </c>
    </row>
    <row r="707" spans="1:24" x14ac:dyDescent="0.25">
      <c r="A707" s="4" t="s">
        <v>733</v>
      </c>
      <c r="B707" t="s">
        <v>15</v>
      </c>
      <c r="C707" t="s">
        <v>6</v>
      </c>
      <c r="D707" s="3">
        <f t="shared" ref="D707:D770" si="220">MID(A707,1,2)*1</f>
        <v>5</v>
      </c>
      <c r="E707" s="4">
        <f t="shared" ref="E707:E770" si="221">MID(A707,3,2)*1</f>
        <v>23</v>
      </c>
      <c r="F707" s="4">
        <f t="shared" ref="F707:F770" si="222">MID(A707,5,2)*1</f>
        <v>8</v>
      </c>
      <c r="G707" s="3">
        <f>IF(E707&gt;=20,2000,1900) + D707</f>
        <v>2005</v>
      </c>
      <c r="H707">
        <f t="shared" ref="H707:H770" si="223">IF(E707&gt;=20,E707-20,E707)</f>
        <v>3</v>
      </c>
      <c r="I707" s="4">
        <f t="shared" ref="I707:I770" si="224">F707</f>
        <v>8</v>
      </c>
      <c r="J707">
        <f t="shared" ref="J707:J770" si="225">CONCATENATE(G707,IF(LEN(E707)=1,CONCATENATE("0",E707),E707),IF(LEN(F707)=1,CONCATENATE("0",F707),F707))*1</f>
        <v>20052308</v>
      </c>
      <c r="K707" t="str">
        <f t="shared" ref="K707:K770" si="226">CONCATENATE(RIGHT(J707,2),".",MID(J707,5,2),".",LEFT(J707,4))</f>
        <v>08.23.2005</v>
      </c>
      <c r="L707" s="4">
        <f t="shared" ref="L707:L770" si="227">MID(A707,1,1)*1</f>
        <v>0</v>
      </c>
      <c r="M707" s="4">
        <f t="shared" ref="M707:M770" si="228">MID(A707,2,1)*3</f>
        <v>15</v>
      </c>
      <c r="N707" s="4">
        <f t="shared" ref="N707:N770" si="229">MID(A707,3,1)*7</f>
        <v>14</v>
      </c>
      <c r="O707" s="4">
        <f t="shared" ref="O707:O770" si="230">MID(A707,4,1)*9</f>
        <v>27</v>
      </c>
      <c r="P707" s="4">
        <f t="shared" ref="P707:P770" si="231">MID(A707,5,1)*1</f>
        <v>0</v>
      </c>
      <c r="Q707" s="4">
        <f t="shared" ref="Q707:Q770" si="232">MID(A707,6,1)*3</f>
        <v>24</v>
      </c>
      <c r="R707" s="4">
        <f t="shared" ref="R707:R770" si="233">MID(A707,7,1)*7</f>
        <v>49</v>
      </c>
      <c r="S707" s="4">
        <f t="shared" ref="S707:S770" si="234">MID(A707,8,1)*9</f>
        <v>0</v>
      </c>
      <c r="T707" s="4">
        <f t="shared" ref="T707:T770" si="235">MID(A707,9,1)*1</f>
        <v>5</v>
      </c>
      <c r="U707" s="4">
        <f t="shared" ref="U707:U770" si="236">MID(A707,10,1)*3</f>
        <v>21</v>
      </c>
      <c r="V707" s="8">
        <f t="shared" ref="V707:V770" si="237">MOD(SUM(L707:U707),10)</f>
        <v>5</v>
      </c>
      <c r="W707" s="8">
        <f t="shared" ref="W707:W770" si="238">IF(V707=0,0,10-V707)</f>
        <v>5</v>
      </c>
      <c r="X707">
        <f t="shared" ref="X707:X770" si="239">IF(W707=RIGHT(A707,1)*1,1,0)</f>
        <v>1</v>
      </c>
    </row>
    <row r="708" spans="1:24" x14ac:dyDescent="0.25">
      <c r="A708" s="4" t="s">
        <v>734</v>
      </c>
      <c r="B708" t="s">
        <v>7</v>
      </c>
      <c r="C708" t="s">
        <v>4</v>
      </c>
      <c r="D708" s="3">
        <f t="shared" si="220"/>
        <v>18</v>
      </c>
      <c r="E708" s="4">
        <f t="shared" si="221"/>
        <v>27</v>
      </c>
      <c r="F708" s="4">
        <f t="shared" si="222"/>
        <v>14</v>
      </c>
      <c r="G708" s="3">
        <f>IF(E708&gt;=20,2000,1900) + D708</f>
        <v>2018</v>
      </c>
      <c r="H708">
        <f t="shared" si="223"/>
        <v>7</v>
      </c>
      <c r="I708" s="4">
        <f t="shared" si="224"/>
        <v>14</v>
      </c>
      <c r="J708">
        <f t="shared" si="225"/>
        <v>20182714</v>
      </c>
      <c r="K708" t="str">
        <f t="shared" si="226"/>
        <v>14.27.2018</v>
      </c>
      <c r="L708" s="4">
        <f t="shared" si="227"/>
        <v>1</v>
      </c>
      <c r="M708" s="4">
        <f t="shared" si="228"/>
        <v>24</v>
      </c>
      <c r="N708" s="4">
        <f t="shared" si="229"/>
        <v>14</v>
      </c>
      <c r="O708" s="4">
        <f t="shared" si="230"/>
        <v>63</v>
      </c>
      <c r="P708" s="4">
        <f t="shared" si="231"/>
        <v>1</v>
      </c>
      <c r="Q708" s="4">
        <f t="shared" si="232"/>
        <v>12</v>
      </c>
      <c r="R708" s="4">
        <f t="shared" si="233"/>
        <v>28</v>
      </c>
      <c r="S708" s="4">
        <f t="shared" si="234"/>
        <v>81</v>
      </c>
      <c r="T708" s="4">
        <f t="shared" si="235"/>
        <v>1</v>
      </c>
      <c r="U708" s="4">
        <f t="shared" si="236"/>
        <v>21</v>
      </c>
      <c r="V708" s="8">
        <f t="shared" si="237"/>
        <v>6</v>
      </c>
      <c r="W708" s="8">
        <f t="shared" si="238"/>
        <v>4</v>
      </c>
      <c r="X708">
        <f t="shared" si="239"/>
        <v>1</v>
      </c>
    </row>
    <row r="709" spans="1:24" x14ac:dyDescent="0.25">
      <c r="A709" s="4" t="s">
        <v>735</v>
      </c>
      <c r="B709" t="s">
        <v>5</v>
      </c>
      <c r="C709" t="s">
        <v>4</v>
      </c>
      <c r="D709" s="3">
        <f t="shared" si="220"/>
        <v>6</v>
      </c>
      <c r="E709" s="4">
        <f t="shared" si="221"/>
        <v>32</v>
      </c>
      <c r="F709" s="4">
        <f t="shared" si="222"/>
        <v>12</v>
      </c>
      <c r="G709" s="3">
        <f>IF(E709&gt;=20,2000,1900) + D709</f>
        <v>2006</v>
      </c>
      <c r="H709">
        <f t="shared" si="223"/>
        <v>12</v>
      </c>
      <c r="I709" s="4">
        <f t="shared" si="224"/>
        <v>12</v>
      </c>
      <c r="J709">
        <f t="shared" si="225"/>
        <v>20063212</v>
      </c>
      <c r="K709" t="str">
        <f t="shared" si="226"/>
        <v>12.32.2006</v>
      </c>
      <c r="L709" s="4">
        <f t="shared" si="227"/>
        <v>0</v>
      </c>
      <c r="M709" s="4">
        <f t="shared" si="228"/>
        <v>18</v>
      </c>
      <c r="N709" s="4">
        <f t="shared" si="229"/>
        <v>21</v>
      </c>
      <c r="O709" s="4">
        <f t="shared" si="230"/>
        <v>18</v>
      </c>
      <c r="P709" s="4">
        <f t="shared" si="231"/>
        <v>1</v>
      </c>
      <c r="Q709" s="4">
        <f t="shared" si="232"/>
        <v>6</v>
      </c>
      <c r="R709" s="4">
        <f t="shared" si="233"/>
        <v>35</v>
      </c>
      <c r="S709" s="4">
        <f t="shared" si="234"/>
        <v>72</v>
      </c>
      <c r="T709" s="4">
        <f t="shared" si="235"/>
        <v>2</v>
      </c>
      <c r="U709" s="4">
        <f t="shared" si="236"/>
        <v>15</v>
      </c>
      <c r="V709" s="8">
        <f t="shared" si="237"/>
        <v>8</v>
      </c>
      <c r="W709" s="8">
        <f t="shared" si="238"/>
        <v>2</v>
      </c>
      <c r="X709">
        <f t="shared" si="239"/>
        <v>1</v>
      </c>
    </row>
    <row r="710" spans="1:24" x14ac:dyDescent="0.25">
      <c r="A710" s="4" t="s">
        <v>736</v>
      </c>
      <c r="B710" t="s">
        <v>8</v>
      </c>
      <c r="C710" t="s">
        <v>6</v>
      </c>
      <c r="D710" s="3">
        <f t="shared" si="220"/>
        <v>18</v>
      </c>
      <c r="E710" s="4">
        <f t="shared" si="221"/>
        <v>26</v>
      </c>
      <c r="F710" s="4">
        <f t="shared" si="222"/>
        <v>26</v>
      </c>
      <c r="G710" s="3">
        <f>IF(E710&gt;=20,2000,1900) + D710</f>
        <v>2018</v>
      </c>
      <c r="H710">
        <f t="shared" si="223"/>
        <v>6</v>
      </c>
      <c r="I710" s="4">
        <f t="shared" si="224"/>
        <v>26</v>
      </c>
      <c r="J710">
        <f t="shared" si="225"/>
        <v>20182626</v>
      </c>
      <c r="K710" t="str">
        <f t="shared" si="226"/>
        <v>26.26.2018</v>
      </c>
      <c r="L710" s="4">
        <f t="shared" si="227"/>
        <v>1</v>
      </c>
      <c r="M710" s="4">
        <f t="shared" si="228"/>
        <v>24</v>
      </c>
      <c r="N710" s="4">
        <f t="shared" si="229"/>
        <v>14</v>
      </c>
      <c r="O710" s="4">
        <f t="shared" si="230"/>
        <v>54</v>
      </c>
      <c r="P710" s="4">
        <f t="shared" si="231"/>
        <v>2</v>
      </c>
      <c r="Q710" s="4">
        <f t="shared" si="232"/>
        <v>18</v>
      </c>
      <c r="R710" s="4">
        <f t="shared" si="233"/>
        <v>21</v>
      </c>
      <c r="S710" s="4">
        <f t="shared" si="234"/>
        <v>0</v>
      </c>
      <c r="T710" s="4">
        <f t="shared" si="235"/>
        <v>5</v>
      </c>
      <c r="U710" s="4">
        <f t="shared" si="236"/>
        <v>6</v>
      </c>
      <c r="V710" s="8">
        <f t="shared" si="237"/>
        <v>5</v>
      </c>
      <c r="W710" s="8">
        <f t="shared" si="238"/>
        <v>5</v>
      </c>
      <c r="X710">
        <f t="shared" si="239"/>
        <v>1</v>
      </c>
    </row>
    <row r="711" spans="1:24" x14ac:dyDescent="0.25">
      <c r="A711" s="4" t="s">
        <v>737</v>
      </c>
      <c r="B711" t="s">
        <v>7</v>
      </c>
      <c r="C711" t="s">
        <v>4</v>
      </c>
      <c r="D711" s="3">
        <f t="shared" si="220"/>
        <v>7</v>
      </c>
      <c r="E711" s="4">
        <f t="shared" si="221"/>
        <v>26</v>
      </c>
      <c r="F711" s="4">
        <f t="shared" si="222"/>
        <v>12</v>
      </c>
      <c r="G711" s="3">
        <f>IF(E711&gt;=20,2000,1900) + D711</f>
        <v>2007</v>
      </c>
      <c r="H711">
        <f t="shared" si="223"/>
        <v>6</v>
      </c>
      <c r="I711" s="4">
        <f t="shared" si="224"/>
        <v>12</v>
      </c>
      <c r="J711">
        <f t="shared" si="225"/>
        <v>20072612</v>
      </c>
      <c r="K711" t="str">
        <f t="shared" si="226"/>
        <v>12.26.2007</v>
      </c>
      <c r="L711" s="4">
        <f t="shared" si="227"/>
        <v>0</v>
      </c>
      <c r="M711" s="4">
        <f t="shared" si="228"/>
        <v>21</v>
      </c>
      <c r="N711" s="4">
        <f t="shared" si="229"/>
        <v>14</v>
      </c>
      <c r="O711" s="4">
        <f t="shared" si="230"/>
        <v>54</v>
      </c>
      <c r="P711" s="4">
        <f t="shared" si="231"/>
        <v>1</v>
      </c>
      <c r="Q711" s="4">
        <f t="shared" si="232"/>
        <v>6</v>
      </c>
      <c r="R711" s="4">
        <f t="shared" si="233"/>
        <v>28</v>
      </c>
      <c r="S711" s="4">
        <f t="shared" si="234"/>
        <v>18</v>
      </c>
      <c r="T711" s="4">
        <f t="shared" si="235"/>
        <v>6</v>
      </c>
      <c r="U711" s="4">
        <f t="shared" si="236"/>
        <v>27</v>
      </c>
      <c r="V711" s="8">
        <f t="shared" si="237"/>
        <v>5</v>
      </c>
      <c r="W711" s="8">
        <f t="shared" si="238"/>
        <v>5</v>
      </c>
      <c r="X711">
        <f t="shared" si="239"/>
        <v>1</v>
      </c>
    </row>
    <row r="712" spans="1:24" x14ac:dyDescent="0.25">
      <c r="A712" s="4" t="s">
        <v>738</v>
      </c>
      <c r="B712" t="s">
        <v>16</v>
      </c>
      <c r="C712" t="s">
        <v>4</v>
      </c>
      <c r="D712" s="3">
        <f t="shared" si="220"/>
        <v>8</v>
      </c>
      <c r="E712" s="4">
        <f t="shared" si="221"/>
        <v>30</v>
      </c>
      <c r="F712" s="4">
        <f t="shared" si="222"/>
        <v>6</v>
      </c>
      <c r="G712" s="3">
        <f>IF(E712&gt;=20,2000,1900) + D712</f>
        <v>2008</v>
      </c>
      <c r="H712">
        <f t="shared" si="223"/>
        <v>10</v>
      </c>
      <c r="I712" s="4">
        <f t="shared" si="224"/>
        <v>6</v>
      </c>
      <c r="J712">
        <f t="shared" si="225"/>
        <v>20083006</v>
      </c>
      <c r="K712" t="str">
        <f t="shared" si="226"/>
        <v>06.30.2008</v>
      </c>
      <c r="L712" s="4">
        <f t="shared" si="227"/>
        <v>0</v>
      </c>
      <c r="M712" s="4">
        <f t="shared" si="228"/>
        <v>24</v>
      </c>
      <c r="N712" s="4">
        <f t="shared" si="229"/>
        <v>21</v>
      </c>
      <c r="O712" s="4">
        <f t="shared" si="230"/>
        <v>0</v>
      </c>
      <c r="P712" s="4">
        <f t="shared" si="231"/>
        <v>0</v>
      </c>
      <c r="Q712" s="4">
        <f t="shared" si="232"/>
        <v>18</v>
      </c>
      <c r="R712" s="4">
        <f t="shared" si="233"/>
        <v>49</v>
      </c>
      <c r="S712" s="4">
        <f t="shared" si="234"/>
        <v>45</v>
      </c>
      <c r="T712" s="4">
        <f t="shared" si="235"/>
        <v>5</v>
      </c>
      <c r="U712" s="4">
        <f t="shared" si="236"/>
        <v>21</v>
      </c>
      <c r="V712" s="8">
        <f t="shared" si="237"/>
        <v>3</v>
      </c>
      <c r="W712" s="8">
        <f t="shared" si="238"/>
        <v>7</v>
      </c>
      <c r="X712">
        <f t="shared" si="239"/>
        <v>1</v>
      </c>
    </row>
    <row r="713" spans="1:24" x14ac:dyDescent="0.25">
      <c r="A713" s="4" t="s">
        <v>739</v>
      </c>
      <c r="B713" t="s">
        <v>10</v>
      </c>
      <c r="C713" t="s">
        <v>6</v>
      </c>
      <c r="D713" s="3">
        <f t="shared" si="220"/>
        <v>8</v>
      </c>
      <c r="E713" s="4">
        <f t="shared" si="221"/>
        <v>22</v>
      </c>
      <c r="F713" s="4">
        <f t="shared" si="222"/>
        <v>11</v>
      </c>
      <c r="G713" s="3">
        <f>IF(E713&gt;=20,2000,1900) + D713</f>
        <v>2008</v>
      </c>
      <c r="H713">
        <f t="shared" si="223"/>
        <v>2</v>
      </c>
      <c r="I713" s="4">
        <f t="shared" si="224"/>
        <v>11</v>
      </c>
      <c r="J713">
        <f t="shared" si="225"/>
        <v>20082211</v>
      </c>
      <c r="K713" t="str">
        <f t="shared" si="226"/>
        <v>11.22.2008</v>
      </c>
      <c r="L713" s="4">
        <f t="shared" si="227"/>
        <v>0</v>
      </c>
      <c r="M713" s="4">
        <f t="shared" si="228"/>
        <v>24</v>
      </c>
      <c r="N713" s="4">
        <f t="shared" si="229"/>
        <v>14</v>
      </c>
      <c r="O713" s="4">
        <f t="shared" si="230"/>
        <v>18</v>
      </c>
      <c r="P713" s="4">
        <f t="shared" si="231"/>
        <v>1</v>
      </c>
      <c r="Q713" s="4">
        <f t="shared" si="232"/>
        <v>3</v>
      </c>
      <c r="R713" s="4">
        <f t="shared" si="233"/>
        <v>63</v>
      </c>
      <c r="S713" s="4">
        <f t="shared" si="234"/>
        <v>27</v>
      </c>
      <c r="T713" s="4">
        <f t="shared" si="235"/>
        <v>8</v>
      </c>
      <c r="U713" s="4">
        <f t="shared" si="236"/>
        <v>24</v>
      </c>
      <c r="V713" s="8">
        <f t="shared" si="237"/>
        <v>2</v>
      </c>
      <c r="W713" s="8">
        <f t="shared" si="238"/>
        <v>8</v>
      </c>
      <c r="X713">
        <f t="shared" si="239"/>
        <v>1</v>
      </c>
    </row>
    <row r="714" spans="1:24" x14ac:dyDescent="0.25">
      <c r="A714" s="4" t="s">
        <v>740</v>
      </c>
      <c r="B714" t="s">
        <v>10</v>
      </c>
      <c r="C714" t="s">
        <v>4</v>
      </c>
      <c r="D714" s="3">
        <f t="shared" si="220"/>
        <v>5</v>
      </c>
      <c r="E714" s="4">
        <f t="shared" si="221"/>
        <v>22</v>
      </c>
      <c r="F714" s="4">
        <f t="shared" si="222"/>
        <v>1</v>
      </c>
      <c r="G714" s="3">
        <f>IF(E714&gt;=20,2000,1900) + D714</f>
        <v>2005</v>
      </c>
      <c r="H714">
        <f t="shared" si="223"/>
        <v>2</v>
      </c>
      <c r="I714" s="4">
        <f t="shared" si="224"/>
        <v>1</v>
      </c>
      <c r="J714">
        <f t="shared" si="225"/>
        <v>20052201</v>
      </c>
      <c r="K714" t="str">
        <f t="shared" si="226"/>
        <v>01.22.2005</v>
      </c>
      <c r="L714" s="4">
        <f t="shared" si="227"/>
        <v>0</v>
      </c>
      <c r="M714" s="4">
        <f t="shared" si="228"/>
        <v>15</v>
      </c>
      <c r="N714" s="4">
        <f t="shared" si="229"/>
        <v>14</v>
      </c>
      <c r="O714" s="4">
        <f t="shared" si="230"/>
        <v>18</v>
      </c>
      <c r="P714" s="4">
        <f t="shared" si="231"/>
        <v>0</v>
      </c>
      <c r="Q714" s="4">
        <f t="shared" si="232"/>
        <v>3</v>
      </c>
      <c r="R714" s="4">
        <f t="shared" si="233"/>
        <v>63</v>
      </c>
      <c r="S714" s="4">
        <f t="shared" si="234"/>
        <v>18</v>
      </c>
      <c r="T714" s="4">
        <f t="shared" si="235"/>
        <v>9</v>
      </c>
      <c r="U714" s="4">
        <f t="shared" si="236"/>
        <v>12</v>
      </c>
      <c r="V714" s="8">
        <f t="shared" si="237"/>
        <v>2</v>
      </c>
      <c r="W714" s="8">
        <f t="shared" si="238"/>
        <v>8</v>
      </c>
      <c r="X714">
        <f t="shared" si="239"/>
        <v>1</v>
      </c>
    </row>
    <row r="715" spans="1:24" x14ac:dyDescent="0.25">
      <c r="A715" s="4" t="s">
        <v>741</v>
      </c>
      <c r="B715" t="s">
        <v>12</v>
      </c>
      <c r="C715" t="s">
        <v>4</v>
      </c>
      <c r="D715" s="3">
        <f t="shared" si="220"/>
        <v>11</v>
      </c>
      <c r="E715" s="4">
        <f t="shared" si="221"/>
        <v>22</v>
      </c>
      <c r="F715" s="4">
        <f t="shared" si="222"/>
        <v>20</v>
      </c>
      <c r="G715" s="3">
        <f>IF(E715&gt;=20,2000,1900) + D715</f>
        <v>2011</v>
      </c>
      <c r="H715">
        <f t="shared" si="223"/>
        <v>2</v>
      </c>
      <c r="I715" s="4">
        <f t="shared" si="224"/>
        <v>20</v>
      </c>
      <c r="J715">
        <f t="shared" si="225"/>
        <v>20112220</v>
      </c>
      <c r="K715" t="str">
        <f t="shared" si="226"/>
        <v>20.22.2011</v>
      </c>
      <c r="L715" s="4">
        <f t="shared" si="227"/>
        <v>1</v>
      </c>
      <c r="M715" s="4">
        <f t="shared" si="228"/>
        <v>3</v>
      </c>
      <c r="N715" s="4">
        <f t="shared" si="229"/>
        <v>14</v>
      </c>
      <c r="O715" s="4">
        <f t="shared" si="230"/>
        <v>18</v>
      </c>
      <c r="P715" s="4">
        <f t="shared" si="231"/>
        <v>2</v>
      </c>
      <c r="Q715" s="4">
        <f t="shared" si="232"/>
        <v>0</v>
      </c>
      <c r="R715" s="4">
        <f t="shared" si="233"/>
        <v>14</v>
      </c>
      <c r="S715" s="4">
        <f t="shared" si="234"/>
        <v>27</v>
      </c>
      <c r="T715" s="4">
        <f t="shared" si="235"/>
        <v>2</v>
      </c>
      <c r="U715" s="4">
        <f t="shared" si="236"/>
        <v>6</v>
      </c>
      <c r="V715" s="8">
        <f t="shared" si="237"/>
        <v>7</v>
      </c>
      <c r="W715" s="8">
        <f t="shared" si="238"/>
        <v>3</v>
      </c>
      <c r="X715">
        <f t="shared" si="239"/>
        <v>1</v>
      </c>
    </row>
    <row r="716" spans="1:24" x14ac:dyDescent="0.25">
      <c r="A716" s="4" t="s">
        <v>742</v>
      </c>
      <c r="B716" t="s">
        <v>18</v>
      </c>
      <c r="C716" t="s">
        <v>4</v>
      </c>
      <c r="D716" s="3">
        <f t="shared" si="220"/>
        <v>18</v>
      </c>
      <c r="E716" s="4">
        <f t="shared" si="221"/>
        <v>32</v>
      </c>
      <c r="F716" s="4">
        <f t="shared" si="222"/>
        <v>2</v>
      </c>
      <c r="G716" s="3">
        <f>IF(E716&gt;=20,2000,1900) + D716</f>
        <v>2018</v>
      </c>
      <c r="H716">
        <f t="shared" si="223"/>
        <v>12</v>
      </c>
      <c r="I716" s="4">
        <f t="shared" si="224"/>
        <v>2</v>
      </c>
      <c r="J716">
        <f t="shared" si="225"/>
        <v>20183202</v>
      </c>
      <c r="K716" t="str">
        <f t="shared" si="226"/>
        <v>02.32.2018</v>
      </c>
      <c r="L716" s="4">
        <f t="shared" si="227"/>
        <v>1</v>
      </c>
      <c r="M716" s="4">
        <f t="shared" si="228"/>
        <v>24</v>
      </c>
      <c r="N716" s="4">
        <f t="shared" si="229"/>
        <v>21</v>
      </c>
      <c r="O716" s="4">
        <f t="shared" si="230"/>
        <v>18</v>
      </c>
      <c r="P716" s="4">
        <f t="shared" si="231"/>
        <v>0</v>
      </c>
      <c r="Q716" s="4">
        <f t="shared" si="232"/>
        <v>6</v>
      </c>
      <c r="R716" s="4">
        <f t="shared" si="233"/>
        <v>7</v>
      </c>
      <c r="S716" s="4">
        <f t="shared" si="234"/>
        <v>45</v>
      </c>
      <c r="T716" s="4">
        <f t="shared" si="235"/>
        <v>4</v>
      </c>
      <c r="U716" s="4">
        <f t="shared" si="236"/>
        <v>0</v>
      </c>
      <c r="V716" s="8">
        <f t="shared" si="237"/>
        <v>6</v>
      </c>
      <c r="W716" s="8">
        <f t="shared" si="238"/>
        <v>4</v>
      </c>
      <c r="X716">
        <f t="shared" si="239"/>
        <v>1</v>
      </c>
    </row>
    <row r="717" spans="1:24" x14ac:dyDescent="0.25">
      <c r="A717" s="4" t="s">
        <v>743</v>
      </c>
      <c r="B717" t="s">
        <v>3</v>
      </c>
      <c r="C717" t="s">
        <v>6</v>
      </c>
      <c r="D717" s="3">
        <f t="shared" si="220"/>
        <v>19</v>
      </c>
      <c r="E717" s="4">
        <f t="shared" si="221"/>
        <v>30</v>
      </c>
      <c r="F717" s="4">
        <f t="shared" si="222"/>
        <v>30</v>
      </c>
      <c r="G717" s="3">
        <f>IF(E717&gt;=20,2000,1900) + D717</f>
        <v>2019</v>
      </c>
      <c r="H717">
        <f t="shared" si="223"/>
        <v>10</v>
      </c>
      <c r="I717" s="4">
        <f t="shared" si="224"/>
        <v>30</v>
      </c>
      <c r="J717">
        <f t="shared" si="225"/>
        <v>20193030</v>
      </c>
      <c r="K717" t="str">
        <f t="shared" si="226"/>
        <v>30.30.2019</v>
      </c>
      <c r="L717" s="4">
        <f t="shared" si="227"/>
        <v>1</v>
      </c>
      <c r="M717" s="4">
        <f t="shared" si="228"/>
        <v>27</v>
      </c>
      <c r="N717" s="4">
        <f t="shared" si="229"/>
        <v>21</v>
      </c>
      <c r="O717" s="4">
        <f t="shared" si="230"/>
        <v>0</v>
      </c>
      <c r="P717" s="4">
        <f t="shared" si="231"/>
        <v>3</v>
      </c>
      <c r="Q717" s="4">
        <f t="shared" si="232"/>
        <v>0</v>
      </c>
      <c r="R717" s="4">
        <f t="shared" si="233"/>
        <v>14</v>
      </c>
      <c r="S717" s="4">
        <f t="shared" si="234"/>
        <v>36</v>
      </c>
      <c r="T717" s="4">
        <f t="shared" si="235"/>
        <v>7</v>
      </c>
      <c r="U717" s="4">
        <f t="shared" si="236"/>
        <v>6</v>
      </c>
      <c r="V717" s="8">
        <f t="shared" si="237"/>
        <v>5</v>
      </c>
      <c r="W717" s="8">
        <f t="shared" si="238"/>
        <v>5</v>
      </c>
      <c r="X717">
        <f t="shared" si="239"/>
        <v>1</v>
      </c>
    </row>
    <row r="718" spans="1:24" x14ac:dyDescent="0.25">
      <c r="A718" s="4" t="s">
        <v>744</v>
      </c>
      <c r="B718" t="s">
        <v>3</v>
      </c>
      <c r="C718" t="s">
        <v>6</v>
      </c>
      <c r="D718" s="3">
        <f t="shared" si="220"/>
        <v>16</v>
      </c>
      <c r="E718" s="4">
        <f t="shared" si="221"/>
        <v>29</v>
      </c>
      <c r="F718" s="4">
        <f t="shared" si="222"/>
        <v>13</v>
      </c>
      <c r="G718" s="3">
        <f>IF(E718&gt;=20,2000,1900) + D718</f>
        <v>2016</v>
      </c>
      <c r="H718">
        <f t="shared" si="223"/>
        <v>9</v>
      </c>
      <c r="I718" s="4">
        <f t="shared" si="224"/>
        <v>13</v>
      </c>
      <c r="J718">
        <f t="shared" si="225"/>
        <v>20162913</v>
      </c>
      <c r="K718" t="str">
        <f t="shared" si="226"/>
        <v>13.29.2016</v>
      </c>
      <c r="L718" s="4">
        <f t="shared" si="227"/>
        <v>1</v>
      </c>
      <c r="M718" s="4">
        <f t="shared" si="228"/>
        <v>18</v>
      </c>
      <c r="N718" s="4">
        <f t="shared" si="229"/>
        <v>14</v>
      </c>
      <c r="O718" s="4">
        <f t="shared" si="230"/>
        <v>81</v>
      </c>
      <c r="P718" s="4">
        <f t="shared" si="231"/>
        <v>1</v>
      </c>
      <c r="Q718" s="4">
        <f t="shared" si="232"/>
        <v>9</v>
      </c>
      <c r="R718" s="4">
        <f t="shared" si="233"/>
        <v>35</v>
      </c>
      <c r="S718" s="4">
        <f t="shared" si="234"/>
        <v>18</v>
      </c>
      <c r="T718" s="4">
        <f t="shared" si="235"/>
        <v>6</v>
      </c>
      <c r="U718" s="4">
        <f t="shared" si="236"/>
        <v>21</v>
      </c>
      <c r="V718" s="8">
        <f t="shared" si="237"/>
        <v>4</v>
      </c>
      <c r="W718" s="8">
        <f t="shared" si="238"/>
        <v>6</v>
      </c>
      <c r="X718">
        <f t="shared" si="239"/>
        <v>1</v>
      </c>
    </row>
    <row r="719" spans="1:24" x14ac:dyDescent="0.25">
      <c r="A719" s="4" t="s">
        <v>745</v>
      </c>
      <c r="B719" t="s">
        <v>18</v>
      </c>
      <c r="C719" t="s">
        <v>4</v>
      </c>
      <c r="D719" s="3">
        <f t="shared" si="220"/>
        <v>8</v>
      </c>
      <c r="E719" s="4">
        <f t="shared" si="221"/>
        <v>25</v>
      </c>
      <c r="F719" s="4">
        <f t="shared" si="222"/>
        <v>6</v>
      </c>
      <c r="G719" s="3">
        <f>IF(E719&gt;=20,2000,1900) + D719</f>
        <v>2008</v>
      </c>
      <c r="H719">
        <f t="shared" si="223"/>
        <v>5</v>
      </c>
      <c r="I719" s="4">
        <f t="shared" si="224"/>
        <v>6</v>
      </c>
      <c r="J719">
        <f t="shared" si="225"/>
        <v>20082506</v>
      </c>
      <c r="K719" t="str">
        <f t="shared" si="226"/>
        <v>06.25.2008</v>
      </c>
      <c r="L719" s="4">
        <f t="shared" si="227"/>
        <v>0</v>
      </c>
      <c r="M719" s="4">
        <f t="shared" si="228"/>
        <v>24</v>
      </c>
      <c r="N719" s="4">
        <f t="shared" si="229"/>
        <v>14</v>
      </c>
      <c r="O719" s="4">
        <f t="shared" si="230"/>
        <v>45</v>
      </c>
      <c r="P719" s="4">
        <f t="shared" si="231"/>
        <v>0</v>
      </c>
      <c r="Q719" s="4">
        <f t="shared" si="232"/>
        <v>18</v>
      </c>
      <c r="R719" s="4">
        <f t="shared" si="233"/>
        <v>7</v>
      </c>
      <c r="S719" s="4">
        <f t="shared" si="234"/>
        <v>81</v>
      </c>
      <c r="T719" s="4">
        <f t="shared" si="235"/>
        <v>8</v>
      </c>
      <c r="U719" s="4">
        <f t="shared" si="236"/>
        <v>15</v>
      </c>
      <c r="V719" s="8">
        <f t="shared" si="237"/>
        <v>2</v>
      </c>
      <c r="W719" s="8">
        <f t="shared" si="238"/>
        <v>8</v>
      </c>
      <c r="X719">
        <f t="shared" si="239"/>
        <v>1</v>
      </c>
    </row>
    <row r="720" spans="1:24" x14ac:dyDescent="0.25">
      <c r="A720" s="4" t="s">
        <v>746</v>
      </c>
      <c r="B720" t="s">
        <v>20</v>
      </c>
      <c r="C720" t="s">
        <v>6</v>
      </c>
      <c r="D720" s="3">
        <f t="shared" si="220"/>
        <v>5</v>
      </c>
      <c r="E720" s="4">
        <f t="shared" si="221"/>
        <v>26</v>
      </c>
      <c r="F720" s="4">
        <f t="shared" si="222"/>
        <v>30</v>
      </c>
      <c r="G720" s="3">
        <f>IF(E720&gt;=20,2000,1900) + D720</f>
        <v>2005</v>
      </c>
      <c r="H720">
        <f t="shared" si="223"/>
        <v>6</v>
      </c>
      <c r="I720" s="4">
        <f t="shared" si="224"/>
        <v>30</v>
      </c>
      <c r="J720">
        <f t="shared" si="225"/>
        <v>20052630</v>
      </c>
      <c r="K720" t="str">
        <f t="shared" si="226"/>
        <v>30.26.2005</v>
      </c>
      <c r="L720" s="4">
        <f t="shared" si="227"/>
        <v>0</v>
      </c>
      <c r="M720" s="4">
        <f t="shared" si="228"/>
        <v>15</v>
      </c>
      <c r="N720" s="4">
        <f t="shared" si="229"/>
        <v>14</v>
      </c>
      <c r="O720" s="4">
        <f t="shared" si="230"/>
        <v>54</v>
      </c>
      <c r="P720" s="4">
        <f t="shared" si="231"/>
        <v>3</v>
      </c>
      <c r="Q720" s="4">
        <f t="shared" si="232"/>
        <v>0</v>
      </c>
      <c r="R720" s="4">
        <f t="shared" si="233"/>
        <v>7</v>
      </c>
      <c r="S720" s="4">
        <f t="shared" si="234"/>
        <v>54</v>
      </c>
      <c r="T720" s="4">
        <f t="shared" si="235"/>
        <v>5</v>
      </c>
      <c r="U720" s="4">
        <f t="shared" si="236"/>
        <v>18</v>
      </c>
      <c r="V720" s="8">
        <f t="shared" si="237"/>
        <v>0</v>
      </c>
      <c r="W720" s="8">
        <f t="shared" si="238"/>
        <v>0</v>
      </c>
      <c r="X720">
        <f t="shared" si="239"/>
        <v>1</v>
      </c>
    </row>
    <row r="721" spans="1:24" x14ac:dyDescent="0.25">
      <c r="A721" s="4" t="s">
        <v>747</v>
      </c>
      <c r="B721" t="s">
        <v>13</v>
      </c>
      <c r="C721" t="s">
        <v>6</v>
      </c>
      <c r="D721" s="3">
        <f t="shared" si="220"/>
        <v>0</v>
      </c>
      <c r="E721" s="4">
        <f t="shared" si="221"/>
        <v>21</v>
      </c>
      <c r="F721" s="4">
        <f t="shared" si="222"/>
        <v>31</v>
      </c>
      <c r="G721" s="3">
        <f>IF(E721&gt;=20,2000,1900) + D721</f>
        <v>2000</v>
      </c>
      <c r="H721">
        <f t="shared" si="223"/>
        <v>1</v>
      </c>
      <c r="I721" s="4">
        <f t="shared" si="224"/>
        <v>31</v>
      </c>
      <c r="J721">
        <f t="shared" si="225"/>
        <v>20002131</v>
      </c>
      <c r="K721" t="str">
        <f t="shared" si="226"/>
        <v>31.21.2000</v>
      </c>
      <c r="L721" s="4">
        <f t="shared" si="227"/>
        <v>0</v>
      </c>
      <c r="M721" s="4">
        <f t="shared" si="228"/>
        <v>0</v>
      </c>
      <c r="N721" s="4">
        <f t="shared" si="229"/>
        <v>14</v>
      </c>
      <c r="O721" s="4">
        <f t="shared" si="230"/>
        <v>9</v>
      </c>
      <c r="P721" s="4">
        <f t="shared" si="231"/>
        <v>3</v>
      </c>
      <c r="Q721" s="4">
        <f t="shared" si="232"/>
        <v>3</v>
      </c>
      <c r="R721" s="4">
        <f t="shared" si="233"/>
        <v>56</v>
      </c>
      <c r="S721" s="4">
        <f t="shared" si="234"/>
        <v>9</v>
      </c>
      <c r="T721" s="4">
        <f t="shared" si="235"/>
        <v>0</v>
      </c>
      <c r="U721" s="4">
        <f t="shared" si="236"/>
        <v>0</v>
      </c>
      <c r="V721" s="8">
        <f t="shared" si="237"/>
        <v>4</v>
      </c>
      <c r="W721" s="8">
        <f t="shared" si="238"/>
        <v>6</v>
      </c>
      <c r="X721">
        <f t="shared" si="239"/>
        <v>1</v>
      </c>
    </row>
    <row r="722" spans="1:24" x14ac:dyDescent="0.25">
      <c r="A722" s="4" t="s">
        <v>748</v>
      </c>
      <c r="B722" t="s">
        <v>18</v>
      </c>
      <c r="C722" t="s">
        <v>6</v>
      </c>
      <c r="D722" s="3">
        <f t="shared" si="220"/>
        <v>8</v>
      </c>
      <c r="E722" s="4">
        <f t="shared" si="221"/>
        <v>32</v>
      </c>
      <c r="F722" s="4">
        <f t="shared" si="222"/>
        <v>27</v>
      </c>
      <c r="G722" s="3">
        <f>IF(E722&gt;=20,2000,1900) + D722</f>
        <v>2008</v>
      </c>
      <c r="H722">
        <f t="shared" si="223"/>
        <v>12</v>
      </c>
      <c r="I722" s="4">
        <f t="shared" si="224"/>
        <v>27</v>
      </c>
      <c r="J722">
        <f t="shared" si="225"/>
        <v>20083227</v>
      </c>
      <c r="K722" t="str">
        <f t="shared" si="226"/>
        <v>27.32.2008</v>
      </c>
      <c r="L722" s="4">
        <f t="shared" si="227"/>
        <v>0</v>
      </c>
      <c r="M722" s="4">
        <f t="shared" si="228"/>
        <v>24</v>
      </c>
      <c r="N722" s="4">
        <f t="shared" si="229"/>
        <v>21</v>
      </c>
      <c r="O722" s="4">
        <f t="shared" si="230"/>
        <v>18</v>
      </c>
      <c r="P722" s="4">
        <f t="shared" si="231"/>
        <v>2</v>
      </c>
      <c r="Q722" s="4">
        <f t="shared" si="232"/>
        <v>21</v>
      </c>
      <c r="R722" s="4">
        <f t="shared" si="233"/>
        <v>42</v>
      </c>
      <c r="S722" s="4">
        <f t="shared" si="234"/>
        <v>0</v>
      </c>
      <c r="T722" s="4">
        <f t="shared" si="235"/>
        <v>3</v>
      </c>
      <c r="U722" s="4">
        <f t="shared" si="236"/>
        <v>18</v>
      </c>
      <c r="V722" s="8">
        <f t="shared" si="237"/>
        <v>9</v>
      </c>
      <c r="W722" s="8">
        <f t="shared" si="238"/>
        <v>1</v>
      </c>
      <c r="X722">
        <f t="shared" si="239"/>
        <v>1</v>
      </c>
    </row>
    <row r="723" spans="1:24" x14ac:dyDescent="0.25">
      <c r="A723" s="4" t="s">
        <v>749</v>
      </c>
      <c r="B723" t="s">
        <v>5</v>
      </c>
      <c r="C723" t="s">
        <v>4</v>
      </c>
      <c r="D723" s="3">
        <f t="shared" si="220"/>
        <v>16</v>
      </c>
      <c r="E723" s="4">
        <f t="shared" si="221"/>
        <v>25</v>
      </c>
      <c r="F723" s="4">
        <f t="shared" si="222"/>
        <v>15</v>
      </c>
      <c r="G723" s="3">
        <f>IF(E723&gt;=20,2000,1900) + D723</f>
        <v>2016</v>
      </c>
      <c r="H723">
        <f t="shared" si="223"/>
        <v>5</v>
      </c>
      <c r="I723" s="4">
        <f t="shared" si="224"/>
        <v>15</v>
      </c>
      <c r="J723">
        <f t="shared" si="225"/>
        <v>20162515</v>
      </c>
      <c r="K723" t="str">
        <f t="shared" si="226"/>
        <v>15.25.2016</v>
      </c>
      <c r="L723" s="4">
        <f t="shared" si="227"/>
        <v>1</v>
      </c>
      <c r="M723" s="4">
        <f t="shared" si="228"/>
        <v>18</v>
      </c>
      <c r="N723" s="4">
        <f t="shared" si="229"/>
        <v>14</v>
      </c>
      <c r="O723" s="4">
        <f t="shared" si="230"/>
        <v>45</v>
      </c>
      <c r="P723" s="4">
        <f t="shared" si="231"/>
        <v>1</v>
      </c>
      <c r="Q723" s="4">
        <f t="shared" si="232"/>
        <v>15</v>
      </c>
      <c r="R723" s="4">
        <f t="shared" si="233"/>
        <v>28</v>
      </c>
      <c r="S723" s="4">
        <f t="shared" si="234"/>
        <v>72</v>
      </c>
      <c r="T723" s="4">
        <f t="shared" si="235"/>
        <v>4</v>
      </c>
      <c r="U723" s="4">
        <f t="shared" si="236"/>
        <v>18</v>
      </c>
      <c r="V723" s="8">
        <f t="shared" si="237"/>
        <v>6</v>
      </c>
      <c r="W723" s="8">
        <f t="shared" si="238"/>
        <v>4</v>
      </c>
      <c r="X723">
        <f t="shared" si="239"/>
        <v>1</v>
      </c>
    </row>
    <row r="724" spans="1:24" x14ac:dyDescent="0.25">
      <c r="A724" s="4" t="s">
        <v>750</v>
      </c>
      <c r="B724" t="s">
        <v>13</v>
      </c>
      <c r="C724" t="s">
        <v>6</v>
      </c>
      <c r="D724" s="3">
        <f t="shared" si="220"/>
        <v>10</v>
      </c>
      <c r="E724" s="4">
        <f t="shared" si="221"/>
        <v>29</v>
      </c>
      <c r="F724" s="4">
        <f t="shared" si="222"/>
        <v>27</v>
      </c>
      <c r="G724" s="3">
        <f>IF(E724&gt;=20,2000,1900) + D724</f>
        <v>2010</v>
      </c>
      <c r="H724">
        <f t="shared" si="223"/>
        <v>9</v>
      </c>
      <c r="I724" s="4">
        <f t="shared" si="224"/>
        <v>27</v>
      </c>
      <c r="J724">
        <f t="shared" si="225"/>
        <v>20102927</v>
      </c>
      <c r="K724" t="str">
        <f t="shared" si="226"/>
        <v>27.29.2010</v>
      </c>
      <c r="L724" s="4">
        <f t="shared" si="227"/>
        <v>1</v>
      </c>
      <c r="M724" s="4">
        <f t="shared" si="228"/>
        <v>0</v>
      </c>
      <c r="N724" s="4">
        <f t="shared" si="229"/>
        <v>14</v>
      </c>
      <c r="O724" s="4">
        <f t="shared" si="230"/>
        <v>81</v>
      </c>
      <c r="P724" s="4">
        <f t="shared" si="231"/>
        <v>2</v>
      </c>
      <c r="Q724" s="4">
        <f t="shared" si="232"/>
        <v>21</v>
      </c>
      <c r="R724" s="4">
        <f t="shared" si="233"/>
        <v>0</v>
      </c>
      <c r="S724" s="4">
        <f t="shared" si="234"/>
        <v>63</v>
      </c>
      <c r="T724" s="4">
        <f t="shared" si="235"/>
        <v>3</v>
      </c>
      <c r="U724" s="4">
        <f t="shared" si="236"/>
        <v>27</v>
      </c>
      <c r="V724" s="8">
        <f t="shared" si="237"/>
        <v>2</v>
      </c>
      <c r="W724" s="8">
        <f t="shared" si="238"/>
        <v>8</v>
      </c>
      <c r="X724">
        <f t="shared" si="239"/>
        <v>1</v>
      </c>
    </row>
    <row r="725" spans="1:24" x14ac:dyDescent="0.25">
      <c r="A725" s="4" t="s">
        <v>751</v>
      </c>
      <c r="B725" t="s">
        <v>13</v>
      </c>
      <c r="C725" t="s">
        <v>6</v>
      </c>
      <c r="D725" s="3">
        <f t="shared" si="220"/>
        <v>14</v>
      </c>
      <c r="E725" s="4">
        <f t="shared" si="221"/>
        <v>23</v>
      </c>
      <c r="F725" s="4">
        <f t="shared" si="222"/>
        <v>13</v>
      </c>
      <c r="G725" s="3">
        <f>IF(E725&gt;=20,2000,1900) + D725</f>
        <v>2014</v>
      </c>
      <c r="H725">
        <f t="shared" si="223"/>
        <v>3</v>
      </c>
      <c r="I725" s="4">
        <f t="shared" si="224"/>
        <v>13</v>
      </c>
      <c r="J725">
        <f t="shared" si="225"/>
        <v>20142313</v>
      </c>
      <c r="K725" t="str">
        <f t="shared" si="226"/>
        <v>13.23.2014</v>
      </c>
      <c r="L725" s="4">
        <f t="shared" si="227"/>
        <v>1</v>
      </c>
      <c r="M725" s="4">
        <f t="shared" si="228"/>
        <v>12</v>
      </c>
      <c r="N725" s="4">
        <f t="shared" si="229"/>
        <v>14</v>
      </c>
      <c r="O725" s="4">
        <f t="shared" si="230"/>
        <v>27</v>
      </c>
      <c r="P725" s="4">
        <f t="shared" si="231"/>
        <v>1</v>
      </c>
      <c r="Q725" s="4">
        <f t="shared" si="232"/>
        <v>9</v>
      </c>
      <c r="R725" s="4">
        <f t="shared" si="233"/>
        <v>7</v>
      </c>
      <c r="S725" s="4">
        <f t="shared" si="234"/>
        <v>54</v>
      </c>
      <c r="T725" s="4">
        <f t="shared" si="235"/>
        <v>5</v>
      </c>
      <c r="U725" s="4">
        <f t="shared" si="236"/>
        <v>0</v>
      </c>
      <c r="V725" s="8">
        <f t="shared" si="237"/>
        <v>0</v>
      </c>
      <c r="W725" s="8">
        <f t="shared" si="238"/>
        <v>0</v>
      </c>
      <c r="X725">
        <f t="shared" si="239"/>
        <v>1</v>
      </c>
    </row>
    <row r="726" spans="1:24" x14ac:dyDescent="0.25">
      <c r="A726" s="4" t="s">
        <v>752</v>
      </c>
      <c r="B726" t="s">
        <v>14</v>
      </c>
      <c r="C726" t="s">
        <v>4</v>
      </c>
      <c r="D726" s="3">
        <f t="shared" si="220"/>
        <v>21</v>
      </c>
      <c r="E726" s="4">
        <f t="shared" si="221"/>
        <v>22</v>
      </c>
      <c r="F726" s="4">
        <f t="shared" si="222"/>
        <v>26</v>
      </c>
      <c r="G726" s="3">
        <f>IF(E726&gt;=20,2000,1900) + D726</f>
        <v>2021</v>
      </c>
      <c r="H726">
        <f t="shared" si="223"/>
        <v>2</v>
      </c>
      <c r="I726" s="4">
        <f t="shared" si="224"/>
        <v>26</v>
      </c>
      <c r="J726">
        <f t="shared" si="225"/>
        <v>20212226</v>
      </c>
      <c r="K726" t="str">
        <f t="shared" si="226"/>
        <v>26.22.2021</v>
      </c>
      <c r="L726" s="4">
        <f t="shared" si="227"/>
        <v>2</v>
      </c>
      <c r="M726" s="4">
        <f t="shared" si="228"/>
        <v>3</v>
      </c>
      <c r="N726" s="4">
        <f t="shared" si="229"/>
        <v>14</v>
      </c>
      <c r="O726" s="4">
        <f t="shared" si="230"/>
        <v>18</v>
      </c>
      <c r="P726" s="4">
        <f t="shared" si="231"/>
        <v>2</v>
      </c>
      <c r="Q726" s="4">
        <f t="shared" si="232"/>
        <v>18</v>
      </c>
      <c r="R726" s="4">
        <f t="shared" si="233"/>
        <v>49</v>
      </c>
      <c r="S726" s="4">
        <f t="shared" si="234"/>
        <v>72</v>
      </c>
      <c r="T726" s="4">
        <f t="shared" si="235"/>
        <v>6</v>
      </c>
      <c r="U726" s="4">
        <f t="shared" si="236"/>
        <v>24</v>
      </c>
      <c r="V726" s="8">
        <f t="shared" si="237"/>
        <v>8</v>
      </c>
      <c r="W726" s="8">
        <f t="shared" si="238"/>
        <v>2</v>
      </c>
      <c r="X726">
        <f t="shared" si="239"/>
        <v>1</v>
      </c>
    </row>
    <row r="727" spans="1:24" x14ac:dyDescent="0.25">
      <c r="A727" s="4" t="s">
        <v>753</v>
      </c>
      <c r="B727" t="s">
        <v>17</v>
      </c>
      <c r="C727" t="s">
        <v>6</v>
      </c>
      <c r="D727" s="3">
        <f t="shared" si="220"/>
        <v>12</v>
      </c>
      <c r="E727" s="4">
        <f t="shared" si="221"/>
        <v>29</v>
      </c>
      <c r="F727" s="4">
        <f t="shared" si="222"/>
        <v>22</v>
      </c>
      <c r="G727" s="3">
        <f>IF(E727&gt;=20,2000,1900) + D727</f>
        <v>2012</v>
      </c>
      <c r="H727">
        <f t="shared" si="223"/>
        <v>9</v>
      </c>
      <c r="I727" s="4">
        <f t="shared" si="224"/>
        <v>22</v>
      </c>
      <c r="J727">
        <f t="shared" si="225"/>
        <v>20122922</v>
      </c>
      <c r="K727" t="str">
        <f t="shared" si="226"/>
        <v>22.29.2012</v>
      </c>
      <c r="L727" s="4">
        <f t="shared" si="227"/>
        <v>1</v>
      </c>
      <c r="M727" s="4">
        <f t="shared" si="228"/>
        <v>6</v>
      </c>
      <c r="N727" s="4">
        <f t="shared" si="229"/>
        <v>14</v>
      </c>
      <c r="O727" s="4">
        <f t="shared" si="230"/>
        <v>81</v>
      </c>
      <c r="P727" s="4">
        <f t="shared" si="231"/>
        <v>2</v>
      </c>
      <c r="Q727" s="4">
        <f t="shared" si="232"/>
        <v>6</v>
      </c>
      <c r="R727" s="4">
        <f t="shared" si="233"/>
        <v>7</v>
      </c>
      <c r="S727" s="4">
        <f t="shared" si="234"/>
        <v>45</v>
      </c>
      <c r="T727" s="4">
        <f t="shared" si="235"/>
        <v>8</v>
      </c>
      <c r="U727" s="4">
        <f t="shared" si="236"/>
        <v>18</v>
      </c>
      <c r="V727" s="8">
        <f t="shared" si="237"/>
        <v>8</v>
      </c>
      <c r="W727" s="8">
        <f t="shared" si="238"/>
        <v>2</v>
      </c>
      <c r="X727">
        <f t="shared" si="239"/>
        <v>1</v>
      </c>
    </row>
    <row r="728" spans="1:24" x14ac:dyDescent="0.25">
      <c r="A728" s="4" t="s">
        <v>754</v>
      </c>
      <c r="B728" t="s">
        <v>13</v>
      </c>
      <c r="C728" t="s">
        <v>6</v>
      </c>
      <c r="D728" s="3">
        <f t="shared" si="220"/>
        <v>7</v>
      </c>
      <c r="E728" s="4">
        <f t="shared" si="221"/>
        <v>28</v>
      </c>
      <c r="F728" s="4">
        <f t="shared" si="222"/>
        <v>29</v>
      </c>
      <c r="G728" s="3">
        <f>IF(E728&gt;=20,2000,1900) + D728</f>
        <v>2007</v>
      </c>
      <c r="H728">
        <f t="shared" si="223"/>
        <v>8</v>
      </c>
      <c r="I728" s="4">
        <f t="shared" si="224"/>
        <v>29</v>
      </c>
      <c r="J728">
        <f t="shared" si="225"/>
        <v>20072829</v>
      </c>
      <c r="K728" t="str">
        <f t="shared" si="226"/>
        <v>29.28.2007</v>
      </c>
      <c r="L728" s="4">
        <f t="shared" si="227"/>
        <v>0</v>
      </c>
      <c r="M728" s="4">
        <f t="shared" si="228"/>
        <v>21</v>
      </c>
      <c r="N728" s="4">
        <f t="shared" si="229"/>
        <v>14</v>
      </c>
      <c r="O728" s="4">
        <f t="shared" si="230"/>
        <v>72</v>
      </c>
      <c r="P728" s="4">
        <f t="shared" si="231"/>
        <v>2</v>
      </c>
      <c r="Q728" s="4">
        <f t="shared" si="232"/>
        <v>27</v>
      </c>
      <c r="R728" s="4">
        <f t="shared" si="233"/>
        <v>56</v>
      </c>
      <c r="S728" s="4">
        <f t="shared" si="234"/>
        <v>18</v>
      </c>
      <c r="T728" s="4">
        <f t="shared" si="235"/>
        <v>5</v>
      </c>
      <c r="U728" s="4">
        <f t="shared" si="236"/>
        <v>27</v>
      </c>
      <c r="V728" s="8">
        <f t="shared" si="237"/>
        <v>2</v>
      </c>
      <c r="W728" s="8">
        <f t="shared" si="238"/>
        <v>8</v>
      </c>
      <c r="X728">
        <f t="shared" si="239"/>
        <v>1</v>
      </c>
    </row>
    <row r="729" spans="1:24" x14ac:dyDescent="0.25">
      <c r="A729" s="4" t="s">
        <v>755</v>
      </c>
      <c r="B729" t="s">
        <v>19</v>
      </c>
      <c r="C729" t="s">
        <v>6</v>
      </c>
      <c r="D729" s="3">
        <f t="shared" si="220"/>
        <v>9</v>
      </c>
      <c r="E729" s="4">
        <f t="shared" si="221"/>
        <v>22</v>
      </c>
      <c r="F729" s="4">
        <f t="shared" si="222"/>
        <v>5</v>
      </c>
      <c r="G729" s="3">
        <f>IF(E729&gt;=20,2000,1900) + D729</f>
        <v>2009</v>
      </c>
      <c r="H729">
        <f t="shared" si="223"/>
        <v>2</v>
      </c>
      <c r="I729" s="4">
        <f t="shared" si="224"/>
        <v>5</v>
      </c>
      <c r="J729">
        <f t="shared" si="225"/>
        <v>20092205</v>
      </c>
      <c r="K729" t="str">
        <f t="shared" si="226"/>
        <v>05.22.2009</v>
      </c>
      <c r="L729" s="4">
        <f t="shared" si="227"/>
        <v>0</v>
      </c>
      <c r="M729" s="4">
        <f t="shared" si="228"/>
        <v>27</v>
      </c>
      <c r="N729" s="4">
        <f t="shared" si="229"/>
        <v>14</v>
      </c>
      <c r="O729" s="4">
        <f t="shared" si="230"/>
        <v>18</v>
      </c>
      <c r="P729" s="4">
        <f t="shared" si="231"/>
        <v>0</v>
      </c>
      <c r="Q729" s="4">
        <f t="shared" si="232"/>
        <v>15</v>
      </c>
      <c r="R729" s="4">
        <f t="shared" si="233"/>
        <v>63</v>
      </c>
      <c r="S729" s="4">
        <f t="shared" si="234"/>
        <v>9</v>
      </c>
      <c r="T729" s="4">
        <f t="shared" si="235"/>
        <v>1</v>
      </c>
      <c r="U729" s="4">
        <f t="shared" si="236"/>
        <v>24</v>
      </c>
      <c r="V729" s="8">
        <f t="shared" si="237"/>
        <v>1</v>
      </c>
      <c r="W729" s="8">
        <f t="shared" si="238"/>
        <v>9</v>
      </c>
      <c r="X729">
        <f t="shared" si="239"/>
        <v>1</v>
      </c>
    </row>
    <row r="730" spans="1:24" x14ac:dyDescent="0.25">
      <c r="A730" s="4" t="s">
        <v>756</v>
      </c>
      <c r="B730" t="s">
        <v>18</v>
      </c>
      <c r="C730" t="s">
        <v>6</v>
      </c>
      <c r="D730" s="3">
        <f t="shared" si="220"/>
        <v>21</v>
      </c>
      <c r="E730" s="4">
        <f t="shared" si="221"/>
        <v>23</v>
      </c>
      <c r="F730" s="4">
        <f t="shared" si="222"/>
        <v>1</v>
      </c>
      <c r="G730" s="3">
        <f>IF(E730&gt;=20,2000,1900) + D730</f>
        <v>2021</v>
      </c>
      <c r="H730">
        <f t="shared" si="223"/>
        <v>3</v>
      </c>
      <c r="I730" s="4">
        <f t="shared" si="224"/>
        <v>1</v>
      </c>
      <c r="J730">
        <f t="shared" si="225"/>
        <v>20212301</v>
      </c>
      <c r="K730" t="str">
        <f t="shared" si="226"/>
        <v>01.23.2021</v>
      </c>
      <c r="L730" s="4">
        <f t="shared" si="227"/>
        <v>2</v>
      </c>
      <c r="M730" s="4">
        <f t="shared" si="228"/>
        <v>3</v>
      </c>
      <c r="N730" s="4">
        <f t="shared" si="229"/>
        <v>14</v>
      </c>
      <c r="O730" s="4">
        <f t="shared" si="230"/>
        <v>27</v>
      </c>
      <c r="P730" s="4">
        <f t="shared" si="231"/>
        <v>0</v>
      </c>
      <c r="Q730" s="4">
        <f t="shared" si="232"/>
        <v>3</v>
      </c>
      <c r="R730" s="4">
        <f t="shared" si="233"/>
        <v>7</v>
      </c>
      <c r="S730" s="4">
        <f t="shared" si="234"/>
        <v>63</v>
      </c>
      <c r="T730" s="4">
        <f t="shared" si="235"/>
        <v>4</v>
      </c>
      <c r="U730" s="4">
        <f t="shared" si="236"/>
        <v>18</v>
      </c>
      <c r="V730" s="8">
        <f t="shared" si="237"/>
        <v>1</v>
      </c>
      <c r="W730" s="8">
        <f t="shared" si="238"/>
        <v>9</v>
      </c>
      <c r="X730">
        <f t="shared" si="239"/>
        <v>1</v>
      </c>
    </row>
    <row r="731" spans="1:24" x14ac:dyDescent="0.25">
      <c r="A731" s="4" t="s">
        <v>757</v>
      </c>
      <c r="B731" t="s">
        <v>16</v>
      </c>
      <c r="C731" t="s">
        <v>4</v>
      </c>
      <c r="D731" s="3">
        <f t="shared" si="220"/>
        <v>11</v>
      </c>
      <c r="E731" s="4">
        <f t="shared" si="221"/>
        <v>31</v>
      </c>
      <c r="F731" s="4">
        <f t="shared" si="222"/>
        <v>23</v>
      </c>
      <c r="G731" s="3">
        <f>IF(E731&gt;=20,2000,1900) + D731</f>
        <v>2011</v>
      </c>
      <c r="H731">
        <f t="shared" si="223"/>
        <v>11</v>
      </c>
      <c r="I731" s="4">
        <f t="shared" si="224"/>
        <v>23</v>
      </c>
      <c r="J731">
        <f t="shared" si="225"/>
        <v>20113123</v>
      </c>
      <c r="K731" t="str">
        <f t="shared" si="226"/>
        <v>23.31.2011</v>
      </c>
      <c r="L731" s="4">
        <f t="shared" si="227"/>
        <v>1</v>
      </c>
      <c r="M731" s="4">
        <f t="shared" si="228"/>
        <v>3</v>
      </c>
      <c r="N731" s="4">
        <f t="shared" si="229"/>
        <v>21</v>
      </c>
      <c r="O731" s="4">
        <f t="shared" si="230"/>
        <v>9</v>
      </c>
      <c r="P731" s="4">
        <f t="shared" si="231"/>
        <v>2</v>
      </c>
      <c r="Q731" s="4">
        <f t="shared" si="232"/>
        <v>9</v>
      </c>
      <c r="R731" s="4">
        <f t="shared" si="233"/>
        <v>21</v>
      </c>
      <c r="S731" s="4">
        <f t="shared" si="234"/>
        <v>9</v>
      </c>
      <c r="T731" s="4">
        <f t="shared" si="235"/>
        <v>9</v>
      </c>
      <c r="U731" s="4">
        <f t="shared" si="236"/>
        <v>12</v>
      </c>
      <c r="V731" s="8">
        <f t="shared" si="237"/>
        <v>6</v>
      </c>
      <c r="W731" s="8">
        <f t="shared" si="238"/>
        <v>4</v>
      </c>
      <c r="X731">
        <f t="shared" si="239"/>
        <v>1</v>
      </c>
    </row>
    <row r="732" spans="1:24" x14ac:dyDescent="0.25">
      <c r="A732" s="4" t="s">
        <v>758</v>
      </c>
      <c r="B732" t="s">
        <v>14</v>
      </c>
      <c r="C732" t="s">
        <v>4</v>
      </c>
      <c r="D732" s="3">
        <f t="shared" si="220"/>
        <v>9</v>
      </c>
      <c r="E732" s="4">
        <f t="shared" si="221"/>
        <v>24</v>
      </c>
      <c r="F732" s="4">
        <f t="shared" si="222"/>
        <v>6</v>
      </c>
      <c r="G732" s="3">
        <f>IF(E732&gt;=20,2000,1900) + D732</f>
        <v>2009</v>
      </c>
      <c r="H732">
        <f t="shared" si="223"/>
        <v>4</v>
      </c>
      <c r="I732" s="4">
        <f t="shared" si="224"/>
        <v>6</v>
      </c>
      <c r="J732">
        <f t="shared" si="225"/>
        <v>20092406</v>
      </c>
      <c r="K732" t="str">
        <f t="shared" si="226"/>
        <v>06.24.2009</v>
      </c>
      <c r="L732" s="4">
        <f t="shared" si="227"/>
        <v>0</v>
      </c>
      <c r="M732" s="4">
        <f t="shared" si="228"/>
        <v>27</v>
      </c>
      <c r="N732" s="4">
        <f t="shared" si="229"/>
        <v>14</v>
      </c>
      <c r="O732" s="4">
        <f t="shared" si="230"/>
        <v>36</v>
      </c>
      <c r="P732" s="4">
        <f t="shared" si="231"/>
        <v>0</v>
      </c>
      <c r="Q732" s="4">
        <f t="shared" si="232"/>
        <v>18</v>
      </c>
      <c r="R732" s="4">
        <f t="shared" si="233"/>
        <v>14</v>
      </c>
      <c r="S732" s="4">
        <f t="shared" si="234"/>
        <v>81</v>
      </c>
      <c r="T732" s="4">
        <f t="shared" si="235"/>
        <v>6</v>
      </c>
      <c r="U732" s="4">
        <f t="shared" si="236"/>
        <v>18</v>
      </c>
      <c r="V732" s="8">
        <f t="shared" si="237"/>
        <v>4</v>
      </c>
      <c r="W732" s="8">
        <f t="shared" si="238"/>
        <v>6</v>
      </c>
      <c r="X732">
        <f t="shared" si="239"/>
        <v>1</v>
      </c>
    </row>
    <row r="733" spans="1:24" x14ac:dyDescent="0.25">
      <c r="A733" s="4" t="s">
        <v>759</v>
      </c>
      <c r="B733" t="s">
        <v>15</v>
      </c>
      <c r="C733" t="s">
        <v>6</v>
      </c>
      <c r="D733" s="3">
        <f t="shared" si="220"/>
        <v>0</v>
      </c>
      <c r="E733" s="4">
        <f t="shared" si="221"/>
        <v>31</v>
      </c>
      <c r="F733" s="4">
        <f t="shared" si="222"/>
        <v>21</v>
      </c>
      <c r="G733" s="3">
        <f>IF(E733&gt;=20,2000,1900) + D733</f>
        <v>2000</v>
      </c>
      <c r="H733">
        <f t="shared" si="223"/>
        <v>11</v>
      </c>
      <c r="I733" s="4">
        <f t="shared" si="224"/>
        <v>21</v>
      </c>
      <c r="J733">
        <f t="shared" si="225"/>
        <v>20003121</v>
      </c>
      <c r="K733" t="str">
        <f t="shared" si="226"/>
        <v>21.31.2000</v>
      </c>
      <c r="L733" s="4">
        <f t="shared" si="227"/>
        <v>0</v>
      </c>
      <c r="M733" s="4">
        <f t="shared" si="228"/>
        <v>0</v>
      </c>
      <c r="N733" s="4">
        <f t="shared" si="229"/>
        <v>21</v>
      </c>
      <c r="O733" s="4">
        <f t="shared" si="230"/>
        <v>9</v>
      </c>
      <c r="P733" s="4">
        <f t="shared" si="231"/>
        <v>2</v>
      </c>
      <c r="Q733" s="4">
        <f t="shared" si="232"/>
        <v>3</v>
      </c>
      <c r="R733" s="4">
        <f t="shared" si="233"/>
        <v>42</v>
      </c>
      <c r="S733" s="4">
        <f t="shared" si="234"/>
        <v>0</v>
      </c>
      <c r="T733" s="4">
        <f t="shared" si="235"/>
        <v>2</v>
      </c>
      <c r="U733" s="4">
        <f t="shared" si="236"/>
        <v>27</v>
      </c>
      <c r="V733" s="8">
        <f t="shared" si="237"/>
        <v>6</v>
      </c>
      <c r="W733" s="8">
        <f t="shared" si="238"/>
        <v>4</v>
      </c>
      <c r="X733">
        <f t="shared" si="239"/>
        <v>1</v>
      </c>
    </row>
    <row r="734" spans="1:24" x14ac:dyDescent="0.25">
      <c r="A734" s="4" t="s">
        <v>760</v>
      </c>
      <c r="B734" t="s">
        <v>20</v>
      </c>
      <c r="C734" t="s">
        <v>4</v>
      </c>
      <c r="D734" s="3">
        <f t="shared" si="220"/>
        <v>8</v>
      </c>
      <c r="E734" s="4">
        <f t="shared" si="221"/>
        <v>28</v>
      </c>
      <c r="F734" s="4">
        <f t="shared" si="222"/>
        <v>11</v>
      </c>
      <c r="G734" s="3">
        <f>IF(E734&gt;=20,2000,1900) + D734</f>
        <v>2008</v>
      </c>
      <c r="H734">
        <f t="shared" si="223"/>
        <v>8</v>
      </c>
      <c r="I734" s="4">
        <f t="shared" si="224"/>
        <v>11</v>
      </c>
      <c r="J734">
        <f t="shared" si="225"/>
        <v>20082811</v>
      </c>
      <c r="K734" t="str">
        <f t="shared" si="226"/>
        <v>11.28.2008</v>
      </c>
      <c r="L734" s="4">
        <f t="shared" si="227"/>
        <v>0</v>
      </c>
      <c r="M734" s="4">
        <f t="shared" si="228"/>
        <v>24</v>
      </c>
      <c r="N734" s="4">
        <f t="shared" si="229"/>
        <v>14</v>
      </c>
      <c r="O734" s="4">
        <f t="shared" si="230"/>
        <v>72</v>
      </c>
      <c r="P734" s="4">
        <f t="shared" si="231"/>
        <v>1</v>
      </c>
      <c r="Q734" s="4">
        <f t="shared" si="232"/>
        <v>3</v>
      </c>
      <c r="R734" s="4">
        <f t="shared" si="233"/>
        <v>7</v>
      </c>
      <c r="S734" s="4">
        <f t="shared" si="234"/>
        <v>0</v>
      </c>
      <c r="T734" s="4">
        <f t="shared" si="235"/>
        <v>8</v>
      </c>
      <c r="U734" s="4">
        <f t="shared" si="236"/>
        <v>9</v>
      </c>
      <c r="V734" s="8">
        <f t="shared" si="237"/>
        <v>8</v>
      </c>
      <c r="W734" s="8">
        <f t="shared" si="238"/>
        <v>2</v>
      </c>
      <c r="X734">
        <f t="shared" si="239"/>
        <v>1</v>
      </c>
    </row>
    <row r="735" spans="1:24" x14ac:dyDescent="0.25">
      <c r="A735" s="4" t="s">
        <v>761</v>
      </c>
      <c r="B735" t="s">
        <v>17</v>
      </c>
      <c r="C735" t="s">
        <v>6</v>
      </c>
      <c r="D735" s="3">
        <f t="shared" si="220"/>
        <v>5</v>
      </c>
      <c r="E735" s="4">
        <f t="shared" si="221"/>
        <v>22</v>
      </c>
      <c r="F735" s="4">
        <f t="shared" si="222"/>
        <v>12</v>
      </c>
      <c r="G735" s="3">
        <f>IF(E735&gt;=20,2000,1900) + D735</f>
        <v>2005</v>
      </c>
      <c r="H735">
        <f t="shared" si="223"/>
        <v>2</v>
      </c>
      <c r="I735" s="4">
        <f t="shared" si="224"/>
        <v>12</v>
      </c>
      <c r="J735">
        <f t="shared" si="225"/>
        <v>20052212</v>
      </c>
      <c r="K735" t="str">
        <f t="shared" si="226"/>
        <v>12.22.2005</v>
      </c>
      <c r="L735" s="4">
        <f t="shared" si="227"/>
        <v>0</v>
      </c>
      <c r="M735" s="4">
        <f t="shared" si="228"/>
        <v>15</v>
      </c>
      <c r="N735" s="4">
        <f t="shared" si="229"/>
        <v>14</v>
      </c>
      <c r="O735" s="4">
        <f t="shared" si="230"/>
        <v>18</v>
      </c>
      <c r="P735" s="4">
        <f t="shared" si="231"/>
        <v>1</v>
      </c>
      <c r="Q735" s="4">
        <f t="shared" si="232"/>
        <v>6</v>
      </c>
      <c r="R735" s="4">
        <f t="shared" si="233"/>
        <v>35</v>
      </c>
      <c r="S735" s="4">
        <f t="shared" si="234"/>
        <v>81</v>
      </c>
      <c r="T735" s="4">
        <f t="shared" si="235"/>
        <v>1</v>
      </c>
      <c r="U735" s="4">
        <f t="shared" si="236"/>
        <v>18</v>
      </c>
      <c r="V735" s="8">
        <f t="shared" si="237"/>
        <v>9</v>
      </c>
      <c r="W735" s="8">
        <f t="shared" si="238"/>
        <v>1</v>
      </c>
      <c r="X735">
        <f t="shared" si="239"/>
        <v>1</v>
      </c>
    </row>
    <row r="736" spans="1:24" x14ac:dyDescent="0.25">
      <c r="A736" s="4" t="s">
        <v>762</v>
      </c>
      <c r="B736" t="s">
        <v>11</v>
      </c>
      <c r="C736" t="s">
        <v>4</v>
      </c>
      <c r="D736" s="3">
        <f t="shared" si="220"/>
        <v>16</v>
      </c>
      <c r="E736" s="4">
        <f t="shared" si="221"/>
        <v>21</v>
      </c>
      <c r="F736" s="4">
        <f t="shared" si="222"/>
        <v>24</v>
      </c>
      <c r="G736" s="3">
        <f>IF(E736&gt;=20,2000,1900) + D736</f>
        <v>2016</v>
      </c>
      <c r="H736">
        <f t="shared" si="223"/>
        <v>1</v>
      </c>
      <c r="I736" s="4">
        <f t="shared" si="224"/>
        <v>24</v>
      </c>
      <c r="J736">
        <f t="shared" si="225"/>
        <v>20162124</v>
      </c>
      <c r="K736" t="str">
        <f t="shared" si="226"/>
        <v>24.21.2016</v>
      </c>
      <c r="L736" s="4">
        <f t="shared" si="227"/>
        <v>1</v>
      </c>
      <c r="M736" s="4">
        <f t="shared" si="228"/>
        <v>18</v>
      </c>
      <c r="N736" s="4">
        <f t="shared" si="229"/>
        <v>14</v>
      </c>
      <c r="O736" s="4">
        <f t="shared" si="230"/>
        <v>9</v>
      </c>
      <c r="P736" s="4">
        <f t="shared" si="231"/>
        <v>2</v>
      </c>
      <c r="Q736" s="4">
        <f t="shared" si="232"/>
        <v>12</v>
      </c>
      <c r="R736" s="4">
        <f t="shared" si="233"/>
        <v>49</v>
      </c>
      <c r="S736" s="4">
        <f t="shared" si="234"/>
        <v>81</v>
      </c>
      <c r="T736" s="4">
        <f t="shared" si="235"/>
        <v>6</v>
      </c>
      <c r="U736" s="4">
        <f t="shared" si="236"/>
        <v>21</v>
      </c>
      <c r="V736" s="8">
        <f t="shared" si="237"/>
        <v>3</v>
      </c>
      <c r="W736" s="8">
        <f t="shared" si="238"/>
        <v>7</v>
      </c>
      <c r="X736">
        <f t="shared" si="239"/>
        <v>1</v>
      </c>
    </row>
    <row r="737" spans="1:24" x14ac:dyDescent="0.25">
      <c r="A737" s="4" t="s">
        <v>763</v>
      </c>
      <c r="B737" t="s">
        <v>20</v>
      </c>
      <c r="C737" t="s">
        <v>4</v>
      </c>
      <c r="D737" s="3">
        <f t="shared" si="220"/>
        <v>15</v>
      </c>
      <c r="E737" s="4">
        <f t="shared" si="221"/>
        <v>30</v>
      </c>
      <c r="F737" s="4">
        <f t="shared" si="222"/>
        <v>6</v>
      </c>
      <c r="G737" s="3">
        <f>IF(E737&gt;=20,2000,1900) + D737</f>
        <v>2015</v>
      </c>
      <c r="H737">
        <f t="shared" si="223"/>
        <v>10</v>
      </c>
      <c r="I737" s="4">
        <f t="shared" si="224"/>
        <v>6</v>
      </c>
      <c r="J737">
        <f t="shared" si="225"/>
        <v>20153006</v>
      </c>
      <c r="K737" t="str">
        <f t="shared" si="226"/>
        <v>06.30.2015</v>
      </c>
      <c r="L737" s="4">
        <f t="shared" si="227"/>
        <v>1</v>
      </c>
      <c r="M737" s="4">
        <f t="shared" si="228"/>
        <v>15</v>
      </c>
      <c r="N737" s="4">
        <f t="shared" si="229"/>
        <v>21</v>
      </c>
      <c r="O737" s="4">
        <f t="shared" si="230"/>
        <v>0</v>
      </c>
      <c r="P737" s="4">
        <f t="shared" si="231"/>
        <v>0</v>
      </c>
      <c r="Q737" s="4">
        <f t="shared" si="232"/>
        <v>18</v>
      </c>
      <c r="R737" s="4">
        <f t="shared" si="233"/>
        <v>7</v>
      </c>
      <c r="S737" s="4">
        <f t="shared" si="234"/>
        <v>72</v>
      </c>
      <c r="T737" s="4">
        <f t="shared" si="235"/>
        <v>0</v>
      </c>
      <c r="U737" s="4">
        <f t="shared" si="236"/>
        <v>3</v>
      </c>
      <c r="V737" s="8">
        <f t="shared" si="237"/>
        <v>7</v>
      </c>
      <c r="W737" s="8">
        <f t="shared" si="238"/>
        <v>3</v>
      </c>
      <c r="X737">
        <f t="shared" si="239"/>
        <v>1</v>
      </c>
    </row>
    <row r="738" spans="1:24" x14ac:dyDescent="0.25">
      <c r="A738" s="4" t="s">
        <v>764</v>
      </c>
      <c r="B738" t="s">
        <v>5</v>
      </c>
      <c r="C738" t="s">
        <v>4</v>
      </c>
      <c r="D738" s="3">
        <f t="shared" si="220"/>
        <v>15</v>
      </c>
      <c r="E738" s="4">
        <f t="shared" si="221"/>
        <v>29</v>
      </c>
      <c r="F738" s="4">
        <f t="shared" si="222"/>
        <v>18</v>
      </c>
      <c r="G738" s="3">
        <f>IF(E738&gt;=20,2000,1900) + D738</f>
        <v>2015</v>
      </c>
      <c r="H738">
        <f t="shared" si="223"/>
        <v>9</v>
      </c>
      <c r="I738" s="4">
        <f t="shared" si="224"/>
        <v>18</v>
      </c>
      <c r="J738">
        <f t="shared" si="225"/>
        <v>20152918</v>
      </c>
      <c r="K738" t="str">
        <f t="shared" si="226"/>
        <v>18.29.2015</v>
      </c>
      <c r="L738" s="4">
        <f t="shared" si="227"/>
        <v>1</v>
      </c>
      <c r="M738" s="4">
        <f t="shared" si="228"/>
        <v>15</v>
      </c>
      <c r="N738" s="4">
        <f t="shared" si="229"/>
        <v>14</v>
      </c>
      <c r="O738" s="4">
        <f t="shared" si="230"/>
        <v>81</v>
      </c>
      <c r="P738" s="4">
        <f t="shared" si="231"/>
        <v>1</v>
      </c>
      <c r="Q738" s="4">
        <f t="shared" si="232"/>
        <v>24</v>
      </c>
      <c r="R738" s="4">
        <f t="shared" si="233"/>
        <v>0</v>
      </c>
      <c r="S738" s="4">
        <f t="shared" si="234"/>
        <v>9</v>
      </c>
      <c r="T738" s="4">
        <f t="shared" si="235"/>
        <v>3</v>
      </c>
      <c r="U738" s="4">
        <f t="shared" si="236"/>
        <v>27</v>
      </c>
      <c r="V738" s="8">
        <f t="shared" si="237"/>
        <v>5</v>
      </c>
      <c r="W738" s="8">
        <f t="shared" si="238"/>
        <v>5</v>
      </c>
      <c r="X738">
        <f t="shared" si="239"/>
        <v>1</v>
      </c>
    </row>
    <row r="739" spans="1:24" x14ac:dyDescent="0.25">
      <c r="A739" s="4" t="s">
        <v>765</v>
      </c>
      <c r="B739" t="s">
        <v>19</v>
      </c>
      <c r="C739" t="s">
        <v>6</v>
      </c>
      <c r="D739" s="3">
        <f t="shared" si="220"/>
        <v>19</v>
      </c>
      <c r="E739" s="4">
        <f t="shared" si="221"/>
        <v>30</v>
      </c>
      <c r="F739" s="4">
        <f t="shared" si="222"/>
        <v>15</v>
      </c>
      <c r="G739" s="3">
        <f>IF(E739&gt;=20,2000,1900) + D739</f>
        <v>2019</v>
      </c>
      <c r="H739">
        <f t="shared" si="223"/>
        <v>10</v>
      </c>
      <c r="I739" s="4">
        <f t="shared" si="224"/>
        <v>15</v>
      </c>
      <c r="J739">
        <f t="shared" si="225"/>
        <v>20193015</v>
      </c>
      <c r="K739" t="str">
        <f t="shared" si="226"/>
        <v>15.30.2019</v>
      </c>
      <c r="L739" s="4">
        <f t="shared" si="227"/>
        <v>1</v>
      </c>
      <c r="M739" s="4">
        <f t="shared" si="228"/>
        <v>27</v>
      </c>
      <c r="N739" s="4">
        <f t="shared" si="229"/>
        <v>21</v>
      </c>
      <c r="O739" s="4">
        <f t="shared" si="230"/>
        <v>0</v>
      </c>
      <c r="P739" s="4">
        <f t="shared" si="231"/>
        <v>1</v>
      </c>
      <c r="Q739" s="4">
        <f t="shared" si="232"/>
        <v>15</v>
      </c>
      <c r="R739" s="4">
        <f t="shared" si="233"/>
        <v>14</v>
      </c>
      <c r="S739" s="4">
        <f t="shared" si="234"/>
        <v>9</v>
      </c>
      <c r="T739" s="4">
        <f t="shared" si="235"/>
        <v>3</v>
      </c>
      <c r="U739" s="4">
        <f t="shared" si="236"/>
        <v>21</v>
      </c>
      <c r="V739" s="8">
        <f t="shared" si="237"/>
        <v>2</v>
      </c>
      <c r="W739" s="8">
        <f t="shared" si="238"/>
        <v>8</v>
      </c>
      <c r="X739">
        <f t="shared" si="239"/>
        <v>1</v>
      </c>
    </row>
    <row r="740" spans="1:24" x14ac:dyDescent="0.25">
      <c r="A740" s="4" t="s">
        <v>766</v>
      </c>
      <c r="B740" t="s">
        <v>12</v>
      </c>
      <c r="C740" t="s">
        <v>4</v>
      </c>
      <c r="D740" s="3">
        <f t="shared" si="220"/>
        <v>3</v>
      </c>
      <c r="E740" s="4">
        <f t="shared" si="221"/>
        <v>21</v>
      </c>
      <c r="F740" s="4">
        <f t="shared" si="222"/>
        <v>14</v>
      </c>
      <c r="G740" s="3">
        <f>IF(E740&gt;=20,2000,1900) + D740</f>
        <v>2003</v>
      </c>
      <c r="H740">
        <f t="shared" si="223"/>
        <v>1</v>
      </c>
      <c r="I740" s="4">
        <f t="shared" si="224"/>
        <v>14</v>
      </c>
      <c r="J740">
        <f t="shared" si="225"/>
        <v>20032114</v>
      </c>
      <c r="K740" t="str">
        <f t="shared" si="226"/>
        <v>14.21.2003</v>
      </c>
      <c r="L740" s="4">
        <f t="shared" si="227"/>
        <v>0</v>
      </c>
      <c r="M740" s="4">
        <f t="shared" si="228"/>
        <v>9</v>
      </c>
      <c r="N740" s="4">
        <f t="shared" si="229"/>
        <v>14</v>
      </c>
      <c r="O740" s="4">
        <f t="shared" si="230"/>
        <v>9</v>
      </c>
      <c r="P740" s="4">
        <f t="shared" si="231"/>
        <v>1</v>
      </c>
      <c r="Q740" s="4">
        <f t="shared" si="232"/>
        <v>12</v>
      </c>
      <c r="R740" s="4">
        <f t="shared" si="233"/>
        <v>7</v>
      </c>
      <c r="S740" s="4">
        <f t="shared" si="234"/>
        <v>27</v>
      </c>
      <c r="T740" s="4">
        <f t="shared" si="235"/>
        <v>3</v>
      </c>
      <c r="U740" s="4">
        <f t="shared" si="236"/>
        <v>18</v>
      </c>
      <c r="V740" s="8">
        <f t="shared" si="237"/>
        <v>0</v>
      </c>
      <c r="W740" s="8">
        <f t="shared" si="238"/>
        <v>0</v>
      </c>
      <c r="X740">
        <f t="shared" si="239"/>
        <v>1</v>
      </c>
    </row>
    <row r="741" spans="1:24" x14ac:dyDescent="0.25">
      <c r="A741" s="4" t="s">
        <v>767</v>
      </c>
      <c r="B741" t="s">
        <v>11</v>
      </c>
      <c r="C741" t="s">
        <v>4</v>
      </c>
      <c r="D741" s="3">
        <f t="shared" si="220"/>
        <v>6</v>
      </c>
      <c r="E741" s="4">
        <f t="shared" si="221"/>
        <v>24</v>
      </c>
      <c r="F741" s="4">
        <f t="shared" si="222"/>
        <v>21</v>
      </c>
      <c r="G741" s="3">
        <f>IF(E741&gt;=20,2000,1900) + D741</f>
        <v>2006</v>
      </c>
      <c r="H741">
        <f t="shared" si="223"/>
        <v>4</v>
      </c>
      <c r="I741" s="4">
        <f t="shared" si="224"/>
        <v>21</v>
      </c>
      <c r="J741">
        <f t="shared" si="225"/>
        <v>20062421</v>
      </c>
      <c r="K741" t="str">
        <f t="shared" si="226"/>
        <v>21.24.2006</v>
      </c>
      <c r="L741" s="4">
        <f t="shared" si="227"/>
        <v>0</v>
      </c>
      <c r="M741" s="4">
        <f t="shared" si="228"/>
        <v>18</v>
      </c>
      <c r="N741" s="4">
        <f t="shared" si="229"/>
        <v>14</v>
      </c>
      <c r="O741" s="4">
        <f t="shared" si="230"/>
        <v>36</v>
      </c>
      <c r="P741" s="4">
        <f t="shared" si="231"/>
        <v>2</v>
      </c>
      <c r="Q741" s="4">
        <f t="shared" si="232"/>
        <v>3</v>
      </c>
      <c r="R741" s="4">
        <f t="shared" si="233"/>
        <v>14</v>
      </c>
      <c r="S741" s="4">
        <f t="shared" si="234"/>
        <v>45</v>
      </c>
      <c r="T741" s="4">
        <f t="shared" si="235"/>
        <v>7</v>
      </c>
      <c r="U741" s="4">
        <f t="shared" si="236"/>
        <v>24</v>
      </c>
      <c r="V741" s="8">
        <f t="shared" si="237"/>
        <v>3</v>
      </c>
      <c r="W741" s="8">
        <f t="shared" si="238"/>
        <v>7</v>
      </c>
      <c r="X741">
        <f t="shared" si="239"/>
        <v>1</v>
      </c>
    </row>
    <row r="742" spans="1:24" x14ac:dyDescent="0.25">
      <c r="A742" s="4" t="s">
        <v>768</v>
      </c>
      <c r="B742" t="s">
        <v>17</v>
      </c>
      <c r="C742" t="s">
        <v>4</v>
      </c>
      <c r="D742" s="3">
        <f t="shared" si="220"/>
        <v>3</v>
      </c>
      <c r="E742" s="4">
        <f t="shared" si="221"/>
        <v>25</v>
      </c>
      <c r="F742" s="4">
        <f t="shared" si="222"/>
        <v>28</v>
      </c>
      <c r="G742" s="3">
        <f>IF(E742&gt;=20,2000,1900) + D742</f>
        <v>2003</v>
      </c>
      <c r="H742">
        <f t="shared" si="223"/>
        <v>5</v>
      </c>
      <c r="I742" s="4">
        <f t="shared" si="224"/>
        <v>28</v>
      </c>
      <c r="J742">
        <f t="shared" si="225"/>
        <v>20032528</v>
      </c>
      <c r="K742" t="str">
        <f t="shared" si="226"/>
        <v>28.25.2003</v>
      </c>
      <c r="L742" s="4">
        <f t="shared" si="227"/>
        <v>0</v>
      </c>
      <c r="M742" s="4">
        <f t="shared" si="228"/>
        <v>9</v>
      </c>
      <c r="N742" s="4">
        <f t="shared" si="229"/>
        <v>14</v>
      </c>
      <c r="O742" s="4">
        <f t="shared" si="230"/>
        <v>45</v>
      </c>
      <c r="P742" s="4">
        <f t="shared" si="231"/>
        <v>2</v>
      </c>
      <c r="Q742" s="4">
        <f t="shared" si="232"/>
        <v>24</v>
      </c>
      <c r="R742" s="4">
        <f t="shared" si="233"/>
        <v>7</v>
      </c>
      <c r="S742" s="4">
        <f t="shared" si="234"/>
        <v>54</v>
      </c>
      <c r="T742" s="4">
        <f t="shared" si="235"/>
        <v>2</v>
      </c>
      <c r="U742" s="4">
        <f t="shared" si="236"/>
        <v>24</v>
      </c>
      <c r="V742" s="8">
        <f t="shared" si="237"/>
        <v>1</v>
      </c>
      <c r="W742" s="8">
        <f t="shared" si="238"/>
        <v>9</v>
      </c>
      <c r="X742">
        <f t="shared" si="239"/>
        <v>1</v>
      </c>
    </row>
    <row r="743" spans="1:24" x14ac:dyDescent="0.25">
      <c r="A743" s="4" t="s">
        <v>769</v>
      </c>
      <c r="B743" t="s">
        <v>12</v>
      </c>
      <c r="C743" t="s">
        <v>4</v>
      </c>
      <c r="D743" s="3">
        <f t="shared" si="220"/>
        <v>16</v>
      </c>
      <c r="E743" s="4">
        <f t="shared" si="221"/>
        <v>29</v>
      </c>
      <c r="F743" s="4">
        <f t="shared" si="222"/>
        <v>29</v>
      </c>
      <c r="G743" s="3">
        <f>IF(E743&gt;=20,2000,1900) + D743</f>
        <v>2016</v>
      </c>
      <c r="H743">
        <f t="shared" si="223"/>
        <v>9</v>
      </c>
      <c r="I743" s="4">
        <f t="shared" si="224"/>
        <v>29</v>
      </c>
      <c r="J743">
        <f t="shared" si="225"/>
        <v>20162929</v>
      </c>
      <c r="K743" t="str">
        <f t="shared" si="226"/>
        <v>29.29.2016</v>
      </c>
      <c r="L743" s="4">
        <f t="shared" si="227"/>
        <v>1</v>
      </c>
      <c r="M743" s="4">
        <f t="shared" si="228"/>
        <v>18</v>
      </c>
      <c r="N743" s="4">
        <f t="shared" si="229"/>
        <v>14</v>
      </c>
      <c r="O743" s="4">
        <f t="shared" si="230"/>
        <v>81</v>
      </c>
      <c r="P743" s="4">
        <f t="shared" si="231"/>
        <v>2</v>
      </c>
      <c r="Q743" s="4">
        <f t="shared" si="232"/>
        <v>27</v>
      </c>
      <c r="R743" s="4">
        <f t="shared" si="233"/>
        <v>14</v>
      </c>
      <c r="S743" s="4">
        <f t="shared" si="234"/>
        <v>36</v>
      </c>
      <c r="T743" s="4">
        <f t="shared" si="235"/>
        <v>2</v>
      </c>
      <c r="U743" s="4">
        <f t="shared" si="236"/>
        <v>6</v>
      </c>
      <c r="V743" s="8">
        <f t="shared" si="237"/>
        <v>1</v>
      </c>
      <c r="W743" s="8">
        <f t="shared" si="238"/>
        <v>9</v>
      </c>
      <c r="X743">
        <f t="shared" si="239"/>
        <v>1</v>
      </c>
    </row>
    <row r="744" spans="1:24" x14ac:dyDescent="0.25">
      <c r="A744" s="4" t="s">
        <v>770</v>
      </c>
      <c r="B744" t="s">
        <v>16</v>
      </c>
      <c r="C744" t="s">
        <v>6</v>
      </c>
      <c r="D744" s="3">
        <f t="shared" si="220"/>
        <v>0</v>
      </c>
      <c r="E744" s="4">
        <f t="shared" si="221"/>
        <v>27</v>
      </c>
      <c r="F744" s="4">
        <f t="shared" si="222"/>
        <v>27</v>
      </c>
      <c r="G744" s="3">
        <f>IF(E744&gt;=20,2000,1900) + D744</f>
        <v>2000</v>
      </c>
      <c r="H744">
        <f t="shared" si="223"/>
        <v>7</v>
      </c>
      <c r="I744" s="4">
        <f t="shared" si="224"/>
        <v>27</v>
      </c>
      <c r="J744">
        <f t="shared" si="225"/>
        <v>20002727</v>
      </c>
      <c r="K744" t="str">
        <f t="shared" si="226"/>
        <v>27.27.2000</v>
      </c>
      <c r="L744" s="4">
        <f t="shared" si="227"/>
        <v>0</v>
      </c>
      <c r="M744" s="4">
        <f t="shared" si="228"/>
        <v>0</v>
      </c>
      <c r="N744" s="4">
        <f t="shared" si="229"/>
        <v>14</v>
      </c>
      <c r="O744" s="4">
        <f t="shared" si="230"/>
        <v>63</v>
      </c>
      <c r="P744" s="4">
        <f t="shared" si="231"/>
        <v>2</v>
      </c>
      <c r="Q744" s="4">
        <f t="shared" si="232"/>
        <v>21</v>
      </c>
      <c r="R744" s="4">
        <f t="shared" si="233"/>
        <v>35</v>
      </c>
      <c r="S744" s="4">
        <f t="shared" si="234"/>
        <v>63</v>
      </c>
      <c r="T744" s="4">
        <f t="shared" si="235"/>
        <v>7</v>
      </c>
      <c r="U744" s="4">
        <f t="shared" si="236"/>
        <v>21</v>
      </c>
      <c r="V744" s="8">
        <f t="shared" si="237"/>
        <v>6</v>
      </c>
      <c r="W744" s="8">
        <f t="shared" si="238"/>
        <v>4</v>
      </c>
      <c r="X744">
        <f t="shared" si="239"/>
        <v>1</v>
      </c>
    </row>
    <row r="745" spans="1:24" x14ac:dyDescent="0.25">
      <c r="A745" s="4" t="s">
        <v>771</v>
      </c>
      <c r="B745" t="s">
        <v>12</v>
      </c>
      <c r="C745" t="s">
        <v>6</v>
      </c>
      <c r="D745" s="3">
        <f t="shared" si="220"/>
        <v>6</v>
      </c>
      <c r="E745" s="4">
        <f t="shared" si="221"/>
        <v>25</v>
      </c>
      <c r="F745" s="4">
        <f t="shared" si="222"/>
        <v>21</v>
      </c>
      <c r="G745" s="3">
        <f>IF(E745&gt;=20,2000,1900) + D745</f>
        <v>2006</v>
      </c>
      <c r="H745">
        <f t="shared" si="223"/>
        <v>5</v>
      </c>
      <c r="I745" s="4">
        <f t="shared" si="224"/>
        <v>21</v>
      </c>
      <c r="J745">
        <f t="shared" si="225"/>
        <v>20062521</v>
      </c>
      <c r="K745" t="str">
        <f t="shared" si="226"/>
        <v>21.25.2006</v>
      </c>
      <c r="L745" s="4">
        <f t="shared" si="227"/>
        <v>0</v>
      </c>
      <c r="M745" s="4">
        <f t="shared" si="228"/>
        <v>18</v>
      </c>
      <c r="N745" s="4">
        <f t="shared" si="229"/>
        <v>14</v>
      </c>
      <c r="O745" s="4">
        <f t="shared" si="230"/>
        <v>45</v>
      </c>
      <c r="P745" s="4">
        <f t="shared" si="231"/>
        <v>2</v>
      </c>
      <c r="Q745" s="4">
        <f t="shared" si="232"/>
        <v>3</v>
      </c>
      <c r="R745" s="4">
        <f t="shared" si="233"/>
        <v>28</v>
      </c>
      <c r="S745" s="4">
        <f t="shared" si="234"/>
        <v>27</v>
      </c>
      <c r="T745" s="4">
        <f t="shared" si="235"/>
        <v>2</v>
      </c>
      <c r="U745" s="4">
        <f t="shared" si="236"/>
        <v>3</v>
      </c>
      <c r="V745" s="8">
        <f t="shared" si="237"/>
        <v>2</v>
      </c>
      <c r="W745" s="8">
        <f t="shared" si="238"/>
        <v>8</v>
      </c>
      <c r="X745">
        <f t="shared" si="239"/>
        <v>1</v>
      </c>
    </row>
    <row r="746" spans="1:24" x14ac:dyDescent="0.25">
      <c r="A746" s="4" t="s">
        <v>772</v>
      </c>
      <c r="B746" t="s">
        <v>12</v>
      </c>
      <c r="C746" t="s">
        <v>6</v>
      </c>
      <c r="D746" s="3">
        <f t="shared" si="220"/>
        <v>12</v>
      </c>
      <c r="E746" s="4">
        <f t="shared" si="221"/>
        <v>24</v>
      </c>
      <c r="F746" s="4">
        <f t="shared" si="222"/>
        <v>17</v>
      </c>
      <c r="G746" s="3">
        <f>IF(E746&gt;=20,2000,1900) + D746</f>
        <v>2012</v>
      </c>
      <c r="H746">
        <f t="shared" si="223"/>
        <v>4</v>
      </c>
      <c r="I746" s="4">
        <f t="shared" si="224"/>
        <v>17</v>
      </c>
      <c r="J746">
        <f t="shared" si="225"/>
        <v>20122417</v>
      </c>
      <c r="K746" t="str">
        <f t="shared" si="226"/>
        <v>17.24.2012</v>
      </c>
      <c r="L746" s="4">
        <f t="shared" si="227"/>
        <v>1</v>
      </c>
      <c r="M746" s="4">
        <f t="shared" si="228"/>
        <v>6</v>
      </c>
      <c r="N746" s="4">
        <f t="shared" si="229"/>
        <v>14</v>
      </c>
      <c r="O746" s="4">
        <f t="shared" si="230"/>
        <v>36</v>
      </c>
      <c r="P746" s="4">
        <f t="shared" si="231"/>
        <v>1</v>
      </c>
      <c r="Q746" s="4">
        <f t="shared" si="232"/>
        <v>21</v>
      </c>
      <c r="R746" s="4">
        <f t="shared" si="233"/>
        <v>56</v>
      </c>
      <c r="S746" s="4">
        <f t="shared" si="234"/>
        <v>27</v>
      </c>
      <c r="T746" s="4">
        <f t="shared" si="235"/>
        <v>0</v>
      </c>
      <c r="U746" s="4">
        <f t="shared" si="236"/>
        <v>0</v>
      </c>
      <c r="V746" s="8">
        <f t="shared" si="237"/>
        <v>2</v>
      </c>
      <c r="W746" s="8">
        <f t="shared" si="238"/>
        <v>8</v>
      </c>
      <c r="X746">
        <f t="shared" si="239"/>
        <v>1</v>
      </c>
    </row>
    <row r="747" spans="1:24" x14ac:dyDescent="0.25">
      <c r="A747" s="4" t="s">
        <v>773</v>
      </c>
      <c r="B747" t="s">
        <v>19</v>
      </c>
      <c r="C747" t="s">
        <v>6</v>
      </c>
      <c r="D747" s="3">
        <f t="shared" si="220"/>
        <v>17</v>
      </c>
      <c r="E747" s="4">
        <f t="shared" si="221"/>
        <v>25</v>
      </c>
      <c r="F747" s="4">
        <f t="shared" si="222"/>
        <v>1</v>
      </c>
      <c r="G747" s="3">
        <f>IF(E747&gt;=20,2000,1900) + D747</f>
        <v>2017</v>
      </c>
      <c r="H747">
        <f t="shared" si="223"/>
        <v>5</v>
      </c>
      <c r="I747" s="4">
        <f t="shared" si="224"/>
        <v>1</v>
      </c>
      <c r="J747">
        <f t="shared" si="225"/>
        <v>20172501</v>
      </c>
      <c r="K747" t="str">
        <f t="shared" si="226"/>
        <v>01.25.2017</v>
      </c>
      <c r="L747" s="4">
        <f t="shared" si="227"/>
        <v>1</v>
      </c>
      <c r="M747" s="4">
        <f t="shared" si="228"/>
        <v>21</v>
      </c>
      <c r="N747" s="4">
        <f t="shared" si="229"/>
        <v>14</v>
      </c>
      <c r="O747" s="4">
        <f t="shared" si="230"/>
        <v>45</v>
      </c>
      <c r="P747" s="4">
        <f t="shared" si="231"/>
        <v>0</v>
      </c>
      <c r="Q747" s="4">
        <f t="shared" si="232"/>
        <v>3</v>
      </c>
      <c r="R747" s="4">
        <f t="shared" si="233"/>
        <v>7</v>
      </c>
      <c r="S747" s="4">
        <f t="shared" si="234"/>
        <v>81</v>
      </c>
      <c r="T747" s="4">
        <f t="shared" si="235"/>
        <v>6</v>
      </c>
      <c r="U747" s="4">
        <f t="shared" si="236"/>
        <v>0</v>
      </c>
      <c r="V747" s="8">
        <f t="shared" si="237"/>
        <v>8</v>
      </c>
      <c r="W747" s="8">
        <f t="shared" si="238"/>
        <v>2</v>
      </c>
      <c r="X747">
        <f t="shared" si="239"/>
        <v>1</v>
      </c>
    </row>
    <row r="748" spans="1:24" x14ac:dyDescent="0.25">
      <c r="A748" s="4" t="s">
        <v>774</v>
      </c>
      <c r="B748" t="s">
        <v>5</v>
      </c>
      <c r="C748" t="s">
        <v>6</v>
      </c>
      <c r="D748" s="3">
        <f t="shared" si="220"/>
        <v>15</v>
      </c>
      <c r="E748" s="4">
        <f t="shared" si="221"/>
        <v>31</v>
      </c>
      <c r="F748" s="4">
        <f t="shared" si="222"/>
        <v>26</v>
      </c>
      <c r="G748" s="3">
        <f>IF(E748&gt;=20,2000,1900) + D748</f>
        <v>2015</v>
      </c>
      <c r="H748">
        <f t="shared" si="223"/>
        <v>11</v>
      </c>
      <c r="I748" s="4">
        <f t="shared" si="224"/>
        <v>26</v>
      </c>
      <c r="J748">
        <f t="shared" si="225"/>
        <v>20153126</v>
      </c>
      <c r="K748" t="str">
        <f t="shared" si="226"/>
        <v>26.31.2015</v>
      </c>
      <c r="L748" s="4">
        <f t="shared" si="227"/>
        <v>1</v>
      </c>
      <c r="M748" s="4">
        <f t="shared" si="228"/>
        <v>15</v>
      </c>
      <c r="N748" s="4">
        <f t="shared" si="229"/>
        <v>21</v>
      </c>
      <c r="O748" s="4">
        <f t="shared" si="230"/>
        <v>9</v>
      </c>
      <c r="P748" s="4">
        <f t="shared" si="231"/>
        <v>2</v>
      </c>
      <c r="Q748" s="4">
        <f t="shared" si="232"/>
        <v>18</v>
      </c>
      <c r="R748" s="4">
        <f t="shared" si="233"/>
        <v>14</v>
      </c>
      <c r="S748" s="4">
        <f t="shared" si="234"/>
        <v>36</v>
      </c>
      <c r="T748" s="4">
        <f t="shared" si="235"/>
        <v>2</v>
      </c>
      <c r="U748" s="4">
        <f t="shared" si="236"/>
        <v>12</v>
      </c>
      <c r="V748" s="8">
        <f t="shared" si="237"/>
        <v>0</v>
      </c>
      <c r="W748" s="8">
        <f t="shared" si="238"/>
        <v>0</v>
      </c>
      <c r="X748">
        <f t="shared" si="239"/>
        <v>1</v>
      </c>
    </row>
    <row r="749" spans="1:24" x14ac:dyDescent="0.25">
      <c r="A749" s="4" t="s">
        <v>775</v>
      </c>
      <c r="B749" t="s">
        <v>14</v>
      </c>
      <c r="C749" t="s">
        <v>4</v>
      </c>
      <c r="D749" s="3">
        <f t="shared" si="220"/>
        <v>11</v>
      </c>
      <c r="E749" s="4">
        <f t="shared" si="221"/>
        <v>26</v>
      </c>
      <c r="F749" s="4">
        <f t="shared" si="222"/>
        <v>13</v>
      </c>
      <c r="G749" s="3">
        <f>IF(E749&gt;=20,2000,1900) + D749</f>
        <v>2011</v>
      </c>
      <c r="H749">
        <f t="shared" si="223"/>
        <v>6</v>
      </c>
      <c r="I749" s="4">
        <f t="shared" si="224"/>
        <v>13</v>
      </c>
      <c r="J749">
        <f t="shared" si="225"/>
        <v>20112613</v>
      </c>
      <c r="K749" t="str">
        <f t="shared" si="226"/>
        <v>13.26.2011</v>
      </c>
      <c r="L749" s="4">
        <f t="shared" si="227"/>
        <v>1</v>
      </c>
      <c r="M749" s="4">
        <f t="shared" si="228"/>
        <v>3</v>
      </c>
      <c r="N749" s="4">
        <f t="shared" si="229"/>
        <v>14</v>
      </c>
      <c r="O749" s="4">
        <f t="shared" si="230"/>
        <v>54</v>
      </c>
      <c r="P749" s="4">
        <f t="shared" si="231"/>
        <v>1</v>
      </c>
      <c r="Q749" s="4">
        <f t="shared" si="232"/>
        <v>9</v>
      </c>
      <c r="R749" s="4">
        <f t="shared" si="233"/>
        <v>56</v>
      </c>
      <c r="S749" s="4">
        <f t="shared" si="234"/>
        <v>27</v>
      </c>
      <c r="T749" s="4">
        <f t="shared" si="235"/>
        <v>1</v>
      </c>
      <c r="U749" s="4">
        <f t="shared" si="236"/>
        <v>0</v>
      </c>
      <c r="V749" s="8">
        <f t="shared" si="237"/>
        <v>6</v>
      </c>
      <c r="W749" s="8">
        <f t="shared" si="238"/>
        <v>4</v>
      </c>
      <c r="X749">
        <f t="shared" si="239"/>
        <v>1</v>
      </c>
    </row>
    <row r="750" spans="1:24" x14ac:dyDescent="0.25">
      <c r="A750" s="4" t="s">
        <v>776</v>
      </c>
      <c r="B750" t="s">
        <v>13</v>
      </c>
      <c r="C750" t="s">
        <v>4</v>
      </c>
      <c r="D750" s="3">
        <f t="shared" si="220"/>
        <v>11</v>
      </c>
      <c r="E750" s="4">
        <f t="shared" si="221"/>
        <v>27</v>
      </c>
      <c r="F750" s="4">
        <f t="shared" si="222"/>
        <v>8</v>
      </c>
      <c r="G750" s="3">
        <f>IF(E750&gt;=20,2000,1900) + D750</f>
        <v>2011</v>
      </c>
      <c r="H750">
        <f t="shared" si="223"/>
        <v>7</v>
      </c>
      <c r="I750" s="4">
        <f t="shared" si="224"/>
        <v>8</v>
      </c>
      <c r="J750">
        <f t="shared" si="225"/>
        <v>20112708</v>
      </c>
      <c r="K750" t="str">
        <f t="shared" si="226"/>
        <v>08.27.2011</v>
      </c>
      <c r="L750" s="4">
        <f t="shared" si="227"/>
        <v>1</v>
      </c>
      <c r="M750" s="4">
        <f t="shared" si="228"/>
        <v>3</v>
      </c>
      <c r="N750" s="4">
        <f t="shared" si="229"/>
        <v>14</v>
      </c>
      <c r="O750" s="4">
        <f t="shared" si="230"/>
        <v>63</v>
      </c>
      <c r="P750" s="4">
        <f t="shared" si="231"/>
        <v>0</v>
      </c>
      <c r="Q750" s="4">
        <f t="shared" si="232"/>
        <v>24</v>
      </c>
      <c r="R750" s="4">
        <f t="shared" si="233"/>
        <v>35</v>
      </c>
      <c r="S750" s="4">
        <f t="shared" si="234"/>
        <v>81</v>
      </c>
      <c r="T750" s="4">
        <f t="shared" si="235"/>
        <v>5</v>
      </c>
      <c r="U750" s="4">
        <f t="shared" si="236"/>
        <v>15</v>
      </c>
      <c r="V750" s="8">
        <f t="shared" si="237"/>
        <v>1</v>
      </c>
      <c r="W750" s="8">
        <f t="shared" si="238"/>
        <v>9</v>
      </c>
      <c r="X750">
        <f t="shared" si="239"/>
        <v>1</v>
      </c>
    </row>
    <row r="751" spans="1:24" x14ac:dyDescent="0.25">
      <c r="A751" s="4" t="s">
        <v>777</v>
      </c>
      <c r="B751" t="s">
        <v>15</v>
      </c>
      <c r="C751" t="s">
        <v>4</v>
      </c>
      <c r="D751" s="3">
        <f t="shared" si="220"/>
        <v>13</v>
      </c>
      <c r="E751" s="4">
        <f t="shared" si="221"/>
        <v>25</v>
      </c>
      <c r="F751" s="4">
        <f t="shared" si="222"/>
        <v>10</v>
      </c>
      <c r="G751" s="3">
        <f>IF(E751&gt;=20,2000,1900) + D751</f>
        <v>2013</v>
      </c>
      <c r="H751">
        <f t="shared" si="223"/>
        <v>5</v>
      </c>
      <c r="I751" s="4">
        <f t="shared" si="224"/>
        <v>10</v>
      </c>
      <c r="J751">
        <f t="shared" si="225"/>
        <v>20132510</v>
      </c>
      <c r="K751" t="str">
        <f t="shared" si="226"/>
        <v>10.25.2013</v>
      </c>
      <c r="L751" s="4">
        <f t="shared" si="227"/>
        <v>1</v>
      </c>
      <c r="M751" s="4">
        <f t="shared" si="228"/>
        <v>9</v>
      </c>
      <c r="N751" s="4">
        <f t="shared" si="229"/>
        <v>14</v>
      </c>
      <c r="O751" s="4">
        <f t="shared" si="230"/>
        <v>45</v>
      </c>
      <c r="P751" s="4">
        <f t="shared" si="231"/>
        <v>1</v>
      </c>
      <c r="Q751" s="4">
        <f t="shared" si="232"/>
        <v>0</v>
      </c>
      <c r="R751" s="4">
        <f t="shared" si="233"/>
        <v>35</v>
      </c>
      <c r="S751" s="4">
        <f t="shared" si="234"/>
        <v>18</v>
      </c>
      <c r="T751" s="4">
        <f t="shared" si="235"/>
        <v>8</v>
      </c>
      <c r="U751" s="4">
        <f t="shared" si="236"/>
        <v>12</v>
      </c>
      <c r="V751" s="8">
        <f t="shared" si="237"/>
        <v>3</v>
      </c>
      <c r="W751" s="8">
        <f t="shared" si="238"/>
        <v>7</v>
      </c>
      <c r="X751">
        <f t="shared" si="239"/>
        <v>1</v>
      </c>
    </row>
    <row r="752" spans="1:24" x14ac:dyDescent="0.25">
      <c r="A752" s="4" t="s">
        <v>778</v>
      </c>
      <c r="B752" t="s">
        <v>20</v>
      </c>
      <c r="C752" t="s">
        <v>4</v>
      </c>
      <c r="D752" s="3">
        <f t="shared" si="220"/>
        <v>16</v>
      </c>
      <c r="E752" s="4">
        <f t="shared" si="221"/>
        <v>25</v>
      </c>
      <c r="F752" s="4">
        <f t="shared" si="222"/>
        <v>14</v>
      </c>
      <c r="G752" s="3">
        <f>IF(E752&gt;=20,2000,1900) + D752</f>
        <v>2016</v>
      </c>
      <c r="H752">
        <f t="shared" si="223"/>
        <v>5</v>
      </c>
      <c r="I752" s="4">
        <f t="shared" si="224"/>
        <v>14</v>
      </c>
      <c r="J752">
        <f t="shared" si="225"/>
        <v>20162514</v>
      </c>
      <c r="K752" t="str">
        <f t="shared" si="226"/>
        <v>14.25.2016</v>
      </c>
      <c r="L752" s="4">
        <f t="shared" si="227"/>
        <v>1</v>
      </c>
      <c r="M752" s="4">
        <f t="shared" si="228"/>
        <v>18</v>
      </c>
      <c r="N752" s="4">
        <f t="shared" si="229"/>
        <v>14</v>
      </c>
      <c r="O752" s="4">
        <f t="shared" si="230"/>
        <v>45</v>
      </c>
      <c r="P752" s="4">
        <f t="shared" si="231"/>
        <v>1</v>
      </c>
      <c r="Q752" s="4">
        <f t="shared" si="232"/>
        <v>12</v>
      </c>
      <c r="R752" s="4">
        <f t="shared" si="233"/>
        <v>49</v>
      </c>
      <c r="S752" s="4">
        <f t="shared" si="234"/>
        <v>63</v>
      </c>
      <c r="T752" s="4">
        <f t="shared" si="235"/>
        <v>4</v>
      </c>
      <c r="U752" s="4">
        <f t="shared" si="236"/>
        <v>21</v>
      </c>
      <c r="V752" s="8">
        <f t="shared" si="237"/>
        <v>8</v>
      </c>
      <c r="W752" s="8">
        <f t="shared" si="238"/>
        <v>2</v>
      </c>
      <c r="X752">
        <f t="shared" si="239"/>
        <v>1</v>
      </c>
    </row>
    <row r="753" spans="1:24" x14ac:dyDescent="0.25">
      <c r="A753" s="4" t="s">
        <v>779</v>
      </c>
      <c r="B753" t="s">
        <v>12</v>
      </c>
      <c r="C753" t="s">
        <v>6</v>
      </c>
      <c r="D753" s="3">
        <f t="shared" si="220"/>
        <v>21</v>
      </c>
      <c r="E753" s="4">
        <f t="shared" si="221"/>
        <v>27</v>
      </c>
      <c r="F753" s="4">
        <f t="shared" si="222"/>
        <v>2</v>
      </c>
      <c r="G753" s="3">
        <f>IF(E753&gt;=20,2000,1900) + D753</f>
        <v>2021</v>
      </c>
      <c r="H753">
        <f t="shared" si="223"/>
        <v>7</v>
      </c>
      <c r="I753" s="4">
        <f t="shared" si="224"/>
        <v>2</v>
      </c>
      <c r="J753">
        <f t="shared" si="225"/>
        <v>20212702</v>
      </c>
      <c r="K753" t="str">
        <f t="shared" si="226"/>
        <v>02.27.2021</v>
      </c>
      <c r="L753" s="4">
        <f t="shared" si="227"/>
        <v>2</v>
      </c>
      <c r="M753" s="4">
        <f t="shared" si="228"/>
        <v>3</v>
      </c>
      <c r="N753" s="4">
        <f t="shared" si="229"/>
        <v>14</v>
      </c>
      <c r="O753" s="4">
        <f t="shared" si="230"/>
        <v>63</v>
      </c>
      <c r="P753" s="4">
        <f t="shared" si="231"/>
        <v>0</v>
      </c>
      <c r="Q753" s="4">
        <f t="shared" si="232"/>
        <v>6</v>
      </c>
      <c r="R753" s="4">
        <f t="shared" si="233"/>
        <v>42</v>
      </c>
      <c r="S753" s="4">
        <f t="shared" si="234"/>
        <v>81</v>
      </c>
      <c r="T753" s="4">
        <f t="shared" si="235"/>
        <v>8</v>
      </c>
      <c r="U753" s="4">
        <f t="shared" si="236"/>
        <v>3</v>
      </c>
      <c r="V753" s="8">
        <f t="shared" si="237"/>
        <v>2</v>
      </c>
      <c r="W753" s="8">
        <f t="shared" si="238"/>
        <v>8</v>
      </c>
      <c r="X753">
        <f t="shared" si="239"/>
        <v>1</v>
      </c>
    </row>
    <row r="754" spans="1:24" x14ac:dyDescent="0.25">
      <c r="A754" s="4" t="s">
        <v>780</v>
      </c>
      <c r="B754" t="s">
        <v>16</v>
      </c>
      <c r="C754" t="s">
        <v>6</v>
      </c>
      <c r="D754" s="3">
        <f t="shared" si="220"/>
        <v>7</v>
      </c>
      <c r="E754" s="4">
        <f t="shared" si="221"/>
        <v>23</v>
      </c>
      <c r="F754" s="4">
        <f t="shared" si="222"/>
        <v>31</v>
      </c>
      <c r="G754" s="3">
        <f>IF(E754&gt;=20,2000,1900) + D754</f>
        <v>2007</v>
      </c>
      <c r="H754">
        <f t="shared" si="223"/>
        <v>3</v>
      </c>
      <c r="I754" s="4">
        <f t="shared" si="224"/>
        <v>31</v>
      </c>
      <c r="J754">
        <f t="shared" si="225"/>
        <v>20072331</v>
      </c>
      <c r="K754" t="str">
        <f t="shared" si="226"/>
        <v>31.23.2007</v>
      </c>
      <c r="L754" s="4">
        <f t="shared" si="227"/>
        <v>0</v>
      </c>
      <c r="M754" s="4">
        <f t="shared" si="228"/>
        <v>21</v>
      </c>
      <c r="N754" s="4">
        <f t="shared" si="229"/>
        <v>14</v>
      </c>
      <c r="O754" s="4">
        <f t="shared" si="230"/>
        <v>27</v>
      </c>
      <c r="P754" s="4">
        <f t="shared" si="231"/>
        <v>3</v>
      </c>
      <c r="Q754" s="4">
        <f t="shared" si="232"/>
        <v>3</v>
      </c>
      <c r="R754" s="4">
        <f t="shared" si="233"/>
        <v>49</v>
      </c>
      <c r="S754" s="4">
        <f t="shared" si="234"/>
        <v>9</v>
      </c>
      <c r="T754" s="4">
        <f t="shared" si="235"/>
        <v>2</v>
      </c>
      <c r="U754" s="4">
        <f t="shared" si="236"/>
        <v>12</v>
      </c>
      <c r="V754" s="8">
        <f t="shared" si="237"/>
        <v>0</v>
      </c>
      <c r="W754" s="8">
        <f t="shared" si="238"/>
        <v>0</v>
      </c>
      <c r="X754">
        <f t="shared" si="239"/>
        <v>1</v>
      </c>
    </row>
    <row r="755" spans="1:24" x14ac:dyDescent="0.25">
      <c r="A755" s="4" t="s">
        <v>781</v>
      </c>
      <c r="B755" t="s">
        <v>14</v>
      </c>
      <c r="C755" t="s">
        <v>4</v>
      </c>
      <c r="D755" s="3">
        <f t="shared" si="220"/>
        <v>6</v>
      </c>
      <c r="E755" s="4">
        <f t="shared" si="221"/>
        <v>24</v>
      </c>
      <c r="F755" s="4">
        <f t="shared" si="222"/>
        <v>6</v>
      </c>
      <c r="G755" s="3">
        <f>IF(E755&gt;=20,2000,1900) + D755</f>
        <v>2006</v>
      </c>
      <c r="H755">
        <f t="shared" si="223"/>
        <v>4</v>
      </c>
      <c r="I755" s="4">
        <f t="shared" si="224"/>
        <v>6</v>
      </c>
      <c r="J755">
        <f t="shared" si="225"/>
        <v>20062406</v>
      </c>
      <c r="K755" t="str">
        <f t="shared" si="226"/>
        <v>06.24.2006</v>
      </c>
      <c r="L755" s="4">
        <f t="shared" si="227"/>
        <v>0</v>
      </c>
      <c r="M755" s="4">
        <f t="shared" si="228"/>
        <v>18</v>
      </c>
      <c r="N755" s="4">
        <f t="shared" si="229"/>
        <v>14</v>
      </c>
      <c r="O755" s="4">
        <f t="shared" si="230"/>
        <v>36</v>
      </c>
      <c r="P755" s="4">
        <f t="shared" si="231"/>
        <v>0</v>
      </c>
      <c r="Q755" s="4">
        <f t="shared" si="232"/>
        <v>18</v>
      </c>
      <c r="R755" s="4">
        <f t="shared" si="233"/>
        <v>56</v>
      </c>
      <c r="S755" s="4">
        <f t="shared" si="234"/>
        <v>45</v>
      </c>
      <c r="T755" s="4">
        <f t="shared" si="235"/>
        <v>9</v>
      </c>
      <c r="U755" s="4">
        <f t="shared" si="236"/>
        <v>3</v>
      </c>
      <c r="V755" s="8">
        <f t="shared" si="237"/>
        <v>9</v>
      </c>
      <c r="W755" s="8">
        <f t="shared" si="238"/>
        <v>1</v>
      </c>
      <c r="X755">
        <f t="shared" si="239"/>
        <v>1</v>
      </c>
    </row>
    <row r="756" spans="1:24" x14ac:dyDescent="0.25">
      <c r="A756" s="4" t="s">
        <v>782</v>
      </c>
      <c r="B756" t="s">
        <v>8</v>
      </c>
      <c r="C756" t="s">
        <v>4</v>
      </c>
      <c r="D756" s="3">
        <f t="shared" si="220"/>
        <v>8</v>
      </c>
      <c r="E756" s="4">
        <f t="shared" si="221"/>
        <v>23</v>
      </c>
      <c r="F756" s="4">
        <f t="shared" si="222"/>
        <v>7</v>
      </c>
      <c r="G756" s="3">
        <f>IF(E756&gt;=20,2000,1900) + D756</f>
        <v>2008</v>
      </c>
      <c r="H756">
        <f t="shared" si="223"/>
        <v>3</v>
      </c>
      <c r="I756" s="4">
        <f t="shared" si="224"/>
        <v>7</v>
      </c>
      <c r="J756">
        <f t="shared" si="225"/>
        <v>20082307</v>
      </c>
      <c r="K756" t="str">
        <f t="shared" si="226"/>
        <v>07.23.2008</v>
      </c>
      <c r="L756" s="4">
        <f t="shared" si="227"/>
        <v>0</v>
      </c>
      <c r="M756" s="4">
        <f t="shared" si="228"/>
        <v>24</v>
      </c>
      <c r="N756" s="4">
        <f t="shared" si="229"/>
        <v>14</v>
      </c>
      <c r="O756" s="4">
        <f t="shared" si="230"/>
        <v>27</v>
      </c>
      <c r="P756" s="4">
        <f t="shared" si="231"/>
        <v>0</v>
      </c>
      <c r="Q756" s="4">
        <f t="shared" si="232"/>
        <v>21</v>
      </c>
      <c r="R756" s="4">
        <f t="shared" si="233"/>
        <v>28</v>
      </c>
      <c r="S756" s="4">
        <f t="shared" si="234"/>
        <v>72</v>
      </c>
      <c r="T756" s="4">
        <f t="shared" si="235"/>
        <v>2</v>
      </c>
      <c r="U756" s="4">
        <f t="shared" si="236"/>
        <v>24</v>
      </c>
      <c r="V756" s="8">
        <f t="shared" si="237"/>
        <v>2</v>
      </c>
      <c r="W756" s="8">
        <f t="shared" si="238"/>
        <v>8</v>
      </c>
      <c r="X756">
        <f t="shared" si="239"/>
        <v>1</v>
      </c>
    </row>
    <row r="757" spans="1:24" x14ac:dyDescent="0.25">
      <c r="A757" s="4" t="s">
        <v>783</v>
      </c>
      <c r="B757" t="s">
        <v>19</v>
      </c>
      <c r="C757" t="s">
        <v>4</v>
      </c>
      <c r="D757" s="3">
        <f t="shared" si="220"/>
        <v>10</v>
      </c>
      <c r="E757" s="4">
        <f t="shared" si="221"/>
        <v>27</v>
      </c>
      <c r="F757" s="4">
        <f t="shared" si="222"/>
        <v>26</v>
      </c>
      <c r="G757" s="3">
        <f>IF(E757&gt;=20,2000,1900) + D757</f>
        <v>2010</v>
      </c>
      <c r="H757">
        <f t="shared" si="223"/>
        <v>7</v>
      </c>
      <c r="I757" s="4">
        <f t="shared" si="224"/>
        <v>26</v>
      </c>
      <c r="J757">
        <f t="shared" si="225"/>
        <v>20102726</v>
      </c>
      <c r="K757" t="str">
        <f t="shared" si="226"/>
        <v>26.27.2010</v>
      </c>
      <c r="L757" s="4">
        <f t="shared" si="227"/>
        <v>1</v>
      </c>
      <c r="M757" s="4">
        <f t="shared" si="228"/>
        <v>0</v>
      </c>
      <c r="N757" s="4">
        <f t="shared" si="229"/>
        <v>14</v>
      </c>
      <c r="O757" s="4">
        <f t="shared" si="230"/>
        <v>63</v>
      </c>
      <c r="P757" s="4">
        <f t="shared" si="231"/>
        <v>2</v>
      </c>
      <c r="Q757" s="4">
        <f t="shared" si="232"/>
        <v>18</v>
      </c>
      <c r="R757" s="4">
        <f t="shared" si="233"/>
        <v>21</v>
      </c>
      <c r="S757" s="4">
        <f t="shared" si="234"/>
        <v>72</v>
      </c>
      <c r="T757" s="4">
        <f t="shared" si="235"/>
        <v>4</v>
      </c>
      <c r="U757" s="4">
        <f t="shared" si="236"/>
        <v>18</v>
      </c>
      <c r="V757" s="8">
        <f t="shared" si="237"/>
        <v>3</v>
      </c>
      <c r="W757" s="8">
        <f t="shared" si="238"/>
        <v>7</v>
      </c>
      <c r="X757">
        <f t="shared" si="239"/>
        <v>1</v>
      </c>
    </row>
    <row r="758" spans="1:24" x14ac:dyDescent="0.25">
      <c r="A758" s="4" t="s">
        <v>784</v>
      </c>
      <c r="B758" t="s">
        <v>18</v>
      </c>
      <c r="C758" t="s">
        <v>4</v>
      </c>
      <c r="D758" s="3">
        <f t="shared" si="220"/>
        <v>2</v>
      </c>
      <c r="E758" s="4">
        <f t="shared" si="221"/>
        <v>22</v>
      </c>
      <c r="F758" s="4">
        <f t="shared" si="222"/>
        <v>26</v>
      </c>
      <c r="G758" s="3">
        <f>IF(E758&gt;=20,2000,1900) + D758</f>
        <v>2002</v>
      </c>
      <c r="H758">
        <f t="shared" si="223"/>
        <v>2</v>
      </c>
      <c r="I758" s="4">
        <f t="shared" si="224"/>
        <v>26</v>
      </c>
      <c r="J758">
        <f t="shared" si="225"/>
        <v>20022226</v>
      </c>
      <c r="K758" t="str">
        <f t="shared" si="226"/>
        <v>26.22.2002</v>
      </c>
      <c r="L758" s="4">
        <f t="shared" si="227"/>
        <v>0</v>
      </c>
      <c r="M758" s="4">
        <f t="shared" si="228"/>
        <v>6</v>
      </c>
      <c r="N758" s="4">
        <f t="shared" si="229"/>
        <v>14</v>
      </c>
      <c r="O758" s="4">
        <f t="shared" si="230"/>
        <v>18</v>
      </c>
      <c r="P758" s="4">
        <f t="shared" si="231"/>
        <v>2</v>
      </c>
      <c r="Q758" s="4">
        <f t="shared" si="232"/>
        <v>18</v>
      </c>
      <c r="R758" s="4">
        <f t="shared" si="233"/>
        <v>7</v>
      </c>
      <c r="S758" s="4">
        <f t="shared" si="234"/>
        <v>36</v>
      </c>
      <c r="T758" s="4">
        <f t="shared" si="235"/>
        <v>2</v>
      </c>
      <c r="U758" s="4">
        <f t="shared" si="236"/>
        <v>3</v>
      </c>
      <c r="V758" s="8">
        <f t="shared" si="237"/>
        <v>6</v>
      </c>
      <c r="W758" s="8">
        <f t="shared" si="238"/>
        <v>4</v>
      </c>
      <c r="X758">
        <f t="shared" si="239"/>
        <v>1</v>
      </c>
    </row>
    <row r="759" spans="1:24" x14ac:dyDescent="0.25">
      <c r="A759" s="4" t="s">
        <v>785</v>
      </c>
      <c r="B759" t="s">
        <v>8</v>
      </c>
      <c r="C759" t="s">
        <v>4</v>
      </c>
      <c r="D759" s="3">
        <f t="shared" si="220"/>
        <v>2</v>
      </c>
      <c r="E759" s="4">
        <f t="shared" si="221"/>
        <v>30</v>
      </c>
      <c r="F759" s="4">
        <f t="shared" si="222"/>
        <v>2</v>
      </c>
      <c r="G759" s="3">
        <f>IF(E759&gt;=20,2000,1900) + D759</f>
        <v>2002</v>
      </c>
      <c r="H759">
        <f t="shared" si="223"/>
        <v>10</v>
      </c>
      <c r="I759" s="4">
        <f t="shared" si="224"/>
        <v>2</v>
      </c>
      <c r="J759">
        <f t="shared" si="225"/>
        <v>20023002</v>
      </c>
      <c r="K759" t="str">
        <f t="shared" si="226"/>
        <v>02.30.2002</v>
      </c>
      <c r="L759" s="4">
        <f t="shared" si="227"/>
        <v>0</v>
      </c>
      <c r="M759" s="4">
        <f t="shared" si="228"/>
        <v>6</v>
      </c>
      <c r="N759" s="4">
        <f t="shared" si="229"/>
        <v>21</v>
      </c>
      <c r="O759" s="4">
        <f t="shared" si="230"/>
        <v>0</v>
      </c>
      <c r="P759" s="4">
        <f t="shared" si="231"/>
        <v>0</v>
      </c>
      <c r="Q759" s="4">
        <f t="shared" si="232"/>
        <v>6</v>
      </c>
      <c r="R759" s="4">
        <f t="shared" si="233"/>
        <v>49</v>
      </c>
      <c r="S759" s="4">
        <f t="shared" si="234"/>
        <v>0</v>
      </c>
      <c r="T759" s="4">
        <f t="shared" si="235"/>
        <v>6</v>
      </c>
      <c r="U759" s="4">
        <f t="shared" si="236"/>
        <v>3</v>
      </c>
      <c r="V759" s="8">
        <f t="shared" si="237"/>
        <v>1</v>
      </c>
      <c r="W759" s="8">
        <f t="shared" si="238"/>
        <v>9</v>
      </c>
      <c r="X759">
        <f t="shared" si="239"/>
        <v>1</v>
      </c>
    </row>
    <row r="760" spans="1:24" x14ac:dyDescent="0.25">
      <c r="A760" s="4" t="s">
        <v>786</v>
      </c>
      <c r="B760" t="s">
        <v>5</v>
      </c>
      <c r="C760" t="s">
        <v>4</v>
      </c>
      <c r="D760" s="3">
        <f t="shared" si="220"/>
        <v>2</v>
      </c>
      <c r="E760" s="4">
        <f t="shared" si="221"/>
        <v>32</v>
      </c>
      <c r="F760" s="4">
        <f t="shared" si="222"/>
        <v>1</v>
      </c>
      <c r="G760" s="3">
        <f>IF(E760&gt;=20,2000,1900) + D760</f>
        <v>2002</v>
      </c>
      <c r="H760">
        <f t="shared" si="223"/>
        <v>12</v>
      </c>
      <c r="I760" s="4">
        <f t="shared" si="224"/>
        <v>1</v>
      </c>
      <c r="J760">
        <f t="shared" si="225"/>
        <v>20023201</v>
      </c>
      <c r="K760" t="str">
        <f t="shared" si="226"/>
        <v>01.32.2002</v>
      </c>
      <c r="L760" s="4">
        <f t="shared" si="227"/>
        <v>0</v>
      </c>
      <c r="M760" s="4">
        <f t="shared" si="228"/>
        <v>6</v>
      </c>
      <c r="N760" s="4">
        <f t="shared" si="229"/>
        <v>21</v>
      </c>
      <c r="O760" s="4">
        <f t="shared" si="230"/>
        <v>18</v>
      </c>
      <c r="P760" s="4">
        <f t="shared" si="231"/>
        <v>0</v>
      </c>
      <c r="Q760" s="4">
        <f t="shared" si="232"/>
        <v>3</v>
      </c>
      <c r="R760" s="4">
        <f t="shared" si="233"/>
        <v>56</v>
      </c>
      <c r="S760" s="4">
        <f t="shared" si="234"/>
        <v>0</v>
      </c>
      <c r="T760" s="4">
        <f t="shared" si="235"/>
        <v>0</v>
      </c>
      <c r="U760" s="4">
        <f t="shared" si="236"/>
        <v>0</v>
      </c>
      <c r="V760" s="8">
        <f t="shared" si="237"/>
        <v>4</v>
      </c>
      <c r="W760" s="8">
        <f t="shared" si="238"/>
        <v>6</v>
      </c>
      <c r="X760">
        <f t="shared" si="239"/>
        <v>1</v>
      </c>
    </row>
    <row r="761" spans="1:24" x14ac:dyDescent="0.25">
      <c r="A761" s="4" t="s">
        <v>787</v>
      </c>
      <c r="B761" t="s">
        <v>17</v>
      </c>
      <c r="C761" t="s">
        <v>4</v>
      </c>
      <c r="D761" s="3">
        <f t="shared" si="220"/>
        <v>10</v>
      </c>
      <c r="E761" s="4">
        <f t="shared" si="221"/>
        <v>23</v>
      </c>
      <c r="F761" s="4">
        <f t="shared" si="222"/>
        <v>13</v>
      </c>
      <c r="G761" s="3">
        <f>IF(E761&gt;=20,2000,1900) + D761</f>
        <v>2010</v>
      </c>
      <c r="H761">
        <f t="shared" si="223"/>
        <v>3</v>
      </c>
      <c r="I761" s="4">
        <f t="shared" si="224"/>
        <v>13</v>
      </c>
      <c r="J761">
        <f t="shared" si="225"/>
        <v>20102313</v>
      </c>
      <c r="K761" t="str">
        <f t="shared" si="226"/>
        <v>13.23.2010</v>
      </c>
      <c r="L761" s="4">
        <f t="shared" si="227"/>
        <v>1</v>
      </c>
      <c r="M761" s="4">
        <f t="shared" si="228"/>
        <v>0</v>
      </c>
      <c r="N761" s="4">
        <f t="shared" si="229"/>
        <v>14</v>
      </c>
      <c r="O761" s="4">
        <f t="shared" si="230"/>
        <v>27</v>
      </c>
      <c r="P761" s="4">
        <f t="shared" si="231"/>
        <v>1</v>
      </c>
      <c r="Q761" s="4">
        <f t="shared" si="232"/>
        <v>9</v>
      </c>
      <c r="R761" s="4">
        <f t="shared" si="233"/>
        <v>56</v>
      </c>
      <c r="S761" s="4">
        <f t="shared" si="234"/>
        <v>72</v>
      </c>
      <c r="T761" s="4">
        <f t="shared" si="235"/>
        <v>6</v>
      </c>
      <c r="U761" s="4">
        <f t="shared" si="236"/>
        <v>21</v>
      </c>
      <c r="V761" s="8">
        <f t="shared" si="237"/>
        <v>7</v>
      </c>
      <c r="W761" s="8">
        <f t="shared" si="238"/>
        <v>3</v>
      </c>
      <c r="X761">
        <f t="shared" si="239"/>
        <v>1</v>
      </c>
    </row>
    <row r="762" spans="1:24" x14ac:dyDescent="0.25">
      <c r="A762" s="4" t="s">
        <v>788</v>
      </c>
      <c r="B762" t="s">
        <v>5</v>
      </c>
      <c r="C762" t="s">
        <v>6</v>
      </c>
      <c r="D762" s="3">
        <f t="shared" si="220"/>
        <v>1</v>
      </c>
      <c r="E762" s="4">
        <f t="shared" si="221"/>
        <v>21</v>
      </c>
      <c r="F762" s="4">
        <f t="shared" si="222"/>
        <v>16</v>
      </c>
      <c r="G762" s="3">
        <f>IF(E762&gt;=20,2000,1900) + D762</f>
        <v>2001</v>
      </c>
      <c r="H762">
        <f t="shared" si="223"/>
        <v>1</v>
      </c>
      <c r="I762" s="4">
        <f t="shared" si="224"/>
        <v>16</v>
      </c>
      <c r="J762">
        <f t="shared" si="225"/>
        <v>20012116</v>
      </c>
      <c r="K762" t="str">
        <f t="shared" si="226"/>
        <v>16.21.2001</v>
      </c>
      <c r="L762" s="4">
        <f t="shared" si="227"/>
        <v>0</v>
      </c>
      <c r="M762" s="4">
        <f t="shared" si="228"/>
        <v>3</v>
      </c>
      <c r="N762" s="4">
        <f t="shared" si="229"/>
        <v>14</v>
      </c>
      <c r="O762" s="4">
        <f t="shared" si="230"/>
        <v>9</v>
      </c>
      <c r="P762" s="4">
        <f t="shared" si="231"/>
        <v>1</v>
      </c>
      <c r="Q762" s="4">
        <f t="shared" si="232"/>
        <v>18</v>
      </c>
      <c r="R762" s="4">
        <f t="shared" si="233"/>
        <v>63</v>
      </c>
      <c r="S762" s="4">
        <f t="shared" si="234"/>
        <v>27</v>
      </c>
      <c r="T762" s="4">
        <f t="shared" si="235"/>
        <v>2</v>
      </c>
      <c r="U762" s="4">
        <f t="shared" si="236"/>
        <v>0</v>
      </c>
      <c r="V762" s="8">
        <f t="shared" si="237"/>
        <v>7</v>
      </c>
      <c r="W762" s="8">
        <f t="shared" si="238"/>
        <v>3</v>
      </c>
      <c r="X762">
        <f t="shared" si="239"/>
        <v>1</v>
      </c>
    </row>
    <row r="763" spans="1:24" x14ac:dyDescent="0.25">
      <c r="A763" s="4" t="s">
        <v>789</v>
      </c>
      <c r="B763" t="s">
        <v>3</v>
      </c>
      <c r="C763" t="s">
        <v>4</v>
      </c>
      <c r="D763" s="3">
        <f t="shared" si="220"/>
        <v>19</v>
      </c>
      <c r="E763" s="4">
        <f t="shared" si="221"/>
        <v>22</v>
      </c>
      <c r="F763" s="4">
        <f t="shared" si="222"/>
        <v>19</v>
      </c>
      <c r="G763" s="3">
        <f>IF(E763&gt;=20,2000,1900) + D763</f>
        <v>2019</v>
      </c>
      <c r="H763">
        <f t="shared" si="223"/>
        <v>2</v>
      </c>
      <c r="I763" s="4">
        <f t="shared" si="224"/>
        <v>19</v>
      </c>
      <c r="J763">
        <f t="shared" si="225"/>
        <v>20192219</v>
      </c>
      <c r="K763" t="str">
        <f t="shared" si="226"/>
        <v>19.22.2019</v>
      </c>
      <c r="L763" s="4">
        <f t="shared" si="227"/>
        <v>1</v>
      </c>
      <c r="M763" s="4">
        <f t="shared" si="228"/>
        <v>27</v>
      </c>
      <c r="N763" s="4">
        <f t="shared" si="229"/>
        <v>14</v>
      </c>
      <c r="O763" s="4">
        <f t="shared" si="230"/>
        <v>18</v>
      </c>
      <c r="P763" s="4">
        <f t="shared" si="231"/>
        <v>1</v>
      </c>
      <c r="Q763" s="4">
        <f t="shared" si="232"/>
        <v>27</v>
      </c>
      <c r="R763" s="4">
        <f t="shared" si="233"/>
        <v>7</v>
      </c>
      <c r="S763" s="4">
        <f t="shared" si="234"/>
        <v>72</v>
      </c>
      <c r="T763" s="4">
        <f t="shared" si="235"/>
        <v>3</v>
      </c>
      <c r="U763" s="4">
        <f t="shared" si="236"/>
        <v>24</v>
      </c>
      <c r="V763" s="8">
        <f t="shared" si="237"/>
        <v>4</v>
      </c>
      <c r="W763" s="8">
        <f t="shared" si="238"/>
        <v>6</v>
      </c>
      <c r="X763">
        <f t="shared" si="239"/>
        <v>1</v>
      </c>
    </row>
    <row r="764" spans="1:24" x14ac:dyDescent="0.25">
      <c r="A764" s="4" t="s">
        <v>790</v>
      </c>
      <c r="B764" t="s">
        <v>16</v>
      </c>
      <c r="C764" t="s">
        <v>4</v>
      </c>
      <c r="D764" s="3">
        <f t="shared" si="220"/>
        <v>21</v>
      </c>
      <c r="E764" s="4">
        <f t="shared" si="221"/>
        <v>24</v>
      </c>
      <c r="F764" s="4">
        <f t="shared" si="222"/>
        <v>21</v>
      </c>
      <c r="G764" s="3">
        <f>IF(E764&gt;=20,2000,1900) + D764</f>
        <v>2021</v>
      </c>
      <c r="H764">
        <f t="shared" si="223"/>
        <v>4</v>
      </c>
      <c r="I764" s="4">
        <f t="shared" si="224"/>
        <v>21</v>
      </c>
      <c r="J764">
        <f t="shared" si="225"/>
        <v>20212421</v>
      </c>
      <c r="K764" t="str">
        <f t="shared" si="226"/>
        <v>21.24.2021</v>
      </c>
      <c r="L764" s="4">
        <f t="shared" si="227"/>
        <v>2</v>
      </c>
      <c r="M764" s="4">
        <f t="shared" si="228"/>
        <v>3</v>
      </c>
      <c r="N764" s="4">
        <f t="shared" si="229"/>
        <v>14</v>
      </c>
      <c r="O764" s="4">
        <f t="shared" si="230"/>
        <v>36</v>
      </c>
      <c r="P764" s="4">
        <f t="shared" si="231"/>
        <v>2</v>
      </c>
      <c r="Q764" s="4">
        <f t="shared" si="232"/>
        <v>3</v>
      </c>
      <c r="R764" s="4">
        <f t="shared" si="233"/>
        <v>0</v>
      </c>
      <c r="S764" s="4">
        <f t="shared" si="234"/>
        <v>18</v>
      </c>
      <c r="T764" s="4">
        <f t="shared" si="235"/>
        <v>7</v>
      </c>
      <c r="U764" s="4">
        <f t="shared" si="236"/>
        <v>21</v>
      </c>
      <c r="V764" s="8">
        <f t="shared" si="237"/>
        <v>6</v>
      </c>
      <c r="W764" s="8">
        <f t="shared" si="238"/>
        <v>4</v>
      </c>
      <c r="X764">
        <f t="shared" si="239"/>
        <v>1</v>
      </c>
    </row>
    <row r="765" spans="1:24" x14ac:dyDescent="0.25">
      <c r="A765" s="4" t="s">
        <v>791</v>
      </c>
      <c r="B765" t="s">
        <v>12</v>
      </c>
      <c r="C765" t="s">
        <v>4</v>
      </c>
      <c r="D765" s="3">
        <f t="shared" si="220"/>
        <v>21</v>
      </c>
      <c r="E765" s="4">
        <f t="shared" si="221"/>
        <v>22</v>
      </c>
      <c r="F765" s="4">
        <f t="shared" si="222"/>
        <v>3</v>
      </c>
      <c r="G765" s="3">
        <f>IF(E765&gt;=20,2000,1900) + D765</f>
        <v>2021</v>
      </c>
      <c r="H765">
        <f t="shared" si="223"/>
        <v>2</v>
      </c>
      <c r="I765" s="4">
        <f t="shared" si="224"/>
        <v>3</v>
      </c>
      <c r="J765">
        <f t="shared" si="225"/>
        <v>20212203</v>
      </c>
      <c r="K765" t="str">
        <f t="shared" si="226"/>
        <v>03.22.2021</v>
      </c>
      <c r="L765" s="4">
        <f t="shared" si="227"/>
        <v>2</v>
      </c>
      <c r="M765" s="4">
        <f t="shared" si="228"/>
        <v>3</v>
      </c>
      <c r="N765" s="4">
        <f t="shared" si="229"/>
        <v>14</v>
      </c>
      <c r="O765" s="4">
        <f t="shared" si="230"/>
        <v>18</v>
      </c>
      <c r="P765" s="4">
        <f t="shared" si="231"/>
        <v>0</v>
      </c>
      <c r="Q765" s="4">
        <f t="shared" si="232"/>
        <v>9</v>
      </c>
      <c r="R765" s="4">
        <f t="shared" si="233"/>
        <v>14</v>
      </c>
      <c r="S765" s="4">
        <f t="shared" si="234"/>
        <v>81</v>
      </c>
      <c r="T765" s="4">
        <f t="shared" si="235"/>
        <v>3</v>
      </c>
      <c r="U765" s="4">
        <f t="shared" si="236"/>
        <v>0</v>
      </c>
      <c r="V765" s="8">
        <f t="shared" si="237"/>
        <v>4</v>
      </c>
      <c r="W765" s="8">
        <f t="shared" si="238"/>
        <v>6</v>
      </c>
      <c r="X765">
        <f t="shared" si="239"/>
        <v>1</v>
      </c>
    </row>
    <row r="766" spans="1:24" x14ac:dyDescent="0.25">
      <c r="A766" s="4" t="s">
        <v>792</v>
      </c>
      <c r="B766" t="s">
        <v>7</v>
      </c>
      <c r="C766" t="s">
        <v>4</v>
      </c>
      <c r="D766" s="3">
        <f t="shared" si="220"/>
        <v>2</v>
      </c>
      <c r="E766" s="4">
        <f t="shared" si="221"/>
        <v>30</v>
      </c>
      <c r="F766" s="4">
        <f t="shared" si="222"/>
        <v>13</v>
      </c>
      <c r="G766" s="3">
        <f>IF(E766&gt;=20,2000,1900) + D766</f>
        <v>2002</v>
      </c>
      <c r="H766">
        <f t="shared" si="223"/>
        <v>10</v>
      </c>
      <c r="I766" s="4">
        <f t="shared" si="224"/>
        <v>13</v>
      </c>
      <c r="J766">
        <f t="shared" si="225"/>
        <v>20023013</v>
      </c>
      <c r="K766" t="str">
        <f t="shared" si="226"/>
        <v>13.30.2002</v>
      </c>
      <c r="L766" s="4">
        <f t="shared" si="227"/>
        <v>0</v>
      </c>
      <c r="M766" s="4">
        <f t="shared" si="228"/>
        <v>6</v>
      </c>
      <c r="N766" s="4">
        <f t="shared" si="229"/>
        <v>21</v>
      </c>
      <c r="O766" s="4">
        <f t="shared" si="230"/>
        <v>0</v>
      </c>
      <c r="P766" s="4">
        <f t="shared" si="231"/>
        <v>1</v>
      </c>
      <c r="Q766" s="4">
        <f t="shared" si="232"/>
        <v>9</v>
      </c>
      <c r="R766" s="4">
        <f t="shared" si="233"/>
        <v>35</v>
      </c>
      <c r="S766" s="4">
        <f t="shared" si="234"/>
        <v>54</v>
      </c>
      <c r="T766" s="4">
        <f t="shared" si="235"/>
        <v>6</v>
      </c>
      <c r="U766" s="4">
        <f t="shared" si="236"/>
        <v>12</v>
      </c>
      <c r="V766" s="8">
        <f t="shared" si="237"/>
        <v>4</v>
      </c>
      <c r="W766" s="8">
        <f t="shared" si="238"/>
        <v>6</v>
      </c>
      <c r="X766">
        <f t="shared" si="239"/>
        <v>1</v>
      </c>
    </row>
    <row r="767" spans="1:24" x14ac:dyDescent="0.25">
      <c r="A767" s="4" t="s">
        <v>793</v>
      </c>
      <c r="B767" t="s">
        <v>16</v>
      </c>
      <c r="C767" t="s">
        <v>4</v>
      </c>
      <c r="D767" s="3">
        <f t="shared" si="220"/>
        <v>0</v>
      </c>
      <c r="E767" s="4">
        <f t="shared" si="221"/>
        <v>32</v>
      </c>
      <c r="F767" s="4">
        <f t="shared" si="222"/>
        <v>25</v>
      </c>
      <c r="G767" s="3">
        <f>IF(E767&gt;=20,2000,1900) + D767</f>
        <v>2000</v>
      </c>
      <c r="H767">
        <f t="shared" si="223"/>
        <v>12</v>
      </c>
      <c r="I767" s="4">
        <f t="shared" si="224"/>
        <v>25</v>
      </c>
      <c r="J767">
        <f t="shared" si="225"/>
        <v>20003225</v>
      </c>
      <c r="K767" t="str">
        <f t="shared" si="226"/>
        <v>25.32.2000</v>
      </c>
      <c r="L767" s="4">
        <f t="shared" si="227"/>
        <v>0</v>
      </c>
      <c r="M767" s="4">
        <f t="shared" si="228"/>
        <v>0</v>
      </c>
      <c r="N767" s="4">
        <f t="shared" si="229"/>
        <v>21</v>
      </c>
      <c r="O767" s="4">
        <f t="shared" si="230"/>
        <v>18</v>
      </c>
      <c r="P767" s="4">
        <f t="shared" si="231"/>
        <v>2</v>
      </c>
      <c r="Q767" s="4">
        <f t="shared" si="232"/>
        <v>15</v>
      </c>
      <c r="R767" s="4">
        <f t="shared" si="233"/>
        <v>35</v>
      </c>
      <c r="S767" s="4">
        <f t="shared" si="234"/>
        <v>36</v>
      </c>
      <c r="T767" s="4">
        <f t="shared" si="235"/>
        <v>9</v>
      </c>
      <c r="U767" s="4">
        <f t="shared" si="236"/>
        <v>21</v>
      </c>
      <c r="V767" s="8">
        <f t="shared" si="237"/>
        <v>7</v>
      </c>
      <c r="W767" s="8">
        <f t="shared" si="238"/>
        <v>3</v>
      </c>
      <c r="X767">
        <f t="shared" si="239"/>
        <v>1</v>
      </c>
    </row>
    <row r="768" spans="1:24" x14ac:dyDescent="0.25">
      <c r="A768" s="4" t="s">
        <v>794</v>
      </c>
      <c r="B768" t="s">
        <v>15</v>
      </c>
      <c r="C768" t="s">
        <v>4</v>
      </c>
      <c r="D768" s="3">
        <f t="shared" si="220"/>
        <v>13</v>
      </c>
      <c r="E768" s="4">
        <f t="shared" si="221"/>
        <v>28</v>
      </c>
      <c r="F768" s="4">
        <f t="shared" si="222"/>
        <v>11</v>
      </c>
      <c r="G768" s="3">
        <f>IF(E768&gt;=20,2000,1900) + D768</f>
        <v>2013</v>
      </c>
      <c r="H768">
        <f t="shared" si="223"/>
        <v>8</v>
      </c>
      <c r="I768" s="4">
        <f t="shared" si="224"/>
        <v>11</v>
      </c>
      <c r="J768">
        <f t="shared" si="225"/>
        <v>20132811</v>
      </c>
      <c r="K768" t="str">
        <f t="shared" si="226"/>
        <v>11.28.2013</v>
      </c>
      <c r="L768" s="4">
        <f t="shared" si="227"/>
        <v>1</v>
      </c>
      <c r="M768" s="4">
        <f t="shared" si="228"/>
        <v>9</v>
      </c>
      <c r="N768" s="4">
        <f t="shared" si="229"/>
        <v>14</v>
      </c>
      <c r="O768" s="4">
        <f t="shared" si="230"/>
        <v>72</v>
      </c>
      <c r="P768" s="4">
        <f t="shared" si="231"/>
        <v>1</v>
      </c>
      <c r="Q768" s="4">
        <f t="shared" si="232"/>
        <v>3</v>
      </c>
      <c r="R768" s="4">
        <f t="shared" si="233"/>
        <v>56</v>
      </c>
      <c r="S768" s="4">
        <f t="shared" si="234"/>
        <v>0</v>
      </c>
      <c r="T768" s="4">
        <f t="shared" si="235"/>
        <v>8</v>
      </c>
      <c r="U768" s="4">
        <f t="shared" si="236"/>
        <v>12</v>
      </c>
      <c r="V768" s="8">
        <f t="shared" si="237"/>
        <v>6</v>
      </c>
      <c r="W768" s="8">
        <f t="shared" si="238"/>
        <v>4</v>
      </c>
      <c r="X768">
        <f t="shared" si="239"/>
        <v>1</v>
      </c>
    </row>
    <row r="769" spans="1:24" x14ac:dyDescent="0.25">
      <c r="A769" s="4" t="s">
        <v>795</v>
      </c>
      <c r="B769" t="s">
        <v>14</v>
      </c>
      <c r="C769" t="s">
        <v>4</v>
      </c>
      <c r="D769" s="3">
        <f t="shared" si="220"/>
        <v>8</v>
      </c>
      <c r="E769" s="4">
        <f t="shared" si="221"/>
        <v>29</v>
      </c>
      <c r="F769" s="4">
        <f t="shared" si="222"/>
        <v>11</v>
      </c>
      <c r="G769" s="3">
        <f>IF(E769&gt;=20,2000,1900) + D769</f>
        <v>2008</v>
      </c>
      <c r="H769">
        <f t="shared" si="223"/>
        <v>9</v>
      </c>
      <c r="I769" s="4">
        <f t="shared" si="224"/>
        <v>11</v>
      </c>
      <c r="J769">
        <f t="shared" si="225"/>
        <v>20082911</v>
      </c>
      <c r="K769" t="str">
        <f t="shared" si="226"/>
        <v>11.29.2008</v>
      </c>
      <c r="L769" s="4">
        <f t="shared" si="227"/>
        <v>0</v>
      </c>
      <c r="M769" s="4">
        <f t="shared" si="228"/>
        <v>24</v>
      </c>
      <c r="N769" s="4">
        <f t="shared" si="229"/>
        <v>14</v>
      </c>
      <c r="O769" s="4">
        <f t="shared" si="230"/>
        <v>81</v>
      </c>
      <c r="P769" s="4">
        <f t="shared" si="231"/>
        <v>1</v>
      </c>
      <c r="Q769" s="4">
        <f t="shared" si="232"/>
        <v>3</v>
      </c>
      <c r="R769" s="4">
        <f t="shared" si="233"/>
        <v>49</v>
      </c>
      <c r="S769" s="4">
        <f t="shared" si="234"/>
        <v>63</v>
      </c>
      <c r="T769" s="4">
        <f t="shared" si="235"/>
        <v>8</v>
      </c>
      <c r="U769" s="4">
        <f t="shared" si="236"/>
        <v>6</v>
      </c>
      <c r="V769" s="8">
        <f t="shared" si="237"/>
        <v>9</v>
      </c>
      <c r="W769" s="8">
        <f t="shared" si="238"/>
        <v>1</v>
      </c>
      <c r="X769">
        <f t="shared" si="239"/>
        <v>1</v>
      </c>
    </row>
    <row r="770" spans="1:24" x14ac:dyDescent="0.25">
      <c r="A770" s="4" t="s">
        <v>796</v>
      </c>
      <c r="B770" t="s">
        <v>10</v>
      </c>
      <c r="C770" t="s">
        <v>6</v>
      </c>
      <c r="D770" s="3">
        <f t="shared" si="220"/>
        <v>9</v>
      </c>
      <c r="E770" s="4">
        <f t="shared" si="221"/>
        <v>21</v>
      </c>
      <c r="F770" s="4">
        <f t="shared" si="222"/>
        <v>10</v>
      </c>
      <c r="G770" s="3">
        <f>IF(E770&gt;=20,2000,1900) + D770</f>
        <v>2009</v>
      </c>
      <c r="H770">
        <f t="shared" si="223"/>
        <v>1</v>
      </c>
      <c r="I770" s="4">
        <f t="shared" si="224"/>
        <v>10</v>
      </c>
      <c r="J770">
        <f t="shared" si="225"/>
        <v>20092110</v>
      </c>
      <c r="K770" t="str">
        <f t="shared" si="226"/>
        <v>10.21.2009</v>
      </c>
      <c r="L770" s="4">
        <f t="shared" si="227"/>
        <v>0</v>
      </c>
      <c r="M770" s="4">
        <f t="shared" si="228"/>
        <v>27</v>
      </c>
      <c r="N770" s="4">
        <f t="shared" si="229"/>
        <v>14</v>
      </c>
      <c r="O770" s="4">
        <f t="shared" si="230"/>
        <v>9</v>
      </c>
      <c r="P770" s="4">
        <f t="shared" si="231"/>
        <v>1</v>
      </c>
      <c r="Q770" s="4">
        <f t="shared" si="232"/>
        <v>0</v>
      </c>
      <c r="R770" s="4">
        <f t="shared" si="233"/>
        <v>56</v>
      </c>
      <c r="S770" s="4">
        <f t="shared" si="234"/>
        <v>54</v>
      </c>
      <c r="T770" s="4">
        <f t="shared" si="235"/>
        <v>5</v>
      </c>
      <c r="U770" s="4">
        <f t="shared" si="236"/>
        <v>0</v>
      </c>
      <c r="V770" s="8">
        <f t="shared" si="237"/>
        <v>6</v>
      </c>
      <c r="W770" s="8">
        <f t="shared" si="238"/>
        <v>4</v>
      </c>
      <c r="X770">
        <f t="shared" si="239"/>
        <v>1</v>
      </c>
    </row>
    <row r="771" spans="1:24" x14ac:dyDescent="0.25">
      <c r="A771" s="4" t="s">
        <v>797</v>
      </c>
      <c r="B771" t="s">
        <v>13</v>
      </c>
      <c r="C771" t="s">
        <v>4</v>
      </c>
      <c r="D771" s="3">
        <f t="shared" ref="D771:D834" si="240">MID(A771,1,2)*1</f>
        <v>4</v>
      </c>
      <c r="E771" s="4">
        <f t="shared" ref="E771:E834" si="241">MID(A771,3,2)*1</f>
        <v>32</v>
      </c>
      <c r="F771" s="4">
        <f t="shared" ref="F771:F834" si="242">MID(A771,5,2)*1</f>
        <v>26</v>
      </c>
      <c r="G771" s="3">
        <f>IF(E771&gt;=20,2000,1900) + D771</f>
        <v>2004</v>
      </c>
      <c r="H771">
        <f t="shared" ref="H771:H834" si="243">IF(E771&gt;=20,E771-20,E771)</f>
        <v>12</v>
      </c>
      <c r="I771" s="4">
        <f t="shared" ref="I771:I834" si="244">F771</f>
        <v>26</v>
      </c>
      <c r="J771">
        <f t="shared" ref="J771:J834" si="245">CONCATENATE(G771,IF(LEN(E771)=1,CONCATENATE("0",E771),E771),IF(LEN(F771)=1,CONCATENATE("0",F771),F771))*1</f>
        <v>20043226</v>
      </c>
      <c r="K771" t="str">
        <f t="shared" ref="K771:K834" si="246">CONCATENATE(RIGHT(J771,2),".",MID(J771,5,2),".",LEFT(J771,4))</f>
        <v>26.32.2004</v>
      </c>
      <c r="L771" s="4">
        <f t="shared" ref="L771:L834" si="247">MID(A771,1,1)*1</f>
        <v>0</v>
      </c>
      <c r="M771" s="4">
        <f t="shared" ref="M771:M834" si="248">MID(A771,2,1)*3</f>
        <v>12</v>
      </c>
      <c r="N771" s="4">
        <f t="shared" ref="N771:N834" si="249">MID(A771,3,1)*7</f>
        <v>21</v>
      </c>
      <c r="O771" s="4">
        <f t="shared" ref="O771:O834" si="250">MID(A771,4,1)*9</f>
        <v>18</v>
      </c>
      <c r="P771" s="4">
        <f t="shared" ref="P771:P834" si="251">MID(A771,5,1)*1</f>
        <v>2</v>
      </c>
      <c r="Q771" s="4">
        <f t="shared" ref="Q771:Q834" si="252">MID(A771,6,1)*3</f>
        <v>18</v>
      </c>
      <c r="R771" s="4">
        <f t="shared" ref="R771:R834" si="253">MID(A771,7,1)*7</f>
        <v>63</v>
      </c>
      <c r="S771" s="4">
        <f t="shared" ref="S771:S834" si="254">MID(A771,8,1)*9</f>
        <v>81</v>
      </c>
      <c r="T771" s="4">
        <f t="shared" ref="T771:T834" si="255">MID(A771,9,1)*1</f>
        <v>6</v>
      </c>
      <c r="U771" s="4">
        <f t="shared" ref="U771:U834" si="256">MID(A771,10,1)*3</f>
        <v>9</v>
      </c>
      <c r="V771" s="8">
        <f t="shared" ref="V771:V834" si="257">MOD(SUM(L771:U771),10)</f>
        <v>0</v>
      </c>
      <c r="W771" s="8">
        <f t="shared" ref="W771:W834" si="258">IF(V771=0,0,10-V771)</f>
        <v>0</v>
      </c>
      <c r="X771">
        <f t="shared" ref="X771:X834" si="259">IF(W771=RIGHT(A771,1)*1,1,0)</f>
        <v>1</v>
      </c>
    </row>
    <row r="772" spans="1:24" x14ac:dyDescent="0.25">
      <c r="A772" s="4" t="s">
        <v>798</v>
      </c>
      <c r="B772" t="s">
        <v>7</v>
      </c>
      <c r="C772" t="s">
        <v>4</v>
      </c>
      <c r="D772" s="3">
        <f t="shared" si="240"/>
        <v>21</v>
      </c>
      <c r="E772" s="4">
        <f t="shared" si="241"/>
        <v>29</v>
      </c>
      <c r="F772" s="4">
        <f t="shared" si="242"/>
        <v>19</v>
      </c>
      <c r="G772" s="3">
        <f>IF(E772&gt;=20,2000,1900) + D772</f>
        <v>2021</v>
      </c>
      <c r="H772">
        <f t="shared" si="243"/>
        <v>9</v>
      </c>
      <c r="I772" s="4">
        <f t="shared" si="244"/>
        <v>19</v>
      </c>
      <c r="J772">
        <f t="shared" si="245"/>
        <v>20212919</v>
      </c>
      <c r="K772" t="str">
        <f t="shared" si="246"/>
        <v>19.29.2021</v>
      </c>
      <c r="L772" s="4">
        <f t="shared" si="247"/>
        <v>2</v>
      </c>
      <c r="M772" s="4">
        <f t="shared" si="248"/>
        <v>3</v>
      </c>
      <c r="N772" s="4">
        <f t="shared" si="249"/>
        <v>14</v>
      </c>
      <c r="O772" s="4">
        <f t="shared" si="250"/>
        <v>81</v>
      </c>
      <c r="P772" s="4">
        <f t="shared" si="251"/>
        <v>1</v>
      </c>
      <c r="Q772" s="4">
        <f t="shared" si="252"/>
        <v>27</v>
      </c>
      <c r="R772" s="4">
        <f t="shared" si="253"/>
        <v>28</v>
      </c>
      <c r="S772" s="4">
        <f t="shared" si="254"/>
        <v>45</v>
      </c>
      <c r="T772" s="4">
        <f t="shared" si="255"/>
        <v>2</v>
      </c>
      <c r="U772" s="4">
        <f t="shared" si="256"/>
        <v>15</v>
      </c>
      <c r="V772" s="8">
        <f t="shared" si="257"/>
        <v>8</v>
      </c>
      <c r="W772" s="8">
        <f t="shared" si="258"/>
        <v>2</v>
      </c>
      <c r="X772">
        <f t="shared" si="259"/>
        <v>1</v>
      </c>
    </row>
    <row r="773" spans="1:24" x14ac:dyDescent="0.25">
      <c r="A773" s="4" t="s">
        <v>799</v>
      </c>
      <c r="B773" t="s">
        <v>3</v>
      </c>
      <c r="C773" t="s">
        <v>6</v>
      </c>
      <c r="D773" s="3">
        <f t="shared" si="240"/>
        <v>12</v>
      </c>
      <c r="E773" s="4">
        <f t="shared" si="241"/>
        <v>27</v>
      </c>
      <c r="F773" s="4">
        <f t="shared" si="242"/>
        <v>22</v>
      </c>
      <c r="G773" s="3">
        <f>IF(E773&gt;=20,2000,1900) + D773</f>
        <v>2012</v>
      </c>
      <c r="H773">
        <f t="shared" si="243"/>
        <v>7</v>
      </c>
      <c r="I773" s="4">
        <f t="shared" si="244"/>
        <v>22</v>
      </c>
      <c r="J773">
        <f t="shared" si="245"/>
        <v>20122722</v>
      </c>
      <c r="K773" t="str">
        <f t="shared" si="246"/>
        <v>22.27.2012</v>
      </c>
      <c r="L773" s="4">
        <f t="shared" si="247"/>
        <v>1</v>
      </c>
      <c r="M773" s="4">
        <f t="shared" si="248"/>
        <v>6</v>
      </c>
      <c r="N773" s="4">
        <f t="shared" si="249"/>
        <v>14</v>
      </c>
      <c r="O773" s="4">
        <f t="shared" si="250"/>
        <v>63</v>
      </c>
      <c r="P773" s="4">
        <f t="shared" si="251"/>
        <v>2</v>
      </c>
      <c r="Q773" s="4">
        <f t="shared" si="252"/>
        <v>6</v>
      </c>
      <c r="R773" s="4">
        <f t="shared" si="253"/>
        <v>56</v>
      </c>
      <c r="S773" s="4">
        <f t="shared" si="254"/>
        <v>63</v>
      </c>
      <c r="T773" s="4">
        <f t="shared" si="255"/>
        <v>5</v>
      </c>
      <c r="U773" s="4">
        <f t="shared" si="256"/>
        <v>27</v>
      </c>
      <c r="V773" s="8">
        <f t="shared" si="257"/>
        <v>3</v>
      </c>
      <c r="W773" s="8">
        <f t="shared" si="258"/>
        <v>7</v>
      </c>
      <c r="X773">
        <f t="shared" si="259"/>
        <v>1</v>
      </c>
    </row>
    <row r="774" spans="1:24" x14ac:dyDescent="0.25">
      <c r="A774" s="4" t="s">
        <v>800</v>
      </c>
      <c r="B774" t="s">
        <v>7</v>
      </c>
      <c r="C774" t="s">
        <v>4</v>
      </c>
      <c r="D774" s="3">
        <f t="shared" si="240"/>
        <v>10</v>
      </c>
      <c r="E774" s="4">
        <f t="shared" si="241"/>
        <v>27</v>
      </c>
      <c r="F774" s="4">
        <f t="shared" si="242"/>
        <v>10</v>
      </c>
      <c r="G774" s="3">
        <f>IF(E774&gt;=20,2000,1900) + D774</f>
        <v>2010</v>
      </c>
      <c r="H774">
        <f t="shared" si="243"/>
        <v>7</v>
      </c>
      <c r="I774" s="4">
        <f t="shared" si="244"/>
        <v>10</v>
      </c>
      <c r="J774">
        <f t="shared" si="245"/>
        <v>20102710</v>
      </c>
      <c r="K774" t="str">
        <f t="shared" si="246"/>
        <v>10.27.2010</v>
      </c>
      <c r="L774" s="4">
        <f t="shared" si="247"/>
        <v>1</v>
      </c>
      <c r="M774" s="4">
        <f t="shared" si="248"/>
        <v>0</v>
      </c>
      <c r="N774" s="4">
        <f t="shared" si="249"/>
        <v>14</v>
      </c>
      <c r="O774" s="4">
        <f t="shared" si="250"/>
        <v>63</v>
      </c>
      <c r="P774" s="4">
        <f t="shared" si="251"/>
        <v>1</v>
      </c>
      <c r="Q774" s="4">
        <f t="shared" si="252"/>
        <v>0</v>
      </c>
      <c r="R774" s="4">
        <f t="shared" si="253"/>
        <v>49</v>
      </c>
      <c r="S774" s="4">
        <f t="shared" si="254"/>
        <v>63</v>
      </c>
      <c r="T774" s="4">
        <f t="shared" si="255"/>
        <v>5</v>
      </c>
      <c r="U774" s="4">
        <f t="shared" si="256"/>
        <v>3</v>
      </c>
      <c r="V774" s="8">
        <f t="shared" si="257"/>
        <v>9</v>
      </c>
      <c r="W774" s="8">
        <f t="shared" si="258"/>
        <v>1</v>
      </c>
      <c r="X774">
        <f t="shared" si="259"/>
        <v>1</v>
      </c>
    </row>
    <row r="775" spans="1:24" x14ac:dyDescent="0.25">
      <c r="A775" s="4" t="s">
        <v>801</v>
      </c>
      <c r="B775" t="s">
        <v>9</v>
      </c>
      <c r="C775" t="s">
        <v>4</v>
      </c>
      <c r="D775" s="3">
        <f t="shared" si="240"/>
        <v>13</v>
      </c>
      <c r="E775" s="4">
        <f t="shared" si="241"/>
        <v>28</v>
      </c>
      <c r="F775" s="4">
        <f t="shared" si="242"/>
        <v>17</v>
      </c>
      <c r="G775" s="3">
        <f>IF(E775&gt;=20,2000,1900) + D775</f>
        <v>2013</v>
      </c>
      <c r="H775">
        <f t="shared" si="243"/>
        <v>8</v>
      </c>
      <c r="I775" s="4">
        <f t="shared" si="244"/>
        <v>17</v>
      </c>
      <c r="J775">
        <f t="shared" si="245"/>
        <v>20132817</v>
      </c>
      <c r="K775" t="str">
        <f t="shared" si="246"/>
        <v>17.28.2013</v>
      </c>
      <c r="L775" s="4">
        <f t="shared" si="247"/>
        <v>1</v>
      </c>
      <c r="M775" s="4">
        <f t="shared" si="248"/>
        <v>9</v>
      </c>
      <c r="N775" s="4">
        <f t="shared" si="249"/>
        <v>14</v>
      </c>
      <c r="O775" s="4">
        <f t="shared" si="250"/>
        <v>72</v>
      </c>
      <c r="P775" s="4">
        <f t="shared" si="251"/>
        <v>1</v>
      </c>
      <c r="Q775" s="4">
        <f t="shared" si="252"/>
        <v>21</v>
      </c>
      <c r="R775" s="4">
        <f t="shared" si="253"/>
        <v>49</v>
      </c>
      <c r="S775" s="4">
        <f t="shared" si="254"/>
        <v>54</v>
      </c>
      <c r="T775" s="4">
        <f t="shared" si="255"/>
        <v>6</v>
      </c>
      <c r="U775" s="4">
        <f t="shared" si="256"/>
        <v>0</v>
      </c>
      <c r="V775" s="8">
        <f t="shared" si="257"/>
        <v>7</v>
      </c>
      <c r="W775" s="8">
        <f t="shared" si="258"/>
        <v>3</v>
      </c>
      <c r="X775">
        <f t="shared" si="259"/>
        <v>1</v>
      </c>
    </row>
    <row r="776" spans="1:24" x14ac:dyDescent="0.25">
      <c r="A776" s="4" t="s">
        <v>802</v>
      </c>
      <c r="B776" t="s">
        <v>12</v>
      </c>
      <c r="C776" t="s">
        <v>6</v>
      </c>
      <c r="D776" s="3">
        <f t="shared" si="240"/>
        <v>8</v>
      </c>
      <c r="E776" s="4">
        <f t="shared" si="241"/>
        <v>32</v>
      </c>
      <c r="F776" s="4">
        <f t="shared" si="242"/>
        <v>14</v>
      </c>
      <c r="G776" s="3">
        <f>IF(E776&gt;=20,2000,1900) + D776</f>
        <v>2008</v>
      </c>
      <c r="H776">
        <f t="shared" si="243"/>
        <v>12</v>
      </c>
      <c r="I776" s="4">
        <f t="shared" si="244"/>
        <v>14</v>
      </c>
      <c r="J776">
        <f t="shared" si="245"/>
        <v>20083214</v>
      </c>
      <c r="K776" t="str">
        <f t="shared" si="246"/>
        <v>14.32.2008</v>
      </c>
      <c r="L776" s="4">
        <f t="shared" si="247"/>
        <v>0</v>
      </c>
      <c r="M776" s="4">
        <f t="shared" si="248"/>
        <v>24</v>
      </c>
      <c r="N776" s="4">
        <f t="shared" si="249"/>
        <v>21</v>
      </c>
      <c r="O776" s="4">
        <f t="shared" si="250"/>
        <v>18</v>
      </c>
      <c r="P776" s="4">
        <f t="shared" si="251"/>
        <v>1</v>
      </c>
      <c r="Q776" s="4">
        <f t="shared" si="252"/>
        <v>12</v>
      </c>
      <c r="R776" s="4">
        <f t="shared" si="253"/>
        <v>49</v>
      </c>
      <c r="S776" s="4">
        <f t="shared" si="254"/>
        <v>63</v>
      </c>
      <c r="T776" s="4">
        <f t="shared" si="255"/>
        <v>1</v>
      </c>
      <c r="U776" s="4">
        <f t="shared" si="256"/>
        <v>9</v>
      </c>
      <c r="V776" s="8">
        <f t="shared" si="257"/>
        <v>8</v>
      </c>
      <c r="W776" s="8">
        <f t="shared" si="258"/>
        <v>2</v>
      </c>
      <c r="X776">
        <f t="shared" si="259"/>
        <v>1</v>
      </c>
    </row>
    <row r="777" spans="1:24" x14ac:dyDescent="0.25">
      <c r="A777" s="4" t="s">
        <v>803</v>
      </c>
      <c r="B777" t="s">
        <v>12</v>
      </c>
      <c r="C777" t="s">
        <v>4</v>
      </c>
      <c r="D777" s="3">
        <f t="shared" si="240"/>
        <v>3</v>
      </c>
      <c r="E777" s="4">
        <f t="shared" si="241"/>
        <v>24</v>
      </c>
      <c r="F777" s="4">
        <f t="shared" si="242"/>
        <v>11</v>
      </c>
      <c r="G777" s="3">
        <f>IF(E777&gt;=20,2000,1900) + D777</f>
        <v>2003</v>
      </c>
      <c r="H777">
        <f t="shared" si="243"/>
        <v>4</v>
      </c>
      <c r="I777" s="4">
        <f t="shared" si="244"/>
        <v>11</v>
      </c>
      <c r="J777">
        <f t="shared" si="245"/>
        <v>20032411</v>
      </c>
      <c r="K777" t="str">
        <f t="shared" si="246"/>
        <v>11.24.2003</v>
      </c>
      <c r="L777" s="4">
        <f t="shared" si="247"/>
        <v>0</v>
      </c>
      <c r="M777" s="4">
        <f t="shared" si="248"/>
        <v>9</v>
      </c>
      <c r="N777" s="4">
        <f t="shared" si="249"/>
        <v>14</v>
      </c>
      <c r="O777" s="4">
        <f t="shared" si="250"/>
        <v>36</v>
      </c>
      <c r="P777" s="4">
        <f t="shared" si="251"/>
        <v>1</v>
      </c>
      <c r="Q777" s="4">
        <f t="shared" si="252"/>
        <v>3</v>
      </c>
      <c r="R777" s="4">
        <f t="shared" si="253"/>
        <v>28</v>
      </c>
      <c r="S777" s="4">
        <f t="shared" si="254"/>
        <v>18</v>
      </c>
      <c r="T777" s="4">
        <f t="shared" si="255"/>
        <v>4</v>
      </c>
      <c r="U777" s="4">
        <f t="shared" si="256"/>
        <v>24</v>
      </c>
      <c r="V777" s="8">
        <f t="shared" si="257"/>
        <v>7</v>
      </c>
      <c r="W777" s="8">
        <f t="shared" si="258"/>
        <v>3</v>
      </c>
      <c r="X777">
        <f t="shared" si="259"/>
        <v>1</v>
      </c>
    </row>
    <row r="778" spans="1:24" x14ac:dyDescent="0.25">
      <c r="A778" s="4" t="s">
        <v>804</v>
      </c>
      <c r="B778" t="s">
        <v>11</v>
      </c>
      <c r="C778" t="s">
        <v>4</v>
      </c>
      <c r="D778" s="3">
        <f t="shared" si="240"/>
        <v>6</v>
      </c>
      <c r="E778" s="4">
        <f t="shared" si="241"/>
        <v>26</v>
      </c>
      <c r="F778" s="4">
        <f t="shared" si="242"/>
        <v>18</v>
      </c>
      <c r="G778" s="3">
        <f>IF(E778&gt;=20,2000,1900) + D778</f>
        <v>2006</v>
      </c>
      <c r="H778">
        <f t="shared" si="243"/>
        <v>6</v>
      </c>
      <c r="I778" s="4">
        <f t="shared" si="244"/>
        <v>18</v>
      </c>
      <c r="J778">
        <f t="shared" si="245"/>
        <v>20062618</v>
      </c>
      <c r="K778" t="str">
        <f t="shared" si="246"/>
        <v>18.26.2006</v>
      </c>
      <c r="L778" s="4">
        <f t="shared" si="247"/>
        <v>0</v>
      </c>
      <c r="M778" s="4">
        <f t="shared" si="248"/>
        <v>18</v>
      </c>
      <c r="N778" s="4">
        <f t="shared" si="249"/>
        <v>14</v>
      </c>
      <c r="O778" s="4">
        <f t="shared" si="250"/>
        <v>54</v>
      </c>
      <c r="P778" s="4">
        <f t="shared" si="251"/>
        <v>1</v>
      </c>
      <c r="Q778" s="4">
        <f t="shared" si="252"/>
        <v>24</v>
      </c>
      <c r="R778" s="4">
        <f t="shared" si="253"/>
        <v>7</v>
      </c>
      <c r="S778" s="4">
        <f t="shared" si="254"/>
        <v>63</v>
      </c>
      <c r="T778" s="4">
        <f t="shared" si="255"/>
        <v>7</v>
      </c>
      <c r="U778" s="4">
        <f t="shared" si="256"/>
        <v>9</v>
      </c>
      <c r="V778" s="8">
        <f t="shared" si="257"/>
        <v>7</v>
      </c>
      <c r="W778" s="8">
        <f t="shared" si="258"/>
        <v>3</v>
      </c>
      <c r="X778">
        <f t="shared" si="259"/>
        <v>1</v>
      </c>
    </row>
    <row r="779" spans="1:24" x14ac:dyDescent="0.25">
      <c r="A779" s="4" t="s">
        <v>805</v>
      </c>
      <c r="B779" t="s">
        <v>8</v>
      </c>
      <c r="C779" t="s">
        <v>4</v>
      </c>
      <c r="D779" s="3">
        <f t="shared" si="240"/>
        <v>1</v>
      </c>
      <c r="E779" s="4">
        <f t="shared" si="241"/>
        <v>32</v>
      </c>
      <c r="F779" s="4">
        <f t="shared" si="242"/>
        <v>26</v>
      </c>
      <c r="G779" s="3">
        <f>IF(E779&gt;=20,2000,1900) + D779</f>
        <v>2001</v>
      </c>
      <c r="H779">
        <f t="shared" si="243"/>
        <v>12</v>
      </c>
      <c r="I779" s="4">
        <f t="shared" si="244"/>
        <v>26</v>
      </c>
      <c r="J779">
        <f t="shared" si="245"/>
        <v>20013226</v>
      </c>
      <c r="K779" t="str">
        <f t="shared" si="246"/>
        <v>26.32.2001</v>
      </c>
      <c r="L779" s="4">
        <f t="shared" si="247"/>
        <v>0</v>
      </c>
      <c r="M779" s="4">
        <f t="shared" si="248"/>
        <v>3</v>
      </c>
      <c r="N779" s="4">
        <f t="shared" si="249"/>
        <v>21</v>
      </c>
      <c r="O779" s="4">
        <f t="shared" si="250"/>
        <v>18</v>
      </c>
      <c r="P779" s="4">
        <f t="shared" si="251"/>
        <v>2</v>
      </c>
      <c r="Q779" s="4">
        <f t="shared" si="252"/>
        <v>18</v>
      </c>
      <c r="R779" s="4">
        <f t="shared" si="253"/>
        <v>14</v>
      </c>
      <c r="S779" s="4">
        <f t="shared" si="254"/>
        <v>9</v>
      </c>
      <c r="T779" s="4">
        <f t="shared" si="255"/>
        <v>5</v>
      </c>
      <c r="U779" s="4">
        <f t="shared" si="256"/>
        <v>18</v>
      </c>
      <c r="V779" s="8">
        <f t="shared" si="257"/>
        <v>8</v>
      </c>
      <c r="W779" s="8">
        <f t="shared" si="258"/>
        <v>2</v>
      </c>
      <c r="X779">
        <f t="shared" si="259"/>
        <v>1</v>
      </c>
    </row>
    <row r="780" spans="1:24" x14ac:dyDescent="0.25">
      <c r="A780" s="4" t="s">
        <v>806</v>
      </c>
      <c r="B780" t="s">
        <v>5</v>
      </c>
      <c r="C780" t="s">
        <v>6</v>
      </c>
      <c r="D780" s="3">
        <f t="shared" si="240"/>
        <v>2</v>
      </c>
      <c r="E780" s="4">
        <f t="shared" si="241"/>
        <v>21</v>
      </c>
      <c r="F780" s="4">
        <f t="shared" si="242"/>
        <v>22</v>
      </c>
      <c r="G780" s="3">
        <f>IF(E780&gt;=20,2000,1900) + D780</f>
        <v>2002</v>
      </c>
      <c r="H780">
        <f t="shared" si="243"/>
        <v>1</v>
      </c>
      <c r="I780" s="4">
        <f t="shared" si="244"/>
        <v>22</v>
      </c>
      <c r="J780">
        <f t="shared" si="245"/>
        <v>20022122</v>
      </c>
      <c r="K780" t="str">
        <f t="shared" si="246"/>
        <v>22.21.2002</v>
      </c>
      <c r="L780" s="4">
        <f t="shared" si="247"/>
        <v>0</v>
      </c>
      <c r="M780" s="4">
        <f t="shared" si="248"/>
        <v>6</v>
      </c>
      <c r="N780" s="4">
        <f t="shared" si="249"/>
        <v>14</v>
      </c>
      <c r="O780" s="4">
        <f t="shared" si="250"/>
        <v>9</v>
      </c>
      <c r="P780" s="4">
        <f t="shared" si="251"/>
        <v>2</v>
      </c>
      <c r="Q780" s="4">
        <f t="shared" si="252"/>
        <v>6</v>
      </c>
      <c r="R780" s="4">
        <f t="shared" si="253"/>
        <v>28</v>
      </c>
      <c r="S780" s="4">
        <f t="shared" si="254"/>
        <v>45</v>
      </c>
      <c r="T780" s="4">
        <f t="shared" si="255"/>
        <v>1</v>
      </c>
      <c r="U780" s="4">
        <f t="shared" si="256"/>
        <v>6</v>
      </c>
      <c r="V780" s="8">
        <f t="shared" si="257"/>
        <v>7</v>
      </c>
      <c r="W780" s="8">
        <f t="shared" si="258"/>
        <v>3</v>
      </c>
      <c r="X780">
        <f t="shared" si="259"/>
        <v>1</v>
      </c>
    </row>
    <row r="781" spans="1:24" x14ac:dyDescent="0.25">
      <c r="A781" s="4" t="s">
        <v>807</v>
      </c>
      <c r="B781" t="s">
        <v>10</v>
      </c>
      <c r="C781" t="s">
        <v>4</v>
      </c>
      <c r="D781" s="3">
        <f t="shared" si="240"/>
        <v>16</v>
      </c>
      <c r="E781" s="4">
        <f t="shared" si="241"/>
        <v>24</v>
      </c>
      <c r="F781" s="4">
        <f t="shared" si="242"/>
        <v>5</v>
      </c>
      <c r="G781" s="3">
        <f>IF(E781&gt;=20,2000,1900) + D781</f>
        <v>2016</v>
      </c>
      <c r="H781">
        <f t="shared" si="243"/>
        <v>4</v>
      </c>
      <c r="I781" s="4">
        <f t="shared" si="244"/>
        <v>5</v>
      </c>
      <c r="J781">
        <f t="shared" si="245"/>
        <v>20162405</v>
      </c>
      <c r="K781" t="str">
        <f t="shared" si="246"/>
        <v>05.24.2016</v>
      </c>
      <c r="L781" s="4">
        <f t="shared" si="247"/>
        <v>1</v>
      </c>
      <c r="M781" s="4">
        <f t="shared" si="248"/>
        <v>18</v>
      </c>
      <c r="N781" s="4">
        <f t="shared" si="249"/>
        <v>14</v>
      </c>
      <c r="O781" s="4">
        <f t="shared" si="250"/>
        <v>36</v>
      </c>
      <c r="P781" s="4">
        <f t="shared" si="251"/>
        <v>0</v>
      </c>
      <c r="Q781" s="4">
        <f t="shared" si="252"/>
        <v>15</v>
      </c>
      <c r="R781" s="4">
        <f t="shared" si="253"/>
        <v>49</v>
      </c>
      <c r="S781" s="4">
        <f t="shared" si="254"/>
        <v>72</v>
      </c>
      <c r="T781" s="4">
        <f t="shared" si="255"/>
        <v>1</v>
      </c>
      <c r="U781" s="4">
        <f t="shared" si="256"/>
        <v>6</v>
      </c>
      <c r="V781" s="8">
        <f t="shared" si="257"/>
        <v>2</v>
      </c>
      <c r="W781" s="8">
        <f t="shared" si="258"/>
        <v>8</v>
      </c>
      <c r="X781">
        <f t="shared" si="259"/>
        <v>1</v>
      </c>
    </row>
    <row r="782" spans="1:24" x14ac:dyDescent="0.25">
      <c r="A782" s="4" t="s">
        <v>808</v>
      </c>
      <c r="B782" t="s">
        <v>16</v>
      </c>
      <c r="C782" t="s">
        <v>6</v>
      </c>
      <c r="D782" s="3">
        <f t="shared" si="240"/>
        <v>3</v>
      </c>
      <c r="E782" s="4">
        <f t="shared" si="241"/>
        <v>26</v>
      </c>
      <c r="F782" s="4">
        <f t="shared" si="242"/>
        <v>3</v>
      </c>
      <c r="G782" s="3">
        <f>IF(E782&gt;=20,2000,1900) + D782</f>
        <v>2003</v>
      </c>
      <c r="H782">
        <f t="shared" si="243"/>
        <v>6</v>
      </c>
      <c r="I782" s="4">
        <f t="shared" si="244"/>
        <v>3</v>
      </c>
      <c r="J782">
        <f t="shared" si="245"/>
        <v>20032603</v>
      </c>
      <c r="K782" t="str">
        <f t="shared" si="246"/>
        <v>03.26.2003</v>
      </c>
      <c r="L782" s="4">
        <f t="shared" si="247"/>
        <v>0</v>
      </c>
      <c r="M782" s="4">
        <f t="shared" si="248"/>
        <v>9</v>
      </c>
      <c r="N782" s="4">
        <f t="shared" si="249"/>
        <v>14</v>
      </c>
      <c r="O782" s="4">
        <f t="shared" si="250"/>
        <v>54</v>
      </c>
      <c r="P782" s="4">
        <f t="shared" si="251"/>
        <v>0</v>
      </c>
      <c r="Q782" s="4">
        <f t="shared" si="252"/>
        <v>9</v>
      </c>
      <c r="R782" s="4">
        <f t="shared" si="253"/>
        <v>28</v>
      </c>
      <c r="S782" s="4">
        <f t="shared" si="254"/>
        <v>27</v>
      </c>
      <c r="T782" s="4">
        <f t="shared" si="255"/>
        <v>5</v>
      </c>
      <c r="U782" s="4">
        <f t="shared" si="256"/>
        <v>21</v>
      </c>
      <c r="V782" s="8">
        <f t="shared" si="257"/>
        <v>7</v>
      </c>
      <c r="W782" s="8">
        <f t="shared" si="258"/>
        <v>3</v>
      </c>
      <c r="X782">
        <f t="shared" si="259"/>
        <v>1</v>
      </c>
    </row>
    <row r="783" spans="1:24" x14ac:dyDescent="0.25">
      <c r="A783" s="4" t="s">
        <v>809</v>
      </c>
      <c r="B783" t="s">
        <v>5</v>
      </c>
      <c r="C783" t="s">
        <v>4</v>
      </c>
      <c r="D783" s="3">
        <f t="shared" si="240"/>
        <v>1</v>
      </c>
      <c r="E783" s="4">
        <f t="shared" si="241"/>
        <v>22</v>
      </c>
      <c r="F783" s="4">
        <f t="shared" si="242"/>
        <v>2</v>
      </c>
      <c r="G783" s="3">
        <f>IF(E783&gt;=20,2000,1900) + D783</f>
        <v>2001</v>
      </c>
      <c r="H783">
        <f t="shared" si="243"/>
        <v>2</v>
      </c>
      <c r="I783" s="4">
        <f t="shared" si="244"/>
        <v>2</v>
      </c>
      <c r="J783">
        <f t="shared" si="245"/>
        <v>20012202</v>
      </c>
      <c r="K783" t="str">
        <f t="shared" si="246"/>
        <v>02.22.2001</v>
      </c>
      <c r="L783" s="4">
        <f t="shared" si="247"/>
        <v>0</v>
      </c>
      <c r="M783" s="4">
        <f t="shared" si="248"/>
        <v>3</v>
      </c>
      <c r="N783" s="4">
        <f t="shared" si="249"/>
        <v>14</v>
      </c>
      <c r="O783" s="4">
        <f t="shared" si="250"/>
        <v>18</v>
      </c>
      <c r="P783" s="4">
        <f t="shared" si="251"/>
        <v>0</v>
      </c>
      <c r="Q783" s="4">
        <f t="shared" si="252"/>
        <v>6</v>
      </c>
      <c r="R783" s="4">
        <f t="shared" si="253"/>
        <v>63</v>
      </c>
      <c r="S783" s="4">
        <f t="shared" si="254"/>
        <v>63</v>
      </c>
      <c r="T783" s="4">
        <f t="shared" si="255"/>
        <v>2</v>
      </c>
      <c r="U783" s="4">
        <f t="shared" si="256"/>
        <v>6</v>
      </c>
      <c r="V783" s="8">
        <f t="shared" si="257"/>
        <v>5</v>
      </c>
      <c r="W783" s="8">
        <f t="shared" si="258"/>
        <v>5</v>
      </c>
      <c r="X783">
        <f t="shared" si="259"/>
        <v>1</v>
      </c>
    </row>
    <row r="784" spans="1:24" x14ac:dyDescent="0.25">
      <c r="A784" s="4" t="s">
        <v>810</v>
      </c>
      <c r="B784" t="s">
        <v>8</v>
      </c>
      <c r="C784" t="s">
        <v>6</v>
      </c>
      <c r="D784" s="3">
        <f t="shared" si="240"/>
        <v>6</v>
      </c>
      <c r="E784" s="4">
        <f t="shared" si="241"/>
        <v>21</v>
      </c>
      <c r="F784" s="4">
        <f t="shared" si="242"/>
        <v>8</v>
      </c>
      <c r="G784" s="3">
        <f>IF(E784&gt;=20,2000,1900) + D784</f>
        <v>2006</v>
      </c>
      <c r="H784">
        <f t="shared" si="243"/>
        <v>1</v>
      </c>
      <c r="I784" s="4">
        <f t="shared" si="244"/>
        <v>8</v>
      </c>
      <c r="J784">
        <f t="shared" si="245"/>
        <v>20062108</v>
      </c>
      <c r="K784" t="str">
        <f t="shared" si="246"/>
        <v>08.21.2006</v>
      </c>
      <c r="L784" s="4">
        <f t="shared" si="247"/>
        <v>0</v>
      </c>
      <c r="M784" s="4">
        <f t="shared" si="248"/>
        <v>18</v>
      </c>
      <c r="N784" s="4">
        <f t="shared" si="249"/>
        <v>14</v>
      </c>
      <c r="O784" s="4">
        <f t="shared" si="250"/>
        <v>9</v>
      </c>
      <c r="P784" s="4">
        <f t="shared" si="251"/>
        <v>0</v>
      </c>
      <c r="Q784" s="4">
        <f t="shared" si="252"/>
        <v>24</v>
      </c>
      <c r="R784" s="4">
        <f t="shared" si="253"/>
        <v>63</v>
      </c>
      <c r="S784" s="4">
        <f t="shared" si="254"/>
        <v>54</v>
      </c>
      <c r="T784" s="4">
        <f t="shared" si="255"/>
        <v>3</v>
      </c>
      <c r="U784" s="4">
        <f t="shared" si="256"/>
        <v>18</v>
      </c>
      <c r="V784" s="8">
        <f t="shared" si="257"/>
        <v>3</v>
      </c>
      <c r="W784" s="8">
        <f t="shared" si="258"/>
        <v>7</v>
      </c>
      <c r="X784">
        <f t="shared" si="259"/>
        <v>1</v>
      </c>
    </row>
    <row r="785" spans="1:24" x14ac:dyDescent="0.25">
      <c r="A785" s="4" t="s">
        <v>811</v>
      </c>
      <c r="B785" t="s">
        <v>10</v>
      </c>
      <c r="C785" t="s">
        <v>6</v>
      </c>
      <c r="D785" s="3">
        <f t="shared" si="240"/>
        <v>11</v>
      </c>
      <c r="E785" s="4">
        <f t="shared" si="241"/>
        <v>32</v>
      </c>
      <c r="F785" s="4">
        <f t="shared" si="242"/>
        <v>17</v>
      </c>
      <c r="G785" s="3">
        <f>IF(E785&gt;=20,2000,1900) + D785</f>
        <v>2011</v>
      </c>
      <c r="H785">
        <f t="shared" si="243"/>
        <v>12</v>
      </c>
      <c r="I785" s="4">
        <f t="shared" si="244"/>
        <v>17</v>
      </c>
      <c r="J785">
        <f t="shared" si="245"/>
        <v>20113217</v>
      </c>
      <c r="K785" t="str">
        <f t="shared" si="246"/>
        <v>17.32.2011</v>
      </c>
      <c r="L785" s="4">
        <f t="shared" si="247"/>
        <v>1</v>
      </c>
      <c r="M785" s="4">
        <f t="shared" si="248"/>
        <v>3</v>
      </c>
      <c r="N785" s="4">
        <f t="shared" si="249"/>
        <v>21</v>
      </c>
      <c r="O785" s="4">
        <f t="shared" si="250"/>
        <v>18</v>
      </c>
      <c r="P785" s="4">
        <f t="shared" si="251"/>
        <v>1</v>
      </c>
      <c r="Q785" s="4">
        <f t="shared" si="252"/>
        <v>21</v>
      </c>
      <c r="R785" s="4">
        <f t="shared" si="253"/>
        <v>14</v>
      </c>
      <c r="S785" s="4">
        <f t="shared" si="254"/>
        <v>36</v>
      </c>
      <c r="T785" s="4">
        <f t="shared" si="255"/>
        <v>9</v>
      </c>
      <c r="U785" s="4">
        <f t="shared" si="256"/>
        <v>3</v>
      </c>
      <c r="V785" s="8">
        <f t="shared" si="257"/>
        <v>7</v>
      </c>
      <c r="W785" s="8">
        <f t="shared" si="258"/>
        <v>3</v>
      </c>
      <c r="X785">
        <f t="shared" si="259"/>
        <v>1</v>
      </c>
    </row>
    <row r="786" spans="1:24" x14ac:dyDescent="0.25">
      <c r="A786" s="4" t="s">
        <v>812</v>
      </c>
      <c r="B786" t="s">
        <v>5</v>
      </c>
      <c r="C786" t="s">
        <v>4</v>
      </c>
      <c r="D786" s="3">
        <f t="shared" si="240"/>
        <v>8</v>
      </c>
      <c r="E786" s="4">
        <f t="shared" si="241"/>
        <v>29</v>
      </c>
      <c r="F786" s="4">
        <f t="shared" si="242"/>
        <v>15</v>
      </c>
      <c r="G786" s="3">
        <f>IF(E786&gt;=20,2000,1900) + D786</f>
        <v>2008</v>
      </c>
      <c r="H786">
        <f t="shared" si="243"/>
        <v>9</v>
      </c>
      <c r="I786" s="4">
        <f t="shared" si="244"/>
        <v>15</v>
      </c>
      <c r="J786">
        <f t="shared" si="245"/>
        <v>20082915</v>
      </c>
      <c r="K786" t="str">
        <f t="shared" si="246"/>
        <v>15.29.2008</v>
      </c>
      <c r="L786" s="4">
        <f t="shared" si="247"/>
        <v>0</v>
      </c>
      <c r="M786" s="4">
        <f t="shared" si="248"/>
        <v>24</v>
      </c>
      <c r="N786" s="4">
        <f t="shared" si="249"/>
        <v>14</v>
      </c>
      <c r="O786" s="4">
        <f t="shared" si="250"/>
        <v>81</v>
      </c>
      <c r="P786" s="4">
        <f t="shared" si="251"/>
        <v>1</v>
      </c>
      <c r="Q786" s="4">
        <f t="shared" si="252"/>
        <v>15</v>
      </c>
      <c r="R786" s="4">
        <f t="shared" si="253"/>
        <v>28</v>
      </c>
      <c r="S786" s="4">
        <f t="shared" si="254"/>
        <v>36</v>
      </c>
      <c r="T786" s="4">
        <f t="shared" si="255"/>
        <v>2</v>
      </c>
      <c r="U786" s="4">
        <f t="shared" si="256"/>
        <v>24</v>
      </c>
      <c r="V786" s="8">
        <f t="shared" si="257"/>
        <v>5</v>
      </c>
      <c r="W786" s="8">
        <f t="shared" si="258"/>
        <v>5</v>
      </c>
      <c r="X786">
        <f t="shared" si="259"/>
        <v>1</v>
      </c>
    </row>
    <row r="787" spans="1:24" x14ac:dyDescent="0.25">
      <c r="A787" s="4" t="s">
        <v>813</v>
      </c>
      <c r="B787" t="s">
        <v>15</v>
      </c>
      <c r="C787" t="s">
        <v>4</v>
      </c>
      <c r="D787" s="3">
        <f t="shared" si="240"/>
        <v>17</v>
      </c>
      <c r="E787" s="4">
        <f t="shared" si="241"/>
        <v>31</v>
      </c>
      <c r="F787" s="4">
        <f t="shared" si="242"/>
        <v>11</v>
      </c>
      <c r="G787" s="3">
        <f>IF(E787&gt;=20,2000,1900) + D787</f>
        <v>2017</v>
      </c>
      <c r="H787">
        <f t="shared" si="243"/>
        <v>11</v>
      </c>
      <c r="I787" s="4">
        <f t="shared" si="244"/>
        <v>11</v>
      </c>
      <c r="J787">
        <f t="shared" si="245"/>
        <v>20173111</v>
      </c>
      <c r="K787" t="str">
        <f t="shared" si="246"/>
        <v>11.31.2017</v>
      </c>
      <c r="L787" s="4">
        <f t="shared" si="247"/>
        <v>1</v>
      </c>
      <c r="M787" s="4">
        <f t="shared" si="248"/>
        <v>21</v>
      </c>
      <c r="N787" s="4">
        <f t="shared" si="249"/>
        <v>21</v>
      </c>
      <c r="O787" s="4">
        <f t="shared" si="250"/>
        <v>9</v>
      </c>
      <c r="P787" s="4">
        <f t="shared" si="251"/>
        <v>1</v>
      </c>
      <c r="Q787" s="4">
        <f t="shared" si="252"/>
        <v>3</v>
      </c>
      <c r="R787" s="4">
        <f t="shared" si="253"/>
        <v>49</v>
      </c>
      <c r="S787" s="4">
        <f t="shared" si="254"/>
        <v>54</v>
      </c>
      <c r="T787" s="4">
        <f t="shared" si="255"/>
        <v>3</v>
      </c>
      <c r="U787" s="4">
        <f t="shared" si="256"/>
        <v>24</v>
      </c>
      <c r="V787" s="8">
        <f t="shared" si="257"/>
        <v>6</v>
      </c>
      <c r="W787" s="8">
        <f t="shared" si="258"/>
        <v>4</v>
      </c>
      <c r="X787">
        <f t="shared" si="259"/>
        <v>1</v>
      </c>
    </row>
    <row r="788" spans="1:24" x14ac:dyDescent="0.25">
      <c r="A788" s="4" t="s">
        <v>814</v>
      </c>
      <c r="B788" t="s">
        <v>13</v>
      </c>
      <c r="C788" t="s">
        <v>6</v>
      </c>
      <c r="D788" s="3">
        <f t="shared" si="240"/>
        <v>4</v>
      </c>
      <c r="E788" s="4">
        <f t="shared" si="241"/>
        <v>22</v>
      </c>
      <c r="F788" s="4">
        <f t="shared" si="242"/>
        <v>1</v>
      </c>
      <c r="G788" s="3">
        <f>IF(E788&gt;=20,2000,1900) + D788</f>
        <v>2004</v>
      </c>
      <c r="H788">
        <f t="shared" si="243"/>
        <v>2</v>
      </c>
      <c r="I788" s="4">
        <f t="shared" si="244"/>
        <v>1</v>
      </c>
      <c r="J788">
        <f t="shared" si="245"/>
        <v>20042201</v>
      </c>
      <c r="K788" t="str">
        <f t="shared" si="246"/>
        <v>01.22.2004</v>
      </c>
      <c r="L788" s="4">
        <f t="shared" si="247"/>
        <v>0</v>
      </c>
      <c r="M788" s="4">
        <f t="shared" si="248"/>
        <v>12</v>
      </c>
      <c r="N788" s="4">
        <f t="shared" si="249"/>
        <v>14</v>
      </c>
      <c r="O788" s="4">
        <f t="shared" si="250"/>
        <v>18</v>
      </c>
      <c r="P788" s="4">
        <f t="shared" si="251"/>
        <v>0</v>
      </c>
      <c r="Q788" s="4">
        <f t="shared" si="252"/>
        <v>3</v>
      </c>
      <c r="R788" s="4">
        <f t="shared" si="253"/>
        <v>56</v>
      </c>
      <c r="S788" s="4">
        <f t="shared" si="254"/>
        <v>45</v>
      </c>
      <c r="T788" s="4">
        <f t="shared" si="255"/>
        <v>4</v>
      </c>
      <c r="U788" s="4">
        <f t="shared" si="256"/>
        <v>18</v>
      </c>
      <c r="V788" s="8">
        <f t="shared" si="257"/>
        <v>0</v>
      </c>
      <c r="W788" s="8">
        <f t="shared" si="258"/>
        <v>0</v>
      </c>
      <c r="X788">
        <f t="shared" si="259"/>
        <v>1</v>
      </c>
    </row>
    <row r="789" spans="1:24" x14ac:dyDescent="0.25">
      <c r="A789" s="4" t="s">
        <v>815</v>
      </c>
      <c r="B789" t="s">
        <v>8</v>
      </c>
      <c r="C789" t="s">
        <v>4</v>
      </c>
      <c r="D789" s="3">
        <f t="shared" si="240"/>
        <v>22</v>
      </c>
      <c r="E789" s="4">
        <f t="shared" si="241"/>
        <v>24</v>
      </c>
      <c r="F789" s="4">
        <f t="shared" si="242"/>
        <v>10</v>
      </c>
      <c r="G789" s="3">
        <f>IF(E789&gt;=20,2000,1900) + D789</f>
        <v>2022</v>
      </c>
      <c r="H789">
        <f t="shared" si="243"/>
        <v>4</v>
      </c>
      <c r="I789" s="4">
        <f t="shared" si="244"/>
        <v>10</v>
      </c>
      <c r="J789">
        <f t="shared" si="245"/>
        <v>20222410</v>
      </c>
      <c r="K789" t="str">
        <f t="shared" si="246"/>
        <v>10.24.2022</v>
      </c>
      <c r="L789" s="4">
        <f t="shared" si="247"/>
        <v>2</v>
      </c>
      <c r="M789" s="4">
        <f t="shared" si="248"/>
        <v>6</v>
      </c>
      <c r="N789" s="4">
        <f t="shared" si="249"/>
        <v>14</v>
      </c>
      <c r="O789" s="4">
        <f t="shared" si="250"/>
        <v>36</v>
      </c>
      <c r="P789" s="4">
        <f t="shared" si="251"/>
        <v>1</v>
      </c>
      <c r="Q789" s="4">
        <f t="shared" si="252"/>
        <v>0</v>
      </c>
      <c r="R789" s="4">
        <f t="shared" si="253"/>
        <v>35</v>
      </c>
      <c r="S789" s="4">
        <f t="shared" si="254"/>
        <v>0</v>
      </c>
      <c r="T789" s="4">
        <f t="shared" si="255"/>
        <v>8</v>
      </c>
      <c r="U789" s="4">
        <f t="shared" si="256"/>
        <v>9</v>
      </c>
      <c r="V789" s="8">
        <f t="shared" si="257"/>
        <v>1</v>
      </c>
      <c r="W789" s="8">
        <f t="shared" si="258"/>
        <v>9</v>
      </c>
      <c r="X789">
        <f t="shared" si="259"/>
        <v>1</v>
      </c>
    </row>
    <row r="790" spans="1:24" x14ac:dyDescent="0.25">
      <c r="A790" s="4" t="s">
        <v>816</v>
      </c>
      <c r="B790" t="s">
        <v>9</v>
      </c>
      <c r="C790" t="s">
        <v>4</v>
      </c>
      <c r="D790" s="3">
        <f t="shared" si="240"/>
        <v>13</v>
      </c>
      <c r="E790" s="4">
        <f t="shared" si="241"/>
        <v>29</v>
      </c>
      <c r="F790" s="4">
        <f t="shared" si="242"/>
        <v>18</v>
      </c>
      <c r="G790" s="3">
        <f>IF(E790&gt;=20,2000,1900) + D790</f>
        <v>2013</v>
      </c>
      <c r="H790">
        <f t="shared" si="243"/>
        <v>9</v>
      </c>
      <c r="I790" s="4">
        <f t="shared" si="244"/>
        <v>18</v>
      </c>
      <c r="J790">
        <f t="shared" si="245"/>
        <v>20132918</v>
      </c>
      <c r="K790" t="str">
        <f t="shared" si="246"/>
        <v>18.29.2013</v>
      </c>
      <c r="L790" s="4">
        <f t="shared" si="247"/>
        <v>1</v>
      </c>
      <c r="M790" s="4">
        <f t="shared" si="248"/>
        <v>9</v>
      </c>
      <c r="N790" s="4">
        <f t="shared" si="249"/>
        <v>14</v>
      </c>
      <c r="O790" s="4">
        <f t="shared" si="250"/>
        <v>81</v>
      </c>
      <c r="P790" s="4">
        <f t="shared" si="251"/>
        <v>1</v>
      </c>
      <c r="Q790" s="4">
        <f t="shared" si="252"/>
        <v>24</v>
      </c>
      <c r="R790" s="4">
        <f t="shared" si="253"/>
        <v>56</v>
      </c>
      <c r="S790" s="4">
        <f t="shared" si="254"/>
        <v>9</v>
      </c>
      <c r="T790" s="4">
        <f t="shared" si="255"/>
        <v>7</v>
      </c>
      <c r="U790" s="4">
        <f t="shared" si="256"/>
        <v>15</v>
      </c>
      <c r="V790" s="8">
        <f t="shared" si="257"/>
        <v>7</v>
      </c>
      <c r="W790" s="8">
        <f t="shared" si="258"/>
        <v>3</v>
      </c>
      <c r="X790">
        <f t="shared" si="259"/>
        <v>1</v>
      </c>
    </row>
    <row r="791" spans="1:24" x14ac:dyDescent="0.25">
      <c r="A791" s="4" t="s">
        <v>817</v>
      </c>
      <c r="B791" t="s">
        <v>8</v>
      </c>
      <c r="C791" t="s">
        <v>6</v>
      </c>
      <c r="D791" s="3">
        <f t="shared" si="240"/>
        <v>14</v>
      </c>
      <c r="E791" s="4">
        <f t="shared" si="241"/>
        <v>29</v>
      </c>
      <c r="F791" s="4">
        <f t="shared" si="242"/>
        <v>27</v>
      </c>
      <c r="G791" s="3">
        <f>IF(E791&gt;=20,2000,1900) + D791</f>
        <v>2014</v>
      </c>
      <c r="H791">
        <f t="shared" si="243"/>
        <v>9</v>
      </c>
      <c r="I791" s="4">
        <f t="shared" si="244"/>
        <v>27</v>
      </c>
      <c r="J791">
        <f t="shared" si="245"/>
        <v>20142927</v>
      </c>
      <c r="K791" t="str">
        <f t="shared" si="246"/>
        <v>27.29.2014</v>
      </c>
      <c r="L791" s="4">
        <f t="shared" si="247"/>
        <v>1</v>
      </c>
      <c r="M791" s="4">
        <f t="shared" si="248"/>
        <v>12</v>
      </c>
      <c r="N791" s="4">
        <f t="shared" si="249"/>
        <v>14</v>
      </c>
      <c r="O791" s="4">
        <f t="shared" si="250"/>
        <v>81</v>
      </c>
      <c r="P791" s="4">
        <f t="shared" si="251"/>
        <v>2</v>
      </c>
      <c r="Q791" s="4">
        <f t="shared" si="252"/>
        <v>21</v>
      </c>
      <c r="R791" s="4">
        <f t="shared" si="253"/>
        <v>28</v>
      </c>
      <c r="S791" s="4">
        <f t="shared" si="254"/>
        <v>18</v>
      </c>
      <c r="T791" s="4">
        <f t="shared" si="255"/>
        <v>5</v>
      </c>
      <c r="U791" s="4">
        <f t="shared" si="256"/>
        <v>9</v>
      </c>
      <c r="V791" s="8">
        <f t="shared" si="257"/>
        <v>1</v>
      </c>
      <c r="W791" s="8">
        <f t="shared" si="258"/>
        <v>9</v>
      </c>
      <c r="X791">
        <f t="shared" si="259"/>
        <v>1</v>
      </c>
    </row>
    <row r="792" spans="1:24" x14ac:dyDescent="0.25">
      <c r="A792" s="4" t="s">
        <v>818</v>
      </c>
      <c r="B792" t="s">
        <v>9</v>
      </c>
      <c r="C792" t="s">
        <v>4</v>
      </c>
      <c r="D792" s="3">
        <f t="shared" si="240"/>
        <v>20</v>
      </c>
      <c r="E792" s="4">
        <f t="shared" si="241"/>
        <v>25</v>
      </c>
      <c r="F792" s="4">
        <f t="shared" si="242"/>
        <v>24</v>
      </c>
      <c r="G792" s="3">
        <f>IF(E792&gt;=20,2000,1900) + D792</f>
        <v>2020</v>
      </c>
      <c r="H792">
        <f t="shared" si="243"/>
        <v>5</v>
      </c>
      <c r="I792" s="4">
        <f t="shared" si="244"/>
        <v>24</v>
      </c>
      <c r="J792">
        <f t="shared" si="245"/>
        <v>20202524</v>
      </c>
      <c r="K792" t="str">
        <f t="shared" si="246"/>
        <v>24.25.2020</v>
      </c>
      <c r="L792" s="4">
        <f t="shared" si="247"/>
        <v>2</v>
      </c>
      <c r="M792" s="4">
        <f t="shared" si="248"/>
        <v>0</v>
      </c>
      <c r="N792" s="4">
        <f t="shared" si="249"/>
        <v>14</v>
      </c>
      <c r="O792" s="4">
        <f t="shared" si="250"/>
        <v>45</v>
      </c>
      <c r="P792" s="4">
        <f t="shared" si="251"/>
        <v>2</v>
      </c>
      <c r="Q792" s="4">
        <f t="shared" si="252"/>
        <v>12</v>
      </c>
      <c r="R792" s="4">
        <f t="shared" si="253"/>
        <v>0</v>
      </c>
      <c r="S792" s="4">
        <f t="shared" si="254"/>
        <v>0</v>
      </c>
      <c r="T792" s="4">
        <f t="shared" si="255"/>
        <v>4</v>
      </c>
      <c r="U792" s="4">
        <f t="shared" si="256"/>
        <v>6</v>
      </c>
      <c r="V792" s="8">
        <f t="shared" si="257"/>
        <v>5</v>
      </c>
      <c r="W792" s="8">
        <f t="shared" si="258"/>
        <v>5</v>
      </c>
      <c r="X792">
        <f t="shared" si="259"/>
        <v>1</v>
      </c>
    </row>
    <row r="793" spans="1:24" x14ac:dyDescent="0.25">
      <c r="A793" s="4" t="s">
        <v>819</v>
      </c>
      <c r="B793" t="s">
        <v>18</v>
      </c>
      <c r="C793" t="s">
        <v>6</v>
      </c>
      <c r="D793" s="3">
        <f t="shared" si="240"/>
        <v>1</v>
      </c>
      <c r="E793" s="4">
        <f t="shared" si="241"/>
        <v>22</v>
      </c>
      <c r="F793" s="4">
        <f t="shared" si="242"/>
        <v>11</v>
      </c>
      <c r="G793" s="3">
        <f>IF(E793&gt;=20,2000,1900) + D793</f>
        <v>2001</v>
      </c>
      <c r="H793">
        <f t="shared" si="243"/>
        <v>2</v>
      </c>
      <c r="I793" s="4">
        <f t="shared" si="244"/>
        <v>11</v>
      </c>
      <c r="J793">
        <f t="shared" si="245"/>
        <v>20012211</v>
      </c>
      <c r="K793" t="str">
        <f t="shared" si="246"/>
        <v>11.22.2001</v>
      </c>
      <c r="L793" s="4">
        <f t="shared" si="247"/>
        <v>0</v>
      </c>
      <c r="M793" s="4">
        <f t="shared" si="248"/>
        <v>3</v>
      </c>
      <c r="N793" s="4">
        <f t="shared" si="249"/>
        <v>14</v>
      </c>
      <c r="O793" s="4">
        <f t="shared" si="250"/>
        <v>18</v>
      </c>
      <c r="P793" s="4">
        <f t="shared" si="251"/>
        <v>1</v>
      </c>
      <c r="Q793" s="4">
        <f t="shared" si="252"/>
        <v>3</v>
      </c>
      <c r="R793" s="4">
        <f t="shared" si="253"/>
        <v>14</v>
      </c>
      <c r="S793" s="4">
        <f t="shared" si="254"/>
        <v>72</v>
      </c>
      <c r="T793" s="4">
        <f t="shared" si="255"/>
        <v>0</v>
      </c>
      <c r="U793" s="4">
        <f t="shared" si="256"/>
        <v>3</v>
      </c>
      <c r="V793" s="8">
        <f t="shared" si="257"/>
        <v>8</v>
      </c>
      <c r="W793" s="8">
        <f t="shared" si="258"/>
        <v>2</v>
      </c>
      <c r="X793">
        <f t="shared" si="259"/>
        <v>1</v>
      </c>
    </row>
    <row r="794" spans="1:24" x14ac:dyDescent="0.25">
      <c r="A794" s="4" t="s">
        <v>820</v>
      </c>
      <c r="B794" t="s">
        <v>9</v>
      </c>
      <c r="C794" t="s">
        <v>6</v>
      </c>
      <c r="D794" s="3">
        <f t="shared" si="240"/>
        <v>5</v>
      </c>
      <c r="E794" s="4">
        <f t="shared" si="241"/>
        <v>29</v>
      </c>
      <c r="F794" s="4">
        <f t="shared" si="242"/>
        <v>3</v>
      </c>
      <c r="G794" s="3">
        <f>IF(E794&gt;=20,2000,1900) + D794</f>
        <v>2005</v>
      </c>
      <c r="H794">
        <f t="shared" si="243"/>
        <v>9</v>
      </c>
      <c r="I794" s="4">
        <f t="shared" si="244"/>
        <v>3</v>
      </c>
      <c r="J794">
        <f t="shared" si="245"/>
        <v>20052903</v>
      </c>
      <c r="K794" t="str">
        <f t="shared" si="246"/>
        <v>03.29.2005</v>
      </c>
      <c r="L794" s="4">
        <f t="shared" si="247"/>
        <v>0</v>
      </c>
      <c r="M794" s="4">
        <f t="shared" si="248"/>
        <v>15</v>
      </c>
      <c r="N794" s="4">
        <f t="shared" si="249"/>
        <v>14</v>
      </c>
      <c r="O794" s="4">
        <f t="shared" si="250"/>
        <v>81</v>
      </c>
      <c r="P794" s="4">
        <f t="shared" si="251"/>
        <v>0</v>
      </c>
      <c r="Q794" s="4">
        <f t="shared" si="252"/>
        <v>9</v>
      </c>
      <c r="R794" s="4">
        <f t="shared" si="253"/>
        <v>28</v>
      </c>
      <c r="S794" s="4">
        <f t="shared" si="254"/>
        <v>18</v>
      </c>
      <c r="T794" s="4">
        <f t="shared" si="255"/>
        <v>4</v>
      </c>
      <c r="U794" s="4">
        <f t="shared" si="256"/>
        <v>6</v>
      </c>
      <c r="V794" s="8">
        <f t="shared" si="257"/>
        <v>5</v>
      </c>
      <c r="W794" s="8">
        <f t="shared" si="258"/>
        <v>5</v>
      </c>
      <c r="X794">
        <f t="shared" si="259"/>
        <v>1</v>
      </c>
    </row>
    <row r="795" spans="1:24" x14ac:dyDescent="0.25">
      <c r="A795" s="4" t="s">
        <v>821</v>
      </c>
      <c r="B795" t="s">
        <v>9</v>
      </c>
      <c r="C795" t="s">
        <v>6</v>
      </c>
      <c r="D795" s="3">
        <f t="shared" si="240"/>
        <v>8</v>
      </c>
      <c r="E795" s="4">
        <f t="shared" si="241"/>
        <v>25</v>
      </c>
      <c r="F795" s="4">
        <f t="shared" si="242"/>
        <v>15</v>
      </c>
      <c r="G795" s="3">
        <f>IF(E795&gt;=20,2000,1900) + D795</f>
        <v>2008</v>
      </c>
      <c r="H795">
        <f t="shared" si="243"/>
        <v>5</v>
      </c>
      <c r="I795" s="4">
        <f t="shared" si="244"/>
        <v>15</v>
      </c>
      <c r="J795">
        <f t="shared" si="245"/>
        <v>20082515</v>
      </c>
      <c r="K795" t="str">
        <f t="shared" si="246"/>
        <v>15.25.2008</v>
      </c>
      <c r="L795" s="4">
        <f t="shared" si="247"/>
        <v>0</v>
      </c>
      <c r="M795" s="4">
        <f t="shared" si="248"/>
        <v>24</v>
      </c>
      <c r="N795" s="4">
        <f t="shared" si="249"/>
        <v>14</v>
      </c>
      <c r="O795" s="4">
        <f t="shared" si="250"/>
        <v>45</v>
      </c>
      <c r="P795" s="4">
        <f t="shared" si="251"/>
        <v>1</v>
      </c>
      <c r="Q795" s="4">
        <f t="shared" si="252"/>
        <v>15</v>
      </c>
      <c r="R795" s="4">
        <f t="shared" si="253"/>
        <v>7</v>
      </c>
      <c r="S795" s="4">
        <f t="shared" si="254"/>
        <v>81</v>
      </c>
      <c r="T795" s="4">
        <f t="shared" si="255"/>
        <v>2</v>
      </c>
      <c r="U795" s="4">
        <f t="shared" si="256"/>
        <v>9</v>
      </c>
      <c r="V795" s="8">
        <f t="shared" si="257"/>
        <v>8</v>
      </c>
      <c r="W795" s="8">
        <f t="shared" si="258"/>
        <v>2</v>
      </c>
      <c r="X795">
        <f t="shared" si="259"/>
        <v>1</v>
      </c>
    </row>
    <row r="796" spans="1:24" x14ac:dyDescent="0.25">
      <c r="A796" s="4" t="s">
        <v>822</v>
      </c>
      <c r="B796" t="s">
        <v>5</v>
      </c>
      <c r="C796" t="s">
        <v>4</v>
      </c>
      <c r="D796" s="3">
        <f t="shared" si="240"/>
        <v>1</v>
      </c>
      <c r="E796" s="4">
        <f t="shared" si="241"/>
        <v>24</v>
      </c>
      <c r="F796" s="4">
        <f t="shared" si="242"/>
        <v>23</v>
      </c>
      <c r="G796" s="3">
        <f>IF(E796&gt;=20,2000,1900) + D796</f>
        <v>2001</v>
      </c>
      <c r="H796">
        <f t="shared" si="243"/>
        <v>4</v>
      </c>
      <c r="I796" s="4">
        <f t="shared" si="244"/>
        <v>23</v>
      </c>
      <c r="J796">
        <f t="shared" si="245"/>
        <v>20012423</v>
      </c>
      <c r="K796" t="str">
        <f t="shared" si="246"/>
        <v>23.24.2001</v>
      </c>
      <c r="L796" s="4">
        <f t="shared" si="247"/>
        <v>0</v>
      </c>
      <c r="M796" s="4">
        <f t="shared" si="248"/>
        <v>3</v>
      </c>
      <c r="N796" s="4">
        <f t="shared" si="249"/>
        <v>14</v>
      </c>
      <c r="O796" s="4">
        <f t="shared" si="250"/>
        <v>36</v>
      </c>
      <c r="P796" s="4">
        <f t="shared" si="251"/>
        <v>2</v>
      </c>
      <c r="Q796" s="4">
        <f t="shared" si="252"/>
        <v>9</v>
      </c>
      <c r="R796" s="4">
        <f t="shared" si="253"/>
        <v>28</v>
      </c>
      <c r="S796" s="4">
        <f t="shared" si="254"/>
        <v>54</v>
      </c>
      <c r="T796" s="4">
        <f t="shared" si="255"/>
        <v>7</v>
      </c>
      <c r="U796" s="4">
        <f t="shared" si="256"/>
        <v>6</v>
      </c>
      <c r="V796" s="8">
        <f t="shared" si="257"/>
        <v>9</v>
      </c>
      <c r="W796" s="8">
        <f t="shared" si="258"/>
        <v>1</v>
      </c>
      <c r="X796">
        <f t="shared" si="259"/>
        <v>1</v>
      </c>
    </row>
    <row r="797" spans="1:24" x14ac:dyDescent="0.25">
      <c r="A797" s="4" t="s">
        <v>823</v>
      </c>
      <c r="B797" t="s">
        <v>5</v>
      </c>
      <c r="C797" t="s">
        <v>6</v>
      </c>
      <c r="D797" s="3">
        <f t="shared" si="240"/>
        <v>19</v>
      </c>
      <c r="E797" s="4">
        <f t="shared" si="241"/>
        <v>22</v>
      </c>
      <c r="F797" s="4">
        <f t="shared" si="242"/>
        <v>19</v>
      </c>
      <c r="G797" s="3">
        <f>IF(E797&gt;=20,2000,1900) + D797</f>
        <v>2019</v>
      </c>
      <c r="H797">
        <f t="shared" si="243"/>
        <v>2</v>
      </c>
      <c r="I797" s="4">
        <f t="shared" si="244"/>
        <v>19</v>
      </c>
      <c r="J797">
        <f t="shared" si="245"/>
        <v>20192219</v>
      </c>
      <c r="K797" t="str">
        <f t="shared" si="246"/>
        <v>19.22.2019</v>
      </c>
      <c r="L797" s="4">
        <f t="shared" si="247"/>
        <v>1</v>
      </c>
      <c r="M797" s="4">
        <f t="shared" si="248"/>
        <v>27</v>
      </c>
      <c r="N797" s="4">
        <f t="shared" si="249"/>
        <v>14</v>
      </c>
      <c r="O797" s="4">
        <f t="shared" si="250"/>
        <v>18</v>
      </c>
      <c r="P797" s="4">
        <f t="shared" si="251"/>
        <v>1</v>
      </c>
      <c r="Q797" s="4">
        <f t="shared" si="252"/>
        <v>27</v>
      </c>
      <c r="R797" s="4">
        <f t="shared" si="253"/>
        <v>28</v>
      </c>
      <c r="S797" s="4">
        <f t="shared" si="254"/>
        <v>54</v>
      </c>
      <c r="T797" s="4">
        <f t="shared" si="255"/>
        <v>0</v>
      </c>
      <c r="U797" s="4">
        <f t="shared" si="256"/>
        <v>18</v>
      </c>
      <c r="V797" s="8">
        <f t="shared" si="257"/>
        <v>8</v>
      </c>
      <c r="W797" s="8">
        <f t="shared" si="258"/>
        <v>2</v>
      </c>
      <c r="X797">
        <f t="shared" si="259"/>
        <v>1</v>
      </c>
    </row>
    <row r="798" spans="1:24" x14ac:dyDescent="0.25">
      <c r="A798" s="4" t="s">
        <v>824</v>
      </c>
      <c r="B798" t="s">
        <v>17</v>
      </c>
      <c r="C798" t="s">
        <v>4</v>
      </c>
      <c r="D798" s="3">
        <f t="shared" si="240"/>
        <v>2</v>
      </c>
      <c r="E798" s="4">
        <f t="shared" si="241"/>
        <v>24</v>
      </c>
      <c r="F798" s="4">
        <f t="shared" si="242"/>
        <v>22</v>
      </c>
      <c r="G798" s="3">
        <f>IF(E798&gt;=20,2000,1900) + D798</f>
        <v>2002</v>
      </c>
      <c r="H798">
        <f t="shared" si="243"/>
        <v>4</v>
      </c>
      <c r="I798" s="4">
        <f t="shared" si="244"/>
        <v>22</v>
      </c>
      <c r="J798">
        <f t="shared" si="245"/>
        <v>20022422</v>
      </c>
      <c r="K798" t="str">
        <f t="shared" si="246"/>
        <v>22.24.2002</v>
      </c>
      <c r="L798" s="4">
        <f t="shared" si="247"/>
        <v>0</v>
      </c>
      <c r="M798" s="4">
        <f t="shared" si="248"/>
        <v>6</v>
      </c>
      <c r="N798" s="4">
        <f t="shared" si="249"/>
        <v>14</v>
      </c>
      <c r="O798" s="4">
        <f t="shared" si="250"/>
        <v>36</v>
      </c>
      <c r="P798" s="4">
        <f t="shared" si="251"/>
        <v>2</v>
      </c>
      <c r="Q798" s="4">
        <f t="shared" si="252"/>
        <v>6</v>
      </c>
      <c r="R798" s="4">
        <f t="shared" si="253"/>
        <v>0</v>
      </c>
      <c r="S798" s="4">
        <f t="shared" si="254"/>
        <v>54</v>
      </c>
      <c r="T798" s="4">
        <f t="shared" si="255"/>
        <v>2</v>
      </c>
      <c r="U798" s="4">
        <f t="shared" si="256"/>
        <v>9</v>
      </c>
      <c r="V798" s="8">
        <f t="shared" si="257"/>
        <v>9</v>
      </c>
      <c r="W798" s="8">
        <f t="shared" si="258"/>
        <v>1</v>
      </c>
      <c r="X798">
        <f t="shared" si="259"/>
        <v>1</v>
      </c>
    </row>
    <row r="799" spans="1:24" x14ac:dyDescent="0.25">
      <c r="A799" s="4" t="s">
        <v>825</v>
      </c>
      <c r="B799" t="s">
        <v>3</v>
      </c>
      <c r="C799" t="s">
        <v>4</v>
      </c>
      <c r="D799" s="3">
        <f t="shared" si="240"/>
        <v>15</v>
      </c>
      <c r="E799" s="4">
        <f t="shared" si="241"/>
        <v>22</v>
      </c>
      <c r="F799" s="4">
        <f t="shared" si="242"/>
        <v>3</v>
      </c>
      <c r="G799" s="3">
        <f>IF(E799&gt;=20,2000,1900) + D799</f>
        <v>2015</v>
      </c>
      <c r="H799">
        <f t="shared" si="243"/>
        <v>2</v>
      </c>
      <c r="I799" s="4">
        <f t="shared" si="244"/>
        <v>3</v>
      </c>
      <c r="J799">
        <f t="shared" si="245"/>
        <v>20152203</v>
      </c>
      <c r="K799" t="str">
        <f t="shared" si="246"/>
        <v>03.22.2015</v>
      </c>
      <c r="L799" s="4">
        <f t="shared" si="247"/>
        <v>1</v>
      </c>
      <c r="M799" s="4">
        <f t="shared" si="248"/>
        <v>15</v>
      </c>
      <c r="N799" s="4">
        <f t="shared" si="249"/>
        <v>14</v>
      </c>
      <c r="O799" s="4">
        <f t="shared" si="250"/>
        <v>18</v>
      </c>
      <c r="P799" s="4">
        <f t="shared" si="251"/>
        <v>0</v>
      </c>
      <c r="Q799" s="4">
        <f t="shared" si="252"/>
        <v>9</v>
      </c>
      <c r="R799" s="4">
        <f t="shared" si="253"/>
        <v>42</v>
      </c>
      <c r="S799" s="4">
        <f t="shared" si="254"/>
        <v>54</v>
      </c>
      <c r="T799" s="4">
        <f t="shared" si="255"/>
        <v>9</v>
      </c>
      <c r="U799" s="4">
        <f t="shared" si="256"/>
        <v>6</v>
      </c>
      <c r="V799" s="8">
        <f t="shared" si="257"/>
        <v>8</v>
      </c>
      <c r="W799" s="8">
        <f t="shared" si="258"/>
        <v>2</v>
      </c>
      <c r="X799">
        <f t="shared" si="259"/>
        <v>1</v>
      </c>
    </row>
    <row r="800" spans="1:24" x14ac:dyDescent="0.25">
      <c r="A800" s="4" t="s">
        <v>826</v>
      </c>
      <c r="B800" t="s">
        <v>11</v>
      </c>
      <c r="C800" t="s">
        <v>4</v>
      </c>
      <c r="D800" s="3">
        <f t="shared" si="240"/>
        <v>5</v>
      </c>
      <c r="E800" s="4">
        <f t="shared" si="241"/>
        <v>27</v>
      </c>
      <c r="F800" s="4">
        <f t="shared" si="242"/>
        <v>1</v>
      </c>
      <c r="G800" s="3">
        <f>IF(E800&gt;=20,2000,1900) + D800</f>
        <v>2005</v>
      </c>
      <c r="H800">
        <f t="shared" si="243"/>
        <v>7</v>
      </c>
      <c r="I800" s="4">
        <f t="shared" si="244"/>
        <v>1</v>
      </c>
      <c r="J800">
        <f t="shared" si="245"/>
        <v>20052701</v>
      </c>
      <c r="K800" t="str">
        <f t="shared" si="246"/>
        <v>01.27.2005</v>
      </c>
      <c r="L800" s="4">
        <f t="shared" si="247"/>
        <v>0</v>
      </c>
      <c r="M800" s="4">
        <f t="shared" si="248"/>
        <v>15</v>
      </c>
      <c r="N800" s="4">
        <f t="shared" si="249"/>
        <v>14</v>
      </c>
      <c r="O800" s="4">
        <f t="shared" si="250"/>
        <v>63</v>
      </c>
      <c r="P800" s="4">
        <f t="shared" si="251"/>
        <v>0</v>
      </c>
      <c r="Q800" s="4">
        <f t="shared" si="252"/>
        <v>3</v>
      </c>
      <c r="R800" s="4">
        <f t="shared" si="253"/>
        <v>28</v>
      </c>
      <c r="S800" s="4">
        <f t="shared" si="254"/>
        <v>63</v>
      </c>
      <c r="T800" s="4">
        <f t="shared" si="255"/>
        <v>2</v>
      </c>
      <c r="U800" s="4">
        <f t="shared" si="256"/>
        <v>9</v>
      </c>
      <c r="V800" s="8">
        <f t="shared" si="257"/>
        <v>7</v>
      </c>
      <c r="W800" s="8">
        <f t="shared" si="258"/>
        <v>3</v>
      </c>
      <c r="X800">
        <f t="shared" si="259"/>
        <v>1</v>
      </c>
    </row>
    <row r="801" spans="1:24" x14ac:dyDescent="0.25">
      <c r="A801" s="4" t="s">
        <v>827</v>
      </c>
      <c r="B801" t="s">
        <v>13</v>
      </c>
      <c r="C801" t="s">
        <v>6</v>
      </c>
      <c r="D801" s="3">
        <f t="shared" si="240"/>
        <v>7</v>
      </c>
      <c r="E801" s="4">
        <f t="shared" si="241"/>
        <v>21</v>
      </c>
      <c r="F801" s="4">
        <f t="shared" si="242"/>
        <v>24</v>
      </c>
      <c r="G801" s="3">
        <f>IF(E801&gt;=20,2000,1900) + D801</f>
        <v>2007</v>
      </c>
      <c r="H801">
        <f t="shared" si="243"/>
        <v>1</v>
      </c>
      <c r="I801" s="4">
        <f t="shared" si="244"/>
        <v>24</v>
      </c>
      <c r="J801">
        <f t="shared" si="245"/>
        <v>20072124</v>
      </c>
      <c r="K801" t="str">
        <f t="shared" si="246"/>
        <v>24.21.2007</v>
      </c>
      <c r="L801" s="4">
        <f t="shared" si="247"/>
        <v>0</v>
      </c>
      <c r="M801" s="4">
        <f t="shared" si="248"/>
        <v>21</v>
      </c>
      <c r="N801" s="4">
        <f t="shared" si="249"/>
        <v>14</v>
      </c>
      <c r="O801" s="4">
        <f t="shared" si="250"/>
        <v>9</v>
      </c>
      <c r="P801" s="4">
        <f t="shared" si="251"/>
        <v>2</v>
      </c>
      <c r="Q801" s="4">
        <f t="shared" si="252"/>
        <v>12</v>
      </c>
      <c r="R801" s="4">
        <f t="shared" si="253"/>
        <v>7</v>
      </c>
      <c r="S801" s="4">
        <f t="shared" si="254"/>
        <v>81</v>
      </c>
      <c r="T801" s="4">
        <f t="shared" si="255"/>
        <v>9</v>
      </c>
      <c r="U801" s="4">
        <f t="shared" si="256"/>
        <v>21</v>
      </c>
      <c r="V801" s="8">
        <f t="shared" si="257"/>
        <v>6</v>
      </c>
      <c r="W801" s="8">
        <f t="shared" si="258"/>
        <v>4</v>
      </c>
      <c r="X801">
        <f t="shared" si="259"/>
        <v>1</v>
      </c>
    </row>
    <row r="802" spans="1:24" x14ac:dyDescent="0.25">
      <c r="A802" s="4" t="s">
        <v>828</v>
      </c>
      <c r="B802" t="s">
        <v>8</v>
      </c>
      <c r="C802" t="s">
        <v>4</v>
      </c>
      <c r="D802" s="3">
        <f t="shared" si="240"/>
        <v>6</v>
      </c>
      <c r="E802" s="4">
        <f t="shared" si="241"/>
        <v>21</v>
      </c>
      <c r="F802" s="4">
        <f t="shared" si="242"/>
        <v>7</v>
      </c>
      <c r="G802" s="3">
        <f>IF(E802&gt;=20,2000,1900) + D802</f>
        <v>2006</v>
      </c>
      <c r="H802">
        <f t="shared" si="243"/>
        <v>1</v>
      </c>
      <c r="I802" s="4">
        <f t="shared" si="244"/>
        <v>7</v>
      </c>
      <c r="J802">
        <f t="shared" si="245"/>
        <v>20062107</v>
      </c>
      <c r="K802" t="str">
        <f t="shared" si="246"/>
        <v>07.21.2006</v>
      </c>
      <c r="L802" s="4">
        <f t="shared" si="247"/>
        <v>0</v>
      </c>
      <c r="M802" s="4">
        <f t="shared" si="248"/>
        <v>18</v>
      </c>
      <c r="N802" s="4">
        <f t="shared" si="249"/>
        <v>14</v>
      </c>
      <c r="O802" s="4">
        <f t="shared" si="250"/>
        <v>9</v>
      </c>
      <c r="P802" s="4">
        <f t="shared" si="251"/>
        <v>0</v>
      </c>
      <c r="Q802" s="4">
        <f t="shared" si="252"/>
        <v>21</v>
      </c>
      <c r="R802" s="4">
        <f t="shared" si="253"/>
        <v>28</v>
      </c>
      <c r="S802" s="4">
        <f t="shared" si="254"/>
        <v>18</v>
      </c>
      <c r="T802" s="4">
        <f t="shared" si="255"/>
        <v>5</v>
      </c>
      <c r="U802" s="4">
        <f t="shared" si="256"/>
        <v>18</v>
      </c>
      <c r="V802" s="8">
        <f t="shared" si="257"/>
        <v>1</v>
      </c>
      <c r="W802" s="8">
        <f t="shared" si="258"/>
        <v>9</v>
      </c>
      <c r="X802">
        <f t="shared" si="259"/>
        <v>1</v>
      </c>
    </row>
    <row r="803" spans="1:24" x14ac:dyDescent="0.25">
      <c r="A803" s="4" t="s">
        <v>829</v>
      </c>
      <c r="B803" t="s">
        <v>15</v>
      </c>
      <c r="C803" t="s">
        <v>6</v>
      </c>
      <c r="D803" s="3">
        <f t="shared" si="240"/>
        <v>11</v>
      </c>
      <c r="E803" s="4">
        <f t="shared" si="241"/>
        <v>23</v>
      </c>
      <c r="F803" s="4">
        <f t="shared" si="242"/>
        <v>5</v>
      </c>
      <c r="G803" s="3">
        <f>IF(E803&gt;=20,2000,1900) + D803</f>
        <v>2011</v>
      </c>
      <c r="H803">
        <f t="shared" si="243"/>
        <v>3</v>
      </c>
      <c r="I803" s="4">
        <f t="shared" si="244"/>
        <v>5</v>
      </c>
      <c r="J803">
        <f t="shared" si="245"/>
        <v>20112305</v>
      </c>
      <c r="K803" t="str">
        <f t="shared" si="246"/>
        <v>05.23.2011</v>
      </c>
      <c r="L803" s="4">
        <f t="shared" si="247"/>
        <v>1</v>
      </c>
      <c r="M803" s="4">
        <f t="shared" si="248"/>
        <v>3</v>
      </c>
      <c r="N803" s="4">
        <f t="shared" si="249"/>
        <v>14</v>
      </c>
      <c r="O803" s="4">
        <f t="shared" si="250"/>
        <v>27</v>
      </c>
      <c r="P803" s="4">
        <f t="shared" si="251"/>
        <v>0</v>
      </c>
      <c r="Q803" s="4">
        <f t="shared" si="252"/>
        <v>15</v>
      </c>
      <c r="R803" s="4">
        <f t="shared" si="253"/>
        <v>28</v>
      </c>
      <c r="S803" s="4">
        <f t="shared" si="254"/>
        <v>0</v>
      </c>
      <c r="T803" s="4">
        <f t="shared" si="255"/>
        <v>9</v>
      </c>
      <c r="U803" s="4">
        <f t="shared" si="256"/>
        <v>3</v>
      </c>
      <c r="V803" s="8">
        <f t="shared" si="257"/>
        <v>0</v>
      </c>
      <c r="W803" s="8">
        <f t="shared" si="258"/>
        <v>0</v>
      </c>
      <c r="X803">
        <f t="shared" si="259"/>
        <v>1</v>
      </c>
    </row>
    <row r="804" spans="1:24" x14ac:dyDescent="0.25">
      <c r="A804" s="4" t="s">
        <v>830</v>
      </c>
      <c r="B804" t="s">
        <v>8</v>
      </c>
      <c r="C804" t="s">
        <v>6</v>
      </c>
      <c r="D804" s="3">
        <f t="shared" si="240"/>
        <v>9</v>
      </c>
      <c r="E804" s="4">
        <f t="shared" si="241"/>
        <v>30</v>
      </c>
      <c r="F804" s="4">
        <f t="shared" si="242"/>
        <v>1</v>
      </c>
      <c r="G804" s="3">
        <f>IF(E804&gt;=20,2000,1900) + D804</f>
        <v>2009</v>
      </c>
      <c r="H804">
        <f t="shared" si="243"/>
        <v>10</v>
      </c>
      <c r="I804" s="4">
        <f t="shared" si="244"/>
        <v>1</v>
      </c>
      <c r="J804">
        <f t="shared" si="245"/>
        <v>20093001</v>
      </c>
      <c r="K804" t="str">
        <f t="shared" si="246"/>
        <v>01.30.2009</v>
      </c>
      <c r="L804" s="4">
        <f t="shared" si="247"/>
        <v>0</v>
      </c>
      <c r="M804" s="4">
        <f t="shared" si="248"/>
        <v>27</v>
      </c>
      <c r="N804" s="4">
        <f t="shared" si="249"/>
        <v>21</v>
      </c>
      <c r="O804" s="4">
        <f t="shared" si="250"/>
        <v>0</v>
      </c>
      <c r="P804" s="4">
        <f t="shared" si="251"/>
        <v>0</v>
      </c>
      <c r="Q804" s="4">
        <f t="shared" si="252"/>
        <v>3</v>
      </c>
      <c r="R804" s="4">
        <f t="shared" si="253"/>
        <v>28</v>
      </c>
      <c r="S804" s="4">
        <f t="shared" si="254"/>
        <v>36</v>
      </c>
      <c r="T804" s="4">
        <f t="shared" si="255"/>
        <v>1</v>
      </c>
      <c r="U804" s="4">
        <f t="shared" si="256"/>
        <v>21</v>
      </c>
      <c r="V804" s="8">
        <f t="shared" si="257"/>
        <v>7</v>
      </c>
      <c r="W804" s="8">
        <f t="shared" si="258"/>
        <v>3</v>
      </c>
      <c r="X804">
        <f t="shared" si="259"/>
        <v>1</v>
      </c>
    </row>
    <row r="805" spans="1:24" x14ac:dyDescent="0.25">
      <c r="A805" s="4" t="s">
        <v>831</v>
      </c>
      <c r="B805" t="s">
        <v>3</v>
      </c>
      <c r="C805" t="s">
        <v>4</v>
      </c>
      <c r="D805" s="3">
        <f t="shared" si="240"/>
        <v>11</v>
      </c>
      <c r="E805" s="4">
        <f t="shared" si="241"/>
        <v>21</v>
      </c>
      <c r="F805" s="4">
        <f t="shared" si="242"/>
        <v>30</v>
      </c>
      <c r="G805" s="3">
        <f>IF(E805&gt;=20,2000,1900) + D805</f>
        <v>2011</v>
      </c>
      <c r="H805">
        <f t="shared" si="243"/>
        <v>1</v>
      </c>
      <c r="I805" s="4">
        <f t="shared" si="244"/>
        <v>30</v>
      </c>
      <c r="J805">
        <f t="shared" si="245"/>
        <v>20112130</v>
      </c>
      <c r="K805" t="str">
        <f t="shared" si="246"/>
        <v>30.21.2011</v>
      </c>
      <c r="L805" s="4">
        <f t="shared" si="247"/>
        <v>1</v>
      </c>
      <c r="M805" s="4">
        <f t="shared" si="248"/>
        <v>3</v>
      </c>
      <c r="N805" s="4">
        <f t="shared" si="249"/>
        <v>14</v>
      </c>
      <c r="O805" s="4">
        <f t="shared" si="250"/>
        <v>9</v>
      </c>
      <c r="P805" s="4">
        <f t="shared" si="251"/>
        <v>3</v>
      </c>
      <c r="Q805" s="4">
        <f t="shared" si="252"/>
        <v>0</v>
      </c>
      <c r="R805" s="4">
        <f t="shared" si="253"/>
        <v>14</v>
      </c>
      <c r="S805" s="4">
        <f t="shared" si="254"/>
        <v>45</v>
      </c>
      <c r="T805" s="4">
        <f t="shared" si="255"/>
        <v>2</v>
      </c>
      <c r="U805" s="4">
        <f t="shared" si="256"/>
        <v>9</v>
      </c>
      <c r="V805" s="8">
        <f t="shared" si="257"/>
        <v>0</v>
      </c>
      <c r="W805" s="8">
        <f t="shared" si="258"/>
        <v>0</v>
      </c>
      <c r="X805">
        <f t="shared" si="259"/>
        <v>1</v>
      </c>
    </row>
    <row r="806" spans="1:24" x14ac:dyDescent="0.25">
      <c r="A806" s="4" t="s">
        <v>832</v>
      </c>
      <c r="B806" t="s">
        <v>14</v>
      </c>
      <c r="C806" t="s">
        <v>6</v>
      </c>
      <c r="D806" s="3">
        <f t="shared" si="240"/>
        <v>11</v>
      </c>
      <c r="E806" s="4">
        <f t="shared" si="241"/>
        <v>32</v>
      </c>
      <c r="F806" s="4">
        <f t="shared" si="242"/>
        <v>4</v>
      </c>
      <c r="G806" s="3">
        <f>IF(E806&gt;=20,2000,1900) + D806</f>
        <v>2011</v>
      </c>
      <c r="H806">
        <f t="shared" si="243"/>
        <v>12</v>
      </c>
      <c r="I806" s="4">
        <f t="shared" si="244"/>
        <v>4</v>
      </c>
      <c r="J806">
        <f t="shared" si="245"/>
        <v>20113204</v>
      </c>
      <c r="K806" t="str">
        <f t="shared" si="246"/>
        <v>04.32.2011</v>
      </c>
      <c r="L806" s="4">
        <f t="shared" si="247"/>
        <v>1</v>
      </c>
      <c r="M806" s="4">
        <f t="shared" si="248"/>
        <v>3</v>
      </c>
      <c r="N806" s="4">
        <f t="shared" si="249"/>
        <v>21</v>
      </c>
      <c r="O806" s="4">
        <f t="shared" si="250"/>
        <v>18</v>
      </c>
      <c r="P806" s="4">
        <f t="shared" si="251"/>
        <v>0</v>
      </c>
      <c r="Q806" s="4">
        <f t="shared" si="252"/>
        <v>12</v>
      </c>
      <c r="R806" s="4">
        <f t="shared" si="253"/>
        <v>14</v>
      </c>
      <c r="S806" s="4">
        <f t="shared" si="254"/>
        <v>81</v>
      </c>
      <c r="T806" s="4">
        <f t="shared" si="255"/>
        <v>3</v>
      </c>
      <c r="U806" s="4">
        <f t="shared" si="256"/>
        <v>9</v>
      </c>
      <c r="V806" s="8">
        <f t="shared" si="257"/>
        <v>2</v>
      </c>
      <c r="W806" s="8">
        <f t="shared" si="258"/>
        <v>8</v>
      </c>
      <c r="X806">
        <f t="shared" si="259"/>
        <v>1</v>
      </c>
    </row>
    <row r="807" spans="1:24" x14ac:dyDescent="0.25">
      <c r="A807" s="4" t="s">
        <v>833</v>
      </c>
      <c r="B807" t="s">
        <v>5</v>
      </c>
      <c r="C807" t="s">
        <v>4</v>
      </c>
      <c r="D807" s="3">
        <f t="shared" si="240"/>
        <v>20</v>
      </c>
      <c r="E807" s="4">
        <f t="shared" si="241"/>
        <v>31</v>
      </c>
      <c r="F807" s="4">
        <f t="shared" si="242"/>
        <v>25</v>
      </c>
      <c r="G807" s="3">
        <f>IF(E807&gt;=20,2000,1900) + D807</f>
        <v>2020</v>
      </c>
      <c r="H807">
        <f t="shared" si="243"/>
        <v>11</v>
      </c>
      <c r="I807" s="4">
        <f t="shared" si="244"/>
        <v>25</v>
      </c>
      <c r="J807">
        <f t="shared" si="245"/>
        <v>20203125</v>
      </c>
      <c r="K807" t="str">
        <f t="shared" si="246"/>
        <v>25.31.2020</v>
      </c>
      <c r="L807" s="4">
        <f t="shared" si="247"/>
        <v>2</v>
      </c>
      <c r="M807" s="4">
        <f t="shared" si="248"/>
        <v>0</v>
      </c>
      <c r="N807" s="4">
        <f t="shared" si="249"/>
        <v>21</v>
      </c>
      <c r="O807" s="4">
        <f t="shared" si="250"/>
        <v>9</v>
      </c>
      <c r="P807" s="4">
        <f t="shared" si="251"/>
        <v>2</v>
      </c>
      <c r="Q807" s="4">
        <f t="shared" si="252"/>
        <v>15</v>
      </c>
      <c r="R807" s="4">
        <f t="shared" si="253"/>
        <v>14</v>
      </c>
      <c r="S807" s="4">
        <f t="shared" si="254"/>
        <v>0</v>
      </c>
      <c r="T807" s="4">
        <f t="shared" si="255"/>
        <v>2</v>
      </c>
      <c r="U807" s="4">
        <f t="shared" si="256"/>
        <v>15</v>
      </c>
      <c r="V807" s="8">
        <f t="shared" si="257"/>
        <v>0</v>
      </c>
      <c r="W807" s="8">
        <f t="shared" si="258"/>
        <v>0</v>
      </c>
      <c r="X807">
        <f t="shared" si="259"/>
        <v>1</v>
      </c>
    </row>
    <row r="808" spans="1:24" x14ac:dyDescent="0.25">
      <c r="A808" s="4" t="s">
        <v>834</v>
      </c>
      <c r="B808" t="s">
        <v>14</v>
      </c>
      <c r="C808" t="s">
        <v>4</v>
      </c>
      <c r="D808" s="3">
        <f t="shared" si="240"/>
        <v>14</v>
      </c>
      <c r="E808" s="4">
        <f t="shared" si="241"/>
        <v>28</v>
      </c>
      <c r="F808" s="4">
        <f t="shared" si="242"/>
        <v>5</v>
      </c>
      <c r="G808" s="3">
        <f>IF(E808&gt;=20,2000,1900) + D808</f>
        <v>2014</v>
      </c>
      <c r="H808">
        <f t="shared" si="243"/>
        <v>8</v>
      </c>
      <c r="I808" s="4">
        <f t="shared" si="244"/>
        <v>5</v>
      </c>
      <c r="J808">
        <f t="shared" si="245"/>
        <v>20142805</v>
      </c>
      <c r="K808" t="str">
        <f t="shared" si="246"/>
        <v>05.28.2014</v>
      </c>
      <c r="L808" s="4">
        <f t="shared" si="247"/>
        <v>1</v>
      </c>
      <c r="M808" s="4">
        <f t="shared" si="248"/>
        <v>12</v>
      </c>
      <c r="N808" s="4">
        <f t="shared" si="249"/>
        <v>14</v>
      </c>
      <c r="O808" s="4">
        <f t="shared" si="250"/>
        <v>72</v>
      </c>
      <c r="P808" s="4">
        <f t="shared" si="251"/>
        <v>0</v>
      </c>
      <c r="Q808" s="4">
        <f t="shared" si="252"/>
        <v>15</v>
      </c>
      <c r="R808" s="4">
        <f t="shared" si="253"/>
        <v>56</v>
      </c>
      <c r="S808" s="4">
        <f t="shared" si="254"/>
        <v>27</v>
      </c>
      <c r="T808" s="4">
        <f t="shared" si="255"/>
        <v>4</v>
      </c>
      <c r="U808" s="4">
        <f t="shared" si="256"/>
        <v>6</v>
      </c>
      <c r="V808" s="8">
        <f t="shared" si="257"/>
        <v>7</v>
      </c>
      <c r="W808" s="8">
        <f t="shared" si="258"/>
        <v>3</v>
      </c>
      <c r="X808">
        <f t="shared" si="259"/>
        <v>1</v>
      </c>
    </row>
    <row r="809" spans="1:24" x14ac:dyDescent="0.25">
      <c r="A809" s="4" t="s">
        <v>835</v>
      </c>
      <c r="B809" t="s">
        <v>15</v>
      </c>
      <c r="C809" t="s">
        <v>4</v>
      </c>
      <c r="D809" s="3">
        <f t="shared" si="240"/>
        <v>3</v>
      </c>
      <c r="E809" s="4">
        <f t="shared" si="241"/>
        <v>22</v>
      </c>
      <c r="F809" s="4">
        <f t="shared" si="242"/>
        <v>10</v>
      </c>
      <c r="G809" s="3">
        <f>IF(E809&gt;=20,2000,1900) + D809</f>
        <v>2003</v>
      </c>
      <c r="H809">
        <f t="shared" si="243"/>
        <v>2</v>
      </c>
      <c r="I809" s="4">
        <f t="shared" si="244"/>
        <v>10</v>
      </c>
      <c r="J809">
        <f t="shared" si="245"/>
        <v>20032210</v>
      </c>
      <c r="K809" t="str">
        <f t="shared" si="246"/>
        <v>10.22.2003</v>
      </c>
      <c r="L809" s="4">
        <f t="shared" si="247"/>
        <v>0</v>
      </c>
      <c r="M809" s="4">
        <f t="shared" si="248"/>
        <v>9</v>
      </c>
      <c r="N809" s="4">
        <f t="shared" si="249"/>
        <v>14</v>
      </c>
      <c r="O809" s="4">
        <f t="shared" si="250"/>
        <v>18</v>
      </c>
      <c r="P809" s="4">
        <f t="shared" si="251"/>
        <v>1</v>
      </c>
      <c r="Q809" s="4">
        <f t="shared" si="252"/>
        <v>0</v>
      </c>
      <c r="R809" s="4">
        <f t="shared" si="253"/>
        <v>21</v>
      </c>
      <c r="S809" s="4">
        <f t="shared" si="254"/>
        <v>18</v>
      </c>
      <c r="T809" s="4">
        <f t="shared" si="255"/>
        <v>7</v>
      </c>
      <c r="U809" s="4">
        <f t="shared" si="256"/>
        <v>15</v>
      </c>
      <c r="V809" s="8">
        <f t="shared" si="257"/>
        <v>3</v>
      </c>
      <c r="W809" s="8">
        <f t="shared" si="258"/>
        <v>7</v>
      </c>
      <c r="X809">
        <f t="shared" si="259"/>
        <v>1</v>
      </c>
    </row>
    <row r="810" spans="1:24" x14ac:dyDescent="0.25">
      <c r="A810" s="4" t="s">
        <v>836</v>
      </c>
      <c r="B810" t="s">
        <v>13</v>
      </c>
      <c r="C810" t="s">
        <v>6</v>
      </c>
      <c r="D810" s="3">
        <f t="shared" si="240"/>
        <v>16</v>
      </c>
      <c r="E810" s="4">
        <f t="shared" si="241"/>
        <v>29</v>
      </c>
      <c r="F810" s="4">
        <f t="shared" si="242"/>
        <v>16</v>
      </c>
      <c r="G810" s="3">
        <f>IF(E810&gt;=20,2000,1900) + D810</f>
        <v>2016</v>
      </c>
      <c r="H810">
        <f t="shared" si="243"/>
        <v>9</v>
      </c>
      <c r="I810" s="4">
        <f t="shared" si="244"/>
        <v>16</v>
      </c>
      <c r="J810">
        <f t="shared" si="245"/>
        <v>20162916</v>
      </c>
      <c r="K810" t="str">
        <f t="shared" si="246"/>
        <v>16.29.2016</v>
      </c>
      <c r="L810" s="4">
        <f t="shared" si="247"/>
        <v>1</v>
      </c>
      <c r="M810" s="4">
        <f t="shared" si="248"/>
        <v>18</v>
      </c>
      <c r="N810" s="4">
        <f t="shared" si="249"/>
        <v>14</v>
      </c>
      <c r="O810" s="4">
        <f t="shared" si="250"/>
        <v>81</v>
      </c>
      <c r="P810" s="4">
        <f t="shared" si="251"/>
        <v>1</v>
      </c>
      <c r="Q810" s="4">
        <f t="shared" si="252"/>
        <v>18</v>
      </c>
      <c r="R810" s="4">
        <f t="shared" si="253"/>
        <v>0</v>
      </c>
      <c r="S810" s="4">
        <f t="shared" si="254"/>
        <v>27</v>
      </c>
      <c r="T810" s="4">
        <f t="shared" si="255"/>
        <v>8</v>
      </c>
      <c r="U810" s="4">
        <f t="shared" si="256"/>
        <v>24</v>
      </c>
      <c r="V810" s="8">
        <f t="shared" si="257"/>
        <v>2</v>
      </c>
      <c r="W810" s="8">
        <f t="shared" si="258"/>
        <v>8</v>
      </c>
      <c r="X810">
        <f t="shared" si="259"/>
        <v>1</v>
      </c>
    </row>
    <row r="811" spans="1:24" x14ac:dyDescent="0.25">
      <c r="A811" s="4" t="s">
        <v>837</v>
      </c>
      <c r="B811" t="s">
        <v>11</v>
      </c>
      <c r="C811" t="s">
        <v>4</v>
      </c>
      <c r="D811" s="3">
        <f t="shared" si="240"/>
        <v>0</v>
      </c>
      <c r="E811" s="4">
        <f t="shared" si="241"/>
        <v>29</v>
      </c>
      <c r="F811" s="4">
        <f t="shared" si="242"/>
        <v>18</v>
      </c>
      <c r="G811" s="3">
        <f>IF(E811&gt;=20,2000,1900) + D811</f>
        <v>2000</v>
      </c>
      <c r="H811">
        <f t="shared" si="243"/>
        <v>9</v>
      </c>
      <c r="I811" s="4">
        <f t="shared" si="244"/>
        <v>18</v>
      </c>
      <c r="J811">
        <f t="shared" si="245"/>
        <v>20002918</v>
      </c>
      <c r="K811" t="str">
        <f t="shared" si="246"/>
        <v>18.29.2000</v>
      </c>
      <c r="L811" s="4">
        <f t="shared" si="247"/>
        <v>0</v>
      </c>
      <c r="M811" s="4">
        <f t="shared" si="248"/>
        <v>0</v>
      </c>
      <c r="N811" s="4">
        <f t="shared" si="249"/>
        <v>14</v>
      </c>
      <c r="O811" s="4">
        <f t="shared" si="250"/>
        <v>81</v>
      </c>
      <c r="P811" s="4">
        <f t="shared" si="251"/>
        <v>1</v>
      </c>
      <c r="Q811" s="4">
        <f t="shared" si="252"/>
        <v>24</v>
      </c>
      <c r="R811" s="4">
        <f t="shared" si="253"/>
        <v>21</v>
      </c>
      <c r="S811" s="4">
        <f t="shared" si="254"/>
        <v>72</v>
      </c>
      <c r="T811" s="4">
        <f t="shared" si="255"/>
        <v>7</v>
      </c>
      <c r="U811" s="4">
        <f t="shared" si="256"/>
        <v>0</v>
      </c>
      <c r="V811" s="8">
        <f t="shared" si="257"/>
        <v>0</v>
      </c>
      <c r="W811" s="8">
        <f t="shared" si="258"/>
        <v>0</v>
      </c>
      <c r="X811">
        <f t="shared" si="259"/>
        <v>1</v>
      </c>
    </row>
    <row r="812" spans="1:24" x14ac:dyDescent="0.25">
      <c r="A812" s="4" t="s">
        <v>838</v>
      </c>
      <c r="B812" t="s">
        <v>5</v>
      </c>
      <c r="C812" t="s">
        <v>4</v>
      </c>
      <c r="D812" s="3">
        <f t="shared" si="240"/>
        <v>11</v>
      </c>
      <c r="E812" s="4">
        <f t="shared" si="241"/>
        <v>30</v>
      </c>
      <c r="F812" s="4">
        <f t="shared" si="242"/>
        <v>20</v>
      </c>
      <c r="G812" s="3">
        <f>IF(E812&gt;=20,2000,1900) + D812</f>
        <v>2011</v>
      </c>
      <c r="H812">
        <f t="shared" si="243"/>
        <v>10</v>
      </c>
      <c r="I812" s="4">
        <f t="shared" si="244"/>
        <v>20</v>
      </c>
      <c r="J812">
        <f t="shared" si="245"/>
        <v>20113020</v>
      </c>
      <c r="K812" t="str">
        <f t="shared" si="246"/>
        <v>20.30.2011</v>
      </c>
      <c r="L812" s="4">
        <f t="shared" si="247"/>
        <v>1</v>
      </c>
      <c r="M812" s="4">
        <f t="shared" si="248"/>
        <v>3</v>
      </c>
      <c r="N812" s="4">
        <f t="shared" si="249"/>
        <v>21</v>
      </c>
      <c r="O812" s="4">
        <f t="shared" si="250"/>
        <v>0</v>
      </c>
      <c r="P812" s="4">
        <f t="shared" si="251"/>
        <v>2</v>
      </c>
      <c r="Q812" s="4">
        <f t="shared" si="252"/>
        <v>0</v>
      </c>
      <c r="R812" s="4">
        <f t="shared" si="253"/>
        <v>14</v>
      </c>
      <c r="S812" s="4">
        <f t="shared" si="254"/>
        <v>18</v>
      </c>
      <c r="T812" s="4">
        <f t="shared" si="255"/>
        <v>0</v>
      </c>
      <c r="U812" s="4">
        <f t="shared" si="256"/>
        <v>0</v>
      </c>
      <c r="V812" s="8">
        <f t="shared" si="257"/>
        <v>9</v>
      </c>
      <c r="W812" s="8">
        <f t="shared" si="258"/>
        <v>1</v>
      </c>
      <c r="X812">
        <f t="shared" si="259"/>
        <v>1</v>
      </c>
    </row>
    <row r="813" spans="1:24" x14ac:dyDescent="0.25">
      <c r="A813" s="4" t="s">
        <v>839</v>
      </c>
      <c r="B813" t="s">
        <v>8</v>
      </c>
      <c r="C813" t="s">
        <v>6</v>
      </c>
      <c r="D813" s="3">
        <f t="shared" si="240"/>
        <v>4</v>
      </c>
      <c r="E813" s="4">
        <f t="shared" si="241"/>
        <v>27</v>
      </c>
      <c r="F813" s="4">
        <f t="shared" si="242"/>
        <v>20</v>
      </c>
      <c r="G813" s="3">
        <f>IF(E813&gt;=20,2000,1900) + D813</f>
        <v>2004</v>
      </c>
      <c r="H813">
        <f t="shared" si="243"/>
        <v>7</v>
      </c>
      <c r="I813" s="4">
        <f t="shared" si="244"/>
        <v>20</v>
      </c>
      <c r="J813">
        <f t="shared" si="245"/>
        <v>20042720</v>
      </c>
      <c r="K813" t="str">
        <f t="shared" si="246"/>
        <v>20.27.2004</v>
      </c>
      <c r="L813" s="4">
        <f t="shared" si="247"/>
        <v>0</v>
      </c>
      <c r="M813" s="4">
        <f t="shared" si="248"/>
        <v>12</v>
      </c>
      <c r="N813" s="4">
        <f t="shared" si="249"/>
        <v>14</v>
      </c>
      <c r="O813" s="4">
        <f t="shared" si="250"/>
        <v>63</v>
      </c>
      <c r="P813" s="4">
        <f t="shared" si="251"/>
        <v>2</v>
      </c>
      <c r="Q813" s="4">
        <f t="shared" si="252"/>
        <v>0</v>
      </c>
      <c r="R813" s="4">
        <f t="shared" si="253"/>
        <v>0</v>
      </c>
      <c r="S813" s="4">
        <f t="shared" si="254"/>
        <v>0</v>
      </c>
      <c r="T813" s="4">
        <f t="shared" si="255"/>
        <v>2</v>
      </c>
      <c r="U813" s="4">
        <f t="shared" si="256"/>
        <v>21</v>
      </c>
      <c r="V813" s="8">
        <f t="shared" si="257"/>
        <v>4</v>
      </c>
      <c r="W813" s="8">
        <f t="shared" si="258"/>
        <v>6</v>
      </c>
      <c r="X813">
        <f t="shared" si="259"/>
        <v>1</v>
      </c>
    </row>
    <row r="814" spans="1:24" x14ac:dyDescent="0.25">
      <c r="A814" s="4" t="s">
        <v>840</v>
      </c>
      <c r="B814" t="s">
        <v>14</v>
      </c>
      <c r="C814" t="s">
        <v>4</v>
      </c>
      <c r="D814" s="3">
        <f t="shared" si="240"/>
        <v>0</v>
      </c>
      <c r="E814" s="4">
        <f t="shared" si="241"/>
        <v>26</v>
      </c>
      <c r="F814" s="4">
        <f t="shared" si="242"/>
        <v>28</v>
      </c>
      <c r="G814" s="3">
        <f>IF(E814&gt;=20,2000,1900) + D814</f>
        <v>2000</v>
      </c>
      <c r="H814">
        <f t="shared" si="243"/>
        <v>6</v>
      </c>
      <c r="I814" s="4">
        <f t="shared" si="244"/>
        <v>28</v>
      </c>
      <c r="J814">
        <f t="shared" si="245"/>
        <v>20002628</v>
      </c>
      <c r="K814" t="str">
        <f t="shared" si="246"/>
        <v>28.26.2000</v>
      </c>
      <c r="L814" s="4">
        <f t="shared" si="247"/>
        <v>0</v>
      </c>
      <c r="M814" s="4">
        <f t="shared" si="248"/>
        <v>0</v>
      </c>
      <c r="N814" s="4">
        <f t="shared" si="249"/>
        <v>14</v>
      </c>
      <c r="O814" s="4">
        <f t="shared" si="250"/>
        <v>54</v>
      </c>
      <c r="P814" s="4">
        <f t="shared" si="251"/>
        <v>2</v>
      </c>
      <c r="Q814" s="4">
        <f t="shared" si="252"/>
        <v>24</v>
      </c>
      <c r="R814" s="4">
        <f t="shared" si="253"/>
        <v>42</v>
      </c>
      <c r="S814" s="4">
        <f t="shared" si="254"/>
        <v>18</v>
      </c>
      <c r="T814" s="4">
        <f t="shared" si="255"/>
        <v>6</v>
      </c>
      <c r="U814" s="4">
        <f t="shared" si="256"/>
        <v>6</v>
      </c>
      <c r="V814" s="8">
        <f t="shared" si="257"/>
        <v>6</v>
      </c>
      <c r="W814" s="8">
        <f t="shared" si="258"/>
        <v>4</v>
      </c>
      <c r="X814">
        <f t="shared" si="259"/>
        <v>1</v>
      </c>
    </row>
    <row r="815" spans="1:24" x14ac:dyDescent="0.25">
      <c r="A815" s="4" t="s">
        <v>841</v>
      </c>
      <c r="B815" t="s">
        <v>20</v>
      </c>
      <c r="C815" t="s">
        <v>4</v>
      </c>
      <c r="D815" s="3">
        <f t="shared" si="240"/>
        <v>7</v>
      </c>
      <c r="E815" s="4">
        <f t="shared" si="241"/>
        <v>26</v>
      </c>
      <c r="F815" s="4">
        <f t="shared" si="242"/>
        <v>30</v>
      </c>
      <c r="G815" s="3">
        <f>IF(E815&gt;=20,2000,1900) + D815</f>
        <v>2007</v>
      </c>
      <c r="H815">
        <f t="shared" si="243"/>
        <v>6</v>
      </c>
      <c r="I815" s="4">
        <f t="shared" si="244"/>
        <v>30</v>
      </c>
      <c r="J815">
        <f t="shared" si="245"/>
        <v>20072630</v>
      </c>
      <c r="K815" t="str">
        <f t="shared" si="246"/>
        <v>30.26.2007</v>
      </c>
      <c r="L815" s="4">
        <f t="shared" si="247"/>
        <v>0</v>
      </c>
      <c r="M815" s="4">
        <f t="shared" si="248"/>
        <v>21</v>
      </c>
      <c r="N815" s="4">
        <f t="shared" si="249"/>
        <v>14</v>
      </c>
      <c r="O815" s="4">
        <f t="shared" si="250"/>
        <v>54</v>
      </c>
      <c r="P815" s="4">
        <f t="shared" si="251"/>
        <v>3</v>
      </c>
      <c r="Q815" s="4">
        <f t="shared" si="252"/>
        <v>0</v>
      </c>
      <c r="R815" s="4">
        <f t="shared" si="253"/>
        <v>56</v>
      </c>
      <c r="S815" s="4">
        <f t="shared" si="254"/>
        <v>81</v>
      </c>
      <c r="T815" s="4">
        <f t="shared" si="255"/>
        <v>1</v>
      </c>
      <c r="U815" s="4">
        <f t="shared" si="256"/>
        <v>15</v>
      </c>
      <c r="V815" s="8">
        <f t="shared" si="257"/>
        <v>5</v>
      </c>
      <c r="W815" s="8">
        <f t="shared" si="258"/>
        <v>5</v>
      </c>
      <c r="X815">
        <f t="shared" si="259"/>
        <v>1</v>
      </c>
    </row>
    <row r="816" spans="1:24" x14ac:dyDescent="0.25">
      <c r="A816" s="4" t="s">
        <v>842</v>
      </c>
      <c r="B816" t="s">
        <v>13</v>
      </c>
      <c r="C816" t="s">
        <v>6</v>
      </c>
      <c r="D816" s="3">
        <f t="shared" si="240"/>
        <v>2</v>
      </c>
      <c r="E816" s="4">
        <f t="shared" si="241"/>
        <v>21</v>
      </c>
      <c r="F816" s="4">
        <f t="shared" si="242"/>
        <v>1</v>
      </c>
      <c r="G816" s="3">
        <f>IF(E816&gt;=20,2000,1900) + D816</f>
        <v>2002</v>
      </c>
      <c r="H816">
        <f t="shared" si="243"/>
        <v>1</v>
      </c>
      <c r="I816" s="4">
        <f t="shared" si="244"/>
        <v>1</v>
      </c>
      <c r="J816">
        <f t="shared" si="245"/>
        <v>20022101</v>
      </c>
      <c r="K816" t="str">
        <f t="shared" si="246"/>
        <v>01.21.2002</v>
      </c>
      <c r="L816" s="4">
        <f t="shared" si="247"/>
        <v>0</v>
      </c>
      <c r="M816" s="4">
        <f t="shared" si="248"/>
        <v>6</v>
      </c>
      <c r="N816" s="4">
        <f t="shared" si="249"/>
        <v>14</v>
      </c>
      <c r="O816" s="4">
        <f t="shared" si="250"/>
        <v>9</v>
      </c>
      <c r="P816" s="4">
        <f t="shared" si="251"/>
        <v>0</v>
      </c>
      <c r="Q816" s="4">
        <f t="shared" si="252"/>
        <v>3</v>
      </c>
      <c r="R816" s="4">
        <f t="shared" si="253"/>
        <v>63</v>
      </c>
      <c r="S816" s="4">
        <f t="shared" si="254"/>
        <v>54</v>
      </c>
      <c r="T816" s="4">
        <f t="shared" si="255"/>
        <v>7</v>
      </c>
      <c r="U816" s="4">
        <f t="shared" si="256"/>
        <v>12</v>
      </c>
      <c r="V816" s="8">
        <f t="shared" si="257"/>
        <v>8</v>
      </c>
      <c r="W816" s="8">
        <f t="shared" si="258"/>
        <v>2</v>
      </c>
      <c r="X816">
        <f t="shared" si="259"/>
        <v>1</v>
      </c>
    </row>
    <row r="817" spans="1:24" x14ac:dyDescent="0.25">
      <c r="A817" s="4" t="s">
        <v>843</v>
      </c>
      <c r="B817" t="s">
        <v>11</v>
      </c>
      <c r="C817" t="s">
        <v>4</v>
      </c>
      <c r="D817" s="3">
        <f t="shared" si="240"/>
        <v>11</v>
      </c>
      <c r="E817" s="4">
        <f t="shared" si="241"/>
        <v>30</v>
      </c>
      <c r="F817" s="4">
        <f t="shared" si="242"/>
        <v>18</v>
      </c>
      <c r="G817" s="3">
        <f>IF(E817&gt;=20,2000,1900) + D817</f>
        <v>2011</v>
      </c>
      <c r="H817">
        <f t="shared" si="243"/>
        <v>10</v>
      </c>
      <c r="I817" s="4">
        <f t="shared" si="244"/>
        <v>18</v>
      </c>
      <c r="J817">
        <f t="shared" si="245"/>
        <v>20113018</v>
      </c>
      <c r="K817" t="str">
        <f t="shared" si="246"/>
        <v>18.30.2011</v>
      </c>
      <c r="L817" s="4">
        <f t="shared" si="247"/>
        <v>1</v>
      </c>
      <c r="M817" s="4">
        <f t="shared" si="248"/>
        <v>3</v>
      </c>
      <c r="N817" s="4">
        <f t="shared" si="249"/>
        <v>21</v>
      </c>
      <c r="O817" s="4">
        <f t="shared" si="250"/>
        <v>0</v>
      </c>
      <c r="P817" s="4">
        <f t="shared" si="251"/>
        <v>1</v>
      </c>
      <c r="Q817" s="4">
        <f t="shared" si="252"/>
        <v>24</v>
      </c>
      <c r="R817" s="4">
        <f t="shared" si="253"/>
        <v>0</v>
      </c>
      <c r="S817" s="4">
        <f t="shared" si="254"/>
        <v>45</v>
      </c>
      <c r="T817" s="4">
        <f t="shared" si="255"/>
        <v>0</v>
      </c>
      <c r="U817" s="4">
        <f t="shared" si="256"/>
        <v>3</v>
      </c>
      <c r="V817" s="8">
        <f t="shared" si="257"/>
        <v>8</v>
      </c>
      <c r="W817" s="8">
        <f t="shared" si="258"/>
        <v>2</v>
      </c>
      <c r="X817">
        <f t="shared" si="259"/>
        <v>1</v>
      </c>
    </row>
    <row r="818" spans="1:24" x14ac:dyDescent="0.25">
      <c r="A818" s="4" t="s">
        <v>844</v>
      </c>
      <c r="B818" t="s">
        <v>8</v>
      </c>
      <c r="C818" t="s">
        <v>4</v>
      </c>
      <c r="D818" s="3">
        <f t="shared" si="240"/>
        <v>10</v>
      </c>
      <c r="E818" s="4">
        <f t="shared" si="241"/>
        <v>29</v>
      </c>
      <c r="F818" s="4">
        <f t="shared" si="242"/>
        <v>25</v>
      </c>
      <c r="G818" s="3">
        <f>IF(E818&gt;=20,2000,1900) + D818</f>
        <v>2010</v>
      </c>
      <c r="H818">
        <f t="shared" si="243"/>
        <v>9</v>
      </c>
      <c r="I818" s="4">
        <f t="shared" si="244"/>
        <v>25</v>
      </c>
      <c r="J818">
        <f t="shared" si="245"/>
        <v>20102925</v>
      </c>
      <c r="K818" t="str">
        <f t="shared" si="246"/>
        <v>25.29.2010</v>
      </c>
      <c r="L818" s="4">
        <f t="shared" si="247"/>
        <v>1</v>
      </c>
      <c r="M818" s="4">
        <f t="shared" si="248"/>
        <v>0</v>
      </c>
      <c r="N818" s="4">
        <f t="shared" si="249"/>
        <v>14</v>
      </c>
      <c r="O818" s="4">
        <f t="shared" si="250"/>
        <v>81</v>
      </c>
      <c r="P818" s="4">
        <f t="shared" si="251"/>
        <v>2</v>
      </c>
      <c r="Q818" s="4">
        <f t="shared" si="252"/>
        <v>15</v>
      </c>
      <c r="R818" s="4">
        <f t="shared" si="253"/>
        <v>35</v>
      </c>
      <c r="S818" s="4">
        <f t="shared" si="254"/>
        <v>9</v>
      </c>
      <c r="T818" s="4">
        <f t="shared" si="255"/>
        <v>5</v>
      </c>
      <c r="U818" s="4">
        <f t="shared" si="256"/>
        <v>18</v>
      </c>
      <c r="V818" s="8">
        <f t="shared" si="257"/>
        <v>0</v>
      </c>
      <c r="W818" s="8">
        <f t="shared" si="258"/>
        <v>0</v>
      </c>
      <c r="X818">
        <f t="shared" si="259"/>
        <v>1</v>
      </c>
    </row>
    <row r="819" spans="1:24" x14ac:dyDescent="0.25">
      <c r="A819" s="4" t="s">
        <v>845</v>
      </c>
      <c r="B819" t="s">
        <v>16</v>
      </c>
      <c r="C819" t="s">
        <v>6</v>
      </c>
      <c r="D819" s="3">
        <f t="shared" si="240"/>
        <v>19</v>
      </c>
      <c r="E819" s="4">
        <f t="shared" si="241"/>
        <v>30</v>
      </c>
      <c r="F819" s="4">
        <f t="shared" si="242"/>
        <v>26</v>
      </c>
      <c r="G819" s="3">
        <f>IF(E819&gt;=20,2000,1900) + D819</f>
        <v>2019</v>
      </c>
      <c r="H819">
        <f t="shared" si="243"/>
        <v>10</v>
      </c>
      <c r="I819" s="4">
        <f t="shared" si="244"/>
        <v>26</v>
      </c>
      <c r="J819">
        <f t="shared" si="245"/>
        <v>20193026</v>
      </c>
      <c r="K819" t="str">
        <f t="shared" si="246"/>
        <v>26.30.2019</v>
      </c>
      <c r="L819" s="4">
        <f t="shared" si="247"/>
        <v>1</v>
      </c>
      <c r="M819" s="4">
        <f t="shared" si="248"/>
        <v>27</v>
      </c>
      <c r="N819" s="4">
        <f t="shared" si="249"/>
        <v>21</v>
      </c>
      <c r="O819" s="4">
        <f t="shared" si="250"/>
        <v>0</v>
      </c>
      <c r="P819" s="4">
        <f t="shared" si="251"/>
        <v>2</v>
      </c>
      <c r="Q819" s="4">
        <f t="shared" si="252"/>
        <v>18</v>
      </c>
      <c r="R819" s="4">
        <f t="shared" si="253"/>
        <v>28</v>
      </c>
      <c r="S819" s="4">
        <f t="shared" si="254"/>
        <v>54</v>
      </c>
      <c r="T819" s="4">
        <f t="shared" si="255"/>
        <v>9</v>
      </c>
      <c r="U819" s="4">
        <f t="shared" si="256"/>
        <v>6</v>
      </c>
      <c r="V819" s="8">
        <f t="shared" si="257"/>
        <v>6</v>
      </c>
      <c r="W819" s="8">
        <f t="shared" si="258"/>
        <v>4</v>
      </c>
      <c r="X819">
        <f t="shared" si="259"/>
        <v>1</v>
      </c>
    </row>
    <row r="820" spans="1:24" x14ac:dyDescent="0.25">
      <c r="A820" s="4" t="s">
        <v>846</v>
      </c>
      <c r="B820" t="s">
        <v>16</v>
      </c>
      <c r="C820" t="s">
        <v>6</v>
      </c>
      <c r="D820" s="3">
        <f t="shared" si="240"/>
        <v>2</v>
      </c>
      <c r="E820" s="4">
        <f t="shared" si="241"/>
        <v>29</v>
      </c>
      <c r="F820" s="4">
        <f t="shared" si="242"/>
        <v>6</v>
      </c>
      <c r="G820" s="3">
        <f>IF(E820&gt;=20,2000,1900) + D820</f>
        <v>2002</v>
      </c>
      <c r="H820">
        <f t="shared" si="243"/>
        <v>9</v>
      </c>
      <c r="I820" s="4">
        <f t="shared" si="244"/>
        <v>6</v>
      </c>
      <c r="J820">
        <f t="shared" si="245"/>
        <v>20022906</v>
      </c>
      <c r="K820" t="str">
        <f t="shared" si="246"/>
        <v>06.29.2002</v>
      </c>
      <c r="L820" s="4">
        <f t="shared" si="247"/>
        <v>0</v>
      </c>
      <c r="M820" s="4">
        <f t="shared" si="248"/>
        <v>6</v>
      </c>
      <c r="N820" s="4">
        <f t="shared" si="249"/>
        <v>14</v>
      </c>
      <c r="O820" s="4">
        <f t="shared" si="250"/>
        <v>81</v>
      </c>
      <c r="P820" s="4">
        <f t="shared" si="251"/>
        <v>0</v>
      </c>
      <c r="Q820" s="4">
        <f t="shared" si="252"/>
        <v>18</v>
      </c>
      <c r="R820" s="4">
        <f t="shared" si="253"/>
        <v>7</v>
      </c>
      <c r="S820" s="4">
        <f t="shared" si="254"/>
        <v>72</v>
      </c>
      <c r="T820" s="4">
        <f t="shared" si="255"/>
        <v>9</v>
      </c>
      <c r="U820" s="4">
        <f t="shared" si="256"/>
        <v>6</v>
      </c>
      <c r="V820" s="8">
        <f t="shared" si="257"/>
        <v>3</v>
      </c>
      <c r="W820" s="8">
        <f t="shared" si="258"/>
        <v>7</v>
      </c>
      <c r="X820">
        <f t="shared" si="259"/>
        <v>1</v>
      </c>
    </row>
    <row r="821" spans="1:24" x14ac:dyDescent="0.25">
      <c r="A821" s="4" t="s">
        <v>847</v>
      </c>
      <c r="B821" t="s">
        <v>5</v>
      </c>
      <c r="C821" t="s">
        <v>6</v>
      </c>
      <c r="D821" s="3">
        <f t="shared" si="240"/>
        <v>1</v>
      </c>
      <c r="E821" s="4">
        <f t="shared" si="241"/>
        <v>30</v>
      </c>
      <c r="F821" s="4">
        <f t="shared" si="242"/>
        <v>26</v>
      </c>
      <c r="G821" s="3">
        <f>IF(E821&gt;=20,2000,1900) + D821</f>
        <v>2001</v>
      </c>
      <c r="H821">
        <f t="shared" si="243"/>
        <v>10</v>
      </c>
      <c r="I821" s="4">
        <f t="shared" si="244"/>
        <v>26</v>
      </c>
      <c r="J821">
        <f t="shared" si="245"/>
        <v>20013026</v>
      </c>
      <c r="K821" t="str">
        <f t="shared" si="246"/>
        <v>26.30.2001</v>
      </c>
      <c r="L821" s="4">
        <f t="shared" si="247"/>
        <v>0</v>
      </c>
      <c r="M821" s="4">
        <f t="shared" si="248"/>
        <v>3</v>
      </c>
      <c r="N821" s="4">
        <f t="shared" si="249"/>
        <v>21</v>
      </c>
      <c r="O821" s="4">
        <f t="shared" si="250"/>
        <v>0</v>
      </c>
      <c r="P821" s="4">
        <f t="shared" si="251"/>
        <v>2</v>
      </c>
      <c r="Q821" s="4">
        <f t="shared" si="252"/>
        <v>18</v>
      </c>
      <c r="R821" s="4">
        <f t="shared" si="253"/>
        <v>49</v>
      </c>
      <c r="S821" s="4">
        <f t="shared" si="254"/>
        <v>0</v>
      </c>
      <c r="T821" s="4">
        <f t="shared" si="255"/>
        <v>7</v>
      </c>
      <c r="U821" s="4">
        <f t="shared" si="256"/>
        <v>21</v>
      </c>
      <c r="V821" s="8">
        <f t="shared" si="257"/>
        <v>1</v>
      </c>
      <c r="W821" s="8">
        <f t="shared" si="258"/>
        <v>9</v>
      </c>
      <c r="X821">
        <f t="shared" si="259"/>
        <v>1</v>
      </c>
    </row>
    <row r="822" spans="1:24" x14ac:dyDescent="0.25">
      <c r="A822" s="4" t="s">
        <v>848</v>
      </c>
      <c r="B822" t="s">
        <v>15</v>
      </c>
      <c r="C822" t="s">
        <v>6</v>
      </c>
      <c r="D822" s="3">
        <f t="shared" si="240"/>
        <v>19</v>
      </c>
      <c r="E822" s="4">
        <f t="shared" si="241"/>
        <v>30</v>
      </c>
      <c r="F822" s="4">
        <f t="shared" si="242"/>
        <v>26</v>
      </c>
      <c r="G822" s="3">
        <f>IF(E822&gt;=20,2000,1900) + D822</f>
        <v>2019</v>
      </c>
      <c r="H822">
        <f t="shared" si="243"/>
        <v>10</v>
      </c>
      <c r="I822" s="4">
        <f t="shared" si="244"/>
        <v>26</v>
      </c>
      <c r="J822">
        <f t="shared" si="245"/>
        <v>20193026</v>
      </c>
      <c r="K822" t="str">
        <f t="shared" si="246"/>
        <v>26.30.2019</v>
      </c>
      <c r="L822" s="4">
        <f t="shared" si="247"/>
        <v>1</v>
      </c>
      <c r="M822" s="4">
        <f t="shared" si="248"/>
        <v>27</v>
      </c>
      <c r="N822" s="4">
        <f t="shared" si="249"/>
        <v>21</v>
      </c>
      <c r="O822" s="4">
        <f t="shared" si="250"/>
        <v>0</v>
      </c>
      <c r="P822" s="4">
        <f t="shared" si="251"/>
        <v>2</v>
      </c>
      <c r="Q822" s="4">
        <f t="shared" si="252"/>
        <v>18</v>
      </c>
      <c r="R822" s="4">
        <f t="shared" si="253"/>
        <v>56</v>
      </c>
      <c r="S822" s="4">
        <f t="shared" si="254"/>
        <v>63</v>
      </c>
      <c r="T822" s="4">
        <f t="shared" si="255"/>
        <v>2</v>
      </c>
      <c r="U822" s="4">
        <f t="shared" si="256"/>
        <v>6</v>
      </c>
      <c r="V822" s="8">
        <f t="shared" si="257"/>
        <v>6</v>
      </c>
      <c r="W822" s="8">
        <f t="shared" si="258"/>
        <v>4</v>
      </c>
      <c r="X822">
        <f t="shared" si="259"/>
        <v>1</v>
      </c>
    </row>
    <row r="823" spans="1:24" x14ac:dyDescent="0.25">
      <c r="A823" s="4" t="s">
        <v>849</v>
      </c>
      <c r="B823" t="s">
        <v>16</v>
      </c>
      <c r="C823" t="s">
        <v>6</v>
      </c>
      <c r="D823" s="3">
        <f t="shared" si="240"/>
        <v>12</v>
      </c>
      <c r="E823" s="4">
        <f t="shared" si="241"/>
        <v>26</v>
      </c>
      <c r="F823" s="4">
        <f t="shared" si="242"/>
        <v>6</v>
      </c>
      <c r="G823" s="3">
        <f>IF(E823&gt;=20,2000,1900) + D823</f>
        <v>2012</v>
      </c>
      <c r="H823">
        <f t="shared" si="243"/>
        <v>6</v>
      </c>
      <c r="I823" s="4">
        <f t="shared" si="244"/>
        <v>6</v>
      </c>
      <c r="J823">
        <f t="shared" si="245"/>
        <v>20122606</v>
      </c>
      <c r="K823" t="str">
        <f t="shared" si="246"/>
        <v>06.26.2012</v>
      </c>
      <c r="L823" s="4">
        <f t="shared" si="247"/>
        <v>1</v>
      </c>
      <c r="M823" s="4">
        <f t="shared" si="248"/>
        <v>6</v>
      </c>
      <c r="N823" s="4">
        <f t="shared" si="249"/>
        <v>14</v>
      </c>
      <c r="O823" s="4">
        <f t="shared" si="250"/>
        <v>54</v>
      </c>
      <c r="P823" s="4">
        <f t="shared" si="251"/>
        <v>0</v>
      </c>
      <c r="Q823" s="4">
        <f t="shared" si="252"/>
        <v>18</v>
      </c>
      <c r="R823" s="4">
        <f t="shared" si="253"/>
        <v>56</v>
      </c>
      <c r="S823" s="4">
        <f t="shared" si="254"/>
        <v>72</v>
      </c>
      <c r="T823" s="4">
        <f t="shared" si="255"/>
        <v>5</v>
      </c>
      <c r="U823" s="4">
        <f t="shared" si="256"/>
        <v>0</v>
      </c>
      <c r="V823" s="8">
        <f t="shared" si="257"/>
        <v>6</v>
      </c>
      <c r="W823" s="8">
        <f t="shared" si="258"/>
        <v>4</v>
      </c>
      <c r="X823">
        <f t="shared" si="259"/>
        <v>1</v>
      </c>
    </row>
    <row r="824" spans="1:24" x14ac:dyDescent="0.25">
      <c r="A824" s="4" t="s">
        <v>850</v>
      </c>
      <c r="B824" t="s">
        <v>20</v>
      </c>
      <c r="C824" t="s">
        <v>4</v>
      </c>
      <c r="D824" s="3">
        <f t="shared" si="240"/>
        <v>0</v>
      </c>
      <c r="E824" s="4">
        <f t="shared" si="241"/>
        <v>24</v>
      </c>
      <c r="F824" s="4">
        <f t="shared" si="242"/>
        <v>16</v>
      </c>
      <c r="G824" s="3">
        <f>IF(E824&gt;=20,2000,1900) + D824</f>
        <v>2000</v>
      </c>
      <c r="H824">
        <f t="shared" si="243"/>
        <v>4</v>
      </c>
      <c r="I824" s="4">
        <f t="shared" si="244"/>
        <v>16</v>
      </c>
      <c r="J824">
        <f t="shared" si="245"/>
        <v>20002416</v>
      </c>
      <c r="K824" t="str">
        <f t="shared" si="246"/>
        <v>16.24.2000</v>
      </c>
      <c r="L824" s="4">
        <f t="shared" si="247"/>
        <v>0</v>
      </c>
      <c r="M824" s="4">
        <f t="shared" si="248"/>
        <v>0</v>
      </c>
      <c r="N824" s="4">
        <f t="shared" si="249"/>
        <v>14</v>
      </c>
      <c r="O824" s="4">
        <f t="shared" si="250"/>
        <v>36</v>
      </c>
      <c r="P824" s="4">
        <f t="shared" si="251"/>
        <v>1</v>
      </c>
      <c r="Q824" s="4">
        <f t="shared" si="252"/>
        <v>18</v>
      </c>
      <c r="R824" s="4">
        <f t="shared" si="253"/>
        <v>35</v>
      </c>
      <c r="S824" s="4">
        <f t="shared" si="254"/>
        <v>36</v>
      </c>
      <c r="T824" s="4">
        <f t="shared" si="255"/>
        <v>9</v>
      </c>
      <c r="U824" s="4">
        <f t="shared" si="256"/>
        <v>27</v>
      </c>
      <c r="V824" s="8">
        <f t="shared" si="257"/>
        <v>6</v>
      </c>
      <c r="W824" s="8">
        <f t="shared" si="258"/>
        <v>4</v>
      </c>
      <c r="X824">
        <f t="shared" si="259"/>
        <v>1</v>
      </c>
    </row>
    <row r="825" spans="1:24" x14ac:dyDescent="0.25">
      <c r="A825" s="4" t="s">
        <v>851</v>
      </c>
      <c r="B825" t="s">
        <v>5</v>
      </c>
      <c r="C825" t="s">
        <v>4</v>
      </c>
      <c r="D825" s="3">
        <f t="shared" si="240"/>
        <v>0</v>
      </c>
      <c r="E825" s="4">
        <f t="shared" si="241"/>
        <v>29</v>
      </c>
      <c r="F825" s="4">
        <f t="shared" si="242"/>
        <v>14</v>
      </c>
      <c r="G825" s="3">
        <f>IF(E825&gt;=20,2000,1900) + D825</f>
        <v>2000</v>
      </c>
      <c r="H825">
        <f t="shared" si="243"/>
        <v>9</v>
      </c>
      <c r="I825" s="4">
        <f t="shared" si="244"/>
        <v>14</v>
      </c>
      <c r="J825">
        <f t="shared" si="245"/>
        <v>20002914</v>
      </c>
      <c r="K825" t="str">
        <f t="shared" si="246"/>
        <v>14.29.2000</v>
      </c>
      <c r="L825" s="4">
        <f t="shared" si="247"/>
        <v>0</v>
      </c>
      <c r="M825" s="4">
        <f t="shared" si="248"/>
        <v>0</v>
      </c>
      <c r="N825" s="4">
        <f t="shared" si="249"/>
        <v>14</v>
      </c>
      <c r="O825" s="4">
        <f t="shared" si="250"/>
        <v>81</v>
      </c>
      <c r="P825" s="4">
        <f t="shared" si="251"/>
        <v>1</v>
      </c>
      <c r="Q825" s="4">
        <f t="shared" si="252"/>
        <v>12</v>
      </c>
      <c r="R825" s="4">
        <f t="shared" si="253"/>
        <v>21</v>
      </c>
      <c r="S825" s="4">
        <f t="shared" si="254"/>
        <v>27</v>
      </c>
      <c r="T825" s="4">
        <f t="shared" si="255"/>
        <v>3</v>
      </c>
      <c r="U825" s="4">
        <f t="shared" si="256"/>
        <v>9</v>
      </c>
      <c r="V825" s="8">
        <f t="shared" si="257"/>
        <v>8</v>
      </c>
      <c r="W825" s="8">
        <f t="shared" si="258"/>
        <v>2</v>
      </c>
      <c r="X825">
        <f t="shared" si="259"/>
        <v>1</v>
      </c>
    </row>
    <row r="826" spans="1:24" x14ac:dyDescent="0.25">
      <c r="A826" s="4" t="s">
        <v>852</v>
      </c>
      <c r="B826" t="s">
        <v>19</v>
      </c>
      <c r="C826" t="s">
        <v>4</v>
      </c>
      <c r="D826" s="3">
        <f t="shared" si="240"/>
        <v>9</v>
      </c>
      <c r="E826" s="4">
        <f t="shared" si="241"/>
        <v>28</v>
      </c>
      <c r="F826" s="4">
        <f t="shared" si="242"/>
        <v>16</v>
      </c>
      <c r="G826" s="3">
        <f>IF(E826&gt;=20,2000,1900) + D826</f>
        <v>2009</v>
      </c>
      <c r="H826">
        <f t="shared" si="243"/>
        <v>8</v>
      </c>
      <c r="I826" s="4">
        <f t="shared" si="244"/>
        <v>16</v>
      </c>
      <c r="J826">
        <f t="shared" si="245"/>
        <v>20092816</v>
      </c>
      <c r="K826" t="str">
        <f t="shared" si="246"/>
        <v>16.28.2009</v>
      </c>
      <c r="L826" s="4">
        <f t="shared" si="247"/>
        <v>0</v>
      </c>
      <c r="M826" s="4">
        <f t="shared" si="248"/>
        <v>27</v>
      </c>
      <c r="N826" s="4">
        <f t="shared" si="249"/>
        <v>14</v>
      </c>
      <c r="O826" s="4">
        <f t="shared" si="250"/>
        <v>72</v>
      </c>
      <c r="P826" s="4">
        <f t="shared" si="251"/>
        <v>1</v>
      </c>
      <c r="Q826" s="4">
        <f t="shared" si="252"/>
        <v>18</v>
      </c>
      <c r="R826" s="4">
        <f t="shared" si="253"/>
        <v>35</v>
      </c>
      <c r="S826" s="4">
        <f t="shared" si="254"/>
        <v>81</v>
      </c>
      <c r="T826" s="4">
        <f t="shared" si="255"/>
        <v>3</v>
      </c>
      <c r="U826" s="4">
        <f t="shared" si="256"/>
        <v>0</v>
      </c>
      <c r="V826" s="8">
        <f t="shared" si="257"/>
        <v>1</v>
      </c>
      <c r="W826" s="8">
        <f t="shared" si="258"/>
        <v>9</v>
      </c>
      <c r="X826">
        <f t="shared" si="259"/>
        <v>1</v>
      </c>
    </row>
    <row r="827" spans="1:24" x14ac:dyDescent="0.25">
      <c r="A827" s="4" t="s">
        <v>853</v>
      </c>
      <c r="B827" t="s">
        <v>11</v>
      </c>
      <c r="C827" t="s">
        <v>4</v>
      </c>
      <c r="D827" s="3">
        <f t="shared" si="240"/>
        <v>5</v>
      </c>
      <c r="E827" s="4">
        <f t="shared" si="241"/>
        <v>27</v>
      </c>
      <c r="F827" s="4">
        <f t="shared" si="242"/>
        <v>10</v>
      </c>
      <c r="G827" s="3">
        <f>IF(E827&gt;=20,2000,1900) + D827</f>
        <v>2005</v>
      </c>
      <c r="H827">
        <f t="shared" si="243"/>
        <v>7</v>
      </c>
      <c r="I827" s="4">
        <f t="shared" si="244"/>
        <v>10</v>
      </c>
      <c r="J827">
        <f t="shared" si="245"/>
        <v>20052710</v>
      </c>
      <c r="K827" t="str">
        <f t="shared" si="246"/>
        <v>10.27.2005</v>
      </c>
      <c r="L827" s="4">
        <f t="shared" si="247"/>
        <v>0</v>
      </c>
      <c r="M827" s="4">
        <f t="shared" si="248"/>
        <v>15</v>
      </c>
      <c r="N827" s="4">
        <f t="shared" si="249"/>
        <v>14</v>
      </c>
      <c r="O827" s="4">
        <f t="shared" si="250"/>
        <v>63</v>
      </c>
      <c r="P827" s="4">
        <f t="shared" si="251"/>
        <v>1</v>
      </c>
      <c r="Q827" s="4">
        <f t="shared" si="252"/>
        <v>0</v>
      </c>
      <c r="R827" s="4">
        <f t="shared" si="253"/>
        <v>49</v>
      </c>
      <c r="S827" s="4">
        <f t="shared" si="254"/>
        <v>18</v>
      </c>
      <c r="T827" s="4">
        <f t="shared" si="255"/>
        <v>8</v>
      </c>
      <c r="U827" s="4">
        <f t="shared" si="256"/>
        <v>15</v>
      </c>
      <c r="V827" s="8">
        <f t="shared" si="257"/>
        <v>3</v>
      </c>
      <c r="W827" s="8">
        <f t="shared" si="258"/>
        <v>7</v>
      </c>
      <c r="X827">
        <f t="shared" si="259"/>
        <v>1</v>
      </c>
    </row>
    <row r="828" spans="1:24" x14ac:dyDescent="0.25">
      <c r="A828" s="4" t="s">
        <v>854</v>
      </c>
      <c r="B828" t="s">
        <v>19</v>
      </c>
      <c r="C828" t="s">
        <v>4</v>
      </c>
      <c r="D828" s="3">
        <f t="shared" si="240"/>
        <v>20</v>
      </c>
      <c r="E828" s="4">
        <f t="shared" si="241"/>
        <v>22</v>
      </c>
      <c r="F828" s="4">
        <f t="shared" si="242"/>
        <v>26</v>
      </c>
      <c r="G828" s="3">
        <f>IF(E828&gt;=20,2000,1900) + D828</f>
        <v>2020</v>
      </c>
      <c r="H828">
        <f t="shared" si="243"/>
        <v>2</v>
      </c>
      <c r="I828" s="4">
        <f t="shared" si="244"/>
        <v>26</v>
      </c>
      <c r="J828">
        <f t="shared" si="245"/>
        <v>20202226</v>
      </c>
      <c r="K828" t="str">
        <f t="shared" si="246"/>
        <v>26.22.2020</v>
      </c>
      <c r="L828" s="4">
        <f t="shared" si="247"/>
        <v>2</v>
      </c>
      <c r="M828" s="4">
        <f t="shared" si="248"/>
        <v>0</v>
      </c>
      <c r="N828" s="4">
        <f t="shared" si="249"/>
        <v>14</v>
      </c>
      <c r="O828" s="4">
        <f t="shared" si="250"/>
        <v>18</v>
      </c>
      <c r="P828" s="4">
        <f t="shared" si="251"/>
        <v>2</v>
      </c>
      <c r="Q828" s="4">
        <f t="shared" si="252"/>
        <v>18</v>
      </c>
      <c r="R828" s="4">
        <f t="shared" si="253"/>
        <v>7</v>
      </c>
      <c r="S828" s="4">
        <f t="shared" si="254"/>
        <v>54</v>
      </c>
      <c r="T828" s="4">
        <f t="shared" si="255"/>
        <v>2</v>
      </c>
      <c r="U828" s="4">
        <f t="shared" si="256"/>
        <v>21</v>
      </c>
      <c r="V828" s="8">
        <f t="shared" si="257"/>
        <v>8</v>
      </c>
      <c r="W828" s="8">
        <f t="shared" si="258"/>
        <v>2</v>
      </c>
      <c r="X828">
        <f t="shared" si="259"/>
        <v>1</v>
      </c>
    </row>
    <row r="829" spans="1:24" x14ac:dyDescent="0.25">
      <c r="A829" s="4" t="s">
        <v>855</v>
      </c>
      <c r="B829" t="s">
        <v>18</v>
      </c>
      <c r="C829" t="s">
        <v>6</v>
      </c>
      <c r="D829" s="3">
        <f t="shared" si="240"/>
        <v>2</v>
      </c>
      <c r="E829" s="4">
        <f t="shared" si="241"/>
        <v>28</v>
      </c>
      <c r="F829" s="4">
        <f t="shared" si="242"/>
        <v>31</v>
      </c>
      <c r="G829" s="3">
        <f>IF(E829&gt;=20,2000,1900) + D829</f>
        <v>2002</v>
      </c>
      <c r="H829">
        <f t="shared" si="243"/>
        <v>8</v>
      </c>
      <c r="I829" s="4">
        <f t="shared" si="244"/>
        <v>31</v>
      </c>
      <c r="J829">
        <f t="shared" si="245"/>
        <v>20022831</v>
      </c>
      <c r="K829" t="str">
        <f t="shared" si="246"/>
        <v>31.28.2002</v>
      </c>
      <c r="L829" s="4">
        <f t="shared" si="247"/>
        <v>0</v>
      </c>
      <c r="M829" s="4">
        <f t="shared" si="248"/>
        <v>6</v>
      </c>
      <c r="N829" s="4">
        <f t="shared" si="249"/>
        <v>14</v>
      </c>
      <c r="O829" s="4">
        <f t="shared" si="250"/>
        <v>72</v>
      </c>
      <c r="P829" s="4">
        <f t="shared" si="251"/>
        <v>3</v>
      </c>
      <c r="Q829" s="4">
        <f t="shared" si="252"/>
        <v>3</v>
      </c>
      <c r="R829" s="4">
        <f t="shared" si="253"/>
        <v>42</v>
      </c>
      <c r="S829" s="4">
        <f t="shared" si="254"/>
        <v>54</v>
      </c>
      <c r="T829" s="4">
        <f t="shared" si="255"/>
        <v>3</v>
      </c>
      <c r="U829" s="4">
        <f t="shared" si="256"/>
        <v>6</v>
      </c>
      <c r="V829" s="8">
        <f t="shared" si="257"/>
        <v>3</v>
      </c>
      <c r="W829" s="8">
        <f t="shared" si="258"/>
        <v>7</v>
      </c>
      <c r="X829">
        <f t="shared" si="259"/>
        <v>1</v>
      </c>
    </row>
    <row r="830" spans="1:24" x14ac:dyDescent="0.25">
      <c r="A830" s="4" t="s">
        <v>856</v>
      </c>
      <c r="B830" t="s">
        <v>11</v>
      </c>
      <c r="C830" t="s">
        <v>6</v>
      </c>
      <c r="D830" s="3">
        <f t="shared" si="240"/>
        <v>19</v>
      </c>
      <c r="E830" s="4">
        <f t="shared" si="241"/>
        <v>23</v>
      </c>
      <c r="F830" s="4">
        <f t="shared" si="242"/>
        <v>10</v>
      </c>
      <c r="G830" s="3">
        <f>IF(E830&gt;=20,2000,1900) + D830</f>
        <v>2019</v>
      </c>
      <c r="H830">
        <f t="shared" si="243"/>
        <v>3</v>
      </c>
      <c r="I830" s="4">
        <f t="shared" si="244"/>
        <v>10</v>
      </c>
      <c r="J830">
        <f t="shared" si="245"/>
        <v>20192310</v>
      </c>
      <c r="K830" t="str">
        <f t="shared" si="246"/>
        <v>10.23.2019</v>
      </c>
      <c r="L830" s="4">
        <f t="shared" si="247"/>
        <v>1</v>
      </c>
      <c r="M830" s="4">
        <f t="shared" si="248"/>
        <v>27</v>
      </c>
      <c r="N830" s="4">
        <f t="shared" si="249"/>
        <v>14</v>
      </c>
      <c r="O830" s="4">
        <f t="shared" si="250"/>
        <v>27</v>
      </c>
      <c r="P830" s="4">
        <f t="shared" si="251"/>
        <v>1</v>
      </c>
      <c r="Q830" s="4">
        <f t="shared" si="252"/>
        <v>0</v>
      </c>
      <c r="R830" s="4">
        <f t="shared" si="253"/>
        <v>56</v>
      </c>
      <c r="S830" s="4">
        <f t="shared" si="254"/>
        <v>0</v>
      </c>
      <c r="T830" s="4">
        <f t="shared" si="255"/>
        <v>3</v>
      </c>
      <c r="U830" s="4">
        <f t="shared" si="256"/>
        <v>0</v>
      </c>
      <c r="V830" s="8">
        <f t="shared" si="257"/>
        <v>9</v>
      </c>
      <c r="W830" s="8">
        <f t="shared" si="258"/>
        <v>1</v>
      </c>
      <c r="X830">
        <f t="shared" si="259"/>
        <v>1</v>
      </c>
    </row>
    <row r="831" spans="1:24" x14ac:dyDescent="0.25">
      <c r="A831" s="4" t="s">
        <v>857</v>
      </c>
      <c r="B831" t="s">
        <v>10</v>
      </c>
      <c r="C831" t="s">
        <v>6</v>
      </c>
      <c r="D831" s="3">
        <f t="shared" si="240"/>
        <v>9</v>
      </c>
      <c r="E831" s="4">
        <f t="shared" si="241"/>
        <v>30</v>
      </c>
      <c r="F831" s="4">
        <f t="shared" si="242"/>
        <v>16</v>
      </c>
      <c r="G831" s="3">
        <f>IF(E831&gt;=20,2000,1900) + D831</f>
        <v>2009</v>
      </c>
      <c r="H831">
        <f t="shared" si="243"/>
        <v>10</v>
      </c>
      <c r="I831" s="4">
        <f t="shared" si="244"/>
        <v>16</v>
      </c>
      <c r="J831">
        <f t="shared" si="245"/>
        <v>20093016</v>
      </c>
      <c r="K831" t="str">
        <f t="shared" si="246"/>
        <v>16.30.2009</v>
      </c>
      <c r="L831" s="4">
        <f t="shared" si="247"/>
        <v>0</v>
      </c>
      <c r="M831" s="4">
        <f t="shared" si="248"/>
        <v>27</v>
      </c>
      <c r="N831" s="4">
        <f t="shared" si="249"/>
        <v>21</v>
      </c>
      <c r="O831" s="4">
        <f t="shared" si="250"/>
        <v>0</v>
      </c>
      <c r="P831" s="4">
        <f t="shared" si="251"/>
        <v>1</v>
      </c>
      <c r="Q831" s="4">
        <f t="shared" si="252"/>
        <v>18</v>
      </c>
      <c r="R831" s="4">
        <f t="shared" si="253"/>
        <v>14</v>
      </c>
      <c r="S831" s="4">
        <f t="shared" si="254"/>
        <v>54</v>
      </c>
      <c r="T831" s="4">
        <f t="shared" si="255"/>
        <v>4</v>
      </c>
      <c r="U831" s="4">
        <f t="shared" si="256"/>
        <v>9</v>
      </c>
      <c r="V831" s="8">
        <f t="shared" si="257"/>
        <v>8</v>
      </c>
      <c r="W831" s="8">
        <f t="shared" si="258"/>
        <v>2</v>
      </c>
      <c r="X831">
        <f t="shared" si="259"/>
        <v>1</v>
      </c>
    </row>
    <row r="832" spans="1:24" x14ac:dyDescent="0.25">
      <c r="A832" s="4" t="s">
        <v>858</v>
      </c>
      <c r="B832" t="s">
        <v>3</v>
      </c>
      <c r="C832" t="s">
        <v>4</v>
      </c>
      <c r="D832" s="3">
        <f t="shared" si="240"/>
        <v>12</v>
      </c>
      <c r="E832" s="4">
        <f t="shared" si="241"/>
        <v>29</v>
      </c>
      <c r="F832" s="4">
        <f t="shared" si="242"/>
        <v>26</v>
      </c>
      <c r="G832" s="3">
        <f>IF(E832&gt;=20,2000,1900) + D832</f>
        <v>2012</v>
      </c>
      <c r="H832">
        <f t="shared" si="243"/>
        <v>9</v>
      </c>
      <c r="I832" s="4">
        <f t="shared" si="244"/>
        <v>26</v>
      </c>
      <c r="J832">
        <f t="shared" si="245"/>
        <v>20122926</v>
      </c>
      <c r="K832" t="str">
        <f t="shared" si="246"/>
        <v>26.29.2012</v>
      </c>
      <c r="L832" s="4">
        <f t="shared" si="247"/>
        <v>1</v>
      </c>
      <c r="M832" s="4">
        <f t="shared" si="248"/>
        <v>6</v>
      </c>
      <c r="N832" s="4">
        <f t="shared" si="249"/>
        <v>14</v>
      </c>
      <c r="O832" s="4">
        <f t="shared" si="250"/>
        <v>81</v>
      </c>
      <c r="P832" s="4">
        <f t="shared" si="251"/>
        <v>2</v>
      </c>
      <c r="Q832" s="4">
        <f t="shared" si="252"/>
        <v>18</v>
      </c>
      <c r="R832" s="4">
        <f t="shared" si="253"/>
        <v>21</v>
      </c>
      <c r="S832" s="4">
        <f t="shared" si="254"/>
        <v>18</v>
      </c>
      <c r="T832" s="4">
        <f t="shared" si="255"/>
        <v>8</v>
      </c>
      <c r="U832" s="4">
        <f t="shared" si="256"/>
        <v>27</v>
      </c>
      <c r="V832" s="8">
        <f t="shared" si="257"/>
        <v>6</v>
      </c>
      <c r="W832" s="8">
        <f t="shared" si="258"/>
        <v>4</v>
      </c>
      <c r="X832">
        <f t="shared" si="259"/>
        <v>1</v>
      </c>
    </row>
    <row r="833" spans="1:24" x14ac:dyDescent="0.25">
      <c r="A833" s="4" t="s">
        <v>859</v>
      </c>
      <c r="B833" t="s">
        <v>9</v>
      </c>
      <c r="C833" t="s">
        <v>6</v>
      </c>
      <c r="D833" s="3">
        <f t="shared" si="240"/>
        <v>0</v>
      </c>
      <c r="E833" s="4">
        <f t="shared" si="241"/>
        <v>22</v>
      </c>
      <c r="F833" s="4">
        <f t="shared" si="242"/>
        <v>1</v>
      </c>
      <c r="G833" s="3">
        <f>IF(E833&gt;=20,2000,1900) + D833</f>
        <v>2000</v>
      </c>
      <c r="H833">
        <f t="shared" si="243"/>
        <v>2</v>
      </c>
      <c r="I833" s="4">
        <f t="shared" si="244"/>
        <v>1</v>
      </c>
      <c r="J833">
        <f t="shared" si="245"/>
        <v>20002201</v>
      </c>
      <c r="K833" t="str">
        <f t="shared" si="246"/>
        <v>01.22.2000</v>
      </c>
      <c r="L833" s="4">
        <f t="shared" si="247"/>
        <v>0</v>
      </c>
      <c r="M833" s="4">
        <f t="shared" si="248"/>
        <v>0</v>
      </c>
      <c r="N833" s="4">
        <f t="shared" si="249"/>
        <v>14</v>
      </c>
      <c r="O833" s="4">
        <f t="shared" si="250"/>
        <v>18</v>
      </c>
      <c r="P833" s="4">
        <f t="shared" si="251"/>
        <v>0</v>
      </c>
      <c r="Q833" s="4">
        <f t="shared" si="252"/>
        <v>3</v>
      </c>
      <c r="R833" s="4">
        <f t="shared" si="253"/>
        <v>63</v>
      </c>
      <c r="S833" s="4">
        <f t="shared" si="254"/>
        <v>63</v>
      </c>
      <c r="T833" s="4">
        <f t="shared" si="255"/>
        <v>3</v>
      </c>
      <c r="U833" s="4">
        <f t="shared" si="256"/>
        <v>9</v>
      </c>
      <c r="V833" s="8">
        <f t="shared" si="257"/>
        <v>3</v>
      </c>
      <c r="W833" s="8">
        <f t="shared" si="258"/>
        <v>7</v>
      </c>
      <c r="X833">
        <f t="shared" si="259"/>
        <v>1</v>
      </c>
    </row>
    <row r="834" spans="1:24" x14ac:dyDescent="0.25">
      <c r="A834" s="4" t="s">
        <v>860</v>
      </c>
      <c r="B834" t="s">
        <v>18</v>
      </c>
      <c r="C834" t="s">
        <v>4</v>
      </c>
      <c r="D834" s="3">
        <f t="shared" si="240"/>
        <v>18</v>
      </c>
      <c r="E834" s="4">
        <f t="shared" si="241"/>
        <v>26</v>
      </c>
      <c r="F834" s="4">
        <f t="shared" si="242"/>
        <v>18</v>
      </c>
      <c r="G834" s="3">
        <f>IF(E834&gt;=20,2000,1900) + D834</f>
        <v>2018</v>
      </c>
      <c r="H834">
        <f t="shared" si="243"/>
        <v>6</v>
      </c>
      <c r="I834" s="4">
        <f t="shared" si="244"/>
        <v>18</v>
      </c>
      <c r="J834">
        <f t="shared" si="245"/>
        <v>20182618</v>
      </c>
      <c r="K834" t="str">
        <f t="shared" si="246"/>
        <v>18.26.2018</v>
      </c>
      <c r="L834" s="4">
        <f t="shared" si="247"/>
        <v>1</v>
      </c>
      <c r="M834" s="4">
        <f t="shared" si="248"/>
        <v>24</v>
      </c>
      <c r="N834" s="4">
        <f t="shared" si="249"/>
        <v>14</v>
      </c>
      <c r="O834" s="4">
        <f t="shared" si="250"/>
        <v>54</v>
      </c>
      <c r="P834" s="4">
        <f t="shared" si="251"/>
        <v>1</v>
      </c>
      <c r="Q834" s="4">
        <f t="shared" si="252"/>
        <v>24</v>
      </c>
      <c r="R834" s="4">
        <f t="shared" si="253"/>
        <v>14</v>
      </c>
      <c r="S834" s="4">
        <f t="shared" si="254"/>
        <v>63</v>
      </c>
      <c r="T834" s="4">
        <f t="shared" si="255"/>
        <v>9</v>
      </c>
      <c r="U834" s="4">
        <f t="shared" si="256"/>
        <v>27</v>
      </c>
      <c r="V834" s="8">
        <f t="shared" si="257"/>
        <v>1</v>
      </c>
      <c r="W834" s="8">
        <f t="shared" si="258"/>
        <v>9</v>
      </c>
      <c r="X834">
        <f t="shared" si="259"/>
        <v>1</v>
      </c>
    </row>
    <row r="835" spans="1:24" x14ac:dyDescent="0.25">
      <c r="A835" s="4" t="s">
        <v>861</v>
      </c>
      <c r="B835" t="s">
        <v>18</v>
      </c>
      <c r="C835" t="s">
        <v>4</v>
      </c>
      <c r="D835" s="3">
        <f t="shared" ref="D835:D898" si="260">MID(A835,1,2)*1</f>
        <v>22</v>
      </c>
      <c r="E835" s="4">
        <f t="shared" ref="E835:E898" si="261">MID(A835,3,2)*1</f>
        <v>28</v>
      </c>
      <c r="F835" s="4">
        <f t="shared" ref="F835:F898" si="262">MID(A835,5,2)*1</f>
        <v>6</v>
      </c>
      <c r="G835" s="3">
        <f>IF(E835&gt;=20,2000,1900) + D835</f>
        <v>2022</v>
      </c>
      <c r="H835">
        <f t="shared" ref="H835:H898" si="263">IF(E835&gt;=20,E835-20,E835)</f>
        <v>8</v>
      </c>
      <c r="I835" s="4">
        <f t="shared" ref="I835:I898" si="264">F835</f>
        <v>6</v>
      </c>
      <c r="J835">
        <f t="shared" ref="J835:J898" si="265">CONCATENATE(G835,IF(LEN(E835)=1,CONCATENATE("0",E835),E835),IF(LEN(F835)=1,CONCATENATE("0",F835),F835))*1</f>
        <v>20222806</v>
      </c>
      <c r="K835" t="str">
        <f t="shared" ref="K835:K898" si="266">CONCATENATE(RIGHT(J835,2),".",MID(J835,5,2),".",LEFT(J835,4))</f>
        <v>06.28.2022</v>
      </c>
      <c r="L835" s="4">
        <f t="shared" ref="L835:L898" si="267">MID(A835,1,1)*1</f>
        <v>2</v>
      </c>
      <c r="M835" s="4">
        <f t="shared" ref="M835:M898" si="268">MID(A835,2,1)*3</f>
        <v>6</v>
      </c>
      <c r="N835" s="4">
        <f t="shared" ref="N835:N898" si="269">MID(A835,3,1)*7</f>
        <v>14</v>
      </c>
      <c r="O835" s="4">
        <f t="shared" ref="O835:O898" si="270">MID(A835,4,1)*9</f>
        <v>72</v>
      </c>
      <c r="P835" s="4">
        <f t="shared" ref="P835:P898" si="271">MID(A835,5,1)*1</f>
        <v>0</v>
      </c>
      <c r="Q835" s="4">
        <f t="shared" ref="Q835:Q898" si="272">MID(A835,6,1)*3</f>
        <v>18</v>
      </c>
      <c r="R835" s="4">
        <f t="shared" ref="R835:R898" si="273">MID(A835,7,1)*7</f>
        <v>35</v>
      </c>
      <c r="S835" s="4">
        <f t="shared" ref="S835:S898" si="274">MID(A835,8,1)*9</f>
        <v>45</v>
      </c>
      <c r="T835" s="4">
        <f t="shared" ref="T835:T898" si="275">MID(A835,9,1)*1</f>
        <v>8</v>
      </c>
      <c r="U835" s="4">
        <f t="shared" ref="U835:U898" si="276">MID(A835,10,1)*3</f>
        <v>3</v>
      </c>
      <c r="V835" s="8">
        <f t="shared" ref="V835:V898" si="277">MOD(SUM(L835:U835),10)</f>
        <v>3</v>
      </c>
      <c r="W835" s="8">
        <f t="shared" ref="W835:W898" si="278">IF(V835=0,0,10-V835)</f>
        <v>7</v>
      </c>
      <c r="X835">
        <f t="shared" ref="X835:X898" si="279">IF(W835=RIGHT(A835,1)*1,1,0)</f>
        <v>1</v>
      </c>
    </row>
    <row r="836" spans="1:24" x14ac:dyDescent="0.25">
      <c r="A836" s="4" t="s">
        <v>862</v>
      </c>
      <c r="B836" t="s">
        <v>19</v>
      </c>
      <c r="C836" t="s">
        <v>6</v>
      </c>
      <c r="D836" s="3">
        <f t="shared" si="260"/>
        <v>21</v>
      </c>
      <c r="E836" s="4">
        <f t="shared" si="261"/>
        <v>22</v>
      </c>
      <c r="F836" s="4">
        <f t="shared" si="262"/>
        <v>13</v>
      </c>
      <c r="G836" s="3">
        <f>IF(E836&gt;=20,2000,1900) + D836</f>
        <v>2021</v>
      </c>
      <c r="H836">
        <f t="shared" si="263"/>
        <v>2</v>
      </c>
      <c r="I836" s="4">
        <f t="shared" si="264"/>
        <v>13</v>
      </c>
      <c r="J836">
        <f t="shared" si="265"/>
        <v>20212213</v>
      </c>
      <c r="K836" t="str">
        <f t="shared" si="266"/>
        <v>13.22.2021</v>
      </c>
      <c r="L836" s="4">
        <f t="shared" si="267"/>
        <v>2</v>
      </c>
      <c r="M836" s="4">
        <f t="shared" si="268"/>
        <v>3</v>
      </c>
      <c r="N836" s="4">
        <f t="shared" si="269"/>
        <v>14</v>
      </c>
      <c r="O836" s="4">
        <f t="shared" si="270"/>
        <v>18</v>
      </c>
      <c r="P836" s="4">
        <f t="shared" si="271"/>
        <v>1</v>
      </c>
      <c r="Q836" s="4">
        <f t="shared" si="272"/>
        <v>9</v>
      </c>
      <c r="R836" s="4">
        <f t="shared" si="273"/>
        <v>63</v>
      </c>
      <c r="S836" s="4">
        <f t="shared" si="274"/>
        <v>72</v>
      </c>
      <c r="T836" s="4">
        <f t="shared" si="275"/>
        <v>7</v>
      </c>
      <c r="U836" s="4">
        <f t="shared" si="276"/>
        <v>0</v>
      </c>
      <c r="V836" s="8">
        <f t="shared" si="277"/>
        <v>9</v>
      </c>
      <c r="W836" s="8">
        <f t="shared" si="278"/>
        <v>1</v>
      </c>
      <c r="X836">
        <f t="shared" si="279"/>
        <v>1</v>
      </c>
    </row>
    <row r="837" spans="1:24" x14ac:dyDescent="0.25">
      <c r="A837" s="4" t="s">
        <v>863</v>
      </c>
      <c r="B837" t="s">
        <v>5</v>
      </c>
      <c r="C837" t="s">
        <v>4</v>
      </c>
      <c r="D837" s="3">
        <f t="shared" si="260"/>
        <v>4</v>
      </c>
      <c r="E837" s="4">
        <f t="shared" si="261"/>
        <v>24</v>
      </c>
      <c r="F837" s="4">
        <f t="shared" si="262"/>
        <v>2</v>
      </c>
      <c r="G837" s="3">
        <f>IF(E837&gt;=20,2000,1900) + D837</f>
        <v>2004</v>
      </c>
      <c r="H837">
        <f t="shared" si="263"/>
        <v>4</v>
      </c>
      <c r="I837" s="4">
        <f t="shared" si="264"/>
        <v>2</v>
      </c>
      <c r="J837">
        <f t="shared" si="265"/>
        <v>20042402</v>
      </c>
      <c r="K837" t="str">
        <f t="shared" si="266"/>
        <v>02.24.2004</v>
      </c>
      <c r="L837" s="4">
        <f t="shared" si="267"/>
        <v>0</v>
      </c>
      <c r="M837" s="4">
        <f t="shared" si="268"/>
        <v>12</v>
      </c>
      <c r="N837" s="4">
        <f t="shared" si="269"/>
        <v>14</v>
      </c>
      <c r="O837" s="4">
        <f t="shared" si="270"/>
        <v>36</v>
      </c>
      <c r="P837" s="4">
        <f t="shared" si="271"/>
        <v>0</v>
      </c>
      <c r="Q837" s="4">
        <f t="shared" si="272"/>
        <v>6</v>
      </c>
      <c r="R837" s="4">
        <f t="shared" si="273"/>
        <v>14</v>
      </c>
      <c r="S837" s="4">
        <f t="shared" si="274"/>
        <v>27</v>
      </c>
      <c r="T837" s="4">
        <f t="shared" si="275"/>
        <v>7</v>
      </c>
      <c r="U837" s="4">
        <f t="shared" si="276"/>
        <v>9</v>
      </c>
      <c r="V837" s="8">
        <f t="shared" si="277"/>
        <v>5</v>
      </c>
      <c r="W837" s="8">
        <f t="shared" si="278"/>
        <v>5</v>
      </c>
      <c r="X837">
        <f t="shared" si="279"/>
        <v>1</v>
      </c>
    </row>
    <row r="838" spans="1:24" x14ac:dyDescent="0.25">
      <c r="A838" s="4" t="s">
        <v>864</v>
      </c>
      <c r="B838" t="s">
        <v>15</v>
      </c>
      <c r="C838" t="s">
        <v>6</v>
      </c>
      <c r="D838" s="3">
        <f t="shared" si="260"/>
        <v>12</v>
      </c>
      <c r="E838" s="4">
        <f t="shared" si="261"/>
        <v>31</v>
      </c>
      <c r="F838" s="4">
        <f t="shared" si="262"/>
        <v>24</v>
      </c>
      <c r="G838" s="3">
        <f>IF(E838&gt;=20,2000,1900) + D838</f>
        <v>2012</v>
      </c>
      <c r="H838">
        <f t="shared" si="263"/>
        <v>11</v>
      </c>
      <c r="I838" s="4">
        <f t="shared" si="264"/>
        <v>24</v>
      </c>
      <c r="J838">
        <f t="shared" si="265"/>
        <v>20123124</v>
      </c>
      <c r="K838" t="str">
        <f t="shared" si="266"/>
        <v>24.31.2012</v>
      </c>
      <c r="L838" s="4">
        <f t="shared" si="267"/>
        <v>1</v>
      </c>
      <c r="M838" s="4">
        <f t="shared" si="268"/>
        <v>6</v>
      </c>
      <c r="N838" s="4">
        <f t="shared" si="269"/>
        <v>21</v>
      </c>
      <c r="O838" s="4">
        <f t="shared" si="270"/>
        <v>9</v>
      </c>
      <c r="P838" s="4">
        <f t="shared" si="271"/>
        <v>2</v>
      </c>
      <c r="Q838" s="4">
        <f t="shared" si="272"/>
        <v>12</v>
      </c>
      <c r="R838" s="4">
        <f t="shared" si="273"/>
        <v>42</v>
      </c>
      <c r="S838" s="4">
        <f t="shared" si="274"/>
        <v>81</v>
      </c>
      <c r="T838" s="4">
        <f t="shared" si="275"/>
        <v>4</v>
      </c>
      <c r="U838" s="4">
        <f t="shared" si="276"/>
        <v>6</v>
      </c>
      <c r="V838" s="8">
        <f t="shared" si="277"/>
        <v>4</v>
      </c>
      <c r="W838" s="8">
        <f t="shared" si="278"/>
        <v>6</v>
      </c>
      <c r="X838">
        <f t="shared" si="279"/>
        <v>1</v>
      </c>
    </row>
    <row r="839" spans="1:24" x14ac:dyDescent="0.25">
      <c r="A839" s="4" t="s">
        <v>865</v>
      </c>
      <c r="B839" t="s">
        <v>3</v>
      </c>
      <c r="C839" t="s">
        <v>6</v>
      </c>
      <c r="D839" s="3">
        <f t="shared" si="260"/>
        <v>9</v>
      </c>
      <c r="E839" s="4">
        <f t="shared" si="261"/>
        <v>28</v>
      </c>
      <c r="F839" s="4">
        <f t="shared" si="262"/>
        <v>15</v>
      </c>
      <c r="G839" s="3">
        <f>IF(E839&gt;=20,2000,1900) + D839</f>
        <v>2009</v>
      </c>
      <c r="H839">
        <f t="shared" si="263"/>
        <v>8</v>
      </c>
      <c r="I839" s="4">
        <f t="shared" si="264"/>
        <v>15</v>
      </c>
      <c r="J839">
        <f t="shared" si="265"/>
        <v>20092815</v>
      </c>
      <c r="K839" t="str">
        <f t="shared" si="266"/>
        <v>15.28.2009</v>
      </c>
      <c r="L839" s="4">
        <f t="shared" si="267"/>
        <v>0</v>
      </c>
      <c r="M839" s="4">
        <f t="shared" si="268"/>
        <v>27</v>
      </c>
      <c r="N839" s="4">
        <f t="shared" si="269"/>
        <v>14</v>
      </c>
      <c r="O839" s="4">
        <f t="shared" si="270"/>
        <v>72</v>
      </c>
      <c r="P839" s="4">
        <f t="shared" si="271"/>
        <v>1</v>
      </c>
      <c r="Q839" s="4">
        <f t="shared" si="272"/>
        <v>15</v>
      </c>
      <c r="R839" s="4">
        <f t="shared" si="273"/>
        <v>28</v>
      </c>
      <c r="S839" s="4">
        <f t="shared" si="274"/>
        <v>18</v>
      </c>
      <c r="T839" s="4">
        <f t="shared" si="275"/>
        <v>0</v>
      </c>
      <c r="U839" s="4">
        <f t="shared" si="276"/>
        <v>18</v>
      </c>
      <c r="V839" s="8">
        <f t="shared" si="277"/>
        <v>3</v>
      </c>
      <c r="W839" s="8">
        <f t="shared" si="278"/>
        <v>7</v>
      </c>
      <c r="X839">
        <f t="shared" si="279"/>
        <v>1</v>
      </c>
    </row>
    <row r="840" spans="1:24" x14ac:dyDescent="0.25">
      <c r="A840" s="4" t="s">
        <v>866</v>
      </c>
      <c r="B840" t="s">
        <v>3</v>
      </c>
      <c r="C840" t="s">
        <v>6</v>
      </c>
      <c r="D840" s="3">
        <f t="shared" si="260"/>
        <v>15</v>
      </c>
      <c r="E840" s="4">
        <f t="shared" si="261"/>
        <v>25</v>
      </c>
      <c r="F840" s="4">
        <f t="shared" si="262"/>
        <v>30</v>
      </c>
      <c r="G840" s="3">
        <f>IF(E840&gt;=20,2000,1900) + D840</f>
        <v>2015</v>
      </c>
      <c r="H840">
        <f t="shared" si="263"/>
        <v>5</v>
      </c>
      <c r="I840" s="4">
        <f t="shared" si="264"/>
        <v>30</v>
      </c>
      <c r="J840">
        <f t="shared" si="265"/>
        <v>20152530</v>
      </c>
      <c r="K840" t="str">
        <f t="shared" si="266"/>
        <v>30.25.2015</v>
      </c>
      <c r="L840" s="4">
        <f t="shared" si="267"/>
        <v>1</v>
      </c>
      <c r="M840" s="4">
        <f t="shared" si="268"/>
        <v>15</v>
      </c>
      <c r="N840" s="4">
        <f t="shared" si="269"/>
        <v>14</v>
      </c>
      <c r="O840" s="4">
        <f t="shared" si="270"/>
        <v>45</v>
      </c>
      <c r="P840" s="4">
        <f t="shared" si="271"/>
        <v>3</v>
      </c>
      <c r="Q840" s="4">
        <f t="shared" si="272"/>
        <v>0</v>
      </c>
      <c r="R840" s="4">
        <f t="shared" si="273"/>
        <v>0</v>
      </c>
      <c r="S840" s="4">
        <f t="shared" si="274"/>
        <v>72</v>
      </c>
      <c r="T840" s="4">
        <f t="shared" si="275"/>
        <v>9</v>
      </c>
      <c r="U840" s="4">
        <f t="shared" si="276"/>
        <v>15</v>
      </c>
      <c r="V840" s="8">
        <f t="shared" si="277"/>
        <v>4</v>
      </c>
      <c r="W840" s="8">
        <f t="shared" si="278"/>
        <v>6</v>
      </c>
      <c r="X840">
        <f t="shared" si="279"/>
        <v>1</v>
      </c>
    </row>
    <row r="841" spans="1:24" x14ac:dyDescent="0.25">
      <c r="A841" s="4" t="s">
        <v>867</v>
      </c>
      <c r="B841" t="s">
        <v>13</v>
      </c>
      <c r="C841" t="s">
        <v>4</v>
      </c>
      <c r="D841" s="3">
        <f t="shared" si="260"/>
        <v>10</v>
      </c>
      <c r="E841" s="4">
        <f t="shared" si="261"/>
        <v>22</v>
      </c>
      <c r="F841" s="4">
        <f t="shared" si="262"/>
        <v>9</v>
      </c>
      <c r="G841" s="3">
        <f>IF(E841&gt;=20,2000,1900) + D841</f>
        <v>2010</v>
      </c>
      <c r="H841">
        <f t="shared" si="263"/>
        <v>2</v>
      </c>
      <c r="I841" s="4">
        <f t="shared" si="264"/>
        <v>9</v>
      </c>
      <c r="J841">
        <f t="shared" si="265"/>
        <v>20102209</v>
      </c>
      <c r="K841" t="str">
        <f t="shared" si="266"/>
        <v>09.22.2010</v>
      </c>
      <c r="L841" s="4">
        <f t="shared" si="267"/>
        <v>1</v>
      </c>
      <c r="M841" s="4">
        <f t="shared" si="268"/>
        <v>0</v>
      </c>
      <c r="N841" s="4">
        <f t="shared" si="269"/>
        <v>14</v>
      </c>
      <c r="O841" s="4">
        <f t="shared" si="270"/>
        <v>18</v>
      </c>
      <c r="P841" s="4">
        <f t="shared" si="271"/>
        <v>0</v>
      </c>
      <c r="Q841" s="4">
        <f t="shared" si="272"/>
        <v>27</v>
      </c>
      <c r="R841" s="4">
        <f t="shared" si="273"/>
        <v>42</v>
      </c>
      <c r="S841" s="4">
        <f t="shared" si="274"/>
        <v>72</v>
      </c>
      <c r="T841" s="4">
        <f t="shared" si="275"/>
        <v>5</v>
      </c>
      <c r="U841" s="4">
        <f t="shared" si="276"/>
        <v>9</v>
      </c>
      <c r="V841" s="8">
        <f t="shared" si="277"/>
        <v>8</v>
      </c>
      <c r="W841" s="8">
        <f t="shared" si="278"/>
        <v>2</v>
      </c>
      <c r="X841">
        <f t="shared" si="279"/>
        <v>1</v>
      </c>
    </row>
    <row r="842" spans="1:24" x14ac:dyDescent="0.25">
      <c r="A842" s="4" t="s">
        <v>868</v>
      </c>
      <c r="B842" t="s">
        <v>5</v>
      </c>
      <c r="C842" t="s">
        <v>4</v>
      </c>
      <c r="D842" s="3">
        <f t="shared" si="260"/>
        <v>5</v>
      </c>
      <c r="E842" s="4">
        <f t="shared" si="261"/>
        <v>23</v>
      </c>
      <c r="F842" s="4">
        <f t="shared" si="262"/>
        <v>14</v>
      </c>
      <c r="G842" s="3">
        <f>IF(E842&gt;=20,2000,1900) + D842</f>
        <v>2005</v>
      </c>
      <c r="H842">
        <f t="shared" si="263"/>
        <v>3</v>
      </c>
      <c r="I842" s="4">
        <f t="shared" si="264"/>
        <v>14</v>
      </c>
      <c r="J842">
        <f t="shared" si="265"/>
        <v>20052314</v>
      </c>
      <c r="K842" t="str">
        <f t="shared" si="266"/>
        <v>14.23.2005</v>
      </c>
      <c r="L842" s="4">
        <f t="shared" si="267"/>
        <v>0</v>
      </c>
      <c r="M842" s="4">
        <f t="shared" si="268"/>
        <v>15</v>
      </c>
      <c r="N842" s="4">
        <f t="shared" si="269"/>
        <v>14</v>
      </c>
      <c r="O842" s="4">
        <f t="shared" si="270"/>
        <v>27</v>
      </c>
      <c r="P842" s="4">
        <f t="shared" si="271"/>
        <v>1</v>
      </c>
      <c r="Q842" s="4">
        <f t="shared" si="272"/>
        <v>12</v>
      </c>
      <c r="R842" s="4">
        <f t="shared" si="273"/>
        <v>0</v>
      </c>
      <c r="S842" s="4">
        <f t="shared" si="274"/>
        <v>54</v>
      </c>
      <c r="T842" s="4">
        <f t="shared" si="275"/>
        <v>1</v>
      </c>
      <c r="U842" s="4">
        <f t="shared" si="276"/>
        <v>15</v>
      </c>
      <c r="V842" s="8">
        <f t="shared" si="277"/>
        <v>9</v>
      </c>
      <c r="W842" s="8">
        <f t="shared" si="278"/>
        <v>1</v>
      </c>
      <c r="X842">
        <f t="shared" si="279"/>
        <v>1</v>
      </c>
    </row>
    <row r="843" spans="1:24" x14ac:dyDescent="0.25">
      <c r="A843" s="4" t="s">
        <v>869</v>
      </c>
      <c r="B843" t="s">
        <v>10</v>
      </c>
      <c r="C843" t="s">
        <v>6</v>
      </c>
      <c r="D843" s="3">
        <f t="shared" si="260"/>
        <v>4</v>
      </c>
      <c r="E843" s="4">
        <f t="shared" si="261"/>
        <v>31</v>
      </c>
      <c r="F843" s="4">
        <f t="shared" si="262"/>
        <v>24</v>
      </c>
      <c r="G843" s="3">
        <f>IF(E843&gt;=20,2000,1900) + D843</f>
        <v>2004</v>
      </c>
      <c r="H843">
        <f t="shared" si="263"/>
        <v>11</v>
      </c>
      <c r="I843" s="4">
        <f t="shared" si="264"/>
        <v>24</v>
      </c>
      <c r="J843">
        <f t="shared" si="265"/>
        <v>20043124</v>
      </c>
      <c r="K843" t="str">
        <f t="shared" si="266"/>
        <v>24.31.2004</v>
      </c>
      <c r="L843" s="4">
        <f t="shared" si="267"/>
        <v>0</v>
      </c>
      <c r="M843" s="4">
        <f t="shared" si="268"/>
        <v>12</v>
      </c>
      <c r="N843" s="4">
        <f t="shared" si="269"/>
        <v>21</v>
      </c>
      <c r="O843" s="4">
        <f t="shared" si="270"/>
        <v>9</v>
      </c>
      <c r="P843" s="4">
        <f t="shared" si="271"/>
        <v>2</v>
      </c>
      <c r="Q843" s="4">
        <f t="shared" si="272"/>
        <v>12</v>
      </c>
      <c r="R843" s="4">
        <f t="shared" si="273"/>
        <v>14</v>
      </c>
      <c r="S843" s="4">
        <f t="shared" si="274"/>
        <v>54</v>
      </c>
      <c r="T843" s="4">
        <f t="shared" si="275"/>
        <v>0</v>
      </c>
      <c r="U843" s="4">
        <f t="shared" si="276"/>
        <v>0</v>
      </c>
      <c r="V843" s="8">
        <f t="shared" si="277"/>
        <v>4</v>
      </c>
      <c r="W843" s="8">
        <f t="shared" si="278"/>
        <v>6</v>
      </c>
      <c r="X843">
        <f t="shared" si="279"/>
        <v>1</v>
      </c>
    </row>
    <row r="844" spans="1:24" x14ac:dyDescent="0.25">
      <c r="A844" s="4" t="s">
        <v>870</v>
      </c>
      <c r="B844" t="s">
        <v>9</v>
      </c>
      <c r="C844" t="s">
        <v>6</v>
      </c>
      <c r="D844" s="3">
        <f t="shared" si="260"/>
        <v>22</v>
      </c>
      <c r="E844" s="4">
        <f t="shared" si="261"/>
        <v>29</v>
      </c>
      <c r="F844" s="4">
        <f t="shared" si="262"/>
        <v>5</v>
      </c>
      <c r="G844" s="3">
        <f>IF(E844&gt;=20,2000,1900) + D844</f>
        <v>2022</v>
      </c>
      <c r="H844">
        <f t="shared" si="263"/>
        <v>9</v>
      </c>
      <c r="I844" s="4">
        <f t="shared" si="264"/>
        <v>5</v>
      </c>
      <c r="J844">
        <f t="shared" si="265"/>
        <v>20222905</v>
      </c>
      <c r="K844" t="str">
        <f t="shared" si="266"/>
        <v>05.29.2022</v>
      </c>
      <c r="L844" s="4">
        <f t="shared" si="267"/>
        <v>2</v>
      </c>
      <c r="M844" s="4">
        <f t="shared" si="268"/>
        <v>6</v>
      </c>
      <c r="N844" s="4">
        <f t="shared" si="269"/>
        <v>14</v>
      </c>
      <c r="O844" s="4">
        <f t="shared" si="270"/>
        <v>81</v>
      </c>
      <c r="P844" s="4">
        <f t="shared" si="271"/>
        <v>0</v>
      </c>
      <c r="Q844" s="4">
        <f t="shared" si="272"/>
        <v>15</v>
      </c>
      <c r="R844" s="4">
        <f t="shared" si="273"/>
        <v>49</v>
      </c>
      <c r="S844" s="4">
        <f t="shared" si="274"/>
        <v>63</v>
      </c>
      <c r="T844" s="4">
        <f t="shared" si="275"/>
        <v>9</v>
      </c>
      <c r="U844" s="4">
        <f t="shared" si="276"/>
        <v>27</v>
      </c>
      <c r="V844" s="8">
        <f t="shared" si="277"/>
        <v>6</v>
      </c>
      <c r="W844" s="8">
        <f t="shared" si="278"/>
        <v>4</v>
      </c>
      <c r="X844">
        <f t="shared" si="279"/>
        <v>1</v>
      </c>
    </row>
    <row r="845" spans="1:24" x14ac:dyDescent="0.25">
      <c r="A845" s="4" t="s">
        <v>871</v>
      </c>
      <c r="B845" t="s">
        <v>3</v>
      </c>
      <c r="C845" t="s">
        <v>4</v>
      </c>
      <c r="D845" s="3">
        <f t="shared" si="260"/>
        <v>19</v>
      </c>
      <c r="E845" s="4">
        <f t="shared" si="261"/>
        <v>28</v>
      </c>
      <c r="F845" s="4">
        <f t="shared" si="262"/>
        <v>9</v>
      </c>
      <c r="G845" s="3">
        <f>IF(E845&gt;=20,2000,1900) + D845</f>
        <v>2019</v>
      </c>
      <c r="H845">
        <f t="shared" si="263"/>
        <v>8</v>
      </c>
      <c r="I845" s="4">
        <f t="shared" si="264"/>
        <v>9</v>
      </c>
      <c r="J845">
        <f t="shared" si="265"/>
        <v>20192809</v>
      </c>
      <c r="K845" t="str">
        <f t="shared" si="266"/>
        <v>09.28.2019</v>
      </c>
      <c r="L845" s="4">
        <f t="shared" si="267"/>
        <v>1</v>
      </c>
      <c r="M845" s="4">
        <f t="shared" si="268"/>
        <v>27</v>
      </c>
      <c r="N845" s="4">
        <f t="shared" si="269"/>
        <v>14</v>
      </c>
      <c r="O845" s="4">
        <f t="shared" si="270"/>
        <v>72</v>
      </c>
      <c r="P845" s="4">
        <f t="shared" si="271"/>
        <v>0</v>
      </c>
      <c r="Q845" s="4">
        <f t="shared" si="272"/>
        <v>27</v>
      </c>
      <c r="R845" s="4">
        <f t="shared" si="273"/>
        <v>14</v>
      </c>
      <c r="S845" s="4">
        <f t="shared" si="274"/>
        <v>18</v>
      </c>
      <c r="T845" s="4">
        <f t="shared" si="275"/>
        <v>6</v>
      </c>
      <c r="U845" s="4">
        <f t="shared" si="276"/>
        <v>0</v>
      </c>
      <c r="V845" s="8">
        <f t="shared" si="277"/>
        <v>9</v>
      </c>
      <c r="W845" s="8">
        <f t="shared" si="278"/>
        <v>1</v>
      </c>
      <c r="X845">
        <f t="shared" si="279"/>
        <v>1</v>
      </c>
    </row>
    <row r="846" spans="1:24" x14ac:dyDescent="0.25">
      <c r="A846" s="4" t="s">
        <v>872</v>
      </c>
      <c r="B846" t="s">
        <v>20</v>
      </c>
      <c r="C846" t="s">
        <v>6</v>
      </c>
      <c r="D846" s="3">
        <f t="shared" si="260"/>
        <v>11</v>
      </c>
      <c r="E846" s="4">
        <f t="shared" si="261"/>
        <v>25</v>
      </c>
      <c r="F846" s="4">
        <f t="shared" si="262"/>
        <v>10</v>
      </c>
      <c r="G846" s="3">
        <f>IF(E846&gt;=20,2000,1900) + D846</f>
        <v>2011</v>
      </c>
      <c r="H846">
        <f t="shared" si="263"/>
        <v>5</v>
      </c>
      <c r="I846" s="4">
        <f t="shared" si="264"/>
        <v>10</v>
      </c>
      <c r="J846">
        <f t="shared" si="265"/>
        <v>20112510</v>
      </c>
      <c r="K846" t="str">
        <f t="shared" si="266"/>
        <v>10.25.2011</v>
      </c>
      <c r="L846" s="4">
        <f t="shared" si="267"/>
        <v>1</v>
      </c>
      <c r="M846" s="4">
        <f t="shared" si="268"/>
        <v>3</v>
      </c>
      <c r="N846" s="4">
        <f t="shared" si="269"/>
        <v>14</v>
      </c>
      <c r="O846" s="4">
        <f t="shared" si="270"/>
        <v>45</v>
      </c>
      <c r="P846" s="4">
        <f t="shared" si="271"/>
        <v>1</v>
      </c>
      <c r="Q846" s="4">
        <f t="shared" si="272"/>
        <v>0</v>
      </c>
      <c r="R846" s="4">
        <f t="shared" si="273"/>
        <v>63</v>
      </c>
      <c r="S846" s="4">
        <f t="shared" si="274"/>
        <v>45</v>
      </c>
      <c r="T846" s="4">
        <f t="shared" si="275"/>
        <v>7</v>
      </c>
      <c r="U846" s="4">
        <f t="shared" si="276"/>
        <v>15</v>
      </c>
      <c r="V846" s="8">
        <f t="shared" si="277"/>
        <v>4</v>
      </c>
      <c r="W846" s="8">
        <f t="shared" si="278"/>
        <v>6</v>
      </c>
      <c r="X846">
        <f t="shared" si="279"/>
        <v>1</v>
      </c>
    </row>
    <row r="847" spans="1:24" x14ac:dyDescent="0.25">
      <c r="A847" s="4" t="s">
        <v>873</v>
      </c>
      <c r="B847" t="s">
        <v>13</v>
      </c>
      <c r="C847" t="s">
        <v>4</v>
      </c>
      <c r="D847" s="3">
        <f t="shared" si="260"/>
        <v>6</v>
      </c>
      <c r="E847" s="4">
        <f t="shared" si="261"/>
        <v>22</v>
      </c>
      <c r="F847" s="4">
        <f t="shared" si="262"/>
        <v>4</v>
      </c>
      <c r="G847" s="3">
        <f>IF(E847&gt;=20,2000,1900) + D847</f>
        <v>2006</v>
      </c>
      <c r="H847">
        <f t="shared" si="263"/>
        <v>2</v>
      </c>
      <c r="I847" s="4">
        <f t="shared" si="264"/>
        <v>4</v>
      </c>
      <c r="J847">
        <f t="shared" si="265"/>
        <v>20062204</v>
      </c>
      <c r="K847" t="str">
        <f t="shared" si="266"/>
        <v>04.22.2006</v>
      </c>
      <c r="L847" s="4">
        <f t="shared" si="267"/>
        <v>0</v>
      </c>
      <c r="M847" s="4">
        <f t="shared" si="268"/>
        <v>18</v>
      </c>
      <c r="N847" s="4">
        <f t="shared" si="269"/>
        <v>14</v>
      </c>
      <c r="O847" s="4">
        <f t="shared" si="270"/>
        <v>18</v>
      </c>
      <c r="P847" s="4">
        <f t="shared" si="271"/>
        <v>0</v>
      </c>
      <c r="Q847" s="4">
        <f t="shared" si="272"/>
        <v>12</v>
      </c>
      <c r="R847" s="4">
        <f t="shared" si="273"/>
        <v>14</v>
      </c>
      <c r="S847" s="4">
        <f t="shared" si="274"/>
        <v>81</v>
      </c>
      <c r="T847" s="4">
        <f t="shared" si="275"/>
        <v>6</v>
      </c>
      <c r="U847" s="4">
        <f t="shared" si="276"/>
        <v>15</v>
      </c>
      <c r="V847" s="8">
        <f t="shared" si="277"/>
        <v>8</v>
      </c>
      <c r="W847" s="8">
        <f t="shared" si="278"/>
        <v>2</v>
      </c>
      <c r="X847">
        <f t="shared" si="279"/>
        <v>1</v>
      </c>
    </row>
    <row r="848" spans="1:24" x14ac:dyDescent="0.25">
      <c r="A848" s="4" t="s">
        <v>874</v>
      </c>
      <c r="B848" t="s">
        <v>3</v>
      </c>
      <c r="C848" t="s">
        <v>4</v>
      </c>
      <c r="D848" s="3">
        <f t="shared" si="260"/>
        <v>7</v>
      </c>
      <c r="E848" s="4">
        <f t="shared" si="261"/>
        <v>28</v>
      </c>
      <c r="F848" s="4">
        <f t="shared" si="262"/>
        <v>21</v>
      </c>
      <c r="G848" s="3">
        <f>IF(E848&gt;=20,2000,1900) + D848</f>
        <v>2007</v>
      </c>
      <c r="H848">
        <f t="shared" si="263"/>
        <v>8</v>
      </c>
      <c r="I848" s="4">
        <f t="shared" si="264"/>
        <v>21</v>
      </c>
      <c r="J848">
        <f t="shared" si="265"/>
        <v>20072821</v>
      </c>
      <c r="K848" t="str">
        <f t="shared" si="266"/>
        <v>21.28.2007</v>
      </c>
      <c r="L848" s="4">
        <f t="shared" si="267"/>
        <v>0</v>
      </c>
      <c r="M848" s="4">
        <f t="shared" si="268"/>
        <v>21</v>
      </c>
      <c r="N848" s="4">
        <f t="shared" si="269"/>
        <v>14</v>
      </c>
      <c r="O848" s="4">
        <f t="shared" si="270"/>
        <v>72</v>
      </c>
      <c r="P848" s="4">
        <f t="shared" si="271"/>
        <v>2</v>
      </c>
      <c r="Q848" s="4">
        <f t="shared" si="272"/>
        <v>3</v>
      </c>
      <c r="R848" s="4">
        <f t="shared" si="273"/>
        <v>0</v>
      </c>
      <c r="S848" s="4">
        <f t="shared" si="274"/>
        <v>63</v>
      </c>
      <c r="T848" s="4">
        <f t="shared" si="275"/>
        <v>6</v>
      </c>
      <c r="U848" s="4">
        <f t="shared" si="276"/>
        <v>18</v>
      </c>
      <c r="V848" s="8">
        <f t="shared" si="277"/>
        <v>9</v>
      </c>
      <c r="W848" s="8">
        <f t="shared" si="278"/>
        <v>1</v>
      </c>
      <c r="X848">
        <f t="shared" si="279"/>
        <v>1</v>
      </c>
    </row>
    <row r="849" spans="1:24" x14ac:dyDescent="0.25">
      <c r="A849" s="4" t="s">
        <v>875</v>
      </c>
      <c r="B849" t="s">
        <v>11</v>
      </c>
      <c r="C849" t="s">
        <v>6</v>
      </c>
      <c r="D849" s="3">
        <f t="shared" si="260"/>
        <v>0</v>
      </c>
      <c r="E849" s="4">
        <f t="shared" si="261"/>
        <v>32</v>
      </c>
      <c r="F849" s="4">
        <f t="shared" si="262"/>
        <v>12</v>
      </c>
      <c r="G849" s="3">
        <f>IF(E849&gt;=20,2000,1900) + D849</f>
        <v>2000</v>
      </c>
      <c r="H849">
        <f t="shared" si="263"/>
        <v>12</v>
      </c>
      <c r="I849" s="4">
        <f t="shared" si="264"/>
        <v>12</v>
      </c>
      <c r="J849">
        <f t="shared" si="265"/>
        <v>20003212</v>
      </c>
      <c r="K849" t="str">
        <f t="shared" si="266"/>
        <v>12.32.2000</v>
      </c>
      <c r="L849" s="4">
        <f t="shared" si="267"/>
        <v>0</v>
      </c>
      <c r="M849" s="4">
        <f t="shared" si="268"/>
        <v>0</v>
      </c>
      <c r="N849" s="4">
        <f t="shared" si="269"/>
        <v>21</v>
      </c>
      <c r="O849" s="4">
        <f t="shared" si="270"/>
        <v>18</v>
      </c>
      <c r="P849" s="4">
        <f t="shared" si="271"/>
        <v>1</v>
      </c>
      <c r="Q849" s="4">
        <f t="shared" si="272"/>
        <v>6</v>
      </c>
      <c r="R849" s="4">
        <f t="shared" si="273"/>
        <v>49</v>
      </c>
      <c r="S849" s="4">
        <f t="shared" si="274"/>
        <v>45</v>
      </c>
      <c r="T849" s="4">
        <f t="shared" si="275"/>
        <v>1</v>
      </c>
      <c r="U849" s="4">
        <f t="shared" si="276"/>
        <v>9</v>
      </c>
      <c r="V849" s="8">
        <f t="shared" si="277"/>
        <v>0</v>
      </c>
      <c r="W849" s="8">
        <f t="shared" si="278"/>
        <v>0</v>
      </c>
      <c r="X849">
        <f t="shared" si="279"/>
        <v>1</v>
      </c>
    </row>
    <row r="850" spans="1:24" x14ac:dyDescent="0.25">
      <c r="A850" s="4" t="s">
        <v>876</v>
      </c>
      <c r="B850" t="s">
        <v>16</v>
      </c>
      <c r="C850" t="s">
        <v>4</v>
      </c>
      <c r="D850" s="3">
        <f t="shared" si="260"/>
        <v>17</v>
      </c>
      <c r="E850" s="4">
        <f t="shared" si="261"/>
        <v>23</v>
      </c>
      <c r="F850" s="4">
        <f t="shared" si="262"/>
        <v>1</v>
      </c>
      <c r="G850" s="3">
        <f>IF(E850&gt;=20,2000,1900) + D850</f>
        <v>2017</v>
      </c>
      <c r="H850">
        <f t="shared" si="263"/>
        <v>3</v>
      </c>
      <c r="I850" s="4">
        <f t="shared" si="264"/>
        <v>1</v>
      </c>
      <c r="J850">
        <f t="shared" si="265"/>
        <v>20172301</v>
      </c>
      <c r="K850" t="str">
        <f t="shared" si="266"/>
        <v>01.23.2017</v>
      </c>
      <c r="L850" s="4">
        <f t="shared" si="267"/>
        <v>1</v>
      </c>
      <c r="M850" s="4">
        <f t="shared" si="268"/>
        <v>21</v>
      </c>
      <c r="N850" s="4">
        <f t="shared" si="269"/>
        <v>14</v>
      </c>
      <c r="O850" s="4">
        <f t="shared" si="270"/>
        <v>27</v>
      </c>
      <c r="P850" s="4">
        <f t="shared" si="271"/>
        <v>0</v>
      </c>
      <c r="Q850" s="4">
        <f t="shared" si="272"/>
        <v>3</v>
      </c>
      <c r="R850" s="4">
        <f t="shared" si="273"/>
        <v>42</v>
      </c>
      <c r="S850" s="4">
        <f t="shared" si="274"/>
        <v>81</v>
      </c>
      <c r="T850" s="4">
        <f t="shared" si="275"/>
        <v>1</v>
      </c>
      <c r="U850" s="4">
        <f t="shared" si="276"/>
        <v>18</v>
      </c>
      <c r="V850" s="8">
        <f t="shared" si="277"/>
        <v>8</v>
      </c>
      <c r="W850" s="8">
        <f t="shared" si="278"/>
        <v>2</v>
      </c>
      <c r="X850">
        <f t="shared" si="279"/>
        <v>1</v>
      </c>
    </row>
    <row r="851" spans="1:24" x14ac:dyDescent="0.25">
      <c r="A851" s="4" t="s">
        <v>877</v>
      </c>
      <c r="B851" t="s">
        <v>11</v>
      </c>
      <c r="C851" t="s">
        <v>4</v>
      </c>
      <c r="D851" s="3">
        <f t="shared" si="260"/>
        <v>10</v>
      </c>
      <c r="E851" s="4">
        <f t="shared" si="261"/>
        <v>25</v>
      </c>
      <c r="F851" s="4">
        <f t="shared" si="262"/>
        <v>29</v>
      </c>
      <c r="G851" s="3">
        <f>IF(E851&gt;=20,2000,1900) + D851</f>
        <v>2010</v>
      </c>
      <c r="H851">
        <f t="shared" si="263"/>
        <v>5</v>
      </c>
      <c r="I851" s="4">
        <f t="shared" si="264"/>
        <v>29</v>
      </c>
      <c r="J851">
        <f t="shared" si="265"/>
        <v>20102529</v>
      </c>
      <c r="K851" t="str">
        <f t="shared" si="266"/>
        <v>29.25.2010</v>
      </c>
      <c r="L851" s="4">
        <f t="shared" si="267"/>
        <v>1</v>
      </c>
      <c r="M851" s="4">
        <f t="shared" si="268"/>
        <v>0</v>
      </c>
      <c r="N851" s="4">
        <f t="shared" si="269"/>
        <v>14</v>
      </c>
      <c r="O851" s="4">
        <f t="shared" si="270"/>
        <v>45</v>
      </c>
      <c r="P851" s="4">
        <f t="shared" si="271"/>
        <v>2</v>
      </c>
      <c r="Q851" s="4">
        <f t="shared" si="272"/>
        <v>27</v>
      </c>
      <c r="R851" s="4">
        <f t="shared" si="273"/>
        <v>56</v>
      </c>
      <c r="S851" s="4">
        <f t="shared" si="274"/>
        <v>72</v>
      </c>
      <c r="T851" s="4">
        <f t="shared" si="275"/>
        <v>3</v>
      </c>
      <c r="U851" s="4">
        <f t="shared" si="276"/>
        <v>3</v>
      </c>
      <c r="V851" s="8">
        <f t="shared" si="277"/>
        <v>3</v>
      </c>
      <c r="W851" s="8">
        <f t="shared" si="278"/>
        <v>7</v>
      </c>
      <c r="X851">
        <f t="shared" si="279"/>
        <v>1</v>
      </c>
    </row>
    <row r="852" spans="1:24" x14ac:dyDescent="0.25">
      <c r="A852" s="4" t="s">
        <v>878</v>
      </c>
      <c r="B852" t="s">
        <v>12</v>
      </c>
      <c r="C852" t="s">
        <v>6</v>
      </c>
      <c r="D852" s="3">
        <f t="shared" si="260"/>
        <v>11</v>
      </c>
      <c r="E852" s="4">
        <f t="shared" si="261"/>
        <v>22</v>
      </c>
      <c r="F852" s="4">
        <f t="shared" si="262"/>
        <v>19</v>
      </c>
      <c r="G852" s="3">
        <f>IF(E852&gt;=20,2000,1900) + D852</f>
        <v>2011</v>
      </c>
      <c r="H852">
        <f t="shared" si="263"/>
        <v>2</v>
      </c>
      <c r="I852" s="4">
        <f t="shared" si="264"/>
        <v>19</v>
      </c>
      <c r="J852">
        <f t="shared" si="265"/>
        <v>20112219</v>
      </c>
      <c r="K852" t="str">
        <f t="shared" si="266"/>
        <v>19.22.2011</v>
      </c>
      <c r="L852" s="4">
        <f t="shared" si="267"/>
        <v>1</v>
      </c>
      <c r="M852" s="4">
        <f t="shared" si="268"/>
        <v>3</v>
      </c>
      <c r="N852" s="4">
        <f t="shared" si="269"/>
        <v>14</v>
      </c>
      <c r="O852" s="4">
        <f t="shared" si="270"/>
        <v>18</v>
      </c>
      <c r="P852" s="4">
        <f t="shared" si="271"/>
        <v>1</v>
      </c>
      <c r="Q852" s="4">
        <f t="shared" si="272"/>
        <v>27</v>
      </c>
      <c r="R852" s="4">
        <f t="shared" si="273"/>
        <v>28</v>
      </c>
      <c r="S852" s="4">
        <f t="shared" si="274"/>
        <v>54</v>
      </c>
      <c r="T852" s="4">
        <f t="shared" si="275"/>
        <v>1</v>
      </c>
      <c r="U852" s="4">
        <f t="shared" si="276"/>
        <v>6</v>
      </c>
      <c r="V852" s="8">
        <f t="shared" si="277"/>
        <v>3</v>
      </c>
      <c r="W852" s="8">
        <f t="shared" si="278"/>
        <v>7</v>
      </c>
      <c r="X852">
        <f t="shared" si="279"/>
        <v>1</v>
      </c>
    </row>
    <row r="853" spans="1:24" x14ac:dyDescent="0.25">
      <c r="A853" s="4" t="s">
        <v>879</v>
      </c>
      <c r="B853" t="s">
        <v>14</v>
      </c>
      <c r="C853" t="s">
        <v>4</v>
      </c>
      <c r="D853" s="3">
        <f t="shared" si="260"/>
        <v>1</v>
      </c>
      <c r="E853" s="4">
        <f t="shared" si="261"/>
        <v>26</v>
      </c>
      <c r="F853" s="4">
        <f t="shared" si="262"/>
        <v>22</v>
      </c>
      <c r="G853" s="3">
        <f>IF(E853&gt;=20,2000,1900) + D853</f>
        <v>2001</v>
      </c>
      <c r="H853">
        <f t="shared" si="263"/>
        <v>6</v>
      </c>
      <c r="I853" s="4">
        <f t="shared" si="264"/>
        <v>22</v>
      </c>
      <c r="J853">
        <f t="shared" si="265"/>
        <v>20012622</v>
      </c>
      <c r="K853" t="str">
        <f t="shared" si="266"/>
        <v>22.26.2001</v>
      </c>
      <c r="L853" s="4">
        <f t="shared" si="267"/>
        <v>0</v>
      </c>
      <c r="M853" s="4">
        <f t="shared" si="268"/>
        <v>3</v>
      </c>
      <c r="N853" s="4">
        <f t="shared" si="269"/>
        <v>14</v>
      </c>
      <c r="O853" s="4">
        <f t="shared" si="270"/>
        <v>54</v>
      </c>
      <c r="P853" s="4">
        <f t="shared" si="271"/>
        <v>2</v>
      </c>
      <c r="Q853" s="4">
        <f t="shared" si="272"/>
        <v>6</v>
      </c>
      <c r="R853" s="4">
        <f t="shared" si="273"/>
        <v>49</v>
      </c>
      <c r="S853" s="4">
        <f t="shared" si="274"/>
        <v>81</v>
      </c>
      <c r="T853" s="4">
        <f t="shared" si="275"/>
        <v>2</v>
      </c>
      <c r="U853" s="4">
        <f t="shared" si="276"/>
        <v>3</v>
      </c>
      <c r="V853" s="8">
        <f t="shared" si="277"/>
        <v>4</v>
      </c>
      <c r="W853" s="8">
        <f t="shared" si="278"/>
        <v>6</v>
      </c>
      <c r="X853">
        <f t="shared" si="279"/>
        <v>1</v>
      </c>
    </row>
    <row r="854" spans="1:24" x14ac:dyDescent="0.25">
      <c r="A854" s="4" t="s">
        <v>880</v>
      </c>
      <c r="B854" t="s">
        <v>14</v>
      </c>
      <c r="C854" t="s">
        <v>6</v>
      </c>
      <c r="D854" s="3">
        <f t="shared" si="260"/>
        <v>8</v>
      </c>
      <c r="E854" s="4">
        <f t="shared" si="261"/>
        <v>23</v>
      </c>
      <c r="F854" s="4">
        <f t="shared" si="262"/>
        <v>29</v>
      </c>
      <c r="G854" s="3">
        <f>IF(E854&gt;=20,2000,1900) + D854</f>
        <v>2008</v>
      </c>
      <c r="H854">
        <f t="shared" si="263"/>
        <v>3</v>
      </c>
      <c r="I854" s="4">
        <f t="shared" si="264"/>
        <v>29</v>
      </c>
      <c r="J854">
        <f t="shared" si="265"/>
        <v>20082329</v>
      </c>
      <c r="K854" t="str">
        <f t="shared" si="266"/>
        <v>29.23.2008</v>
      </c>
      <c r="L854" s="4">
        <f t="shared" si="267"/>
        <v>0</v>
      </c>
      <c r="M854" s="4">
        <f t="shared" si="268"/>
        <v>24</v>
      </c>
      <c r="N854" s="4">
        <f t="shared" si="269"/>
        <v>14</v>
      </c>
      <c r="O854" s="4">
        <f t="shared" si="270"/>
        <v>27</v>
      </c>
      <c r="P854" s="4">
        <f t="shared" si="271"/>
        <v>2</v>
      </c>
      <c r="Q854" s="4">
        <f t="shared" si="272"/>
        <v>27</v>
      </c>
      <c r="R854" s="4">
        <f t="shared" si="273"/>
        <v>63</v>
      </c>
      <c r="S854" s="4">
        <f t="shared" si="274"/>
        <v>63</v>
      </c>
      <c r="T854" s="4">
        <f t="shared" si="275"/>
        <v>7</v>
      </c>
      <c r="U854" s="4">
        <f t="shared" si="276"/>
        <v>3</v>
      </c>
      <c r="V854" s="8">
        <f t="shared" si="277"/>
        <v>0</v>
      </c>
      <c r="W854" s="8">
        <f t="shared" si="278"/>
        <v>0</v>
      </c>
      <c r="X854">
        <f t="shared" si="279"/>
        <v>1</v>
      </c>
    </row>
    <row r="855" spans="1:24" x14ac:dyDescent="0.25">
      <c r="A855" s="4" t="s">
        <v>881</v>
      </c>
      <c r="B855" t="s">
        <v>3</v>
      </c>
      <c r="C855" t="s">
        <v>4</v>
      </c>
      <c r="D855" s="3">
        <f t="shared" si="260"/>
        <v>15</v>
      </c>
      <c r="E855" s="4">
        <f t="shared" si="261"/>
        <v>25</v>
      </c>
      <c r="F855" s="4">
        <f t="shared" si="262"/>
        <v>20</v>
      </c>
      <c r="G855" s="3">
        <f>IF(E855&gt;=20,2000,1900) + D855</f>
        <v>2015</v>
      </c>
      <c r="H855">
        <f t="shared" si="263"/>
        <v>5</v>
      </c>
      <c r="I855" s="4">
        <f t="shared" si="264"/>
        <v>20</v>
      </c>
      <c r="J855">
        <f t="shared" si="265"/>
        <v>20152520</v>
      </c>
      <c r="K855" t="str">
        <f t="shared" si="266"/>
        <v>20.25.2015</v>
      </c>
      <c r="L855" s="4">
        <f t="shared" si="267"/>
        <v>1</v>
      </c>
      <c r="M855" s="4">
        <f t="shared" si="268"/>
        <v>15</v>
      </c>
      <c r="N855" s="4">
        <f t="shared" si="269"/>
        <v>14</v>
      </c>
      <c r="O855" s="4">
        <f t="shared" si="270"/>
        <v>45</v>
      </c>
      <c r="P855" s="4">
        <f t="shared" si="271"/>
        <v>2</v>
      </c>
      <c r="Q855" s="4">
        <f t="shared" si="272"/>
        <v>0</v>
      </c>
      <c r="R855" s="4">
        <f t="shared" si="273"/>
        <v>42</v>
      </c>
      <c r="S855" s="4">
        <f t="shared" si="274"/>
        <v>45</v>
      </c>
      <c r="T855" s="4">
        <f t="shared" si="275"/>
        <v>8</v>
      </c>
      <c r="U855" s="4">
        <f t="shared" si="276"/>
        <v>27</v>
      </c>
      <c r="V855" s="8">
        <f t="shared" si="277"/>
        <v>9</v>
      </c>
      <c r="W855" s="8">
        <f t="shared" si="278"/>
        <v>1</v>
      </c>
      <c r="X855">
        <f t="shared" si="279"/>
        <v>1</v>
      </c>
    </row>
    <row r="856" spans="1:24" x14ac:dyDescent="0.25">
      <c r="A856" s="4" t="s">
        <v>882</v>
      </c>
      <c r="B856" t="s">
        <v>10</v>
      </c>
      <c r="C856" t="s">
        <v>6</v>
      </c>
      <c r="D856" s="3">
        <f t="shared" si="260"/>
        <v>12</v>
      </c>
      <c r="E856" s="4">
        <f t="shared" si="261"/>
        <v>27</v>
      </c>
      <c r="F856" s="4">
        <f t="shared" si="262"/>
        <v>6</v>
      </c>
      <c r="G856" s="3">
        <f>IF(E856&gt;=20,2000,1900) + D856</f>
        <v>2012</v>
      </c>
      <c r="H856">
        <f t="shared" si="263"/>
        <v>7</v>
      </c>
      <c r="I856" s="4">
        <f t="shared" si="264"/>
        <v>6</v>
      </c>
      <c r="J856">
        <f t="shared" si="265"/>
        <v>20122706</v>
      </c>
      <c r="K856" t="str">
        <f t="shared" si="266"/>
        <v>06.27.2012</v>
      </c>
      <c r="L856" s="4">
        <f t="shared" si="267"/>
        <v>1</v>
      </c>
      <c r="M856" s="4">
        <f t="shared" si="268"/>
        <v>6</v>
      </c>
      <c r="N856" s="4">
        <f t="shared" si="269"/>
        <v>14</v>
      </c>
      <c r="O856" s="4">
        <f t="shared" si="270"/>
        <v>63</v>
      </c>
      <c r="P856" s="4">
        <f t="shared" si="271"/>
        <v>0</v>
      </c>
      <c r="Q856" s="4">
        <f t="shared" si="272"/>
        <v>18</v>
      </c>
      <c r="R856" s="4">
        <f t="shared" si="273"/>
        <v>14</v>
      </c>
      <c r="S856" s="4">
        <f t="shared" si="274"/>
        <v>72</v>
      </c>
      <c r="T856" s="4">
        <f t="shared" si="275"/>
        <v>4</v>
      </c>
      <c r="U856" s="4">
        <f t="shared" si="276"/>
        <v>18</v>
      </c>
      <c r="V856" s="8">
        <f t="shared" si="277"/>
        <v>0</v>
      </c>
      <c r="W856" s="8">
        <f t="shared" si="278"/>
        <v>0</v>
      </c>
      <c r="X856">
        <f t="shared" si="279"/>
        <v>1</v>
      </c>
    </row>
    <row r="857" spans="1:24" x14ac:dyDescent="0.25">
      <c r="A857" s="4" t="s">
        <v>883</v>
      </c>
      <c r="B857" t="s">
        <v>3</v>
      </c>
      <c r="C857" t="s">
        <v>4</v>
      </c>
      <c r="D857" s="3">
        <f t="shared" si="260"/>
        <v>6</v>
      </c>
      <c r="E857" s="4">
        <f t="shared" si="261"/>
        <v>29</v>
      </c>
      <c r="F857" s="4">
        <f t="shared" si="262"/>
        <v>28</v>
      </c>
      <c r="G857" s="3">
        <f>IF(E857&gt;=20,2000,1900) + D857</f>
        <v>2006</v>
      </c>
      <c r="H857">
        <f t="shared" si="263"/>
        <v>9</v>
      </c>
      <c r="I857" s="4">
        <f t="shared" si="264"/>
        <v>28</v>
      </c>
      <c r="J857">
        <f t="shared" si="265"/>
        <v>20062928</v>
      </c>
      <c r="K857" t="str">
        <f t="shared" si="266"/>
        <v>28.29.2006</v>
      </c>
      <c r="L857" s="4">
        <f t="shared" si="267"/>
        <v>0</v>
      </c>
      <c r="M857" s="4">
        <f t="shared" si="268"/>
        <v>18</v>
      </c>
      <c r="N857" s="4">
        <f t="shared" si="269"/>
        <v>14</v>
      </c>
      <c r="O857" s="4">
        <f t="shared" si="270"/>
        <v>81</v>
      </c>
      <c r="P857" s="4">
        <f t="shared" si="271"/>
        <v>2</v>
      </c>
      <c r="Q857" s="4">
        <f t="shared" si="272"/>
        <v>24</v>
      </c>
      <c r="R857" s="4">
        <f t="shared" si="273"/>
        <v>7</v>
      </c>
      <c r="S857" s="4">
        <f t="shared" si="274"/>
        <v>63</v>
      </c>
      <c r="T857" s="4">
        <f t="shared" si="275"/>
        <v>3</v>
      </c>
      <c r="U857" s="4">
        <f t="shared" si="276"/>
        <v>15</v>
      </c>
      <c r="V857" s="8">
        <f t="shared" si="277"/>
        <v>7</v>
      </c>
      <c r="W857" s="8">
        <f t="shared" si="278"/>
        <v>3</v>
      </c>
      <c r="X857">
        <f t="shared" si="279"/>
        <v>1</v>
      </c>
    </row>
    <row r="858" spans="1:24" x14ac:dyDescent="0.25">
      <c r="A858" s="4" t="s">
        <v>884</v>
      </c>
      <c r="B858" t="s">
        <v>16</v>
      </c>
      <c r="C858" t="s">
        <v>6</v>
      </c>
      <c r="D858" s="3">
        <f t="shared" si="260"/>
        <v>20</v>
      </c>
      <c r="E858" s="4">
        <f t="shared" si="261"/>
        <v>25</v>
      </c>
      <c r="F858" s="4">
        <f t="shared" si="262"/>
        <v>12</v>
      </c>
      <c r="G858" s="3">
        <f>IF(E858&gt;=20,2000,1900) + D858</f>
        <v>2020</v>
      </c>
      <c r="H858">
        <f t="shared" si="263"/>
        <v>5</v>
      </c>
      <c r="I858" s="4">
        <f t="shared" si="264"/>
        <v>12</v>
      </c>
      <c r="J858">
        <f t="shared" si="265"/>
        <v>20202512</v>
      </c>
      <c r="K858" t="str">
        <f t="shared" si="266"/>
        <v>12.25.2020</v>
      </c>
      <c r="L858" s="4">
        <f t="shared" si="267"/>
        <v>2</v>
      </c>
      <c r="M858" s="4">
        <f t="shared" si="268"/>
        <v>0</v>
      </c>
      <c r="N858" s="4">
        <f t="shared" si="269"/>
        <v>14</v>
      </c>
      <c r="O858" s="4">
        <f t="shared" si="270"/>
        <v>45</v>
      </c>
      <c r="P858" s="4">
        <f t="shared" si="271"/>
        <v>1</v>
      </c>
      <c r="Q858" s="4">
        <f t="shared" si="272"/>
        <v>6</v>
      </c>
      <c r="R858" s="4">
        <f t="shared" si="273"/>
        <v>28</v>
      </c>
      <c r="S858" s="4">
        <f t="shared" si="274"/>
        <v>54</v>
      </c>
      <c r="T858" s="4">
        <f t="shared" si="275"/>
        <v>9</v>
      </c>
      <c r="U858" s="4">
        <f t="shared" si="276"/>
        <v>21</v>
      </c>
      <c r="V858" s="8">
        <f t="shared" si="277"/>
        <v>0</v>
      </c>
      <c r="W858" s="8">
        <f t="shared" si="278"/>
        <v>0</v>
      </c>
      <c r="X858">
        <f t="shared" si="279"/>
        <v>1</v>
      </c>
    </row>
    <row r="859" spans="1:24" x14ac:dyDescent="0.25">
      <c r="A859" s="4" t="s">
        <v>885</v>
      </c>
      <c r="B859" t="s">
        <v>9</v>
      </c>
      <c r="C859" t="s">
        <v>4</v>
      </c>
      <c r="D859" s="3">
        <f t="shared" si="260"/>
        <v>15</v>
      </c>
      <c r="E859" s="4">
        <f t="shared" si="261"/>
        <v>24</v>
      </c>
      <c r="F859" s="4">
        <f t="shared" si="262"/>
        <v>1</v>
      </c>
      <c r="G859" s="3">
        <f>IF(E859&gt;=20,2000,1900) + D859</f>
        <v>2015</v>
      </c>
      <c r="H859">
        <f t="shared" si="263"/>
        <v>4</v>
      </c>
      <c r="I859" s="4">
        <f t="shared" si="264"/>
        <v>1</v>
      </c>
      <c r="J859">
        <f t="shared" si="265"/>
        <v>20152401</v>
      </c>
      <c r="K859" t="str">
        <f t="shared" si="266"/>
        <v>01.24.2015</v>
      </c>
      <c r="L859" s="4">
        <f t="shared" si="267"/>
        <v>1</v>
      </c>
      <c r="M859" s="4">
        <f t="shared" si="268"/>
        <v>15</v>
      </c>
      <c r="N859" s="4">
        <f t="shared" si="269"/>
        <v>14</v>
      </c>
      <c r="O859" s="4">
        <f t="shared" si="270"/>
        <v>36</v>
      </c>
      <c r="P859" s="4">
        <f t="shared" si="271"/>
        <v>0</v>
      </c>
      <c r="Q859" s="4">
        <f t="shared" si="272"/>
        <v>3</v>
      </c>
      <c r="R859" s="4">
        <f t="shared" si="273"/>
        <v>49</v>
      </c>
      <c r="S859" s="4">
        <f t="shared" si="274"/>
        <v>36</v>
      </c>
      <c r="T859" s="4">
        <f t="shared" si="275"/>
        <v>5</v>
      </c>
      <c r="U859" s="4">
        <f t="shared" si="276"/>
        <v>24</v>
      </c>
      <c r="V859" s="8">
        <f t="shared" si="277"/>
        <v>3</v>
      </c>
      <c r="W859" s="8">
        <f t="shared" si="278"/>
        <v>7</v>
      </c>
      <c r="X859">
        <f t="shared" si="279"/>
        <v>1</v>
      </c>
    </row>
    <row r="860" spans="1:24" x14ac:dyDescent="0.25">
      <c r="A860" s="4" t="s">
        <v>886</v>
      </c>
      <c r="B860" t="s">
        <v>16</v>
      </c>
      <c r="C860" t="s">
        <v>4</v>
      </c>
      <c r="D860" s="3">
        <f t="shared" si="260"/>
        <v>12</v>
      </c>
      <c r="E860" s="4">
        <f t="shared" si="261"/>
        <v>22</v>
      </c>
      <c r="F860" s="4">
        <f t="shared" si="262"/>
        <v>6</v>
      </c>
      <c r="G860" s="3">
        <f>IF(E860&gt;=20,2000,1900) + D860</f>
        <v>2012</v>
      </c>
      <c r="H860">
        <f t="shared" si="263"/>
        <v>2</v>
      </c>
      <c r="I860" s="4">
        <f t="shared" si="264"/>
        <v>6</v>
      </c>
      <c r="J860">
        <f t="shared" si="265"/>
        <v>20122206</v>
      </c>
      <c r="K860" t="str">
        <f t="shared" si="266"/>
        <v>06.22.2012</v>
      </c>
      <c r="L860" s="4">
        <f t="shared" si="267"/>
        <v>1</v>
      </c>
      <c r="M860" s="4">
        <f t="shared" si="268"/>
        <v>6</v>
      </c>
      <c r="N860" s="4">
        <f t="shared" si="269"/>
        <v>14</v>
      </c>
      <c r="O860" s="4">
        <f t="shared" si="270"/>
        <v>18</v>
      </c>
      <c r="P860" s="4">
        <f t="shared" si="271"/>
        <v>0</v>
      </c>
      <c r="Q860" s="4">
        <f t="shared" si="272"/>
        <v>18</v>
      </c>
      <c r="R860" s="4">
        <f t="shared" si="273"/>
        <v>7</v>
      </c>
      <c r="S860" s="4">
        <f t="shared" si="274"/>
        <v>63</v>
      </c>
      <c r="T860" s="4">
        <f t="shared" si="275"/>
        <v>4</v>
      </c>
      <c r="U860" s="4">
        <f t="shared" si="276"/>
        <v>27</v>
      </c>
      <c r="V860" s="8">
        <f t="shared" si="277"/>
        <v>8</v>
      </c>
      <c r="W860" s="8">
        <f t="shared" si="278"/>
        <v>2</v>
      </c>
      <c r="X860">
        <f t="shared" si="279"/>
        <v>1</v>
      </c>
    </row>
    <row r="861" spans="1:24" x14ac:dyDescent="0.25">
      <c r="A861" s="4" t="s">
        <v>887</v>
      </c>
      <c r="B861" t="s">
        <v>13</v>
      </c>
      <c r="C861" t="s">
        <v>4</v>
      </c>
      <c r="D861" s="3">
        <f t="shared" si="260"/>
        <v>1</v>
      </c>
      <c r="E861" s="4">
        <f t="shared" si="261"/>
        <v>23</v>
      </c>
      <c r="F861" s="4">
        <f t="shared" si="262"/>
        <v>30</v>
      </c>
      <c r="G861" s="3">
        <f>IF(E861&gt;=20,2000,1900) + D861</f>
        <v>2001</v>
      </c>
      <c r="H861">
        <f t="shared" si="263"/>
        <v>3</v>
      </c>
      <c r="I861" s="4">
        <f t="shared" si="264"/>
        <v>30</v>
      </c>
      <c r="J861">
        <f t="shared" si="265"/>
        <v>20012330</v>
      </c>
      <c r="K861" t="str">
        <f t="shared" si="266"/>
        <v>30.23.2001</v>
      </c>
      <c r="L861" s="4">
        <f t="shared" si="267"/>
        <v>0</v>
      </c>
      <c r="M861" s="4">
        <f t="shared" si="268"/>
        <v>3</v>
      </c>
      <c r="N861" s="4">
        <f t="shared" si="269"/>
        <v>14</v>
      </c>
      <c r="O861" s="4">
        <f t="shared" si="270"/>
        <v>27</v>
      </c>
      <c r="P861" s="4">
        <f t="shared" si="271"/>
        <v>3</v>
      </c>
      <c r="Q861" s="4">
        <f t="shared" si="272"/>
        <v>0</v>
      </c>
      <c r="R861" s="4">
        <f t="shared" si="273"/>
        <v>63</v>
      </c>
      <c r="S861" s="4">
        <f t="shared" si="274"/>
        <v>0</v>
      </c>
      <c r="T861" s="4">
        <f t="shared" si="275"/>
        <v>5</v>
      </c>
      <c r="U861" s="4">
        <f t="shared" si="276"/>
        <v>3</v>
      </c>
      <c r="V861" s="8">
        <f t="shared" si="277"/>
        <v>8</v>
      </c>
      <c r="W861" s="8">
        <f t="shared" si="278"/>
        <v>2</v>
      </c>
      <c r="X861">
        <f t="shared" si="279"/>
        <v>1</v>
      </c>
    </row>
    <row r="862" spans="1:24" x14ac:dyDescent="0.25">
      <c r="A862" s="4" t="s">
        <v>888</v>
      </c>
      <c r="B862" t="s">
        <v>12</v>
      </c>
      <c r="C862" t="s">
        <v>6</v>
      </c>
      <c r="D862" s="3">
        <f t="shared" si="260"/>
        <v>3</v>
      </c>
      <c r="E862" s="4">
        <f t="shared" si="261"/>
        <v>31</v>
      </c>
      <c r="F862" s="4">
        <f t="shared" si="262"/>
        <v>17</v>
      </c>
      <c r="G862" s="3">
        <f>IF(E862&gt;=20,2000,1900) + D862</f>
        <v>2003</v>
      </c>
      <c r="H862">
        <f t="shared" si="263"/>
        <v>11</v>
      </c>
      <c r="I862" s="4">
        <f t="shared" si="264"/>
        <v>17</v>
      </c>
      <c r="J862">
        <f t="shared" si="265"/>
        <v>20033117</v>
      </c>
      <c r="K862" t="str">
        <f t="shared" si="266"/>
        <v>17.31.2003</v>
      </c>
      <c r="L862" s="4">
        <f t="shared" si="267"/>
        <v>0</v>
      </c>
      <c r="M862" s="4">
        <f t="shared" si="268"/>
        <v>9</v>
      </c>
      <c r="N862" s="4">
        <f t="shared" si="269"/>
        <v>21</v>
      </c>
      <c r="O862" s="4">
        <f t="shared" si="270"/>
        <v>9</v>
      </c>
      <c r="P862" s="4">
        <f t="shared" si="271"/>
        <v>1</v>
      </c>
      <c r="Q862" s="4">
        <f t="shared" si="272"/>
        <v>21</v>
      </c>
      <c r="R862" s="4">
        <f t="shared" si="273"/>
        <v>7</v>
      </c>
      <c r="S862" s="4">
        <f t="shared" si="274"/>
        <v>18</v>
      </c>
      <c r="T862" s="4">
        <f t="shared" si="275"/>
        <v>4</v>
      </c>
      <c r="U862" s="4">
        <f t="shared" si="276"/>
        <v>21</v>
      </c>
      <c r="V862" s="8">
        <f t="shared" si="277"/>
        <v>1</v>
      </c>
      <c r="W862" s="8">
        <f t="shared" si="278"/>
        <v>9</v>
      </c>
      <c r="X862">
        <f t="shared" si="279"/>
        <v>1</v>
      </c>
    </row>
    <row r="863" spans="1:24" x14ac:dyDescent="0.25">
      <c r="A863" s="4" t="s">
        <v>889</v>
      </c>
      <c r="B863" t="s">
        <v>7</v>
      </c>
      <c r="C863" t="s">
        <v>4</v>
      </c>
      <c r="D863" s="3">
        <f t="shared" si="260"/>
        <v>5</v>
      </c>
      <c r="E863" s="4">
        <f t="shared" si="261"/>
        <v>26</v>
      </c>
      <c r="F863" s="4">
        <f t="shared" si="262"/>
        <v>15</v>
      </c>
      <c r="G863" s="3">
        <f>IF(E863&gt;=20,2000,1900) + D863</f>
        <v>2005</v>
      </c>
      <c r="H863">
        <f t="shared" si="263"/>
        <v>6</v>
      </c>
      <c r="I863" s="4">
        <f t="shared" si="264"/>
        <v>15</v>
      </c>
      <c r="J863">
        <f t="shared" si="265"/>
        <v>20052615</v>
      </c>
      <c r="K863" t="str">
        <f t="shared" si="266"/>
        <v>15.26.2005</v>
      </c>
      <c r="L863" s="4">
        <f t="shared" si="267"/>
        <v>0</v>
      </c>
      <c r="M863" s="4">
        <f t="shared" si="268"/>
        <v>15</v>
      </c>
      <c r="N863" s="4">
        <f t="shared" si="269"/>
        <v>14</v>
      </c>
      <c r="O863" s="4">
        <f t="shared" si="270"/>
        <v>54</v>
      </c>
      <c r="P863" s="4">
        <f t="shared" si="271"/>
        <v>1</v>
      </c>
      <c r="Q863" s="4">
        <f t="shared" si="272"/>
        <v>15</v>
      </c>
      <c r="R863" s="4">
        <f t="shared" si="273"/>
        <v>42</v>
      </c>
      <c r="S863" s="4">
        <f t="shared" si="274"/>
        <v>36</v>
      </c>
      <c r="T863" s="4">
        <f t="shared" si="275"/>
        <v>6</v>
      </c>
      <c r="U863" s="4">
        <f t="shared" si="276"/>
        <v>27</v>
      </c>
      <c r="V863" s="8">
        <f t="shared" si="277"/>
        <v>0</v>
      </c>
      <c r="W863" s="8">
        <f t="shared" si="278"/>
        <v>0</v>
      </c>
      <c r="X863">
        <f t="shared" si="279"/>
        <v>1</v>
      </c>
    </row>
    <row r="864" spans="1:24" x14ac:dyDescent="0.25">
      <c r="A864" s="4" t="s">
        <v>890</v>
      </c>
      <c r="B864" t="s">
        <v>16</v>
      </c>
      <c r="C864" t="s">
        <v>4</v>
      </c>
      <c r="D864" s="3">
        <f t="shared" si="260"/>
        <v>19</v>
      </c>
      <c r="E864" s="4">
        <f t="shared" si="261"/>
        <v>31</v>
      </c>
      <c r="F864" s="4">
        <f t="shared" si="262"/>
        <v>26</v>
      </c>
      <c r="G864" s="3">
        <f>IF(E864&gt;=20,2000,1900) + D864</f>
        <v>2019</v>
      </c>
      <c r="H864">
        <f t="shared" si="263"/>
        <v>11</v>
      </c>
      <c r="I864" s="4">
        <f t="shared" si="264"/>
        <v>26</v>
      </c>
      <c r="J864">
        <f t="shared" si="265"/>
        <v>20193126</v>
      </c>
      <c r="K864" t="str">
        <f t="shared" si="266"/>
        <v>26.31.2019</v>
      </c>
      <c r="L864" s="4">
        <f t="shared" si="267"/>
        <v>1</v>
      </c>
      <c r="M864" s="4">
        <f t="shared" si="268"/>
        <v>27</v>
      </c>
      <c r="N864" s="4">
        <f t="shared" si="269"/>
        <v>21</v>
      </c>
      <c r="O864" s="4">
        <f t="shared" si="270"/>
        <v>9</v>
      </c>
      <c r="P864" s="4">
        <f t="shared" si="271"/>
        <v>2</v>
      </c>
      <c r="Q864" s="4">
        <f t="shared" si="272"/>
        <v>18</v>
      </c>
      <c r="R864" s="4">
        <f t="shared" si="273"/>
        <v>63</v>
      </c>
      <c r="S864" s="4">
        <f t="shared" si="274"/>
        <v>72</v>
      </c>
      <c r="T864" s="4">
        <f t="shared" si="275"/>
        <v>7</v>
      </c>
      <c r="U864" s="4">
        <f t="shared" si="276"/>
        <v>6</v>
      </c>
      <c r="V864" s="8">
        <f t="shared" si="277"/>
        <v>6</v>
      </c>
      <c r="W864" s="8">
        <f t="shared" si="278"/>
        <v>4</v>
      </c>
      <c r="X864">
        <f t="shared" si="279"/>
        <v>1</v>
      </c>
    </row>
    <row r="865" spans="1:24" x14ac:dyDescent="0.25">
      <c r="A865" s="4" t="s">
        <v>891</v>
      </c>
      <c r="B865" t="s">
        <v>19</v>
      </c>
      <c r="C865" t="s">
        <v>6</v>
      </c>
      <c r="D865" s="3">
        <f t="shared" si="260"/>
        <v>16</v>
      </c>
      <c r="E865" s="4">
        <f t="shared" si="261"/>
        <v>29</v>
      </c>
      <c r="F865" s="4">
        <f t="shared" si="262"/>
        <v>17</v>
      </c>
      <c r="G865" s="3">
        <f>IF(E865&gt;=20,2000,1900) + D865</f>
        <v>2016</v>
      </c>
      <c r="H865">
        <f t="shared" si="263"/>
        <v>9</v>
      </c>
      <c r="I865" s="4">
        <f t="shared" si="264"/>
        <v>17</v>
      </c>
      <c r="J865">
        <f t="shared" si="265"/>
        <v>20162917</v>
      </c>
      <c r="K865" t="str">
        <f t="shared" si="266"/>
        <v>17.29.2016</v>
      </c>
      <c r="L865" s="4">
        <f t="shared" si="267"/>
        <v>1</v>
      </c>
      <c r="M865" s="4">
        <f t="shared" si="268"/>
        <v>18</v>
      </c>
      <c r="N865" s="4">
        <f t="shared" si="269"/>
        <v>14</v>
      </c>
      <c r="O865" s="4">
        <f t="shared" si="270"/>
        <v>81</v>
      </c>
      <c r="P865" s="4">
        <f t="shared" si="271"/>
        <v>1</v>
      </c>
      <c r="Q865" s="4">
        <f t="shared" si="272"/>
        <v>21</v>
      </c>
      <c r="R865" s="4">
        <f t="shared" si="273"/>
        <v>28</v>
      </c>
      <c r="S865" s="4">
        <f t="shared" si="274"/>
        <v>18</v>
      </c>
      <c r="T865" s="4">
        <f t="shared" si="275"/>
        <v>4</v>
      </c>
      <c r="U865" s="4">
        <f t="shared" si="276"/>
        <v>24</v>
      </c>
      <c r="V865" s="8">
        <f t="shared" si="277"/>
        <v>0</v>
      </c>
      <c r="W865" s="8">
        <f t="shared" si="278"/>
        <v>0</v>
      </c>
      <c r="X865">
        <f t="shared" si="279"/>
        <v>1</v>
      </c>
    </row>
    <row r="866" spans="1:24" x14ac:dyDescent="0.25">
      <c r="A866" s="4" t="s">
        <v>892</v>
      </c>
      <c r="B866" t="s">
        <v>18</v>
      </c>
      <c r="C866" t="s">
        <v>6</v>
      </c>
      <c r="D866" s="3">
        <f t="shared" si="260"/>
        <v>7</v>
      </c>
      <c r="E866" s="4">
        <f t="shared" si="261"/>
        <v>22</v>
      </c>
      <c r="F866" s="4">
        <f t="shared" si="262"/>
        <v>10</v>
      </c>
      <c r="G866" s="3">
        <f>IF(E866&gt;=20,2000,1900) + D866</f>
        <v>2007</v>
      </c>
      <c r="H866">
        <f t="shared" si="263"/>
        <v>2</v>
      </c>
      <c r="I866" s="4">
        <f t="shared" si="264"/>
        <v>10</v>
      </c>
      <c r="J866">
        <f t="shared" si="265"/>
        <v>20072210</v>
      </c>
      <c r="K866" t="str">
        <f t="shared" si="266"/>
        <v>10.22.2007</v>
      </c>
      <c r="L866" s="4">
        <f t="shared" si="267"/>
        <v>0</v>
      </c>
      <c r="M866" s="4">
        <f t="shared" si="268"/>
        <v>21</v>
      </c>
      <c r="N866" s="4">
        <f t="shared" si="269"/>
        <v>14</v>
      </c>
      <c r="O866" s="4">
        <f t="shared" si="270"/>
        <v>18</v>
      </c>
      <c r="P866" s="4">
        <f t="shared" si="271"/>
        <v>1</v>
      </c>
      <c r="Q866" s="4">
        <f t="shared" si="272"/>
        <v>0</v>
      </c>
      <c r="R866" s="4">
        <f t="shared" si="273"/>
        <v>21</v>
      </c>
      <c r="S866" s="4">
        <f t="shared" si="274"/>
        <v>9</v>
      </c>
      <c r="T866" s="4">
        <f t="shared" si="275"/>
        <v>6</v>
      </c>
      <c r="U866" s="4">
        <f t="shared" si="276"/>
        <v>12</v>
      </c>
      <c r="V866" s="8">
        <f t="shared" si="277"/>
        <v>2</v>
      </c>
      <c r="W866" s="8">
        <f t="shared" si="278"/>
        <v>8</v>
      </c>
      <c r="X866">
        <f t="shared" si="279"/>
        <v>1</v>
      </c>
    </row>
    <row r="867" spans="1:24" x14ac:dyDescent="0.25">
      <c r="A867" s="4" t="s">
        <v>893</v>
      </c>
      <c r="B867" t="s">
        <v>17</v>
      </c>
      <c r="C867" t="s">
        <v>4</v>
      </c>
      <c r="D867" s="3">
        <f t="shared" si="260"/>
        <v>6</v>
      </c>
      <c r="E867" s="4">
        <f t="shared" si="261"/>
        <v>27</v>
      </c>
      <c r="F867" s="4">
        <f t="shared" si="262"/>
        <v>17</v>
      </c>
      <c r="G867" s="3">
        <f>IF(E867&gt;=20,2000,1900) + D867</f>
        <v>2006</v>
      </c>
      <c r="H867">
        <f t="shared" si="263"/>
        <v>7</v>
      </c>
      <c r="I867" s="4">
        <f t="shared" si="264"/>
        <v>17</v>
      </c>
      <c r="J867">
        <f t="shared" si="265"/>
        <v>20062717</v>
      </c>
      <c r="K867" t="str">
        <f t="shared" si="266"/>
        <v>17.27.2006</v>
      </c>
      <c r="L867" s="4">
        <f t="shared" si="267"/>
        <v>0</v>
      </c>
      <c r="M867" s="4">
        <f t="shared" si="268"/>
        <v>18</v>
      </c>
      <c r="N867" s="4">
        <f t="shared" si="269"/>
        <v>14</v>
      </c>
      <c r="O867" s="4">
        <f t="shared" si="270"/>
        <v>63</v>
      </c>
      <c r="P867" s="4">
        <f t="shared" si="271"/>
        <v>1</v>
      </c>
      <c r="Q867" s="4">
        <f t="shared" si="272"/>
        <v>21</v>
      </c>
      <c r="R867" s="4">
        <f t="shared" si="273"/>
        <v>42</v>
      </c>
      <c r="S867" s="4">
        <f t="shared" si="274"/>
        <v>81</v>
      </c>
      <c r="T867" s="4">
        <f t="shared" si="275"/>
        <v>8</v>
      </c>
      <c r="U867" s="4">
        <f t="shared" si="276"/>
        <v>24</v>
      </c>
      <c r="V867" s="8">
        <f t="shared" si="277"/>
        <v>2</v>
      </c>
      <c r="W867" s="8">
        <f t="shared" si="278"/>
        <v>8</v>
      </c>
      <c r="X867">
        <f t="shared" si="279"/>
        <v>1</v>
      </c>
    </row>
    <row r="868" spans="1:24" x14ac:dyDescent="0.25">
      <c r="A868" s="4" t="s">
        <v>894</v>
      </c>
      <c r="B868" t="s">
        <v>17</v>
      </c>
      <c r="C868" t="s">
        <v>6</v>
      </c>
      <c r="D868" s="3">
        <f t="shared" si="260"/>
        <v>18</v>
      </c>
      <c r="E868" s="4">
        <f t="shared" si="261"/>
        <v>23</v>
      </c>
      <c r="F868" s="4">
        <f t="shared" si="262"/>
        <v>8</v>
      </c>
      <c r="G868" s="3">
        <f>IF(E868&gt;=20,2000,1900) + D868</f>
        <v>2018</v>
      </c>
      <c r="H868">
        <f t="shared" si="263"/>
        <v>3</v>
      </c>
      <c r="I868" s="4">
        <f t="shared" si="264"/>
        <v>8</v>
      </c>
      <c r="J868">
        <f t="shared" si="265"/>
        <v>20182308</v>
      </c>
      <c r="K868" t="str">
        <f t="shared" si="266"/>
        <v>08.23.2018</v>
      </c>
      <c r="L868" s="4">
        <f t="shared" si="267"/>
        <v>1</v>
      </c>
      <c r="M868" s="4">
        <f t="shared" si="268"/>
        <v>24</v>
      </c>
      <c r="N868" s="4">
        <f t="shared" si="269"/>
        <v>14</v>
      </c>
      <c r="O868" s="4">
        <f t="shared" si="270"/>
        <v>27</v>
      </c>
      <c r="P868" s="4">
        <f t="shared" si="271"/>
        <v>0</v>
      </c>
      <c r="Q868" s="4">
        <f t="shared" si="272"/>
        <v>24</v>
      </c>
      <c r="R868" s="4">
        <f t="shared" si="273"/>
        <v>35</v>
      </c>
      <c r="S868" s="4">
        <f t="shared" si="274"/>
        <v>9</v>
      </c>
      <c r="T868" s="4">
        <f t="shared" si="275"/>
        <v>6</v>
      </c>
      <c r="U868" s="4">
        <f t="shared" si="276"/>
        <v>27</v>
      </c>
      <c r="V868" s="8">
        <f t="shared" si="277"/>
        <v>7</v>
      </c>
      <c r="W868" s="8">
        <f t="shared" si="278"/>
        <v>3</v>
      </c>
      <c r="X868">
        <f t="shared" si="279"/>
        <v>1</v>
      </c>
    </row>
    <row r="869" spans="1:24" x14ac:dyDescent="0.25">
      <c r="A869" s="4" t="s">
        <v>895</v>
      </c>
      <c r="B869" t="s">
        <v>5</v>
      </c>
      <c r="C869" t="s">
        <v>6</v>
      </c>
      <c r="D869" s="3">
        <f t="shared" si="260"/>
        <v>17</v>
      </c>
      <c r="E869" s="4">
        <f t="shared" si="261"/>
        <v>25</v>
      </c>
      <c r="F869" s="4">
        <f t="shared" si="262"/>
        <v>15</v>
      </c>
      <c r="G869" s="3">
        <f>IF(E869&gt;=20,2000,1900) + D869</f>
        <v>2017</v>
      </c>
      <c r="H869">
        <f t="shared" si="263"/>
        <v>5</v>
      </c>
      <c r="I869" s="4">
        <f t="shared" si="264"/>
        <v>15</v>
      </c>
      <c r="J869">
        <f t="shared" si="265"/>
        <v>20172515</v>
      </c>
      <c r="K869" t="str">
        <f t="shared" si="266"/>
        <v>15.25.2017</v>
      </c>
      <c r="L869" s="4">
        <f t="shared" si="267"/>
        <v>1</v>
      </c>
      <c r="M869" s="4">
        <f t="shared" si="268"/>
        <v>21</v>
      </c>
      <c r="N869" s="4">
        <f t="shared" si="269"/>
        <v>14</v>
      </c>
      <c r="O869" s="4">
        <f t="shared" si="270"/>
        <v>45</v>
      </c>
      <c r="P869" s="4">
        <f t="shared" si="271"/>
        <v>1</v>
      </c>
      <c r="Q869" s="4">
        <f t="shared" si="272"/>
        <v>15</v>
      </c>
      <c r="R869" s="4">
        <f t="shared" si="273"/>
        <v>56</v>
      </c>
      <c r="S869" s="4">
        <f t="shared" si="274"/>
        <v>27</v>
      </c>
      <c r="T869" s="4">
        <f t="shared" si="275"/>
        <v>8</v>
      </c>
      <c r="U869" s="4">
        <f t="shared" si="276"/>
        <v>3</v>
      </c>
      <c r="V869" s="8">
        <f t="shared" si="277"/>
        <v>1</v>
      </c>
      <c r="W869" s="8">
        <f t="shared" si="278"/>
        <v>9</v>
      </c>
      <c r="X869">
        <f t="shared" si="279"/>
        <v>1</v>
      </c>
    </row>
    <row r="870" spans="1:24" x14ac:dyDescent="0.25">
      <c r="A870" s="4" t="s">
        <v>896</v>
      </c>
      <c r="B870" t="s">
        <v>17</v>
      </c>
      <c r="C870" t="s">
        <v>6</v>
      </c>
      <c r="D870" s="3">
        <f t="shared" si="260"/>
        <v>19</v>
      </c>
      <c r="E870" s="4">
        <f t="shared" si="261"/>
        <v>22</v>
      </c>
      <c r="F870" s="4">
        <f t="shared" si="262"/>
        <v>22</v>
      </c>
      <c r="G870" s="3">
        <f>IF(E870&gt;=20,2000,1900) + D870</f>
        <v>2019</v>
      </c>
      <c r="H870">
        <f t="shared" si="263"/>
        <v>2</v>
      </c>
      <c r="I870" s="4">
        <f t="shared" si="264"/>
        <v>22</v>
      </c>
      <c r="J870">
        <f t="shared" si="265"/>
        <v>20192222</v>
      </c>
      <c r="K870" t="str">
        <f t="shared" si="266"/>
        <v>22.22.2019</v>
      </c>
      <c r="L870" s="4">
        <f t="shared" si="267"/>
        <v>1</v>
      </c>
      <c r="M870" s="4">
        <f t="shared" si="268"/>
        <v>27</v>
      </c>
      <c r="N870" s="4">
        <f t="shared" si="269"/>
        <v>14</v>
      </c>
      <c r="O870" s="4">
        <f t="shared" si="270"/>
        <v>18</v>
      </c>
      <c r="P870" s="4">
        <f t="shared" si="271"/>
        <v>2</v>
      </c>
      <c r="Q870" s="4">
        <f t="shared" si="272"/>
        <v>6</v>
      </c>
      <c r="R870" s="4">
        <f t="shared" si="273"/>
        <v>28</v>
      </c>
      <c r="S870" s="4">
        <f t="shared" si="274"/>
        <v>63</v>
      </c>
      <c r="T870" s="4">
        <f t="shared" si="275"/>
        <v>9</v>
      </c>
      <c r="U870" s="4">
        <f t="shared" si="276"/>
        <v>24</v>
      </c>
      <c r="V870" s="8">
        <f t="shared" si="277"/>
        <v>2</v>
      </c>
      <c r="W870" s="8">
        <f t="shared" si="278"/>
        <v>8</v>
      </c>
      <c r="X870">
        <f t="shared" si="279"/>
        <v>1</v>
      </c>
    </row>
    <row r="871" spans="1:24" x14ac:dyDescent="0.25">
      <c r="A871" s="4" t="s">
        <v>897</v>
      </c>
      <c r="B871" t="s">
        <v>5</v>
      </c>
      <c r="C871" t="s">
        <v>6</v>
      </c>
      <c r="D871" s="3">
        <f t="shared" si="260"/>
        <v>21</v>
      </c>
      <c r="E871" s="4">
        <f t="shared" si="261"/>
        <v>29</v>
      </c>
      <c r="F871" s="4">
        <f t="shared" si="262"/>
        <v>15</v>
      </c>
      <c r="G871" s="3">
        <f>IF(E871&gt;=20,2000,1900) + D871</f>
        <v>2021</v>
      </c>
      <c r="H871">
        <f t="shared" si="263"/>
        <v>9</v>
      </c>
      <c r="I871" s="4">
        <f t="shared" si="264"/>
        <v>15</v>
      </c>
      <c r="J871">
        <f t="shared" si="265"/>
        <v>20212915</v>
      </c>
      <c r="K871" t="str">
        <f t="shared" si="266"/>
        <v>15.29.2021</v>
      </c>
      <c r="L871" s="4">
        <f t="shared" si="267"/>
        <v>2</v>
      </c>
      <c r="M871" s="4">
        <f t="shared" si="268"/>
        <v>3</v>
      </c>
      <c r="N871" s="4">
        <f t="shared" si="269"/>
        <v>14</v>
      </c>
      <c r="O871" s="4">
        <f t="shared" si="270"/>
        <v>81</v>
      </c>
      <c r="P871" s="4">
        <f t="shared" si="271"/>
        <v>1</v>
      </c>
      <c r="Q871" s="4">
        <f t="shared" si="272"/>
        <v>15</v>
      </c>
      <c r="R871" s="4">
        <f t="shared" si="273"/>
        <v>56</v>
      </c>
      <c r="S871" s="4">
        <f t="shared" si="274"/>
        <v>63</v>
      </c>
      <c r="T871" s="4">
        <f t="shared" si="275"/>
        <v>9</v>
      </c>
      <c r="U871" s="4">
        <f t="shared" si="276"/>
        <v>21</v>
      </c>
      <c r="V871" s="8">
        <f t="shared" si="277"/>
        <v>5</v>
      </c>
      <c r="W871" s="8">
        <f t="shared" si="278"/>
        <v>5</v>
      </c>
      <c r="X871">
        <f t="shared" si="279"/>
        <v>1</v>
      </c>
    </row>
    <row r="872" spans="1:24" x14ac:dyDescent="0.25">
      <c r="A872" s="4" t="s">
        <v>898</v>
      </c>
      <c r="B872" t="s">
        <v>17</v>
      </c>
      <c r="C872" t="s">
        <v>6</v>
      </c>
      <c r="D872" s="3">
        <f t="shared" si="260"/>
        <v>20</v>
      </c>
      <c r="E872" s="4">
        <f t="shared" si="261"/>
        <v>25</v>
      </c>
      <c r="F872" s="4">
        <f t="shared" si="262"/>
        <v>15</v>
      </c>
      <c r="G872" s="3">
        <f>IF(E872&gt;=20,2000,1900) + D872</f>
        <v>2020</v>
      </c>
      <c r="H872">
        <f t="shared" si="263"/>
        <v>5</v>
      </c>
      <c r="I872" s="4">
        <f t="shared" si="264"/>
        <v>15</v>
      </c>
      <c r="J872">
        <f t="shared" si="265"/>
        <v>20202515</v>
      </c>
      <c r="K872" t="str">
        <f t="shared" si="266"/>
        <v>15.25.2020</v>
      </c>
      <c r="L872" s="4">
        <f t="shared" si="267"/>
        <v>2</v>
      </c>
      <c r="M872" s="4">
        <f t="shared" si="268"/>
        <v>0</v>
      </c>
      <c r="N872" s="4">
        <f t="shared" si="269"/>
        <v>14</v>
      </c>
      <c r="O872" s="4">
        <f t="shared" si="270"/>
        <v>45</v>
      </c>
      <c r="P872" s="4">
        <f t="shared" si="271"/>
        <v>1</v>
      </c>
      <c r="Q872" s="4">
        <f t="shared" si="272"/>
        <v>15</v>
      </c>
      <c r="R872" s="4">
        <f t="shared" si="273"/>
        <v>56</v>
      </c>
      <c r="S872" s="4">
        <f t="shared" si="274"/>
        <v>0</v>
      </c>
      <c r="T872" s="4">
        <f t="shared" si="275"/>
        <v>2</v>
      </c>
      <c r="U872" s="4">
        <f t="shared" si="276"/>
        <v>12</v>
      </c>
      <c r="V872" s="8">
        <f t="shared" si="277"/>
        <v>7</v>
      </c>
      <c r="W872" s="8">
        <f t="shared" si="278"/>
        <v>3</v>
      </c>
      <c r="X872">
        <f t="shared" si="279"/>
        <v>1</v>
      </c>
    </row>
    <row r="873" spans="1:24" x14ac:dyDescent="0.25">
      <c r="A873" s="4" t="s">
        <v>899</v>
      </c>
      <c r="B873" t="s">
        <v>18</v>
      </c>
      <c r="C873" t="s">
        <v>6</v>
      </c>
      <c r="D873" s="3">
        <f t="shared" si="260"/>
        <v>4</v>
      </c>
      <c r="E873" s="4">
        <f t="shared" si="261"/>
        <v>29</v>
      </c>
      <c r="F873" s="4">
        <f t="shared" si="262"/>
        <v>23</v>
      </c>
      <c r="G873" s="3">
        <f>IF(E873&gt;=20,2000,1900) + D873</f>
        <v>2004</v>
      </c>
      <c r="H873">
        <f t="shared" si="263"/>
        <v>9</v>
      </c>
      <c r="I873" s="4">
        <f t="shared" si="264"/>
        <v>23</v>
      </c>
      <c r="J873">
        <f t="shared" si="265"/>
        <v>20042923</v>
      </c>
      <c r="K873" t="str">
        <f t="shared" si="266"/>
        <v>23.29.2004</v>
      </c>
      <c r="L873" s="4">
        <f t="shared" si="267"/>
        <v>0</v>
      </c>
      <c r="M873" s="4">
        <f t="shared" si="268"/>
        <v>12</v>
      </c>
      <c r="N873" s="4">
        <f t="shared" si="269"/>
        <v>14</v>
      </c>
      <c r="O873" s="4">
        <f t="shared" si="270"/>
        <v>81</v>
      </c>
      <c r="P873" s="4">
        <f t="shared" si="271"/>
        <v>2</v>
      </c>
      <c r="Q873" s="4">
        <f t="shared" si="272"/>
        <v>9</v>
      </c>
      <c r="R873" s="4">
        <f t="shared" si="273"/>
        <v>21</v>
      </c>
      <c r="S873" s="4">
        <f t="shared" si="274"/>
        <v>45</v>
      </c>
      <c r="T873" s="4">
        <f t="shared" si="275"/>
        <v>4</v>
      </c>
      <c r="U873" s="4">
        <f t="shared" si="276"/>
        <v>6</v>
      </c>
      <c r="V873" s="8">
        <f t="shared" si="277"/>
        <v>4</v>
      </c>
      <c r="W873" s="8">
        <f t="shared" si="278"/>
        <v>6</v>
      </c>
      <c r="X873">
        <f t="shared" si="279"/>
        <v>1</v>
      </c>
    </row>
    <row r="874" spans="1:24" x14ac:dyDescent="0.25">
      <c r="A874" s="4" t="s">
        <v>900</v>
      </c>
      <c r="B874" t="s">
        <v>17</v>
      </c>
      <c r="C874" t="s">
        <v>4</v>
      </c>
      <c r="D874" s="3">
        <f t="shared" si="260"/>
        <v>19</v>
      </c>
      <c r="E874" s="4">
        <f t="shared" si="261"/>
        <v>21</v>
      </c>
      <c r="F874" s="4">
        <f t="shared" si="262"/>
        <v>23</v>
      </c>
      <c r="G874" s="3">
        <f>IF(E874&gt;=20,2000,1900) + D874</f>
        <v>2019</v>
      </c>
      <c r="H874">
        <f t="shared" si="263"/>
        <v>1</v>
      </c>
      <c r="I874" s="4">
        <f t="shared" si="264"/>
        <v>23</v>
      </c>
      <c r="J874">
        <f t="shared" si="265"/>
        <v>20192123</v>
      </c>
      <c r="K874" t="str">
        <f t="shared" si="266"/>
        <v>23.21.2019</v>
      </c>
      <c r="L874" s="4">
        <f t="shared" si="267"/>
        <v>1</v>
      </c>
      <c r="M874" s="4">
        <f t="shared" si="268"/>
        <v>27</v>
      </c>
      <c r="N874" s="4">
        <f t="shared" si="269"/>
        <v>14</v>
      </c>
      <c r="O874" s="4">
        <f t="shared" si="270"/>
        <v>9</v>
      </c>
      <c r="P874" s="4">
        <f t="shared" si="271"/>
        <v>2</v>
      </c>
      <c r="Q874" s="4">
        <f t="shared" si="272"/>
        <v>9</v>
      </c>
      <c r="R874" s="4">
        <f t="shared" si="273"/>
        <v>42</v>
      </c>
      <c r="S874" s="4">
        <f t="shared" si="274"/>
        <v>45</v>
      </c>
      <c r="T874" s="4">
        <f t="shared" si="275"/>
        <v>5</v>
      </c>
      <c r="U874" s="4">
        <f t="shared" si="276"/>
        <v>12</v>
      </c>
      <c r="V874" s="8">
        <f t="shared" si="277"/>
        <v>6</v>
      </c>
      <c r="W874" s="8">
        <f t="shared" si="278"/>
        <v>4</v>
      </c>
      <c r="X874">
        <f t="shared" si="279"/>
        <v>1</v>
      </c>
    </row>
    <row r="875" spans="1:24" x14ac:dyDescent="0.25">
      <c r="A875" s="4" t="s">
        <v>901</v>
      </c>
      <c r="B875" t="s">
        <v>3</v>
      </c>
      <c r="C875" t="s">
        <v>6</v>
      </c>
      <c r="D875" s="3">
        <f t="shared" si="260"/>
        <v>3</v>
      </c>
      <c r="E875" s="4">
        <f t="shared" si="261"/>
        <v>21</v>
      </c>
      <c r="F875" s="4">
        <f t="shared" si="262"/>
        <v>28</v>
      </c>
      <c r="G875" s="3">
        <f>IF(E875&gt;=20,2000,1900) + D875</f>
        <v>2003</v>
      </c>
      <c r="H875">
        <f t="shared" si="263"/>
        <v>1</v>
      </c>
      <c r="I875" s="4">
        <f t="shared" si="264"/>
        <v>28</v>
      </c>
      <c r="J875">
        <f t="shared" si="265"/>
        <v>20032128</v>
      </c>
      <c r="K875" t="str">
        <f t="shared" si="266"/>
        <v>28.21.2003</v>
      </c>
      <c r="L875" s="4">
        <f t="shared" si="267"/>
        <v>0</v>
      </c>
      <c r="M875" s="4">
        <f t="shared" si="268"/>
        <v>9</v>
      </c>
      <c r="N875" s="4">
        <f t="shared" si="269"/>
        <v>14</v>
      </c>
      <c r="O875" s="4">
        <f t="shared" si="270"/>
        <v>9</v>
      </c>
      <c r="P875" s="4">
        <f t="shared" si="271"/>
        <v>2</v>
      </c>
      <c r="Q875" s="4">
        <f t="shared" si="272"/>
        <v>24</v>
      </c>
      <c r="R875" s="4">
        <f t="shared" si="273"/>
        <v>14</v>
      </c>
      <c r="S875" s="4">
        <f t="shared" si="274"/>
        <v>45</v>
      </c>
      <c r="T875" s="4">
        <f t="shared" si="275"/>
        <v>5</v>
      </c>
      <c r="U875" s="4">
        <f t="shared" si="276"/>
        <v>0</v>
      </c>
      <c r="V875" s="8">
        <f t="shared" si="277"/>
        <v>2</v>
      </c>
      <c r="W875" s="8">
        <f t="shared" si="278"/>
        <v>8</v>
      </c>
      <c r="X875">
        <f t="shared" si="279"/>
        <v>1</v>
      </c>
    </row>
    <row r="876" spans="1:24" x14ac:dyDescent="0.25">
      <c r="A876" s="4" t="s">
        <v>902</v>
      </c>
      <c r="B876" t="s">
        <v>20</v>
      </c>
      <c r="C876" t="s">
        <v>6</v>
      </c>
      <c r="D876" s="3">
        <f t="shared" si="260"/>
        <v>8</v>
      </c>
      <c r="E876" s="4">
        <f t="shared" si="261"/>
        <v>23</v>
      </c>
      <c r="F876" s="4">
        <f t="shared" si="262"/>
        <v>19</v>
      </c>
      <c r="G876" s="3">
        <f>IF(E876&gt;=20,2000,1900) + D876</f>
        <v>2008</v>
      </c>
      <c r="H876">
        <f t="shared" si="263"/>
        <v>3</v>
      </c>
      <c r="I876" s="4">
        <f t="shared" si="264"/>
        <v>19</v>
      </c>
      <c r="J876">
        <f t="shared" si="265"/>
        <v>20082319</v>
      </c>
      <c r="K876" t="str">
        <f t="shared" si="266"/>
        <v>19.23.2008</v>
      </c>
      <c r="L876" s="4">
        <f t="shared" si="267"/>
        <v>0</v>
      </c>
      <c r="M876" s="4">
        <f t="shared" si="268"/>
        <v>24</v>
      </c>
      <c r="N876" s="4">
        <f t="shared" si="269"/>
        <v>14</v>
      </c>
      <c r="O876" s="4">
        <f t="shared" si="270"/>
        <v>27</v>
      </c>
      <c r="P876" s="4">
        <f t="shared" si="271"/>
        <v>1</v>
      </c>
      <c r="Q876" s="4">
        <f t="shared" si="272"/>
        <v>27</v>
      </c>
      <c r="R876" s="4">
        <f t="shared" si="273"/>
        <v>35</v>
      </c>
      <c r="S876" s="4">
        <f t="shared" si="274"/>
        <v>0</v>
      </c>
      <c r="T876" s="4">
        <f t="shared" si="275"/>
        <v>9</v>
      </c>
      <c r="U876" s="4">
        <f t="shared" si="276"/>
        <v>24</v>
      </c>
      <c r="V876" s="8">
        <f t="shared" si="277"/>
        <v>1</v>
      </c>
      <c r="W876" s="8">
        <f t="shared" si="278"/>
        <v>9</v>
      </c>
      <c r="X876">
        <f t="shared" si="279"/>
        <v>1</v>
      </c>
    </row>
    <row r="877" spans="1:24" x14ac:dyDescent="0.25">
      <c r="A877" s="4" t="s">
        <v>903</v>
      </c>
      <c r="B877" t="s">
        <v>20</v>
      </c>
      <c r="C877" t="s">
        <v>4</v>
      </c>
      <c r="D877" s="3">
        <f t="shared" si="260"/>
        <v>18</v>
      </c>
      <c r="E877" s="4">
        <f t="shared" si="261"/>
        <v>29</v>
      </c>
      <c r="F877" s="4">
        <f t="shared" si="262"/>
        <v>2</v>
      </c>
      <c r="G877" s="3">
        <f>IF(E877&gt;=20,2000,1900) + D877</f>
        <v>2018</v>
      </c>
      <c r="H877">
        <f t="shared" si="263"/>
        <v>9</v>
      </c>
      <c r="I877" s="4">
        <f t="shared" si="264"/>
        <v>2</v>
      </c>
      <c r="J877">
        <f t="shared" si="265"/>
        <v>20182902</v>
      </c>
      <c r="K877" t="str">
        <f t="shared" si="266"/>
        <v>02.29.2018</v>
      </c>
      <c r="L877" s="4">
        <f t="shared" si="267"/>
        <v>1</v>
      </c>
      <c r="M877" s="4">
        <f t="shared" si="268"/>
        <v>24</v>
      </c>
      <c r="N877" s="4">
        <f t="shared" si="269"/>
        <v>14</v>
      </c>
      <c r="O877" s="4">
        <f t="shared" si="270"/>
        <v>81</v>
      </c>
      <c r="P877" s="4">
        <f t="shared" si="271"/>
        <v>0</v>
      </c>
      <c r="Q877" s="4">
        <f t="shared" si="272"/>
        <v>6</v>
      </c>
      <c r="R877" s="4">
        <f t="shared" si="273"/>
        <v>14</v>
      </c>
      <c r="S877" s="4">
        <f t="shared" si="274"/>
        <v>45</v>
      </c>
      <c r="T877" s="4">
        <f t="shared" si="275"/>
        <v>3</v>
      </c>
      <c r="U877" s="4">
        <f t="shared" si="276"/>
        <v>6</v>
      </c>
      <c r="V877" s="8">
        <f t="shared" si="277"/>
        <v>4</v>
      </c>
      <c r="W877" s="8">
        <f t="shared" si="278"/>
        <v>6</v>
      </c>
      <c r="X877">
        <f t="shared" si="279"/>
        <v>1</v>
      </c>
    </row>
    <row r="878" spans="1:24" x14ac:dyDescent="0.25">
      <c r="A878" s="4" t="s">
        <v>904</v>
      </c>
      <c r="B878" t="s">
        <v>9</v>
      </c>
      <c r="C878" t="s">
        <v>6</v>
      </c>
      <c r="D878" s="3">
        <f t="shared" si="260"/>
        <v>14</v>
      </c>
      <c r="E878" s="4">
        <f t="shared" si="261"/>
        <v>27</v>
      </c>
      <c r="F878" s="4">
        <f t="shared" si="262"/>
        <v>9</v>
      </c>
      <c r="G878" s="3">
        <f>IF(E878&gt;=20,2000,1900) + D878</f>
        <v>2014</v>
      </c>
      <c r="H878">
        <f t="shared" si="263"/>
        <v>7</v>
      </c>
      <c r="I878" s="4">
        <f t="shared" si="264"/>
        <v>9</v>
      </c>
      <c r="J878">
        <f t="shared" si="265"/>
        <v>20142709</v>
      </c>
      <c r="K878" t="str">
        <f t="shared" si="266"/>
        <v>09.27.2014</v>
      </c>
      <c r="L878" s="4">
        <f t="shared" si="267"/>
        <v>1</v>
      </c>
      <c r="M878" s="4">
        <f t="shared" si="268"/>
        <v>12</v>
      </c>
      <c r="N878" s="4">
        <f t="shared" si="269"/>
        <v>14</v>
      </c>
      <c r="O878" s="4">
        <f t="shared" si="270"/>
        <v>63</v>
      </c>
      <c r="P878" s="4">
        <f t="shared" si="271"/>
        <v>0</v>
      </c>
      <c r="Q878" s="4">
        <f t="shared" si="272"/>
        <v>27</v>
      </c>
      <c r="R878" s="4">
        <f t="shared" si="273"/>
        <v>35</v>
      </c>
      <c r="S878" s="4">
        <f t="shared" si="274"/>
        <v>36</v>
      </c>
      <c r="T878" s="4">
        <f t="shared" si="275"/>
        <v>8</v>
      </c>
      <c r="U878" s="4">
        <f t="shared" si="276"/>
        <v>15</v>
      </c>
      <c r="V878" s="8">
        <f t="shared" si="277"/>
        <v>1</v>
      </c>
      <c r="W878" s="8">
        <f t="shared" si="278"/>
        <v>9</v>
      </c>
      <c r="X878">
        <f t="shared" si="279"/>
        <v>1</v>
      </c>
    </row>
    <row r="879" spans="1:24" x14ac:dyDescent="0.25">
      <c r="A879" s="4" t="s">
        <v>905</v>
      </c>
      <c r="B879" t="s">
        <v>3</v>
      </c>
      <c r="C879" t="s">
        <v>4</v>
      </c>
      <c r="D879" s="3">
        <f t="shared" si="260"/>
        <v>21</v>
      </c>
      <c r="E879" s="4">
        <f t="shared" si="261"/>
        <v>32</v>
      </c>
      <c r="F879" s="4">
        <f t="shared" si="262"/>
        <v>5</v>
      </c>
      <c r="G879" s="3">
        <f>IF(E879&gt;=20,2000,1900) + D879</f>
        <v>2021</v>
      </c>
      <c r="H879">
        <f t="shared" si="263"/>
        <v>12</v>
      </c>
      <c r="I879" s="4">
        <f t="shared" si="264"/>
        <v>5</v>
      </c>
      <c r="J879">
        <f t="shared" si="265"/>
        <v>20213205</v>
      </c>
      <c r="K879" t="str">
        <f t="shared" si="266"/>
        <v>05.32.2021</v>
      </c>
      <c r="L879" s="4">
        <f t="shared" si="267"/>
        <v>2</v>
      </c>
      <c r="M879" s="4">
        <f t="shared" si="268"/>
        <v>3</v>
      </c>
      <c r="N879" s="4">
        <f t="shared" si="269"/>
        <v>21</v>
      </c>
      <c r="O879" s="4">
        <f t="shared" si="270"/>
        <v>18</v>
      </c>
      <c r="P879" s="4">
        <f t="shared" si="271"/>
        <v>0</v>
      </c>
      <c r="Q879" s="4">
        <f t="shared" si="272"/>
        <v>15</v>
      </c>
      <c r="R879" s="4">
        <f t="shared" si="273"/>
        <v>21</v>
      </c>
      <c r="S879" s="4">
        <f t="shared" si="274"/>
        <v>36</v>
      </c>
      <c r="T879" s="4">
        <f t="shared" si="275"/>
        <v>0</v>
      </c>
      <c r="U879" s="4">
        <f t="shared" si="276"/>
        <v>24</v>
      </c>
      <c r="V879" s="8">
        <f t="shared" si="277"/>
        <v>0</v>
      </c>
      <c r="W879" s="8">
        <f t="shared" si="278"/>
        <v>0</v>
      </c>
      <c r="X879">
        <f t="shared" si="279"/>
        <v>1</v>
      </c>
    </row>
    <row r="880" spans="1:24" x14ac:dyDescent="0.25">
      <c r="A880" s="4" t="s">
        <v>906</v>
      </c>
      <c r="B880" t="s">
        <v>14</v>
      </c>
      <c r="C880" t="s">
        <v>6</v>
      </c>
      <c r="D880" s="3">
        <f t="shared" si="260"/>
        <v>15</v>
      </c>
      <c r="E880" s="4">
        <f t="shared" si="261"/>
        <v>28</v>
      </c>
      <c r="F880" s="4">
        <f t="shared" si="262"/>
        <v>2</v>
      </c>
      <c r="G880" s="3">
        <f>IF(E880&gt;=20,2000,1900) + D880</f>
        <v>2015</v>
      </c>
      <c r="H880">
        <f t="shared" si="263"/>
        <v>8</v>
      </c>
      <c r="I880" s="4">
        <f t="shared" si="264"/>
        <v>2</v>
      </c>
      <c r="J880">
        <f t="shared" si="265"/>
        <v>20152802</v>
      </c>
      <c r="K880" t="str">
        <f t="shared" si="266"/>
        <v>02.28.2015</v>
      </c>
      <c r="L880" s="4">
        <f t="shared" si="267"/>
        <v>1</v>
      </c>
      <c r="M880" s="4">
        <f t="shared" si="268"/>
        <v>15</v>
      </c>
      <c r="N880" s="4">
        <f t="shared" si="269"/>
        <v>14</v>
      </c>
      <c r="O880" s="4">
        <f t="shared" si="270"/>
        <v>72</v>
      </c>
      <c r="P880" s="4">
        <f t="shared" si="271"/>
        <v>0</v>
      </c>
      <c r="Q880" s="4">
        <f t="shared" si="272"/>
        <v>6</v>
      </c>
      <c r="R880" s="4">
        <f t="shared" si="273"/>
        <v>63</v>
      </c>
      <c r="S880" s="4">
        <f t="shared" si="274"/>
        <v>81</v>
      </c>
      <c r="T880" s="4">
        <f t="shared" si="275"/>
        <v>6</v>
      </c>
      <c r="U880" s="4">
        <f t="shared" si="276"/>
        <v>18</v>
      </c>
      <c r="V880" s="8">
        <f t="shared" si="277"/>
        <v>6</v>
      </c>
      <c r="W880" s="8">
        <f t="shared" si="278"/>
        <v>4</v>
      </c>
      <c r="X880">
        <f t="shared" si="279"/>
        <v>1</v>
      </c>
    </row>
    <row r="881" spans="1:24" x14ac:dyDescent="0.25">
      <c r="A881" s="4" t="s">
        <v>907</v>
      </c>
      <c r="B881" t="s">
        <v>12</v>
      </c>
      <c r="C881" t="s">
        <v>4</v>
      </c>
      <c r="D881" s="3">
        <f t="shared" si="260"/>
        <v>8</v>
      </c>
      <c r="E881" s="4">
        <f t="shared" si="261"/>
        <v>23</v>
      </c>
      <c r="F881" s="4">
        <f t="shared" si="262"/>
        <v>16</v>
      </c>
      <c r="G881" s="3">
        <f>IF(E881&gt;=20,2000,1900) + D881</f>
        <v>2008</v>
      </c>
      <c r="H881">
        <f t="shared" si="263"/>
        <v>3</v>
      </c>
      <c r="I881" s="4">
        <f t="shared" si="264"/>
        <v>16</v>
      </c>
      <c r="J881">
        <f t="shared" si="265"/>
        <v>20082316</v>
      </c>
      <c r="K881" t="str">
        <f t="shared" si="266"/>
        <v>16.23.2008</v>
      </c>
      <c r="L881" s="4">
        <f t="shared" si="267"/>
        <v>0</v>
      </c>
      <c r="M881" s="4">
        <f t="shared" si="268"/>
        <v>24</v>
      </c>
      <c r="N881" s="4">
        <f t="shared" si="269"/>
        <v>14</v>
      </c>
      <c r="O881" s="4">
        <f t="shared" si="270"/>
        <v>27</v>
      </c>
      <c r="P881" s="4">
        <f t="shared" si="271"/>
        <v>1</v>
      </c>
      <c r="Q881" s="4">
        <f t="shared" si="272"/>
        <v>18</v>
      </c>
      <c r="R881" s="4">
        <f t="shared" si="273"/>
        <v>28</v>
      </c>
      <c r="S881" s="4">
        <f t="shared" si="274"/>
        <v>27</v>
      </c>
      <c r="T881" s="4">
        <f t="shared" si="275"/>
        <v>4</v>
      </c>
      <c r="U881" s="4">
        <f t="shared" si="276"/>
        <v>27</v>
      </c>
      <c r="V881" s="8">
        <f t="shared" si="277"/>
        <v>0</v>
      </c>
      <c r="W881" s="8">
        <f t="shared" si="278"/>
        <v>0</v>
      </c>
      <c r="X881">
        <f t="shared" si="279"/>
        <v>1</v>
      </c>
    </row>
    <row r="882" spans="1:24" x14ac:dyDescent="0.25">
      <c r="A882" s="4" t="s">
        <v>908</v>
      </c>
      <c r="B882" t="s">
        <v>15</v>
      </c>
      <c r="C882" t="s">
        <v>6</v>
      </c>
      <c r="D882" s="3">
        <f t="shared" si="260"/>
        <v>4</v>
      </c>
      <c r="E882" s="4">
        <f t="shared" si="261"/>
        <v>27</v>
      </c>
      <c r="F882" s="4">
        <f t="shared" si="262"/>
        <v>29</v>
      </c>
      <c r="G882" s="3">
        <f>IF(E882&gt;=20,2000,1900) + D882</f>
        <v>2004</v>
      </c>
      <c r="H882">
        <f t="shared" si="263"/>
        <v>7</v>
      </c>
      <c r="I882" s="4">
        <f t="shared" si="264"/>
        <v>29</v>
      </c>
      <c r="J882">
        <f t="shared" si="265"/>
        <v>20042729</v>
      </c>
      <c r="K882" t="str">
        <f t="shared" si="266"/>
        <v>29.27.2004</v>
      </c>
      <c r="L882" s="4">
        <f t="shared" si="267"/>
        <v>0</v>
      </c>
      <c r="M882" s="4">
        <f t="shared" si="268"/>
        <v>12</v>
      </c>
      <c r="N882" s="4">
        <f t="shared" si="269"/>
        <v>14</v>
      </c>
      <c r="O882" s="4">
        <f t="shared" si="270"/>
        <v>63</v>
      </c>
      <c r="P882" s="4">
        <f t="shared" si="271"/>
        <v>2</v>
      </c>
      <c r="Q882" s="4">
        <f t="shared" si="272"/>
        <v>27</v>
      </c>
      <c r="R882" s="4">
        <f t="shared" si="273"/>
        <v>63</v>
      </c>
      <c r="S882" s="4">
        <f t="shared" si="274"/>
        <v>54</v>
      </c>
      <c r="T882" s="4">
        <f t="shared" si="275"/>
        <v>2</v>
      </c>
      <c r="U882" s="4">
        <f t="shared" si="276"/>
        <v>15</v>
      </c>
      <c r="V882" s="8">
        <f t="shared" si="277"/>
        <v>2</v>
      </c>
      <c r="W882" s="8">
        <f t="shared" si="278"/>
        <v>8</v>
      </c>
      <c r="X882">
        <f t="shared" si="279"/>
        <v>1</v>
      </c>
    </row>
    <row r="883" spans="1:24" x14ac:dyDescent="0.25">
      <c r="A883" s="4" t="s">
        <v>909</v>
      </c>
      <c r="B883" t="s">
        <v>19</v>
      </c>
      <c r="C883" t="s">
        <v>4</v>
      </c>
      <c r="D883" s="3">
        <f t="shared" si="260"/>
        <v>6</v>
      </c>
      <c r="E883" s="4">
        <f t="shared" si="261"/>
        <v>29</v>
      </c>
      <c r="F883" s="4">
        <f t="shared" si="262"/>
        <v>7</v>
      </c>
      <c r="G883" s="3">
        <f>IF(E883&gt;=20,2000,1900) + D883</f>
        <v>2006</v>
      </c>
      <c r="H883">
        <f t="shared" si="263"/>
        <v>9</v>
      </c>
      <c r="I883" s="4">
        <f t="shared" si="264"/>
        <v>7</v>
      </c>
      <c r="J883">
        <f t="shared" si="265"/>
        <v>20062907</v>
      </c>
      <c r="K883" t="str">
        <f t="shared" si="266"/>
        <v>07.29.2006</v>
      </c>
      <c r="L883" s="4">
        <f t="shared" si="267"/>
        <v>0</v>
      </c>
      <c r="M883" s="4">
        <f t="shared" si="268"/>
        <v>18</v>
      </c>
      <c r="N883" s="4">
        <f t="shared" si="269"/>
        <v>14</v>
      </c>
      <c r="O883" s="4">
        <f t="shared" si="270"/>
        <v>81</v>
      </c>
      <c r="P883" s="4">
        <f t="shared" si="271"/>
        <v>0</v>
      </c>
      <c r="Q883" s="4">
        <f t="shared" si="272"/>
        <v>21</v>
      </c>
      <c r="R883" s="4">
        <f t="shared" si="273"/>
        <v>7</v>
      </c>
      <c r="S883" s="4">
        <f t="shared" si="274"/>
        <v>81</v>
      </c>
      <c r="T883" s="4">
        <f t="shared" si="275"/>
        <v>2</v>
      </c>
      <c r="U883" s="4">
        <f t="shared" si="276"/>
        <v>9</v>
      </c>
      <c r="V883" s="8">
        <f t="shared" si="277"/>
        <v>3</v>
      </c>
      <c r="W883" s="8">
        <f t="shared" si="278"/>
        <v>7</v>
      </c>
      <c r="X883">
        <f t="shared" si="279"/>
        <v>1</v>
      </c>
    </row>
    <row r="884" spans="1:24" x14ac:dyDescent="0.25">
      <c r="A884" s="4" t="s">
        <v>910</v>
      </c>
      <c r="B884" t="s">
        <v>11</v>
      </c>
      <c r="C884" t="s">
        <v>4</v>
      </c>
      <c r="D884" s="3">
        <f t="shared" si="260"/>
        <v>0</v>
      </c>
      <c r="E884" s="4">
        <f t="shared" si="261"/>
        <v>30</v>
      </c>
      <c r="F884" s="4">
        <f t="shared" si="262"/>
        <v>12</v>
      </c>
      <c r="G884" s="3">
        <f>IF(E884&gt;=20,2000,1900) + D884</f>
        <v>2000</v>
      </c>
      <c r="H884">
        <f t="shared" si="263"/>
        <v>10</v>
      </c>
      <c r="I884" s="4">
        <f t="shared" si="264"/>
        <v>12</v>
      </c>
      <c r="J884">
        <f t="shared" si="265"/>
        <v>20003012</v>
      </c>
      <c r="K884" t="str">
        <f t="shared" si="266"/>
        <v>12.30.2000</v>
      </c>
      <c r="L884" s="4">
        <f t="shared" si="267"/>
        <v>0</v>
      </c>
      <c r="M884" s="4">
        <f t="shared" si="268"/>
        <v>0</v>
      </c>
      <c r="N884" s="4">
        <f t="shared" si="269"/>
        <v>21</v>
      </c>
      <c r="O884" s="4">
        <f t="shared" si="270"/>
        <v>0</v>
      </c>
      <c r="P884" s="4">
        <f t="shared" si="271"/>
        <v>1</v>
      </c>
      <c r="Q884" s="4">
        <f t="shared" si="272"/>
        <v>6</v>
      </c>
      <c r="R884" s="4">
        <f t="shared" si="273"/>
        <v>0</v>
      </c>
      <c r="S884" s="4">
        <f t="shared" si="274"/>
        <v>0</v>
      </c>
      <c r="T884" s="4">
        <f t="shared" si="275"/>
        <v>6</v>
      </c>
      <c r="U884" s="4">
        <f t="shared" si="276"/>
        <v>15</v>
      </c>
      <c r="V884" s="8">
        <f t="shared" si="277"/>
        <v>9</v>
      </c>
      <c r="W884" s="8">
        <f t="shared" si="278"/>
        <v>1</v>
      </c>
      <c r="X884">
        <f t="shared" si="279"/>
        <v>1</v>
      </c>
    </row>
    <row r="885" spans="1:24" x14ac:dyDescent="0.25">
      <c r="A885" s="4" t="s">
        <v>911</v>
      </c>
      <c r="B885" t="s">
        <v>13</v>
      </c>
      <c r="C885" t="s">
        <v>6</v>
      </c>
      <c r="D885" s="3">
        <f t="shared" si="260"/>
        <v>18</v>
      </c>
      <c r="E885" s="4">
        <f t="shared" si="261"/>
        <v>21</v>
      </c>
      <c r="F885" s="4">
        <f t="shared" si="262"/>
        <v>12</v>
      </c>
      <c r="G885" s="3">
        <f>IF(E885&gt;=20,2000,1900) + D885</f>
        <v>2018</v>
      </c>
      <c r="H885">
        <f t="shared" si="263"/>
        <v>1</v>
      </c>
      <c r="I885" s="4">
        <f t="shared" si="264"/>
        <v>12</v>
      </c>
      <c r="J885">
        <f t="shared" si="265"/>
        <v>20182112</v>
      </c>
      <c r="K885" t="str">
        <f t="shared" si="266"/>
        <v>12.21.2018</v>
      </c>
      <c r="L885" s="4">
        <f t="shared" si="267"/>
        <v>1</v>
      </c>
      <c r="M885" s="4">
        <f t="shared" si="268"/>
        <v>24</v>
      </c>
      <c r="N885" s="4">
        <f t="shared" si="269"/>
        <v>14</v>
      </c>
      <c r="O885" s="4">
        <f t="shared" si="270"/>
        <v>9</v>
      </c>
      <c r="P885" s="4">
        <f t="shared" si="271"/>
        <v>1</v>
      </c>
      <c r="Q885" s="4">
        <f t="shared" si="272"/>
        <v>6</v>
      </c>
      <c r="R885" s="4">
        <f t="shared" si="273"/>
        <v>42</v>
      </c>
      <c r="S885" s="4">
        <f t="shared" si="274"/>
        <v>18</v>
      </c>
      <c r="T885" s="4">
        <f t="shared" si="275"/>
        <v>0</v>
      </c>
      <c r="U885" s="4">
        <f t="shared" si="276"/>
        <v>6</v>
      </c>
      <c r="V885" s="8">
        <f t="shared" si="277"/>
        <v>1</v>
      </c>
      <c r="W885" s="8">
        <f t="shared" si="278"/>
        <v>9</v>
      </c>
      <c r="X885">
        <f t="shared" si="279"/>
        <v>1</v>
      </c>
    </row>
    <row r="886" spans="1:24" x14ac:dyDescent="0.25">
      <c r="A886" s="4" t="s">
        <v>912</v>
      </c>
      <c r="B886" t="s">
        <v>13</v>
      </c>
      <c r="C886" t="s">
        <v>4</v>
      </c>
      <c r="D886" s="3">
        <f t="shared" si="260"/>
        <v>5</v>
      </c>
      <c r="E886" s="4">
        <f t="shared" si="261"/>
        <v>28</v>
      </c>
      <c r="F886" s="4">
        <f t="shared" si="262"/>
        <v>23</v>
      </c>
      <c r="G886" s="3">
        <f>IF(E886&gt;=20,2000,1900) + D886</f>
        <v>2005</v>
      </c>
      <c r="H886">
        <f t="shared" si="263"/>
        <v>8</v>
      </c>
      <c r="I886" s="4">
        <f t="shared" si="264"/>
        <v>23</v>
      </c>
      <c r="J886">
        <f t="shared" si="265"/>
        <v>20052823</v>
      </c>
      <c r="K886" t="str">
        <f t="shared" si="266"/>
        <v>23.28.2005</v>
      </c>
      <c r="L886" s="4">
        <f t="shared" si="267"/>
        <v>0</v>
      </c>
      <c r="M886" s="4">
        <f t="shared" si="268"/>
        <v>15</v>
      </c>
      <c r="N886" s="4">
        <f t="shared" si="269"/>
        <v>14</v>
      </c>
      <c r="O886" s="4">
        <f t="shared" si="270"/>
        <v>72</v>
      </c>
      <c r="P886" s="4">
        <f t="shared" si="271"/>
        <v>2</v>
      </c>
      <c r="Q886" s="4">
        <f t="shared" si="272"/>
        <v>9</v>
      </c>
      <c r="R886" s="4">
        <f t="shared" si="273"/>
        <v>56</v>
      </c>
      <c r="S886" s="4">
        <f t="shared" si="274"/>
        <v>27</v>
      </c>
      <c r="T886" s="4">
        <f t="shared" si="275"/>
        <v>1</v>
      </c>
      <c r="U886" s="4">
        <f t="shared" si="276"/>
        <v>18</v>
      </c>
      <c r="V886" s="8">
        <f t="shared" si="277"/>
        <v>4</v>
      </c>
      <c r="W886" s="8">
        <f t="shared" si="278"/>
        <v>6</v>
      </c>
      <c r="X886">
        <f t="shared" si="279"/>
        <v>1</v>
      </c>
    </row>
    <row r="887" spans="1:24" x14ac:dyDescent="0.25">
      <c r="A887" s="4" t="s">
        <v>913</v>
      </c>
      <c r="B887" t="s">
        <v>16</v>
      </c>
      <c r="C887" t="s">
        <v>4</v>
      </c>
      <c r="D887" s="3">
        <f t="shared" si="260"/>
        <v>18</v>
      </c>
      <c r="E887" s="4">
        <f t="shared" si="261"/>
        <v>24</v>
      </c>
      <c r="F887" s="4">
        <f t="shared" si="262"/>
        <v>14</v>
      </c>
      <c r="G887" s="3">
        <f>IF(E887&gt;=20,2000,1900) + D887</f>
        <v>2018</v>
      </c>
      <c r="H887">
        <f t="shared" si="263"/>
        <v>4</v>
      </c>
      <c r="I887" s="4">
        <f t="shared" si="264"/>
        <v>14</v>
      </c>
      <c r="J887">
        <f t="shared" si="265"/>
        <v>20182414</v>
      </c>
      <c r="K887" t="str">
        <f t="shared" si="266"/>
        <v>14.24.2018</v>
      </c>
      <c r="L887" s="4">
        <f t="shared" si="267"/>
        <v>1</v>
      </c>
      <c r="M887" s="4">
        <f t="shared" si="268"/>
        <v>24</v>
      </c>
      <c r="N887" s="4">
        <f t="shared" si="269"/>
        <v>14</v>
      </c>
      <c r="O887" s="4">
        <f t="shared" si="270"/>
        <v>36</v>
      </c>
      <c r="P887" s="4">
        <f t="shared" si="271"/>
        <v>1</v>
      </c>
      <c r="Q887" s="4">
        <f t="shared" si="272"/>
        <v>12</v>
      </c>
      <c r="R887" s="4">
        <f t="shared" si="273"/>
        <v>7</v>
      </c>
      <c r="S887" s="4">
        <f t="shared" si="274"/>
        <v>63</v>
      </c>
      <c r="T887" s="4">
        <f t="shared" si="275"/>
        <v>7</v>
      </c>
      <c r="U887" s="4">
        <f t="shared" si="276"/>
        <v>18</v>
      </c>
      <c r="V887" s="8">
        <f t="shared" si="277"/>
        <v>3</v>
      </c>
      <c r="W887" s="8">
        <f t="shared" si="278"/>
        <v>7</v>
      </c>
      <c r="X887">
        <f t="shared" si="279"/>
        <v>1</v>
      </c>
    </row>
    <row r="888" spans="1:24" x14ac:dyDescent="0.25">
      <c r="A888" s="4" t="s">
        <v>914</v>
      </c>
      <c r="B888" t="s">
        <v>20</v>
      </c>
      <c r="C888" t="s">
        <v>6</v>
      </c>
      <c r="D888" s="3">
        <f t="shared" si="260"/>
        <v>16</v>
      </c>
      <c r="E888" s="4">
        <f t="shared" si="261"/>
        <v>31</v>
      </c>
      <c r="F888" s="4">
        <f t="shared" si="262"/>
        <v>20</v>
      </c>
      <c r="G888" s="3">
        <f>IF(E888&gt;=20,2000,1900) + D888</f>
        <v>2016</v>
      </c>
      <c r="H888">
        <f t="shared" si="263"/>
        <v>11</v>
      </c>
      <c r="I888" s="4">
        <f t="shared" si="264"/>
        <v>20</v>
      </c>
      <c r="J888">
        <f t="shared" si="265"/>
        <v>20163120</v>
      </c>
      <c r="K888" t="str">
        <f t="shared" si="266"/>
        <v>20.31.2016</v>
      </c>
      <c r="L888" s="4">
        <f t="shared" si="267"/>
        <v>1</v>
      </c>
      <c r="M888" s="4">
        <f t="shared" si="268"/>
        <v>18</v>
      </c>
      <c r="N888" s="4">
        <f t="shared" si="269"/>
        <v>21</v>
      </c>
      <c r="O888" s="4">
        <f t="shared" si="270"/>
        <v>9</v>
      </c>
      <c r="P888" s="4">
        <f t="shared" si="271"/>
        <v>2</v>
      </c>
      <c r="Q888" s="4">
        <f t="shared" si="272"/>
        <v>0</v>
      </c>
      <c r="R888" s="4">
        <f t="shared" si="273"/>
        <v>28</v>
      </c>
      <c r="S888" s="4">
        <f t="shared" si="274"/>
        <v>81</v>
      </c>
      <c r="T888" s="4">
        <f t="shared" si="275"/>
        <v>0</v>
      </c>
      <c r="U888" s="4">
        <f t="shared" si="276"/>
        <v>24</v>
      </c>
      <c r="V888" s="8">
        <f t="shared" si="277"/>
        <v>4</v>
      </c>
      <c r="W888" s="8">
        <f t="shared" si="278"/>
        <v>6</v>
      </c>
      <c r="X888">
        <f t="shared" si="279"/>
        <v>1</v>
      </c>
    </row>
    <row r="889" spans="1:24" x14ac:dyDescent="0.25">
      <c r="A889" s="4" t="s">
        <v>915</v>
      </c>
      <c r="B889" t="s">
        <v>9</v>
      </c>
      <c r="C889" t="s">
        <v>4</v>
      </c>
      <c r="D889" s="3">
        <f t="shared" si="260"/>
        <v>9</v>
      </c>
      <c r="E889" s="4">
        <f t="shared" si="261"/>
        <v>32</v>
      </c>
      <c r="F889" s="4">
        <f t="shared" si="262"/>
        <v>15</v>
      </c>
      <c r="G889" s="3">
        <f>IF(E889&gt;=20,2000,1900) + D889</f>
        <v>2009</v>
      </c>
      <c r="H889">
        <f t="shared" si="263"/>
        <v>12</v>
      </c>
      <c r="I889" s="4">
        <f t="shared" si="264"/>
        <v>15</v>
      </c>
      <c r="J889">
        <f t="shared" si="265"/>
        <v>20093215</v>
      </c>
      <c r="K889" t="str">
        <f t="shared" si="266"/>
        <v>15.32.2009</v>
      </c>
      <c r="L889" s="4">
        <f t="shared" si="267"/>
        <v>0</v>
      </c>
      <c r="M889" s="4">
        <f t="shared" si="268"/>
        <v>27</v>
      </c>
      <c r="N889" s="4">
        <f t="shared" si="269"/>
        <v>21</v>
      </c>
      <c r="O889" s="4">
        <f t="shared" si="270"/>
        <v>18</v>
      </c>
      <c r="P889" s="4">
        <f t="shared" si="271"/>
        <v>1</v>
      </c>
      <c r="Q889" s="4">
        <f t="shared" si="272"/>
        <v>15</v>
      </c>
      <c r="R889" s="4">
        <f t="shared" si="273"/>
        <v>56</v>
      </c>
      <c r="S889" s="4">
        <f t="shared" si="274"/>
        <v>9</v>
      </c>
      <c r="T889" s="4">
        <f t="shared" si="275"/>
        <v>5</v>
      </c>
      <c r="U889" s="4">
        <f t="shared" si="276"/>
        <v>27</v>
      </c>
      <c r="V889" s="8">
        <f t="shared" si="277"/>
        <v>9</v>
      </c>
      <c r="W889" s="8">
        <f t="shared" si="278"/>
        <v>1</v>
      </c>
      <c r="X889">
        <f t="shared" si="279"/>
        <v>1</v>
      </c>
    </row>
    <row r="890" spans="1:24" x14ac:dyDescent="0.25">
      <c r="A890" s="4" t="s">
        <v>916</v>
      </c>
      <c r="B890" t="s">
        <v>10</v>
      </c>
      <c r="C890" t="s">
        <v>6</v>
      </c>
      <c r="D890" s="3">
        <f t="shared" si="260"/>
        <v>8</v>
      </c>
      <c r="E890" s="4">
        <f t="shared" si="261"/>
        <v>27</v>
      </c>
      <c r="F890" s="4">
        <f t="shared" si="262"/>
        <v>17</v>
      </c>
      <c r="G890" s="3">
        <f>IF(E890&gt;=20,2000,1900) + D890</f>
        <v>2008</v>
      </c>
      <c r="H890">
        <f t="shared" si="263"/>
        <v>7</v>
      </c>
      <c r="I890" s="4">
        <f t="shared" si="264"/>
        <v>17</v>
      </c>
      <c r="J890">
        <f t="shared" si="265"/>
        <v>20082717</v>
      </c>
      <c r="K890" t="str">
        <f t="shared" si="266"/>
        <v>17.27.2008</v>
      </c>
      <c r="L890" s="4">
        <f t="shared" si="267"/>
        <v>0</v>
      </c>
      <c r="M890" s="4">
        <f t="shared" si="268"/>
        <v>24</v>
      </c>
      <c r="N890" s="4">
        <f t="shared" si="269"/>
        <v>14</v>
      </c>
      <c r="O890" s="4">
        <f t="shared" si="270"/>
        <v>63</v>
      </c>
      <c r="P890" s="4">
        <f t="shared" si="271"/>
        <v>1</v>
      </c>
      <c r="Q890" s="4">
        <f t="shared" si="272"/>
        <v>21</v>
      </c>
      <c r="R890" s="4">
        <f t="shared" si="273"/>
        <v>63</v>
      </c>
      <c r="S890" s="4">
        <f t="shared" si="274"/>
        <v>45</v>
      </c>
      <c r="T890" s="4">
        <f t="shared" si="275"/>
        <v>3</v>
      </c>
      <c r="U890" s="4">
        <f t="shared" si="276"/>
        <v>3</v>
      </c>
      <c r="V890" s="8">
        <f t="shared" si="277"/>
        <v>7</v>
      </c>
      <c r="W890" s="8">
        <f t="shared" si="278"/>
        <v>3</v>
      </c>
      <c r="X890">
        <f t="shared" si="279"/>
        <v>1</v>
      </c>
    </row>
    <row r="891" spans="1:24" x14ac:dyDescent="0.25">
      <c r="A891" s="4" t="s">
        <v>917</v>
      </c>
      <c r="B891" t="s">
        <v>9</v>
      </c>
      <c r="C891" t="s">
        <v>6</v>
      </c>
      <c r="D891" s="3">
        <f t="shared" si="260"/>
        <v>10</v>
      </c>
      <c r="E891" s="4">
        <f t="shared" si="261"/>
        <v>31</v>
      </c>
      <c r="F891" s="4">
        <f t="shared" si="262"/>
        <v>10</v>
      </c>
      <c r="G891" s="3">
        <f>IF(E891&gt;=20,2000,1900) + D891</f>
        <v>2010</v>
      </c>
      <c r="H891">
        <f t="shared" si="263"/>
        <v>11</v>
      </c>
      <c r="I891" s="4">
        <f t="shared" si="264"/>
        <v>10</v>
      </c>
      <c r="J891">
        <f t="shared" si="265"/>
        <v>20103110</v>
      </c>
      <c r="K891" t="str">
        <f t="shared" si="266"/>
        <v>10.31.2010</v>
      </c>
      <c r="L891" s="4">
        <f t="shared" si="267"/>
        <v>1</v>
      </c>
      <c r="M891" s="4">
        <f t="shared" si="268"/>
        <v>0</v>
      </c>
      <c r="N891" s="4">
        <f t="shared" si="269"/>
        <v>21</v>
      </c>
      <c r="O891" s="4">
        <f t="shared" si="270"/>
        <v>9</v>
      </c>
      <c r="P891" s="4">
        <f t="shared" si="271"/>
        <v>1</v>
      </c>
      <c r="Q891" s="4">
        <f t="shared" si="272"/>
        <v>0</v>
      </c>
      <c r="R891" s="4">
        <f t="shared" si="273"/>
        <v>21</v>
      </c>
      <c r="S891" s="4">
        <f t="shared" si="274"/>
        <v>36</v>
      </c>
      <c r="T891" s="4">
        <f t="shared" si="275"/>
        <v>4</v>
      </c>
      <c r="U891" s="4">
        <f t="shared" si="276"/>
        <v>0</v>
      </c>
      <c r="V891" s="8">
        <f t="shared" si="277"/>
        <v>3</v>
      </c>
      <c r="W891" s="8">
        <f t="shared" si="278"/>
        <v>7</v>
      </c>
      <c r="X891">
        <f t="shared" si="279"/>
        <v>1</v>
      </c>
    </row>
    <row r="892" spans="1:24" x14ac:dyDescent="0.25">
      <c r="A892" s="4" t="s">
        <v>918</v>
      </c>
      <c r="B892" t="s">
        <v>19</v>
      </c>
      <c r="C892" t="s">
        <v>4</v>
      </c>
      <c r="D892" s="3">
        <f t="shared" si="260"/>
        <v>14</v>
      </c>
      <c r="E892" s="4">
        <f t="shared" si="261"/>
        <v>28</v>
      </c>
      <c r="F892" s="4">
        <f t="shared" si="262"/>
        <v>12</v>
      </c>
      <c r="G892" s="3">
        <f>IF(E892&gt;=20,2000,1900) + D892</f>
        <v>2014</v>
      </c>
      <c r="H892">
        <f t="shared" si="263"/>
        <v>8</v>
      </c>
      <c r="I892" s="4">
        <f t="shared" si="264"/>
        <v>12</v>
      </c>
      <c r="J892">
        <f t="shared" si="265"/>
        <v>20142812</v>
      </c>
      <c r="K892" t="str">
        <f t="shared" si="266"/>
        <v>12.28.2014</v>
      </c>
      <c r="L892" s="4">
        <f t="shared" si="267"/>
        <v>1</v>
      </c>
      <c r="M892" s="4">
        <f t="shared" si="268"/>
        <v>12</v>
      </c>
      <c r="N892" s="4">
        <f t="shared" si="269"/>
        <v>14</v>
      </c>
      <c r="O892" s="4">
        <f t="shared" si="270"/>
        <v>72</v>
      </c>
      <c r="P892" s="4">
        <f t="shared" si="271"/>
        <v>1</v>
      </c>
      <c r="Q892" s="4">
        <f t="shared" si="272"/>
        <v>6</v>
      </c>
      <c r="R892" s="4">
        <f t="shared" si="273"/>
        <v>42</v>
      </c>
      <c r="S892" s="4">
        <f t="shared" si="274"/>
        <v>36</v>
      </c>
      <c r="T892" s="4">
        <f t="shared" si="275"/>
        <v>7</v>
      </c>
      <c r="U892" s="4">
        <f t="shared" si="276"/>
        <v>18</v>
      </c>
      <c r="V892" s="8">
        <f t="shared" si="277"/>
        <v>9</v>
      </c>
      <c r="W892" s="8">
        <f t="shared" si="278"/>
        <v>1</v>
      </c>
      <c r="X892">
        <f t="shared" si="279"/>
        <v>1</v>
      </c>
    </row>
    <row r="893" spans="1:24" x14ac:dyDescent="0.25">
      <c r="A893" s="4" t="s">
        <v>919</v>
      </c>
      <c r="B893" t="s">
        <v>13</v>
      </c>
      <c r="C893" t="s">
        <v>6</v>
      </c>
      <c r="D893" s="3">
        <f t="shared" si="260"/>
        <v>3</v>
      </c>
      <c r="E893" s="4">
        <f t="shared" si="261"/>
        <v>24</v>
      </c>
      <c r="F893" s="4">
        <f t="shared" si="262"/>
        <v>15</v>
      </c>
      <c r="G893" s="3">
        <f>IF(E893&gt;=20,2000,1900) + D893</f>
        <v>2003</v>
      </c>
      <c r="H893">
        <f t="shared" si="263"/>
        <v>4</v>
      </c>
      <c r="I893" s="4">
        <f t="shared" si="264"/>
        <v>15</v>
      </c>
      <c r="J893">
        <f t="shared" si="265"/>
        <v>20032415</v>
      </c>
      <c r="K893" t="str">
        <f t="shared" si="266"/>
        <v>15.24.2003</v>
      </c>
      <c r="L893" s="4">
        <f t="shared" si="267"/>
        <v>0</v>
      </c>
      <c r="M893" s="4">
        <f t="shared" si="268"/>
        <v>9</v>
      </c>
      <c r="N893" s="4">
        <f t="shared" si="269"/>
        <v>14</v>
      </c>
      <c r="O893" s="4">
        <f t="shared" si="270"/>
        <v>36</v>
      </c>
      <c r="P893" s="4">
        <f t="shared" si="271"/>
        <v>1</v>
      </c>
      <c r="Q893" s="4">
        <f t="shared" si="272"/>
        <v>15</v>
      </c>
      <c r="R893" s="4">
        <f t="shared" si="273"/>
        <v>7</v>
      </c>
      <c r="S893" s="4">
        <f t="shared" si="274"/>
        <v>9</v>
      </c>
      <c r="T893" s="4">
        <f t="shared" si="275"/>
        <v>1</v>
      </c>
      <c r="U893" s="4">
        <f t="shared" si="276"/>
        <v>27</v>
      </c>
      <c r="V893" s="8">
        <f t="shared" si="277"/>
        <v>9</v>
      </c>
      <c r="W893" s="8">
        <f t="shared" si="278"/>
        <v>1</v>
      </c>
      <c r="X893">
        <f t="shared" si="279"/>
        <v>1</v>
      </c>
    </row>
    <row r="894" spans="1:24" x14ac:dyDescent="0.25">
      <c r="A894" s="4" t="s">
        <v>920</v>
      </c>
      <c r="B894" t="s">
        <v>16</v>
      </c>
      <c r="C894" t="s">
        <v>4</v>
      </c>
      <c r="D894" s="3">
        <f t="shared" si="260"/>
        <v>2</v>
      </c>
      <c r="E894" s="4">
        <f t="shared" si="261"/>
        <v>27</v>
      </c>
      <c r="F894" s="4">
        <f t="shared" si="262"/>
        <v>20</v>
      </c>
      <c r="G894" s="3">
        <f>IF(E894&gt;=20,2000,1900) + D894</f>
        <v>2002</v>
      </c>
      <c r="H894">
        <f t="shared" si="263"/>
        <v>7</v>
      </c>
      <c r="I894" s="4">
        <f t="shared" si="264"/>
        <v>20</v>
      </c>
      <c r="J894">
        <f t="shared" si="265"/>
        <v>20022720</v>
      </c>
      <c r="K894" t="str">
        <f t="shared" si="266"/>
        <v>20.27.2002</v>
      </c>
      <c r="L894" s="4">
        <f t="shared" si="267"/>
        <v>0</v>
      </c>
      <c r="M894" s="4">
        <f t="shared" si="268"/>
        <v>6</v>
      </c>
      <c r="N894" s="4">
        <f t="shared" si="269"/>
        <v>14</v>
      </c>
      <c r="O894" s="4">
        <f t="shared" si="270"/>
        <v>63</v>
      </c>
      <c r="P894" s="4">
        <f t="shared" si="271"/>
        <v>2</v>
      </c>
      <c r="Q894" s="4">
        <f t="shared" si="272"/>
        <v>0</v>
      </c>
      <c r="R894" s="4">
        <f t="shared" si="273"/>
        <v>21</v>
      </c>
      <c r="S894" s="4">
        <f t="shared" si="274"/>
        <v>63</v>
      </c>
      <c r="T894" s="4">
        <f t="shared" si="275"/>
        <v>3</v>
      </c>
      <c r="U894" s="4">
        <f t="shared" si="276"/>
        <v>24</v>
      </c>
      <c r="V894" s="8">
        <f t="shared" si="277"/>
        <v>6</v>
      </c>
      <c r="W894" s="8">
        <f t="shared" si="278"/>
        <v>4</v>
      </c>
      <c r="X894">
        <f t="shared" si="279"/>
        <v>1</v>
      </c>
    </row>
    <row r="895" spans="1:24" x14ac:dyDescent="0.25">
      <c r="A895" s="4" t="s">
        <v>921</v>
      </c>
      <c r="B895" t="s">
        <v>13</v>
      </c>
      <c r="C895" t="s">
        <v>4</v>
      </c>
      <c r="D895" s="3">
        <f t="shared" si="260"/>
        <v>17</v>
      </c>
      <c r="E895" s="4">
        <f t="shared" si="261"/>
        <v>28</v>
      </c>
      <c r="F895" s="4">
        <f t="shared" si="262"/>
        <v>23</v>
      </c>
      <c r="G895" s="3">
        <f>IF(E895&gt;=20,2000,1900) + D895</f>
        <v>2017</v>
      </c>
      <c r="H895">
        <f t="shared" si="263"/>
        <v>8</v>
      </c>
      <c r="I895" s="4">
        <f t="shared" si="264"/>
        <v>23</v>
      </c>
      <c r="J895">
        <f t="shared" si="265"/>
        <v>20172823</v>
      </c>
      <c r="K895" t="str">
        <f t="shared" si="266"/>
        <v>23.28.2017</v>
      </c>
      <c r="L895" s="4">
        <f t="shared" si="267"/>
        <v>1</v>
      </c>
      <c r="M895" s="4">
        <f t="shared" si="268"/>
        <v>21</v>
      </c>
      <c r="N895" s="4">
        <f t="shared" si="269"/>
        <v>14</v>
      </c>
      <c r="O895" s="4">
        <f t="shared" si="270"/>
        <v>72</v>
      </c>
      <c r="P895" s="4">
        <f t="shared" si="271"/>
        <v>2</v>
      </c>
      <c r="Q895" s="4">
        <f t="shared" si="272"/>
        <v>9</v>
      </c>
      <c r="R895" s="4">
        <f t="shared" si="273"/>
        <v>7</v>
      </c>
      <c r="S895" s="4">
        <f t="shared" si="274"/>
        <v>45</v>
      </c>
      <c r="T895" s="4">
        <f t="shared" si="275"/>
        <v>0</v>
      </c>
      <c r="U895" s="4">
        <f t="shared" si="276"/>
        <v>24</v>
      </c>
      <c r="V895" s="8">
        <f t="shared" si="277"/>
        <v>5</v>
      </c>
      <c r="W895" s="8">
        <f t="shared" si="278"/>
        <v>5</v>
      </c>
      <c r="X895">
        <f t="shared" si="279"/>
        <v>1</v>
      </c>
    </row>
    <row r="896" spans="1:24" x14ac:dyDescent="0.25">
      <c r="A896" s="4" t="s">
        <v>922</v>
      </c>
      <c r="B896" t="s">
        <v>5</v>
      </c>
      <c r="C896" t="s">
        <v>6</v>
      </c>
      <c r="D896" s="3">
        <f t="shared" si="260"/>
        <v>3</v>
      </c>
      <c r="E896" s="4">
        <f t="shared" si="261"/>
        <v>24</v>
      </c>
      <c r="F896" s="4">
        <f t="shared" si="262"/>
        <v>18</v>
      </c>
      <c r="G896" s="3">
        <f>IF(E896&gt;=20,2000,1900) + D896</f>
        <v>2003</v>
      </c>
      <c r="H896">
        <f t="shared" si="263"/>
        <v>4</v>
      </c>
      <c r="I896" s="4">
        <f t="shared" si="264"/>
        <v>18</v>
      </c>
      <c r="J896">
        <f t="shared" si="265"/>
        <v>20032418</v>
      </c>
      <c r="K896" t="str">
        <f t="shared" si="266"/>
        <v>18.24.2003</v>
      </c>
      <c r="L896" s="4">
        <f t="shared" si="267"/>
        <v>0</v>
      </c>
      <c r="M896" s="4">
        <f t="shared" si="268"/>
        <v>9</v>
      </c>
      <c r="N896" s="4">
        <f t="shared" si="269"/>
        <v>14</v>
      </c>
      <c r="O896" s="4">
        <f t="shared" si="270"/>
        <v>36</v>
      </c>
      <c r="P896" s="4">
        <f t="shared" si="271"/>
        <v>1</v>
      </c>
      <c r="Q896" s="4">
        <f t="shared" si="272"/>
        <v>24</v>
      </c>
      <c r="R896" s="4">
        <f t="shared" si="273"/>
        <v>63</v>
      </c>
      <c r="S896" s="4">
        <f t="shared" si="274"/>
        <v>27</v>
      </c>
      <c r="T896" s="4">
        <f t="shared" si="275"/>
        <v>3</v>
      </c>
      <c r="U896" s="4">
        <f t="shared" si="276"/>
        <v>27</v>
      </c>
      <c r="V896" s="8">
        <f t="shared" si="277"/>
        <v>4</v>
      </c>
      <c r="W896" s="8">
        <f t="shared" si="278"/>
        <v>6</v>
      </c>
      <c r="X896">
        <f t="shared" si="279"/>
        <v>1</v>
      </c>
    </row>
    <row r="897" spans="1:24" x14ac:dyDescent="0.25">
      <c r="A897" s="4" t="s">
        <v>923</v>
      </c>
      <c r="B897" t="s">
        <v>9</v>
      </c>
      <c r="C897" t="s">
        <v>6</v>
      </c>
      <c r="D897" s="3">
        <f t="shared" si="260"/>
        <v>10</v>
      </c>
      <c r="E897" s="4">
        <f t="shared" si="261"/>
        <v>21</v>
      </c>
      <c r="F897" s="4">
        <f t="shared" si="262"/>
        <v>7</v>
      </c>
      <c r="G897" s="3">
        <f>IF(E897&gt;=20,2000,1900) + D897</f>
        <v>2010</v>
      </c>
      <c r="H897">
        <f t="shared" si="263"/>
        <v>1</v>
      </c>
      <c r="I897" s="4">
        <f t="shared" si="264"/>
        <v>7</v>
      </c>
      <c r="J897">
        <f t="shared" si="265"/>
        <v>20102107</v>
      </c>
      <c r="K897" t="str">
        <f t="shared" si="266"/>
        <v>07.21.2010</v>
      </c>
      <c r="L897" s="4">
        <f t="shared" si="267"/>
        <v>1</v>
      </c>
      <c r="M897" s="4">
        <f t="shared" si="268"/>
        <v>0</v>
      </c>
      <c r="N897" s="4">
        <f t="shared" si="269"/>
        <v>14</v>
      </c>
      <c r="O897" s="4">
        <f t="shared" si="270"/>
        <v>9</v>
      </c>
      <c r="P897" s="4">
        <f t="shared" si="271"/>
        <v>0</v>
      </c>
      <c r="Q897" s="4">
        <f t="shared" si="272"/>
        <v>21</v>
      </c>
      <c r="R897" s="4">
        <f t="shared" si="273"/>
        <v>14</v>
      </c>
      <c r="S897" s="4">
        <f t="shared" si="274"/>
        <v>45</v>
      </c>
      <c r="T897" s="4">
        <f t="shared" si="275"/>
        <v>7</v>
      </c>
      <c r="U897" s="4">
        <f t="shared" si="276"/>
        <v>18</v>
      </c>
      <c r="V897" s="8">
        <f t="shared" si="277"/>
        <v>9</v>
      </c>
      <c r="W897" s="8">
        <f t="shared" si="278"/>
        <v>1</v>
      </c>
      <c r="X897">
        <f t="shared" si="279"/>
        <v>1</v>
      </c>
    </row>
    <row r="898" spans="1:24" x14ac:dyDescent="0.25">
      <c r="A898" s="4" t="s">
        <v>924</v>
      </c>
      <c r="B898" t="s">
        <v>19</v>
      </c>
      <c r="C898" t="s">
        <v>4</v>
      </c>
      <c r="D898" s="3">
        <f t="shared" si="260"/>
        <v>12</v>
      </c>
      <c r="E898" s="4">
        <f t="shared" si="261"/>
        <v>31</v>
      </c>
      <c r="F898" s="4">
        <f t="shared" si="262"/>
        <v>7</v>
      </c>
      <c r="G898" s="3">
        <f>IF(E898&gt;=20,2000,1900) + D898</f>
        <v>2012</v>
      </c>
      <c r="H898">
        <f t="shared" si="263"/>
        <v>11</v>
      </c>
      <c r="I898" s="4">
        <f t="shared" si="264"/>
        <v>7</v>
      </c>
      <c r="J898">
        <f t="shared" si="265"/>
        <v>20123107</v>
      </c>
      <c r="K898" t="str">
        <f t="shared" si="266"/>
        <v>07.31.2012</v>
      </c>
      <c r="L898" s="4">
        <f t="shared" si="267"/>
        <v>1</v>
      </c>
      <c r="M898" s="4">
        <f t="shared" si="268"/>
        <v>6</v>
      </c>
      <c r="N898" s="4">
        <f t="shared" si="269"/>
        <v>21</v>
      </c>
      <c r="O898" s="4">
        <f t="shared" si="270"/>
        <v>9</v>
      </c>
      <c r="P898" s="4">
        <f t="shared" si="271"/>
        <v>0</v>
      </c>
      <c r="Q898" s="4">
        <f t="shared" si="272"/>
        <v>21</v>
      </c>
      <c r="R898" s="4">
        <f t="shared" si="273"/>
        <v>42</v>
      </c>
      <c r="S898" s="4">
        <f t="shared" si="274"/>
        <v>45</v>
      </c>
      <c r="T898" s="4">
        <f t="shared" si="275"/>
        <v>8</v>
      </c>
      <c r="U898" s="4">
        <f t="shared" si="276"/>
        <v>6</v>
      </c>
      <c r="V898" s="8">
        <f t="shared" si="277"/>
        <v>9</v>
      </c>
      <c r="W898" s="8">
        <f t="shared" si="278"/>
        <v>1</v>
      </c>
      <c r="X898">
        <f t="shared" si="279"/>
        <v>1</v>
      </c>
    </row>
    <row r="899" spans="1:24" x14ac:dyDescent="0.25">
      <c r="A899" s="4" t="s">
        <v>925</v>
      </c>
      <c r="B899" t="s">
        <v>10</v>
      </c>
      <c r="C899" t="s">
        <v>6</v>
      </c>
      <c r="D899" s="3">
        <f t="shared" ref="D899:D962" si="280">MID(A899,1,2)*1</f>
        <v>14</v>
      </c>
      <c r="E899" s="4">
        <f t="shared" ref="E899:E962" si="281">MID(A899,3,2)*1</f>
        <v>26</v>
      </c>
      <c r="F899" s="4">
        <f t="shared" ref="F899:F962" si="282">MID(A899,5,2)*1</f>
        <v>28</v>
      </c>
      <c r="G899" s="3">
        <f>IF(E899&gt;=20,2000,1900) + D899</f>
        <v>2014</v>
      </c>
      <c r="H899">
        <f t="shared" ref="H899:H962" si="283">IF(E899&gt;=20,E899-20,E899)</f>
        <v>6</v>
      </c>
      <c r="I899" s="4">
        <f t="shared" ref="I899:I962" si="284">F899</f>
        <v>28</v>
      </c>
      <c r="J899">
        <f t="shared" ref="J899:J962" si="285">CONCATENATE(G899,IF(LEN(E899)=1,CONCATENATE("0",E899),E899),IF(LEN(F899)=1,CONCATENATE("0",F899),F899))*1</f>
        <v>20142628</v>
      </c>
      <c r="K899" t="str">
        <f t="shared" ref="K899:K962" si="286">CONCATENATE(RIGHT(J899,2),".",MID(J899,5,2),".",LEFT(J899,4))</f>
        <v>28.26.2014</v>
      </c>
      <c r="L899" s="4">
        <f t="shared" ref="L899:L962" si="287">MID(A899,1,1)*1</f>
        <v>1</v>
      </c>
      <c r="M899" s="4">
        <f t="shared" ref="M899:M962" si="288">MID(A899,2,1)*3</f>
        <v>12</v>
      </c>
      <c r="N899" s="4">
        <f t="shared" ref="N899:N962" si="289">MID(A899,3,1)*7</f>
        <v>14</v>
      </c>
      <c r="O899" s="4">
        <f t="shared" ref="O899:O962" si="290">MID(A899,4,1)*9</f>
        <v>54</v>
      </c>
      <c r="P899" s="4">
        <f t="shared" ref="P899:P962" si="291">MID(A899,5,1)*1</f>
        <v>2</v>
      </c>
      <c r="Q899" s="4">
        <f t="shared" ref="Q899:Q962" si="292">MID(A899,6,1)*3</f>
        <v>24</v>
      </c>
      <c r="R899" s="4">
        <f t="shared" ref="R899:R962" si="293">MID(A899,7,1)*7</f>
        <v>56</v>
      </c>
      <c r="S899" s="4">
        <f t="shared" ref="S899:S962" si="294">MID(A899,8,1)*9</f>
        <v>9</v>
      </c>
      <c r="T899" s="4">
        <f t="shared" ref="T899:T962" si="295">MID(A899,9,1)*1</f>
        <v>3</v>
      </c>
      <c r="U899" s="4">
        <f t="shared" ref="U899:U962" si="296">MID(A899,10,1)*3</f>
        <v>21</v>
      </c>
      <c r="V899" s="8">
        <f t="shared" ref="V899:V962" si="297">MOD(SUM(L899:U899),10)</f>
        <v>6</v>
      </c>
      <c r="W899" s="8">
        <f t="shared" ref="W899:W962" si="298">IF(V899=0,0,10-V899)</f>
        <v>4</v>
      </c>
      <c r="X899">
        <f t="shared" ref="X899:X962" si="299">IF(W899=RIGHT(A899,1)*1,1,0)</f>
        <v>1</v>
      </c>
    </row>
    <row r="900" spans="1:24" x14ac:dyDescent="0.25">
      <c r="A900" s="4" t="s">
        <v>926</v>
      </c>
      <c r="B900" t="s">
        <v>3</v>
      </c>
      <c r="C900" t="s">
        <v>6</v>
      </c>
      <c r="D900" s="3">
        <f t="shared" si="280"/>
        <v>16</v>
      </c>
      <c r="E900" s="4">
        <f t="shared" si="281"/>
        <v>22</v>
      </c>
      <c r="F900" s="4">
        <f t="shared" si="282"/>
        <v>14</v>
      </c>
      <c r="G900" s="3">
        <f>IF(E900&gt;=20,2000,1900) + D900</f>
        <v>2016</v>
      </c>
      <c r="H900">
        <f t="shared" si="283"/>
        <v>2</v>
      </c>
      <c r="I900" s="4">
        <f t="shared" si="284"/>
        <v>14</v>
      </c>
      <c r="J900">
        <f t="shared" si="285"/>
        <v>20162214</v>
      </c>
      <c r="K900" t="str">
        <f t="shared" si="286"/>
        <v>14.22.2016</v>
      </c>
      <c r="L900" s="4">
        <f t="shared" si="287"/>
        <v>1</v>
      </c>
      <c r="M900" s="4">
        <f t="shared" si="288"/>
        <v>18</v>
      </c>
      <c r="N900" s="4">
        <f t="shared" si="289"/>
        <v>14</v>
      </c>
      <c r="O900" s="4">
        <f t="shared" si="290"/>
        <v>18</v>
      </c>
      <c r="P900" s="4">
        <f t="shared" si="291"/>
        <v>1</v>
      </c>
      <c r="Q900" s="4">
        <f t="shared" si="292"/>
        <v>12</v>
      </c>
      <c r="R900" s="4">
        <f t="shared" si="293"/>
        <v>35</v>
      </c>
      <c r="S900" s="4">
        <f t="shared" si="294"/>
        <v>18</v>
      </c>
      <c r="T900" s="4">
        <f t="shared" si="295"/>
        <v>8</v>
      </c>
      <c r="U900" s="4">
        <f t="shared" si="296"/>
        <v>6</v>
      </c>
      <c r="V900" s="8">
        <f t="shared" si="297"/>
        <v>1</v>
      </c>
      <c r="W900" s="8">
        <f t="shared" si="298"/>
        <v>9</v>
      </c>
      <c r="X900">
        <f t="shared" si="299"/>
        <v>1</v>
      </c>
    </row>
    <row r="901" spans="1:24" x14ac:dyDescent="0.25">
      <c r="A901" s="4" t="s">
        <v>927</v>
      </c>
      <c r="B901" t="s">
        <v>12</v>
      </c>
      <c r="C901" t="s">
        <v>4</v>
      </c>
      <c r="D901" s="3">
        <f t="shared" si="280"/>
        <v>6</v>
      </c>
      <c r="E901" s="4">
        <f t="shared" si="281"/>
        <v>24</v>
      </c>
      <c r="F901" s="4">
        <f t="shared" si="282"/>
        <v>9</v>
      </c>
      <c r="G901" s="3">
        <f>IF(E901&gt;=20,2000,1900) + D901</f>
        <v>2006</v>
      </c>
      <c r="H901">
        <f t="shared" si="283"/>
        <v>4</v>
      </c>
      <c r="I901" s="4">
        <f t="shared" si="284"/>
        <v>9</v>
      </c>
      <c r="J901">
        <f t="shared" si="285"/>
        <v>20062409</v>
      </c>
      <c r="K901" t="str">
        <f t="shared" si="286"/>
        <v>09.24.2006</v>
      </c>
      <c r="L901" s="4">
        <f t="shared" si="287"/>
        <v>0</v>
      </c>
      <c r="M901" s="4">
        <f t="shared" si="288"/>
        <v>18</v>
      </c>
      <c r="N901" s="4">
        <f t="shared" si="289"/>
        <v>14</v>
      </c>
      <c r="O901" s="4">
        <f t="shared" si="290"/>
        <v>36</v>
      </c>
      <c r="P901" s="4">
        <f t="shared" si="291"/>
        <v>0</v>
      </c>
      <c r="Q901" s="4">
        <f t="shared" si="292"/>
        <v>27</v>
      </c>
      <c r="R901" s="4">
        <f t="shared" si="293"/>
        <v>49</v>
      </c>
      <c r="S901" s="4">
        <f t="shared" si="294"/>
        <v>63</v>
      </c>
      <c r="T901" s="4">
        <f t="shared" si="295"/>
        <v>8</v>
      </c>
      <c r="U901" s="4">
        <f t="shared" si="296"/>
        <v>27</v>
      </c>
      <c r="V901" s="8">
        <f t="shared" si="297"/>
        <v>2</v>
      </c>
      <c r="W901" s="8">
        <f t="shared" si="298"/>
        <v>8</v>
      </c>
      <c r="X901">
        <f t="shared" si="299"/>
        <v>1</v>
      </c>
    </row>
    <row r="902" spans="1:24" x14ac:dyDescent="0.25">
      <c r="A902" s="4" t="s">
        <v>928</v>
      </c>
      <c r="B902" t="s">
        <v>9</v>
      </c>
      <c r="C902" t="s">
        <v>4</v>
      </c>
      <c r="D902" s="3">
        <f t="shared" si="280"/>
        <v>20</v>
      </c>
      <c r="E902" s="4">
        <f t="shared" si="281"/>
        <v>23</v>
      </c>
      <c r="F902" s="4">
        <f t="shared" si="282"/>
        <v>12</v>
      </c>
      <c r="G902" s="3">
        <f>IF(E902&gt;=20,2000,1900) + D902</f>
        <v>2020</v>
      </c>
      <c r="H902">
        <f t="shared" si="283"/>
        <v>3</v>
      </c>
      <c r="I902" s="4">
        <f t="shared" si="284"/>
        <v>12</v>
      </c>
      <c r="J902">
        <f t="shared" si="285"/>
        <v>20202312</v>
      </c>
      <c r="K902" t="str">
        <f t="shared" si="286"/>
        <v>12.23.2020</v>
      </c>
      <c r="L902" s="4">
        <f t="shared" si="287"/>
        <v>2</v>
      </c>
      <c r="M902" s="4">
        <f t="shared" si="288"/>
        <v>0</v>
      </c>
      <c r="N902" s="4">
        <f t="shared" si="289"/>
        <v>14</v>
      </c>
      <c r="O902" s="4">
        <f t="shared" si="290"/>
        <v>27</v>
      </c>
      <c r="P902" s="4">
        <f t="shared" si="291"/>
        <v>1</v>
      </c>
      <c r="Q902" s="4">
        <f t="shared" si="292"/>
        <v>6</v>
      </c>
      <c r="R902" s="4">
        <f t="shared" si="293"/>
        <v>21</v>
      </c>
      <c r="S902" s="4">
        <f t="shared" si="294"/>
        <v>27</v>
      </c>
      <c r="T902" s="4">
        <f t="shared" si="295"/>
        <v>5</v>
      </c>
      <c r="U902" s="4">
        <f t="shared" si="296"/>
        <v>15</v>
      </c>
      <c r="V902" s="8">
        <f t="shared" si="297"/>
        <v>8</v>
      </c>
      <c r="W902" s="8">
        <f t="shared" si="298"/>
        <v>2</v>
      </c>
      <c r="X902">
        <f t="shared" si="299"/>
        <v>1</v>
      </c>
    </row>
    <row r="903" spans="1:24" x14ac:dyDescent="0.25">
      <c r="A903" s="4" t="s">
        <v>929</v>
      </c>
      <c r="B903" t="s">
        <v>16</v>
      </c>
      <c r="C903" t="s">
        <v>6</v>
      </c>
      <c r="D903" s="3">
        <f t="shared" si="280"/>
        <v>2</v>
      </c>
      <c r="E903" s="4">
        <f t="shared" si="281"/>
        <v>26</v>
      </c>
      <c r="F903" s="4">
        <f t="shared" si="282"/>
        <v>9</v>
      </c>
      <c r="G903" s="3">
        <f>IF(E903&gt;=20,2000,1900) + D903</f>
        <v>2002</v>
      </c>
      <c r="H903">
        <f t="shared" si="283"/>
        <v>6</v>
      </c>
      <c r="I903" s="4">
        <f t="shared" si="284"/>
        <v>9</v>
      </c>
      <c r="J903">
        <f t="shared" si="285"/>
        <v>20022609</v>
      </c>
      <c r="K903" t="str">
        <f t="shared" si="286"/>
        <v>09.26.2002</v>
      </c>
      <c r="L903" s="4">
        <f t="shared" si="287"/>
        <v>0</v>
      </c>
      <c r="M903" s="4">
        <f t="shared" si="288"/>
        <v>6</v>
      </c>
      <c r="N903" s="4">
        <f t="shared" si="289"/>
        <v>14</v>
      </c>
      <c r="O903" s="4">
        <f t="shared" si="290"/>
        <v>54</v>
      </c>
      <c r="P903" s="4">
        <f t="shared" si="291"/>
        <v>0</v>
      </c>
      <c r="Q903" s="4">
        <f t="shared" si="292"/>
        <v>27</v>
      </c>
      <c r="R903" s="4">
        <f t="shared" si="293"/>
        <v>0</v>
      </c>
      <c r="S903" s="4">
        <f t="shared" si="294"/>
        <v>27</v>
      </c>
      <c r="T903" s="4">
        <f t="shared" si="295"/>
        <v>2</v>
      </c>
      <c r="U903" s="4">
        <f t="shared" si="296"/>
        <v>21</v>
      </c>
      <c r="V903" s="8">
        <f t="shared" si="297"/>
        <v>1</v>
      </c>
      <c r="W903" s="8">
        <f t="shared" si="298"/>
        <v>9</v>
      </c>
      <c r="X903">
        <f t="shared" si="299"/>
        <v>1</v>
      </c>
    </row>
    <row r="904" spans="1:24" x14ac:dyDescent="0.25">
      <c r="A904" s="4" t="s">
        <v>930</v>
      </c>
      <c r="B904" t="s">
        <v>3</v>
      </c>
      <c r="C904" t="s">
        <v>6</v>
      </c>
      <c r="D904" s="3">
        <f t="shared" si="280"/>
        <v>15</v>
      </c>
      <c r="E904" s="4">
        <f t="shared" si="281"/>
        <v>30</v>
      </c>
      <c r="F904" s="4">
        <f t="shared" si="282"/>
        <v>4</v>
      </c>
      <c r="G904" s="3">
        <f>IF(E904&gt;=20,2000,1900) + D904</f>
        <v>2015</v>
      </c>
      <c r="H904">
        <f t="shared" si="283"/>
        <v>10</v>
      </c>
      <c r="I904" s="4">
        <f t="shared" si="284"/>
        <v>4</v>
      </c>
      <c r="J904">
        <f t="shared" si="285"/>
        <v>20153004</v>
      </c>
      <c r="K904" t="str">
        <f t="shared" si="286"/>
        <v>04.30.2015</v>
      </c>
      <c r="L904" s="4">
        <f t="shared" si="287"/>
        <v>1</v>
      </c>
      <c r="M904" s="4">
        <f t="shared" si="288"/>
        <v>15</v>
      </c>
      <c r="N904" s="4">
        <f t="shared" si="289"/>
        <v>21</v>
      </c>
      <c r="O904" s="4">
        <f t="shared" si="290"/>
        <v>0</v>
      </c>
      <c r="P904" s="4">
        <f t="shared" si="291"/>
        <v>0</v>
      </c>
      <c r="Q904" s="4">
        <f t="shared" si="292"/>
        <v>12</v>
      </c>
      <c r="R904" s="4">
        <f t="shared" si="293"/>
        <v>35</v>
      </c>
      <c r="S904" s="4">
        <f t="shared" si="294"/>
        <v>63</v>
      </c>
      <c r="T904" s="4">
        <f t="shared" si="295"/>
        <v>8</v>
      </c>
      <c r="U904" s="4">
        <f t="shared" si="296"/>
        <v>9</v>
      </c>
      <c r="V904" s="8">
        <f t="shared" si="297"/>
        <v>4</v>
      </c>
      <c r="W904" s="8">
        <f t="shared" si="298"/>
        <v>6</v>
      </c>
      <c r="X904">
        <f t="shared" si="299"/>
        <v>1</v>
      </c>
    </row>
    <row r="905" spans="1:24" x14ac:dyDescent="0.25">
      <c r="A905" s="4" t="s">
        <v>931</v>
      </c>
      <c r="B905" t="s">
        <v>7</v>
      </c>
      <c r="C905" t="s">
        <v>4</v>
      </c>
      <c r="D905" s="3">
        <f t="shared" si="280"/>
        <v>12</v>
      </c>
      <c r="E905" s="4">
        <f t="shared" si="281"/>
        <v>24</v>
      </c>
      <c r="F905" s="4">
        <f t="shared" si="282"/>
        <v>16</v>
      </c>
      <c r="G905" s="3">
        <f>IF(E905&gt;=20,2000,1900) + D905</f>
        <v>2012</v>
      </c>
      <c r="H905">
        <f t="shared" si="283"/>
        <v>4</v>
      </c>
      <c r="I905" s="4">
        <f t="shared" si="284"/>
        <v>16</v>
      </c>
      <c r="J905">
        <f t="shared" si="285"/>
        <v>20122416</v>
      </c>
      <c r="K905" t="str">
        <f t="shared" si="286"/>
        <v>16.24.2012</v>
      </c>
      <c r="L905" s="4">
        <f t="shared" si="287"/>
        <v>1</v>
      </c>
      <c r="M905" s="4">
        <f t="shared" si="288"/>
        <v>6</v>
      </c>
      <c r="N905" s="4">
        <f t="shared" si="289"/>
        <v>14</v>
      </c>
      <c r="O905" s="4">
        <f t="shared" si="290"/>
        <v>36</v>
      </c>
      <c r="P905" s="4">
        <f t="shared" si="291"/>
        <v>1</v>
      </c>
      <c r="Q905" s="4">
        <f t="shared" si="292"/>
        <v>18</v>
      </c>
      <c r="R905" s="4">
        <f t="shared" si="293"/>
        <v>28</v>
      </c>
      <c r="S905" s="4">
        <f t="shared" si="294"/>
        <v>27</v>
      </c>
      <c r="T905" s="4">
        <f t="shared" si="295"/>
        <v>5</v>
      </c>
      <c r="U905" s="4">
        <f t="shared" si="296"/>
        <v>21</v>
      </c>
      <c r="V905" s="8">
        <f t="shared" si="297"/>
        <v>7</v>
      </c>
      <c r="W905" s="8">
        <f t="shared" si="298"/>
        <v>3</v>
      </c>
      <c r="X905">
        <f t="shared" si="299"/>
        <v>1</v>
      </c>
    </row>
    <row r="906" spans="1:24" x14ac:dyDescent="0.25">
      <c r="A906" s="4" t="s">
        <v>932</v>
      </c>
      <c r="B906" t="s">
        <v>11</v>
      </c>
      <c r="C906" t="s">
        <v>6</v>
      </c>
      <c r="D906" s="3">
        <f t="shared" si="280"/>
        <v>13</v>
      </c>
      <c r="E906" s="4">
        <f t="shared" si="281"/>
        <v>22</v>
      </c>
      <c r="F906" s="4">
        <f t="shared" si="282"/>
        <v>24</v>
      </c>
      <c r="G906" s="3">
        <f>IF(E906&gt;=20,2000,1900) + D906</f>
        <v>2013</v>
      </c>
      <c r="H906">
        <f t="shared" si="283"/>
        <v>2</v>
      </c>
      <c r="I906" s="4">
        <f t="shared" si="284"/>
        <v>24</v>
      </c>
      <c r="J906">
        <f t="shared" si="285"/>
        <v>20132224</v>
      </c>
      <c r="K906" t="str">
        <f t="shared" si="286"/>
        <v>24.22.2013</v>
      </c>
      <c r="L906" s="4">
        <f t="shared" si="287"/>
        <v>1</v>
      </c>
      <c r="M906" s="4">
        <f t="shared" si="288"/>
        <v>9</v>
      </c>
      <c r="N906" s="4">
        <f t="shared" si="289"/>
        <v>14</v>
      </c>
      <c r="O906" s="4">
        <f t="shared" si="290"/>
        <v>18</v>
      </c>
      <c r="P906" s="4">
        <f t="shared" si="291"/>
        <v>2</v>
      </c>
      <c r="Q906" s="4">
        <f t="shared" si="292"/>
        <v>12</v>
      </c>
      <c r="R906" s="4">
        <f t="shared" si="293"/>
        <v>63</v>
      </c>
      <c r="S906" s="4">
        <f t="shared" si="294"/>
        <v>18</v>
      </c>
      <c r="T906" s="4">
        <f t="shared" si="295"/>
        <v>5</v>
      </c>
      <c r="U906" s="4">
        <f t="shared" si="296"/>
        <v>0</v>
      </c>
      <c r="V906" s="8">
        <f t="shared" si="297"/>
        <v>2</v>
      </c>
      <c r="W906" s="8">
        <f t="shared" si="298"/>
        <v>8</v>
      </c>
      <c r="X906">
        <f t="shared" si="299"/>
        <v>1</v>
      </c>
    </row>
    <row r="907" spans="1:24" x14ac:dyDescent="0.25">
      <c r="A907" s="4" t="s">
        <v>933</v>
      </c>
      <c r="B907" t="s">
        <v>8</v>
      </c>
      <c r="C907" t="s">
        <v>4</v>
      </c>
      <c r="D907" s="3">
        <f t="shared" si="280"/>
        <v>20</v>
      </c>
      <c r="E907" s="4">
        <f t="shared" si="281"/>
        <v>30</v>
      </c>
      <c r="F907" s="4">
        <f t="shared" si="282"/>
        <v>31</v>
      </c>
      <c r="G907" s="3">
        <f>IF(E907&gt;=20,2000,1900) + D907</f>
        <v>2020</v>
      </c>
      <c r="H907">
        <f t="shared" si="283"/>
        <v>10</v>
      </c>
      <c r="I907" s="4">
        <f t="shared" si="284"/>
        <v>31</v>
      </c>
      <c r="J907">
        <f t="shared" si="285"/>
        <v>20203031</v>
      </c>
      <c r="K907" t="str">
        <f t="shared" si="286"/>
        <v>31.30.2020</v>
      </c>
      <c r="L907" s="4">
        <f t="shared" si="287"/>
        <v>2</v>
      </c>
      <c r="M907" s="4">
        <f t="shared" si="288"/>
        <v>0</v>
      </c>
      <c r="N907" s="4">
        <f t="shared" si="289"/>
        <v>21</v>
      </c>
      <c r="O907" s="4">
        <f t="shared" si="290"/>
        <v>0</v>
      </c>
      <c r="P907" s="4">
        <f t="shared" si="291"/>
        <v>3</v>
      </c>
      <c r="Q907" s="4">
        <f t="shared" si="292"/>
        <v>3</v>
      </c>
      <c r="R907" s="4">
        <f t="shared" si="293"/>
        <v>49</v>
      </c>
      <c r="S907" s="4">
        <f t="shared" si="294"/>
        <v>45</v>
      </c>
      <c r="T907" s="4">
        <f t="shared" si="295"/>
        <v>2</v>
      </c>
      <c r="U907" s="4">
        <f t="shared" si="296"/>
        <v>9</v>
      </c>
      <c r="V907" s="8">
        <f t="shared" si="297"/>
        <v>4</v>
      </c>
      <c r="W907" s="8">
        <f t="shared" si="298"/>
        <v>6</v>
      </c>
      <c r="X907">
        <f t="shared" si="299"/>
        <v>1</v>
      </c>
    </row>
    <row r="908" spans="1:24" x14ac:dyDescent="0.25">
      <c r="A908" s="4" t="s">
        <v>934</v>
      </c>
      <c r="B908" t="s">
        <v>16</v>
      </c>
      <c r="C908" t="s">
        <v>4</v>
      </c>
      <c r="D908" s="3">
        <f t="shared" si="280"/>
        <v>14</v>
      </c>
      <c r="E908" s="4">
        <f t="shared" si="281"/>
        <v>27</v>
      </c>
      <c r="F908" s="4">
        <f t="shared" si="282"/>
        <v>18</v>
      </c>
      <c r="G908" s="3">
        <f>IF(E908&gt;=20,2000,1900) + D908</f>
        <v>2014</v>
      </c>
      <c r="H908">
        <f t="shared" si="283"/>
        <v>7</v>
      </c>
      <c r="I908" s="4">
        <f t="shared" si="284"/>
        <v>18</v>
      </c>
      <c r="J908">
        <f t="shared" si="285"/>
        <v>20142718</v>
      </c>
      <c r="K908" t="str">
        <f t="shared" si="286"/>
        <v>18.27.2014</v>
      </c>
      <c r="L908" s="4">
        <f t="shared" si="287"/>
        <v>1</v>
      </c>
      <c r="M908" s="4">
        <f t="shared" si="288"/>
        <v>12</v>
      </c>
      <c r="N908" s="4">
        <f t="shared" si="289"/>
        <v>14</v>
      </c>
      <c r="O908" s="4">
        <f t="shared" si="290"/>
        <v>63</v>
      </c>
      <c r="P908" s="4">
        <f t="shared" si="291"/>
        <v>1</v>
      </c>
      <c r="Q908" s="4">
        <f t="shared" si="292"/>
        <v>24</v>
      </c>
      <c r="R908" s="4">
        <f t="shared" si="293"/>
        <v>21</v>
      </c>
      <c r="S908" s="4">
        <f t="shared" si="294"/>
        <v>45</v>
      </c>
      <c r="T908" s="4">
        <f t="shared" si="295"/>
        <v>4</v>
      </c>
      <c r="U908" s="4">
        <f t="shared" si="296"/>
        <v>18</v>
      </c>
      <c r="V908" s="8">
        <f t="shared" si="297"/>
        <v>3</v>
      </c>
      <c r="W908" s="8">
        <f t="shared" si="298"/>
        <v>7</v>
      </c>
      <c r="X908">
        <f t="shared" si="299"/>
        <v>1</v>
      </c>
    </row>
    <row r="909" spans="1:24" x14ac:dyDescent="0.25">
      <c r="A909" s="4" t="s">
        <v>935</v>
      </c>
      <c r="B909" t="s">
        <v>7</v>
      </c>
      <c r="C909" t="s">
        <v>4</v>
      </c>
      <c r="D909" s="3">
        <f t="shared" si="280"/>
        <v>6</v>
      </c>
      <c r="E909" s="4">
        <f t="shared" si="281"/>
        <v>22</v>
      </c>
      <c r="F909" s="4">
        <f t="shared" si="282"/>
        <v>3</v>
      </c>
      <c r="G909" s="3">
        <f>IF(E909&gt;=20,2000,1900) + D909</f>
        <v>2006</v>
      </c>
      <c r="H909">
        <f t="shared" si="283"/>
        <v>2</v>
      </c>
      <c r="I909" s="4">
        <f t="shared" si="284"/>
        <v>3</v>
      </c>
      <c r="J909">
        <f t="shared" si="285"/>
        <v>20062203</v>
      </c>
      <c r="K909" t="str">
        <f t="shared" si="286"/>
        <v>03.22.2006</v>
      </c>
      <c r="L909" s="4">
        <f t="shared" si="287"/>
        <v>0</v>
      </c>
      <c r="M909" s="4">
        <f t="shared" si="288"/>
        <v>18</v>
      </c>
      <c r="N909" s="4">
        <f t="shared" si="289"/>
        <v>14</v>
      </c>
      <c r="O909" s="4">
        <f t="shared" si="290"/>
        <v>18</v>
      </c>
      <c r="P909" s="4">
        <f t="shared" si="291"/>
        <v>0</v>
      </c>
      <c r="Q909" s="4">
        <f t="shared" si="292"/>
        <v>9</v>
      </c>
      <c r="R909" s="4">
        <f t="shared" si="293"/>
        <v>35</v>
      </c>
      <c r="S909" s="4">
        <f t="shared" si="294"/>
        <v>0</v>
      </c>
      <c r="T909" s="4">
        <f t="shared" si="295"/>
        <v>8</v>
      </c>
      <c r="U909" s="4">
        <f t="shared" si="296"/>
        <v>27</v>
      </c>
      <c r="V909" s="8">
        <f t="shared" si="297"/>
        <v>9</v>
      </c>
      <c r="W909" s="8">
        <f t="shared" si="298"/>
        <v>1</v>
      </c>
      <c r="X909">
        <f t="shared" si="299"/>
        <v>1</v>
      </c>
    </row>
    <row r="910" spans="1:24" x14ac:dyDescent="0.25">
      <c r="A910" s="4" t="s">
        <v>936</v>
      </c>
      <c r="B910" t="s">
        <v>13</v>
      </c>
      <c r="C910" t="s">
        <v>4</v>
      </c>
      <c r="D910" s="3">
        <f t="shared" si="280"/>
        <v>7</v>
      </c>
      <c r="E910" s="4">
        <f t="shared" si="281"/>
        <v>23</v>
      </c>
      <c r="F910" s="4">
        <f t="shared" si="282"/>
        <v>16</v>
      </c>
      <c r="G910" s="3">
        <f>IF(E910&gt;=20,2000,1900) + D910</f>
        <v>2007</v>
      </c>
      <c r="H910">
        <f t="shared" si="283"/>
        <v>3</v>
      </c>
      <c r="I910" s="4">
        <f t="shared" si="284"/>
        <v>16</v>
      </c>
      <c r="J910">
        <f t="shared" si="285"/>
        <v>20072316</v>
      </c>
      <c r="K910" t="str">
        <f t="shared" si="286"/>
        <v>16.23.2007</v>
      </c>
      <c r="L910" s="4">
        <f t="shared" si="287"/>
        <v>0</v>
      </c>
      <c r="M910" s="4">
        <f t="shared" si="288"/>
        <v>21</v>
      </c>
      <c r="N910" s="4">
        <f t="shared" si="289"/>
        <v>14</v>
      </c>
      <c r="O910" s="4">
        <f t="shared" si="290"/>
        <v>27</v>
      </c>
      <c r="P910" s="4">
        <f t="shared" si="291"/>
        <v>1</v>
      </c>
      <c r="Q910" s="4">
        <f t="shared" si="292"/>
        <v>18</v>
      </c>
      <c r="R910" s="4">
        <f t="shared" si="293"/>
        <v>7</v>
      </c>
      <c r="S910" s="4">
        <f t="shared" si="294"/>
        <v>63</v>
      </c>
      <c r="T910" s="4">
        <f t="shared" si="295"/>
        <v>6</v>
      </c>
      <c r="U910" s="4">
        <f t="shared" si="296"/>
        <v>0</v>
      </c>
      <c r="V910" s="8">
        <f t="shared" si="297"/>
        <v>7</v>
      </c>
      <c r="W910" s="8">
        <f t="shared" si="298"/>
        <v>3</v>
      </c>
      <c r="X910">
        <f t="shared" si="299"/>
        <v>1</v>
      </c>
    </row>
    <row r="911" spans="1:24" x14ac:dyDescent="0.25">
      <c r="A911" s="4" t="s">
        <v>937</v>
      </c>
      <c r="B911" t="s">
        <v>16</v>
      </c>
      <c r="C911" t="s">
        <v>4</v>
      </c>
      <c r="D911" s="3">
        <f t="shared" si="280"/>
        <v>7</v>
      </c>
      <c r="E911" s="4">
        <f t="shared" si="281"/>
        <v>28</v>
      </c>
      <c r="F911" s="4">
        <f t="shared" si="282"/>
        <v>21</v>
      </c>
      <c r="G911" s="3">
        <f>IF(E911&gt;=20,2000,1900) + D911</f>
        <v>2007</v>
      </c>
      <c r="H911">
        <f t="shared" si="283"/>
        <v>8</v>
      </c>
      <c r="I911" s="4">
        <f t="shared" si="284"/>
        <v>21</v>
      </c>
      <c r="J911">
        <f t="shared" si="285"/>
        <v>20072821</v>
      </c>
      <c r="K911" t="str">
        <f t="shared" si="286"/>
        <v>21.28.2007</v>
      </c>
      <c r="L911" s="4">
        <f t="shared" si="287"/>
        <v>0</v>
      </c>
      <c r="M911" s="4">
        <f t="shared" si="288"/>
        <v>21</v>
      </c>
      <c r="N911" s="4">
        <f t="shared" si="289"/>
        <v>14</v>
      </c>
      <c r="O911" s="4">
        <f t="shared" si="290"/>
        <v>72</v>
      </c>
      <c r="P911" s="4">
        <f t="shared" si="291"/>
        <v>2</v>
      </c>
      <c r="Q911" s="4">
        <f t="shared" si="292"/>
        <v>3</v>
      </c>
      <c r="R911" s="4">
        <f t="shared" si="293"/>
        <v>14</v>
      </c>
      <c r="S911" s="4">
        <f t="shared" si="294"/>
        <v>0</v>
      </c>
      <c r="T911" s="4">
        <f t="shared" si="295"/>
        <v>7</v>
      </c>
      <c r="U911" s="4">
        <f t="shared" si="296"/>
        <v>9</v>
      </c>
      <c r="V911" s="8">
        <f t="shared" si="297"/>
        <v>2</v>
      </c>
      <c r="W911" s="8">
        <f t="shared" si="298"/>
        <v>8</v>
      </c>
      <c r="X911">
        <f t="shared" si="299"/>
        <v>1</v>
      </c>
    </row>
    <row r="912" spans="1:24" x14ac:dyDescent="0.25">
      <c r="A912" s="4" t="s">
        <v>938</v>
      </c>
      <c r="B912" t="s">
        <v>15</v>
      </c>
      <c r="C912" t="s">
        <v>6</v>
      </c>
      <c r="D912" s="3">
        <f t="shared" si="280"/>
        <v>13</v>
      </c>
      <c r="E912" s="4">
        <f t="shared" si="281"/>
        <v>24</v>
      </c>
      <c r="F912" s="4">
        <f t="shared" si="282"/>
        <v>27</v>
      </c>
      <c r="G912" s="3">
        <f>IF(E912&gt;=20,2000,1900) + D912</f>
        <v>2013</v>
      </c>
      <c r="H912">
        <f t="shared" si="283"/>
        <v>4</v>
      </c>
      <c r="I912" s="4">
        <f t="shared" si="284"/>
        <v>27</v>
      </c>
      <c r="J912">
        <f t="shared" si="285"/>
        <v>20132427</v>
      </c>
      <c r="K912" t="str">
        <f t="shared" si="286"/>
        <v>27.24.2013</v>
      </c>
      <c r="L912" s="4">
        <f t="shared" si="287"/>
        <v>1</v>
      </c>
      <c r="M912" s="4">
        <f t="shared" si="288"/>
        <v>9</v>
      </c>
      <c r="N912" s="4">
        <f t="shared" si="289"/>
        <v>14</v>
      </c>
      <c r="O912" s="4">
        <f t="shared" si="290"/>
        <v>36</v>
      </c>
      <c r="P912" s="4">
        <f t="shared" si="291"/>
        <v>2</v>
      </c>
      <c r="Q912" s="4">
        <f t="shared" si="292"/>
        <v>21</v>
      </c>
      <c r="R912" s="4">
        <f t="shared" si="293"/>
        <v>63</v>
      </c>
      <c r="S912" s="4">
        <f t="shared" si="294"/>
        <v>27</v>
      </c>
      <c r="T912" s="4">
        <f t="shared" si="295"/>
        <v>2</v>
      </c>
      <c r="U912" s="4">
        <f t="shared" si="296"/>
        <v>12</v>
      </c>
      <c r="V912" s="8">
        <f t="shared" si="297"/>
        <v>7</v>
      </c>
      <c r="W912" s="8">
        <f t="shared" si="298"/>
        <v>3</v>
      </c>
      <c r="X912">
        <f t="shared" si="299"/>
        <v>1</v>
      </c>
    </row>
    <row r="913" spans="1:24" x14ac:dyDescent="0.25">
      <c r="A913" s="4" t="s">
        <v>939</v>
      </c>
      <c r="B913" t="s">
        <v>19</v>
      </c>
      <c r="C913" t="s">
        <v>6</v>
      </c>
      <c r="D913" s="3">
        <f t="shared" si="280"/>
        <v>22</v>
      </c>
      <c r="E913" s="4">
        <f t="shared" si="281"/>
        <v>27</v>
      </c>
      <c r="F913" s="4">
        <f t="shared" si="282"/>
        <v>1</v>
      </c>
      <c r="G913" s="3">
        <f>IF(E913&gt;=20,2000,1900) + D913</f>
        <v>2022</v>
      </c>
      <c r="H913">
        <f t="shared" si="283"/>
        <v>7</v>
      </c>
      <c r="I913" s="4">
        <f t="shared" si="284"/>
        <v>1</v>
      </c>
      <c r="J913">
        <f t="shared" si="285"/>
        <v>20222701</v>
      </c>
      <c r="K913" t="str">
        <f t="shared" si="286"/>
        <v>01.27.2022</v>
      </c>
      <c r="L913" s="4">
        <f t="shared" si="287"/>
        <v>2</v>
      </c>
      <c r="M913" s="4">
        <f t="shared" si="288"/>
        <v>6</v>
      </c>
      <c r="N913" s="4">
        <f t="shared" si="289"/>
        <v>14</v>
      </c>
      <c r="O913" s="4">
        <f t="shared" si="290"/>
        <v>63</v>
      </c>
      <c r="P913" s="4">
        <f t="shared" si="291"/>
        <v>0</v>
      </c>
      <c r="Q913" s="4">
        <f t="shared" si="292"/>
        <v>3</v>
      </c>
      <c r="R913" s="4">
        <f t="shared" si="293"/>
        <v>0</v>
      </c>
      <c r="S913" s="4">
        <f t="shared" si="294"/>
        <v>45</v>
      </c>
      <c r="T913" s="4">
        <f t="shared" si="295"/>
        <v>2</v>
      </c>
      <c r="U913" s="4">
        <f t="shared" si="296"/>
        <v>15</v>
      </c>
      <c r="V913" s="8">
        <f t="shared" si="297"/>
        <v>0</v>
      </c>
      <c r="W913" s="8">
        <f t="shared" si="298"/>
        <v>0</v>
      </c>
      <c r="X913">
        <f t="shared" si="299"/>
        <v>1</v>
      </c>
    </row>
    <row r="914" spans="1:24" x14ac:dyDescent="0.25">
      <c r="A914" s="4" t="s">
        <v>940</v>
      </c>
      <c r="B914" t="s">
        <v>3</v>
      </c>
      <c r="C914" t="s">
        <v>6</v>
      </c>
      <c r="D914" s="3">
        <f t="shared" si="280"/>
        <v>15</v>
      </c>
      <c r="E914" s="4">
        <f t="shared" si="281"/>
        <v>22</v>
      </c>
      <c r="F914" s="4">
        <f t="shared" si="282"/>
        <v>3</v>
      </c>
      <c r="G914" s="3">
        <f>IF(E914&gt;=20,2000,1900) + D914</f>
        <v>2015</v>
      </c>
      <c r="H914">
        <f t="shared" si="283"/>
        <v>2</v>
      </c>
      <c r="I914" s="4">
        <f t="shared" si="284"/>
        <v>3</v>
      </c>
      <c r="J914">
        <f t="shared" si="285"/>
        <v>20152203</v>
      </c>
      <c r="K914" t="str">
        <f t="shared" si="286"/>
        <v>03.22.2015</v>
      </c>
      <c r="L914" s="4">
        <f t="shared" si="287"/>
        <v>1</v>
      </c>
      <c r="M914" s="4">
        <f t="shared" si="288"/>
        <v>15</v>
      </c>
      <c r="N914" s="4">
        <f t="shared" si="289"/>
        <v>14</v>
      </c>
      <c r="O914" s="4">
        <f t="shared" si="290"/>
        <v>18</v>
      </c>
      <c r="P914" s="4">
        <f t="shared" si="291"/>
        <v>0</v>
      </c>
      <c r="Q914" s="4">
        <f t="shared" si="292"/>
        <v>9</v>
      </c>
      <c r="R914" s="4">
        <f t="shared" si="293"/>
        <v>35</v>
      </c>
      <c r="S914" s="4">
        <f t="shared" si="294"/>
        <v>81</v>
      </c>
      <c r="T914" s="4">
        <f t="shared" si="295"/>
        <v>5</v>
      </c>
      <c r="U914" s="4">
        <f t="shared" si="296"/>
        <v>3</v>
      </c>
      <c r="V914" s="8">
        <f t="shared" si="297"/>
        <v>1</v>
      </c>
      <c r="W914" s="8">
        <f t="shared" si="298"/>
        <v>9</v>
      </c>
      <c r="X914">
        <f t="shared" si="299"/>
        <v>1</v>
      </c>
    </row>
    <row r="915" spans="1:24" x14ac:dyDescent="0.25">
      <c r="A915" s="4" t="s">
        <v>941</v>
      </c>
      <c r="B915" t="s">
        <v>14</v>
      </c>
      <c r="C915" t="s">
        <v>6</v>
      </c>
      <c r="D915" s="3">
        <f t="shared" si="280"/>
        <v>16</v>
      </c>
      <c r="E915" s="4">
        <f t="shared" si="281"/>
        <v>32</v>
      </c>
      <c r="F915" s="4">
        <f t="shared" si="282"/>
        <v>30</v>
      </c>
      <c r="G915" s="3">
        <f>IF(E915&gt;=20,2000,1900) + D915</f>
        <v>2016</v>
      </c>
      <c r="H915">
        <f t="shared" si="283"/>
        <v>12</v>
      </c>
      <c r="I915" s="4">
        <f t="shared" si="284"/>
        <v>30</v>
      </c>
      <c r="J915">
        <f t="shared" si="285"/>
        <v>20163230</v>
      </c>
      <c r="K915" t="str">
        <f t="shared" si="286"/>
        <v>30.32.2016</v>
      </c>
      <c r="L915" s="4">
        <f t="shared" si="287"/>
        <v>1</v>
      </c>
      <c r="M915" s="4">
        <f t="shared" si="288"/>
        <v>18</v>
      </c>
      <c r="N915" s="4">
        <f t="shared" si="289"/>
        <v>21</v>
      </c>
      <c r="O915" s="4">
        <f t="shared" si="290"/>
        <v>18</v>
      </c>
      <c r="P915" s="4">
        <f t="shared" si="291"/>
        <v>3</v>
      </c>
      <c r="Q915" s="4">
        <f t="shared" si="292"/>
        <v>0</v>
      </c>
      <c r="R915" s="4">
        <f t="shared" si="293"/>
        <v>14</v>
      </c>
      <c r="S915" s="4">
        <f t="shared" si="294"/>
        <v>36</v>
      </c>
      <c r="T915" s="4">
        <f t="shared" si="295"/>
        <v>4</v>
      </c>
      <c r="U915" s="4">
        <f t="shared" si="296"/>
        <v>24</v>
      </c>
      <c r="V915" s="8">
        <f t="shared" si="297"/>
        <v>9</v>
      </c>
      <c r="W915" s="8">
        <f t="shared" si="298"/>
        <v>1</v>
      </c>
      <c r="X915">
        <f t="shared" si="299"/>
        <v>1</v>
      </c>
    </row>
    <row r="916" spans="1:24" x14ac:dyDescent="0.25">
      <c r="A916" s="4" t="s">
        <v>942</v>
      </c>
      <c r="B916" t="s">
        <v>14</v>
      </c>
      <c r="C916" t="s">
        <v>4</v>
      </c>
      <c r="D916" s="3">
        <f t="shared" si="280"/>
        <v>17</v>
      </c>
      <c r="E916" s="4">
        <f t="shared" si="281"/>
        <v>21</v>
      </c>
      <c r="F916" s="4">
        <f t="shared" si="282"/>
        <v>29</v>
      </c>
      <c r="G916" s="3">
        <f>IF(E916&gt;=20,2000,1900) + D916</f>
        <v>2017</v>
      </c>
      <c r="H916">
        <f t="shared" si="283"/>
        <v>1</v>
      </c>
      <c r="I916" s="4">
        <f t="shared" si="284"/>
        <v>29</v>
      </c>
      <c r="J916">
        <f t="shared" si="285"/>
        <v>20172129</v>
      </c>
      <c r="K916" t="str">
        <f t="shared" si="286"/>
        <v>29.21.2017</v>
      </c>
      <c r="L916" s="4">
        <f t="shared" si="287"/>
        <v>1</v>
      </c>
      <c r="M916" s="4">
        <f t="shared" si="288"/>
        <v>21</v>
      </c>
      <c r="N916" s="4">
        <f t="shared" si="289"/>
        <v>14</v>
      </c>
      <c r="O916" s="4">
        <f t="shared" si="290"/>
        <v>9</v>
      </c>
      <c r="P916" s="4">
        <f t="shared" si="291"/>
        <v>2</v>
      </c>
      <c r="Q916" s="4">
        <f t="shared" si="292"/>
        <v>27</v>
      </c>
      <c r="R916" s="4">
        <f t="shared" si="293"/>
        <v>0</v>
      </c>
      <c r="S916" s="4">
        <f t="shared" si="294"/>
        <v>63</v>
      </c>
      <c r="T916" s="4">
        <f t="shared" si="295"/>
        <v>5</v>
      </c>
      <c r="U916" s="4">
        <f t="shared" si="296"/>
        <v>0</v>
      </c>
      <c r="V916" s="8">
        <f t="shared" si="297"/>
        <v>2</v>
      </c>
      <c r="W916" s="8">
        <f t="shared" si="298"/>
        <v>8</v>
      </c>
      <c r="X916">
        <f t="shared" si="299"/>
        <v>1</v>
      </c>
    </row>
    <row r="917" spans="1:24" x14ac:dyDescent="0.25">
      <c r="A917" s="4" t="s">
        <v>943</v>
      </c>
      <c r="B917" t="s">
        <v>7</v>
      </c>
      <c r="C917" t="s">
        <v>6</v>
      </c>
      <c r="D917" s="3">
        <f t="shared" si="280"/>
        <v>6</v>
      </c>
      <c r="E917" s="4">
        <f t="shared" si="281"/>
        <v>28</v>
      </c>
      <c r="F917" s="4">
        <f t="shared" si="282"/>
        <v>9</v>
      </c>
      <c r="G917" s="3">
        <f>IF(E917&gt;=20,2000,1900) + D917</f>
        <v>2006</v>
      </c>
      <c r="H917">
        <f t="shared" si="283"/>
        <v>8</v>
      </c>
      <c r="I917" s="4">
        <f t="shared" si="284"/>
        <v>9</v>
      </c>
      <c r="J917">
        <f t="shared" si="285"/>
        <v>20062809</v>
      </c>
      <c r="K917" t="str">
        <f t="shared" si="286"/>
        <v>09.28.2006</v>
      </c>
      <c r="L917" s="4">
        <f t="shared" si="287"/>
        <v>0</v>
      </c>
      <c r="M917" s="4">
        <f t="shared" si="288"/>
        <v>18</v>
      </c>
      <c r="N917" s="4">
        <f t="shared" si="289"/>
        <v>14</v>
      </c>
      <c r="O917" s="4">
        <f t="shared" si="290"/>
        <v>72</v>
      </c>
      <c r="P917" s="4">
        <f t="shared" si="291"/>
        <v>0</v>
      </c>
      <c r="Q917" s="4">
        <f t="shared" si="292"/>
        <v>27</v>
      </c>
      <c r="R917" s="4">
        <f t="shared" si="293"/>
        <v>14</v>
      </c>
      <c r="S917" s="4">
        <f t="shared" si="294"/>
        <v>54</v>
      </c>
      <c r="T917" s="4">
        <f t="shared" si="295"/>
        <v>6</v>
      </c>
      <c r="U917" s="4">
        <f t="shared" si="296"/>
        <v>6</v>
      </c>
      <c r="V917" s="8">
        <f t="shared" si="297"/>
        <v>1</v>
      </c>
      <c r="W917" s="8">
        <f t="shared" si="298"/>
        <v>9</v>
      </c>
      <c r="X917">
        <f t="shared" si="299"/>
        <v>1</v>
      </c>
    </row>
    <row r="918" spans="1:24" x14ac:dyDescent="0.25">
      <c r="A918" s="4" t="s">
        <v>944</v>
      </c>
      <c r="B918" t="s">
        <v>15</v>
      </c>
      <c r="C918" t="s">
        <v>6</v>
      </c>
      <c r="D918" s="3">
        <f t="shared" si="280"/>
        <v>20</v>
      </c>
      <c r="E918" s="4">
        <f t="shared" si="281"/>
        <v>30</v>
      </c>
      <c r="F918" s="4">
        <f t="shared" si="282"/>
        <v>12</v>
      </c>
      <c r="G918" s="3">
        <f>IF(E918&gt;=20,2000,1900) + D918</f>
        <v>2020</v>
      </c>
      <c r="H918">
        <f t="shared" si="283"/>
        <v>10</v>
      </c>
      <c r="I918" s="4">
        <f t="shared" si="284"/>
        <v>12</v>
      </c>
      <c r="J918">
        <f t="shared" si="285"/>
        <v>20203012</v>
      </c>
      <c r="K918" t="str">
        <f t="shared" si="286"/>
        <v>12.30.2020</v>
      </c>
      <c r="L918" s="4">
        <f t="shared" si="287"/>
        <v>2</v>
      </c>
      <c r="M918" s="4">
        <f t="shared" si="288"/>
        <v>0</v>
      </c>
      <c r="N918" s="4">
        <f t="shared" si="289"/>
        <v>21</v>
      </c>
      <c r="O918" s="4">
        <f t="shared" si="290"/>
        <v>0</v>
      </c>
      <c r="P918" s="4">
        <f t="shared" si="291"/>
        <v>1</v>
      </c>
      <c r="Q918" s="4">
        <f t="shared" si="292"/>
        <v>6</v>
      </c>
      <c r="R918" s="4">
        <f t="shared" si="293"/>
        <v>0</v>
      </c>
      <c r="S918" s="4">
        <f t="shared" si="294"/>
        <v>9</v>
      </c>
      <c r="T918" s="4">
        <f t="shared" si="295"/>
        <v>5</v>
      </c>
      <c r="U918" s="4">
        <f t="shared" si="296"/>
        <v>6</v>
      </c>
      <c r="V918" s="8">
        <f t="shared" si="297"/>
        <v>0</v>
      </c>
      <c r="W918" s="8">
        <f t="shared" si="298"/>
        <v>0</v>
      </c>
      <c r="X918">
        <f t="shared" si="299"/>
        <v>1</v>
      </c>
    </row>
    <row r="919" spans="1:24" x14ac:dyDescent="0.25">
      <c r="A919" s="4" t="s">
        <v>945</v>
      </c>
      <c r="B919" t="s">
        <v>3</v>
      </c>
      <c r="C919" t="s">
        <v>6</v>
      </c>
      <c r="D919" s="3">
        <f t="shared" si="280"/>
        <v>1</v>
      </c>
      <c r="E919" s="4">
        <f t="shared" si="281"/>
        <v>30</v>
      </c>
      <c r="F919" s="4">
        <f t="shared" si="282"/>
        <v>8</v>
      </c>
      <c r="G919" s="3">
        <f>IF(E919&gt;=20,2000,1900) + D919</f>
        <v>2001</v>
      </c>
      <c r="H919">
        <f t="shared" si="283"/>
        <v>10</v>
      </c>
      <c r="I919" s="4">
        <f t="shared" si="284"/>
        <v>8</v>
      </c>
      <c r="J919">
        <f t="shared" si="285"/>
        <v>20013008</v>
      </c>
      <c r="K919" t="str">
        <f t="shared" si="286"/>
        <v>08.30.2001</v>
      </c>
      <c r="L919" s="4">
        <f t="shared" si="287"/>
        <v>0</v>
      </c>
      <c r="M919" s="4">
        <f t="shared" si="288"/>
        <v>3</v>
      </c>
      <c r="N919" s="4">
        <f t="shared" si="289"/>
        <v>21</v>
      </c>
      <c r="O919" s="4">
        <f t="shared" si="290"/>
        <v>0</v>
      </c>
      <c r="P919" s="4">
        <f t="shared" si="291"/>
        <v>0</v>
      </c>
      <c r="Q919" s="4">
        <f t="shared" si="292"/>
        <v>24</v>
      </c>
      <c r="R919" s="4">
        <f t="shared" si="293"/>
        <v>56</v>
      </c>
      <c r="S919" s="4">
        <f t="shared" si="294"/>
        <v>27</v>
      </c>
      <c r="T919" s="4">
        <f t="shared" si="295"/>
        <v>7</v>
      </c>
      <c r="U919" s="4">
        <f t="shared" si="296"/>
        <v>3</v>
      </c>
      <c r="V919" s="8">
        <f t="shared" si="297"/>
        <v>1</v>
      </c>
      <c r="W919" s="8">
        <f t="shared" si="298"/>
        <v>9</v>
      </c>
      <c r="X919">
        <f t="shared" si="299"/>
        <v>1</v>
      </c>
    </row>
    <row r="920" spans="1:24" x14ac:dyDescent="0.25">
      <c r="A920" s="4" t="s">
        <v>946</v>
      </c>
      <c r="B920" t="s">
        <v>3</v>
      </c>
      <c r="C920" t="s">
        <v>6</v>
      </c>
      <c r="D920" s="3">
        <f t="shared" si="280"/>
        <v>21</v>
      </c>
      <c r="E920" s="4">
        <f t="shared" si="281"/>
        <v>29</v>
      </c>
      <c r="F920" s="4">
        <f t="shared" si="282"/>
        <v>28</v>
      </c>
      <c r="G920" s="3">
        <f>IF(E920&gt;=20,2000,1900) + D920</f>
        <v>2021</v>
      </c>
      <c r="H920">
        <f t="shared" si="283"/>
        <v>9</v>
      </c>
      <c r="I920" s="4">
        <f t="shared" si="284"/>
        <v>28</v>
      </c>
      <c r="J920">
        <f t="shared" si="285"/>
        <v>20212928</v>
      </c>
      <c r="K920" t="str">
        <f t="shared" si="286"/>
        <v>28.29.2021</v>
      </c>
      <c r="L920" s="4">
        <f t="shared" si="287"/>
        <v>2</v>
      </c>
      <c r="M920" s="4">
        <f t="shared" si="288"/>
        <v>3</v>
      </c>
      <c r="N920" s="4">
        <f t="shared" si="289"/>
        <v>14</v>
      </c>
      <c r="O920" s="4">
        <f t="shared" si="290"/>
        <v>81</v>
      </c>
      <c r="P920" s="4">
        <f t="shared" si="291"/>
        <v>2</v>
      </c>
      <c r="Q920" s="4">
        <f t="shared" si="292"/>
        <v>24</v>
      </c>
      <c r="R920" s="4">
        <f t="shared" si="293"/>
        <v>42</v>
      </c>
      <c r="S920" s="4">
        <f t="shared" si="294"/>
        <v>63</v>
      </c>
      <c r="T920" s="4">
        <f t="shared" si="295"/>
        <v>5</v>
      </c>
      <c r="U920" s="4">
        <f t="shared" si="296"/>
        <v>0</v>
      </c>
      <c r="V920" s="8">
        <f t="shared" si="297"/>
        <v>6</v>
      </c>
      <c r="W920" s="8">
        <f t="shared" si="298"/>
        <v>4</v>
      </c>
      <c r="X920">
        <f t="shared" si="299"/>
        <v>1</v>
      </c>
    </row>
    <row r="921" spans="1:24" x14ac:dyDescent="0.25">
      <c r="A921" s="4" t="s">
        <v>947</v>
      </c>
      <c r="B921" t="s">
        <v>17</v>
      </c>
      <c r="C921" t="s">
        <v>6</v>
      </c>
      <c r="D921" s="3">
        <f t="shared" si="280"/>
        <v>9</v>
      </c>
      <c r="E921" s="4">
        <f t="shared" si="281"/>
        <v>31</v>
      </c>
      <c r="F921" s="4">
        <f t="shared" si="282"/>
        <v>9</v>
      </c>
      <c r="G921" s="3">
        <f>IF(E921&gt;=20,2000,1900) + D921</f>
        <v>2009</v>
      </c>
      <c r="H921">
        <f t="shared" si="283"/>
        <v>11</v>
      </c>
      <c r="I921" s="4">
        <f t="shared" si="284"/>
        <v>9</v>
      </c>
      <c r="J921">
        <f t="shared" si="285"/>
        <v>20093109</v>
      </c>
      <c r="K921" t="str">
        <f t="shared" si="286"/>
        <v>09.31.2009</v>
      </c>
      <c r="L921" s="4">
        <f t="shared" si="287"/>
        <v>0</v>
      </c>
      <c r="M921" s="4">
        <f t="shared" si="288"/>
        <v>27</v>
      </c>
      <c r="N921" s="4">
        <f t="shared" si="289"/>
        <v>21</v>
      </c>
      <c r="O921" s="4">
        <f t="shared" si="290"/>
        <v>9</v>
      </c>
      <c r="P921" s="4">
        <f t="shared" si="291"/>
        <v>0</v>
      </c>
      <c r="Q921" s="4">
        <f t="shared" si="292"/>
        <v>27</v>
      </c>
      <c r="R921" s="4">
        <f t="shared" si="293"/>
        <v>21</v>
      </c>
      <c r="S921" s="4">
        <f t="shared" si="294"/>
        <v>9</v>
      </c>
      <c r="T921" s="4">
        <f t="shared" si="295"/>
        <v>9</v>
      </c>
      <c r="U921" s="4">
        <f t="shared" si="296"/>
        <v>27</v>
      </c>
      <c r="V921" s="8">
        <f t="shared" si="297"/>
        <v>0</v>
      </c>
      <c r="W921" s="8">
        <f t="shared" si="298"/>
        <v>0</v>
      </c>
      <c r="X921">
        <f t="shared" si="299"/>
        <v>1</v>
      </c>
    </row>
    <row r="922" spans="1:24" x14ac:dyDescent="0.25">
      <c r="A922" s="4" t="s">
        <v>948</v>
      </c>
      <c r="B922" t="s">
        <v>11</v>
      </c>
      <c r="C922" t="s">
        <v>6</v>
      </c>
      <c r="D922" s="3">
        <f t="shared" si="280"/>
        <v>0</v>
      </c>
      <c r="E922" s="4">
        <f t="shared" si="281"/>
        <v>30</v>
      </c>
      <c r="F922" s="4">
        <f t="shared" si="282"/>
        <v>19</v>
      </c>
      <c r="G922" s="3">
        <f>IF(E922&gt;=20,2000,1900) + D922</f>
        <v>2000</v>
      </c>
      <c r="H922">
        <f t="shared" si="283"/>
        <v>10</v>
      </c>
      <c r="I922" s="4">
        <f t="shared" si="284"/>
        <v>19</v>
      </c>
      <c r="J922">
        <f t="shared" si="285"/>
        <v>20003019</v>
      </c>
      <c r="K922" t="str">
        <f t="shared" si="286"/>
        <v>19.30.2000</v>
      </c>
      <c r="L922" s="4">
        <f t="shared" si="287"/>
        <v>0</v>
      </c>
      <c r="M922" s="4">
        <f t="shared" si="288"/>
        <v>0</v>
      </c>
      <c r="N922" s="4">
        <f t="shared" si="289"/>
        <v>21</v>
      </c>
      <c r="O922" s="4">
        <f t="shared" si="290"/>
        <v>0</v>
      </c>
      <c r="P922" s="4">
        <f t="shared" si="291"/>
        <v>1</v>
      </c>
      <c r="Q922" s="4">
        <f t="shared" si="292"/>
        <v>27</v>
      </c>
      <c r="R922" s="4">
        <f t="shared" si="293"/>
        <v>14</v>
      </c>
      <c r="S922" s="4">
        <f t="shared" si="294"/>
        <v>27</v>
      </c>
      <c r="T922" s="4">
        <f t="shared" si="295"/>
        <v>6</v>
      </c>
      <c r="U922" s="4">
        <f t="shared" si="296"/>
        <v>6</v>
      </c>
      <c r="V922" s="8">
        <f t="shared" si="297"/>
        <v>2</v>
      </c>
      <c r="W922" s="8">
        <f t="shared" si="298"/>
        <v>8</v>
      </c>
      <c r="X922">
        <f t="shared" si="299"/>
        <v>1</v>
      </c>
    </row>
    <row r="923" spans="1:24" x14ac:dyDescent="0.25">
      <c r="A923" s="4" t="s">
        <v>949</v>
      </c>
      <c r="B923" t="s">
        <v>15</v>
      </c>
      <c r="C923" t="s">
        <v>6</v>
      </c>
      <c r="D923" s="3">
        <f t="shared" si="280"/>
        <v>1</v>
      </c>
      <c r="E923" s="4">
        <f t="shared" si="281"/>
        <v>24</v>
      </c>
      <c r="F923" s="4">
        <f t="shared" si="282"/>
        <v>13</v>
      </c>
      <c r="G923" s="3">
        <f>IF(E923&gt;=20,2000,1900) + D923</f>
        <v>2001</v>
      </c>
      <c r="H923">
        <f t="shared" si="283"/>
        <v>4</v>
      </c>
      <c r="I923" s="4">
        <f t="shared" si="284"/>
        <v>13</v>
      </c>
      <c r="J923">
        <f t="shared" si="285"/>
        <v>20012413</v>
      </c>
      <c r="K923" t="str">
        <f t="shared" si="286"/>
        <v>13.24.2001</v>
      </c>
      <c r="L923" s="4">
        <f t="shared" si="287"/>
        <v>0</v>
      </c>
      <c r="M923" s="4">
        <f t="shared" si="288"/>
        <v>3</v>
      </c>
      <c r="N923" s="4">
        <f t="shared" si="289"/>
        <v>14</v>
      </c>
      <c r="O923" s="4">
        <f t="shared" si="290"/>
        <v>36</v>
      </c>
      <c r="P923" s="4">
        <f t="shared" si="291"/>
        <v>1</v>
      </c>
      <c r="Q923" s="4">
        <f t="shared" si="292"/>
        <v>9</v>
      </c>
      <c r="R923" s="4">
        <f t="shared" si="293"/>
        <v>14</v>
      </c>
      <c r="S923" s="4">
        <f t="shared" si="294"/>
        <v>0</v>
      </c>
      <c r="T923" s="4">
        <f t="shared" si="295"/>
        <v>2</v>
      </c>
      <c r="U923" s="4">
        <f t="shared" si="296"/>
        <v>18</v>
      </c>
      <c r="V923" s="8">
        <f t="shared" si="297"/>
        <v>7</v>
      </c>
      <c r="W923" s="8">
        <f t="shared" si="298"/>
        <v>3</v>
      </c>
      <c r="X923">
        <f t="shared" si="299"/>
        <v>1</v>
      </c>
    </row>
    <row r="924" spans="1:24" x14ac:dyDescent="0.25">
      <c r="A924" s="4" t="s">
        <v>950</v>
      </c>
      <c r="B924" t="s">
        <v>7</v>
      </c>
      <c r="C924" t="s">
        <v>4</v>
      </c>
      <c r="D924" s="3">
        <f t="shared" si="280"/>
        <v>20</v>
      </c>
      <c r="E924" s="4">
        <f t="shared" si="281"/>
        <v>24</v>
      </c>
      <c r="F924" s="4">
        <f t="shared" si="282"/>
        <v>22</v>
      </c>
      <c r="G924" s="3">
        <f>IF(E924&gt;=20,2000,1900) + D924</f>
        <v>2020</v>
      </c>
      <c r="H924">
        <f t="shared" si="283"/>
        <v>4</v>
      </c>
      <c r="I924" s="4">
        <f t="shared" si="284"/>
        <v>22</v>
      </c>
      <c r="J924">
        <f t="shared" si="285"/>
        <v>20202422</v>
      </c>
      <c r="K924" t="str">
        <f t="shared" si="286"/>
        <v>22.24.2020</v>
      </c>
      <c r="L924" s="4">
        <f t="shared" si="287"/>
        <v>2</v>
      </c>
      <c r="M924" s="4">
        <f t="shared" si="288"/>
        <v>0</v>
      </c>
      <c r="N924" s="4">
        <f t="shared" si="289"/>
        <v>14</v>
      </c>
      <c r="O924" s="4">
        <f t="shared" si="290"/>
        <v>36</v>
      </c>
      <c r="P924" s="4">
        <f t="shared" si="291"/>
        <v>2</v>
      </c>
      <c r="Q924" s="4">
        <f t="shared" si="292"/>
        <v>6</v>
      </c>
      <c r="R924" s="4">
        <f t="shared" si="293"/>
        <v>42</v>
      </c>
      <c r="S924" s="4">
        <f t="shared" si="294"/>
        <v>0</v>
      </c>
      <c r="T924" s="4">
        <f t="shared" si="295"/>
        <v>1</v>
      </c>
      <c r="U924" s="4">
        <f t="shared" si="296"/>
        <v>0</v>
      </c>
      <c r="V924" s="8">
        <f t="shared" si="297"/>
        <v>3</v>
      </c>
      <c r="W924" s="8">
        <f t="shared" si="298"/>
        <v>7</v>
      </c>
      <c r="X924">
        <f t="shared" si="299"/>
        <v>1</v>
      </c>
    </row>
    <row r="925" spans="1:24" x14ac:dyDescent="0.25">
      <c r="A925" s="4" t="s">
        <v>951</v>
      </c>
      <c r="B925" t="s">
        <v>7</v>
      </c>
      <c r="C925" t="s">
        <v>4</v>
      </c>
      <c r="D925" s="3">
        <f t="shared" si="280"/>
        <v>0</v>
      </c>
      <c r="E925" s="4">
        <f t="shared" si="281"/>
        <v>23</v>
      </c>
      <c r="F925" s="4">
        <f t="shared" si="282"/>
        <v>11</v>
      </c>
      <c r="G925" s="3">
        <f>IF(E925&gt;=20,2000,1900) + D925</f>
        <v>2000</v>
      </c>
      <c r="H925">
        <f t="shared" si="283"/>
        <v>3</v>
      </c>
      <c r="I925" s="4">
        <f t="shared" si="284"/>
        <v>11</v>
      </c>
      <c r="J925">
        <f t="shared" si="285"/>
        <v>20002311</v>
      </c>
      <c r="K925" t="str">
        <f t="shared" si="286"/>
        <v>11.23.2000</v>
      </c>
      <c r="L925" s="4">
        <f t="shared" si="287"/>
        <v>0</v>
      </c>
      <c r="M925" s="4">
        <f t="shared" si="288"/>
        <v>0</v>
      </c>
      <c r="N925" s="4">
        <f t="shared" si="289"/>
        <v>14</v>
      </c>
      <c r="O925" s="4">
        <f t="shared" si="290"/>
        <v>27</v>
      </c>
      <c r="P925" s="4">
        <f t="shared" si="291"/>
        <v>1</v>
      </c>
      <c r="Q925" s="4">
        <f t="shared" si="292"/>
        <v>3</v>
      </c>
      <c r="R925" s="4">
        <f t="shared" si="293"/>
        <v>42</v>
      </c>
      <c r="S925" s="4">
        <f t="shared" si="294"/>
        <v>45</v>
      </c>
      <c r="T925" s="4">
        <f t="shared" si="295"/>
        <v>8</v>
      </c>
      <c r="U925" s="4">
        <f t="shared" si="296"/>
        <v>15</v>
      </c>
      <c r="V925" s="8">
        <f t="shared" si="297"/>
        <v>5</v>
      </c>
      <c r="W925" s="8">
        <f t="shared" si="298"/>
        <v>5</v>
      </c>
      <c r="X925">
        <f t="shared" si="299"/>
        <v>1</v>
      </c>
    </row>
    <row r="926" spans="1:24" x14ac:dyDescent="0.25">
      <c r="A926" s="4" t="s">
        <v>952</v>
      </c>
      <c r="B926" t="s">
        <v>15</v>
      </c>
      <c r="C926" t="s">
        <v>4</v>
      </c>
      <c r="D926" s="3">
        <f t="shared" si="280"/>
        <v>15</v>
      </c>
      <c r="E926" s="4">
        <f t="shared" si="281"/>
        <v>27</v>
      </c>
      <c r="F926" s="4">
        <f t="shared" si="282"/>
        <v>26</v>
      </c>
      <c r="G926" s="3">
        <f>IF(E926&gt;=20,2000,1900) + D926</f>
        <v>2015</v>
      </c>
      <c r="H926">
        <f t="shared" si="283"/>
        <v>7</v>
      </c>
      <c r="I926" s="4">
        <f t="shared" si="284"/>
        <v>26</v>
      </c>
      <c r="J926">
        <f t="shared" si="285"/>
        <v>20152726</v>
      </c>
      <c r="K926" t="str">
        <f t="shared" si="286"/>
        <v>26.27.2015</v>
      </c>
      <c r="L926" s="4">
        <f t="shared" si="287"/>
        <v>1</v>
      </c>
      <c r="M926" s="4">
        <f t="shared" si="288"/>
        <v>15</v>
      </c>
      <c r="N926" s="4">
        <f t="shared" si="289"/>
        <v>14</v>
      </c>
      <c r="O926" s="4">
        <f t="shared" si="290"/>
        <v>63</v>
      </c>
      <c r="P926" s="4">
        <f t="shared" si="291"/>
        <v>2</v>
      </c>
      <c r="Q926" s="4">
        <f t="shared" si="292"/>
        <v>18</v>
      </c>
      <c r="R926" s="4">
        <f t="shared" si="293"/>
        <v>21</v>
      </c>
      <c r="S926" s="4">
        <f t="shared" si="294"/>
        <v>81</v>
      </c>
      <c r="T926" s="4">
        <f t="shared" si="295"/>
        <v>5</v>
      </c>
      <c r="U926" s="4">
        <f t="shared" si="296"/>
        <v>27</v>
      </c>
      <c r="V926" s="8">
        <f t="shared" si="297"/>
        <v>7</v>
      </c>
      <c r="W926" s="8">
        <f t="shared" si="298"/>
        <v>3</v>
      </c>
      <c r="X926">
        <f t="shared" si="299"/>
        <v>1</v>
      </c>
    </row>
    <row r="927" spans="1:24" x14ac:dyDescent="0.25">
      <c r="A927" s="4" t="s">
        <v>953</v>
      </c>
      <c r="B927" t="s">
        <v>3</v>
      </c>
      <c r="C927" t="s">
        <v>4</v>
      </c>
      <c r="D927" s="3">
        <f t="shared" si="280"/>
        <v>22</v>
      </c>
      <c r="E927" s="4">
        <f t="shared" si="281"/>
        <v>30</v>
      </c>
      <c r="F927" s="4">
        <f t="shared" si="282"/>
        <v>23</v>
      </c>
      <c r="G927" s="3">
        <f>IF(E927&gt;=20,2000,1900) + D927</f>
        <v>2022</v>
      </c>
      <c r="H927">
        <f t="shared" si="283"/>
        <v>10</v>
      </c>
      <c r="I927" s="4">
        <f t="shared" si="284"/>
        <v>23</v>
      </c>
      <c r="J927">
        <f t="shared" si="285"/>
        <v>20223023</v>
      </c>
      <c r="K927" t="str">
        <f t="shared" si="286"/>
        <v>23.30.2022</v>
      </c>
      <c r="L927" s="4">
        <f t="shared" si="287"/>
        <v>2</v>
      </c>
      <c r="M927" s="4">
        <f t="shared" si="288"/>
        <v>6</v>
      </c>
      <c r="N927" s="4">
        <f t="shared" si="289"/>
        <v>21</v>
      </c>
      <c r="O927" s="4">
        <f t="shared" si="290"/>
        <v>0</v>
      </c>
      <c r="P927" s="4">
        <f t="shared" si="291"/>
        <v>2</v>
      </c>
      <c r="Q927" s="4">
        <f t="shared" si="292"/>
        <v>9</v>
      </c>
      <c r="R927" s="4">
        <f t="shared" si="293"/>
        <v>42</v>
      </c>
      <c r="S927" s="4">
        <f t="shared" si="294"/>
        <v>54</v>
      </c>
      <c r="T927" s="4">
        <f t="shared" si="295"/>
        <v>0</v>
      </c>
      <c r="U927" s="4">
        <f t="shared" si="296"/>
        <v>9</v>
      </c>
      <c r="V927" s="8">
        <f t="shared" si="297"/>
        <v>5</v>
      </c>
      <c r="W927" s="8">
        <f t="shared" si="298"/>
        <v>5</v>
      </c>
      <c r="X927">
        <f t="shared" si="299"/>
        <v>1</v>
      </c>
    </row>
    <row r="928" spans="1:24" x14ac:dyDescent="0.25">
      <c r="A928" s="4" t="s">
        <v>954</v>
      </c>
      <c r="B928" t="s">
        <v>9</v>
      </c>
      <c r="C928" t="s">
        <v>6</v>
      </c>
      <c r="D928" s="3">
        <f t="shared" si="280"/>
        <v>17</v>
      </c>
      <c r="E928" s="4">
        <f t="shared" si="281"/>
        <v>24</v>
      </c>
      <c r="F928" s="4">
        <f t="shared" si="282"/>
        <v>15</v>
      </c>
      <c r="G928" s="3">
        <f>IF(E928&gt;=20,2000,1900) + D928</f>
        <v>2017</v>
      </c>
      <c r="H928">
        <f t="shared" si="283"/>
        <v>4</v>
      </c>
      <c r="I928" s="4">
        <f t="shared" si="284"/>
        <v>15</v>
      </c>
      <c r="J928">
        <f t="shared" si="285"/>
        <v>20172415</v>
      </c>
      <c r="K928" t="str">
        <f t="shared" si="286"/>
        <v>15.24.2017</v>
      </c>
      <c r="L928" s="4">
        <f t="shared" si="287"/>
        <v>1</v>
      </c>
      <c r="M928" s="4">
        <f t="shared" si="288"/>
        <v>21</v>
      </c>
      <c r="N928" s="4">
        <f t="shared" si="289"/>
        <v>14</v>
      </c>
      <c r="O928" s="4">
        <f t="shared" si="290"/>
        <v>36</v>
      </c>
      <c r="P928" s="4">
        <f t="shared" si="291"/>
        <v>1</v>
      </c>
      <c r="Q928" s="4">
        <f t="shared" si="292"/>
        <v>15</v>
      </c>
      <c r="R928" s="4">
        <f t="shared" si="293"/>
        <v>49</v>
      </c>
      <c r="S928" s="4">
        <f t="shared" si="294"/>
        <v>27</v>
      </c>
      <c r="T928" s="4">
        <f t="shared" si="295"/>
        <v>5</v>
      </c>
      <c r="U928" s="4">
        <f t="shared" si="296"/>
        <v>0</v>
      </c>
      <c r="V928" s="8">
        <f t="shared" si="297"/>
        <v>9</v>
      </c>
      <c r="W928" s="8">
        <f t="shared" si="298"/>
        <v>1</v>
      </c>
      <c r="X928">
        <f t="shared" si="299"/>
        <v>1</v>
      </c>
    </row>
    <row r="929" spans="1:24" x14ac:dyDescent="0.25">
      <c r="A929" s="4" t="s">
        <v>955</v>
      </c>
      <c r="B929" t="s">
        <v>9</v>
      </c>
      <c r="C929" t="s">
        <v>6</v>
      </c>
      <c r="D929" s="3">
        <f t="shared" si="280"/>
        <v>11</v>
      </c>
      <c r="E929" s="4">
        <f t="shared" si="281"/>
        <v>27</v>
      </c>
      <c r="F929" s="4">
        <f t="shared" si="282"/>
        <v>29</v>
      </c>
      <c r="G929" s="3">
        <f>IF(E929&gt;=20,2000,1900) + D929</f>
        <v>2011</v>
      </c>
      <c r="H929">
        <f t="shared" si="283"/>
        <v>7</v>
      </c>
      <c r="I929" s="4">
        <f t="shared" si="284"/>
        <v>29</v>
      </c>
      <c r="J929">
        <f t="shared" si="285"/>
        <v>20112729</v>
      </c>
      <c r="K929" t="str">
        <f t="shared" si="286"/>
        <v>29.27.2011</v>
      </c>
      <c r="L929" s="4">
        <f t="shared" si="287"/>
        <v>1</v>
      </c>
      <c r="M929" s="4">
        <f t="shared" si="288"/>
        <v>3</v>
      </c>
      <c r="N929" s="4">
        <f t="shared" si="289"/>
        <v>14</v>
      </c>
      <c r="O929" s="4">
        <f t="shared" si="290"/>
        <v>63</v>
      </c>
      <c r="P929" s="4">
        <f t="shared" si="291"/>
        <v>2</v>
      </c>
      <c r="Q929" s="4">
        <f t="shared" si="292"/>
        <v>27</v>
      </c>
      <c r="R929" s="4">
        <f t="shared" si="293"/>
        <v>7</v>
      </c>
      <c r="S929" s="4">
        <f t="shared" si="294"/>
        <v>54</v>
      </c>
      <c r="T929" s="4">
        <f t="shared" si="295"/>
        <v>3</v>
      </c>
      <c r="U929" s="4">
        <f t="shared" si="296"/>
        <v>24</v>
      </c>
      <c r="V929" s="8">
        <f t="shared" si="297"/>
        <v>8</v>
      </c>
      <c r="W929" s="8">
        <f t="shared" si="298"/>
        <v>2</v>
      </c>
      <c r="X929">
        <f t="shared" si="299"/>
        <v>1</v>
      </c>
    </row>
    <row r="930" spans="1:24" x14ac:dyDescent="0.25">
      <c r="A930" s="4" t="s">
        <v>956</v>
      </c>
      <c r="B930" t="s">
        <v>14</v>
      </c>
      <c r="C930" t="s">
        <v>4</v>
      </c>
      <c r="D930" s="3">
        <f t="shared" si="280"/>
        <v>15</v>
      </c>
      <c r="E930" s="4">
        <f t="shared" si="281"/>
        <v>32</v>
      </c>
      <c r="F930" s="4">
        <f t="shared" si="282"/>
        <v>31</v>
      </c>
      <c r="G930" s="3">
        <f>IF(E930&gt;=20,2000,1900) + D930</f>
        <v>2015</v>
      </c>
      <c r="H930">
        <f t="shared" si="283"/>
        <v>12</v>
      </c>
      <c r="I930" s="4">
        <f t="shared" si="284"/>
        <v>31</v>
      </c>
      <c r="J930">
        <f t="shared" si="285"/>
        <v>20153231</v>
      </c>
      <c r="K930" t="str">
        <f t="shared" si="286"/>
        <v>31.32.2015</v>
      </c>
      <c r="L930" s="4">
        <f t="shared" si="287"/>
        <v>1</v>
      </c>
      <c r="M930" s="4">
        <f t="shared" si="288"/>
        <v>15</v>
      </c>
      <c r="N930" s="4">
        <f t="shared" si="289"/>
        <v>21</v>
      </c>
      <c r="O930" s="4">
        <f t="shared" si="290"/>
        <v>18</v>
      </c>
      <c r="P930" s="4">
        <f t="shared" si="291"/>
        <v>3</v>
      </c>
      <c r="Q930" s="4">
        <f t="shared" si="292"/>
        <v>3</v>
      </c>
      <c r="R930" s="4">
        <f t="shared" si="293"/>
        <v>0</v>
      </c>
      <c r="S930" s="4">
        <f t="shared" si="294"/>
        <v>0</v>
      </c>
      <c r="T930" s="4">
        <f t="shared" si="295"/>
        <v>7</v>
      </c>
      <c r="U930" s="4">
        <f t="shared" si="296"/>
        <v>24</v>
      </c>
      <c r="V930" s="8">
        <f t="shared" si="297"/>
        <v>2</v>
      </c>
      <c r="W930" s="8">
        <f t="shared" si="298"/>
        <v>8</v>
      </c>
      <c r="X930">
        <f t="shared" si="299"/>
        <v>1</v>
      </c>
    </row>
    <row r="931" spans="1:24" x14ac:dyDescent="0.25">
      <c r="A931" s="4" t="s">
        <v>957</v>
      </c>
      <c r="B931" t="s">
        <v>5</v>
      </c>
      <c r="C931" t="s">
        <v>4</v>
      </c>
      <c r="D931" s="3">
        <f t="shared" si="280"/>
        <v>9</v>
      </c>
      <c r="E931" s="4">
        <f t="shared" si="281"/>
        <v>26</v>
      </c>
      <c r="F931" s="4">
        <f t="shared" si="282"/>
        <v>22</v>
      </c>
      <c r="G931" s="3">
        <f>IF(E931&gt;=20,2000,1900) + D931</f>
        <v>2009</v>
      </c>
      <c r="H931">
        <f t="shared" si="283"/>
        <v>6</v>
      </c>
      <c r="I931" s="4">
        <f t="shared" si="284"/>
        <v>22</v>
      </c>
      <c r="J931">
        <f t="shared" si="285"/>
        <v>20092622</v>
      </c>
      <c r="K931" t="str">
        <f t="shared" si="286"/>
        <v>22.26.2009</v>
      </c>
      <c r="L931" s="4">
        <f t="shared" si="287"/>
        <v>0</v>
      </c>
      <c r="M931" s="4">
        <f t="shared" si="288"/>
        <v>27</v>
      </c>
      <c r="N931" s="4">
        <f t="shared" si="289"/>
        <v>14</v>
      </c>
      <c r="O931" s="4">
        <f t="shared" si="290"/>
        <v>54</v>
      </c>
      <c r="P931" s="4">
        <f t="shared" si="291"/>
        <v>2</v>
      </c>
      <c r="Q931" s="4">
        <f t="shared" si="292"/>
        <v>6</v>
      </c>
      <c r="R931" s="4">
        <f t="shared" si="293"/>
        <v>7</v>
      </c>
      <c r="S931" s="4">
        <f t="shared" si="294"/>
        <v>72</v>
      </c>
      <c r="T931" s="4">
        <f t="shared" si="295"/>
        <v>9</v>
      </c>
      <c r="U931" s="4">
        <f t="shared" si="296"/>
        <v>15</v>
      </c>
      <c r="V931" s="8">
        <f t="shared" si="297"/>
        <v>6</v>
      </c>
      <c r="W931" s="8">
        <f t="shared" si="298"/>
        <v>4</v>
      </c>
      <c r="X931">
        <f t="shared" si="299"/>
        <v>1</v>
      </c>
    </row>
    <row r="932" spans="1:24" x14ac:dyDescent="0.25">
      <c r="A932" s="4" t="s">
        <v>958</v>
      </c>
      <c r="B932" t="s">
        <v>18</v>
      </c>
      <c r="C932" t="s">
        <v>4</v>
      </c>
      <c r="D932" s="3">
        <f t="shared" si="280"/>
        <v>21</v>
      </c>
      <c r="E932" s="4">
        <f t="shared" si="281"/>
        <v>22</v>
      </c>
      <c r="F932" s="4">
        <f t="shared" si="282"/>
        <v>6</v>
      </c>
      <c r="G932" s="3">
        <f>IF(E932&gt;=20,2000,1900) + D932</f>
        <v>2021</v>
      </c>
      <c r="H932">
        <f t="shared" si="283"/>
        <v>2</v>
      </c>
      <c r="I932" s="4">
        <f t="shared" si="284"/>
        <v>6</v>
      </c>
      <c r="J932">
        <f t="shared" si="285"/>
        <v>20212206</v>
      </c>
      <c r="K932" t="str">
        <f t="shared" si="286"/>
        <v>06.22.2021</v>
      </c>
      <c r="L932" s="4">
        <f t="shared" si="287"/>
        <v>2</v>
      </c>
      <c r="M932" s="4">
        <f t="shared" si="288"/>
        <v>3</v>
      </c>
      <c r="N932" s="4">
        <f t="shared" si="289"/>
        <v>14</v>
      </c>
      <c r="O932" s="4">
        <f t="shared" si="290"/>
        <v>18</v>
      </c>
      <c r="P932" s="4">
        <f t="shared" si="291"/>
        <v>0</v>
      </c>
      <c r="Q932" s="4">
        <f t="shared" si="292"/>
        <v>18</v>
      </c>
      <c r="R932" s="4">
        <f t="shared" si="293"/>
        <v>63</v>
      </c>
      <c r="S932" s="4">
        <f t="shared" si="294"/>
        <v>18</v>
      </c>
      <c r="T932" s="4">
        <f t="shared" si="295"/>
        <v>0</v>
      </c>
      <c r="U932" s="4">
        <f t="shared" si="296"/>
        <v>3</v>
      </c>
      <c r="V932" s="8">
        <f t="shared" si="297"/>
        <v>9</v>
      </c>
      <c r="W932" s="8">
        <f t="shared" si="298"/>
        <v>1</v>
      </c>
      <c r="X932">
        <f t="shared" si="299"/>
        <v>1</v>
      </c>
    </row>
    <row r="933" spans="1:24" x14ac:dyDescent="0.25">
      <c r="A933" s="4" t="s">
        <v>959</v>
      </c>
      <c r="B933" t="s">
        <v>14</v>
      </c>
      <c r="C933" t="s">
        <v>4</v>
      </c>
      <c r="D933" s="3">
        <f t="shared" si="280"/>
        <v>8</v>
      </c>
      <c r="E933" s="4">
        <f t="shared" si="281"/>
        <v>32</v>
      </c>
      <c r="F933" s="4">
        <f t="shared" si="282"/>
        <v>16</v>
      </c>
      <c r="G933" s="3">
        <f>IF(E933&gt;=20,2000,1900) + D933</f>
        <v>2008</v>
      </c>
      <c r="H933">
        <f t="shared" si="283"/>
        <v>12</v>
      </c>
      <c r="I933" s="4">
        <f t="shared" si="284"/>
        <v>16</v>
      </c>
      <c r="J933">
        <f t="shared" si="285"/>
        <v>20083216</v>
      </c>
      <c r="K933" t="str">
        <f t="shared" si="286"/>
        <v>16.32.2008</v>
      </c>
      <c r="L933" s="4">
        <f t="shared" si="287"/>
        <v>0</v>
      </c>
      <c r="M933" s="4">
        <f t="shared" si="288"/>
        <v>24</v>
      </c>
      <c r="N933" s="4">
        <f t="shared" si="289"/>
        <v>21</v>
      </c>
      <c r="O933" s="4">
        <f t="shared" si="290"/>
        <v>18</v>
      </c>
      <c r="P933" s="4">
        <f t="shared" si="291"/>
        <v>1</v>
      </c>
      <c r="Q933" s="4">
        <f t="shared" si="292"/>
        <v>18</v>
      </c>
      <c r="R933" s="4">
        <f t="shared" si="293"/>
        <v>56</v>
      </c>
      <c r="S933" s="4">
        <f t="shared" si="294"/>
        <v>36</v>
      </c>
      <c r="T933" s="4">
        <f t="shared" si="295"/>
        <v>2</v>
      </c>
      <c r="U933" s="4">
        <f t="shared" si="296"/>
        <v>21</v>
      </c>
      <c r="V933" s="8">
        <f t="shared" si="297"/>
        <v>7</v>
      </c>
      <c r="W933" s="8">
        <f t="shared" si="298"/>
        <v>3</v>
      </c>
      <c r="X933">
        <f t="shared" si="299"/>
        <v>1</v>
      </c>
    </row>
    <row r="934" spans="1:24" x14ac:dyDescent="0.25">
      <c r="A934" s="4" t="s">
        <v>960</v>
      </c>
      <c r="B934" t="s">
        <v>7</v>
      </c>
      <c r="C934" t="s">
        <v>4</v>
      </c>
      <c r="D934" s="3">
        <f t="shared" si="280"/>
        <v>4</v>
      </c>
      <c r="E934" s="4">
        <f t="shared" si="281"/>
        <v>32</v>
      </c>
      <c r="F934" s="4">
        <f t="shared" si="282"/>
        <v>21</v>
      </c>
      <c r="G934" s="3">
        <f>IF(E934&gt;=20,2000,1900) + D934</f>
        <v>2004</v>
      </c>
      <c r="H934">
        <f t="shared" si="283"/>
        <v>12</v>
      </c>
      <c r="I934" s="4">
        <f t="shared" si="284"/>
        <v>21</v>
      </c>
      <c r="J934">
        <f t="shared" si="285"/>
        <v>20043221</v>
      </c>
      <c r="K934" t="str">
        <f t="shared" si="286"/>
        <v>21.32.2004</v>
      </c>
      <c r="L934" s="4">
        <f t="shared" si="287"/>
        <v>0</v>
      </c>
      <c r="M934" s="4">
        <f t="shared" si="288"/>
        <v>12</v>
      </c>
      <c r="N934" s="4">
        <f t="shared" si="289"/>
        <v>21</v>
      </c>
      <c r="O934" s="4">
        <f t="shared" si="290"/>
        <v>18</v>
      </c>
      <c r="P934" s="4">
        <f t="shared" si="291"/>
        <v>2</v>
      </c>
      <c r="Q934" s="4">
        <f t="shared" si="292"/>
        <v>3</v>
      </c>
      <c r="R934" s="4">
        <f t="shared" si="293"/>
        <v>14</v>
      </c>
      <c r="S934" s="4">
        <f t="shared" si="294"/>
        <v>81</v>
      </c>
      <c r="T934" s="4">
        <f t="shared" si="295"/>
        <v>9</v>
      </c>
      <c r="U934" s="4">
        <f t="shared" si="296"/>
        <v>15</v>
      </c>
      <c r="V934" s="8">
        <f t="shared" si="297"/>
        <v>5</v>
      </c>
      <c r="W934" s="8">
        <f t="shared" si="298"/>
        <v>5</v>
      </c>
      <c r="X934">
        <f t="shared" si="299"/>
        <v>1</v>
      </c>
    </row>
    <row r="935" spans="1:24" x14ac:dyDescent="0.25">
      <c r="A935" s="4" t="s">
        <v>961</v>
      </c>
      <c r="B935" t="s">
        <v>5</v>
      </c>
      <c r="C935" t="s">
        <v>4</v>
      </c>
      <c r="D935" s="3">
        <f t="shared" si="280"/>
        <v>10</v>
      </c>
      <c r="E935" s="4">
        <f t="shared" si="281"/>
        <v>30</v>
      </c>
      <c r="F935" s="4">
        <f t="shared" si="282"/>
        <v>17</v>
      </c>
      <c r="G935" s="3">
        <f>IF(E935&gt;=20,2000,1900) + D935</f>
        <v>2010</v>
      </c>
      <c r="H935">
        <f t="shared" si="283"/>
        <v>10</v>
      </c>
      <c r="I935" s="4">
        <f t="shared" si="284"/>
        <v>17</v>
      </c>
      <c r="J935">
        <f t="shared" si="285"/>
        <v>20103017</v>
      </c>
      <c r="K935" t="str">
        <f t="shared" si="286"/>
        <v>17.30.2010</v>
      </c>
      <c r="L935" s="4">
        <f t="shared" si="287"/>
        <v>1</v>
      </c>
      <c r="M935" s="4">
        <f t="shared" si="288"/>
        <v>0</v>
      </c>
      <c r="N935" s="4">
        <f t="shared" si="289"/>
        <v>21</v>
      </c>
      <c r="O935" s="4">
        <f t="shared" si="290"/>
        <v>0</v>
      </c>
      <c r="P935" s="4">
        <f t="shared" si="291"/>
        <v>1</v>
      </c>
      <c r="Q935" s="4">
        <f t="shared" si="292"/>
        <v>21</v>
      </c>
      <c r="R935" s="4">
        <f t="shared" si="293"/>
        <v>21</v>
      </c>
      <c r="S935" s="4">
        <f t="shared" si="294"/>
        <v>0</v>
      </c>
      <c r="T935" s="4">
        <f t="shared" si="295"/>
        <v>3</v>
      </c>
      <c r="U935" s="4">
        <f t="shared" si="296"/>
        <v>6</v>
      </c>
      <c r="V935" s="8">
        <f t="shared" si="297"/>
        <v>4</v>
      </c>
      <c r="W935" s="8">
        <f t="shared" si="298"/>
        <v>6</v>
      </c>
      <c r="X935">
        <f t="shared" si="299"/>
        <v>1</v>
      </c>
    </row>
    <row r="936" spans="1:24" x14ac:dyDescent="0.25">
      <c r="A936" s="4" t="s">
        <v>962</v>
      </c>
      <c r="B936" t="s">
        <v>17</v>
      </c>
      <c r="C936" t="s">
        <v>6</v>
      </c>
      <c r="D936" s="3">
        <f t="shared" si="280"/>
        <v>9</v>
      </c>
      <c r="E936" s="4">
        <f t="shared" si="281"/>
        <v>27</v>
      </c>
      <c r="F936" s="4">
        <f t="shared" si="282"/>
        <v>16</v>
      </c>
      <c r="G936" s="3">
        <f>IF(E936&gt;=20,2000,1900) + D936</f>
        <v>2009</v>
      </c>
      <c r="H936">
        <f t="shared" si="283"/>
        <v>7</v>
      </c>
      <c r="I936" s="4">
        <f t="shared" si="284"/>
        <v>16</v>
      </c>
      <c r="J936">
        <f t="shared" si="285"/>
        <v>20092716</v>
      </c>
      <c r="K936" t="str">
        <f t="shared" si="286"/>
        <v>16.27.2009</v>
      </c>
      <c r="L936" s="4">
        <f t="shared" si="287"/>
        <v>0</v>
      </c>
      <c r="M936" s="4">
        <f t="shared" si="288"/>
        <v>27</v>
      </c>
      <c r="N936" s="4">
        <f t="shared" si="289"/>
        <v>14</v>
      </c>
      <c r="O936" s="4">
        <f t="shared" si="290"/>
        <v>63</v>
      </c>
      <c r="P936" s="4">
        <f t="shared" si="291"/>
        <v>1</v>
      </c>
      <c r="Q936" s="4">
        <f t="shared" si="292"/>
        <v>18</v>
      </c>
      <c r="R936" s="4">
        <f t="shared" si="293"/>
        <v>0</v>
      </c>
      <c r="S936" s="4">
        <f t="shared" si="294"/>
        <v>36</v>
      </c>
      <c r="T936" s="4">
        <f t="shared" si="295"/>
        <v>8</v>
      </c>
      <c r="U936" s="4">
        <f t="shared" si="296"/>
        <v>18</v>
      </c>
      <c r="V936" s="8">
        <f t="shared" si="297"/>
        <v>5</v>
      </c>
      <c r="W936" s="8">
        <f t="shared" si="298"/>
        <v>5</v>
      </c>
      <c r="X936">
        <f t="shared" si="299"/>
        <v>1</v>
      </c>
    </row>
    <row r="937" spans="1:24" x14ac:dyDescent="0.25">
      <c r="A937" s="4" t="s">
        <v>963</v>
      </c>
      <c r="B937" t="s">
        <v>15</v>
      </c>
      <c r="C937" t="s">
        <v>6</v>
      </c>
      <c r="D937" s="3">
        <f t="shared" si="280"/>
        <v>18</v>
      </c>
      <c r="E937" s="4">
        <f t="shared" si="281"/>
        <v>32</v>
      </c>
      <c r="F937" s="4">
        <f t="shared" si="282"/>
        <v>1</v>
      </c>
      <c r="G937" s="3">
        <f>IF(E937&gt;=20,2000,1900) + D937</f>
        <v>2018</v>
      </c>
      <c r="H937">
        <f t="shared" si="283"/>
        <v>12</v>
      </c>
      <c r="I937" s="4">
        <f t="shared" si="284"/>
        <v>1</v>
      </c>
      <c r="J937">
        <f t="shared" si="285"/>
        <v>20183201</v>
      </c>
      <c r="K937" t="str">
        <f t="shared" si="286"/>
        <v>01.32.2018</v>
      </c>
      <c r="L937" s="4">
        <f t="shared" si="287"/>
        <v>1</v>
      </c>
      <c r="M937" s="4">
        <f t="shared" si="288"/>
        <v>24</v>
      </c>
      <c r="N937" s="4">
        <f t="shared" si="289"/>
        <v>21</v>
      </c>
      <c r="O937" s="4">
        <f t="shared" si="290"/>
        <v>18</v>
      </c>
      <c r="P937" s="4">
        <f t="shared" si="291"/>
        <v>0</v>
      </c>
      <c r="Q937" s="4">
        <f t="shared" si="292"/>
        <v>3</v>
      </c>
      <c r="R937" s="4">
        <f t="shared" si="293"/>
        <v>14</v>
      </c>
      <c r="S937" s="4">
        <f t="shared" si="294"/>
        <v>54</v>
      </c>
      <c r="T937" s="4">
        <f t="shared" si="295"/>
        <v>0</v>
      </c>
      <c r="U937" s="4">
        <f t="shared" si="296"/>
        <v>0</v>
      </c>
      <c r="V937" s="8">
        <f t="shared" si="297"/>
        <v>5</v>
      </c>
      <c r="W937" s="8">
        <f t="shared" si="298"/>
        <v>5</v>
      </c>
      <c r="X937">
        <f t="shared" si="299"/>
        <v>1</v>
      </c>
    </row>
    <row r="938" spans="1:24" x14ac:dyDescent="0.25">
      <c r="A938" s="4" t="s">
        <v>964</v>
      </c>
      <c r="B938" t="s">
        <v>5</v>
      </c>
      <c r="C938" t="s">
        <v>4</v>
      </c>
      <c r="D938" s="3">
        <f t="shared" si="280"/>
        <v>10</v>
      </c>
      <c r="E938" s="4">
        <f t="shared" si="281"/>
        <v>26</v>
      </c>
      <c r="F938" s="4">
        <f t="shared" si="282"/>
        <v>22</v>
      </c>
      <c r="G938" s="3">
        <f>IF(E938&gt;=20,2000,1900) + D938</f>
        <v>2010</v>
      </c>
      <c r="H938">
        <f t="shared" si="283"/>
        <v>6</v>
      </c>
      <c r="I938" s="4">
        <f t="shared" si="284"/>
        <v>22</v>
      </c>
      <c r="J938">
        <f t="shared" si="285"/>
        <v>20102622</v>
      </c>
      <c r="K938" t="str">
        <f t="shared" si="286"/>
        <v>22.26.2010</v>
      </c>
      <c r="L938" s="4">
        <f t="shared" si="287"/>
        <v>1</v>
      </c>
      <c r="M938" s="4">
        <f t="shared" si="288"/>
        <v>0</v>
      </c>
      <c r="N938" s="4">
        <f t="shared" si="289"/>
        <v>14</v>
      </c>
      <c r="O938" s="4">
        <f t="shared" si="290"/>
        <v>54</v>
      </c>
      <c r="P938" s="4">
        <f t="shared" si="291"/>
        <v>2</v>
      </c>
      <c r="Q938" s="4">
        <f t="shared" si="292"/>
        <v>6</v>
      </c>
      <c r="R938" s="4">
        <f t="shared" si="293"/>
        <v>21</v>
      </c>
      <c r="S938" s="4">
        <f t="shared" si="294"/>
        <v>18</v>
      </c>
      <c r="T938" s="4">
        <f t="shared" si="295"/>
        <v>3</v>
      </c>
      <c r="U938" s="4">
        <f t="shared" si="296"/>
        <v>3</v>
      </c>
      <c r="V938" s="8">
        <f t="shared" si="297"/>
        <v>2</v>
      </c>
      <c r="W938" s="8">
        <f t="shared" si="298"/>
        <v>8</v>
      </c>
      <c r="X938">
        <f t="shared" si="299"/>
        <v>1</v>
      </c>
    </row>
    <row r="939" spans="1:24" x14ac:dyDescent="0.25">
      <c r="A939" s="4" t="s">
        <v>965</v>
      </c>
      <c r="B939" t="s">
        <v>7</v>
      </c>
      <c r="C939" t="s">
        <v>6</v>
      </c>
      <c r="D939" s="3">
        <f t="shared" si="280"/>
        <v>21</v>
      </c>
      <c r="E939" s="4">
        <f t="shared" si="281"/>
        <v>30</v>
      </c>
      <c r="F939" s="4">
        <f t="shared" si="282"/>
        <v>31</v>
      </c>
      <c r="G939" s="3">
        <f>IF(E939&gt;=20,2000,1900) + D939</f>
        <v>2021</v>
      </c>
      <c r="H939">
        <f t="shared" si="283"/>
        <v>10</v>
      </c>
      <c r="I939" s="4">
        <f t="shared" si="284"/>
        <v>31</v>
      </c>
      <c r="J939">
        <f t="shared" si="285"/>
        <v>20213031</v>
      </c>
      <c r="K939" t="str">
        <f t="shared" si="286"/>
        <v>31.30.2021</v>
      </c>
      <c r="L939" s="4">
        <f t="shared" si="287"/>
        <v>2</v>
      </c>
      <c r="M939" s="4">
        <f t="shared" si="288"/>
        <v>3</v>
      </c>
      <c r="N939" s="4">
        <f t="shared" si="289"/>
        <v>21</v>
      </c>
      <c r="O939" s="4">
        <f t="shared" si="290"/>
        <v>0</v>
      </c>
      <c r="P939" s="4">
        <f t="shared" si="291"/>
        <v>3</v>
      </c>
      <c r="Q939" s="4">
        <f t="shared" si="292"/>
        <v>3</v>
      </c>
      <c r="R939" s="4">
        <f t="shared" si="293"/>
        <v>14</v>
      </c>
      <c r="S939" s="4">
        <f t="shared" si="294"/>
        <v>18</v>
      </c>
      <c r="T939" s="4">
        <f t="shared" si="295"/>
        <v>8</v>
      </c>
      <c r="U939" s="4">
        <f t="shared" si="296"/>
        <v>9</v>
      </c>
      <c r="V939" s="8">
        <f t="shared" si="297"/>
        <v>1</v>
      </c>
      <c r="W939" s="8">
        <f t="shared" si="298"/>
        <v>9</v>
      </c>
      <c r="X939">
        <f t="shared" si="299"/>
        <v>1</v>
      </c>
    </row>
    <row r="940" spans="1:24" x14ac:dyDescent="0.25">
      <c r="A940" s="4" t="s">
        <v>966</v>
      </c>
      <c r="B940" t="s">
        <v>20</v>
      </c>
      <c r="C940" t="s">
        <v>4</v>
      </c>
      <c r="D940" s="3">
        <f t="shared" si="280"/>
        <v>10</v>
      </c>
      <c r="E940" s="4">
        <f t="shared" si="281"/>
        <v>29</v>
      </c>
      <c r="F940" s="4">
        <f t="shared" si="282"/>
        <v>30</v>
      </c>
      <c r="G940" s="3">
        <f>IF(E940&gt;=20,2000,1900) + D940</f>
        <v>2010</v>
      </c>
      <c r="H940">
        <f t="shared" si="283"/>
        <v>9</v>
      </c>
      <c r="I940" s="4">
        <f t="shared" si="284"/>
        <v>30</v>
      </c>
      <c r="J940">
        <f t="shared" si="285"/>
        <v>20102930</v>
      </c>
      <c r="K940" t="str">
        <f t="shared" si="286"/>
        <v>30.29.2010</v>
      </c>
      <c r="L940" s="4">
        <f t="shared" si="287"/>
        <v>1</v>
      </c>
      <c r="M940" s="4">
        <f t="shared" si="288"/>
        <v>0</v>
      </c>
      <c r="N940" s="4">
        <f t="shared" si="289"/>
        <v>14</v>
      </c>
      <c r="O940" s="4">
        <f t="shared" si="290"/>
        <v>81</v>
      </c>
      <c r="P940" s="4">
        <f t="shared" si="291"/>
        <v>3</v>
      </c>
      <c r="Q940" s="4">
        <f t="shared" si="292"/>
        <v>0</v>
      </c>
      <c r="R940" s="4">
        <f t="shared" si="293"/>
        <v>7</v>
      </c>
      <c r="S940" s="4">
        <f t="shared" si="294"/>
        <v>36</v>
      </c>
      <c r="T940" s="4">
        <f t="shared" si="295"/>
        <v>1</v>
      </c>
      <c r="U940" s="4">
        <f t="shared" si="296"/>
        <v>18</v>
      </c>
      <c r="V940" s="8">
        <f t="shared" si="297"/>
        <v>1</v>
      </c>
      <c r="W940" s="8">
        <f t="shared" si="298"/>
        <v>9</v>
      </c>
      <c r="X940">
        <f t="shared" si="299"/>
        <v>1</v>
      </c>
    </row>
    <row r="941" spans="1:24" x14ac:dyDescent="0.25">
      <c r="A941" s="4" t="s">
        <v>967</v>
      </c>
      <c r="B941" t="s">
        <v>18</v>
      </c>
      <c r="C941" t="s">
        <v>4</v>
      </c>
      <c r="D941" s="3">
        <f t="shared" si="280"/>
        <v>9</v>
      </c>
      <c r="E941" s="4">
        <f t="shared" si="281"/>
        <v>21</v>
      </c>
      <c r="F941" s="4">
        <f t="shared" si="282"/>
        <v>1</v>
      </c>
      <c r="G941" s="3">
        <f>IF(E941&gt;=20,2000,1900) + D941</f>
        <v>2009</v>
      </c>
      <c r="H941">
        <f t="shared" si="283"/>
        <v>1</v>
      </c>
      <c r="I941" s="4">
        <f t="shared" si="284"/>
        <v>1</v>
      </c>
      <c r="J941">
        <f t="shared" si="285"/>
        <v>20092101</v>
      </c>
      <c r="K941" t="str">
        <f t="shared" si="286"/>
        <v>01.21.2009</v>
      </c>
      <c r="L941" s="4">
        <f t="shared" si="287"/>
        <v>0</v>
      </c>
      <c r="M941" s="4">
        <f t="shared" si="288"/>
        <v>27</v>
      </c>
      <c r="N941" s="4">
        <f t="shared" si="289"/>
        <v>14</v>
      </c>
      <c r="O941" s="4">
        <f t="shared" si="290"/>
        <v>9</v>
      </c>
      <c r="P941" s="4">
        <f t="shared" si="291"/>
        <v>0</v>
      </c>
      <c r="Q941" s="4">
        <f t="shared" si="292"/>
        <v>3</v>
      </c>
      <c r="R941" s="4">
        <f t="shared" si="293"/>
        <v>14</v>
      </c>
      <c r="S941" s="4">
        <f t="shared" si="294"/>
        <v>0</v>
      </c>
      <c r="T941" s="4">
        <f t="shared" si="295"/>
        <v>4</v>
      </c>
      <c r="U941" s="4">
        <f t="shared" si="296"/>
        <v>27</v>
      </c>
      <c r="V941" s="8">
        <f t="shared" si="297"/>
        <v>8</v>
      </c>
      <c r="W941" s="8">
        <f t="shared" si="298"/>
        <v>2</v>
      </c>
      <c r="X941">
        <f t="shared" si="299"/>
        <v>1</v>
      </c>
    </row>
    <row r="942" spans="1:24" x14ac:dyDescent="0.25">
      <c r="A942" s="4" t="s">
        <v>968</v>
      </c>
      <c r="B942" t="s">
        <v>11</v>
      </c>
      <c r="C942" t="s">
        <v>6</v>
      </c>
      <c r="D942" s="3">
        <f t="shared" si="280"/>
        <v>20</v>
      </c>
      <c r="E942" s="4">
        <f t="shared" si="281"/>
        <v>26</v>
      </c>
      <c r="F942" s="4">
        <f t="shared" si="282"/>
        <v>4</v>
      </c>
      <c r="G942" s="3">
        <f>IF(E942&gt;=20,2000,1900) + D942</f>
        <v>2020</v>
      </c>
      <c r="H942">
        <f t="shared" si="283"/>
        <v>6</v>
      </c>
      <c r="I942" s="4">
        <f t="shared" si="284"/>
        <v>4</v>
      </c>
      <c r="J942">
        <f t="shared" si="285"/>
        <v>20202604</v>
      </c>
      <c r="K942" t="str">
        <f t="shared" si="286"/>
        <v>04.26.2020</v>
      </c>
      <c r="L942" s="4">
        <f t="shared" si="287"/>
        <v>2</v>
      </c>
      <c r="M942" s="4">
        <f t="shared" si="288"/>
        <v>0</v>
      </c>
      <c r="N942" s="4">
        <f t="shared" si="289"/>
        <v>14</v>
      </c>
      <c r="O942" s="4">
        <f t="shared" si="290"/>
        <v>54</v>
      </c>
      <c r="P942" s="4">
        <f t="shared" si="291"/>
        <v>0</v>
      </c>
      <c r="Q942" s="4">
        <f t="shared" si="292"/>
        <v>12</v>
      </c>
      <c r="R942" s="4">
        <f t="shared" si="293"/>
        <v>35</v>
      </c>
      <c r="S942" s="4">
        <f t="shared" si="294"/>
        <v>9</v>
      </c>
      <c r="T942" s="4">
        <f t="shared" si="295"/>
        <v>4</v>
      </c>
      <c r="U942" s="4">
        <f t="shared" si="296"/>
        <v>24</v>
      </c>
      <c r="V942" s="8">
        <f t="shared" si="297"/>
        <v>4</v>
      </c>
      <c r="W942" s="8">
        <f t="shared" si="298"/>
        <v>6</v>
      </c>
      <c r="X942">
        <f t="shared" si="299"/>
        <v>1</v>
      </c>
    </row>
    <row r="943" spans="1:24" x14ac:dyDescent="0.25">
      <c r="A943" s="4" t="s">
        <v>969</v>
      </c>
      <c r="B943" t="s">
        <v>11</v>
      </c>
      <c r="C943" t="s">
        <v>4</v>
      </c>
      <c r="D943" s="3">
        <f t="shared" si="280"/>
        <v>17</v>
      </c>
      <c r="E943" s="4">
        <f t="shared" si="281"/>
        <v>30</v>
      </c>
      <c r="F943" s="4">
        <f t="shared" si="282"/>
        <v>22</v>
      </c>
      <c r="G943" s="3">
        <f>IF(E943&gt;=20,2000,1900) + D943</f>
        <v>2017</v>
      </c>
      <c r="H943">
        <f t="shared" si="283"/>
        <v>10</v>
      </c>
      <c r="I943" s="4">
        <f t="shared" si="284"/>
        <v>22</v>
      </c>
      <c r="J943">
        <f t="shared" si="285"/>
        <v>20173022</v>
      </c>
      <c r="K943" t="str">
        <f t="shared" si="286"/>
        <v>22.30.2017</v>
      </c>
      <c r="L943" s="4">
        <f t="shared" si="287"/>
        <v>1</v>
      </c>
      <c r="M943" s="4">
        <f t="shared" si="288"/>
        <v>21</v>
      </c>
      <c r="N943" s="4">
        <f t="shared" si="289"/>
        <v>21</v>
      </c>
      <c r="O943" s="4">
        <f t="shared" si="290"/>
        <v>0</v>
      </c>
      <c r="P943" s="4">
        <f t="shared" si="291"/>
        <v>2</v>
      </c>
      <c r="Q943" s="4">
        <f t="shared" si="292"/>
        <v>6</v>
      </c>
      <c r="R943" s="4">
        <f t="shared" si="293"/>
        <v>21</v>
      </c>
      <c r="S943" s="4">
        <f t="shared" si="294"/>
        <v>9</v>
      </c>
      <c r="T943" s="4">
        <f t="shared" si="295"/>
        <v>7</v>
      </c>
      <c r="U943" s="4">
        <f t="shared" si="296"/>
        <v>12</v>
      </c>
      <c r="V943" s="8">
        <f t="shared" si="297"/>
        <v>0</v>
      </c>
      <c r="W943" s="8">
        <f t="shared" si="298"/>
        <v>0</v>
      </c>
      <c r="X943">
        <f t="shared" si="299"/>
        <v>1</v>
      </c>
    </row>
    <row r="944" spans="1:24" x14ac:dyDescent="0.25">
      <c r="A944" s="4" t="s">
        <v>970</v>
      </c>
      <c r="B944" t="s">
        <v>16</v>
      </c>
      <c r="C944" t="s">
        <v>4</v>
      </c>
      <c r="D944" s="3">
        <f t="shared" si="280"/>
        <v>2</v>
      </c>
      <c r="E944" s="4">
        <f t="shared" si="281"/>
        <v>32</v>
      </c>
      <c r="F944" s="4">
        <f t="shared" si="282"/>
        <v>2</v>
      </c>
      <c r="G944" s="3">
        <f>IF(E944&gt;=20,2000,1900) + D944</f>
        <v>2002</v>
      </c>
      <c r="H944">
        <f t="shared" si="283"/>
        <v>12</v>
      </c>
      <c r="I944" s="4">
        <f t="shared" si="284"/>
        <v>2</v>
      </c>
      <c r="J944">
        <f t="shared" si="285"/>
        <v>20023202</v>
      </c>
      <c r="K944" t="str">
        <f t="shared" si="286"/>
        <v>02.32.2002</v>
      </c>
      <c r="L944" s="4">
        <f t="shared" si="287"/>
        <v>0</v>
      </c>
      <c r="M944" s="4">
        <f t="shared" si="288"/>
        <v>6</v>
      </c>
      <c r="N944" s="4">
        <f t="shared" si="289"/>
        <v>21</v>
      </c>
      <c r="O944" s="4">
        <f t="shared" si="290"/>
        <v>18</v>
      </c>
      <c r="P944" s="4">
        <f t="shared" si="291"/>
        <v>0</v>
      </c>
      <c r="Q944" s="4">
        <f t="shared" si="292"/>
        <v>6</v>
      </c>
      <c r="R944" s="4">
        <f t="shared" si="293"/>
        <v>35</v>
      </c>
      <c r="S944" s="4">
        <f t="shared" si="294"/>
        <v>27</v>
      </c>
      <c r="T944" s="4">
        <f t="shared" si="295"/>
        <v>1</v>
      </c>
      <c r="U944" s="4">
        <f t="shared" si="296"/>
        <v>27</v>
      </c>
      <c r="V944" s="8">
        <f t="shared" si="297"/>
        <v>1</v>
      </c>
      <c r="W944" s="8">
        <f t="shared" si="298"/>
        <v>9</v>
      </c>
      <c r="X944">
        <f t="shared" si="299"/>
        <v>1</v>
      </c>
    </row>
    <row r="945" spans="1:24" x14ac:dyDescent="0.25">
      <c r="A945" s="4" t="s">
        <v>971</v>
      </c>
      <c r="B945" t="s">
        <v>11</v>
      </c>
      <c r="C945" t="s">
        <v>6</v>
      </c>
      <c r="D945" s="3">
        <f t="shared" si="280"/>
        <v>18</v>
      </c>
      <c r="E945" s="4">
        <f t="shared" si="281"/>
        <v>26</v>
      </c>
      <c r="F945" s="4">
        <f t="shared" si="282"/>
        <v>3</v>
      </c>
      <c r="G945" s="3">
        <f>IF(E945&gt;=20,2000,1900) + D945</f>
        <v>2018</v>
      </c>
      <c r="H945">
        <f t="shared" si="283"/>
        <v>6</v>
      </c>
      <c r="I945" s="4">
        <f t="shared" si="284"/>
        <v>3</v>
      </c>
      <c r="J945">
        <f t="shared" si="285"/>
        <v>20182603</v>
      </c>
      <c r="K945" t="str">
        <f t="shared" si="286"/>
        <v>03.26.2018</v>
      </c>
      <c r="L945" s="4">
        <f t="shared" si="287"/>
        <v>1</v>
      </c>
      <c r="M945" s="4">
        <f t="shared" si="288"/>
        <v>24</v>
      </c>
      <c r="N945" s="4">
        <f t="shared" si="289"/>
        <v>14</v>
      </c>
      <c r="O945" s="4">
        <f t="shared" si="290"/>
        <v>54</v>
      </c>
      <c r="P945" s="4">
        <f t="shared" si="291"/>
        <v>0</v>
      </c>
      <c r="Q945" s="4">
        <f t="shared" si="292"/>
        <v>9</v>
      </c>
      <c r="R945" s="4">
        <f t="shared" si="293"/>
        <v>42</v>
      </c>
      <c r="S945" s="4">
        <f t="shared" si="294"/>
        <v>54</v>
      </c>
      <c r="T945" s="4">
        <f t="shared" si="295"/>
        <v>3</v>
      </c>
      <c r="U945" s="4">
        <f t="shared" si="296"/>
        <v>0</v>
      </c>
      <c r="V945" s="8">
        <f t="shared" si="297"/>
        <v>1</v>
      </c>
      <c r="W945" s="8">
        <f t="shared" si="298"/>
        <v>9</v>
      </c>
      <c r="X945">
        <f t="shared" si="299"/>
        <v>1</v>
      </c>
    </row>
    <row r="946" spans="1:24" x14ac:dyDescent="0.25">
      <c r="A946" s="4" t="s">
        <v>972</v>
      </c>
      <c r="B946" t="s">
        <v>11</v>
      </c>
      <c r="C946" t="s">
        <v>4</v>
      </c>
      <c r="D946" s="3">
        <f t="shared" si="280"/>
        <v>4</v>
      </c>
      <c r="E946" s="4">
        <f t="shared" si="281"/>
        <v>22</v>
      </c>
      <c r="F946" s="4">
        <f t="shared" si="282"/>
        <v>29</v>
      </c>
      <c r="G946" s="3">
        <f>IF(E946&gt;=20,2000,1900) + D946</f>
        <v>2004</v>
      </c>
      <c r="H946">
        <f t="shared" si="283"/>
        <v>2</v>
      </c>
      <c r="I946" s="4">
        <f t="shared" si="284"/>
        <v>29</v>
      </c>
      <c r="J946">
        <f t="shared" si="285"/>
        <v>20042229</v>
      </c>
      <c r="K946" t="str">
        <f t="shared" si="286"/>
        <v>29.22.2004</v>
      </c>
      <c r="L946" s="4">
        <f t="shared" si="287"/>
        <v>0</v>
      </c>
      <c r="M946" s="4">
        <f t="shared" si="288"/>
        <v>12</v>
      </c>
      <c r="N946" s="4">
        <f t="shared" si="289"/>
        <v>14</v>
      </c>
      <c r="O946" s="4">
        <f t="shared" si="290"/>
        <v>18</v>
      </c>
      <c r="P946" s="4">
        <f t="shared" si="291"/>
        <v>2</v>
      </c>
      <c r="Q946" s="4">
        <f t="shared" si="292"/>
        <v>27</v>
      </c>
      <c r="R946" s="4">
        <f t="shared" si="293"/>
        <v>35</v>
      </c>
      <c r="S946" s="4">
        <f t="shared" si="294"/>
        <v>54</v>
      </c>
      <c r="T946" s="4">
        <f t="shared" si="295"/>
        <v>1</v>
      </c>
      <c r="U946" s="4">
        <f t="shared" si="296"/>
        <v>18</v>
      </c>
      <c r="V946" s="8">
        <f t="shared" si="297"/>
        <v>1</v>
      </c>
      <c r="W946" s="8">
        <f t="shared" si="298"/>
        <v>9</v>
      </c>
      <c r="X946">
        <f t="shared" si="299"/>
        <v>1</v>
      </c>
    </row>
    <row r="947" spans="1:24" x14ac:dyDescent="0.25">
      <c r="A947" s="4" t="s">
        <v>973</v>
      </c>
      <c r="B947" t="s">
        <v>14</v>
      </c>
      <c r="C947" t="s">
        <v>4</v>
      </c>
      <c r="D947" s="3">
        <f t="shared" si="280"/>
        <v>5</v>
      </c>
      <c r="E947" s="4">
        <f t="shared" si="281"/>
        <v>26</v>
      </c>
      <c r="F947" s="4">
        <f t="shared" si="282"/>
        <v>12</v>
      </c>
      <c r="G947" s="3">
        <f>IF(E947&gt;=20,2000,1900) + D947</f>
        <v>2005</v>
      </c>
      <c r="H947">
        <f t="shared" si="283"/>
        <v>6</v>
      </c>
      <c r="I947" s="4">
        <f t="shared" si="284"/>
        <v>12</v>
      </c>
      <c r="J947">
        <f t="shared" si="285"/>
        <v>20052612</v>
      </c>
      <c r="K947" t="str">
        <f t="shared" si="286"/>
        <v>12.26.2005</v>
      </c>
      <c r="L947" s="4">
        <f t="shared" si="287"/>
        <v>0</v>
      </c>
      <c r="M947" s="4">
        <f t="shared" si="288"/>
        <v>15</v>
      </c>
      <c r="N947" s="4">
        <f t="shared" si="289"/>
        <v>14</v>
      </c>
      <c r="O947" s="4">
        <f t="shared" si="290"/>
        <v>54</v>
      </c>
      <c r="P947" s="4">
        <f t="shared" si="291"/>
        <v>1</v>
      </c>
      <c r="Q947" s="4">
        <f t="shared" si="292"/>
        <v>6</v>
      </c>
      <c r="R947" s="4">
        <f t="shared" si="293"/>
        <v>49</v>
      </c>
      <c r="S947" s="4">
        <f t="shared" si="294"/>
        <v>0</v>
      </c>
      <c r="T947" s="4">
        <f t="shared" si="295"/>
        <v>2</v>
      </c>
      <c r="U947" s="4">
        <f t="shared" si="296"/>
        <v>9</v>
      </c>
      <c r="V947" s="8">
        <f t="shared" si="297"/>
        <v>0</v>
      </c>
      <c r="W947" s="8">
        <f t="shared" si="298"/>
        <v>0</v>
      </c>
      <c r="X947">
        <f t="shared" si="299"/>
        <v>1</v>
      </c>
    </row>
    <row r="948" spans="1:24" x14ac:dyDescent="0.25">
      <c r="A948" s="4" t="s">
        <v>974</v>
      </c>
      <c r="B948" t="s">
        <v>9</v>
      </c>
      <c r="C948" t="s">
        <v>4</v>
      </c>
      <c r="D948" s="3">
        <f t="shared" si="280"/>
        <v>15</v>
      </c>
      <c r="E948" s="4">
        <f t="shared" si="281"/>
        <v>32</v>
      </c>
      <c r="F948" s="4">
        <f t="shared" si="282"/>
        <v>6</v>
      </c>
      <c r="G948" s="3">
        <f>IF(E948&gt;=20,2000,1900) + D948</f>
        <v>2015</v>
      </c>
      <c r="H948">
        <f t="shared" si="283"/>
        <v>12</v>
      </c>
      <c r="I948" s="4">
        <f t="shared" si="284"/>
        <v>6</v>
      </c>
      <c r="J948">
        <f t="shared" si="285"/>
        <v>20153206</v>
      </c>
      <c r="K948" t="str">
        <f t="shared" si="286"/>
        <v>06.32.2015</v>
      </c>
      <c r="L948" s="4">
        <f t="shared" si="287"/>
        <v>1</v>
      </c>
      <c r="M948" s="4">
        <f t="shared" si="288"/>
        <v>15</v>
      </c>
      <c r="N948" s="4">
        <f t="shared" si="289"/>
        <v>21</v>
      </c>
      <c r="O948" s="4">
        <f t="shared" si="290"/>
        <v>18</v>
      </c>
      <c r="P948" s="4">
        <f t="shared" si="291"/>
        <v>0</v>
      </c>
      <c r="Q948" s="4">
        <f t="shared" si="292"/>
        <v>18</v>
      </c>
      <c r="R948" s="4">
        <f t="shared" si="293"/>
        <v>21</v>
      </c>
      <c r="S948" s="4">
        <f t="shared" si="294"/>
        <v>45</v>
      </c>
      <c r="T948" s="4">
        <f t="shared" si="295"/>
        <v>7</v>
      </c>
      <c r="U948" s="4">
        <f t="shared" si="296"/>
        <v>6</v>
      </c>
      <c r="V948" s="8">
        <f t="shared" si="297"/>
        <v>2</v>
      </c>
      <c r="W948" s="8">
        <f t="shared" si="298"/>
        <v>8</v>
      </c>
      <c r="X948">
        <f t="shared" si="299"/>
        <v>1</v>
      </c>
    </row>
    <row r="949" spans="1:24" x14ac:dyDescent="0.25">
      <c r="A949" s="4" t="s">
        <v>975</v>
      </c>
      <c r="B949" t="s">
        <v>9</v>
      </c>
      <c r="C949" t="s">
        <v>6</v>
      </c>
      <c r="D949" s="3">
        <f t="shared" si="280"/>
        <v>14</v>
      </c>
      <c r="E949" s="4">
        <f t="shared" si="281"/>
        <v>29</v>
      </c>
      <c r="F949" s="4">
        <f t="shared" si="282"/>
        <v>26</v>
      </c>
      <c r="G949" s="3">
        <f>IF(E949&gt;=20,2000,1900) + D949</f>
        <v>2014</v>
      </c>
      <c r="H949">
        <f t="shared" si="283"/>
        <v>9</v>
      </c>
      <c r="I949" s="4">
        <f t="shared" si="284"/>
        <v>26</v>
      </c>
      <c r="J949">
        <f t="shared" si="285"/>
        <v>20142926</v>
      </c>
      <c r="K949" t="str">
        <f t="shared" si="286"/>
        <v>26.29.2014</v>
      </c>
      <c r="L949" s="4">
        <f t="shared" si="287"/>
        <v>1</v>
      </c>
      <c r="M949" s="4">
        <f t="shared" si="288"/>
        <v>12</v>
      </c>
      <c r="N949" s="4">
        <f t="shared" si="289"/>
        <v>14</v>
      </c>
      <c r="O949" s="4">
        <f t="shared" si="290"/>
        <v>81</v>
      </c>
      <c r="P949" s="4">
        <f t="shared" si="291"/>
        <v>2</v>
      </c>
      <c r="Q949" s="4">
        <f t="shared" si="292"/>
        <v>18</v>
      </c>
      <c r="R949" s="4">
        <f t="shared" si="293"/>
        <v>49</v>
      </c>
      <c r="S949" s="4">
        <f t="shared" si="294"/>
        <v>81</v>
      </c>
      <c r="T949" s="4">
        <f t="shared" si="295"/>
        <v>6</v>
      </c>
      <c r="U949" s="4">
        <f t="shared" si="296"/>
        <v>15</v>
      </c>
      <c r="V949" s="8">
        <f t="shared" si="297"/>
        <v>9</v>
      </c>
      <c r="W949" s="8">
        <f t="shared" si="298"/>
        <v>1</v>
      </c>
      <c r="X949">
        <f t="shared" si="299"/>
        <v>1</v>
      </c>
    </row>
    <row r="950" spans="1:24" x14ac:dyDescent="0.25">
      <c r="A950" s="4" t="s">
        <v>976</v>
      </c>
      <c r="B950" t="s">
        <v>18</v>
      </c>
      <c r="C950" t="s">
        <v>4</v>
      </c>
      <c r="D950" s="3">
        <f t="shared" si="280"/>
        <v>15</v>
      </c>
      <c r="E950" s="4">
        <f t="shared" si="281"/>
        <v>21</v>
      </c>
      <c r="F950" s="4">
        <f t="shared" si="282"/>
        <v>3</v>
      </c>
      <c r="G950" s="3">
        <f>IF(E950&gt;=20,2000,1900) + D950</f>
        <v>2015</v>
      </c>
      <c r="H950">
        <f t="shared" si="283"/>
        <v>1</v>
      </c>
      <c r="I950" s="4">
        <f t="shared" si="284"/>
        <v>3</v>
      </c>
      <c r="J950">
        <f t="shared" si="285"/>
        <v>20152103</v>
      </c>
      <c r="K950" t="str">
        <f t="shared" si="286"/>
        <v>03.21.2015</v>
      </c>
      <c r="L950" s="4">
        <f t="shared" si="287"/>
        <v>1</v>
      </c>
      <c r="M950" s="4">
        <f t="shared" si="288"/>
        <v>15</v>
      </c>
      <c r="N950" s="4">
        <f t="shared" si="289"/>
        <v>14</v>
      </c>
      <c r="O950" s="4">
        <f t="shared" si="290"/>
        <v>9</v>
      </c>
      <c r="P950" s="4">
        <f t="shared" si="291"/>
        <v>0</v>
      </c>
      <c r="Q950" s="4">
        <f t="shared" si="292"/>
        <v>9</v>
      </c>
      <c r="R950" s="4">
        <f t="shared" si="293"/>
        <v>42</v>
      </c>
      <c r="S950" s="4">
        <f t="shared" si="294"/>
        <v>72</v>
      </c>
      <c r="T950" s="4">
        <f t="shared" si="295"/>
        <v>1</v>
      </c>
      <c r="U950" s="4">
        <f t="shared" si="296"/>
        <v>0</v>
      </c>
      <c r="V950" s="8">
        <f t="shared" si="297"/>
        <v>3</v>
      </c>
      <c r="W950" s="8">
        <f t="shared" si="298"/>
        <v>7</v>
      </c>
      <c r="X950">
        <f t="shared" si="299"/>
        <v>1</v>
      </c>
    </row>
    <row r="951" spans="1:24" x14ac:dyDescent="0.25">
      <c r="A951" s="4" t="s">
        <v>977</v>
      </c>
      <c r="B951" t="s">
        <v>19</v>
      </c>
      <c r="C951" t="s">
        <v>6</v>
      </c>
      <c r="D951" s="3">
        <f t="shared" si="280"/>
        <v>11</v>
      </c>
      <c r="E951" s="4">
        <f t="shared" si="281"/>
        <v>28</v>
      </c>
      <c r="F951" s="4">
        <f t="shared" si="282"/>
        <v>28</v>
      </c>
      <c r="G951" s="3">
        <f>IF(E951&gt;=20,2000,1900) + D951</f>
        <v>2011</v>
      </c>
      <c r="H951">
        <f t="shared" si="283"/>
        <v>8</v>
      </c>
      <c r="I951" s="4">
        <f t="shared" si="284"/>
        <v>28</v>
      </c>
      <c r="J951">
        <f t="shared" si="285"/>
        <v>20112828</v>
      </c>
      <c r="K951" t="str">
        <f t="shared" si="286"/>
        <v>28.28.2011</v>
      </c>
      <c r="L951" s="4">
        <f t="shared" si="287"/>
        <v>1</v>
      </c>
      <c r="M951" s="4">
        <f t="shared" si="288"/>
        <v>3</v>
      </c>
      <c r="N951" s="4">
        <f t="shared" si="289"/>
        <v>14</v>
      </c>
      <c r="O951" s="4">
        <f t="shared" si="290"/>
        <v>72</v>
      </c>
      <c r="P951" s="4">
        <f t="shared" si="291"/>
        <v>2</v>
      </c>
      <c r="Q951" s="4">
        <f t="shared" si="292"/>
        <v>24</v>
      </c>
      <c r="R951" s="4">
        <f t="shared" si="293"/>
        <v>42</v>
      </c>
      <c r="S951" s="4">
        <f t="shared" si="294"/>
        <v>72</v>
      </c>
      <c r="T951" s="4">
        <f t="shared" si="295"/>
        <v>1</v>
      </c>
      <c r="U951" s="4">
        <f t="shared" si="296"/>
        <v>21</v>
      </c>
      <c r="V951" s="8">
        <f t="shared" si="297"/>
        <v>2</v>
      </c>
      <c r="W951" s="8">
        <f t="shared" si="298"/>
        <v>8</v>
      </c>
      <c r="X951">
        <f t="shared" si="299"/>
        <v>1</v>
      </c>
    </row>
    <row r="952" spans="1:24" x14ac:dyDescent="0.25">
      <c r="A952" s="4" t="s">
        <v>978</v>
      </c>
      <c r="B952" t="s">
        <v>14</v>
      </c>
      <c r="C952" t="s">
        <v>6</v>
      </c>
      <c r="D952" s="3">
        <f t="shared" si="280"/>
        <v>21</v>
      </c>
      <c r="E952" s="4">
        <f t="shared" si="281"/>
        <v>27</v>
      </c>
      <c r="F952" s="4">
        <f t="shared" si="282"/>
        <v>8</v>
      </c>
      <c r="G952" s="3">
        <f>IF(E952&gt;=20,2000,1900) + D952</f>
        <v>2021</v>
      </c>
      <c r="H952">
        <f t="shared" si="283"/>
        <v>7</v>
      </c>
      <c r="I952" s="4">
        <f t="shared" si="284"/>
        <v>8</v>
      </c>
      <c r="J952">
        <f t="shared" si="285"/>
        <v>20212708</v>
      </c>
      <c r="K952" t="str">
        <f t="shared" si="286"/>
        <v>08.27.2021</v>
      </c>
      <c r="L952" s="4">
        <f t="shared" si="287"/>
        <v>2</v>
      </c>
      <c r="M952" s="4">
        <f t="shared" si="288"/>
        <v>3</v>
      </c>
      <c r="N952" s="4">
        <f t="shared" si="289"/>
        <v>14</v>
      </c>
      <c r="O952" s="4">
        <f t="shared" si="290"/>
        <v>63</v>
      </c>
      <c r="P952" s="4">
        <f t="shared" si="291"/>
        <v>0</v>
      </c>
      <c r="Q952" s="4">
        <f t="shared" si="292"/>
        <v>24</v>
      </c>
      <c r="R952" s="4">
        <f t="shared" si="293"/>
        <v>21</v>
      </c>
      <c r="S952" s="4">
        <f t="shared" si="294"/>
        <v>81</v>
      </c>
      <c r="T952" s="4">
        <f t="shared" si="295"/>
        <v>1</v>
      </c>
      <c r="U952" s="4">
        <f t="shared" si="296"/>
        <v>24</v>
      </c>
      <c r="V952" s="8">
        <f t="shared" si="297"/>
        <v>3</v>
      </c>
      <c r="W952" s="8">
        <f t="shared" si="298"/>
        <v>7</v>
      </c>
      <c r="X952">
        <f t="shared" si="299"/>
        <v>1</v>
      </c>
    </row>
    <row r="953" spans="1:24" x14ac:dyDescent="0.25">
      <c r="A953" s="4" t="s">
        <v>979</v>
      </c>
      <c r="B953" t="s">
        <v>10</v>
      </c>
      <c r="C953" t="s">
        <v>4</v>
      </c>
      <c r="D953" s="3">
        <f t="shared" si="280"/>
        <v>7</v>
      </c>
      <c r="E953" s="4">
        <f t="shared" si="281"/>
        <v>27</v>
      </c>
      <c r="F953" s="4">
        <f t="shared" si="282"/>
        <v>18</v>
      </c>
      <c r="G953" s="3">
        <f>IF(E953&gt;=20,2000,1900) + D953</f>
        <v>2007</v>
      </c>
      <c r="H953">
        <f t="shared" si="283"/>
        <v>7</v>
      </c>
      <c r="I953" s="4">
        <f t="shared" si="284"/>
        <v>18</v>
      </c>
      <c r="J953">
        <f t="shared" si="285"/>
        <v>20072718</v>
      </c>
      <c r="K953" t="str">
        <f t="shared" si="286"/>
        <v>18.27.2007</v>
      </c>
      <c r="L953" s="4">
        <f t="shared" si="287"/>
        <v>0</v>
      </c>
      <c r="M953" s="4">
        <f t="shared" si="288"/>
        <v>21</v>
      </c>
      <c r="N953" s="4">
        <f t="shared" si="289"/>
        <v>14</v>
      </c>
      <c r="O953" s="4">
        <f t="shared" si="290"/>
        <v>63</v>
      </c>
      <c r="P953" s="4">
        <f t="shared" si="291"/>
        <v>1</v>
      </c>
      <c r="Q953" s="4">
        <f t="shared" si="292"/>
        <v>24</v>
      </c>
      <c r="R953" s="4">
        <f t="shared" si="293"/>
        <v>21</v>
      </c>
      <c r="S953" s="4">
        <f t="shared" si="294"/>
        <v>81</v>
      </c>
      <c r="T953" s="4">
        <f t="shared" si="295"/>
        <v>0</v>
      </c>
      <c r="U953" s="4">
        <f t="shared" si="296"/>
        <v>9</v>
      </c>
      <c r="V953" s="8">
        <f t="shared" si="297"/>
        <v>4</v>
      </c>
      <c r="W953" s="8">
        <f t="shared" si="298"/>
        <v>6</v>
      </c>
      <c r="X953">
        <f t="shared" si="299"/>
        <v>1</v>
      </c>
    </row>
    <row r="954" spans="1:24" x14ac:dyDescent="0.25">
      <c r="A954" s="4" t="s">
        <v>980</v>
      </c>
      <c r="B954" t="s">
        <v>20</v>
      </c>
      <c r="C954" t="s">
        <v>6</v>
      </c>
      <c r="D954" s="3">
        <f t="shared" si="280"/>
        <v>5</v>
      </c>
      <c r="E954" s="4">
        <f t="shared" si="281"/>
        <v>28</v>
      </c>
      <c r="F954" s="4">
        <f t="shared" si="282"/>
        <v>18</v>
      </c>
      <c r="G954" s="3">
        <f>IF(E954&gt;=20,2000,1900) + D954</f>
        <v>2005</v>
      </c>
      <c r="H954">
        <f t="shared" si="283"/>
        <v>8</v>
      </c>
      <c r="I954" s="4">
        <f t="shared" si="284"/>
        <v>18</v>
      </c>
      <c r="J954">
        <f t="shared" si="285"/>
        <v>20052818</v>
      </c>
      <c r="K954" t="str">
        <f t="shared" si="286"/>
        <v>18.28.2005</v>
      </c>
      <c r="L954" s="4">
        <f t="shared" si="287"/>
        <v>0</v>
      </c>
      <c r="M954" s="4">
        <f t="shared" si="288"/>
        <v>15</v>
      </c>
      <c r="N954" s="4">
        <f t="shared" si="289"/>
        <v>14</v>
      </c>
      <c r="O954" s="4">
        <f t="shared" si="290"/>
        <v>72</v>
      </c>
      <c r="P954" s="4">
        <f t="shared" si="291"/>
        <v>1</v>
      </c>
      <c r="Q954" s="4">
        <f t="shared" si="292"/>
        <v>24</v>
      </c>
      <c r="R954" s="4">
        <f t="shared" si="293"/>
        <v>63</v>
      </c>
      <c r="S954" s="4">
        <f t="shared" si="294"/>
        <v>27</v>
      </c>
      <c r="T954" s="4">
        <f t="shared" si="295"/>
        <v>4</v>
      </c>
      <c r="U954" s="4">
        <f t="shared" si="296"/>
        <v>27</v>
      </c>
      <c r="V954" s="8">
        <f t="shared" si="297"/>
        <v>7</v>
      </c>
      <c r="W954" s="8">
        <f t="shared" si="298"/>
        <v>3</v>
      </c>
      <c r="X954">
        <f t="shared" si="299"/>
        <v>1</v>
      </c>
    </row>
    <row r="955" spans="1:24" x14ac:dyDescent="0.25">
      <c r="A955" s="4" t="s">
        <v>981</v>
      </c>
      <c r="B955" t="s">
        <v>10</v>
      </c>
      <c r="C955" t="s">
        <v>4</v>
      </c>
      <c r="D955" s="3">
        <f t="shared" si="280"/>
        <v>9</v>
      </c>
      <c r="E955" s="4">
        <f t="shared" si="281"/>
        <v>25</v>
      </c>
      <c r="F955" s="4">
        <f t="shared" si="282"/>
        <v>28</v>
      </c>
      <c r="G955" s="3">
        <f>IF(E955&gt;=20,2000,1900) + D955</f>
        <v>2009</v>
      </c>
      <c r="H955">
        <f t="shared" si="283"/>
        <v>5</v>
      </c>
      <c r="I955" s="4">
        <f t="shared" si="284"/>
        <v>28</v>
      </c>
      <c r="J955">
        <f t="shared" si="285"/>
        <v>20092528</v>
      </c>
      <c r="K955" t="str">
        <f t="shared" si="286"/>
        <v>28.25.2009</v>
      </c>
      <c r="L955" s="4">
        <f t="shared" si="287"/>
        <v>0</v>
      </c>
      <c r="M955" s="4">
        <f t="shared" si="288"/>
        <v>27</v>
      </c>
      <c r="N955" s="4">
        <f t="shared" si="289"/>
        <v>14</v>
      </c>
      <c r="O955" s="4">
        <f t="shared" si="290"/>
        <v>45</v>
      </c>
      <c r="P955" s="4">
        <f t="shared" si="291"/>
        <v>2</v>
      </c>
      <c r="Q955" s="4">
        <f t="shared" si="292"/>
        <v>24</v>
      </c>
      <c r="R955" s="4">
        <f t="shared" si="293"/>
        <v>21</v>
      </c>
      <c r="S955" s="4">
        <f t="shared" si="294"/>
        <v>81</v>
      </c>
      <c r="T955" s="4">
        <f t="shared" si="295"/>
        <v>2</v>
      </c>
      <c r="U955" s="4">
        <f t="shared" si="296"/>
        <v>6</v>
      </c>
      <c r="V955" s="8">
        <f t="shared" si="297"/>
        <v>2</v>
      </c>
      <c r="W955" s="8">
        <f t="shared" si="298"/>
        <v>8</v>
      </c>
      <c r="X955">
        <f t="shared" si="299"/>
        <v>1</v>
      </c>
    </row>
    <row r="956" spans="1:24" x14ac:dyDescent="0.25">
      <c r="A956" s="4" t="s">
        <v>982</v>
      </c>
      <c r="B956" t="s">
        <v>18</v>
      </c>
      <c r="C956" t="s">
        <v>4</v>
      </c>
      <c r="D956" s="3">
        <f t="shared" si="280"/>
        <v>0</v>
      </c>
      <c r="E956" s="4">
        <f t="shared" si="281"/>
        <v>29</v>
      </c>
      <c r="F956" s="4">
        <f t="shared" si="282"/>
        <v>13</v>
      </c>
      <c r="G956" s="3">
        <f>IF(E956&gt;=20,2000,1900) + D956</f>
        <v>2000</v>
      </c>
      <c r="H956">
        <f t="shared" si="283"/>
        <v>9</v>
      </c>
      <c r="I956" s="4">
        <f t="shared" si="284"/>
        <v>13</v>
      </c>
      <c r="J956">
        <f t="shared" si="285"/>
        <v>20002913</v>
      </c>
      <c r="K956" t="str">
        <f t="shared" si="286"/>
        <v>13.29.2000</v>
      </c>
      <c r="L956" s="4">
        <f t="shared" si="287"/>
        <v>0</v>
      </c>
      <c r="M956" s="4">
        <f t="shared" si="288"/>
        <v>0</v>
      </c>
      <c r="N956" s="4">
        <f t="shared" si="289"/>
        <v>14</v>
      </c>
      <c r="O956" s="4">
        <f t="shared" si="290"/>
        <v>81</v>
      </c>
      <c r="P956" s="4">
        <f t="shared" si="291"/>
        <v>1</v>
      </c>
      <c r="Q956" s="4">
        <f t="shared" si="292"/>
        <v>9</v>
      </c>
      <c r="R956" s="4">
        <f t="shared" si="293"/>
        <v>28</v>
      </c>
      <c r="S956" s="4">
        <f t="shared" si="294"/>
        <v>72</v>
      </c>
      <c r="T956" s="4">
        <f t="shared" si="295"/>
        <v>2</v>
      </c>
      <c r="U956" s="4">
        <f t="shared" si="296"/>
        <v>12</v>
      </c>
      <c r="V956" s="8">
        <f t="shared" si="297"/>
        <v>9</v>
      </c>
      <c r="W956" s="8">
        <f t="shared" si="298"/>
        <v>1</v>
      </c>
      <c r="X956">
        <f t="shared" si="299"/>
        <v>1</v>
      </c>
    </row>
    <row r="957" spans="1:24" x14ac:dyDescent="0.25">
      <c r="A957" s="4" t="s">
        <v>983</v>
      </c>
      <c r="B957" t="s">
        <v>12</v>
      </c>
      <c r="C957" t="s">
        <v>6</v>
      </c>
      <c r="D957" s="3">
        <f t="shared" si="280"/>
        <v>4</v>
      </c>
      <c r="E957" s="4">
        <f t="shared" si="281"/>
        <v>28</v>
      </c>
      <c r="F957" s="4">
        <f t="shared" si="282"/>
        <v>9</v>
      </c>
      <c r="G957" s="3">
        <f>IF(E957&gt;=20,2000,1900) + D957</f>
        <v>2004</v>
      </c>
      <c r="H957">
        <f t="shared" si="283"/>
        <v>8</v>
      </c>
      <c r="I957" s="4">
        <f t="shared" si="284"/>
        <v>9</v>
      </c>
      <c r="J957">
        <f t="shared" si="285"/>
        <v>20042809</v>
      </c>
      <c r="K957" t="str">
        <f t="shared" si="286"/>
        <v>09.28.2004</v>
      </c>
      <c r="L957" s="4">
        <f t="shared" si="287"/>
        <v>0</v>
      </c>
      <c r="M957" s="4">
        <f t="shared" si="288"/>
        <v>12</v>
      </c>
      <c r="N957" s="4">
        <f t="shared" si="289"/>
        <v>14</v>
      </c>
      <c r="O957" s="4">
        <f t="shared" si="290"/>
        <v>72</v>
      </c>
      <c r="P957" s="4">
        <f t="shared" si="291"/>
        <v>0</v>
      </c>
      <c r="Q957" s="4">
        <f t="shared" si="292"/>
        <v>27</v>
      </c>
      <c r="R957" s="4">
        <f t="shared" si="293"/>
        <v>21</v>
      </c>
      <c r="S957" s="4">
        <f t="shared" si="294"/>
        <v>18</v>
      </c>
      <c r="T957" s="4">
        <f t="shared" si="295"/>
        <v>3</v>
      </c>
      <c r="U957" s="4">
        <f t="shared" si="296"/>
        <v>9</v>
      </c>
      <c r="V957" s="8">
        <f t="shared" si="297"/>
        <v>6</v>
      </c>
      <c r="W957" s="8">
        <f t="shared" si="298"/>
        <v>4</v>
      </c>
      <c r="X957">
        <f t="shared" si="299"/>
        <v>1</v>
      </c>
    </row>
    <row r="958" spans="1:24" x14ac:dyDescent="0.25">
      <c r="A958" s="4" t="s">
        <v>984</v>
      </c>
      <c r="B958" t="s">
        <v>7</v>
      </c>
      <c r="C958" t="s">
        <v>6</v>
      </c>
      <c r="D958" s="3">
        <f t="shared" si="280"/>
        <v>2</v>
      </c>
      <c r="E958" s="4">
        <f t="shared" si="281"/>
        <v>22</v>
      </c>
      <c r="F958" s="4">
        <f t="shared" si="282"/>
        <v>9</v>
      </c>
      <c r="G958" s="3">
        <f>IF(E958&gt;=20,2000,1900) + D958</f>
        <v>2002</v>
      </c>
      <c r="H958">
        <f t="shared" si="283"/>
        <v>2</v>
      </c>
      <c r="I958" s="4">
        <f t="shared" si="284"/>
        <v>9</v>
      </c>
      <c r="J958">
        <f t="shared" si="285"/>
        <v>20022209</v>
      </c>
      <c r="K958" t="str">
        <f t="shared" si="286"/>
        <v>09.22.2002</v>
      </c>
      <c r="L958" s="4">
        <f t="shared" si="287"/>
        <v>0</v>
      </c>
      <c r="M958" s="4">
        <f t="shared" si="288"/>
        <v>6</v>
      </c>
      <c r="N958" s="4">
        <f t="shared" si="289"/>
        <v>14</v>
      </c>
      <c r="O958" s="4">
        <f t="shared" si="290"/>
        <v>18</v>
      </c>
      <c r="P958" s="4">
        <f t="shared" si="291"/>
        <v>0</v>
      </c>
      <c r="Q958" s="4">
        <f t="shared" si="292"/>
        <v>27</v>
      </c>
      <c r="R958" s="4">
        <f t="shared" si="293"/>
        <v>21</v>
      </c>
      <c r="S958" s="4">
        <f t="shared" si="294"/>
        <v>36</v>
      </c>
      <c r="T958" s="4">
        <f t="shared" si="295"/>
        <v>0</v>
      </c>
      <c r="U958" s="4">
        <f t="shared" si="296"/>
        <v>21</v>
      </c>
      <c r="V958" s="8">
        <f t="shared" si="297"/>
        <v>3</v>
      </c>
      <c r="W958" s="8">
        <f t="shared" si="298"/>
        <v>7</v>
      </c>
      <c r="X958">
        <f t="shared" si="299"/>
        <v>1</v>
      </c>
    </row>
    <row r="959" spans="1:24" x14ac:dyDescent="0.25">
      <c r="A959" s="4" t="s">
        <v>985</v>
      </c>
      <c r="B959" t="s">
        <v>16</v>
      </c>
      <c r="C959" t="s">
        <v>6</v>
      </c>
      <c r="D959" s="3">
        <f t="shared" si="280"/>
        <v>2</v>
      </c>
      <c r="E959" s="4">
        <f t="shared" si="281"/>
        <v>21</v>
      </c>
      <c r="F959" s="4">
        <f t="shared" si="282"/>
        <v>1</v>
      </c>
      <c r="G959" s="3">
        <f>IF(E959&gt;=20,2000,1900) + D959</f>
        <v>2002</v>
      </c>
      <c r="H959">
        <f t="shared" si="283"/>
        <v>1</v>
      </c>
      <c r="I959" s="4">
        <f t="shared" si="284"/>
        <v>1</v>
      </c>
      <c r="J959">
        <f t="shared" si="285"/>
        <v>20022101</v>
      </c>
      <c r="K959" t="str">
        <f t="shared" si="286"/>
        <v>01.21.2002</v>
      </c>
      <c r="L959" s="4">
        <f t="shared" si="287"/>
        <v>0</v>
      </c>
      <c r="M959" s="4">
        <f t="shared" si="288"/>
        <v>6</v>
      </c>
      <c r="N959" s="4">
        <f t="shared" si="289"/>
        <v>14</v>
      </c>
      <c r="O959" s="4">
        <f t="shared" si="290"/>
        <v>9</v>
      </c>
      <c r="P959" s="4">
        <f t="shared" si="291"/>
        <v>0</v>
      </c>
      <c r="Q959" s="4">
        <f t="shared" si="292"/>
        <v>3</v>
      </c>
      <c r="R959" s="4">
        <f t="shared" si="293"/>
        <v>21</v>
      </c>
      <c r="S959" s="4">
        <f t="shared" si="294"/>
        <v>9</v>
      </c>
      <c r="T959" s="4">
        <f t="shared" si="295"/>
        <v>2</v>
      </c>
      <c r="U959" s="4">
        <f t="shared" si="296"/>
        <v>18</v>
      </c>
      <c r="V959" s="8">
        <f t="shared" si="297"/>
        <v>2</v>
      </c>
      <c r="W959" s="8">
        <f t="shared" si="298"/>
        <v>8</v>
      </c>
      <c r="X959">
        <f t="shared" si="299"/>
        <v>1</v>
      </c>
    </row>
    <row r="960" spans="1:24" x14ac:dyDescent="0.25">
      <c r="A960" s="4" t="s">
        <v>986</v>
      </c>
      <c r="B960" t="s">
        <v>8</v>
      </c>
      <c r="C960" t="s">
        <v>6</v>
      </c>
      <c r="D960" s="3">
        <f t="shared" si="280"/>
        <v>9</v>
      </c>
      <c r="E960" s="4">
        <f t="shared" si="281"/>
        <v>24</v>
      </c>
      <c r="F960" s="4">
        <f t="shared" si="282"/>
        <v>11</v>
      </c>
      <c r="G960" s="3">
        <f>IF(E960&gt;=20,2000,1900) + D960</f>
        <v>2009</v>
      </c>
      <c r="H960">
        <f t="shared" si="283"/>
        <v>4</v>
      </c>
      <c r="I960" s="4">
        <f t="shared" si="284"/>
        <v>11</v>
      </c>
      <c r="J960">
        <f t="shared" si="285"/>
        <v>20092411</v>
      </c>
      <c r="K960" t="str">
        <f t="shared" si="286"/>
        <v>11.24.2009</v>
      </c>
      <c r="L960" s="4">
        <f t="shared" si="287"/>
        <v>0</v>
      </c>
      <c r="M960" s="4">
        <f t="shared" si="288"/>
        <v>27</v>
      </c>
      <c r="N960" s="4">
        <f t="shared" si="289"/>
        <v>14</v>
      </c>
      <c r="O960" s="4">
        <f t="shared" si="290"/>
        <v>36</v>
      </c>
      <c r="P960" s="4">
        <f t="shared" si="291"/>
        <v>1</v>
      </c>
      <c r="Q960" s="4">
        <f t="shared" si="292"/>
        <v>3</v>
      </c>
      <c r="R960" s="4">
        <f t="shared" si="293"/>
        <v>42</v>
      </c>
      <c r="S960" s="4">
        <f t="shared" si="294"/>
        <v>0</v>
      </c>
      <c r="T960" s="4">
        <f t="shared" si="295"/>
        <v>4</v>
      </c>
      <c r="U960" s="4">
        <f t="shared" si="296"/>
        <v>18</v>
      </c>
      <c r="V960" s="8">
        <f t="shared" si="297"/>
        <v>5</v>
      </c>
      <c r="W960" s="8">
        <f t="shared" si="298"/>
        <v>5</v>
      </c>
      <c r="X960">
        <f t="shared" si="299"/>
        <v>1</v>
      </c>
    </row>
    <row r="961" spans="1:24" x14ac:dyDescent="0.25">
      <c r="A961" s="4" t="s">
        <v>987</v>
      </c>
      <c r="B961" t="s">
        <v>18</v>
      </c>
      <c r="C961" t="s">
        <v>6</v>
      </c>
      <c r="D961" s="3">
        <f t="shared" si="280"/>
        <v>9</v>
      </c>
      <c r="E961" s="4">
        <f t="shared" si="281"/>
        <v>24</v>
      </c>
      <c r="F961" s="4">
        <f t="shared" si="282"/>
        <v>13</v>
      </c>
      <c r="G961" s="3">
        <f>IF(E961&gt;=20,2000,1900) + D961</f>
        <v>2009</v>
      </c>
      <c r="H961">
        <f t="shared" si="283"/>
        <v>4</v>
      </c>
      <c r="I961" s="4">
        <f t="shared" si="284"/>
        <v>13</v>
      </c>
      <c r="J961">
        <f t="shared" si="285"/>
        <v>20092413</v>
      </c>
      <c r="K961" t="str">
        <f t="shared" si="286"/>
        <v>13.24.2009</v>
      </c>
      <c r="L961" s="4">
        <f t="shared" si="287"/>
        <v>0</v>
      </c>
      <c r="M961" s="4">
        <f t="shared" si="288"/>
        <v>27</v>
      </c>
      <c r="N961" s="4">
        <f t="shared" si="289"/>
        <v>14</v>
      </c>
      <c r="O961" s="4">
        <f t="shared" si="290"/>
        <v>36</v>
      </c>
      <c r="P961" s="4">
        <f t="shared" si="291"/>
        <v>1</v>
      </c>
      <c r="Q961" s="4">
        <f t="shared" si="292"/>
        <v>9</v>
      </c>
      <c r="R961" s="4">
        <f t="shared" si="293"/>
        <v>42</v>
      </c>
      <c r="S961" s="4">
        <f t="shared" si="294"/>
        <v>63</v>
      </c>
      <c r="T961" s="4">
        <f t="shared" si="295"/>
        <v>0</v>
      </c>
      <c r="U961" s="4">
        <f t="shared" si="296"/>
        <v>0</v>
      </c>
      <c r="V961" s="8">
        <f t="shared" si="297"/>
        <v>2</v>
      </c>
      <c r="W961" s="8">
        <f t="shared" si="298"/>
        <v>8</v>
      </c>
      <c r="X961">
        <f t="shared" si="299"/>
        <v>1</v>
      </c>
    </row>
    <row r="962" spans="1:24" x14ac:dyDescent="0.25">
      <c r="A962" s="4" t="s">
        <v>988</v>
      </c>
      <c r="B962" t="s">
        <v>7</v>
      </c>
      <c r="C962" t="s">
        <v>6</v>
      </c>
      <c r="D962" s="3">
        <f t="shared" si="280"/>
        <v>13</v>
      </c>
      <c r="E962" s="4">
        <f t="shared" si="281"/>
        <v>31</v>
      </c>
      <c r="F962" s="4">
        <f t="shared" si="282"/>
        <v>28</v>
      </c>
      <c r="G962" s="3">
        <f>IF(E962&gt;=20,2000,1900) + D962</f>
        <v>2013</v>
      </c>
      <c r="H962">
        <f t="shared" si="283"/>
        <v>11</v>
      </c>
      <c r="I962" s="4">
        <f t="shared" si="284"/>
        <v>28</v>
      </c>
      <c r="J962">
        <f t="shared" si="285"/>
        <v>20133128</v>
      </c>
      <c r="K962" t="str">
        <f t="shared" si="286"/>
        <v>28.31.2013</v>
      </c>
      <c r="L962" s="4">
        <f t="shared" si="287"/>
        <v>1</v>
      </c>
      <c r="M962" s="4">
        <f t="shared" si="288"/>
        <v>9</v>
      </c>
      <c r="N962" s="4">
        <f t="shared" si="289"/>
        <v>21</v>
      </c>
      <c r="O962" s="4">
        <f t="shared" si="290"/>
        <v>9</v>
      </c>
      <c r="P962" s="4">
        <f t="shared" si="291"/>
        <v>2</v>
      </c>
      <c r="Q962" s="4">
        <f t="shared" si="292"/>
        <v>24</v>
      </c>
      <c r="R962" s="4">
        <f t="shared" si="293"/>
        <v>49</v>
      </c>
      <c r="S962" s="4">
        <f t="shared" si="294"/>
        <v>18</v>
      </c>
      <c r="T962" s="4">
        <f t="shared" si="295"/>
        <v>1</v>
      </c>
      <c r="U962" s="4">
        <f t="shared" si="296"/>
        <v>12</v>
      </c>
      <c r="V962" s="8">
        <f t="shared" si="297"/>
        <v>6</v>
      </c>
      <c r="W962" s="8">
        <f t="shared" si="298"/>
        <v>4</v>
      </c>
      <c r="X962">
        <f t="shared" si="299"/>
        <v>1</v>
      </c>
    </row>
    <row r="963" spans="1:24" x14ac:dyDescent="0.25">
      <c r="A963" s="4" t="s">
        <v>989</v>
      </c>
      <c r="B963" t="s">
        <v>5</v>
      </c>
      <c r="C963" t="s">
        <v>6</v>
      </c>
      <c r="D963" s="3">
        <f t="shared" ref="D963:D1001" si="300">MID(A963,1,2)*1</f>
        <v>13</v>
      </c>
      <c r="E963" s="4">
        <f t="shared" ref="E963:E1001" si="301">MID(A963,3,2)*1</f>
        <v>26</v>
      </c>
      <c r="F963" s="4">
        <f t="shared" ref="F963:F1001" si="302">MID(A963,5,2)*1</f>
        <v>22</v>
      </c>
      <c r="G963" s="3">
        <f>IF(E963&gt;=20,2000,1900) + D963</f>
        <v>2013</v>
      </c>
      <c r="H963">
        <f t="shared" ref="H963:H1001" si="303">IF(E963&gt;=20,E963-20,E963)</f>
        <v>6</v>
      </c>
      <c r="I963" s="4">
        <f t="shared" ref="I963:I1001" si="304">F963</f>
        <v>22</v>
      </c>
      <c r="J963">
        <f t="shared" ref="J963:J1001" si="305">CONCATENATE(G963,IF(LEN(E963)=1,CONCATENATE("0",E963),E963),IF(LEN(F963)=1,CONCATENATE("0",F963),F963))*1</f>
        <v>20132622</v>
      </c>
      <c r="K963" t="str">
        <f t="shared" ref="K963:K1001" si="306">CONCATENATE(RIGHT(J963,2),".",MID(J963,5,2),".",LEFT(J963,4))</f>
        <v>22.26.2013</v>
      </c>
      <c r="L963" s="4">
        <f t="shared" ref="L963:L1001" si="307">MID(A963,1,1)*1</f>
        <v>1</v>
      </c>
      <c r="M963" s="4">
        <f t="shared" ref="M963:M1001" si="308">MID(A963,2,1)*3</f>
        <v>9</v>
      </c>
      <c r="N963" s="4">
        <f t="shared" ref="N963:N1001" si="309">MID(A963,3,1)*7</f>
        <v>14</v>
      </c>
      <c r="O963" s="4">
        <f t="shared" ref="O963:O1001" si="310">MID(A963,4,1)*9</f>
        <v>54</v>
      </c>
      <c r="P963" s="4">
        <f t="shared" ref="P963:P1001" si="311">MID(A963,5,1)*1</f>
        <v>2</v>
      </c>
      <c r="Q963" s="4">
        <f t="shared" ref="Q963:Q1001" si="312">MID(A963,6,1)*3</f>
        <v>6</v>
      </c>
      <c r="R963" s="4">
        <f t="shared" ref="R963:R1001" si="313">MID(A963,7,1)*7</f>
        <v>21</v>
      </c>
      <c r="S963" s="4">
        <f t="shared" ref="S963:S1001" si="314">MID(A963,8,1)*9</f>
        <v>0</v>
      </c>
      <c r="T963" s="4">
        <f t="shared" ref="T963:T1001" si="315">MID(A963,9,1)*1</f>
        <v>1</v>
      </c>
      <c r="U963" s="4">
        <f t="shared" ref="U963:U1001" si="316">MID(A963,10,1)*3</f>
        <v>0</v>
      </c>
      <c r="V963" s="8">
        <f t="shared" ref="V963:V1001" si="317">MOD(SUM(L963:U963),10)</f>
        <v>8</v>
      </c>
      <c r="W963" s="8">
        <f t="shared" ref="W963:W1001" si="318">IF(V963=0,0,10-V963)</f>
        <v>2</v>
      </c>
      <c r="X963">
        <f t="shared" ref="X963:X1001" si="319">IF(W963=RIGHT(A963,1)*1,1,0)</f>
        <v>1</v>
      </c>
    </row>
    <row r="964" spans="1:24" x14ac:dyDescent="0.25">
      <c r="A964" s="4" t="s">
        <v>990</v>
      </c>
      <c r="B964" t="s">
        <v>7</v>
      </c>
      <c r="C964" t="s">
        <v>4</v>
      </c>
      <c r="D964" s="3">
        <f t="shared" si="300"/>
        <v>21</v>
      </c>
      <c r="E964" s="4">
        <f t="shared" si="301"/>
        <v>22</v>
      </c>
      <c r="F964" s="4">
        <f t="shared" si="302"/>
        <v>7</v>
      </c>
      <c r="G964" s="3">
        <f>IF(E964&gt;=20,2000,1900) + D964</f>
        <v>2021</v>
      </c>
      <c r="H964">
        <f t="shared" si="303"/>
        <v>2</v>
      </c>
      <c r="I964" s="4">
        <f t="shared" si="304"/>
        <v>7</v>
      </c>
      <c r="J964">
        <f t="shared" si="305"/>
        <v>20212207</v>
      </c>
      <c r="K964" t="str">
        <f t="shared" si="306"/>
        <v>07.22.2021</v>
      </c>
      <c r="L964" s="4">
        <f t="shared" si="307"/>
        <v>2</v>
      </c>
      <c r="M964" s="4">
        <f t="shared" si="308"/>
        <v>3</v>
      </c>
      <c r="N964" s="4">
        <f t="shared" si="309"/>
        <v>14</v>
      </c>
      <c r="O964" s="4">
        <f t="shared" si="310"/>
        <v>18</v>
      </c>
      <c r="P964" s="4">
        <f t="shared" si="311"/>
        <v>0</v>
      </c>
      <c r="Q964" s="4">
        <f t="shared" si="312"/>
        <v>21</v>
      </c>
      <c r="R964" s="4">
        <f t="shared" si="313"/>
        <v>14</v>
      </c>
      <c r="S964" s="4">
        <f t="shared" si="314"/>
        <v>36</v>
      </c>
      <c r="T964" s="4">
        <f t="shared" si="315"/>
        <v>1</v>
      </c>
      <c r="U964" s="4">
        <f t="shared" si="316"/>
        <v>24</v>
      </c>
      <c r="V964" s="8">
        <f t="shared" si="317"/>
        <v>3</v>
      </c>
      <c r="W964" s="8">
        <f t="shared" si="318"/>
        <v>7</v>
      </c>
      <c r="X964">
        <f t="shared" si="319"/>
        <v>1</v>
      </c>
    </row>
    <row r="965" spans="1:24" x14ac:dyDescent="0.25">
      <c r="A965" s="4" t="s">
        <v>991</v>
      </c>
      <c r="B965" t="s">
        <v>10</v>
      </c>
      <c r="C965" t="s">
        <v>6</v>
      </c>
      <c r="D965" s="3">
        <f t="shared" si="300"/>
        <v>6</v>
      </c>
      <c r="E965" s="4">
        <f t="shared" si="301"/>
        <v>26</v>
      </c>
      <c r="F965" s="4">
        <f t="shared" si="302"/>
        <v>17</v>
      </c>
      <c r="G965" s="3">
        <f>IF(E965&gt;=20,2000,1900) + D965</f>
        <v>2006</v>
      </c>
      <c r="H965">
        <f t="shared" si="303"/>
        <v>6</v>
      </c>
      <c r="I965" s="4">
        <f t="shared" si="304"/>
        <v>17</v>
      </c>
      <c r="J965">
        <f t="shared" si="305"/>
        <v>20062617</v>
      </c>
      <c r="K965" t="str">
        <f t="shared" si="306"/>
        <v>17.26.2006</v>
      </c>
      <c r="L965" s="4">
        <f t="shared" si="307"/>
        <v>0</v>
      </c>
      <c r="M965" s="4">
        <f t="shared" si="308"/>
        <v>18</v>
      </c>
      <c r="N965" s="4">
        <f t="shared" si="309"/>
        <v>14</v>
      </c>
      <c r="O965" s="4">
        <f t="shared" si="310"/>
        <v>54</v>
      </c>
      <c r="P965" s="4">
        <f t="shared" si="311"/>
        <v>1</v>
      </c>
      <c r="Q965" s="4">
        <f t="shared" si="312"/>
        <v>21</v>
      </c>
      <c r="R965" s="4">
        <f t="shared" si="313"/>
        <v>28</v>
      </c>
      <c r="S965" s="4">
        <f t="shared" si="314"/>
        <v>27</v>
      </c>
      <c r="T965" s="4">
        <f t="shared" si="315"/>
        <v>4</v>
      </c>
      <c r="U965" s="4">
        <f t="shared" si="316"/>
        <v>6</v>
      </c>
      <c r="V965" s="8">
        <f t="shared" si="317"/>
        <v>3</v>
      </c>
      <c r="W965" s="8">
        <f t="shared" si="318"/>
        <v>7</v>
      </c>
      <c r="X965">
        <f t="shared" si="319"/>
        <v>1</v>
      </c>
    </row>
    <row r="966" spans="1:24" x14ac:dyDescent="0.25">
      <c r="A966" s="4" t="s">
        <v>992</v>
      </c>
      <c r="B966" t="s">
        <v>16</v>
      </c>
      <c r="C966" t="s">
        <v>4</v>
      </c>
      <c r="D966" s="3">
        <f t="shared" si="300"/>
        <v>14</v>
      </c>
      <c r="E966" s="4">
        <f t="shared" si="301"/>
        <v>22</v>
      </c>
      <c r="F966" s="4">
        <f t="shared" si="302"/>
        <v>26</v>
      </c>
      <c r="G966" s="3">
        <f>IF(E966&gt;=20,2000,1900) + D966</f>
        <v>2014</v>
      </c>
      <c r="H966">
        <f t="shared" si="303"/>
        <v>2</v>
      </c>
      <c r="I966" s="4">
        <f t="shared" si="304"/>
        <v>26</v>
      </c>
      <c r="J966">
        <f t="shared" si="305"/>
        <v>20142226</v>
      </c>
      <c r="K966" t="str">
        <f t="shared" si="306"/>
        <v>26.22.2014</v>
      </c>
      <c r="L966" s="4">
        <f t="shared" si="307"/>
        <v>1</v>
      </c>
      <c r="M966" s="4">
        <f t="shared" si="308"/>
        <v>12</v>
      </c>
      <c r="N966" s="4">
        <f t="shared" si="309"/>
        <v>14</v>
      </c>
      <c r="O966" s="4">
        <f t="shared" si="310"/>
        <v>18</v>
      </c>
      <c r="P966" s="4">
        <f t="shared" si="311"/>
        <v>2</v>
      </c>
      <c r="Q966" s="4">
        <f t="shared" si="312"/>
        <v>18</v>
      </c>
      <c r="R966" s="4">
        <f t="shared" si="313"/>
        <v>14</v>
      </c>
      <c r="S966" s="4">
        <f t="shared" si="314"/>
        <v>0</v>
      </c>
      <c r="T966" s="4">
        <f t="shared" si="315"/>
        <v>8</v>
      </c>
      <c r="U966" s="4">
        <f t="shared" si="316"/>
        <v>9</v>
      </c>
      <c r="V966" s="8">
        <f t="shared" si="317"/>
        <v>6</v>
      </c>
      <c r="W966" s="8">
        <f t="shared" si="318"/>
        <v>4</v>
      </c>
      <c r="X966">
        <f t="shared" si="319"/>
        <v>1</v>
      </c>
    </row>
    <row r="967" spans="1:24" x14ac:dyDescent="0.25">
      <c r="A967" s="4" t="s">
        <v>993</v>
      </c>
      <c r="B967" t="s">
        <v>8</v>
      </c>
      <c r="C967" t="s">
        <v>6</v>
      </c>
      <c r="D967" s="3">
        <f t="shared" si="300"/>
        <v>19</v>
      </c>
      <c r="E967" s="4">
        <f t="shared" si="301"/>
        <v>32</v>
      </c>
      <c r="F967" s="4">
        <f t="shared" si="302"/>
        <v>12</v>
      </c>
      <c r="G967" s="3">
        <f>IF(E967&gt;=20,2000,1900) + D967</f>
        <v>2019</v>
      </c>
      <c r="H967">
        <f t="shared" si="303"/>
        <v>12</v>
      </c>
      <c r="I967" s="4">
        <f t="shared" si="304"/>
        <v>12</v>
      </c>
      <c r="J967">
        <f t="shared" si="305"/>
        <v>20193212</v>
      </c>
      <c r="K967" t="str">
        <f t="shared" si="306"/>
        <v>12.32.2019</v>
      </c>
      <c r="L967" s="4">
        <f t="shared" si="307"/>
        <v>1</v>
      </c>
      <c r="M967" s="4">
        <f t="shared" si="308"/>
        <v>27</v>
      </c>
      <c r="N967" s="4">
        <f t="shared" si="309"/>
        <v>21</v>
      </c>
      <c r="O967" s="4">
        <f t="shared" si="310"/>
        <v>18</v>
      </c>
      <c r="P967" s="4">
        <f t="shared" si="311"/>
        <v>1</v>
      </c>
      <c r="Q967" s="4">
        <f t="shared" si="312"/>
        <v>6</v>
      </c>
      <c r="R967" s="4">
        <f t="shared" si="313"/>
        <v>28</v>
      </c>
      <c r="S967" s="4">
        <f t="shared" si="314"/>
        <v>9</v>
      </c>
      <c r="T967" s="4">
        <f t="shared" si="315"/>
        <v>7</v>
      </c>
      <c r="U967" s="4">
        <f t="shared" si="316"/>
        <v>27</v>
      </c>
      <c r="V967" s="8">
        <f t="shared" si="317"/>
        <v>5</v>
      </c>
      <c r="W967" s="8">
        <f t="shared" si="318"/>
        <v>5</v>
      </c>
      <c r="X967">
        <f t="shared" si="319"/>
        <v>1</v>
      </c>
    </row>
    <row r="968" spans="1:24" x14ac:dyDescent="0.25">
      <c r="A968" s="4" t="s">
        <v>994</v>
      </c>
      <c r="B968" t="s">
        <v>9</v>
      </c>
      <c r="C968" t="s">
        <v>4</v>
      </c>
      <c r="D968" s="3">
        <f t="shared" si="300"/>
        <v>8</v>
      </c>
      <c r="E968" s="4">
        <f t="shared" si="301"/>
        <v>23</v>
      </c>
      <c r="F968" s="4">
        <f t="shared" si="302"/>
        <v>19</v>
      </c>
      <c r="G968" s="3">
        <f>IF(E968&gt;=20,2000,1900) + D968</f>
        <v>2008</v>
      </c>
      <c r="H968">
        <f t="shared" si="303"/>
        <v>3</v>
      </c>
      <c r="I968" s="4">
        <f t="shared" si="304"/>
        <v>19</v>
      </c>
      <c r="J968">
        <f t="shared" si="305"/>
        <v>20082319</v>
      </c>
      <c r="K968" t="str">
        <f t="shared" si="306"/>
        <v>19.23.2008</v>
      </c>
      <c r="L968" s="4">
        <f t="shared" si="307"/>
        <v>0</v>
      </c>
      <c r="M968" s="4">
        <f t="shared" si="308"/>
        <v>24</v>
      </c>
      <c r="N968" s="4">
        <f t="shared" si="309"/>
        <v>14</v>
      </c>
      <c r="O968" s="4">
        <f t="shared" si="310"/>
        <v>27</v>
      </c>
      <c r="P968" s="4">
        <f t="shared" si="311"/>
        <v>1</v>
      </c>
      <c r="Q968" s="4">
        <f t="shared" si="312"/>
        <v>27</v>
      </c>
      <c r="R968" s="4">
        <f t="shared" si="313"/>
        <v>0</v>
      </c>
      <c r="S968" s="4">
        <f t="shared" si="314"/>
        <v>36</v>
      </c>
      <c r="T968" s="4">
        <f t="shared" si="315"/>
        <v>7</v>
      </c>
      <c r="U968" s="4">
        <f t="shared" si="316"/>
        <v>9</v>
      </c>
      <c r="V968" s="8">
        <f t="shared" si="317"/>
        <v>5</v>
      </c>
      <c r="W968" s="8">
        <f t="shared" si="318"/>
        <v>5</v>
      </c>
      <c r="X968">
        <f t="shared" si="319"/>
        <v>1</v>
      </c>
    </row>
    <row r="969" spans="1:24" x14ac:dyDescent="0.25">
      <c r="A969" s="4" t="s">
        <v>995</v>
      </c>
      <c r="B969" t="s">
        <v>16</v>
      </c>
      <c r="C969" t="s">
        <v>6</v>
      </c>
      <c r="D969" s="3">
        <f t="shared" si="300"/>
        <v>15</v>
      </c>
      <c r="E969" s="4">
        <f t="shared" si="301"/>
        <v>29</v>
      </c>
      <c r="F969" s="4">
        <f t="shared" si="302"/>
        <v>12</v>
      </c>
      <c r="G969" s="3">
        <f>IF(E969&gt;=20,2000,1900) + D969</f>
        <v>2015</v>
      </c>
      <c r="H969">
        <f t="shared" si="303"/>
        <v>9</v>
      </c>
      <c r="I969" s="4">
        <f t="shared" si="304"/>
        <v>12</v>
      </c>
      <c r="J969">
        <f t="shared" si="305"/>
        <v>20152912</v>
      </c>
      <c r="K969" t="str">
        <f t="shared" si="306"/>
        <v>12.29.2015</v>
      </c>
      <c r="L969" s="4">
        <f t="shared" si="307"/>
        <v>1</v>
      </c>
      <c r="M969" s="4">
        <f t="shared" si="308"/>
        <v>15</v>
      </c>
      <c r="N969" s="4">
        <f t="shared" si="309"/>
        <v>14</v>
      </c>
      <c r="O969" s="4">
        <f t="shared" si="310"/>
        <v>81</v>
      </c>
      <c r="P969" s="4">
        <f t="shared" si="311"/>
        <v>1</v>
      </c>
      <c r="Q969" s="4">
        <f t="shared" si="312"/>
        <v>6</v>
      </c>
      <c r="R969" s="4">
        <f t="shared" si="313"/>
        <v>42</v>
      </c>
      <c r="S969" s="4">
        <f t="shared" si="314"/>
        <v>18</v>
      </c>
      <c r="T969" s="4">
        <f t="shared" si="315"/>
        <v>6</v>
      </c>
      <c r="U969" s="4">
        <f t="shared" si="316"/>
        <v>3</v>
      </c>
      <c r="V969" s="8">
        <f t="shared" si="317"/>
        <v>7</v>
      </c>
      <c r="W969" s="8">
        <f t="shared" si="318"/>
        <v>3</v>
      </c>
      <c r="X969">
        <f t="shared" si="319"/>
        <v>1</v>
      </c>
    </row>
    <row r="970" spans="1:24" x14ac:dyDescent="0.25">
      <c r="A970" s="4" t="s">
        <v>996</v>
      </c>
      <c r="B970" t="s">
        <v>17</v>
      </c>
      <c r="C970" t="s">
        <v>6</v>
      </c>
      <c r="D970" s="3">
        <f t="shared" si="300"/>
        <v>8</v>
      </c>
      <c r="E970" s="4">
        <f t="shared" si="301"/>
        <v>26</v>
      </c>
      <c r="F970" s="4">
        <f t="shared" si="302"/>
        <v>4</v>
      </c>
      <c r="G970" s="3">
        <f>IF(E970&gt;=20,2000,1900) + D970</f>
        <v>2008</v>
      </c>
      <c r="H970">
        <f t="shared" si="303"/>
        <v>6</v>
      </c>
      <c r="I970" s="4">
        <f t="shared" si="304"/>
        <v>4</v>
      </c>
      <c r="J970">
        <f t="shared" si="305"/>
        <v>20082604</v>
      </c>
      <c r="K970" t="str">
        <f t="shared" si="306"/>
        <v>04.26.2008</v>
      </c>
      <c r="L970" s="4">
        <f t="shared" si="307"/>
        <v>0</v>
      </c>
      <c r="M970" s="4">
        <f t="shared" si="308"/>
        <v>24</v>
      </c>
      <c r="N970" s="4">
        <f t="shared" si="309"/>
        <v>14</v>
      </c>
      <c r="O970" s="4">
        <f t="shared" si="310"/>
        <v>54</v>
      </c>
      <c r="P970" s="4">
        <f t="shared" si="311"/>
        <v>0</v>
      </c>
      <c r="Q970" s="4">
        <f t="shared" si="312"/>
        <v>12</v>
      </c>
      <c r="R970" s="4">
        <f t="shared" si="313"/>
        <v>28</v>
      </c>
      <c r="S970" s="4">
        <f t="shared" si="314"/>
        <v>45</v>
      </c>
      <c r="T970" s="4">
        <f t="shared" si="315"/>
        <v>8</v>
      </c>
      <c r="U970" s="4">
        <f t="shared" si="316"/>
        <v>6</v>
      </c>
      <c r="V970" s="8">
        <f t="shared" si="317"/>
        <v>1</v>
      </c>
      <c r="W970" s="8">
        <f t="shared" si="318"/>
        <v>9</v>
      </c>
      <c r="X970">
        <f t="shared" si="319"/>
        <v>1</v>
      </c>
    </row>
    <row r="971" spans="1:24" x14ac:dyDescent="0.25">
      <c r="A971" s="4" t="s">
        <v>997</v>
      </c>
      <c r="B971" t="s">
        <v>10</v>
      </c>
      <c r="C971" t="s">
        <v>6</v>
      </c>
      <c r="D971" s="3">
        <f t="shared" si="300"/>
        <v>8</v>
      </c>
      <c r="E971" s="4">
        <f t="shared" si="301"/>
        <v>24</v>
      </c>
      <c r="F971" s="4">
        <f t="shared" si="302"/>
        <v>2</v>
      </c>
      <c r="G971" s="3">
        <f>IF(E971&gt;=20,2000,1900) + D971</f>
        <v>2008</v>
      </c>
      <c r="H971">
        <f t="shared" si="303"/>
        <v>4</v>
      </c>
      <c r="I971" s="4">
        <f t="shared" si="304"/>
        <v>2</v>
      </c>
      <c r="J971">
        <f t="shared" si="305"/>
        <v>20082402</v>
      </c>
      <c r="K971" t="str">
        <f t="shared" si="306"/>
        <v>02.24.2008</v>
      </c>
      <c r="L971" s="4">
        <f t="shared" si="307"/>
        <v>0</v>
      </c>
      <c r="M971" s="4">
        <f t="shared" si="308"/>
        <v>24</v>
      </c>
      <c r="N971" s="4">
        <f t="shared" si="309"/>
        <v>14</v>
      </c>
      <c r="O971" s="4">
        <f t="shared" si="310"/>
        <v>36</v>
      </c>
      <c r="P971" s="4">
        <f t="shared" si="311"/>
        <v>0</v>
      </c>
      <c r="Q971" s="4">
        <f t="shared" si="312"/>
        <v>6</v>
      </c>
      <c r="R971" s="4">
        <f t="shared" si="313"/>
        <v>63</v>
      </c>
      <c r="S971" s="4">
        <f t="shared" si="314"/>
        <v>18</v>
      </c>
      <c r="T971" s="4">
        <f t="shared" si="315"/>
        <v>6</v>
      </c>
      <c r="U971" s="4">
        <f t="shared" si="316"/>
        <v>24</v>
      </c>
      <c r="V971" s="8">
        <f t="shared" si="317"/>
        <v>1</v>
      </c>
      <c r="W971" s="8">
        <f t="shared" si="318"/>
        <v>9</v>
      </c>
      <c r="X971">
        <f t="shared" si="319"/>
        <v>1</v>
      </c>
    </row>
    <row r="972" spans="1:24" x14ac:dyDescent="0.25">
      <c r="A972" s="4" t="s">
        <v>998</v>
      </c>
      <c r="B972" t="s">
        <v>17</v>
      </c>
      <c r="C972" t="s">
        <v>4</v>
      </c>
      <c r="D972" s="3">
        <f t="shared" si="300"/>
        <v>19</v>
      </c>
      <c r="E972" s="4">
        <f t="shared" si="301"/>
        <v>23</v>
      </c>
      <c r="F972" s="4">
        <f t="shared" si="302"/>
        <v>10</v>
      </c>
      <c r="G972" s="3">
        <f>IF(E972&gt;=20,2000,1900) + D972</f>
        <v>2019</v>
      </c>
      <c r="H972">
        <f t="shared" si="303"/>
        <v>3</v>
      </c>
      <c r="I972" s="4">
        <f t="shared" si="304"/>
        <v>10</v>
      </c>
      <c r="J972">
        <f t="shared" si="305"/>
        <v>20192310</v>
      </c>
      <c r="K972" t="str">
        <f t="shared" si="306"/>
        <v>10.23.2019</v>
      </c>
      <c r="L972" s="4">
        <f t="shared" si="307"/>
        <v>1</v>
      </c>
      <c r="M972" s="4">
        <f t="shared" si="308"/>
        <v>27</v>
      </c>
      <c r="N972" s="4">
        <f t="shared" si="309"/>
        <v>14</v>
      </c>
      <c r="O972" s="4">
        <f t="shared" si="310"/>
        <v>27</v>
      </c>
      <c r="P972" s="4">
        <f t="shared" si="311"/>
        <v>1</v>
      </c>
      <c r="Q972" s="4">
        <f t="shared" si="312"/>
        <v>0</v>
      </c>
      <c r="R972" s="4">
        <f t="shared" si="313"/>
        <v>63</v>
      </c>
      <c r="S972" s="4">
        <f t="shared" si="314"/>
        <v>9</v>
      </c>
      <c r="T972" s="4">
        <f t="shared" si="315"/>
        <v>9</v>
      </c>
      <c r="U972" s="4">
        <f t="shared" si="316"/>
        <v>6</v>
      </c>
      <c r="V972" s="8">
        <f t="shared" si="317"/>
        <v>7</v>
      </c>
      <c r="W972" s="8">
        <f t="shared" si="318"/>
        <v>3</v>
      </c>
      <c r="X972">
        <f t="shared" si="319"/>
        <v>1</v>
      </c>
    </row>
    <row r="973" spans="1:24" x14ac:dyDescent="0.25">
      <c r="A973" s="4" t="s">
        <v>999</v>
      </c>
      <c r="B973" t="s">
        <v>8</v>
      </c>
      <c r="C973" t="s">
        <v>6</v>
      </c>
      <c r="D973" s="3">
        <f t="shared" si="300"/>
        <v>14</v>
      </c>
      <c r="E973" s="4">
        <f t="shared" si="301"/>
        <v>28</v>
      </c>
      <c r="F973" s="4">
        <f t="shared" si="302"/>
        <v>12</v>
      </c>
      <c r="G973" s="3">
        <f>IF(E973&gt;=20,2000,1900) + D973</f>
        <v>2014</v>
      </c>
      <c r="H973">
        <f t="shared" si="303"/>
        <v>8</v>
      </c>
      <c r="I973" s="4">
        <f t="shared" si="304"/>
        <v>12</v>
      </c>
      <c r="J973">
        <f t="shared" si="305"/>
        <v>20142812</v>
      </c>
      <c r="K973" t="str">
        <f t="shared" si="306"/>
        <v>12.28.2014</v>
      </c>
      <c r="L973" s="4">
        <f t="shared" si="307"/>
        <v>1</v>
      </c>
      <c r="M973" s="4">
        <f t="shared" si="308"/>
        <v>12</v>
      </c>
      <c r="N973" s="4">
        <f t="shared" si="309"/>
        <v>14</v>
      </c>
      <c r="O973" s="4">
        <f t="shared" si="310"/>
        <v>72</v>
      </c>
      <c r="P973" s="4">
        <f t="shared" si="311"/>
        <v>1</v>
      </c>
      <c r="Q973" s="4">
        <f t="shared" si="312"/>
        <v>6</v>
      </c>
      <c r="R973" s="4">
        <f t="shared" si="313"/>
        <v>0</v>
      </c>
      <c r="S973" s="4">
        <f t="shared" si="314"/>
        <v>18</v>
      </c>
      <c r="T973" s="4">
        <f t="shared" si="315"/>
        <v>5</v>
      </c>
      <c r="U973" s="4">
        <f t="shared" si="316"/>
        <v>21</v>
      </c>
      <c r="V973" s="8">
        <f t="shared" si="317"/>
        <v>0</v>
      </c>
      <c r="W973" s="8">
        <f t="shared" si="318"/>
        <v>0</v>
      </c>
      <c r="X973">
        <f t="shared" si="319"/>
        <v>1</v>
      </c>
    </row>
    <row r="974" spans="1:24" x14ac:dyDescent="0.25">
      <c r="A974" s="4" t="s">
        <v>1000</v>
      </c>
      <c r="B974" t="s">
        <v>7</v>
      </c>
      <c r="C974" t="s">
        <v>4</v>
      </c>
      <c r="D974" s="3">
        <f t="shared" si="300"/>
        <v>7</v>
      </c>
      <c r="E974" s="4">
        <f t="shared" si="301"/>
        <v>28</v>
      </c>
      <c r="F974" s="4">
        <f t="shared" si="302"/>
        <v>2</v>
      </c>
      <c r="G974" s="3">
        <f>IF(E974&gt;=20,2000,1900) + D974</f>
        <v>2007</v>
      </c>
      <c r="H974">
        <f t="shared" si="303"/>
        <v>8</v>
      </c>
      <c r="I974" s="4">
        <f t="shared" si="304"/>
        <v>2</v>
      </c>
      <c r="J974">
        <f t="shared" si="305"/>
        <v>20072802</v>
      </c>
      <c r="K974" t="str">
        <f t="shared" si="306"/>
        <v>02.28.2007</v>
      </c>
      <c r="L974" s="4">
        <f t="shared" si="307"/>
        <v>0</v>
      </c>
      <c r="M974" s="4">
        <f t="shared" si="308"/>
        <v>21</v>
      </c>
      <c r="N974" s="4">
        <f t="shared" si="309"/>
        <v>14</v>
      </c>
      <c r="O974" s="4">
        <f t="shared" si="310"/>
        <v>72</v>
      </c>
      <c r="P974" s="4">
        <f t="shared" si="311"/>
        <v>0</v>
      </c>
      <c r="Q974" s="4">
        <f t="shared" si="312"/>
        <v>6</v>
      </c>
      <c r="R974" s="4">
        <f t="shared" si="313"/>
        <v>63</v>
      </c>
      <c r="S974" s="4">
        <f t="shared" si="314"/>
        <v>63</v>
      </c>
      <c r="T974" s="4">
        <f t="shared" si="315"/>
        <v>7</v>
      </c>
      <c r="U974" s="4">
        <f t="shared" si="316"/>
        <v>3</v>
      </c>
      <c r="V974" s="8">
        <f t="shared" si="317"/>
        <v>9</v>
      </c>
      <c r="W974" s="8">
        <f t="shared" si="318"/>
        <v>1</v>
      </c>
      <c r="X974">
        <f t="shared" si="319"/>
        <v>1</v>
      </c>
    </row>
    <row r="975" spans="1:24" x14ac:dyDescent="0.25">
      <c r="A975" s="4" t="s">
        <v>1001</v>
      </c>
      <c r="B975" t="s">
        <v>3</v>
      </c>
      <c r="C975" t="s">
        <v>6</v>
      </c>
      <c r="D975" s="3">
        <f t="shared" si="300"/>
        <v>6</v>
      </c>
      <c r="E975" s="4">
        <f t="shared" si="301"/>
        <v>26</v>
      </c>
      <c r="F975" s="4">
        <f t="shared" si="302"/>
        <v>25</v>
      </c>
      <c r="G975" s="3">
        <f>IF(E975&gt;=20,2000,1900) + D975</f>
        <v>2006</v>
      </c>
      <c r="H975">
        <f t="shared" si="303"/>
        <v>6</v>
      </c>
      <c r="I975" s="4">
        <f t="shared" si="304"/>
        <v>25</v>
      </c>
      <c r="J975">
        <f t="shared" si="305"/>
        <v>20062625</v>
      </c>
      <c r="K975" t="str">
        <f t="shared" si="306"/>
        <v>25.26.2006</v>
      </c>
      <c r="L975" s="4">
        <f t="shared" si="307"/>
        <v>0</v>
      </c>
      <c r="M975" s="4">
        <f t="shared" si="308"/>
        <v>18</v>
      </c>
      <c r="N975" s="4">
        <f t="shared" si="309"/>
        <v>14</v>
      </c>
      <c r="O975" s="4">
        <f t="shared" si="310"/>
        <v>54</v>
      </c>
      <c r="P975" s="4">
        <f t="shared" si="311"/>
        <v>2</v>
      </c>
      <c r="Q975" s="4">
        <f t="shared" si="312"/>
        <v>15</v>
      </c>
      <c r="R975" s="4">
        <f t="shared" si="313"/>
        <v>35</v>
      </c>
      <c r="S975" s="4">
        <f t="shared" si="314"/>
        <v>36</v>
      </c>
      <c r="T975" s="4">
        <f t="shared" si="315"/>
        <v>1</v>
      </c>
      <c r="U975" s="4">
        <f t="shared" si="316"/>
        <v>18</v>
      </c>
      <c r="V975" s="8">
        <f t="shared" si="317"/>
        <v>3</v>
      </c>
      <c r="W975" s="8">
        <f t="shared" si="318"/>
        <v>7</v>
      </c>
      <c r="X975">
        <f t="shared" si="319"/>
        <v>1</v>
      </c>
    </row>
    <row r="976" spans="1:24" x14ac:dyDescent="0.25">
      <c r="A976" s="4" t="s">
        <v>1002</v>
      </c>
      <c r="B976" t="s">
        <v>7</v>
      </c>
      <c r="C976" t="s">
        <v>6</v>
      </c>
      <c r="D976" s="3">
        <f t="shared" si="300"/>
        <v>15</v>
      </c>
      <c r="E976" s="4">
        <f t="shared" si="301"/>
        <v>24</v>
      </c>
      <c r="F976" s="4">
        <f t="shared" si="302"/>
        <v>27</v>
      </c>
      <c r="G976" s="3">
        <f>IF(E976&gt;=20,2000,1900) + D976</f>
        <v>2015</v>
      </c>
      <c r="H976">
        <f t="shared" si="303"/>
        <v>4</v>
      </c>
      <c r="I976" s="4">
        <f t="shared" si="304"/>
        <v>27</v>
      </c>
      <c r="J976">
        <f t="shared" si="305"/>
        <v>20152427</v>
      </c>
      <c r="K976" t="str">
        <f t="shared" si="306"/>
        <v>27.24.2015</v>
      </c>
      <c r="L976" s="4">
        <f t="shared" si="307"/>
        <v>1</v>
      </c>
      <c r="M976" s="4">
        <f t="shared" si="308"/>
        <v>15</v>
      </c>
      <c r="N976" s="4">
        <f t="shared" si="309"/>
        <v>14</v>
      </c>
      <c r="O976" s="4">
        <f t="shared" si="310"/>
        <v>36</v>
      </c>
      <c r="P976" s="4">
        <f t="shared" si="311"/>
        <v>2</v>
      </c>
      <c r="Q976" s="4">
        <f t="shared" si="312"/>
        <v>21</v>
      </c>
      <c r="R976" s="4">
        <f t="shared" si="313"/>
        <v>42</v>
      </c>
      <c r="S976" s="4">
        <f t="shared" si="314"/>
        <v>36</v>
      </c>
      <c r="T976" s="4">
        <f t="shared" si="315"/>
        <v>6</v>
      </c>
      <c r="U976" s="4">
        <f t="shared" si="316"/>
        <v>27</v>
      </c>
      <c r="V976" s="8">
        <f t="shared" si="317"/>
        <v>0</v>
      </c>
      <c r="W976" s="8">
        <f t="shared" si="318"/>
        <v>0</v>
      </c>
      <c r="X976">
        <f t="shared" si="319"/>
        <v>1</v>
      </c>
    </row>
    <row r="977" spans="1:24" x14ac:dyDescent="0.25">
      <c r="A977" s="4" t="s">
        <v>1003</v>
      </c>
      <c r="B977" t="s">
        <v>9</v>
      </c>
      <c r="C977" t="s">
        <v>6</v>
      </c>
      <c r="D977" s="3">
        <f t="shared" si="300"/>
        <v>14</v>
      </c>
      <c r="E977" s="4">
        <f t="shared" si="301"/>
        <v>26</v>
      </c>
      <c r="F977" s="4">
        <f t="shared" si="302"/>
        <v>22</v>
      </c>
      <c r="G977" s="3">
        <f>IF(E977&gt;=20,2000,1900) + D977</f>
        <v>2014</v>
      </c>
      <c r="H977">
        <f t="shared" si="303"/>
        <v>6</v>
      </c>
      <c r="I977" s="4">
        <f t="shared" si="304"/>
        <v>22</v>
      </c>
      <c r="J977">
        <f t="shared" si="305"/>
        <v>20142622</v>
      </c>
      <c r="K977" t="str">
        <f t="shared" si="306"/>
        <v>22.26.2014</v>
      </c>
      <c r="L977" s="4">
        <f t="shared" si="307"/>
        <v>1</v>
      </c>
      <c r="M977" s="4">
        <f t="shared" si="308"/>
        <v>12</v>
      </c>
      <c r="N977" s="4">
        <f t="shared" si="309"/>
        <v>14</v>
      </c>
      <c r="O977" s="4">
        <f t="shared" si="310"/>
        <v>54</v>
      </c>
      <c r="P977" s="4">
        <f t="shared" si="311"/>
        <v>2</v>
      </c>
      <c r="Q977" s="4">
        <f t="shared" si="312"/>
        <v>6</v>
      </c>
      <c r="R977" s="4">
        <f t="shared" si="313"/>
        <v>14</v>
      </c>
      <c r="S977" s="4">
        <f t="shared" si="314"/>
        <v>54</v>
      </c>
      <c r="T977" s="4">
        <f t="shared" si="315"/>
        <v>5</v>
      </c>
      <c r="U977" s="4">
        <f t="shared" si="316"/>
        <v>21</v>
      </c>
      <c r="V977" s="8">
        <f t="shared" si="317"/>
        <v>3</v>
      </c>
      <c r="W977" s="8">
        <f t="shared" si="318"/>
        <v>7</v>
      </c>
      <c r="X977">
        <f t="shared" si="319"/>
        <v>1</v>
      </c>
    </row>
    <row r="978" spans="1:24" x14ac:dyDescent="0.25">
      <c r="A978" s="4" t="s">
        <v>1004</v>
      </c>
      <c r="B978" t="s">
        <v>12</v>
      </c>
      <c r="C978" t="s">
        <v>4</v>
      </c>
      <c r="D978" s="3">
        <f t="shared" si="300"/>
        <v>1</v>
      </c>
      <c r="E978" s="4">
        <f t="shared" si="301"/>
        <v>21</v>
      </c>
      <c r="F978" s="4">
        <f t="shared" si="302"/>
        <v>29</v>
      </c>
      <c r="G978" s="3">
        <f>IF(E978&gt;=20,2000,1900) + D978</f>
        <v>2001</v>
      </c>
      <c r="H978">
        <f t="shared" si="303"/>
        <v>1</v>
      </c>
      <c r="I978" s="4">
        <f t="shared" si="304"/>
        <v>29</v>
      </c>
      <c r="J978">
        <f t="shared" si="305"/>
        <v>20012129</v>
      </c>
      <c r="K978" t="str">
        <f t="shared" si="306"/>
        <v>29.21.2001</v>
      </c>
      <c r="L978" s="4">
        <f t="shared" si="307"/>
        <v>0</v>
      </c>
      <c r="M978" s="4">
        <f t="shared" si="308"/>
        <v>3</v>
      </c>
      <c r="N978" s="4">
        <f t="shared" si="309"/>
        <v>14</v>
      </c>
      <c r="O978" s="4">
        <f t="shared" si="310"/>
        <v>9</v>
      </c>
      <c r="P978" s="4">
        <f t="shared" si="311"/>
        <v>2</v>
      </c>
      <c r="Q978" s="4">
        <f t="shared" si="312"/>
        <v>27</v>
      </c>
      <c r="R978" s="4">
        <f t="shared" si="313"/>
        <v>56</v>
      </c>
      <c r="S978" s="4">
        <f t="shared" si="314"/>
        <v>72</v>
      </c>
      <c r="T978" s="4">
        <f t="shared" si="315"/>
        <v>8</v>
      </c>
      <c r="U978" s="4">
        <f t="shared" si="316"/>
        <v>27</v>
      </c>
      <c r="V978" s="8">
        <f t="shared" si="317"/>
        <v>8</v>
      </c>
      <c r="W978" s="8">
        <f t="shared" si="318"/>
        <v>2</v>
      </c>
      <c r="X978">
        <f t="shared" si="319"/>
        <v>1</v>
      </c>
    </row>
    <row r="979" spans="1:24" x14ac:dyDescent="0.25">
      <c r="A979" s="4" t="s">
        <v>1005</v>
      </c>
      <c r="B979" t="s">
        <v>5</v>
      </c>
      <c r="C979" t="s">
        <v>4</v>
      </c>
      <c r="D979" s="3">
        <f t="shared" si="300"/>
        <v>21</v>
      </c>
      <c r="E979" s="4">
        <f t="shared" si="301"/>
        <v>21</v>
      </c>
      <c r="F979" s="4">
        <f t="shared" si="302"/>
        <v>2</v>
      </c>
      <c r="G979" s="3">
        <f>IF(E979&gt;=20,2000,1900) + D979</f>
        <v>2021</v>
      </c>
      <c r="H979">
        <f t="shared" si="303"/>
        <v>1</v>
      </c>
      <c r="I979" s="4">
        <f t="shared" si="304"/>
        <v>2</v>
      </c>
      <c r="J979">
        <f t="shared" si="305"/>
        <v>20212102</v>
      </c>
      <c r="K979" t="str">
        <f t="shared" si="306"/>
        <v>02.21.2021</v>
      </c>
      <c r="L979" s="4">
        <f t="shared" si="307"/>
        <v>2</v>
      </c>
      <c r="M979" s="4">
        <f t="shared" si="308"/>
        <v>3</v>
      </c>
      <c r="N979" s="4">
        <f t="shared" si="309"/>
        <v>14</v>
      </c>
      <c r="O979" s="4">
        <f t="shared" si="310"/>
        <v>9</v>
      </c>
      <c r="P979" s="4">
        <f t="shared" si="311"/>
        <v>0</v>
      </c>
      <c r="Q979" s="4">
        <f t="shared" si="312"/>
        <v>6</v>
      </c>
      <c r="R979" s="4">
        <f t="shared" si="313"/>
        <v>14</v>
      </c>
      <c r="S979" s="4">
        <f t="shared" si="314"/>
        <v>9</v>
      </c>
      <c r="T979" s="4">
        <f t="shared" si="315"/>
        <v>0</v>
      </c>
      <c r="U979" s="4">
        <f t="shared" si="316"/>
        <v>21</v>
      </c>
      <c r="V979" s="8">
        <f t="shared" si="317"/>
        <v>8</v>
      </c>
      <c r="W979" s="8">
        <f t="shared" si="318"/>
        <v>2</v>
      </c>
      <c r="X979">
        <f t="shared" si="319"/>
        <v>1</v>
      </c>
    </row>
    <row r="980" spans="1:24" x14ac:dyDescent="0.25">
      <c r="A980" s="4" t="s">
        <v>1006</v>
      </c>
      <c r="B980" t="s">
        <v>18</v>
      </c>
      <c r="C980" t="s">
        <v>4</v>
      </c>
      <c r="D980" s="3">
        <f t="shared" si="300"/>
        <v>16</v>
      </c>
      <c r="E980" s="4">
        <f t="shared" si="301"/>
        <v>28</v>
      </c>
      <c r="F980" s="4">
        <f t="shared" si="302"/>
        <v>24</v>
      </c>
      <c r="G980" s="3">
        <f>IF(E980&gt;=20,2000,1900) + D980</f>
        <v>2016</v>
      </c>
      <c r="H980">
        <f t="shared" si="303"/>
        <v>8</v>
      </c>
      <c r="I980" s="4">
        <f t="shared" si="304"/>
        <v>24</v>
      </c>
      <c r="J980">
        <f t="shared" si="305"/>
        <v>20162824</v>
      </c>
      <c r="K980" t="str">
        <f t="shared" si="306"/>
        <v>24.28.2016</v>
      </c>
      <c r="L980" s="4">
        <f t="shared" si="307"/>
        <v>1</v>
      </c>
      <c r="M980" s="4">
        <f t="shared" si="308"/>
        <v>18</v>
      </c>
      <c r="N980" s="4">
        <f t="shared" si="309"/>
        <v>14</v>
      </c>
      <c r="O980" s="4">
        <f t="shared" si="310"/>
        <v>72</v>
      </c>
      <c r="P980" s="4">
        <f t="shared" si="311"/>
        <v>2</v>
      </c>
      <c r="Q980" s="4">
        <f t="shared" si="312"/>
        <v>12</v>
      </c>
      <c r="R980" s="4">
        <f t="shared" si="313"/>
        <v>14</v>
      </c>
      <c r="S980" s="4">
        <f t="shared" si="314"/>
        <v>63</v>
      </c>
      <c r="T980" s="4">
        <f t="shared" si="315"/>
        <v>5</v>
      </c>
      <c r="U980" s="4">
        <f t="shared" si="316"/>
        <v>21</v>
      </c>
      <c r="V980" s="8">
        <f t="shared" si="317"/>
        <v>2</v>
      </c>
      <c r="W980" s="8">
        <f t="shared" si="318"/>
        <v>8</v>
      </c>
      <c r="X980">
        <f t="shared" si="319"/>
        <v>1</v>
      </c>
    </row>
    <row r="981" spans="1:24" x14ac:dyDescent="0.25">
      <c r="A981" s="4" t="s">
        <v>1007</v>
      </c>
      <c r="B981" t="s">
        <v>14</v>
      </c>
      <c r="C981" t="s">
        <v>6</v>
      </c>
      <c r="D981" s="3">
        <f t="shared" si="300"/>
        <v>2</v>
      </c>
      <c r="E981" s="4">
        <f t="shared" si="301"/>
        <v>24</v>
      </c>
      <c r="F981" s="4">
        <f t="shared" si="302"/>
        <v>12</v>
      </c>
      <c r="G981" s="3">
        <f>IF(E981&gt;=20,2000,1900) + D981</f>
        <v>2002</v>
      </c>
      <c r="H981">
        <f t="shared" si="303"/>
        <v>4</v>
      </c>
      <c r="I981" s="4">
        <f t="shared" si="304"/>
        <v>12</v>
      </c>
      <c r="J981">
        <f t="shared" si="305"/>
        <v>20022412</v>
      </c>
      <c r="K981" t="str">
        <f t="shared" si="306"/>
        <v>12.24.2002</v>
      </c>
      <c r="L981" s="4">
        <f t="shared" si="307"/>
        <v>0</v>
      </c>
      <c r="M981" s="4">
        <f t="shared" si="308"/>
        <v>6</v>
      </c>
      <c r="N981" s="4">
        <f t="shared" si="309"/>
        <v>14</v>
      </c>
      <c r="O981" s="4">
        <f t="shared" si="310"/>
        <v>36</v>
      </c>
      <c r="P981" s="4">
        <f t="shared" si="311"/>
        <v>1</v>
      </c>
      <c r="Q981" s="4">
        <f t="shared" si="312"/>
        <v>6</v>
      </c>
      <c r="R981" s="4">
        <f t="shared" si="313"/>
        <v>49</v>
      </c>
      <c r="S981" s="4">
        <f t="shared" si="314"/>
        <v>18</v>
      </c>
      <c r="T981" s="4">
        <f t="shared" si="315"/>
        <v>8</v>
      </c>
      <c r="U981" s="4">
        <f t="shared" si="316"/>
        <v>6</v>
      </c>
      <c r="V981" s="8">
        <f t="shared" si="317"/>
        <v>4</v>
      </c>
      <c r="W981" s="8">
        <f t="shared" si="318"/>
        <v>6</v>
      </c>
      <c r="X981">
        <f t="shared" si="319"/>
        <v>1</v>
      </c>
    </row>
    <row r="982" spans="1:24" x14ac:dyDescent="0.25">
      <c r="A982" s="4" t="s">
        <v>1008</v>
      </c>
      <c r="B982" t="s">
        <v>20</v>
      </c>
      <c r="C982" t="s">
        <v>4</v>
      </c>
      <c r="D982" s="3">
        <f t="shared" si="300"/>
        <v>6</v>
      </c>
      <c r="E982" s="4">
        <f t="shared" si="301"/>
        <v>31</v>
      </c>
      <c r="F982" s="4">
        <f t="shared" si="302"/>
        <v>5</v>
      </c>
      <c r="G982" s="3">
        <f>IF(E982&gt;=20,2000,1900) + D982</f>
        <v>2006</v>
      </c>
      <c r="H982">
        <f t="shared" si="303"/>
        <v>11</v>
      </c>
      <c r="I982" s="4">
        <f t="shared" si="304"/>
        <v>5</v>
      </c>
      <c r="J982">
        <f t="shared" si="305"/>
        <v>20063105</v>
      </c>
      <c r="K982" t="str">
        <f t="shared" si="306"/>
        <v>05.31.2006</v>
      </c>
      <c r="L982" s="4">
        <f t="shared" si="307"/>
        <v>0</v>
      </c>
      <c r="M982" s="4">
        <f t="shared" si="308"/>
        <v>18</v>
      </c>
      <c r="N982" s="4">
        <f t="shared" si="309"/>
        <v>21</v>
      </c>
      <c r="O982" s="4">
        <f t="shared" si="310"/>
        <v>9</v>
      </c>
      <c r="P982" s="4">
        <f t="shared" si="311"/>
        <v>0</v>
      </c>
      <c r="Q982" s="4">
        <f t="shared" si="312"/>
        <v>15</v>
      </c>
      <c r="R982" s="4">
        <f t="shared" si="313"/>
        <v>35</v>
      </c>
      <c r="S982" s="4">
        <f t="shared" si="314"/>
        <v>36</v>
      </c>
      <c r="T982" s="4">
        <f t="shared" si="315"/>
        <v>6</v>
      </c>
      <c r="U982" s="4">
        <f t="shared" si="316"/>
        <v>12</v>
      </c>
      <c r="V982" s="8">
        <f t="shared" si="317"/>
        <v>2</v>
      </c>
      <c r="W982" s="8">
        <f t="shared" si="318"/>
        <v>8</v>
      </c>
      <c r="X982">
        <f t="shared" si="319"/>
        <v>1</v>
      </c>
    </row>
    <row r="983" spans="1:24" x14ac:dyDescent="0.25">
      <c r="A983" s="4" t="s">
        <v>1009</v>
      </c>
      <c r="B983" t="s">
        <v>19</v>
      </c>
      <c r="C983" t="s">
        <v>6</v>
      </c>
      <c r="D983" s="3">
        <f t="shared" si="300"/>
        <v>18</v>
      </c>
      <c r="E983" s="4">
        <f t="shared" si="301"/>
        <v>21</v>
      </c>
      <c r="F983" s="4">
        <f t="shared" si="302"/>
        <v>9</v>
      </c>
      <c r="G983" s="3">
        <f>IF(E983&gt;=20,2000,1900) + D983</f>
        <v>2018</v>
      </c>
      <c r="H983">
        <f t="shared" si="303"/>
        <v>1</v>
      </c>
      <c r="I983" s="4">
        <f t="shared" si="304"/>
        <v>9</v>
      </c>
      <c r="J983">
        <f t="shared" si="305"/>
        <v>20182109</v>
      </c>
      <c r="K983" t="str">
        <f t="shared" si="306"/>
        <v>09.21.2018</v>
      </c>
      <c r="L983" s="4">
        <f t="shared" si="307"/>
        <v>1</v>
      </c>
      <c r="M983" s="4">
        <f t="shared" si="308"/>
        <v>24</v>
      </c>
      <c r="N983" s="4">
        <f t="shared" si="309"/>
        <v>14</v>
      </c>
      <c r="O983" s="4">
        <f t="shared" si="310"/>
        <v>9</v>
      </c>
      <c r="P983" s="4">
        <f t="shared" si="311"/>
        <v>0</v>
      </c>
      <c r="Q983" s="4">
        <f t="shared" si="312"/>
        <v>27</v>
      </c>
      <c r="R983" s="4">
        <f t="shared" si="313"/>
        <v>35</v>
      </c>
      <c r="S983" s="4">
        <f t="shared" si="314"/>
        <v>63</v>
      </c>
      <c r="T983" s="4">
        <f t="shared" si="315"/>
        <v>2</v>
      </c>
      <c r="U983" s="4">
        <f t="shared" si="316"/>
        <v>15</v>
      </c>
      <c r="V983" s="8">
        <f t="shared" si="317"/>
        <v>0</v>
      </c>
      <c r="W983" s="8">
        <f t="shared" si="318"/>
        <v>0</v>
      </c>
      <c r="X983">
        <f t="shared" si="319"/>
        <v>1</v>
      </c>
    </row>
    <row r="984" spans="1:24" x14ac:dyDescent="0.25">
      <c r="A984" s="4" t="s">
        <v>1010</v>
      </c>
      <c r="B984" t="s">
        <v>9</v>
      </c>
      <c r="C984" t="s">
        <v>4</v>
      </c>
      <c r="D984" s="3">
        <f t="shared" si="300"/>
        <v>21</v>
      </c>
      <c r="E984" s="4">
        <f t="shared" si="301"/>
        <v>24</v>
      </c>
      <c r="F984" s="4">
        <f t="shared" si="302"/>
        <v>30</v>
      </c>
      <c r="G984" s="3">
        <f>IF(E984&gt;=20,2000,1900) + D984</f>
        <v>2021</v>
      </c>
      <c r="H984">
        <f t="shared" si="303"/>
        <v>4</v>
      </c>
      <c r="I984" s="4">
        <f t="shared" si="304"/>
        <v>30</v>
      </c>
      <c r="J984">
        <f t="shared" si="305"/>
        <v>20212430</v>
      </c>
      <c r="K984" t="str">
        <f t="shared" si="306"/>
        <v>30.24.2021</v>
      </c>
      <c r="L984" s="4">
        <f t="shared" si="307"/>
        <v>2</v>
      </c>
      <c r="M984" s="4">
        <f t="shared" si="308"/>
        <v>3</v>
      </c>
      <c r="N984" s="4">
        <f t="shared" si="309"/>
        <v>14</v>
      </c>
      <c r="O984" s="4">
        <f t="shared" si="310"/>
        <v>36</v>
      </c>
      <c r="P984" s="4">
        <f t="shared" si="311"/>
        <v>3</v>
      </c>
      <c r="Q984" s="4">
        <f t="shared" si="312"/>
        <v>0</v>
      </c>
      <c r="R984" s="4">
        <f t="shared" si="313"/>
        <v>49</v>
      </c>
      <c r="S984" s="4">
        <f t="shared" si="314"/>
        <v>45</v>
      </c>
      <c r="T984" s="4">
        <f t="shared" si="315"/>
        <v>7</v>
      </c>
      <c r="U984" s="4">
        <f t="shared" si="316"/>
        <v>27</v>
      </c>
      <c r="V984" s="8">
        <f t="shared" si="317"/>
        <v>6</v>
      </c>
      <c r="W984" s="8">
        <f t="shared" si="318"/>
        <v>4</v>
      </c>
      <c r="X984">
        <f t="shared" si="319"/>
        <v>1</v>
      </c>
    </row>
    <row r="985" spans="1:24" x14ac:dyDescent="0.25">
      <c r="A985" s="4" t="s">
        <v>1011</v>
      </c>
      <c r="B985" t="s">
        <v>13</v>
      </c>
      <c r="C985" t="s">
        <v>6</v>
      </c>
      <c r="D985" s="3">
        <f t="shared" si="300"/>
        <v>0</v>
      </c>
      <c r="E985" s="4">
        <f t="shared" si="301"/>
        <v>25</v>
      </c>
      <c r="F985" s="4">
        <f t="shared" si="302"/>
        <v>12</v>
      </c>
      <c r="G985" s="3">
        <f>IF(E985&gt;=20,2000,1900) + D985</f>
        <v>2000</v>
      </c>
      <c r="H985">
        <f t="shared" si="303"/>
        <v>5</v>
      </c>
      <c r="I985" s="4">
        <f t="shared" si="304"/>
        <v>12</v>
      </c>
      <c r="J985">
        <f t="shared" si="305"/>
        <v>20002512</v>
      </c>
      <c r="K985" t="str">
        <f t="shared" si="306"/>
        <v>12.25.2000</v>
      </c>
      <c r="L985" s="4">
        <f t="shared" si="307"/>
        <v>0</v>
      </c>
      <c r="M985" s="4">
        <f t="shared" si="308"/>
        <v>0</v>
      </c>
      <c r="N985" s="4">
        <f t="shared" si="309"/>
        <v>14</v>
      </c>
      <c r="O985" s="4">
        <f t="shared" si="310"/>
        <v>45</v>
      </c>
      <c r="P985" s="4">
        <f t="shared" si="311"/>
        <v>1</v>
      </c>
      <c r="Q985" s="4">
        <f t="shared" si="312"/>
        <v>6</v>
      </c>
      <c r="R985" s="4">
        <f t="shared" si="313"/>
        <v>56</v>
      </c>
      <c r="S985" s="4">
        <f t="shared" si="314"/>
        <v>9</v>
      </c>
      <c r="T985" s="4">
        <f t="shared" si="315"/>
        <v>2</v>
      </c>
      <c r="U985" s="4">
        <f t="shared" si="316"/>
        <v>6</v>
      </c>
      <c r="V985" s="8">
        <f t="shared" si="317"/>
        <v>9</v>
      </c>
      <c r="W985" s="8">
        <f t="shared" si="318"/>
        <v>1</v>
      </c>
      <c r="X985">
        <f t="shared" si="319"/>
        <v>1</v>
      </c>
    </row>
    <row r="986" spans="1:24" x14ac:dyDescent="0.25">
      <c r="A986" s="4" t="s">
        <v>1012</v>
      </c>
      <c r="B986" t="s">
        <v>10</v>
      </c>
      <c r="C986" t="s">
        <v>6</v>
      </c>
      <c r="D986" s="3">
        <f t="shared" si="300"/>
        <v>0</v>
      </c>
      <c r="E986" s="4">
        <f t="shared" si="301"/>
        <v>27</v>
      </c>
      <c r="F986" s="4">
        <f t="shared" si="302"/>
        <v>4</v>
      </c>
      <c r="G986" s="3">
        <f>IF(E986&gt;=20,2000,1900) + D986</f>
        <v>2000</v>
      </c>
      <c r="H986">
        <f t="shared" si="303"/>
        <v>7</v>
      </c>
      <c r="I986" s="4">
        <f t="shared" si="304"/>
        <v>4</v>
      </c>
      <c r="J986">
        <f t="shared" si="305"/>
        <v>20002704</v>
      </c>
      <c r="K986" t="str">
        <f t="shared" si="306"/>
        <v>04.27.2000</v>
      </c>
      <c r="L986" s="4">
        <f t="shared" si="307"/>
        <v>0</v>
      </c>
      <c r="M986" s="4">
        <f t="shared" si="308"/>
        <v>0</v>
      </c>
      <c r="N986" s="4">
        <f t="shared" si="309"/>
        <v>14</v>
      </c>
      <c r="O986" s="4">
        <f t="shared" si="310"/>
        <v>63</v>
      </c>
      <c r="P986" s="4">
        <f t="shared" si="311"/>
        <v>0</v>
      </c>
      <c r="Q986" s="4">
        <f t="shared" si="312"/>
        <v>12</v>
      </c>
      <c r="R986" s="4">
        <f t="shared" si="313"/>
        <v>56</v>
      </c>
      <c r="S986" s="4">
        <f t="shared" si="314"/>
        <v>36</v>
      </c>
      <c r="T986" s="4">
        <f t="shared" si="315"/>
        <v>2</v>
      </c>
      <c r="U986" s="4">
        <f t="shared" si="316"/>
        <v>3</v>
      </c>
      <c r="V986" s="8">
        <f t="shared" si="317"/>
        <v>6</v>
      </c>
      <c r="W986" s="8">
        <f t="shared" si="318"/>
        <v>4</v>
      </c>
      <c r="X986">
        <f t="shared" si="319"/>
        <v>1</v>
      </c>
    </row>
    <row r="987" spans="1:24" x14ac:dyDescent="0.25">
      <c r="A987" s="4" t="s">
        <v>1013</v>
      </c>
      <c r="B987" t="s">
        <v>11</v>
      </c>
      <c r="C987" t="s">
        <v>4</v>
      </c>
      <c r="D987" s="3">
        <f t="shared" si="300"/>
        <v>6</v>
      </c>
      <c r="E987" s="4">
        <f t="shared" si="301"/>
        <v>21</v>
      </c>
      <c r="F987" s="4">
        <f t="shared" si="302"/>
        <v>13</v>
      </c>
      <c r="G987" s="3">
        <f>IF(E987&gt;=20,2000,1900) + D987</f>
        <v>2006</v>
      </c>
      <c r="H987">
        <f t="shared" si="303"/>
        <v>1</v>
      </c>
      <c r="I987" s="4">
        <f t="shared" si="304"/>
        <v>13</v>
      </c>
      <c r="J987">
        <f t="shared" si="305"/>
        <v>20062113</v>
      </c>
      <c r="K987" t="str">
        <f t="shared" si="306"/>
        <v>13.21.2006</v>
      </c>
      <c r="L987" s="4">
        <f t="shared" si="307"/>
        <v>0</v>
      </c>
      <c r="M987" s="4">
        <f t="shared" si="308"/>
        <v>18</v>
      </c>
      <c r="N987" s="4">
        <f t="shared" si="309"/>
        <v>14</v>
      </c>
      <c r="O987" s="4">
        <f t="shared" si="310"/>
        <v>9</v>
      </c>
      <c r="P987" s="4">
        <f t="shared" si="311"/>
        <v>1</v>
      </c>
      <c r="Q987" s="4">
        <f t="shared" si="312"/>
        <v>9</v>
      </c>
      <c r="R987" s="4">
        <f t="shared" si="313"/>
        <v>28</v>
      </c>
      <c r="S987" s="4">
        <f t="shared" si="314"/>
        <v>18</v>
      </c>
      <c r="T987" s="4">
        <f t="shared" si="315"/>
        <v>0</v>
      </c>
      <c r="U987" s="4">
        <f t="shared" si="316"/>
        <v>24</v>
      </c>
      <c r="V987" s="8">
        <f t="shared" si="317"/>
        <v>1</v>
      </c>
      <c r="W987" s="8">
        <f t="shared" si="318"/>
        <v>9</v>
      </c>
      <c r="X987">
        <f t="shared" si="319"/>
        <v>1</v>
      </c>
    </row>
    <row r="988" spans="1:24" x14ac:dyDescent="0.25">
      <c r="A988" s="4" t="s">
        <v>1014</v>
      </c>
      <c r="B988" t="s">
        <v>18</v>
      </c>
      <c r="C988" t="s">
        <v>6</v>
      </c>
      <c r="D988" s="3">
        <f t="shared" si="300"/>
        <v>17</v>
      </c>
      <c r="E988" s="4">
        <f t="shared" si="301"/>
        <v>21</v>
      </c>
      <c r="F988" s="4">
        <f t="shared" si="302"/>
        <v>22</v>
      </c>
      <c r="G988" s="3">
        <f>IF(E988&gt;=20,2000,1900) + D988</f>
        <v>2017</v>
      </c>
      <c r="H988">
        <f t="shared" si="303"/>
        <v>1</v>
      </c>
      <c r="I988" s="4">
        <f t="shared" si="304"/>
        <v>22</v>
      </c>
      <c r="J988">
        <f t="shared" si="305"/>
        <v>20172122</v>
      </c>
      <c r="K988" t="str">
        <f t="shared" si="306"/>
        <v>22.21.2017</v>
      </c>
      <c r="L988" s="4">
        <f t="shared" si="307"/>
        <v>1</v>
      </c>
      <c r="M988" s="4">
        <f t="shared" si="308"/>
        <v>21</v>
      </c>
      <c r="N988" s="4">
        <f t="shared" si="309"/>
        <v>14</v>
      </c>
      <c r="O988" s="4">
        <f t="shared" si="310"/>
        <v>9</v>
      </c>
      <c r="P988" s="4">
        <f t="shared" si="311"/>
        <v>2</v>
      </c>
      <c r="Q988" s="4">
        <f t="shared" si="312"/>
        <v>6</v>
      </c>
      <c r="R988" s="4">
        <f t="shared" si="313"/>
        <v>21</v>
      </c>
      <c r="S988" s="4">
        <f t="shared" si="314"/>
        <v>63</v>
      </c>
      <c r="T988" s="4">
        <f t="shared" si="315"/>
        <v>6</v>
      </c>
      <c r="U988" s="4">
        <f t="shared" si="316"/>
        <v>15</v>
      </c>
      <c r="V988" s="8">
        <f t="shared" si="317"/>
        <v>8</v>
      </c>
      <c r="W988" s="8">
        <f t="shared" si="318"/>
        <v>2</v>
      </c>
      <c r="X988">
        <f t="shared" si="319"/>
        <v>1</v>
      </c>
    </row>
    <row r="989" spans="1:24" x14ac:dyDescent="0.25">
      <c r="A989" s="4" t="s">
        <v>1015</v>
      </c>
      <c r="B989" t="s">
        <v>7</v>
      </c>
      <c r="C989" t="s">
        <v>6</v>
      </c>
      <c r="D989" s="3">
        <f t="shared" si="300"/>
        <v>11</v>
      </c>
      <c r="E989" s="4">
        <f t="shared" si="301"/>
        <v>24</v>
      </c>
      <c r="F989" s="4">
        <f t="shared" si="302"/>
        <v>15</v>
      </c>
      <c r="G989" s="3">
        <f>IF(E989&gt;=20,2000,1900) + D989</f>
        <v>2011</v>
      </c>
      <c r="H989">
        <f t="shared" si="303"/>
        <v>4</v>
      </c>
      <c r="I989" s="4">
        <f t="shared" si="304"/>
        <v>15</v>
      </c>
      <c r="J989">
        <f t="shared" si="305"/>
        <v>20112415</v>
      </c>
      <c r="K989" t="str">
        <f t="shared" si="306"/>
        <v>15.24.2011</v>
      </c>
      <c r="L989" s="4">
        <f t="shared" si="307"/>
        <v>1</v>
      </c>
      <c r="M989" s="4">
        <f t="shared" si="308"/>
        <v>3</v>
      </c>
      <c r="N989" s="4">
        <f t="shared" si="309"/>
        <v>14</v>
      </c>
      <c r="O989" s="4">
        <f t="shared" si="310"/>
        <v>36</v>
      </c>
      <c r="P989" s="4">
        <f t="shared" si="311"/>
        <v>1</v>
      </c>
      <c r="Q989" s="4">
        <f t="shared" si="312"/>
        <v>15</v>
      </c>
      <c r="R989" s="4">
        <f t="shared" si="313"/>
        <v>63</v>
      </c>
      <c r="S989" s="4">
        <f t="shared" si="314"/>
        <v>27</v>
      </c>
      <c r="T989" s="4">
        <f t="shared" si="315"/>
        <v>1</v>
      </c>
      <c r="U989" s="4">
        <f t="shared" si="316"/>
        <v>21</v>
      </c>
      <c r="V989" s="8">
        <f t="shared" si="317"/>
        <v>2</v>
      </c>
      <c r="W989" s="8">
        <f t="shared" si="318"/>
        <v>8</v>
      </c>
      <c r="X989">
        <f t="shared" si="319"/>
        <v>1</v>
      </c>
    </row>
    <row r="990" spans="1:24" x14ac:dyDescent="0.25">
      <c r="A990" s="4" t="s">
        <v>1016</v>
      </c>
      <c r="B990" t="s">
        <v>12</v>
      </c>
      <c r="C990" t="s">
        <v>4</v>
      </c>
      <c r="D990" s="3">
        <f t="shared" si="300"/>
        <v>18</v>
      </c>
      <c r="E990" s="4">
        <f t="shared" si="301"/>
        <v>22</v>
      </c>
      <c r="F990" s="4">
        <f t="shared" si="302"/>
        <v>22</v>
      </c>
      <c r="G990" s="3">
        <f>IF(E990&gt;=20,2000,1900) + D990</f>
        <v>2018</v>
      </c>
      <c r="H990">
        <f t="shared" si="303"/>
        <v>2</v>
      </c>
      <c r="I990" s="4">
        <f t="shared" si="304"/>
        <v>22</v>
      </c>
      <c r="J990">
        <f t="shared" si="305"/>
        <v>20182222</v>
      </c>
      <c r="K990" t="str">
        <f t="shared" si="306"/>
        <v>22.22.2018</v>
      </c>
      <c r="L990" s="4">
        <f t="shared" si="307"/>
        <v>1</v>
      </c>
      <c r="M990" s="4">
        <f t="shared" si="308"/>
        <v>24</v>
      </c>
      <c r="N990" s="4">
        <f t="shared" si="309"/>
        <v>14</v>
      </c>
      <c r="O990" s="4">
        <f t="shared" si="310"/>
        <v>18</v>
      </c>
      <c r="P990" s="4">
        <f t="shared" si="311"/>
        <v>2</v>
      </c>
      <c r="Q990" s="4">
        <f t="shared" si="312"/>
        <v>6</v>
      </c>
      <c r="R990" s="4">
        <f t="shared" si="313"/>
        <v>42</v>
      </c>
      <c r="S990" s="4">
        <f t="shared" si="314"/>
        <v>36</v>
      </c>
      <c r="T990" s="4">
        <f t="shared" si="315"/>
        <v>6</v>
      </c>
      <c r="U990" s="4">
        <f t="shared" si="316"/>
        <v>18</v>
      </c>
      <c r="V990" s="8">
        <f t="shared" si="317"/>
        <v>7</v>
      </c>
      <c r="W990" s="8">
        <f t="shared" si="318"/>
        <v>3</v>
      </c>
      <c r="X990">
        <f t="shared" si="319"/>
        <v>1</v>
      </c>
    </row>
    <row r="991" spans="1:24" x14ac:dyDescent="0.25">
      <c r="A991" s="4" t="s">
        <v>1017</v>
      </c>
      <c r="B991" t="s">
        <v>10</v>
      </c>
      <c r="C991" t="s">
        <v>4</v>
      </c>
      <c r="D991" s="3">
        <f t="shared" si="300"/>
        <v>4</v>
      </c>
      <c r="E991" s="4">
        <f t="shared" si="301"/>
        <v>31</v>
      </c>
      <c r="F991" s="4">
        <f t="shared" si="302"/>
        <v>19</v>
      </c>
      <c r="G991" s="3">
        <f>IF(E991&gt;=20,2000,1900) + D991</f>
        <v>2004</v>
      </c>
      <c r="H991">
        <f t="shared" si="303"/>
        <v>11</v>
      </c>
      <c r="I991" s="4">
        <f t="shared" si="304"/>
        <v>19</v>
      </c>
      <c r="J991">
        <f t="shared" si="305"/>
        <v>20043119</v>
      </c>
      <c r="K991" t="str">
        <f t="shared" si="306"/>
        <v>19.31.2004</v>
      </c>
      <c r="L991" s="4">
        <f t="shared" si="307"/>
        <v>0</v>
      </c>
      <c r="M991" s="4">
        <f t="shared" si="308"/>
        <v>12</v>
      </c>
      <c r="N991" s="4">
        <f t="shared" si="309"/>
        <v>21</v>
      </c>
      <c r="O991" s="4">
        <f t="shared" si="310"/>
        <v>9</v>
      </c>
      <c r="P991" s="4">
        <f t="shared" si="311"/>
        <v>1</v>
      </c>
      <c r="Q991" s="4">
        <f t="shared" si="312"/>
        <v>27</v>
      </c>
      <c r="R991" s="4">
        <f t="shared" si="313"/>
        <v>7</v>
      </c>
      <c r="S991" s="4">
        <f t="shared" si="314"/>
        <v>36</v>
      </c>
      <c r="T991" s="4">
        <f t="shared" si="315"/>
        <v>0</v>
      </c>
      <c r="U991" s="4">
        <f t="shared" si="316"/>
        <v>3</v>
      </c>
      <c r="V991" s="8">
        <f t="shared" si="317"/>
        <v>6</v>
      </c>
      <c r="W991" s="8">
        <f t="shared" si="318"/>
        <v>4</v>
      </c>
      <c r="X991">
        <f t="shared" si="319"/>
        <v>1</v>
      </c>
    </row>
    <row r="992" spans="1:24" x14ac:dyDescent="0.25">
      <c r="A992" s="4" t="s">
        <v>1018</v>
      </c>
      <c r="B992" t="s">
        <v>3</v>
      </c>
      <c r="C992" t="s">
        <v>6</v>
      </c>
      <c r="D992" s="3">
        <f t="shared" si="300"/>
        <v>6</v>
      </c>
      <c r="E992" s="4">
        <f t="shared" si="301"/>
        <v>26</v>
      </c>
      <c r="F992" s="4">
        <f t="shared" si="302"/>
        <v>1</v>
      </c>
      <c r="G992" s="3">
        <f>IF(E992&gt;=20,2000,1900) + D992</f>
        <v>2006</v>
      </c>
      <c r="H992">
        <f t="shared" si="303"/>
        <v>6</v>
      </c>
      <c r="I992" s="4">
        <f t="shared" si="304"/>
        <v>1</v>
      </c>
      <c r="J992">
        <f t="shared" si="305"/>
        <v>20062601</v>
      </c>
      <c r="K992" t="str">
        <f t="shared" si="306"/>
        <v>01.26.2006</v>
      </c>
      <c r="L992" s="4">
        <f t="shared" si="307"/>
        <v>0</v>
      </c>
      <c r="M992" s="4">
        <f t="shared" si="308"/>
        <v>18</v>
      </c>
      <c r="N992" s="4">
        <f t="shared" si="309"/>
        <v>14</v>
      </c>
      <c r="O992" s="4">
        <f t="shared" si="310"/>
        <v>54</v>
      </c>
      <c r="P992" s="4">
        <f t="shared" si="311"/>
        <v>0</v>
      </c>
      <c r="Q992" s="4">
        <f t="shared" si="312"/>
        <v>3</v>
      </c>
      <c r="R992" s="4">
        <f t="shared" si="313"/>
        <v>21</v>
      </c>
      <c r="S992" s="4">
        <f t="shared" si="314"/>
        <v>45</v>
      </c>
      <c r="T992" s="4">
        <f t="shared" si="315"/>
        <v>8</v>
      </c>
      <c r="U992" s="4">
        <f t="shared" si="316"/>
        <v>6</v>
      </c>
      <c r="V992" s="8">
        <f t="shared" si="317"/>
        <v>9</v>
      </c>
      <c r="W992" s="8">
        <f t="shared" si="318"/>
        <v>1</v>
      </c>
      <c r="X992">
        <f t="shared" si="319"/>
        <v>1</v>
      </c>
    </row>
    <row r="993" spans="1:24" x14ac:dyDescent="0.25">
      <c r="A993" s="4" t="s">
        <v>1019</v>
      </c>
      <c r="B993" t="s">
        <v>13</v>
      </c>
      <c r="C993" t="s">
        <v>6</v>
      </c>
      <c r="D993" s="3">
        <f t="shared" si="300"/>
        <v>6</v>
      </c>
      <c r="E993" s="4">
        <f t="shared" si="301"/>
        <v>22</v>
      </c>
      <c r="F993" s="4">
        <f t="shared" si="302"/>
        <v>4</v>
      </c>
      <c r="G993" s="3">
        <f>IF(E993&gt;=20,2000,1900) + D993</f>
        <v>2006</v>
      </c>
      <c r="H993">
        <f t="shared" si="303"/>
        <v>2</v>
      </c>
      <c r="I993" s="4">
        <f t="shared" si="304"/>
        <v>4</v>
      </c>
      <c r="J993">
        <f t="shared" si="305"/>
        <v>20062204</v>
      </c>
      <c r="K993" t="str">
        <f t="shared" si="306"/>
        <v>04.22.2006</v>
      </c>
      <c r="L993" s="4">
        <f t="shared" si="307"/>
        <v>0</v>
      </c>
      <c r="M993" s="4">
        <f t="shared" si="308"/>
        <v>18</v>
      </c>
      <c r="N993" s="4">
        <f t="shared" si="309"/>
        <v>14</v>
      </c>
      <c r="O993" s="4">
        <f t="shared" si="310"/>
        <v>18</v>
      </c>
      <c r="P993" s="4">
        <f t="shared" si="311"/>
        <v>0</v>
      </c>
      <c r="Q993" s="4">
        <f t="shared" si="312"/>
        <v>12</v>
      </c>
      <c r="R993" s="4">
        <f t="shared" si="313"/>
        <v>14</v>
      </c>
      <c r="S993" s="4">
        <f t="shared" si="314"/>
        <v>36</v>
      </c>
      <c r="T993" s="4">
        <f t="shared" si="315"/>
        <v>8</v>
      </c>
      <c r="U993" s="4">
        <f t="shared" si="316"/>
        <v>3</v>
      </c>
      <c r="V993" s="8">
        <f t="shared" si="317"/>
        <v>3</v>
      </c>
      <c r="W993" s="8">
        <f t="shared" si="318"/>
        <v>7</v>
      </c>
      <c r="X993">
        <f t="shared" si="319"/>
        <v>1</v>
      </c>
    </row>
    <row r="994" spans="1:24" x14ac:dyDescent="0.25">
      <c r="A994" s="4" t="s">
        <v>1020</v>
      </c>
      <c r="B994" t="s">
        <v>11</v>
      </c>
      <c r="C994" t="s">
        <v>4</v>
      </c>
      <c r="D994" s="3">
        <f t="shared" si="300"/>
        <v>22</v>
      </c>
      <c r="E994" s="4">
        <f t="shared" si="301"/>
        <v>26</v>
      </c>
      <c r="F994" s="4">
        <f t="shared" si="302"/>
        <v>12</v>
      </c>
      <c r="G994" s="3">
        <f>IF(E994&gt;=20,2000,1900) + D994</f>
        <v>2022</v>
      </c>
      <c r="H994">
        <f t="shared" si="303"/>
        <v>6</v>
      </c>
      <c r="I994" s="4">
        <f t="shared" si="304"/>
        <v>12</v>
      </c>
      <c r="J994">
        <f t="shared" si="305"/>
        <v>20222612</v>
      </c>
      <c r="K994" t="str">
        <f t="shared" si="306"/>
        <v>12.26.2022</v>
      </c>
      <c r="L994" s="4">
        <f t="shared" si="307"/>
        <v>2</v>
      </c>
      <c r="M994" s="4">
        <f t="shared" si="308"/>
        <v>6</v>
      </c>
      <c r="N994" s="4">
        <f t="shared" si="309"/>
        <v>14</v>
      </c>
      <c r="O994" s="4">
        <f t="shared" si="310"/>
        <v>54</v>
      </c>
      <c r="P994" s="4">
        <f t="shared" si="311"/>
        <v>1</v>
      </c>
      <c r="Q994" s="4">
        <f t="shared" si="312"/>
        <v>6</v>
      </c>
      <c r="R994" s="4">
        <f t="shared" si="313"/>
        <v>35</v>
      </c>
      <c r="S994" s="4">
        <f t="shared" si="314"/>
        <v>9</v>
      </c>
      <c r="T994" s="4">
        <f t="shared" si="315"/>
        <v>8</v>
      </c>
      <c r="U994" s="4">
        <f t="shared" si="316"/>
        <v>21</v>
      </c>
      <c r="V994" s="8">
        <f t="shared" si="317"/>
        <v>6</v>
      </c>
      <c r="W994" s="8">
        <f t="shared" si="318"/>
        <v>4</v>
      </c>
      <c r="X994">
        <f t="shared" si="319"/>
        <v>1</v>
      </c>
    </row>
    <row r="995" spans="1:24" x14ac:dyDescent="0.25">
      <c r="A995" s="4" t="s">
        <v>1021</v>
      </c>
      <c r="B995" t="s">
        <v>13</v>
      </c>
      <c r="C995" t="s">
        <v>6</v>
      </c>
      <c r="D995" s="3">
        <f t="shared" si="300"/>
        <v>19</v>
      </c>
      <c r="E995" s="4">
        <f t="shared" si="301"/>
        <v>29</v>
      </c>
      <c r="F995" s="4">
        <f t="shared" si="302"/>
        <v>15</v>
      </c>
      <c r="G995" s="3">
        <f>IF(E995&gt;=20,2000,1900) + D995</f>
        <v>2019</v>
      </c>
      <c r="H995">
        <f t="shared" si="303"/>
        <v>9</v>
      </c>
      <c r="I995" s="4">
        <f t="shared" si="304"/>
        <v>15</v>
      </c>
      <c r="J995">
        <f t="shared" si="305"/>
        <v>20192915</v>
      </c>
      <c r="K995" t="str">
        <f t="shared" si="306"/>
        <v>15.29.2019</v>
      </c>
      <c r="L995" s="4">
        <f t="shared" si="307"/>
        <v>1</v>
      </c>
      <c r="M995" s="4">
        <f t="shared" si="308"/>
        <v>27</v>
      </c>
      <c r="N995" s="4">
        <f t="shared" si="309"/>
        <v>14</v>
      </c>
      <c r="O995" s="4">
        <f t="shared" si="310"/>
        <v>81</v>
      </c>
      <c r="P995" s="4">
        <f t="shared" si="311"/>
        <v>1</v>
      </c>
      <c r="Q995" s="4">
        <f t="shared" si="312"/>
        <v>15</v>
      </c>
      <c r="R995" s="4">
        <f t="shared" si="313"/>
        <v>7</v>
      </c>
      <c r="S995" s="4">
        <f t="shared" si="314"/>
        <v>54</v>
      </c>
      <c r="T995" s="4">
        <f t="shared" si="315"/>
        <v>7</v>
      </c>
      <c r="U995" s="4">
        <f t="shared" si="316"/>
        <v>21</v>
      </c>
      <c r="V995" s="8">
        <f t="shared" si="317"/>
        <v>8</v>
      </c>
      <c r="W995" s="8">
        <f t="shared" si="318"/>
        <v>2</v>
      </c>
      <c r="X995">
        <f t="shared" si="319"/>
        <v>1</v>
      </c>
    </row>
    <row r="996" spans="1:24" x14ac:dyDescent="0.25">
      <c r="A996" s="4" t="s">
        <v>1022</v>
      </c>
      <c r="B996" t="s">
        <v>5</v>
      </c>
      <c r="C996" t="s">
        <v>4</v>
      </c>
      <c r="D996" s="3">
        <f t="shared" si="300"/>
        <v>1</v>
      </c>
      <c r="E996" s="4">
        <f t="shared" si="301"/>
        <v>31</v>
      </c>
      <c r="F996" s="4">
        <f t="shared" si="302"/>
        <v>3</v>
      </c>
      <c r="G996" s="3">
        <f>IF(E996&gt;=20,2000,1900) + D996</f>
        <v>2001</v>
      </c>
      <c r="H996">
        <f t="shared" si="303"/>
        <v>11</v>
      </c>
      <c r="I996" s="4">
        <f t="shared" si="304"/>
        <v>3</v>
      </c>
      <c r="J996">
        <f t="shared" si="305"/>
        <v>20013103</v>
      </c>
      <c r="K996" t="str">
        <f t="shared" si="306"/>
        <v>03.31.2001</v>
      </c>
      <c r="L996" s="4">
        <f t="shared" si="307"/>
        <v>0</v>
      </c>
      <c r="M996" s="4">
        <f t="shared" si="308"/>
        <v>3</v>
      </c>
      <c r="N996" s="4">
        <f t="shared" si="309"/>
        <v>21</v>
      </c>
      <c r="O996" s="4">
        <f t="shared" si="310"/>
        <v>9</v>
      </c>
      <c r="P996" s="4">
        <f t="shared" si="311"/>
        <v>0</v>
      </c>
      <c r="Q996" s="4">
        <f t="shared" si="312"/>
        <v>9</v>
      </c>
      <c r="R996" s="4">
        <f t="shared" si="313"/>
        <v>49</v>
      </c>
      <c r="S996" s="4">
        <f t="shared" si="314"/>
        <v>72</v>
      </c>
      <c r="T996" s="4">
        <f t="shared" si="315"/>
        <v>9</v>
      </c>
      <c r="U996" s="4">
        <f t="shared" si="316"/>
        <v>6</v>
      </c>
      <c r="V996" s="8">
        <f t="shared" si="317"/>
        <v>8</v>
      </c>
      <c r="W996" s="8">
        <f t="shared" si="318"/>
        <v>2</v>
      </c>
      <c r="X996">
        <f t="shared" si="319"/>
        <v>1</v>
      </c>
    </row>
    <row r="997" spans="1:24" x14ac:dyDescent="0.25">
      <c r="A997" s="4" t="s">
        <v>1023</v>
      </c>
      <c r="B997" t="s">
        <v>15</v>
      </c>
      <c r="C997" t="s">
        <v>6</v>
      </c>
      <c r="D997" s="3">
        <f t="shared" si="300"/>
        <v>16</v>
      </c>
      <c r="E997" s="4">
        <f t="shared" si="301"/>
        <v>23</v>
      </c>
      <c r="F997" s="4">
        <f t="shared" si="302"/>
        <v>24</v>
      </c>
      <c r="G997" s="3">
        <f>IF(E997&gt;=20,2000,1900) + D997</f>
        <v>2016</v>
      </c>
      <c r="H997">
        <f t="shared" si="303"/>
        <v>3</v>
      </c>
      <c r="I997" s="4">
        <f t="shared" si="304"/>
        <v>24</v>
      </c>
      <c r="J997">
        <f t="shared" si="305"/>
        <v>20162324</v>
      </c>
      <c r="K997" t="str">
        <f t="shared" si="306"/>
        <v>24.23.2016</v>
      </c>
      <c r="L997" s="4">
        <f t="shared" si="307"/>
        <v>1</v>
      </c>
      <c r="M997" s="4">
        <f t="shared" si="308"/>
        <v>18</v>
      </c>
      <c r="N997" s="4">
        <f t="shared" si="309"/>
        <v>14</v>
      </c>
      <c r="O997" s="4">
        <f t="shared" si="310"/>
        <v>27</v>
      </c>
      <c r="P997" s="4">
        <f t="shared" si="311"/>
        <v>2</v>
      </c>
      <c r="Q997" s="4">
        <f t="shared" si="312"/>
        <v>12</v>
      </c>
      <c r="R997" s="4">
        <f t="shared" si="313"/>
        <v>7</v>
      </c>
      <c r="S997" s="4">
        <f t="shared" si="314"/>
        <v>54</v>
      </c>
      <c r="T997" s="4">
        <f t="shared" si="315"/>
        <v>8</v>
      </c>
      <c r="U997" s="4">
        <f t="shared" si="316"/>
        <v>9</v>
      </c>
      <c r="V997" s="8">
        <f t="shared" si="317"/>
        <v>2</v>
      </c>
      <c r="W997" s="8">
        <f t="shared" si="318"/>
        <v>8</v>
      </c>
      <c r="X997">
        <f t="shared" si="319"/>
        <v>1</v>
      </c>
    </row>
    <row r="998" spans="1:24" x14ac:dyDescent="0.25">
      <c r="A998" s="4" t="s">
        <v>1024</v>
      </c>
      <c r="B998" t="s">
        <v>19</v>
      </c>
      <c r="C998" t="s">
        <v>6</v>
      </c>
      <c r="D998" s="3">
        <f t="shared" si="300"/>
        <v>2</v>
      </c>
      <c r="E998" s="4">
        <f t="shared" si="301"/>
        <v>24</v>
      </c>
      <c r="F998" s="4">
        <f t="shared" si="302"/>
        <v>7</v>
      </c>
      <c r="G998" s="3">
        <f>IF(E998&gt;=20,2000,1900) + D998</f>
        <v>2002</v>
      </c>
      <c r="H998">
        <f t="shared" si="303"/>
        <v>4</v>
      </c>
      <c r="I998" s="4">
        <f t="shared" si="304"/>
        <v>7</v>
      </c>
      <c r="J998">
        <f t="shared" si="305"/>
        <v>20022407</v>
      </c>
      <c r="K998" t="str">
        <f t="shared" si="306"/>
        <v>07.24.2002</v>
      </c>
      <c r="L998" s="4">
        <f t="shared" si="307"/>
        <v>0</v>
      </c>
      <c r="M998" s="4">
        <f t="shared" si="308"/>
        <v>6</v>
      </c>
      <c r="N998" s="4">
        <f t="shared" si="309"/>
        <v>14</v>
      </c>
      <c r="O998" s="4">
        <f t="shared" si="310"/>
        <v>36</v>
      </c>
      <c r="P998" s="4">
        <f t="shared" si="311"/>
        <v>0</v>
      </c>
      <c r="Q998" s="4">
        <f t="shared" si="312"/>
        <v>21</v>
      </c>
      <c r="R998" s="4">
        <f t="shared" si="313"/>
        <v>14</v>
      </c>
      <c r="S998" s="4">
        <f t="shared" si="314"/>
        <v>63</v>
      </c>
      <c r="T998" s="4">
        <f t="shared" si="315"/>
        <v>6</v>
      </c>
      <c r="U998" s="4">
        <f t="shared" si="316"/>
        <v>21</v>
      </c>
      <c r="V998" s="8">
        <f t="shared" si="317"/>
        <v>1</v>
      </c>
      <c r="W998" s="8">
        <f t="shared" si="318"/>
        <v>9</v>
      </c>
      <c r="X998">
        <f t="shared" si="319"/>
        <v>1</v>
      </c>
    </row>
    <row r="999" spans="1:24" x14ac:dyDescent="0.25">
      <c r="A999" s="4" t="s">
        <v>1025</v>
      </c>
      <c r="B999" t="s">
        <v>7</v>
      </c>
      <c r="C999" t="s">
        <v>4</v>
      </c>
      <c r="D999" s="3">
        <f t="shared" si="300"/>
        <v>6</v>
      </c>
      <c r="E999" s="4">
        <f t="shared" si="301"/>
        <v>27</v>
      </c>
      <c r="F999" s="4">
        <f t="shared" si="302"/>
        <v>4</v>
      </c>
      <c r="G999" s="3">
        <f>IF(E999&gt;=20,2000,1900) + D999</f>
        <v>2006</v>
      </c>
      <c r="H999">
        <f t="shared" si="303"/>
        <v>7</v>
      </c>
      <c r="I999" s="4">
        <f t="shared" si="304"/>
        <v>4</v>
      </c>
      <c r="J999">
        <f t="shared" si="305"/>
        <v>20062704</v>
      </c>
      <c r="K999" t="str">
        <f t="shared" si="306"/>
        <v>04.27.2006</v>
      </c>
      <c r="L999" s="4">
        <f t="shared" si="307"/>
        <v>0</v>
      </c>
      <c r="M999" s="4">
        <f t="shared" si="308"/>
        <v>18</v>
      </c>
      <c r="N999" s="4">
        <f t="shared" si="309"/>
        <v>14</v>
      </c>
      <c r="O999" s="4">
        <f t="shared" si="310"/>
        <v>63</v>
      </c>
      <c r="P999" s="4">
        <f t="shared" si="311"/>
        <v>0</v>
      </c>
      <c r="Q999" s="4">
        <f t="shared" si="312"/>
        <v>12</v>
      </c>
      <c r="R999" s="4">
        <f t="shared" si="313"/>
        <v>56</v>
      </c>
      <c r="S999" s="4">
        <f t="shared" si="314"/>
        <v>63</v>
      </c>
      <c r="T999" s="4">
        <f t="shared" si="315"/>
        <v>2</v>
      </c>
      <c r="U999" s="4">
        <f t="shared" si="316"/>
        <v>24</v>
      </c>
      <c r="V999" s="8">
        <f t="shared" si="317"/>
        <v>2</v>
      </c>
      <c r="W999" s="8">
        <f t="shared" si="318"/>
        <v>8</v>
      </c>
      <c r="X999">
        <f t="shared" si="319"/>
        <v>1</v>
      </c>
    </row>
    <row r="1000" spans="1:24" x14ac:dyDescent="0.25">
      <c r="A1000" s="4" t="s">
        <v>1026</v>
      </c>
      <c r="B1000" t="s">
        <v>8</v>
      </c>
      <c r="C1000" t="s">
        <v>4</v>
      </c>
      <c r="D1000" s="3">
        <f t="shared" si="300"/>
        <v>4</v>
      </c>
      <c r="E1000" s="4">
        <f t="shared" si="301"/>
        <v>24</v>
      </c>
      <c r="F1000" s="4">
        <f t="shared" si="302"/>
        <v>18</v>
      </c>
      <c r="G1000" s="3">
        <f>IF(E1000&gt;=20,2000,1900) + D1000</f>
        <v>2004</v>
      </c>
      <c r="H1000">
        <f t="shared" si="303"/>
        <v>4</v>
      </c>
      <c r="I1000" s="4">
        <f t="shared" si="304"/>
        <v>18</v>
      </c>
      <c r="J1000">
        <f t="shared" si="305"/>
        <v>20042418</v>
      </c>
      <c r="K1000" t="str">
        <f t="shared" si="306"/>
        <v>18.24.2004</v>
      </c>
      <c r="L1000" s="4">
        <f t="shared" si="307"/>
        <v>0</v>
      </c>
      <c r="M1000" s="4">
        <f t="shared" si="308"/>
        <v>12</v>
      </c>
      <c r="N1000" s="4">
        <f t="shared" si="309"/>
        <v>14</v>
      </c>
      <c r="O1000" s="4">
        <f t="shared" si="310"/>
        <v>36</v>
      </c>
      <c r="P1000" s="4">
        <f t="shared" si="311"/>
        <v>1</v>
      </c>
      <c r="Q1000" s="4">
        <f t="shared" si="312"/>
        <v>24</v>
      </c>
      <c r="R1000" s="4">
        <f t="shared" si="313"/>
        <v>42</v>
      </c>
      <c r="S1000" s="4">
        <f t="shared" si="314"/>
        <v>81</v>
      </c>
      <c r="T1000" s="4">
        <f t="shared" si="315"/>
        <v>4</v>
      </c>
      <c r="U1000" s="4">
        <f t="shared" si="316"/>
        <v>21</v>
      </c>
      <c r="V1000" s="8">
        <f t="shared" si="317"/>
        <v>5</v>
      </c>
      <c r="W1000" s="8">
        <f t="shared" si="318"/>
        <v>5</v>
      </c>
      <c r="X1000">
        <f t="shared" si="319"/>
        <v>1</v>
      </c>
    </row>
    <row r="1001" spans="1:24" x14ac:dyDescent="0.25">
      <c r="A1001" s="4" t="s">
        <v>1027</v>
      </c>
      <c r="B1001" t="s">
        <v>14</v>
      </c>
      <c r="C1001" t="s">
        <v>6</v>
      </c>
      <c r="D1001" s="3">
        <f t="shared" si="300"/>
        <v>17</v>
      </c>
      <c r="E1001" s="4">
        <f t="shared" si="301"/>
        <v>32</v>
      </c>
      <c r="F1001" s="4">
        <f t="shared" si="302"/>
        <v>4</v>
      </c>
      <c r="G1001" s="3">
        <f>IF(E1001&gt;=20,2000,1900) + D1001</f>
        <v>2017</v>
      </c>
      <c r="H1001">
        <f t="shared" si="303"/>
        <v>12</v>
      </c>
      <c r="I1001" s="4">
        <f t="shared" si="304"/>
        <v>4</v>
      </c>
      <c r="J1001">
        <f t="shared" si="305"/>
        <v>20173204</v>
      </c>
      <c r="K1001" t="str">
        <f t="shared" si="306"/>
        <v>04.32.2017</v>
      </c>
      <c r="L1001" s="4">
        <f t="shared" si="307"/>
        <v>1</v>
      </c>
      <c r="M1001" s="4">
        <f t="shared" si="308"/>
        <v>21</v>
      </c>
      <c r="N1001" s="4">
        <f t="shared" si="309"/>
        <v>21</v>
      </c>
      <c r="O1001" s="4">
        <f t="shared" si="310"/>
        <v>18</v>
      </c>
      <c r="P1001" s="4">
        <f t="shared" si="311"/>
        <v>0</v>
      </c>
      <c r="Q1001" s="4">
        <f t="shared" si="312"/>
        <v>12</v>
      </c>
      <c r="R1001" s="4">
        <f t="shared" si="313"/>
        <v>35</v>
      </c>
      <c r="S1001" s="4">
        <f t="shared" si="314"/>
        <v>63</v>
      </c>
      <c r="T1001" s="4">
        <f t="shared" si="315"/>
        <v>3</v>
      </c>
      <c r="U1001" s="4">
        <f t="shared" si="316"/>
        <v>27</v>
      </c>
      <c r="V1001" s="8">
        <f t="shared" si="317"/>
        <v>1</v>
      </c>
      <c r="W1001" s="8">
        <f t="shared" si="318"/>
        <v>9</v>
      </c>
      <c r="X1001">
        <f t="shared" si="319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activeCell="L2" sqref="L2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  <col min="4" max="6" width="9.140625" style="3"/>
    <col min="7" max="7" width="16.7109375" style="3" customWidth="1"/>
    <col min="10" max="10" width="12.7109375" bestFit="1" customWidth="1"/>
  </cols>
  <sheetData>
    <row r="1" spans="1:13" x14ac:dyDescent="0.25">
      <c r="A1" s="4" t="s">
        <v>0</v>
      </c>
      <c r="B1" t="s">
        <v>1</v>
      </c>
      <c r="C1" t="s">
        <v>2</v>
      </c>
      <c r="D1" s="3" t="s">
        <v>27</v>
      </c>
      <c r="E1" s="3" t="s">
        <v>1028</v>
      </c>
      <c r="F1" s="3" t="s">
        <v>1029</v>
      </c>
      <c r="G1" s="3" t="s">
        <v>27</v>
      </c>
      <c r="H1" s="3" t="s">
        <v>1028</v>
      </c>
      <c r="I1" s="3" t="s">
        <v>1029</v>
      </c>
      <c r="J1" s="3" t="s">
        <v>1030</v>
      </c>
      <c r="K1" s="3" t="s">
        <v>1040</v>
      </c>
      <c r="L1" s="5" t="s">
        <v>1038</v>
      </c>
      <c r="M1" s="5" t="s">
        <v>1039</v>
      </c>
    </row>
    <row r="2" spans="1:13" x14ac:dyDescent="0.25">
      <c r="A2" s="4" t="s">
        <v>28</v>
      </c>
      <c r="B2" t="s">
        <v>3</v>
      </c>
      <c r="C2" t="s">
        <v>4</v>
      </c>
      <c r="D2" s="3">
        <f>MID(A2,1,2)*1</f>
        <v>93</v>
      </c>
      <c r="E2" s="4">
        <f>MID(A2,3,2)*1</f>
        <v>7</v>
      </c>
      <c r="F2" s="4">
        <f>MID(A2,5,2)*1</f>
        <v>12</v>
      </c>
      <c r="G2" s="3">
        <f>IF(E2&gt;=20,2000,1900) + D2</f>
        <v>1993</v>
      </c>
      <c r="H2">
        <f>IF(E2&gt;=20,E2-20,E2)</f>
        <v>7</v>
      </c>
      <c r="I2" s="4">
        <f>F2</f>
        <v>12</v>
      </c>
      <c r="J2">
        <f>CONCATENATE(G2,IF(LEN(E2)=1,CONCATENATE("0",E2),E2),IF(LEN(F2)=1,CONCATENATE("0",F2),F2))*1</f>
        <v>19930712</v>
      </c>
      <c r="K2">
        <f>IF(G2&lt;=2000,20,21)</f>
        <v>20</v>
      </c>
      <c r="L2" s="5">
        <f>COUNTIF(K:K,20)</f>
        <v>617</v>
      </c>
      <c r="M2" s="5">
        <f>COUNTIF(K:K,21)</f>
        <v>383</v>
      </c>
    </row>
    <row r="3" spans="1:13" x14ac:dyDescent="0.25">
      <c r="A3" s="4" t="s">
        <v>29</v>
      </c>
      <c r="B3" t="s">
        <v>5</v>
      </c>
      <c r="C3" t="s">
        <v>6</v>
      </c>
      <c r="D3" s="3">
        <f t="shared" ref="D3:D66" si="0">MID(A3,1,2)*1</f>
        <v>71</v>
      </c>
      <c r="E3" s="4">
        <f t="shared" ref="E3:E66" si="1">MID(A3,3,2)*1</f>
        <v>10</v>
      </c>
      <c r="F3" s="4">
        <f t="shared" ref="F3:F66" si="2">MID(A3,5,2)*1</f>
        <v>1</v>
      </c>
      <c r="G3" s="3">
        <f>IF(E3&gt;=20,2000,1900) + D3</f>
        <v>1971</v>
      </c>
      <c r="H3">
        <f t="shared" ref="H3:H66" si="3">IF(E3&gt;=20,E3-20,E3)</f>
        <v>10</v>
      </c>
      <c r="I3" s="4">
        <f t="shared" ref="I3:I66" si="4">F3</f>
        <v>1</v>
      </c>
      <c r="J3">
        <f t="shared" ref="J3:J66" si="5">CONCATENATE(G3,IF(LEN(E3)=1,CONCATENATE("0",E3),E3),IF(LEN(F3)=1,CONCATENATE("0",F3),F3))*1</f>
        <v>19711001</v>
      </c>
      <c r="K3">
        <f t="shared" ref="K3:K66" si="6">IF(G3&lt;=2000,20,21)</f>
        <v>20</v>
      </c>
    </row>
    <row r="4" spans="1:13" x14ac:dyDescent="0.25">
      <c r="A4" s="4" t="s">
        <v>30</v>
      </c>
      <c r="B4" t="s">
        <v>7</v>
      </c>
      <c r="C4" t="s">
        <v>6</v>
      </c>
      <c r="D4" s="3">
        <f t="shared" si="0"/>
        <v>81</v>
      </c>
      <c r="E4" s="4">
        <f t="shared" si="1"/>
        <v>4</v>
      </c>
      <c r="F4" s="4">
        <f t="shared" si="2"/>
        <v>23</v>
      </c>
      <c r="G4" s="3">
        <f>IF(E4&gt;=20,2000,1900) + D4</f>
        <v>1981</v>
      </c>
      <c r="H4">
        <f t="shared" si="3"/>
        <v>4</v>
      </c>
      <c r="I4" s="4">
        <f t="shared" si="4"/>
        <v>23</v>
      </c>
      <c r="J4">
        <f t="shared" si="5"/>
        <v>19810423</v>
      </c>
      <c r="K4">
        <f t="shared" si="6"/>
        <v>20</v>
      </c>
    </row>
    <row r="5" spans="1:13" x14ac:dyDescent="0.25">
      <c r="A5" s="4" t="s">
        <v>31</v>
      </c>
      <c r="B5" t="s">
        <v>8</v>
      </c>
      <c r="C5" t="s">
        <v>4</v>
      </c>
      <c r="D5" s="3">
        <f t="shared" si="0"/>
        <v>72</v>
      </c>
      <c r="E5" s="4">
        <f t="shared" si="1"/>
        <v>8</v>
      </c>
      <c r="F5" s="4">
        <f t="shared" si="2"/>
        <v>31</v>
      </c>
      <c r="G5" s="3">
        <f>IF(E5&gt;=20,2000,1900) + D5</f>
        <v>1972</v>
      </c>
      <c r="H5">
        <f t="shared" si="3"/>
        <v>8</v>
      </c>
      <c r="I5" s="4">
        <f t="shared" si="4"/>
        <v>31</v>
      </c>
      <c r="J5">
        <f t="shared" si="5"/>
        <v>19720831</v>
      </c>
      <c r="K5">
        <f t="shared" si="6"/>
        <v>20</v>
      </c>
    </row>
    <row r="6" spans="1:13" x14ac:dyDescent="0.25">
      <c r="A6" s="4" t="s">
        <v>32</v>
      </c>
      <c r="B6" t="s">
        <v>9</v>
      </c>
      <c r="C6" t="s">
        <v>6</v>
      </c>
      <c r="D6" s="3">
        <f t="shared" si="0"/>
        <v>50</v>
      </c>
      <c r="E6" s="4">
        <f t="shared" si="1"/>
        <v>7</v>
      </c>
      <c r="F6" s="4">
        <f t="shared" si="2"/>
        <v>28</v>
      </c>
      <c r="G6" s="3">
        <f>IF(E6&gt;=20,2000,1900) + D6</f>
        <v>1950</v>
      </c>
      <c r="H6">
        <f t="shared" si="3"/>
        <v>7</v>
      </c>
      <c r="I6" s="4">
        <f t="shared" si="4"/>
        <v>28</v>
      </c>
      <c r="J6">
        <f t="shared" si="5"/>
        <v>19500728</v>
      </c>
      <c r="K6">
        <f t="shared" si="6"/>
        <v>20</v>
      </c>
    </row>
    <row r="7" spans="1:13" x14ac:dyDescent="0.25">
      <c r="A7" s="4" t="s">
        <v>33</v>
      </c>
      <c r="B7" t="s">
        <v>10</v>
      </c>
      <c r="C7" t="s">
        <v>6</v>
      </c>
      <c r="D7" s="3">
        <f t="shared" si="0"/>
        <v>93</v>
      </c>
      <c r="E7" s="4">
        <f t="shared" si="1"/>
        <v>5</v>
      </c>
      <c r="F7" s="4">
        <f t="shared" si="2"/>
        <v>7</v>
      </c>
      <c r="G7" s="3">
        <f>IF(E7&gt;=20,2000,1900) + D7</f>
        <v>1993</v>
      </c>
      <c r="H7">
        <f t="shared" si="3"/>
        <v>5</v>
      </c>
      <c r="I7" s="4">
        <f t="shared" si="4"/>
        <v>7</v>
      </c>
      <c r="J7">
        <f t="shared" si="5"/>
        <v>19930507</v>
      </c>
      <c r="K7">
        <f t="shared" si="6"/>
        <v>20</v>
      </c>
    </row>
    <row r="8" spans="1:13" x14ac:dyDescent="0.25">
      <c r="A8" s="4" t="s">
        <v>34</v>
      </c>
      <c r="B8" t="s">
        <v>9</v>
      </c>
      <c r="C8" t="s">
        <v>6</v>
      </c>
      <c r="D8" s="3">
        <f t="shared" si="0"/>
        <v>72</v>
      </c>
      <c r="E8" s="4">
        <f t="shared" si="1"/>
        <v>8</v>
      </c>
      <c r="F8" s="4">
        <f t="shared" si="2"/>
        <v>14</v>
      </c>
      <c r="G8" s="3">
        <f>IF(E8&gt;=20,2000,1900) + D8</f>
        <v>1972</v>
      </c>
      <c r="H8">
        <f t="shared" si="3"/>
        <v>8</v>
      </c>
      <c r="I8" s="4">
        <f t="shared" si="4"/>
        <v>14</v>
      </c>
      <c r="J8">
        <f t="shared" si="5"/>
        <v>19720814</v>
      </c>
      <c r="K8">
        <f t="shared" si="6"/>
        <v>20</v>
      </c>
    </row>
    <row r="9" spans="1:13" x14ac:dyDescent="0.25">
      <c r="A9" s="4" t="s">
        <v>35</v>
      </c>
      <c r="B9" t="s">
        <v>8</v>
      </c>
      <c r="C9" t="s">
        <v>6</v>
      </c>
      <c r="D9" s="3">
        <f t="shared" si="0"/>
        <v>95</v>
      </c>
      <c r="E9" s="4">
        <f t="shared" si="1"/>
        <v>9</v>
      </c>
      <c r="F9" s="4">
        <f t="shared" si="2"/>
        <v>8</v>
      </c>
      <c r="G9" s="3">
        <f>IF(E9&gt;=20,2000,1900) + D9</f>
        <v>1995</v>
      </c>
      <c r="H9">
        <f t="shared" si="3"/>
        <v>9</v>
      </c>
      <c r="I9" s="4">
        <f t="shared" si="4"/>
        <v>8</v>
      </c>
      <c r="J9">
        <f t="shared" si="5"/>
        <v>19950908</v>
      </c>
      <c r="K9">
        <f t="shared" si="6"/>
        <v>20</v>
      </c>
    </row>
    <row r="10" spans="1:13" x14ac:dyDescent="0.25">
      <c r="A10" s="4" t="s">
        <v>36</v>
      </c>
      <c r="B10" t="s">
        <v>3</v>
      </c>
      <c r="C10" t="s">
        <v>4</v>
      </c>
      <c r="D10" s="3">
        <f t="shared" si="0"/>
        <v>61</v>
      </c>
      <c r="E10" s="4">
        <f t="shared" si="1"/>
        <v>12</v>
      </c>
      <c r="F10" s="4">
        <f t="shared" si="2"/>
        <v>10</v>
      </c>
      <c r="G10" s="3">
        <f>IF(E10&gt;=20,2000,1900) + D10</f>
        <v>1961</v>
      </c>
      <c r="H10">
        <f t="shared" si="3"/>
        <v>12</v>
      </c>
      <c r="I10" s="4">
        <f t="shared" si="4"/>
        <v>10</v>
      </c>
      <c r="J10">
        <f t="shared" si="5"/>
        <v>19611210</v>
      </c>
      <c r="K10">
        <f t="shared" si="6"/>
        <v>20</v>
      </c>
    </row>
    <row r="11" spans="1:13" x14ac:dyDescent="0.25">
      <c r="A11" s="4" t="s">
        <v>37</v>
      </c>
      <c r="B11" t="s">
        <v>10</v>
      </c>
      <c r="C11" t="s">
        <v>6</v>
      </c>
      <c r="D11" s="3">
        <f t="shared" si="0"/>
        <v>81</v>
      </c>
      <c r="E11" s="4">
        <f t="shared" si="1"/>
        <v>5</v>
      </c>
      <c r="F11" s="4">
        <f t="shared" si="2"/>
        <v>17</v>
      </c>
      <c r="G11" s="3">
        <f>IF(E11&gt;=20,2000,1900) + D11</f>
        <v>1981</v>
      </c>
      <c r="H11">
        <f t="shared" si="3"/>
        <v>5</v>
      </c>
      <c r="I11" s="4">
        <f t="shared" si="4"/>
        <v>17</v>
      </c>
      <c r="J11">
        <f t="shared" si="5"/>
        <v>19810517</v>
      </c>
      <c r="K11">
        <f t="shared" si="6"/>
        <v>20</v>
      </c>
    </row>
    <row r="12" spans="1:13" x14ac:dyDescent="0.25">
      <c r="A12" s="4" t="s">
        <v>38</v>
      </c>
      <c r="B12" t="s">
        <v>5</v>
      </c>
      <c r="C12" t="s">
        <v>6</v>
      </c>
      <c r="D12" s="3">
        <f t="shared" si="0"/>
        <v>95</v>
      </c>
      <c r="E12" s="4">
        <f t="shared" si="1"/>
        <v>6</v>
      </c>
      <c r="F12" s="4">
        <f t="shared" si="2"/>
        <v>17</v>
      </c>
      <c r="G12" s="3">
        <f>IF(E12&gt;=20,2000,1900) + D12</f>
        <v>1995</v>
      </c>
      <c r="H12">
        <f t="shared" si="3"/>
        <v>6</v>
      </c>
      <c r="I12" s="4">
        <f t="shared" si="4"/>
        <v>17</v>
      </c>
      <c r="J12">
        <f t="shared" si="5"/>
        <v>19950617</v>
      </c>
      <c r="K12">
        <f t="shared" si="6"/>
        <v>20</v>
      </c>
    </row>
    <row r="13" spans="1:13" x14ac:dyDescent="0.25">
      <c r="A13" s="4" t="s">
        <v>39</v>
      </c>
      <c r="B13" t="s">
        <v>11</v>
      </c>
      <c r="C13" t="s">
        <v>6</v>
      </c>
      <c r="D13" s="3">
        <f t="shared" si="0"/>
        <v>50</v>
      </c>
      <c r="E13" s="4">
        <f t="shared" si="1"/>
        <v>8</v>
      </c>
      <c r="F13" s="4">
        <f t="shared" si="2"/>
        <v>8</v>
      </c>
      <c r="G13" s="3">
        <f>IF(E13&gt;=20,2000,1900) + D13</f>
        <v>1950</v>
      </c>
      <c r="H13">
        <f t="shared" si="3"/>
        <v>8</v>
      </c>
      <c r="I13" s="4">
        <f t="shared" si="4"/>
        <v>8</v>
      </c>
      <c r="J13">
        <f t="shared" si="5"/>
        <v>19500808</v>
      </c>
      <c r="K13">
        <f t="shared" si="6"/>
        <v>20</v>
      </c>
    </row>
    <row r="14" spans="1:13" x14ac:dyDescent="0.25">
      <c r="A14" s="4" t="s">
        <v>40</v>
      </c>
      <c r="B14" t="s">
        <v>12</v>
      </c>
      <c r="C14" t="s">
        <v>6</v>
      </c>
      <c r="D14" s="3">
        <f t="shared" si="0"/>
        <v>79</v>
      </c>
      <c r="E14" s="4">
        <f t="shared" si="1"/>
        <v>9</v>
      </c>
      <c r="F14" s="4">
        <f t="shared" si="2"/>
        <v>28</v>
      </c>
      <c r="G14" s="3">
        <f>IF(E14&gt;=20,2000,1900) + D14</f>
        <v>1979</v>
      </c>
      <c r="H14">
        <f t="shared" si="3"/>
        <v>9</v>
      </c>
      <c r="I14" s="4">
        <f t="shared" si="4"/>
        <v>28</v>
      </c>
      <c r="J14">
        <f t="shared" si="5"/>
        <v>19790928</v>
      </c>
      <c r="K14">
        <f t="shared" si="6"/>
        <v>20</v>
      </c>
    </row>
    <row r="15" spans="1:13" x14ac:dyDescent="0.25">
      <c r="A15" s="4" t="s">
        <v>41</v>
      </c>
      <c r="B15" t="s">
        <v>13</v>
      </c>
      <c r="C15" t="s">
        <v>6</v>
      </c>
      <c r="D15" s="3">
        <f t="shared" si="0"/>
        <v>66</v>
      </c>
      <c r="E15" s="4">
        <f t="shared" si="1"/>
        <v>9</v>
      </c>
      <c r="F15" s="4">
        <f t="shared" si="2"/>
        <v>11</v>
      </c>
      <c r="G15" s="3">
        <f>IF(E15&gt;=20,2000,1900) + D15</f>
        <v>1966</v>
      </c>
      <c r="H15">
        <f t="shared" si="3"/>
        <v>9</v>
      </c>
      <c r="I15" s="4">
        <f t="shared" si="4"/>
        <v>11</v>
      </c>
      <c r="J15">
        <f t="shared" si="5"/>
        <v>19660911</v>
      </c>
      <c r="K15">
        <f t="shared" si="6"/>
        <v>20</v>
      </c>
    </row>
    <row r="16" spans="1:13" x14ac:dyDescent="0.25">
      <c r="A16" s="4" t="s">
        <v>42</v>
      </c>
      <c r="B16" t="s">
        <v>12</v>
      </c>
      <c r="C16" t="s">
        <v>4</v>
      </c>
      <c r="D16" s="3">
        <f t="shared" si="0"/>
        <v>84</v>
      </c>
      <c r="E16" s="4">
        <f t="shared" si="1"/>
        <v>8</v>
      </c>
      <c r="F16" s="4">
        <f t="shared" si="2"/>
        <v>10</v>
      </c>
      <c r="G16" s="3">
        <f>IF(E16&gt;=20,2000,1900) + D16</f>
        <v>1984</v>
      </c>
      <c r="H16">
        <f t="shared" si="3"/>
        <v>8</v>
      </c>
      <c r="I16" s="4">
        <f t="shared" si="4"/>
        <v>10</v>
      </c>
      <c r="J16">
        <f t="shared" si="5"/>
        <v>19840810</v>
      </c>
      <c r="K16">
        <f t="shared" si="6"/>
        <v>20</v>
      </c>
    </row>
    <row r="17" spans="1:11" x14ac:dyDescent="0.25">
      <c r="A17" s="4" t="s">
        <v>43</v>
      </c>
      <c r="B17" t="s">
        <v>11</v>
      </c>
      <c r="C17" t="s">
        <v>6</v>
      </c>
      <c r="D17" s="3">
        <f t="shared" si="0"/>
        <v>76</v>
      </c>
      <c r="E17" s="4">
        <f t="shared" si="1"/>
        <v>1</v>
      </c>
      <c r="F17" s="4">
        <f t="shared" si="2"/>
        <v>24</v>
      </c>
      <c r="G17" s="3">
        <f>IF(E17&gt;=20,2000,1900) + D17</f>
        <v>1976</v>
      </c>
      <c r="H17">
        <f t="shared" si="3"/>
        <v>1</v>
      </c>
      <c r="I17" s="4">
        <f t="shared" si="4"/>
        <v>24</v>
      </c>
      <c r="J17">
        <f t="shared" si="5"/>
        <v>19760124</v>
      </c>
      <c r="K17">
        <f t="shared" si="6"/>
        <v>20</v>
      </c>
    </row>
    <row r="18" spans="1:11" x14ac:dyDescent="0.25">
      <c r="A18" s="4" t="s">
        <v>44</v>
      </c>
      <c r="B18" t="s">
        <v>10</v>
      </c>
      <c r="C18" t="s">
        <v>6</v>
      </c>
      <c r="D18" s="3">
        <f t="shared" si="0"/>
        <v>60</v>
      </c>
      <c r="E18" s="4">
        <f t="shared" si="1"/>
        <v>11</v>
      </c>
      <c r="F18" s="4">
        <f t="shared" si="2"/>
        <v>23</v>
      </c>
      <c r="G18" s="3">
        <f>IF(E18&gt;=20,2000,1900) + D18</f>
        <v>1960</v>
      </c>
      <c r="H18">
        <f t="shared" si="3"/>
        <v>11</v>
      </c>
      <c r="I18" s="4">
        <f t="shared" si="4"/>
        <v>23</v>
      </c>
      <c r="J18">
        <f t="shared" si="5"/>
        <v>19601123</v>
      </c>
      <c r="K18">
        <f t="shared" si="6"/>
        <v>20</v>
      </c>
    </row>
    <row r="19" spans="1:11" x14ac:dyDescent="0.25">
      <c r="A19" s="4" t="s">
        <v>45</v>
      </c>
      <c r="B19" t="s">
        <v>5</v>
      </c>
      <c r="C19" t="s">
        <v>6</v>
      </c>
      <c r="D19" s="3">
        <f t="shared" si="0"/>
        <v>95</v>
      </c>
      <c r="E19" s="4">
        <f t="shared" si="1"/>
        <v>10</v>
      </c>
      <c r="F19" s="4">
        <f t="shared" si="2"/>
        <v>9</v>
      </c>
      <c r="G19" s="3">
        <f>IF(E19&gt;=20,2000,1900) + D19</f>
        <v>1995</v>
      </c>
      <c r="H19">
        <f t="shared" si="3"/>
        <v>10</v>
      </c>
      <c r="I19" s="4">
        <f t="shared" si="4"/>
        <v>9</v>
      </c>
      <c r="J19">
        <f t="shared" si="5"/>
        <v>19951009</v>
      </c>
      <c r="K19">
        <f t="shared" si="6"/>
        <v>20</v>
      </c>
    </row>
    <row r="20" spans="1:11" x14ac:dyDescent="0.25">
      <c r="A20" s="4" t="s">
        <v>46</v>
      </c>
      <c r="B20" t="s">
        <v>14</v>
      </c>
      <c r="C20" t="s">
        <v>6</v>
      </c>
      <c r="D20" s="3">
        <f t="shared" si="0"/>
        <v>91</v>
      </c>
      <c r="E20" s="4">
        <f t="shared" si="1"/>
        <v>11</v>
      </c>
      <c r="F20" s="4">
        <f t="shared" si="2"/>
        <v>16</v>
      </c>
      <c r="G20" s="3">
        <f>IF(E20&gt;=20,2000,1900) + D20</f>
        <v>1991</v>
      </c>
      <c r="H20">
        <f t="shared" si="3"/>
        <v>11</v>
      </c>
      <c r="I20" s="4">
        <f t="shared" si="4"/>
        <v>16</v>
      </c>
      <c r="J20">
        <f t="shared" si="5"/>
        <v>19911116</v>
      </c>
      <c r="K20">
        <f t="shared" si="6"/>
        <v>20</v>
      </c>
    </row>
    <row r="21" spans="1:11" x14ac:dyDescent="0.25">
      <c r="A21" s="4" t="s">
        <v>47</v>
      </c>
      <c r="B21" t="s">
        <v>15</v>
      </c>
      <c r="C21" t="s">
        <v>4</v>
      </c>
      <c r="D21" s="3">
        <f t="shared" si="0"/>
        <v>74</v>
      </c>
      <c r="E21" s="4">
        <f t="shared" si="1"/>
        <v>1</v>
      </c>
      <c r="F21" s="4">
        <f t="shared" si="2"/>
        <v>26</v>
      </c>
      <c r="G21" s="3">
        <f>IF(E21&gt;=20,2000,1900) + D21</f>
        <v>1974</v>
      </c>
      <c r="H21">
        <f t="shared" si="3"/>
        <v>1</v>
      </c>
      <c r="I21" s="4">
        <f t="shared" si="4"/>
        <v>26</v>
      </c>
      <c r="J21">
        <f t="shared" si="5"/>
        <v>19740126</v>
      </c>
      <c r="K21">
        <f t="shared" si="6"/>
        <v>20</v>
      </c>
    </row>
    <row r="22" spans="1:11" x14ac:dyDescent="0.25">
      <c r="A22" s="4" t="s">
        <v>48</v>
      </c>
      <c r="B22" t="s">
        <v>16</v>
      </c>
      <c r="C22" t="s">
        <v>6</v>
      </c>
      <c r="D22" s="3">
        <f t="shared" si="0"/>
        <v>83</v>
      </c>
      <c r="E22" s="4">
        <f t="shared" si="1"/>
        <v>4</v>
      </c>
      <c r="F22" s="4">
        <f t="shared" si="2"/>
        <v>10</v>
      </c>
      <c r="G22" s="3">
        <f>IF(E22&gt;=20,2000,1900) + D22</f>
        <v>1983</v>
      </c>
      <c r="H22">
        <f t="shared" si="3"/>
        <v>4</v>
      </c>
      <c r="I22" s="4">
        <f t="shared" si="4"/>
        <v>10</v>
      </c>
      <c r="J22">
        <f t="shared" si="5"/>
        <v>19830410</v>
      </c>
      <c r="K22">
        <f t="shared" si="6"/>
        <v>20</v>
      </c>
    </row>
    <row r="23" spans="1:11" x14ac:dyDescent="0.25">
      <c r="A23" s="4" t="s">
        <v>49</v>
      </c>
      <c r="B23" t="s">
        <v>17</v>
      </c>
      <c r="C23" t="s">
        <v>4</v>
      </c>
      <c r="D23" s="3">
        <f t="shared" si="0"/>
        <v>61</v>
      </c>
      <c r="E23" s="4">
        <f t="shared" si="1"/>
        <v>12</v>
      </c>
      <c r="F23" s="4">
        <f t="shared" si="2"/>
        <v>26</v>
      </c>
      <c r="G23" s="3">
        <f>IF(E23&gt;=20,2000,1900) + D23</f>
        <v>1961</v>
      </c>
      <c r="H23">
        <f t="shared" si="3"/>
        <v>12</v>
      </c>
      <c r="I23" s="4">
        <f t="shared" si="4"/>
        <v>26</v>
      </c>
      <c r="J23">
        <f t="shared" si="5"/>
        <v>19611226</v>
      </c>
      <c r="K23">
        <f t="shared" si="6"/>
        <v>20</v>
      </c>
    </row>
    <row r="24" spans="1:11" x14ac:dyDescent="0.25">
      <c r="A24" s="4" t="s">
        <v>50</v>
      </c>
      <c r="B24" t="s">
        <v>18</v>
      </c>
      <c r="C24" t="s">
        <v>4</v>
      </c>
      <c r="D24" s="3">
        <f t="shared" si="0"/>
        <v>91</v>
      </c>
      <c r="E24" s="4">
        <f t="shared" si="1"/>
        <v>12</v>
      </c>
      <c r="F24" s="4">
        <f t="shared" si="2"/>
        <v>4</v>
      </c>
      <c r="G24" s="3">
        <f>IF(E24&gt;=20,2000,1900) + D24</f>
        <v>1991</v>
      </c>
      <c r="H24">
        <f t="shared" si="3"/>
        <v>12</v>
      </c>
      <c r="I24" s="4">
        <f t="shared" si="4"/>
        <v>4</v>
      </c>
      <c r="J24">
        <f t="shared" si="5"/>
        <v>19911204</v>
      </c>
      <c r="K24">
        <f t="shared" si="6"/>
        <v>20</v>
      </c>
    </row>
    <row r="25" spans="1:11" x14ac:dyDescent="0.25">
      <c r="A25" s="4" t="s">
        <v>51</v>
      </c>
      <c r="B25" t="s">
        <v>19</v>
      </c>
      <c r="C25" t="s">
        <v>4</v>
      </c>
      <c r="D25" s="3">
        <f t="shared" si="0"/>
        <v>72</v>
      </c>
      <c r="E25" s="4">
        <f t="shared" si="1"/>
        <v>8</v>
      </c>
      <c r="F25" s="4">
        <f t="shared" si="2"/>
        <v>26</v>
      </c>
      <c r="G25" s="3">
        <f>IF(E25&gt;=20,2000,1900) + D25</f>
        <v>1972</v>
      </c>
      <c r="H25">
        <f t="shared" si="3"/>
        <v>8</v>
      </c>
      <c r="I25" s="4">
        <f t="shared" si="4"/>
        <v>26</v>
      </c>
      <c r="J25">
        <f t="shared" si="5"/>
        <v>19720826</v>
      </c>
      <c r="K25">
        <f t="shared" si="6"/>
        <v>20</v>
      </c>
    </row>
    <row r="26" spans="1:11" x14ac:dyDescent="0.25">
      <c r="A26" s="4" t="s">
        <v>52</v>
      </c>
      <c r="B26" t="s">
        <v>10</v>
      </c>
      <c r="C26" t="s">
        <v>4</v>
      </c>
      <c r="D26" s="3">
        <f t="shared" si="0"/>
        <v>97</v>
      </c>
      <c r="E26" s="4">
        <f t="shared" si="1"/>
        <v>12</v>
      </c>
      <c r="F26" s="4">
        <f t="shared" si="2"/>
        <v>28</v>
      </c>
      <c r="G26" s="3">
        <f>IF(E26&gt;=20,2000,1900) + D26</f>
        <v>1997</v>
      </c>
      <c r="H26">
        <f t="shared" si="3"/>
        <v>12</v>
      </c>
      <c r="I26" s="4">
        <f t="shared" si="4"/>
        <v>28</v>
      </c>
      <c r="J26">
        <f t="shared" si="5"/>
        <v>19971228</v>
      </c>
      <c r="K26">
        <f t="shared" si="6"/>
        <v>20</v>
      </c>
    </row>
    <row r="27" spans="1:11" x14ac:dyDescent="0.25">
      <c r="A27" s="4" t="s">
        <v>53</v>
      </c>
      <c r="B27" t="s">
        <v>20</v>
      </c>
      <c r="C27" t="s">
        <v>6</v>
      </c>
      <c r="D27" s="3">
        <f t="shared" si="0"/>
        <v>56</v>
      </c>
      <c r="E27" s="4">
        <f t="shared" si="1"/>
        <v>7</v>
      </c>
      <c r="F27" s="4">
        <f t="shared" si="2"/>
        <v>10</v>
      </c>
      <c r="G27" s="3">
        <f>IF(E27&gt;=20,2000,1900) + D27</f>
        <v>1956</v>
      </c>
      <c r="H27">
        <f t="shared" si="3"/>
        <v>7</v>
      </c>
      <c r="I27" s="4">
        <f t="shared" si="4"/>
        <v>10</v>
      </c>
      <c r="J27">
        <f t="shared" si="5"/>
        <v>19560710</v>
      </c>
      <c r="K27">
        <f t="shared" si="6"/>
        <v>20</v>
      </c>
    </row>
    <row r="28" spans="1:11" x14ac:dyDescent="0.25">
      <c r="A28" s="4" t="s">
        <v>54</v>
      </c>
      <c r="B28" t="s">
        <v>3</v>
      </c>
      <c r="C28" t="s">
        <v>4</v>
      </c>
      <c r="D28" s="3">
        <f t="shared" si="0"/>
        <v>83</v>
      </c>
      <c r="E28" s="4">
        <f t="shared" si="1"/>
        <v>2</v>
      </c>
      <c r="F28" s="4">
        <f t="shared" si="2"/>
        <v>1</v>
      </c>
      <c r="G28" s="3">
        <f>IF(E28&gt;=20,2000,1900) + D28</f>
        <v>1983</v>
      </c>
      <c r="H28">
        <f t="shared" si="3"/>
        <v>2</v>
      </c>
      <c r="I28" s="4">
        <f t="shared" si="4"/>
        <v>1</v>
      </c>
      <c r="J28">
        <f t="shared" si="5"/>
        <v>19830201</v>
      </c>
      <c r="K28">
        <f t="shared" si="6"/>
        <v>20</v>
      </c>
    </row>
    <row r="29" spans="1:11" x14ac:dyDescent="0.25">
      <c r="A29" s="4" t="s">
        <v>55</v>
      </c>
      <c r="B29" t="s">
        <v>14</v>
      </c>
      <c r="C29" t="s">
        <v>4</v>
      </c>
      <c r="D29" s="3">
        <f t="shared" si="0"/>
        <v>86</v>
      </c>
      <c r="E29" s="4">
        <f t="shared" si="1"/>
        <v>4</v>
      </c>
      <c r="F29" s="4">
        <f t="shared" si="2"/>
        <v>8</v>
      </c>
      <c r="G29" s="3">
        <f>IF(E29&gt;=20,2000,1900) + D29</f>
        <v>1986</v>
      </c>
      <c r="H29">
        <f t="shared" si="3"/>
        <v>4</v>
      </c>
      <c r="I29" s="4">
        <f t="shared" si="4"/>
        <v>8</v>
      </c>
      <c r="J29">
        <f t="shared" si="5"/>
        <v>19860408</v>
      </c>
      <c r="K29">
        <f t="shared" si="6"/>
        <v>20</v>
      </c>
    </row>
    <row r="30" spans="1:11" x14ac:dyDescent="0.25">
      <c r="A30" s="4" t="s">
        <v>56</v>
      </c>
      <c r="B30" t="s">
        <v>3</v>
      </c>
      <c r="C30" t="s">
        <v>4</v>
      </c>
      <c r="D30" s="3">
        <f t="shared" si="0"/>
        <v>56</v>
      </c>
      <c r="E30" s="4">
        <f t="shared" si="1"/>
        <v>10</v>
      </c>
      <c r="F30" s="4">
        <f t="shared" si="2"/>
        <v>27</v>
      </c>
      <c r="G30" s="3">
        <f>IF(E30&gt;=20,2000,1900) + D30</f>
        <v>1956</v>
      </c>
      <c r="H30">
        <f t="shared" si="3"/>
        <v>10</v>
      </c>
      <c r="I30" s="4">
        <f t="shared" si="4"/>
        <v>27</v>
      </c>
      <c r="J30">
        <f t="shared" si="5"/>
        <v>19561027</v>
      </c>
      <c r="K30">
        <f t="shared" si="6"/>
        <v>20</v>
      </c>
    </row>
    <row r="31" spans="1:11" x14ac:dyDescent="0.25">
      <c r="A31" s="4" t="s">
        <v>57</v>
      </c>
      <c r="B31" t="s">
        <v>10</v>
      </c>
      <c r="C31" t="s">
        <v>6</v>
      </c>
      <c r="D31" s="3">
        <f t="shared" si="0"/>
        <v>57</v>
      </c>
      <c r="E31" s="4">
        <f t="shared" si="1"/>
        <v>1</v>
      </c>
      <c r="F31" s="4">
        <f t="shared" si="2"/>
        <v>11</v>
      </c>
      <c r="G31" s="3">
        <f>IF(E31&gt;=20,2000,1900) + D31</f>
        <v>1957</v>
      </c>
      <c r="H31">
        <f t="shared" si="3"/>
        <v>1</v>
      </c>
      <c r="I31" s="4">
        <f t="shared" si="4"/>
        <v>11</v>
      </c>
      <c r="J31">
        <f t="shared" si="5"/>
        <v>19570111</v>
      </c>
      <c r="K31">
        <f t="shared" si="6"/>
        <v>20</v>
      </c>
    </row>
    <row r="32" spans="1:11" x14ac:dyDescent="0.25">
      <c r="A32" s="4" t="s">
        <v>58</v>
      </c>
      <c r="B32" t="s">
        <v>12</v>
      </c>
      <c r="C32" t="s">
        <v>4</v>
      </c>
      <c r="D32" s="3">
        <f t="shared" si="0"/>
        <v>88</v>
      </c>
      <c r="E32" s="4">
        <f t="shared" si="1"/>
        <v>4</v>
      </c>
      <c r="F32" s="4">
        <f t="shared" si="2"/>
        <v>9</v>
      </c>
      <c r="G32" s="3">
        <f>IF(E32&gt;=20,2000,1900) + D32</f>
        <v>1988</v>
      </c>
      <c r="H32">
        <f t="shared" si="3"/>
        <v>4</v>
      </c>
      <c r="I32" s="4">
        <f t="shared" si="4"/>
        <v>9</v>
      </c>
      <c r="J32">
        <f t="shared" si="5"/>
        <v>19880409</v>
      </c>
      <c r="K32">
        <f t="shared" si="6"/>
        <v>20</v>
      </c>
    </row>
    <row r="33" spans="1:11" x14ac:dyDescent="0.25">
      <c r="A33" s="4" t="s">
        <v>59</v>
      </c>
      <c r="B33" t="s">
        <v>9</v>
      </c>
      <c r="C33" t="s">
        <v>6</v>
      </c>
      <c r="D33" s="3">
        <f t="shared" si="0"/>
        <v>86</v>
      </c>
      <c r="E33" s="4">
        <f t="shared" si="1"/>
        <v>11</v>
      </c>
      <c r="F33" s="4">
        <f t="shared" si="2"/>
        <v>26</v>
      </c>
      <c r="G33" s="3">
        <f>IF(E33&gt;=20,2000,1900) + D33</f>
        <v>1986</v>
      </c>
      <c r="H33">
        <f t="shared" si="3"/>
        <v>11</v>
      </c>
      <c r="I33" s="4">
        <f t="shared" si="4"/>
        <v>26</v>
      </c>
      <c r="J33">
        <f t="shared" si="5"/>
        <v>19861126</v>
      </c>
      <c r="K33">
        <f t="shared" si="6"/>
        <v>20</v>
      </c>
    </row>
    <row r="34" spans="1:11" x14ac:dyDescent="0.25">
      <c r="A34" s="4" t="s">
        <v>60</v>
      </c>
      <c r="B34" t="s">
        <v>19</v>
      </c>
      <c r="C34" t="s">
        <v>6</v>
      </c>
      <c r="D34" s="3">
        <f t="shared" si="0"/>
        <v>71</v>
      </c>
      <c r="E34" s="4">
        <f t="shared" si="1"/>
        <v>1</v>
      </c>
      <c r="F34" s="4">
        <f t="shared" si="2"/>
        <v>8</v>
      </c>
      <c r="G34" s="3">
        <f>IF(E34&gt;=20,2000,1900) + D34</f>
        <v>1971</v>
      </c>
      <c r="H34">
        <f t="shared" si="3"/>
        <v>1</v>
      </c>
      <c r="I34" s="4">
        <f t="shared" si="4"/>
        <v>8</v>
      </c>
      <c r="J34">
        <f t="shared" si="5"/>
        <v>19710108</v>
      </c>
      <c r="K34">
        <f t="shared" si="6"/>
        <v>20</v>
      </c>
    </row>
    <row r="35" spans="1:11" x14ac:dyDescent="0.25">
      <c r="A35" s="4" t="s">
        <v>61</v>
      </c>
      <c r="B35" t="s">
        <v>13</v>
      </c>
      <c r="C35" t="s">
        <v>6</v>
      </c>
      <c r="D35" s="3">
        <f t="shared" si="0"/>
        <v>94</v>
      </c>
      <c r="E35" s="4">
        <f t="shared" si="1"/>
        <v>6</v>
      </c>
      <c r="F35" s="4">
        <f t="shared" si="2"/>
        <v>23</v>
      </c>
      <c r="G35" s="3">
        <f>IF(E35&gt;=20,2000,1900) + D35</f>
        <v>1994</v>
      </c>
      <c r="H35">
        <f t="shared" si="3"/>
        <v>6</v>
      </c>
      <c r="I35" s="4">
        <f t="shared" si="4"/>
        <v>23</v>
      </c>
      <c r="J35">
        <f t="shared" si="5"/>
        <v>19940623</v>
      </c>
      <c r="K35">
        <f t="shared" si="6"/>
        <v>20</v>
      </c>
    </row>
    <row r="36" spans="1:11" x14ac:dyDescent="0.25">
      <c r="A36" s="4" t="s">
        <v>62</v>
      </c>
      <c r="B36" t="s">
        <v>16</v>
      </c>
      <c r="C36" t="s">
        <v>6</v>
      </c>
      <c r="D36" s="3">
        <f t="shared" si="0"/>
        <v>61</v>
      </c>
      <c r="E36" s="4">
        <f t="shared" si="1"/>
        <v>12</v>
      </c>
      <c r="F36" s="4">
        <f t="shared" si="2"/>
        <v>2</v>
      </c>
      <c r="G36" s="3">
        <f>IF(E36&gt;=20,2000,1900) + D36</f>
        <v>1961</v>
      </c>
      <c r="H36">
        <f t="shared" si="3"/>
        <v>12</v>
      </c>
      <c r="I36" s="4">
        <f t="shared" si="4"/>
        <v>2</v>
      </c>
      <c r="J36">
        <f t="shared" si="5"/>
        <v>19611202</v>
      </c>
      <c r="K36">
        <f t="shared" si="6"/>
        <v>20</v>
      </c>
    </row>
    <row r="37" spans="1:11" x14ac:dyDescent="0.25">
      <c r="A37" s="4" t="s">
        <v>63</v>
      </c>
      <c r="B37" t="s">
        <v>13</v>
      </c>
      <c r="C37" t="s">
        <v>6</v>
      </c>
      <c r="D37" s="3">
        <f t="shared" si="0"/>
        <v>81</v>
      </c>
      <c r="E37" s="4">
        <f t="shared" si="1"/>
        <v>6</v>
      </c>
      <c r="F37" s="4">
        <f t="shared" si="2"/>
        <v>12</v>
      </c>
      <c r="G37" s="3">
        <f>IF(E37&gt;=20,2000,1900) + D37</f>
        <v>1981</v>
      </c>
      <c r="H37">
        <f t="shared" si="3"/>
        <v>6</v>
      </c>
      <c r="I37" s="4">
        <f t="shared" si="4"/>
        <v>12</v>
      </c>
      <c r="J37">
        <f t="shared" si="5"/>
        <v>19810612</v>
      </c>
      <c r="K37">
        <f t="shared" si="6"/>
        <v>20</v>
      </c>
    </row>
    <row r="38" spans="1:11" x14ac:dyDescent="0.25">
      <c r="A38" s="4" t="s">
        <v>64</v>
      </c>
      <c r="B38" t="s">
        <v>12</v>
      </c>
      <c r="C38" t="s">
        <v>6</v>
      </c>
      <c r="D38" s="3">
        <f t="shared" si="0"/>
        <v>82</v>
      </c>
      <c r="E38" s="4">
        <f t="shared" si="1"/>
        <v>3</v>
      </c>
      <c r="F38" s="4">
        <f t="shared" si="2"/>
        <v>6</v>
      </c>
      <c r="G38" s="3">
        <f>IF(E38&gt;=20,2000,1900) + D38</f>
        <v>1982</v>
      </c>
      <c r="H38">
        <f t="shared" si="3"/>
        <v>3</v>
      </c>
      <c r="I38" s="4">
        <f t="shared" si="4"/>
        <v>6</v>
      </c>
      <c r="J38">
        <f t="shared" si="5"/>
        <v>19820306</v>
      </c>
      <c r="K38">
        <f t="shared" si="6"/>
        <v>20</v>
      </c>
    </row>
    <row r="39" spans="1:11" x14ac:dyDescent="0.25">
      <c r="A39" s="4" t="s">
        <v>65</v>
      </c>
      <c r="B39" t="s">
        <v>14</v>
      </c>
      <c r="C39" t="s">
        <v>6</v>
      </c>
      <c r="D39" s="3">
        <f t="shared" si="0"/>
        <v>94</v>
      </c>
      <c r="E39" s="4">
        <f t="shared" si="1"/>
        <v>2</v>
      </c>
      <c r="F39" s="4">
        <f t="shared" si="2"/>
        <v>28</v>
      </c>
      <c r="G39" s="3">
        <f>IF(E39&gt;=20,2000,1900) + D39</f>
        <v>1994</v>
      </c>
      <c r="H39">
        <f t="shared" si="3"/>
        <v>2</v>
      </c>
      <c r="I39" s="4">
        <f t="shared" si="4"/>
        <v>28</v>
      </c>
      <c r="J39">
        <f t="shared" si="5"/>
        <v>19940228</v>
      </c>
      <c r="K39">
        <f t="shared" si="6"/>
        <v>20</v>
      </c>
    </row>
    <row r="40" spans="1:11" x14ac:dyDescent="0.25">
      <c r="A40" s="4" t="s">
        <v>66</v>
      </c>
      <c r="B40" t="s">
        <v>19</v>
      </c>
      <c r="C40" t="s">
        <v>6</v>
      </c>
      <c r="D40" s="3">
        <f t="shared" si="0"/>
        <v>99</v>
      </c>
      <c r="E40" s="4">
        <f t="shared" si="1"/>
        <v>2</v>
      </c>
      <c r="F40" s="4">
        <f t="shared" si="2"/>
        <v>1</v>
      </c>
      <c r="G40" s="3">
        <f>IF(E40&gt;=20,2000,1900) + D40</f>
        <v>1999</v>
      </c>
      <c r="H40">
        <f t="shared" si="3"/>
        <v>2</v>
      </c>
      <c r="I40" s="4">
        <f t="shared" si="4"/>
        <v>1</v>
      </c>
      <c r="J40">
        <f t="shared" si="5"/>
        <v>19990201</v>
      </c>
      <c r="K40">
        <f t="shared" si="6"/>
        <v>20</v>
      </c>
    </row>
    <row r="41" spans="1:11" x14ac:dyDescent="0.25">
      <c r="A41" s="4" t="s">
        <v>67</v>
      </c>
      <c r="B41" t="s">
        <v>19</v>
      </c>
      <c r="C41" t="s">
        <v>4</v>
      </c>
      <c r="D41" s="3">
        <f t="shared" si="0"/>
        <v>82</v>
      </c>
      <c r="E41" s="4">
        <f t="shared" si="1"/>
        <v>8</v>
      </c>
      <c r="F41" s="4">
        <f t="shared" si="2"/>
        <v>2</v>
      </c>
      <c r="G41" s="3">
        <f>IF(E41&gt;=20,2000,1900) + D41</f>
        <v>1982</v>
      </c>
      <c r="H41">
        <f t="shared" si="3"/>
        <v>8</v>
      </c>
      <c r="I41" s="4">
        <f t="shared" si="4"/>
        <v>2</v>
      </c>
      <c r="J41">
        <f t="shared" si="5"/>
        <v>19820802</v>
      </c>
      <c r="K41">
        <f t="shared" si="6"/>
        <v>20</v>
      </c>
    </row>
    <row r="42" spans="1:11" x14ac:dyDescent="0.25">
      <c r="A42" s="4" t="s">
        <v>68</v>
      </c>
      <c r="B42" t="s">
        <v>19</v>
      </c>
      <c r="C42" t="s">
        <v>6</v>
      </c>
      <c r="D42" s="3">
        <f t="shared" si="0"/>
        <v>66</v>
      </c>
      <c r="E42" s="4">
        <f t="shared" si="1"/>
        <v>2</v>
      </c>
      <c r="F42" s="4">
        <f t="shared" si="2"/>
        <v>1</v>
      </c>
      <c r="G42" s="3">
        <f>IF(E42&gt;=20,2000,1900) + D42</f>
        <v>1966</v>
      </c>
      <c r="H42">
        <f t="shared" si="3"/>
        <v>2</v>
      </c>
      <c r="I42" s="4">
        <f t="shared" si="4"/>
        <v>1</v>
      </c>
      <c r="J42">
        <f t="shared" si="5"/>
        <v>19660201</v>
      </c>
      <c r="K42">
        <f t="shared" si="6"/>
        <v>20</v>
      </c>
    </row>
    <row r="43" spans="1:11" x14ac:dyDescent="0.25">
      <c r="A43" s="4" t="s">
        <v>69</v>
      </c>
      <c r="B43" t="s">
        <v>17</v>
      </c>
      <c r="C43" t="s">
        <v>4</v>
      </c>
      <c r="D43" s="3">
        <f t="shared" si="0"/>
        <v>86</v>
      </c>
      <c r="E43" s="4">
        <f t="shared" si="1"/>
        <v>3</v>
      </c>
      <c r="F43" s="4">
        <f t="shared" si="2"/>
        <v>28</v>
      </c>
      <c r="G43" s="3">
        <f>IF(E43&gt;=20,2000,1900) + D43</f>
        <v>1986</v>
      </c>
      <c r="H43">
        <f t="shared" si="3"/>
        <v>3</v>
      </c>
      <c r="I43" s="4">
        <f t="shared" si="4"/>
        <v>28</v>
      </c>
      <c r="J43">
        <f t="shared" si="5"/>
        <v>19860328</v>
      </c>
      <c r="K43">
        <f t="shared" si="6"/>
        <v>20</v>
      </c>
    </row>
    <row r="44" spans="1:11" x14ac:dyDescent="0.25">
      <c r="A44" s="4" t="s">
        <v>70</v>
      </c>
      <c r="B44" t="s">
        <v>12</v>
      </c>
      <c r="C44" t="s">
        <v>6</v>
      </c>
      <c r="D44" s="3">
        <f t="shared" si="0"/>
        <v>83</v>
      </c>
      <c r="E44" s="4">
        <f t="shared" si="1"/>
        <v>11</v>
      </c>
      <c r="F44" s="4">
        <f t="shared" si="2"/>
        <v>18</v>
      </c>
      <c r="G44" s="3">
        <f>IF(E44&gt;=20,2000,1900) + D44</f>
        <v>1983</v>
      </c>
      <c r="H44">
        <f t="shared" si="3"/>
        <v>11</v>
      </c>
      <c r="I44" s="4">
        <f t="shared" si="4"/>
        <v>18</v>
      </c>
      <c r="J44">
        <f t="shared" si="5"/>
        <v>19831118</v>
      </c>
      <c r="K44">
        <f t="shared" si="6"/>
        <v>20</v>
      </c>
    </row>
    <row r="45" spans="1:11" x14ac:dyDescent="0.25">
      <c r="A45" s="4" t="s">
        <v>71</v>
      </c>
      <c r="B45" t="s">
        <v>14</v>
      </c>
      <c r="C45" t="s">
        <v>6</v>
      </c>
      <c r="D45" s="3">
        <f t="shared" si="0"/>
        <v>67</v>
      </c>
      <c r="E45" s="4">
        <f t="shared" si="1"/>
        <v>9</v>
      </c>
      <c r="F45" s="4">
        <f t="shared" si="2"/>
        <v>25</v>
      </c>
      <c r="G45" s="3">
        <f>IF(E45&gt;=20,2000,1900) + D45</f>
        <v>1967</v>
      </c>
      <c r="H45">
        <f t="shared" si="3"/>
        <v>9</v>
      </c>
      <c r="I45" s="4">
        <f t="shared" si="4"/>
        <v>25</v>
      </c>
      <c r="J45">
        <f t="shared" si="5"/>
        <v>19670925</v>
      </c>
      <c r="K45">
        <f t="shared" si="6"/>
        <v>20</v>
      </c>
    </row>
    <row r="46" spans="1:11" x14ac:dyDescent="0.25">
      <c r="A46" s="4" t="s">
        <v>72</v>
      </c>
      <c r="B46" t="s">
        <v>19</v>
      </c>
      <c r="C46" t="s">
        <v>4</v>
      </c>
      <c r="D46" s="3">
        <f t="shared" si="0"/>
        <v>55</v>
      </c>
      <c r="E46" s="4">
        <f t="shared" si="1"/>
        <v>3</v>
      </c>
      <c r="F46" s="4">
        <f t="shared" si="2"/>
        <v>23</v>
      </c>
      <c r="G46" s="3">
        <f>IF(E46&gt;=20,2000,1900) + D46</f>
        <v>1955</v>
      </c>
      <c r="H46">
        <f t="shared" si="3"/>
        <v>3</v>
      </c>
      <c r="I46" s="4">
        <f t="shared" si="4"/>
        <v>23</v>
      </c>
      <c r="J46">
        <f t="shared" si="5"/>
        <v>19550323</v>
      </c>
      <c r="K46">
        <f t="shared" si="6"/>
        <v>20</v>
      </c>
    </row>
    <row r="47" spans="1:11" x14ac:dyDescent="0.25">
      <c r="A47" s="4" t="s">
        <v>73</v>
      </c>
      <c r="B47" t="s">
        <v>17</v>
      </c>
      <c r="C47" t="s">
        <v>4</v>
      </c>
      <c r="D47" s="3">
        <f t="shared" si="0"/>
        <v>68</v>
      </c>
      <c r="E47" s="4">
        <f t="shared" si="1"/>
        <v>11</v>
      </c>
      <c r="F47" s="4">
        <f t="shared" si="2"/>
        <v>15</v>
      </c>
      <c r="G47" s="3">
        <f>IF(E47&gt;=20,2000,1900) + D47</f>
        <v>1968</v>
      </c>
      <c r="H47">
        <f t="shared" si="3"/>
        <v>11</v>
      </c>
      <c r="I47" s="4">
        <f t="shared" si="4"/>
        <v>15</v>
      </c>
      <c r="J47">
        <f t="shared" si="5"/>
        <v>19681115</v>
      </c>
      <c r="K47">
        <f t="shared" si="6"/>
        <v>20</v>
      </c>
    </row>
    <row r="48" spans="1:11" x14ac:dyDescent="0.25">
      <c r="A48" s="4" t="s">
        <v>74</v>
      </c>
      <c r="B48" t="s">
        <v>19</v>
      </c>
      <c r="C48" t="s">
        <v>4</v>
      </c>
      <c r="D48" s="3">
        <f t="shared" si="0"/>
        <v>72</v>
      </c>
      <c r="E48" s="4">
        <f t="shared" si="1"/>
        <v>5</v>
      </c>
      <c r="F48" s="4">
        <f t="shared" si="2"/>
        <v>1</v>
      </c>
      <c r="G48" s="3">
        <f>IF(E48&gt;=20,2000,1900) + D48</f>
        <v>1972</v>
      </c>
      <c r="H48">
        <f t="shared" si="3"/>
        <v>5</v>
      </c>
      <c r="I48" s="4">
        <f t="shared" si="4"/>
        <v>1</v>
      </c>
      <c r="J48">
        <f t="shared" si="5"/>
        <v>19720501</v>
      </c>
      <c r="K48">
        <f t="shared" si="6"/>
        <v>20</v>
      </c>
    </row>
    <row r="49" spans="1:11" x14ac:dyDescent="0.25">
      <c r="A49" s="4" t="s">
        <v>75</v>
      </c>
      <c r="B49" t="s">
        <v>17</v>
      </c>
      <c r="C49" t="s">
        <v>4</v>
      </c>
      <c r="D49" s="3">
        <f t="shared" si="0"/>
        <v>89</v>
      </c>
      <c r="E49" s="4">
        <f t="shared" si="1"/>
        <v>11</v>
      </c>
      <c r="F49" s="4">
        <f t="shared" si="2"/>
        <v>6</v>
      </c>
      <c r="G49" s="3">
        <f>IF(E49&gt;=20,2000,1900) + D49</f>
        <v>1989</v>
      </c>
      <c r="H49">
        <f t="shared" si="3"/>
        <v>11</v>
      </c>
      <c r="I49" s="4">
        <f t="shared" si="4"/>
        <v>6</v>
      </c>
      <c r="J49">
        <f t="shared" si="5"/>
        <v>19891106</v>
      </c>
      <c r="K49">
        <f t="shared" si="6"/>
        <v>20</v>
      </c>
    </row>
    <row r="50" spans="1:11" x14ac:dyDescent="0.25">
      <c r="A50" s="4" t="s">
        <v>76</v>
      </c>
      <c r="B50" t="s">
        <v>14</v>
      </c>
      <c r="C50" t="s">
        <v>6</v>
      </c>
      <c r="D50" s="3">
        <f t="shared" si="0"/>
        <v>92</v>
      </c>
      <c r="E50" s="4">
        <f t="shared" si="1"/>
        <v>6</v>
      </c>
      <c r="F50" s="4">
        <f t="shared" si="2"/>
        <v>29</v>
      </c>
      <c r="G50" s="3">
        <f>IF(E50&gt;=20,2000,1900) + D50</f>
        <v>1992</v>
      </c>
      <c r="H50">
        <f t="shared" si="3"/>
        <v>6</v>
      </c>
      <c r="I50" s="4">
        <f t="shared" si="4"/>
        <v>29</v>
      </c>
      <c r="J50">
        <f t="shared" si="5"/>
        <v>19920629</v>
      </c>
      <c r="K50">
        <f t="shared" si="6"/>
        <v>20</v>
      </c>
    </row>
    <row r="51" spans="1:11" x14ac:dyDescent="0.25">
      <c r="A51" s="4" t="s">
        <v>77</v>
      </c>
      <c r="B51" t="s">
        <v>17</v>
      </c>
      <c r="C51" t="s">
        <v>6</v>
      </c>
      <c r="D51" s="3">
        <f t="shared" si="0"/>
        <v>96</v>
      </c>
      <c r="E51" s="4">
        <f t="shared" si="1"/>
        <v>2</v>
      </c>
      <c r="F51" s="4">
        <f t="shared" si="2"/>
        <v>27</v>
      </c>
      <c r="G51" s="3">
        <f>IF(E51&gt;=20,2000,1900) + D51</f>
        <v>1996</v>
      </c>
      <c r="H51">
        <f t="shared" si="3"/>
        <v>2</v>
      </c>
      <c r="I51" s="4">
        <f t="shared" si="4"/>
        <v>27</v>
      </c>
      <c r="J51">
        <f t="shared" si="5"/>
        <v>19960227</v>
      </c>
      <c r="K51">
        <f t="shared" si="6"/>
        <v>20</v>
      </c>
    </row>
    <row r="52" spans="1:11" x14ac:dyDescent="0.25">
      <c r="A52" s="4" t="s">
        <v>78</v>
      </c>
      <c r="B52" t="s">
        <v>12</v>
      </c>
      <c r="C52" t="s">
        <v>6</v>
      </c>
      <c r="D52" s="3">
        <f t="shared" si="0"/>
        <v>67</v>
      </c>
      <c r="E52" s="4">
        <f t="shared" si="1"/>
        <v>8</v>
      </c>
      <c r="F52" s="4">
        <f t="shared" si="2"/>
        <v>27</v>
      </c>
      <c r="G52" s="3">
        <f>IF(E52&gt;=20,2000,1900) + D52</f>
        <v>1967</v>
      </c>
      <c r="H52">
        <f t="shared" si="3"/>
        <v>8</v>
      </c>
      <c r="I52" s="4">
        <f t="shared" si="4"/>
        <v>27</v>
      </c>
      <c r="J52">
        <f t="shared" si="5"/>
        <v>19670827</v>
      </c>
      <c r="K52">
        <f t="shared" si="6"/>
        <v>20</v>
      </c>
    </row>
    <row r="53" spans="1:11" x14ac:dyDescent="0.25">
      <c r="A53" s="4" t="s">
        <v>79</v>
      </c>
      <c r="B53" t="s">
        <v>13</v>
      </c>
      <c r="C53" t="s">
        <v>6</v>
      </c>
      <c r="D53" s="3">
        <f t="shared" si="0"/>
        <v>53</v>
      </c>
      <c r="E53" s="4">
        <f t="shared" si="1"/>
        <v>4</v>
      </c>
      <c r="F53" s="4">
        <f t="shared" si="2"/>
        <v>13</v>
      </c>
      <c r="G53" s="3">
        <f>IF(E53&gt;=20,2000,1900) + D53</f>
        <v>1953</v>
      </c>
      <c r="H53">
        <f t="shared" si="3"/>
        <v>4</v>
      </c>
      <c r="I53" s="4">
        <f t="shared" si="4"/>
        <v>13</v>
      </c>
      <c r="J53">
        <f t="shared" si="5"/>
        <v>19530413</v>
      </c>
      <c r="K53">
        <f t="shared" si="6"/>
        <v>20</v>
      </c>
    </row>
    <row r="54" spans="1:11" x14ac:dyDescent="0.25">
      <c r="A54" s="4" t="s">
        <v>80</v>
      </c>
      <c r="B54" t="s">
        <v>15</v>
      </c>
      <c r="C54" t="s">
        <v>6</v>
      </c>
      <c r="D54" s="3">
        <f t="shared" si="0"/>
        <v>85</v>
      </c>
      <c r="E54" s="4">
        <f t="shared" si="1"/>
        <v>7</v>
      </c>
      <c r="F54" s="4">
        <f t="shared" si="2"/>
        <v>4</v>
      </c>
      <c r="G54" s="3">
        <f>IF(E54&gt;=20,2000,1900) + D54</f>
        <v>1985</v>
      </c>
      <c r="H54">
        <f t="shared" si="3"/>
        <v>7</v>
      </c>
      <c r="I54" s="4">
        <f t="shared" si="4"/>
        <v>4</v>
      </c>
      <c r="J54">
        <f t="shared" si="5"/>
        <v>19850704</v>
      </c>
      <c r="K54">
        <f t="shared" si="6"/>
        <v>20</v>
      </c>
    </row>
    <row r="55" spans="1:11" x14ac:dyDescent="0.25">
      <c r="A55" s="4" t="s">
        <v>81</v>
      </c>
      <c r="B55" t="s">
        <v>3</v>
      </c>
      <c r="C55" t="s">
        <v>4</v>
      </c>
      <c r="D55" s="3">
        <f t="shared" si="0"/>
        <v>67</v>
      </c>
      <c r="E55" s="4">
        <f t="shared" si="1"/>
        <v>11</v>
      </c>
      <c r="F55" s="4">
        <f t="shared" si="2"/>
        <v>4</v>
      </c>
      <c r="G55" s="3">
        <f>IF(E55&gt;=20,2000,1900) + D55</f>
        <v>1967</v>
      </c>
      <c r="H55">
        <f t="shared" si="3"/>
        <v>11</v>
      </c>
      <c r="I55" s="4">
        <f t="shared" si="4"/>
        <v>4</v>
      </c>
      <c r="J55">
        <f t="shared" si="5"/>
        <v>19671104</v>
      </c>
      <c r="K55">
        <f t="shared" si="6"/>
        <v>20</v>
      </c>
    </row>
    <row r="56" spans="1:11" x14ac:dyDescent="0.25">
      <c r="A56" s="4" t="s">
        <v>82</v>
      </c>
      <c r="B56" t="s">
        <v>16</v>
      </c>
      <c r="C56" t="s">
        <v>4</v>
      </c>
      <c r="D56" s="3">
        <f t="shared" si="0"/>
        <v>76</v>
      </c>
      <c r="E56" s="4">
        <f t="shared" si="1"/>
        <v>11</v>
      </c>
      <c r="F56" s="4">
        <f t="shared" si="2"/>
        <v>29</v>
      </c>
      <c r="G56" s="3">
        <f>IF(E56&gt;=20,2000,1900) + D56</f>
        <v>1976</v>
      </c>
      <c r="H56">
        <f t="shared" si="3"/>
        <v>11</v>
      </c>
      <c r="I56" s="4">
        <f t="shared" si="4"/>
        <v>29</v>
      </c>
      <c r="J56">
        <f t="shared" si="5"/>
        <v>19761129</v>
      </c>
      <c r="K56">
        <f t="shared" si="6"/>
        <v>20</v>
      </c>
    </row>
    <row r="57" spans="1:11" x14ac:dyDescent="0.25">
      <c r="A57" s="4" t="s">
        <v>83</v>
      </c>
      <c r="B57" t="s">
        <v>7</v>
      </c>
      <c r="C57" t="s">
        <v>6</v>
      </c>
      <c r="D57" s="3">
        <f t="shared" si="0"/>
        <v>78</v>
      </c>
      <c r="E57" s="4">
        <f t="shared" si="1"/>
        <v>7</v>
      </c>
      <c r="F57" s="4">
        <f t="shared" si="2"/>
        <v>23</v>
      </c>
      <c r="G57" s="3">
        <f>IF(E57&gt;=20,2000,1900) + D57</f>
        <v>1978</v>
      </c>
      <c r="H57">
        <f t="shared" si="3"/>
        <v>7</v>
      </c>
      <c r="I57" s="4">
        <f t="shared" si="4"/>
        <v>23</v>
      </c>
      <c r="J57">
        <f t="shared" si="5"/>
        <v>19780723</v>
      </c>
      <c r="K57">
        <f t="shared" si="6"/>
        <v>20</v>
      </c>
    </row>
    <row r="58" spans="1:11" x14ac:dyDescent="0.25">
      <c r="A58" s="4" t="s">
        <v>84</v>
      </c>
      <c r="B58" t="s">
        <v>13</v>
      </c>
      <c r="C58" t="s">
        <v>6</v>
      </c>
      <c r="D58" s="3">
        <f t="shared" si="0"/>
        <v>50</v>
      </c>
      <c r="E58" s="4">
        <f t="shared" si="1"/>
        <v>9</v>
      </c>
      <c r="F58" s="4">
        <f t="shared" si="2"/>
        <v>27</v>
      </c>
      <c r="G58" s="3">
        <f>IF(E58&gt;=20,2000,1900) + D58</f>
        <v>1950</v>
      </c>
      <c r="H58">
        <f t="shared" si="3"/>
        <v>9</v>
      </c>
      <c r="I58" s="4">
        <f t="shared" si="4"/>
        <v>27</v>
      </c>
      <c r="J58">
        <f t="shared" si="5"/>
        <v>19500927</v>
      </c>
      <c r="K58">
        <f t="shared" si="6"/>
        <v>20</v>
      </c>
    </row>
    <row r="59" spans="1:11" x14ac:dyDescent="0.25">
      <c r="A59" s="4" t="s">
        <v>85</v>
      </c>
      <c r="B59" t="s">
        <v>10</v>
      </c>
      <c r="C59" t="s">
        <v>4</v>
      </c>
      <c r="D59" s="3">
        <f t="shared" si="0"/>
        <v>67</v>
      </c>
      <c r="E59" s="4">
        <f t="shared" si="1"/>
        <v>9</v>
      </c>
      <c r="F59" s="4">
        <f t="shared" si="2"/>
        <v>9</v>
      </c>
      <c r="G59" s="3">
        <f>IF(E59&gt;=20,2000,1900) + D59</f>
        <v>1967</v>
      </c>
      <c r="H59">
        <f t="shared" si="3"/>
        <v>9</v>
      </c>
      <c r="I59" s="4">
        <f t="shared" si="4"/>
        <v>9</v>
      </c>
      <c r="J59">
        <f t="shared" si="5"/>
        <v>19670909</v>
      </c>
      <c r="K59">
        <f t="shared" si="6"/>
        <v>20</v>
      </c>
    </row>
    <row r="60" spans="1:11" x14ac:dyDescent="0.25">
      <c r="A60" s="4" t="s">
        <v>86</v>
      </c>
      <c r="B60" t="s">
        <v>3</v>
      </c>
      <c r="C60" t="s">
        <v>6</v>
      </c>
      <c r="D60" s="3">
        <f t="shared" si="0"/>
        <v>94</v>
      </c>
      <c r="E60" s="4">
        <f t="shared" si="1"/>
        <v>7</v>
      </c>
      <c r="F60" s="4">
        <f t="shared" si="2"/>
        <v>7</v>
      </c>
      <c r="G60" s="3">
        <f>IF(E60&gt;=20,2000,1900) + D60</f>
        <v>1994</v>
      </c>
      <c r="H60">
        <f t="shared" si="3"/>
        <v>7</v>
      </c>
      <c r="I60" s="4">
        <f t="shared" si="4"/>
        <v>7</v>
      </c>
      <c r="J60">
        <f t="shared" si="5"/>
        <v>19940707</v>
      </c>
      <c r="K60">
        <f t="shared" si="6"/>
        <v>20</v>
      </c>
    </row>
    <row r="61" spans="1:11" x14ac:dyDescent="0.25">
      <c r="A61" s="4" t="s">
        <v>87</v>
      </c>
      <c r="B61" t="s">
        <v>13</v>
      </c>
      <c r="C61" t="s">
        <v>4</v>
      </c>
      <c r="D61" s="3">
        <f t="shared" si="0"/>
        <v>78</v>
      </c>
      <c r="E61" s="4">
        <f t="shared" si="1"/>
        <v>3</v>
      </c>
      <c r="F61" s="4">
        <f t="shared" si="2"/>
        <v>14</v>
      </c>
      <c r="G61" s="3">
        <f>IF(E61&gt;=20,2000,1900) + D61</f>
        <v>1978</v>
      </c>
      <c r="H61">
        <f t="shared" si="3"/>
        <v>3</v>
      </c>
      <c r="I61" s="4">
        <f t="shared" si="4"/>
        <v>14</v>
      </c>
      <c r="J61">
        <f t="shared" si="5"/>
        <v>19780314</v>
      </c>
      <c r="K61">
        <f t="shared" si="6"/>
        <v>20</v>
      </c>
    </row>
    <row r="62" spans="1:11" x14ac:dyDescent="0.25">
      <c r="A62" s="4" t="s">
        <v>88</v>
      </c>
      <c r="B62" t="s">
        <v>9</v>
      </c>
      <c r="C62" t="s">
        <v>4</v>
      </c>
      <c r="D62" s="3">
        <f t="shared" si="0"/>
        <v>75</v>
      </c>
      <c r="E62" s="4">
        <f t="shared" si="1"/>
        <v>11</v>
      </c>
      <c r="F62" s="4">
        <f t="shared" si="2"/>
        <v>18</v>
      </c>
      <c r="G62" s="3">
        <f>IF(E62&gt;=20,2000,1900) + D62</f>
        <v>1975</v>
      </c>
      <c r="H62">
        <f t="shared" si="3"/>
        <v>11</v>
      </c>
      <c r="I62" s="4">
        <f t="shared" si="4"/>
        <v>18</v>
      </c>
      <c r="J62">
        <f t="shared" si="5"/>
        <v>19751118</v>
      </c>
      <c r="K62">
        <f t="shared" si="6"/>
        <v>20</v>
      </c>
    </row>
    <row r="63" spans="1:11" x14ac:dyDescent="0.25">
      <c r="A63" s="4" t="s">
        <v>89</v>
      </c>
      <c r="B63" t="s">
        <v>20</v>
      </c>
      <c r="C63" t="s">
        <v>4</v>
      </c>
      <c r="D63" s="3">
        <f t="shared" si="0"/>
        <v>84</v>
      </c>
      <c r="E63" s="4">
        <f t="shared" si="1"/>
        <v>1</v>
      </c>
      <c r="F63" s="4">
        <f t="shared" si="2"/>
        <v>17</v>
      </c>
      <c r="G63" s="3">
        <f>IF(E63&gt;=20,2000,1900) + D63</f>
        <v>1984</v>
      </c>
      <c r="H63">
        <f t="shared" si="3"/>
        <v>1</v>
      </c>
      <c r="I63" s="4">
        <f t="shared" si="4"/>
        <v>17</v>
      </c>
      <c r="J63">
        <f t="shared" si="5"/>
        <v>19840117</v>
      </c>
      <c r="K63">
        <f t="shared" si="6"/>
        <v>20</v>
      </c>
    </row>
    <row r="64" spans="1:11" x14ac:dyDescent="0.25">
      <c r="A64" s="4" t="s">
        <v>90</v>
      </c>
      <c r="B64" t="s">
        <v>8</v>
      </c>
      <c r="C64" t="s">
        <v>6</v>
      </c>
      <c r="D64" s="3">
        <f t="shared" si="0"/>
        <v>73</v>
      </c>
      <c r="E64" s="4">
        <f t="shared" si="1"/>
        <v>10</v>
      </c>
      <c r="F64" s="4">
        <f t="shared" si="2"/>
        <v>19</v>
      </c>
      <c r="G64" s="3">
        <f>IF(E64&gt;=20,2000,1900) + D64</f>
        <v>1973</v>
      </c>
      <c r="H64">
        <f t="shared" si="3"/>
        <v>10</v>
      </c>
      <c r="I64" s="4">
        <f t="shared" si="4"/>
        <v>19</v>
      </c>
      <c r="J64">
        <f t="shared" si="5"/>
        <v>19731019</v>
      </c>
      <c r="K64">
        <f t="shared" si="6"/>
        <v>20</v>
      </c>
    </row>
    <row r="65" spans="1:11" x14ac:dyDescent="0.25">
      <c r="A65" s="4" t="s">
        <v>91</v>
      </c>
      <c r="B65" t="s">
        <v>20</v>
      </c>
      <c r="C65" t="s">
        <v>6</v>
      </c>
      <c r="D65" s="3">
        <f t="shared" si="0"/>
        <v>98</v>
      </c>
      <c r="E65" s="4">
        <f t="shared" si="1"/>
        <v>11</v>
      </c>
      <c r="F65" s="4">
        <f t="shared" si="2"/>
        <v>25</v>
      </c>
      <c r="G65" s="3">
        <f>IF(E65&gt;=20,2000,1900) + D65</f>
        <v>1998</v>
      </c>
      <c r="H65">
        <f t="shared" si="3"/>
        <v>11</v>
      </c>
      <c r="I65" s="4">
        <f t="shared" si="4"/>
        <v>25</v>
      </c>
      <c r="J65">
        <f t="shared" si="5"/>
        <v>19981125</v>
      </c>
      <c r="K65">
        <f t="shared" si="6"/>
        <v>20</v>
      </c>
    </row>
    <row r="66" spans="1:11" x14ac:dyDescent="0.25">
      <c r="A66" s="4" t="s">
        <v>92</v>
      </c>
      <c r="B66" t="s">
        <v>14</v>
      </c>
      <c r="C66" t="s">
        <v>4</v>
      </c>
      <c r="D66" s="3">
        <f t="shared" si="0"/>
        <v>80</v>
      </c>
      <c r="E66" s="4">
        <f t="shared" si="1"/>
        <v>2</v>
      </c>
      <c r="F66" s="4">
        <f t="shared" si="2"/>
        <v>5</v>
      </c>
      <c r="G66" s="3">
        <f>IF(E66&gt;=20,2000,1900) + D66</f>
        <v>1980</v>
      </c>
      <c r="H66">
        <f t="shared" si="3"/>
        <v>2</v>
      </c>
      <c r="I66" s="4">
        <f t="shared" si="4"/>
        <v>5</v>
      </c>
      <c r="J66">
        <f t="shared" si="5"/>
        <v>19800205</v>
      </c>
      <c r="K66">
        <f t="shared" si="6"/>
        <v>20</v>
      </c>
    </row>
    <row r="67" spans="1:11" x14ac:dyDescent="0.25">
      <c r="A67" s="4" t="s">
        <v>93</v>
      </c>
      <c r="B67" t="s">
        <v>17</v>
      </c>
      <c r="C67" t="s">
        <v>4</v>
      </c>
      <c r="D67" s="3">
        <f t="shared" ref="D67:D130" si="7">MID(A67,1,2)*1</f>
        <v>78</v>
      </c>
      <c r="E67" s="4">
        <f t="shared" ref="E67:E130" si="8">MID(A67,3,2)*1</f>
        <v>9</v>
      </c>
      <c r="F67" s="4">
        <f t="shared" ref="F67:F130" si="9">MID(A67,5,2)*1</f>
        <v>6</v>
      </c>
      <c r="G67" s="3">
        <f>IF(E67&gt;=20,2000,1900) + D67</f>
        <v>1978</v>
      </c>
      <c r="H67">
        <f t="shared" ref="H67:H130" si="10">IF(E67&gt;=20,E67-20,E67)</f>
        <v>9</v>
      </c>
      <c r="I67" s="4">
        <f t="shared" ref="I67:I130" si="11">F67</f>
        <v>6</v>
      </c>
      <c r="J67">
        <f t="shared" ref="J67:J130" si="12">CONCATENATE(G67,IF(LEN(E67)=1,CONCATENATE("0",E67),E67),IF(LEN(F67)=1,CONCATENATE("0",F67),F67))*1</f>
        <v>19780906</v>
      </c>
      <c r="K67">
        <f t="shared" ref="K67:K130" si="13">IF(G67&lt;=2000,20,21)</f>
        <v>20</v>
      </c>
    </row>
    <row r="68" spans="1:11" x14ac:dyDescent="0.25">
      <c r="A68" s="4" t="s">
        <v>94</v>
      </c>
      <c r="B68" t="s">
        <v>8</v>
      </c>
      <c r="C68" t="s">
        <v>4</v>
      </c>
      <c r="D68" s="3">
        <f t="shared" si="7"/>
        <v>85</v>
      </c>
      <c r="E68" s="4">
        <f t="shared" si="8"/>
        <v>10</v>
      </c>
      <c r="F68" s="4">
        <f t="shared" si="9"/>
        <v>4</v>
      </c>
      <c r="G68" s="3">
        <f>IF(E68&gt;=20,2000,1900) + D68</f>
        <v>1985</v>
      </c>
      <c r="H68">
        <f t="shared" si="10"/>
        <v>10</v>
      </c>
      <c r="I68" s="4">
        <f t="shared" si="11"/>
        <v>4</v>
      </c>
      <c r="J68">
        <f t="shared" si="12"/>
        <v>19851004</v>
      </c>
      <c r="K68">
        <f t="shared" si="13"/>
        <v>20</v>
      </c>
    </row>
    <row r="69" spans="1:11" x14ac:dyDescent="0.25">
      <c r="A69" s="4" t="s">
        <v>95</v>
      </c>
      <c r="B69" t="s">
        <v>17</v>
      </c>
      <c r="C69" t="s">
        <v>6</v>
      </c>
      <c r="D69" s="3">
        <f t="shared" si="7"/>
        <v>62</v>
      </c>
      <c r="E69" s="4">
        <f t="shared" si="8"/>
        <v>10</v>
      </c>
      <c r="F69" s="4">
        <f t="shared" si="9"/>
        <v>30</v>
      </c>
      <c r="G69" s="3">
        <f>IF(E69&gt;=20,2000,1900) + D69</f>
        <v>1962</v>
      </c>
      <c r="H69">
        <f t="shared" si="10"/>
        <v>10</v>
      </c>
      <c r="I69" s="4">
        <f t="shared" si="11"/>
        <v>30</v>
      </c>
      <c r="J69">
        <f t="shared" si="12"/>
        <v>19621030</v>
      </c>
      <c r="K69">
        <f t="shared" si="13"/>
        <v>20</v>
      </c>
    </row>
    <row r="70" spans="1:11" x14ac:dyDescent="0.25">
      <c r="A70" s="4" t="s">
        <v>96</v>
      </c>
      <c r="B70" t="s">
        <v>20</v>
      </c>
      <c r="C70" t="s">
        <v>6</v>
      </c>
      <c r="D70" s="3">
        <f t="shared" si="7"/>
        <v>64</v>
      </c>
      <c r="E70" s="4">
        <f t="shared" si="8"/>
        <v>9</v>
      </c>
      <c r="F70" s="4">
        <f t="shared" si="9"/>
        <v>21</v>
      </c>
      <c r="G70" s="3">
        <f>IF(E70&gt;=20,2000,1900) + D70</f>
        <v>1964</v>
      </c>
      <c r="H70">
        <f t="shared" si="10"/>
        <v>9</v>
      </c>
      <c r="I70" s="4">
        <f t="shared" si="11"/>
        <v>21</v>
      </c>
      <c r="J70">
        <f t="shared" si="12"/>
        <v>19640921</v>
      </c>
      <c r="K70">
        <f t="shared" si="13"/>
        <v>20</v>
      </c>
    </row>
    <row r="71" spans="1:11" x14ac:dyDescent="0.25">
      <c r="A71" s="4" t="s">
        <v>97</v>
      </c>
      <c r="B71" t="s">
        <v>19</v>
      </c>
      <c r="C71" t="s">
        <v>4</v>
      </c>
      <c r="D71" s="3">
        <f t="shared" si="7"/>
        <v>72</v>
      </c>
      <c r="E71" s="4">
        <f t="shared" si="8"/>
        <v>11</v>
      </c>
      <c r="F71" s="4">
        <f t="shared" si="9"/>
        <v>28</v>
      </c>
      <c r="G71" s="3">
        <f>IF(E71&gt;=20,2000,1900) + D71</f>
        <v>1972</v>
      </c>
      <c r="H71">
        <f t="shared" si="10"/>
        <v>11</v>
      </c>
      <c r="I71" s="4">
        <f t="shared" si="11"/>
        <v>28</v>
      </c>
      <c r="J71">
        <f t="shared" si="12"/>
        <v>19721128</v>
      </c>
      <c r="K71">
        <f t="shared" si="13"/>
        <v>20</v>
      </c>
    </row>
    <row r="72" spans="1:11" x14ac:dyDescent="0.25">
      <c r="A72" s="4" t="s">
        <v>98</v>
      </c>
      <c r="B72" t="s">
        <v>15</v>
      </c>
      <c r="C72" t="s">
        <v>6</v>
      </c>
      <c r="D72" s="3">
        <f t="shared" si="7"/>
        <v>90</v>
      </c>
      <c r="E72" s="4">
        <f t="shared" si="8"/>
        <v>7</v>
      </c>
      <c r="F72" s="4">
        <f t="shared" si="9"/>
        <v>11</v>
      </c>
      <c r="G72" s="3">
        <f>IF(E72&gt;=20,2000,1900) + D72</f>
        <v>1990</v>
      </c>
      <c r="H72">
        <f t="shared" si="10"/>
        <v>7</v>
      </c>
      <c r="I72" s="4">
        <f t="shared" si="11"/>
        <v>11</v>
      </c>
      <c r="J72">
        <f t="shared" si="12"/>
        <v>19900711</v>
      </c>
      <c r="K72">
        <f t="shared" si="13"/>
        <v>20</v>
      </c>
    </row>
    <row r="73" spans="1:11" x14ac:dyDescent="0.25">
      <c r="A73" s="4" t="s">
        <v>99</v>
      </c>
      <c r="B73" t="s">
        <v>10</v>
      </c>
      <c r="C73" t="s">
        <v>4</v>
      </c>
      <c r="D73" s="3">
        <f t="shared" si="7"/>
        <v>80</v>
      </c>
      <c r="E73" s="4">
        <f t="shared" si="8"/>
        <v>10</v>
      </c>
      <c r="F73" s="4">
        <f t="shared" si="9"/>
        <v>7</v>
      </c>
      <c r="G73" s="3">
        <f>IF(E73&gt;=20,2000,1900) + D73</f>
        <v>1980</v>
      </c>
      <c r="H73">
        <f t="shared" si="10"/>
        <v>10</v>
      </c>
      <c r="I73" s="4">
        <f t="shared" si="11"/>
        <v>7</v>
      </c>
      <c r="J73">
        <f t="shared" si="12"/>
        <v>19801007</v>
      </c>
      <c r="K73">
        <f t="shared" si="13"/>
        <v>20</v>
      </c>
    </row>
    <row r="74" spans="1:11" x14ac:dyDescent="0.25">
      <c r="A74" s="4" t="s">
        <v>100</v>
      </c>
      <c r="B74" t="s">
        <v>19</v>
      </c>
      <c r="C74" t="s">
        <v>4</v>
      </c>
      <c r="D74" s="3">
        <f t="shared" si="7"/>
        <v>67</v>
      </c>
      <c r="E74" s="4">
        <f t="shared" si="8"/>
        <v>11</v>
      </c>
      <c r="F74" s="4">
        <f t="shared" si="9"/>
        <v>16</v>
      </c>
      <c r="G74" s="3">
        <f>IF(E74&gt;=20,2000,1900) + D74</f>
        <v>1967</v>
      </c>
      <c r="H74">
        <f t="shared" si="10"/>
        <v>11</v>
      </c>
      <c r="I74" s="4">
        <f t="shared" si="11"/>
        <v>16</v>
      </c>
      <c r="J74">
        <f t="shared" si="12"/>
        <v>19671116</v>
      </c>
      <c r="K74">
        <f t="shared" si="13"/>
        <v>20</v>
      </c>
    </row>
    <row r="75" spans="1:11" x14ac:dyDescent="0.25">
      <c r="A75" s="4" t="s">
        <v>101</v>
      </c>
      <c r="B75" t="s">
        <v>9</v>
      </c>
      <c r="C75" t="s">
        <v>4</v>
      </c>
      <c r="D75" s="3">
        <f t="shared" si="7"/>
        <v>87</v>
      </c>
      <c r="E75" s="4">
        <f t="shared" si="8"/>
        <v>10</v>
      </c>
      <c r="F75" s="4">
        <f t="shared" si="9"/>
        <v>4</v>
      </c>
      <c r="G75" s="3">
        <f>IF(E75&gt;=20,2000,1900) + D75</f>
        <v>1987</v>
      </c>
      <c r="H75">
        <f t="shared" si="10"/>
        <v>10</v>
      </c>
      <c r="I75" s="4">
        <f t="shared" si="11"/>
        <v>4</v>
      </c>
      <c r="J75">
        <f t="shared" si="12"/>
        <v>19871004</v>
      </c>
      <c r="K75">
        <f t="shared" si="13"/>
        <v>20</v>
      </c>
    </row>
    <row r="76" spans="1:11" x14ac:dyDescent="0.25">
      <c r="A76" s="4" t="s">
        <v>102</v>
      </c>
      <c r="B76" t="s">
        <v>20</v>
      </c>
      <c r="C76" t="s">
        <v>4</v>
      </c>
      <c r="D76" s="3">
        <f t="shared" si="7"/>
        <v>64</v>
      </c>
      <c r="E76" s="4">
        <f t="shared" si="8"/>
        <v>9</v>
      </c>
      <c r="F76" s="4">
        <f t="shared" si="9"/>
        <v>1</v>
      </c>
      <c r="G76" s="3">
        <f>IF(E76&gt;=20,2000,1900) + D76</f>
        <v>1964</v>
      </c>
      <c r="H76">
        <f t="shared" si="10"/>
        <v>9</v>
      </c>
      <c r="I76" s="4">
        <f t="shared" si="11"/>
        <v>1</v>
      </c>
      <c r="J76">
        <f t="shared" si="12"/>
        <v>19640901</v>
      </c>
      <c r="K76">
        <f t="shared" si="13"/>
        <v>20</v>
      </c>
    </row>
    <row r="77" spans="1:11" x14ac:dyDescent="0.25">
      <c r="A77" s="4" t="s">
        <v>103</v>
      </c>
      <c r="B77" t="s">
        <v>3</v>
      </c>
      <c r="C77" t="s">
        <v>4</v>
      </c>
      <c r="D77" s="3">
        <f t="shared" si="7"/>
        <v>61</v>
      </c>
      <c r="E77" s="4">
        <f t="shared" si="8"/>
        <v>6</v>
      </c>
      <c r="F77" s="4">
        <f t="shared" si="9"/>
        <v>17</v>
      </c>
      <c r="G77" s="3">
        <f>IF(E77&gt;=20,2000,1900) + D77</f>
        <v>1961</v>
      </c>
      <c r="H77">
        <f t="shared" si="10"/>
        <v>6</v>
      </c>
      <c r="I77" s="4">
        <f t="shared" si="11"/>
        <v>17</v>
      </c>
      <c r="J77">
        <f t="shared" si="12"/>
        <v>19610617</v>
      </c>
      <c r="K77">
        <f t="shared" si="13"/>
        <v>20</v>
      </c>
    </row>
    <row r="78" spans="1:11" x14ac:dyDescent="0.25">
      <c r="A78" s="4" t="s">
        <v>104</v>
      </c>
      <c r="B78" t="s">
        <v>9</v>
      </c>
      <c r="C78" t="s">
        <v>6</v>
      </c>
      <c r="D78" s="3">
        <f t="shared" si="7"/>
        <v>66</v>
      </c>
      <c r="E78" s="4">
        <f t="shared" si="8"/>
        <v>12</v>
      </c>
      <c r="F78" s="4">
        <f t="shared" si="9"/>
        <v>15</v>
      </c>
      <c r="G78" s="3">
        <f>IF(E78&gt;=20,2000,1900) + D78</f>
        <v>1966</v>
      </c>
      <c r="H78">
        <f t="shared" si="10"/>
        <v>12</v>
      </c>
      <c r="I78" s="4">
        <f t="shared" si="11"/>
        <v>15</v>
      </c>
      <c r="J78">
        <f t="shared" si="12"/>
        <v>19661215</v>
      </c>
      <c r="K78">
        <f t="shared" si="13"/>
        <v>20</v>
      </c>
    </row>
    <row r="79" spans="1:11" x14ac:dyDescent="0.25">
      <c r="A79" s="4" t="s">
        <v>105</v>
      </c>
      <c r="B79" t="s">
        <v>14</v>
      </c>
      <c r="C79" t="s">
        <v>4</v>
      </c>
      <c r="D79" s="3">
        <f t="shared" si="7"/>
        <v>92</v>
      </c>
      <c r="E79" s="4">
        <f t="shared" si="8"/>
        <v>10</v>
      </c>
      <c r="F79" s="4">
        <f t="shared" si="9"/>
        <v>29</v>
      </c>
      <c r="G79" s="3">
        <f>IF(E79&gt;=20,2000,1900) + D79</f>
        <v>1992</v>
      </c>
      <c r="H79">
        <f t="shared" si="10"/>
        <v>10</v>
      </c>
      <c r="I79" s="4">
        <f t="shared" si="11"/>
        <v>29</v>
      </c>
      <c r="J79">
        <f t="shared" si="12"/>
        <v>19921029</v>
      </c>
      <c r="K79">
        <f t="shared" si="13"/>
        <v>20</v>
      </c>
    </row>
    <row r="80" spans="1:11" x14ac:dyDescent="0.25">
      <c r="A80" s="4" t="s">
        <v>106</v>
      </c>
      <c r="B80" t="s">
        <v>3</v>
      </c>
      <c r="C80" t="s">
        <v>4</v>
      </c>
      <c r="D80" s="3">
        <f t="shared" si="7"/>
        <v>97</v>
      </c>
      <c r="E80" s="4">
        <f t="shared" si="8"/>
        <v>1</v>
      </c>
      <c r="F80" s="4">
        <f t="shared" si="9"/>
        <v>19</v>
      </c>
      <c r="G80" s="3">
        <f>IF(E80&gt;=20,2000,1900) + D80</f>
        <v>1997</v>
      </c>
      <c r="H80">
        <f t="shared" si="10"/>
        <v>1</v>
      </c>
      <c r="I80" s="4">
        <f t="shared" si="11"/>
        <v>19</v>
      </c>
      <c r="J80">
        <f t="shared" si="12"/>
        <v>19970119</v>
      </c>
      <c r="K80">
        <f t="shared" si="13"/>
        <v>20</v>
      </c>
    </row>
    <row r="81" spans="1:11" x14ac:dyDescent="0.25">
      <c r="A81" s="4" t="s">
        <v>107</v>
      </c>
      <c r="B81" t="s">
        <v>14</v>
      </c>
      <c r="C81" t="s">
        <v>6</v>
      </c>
      <c r="D81" s="3">
        <f t="shared" si="7"/>
        <v>75</v>
      </c>
      <c r="E81" s="4">
        <f t="shared" si="8"/>
        <v>4</v>
      </c>
      <c r="F81" s="4">
        <f t="shared" si="9"/>
        <v>20</v>
      </c>
      <c r="G81" s="3">
        <f>IF(E81&gt;=20,2000,1900) + D81</f>
        <v>1975</v>
      </c>
      <c r="H81">
        <f t="shared" si="10"/>
        <v>4</v>
      </c>
      <c r="I81" s="4">
        <f t="shared" si="11"/>
        <v>20</v>
      </c>
      <c r="J81">
        <f t="shared" si="12"/>
        <v>19750420</v>
      </c>
      <c r="K81">
        <f t="shared" si="13"/>
        <v>20</v>
      </c>
    </row>
    <row r="82" spans="1:11" x14ac:dyDescent="0.25">
      <c r="A82" s="4" t="s">
        <v>108</v>
      </c>
      <c r="B82" t="s">
        <v>15</v>
      </c>
      <c r="C82" t="s">
        <v>4</v>
      </c>
      <c r="D82" s="3">
        <f t="shared" si="7"/>
        <v>51</v>
      </c>
      <c r="E82" s="4">
        <f t="shared" si="8"/>
        <v>10</v>
      </c>
      <c r="F82" s="4">
        <f t="shared" si="9"/>
        <v>1</v>
      </c>
      <c r="G82" s="3">
        <f>IF(E82&gt;=20,2000,1900) + D82</f>
        <v>1951</v>
      </c>
      <c r="H82">
        <f t="shared" si="10"/>
        <v>10</v>
      </c>
      <c r="I82" s="4">
        <f t="shared" si="11"/>
        <v>1</v>
      </c>
      <c r="J82">
        <f t="shared" si="12"/>
        <v>19511001</v>
      </c>
      <c r="K82">
        <f t="shared" si="13"/>
        <v>20</v>
      </c>
    </row>
    <row r="83" spans="1:11" x14ac:dyDescent="0.25">
      <c r="A83" s="4" t="s">
        <v>109</v>
      </c>
      <c r="B83" t="s">
        <v>15</v>
      </c>
      <c r="C83" t="s">
        <v>4</v>
      </c>
      <c r="D83" s="3">
        <f t="shared" si="7"/>
        <v>72</v>
      </c>
      <c r="E83" s="4">
        <f t="shared" si="8"/>
        <v>7</v>
      </c>
      <c r="F83" s="4">
        <f t="shared" si="9"/>
        <v>30</v>
      </c>
      <c r="G83" s="3">
        <f>IF(E83&gt;=20,2000,1900) + D83</f>
        <v>1972</v>
      </c>
      <c r="H83">
        <f t="shared" si="10"/>
        <v>7</v>
      </c>
      <c r="I83" s="4">
        <f t="shared" si="11"/>
        <v>30</v>
      </c>
      <c r="J83">
        <f t="shared" si="12"/>
        <v>19720730</v>
      </c>
      <c r="K83">
        <f t="shared" si="13"/>
        <v>20</v>
      </c>
    </row>
    <row r="84" spans="1:11" x14ac:dyDescent="0.25">
      <c r="A84" s="4" t="s">
        <v>110</v>
      </c>
      <c r="B84" t="s">
        <v>5</v>
      </c>
      <c r="C84" t="s">
        <v>4</v>
      </c>
      <c r="D84" s="3">
        <f t="shared" si="7"/>
        <v>95</v>
      </c>
      <c r="E84" s="4">
        <f t="shared" si="8"/>
        <v>7</v>
      </c>
      <c r="F84" s="4">
        <f t="shared" si="9"/>
        <v>15</v>
      </c>
      <c r="G84" s="3">
        <f>IF(E84&gt;=20,2000,1900) + D84</f>
        <v>1995</v>
      </c>
      <c r="H84">
        <f t="shared" si="10"/>
        <v>7</v>
      </c>
      <c r="I84" s="4">
        <f t="shared" si="11"/>
        <v>15</v>
      </c>
      <c r="J84">
        <f t="shared" si="12"/>
        <v>19950715</v>
      </c>
      <c r="K84">
        <f t="shared" si="13"/>
        <v>20</v>
      </c>
    </row>
    <row r="85" spans="1:11" x14ac:dyDescent="0.25">
      <c r="A85" s="4" t="s">
        <v>111</v>
      </c>
      <c r="B85" t="s">
        <v>9</v>
      </c>
      <c r="C85" t="s">
        <v>4</v>
      </c>
      <c r="D85" s="3">
        <f t="shared" si="7"/>
        <v>64</v>
      </c>
      <c r="E85" s="4">
        <f t="shared" si="8"/>
        <v>8</v>
      </c>
      <c r="F85" s="4">
        <f t="shared" si="9"/>
        <v>27</v>
      </c>
      <c r="G85" s="3">
        <f>IF(E85&gt;=20,2000,1900) + D85</f>
        <v>1964</v>
      </c>
      <c r="H85">
        <f t="shared" si="10"/>
        <v>8</v>
      </c>
      <c r="I85" s="4">
        <f t="shared" si="11"/>
        <v>27</v>
      </c>
      <c r="J85">
        <f t="shared" si="12"/>
        <v>19640827</v>
      </c>
      <c r="K85">
        <f t="shared" si="13"/>
        <v>20</v>
      </c>
    </row>
    <row r="86" spans="1:11" x14ac:dyDescent="0.25">
      <c r="A86" s="4" t="s">
        <v>112</v>
      </c>
      <c r="B86" t="s">
        <v>5</v>
      </c>
      <c r="C86" t="s">
        <v>4</v>
      </c>
      <c r="D86" s="3">
        <f t="shared" si="7"/>
        <v>74</v>
      </c>
      <c r="E86" s="4">
        <f t="shared" si="8"/>
        <v>10</v>
      </c>
      <c r="F86" s="4">
        <f t="shared" si="9"/>
        <v>20</v>
      </c>
      <c r="G86" s="3">
        <f>IF(E86&gt;=20,2000,1900) + D86</f>
        <v>1974</v>
      </c>
      <c r="H86">
        <f t="shared" si="10"/>
        <v>10</v>
      </c>
      <c r="I86" s="4">
        <f t="shared" si="11"/>
        <v>20</v>
      </c>
      <c r="J86">
        <f t="shared" si="12"/>
        <v>19741020</v>
      </c>
      <c r="K86">
        <f t="shared" si="13"/>
        <v>20</v>
      </c>
    </row>
    <row r="87" spans="1:11" x14ac:dyDescent="0.25">
      <c r="A87" s="4" t="s">
        <v>113</v>
      </c>
      <c r="B87" t="s">
        <v>14</v>
      </c>
      <c r="C87" t="s">
        <v>6</v>
      </c>
      <c r="D87" s="3">
        <f t="shared" si="7"/>
        <v>57</v>
      </c>
      <c r="E87" s="4">
        <f t="shared" si="8"/>
        <v>8</v>
      </c>
      <c r="F87" s="4">
        <f t="shared" si="9"/>
        <v>13</v>
      </c>
      <c r="G87" s="3">
        <f>IF(E87&gt;=20,2000,1900) + D87</f>
        <v>1957</v>
      </c>
      <c r="H87">
        <f t="shared" si="10"/>
        <v>8</v>
      </c>
      <c r="I87" s="4">
        <f t="shared" si="11"/>
        <v>13</v>
      </c>
      <c r="J87">
        <f t="shared" si="12"/>
        <v>19570813</v>
      </c>
      <c r="K87">
        <f t="shared" si="13"/>
        <v>20</v>
      </c>
    </row>
    <row r="88" spans="1:11" x14ac:dyDescent="0.25">
      <c r="A88" s="4" t="s">
        <v>114</v>
      </c>
      <c r="B88" t="s">
        <v>8</v>
      </c>
      <c r="C88" t="s">
        <v>4</v>
      </c>
      <c r="D88" s="3">
        <f t="shared" si="7"/>
        <v>63</v>
      </c>
      <c r="E88" s="4">
        <f t="shared" si="8"/>
        <v>9</v>
      </c>
      <c r="F88" s="4">
        <f t="shared" si="9"/>
        <v>18</v>
      </c>
      <c r="G88" s="3">
        <f>IF(E88&gt;=20,2000,1900) + D88</f>
        <v>1963</v>
      </c>
      <c r="H88">
        <f t="shared" si="10"/>
        <v>9</v>
      </c>
      <c r="I88" s="4">
        <f t="shared" si="11"/>
        <v>18</v>
      </c>
      <c r="J88">
        <f t="shared" si="12"/>
        <v>19630918</v>
      </c>
      <c r="K88">
        <f t="shared" si="13"/>
        <v>20</v>
      </c>
    </row>
    <row r="89" spans="1:11" x14ac:dyDescent="0.25">
      <c r="A89" s="4" t="s">
        <v>115</v>
      </c>
      <c r="B89" t="s">
        <v>16</v>
      </c>
      <c r="C89" t="s">
        <v>4</v>
      </c>
      <c r="D89" s="3">
        <f t="shared" si="7"/>
        <v>90</v>
      </c>
      <c r="E89" s="4">
        <f t="shared" si="8"/>
        <v>4</v>
      </c>
      <c r="F89" s="4">
        <f t="shared" si="9"/>
        <v>2</v>
      </c>
      <c r="G89" s="3">
        <f>IF(E89&gt;=20,2000,1900) + D89</f>
        <v>1990</v>
      </c>
      <c r="H89">
        <f t="shared" si="10"/>
        <v>4</v>
      </c>
      <c r="I89" s="4">
        <f t="shared" si="11"/>
        <v>2</v>
      </c>
      <c r="J89">
        <f t="shared" si="12"/>
        <v>19900402</v>
      </c>
      <c r="K89">
        <f t="shared" si="13"/>
        <v>20</v>
      </c>
    </row>
    <row r="90" spans="1:11" x14ac:dyDescent="0.25">
      <c r="A90" s="4" t="s">
        <v>116</v>
      </c>
      <c r="B90" t="s">
        <v>17</v>
      </c>
      <c r="C90" t="s">
        <v>4</v>
      </c>
      <c r="D90" s="3">
        <f t="shared" si="7"/>
        <v>93</v>
      </c>
      <c r="E90" s="4">
        <f t="shared" si="8"/>
        <v>2</v>
      </c>
      <c r="F90" s="4">
        <f t="shared" si="9"/>
        <v>10</v>
      </c>
      <c r="G90" s="3">
        <f>IF(E90&gt;=20,2000,1900) + D90</f>
        <v>1993</v>
      </c>
      <c r="H90">
        <f t="shared" si="10"/>
        <v>2</v>
      </c>
      <c r="I90" s="4">
        <f t="shared" si="11"/>
        <v>10</v>
      </c>
      <c r="J90">
        <f t="shared" si="12"/>
        <v>19930210</v>
      </c>
      <c r="K90">
        <f t="shared" si="13"/>
        <v>20</v>
      </c>
    </row>
    <row r="91" spans="1:11" x14ac:dyDescent="0.25">
      <c r="A91" s="4" t="s">
        <v>117</v>
      </c>
      <c r="B91" t="s">
        <v>20</v>
      </c>
      <c r="C91" t="s">
        <v>4</v>
      </c>
      <c r="D91" s="3">
        <f t="shared" si="7"/>
        <v>71</v>
      </c>
      <c r="E91" s="4">
        <f t="shared" si="8"/>
        <v>6</v>
      </c>
      <c r="F91" s="4">
        <f t="shared" si="9"/>
        <v>9</v>
      </c>
      <c r="G91" s="3">
        <f>IF(E91&gt;=20,2000,1900) + D91</f>
        <v>1971</v>
      </c>
      <c r="H91">
        <f t="shared" si="10"/>
        <v>6</v>
      </c>
      <c r="I91" s="4">
        <f t="shared" si="11"/>
        <v>9</v>
      </c>
      <c r="J91">
        <f t="shared" si="12"/>
        <v>19710609</v>
      </c>
      <c r="K91">
        <f t="shared" si="13"/>
        <v>20</v>
      </c>
    </row>
    <row r="92" spans="1:11" x14ac:dyDescent="0.25">
      <c r="A92" s="4" t="s">
        <v>118</v>
      </c>
      <c r="B92" t="s">
        <v>18</v>
      </c>
      <c r="C92" t="s">
        <v>4</v>
      </c>
      <c r="D92" s="3">
        <f t="shared" si="7"/>
        <v>66</v>
      </c>
      <c r="E92" s="4">
        <f t="shared" si="8"/>
        <v>4</v>
      </c>
      <c r="F92" s="4">
        <f t="shared" si="9"/>
        <v>28</v>
      </c>
      <c r="G92" s="3">
        <f>IF(E92&gt;=20,2000,1900) + D92</f>
        <v>1966</v>
      </c>
      <c r="H92">
        <f t="shared" si="10"/>
        <v>4</v>
      </c>
      <c r="I92" s="4">
        <f t="shared" si="11"/>
        <v>28</v>
      </c>
      <c r="J92">
        <f t="shared" si="12"/>
        <v>19660428</v>
      </c>
      <c r="K92">
        <f t="shared" si="13"/>
        <v>20</v>
      </c>
    </row>
    <row r="93" spans="1:11" x14ac:dyDescent="0.25">
      <c r="A93" s="4" t="s">
        <v>119</v>
      </c>
      <c r="B93" t="s">
        <v>3</v>
      </c>
      <c r="C93" t="s">
        <v>4</v>
      </c>
      <c r="D93" s="3">
        <f t="shared" si="7"/>
        <v>97</v>
      </c>
      <c r="E93" s="4">
        <f t="shared" si="8"/>
        <v>8</v>
      </c>
      <c r="F93" s="4">
        <f t="shared" si="9"/>
        <v>2</v>
      </c>
      <c r="G93" s="3">
        <f>IF(E93&gt;=20,2000,1900) + D93</f>
        <v>1997</v>
      </c>
      <c r="H93">
        <f t="shared" si="10"/>
        <v>8</v>
      </c>
      <c r="I93" s="4">
        <f t="shared" si="11"/>
        <v>2</v>
      </c>
      <c r="J93">
        <f t="shared" si="12"/>
        <v>19970802</v>
      </c>
      <c r="K93">
        <f t="shared" si="13"/>
        <v>20</v>
      </c>
    </row>
    <row r="94" spans="1:11" x14ac:dyDescent="0.25">
      <c r="A94" s="4" t="s">
        <v>120</v>
      </c>
      <c r="B94" t="s">
        <v>16</v>
      </c>
      <c r="C94" t="s">
        <v>6</v>
      </c>
      <c r="D94" s="3">
        <f t="shared" si="7"/>
        <v>81</v>
      </c>
      <c r="E94" s="4">
        <f t="shared" si="8"/>
        <v>5</v>
      </c>
      <c r="F94" s="4">
        <f t="shared" si="9"/>
        <v>30</v>
      </c>
      <c r="G94" s="3">
        <f>IF(E94&gt;=20,2000,1900) + D94</f>
        <v>1981</v>
      </c>
      <c r="H94">
        <f t="shared" si="10"/>
        <v>5</v>
      </c>
      <c r="I94" s="4">
        <f t="shared" si="11"/>
        <v>30</v>
      </c>
      <c r="J94">
        <f t="shared" si="12"/>
        <v>19810530</v>
      </c>
      <c r="K94">
        <f t="shared" si="13"/>
        <v>20</v>
      </c>
    </row>
    <row r="95" spans="1:11" x14ac:dyDescent="0.25">
      <c r="A95" s="4" t="s">
        <v>121</v>
      </c>
      <c r="B95" t="s">
        <v>13</v>
      </c>
      <c r="C95" t="s">
        <v>6</v>
      </c>
      <c r="D95" s="3">
        <f t="shared" si="7"/>
        <v>91</v>
      </c>
      <c r="E95" s="4">
        <f t="shared" si="8"/>
        <v>2</v>
      </c>
      <c r="F95" s="4">
        <f t="shared" si="9"/>
        <v>24</v>
      </c>
      <c r="G95" s="3">
        <f>IF(E95&gt;=20,2000,1900) + D95</f>
        <v>1991</v>
      </c>
      <c r="H95">
        <f t="shared" si="10"/>
        <v>2</v>
      </c>
      <c r="I95" s="4">
        <f t="shared" si="11"/>
        <v>24</v>
      </c>
      <c r="J95">
        <f t="shared" si="12"/>
        <v>19910224</v>
      </c>
      <c r="K95">
        <f t="shared" si="13"/>
        <v>20</v>
      </c>
    </row>
    <row r="96" spans="1:11" x14ac:dyDescent="0.25">
      <c r="A96" s="4" t="s">
        <v>122</v>
      </c>
      <c r="B96" t="s">
        <v>15</v>
      </c>
      <c r="C96" t="s">
        <v>6</v>
      </c>
      <c r="D96" s="3">
        <f t="shared" si="7"/>
        <v>75</v>
      </c>
      <c r="E96" s="4">
        <f t="shared" si="8"/>
        <v>9</v>
      </c>
      <c r="F96" s="4">
        <f t="shared" si="9"/>
        <v>1</v>
      </c>
      <c r="G96" s="3">
        <f>IF(E96&gt;=20,2000,1900) + D96</f>
        <v>1975</v>
      </c>
      <c r="H96">
        <f t="shared" si="10"/>
        <v>9</v>
      </c>
      <c r="I96" s="4">
        <f t="shared" si="11"/>
        <v>1</v>
      </c>
      <c r="J96">
        <f t="shared" si="12"/>
        <v>19750901</v>
      </c>
      <c r="K96">
        <f t="shared" si="13"/>
        <v>20</v>
      </c>
    </row>
    <row r="97" spans="1:11" x14ac:dyDescent="0.25">
      <c r="A97" s="4" t="s">
        <v>123</v>
      </c>
      <c r="B97" t="s">
        <v>5</v>
      </c>
      <c r="C97" t="s">
        <v>6</v>
      </c>
      <c r="D97" s="3">
        <f t="shared" si="7"/>
        <v>84</v>
      </c>
      <c r="E97" s="4">
        <f t="shared" si="8"/>
        <v>7</v>
      </c>
      <c r="F97" s="4">
        <f t="shared" si="9"/>
        <v>1</v>
      </c>
      <c r="G97" s="3">
        <f>IF(E97&gt;=20,2000,1900) + D97</f>
        <v>1984</v>
      </c>
      <c r="H97">
        <f t="shared" si="10"/>
        <v>7</v>
      </c>
      <c r="I97" s="4">
        <f t="shared" si="11"/>
        <v>1</v>
      </c>
      <c r="J97">
        <f t="shared" si="12"/>
        <v>19840701</v>
      </c>
      <c r="K97">
        <f t="shared" si="13"/>
        <v>20</v>
      </c>
    </row>
    <row r="98" spans="1:11" x14ac:dyDescent="0.25">
      <c r="A98" s="4" t="s">
        <v>124</v>
      </c>
      <c r="B98" t="s">
        <v>18</v>
      </c>
      <c r="C98" t="s">
        <v>4</v>
      </c>
      <c r="D98" s="3">
        <f t="shared" si="7"/>
        <v>66</v>
      </c>
      <c r="E98" s="4">
        <f t="shared" si="8"/>
        <v>4</v>
      </c>
      <c r="F98" s="4">
        <f t="shared" si="9"/>
        <v>30</v>
      </c>
      <c r="G98" s="3">
        <f>IF(E98&gt;=20,2000,1900) + D98</f>
        <v>1966</v>
      </c>
      <c r="H98">
        <f t="shared" si="10"/>
        <v>4</v>
      </c>
      <c r="I98" s="4">
        <f t="shared" si="11"/>
        <v>30</v>
      </c>
      <c r="J98">
        <f t="shared" si="12"/>
        <v>19660430</v>
      </c>
      <c r="K98">
        <f t="shared" si="13"/>
        <v>20</v>
      </c>
    </row>
    <row r="99" spans="1:11" x14ac:dyDescent="0.25">
      <c r="A99" s="4" t="s">
        <v>125</v>
      </c>
      <c r="B99" t="s">
        <v>17</v>
      </c>
      <c r="C99" t="s">
        <v>6</v>
      </c>
      <c r="D99" s="3">
        <f t="shared" si="7"/>
        <v>50</v>
      </c>
      <c r="E99" s="4">
        <f t="shared" si="8"/>
        <v>12</v>
      </c>
      <c r="F99" s="4">
        <f t="shared" si="9"/>
        <v>12</v>
      </c>
      <c r="G99" s="3">
        <f>IF(E99&gt;=20,2000,1900) + D99</f>
        <v>1950</v>
      </c>
      <c r="H99">
        <f t="shared" si="10"/>
        <v>12</v>
      </c>
      <c r="I99" s="4">
        <f t="shared" si="11"/>
        <v>12</v>
      </c>
      <c r="J99">
        <f t="shared" si="12"/>
        <v>19501212</v>
      </c>
      <c r="K99">
        <f t="shared" si="13"/>
        <v>20</v>
      </c>
    </row>
    <row r="100" spans="1:11" x14ac:dyDescent="0.25">
      <c r="A100" s="4" t="s">
        <v>126</v>
      </c>
      <c r="B100" t="s">
        <v>14</v>
      </c>
      <c r="C100" t="s">
        <v>6</v>
      </c>
      <c r="D100" s="3">
        <f t="shared" si="7"/>
        <v>85</v>
      </c>
      <c r="E100" s="4">
        <f t="shared" si="8"/>
        <v>12</v>
      </c>
      <c r="F100" s="4">
        <f t="shared" si="9"/>
        <v>21</v>
      </c>
      <c r="G100" s="3">
        <f>IF(E100&gt;=20,2000,1900) + D100</f>
        <v>1985</v>
      </c>
      <c r="H100">
        <f t="shared" si="10"/>
        <v>12</v>
      </c>
      <c r="I100" s="4">
        <f t="shared" si="11"/>
        <v>21</v>
      </c>
      <c r="J100">
        <f t="shared" si="12"/>
        <v>19851221</v>
      </c>
      <c r="K100">
        <f t="shared" si="13"/>
        <v>20</v>
      </c>
    </row>
    <row r="101" spans="1:11" x14ac:dyDescent="0.25">
      <c r="A101" s="4" t="s">
        <v>127</v>
      </c>
      <c r="B101" t="s">
        <v>13</v>
      </c>
      <c r="C101" t="s">
        <v>6</v>
      </c>
      <c r="D101" s="3">
        <f t="shared" si="7"/>
        <v>90</v>
      </c>
      <c r="E101" s="4">
        <f t="shared" si="8"/>
        <v>1</v>
      </c>
      <c r="F101" s="4">
        <f t="shared" si="9"/>
        <v>4</v>
      </c>
      <c r="G101" s="3">
        <f>IF(E101&gt;=20,2000,1900) + D101</f>
        <v>1990</v>
      </c>
      <c r="H101">
        <f t="shared" si="10"/>
        <v>1</v>
      </c>
      <c r="I101" s="4">
        <f t="shared" si="11"/>
        <v>4</v>
      </c>
      <c r="J101">
        <f t="shared" si="12"/>
        <v>19900104</v>
      </c>
      <c r="K101">
        <f t="shared" si="13"/>
        <v>20</v>
      </c>
    </row>
    <row r="102" spans="1:11" x14ac:dyDescent="0.25">
      <c r="A102" s="4" t="s">
        <v>128</v>
      </c>
      <c r="B102" t="s">
        <v>9</v>
      </c>
      <c r="C102" t="s">
        <v>6</v>
      </c>
      <c r="D102" s="3">
        <f t="shared" si="7"/>
        <v>72</v>
      </c>
      <c r="E102" s="4">
        <f t="shared" si="8"/>
        <v>10</v>
      </c>
      <c r="F102" s="4">
        <f t="shared" si="9"/>
        <v>7</v>
      </c>
      <c r="G102" s="3">
        <f>IF(E102&gt;=20,2000,1900) + D102</f>
        <v>1972</v>
      </c>
      <c r="H102">
        <f t="shared" si="10"/>
        <v>10</v>
      </c>
      <c r="I102" s="4">
        <f t="shared" si="11"/>
        <v>7</v>
      </c>
      <c r="J102">
        <f t="shared" si="12"/>
        <v>19721007</v>
      </c>
      <c r="K102">
        <f t="shared" si="13"/>
        <v>20</v>
      </c>
    </row>
    <row r="103" spans="1:11" x14ac:dyDescent="0.25">
      <c r="A103" s="4" t="s">
        <v>129</v>
      </c>
      <c r="B103" t="s">
        <v>18</v>
      </c>
      <c r="C103" t="s">
        <v>6</v>
      </c>
      <c r="D103" s="3">
        <f t="shared" si="7"/>
        <v>54</v>
      </c>
      <c r="E103" s="4">
        <f t="shared" si="8"/>
        <v>8</v>
      </c>
      <c r="F103" s="4">
        <f t="shared" si="9"/>
        <v>26</v>
      </c>
      <c r="G103" s="3">
        <f>IF(E103&gt;=20,2000,1900) + D103</f>
        <v>1954</v>
      </c>
      <c r="H103">
        <f t="shared" si="10"/>
        <v>8</v>
      </c>
      <c r="I103" s="4">
        <f t="shared" si="11"/>
        <v>26</v>
      </c>
      <c r="J103">
        <f t="shared" si="12"/>
        <v>19540826</v>
      </c>
      <c r="K103">
        <f t="shared" si="13"/>
        <v>20</v>
      </c>
    </row>
    <row r="104" spans="1:11" x14ac:dyDescent="0.25">
      <c r="A104" s="4" t="s">
        <v>130</v>
      </c>
      <c r="B104" t="s">
        <v>8</v>
      </c>
      <c r="C104" t="s">
        <v>4</v>
      </c>
      <c r="D104" s="3">
        <f t="shared" si="7"/>
        <v>60</v>
      </c>
      <c r="E104" s="4">
        <f t="shared" si="8"/>
        <v>8</v>
      </c>
      <c r="F104" s="4">
        <f t="shared" si="9"/>
        <v>26</v>
      </c>
      <c r="G104" s="3">
        <f>IF(E104&gt;=20,2000,1900) + D104</f>
        <v>1960</v>
      </c>
      <c r="H104">
        <f t="shared" si="10"/>
        <v>8</v>
      </c>
      <c r="I104" s="4">
        <f t="shared" si="11"/>
        <v>26</v>
      </c>
      <c r="J104">
        <f t="shared" si="12"/>
        <v>19600826</v>
      </c>
      <c r="K104">
        <f t="shared" si="13"/>
        <v>20</v>
      </c>
    </row>
    <row r="105" spans="1:11" x14ac:dyDescent="0.25">
      <c r="A105" s="4" t="s">
        <v>131</v>
      </c>
      <c r="B105" t="s">
        <v>13</v>
      </c>
      <c r="C105" t="s">
        <v>6</v>
      </c>
      <c r="D105" s="3">
        <f t="shared" si="7"/>
        <v>57</v>
      </c>
      <c r="E105" s="4">
        <f t="shared" si="8"/>
        <v>9</v>
      </c>
      <c r="F105" s="4">
        <f t="shared" si="9"/>
        <v>16</v>
      </c>
      <c r="G105" s="3">
        <f>IF(E105&gt;=20,2000,1900) + D105</f>
        <v>1957</v>
      </c>
      <c r="H105">
        <f t="shared" si="10"/>
        <v>9</v>
      </c>
      <c r="I105" s="4">
        <f t="shared" si="11"/>
        <v>16</v>
      </c>
      <c r="J105">
        <f t="shared" si="12"/>
        <v>19570916</v>
      </c>
      <c r="K105">
        <f t="shared" si="13"/>
        <v>20</v>
      </c>
    </row>
    <row r="106" spans="1:11" x14ac:dyDescent="0.25">
      <c r="A106" s="4" t="s">
        <v>132</v>
      </c>
      <c r="B106" t="s">
        <v>20</v>
      </c>
      <c r="C106" t="s">
        <v>6</v>
      </c>
      <c r="D106" s="3">
        <f t="shared" si="7"/>
        <v>87</v>
      </c>
      <c r="E106" s="4">
        <f t="shared" si="8"/>
        <v>11</v>
      </c>
      <c r="F106" s="4">
        <f t="shared" si="9"/>
        <v>10</v>
      </c>
      <c r="G106" s="3">
        <f>IF(E106&gt;=20,2000,1900) + D106</f>
        <v>1987</v>
      </c>
      <c r="H106">
        <f t="shared" si="10"/>
        <v>11</v>
      </c>
      <c r="I106" s="4">
        <f t="shared" si="11"/>
        <v>10</v>
      </c>
      <c r="J106">
        <f t="shared" si="12"/>
        <v>19871110</v>
      </c>
      <c r="K106">
        <f t="shared" si="13"/>
        <v>20</v>
      </c>
    </row>
    <row r="107" spans="1:11" x14ac:dyDescent="0.25">
      <c r="A107" s="4" t="s">
        <v>133</v>
      </c>
      <c r="B107" t="s">
        <v>11</v>
      </c>
      <c r="C107" t="s">
        <v>6</v>
      </c>
      <c r="D107" s="3">
        <f t="shared" si="7"/>
        <v>50</v>
      </c>
      <c r="E107" s="4">
        <f t="shared" si="8"/>
        <v>4</v>
      </c>
      <c r="F107" s="4">
        <f t="shared" si="9"/>
        <v>7</v>
      </c>
      <c r="G107" s="3">
        <f>IF(E107&gt;=20,2000,1900) + D107</f>
        <v>1950</v>
      </c>
      <c r="H107">
        <f t="shared" si="10"/>
        <v>4</v>
      </c>
      <c r="I107" s="4">
        <f t="shared" si="11"/>
        <v>7</v>
      </c>
      <c r="J107">
        <f t="shared" si="12"/>
        <v>19500407</v>
      </c>
      <c r="K107">
        <f t="shared" si="13"/>
        <v>20</v>
      </c>
    </row>
    <row r="108" spans="1:11" x14ac:dyDescent="0.25">
      <c r="A108" s="4" t="s">
        <v>134</v>
      </c>
      <c r="B108" t="s">
        <v>8</v>
      </c>
      <c r="C108" t="s">
        <v>4</v>
      </c>
      <c r="D108" s="3">
        <f t="shared" si="7"/>
        <v>68</v>
      </c>
      <c r="E108" s="4">
        <f t="shared" si="8"/>
        <v>10</v>
      </c>
      <c r="F108" s="4">
        <f t="shared" si="9"/>
        <v>10</v>
      </c>
      <c r="G108" s="3">
        <f>IF(E108&gt;=20,2000,1900) + D108</f>
        <v>1968</v>
      </c>
      <c r="H108">
        <f t="shared" si="10"/>
        <v>10</v>
      </c>
      <c r="I108" s="4">
        <f t="shared" si="11"/>
        <v>10</v>
      </c>
      <c r="J108">
        <f t="shared" si="12"/>
        <v>19681010</v>
      </c>
      <c r="K108">
        <f t="shared" si="13"/>
        <v>20</v>
      </c>
    </row>
    <row r="109" spans="1:11" x14ac:dyDescent="0.25">
      <c r="A109" s="4" t="s">
        <v>135</v>
      </c>
      <c r="B109" t="s">
        <v>7</v>
      </c>
      <c r="C109" t="s">
        <v>6</v>
      </c>
      <c r="D109" s="3">
        <f t="shared" si="7"/>
        <v>62</v>
      </c>
      <c r="E109" s="4">
        <f t="shared" si="8"/>
        <v>3</v>
      </c>
      <c r="F109" s="4">
        <f t="shared" si="9"/>
        <v>30</v>
      </c>
      <c r="G109" s="3">
        <f>IF(E109&gt;=20,2000,1900) + D109</f>
        <v>1962</v>
      </c>
      <c r="H109">
        <f t="shared" si="10"/>
        <v>3</v>
      </c>
      <c r="I109" s="4">
        <f t="shared" si="11"/>
        <v>30</v>
      </c>
      <c r="J109">
        <f t="shared" si="12"/>
        <v>19620330</v>
      </c>
      <c r="K109">
        <f t="shared" si="13"/>
        <v>20</v>
      </c>
    </row>
    <row r="110" spans="1:11" x14ac:dyDescent="0.25">
      <c r="A110" s="4" t="s">
        <v>136</v>
      </c>
      <c r="B110" t="s">
        <v>20</v>
      </c>
      <c r="C110" t="s">
        <v>6</v>
      </c>
      <c r="D110" s="3">
        <f t="shared" si="7"/>
        <v>79</v>
      </c>
      <c r="E110" s="4">
        <f t="shared" si="8"/>
        <v>7</v>
      </c>
      <c r="F110" s="4">
        <f t="shared" si="9"/>
        <v>27</v>
      </c>
      <c r="G110" s="3">
        <f>IF(E110&gt;=20,2000,1900) + D110</f>
        <v>1979</v>
      </c>
      <c r="H110">
        <f t="shared" si="10"/>
        <v>7</v>
      </c>
      <c r="I110" s="4">
        <f t="shared" si="11"/>
        <v>27</v>
      </c>
      <c r="J110">
        <f t="shared" si="12"/>
        <v>19790727</v>
      </c>
      <c r="K110">
        <f t="shared" si="13"/>
        <v>20</v>
      </c>
    </row>
    <row r="111" spans="1:11" x14ac:dyDescent="0.25">
      <c r="A111" s="4" t="s">
        <v>137</v>
      </c>
      <c r="B111" t="s">
        <v>15</v>
      </c>
      <c r="C111" t="s">
        <v>6</v>
      </c>
      <c r="D111" s="3">
        <f t="shared" si="7"/>
        <v>94</v>
      </c>
      <c r="E111" s="4">
        <f t="shared" si="8"/>
        <v>5</v>
      </c>
      <c r="F111" s="4">
        <f t="shared" si="9"/>
        <v>10</v>
      </c>
      <c r="G111" s="3">
        <f>IF(E111&gt;=20,2000,1900) + D111</f>
        <v>1994</v>
      </c>
      <c r="H111">
        <f t="shared" si="10"/>
        <v>5</v>
      </c>
      <c r="I111" s="4">
        <f t="shared" si="11"/>
        <v>10</v>
      </c>
      <c r="J111">
        <f t="shared" si="12"/>
        <v>19940510</v>
      </c>
      <c r="K111">
        <f t="shared" si="13"/>
        <v>20</v>
      </c>
    </row>
    <row r="112" spans="1:11" x14ac:dyDescent="0.25">
      <c r="A112" s="4" t="s">
        <v>138</v>
      </c>
      <c r="B112" t="s">
        <v>17</v>
      </c>
      <c r="C112" t="s">
        <v>6</v>
      </c>
      <c r="D112" s="3">
        <f t="shared" si="7"/>
        <v>98</v>
      </c>
      <c r="E112" s="4">
        <f t="shared" si="8"/>
        <v>1</v>
      </c>
      <c r="F112" s="4">
        <f t="shared" si="9"/>
        <v>5</v>
      </c>
      <c r="G112" s="3">
        <f>IF(E112&gt;=20,2000,1900) + D112</f>
        <v>1998</v>
      </c>
      <c r="H112">
        <f t="shared" si="10"/>
        <v>1</v>
      </c>
      <c r="I112" s="4">
        <f t="shared" si="11"/>
        <v>5</v>
      </c>
      <c r="J112">
        <f t="shared" si="12"/>
        <v>19980105</v>
      </c>
      <c r="K112">
        <f t="shared" si="13"/>
        <v>20</v>
      </c>
    </row>
    <row r="113" spans="1:11" x14ac:dyDescent="0.25">
      <c r="A113" s="4" t="s">
        <v>139</v>
      </c>
      <c r="B113" t="s">
        <v>7</v>
      </c>
      <c r="C113" t="s">
        <v>4</v>
      </c>
      <c r="D113" s="3">
        <f t="shared" si="7"/>
        <v>98</v>
      </c>
      <c r="E113" s="4">
        <f t="shared" si="8"/>
        <v>5</v>
      </c>
      <c r="F113" s="4">
        <f t="shared" si="9"/>
        <v>24</v>
      </c>
      <c r="G113" s="3">
        <f>IF(E113&gt;=20,2000,1900) + D113</f>
        <v>1998</v>
      </c>
      <c r="H113">
        <f t="shared" si="10"/>
        <v>5</v>
      </c>
      <c r="I113" s="4">
        <f t="shared" si="11"/>
        <v>24</v>
      </c>
      <c r="J113">
        <f t="shared" si="12"/>
        <v>19980524</v>
      </c>
      <c r="K113">
        <f t="shared" si="13"/>
        <v>20</v>
      </c>
    </row>
    <row r="114" spans="1:11" x14ac:dyDescent="0.25">
      <c r="A114" s="4" t="s">
        <v>140</v>
      </c>
      <c r="B114" t="s">
        <v>15</v>
      </c>
      <c r="C114" t="s">
        <v>4</v>
      </c>
      <c r="D114" s="3">
        <f t="shared" si="7"/>
        <v>86</v>
      </c>
      <c r="E114" s="4">
        <f t="shared" si="8"/>
        <v>7</v>
      </c>
      <c r="F114" s="4">
        <f t="shared" si="9"/>
        <v>29</v>
      </c>
      <c r="G114" s="3">
        <f>IF(E114&gt;=20,2000,1900) + D114</f>
        <v>1986</v>
      </c>
      <c r="H114">
        <f t="shared" si="10"/>
        <v>7</v>
      </c>
      <c r="I114" s="4">
        <f t="shared" si="11"/>
        <v>29</v>
      </c>
      <c r="J114">
        <f t="shared" si="12"/>
        <v>19860729</v>
      </c>
      <c r="K114">
        <f t="shared" si="13"/>
        <v>20</v>
      </c>
    </row>
    <row r="115" spans="1:11" x14ac:dyDescent="0.25">
      <c r="A115" s="4" t="s">
        <v>141</v>
      </c>
      <c r="B115" t="s">
        <v>11</v>
      </c>
      <c r="C115" t="s">
        <v>4</v>
      </c>
      <c r="D115" s="3">
        <f t="shared" si="7"/>
        <v>76</v>
      </c>
      <c r="E115" s="4">
        <f t="shared" si="8"/>
        <v>6</v>
      </c>
      <c r="F115" s="4">
        <f t="shared" si="9"/>
        <v>16</v>
      </c>
      <c r="G115" s="3">
        <f>IF(E115&gt;=20,2000,1900) + D115</f>
        <v>1976</v>
      </c>
      <c r="H115">
        <f t="shared" si="10"/>
        <v>6</v>
      </c>
      <c r="I115" s="4">
        <f t="shared" si="11"/>
        <v>16</v>
      </c>
      <c r="J115">
        <f t="shared" si="12"/>
        <v>19760616</v>
      </c>
      <c r="K115">
        <f t="shared" si="13"/>
        <v>20</v>
      </c>
    </row>
    <row r="116" spans="1:11" x14ac:dyDescent="0.25">
      <c r="A116" s="4" t="s">
        <v>142</v>
      </c>
      <c r="B116" t="s">
        <v>3</v>
      </c>
      <c r="C116" t="s">
        <v>4</v>
      </c>
      <c r="D116" s="3">
        <f t="shared" si="7"/>
        <v>69</v>
      </c>
      <c r="E116" s="4">
        <f t="shared" si="8"/>
        <v>1</v>
      </c>
      <c r="F116" s="4">
        <f t="shared" si="9"/>
        <v>17</v>
      </c>
      <c r="G116" s="3">
        <f>IF(E116&gt;=20,2000,1900) + D116</f>
        <v>1969</v>
      </c>
      <c r="H116">
        <f t="shared" si="10"/>
        <v>1</v>
      </c>
      <c r="I116" s="4">
        <f t="shared" si="11"/>
        <v>17</v>
      </c>
      <c r="J116">
        <f t="shared" si="12"/>
        <v>19690117</v>
      </c>
      <c r="K116">
        <f t="shared" si="13"/>
        <v>20</v>
      </c>
    </row>
    <row r="117" spans="1:11" x14ac:dyDescent="0.25">
      <c r="A117" s="4" t="s">
        <v>143</v>
      </c>
      <c r="B117" t="s">
        <v>9</v>
      </c>
      <c r="C117" t="s">
        <v>4</v>
      </c>
      <c r="D117" s="3">
        <f t="shared" si="7"/>
        <v>72</v>
      </c>
      <c r="E117" s="4">
        <f t="shared" si="8"/>
        <v>5</v>
      </c>
      <c r="F117" s="4">
        <f t="shared" si="9"/>
        <v>31</v>
      </c>
      <c r="G117" s="3">
        <f>IF(E117&gt;=20,2000,1900) + D117</f>
        <v>1972</v>
      </c>
      <c r="H117">
        <f t="shared" si="10"/>
        <v>5</v>
      </c>
      <c r="I117" s="4">
        <f t="shared" si="11"/>
        <v>31</v>
      </c>
      <c r="J117">
        <f t="shared" si="12"/>
        <v>19720531</v>
      </c>
      <c r="K117">
        <f t="shared" si="13"/>
        <v>20</v>
      </c>
    </row>
    <row r="118" spans="1:11" x14ac:dyDescent="0.25">
      <c r="A118" s="4" t="s">
        <v>144</v>
      </c>
      <c r="B118" t="s">
        <v>10</v>
      </c>
      <c r="C118" t="s">
        <v>6</v>
      </c>
      <c r="D118" s="3">
        <f t="shared" si="7"/>
        <v>92</v>
      </c>
      <c r="E118" s="4">
        <f t="shared" si="8"/>
        <v>11</v>
      </c>
      <c r="F118" s="4">
        <f t="shared" si="9"/>
        <v>11</v>
      </c>
      <c r="G118" s="3">
        <f>IF(E118&gt;=20,2000,1900) + D118</f>
        <v>1992</v>
      </c>
      <c r="H118">
        <f t="shared" si="10"/>
        <v>11</v>
      </c>
      <c r="I118" s="4">
        <f t="shared" si="11"/>
        <v>11</v>
      </c>
      <c r="J118">
        <f t="shared" si="12"/>
        <v>19921111</v>
      </c>
      <c r="K118">
        <f t="shared" si="13"/>
        <v>20</v>
      </c>
    </row>
    <row r="119" spans="1:11" x14ac:dyDescent="0.25">
      <c r="A119" s="4" t="s">
        <v>145</v>
      </c>
      <c r="B119" t="s">
        <v>5</v>
      </c>
      <c r="C119" t="s">
        <v>6</v>
      </c>
      <c r="D119" s="3">
        <f t="shared" si="7"/>
        <v>56</v>
      </c>
      <c r="E119" s="4">
        <f t="shared" si="8"/>
        <v>12</v>
      </c>
      <c r="F119" s="4">
        <f t="shared" si="9"/>
        <v>26</v>
      </c>
      <c r="G119" s="3">
        <f>IF(E119&gt;=20,2000,1900) + D119</f>
        <v>1956</v>
      </c>
      <c r="H119">
        <f t="shared" si="10"/>
        <v>12</v>
      </c>
      <c r="I119" s="4">
        <f t="shared" si="11"/>
        <v>26</v>
      </c>
      <c r="J119">
        <f t="shared" si="12"/>
        <v>19561226</v>
      </c>
      <c r="K119">
        <f t="shared" si="13"/>
        <v>20</v>
      </c>
    </row>
    <row r="120" spans="1:11" x14ac:dyDescent="0.25">
      <c r="A120" s="4" t="s">
        <v>146</v>
      </c>
      <c r="B120" t="s">
        <v>18</v>
      </c>
      <c r="C120" t="s">
        <v>6</v>
      </c>
      <c r="D120" s="3">
        <f t="shared" si="7"/>
        <v>78</v>
      </c>
      <c r="E120" s="4">
        <f t="shared" si="8"/>
        <v>2</v>
      </c>
      <c r="F120" s="4">
        <f t="shared" si="9"/>
        <v>21</v>
      </c>
      <c r="G120" s="3">
        <f>IF(E120&gt;=20,2000,1900) + D120</f>
        <v>1978</v>
      </c>
      <c r="H120">
        <f t="shared" si="10"/>
        <v>2</v>
      </c>
      <c r="I120" s="4">
        <f t="shared" si="11"/>
        <v>21</v>
      </c>
      <c r="J120">
        <f t="shared" si="12"/>
        <v>19780221</v>
      </c>
      <c r="K120">
        <f t="shared" si="13"/>
        <v>20</v>
      </c>
    </row>
    <row r="121" spans="1:11" x14ac:dyDescent="0.25">
      <c r="A121" s="4" t="s">
        <v>147</v>
      </c>
      <c r="B121" t="s">
        <v>16</v>
      </c>
      <c r="C121" t="s">
        <v>4</v>
      </c>
      <c r="D121" s="3">
        <f t="shared" si="7"/>
        <v>93</v>
      </c>
      <c r="E121" s="4">
        <f t="shared" si="8"/>
        <v>6</v>
      </c>
      <c r="F121" s="4">
        <f t="shared" si="9"/>
        <v>23</v>
      </c>
      <c r="G121" s="3">
        <f>IF(E121&gt;=20,2000,1900) + D121</f>
        <v>1993</v>
      </c>
      <c r="H121">
        <f t="shared" si="10"/>
        <v>6</v>
      </c>
      <c r="I121" s="4">
        <f t="shared" si="11"/>
        <v>23</v>
      </c>
      <c r="J121">
        <f t="shared" si="12"/>
        <v>19930623</v>
      </c>
      <c r="K121">
        <f t="shared" si="13"/>
        <v>20</v>
      </c>
    </row>
    <row r="122" spans="1:11" x14ac:dyDescent="0.25">
      <c r="A122" s="4" t="s">
        <v>148</v>
      </c>
      <c r="B122" t="s">
        <v>13</v>
      </c>
      <c r="C122" t="s">
        <v>4</v>
      </c>
      <c r="D122" s="3">
        <f t="shared" si="7"/>
        <v>68</v>
      </c>
      <c r="E122" s="4">
        <f t="shared" si="8"/>
        <v>11</v>
      </c>
      <c r="F122" s="4">
        <f t="shared" si="9"/>
        <v>12</v>
      </c>
      <c r="G122" s="3">
        <f>IF(E122&gt;=20,2000,1900) + D122</f>
        <v>1968</v>
      </c>
      <c r="H122">
        <f t="shared" si="10"/>
        <v>11</v>
      </c>
      <c r="I122" s="4">
        <f t="shared" si="11"/>
        <v>12</v>
      </c>
      <c r="J122">
        <f t="shared" si="12"/>
        <v>19681112</v>
      </c>
      <c r="K122">
        <f t="shared" si="13"/>
        <v>20</v>
      </c>
    </row>
    <row r="123" spans="1:11" x14ac:dyDescent="0.25">
      <c r="A123" s="4" t="s">
        <v>149</v>
      </c>
      <c r="B123" t="s">
        <v>8</v>
      </c>
      <c r="C123" t="s">
        <v>6</v>
      </c>
      <c r="D123" s="3">
        <f t="shared" si="7"/>
        <v>78</v>
      </c>
      <c r="E123" s="4">
        <f t="shared" si="8"/>
        <v>7</v>
      </c>
      <c r="F123" s="4">
        <f t="shared" si="9"/>
        <v>14</v>
      </c>
      <c r="G123" s="3">
        <f>IF(E123&gt;=20,2000,1900) + D123</f>
        <v>1978</v>
      </c>
      <c r="H123">
        <f t="shared" si="10"/>
        <v>7</v>
      </c>
      <c r="I123" s="4">
        <f t="shared" si="11"/>
        <v>14</v>
      </c>
      <c r="J123">
        <f t="shared" si="12"/>
        <v>19780714</v>
      </c>
      <c r="K123">
        <f t="shared" si="13"/>
        <v>20</v>
      </c>
    </row>
    <row r="124" spans="1:11" x14ac:dyDescent="0.25">
      <c r="A124" s="4" t="s">
        <v>150</v>
      </c>
      <c r="B124" t="s">
        <v>16</v>
      </c>
      <c r="C124" t="s">
        <v>4</v>
      </c>
      <c r="D124" s="3">
        <f t="shared" si="7"/>
        <v>76</v>
      </c>
      <c r="E124" s="4">
        <f t="shared" si="8"/>
        <v>5</v>
      </c>
      <c r="F124" s="4">
        <f t="shared" si="9"/>
        <v>19</v>
      </c>
      <c r="G124" s="3">
        <f>IF(E124&gt;=20,2000,1900) + D124</f>
        <v>1976</v>
      </c>
      <c r="H124">
        <f t="shared" si="10"/>
        <v>5</v>
      </c>
      <c r="I124" s="4">
        <f t="shared" si="11"/>
        <v>19</v>
      </c>
      <c r="J124">
        <f t="shared" si="12"/>
        <v>19760519</v>
      </c>
      <c r="K124">
        <f t="shared" si="13"/>
        <v>20</v>
      </c>
    </row>
    <row r="125" spans="1:11" x14ac:dyDescent="0.25">
      <c r="A125" s="4" t="s">
        <v>151</v>
      </c>
      <c r="B125" t="s">
        <v>3</v>
      </c>
      <c r="C125" t="s">
        <v>6</v>
      </c>
      <c r="D125" s="3">
        <f t="shared" si="7"/>
        <v>64</v>
      </c>
      <c r="E125" s="4">
        <f t="shared" si="8"/>
        <v>6</v>
      </c>
      <c r="F125" s="4">
        <f t="shared" si="9"/>
        <v>29</v>
      </c>
      <c r="G125" s="3">
        <f>IF(E125&gt;=20,2000,1900) + D125</f>
        <v>1964</v>
      </c>
      <c r="H125">
        <f t="shared" si="10"/>
        <v>6</v>
      </c>
      <c r="I125" s="4">
        <f t="shared" si="11"/>
        <v>29</v>
      </c>
      <c r="J125">
        <f t="shared" si="12"/>
        <v>19640629</v>
      </c>
      <c r="K125">
        <f t="shared" si="13"/>
        <v>20</v>
      </c>
    </row>
    <row r="126" spans="1:11" x14ac:dyDescent="0.25">
      <c r="A126" s="4" t="s">
        <v>152</v>
      </c>
      <c r="B126" t="s">
        <v>18</v>
      </c>
      <c r="C126" t="s">
        <v>4</v>
      </c>
      <c r="D126" s="3">
        <f t="shared" si="7"/>
        <v>88</v>
      </c>
      <c r="E126" s="4">
        <f t="shared" si="8"/>
        <v>4</v>
      </c>
      <c r="F126" s="4">
        <f t="shared" si="9"/>
        <v>6</v>
      </c>
      <c r="G126" s="3">
        <f>IF(E126&gt;=20,2000,1900) + D126</f>
        <v>1988</v>
      </c>
      <c r="H126">
        <f t="shared" si="10"/>
        <v>4</v>
      </c>
      <c r="I126" s="4">
        <f t="shared" si="11"/>
        <v>6</v>
      </c>
      <c r="J126">
        <f t="shared" si="12"/>
        <v>19880406</v>
      </c>
      <c r="K126">
        <f t="shared" si="13"/>
        <v>20</v>
      </c>
    </row>
    <row r="127" spans="1:11" x14ac:dyDescent="0.25">
      <c r="A127" s="4" t="s">
        <v>153</v>
      </c>
      <c r="B127" t="s">
        <v>19</v>
      </c>
      <c r="C127" t="s">
        <v>4</v>
      </c>
      <c r="D127" s="3">
        <f t="shared" si="7"/>
        <v>82</v>
      </c>
      <c r="E127" s="4">
        <f t="shared" si="8"/>
        <v>10</v>
      </c>
      <c r="F127" s="4">
        <f t="shared" si="9"/>
        <v>29</v>
      </c>
      <c r="G127" s="3">
        <f>IF(E127&gt;=20,2000,1900) + D127</f>
        <v>1982</v>
      </c>
      <c r="H127">
        <f t="shared" si="10"/>
        <v>10</v>
      </c>
      <c r="I127" s="4">
        <f t="shared" si="11"/>
        <v>29</v>
      </c>
      <c r="J127">
        <f t="shared" si="12"/>
        <v>19821029</v>
      </c>
      <c r="K127">
        <f t="shared" si="13"/>
        <v>20</v>
      </c>
    </row>
    <row r="128" spans="1:11" x14ac:dyDescent="0.25">
      <c r="A128" s="4" t="s">
        <v>154</v>
      </c>
      <c r="B128" t="s">
        <v>15</v>
      </c>
      <c r="C128" t="s">
        <v>6</v>
      </c>
      <c r="D128" s="3">
        <f t="shared" si="7"/>
        <v>80</v>
      </c>
      <c r="E128" s="4">
        <f t="shared" si="8"/>
        <v>11</v>
      </c>
      <c r="F128" s="4">
        <f t="shared" si="9"/>
        <v>15</v>
      </c>
      <c r="G128" s="3">
        <f>IF(E128&gt;=20,2000,1900) + D128</f>
        <v>1980</v>
      </c>
      <c r="H128">
        <f t="shared" si="10"/>
        <v>11</v>
      </c>
      <c r="I128" s="4">
        <f t="shared" si="11"/>
        <v>15</v>
      </c>
      <c r="J128">
        <f t="shared" si="12"/>
        <v>19801115</v>
      </c>
      <c r="K128">
        <f t="shared" si="13"/>
        <v>20</v>
      </c>
    </row>
    <row r="129" spans="1:11" x14ac:dyDescent="0.25">
      <c r="A129" s="4" t="s">
        <v>155</v>
      </c>
      <c r="B129" t="s">
        <v>10</v>
      </c>
      <c r="C129" t="s">
        <v>6</v>
      </c>
      <c r="D129" s="3">
        <f t="shared" si="7"/>
        <v>73</v>
      </c>
      <c r="E129" s="4">
        <f t="shared" si="8"/>
        <v>4</v>
      </c>
      <c r="F129" s="4">
        <f t="shared" si="9"/>
        <v>21</v>
      </c>
      <c r="G129" s="3">
        <f>IF(E129&gt;=20,2000,1900) + D129</f>
        <v>1973</v>
      </c>
      <c r="H129">
        <f t="shared" si="10"/>
        <v>4</v>
      </c>
      <c r="I129" s="4">
        <f t="shared" si="11"/>
        <v>21</v>
      </c>
      <c r="J129">
        <f t="shared" si="12"/>
        <v>19730421</v>
      </c>
      <c r="K129">
        <f t="shared" si="13"/>
        <v>20</v>
      </c>
    </row>
    <row r="130" spans="1:11" x14ac:dyDescent="0.25">
      <c r="A130" s="4" t="s">
        <v>156</v>
      </c>
      <c r="B130" t="s">
        <v>13</v>
      </c>
      <c r="C130" t="s">
        <v>4</v>
      </c>
      <c r="D130" s="3">
        <f t="shared" si="7"/>
        <v>71</v>
      </c>
      <c r="E130" s="4">
        <f t="shared" si="8"/>
        <v>11</v>
      </c>
      <c r="F130" s="4">
        <f t="shared" si="9"/>
        <v>16</v>
      </c>
      <c r="G130" s="3">
        <f>IF(E130&gt;=20,2000,1900) + D130</f>
        <v>1971</v>
      </c>
      <c r="H130">
        <f t="shared" si="10"/>
        <v>11</v>
      </c>
      <c r="I130" s="4">
        <f t="shared" si="11"/>
        <v>16</v>
      </c>
      <c r="J130">
        <f t="shared" si="12"/>
        <v>19711116</v>
      </c>
      <c r="K130">
        <f t="shared" si="13"/>
        <v>20</v>
      </c>
    </row>
    <row r="131" spans="1:11" x14ac:dyDescent="0.25">
      <c r="A131" s="4" t="s">
        <v>157</v>
      </c>
      <c r="B131" t="s">
        <v>3</v>
      </c>
      <c r="C131" t="s">
        <v>6</v>
      </c>
      <c r="D131" s="3">
        <f t="shared" ref="D131:D194" si="14">MID(A131,1,2)*1</f>
        <v>52</v>
      </c>
      <c r="E131" s="4">
        <f t="shared" ref="E131:E194" si="15">MID(A131,3,2)*1</f>
        <v>4</v>
      </c>
      <c r="F131" s="4">
        <f t="shared" ref="F131:F194" si="16">MID(A131,5,2)*1</f>
        <v>24</v>
      </c>
      <c r="G131" s="3">
        <f>IF(E131&gt;=20,2000,1900) + D131</f>
        <v>1952</v>
      </c>
      <c r="H131">
        <f t="shared" ref="H131:H194" si="17">IF(E131&gt;=20,E131-20,E131)</f>
        <v>4</v>
      </c>
      <c r="I131" s="4">
        <f t="shared" ref="I131:I194" si="18">F131</f>
        <v>24</v>
      </c>
      <c r="J131">
        <f t="shared" ref="J131:J194" si="19">CONCATENATE(G131,IF(LEN(E131)=1,CONCATENATE("0",E131),E131),IF(LEN(F131)=1,CONCATENATE("0",F131),F131))*1</f>
        <v>19520424</v>
      </c>
      <c r="K131">
        <f t="shared" ref="K131:K194" si="20">IF(G131&lt;=2000,20,21)</f>
        <v>20</v>
      </c>
    </row>
    <row r="132" spans="1:11" x14ac:dyDescent="0.25">
      <c r="A132" s="4" t="s">
        <v>158</v>
      </c>
      <c r="B132" t="s">
        <v>17</v>
      </c>
      <c r="C132" t="s">
        <v>4</v>
      </c>
      <c r="D132" s="3">
        <f t="shared" si="14"/>
        <v>94</v>
      </c>
      <c r="E132" s="4">
        <f t="shared" si="15"/>
        <v>11</v>
      </c>
      <c r="F132" s="4">
        <f t="shared" si="16"/>
        <v>5</v>
      </c>
      <c r="G132" s="3">
        <f>IF(E132&gt;=20,2000,1900) + D132</f>
        <v>1994</v>
      </c>
      <c r="H132">
        <f t="shared" si="17"/>
        <v>11</v>
      </c>
      <c r="I132" s="4">
        <f t="shared" si="18"/>
        <v>5</v>
      </c>
      <c r="J132">
        <f t="shared" si="19"/>
        <v>19941105</v>
      </c>
      <c r="K132">
        <f t="shared" si="20"/>
        <v>20</v>
      </c>
    </row>
    <row r="133" spans="1:11" x14ac:dyDescent="0.25">
      <c r="A133" s="4" t="s">
        <v>159</v>
      </c>
      <c r="B133" t="s">
        <v>7</v>
      </c>
      <c r="C133" t="s">
        <v>4</v>
      </c>
      <c r="D133" s="3">
        <f t="shared" si="14"/>
        <v>97</v>
      </c>
      <c r="E133" s="4">
        <f t="shared" si="15"/>
        <v>7</v>
      </c>
      <c r="F133" s="4">
        <f t="shared" si="16"/>
        <v>3</v>
      </c>
      <c r="G133" s="3">
        <f>IF(E133&gt;=20,2000,1900) + D133</f>
        <v>1997</v>
      </c>
      <c r="H133">
        <f t="shared" si="17"/>
        <v>7</v>
      </c>
      <c r="I133" s="4">
        <f t="shared" si="18"/>
        <v>3</v>
      </c>
      <c r="J133">
        <f t="shared" si="19"/>
        <v>19970703</v>
      </c>
      <c r="K133">
        <f t="shared" si="20"/>
        <v>20</v>
      </c>
    </row>
    <row r="134" spans="1:11" x14ac:dyDescent="0.25">
      <c r="A134" s="4" t="s">
        <v>160</v>
      </c>
      <c r="B134" t="s">
        <v>3</v>
      </c>
      <c r="C134" t="s">
        <v>4</v>
      </c>
      <c r="D134" s="3">
        <f t="shared" si="14"/>
        <v>68</v>
      </c>
      <c r="E134" s="4">
        <f t="shared" si="15"/>
        <v>2</v>
      </c>
      <c r="F134" s="4">
        <f t="shared" si="16"/>
        <v>1</v>
      </c>
      <c r="G134" s="3">
        <f>IF(E134&gt;=20,2000,1900) + D134</f>
        <v>1968</v>
      </c>
      <c r="H134">
        <f t="shared" si="17"/>
        <v>2</v>
      </c>
      <c r="I134" s="4">
        <f t="shared" si="18"/>
        <v>1</v>
      </c>
      <c r="J134">
        <f t="shared" si="19"/>
        <v>19680201</v>
      </c>
      <c r="K134">
        <f t="shared" si="20"/>
        <v>20</v>
      </c>
    </row>
    <row r="135" spans="1:11" x14ac:dyDescent="0.25">
      <c r="A135" s="4" t="s">
        <v>161</v>
      </c>
      <c r="B135" t="s">
        <v>10</v>
      </c>
      <c r="C135" t="s">
        <v>6</v>
      </c>
      <c r="D135" s="3">
        <f t="shared" si="14"/>
        <v>61</v>
      </c>
      <c r="E135" s="4">
        <f t="shared" si="15"/>
        <v>3</v>
      </c>
      <c r="F135" s="4">
        <f t="shared" si="16"/>
        <v>23</v>
      </c>
      <c r="G135" s="3">
        <f>IF(E135&gt;=20,2000,1900) + D135</f>
        <v>1961</v>
      </c>
      <c r="H135">
        <f t="shared" si="17"/>
        <v>3</v>
      </c>
      <c r="I135" s="4">
        <f t="shared" si="18"/>
        <v>23</v>
      </c>
      <c r="J135">
        <f t="shared" si="19"/>
        <v>19610323</v>
      </c>
      <c r="K135">
        <f t="shared" si="20"/>
        <v>20</v>
      </c>
    </row>
    <row r="136" spans="1:11" x14ac:dyDescent="0.25">
      <c r="A136" s="4" t="s">
        <v>162</v>
      </c>
      <c r="B136" t="s">
        <v>15</v>
      </c>
      <c r="C136" t="s">
        <v>6</v>
      </c>
      <c r="D136" s="3">
        <f t="shared" si="14"/>
        <v>89</v>
      </c>
      <c r="E136" s="4">
        <f t="shared" si="15"/>
        <v>5</v>
      </c>
      <c r="F136" s="4">
        <f t="shared" si="16"/>
        <v>18</v>
      </c>
      <c r="G136" s="3">
        <f>IF(E136&gt;=20,2000,1900) + D136</f>
        <v>1989</v>
      </c>
      <c r="H136">
        <f t="shared" si="17"/>
        <v>5</v>
      </c>
      <c r="I136" s="4">
        <f t="shared" si="18"/>
        <v>18</v>
      </c>
      <c r="J136">
        <f t="shared" si="19"/>
        <v>19890518</v>
      </c>
      <c r="K136">
        <f t="shared" si="20"/>
        <v>20</v>
      </c>
    </row>
    <row r="137" spans="1:11" x14ac:dyDescent="0.25">
      <c r="A137" s="4" t="s">
        <v>163</v>
      </c>
      <c r="B137" t="s">
        <v>19</v>
      </c>
      <c r="C137" t="s">
        <v>4</v>
      </c>
      <c r="D137" s="3">
        <f t="shared" si="14"/>
        <v>97</v>
      </c>
      <c r="E137" s="4">
        <f t="shared" si="15"/>
        <v>9</v>
      </c>
      <c r="F137" s="4">
        <f t="shared" si="16"/>
        <v>7</v>
      </c>
      <c r="G137" s="3">
        <f>IF(E137&gt;=20,2000,1900) + D137</f>
        <v>1997</v>
      </c>
      <c r="H137">
        <f t="shared" si="17"/>
        <v>9</v>
      </c>
      <c r="I137" s="4">
        <f t="shared" si="18"/>
        <v>7</v>
      </c>
      <c r="J137">
        <f t="shared" si="19"/>
        <v>19970907</v>
      </c>
      <c r="K137">
        <f t="shared" si="20"/>
        <v>20</v>
      </c>
    </row>
    <row r="138" spans="1:11" x14ac:dyDescent="0.25">
      <c r="A138" s="4" t="s">
        <v>164</v>
      </c>
      <c r="B138" t="s">
        <v>7</v>
      </c>
      <c r="C138" t="s">
        <v>6</v>
      </c>
      <c r="D138" s="3">
        <f t="shared" si="14"/>
        <v>61</v>
      </c>
      <c r="E138" s="4">
        <f t="shared" si="15"/>
        <v>8</v>
      </c>
      <c r="F138" s="4">
        <f t="shared" si="16"/>
        <v>5</v>
      </c>
      <c r="G138" s="3">
        <f>IF(E138&gt;=20,2000,1900) + D138</f>
        <v>1961</v>
      </c>
      <c r="H138">
        <f t="shared" si="17"/>
        <v>8</v>
      </c>
      <c r="I138" s="4">
        <f t="shared" si="18"/>
        <v>5</v>
      </c>
      <c r="J138">
        <f t="shared" si="19"/>
        <v>19610805</v>
      </c>
      <c r="K138">
        <f t="shared" si="20"/>
        <v>20</v>
      </c>
    </row>
    <row r="139" spans="1:11" x14ac:dyDescent="0.25">
      <c r="A139" s="4" t="s">
        <v>165</v>
      </c>
      <c r="B139" t="s">
        <v>18</v>
      </c>
      <c r="C139" t="s">
        <v>6</v>
      </c>
      <c r="D139" s="3">
        <f t="shared" si="14"/>
        <v>66</v>
      </c>
      <c r="E139" s="4">
        <f t="shared" si="15"/>
        <v>2</v>
      </c>
      <c r="F139" s="4">
        <f t="shared" si="16"/>
        <v>22</v>
      </c>
      <c r="G139" s="3">
        <f>IF(E139&gt;=20,2000,1900) + D139</f>
        <v>1966</v>
      </c>
      <c r="H139">
        <f t="shared" si="17"/>
        <v>2</v>
      </c>
      <c r="I139" s="4">
        <f t="shared" si="18"/>
        <v>22</v>
      </c>
      <c r="J139">
        <f t="shared" si="19"/>
        <v>19660222</v>
      </c>
      <c r="K139">
        <f t="shared" si="20"/>
        <v>20</v>
      </c>
    </row>
    <row r="140" spans="1:11" x14ac:dyDescent="0.25">
      <c r="A140" s="4" t="s">
        <v>166</v>
      </c>
      <c r="B140" t="s">
        <v>14</v>
      </c>
      <c r="C140" t="s">
        <v>4</v>
      </c>
      <c r="D140" s="3">
        <f t="shared" si="14"/>
        <v>53</v>
      </c>
      <c r="E140" s="4">
        <f t="shared" si="15"/>
        <v>12</v>
      </c>
      <c r="F140" s="4">
        <f t="shared" si="16"/>
        <v>9</v>
      </c>
      <c r="G140" s="3">
        <f>IF(E140&gt;=20,2000,1900) + D140</f>
        <v>1953</v>
      </c>
      <c r="H140">
        <f t="shared" si="17"/>
        <v>12</v>
      </c>
      <c r="I140" s="4">
        <f t="shared" si="18"/>
        <v>9</v>
      </c>
      <c r="J140">
        <f t="shared" si="19"/>
        <v>19531209</v>
      </c>
      <c r="K140">
        <f t="shared" si="20"/>
        <v>20</v>
      </c>
    </row>
    <row r="141" spans="1:11" x14ac:dyDescent="0.25">
      <c r="A141" s="4" t="s">
        <v>167</v>
      </c>
      <c r="B141" t="s">
        <v>3</v>
      </c>
      <c r="C141" t="s">
        <v>4</v>
      </c>
      <c r="D141" s="3">
        <f t="shared" si="14"/>
        <v>84</v>
      </c>
      <c r="E141" s="4">
        <f t="shared" si="15"/>
        <v>1</v>
      </c>
      <c r="F141" s="4">
        <f t="shared" si="16"/>
        <v>5</v>
      </c>
      <c r="G141" s="3">
        <f>IF(E141&gt;=20,2000,1900) + D141</f>
        <v>1984</v>
      </c>
      <c r="H141">
        <f t="shared" si="17"/>
        <v>1</v>
      </c>
      <c r="I141" s="4">
        <f t="shared" si="18"/>
        <v>5</v>
      </c>
      <c r="J141">
        <f t="shared" si="19"/>
        <v>19840105</v>
      </c>
      <c r="K141">
        <f t="shared" si="20"/>
        <v>20</v>
      </c>
    </row>
    <row r="142" spans="1:11" x14ac:dyDescent="0.25">
      <c r="A142" s="4" t="s">
        <v>168</v>
      </c>
      <c r="B142" t="s">
        <v>13</v>
      </c>
      <c r="C142" t="s">
        <v>6</v>
      </c>
      <c r="D142" s="3">
        <f t="shared" si="14"/>
        <v>94</v>
      </c>
      <c r="E142" s="4">
        <f t="shared" si="15"/>
        <v>11</v>
      </c>
      <c r="F142" s="4">
        <f t="shared" si="16"/>
        <v>16</v>
      </c>
      <c r="G142" s="3">
        <f>IF(E142&gt;=20,2000,1900) + D142</f>
        <v>1994</v>
      </c>
      <c r="H142">
        <f t="shared" si="17"/>
        <v>11</v>
      </c>
      <c r="I142" s="4">
        <f t="shared" si="18"/>
        <v>16</v>
      </c>
      <c r="J142">
        <f t="shared" si="19"/>
        <v>19941116</v>
      </c>
      <c r="K142">
        <f t="shared" si="20"/>
        <v>20</v>
      </c>
    </row>
    <row r="143" spans="1:11" x14ac:dyDescent="0.25">
      <c r="A143" s="4" t="s">
        <v>169</v>
      </c>
      <c r="B143" t="s">
        <v>9</v>
      </c>
      <c r="C143" t="s">
        <v>4</v>
      </c>
      <c r="D143" s="3">
        <f t="shared" si="14"/>
        <v>83</v>
      </c>
      <c r="E143" s="4">
        <f t="shared" si="15"/>
        <v>8</v>
      </c>
      <c r="F143" s="4">
        <f t="shared" si="16"/>
        <v>9</v>
      </c>
      <c r="G143" s="3">
        <f>IF(E143&gt;=20,2000,1900) + D143</f>
        <v>1983</v>
      </c>
      <c r="H143">
        <f t="shared" si="17"/>
        <v>8</v>
      </c>
      <c r="I143" s="4">
        <f t="shared" si="18"/>
        <v>9</v>
      </c>
      <c r="J143">
        <f t="shared" si="19"/>
        <v>19830809</v>
      </c>
      <c r="K143">
        <f t="shared" si="20"/>
        <v>20</v>
      </c>
    </row>
    <row r="144" spans="1:11" x14ac:dyDescent="0.25">
      <c r="A144" s="4" t="s">
        <v>170</v>
      </c>
      <c r="B144" t="s">
        <v>8</v>
      </c>
      <c r="C144" t="s">
        <v>4</v>
      </c>
      <c r="D144" s="3">
        <f t="shared" si="14"/>
        <v>99</v>
      </c>
      <c r="E144" s="4">
        <f t="shared" si="15"/>
        <v>2</v>
      </c>
      <c r="F144" s="4">
        <f t="shared" si="16"/>
        <v>6</v>
      </c>
      <c r="G144" s="3">
        <f>IF(E144&gt;=20,2000,1900) + D144</f>
        <v>1999</v>
      </c>
      <c r="H144">
        <f t="shared" si="17"/>
        <v>2</v>
      </c>
      <c r="I144" s="4">
        <f t="shared" si="18"/>
        <v>6</v>
      </c>
      <c r="J144">
        <f t="shared" si="19"/>
        <v>19990206</v>
      </c>
      <c r="K144">
        <f t="shared" si="20"/>
        <v>20</v>
      </c>
    </row>
    <row r="145" spans="1:11" x14ac:dyDescent="0.25">
      <c r="A145" s="4" t="s">
        <v>171</v>
      </c>
      <c r="B145" t="s">
        <v>17</v>
      </c>
      <c r="C145" t="s">
        <v>6</v>
      </c>
      <c r="D145" s="3">
        <f t="shared" si="14"/>
        <v>99</v>
      </c>
      <c r="E145" s="4">
        <f t="shared" si="15"/>
        <v>11</v>
      </c>
      <c r="F145" s="4">
        <f t="shared" si="16"/>
        <v>13</v>
      </c>
      <c r="G145" s="3">
        <f>IF(E145&gt;=20,2000,1900) + D145</f>
        <v>1999</v>
      </c>
      <c r="H145">
        <f t="shared" si="17"/>
        <v>11</v>
      </c>
      <c r="I145" s="4">
        <f t="shared" si="18"/>
        <v>13</v>
      </c>
      <c r="J145">
        <f t="shared" si="19"/>
        <v>19991113</v>
      </c>
      <c r="K145">
        <f t="shared" si="20"/>
        <v>20</v>
      </c>
    </row>
    <row r="146" spans="1:11" x14ac:dyDescent="0.25">
      <c r="A146" s="4" t="s">
        <v>172</v>
      </c>
      <c r="B146" t="s">
        <v>20</v>
      </c>
      <c r="C146" t="s">
        <v>4</v>
      </c>
      <c r="D146" s="3">
        <f t="shared" si="14"/>
        <v>51</v>
      </c>
      <c r="E146" s="4">
        <f t="shared" si="15"/>
        <v>9</v>
      </c>
      <c r="F146" s="4">
        <f t="shared" si="16"/>
        <v>25</v>
      </c>
      <c r="G146" s="3">
        <f>IF(E146&gt;=20,2000,1900) + D146</f>
        <v>1951</v>
      </c>
      <c r="H146">
        <f t="shared" si="17"/>
        <v>9</v>
      </c>
      <c r="I146" s="4">
        <f t="shared" si="18"/>
        <v>25</v>
      </c>
      <c r="J146">
        <f t="shared" si="19"/>
        <v>19510925</v>
      </c>
      <c r="K146">
        <f t="shared" si="20"/>
        <v>20</v>
      </c>
    </row>
    <row r="147" spans="1:11" x14ac:dyDescent="0.25">
      <c r="A147" s="4" t="s">
        <v>173</v>
      </c>
      <c r="B147" t="s">
        <v>9</v>
      </c>
      <c r="C147" t="s">
        <v>4</v>
      </c>
      <c r="D147" s="3">
        <f t="shared" si="14"/>
        <v>56</v>
      </c>
      <c r="E147" s="4">
        <f t="shared" si="15"/>
        <v>2</v>
      </c>
      <c r="F147" s="4">
        <f t="shared" si="16"/>
        <v>14</v>
      </c>
      <c r="G147" s="3">
        <f>IF(E147&gt;=20,2000,1900) + D147</f>
        <v>1956</v>
      </c>
      <c r="H147">
        <f t="shared" si="17"/>
        <v>2</v>
      </c>
      <c r="I147" s="4">
        <f t="shared" si="18"/>
        <v>14</v>
      </c>
      <c r="J147">
        <f t="shared" si="19"/>
        <v>19560214</v>
      </c>
      <c r="K147">
        <f t="shared" si="20"/>
        <v>20</v>
      </c>
    </row>
    <row r="148" spans="1:11" x14ac:dyDescent="0.25">
      <c r="A148" s="4" t="s">
        <v>174</v>
      </c>
      <c r="B148" t="s">
        <v>13</v>
      </c>
      <c r="C148" t="s">
        <v>4</v>
      </c>
      <c r="D148" s="3">
        <f t="shared" si="14"/>
        <v>61</v>
      </c>
      <c r="E148" s="4">
        <f t="shared" si="15"/>
        <v>5</v>
      </c>
      <c r="F148" s="4">
        <f t="shared" si="16"/>
        <v>23</v>
      </c>
      <c r="G148" s="3">
        <f>IF(E148&gt;=20,2000,1900) + D148</f>
        <v>1961</v>
      </c>
      <c r="H148">
        <f t="shared" si="17"/>
        <v>5</v>
      </c>
      <c r="I148" s="4">
        <f t="shared" si="18"/>
        <v>23</v>
      </c>
      <c r="J148">
        <f t="shared" si="19"/>
        <v>19610523</v>
      </c>
      <c r="K148">
        <f t="shared" si="20"/>
        <v>20</v>
      </c>
    </row>
    <row r="149" spans="1:11" x14ac:dyDescent="0.25">
      <c r="A149" s="4" t="s">
        <v>175</v>
      </c>
      <c r="B149" t="s">
        <v>13</v>
      </c>
      <c r="C149" t="s">
        <v>4</v>
      </c>
      <c r="D149" s="3">
        <f t="shared" si="14"/>
        <v>51</v>
      </c>
      <c r="E149" s="4">
        <f t="shared" si="15"/>
        <v>12</v>
      </c>
      <c r="F149" s="4">
        <f t="shared" si="16"/>
        <v>28</v>
      </c>
      <c r="G149" s="3">
        <f>IF(E149&gt;=20,2000,1900) + D149</f>
        <v>1951</v>
      </c>
      <c r="H149">
        <f t="shared" si="17"/>
        <v>12</v>
      </c>
      <c r="I149" s="4">
        <f t="shared" si="18"/>
        <v>28</v>
      </c>
      <c r="J149">
        <f t="shared" si="19"/>
        <v>19511228</v>
      </c>
      <c r="K149">
        <f t="shared" si="20"/>
        <v>20</v>
      </c>
    </row>
    <row r="150" spans="1:11" x14ac:dyDescent="0.25">
      <c r="A150" s="4" t="s">
        <v>176</v>
      </c>
      <c r="B150" t="s">
        <v>19</v>
      </c>
      <c r="C150" t="s">
        <v>4</v>
      </c>
      <c r="D150" s="3">
        <f t="shared" si="14"/>
        <v>71</v>
      </c>
      <c r="E150" s="4">
        <f t="shared" si="15"/>
        <v>6</v>
      </c>
      <c r="F150" s="4">
        <f t="shared" si="16"/>
        <v>30</v>
      </c>
      <c r="G150" s="3">
        <f>IF(E150&gt;=20,2000,1900) + D150</f>
        <v>1971</v>
      </c>
      <c r="H150">
        <f t="shared" si="17"/>
        <v>6</v>
      </c>
      <c r="I150" s="4">
        <f t="shared" si="18"/>
        <v>30</v>
      </c>
      <c r="J150">
        <f t="shared" si="19"/>
        <v>19710630</v>
      </c>
      <c r="K150">
        <f t="shared" si="20"/>
        <v>20</v>
      </c>
    </row>
    <row r="151" spans="1:11" x14ac:dyDescent="0.25">
      <c r="A151" s="4" t="s">
        <v>177</v>
      </c>
      <c r="B151" t="s">
        <v>5</v>
      </c>
      <c r="C151" t="s">
        <v>6</v>
      </c>
      <c r="D151" s="3">
        <f t="shared" si="14"/>
        <v>74</v>
      </c>
      <c r="E151" s="4">
        <f t="shared" si="15"/>
        <v>7</v>
      </c>
      <c r="F151" s="4">
        <f t="shared" si="16"/>
        <v>22</v>
      </c>
      <c r="G151" s="3">
        <f>IF(E151&gt;=20,2000,1900) + D151</f>
        <v>1974</v>
      </c>
      <c r="H151">
        <f t="shared" si="17"/>
        <v>7</v>
      </c>
      <c r="I151" s="4">
        <f t="shared" si="18"/>
        <v>22</v>
      </c>
      <c r="J151">
        <f t="shared" si="19"/>
        <v>19740722</v>
      </c>
      <c r="K151">
        <f t="shared" si="20"/>
        <v>20</v>
      </c>
    </row>
    <row r="152" spans="1:11" x14ac:dyDescent="0.25">
      <c r="A152" s="4" t="s">
        <v>178</v>
      </c>
      <c r="B152" t="s">
        <v>10</v>
      </c>
      <c r="C152" t="s">
        <v>4</v>
      </c>
      <c r="D152" s="3">
        <f t="shared" si="14"/>
        <v>91</v>
      </c>
      <c r="E152" s="4">
        <f t="shared" si="15"/>
        <v>9</v>
      </c>
      <c r="F152" s="4">
        <f t="shared" si="16"/>
        <v>14</v>
      </c>
      <c r="G152" s="3">
        <f>IF(E152&gt;=20,2000,1900) + D152</f>
        <v>1991</v>
      </c>
      <c r="H152">
        <f t="shared" si="17"/>
        <v>9</v>
      </c>
      <c r="I152" s="4">
        <f t="shared" si="18"/>
        <v>14</v>
      </c>
      <c r="J152">
        <f t="shared" si="19"/>
        <v>19910914</v>
      </c>
      <c r="K152">
        <f t="shared" si="20"/>
        <v>20</v>
      </c>
    </row>
    <row r="153" spans="1:11" x14ac:dyDescent="0.25">
      <c r="A153" s="4" t="s">
        <v>179</v>
      </c>
      <c r="B153" t="s">
        <v>9</v>
      </c>
      <c r="C153" t="s">
        <v>6</v>
      </c>
      <c r="D153" s="3">
        <f t="shared" si="14"/>
        <v>57</v>
      </c>
      <c r="E153" s="4">
        <f t="shared" si="15"/>
        <v>12</v>
      </c>
      <c r="F153" s="4">
        <f t="shared" si="16"/>
        <v>23</v>
      </c>
      <c r="G153" s="3">
        <f>IF(E153&gt;=20,2000,1900) + D153</f>
        <v>1957</v>
      </c>
      <c r="H153">
        <f t="shared" si="17"/>
        <v>12</v>
      </c>
      <c r="I153" s="4">
        <f t="shared" si="18"/>
        <v>23</v>
      </c>
      <c r="J153">
        <f t="shared" si="19"/>
        <v>19571223</v>
      </c>
      <c r="K153">
        <f t="shared" si="20"/>
        <v>20</v>
      </c>
    </row>
    <row r="154" spans="1:11" x14ac:dyDescent="0.25">
      <c r="A154" s="4" t="s">
        <v>180</v>
      </c>
      <c r="B154" t="s">
        <v>7</v>
      </c>
      <c r="C154" t="s">
        <v>6</v>
      </c>
      <c r="D154" s="3">
        <f t="shared" si="14"/>
        <v>99</v>
      </c>
      <c r="E154" s="4">
        <f t="shared" si="15"/>
        <v>4</v>
      </c>
      <c r="F154" s="4">
        <f t="shared" si="16"/>
        <v>14</v>
      </c>
      <c r="G154" s="3">
        <f>IF(E154&gt;=20,2000,1900) + D154</f>
        <v>1999</v>
      </c>
      <c r="H154">
        <f t="shared" si="17"/>
        <v>4</v>
      </c>
      <c r="I154" s="4">
        <f t="shared" si="18"/>
        <v>14</v>
      </c>
      <c r="J154">
        <f t="shared" si="19"/>
        <v>19990414</v>
      </c>
      <c r="K154">
        <f t="shared" si="20"/>
        <v>20</v>
      </c>
    </row>
    <row r="155" spans="1:11" x14ac:dyDescent="0.25">
      <c r="A155" s="4" t="s">
        <v>181</v>
      </c>
      <c r="B155" t="s">
        <v>18</v>
      </c>
      <c r="C155" t="s">
        <v>4</v>
      </c>
      <c r="D155" s="3">
        <f t="shared" si="14"/>
        <v>67</v>
      </c>
      <c r="E155" s="4">
        <f t="shared" si="15"/>
        <v>10</v>
      </c>
      <c r="F155" s="4">
        <f t="shared" si="16"/>
        <v>3</v>
      </c>
      <c r="G155" s="3">
        <f>IF(E155&gt;=20,2000,1900) + D155</f>
        <v>1967</v>
      </c>
      <c r="H155">
        <f t="shared" si="17"/>
        <v>10</v>
      </c>
      <c r="I155" s="4">
        <f t="shared" si="18"/>
        <v>3</v>
      </c>
      <c r="J155">
        <f t="shared" si="19"/>
        <v>19671003</v>
      </c>
      <c r="K155">
        <f t="shared" si="20"/>
        <v>20</v>
      </c>
    </row>
    <row r="156" spans="1:11" x14ac:dyDescent="0.25">
      <c r="A156" s="4" t="s">
        <v>182</v>
      </c>
      <c r="B156" t="s">
        <v>17</v>
      </c>
      <c r="C156" t="s">
        <v>4</v>
      </c>
      <c r="D156" s="3">
        <f t="shared" si="14"/>
        <v>82</v>
      </c>
      <c r="E156" s="4">
        <f t="shared" si="15"/>
        <v>6</v>
      </c>
      <c r="F156" s="4">
        <f t="shared" si="16"/>
        <v>20</v>
      </c>
      <c r="G156" s="3">
        <f>IF(E156&gt;=20,2000,1900) + D156</f>
        <v>1982</v>
      </c>
      <c r="H156">
        <f t="shared" si="17"/>
        <v>6</v>
      </c>
      <c r="I156" s="4">
        <f t="shared" si="18"/>
        <v>20</v>
      </c>
      <c r="J156">
        <f t="shared" si="19"/>
        <v>19820620</v>
      </c>
      <c r="K156">
        <f t="shared" si="20"/>
        <v>20</v>
      </c>
    </row>
    <row r="157" spans="1:11" x14ac:dyDescent="0.25">
      <c r="A157" s="4" t="s">
        <v>183</v>
      </c>
      <c r="B157" t="s">
        <v>11</v>
      </c>
      <c r="C157" t="s">
        <v>4</v>
      </c>
      <c r="D157" s="3">
        <f t="shared" si="14"/>
        <v>57</v>
      </c>
      <c r="E157" s="4">
        <f t="shared" si="15"/>
        <v>12</v>
      </c>
      <c r="F157" s="4">
        <f t="shared" si="16"/>
        <v>20</v>
      </c>
      <c r="G157" s="3">
        <f>IF(E157&gt;=20,2000,1900) + D157</f>
        <v>1957</v>
      </c>
      <c r="H157">
        <f t="shared" si="17"/>
        <v>12</v>
      </c>
      <c r="I157" s="4">
        <f t="shared" si="18"/>
        <v>20</v>
      </c>
      <c r="J157">
        <f t="shared" si="19"/>
        <v>19571220</v>
      </c>
      <c r="K157">
        <f t="shared" si="20"/>
        <v>20</v>
      </c>
    </row>
    <row r="158" spans="1:11" x14ac:dyDescent="0.25">
      <c r="A158" s="4" t="s">
        <v>184</v>
      </c>
      <c r="B158" t="s">
        <v>16</v>
      </c>
      <c r="C158" t="s">
        <v>6</v>
      </c>
      <c r="D158" s="3">
        <f t="shared" si="14"/>
        <v>67</v>
      </c>
      <c r="E158" s="4">
        <f t="shared" si="15"/>
        <v>11</v>
      </c>
      <c r="F158" s="4">
        <f t="shared" si="16"/>
        <v>21</v>
      </c>
      <c r="G158" s="3">
        <f>IF(E158&gt;=20,2000,1900) + D158</f>
        <v>1967</v>
      </c>
      <c r="H158">
        <f t="shared" si="17"/>
        <v>11</v>
      </c>
      <c r="I158" s="4">
        <f t="shared" si="18"/>
        <v>21</v>
      </c>
      <c r="J158">
        <f t="shared" si="19"/>
        <v>19671121</v>
      </c>
      <c r="K158">
        <f t="shared" si="20"/>
        <v>20</v>
      </c>
    </row>
    <row r="159" spans="1:11" x14ac:dyDescent="0.25">
      <c r="A159" s="4" t="s">
        <v>185</v>
      </c>
      <c r="B159" t="s">
        <v>9</v>
      </c>
      <c r="C159" t="s">
        <v>4</v>
      </c>
      <c r="D159" s="3">
        <f t="shared" si="14"/>
        <v>87</v>
      </c>
      <c r="E159" s="4">
        <f t="shared" si="15"/>
        <v>9</v>
      </c>
      <c r="F159" s="4">
        <f t="shared" si="16"/>
        <v>2</v>
      </c>
      <c r="G159" s="3">
        <f>IF(E159&gt;=20,2000,1900) + D159</f>
        <v>1987</v>
      </c>
      <c r="H159">
        <f t="shared" si="17"/>
        <v>9</v>
      </c>
      <c r="I159" s="4">
        <f t="shared" si="18"/>
        <v>2</v>
      </c>
      <c r="J159">
        <f t="shared" si="19"/>
        <v>19870902</v>
      </c>
      <c r="K159">
        <f t="shared" si="20"/>
        <v>20</v>
      </c>
    </row>
    <row r="160" spans="1:11" x14ac:dyDescent="0.25">
      <c r="A160" s="4" t="s">
        <v>186</v>
      </c>
      <c r="B160" t="s">
        <v>7</v>
      </c>
      <c r="C160" t="s">
        <v>6</v>
      </c>
      <c r="D160" s="3">
        <f t="shared" si="14"/>
        <v>61</v>
      </c>
      <c r="E160" s="4">
        <f t="shared" si="15"/>
        <v>3</v>
      </c>
      <c r="F160" s="4">
        <f t="shared" si="16"/>
        <v>24</v>
      </c>
      <c r="G160" s="3">
        <f>IF(E160&gt;=20,2000,1900) + D160</f>
        <v>1961</v>
      </c>
      <c r="H160">
        <f t="shared" si="17"/>
        <v>3</v>
      </c>
      <c r="I160" s="4">
        <f t="shared" si="18"/>
        <v>24</v>
      </c>
      <c r="J160">
        <f t="shared" si="19"/>
        <v>19610324</v>
      </c>
      <c r="K160">
        <f t="shared" si="20"/>
        <v>20</v>
      </c>
    </row>
    <row r="161" spans="1:11" x14ac:dyDescent="0.25">
      <c r="A161" s="4" t="s">
        <v>187</v>
      </c>
      <c r="B161" t="s">
        <v>5</v>
      </c>
      <c r="C161" t="s">
        <v>6</v>
      </c>
      <c r="D161" s="3">
        <f t="shared" si="14"/>
        <v>64</v>
      </c>
      <c r="E161" s="4">
        <f t="shared" si="15"/>
        <v>8</v>
      </c>
      <c r="F161" s="4">
        <f t="shared" si="16"/>
        <v>7</v>
      </c>
      <c r="G161" s="3">
        <f>IF(E161&gt;=20,2000,1900) + D161</f>
        <v>1964</v>
      </c>
      <c r="H161">
        <f t="shared" si="17"/>
        <v>8</v>
      </c>
      <c r="I161" s="4">
        <f t="shared" si="18"/>
        <v>7</v>
      </c>
      <c r="J161">
        <f t="shared" si="19"/>
        <v>19640807</v>
      </c>
      <c r="K161">
        <f t="shared" si="20"/>
        <v>20</v>
      </c>
    </row>
    <row r="162" spans="1:11" x14ac:dyDescent="0.25">
      <c r="A162" s="4" t="s">
        <v>188</v>
      </c>
      <c r="B162" t="s">
        <v>9</v>
      </c>
      <c r="C162" t="s">
        <v>6</v>
      </c>
      <c r="D162" s="3">
        <f t="shared" si="14"/>
        <v>59</v>
      </c>
      <c r="E162" s="4">
        <f t="shared" si="15"/>
        <v>6</v>
      </c>
      <c r="F162" s="4">
        <f t="shared" si="16"/>
        <v>27</v>
      </c>
      <c r="G162" s="3">
        <f>IF(E162&gt;=20,2000,1900) + D162</f>
        <v>1959</v>
      </c>
      <c r="H162">
        <f t="shared" si="17"/>
        <v>6</v>
      </c>
      <c r="I162" s="4">
        <f t="shared" si="18"/>
        <v>27</v>
      </c>
      <c r="J162">
        <f t="shared" si="19"/>
        <v>19590627</v>
      </c>
      <c r="K162">
        <f t="shared" si="20"/>
        <v>20</v>
      </c>
    </row>
    <row r="163" spans="1:11" x14ac:dyDescent="0.25">
      <c r="A163" s="4" t="s">
        <v>189</v>
      </c>
      <c r="B163" t="s">
        <v>20</v>
      </c>
      <c r="C163" t="s">
        <v>6</v>
      </c>
      <c r="D163" s="3">
        <f t="shared" si="14"/>
        <v>65</v>
      </c>
      <c r="E163" s="4">
        <f t="shared" si="15"/>
        <v>4</v>
      </c>
      <c r="F163" s="4">
        <f t="shared" si="16"/>
        <v>6</v>
      </c>
      <c r="G163" s="3">
        <f>IF(E163&gt;=20,2000,1900) + D163</f>
        <v>1965</v>
      </c>
      <c r="H163">
        <f t="shared" si="17"/>
        <v>4</v>
      </c>
      <c r="I163" s="4">
        <f t="shared" si="18"/>
        <v>6</v>
      </c>
      <c r="J163">
        <f t="shared" si="19"/>
        <v>19650406</v>
      </c>
      <c r="K163">
        <f t="shared" si="20"/>
        <v>20</v>
      </c>
    </row>
    <row r="164" spans="1:11" x14ac:dyDescent="0.25">
      <c r="A164" s="4" t="s">
        <v>190</v>
      </c>
      <c r="B164" t="s">
        <v>13</v>
      </c>
      <c r="C164" t="s">
        <v>6</v>
      </c>
      <c r="D164" s="3">
        <f t="shared" si="14"/>
        <v>94</v>
      </c>
      <c r="E164" s="4">
        <f t="shared" si="15"/>
        <v>12</v>
      </c>
      <c r="F164" s="4">
        <f t="shared" si="16"/>
        <v>26</v>
      </c>
      <c r="G164" s="3">
        <f>IF(E164&gt;=20,2000,1900) + D164</f>
        <v>1994</v>
      </c>
      <c r="H164">
        <f t="shared" si="17"/>
        <v>12</v>
      </c>
      <c r="I164" s="4">
        <f t="shared" si="18"/>
        <v>26</v>
      </c>
      <c r="J164">
        <f t="shared" si="19"/>
        <v>19941226</v>
      </c>
      <c r="K164">
        <f t="shared" si="20"/>
        <v>20</v>
      </c>
    </row>
    <row r="165" spans="1:11" x14ac:dyDescent="0.25">
      <c r="A165" s="4" t="s">
        <v>191</v>
      </c>
      <c r="B165" t="s">
        <v>20</v>
      </c>
      <c r="C165" t="s">
        <v>4</v>
      </c>
      <c r="D165" s="3">
        <f t="shared" si="14"/>
        <v>58</v>
      </c>
      <c r="E165" s="4">
        <f t="shared" si="15"/>
        <v>9</v>
      </c>
      <c r="F165" s="4">
        <f t="shared" si="16"/>
        <v>13</v>
      </c>
      <c r="G165" s="3">
        <f>IF(E165&gt;=20,2000,1900) + D165</f>
        <v>1958</v>
      </c>
      <c r="H165">
        <f t="shared" si="17"/>
        <v>9</v>
      </c>
      <c r="I165" s="4">
        <f t="shared" si="18"/>
        <v>13</v>
      </c>
      <c r="J165">
        <f t="shared" si="19"/>
        <v>19580913</v>
      </c>
      <c r="K165">
        <f t="shared" si="20"/>
        <v>20</v>
      </c>
    </row>
    <row r="166" spans="1:11" x14ac:dyDescent="0.25">
      <c r="A166" s="4" t="s">
        <v>192</v>
      </c>
      <c r="B166" t="s">
        <v>7</v>
      </c>
      <c r="C166" t="s">
        <v>4</v>
      </c>
      <c r="D166" s="3">
        <f t="shared" si="14"/>
        <v>73</v>
      </c>
      <c r="E166" s="4">
        <f t="shared" si="15"/>
        <v>11</v>
      </c>
      <c r="F166" s="4">
        <f t="shared" si="16"/>
        <v>23</v>
      </c>
      <c r="G166" s="3">
        <f>IF(E166&gt;=20,2000,1900) + D166</f>
        <v>1973</v>
      </c>
      <c r="H166">
        <f t="shared" si="17"/>
        <v>11</v>
      </c>
      <c r="I166" s="4">
        <f t="shared" si="18"/>
        <v>23</v>
      </c>
      <c r="J166">
        <f t="shared" si="19"/>
        <v>19731123</v>
      </c>
      <c r="K166">
        <f t="shared" si="20"/>
        <v>20</v>
      </c>
    </row>
    <row r="167" spans="1:11" x14ac:dyDescent="0.25">
      <c r="A167" s="4" t="s">
        <v>193</v>
      </c>
      <c r="B167" t="s">
        <v>16</v>
      </c>
      <c r="C167" t="s">
        <v>4</v>
      </c>
      <c r="D167" s="3">
        <f t="shared" si="14"/>
        <v>61</v>
      </c>
      <c r="E167" s="4">
        <f t="shared" si="15"/>
        <v>5</v>
      </c>
      <c r="F167" s="4">
        <f t="shared" si="16"/>
        <v>28</v>
      </c>
      <c r="G167" s="3">
        <f>IF(E167&gt;=20,2000,1900) + D167</f>
        <v>1961</v>
      </c>
      <c r="H167">
        <f t="shared" si="17"/>
        <v>5</v>
      </c>
      <c r="I167" s="4">
        <f t="shared" si="18"/>
        <v>28</v>
      </c>
      <c r="J167">
        <f t="shared" si="19"/>
        <v>19610528</v>
      </c>
      <c r="K167">
        <f t="shared" si="20"/>
        <v>20</v>
      </c>
    </row>
    <row r="168" spans="1:11" x14ac:dyDescent="0.25">
      <c r="A168" s="4" t="s">
        <v>194</v>
      </c>
      <c r="B168" t="s">
        <v>18</v>
      </c>
      <c r="C168" t="s">
        <v>6</v>
      </c>
      <c r="D168" s="3">
        <f t="shared" si="14"/>
        <v>71</v>
      </c>
      <c r="E168" s="4">
        <f t="shared" si="15"/>
        <v>2</v>
      </c>
      <c r="F168" s="4">
        <f t="shared" si="16"/>
        <v>16</v>
      </c>
      <c r="G168" s="3">
        <f>IF(E168&gt;=20,2000,1900) + D168</f>
        <v>1971</v>
      </c>
      <c r="H168">
        <f t="shared" si="17"/>
        <v>2</v>
      </c>
      <c r="I168" s="4">
        <f t="shared" si="18"/>
        <v>16</v>
      </c>
      <c r="J168">
        <f t="shared" si="19"/>
        <v>19710216</v>
      </c>
      <c r="K168">
        <f t="shared" si="20"/>
        <v>20</v>
      </c>
    </row>
    <row r="169" spans="1:11" x14ac:dyDescent="0.25">
      <c r="A169" s="4" t="s">
        <v>195</v>
      </c>
      <c r="B169" t="s">
        <v>15</v>
      </c>
      <c r="C169" t="s">
        <v>6</v>
      </c>
      <c r="D169" s="3">
        <f t="shared" si="14"/>
        <v>56</v>
      </c>
      <c r="E169" s="4">
        <f t="shared" si="15"/>
        <v>8</v>
      </c>
      <c r="F169" s="4">
        <f t="shared" si="16"/>
        <v>22</v>
      </c>
      <c r="G169" s="3">
        <f>IF(E169&gt;=20,2000,1900) + D169</f>
        <v>1956</v>
      </c>
      <c r="H169">
        <f t="shared" si="17"/>
        <v>8</v>
      </c>
      <c r="I169" s="4">
        <f t="shared" si="18"/>
        <v>22</v>
      </c>
      <c r="J169">
        <f t="shared" si="19"/>
        <v>19560822</v>
      </c>
      <c r="K169">
        <f t="shared" si="20"/>
        <v>20</v>
      </c>
    </row>
    <row r="170" spans="1:11" x14ac:dyDescent="0.25">
      <c r="A170" s="4" t="s">
        <v>196</v>
      </c>
      <c r="B170" t="s">
        <v>19</v>
      </c>
      <c r="C170" t="s">
        <v>6</v>
      </c>
      <c r="D170" s="3">
        <f t="shared" si="14"/>
        <v>99</v>
      </c>
      <c r="E170" s="4">
        <f t="shared" si="15"/>
        <v>10</v>
      </c>
      <c r="F170" s="4">
        <f t="shared" si="16"/>
        <v>12</v>
      </c>
      <c r="G170" s="3">
        <f>IF(E170&gt;=20,2000,1900) + D170</f>
        <v>1999</v>
      </c>
      <c r="H170">
        <f t="shared" si="17"/>
        <v>10</v>
      </c>
      <c r="I170" s="4">
        <f t="shared" si="18"/>
        <v>12</v>
      </c>
      <c r="J170">
        <f t="shared" si="19"/>
        <v>19991012</v>
      </c>
      <c r="K170">
        <f t="shared" si="20"/>
        <v>20</v>
      </c>
    </row>
    <row r="171" spans="1:11" x14ac:dyDescent="0.25">
      <c r="A171" s="4" t="s">
        <v>197</v>
      </c>
      <c r="B171" t="s">
        <v>18</v>
      </c>
      <c r="C171" t="s">
        <v>6</v>
      </c>
      <c r="D171" s="3">
        <f t="shared" si="14"/>
        <v>52</v>
      </c>
      <c r="E171" s="4">
        <f t="shared" si="15"/>
        <v>10</v>
      </c>
      <c r="F171" s="4">
        <f t="shared" si="16"/>
        <v>17</v>
      </c>
      <c r="G171" s="3">
        <f>IF(E171&gt;=20,2000,1900) + D171</f>
        <v>1952</v>
      </c>
      <c r="H171">
        <f t="shared" si="17"/>
        <v>10</v>
      </c>
      <c r="I171" s="4">
        <f t="shared" si="18"/>
        <v>17</v>
      </c>
      <c r="J171">
        <f t="shared" si="19"/>
        <v>19521017</v>
      </c>
      <c r="K171">
        <f t="shared" si="20"/>
        <v>20</v>
      </c>
    </row>
    <row r="172" spans="1:11" x14ac:dyDescent="0.25">
      <c r="A172" s="4" t="s">
        <v>198</v>
      </c>
      <c r="B172" t="s">
        <v>11</v>
      </c>
      <c r="C172" t="s">
        <v>6</v>
      </c>
      <c r="D172" s="3">
        <f t="shared" si="14"/>
        <v>86</v>
      </c>
      <c r="E172" s="4">
        <f t="shared" si="15"/>
        <v>9</v>
      </c>
      <c r="F172" s="4">
        <f t="shared" si="16"/>
        <v>16</v>
      </c>
      <c r="G172" s="3">
        <f>IF(E172&gt;=20,2000,1900) + D172</f>
        <v>1986</v>
      </c>
      <c r="H172">
        <f t="shared" si="17"/>
        <v>9</v>
      </c>
      <c r="I172" s="4">
        <f t="shared" si="18"/>
        <v>16</v>
      </c>
      <c r="J172">
        <f t="shared" si="19"/>
        <v>19860916</v>
      </c>
      <c r="K172">
        <f t="shared" si="20"/>
        <v>20</v>
      </c>
    </row>
    <row r="173" spans="1:11" x14ac:dyDescent="0.25">
      <c r="A173" s="4" t="s">
        <v>199</v>
      </c>
      <c r="B173" t="s">
        <v>10</v>
      </c>
      <c r="C173" t="s">
        <v>4</v>
      </c>
      <c r="D173" s="3">
        <f t="shared" si="14"/>
        <v>58</v>
      </c>
      <c r="E173" s="4">
        <f t="shared" si="15"/>
        <v>7</v>
      </c>
      <c r="F173" s="4">
        <f t="shared" si="16"/>
        <v>19</v>
      </c>
      <c r="G173" s="3">
        <f>IF(E173&gt;=20,2000,1900) + D173</f>
        <v>1958</v>
      </c>
      <c r="H173">
        <f t="shared" si="17"/>
        <v>7</v>
      </c>
      <c r="I173" s="4">
        <f t="shared" si="18"/>
        <v>19</v>
      </c>
      <c r="J173">
        <f t="shared" si="19"/>
        <v>19580719</v>
      </c>
      <c r="K173">
        <f t="shared" si="20"/>
        <v>20</v>
      </c>
    </row>
    <row r="174" spans="1:11" x14ac:dyDescent="0.25">
      <c r="A174" s="4" t="s">
        <v>200</v>
      </c>
      <c r="B174" t="s">
        <v>16</v>
      </c>
      <c r="C174" t="s">
        <v>6</v>
      </c>
      <c r="D174" s="3">
        <f t="shared" si="14"/>
        <v>95</v>
      </c>
      <c r="E174" s="4">
        <f t="shared" si="15"/>
        <v>3</v>
      </c>
      <c r="F174" s="4">
        <f t="shared" si="16"/>
        <v>4</v>
      </c>
      <c r="G174" s="3">
        <f>IF(E174&gt;=20,2000,1900) + D174</f>
        <v>1995</v>
      </c>
      <c r="H174">
        <f t="shared" si="17"/>
        <v>3</v>
      </c>
      <c r="I174" s="4">
        <f t="shared" si="18"/>
        <v>4</v>
      </c>
      <c r="J174">
        <f t="shared" si="19"/>
        <v>19950304</v>
      </c>
      <c r="K174">
        <f t="shared" si="20"/>
        <v>20</v>
      </c>
    </row>
    <row r="175" spans="1:11" x14ac:dyDescent="0.25">
      <c r="A175" s="4" t="s">
        <v>201</v>
      </c>
      <c r="B175" t="s">
        <v>13</v>
      </c>
      <c r="C175" t="s">
        <v>6</v>
      </c>
      <c r="D175" s="3">
        <f t="shared" si="14"/>
        <v>91</v>
      </c>
      <c r="E175" s="4">
        <f t="shared" si="15"/>
        <v>11</v>
      </c>
      <c r="F175" s="4">
        <f t="shared" si="16"/>
        <v>3</v>
      </c>
      <c r="G175" s="3">
        <f>IF(E175&gt;=20,2000,1900) + D175</f>
        <v>1991</v>
      </c>
      <c r="H175">
        <f t="shared" si="17"/>
        <v>11</v>
      </c>
      <c r="I175" s="4">
        <f t="shared" si="18"/>
        <v>3</v>
      </c>
      <c r="J175">
        <f t="shared" si="19"/>
        <v>19911103</v>
      </c>
      <c r="K175">
        <f t="shared" si="20"/>
        <v>20</v>
      </c>
    </row>
    <row r="176" spans="1:11" x14ac:dyDescent="0.25">
      <c r="A176" s="4" t="s">
        <v>202</v>
      </c>
      <c r="B176" t="s">
        <v>16</v>
      </c>
      <c r="C176" t="s">
        <v>6</v>
      </c>
      <c r="D176" s="3">
        <f t="shared" si="14"/>
        <v>56</v>
      </c>
      <c r="E176" s="4">
        <f t="shared" si="15"/>
        <v>1</v>
      </c>
      <c r="F176" s="4">
        <f t="shared" si="16"/>
        <v>6</v>
      </c>
      <c r="G176" s="3">
        <f>IF(E176&gt;=20,2000,1900) + D176</f>
        <v>1956</v>
      </c>
      <c r="H176">
        <f t="shared" si="17"/>
        <v>1</v>
      </c>
      <c r="I176" s="4">
        <f t="shared" si="18"/>
        <v>6</v>
      </c>
      <c r="J176">
        <f t="shared" si="19"/>
        <v>19560106</v>
      </c>
      <c r="K176">
        <f t="shared" si="20"/>
        <v>20</v>
      </c>
    </row>
    <row r="177" spans="1:11" x14ac:dyDescent="0.25">
      <c r="A177" s="4" t="s">
        <v>203</v>
      </c>
      <c r="B177" t="s">
        <v>18</v>
      </c>
      <c r="C177" t="s">
        <v>4</v>
      </c>
      <c r="D177" s="3">
        <f t="shared" si="14"/>
        <v>75</v>
      </c>
      <c r="E177" s="4">
        <f t="shared" si="15"/>
        <v>6</v>
      </c>
      <c r="F177" s="4">
        <f t="shared" si="16"/>
        <v>27</v>
      </c>
      <c r="G177" s="3">
        <f>IF(E177&gt;=20,2000,1900) + D177</f>
        <v>1975</v>
      </c>
      <c r="H177">
        <f t="shared" si="17"/>
        <v>6</v>
      </c>
      <c r="I177" s="4">
        <f t="shared" si="18"/>
        <v>27</v>
      </c>
      <c r="J177">
        <f t="shared" si="19"/>
        <v>19750627</v>
      </c>
      <c r="K177">
        <f t="shared" si="20"/>
        <v>20</v>
      </c>
    </row>
    <row r="178" spans="1:11" x14ac:dyDescent="0.25">
      <c r="A178" s="4" t="s">
        <v>204</v>
      </c>
      <c r="B178" t="s">
        <v>17</v>
      </c>
      <c r="C178" t="s">
        <v>4</v>
      </c>
      <c r="D178" s="3">
        <f t="shared" si="14"/>
        <v>94</v>
      </c>
      <c r="E178" s="4">
        <f t="shared" si="15"/>
        <v>11</v>
      </c>
      <c r="F178" s="4">
        <f t="shared" si="16"/>
        <v>11</v>
      </c>
      <c r="G178" s="3">
        <f>IF(E178&gt;=20,2000,1900) + D178</f>
        <v>1994</v>
      </c>
      <c r="H178">
        <f t="shared" si="17"/>
        <v>11</v>
      </c>
      <c r="I178" s="4">
        <f t="shared" si="18"/>
        <v>11</v>
      </c>
      <c r="J178">
        <f t="shared" si="19"/>
        <v>19941111</v>
      </c>
      <c r="K178">
        <f t="shared" si="20"/>
        <v>20</v>
      </c>
    </row>
    <row r="179" spans="1:11" x14ac:dyDescent="0.25">
      <c r="A179" s="4" t="s">
        <v>205</v>
      </c>
      <c r="B179" t="s">
        <v>12</v>
      </c>
      <c r="C179" t="s">
        <v>6</v>
      </c>
      <c r="D179" s="3">
        <f t="shared" si="14"/>
        <v>81</v>
      </c>
      <c r="E179" s="4">
        <f t="shared" si="15"/>
        <v>2</v>
      </c>
      <c r="F179" s="4">
        <f t="shared" si="16"/>
        <v>15</v>
      </c>
      <c r="G179" s="3">
        <f>IF(E179&gt;=20,2000,1900) + D179</f>
        <v>1981</v>
      </c>
      <c r="H179">
        <f t="shared" si="17"/>
        <v>2</v>
      </c>
      <c r="I179" s="4">
        <f t="shared" si="18"/>
        <v>15</v>
      </c>
      <c r="J179">
        <f t="shared" si="19"/>
        <v>19810215</v>
      </c>
      <c r="K179">
        <f t="shared" si="20"/>
        <v>20</v>
      </c>
    </row>
    <row r="180" spans="1:11" x14ac:dyDescent="0.25">
      <c r="A180" s="4" t="s">
        <v>206</v>
      </c>
      <c r="B180" t="s">
        <v>11</v>
      </c>
      <c r="C180" t="s">
        <v>6</v>
      </c>
      <c r="D180" s="3">
        <f t="shared" si="14"/>
        <v>90</v>
      </c>
      <c r="E180" s="4">
        <f t="shared" si="15"/>
        <v>10</v>
      </c>
      <c r="F180" s="4">
        <f t="shared" si="16"/>
        <v>31</v>
      </c>
      <c r="G180" s="3">
        <f>IF(E180&gt;=20,2000,1900) + D180</f>
        <v>1990</v>
      </c>
      <c r="H180">
        <f t="shared" si="17"/>
        <v>10</v>
      </c>
      <c r="I180" s="4">
        <f t="shared" si="18"/>
        <v>31</v>
      </c>
      <c r="J180">
        <f t="shared" si="19"/>
        <v>19901031</v>
      </c>
      <c r="K180">
        <f t="shared" si="20"/>
        <v>20</v>
      </c>
    </row>
    <row r="181" spans="1:11" x14ac:dyDescent="0.25">
      <c r="A181" s="4" t="s">
        <v>207</v>
      </c>
      <c r="B181" t="s">
        <v>11</v>
      </c>
      <c r="C181" t="s">
        <v>6</v>
      </c>
      <c r="D181" s="3">
        <f t="shared" si="14"/>
        <v>72</v>
      </c>
      <c r="E181" s="4">
        <f t="shared" si="15"/>
        <v>3</v>
      </c>
      <c r="F181" s="4">
        <f t="shared" si="16"/>
        <v>31</v>
      </c>
      <c r="G181" s="3">
        <f>IF(E181&gt;=20,2000,1900) + D181</f>
        <v>1972</v>
      </c>
      <c r="H181">
        <f t="shared" si="17"/>
        <v>3</v>
      </c>
      <c r="I181" s="4">
        <f t="shared" si="18"/>
        <v>31</v>
      </c>
      <c r="J181">
        <f t="shared" si="19"/>
        <v>19720331</v>
      </c>
      <c r="K181">
        <f t="shared" si="20"/>
        <v>20</v>
      </c>
    </row>
    <row r="182" spans="1:11" x14ac:dyDescent="0.25">
      <c r="A182" s="4" t="s">
        <v>208</v>
      </c>
      <c r="B182" t="s">
        <v>16</v>
      </c>
      <c r="C182" t="s">
        <v>6</v>
      </c>
      <c r="D182" s="3">
        <f t="shared" si="14"/>
        <v>90</v>
      </c>
      <c r="E182" s="4">
        <f t="shared" si="15"/>
        <v>1</v>
      </c>
      <c r="F182" s="4">
        <f t="shared" si="16"/>
        <v>4</v>
      </c>
      <c r="G182" s="3">
        <f>IF(E182&gt;=20,2000,1900) + D182</f>
        <v>1990</v>
      </c>
      <c r="H182">
        <f t="shared" si="17"/>
        <v>1</v>
      </c>
      <c r="I182" s="4">
        <f t="shared" si="18"/>
        <v>4</v>
      </c>
      <c r="J182">
        <f t="shared" si="19"/>
        <v>19900104</v>
      </c>
      <c r="K182">
        <f t="shared" si="20"/>
        <v>20</v>
      </c>
    </row>
    <row r="183" spans="1:11" x14ac:dyDescent="0.25">
      <c r="A183" s="4" t="s">
        <v>209</v>
      </c>
      <c r="B183" t="s">
        <v>7</v>
      </c>
      <c r="C183" t="s">
        <v>4</v>
      </c>
      <c r="D183" s="3">
        <f t="shared" si="14"/>
        <v>93</v>
      </c>
      <c r="E183" s="4">
        <f t="shared" si="15"/>
        <v>10</v>
      </c>
      <c r="F183" s="4">
        <f t="shared" si="16"/>
        <v>11</v>
      </c>
      <c r="G183" s="3">
        <f>IF(E183&gt;=20,2000,1900) + D183</f>
        <v>1993</v>
      </c>
      <c r="H183">
        <f t="shared" si="17"/>
        <v>10</v>
      </c>
      <c r="I183" s="4">
        <f t="shared" si="18"/>
        <v>11</v>
      </c>
      <c r="J183">
        <f t="shared" si="19"/>
        <v>19931011</v>
      </c>
      <c r="K183">
        <f t="shared" si="20"/>
        <v>20</v>
      </c>
    </row>
    <row r="184" spans="1:11" x14ac:dyDescent="0.25">
      <c r="A184" s="4" t="s">
        <v>210</v>
      </c>
      <c r="B184" t="s">
        <v>20</v>
      </c>
      <c r="C184" t="s">
        <v>4</v>
      </c>
      <c r="D184" s="3">
        <f t="shared" si="14"/>
        <v>96</v>
      </c>
      <c r="E184" s="4">
        <f t="shared" si="15"/>
        <v>9</v>
      </c>
      <c r="F184" s="4">
        <f t="shared" si="16"/>
        <v>15</v>
      </c>
      <c r="G184" s="3">
        <f>IF(E184&gt;=20,2000,1900) + D184</f>
        <v>1996</v>
      </c>
      <c r="H184">
        <f t="shared" si="17"/>
        <v>9</v>
      </c>
      <c r="I184" s="4">
        <f t="shared" si="18"/>
        <v>15</v>
      </c>
      <c r="J184">
        <f t="shared" si="19"/>
        <v>19960915</v>
      </c>
      <c r="K184">
        <f t="shared" si="20"/>
        <v>20</v>
      </c>
    </row>
    <row r="185" spans="1:11" x14ac:dyDescent="0.25">
      <c r="A185" s="4" t="s">
        <v>211</v>
      </c>
      <c r="B185" t="s">
        <v>15</v>
      </c>
      <c r="C185" t="s">
        <v>4</v>
      </c>
      <c r="D185" s="3">
        <f t="shared" si="14"/>
        <v>65</v>
      </c>
      <c r="E185" s="4">
        <f t="shared" si="15"/>
        <v>1</v>
      </c>
      <c r="F185" s="4">
        <f t="shared" si="16"/>
        <v>10</v>
      </c>
      <c r="G185" s="3">
        <f>IF(E185&gt;=20,2000,1900) + D185</f>
        <v>1965</v>
      </c>
      <c r="H185">
        <f t="shared" si="17"/>
        <v>1</v>
      </c>
      <c r="I185" s="4">
        <f t="shared" si="18"/>
        <v>10</v>
      </c>
      <c r="J185">
        <f t="shared" si="19"/>
        <v>19650110</v>
      </c>
      <c r="K185">
        <f t="shared" si="20"/>
        <v>20</v>
      </c>
    </row>
    <row r="186" spans="1:11" x14ac:dyDescent="0.25">
      <c r="A186" s="4" t="s">
        <v>212</v>
      </c>
      <c r="B186" t="s">
        <v>9</v>
      </c>
      <c r="C186" t="s">
        <v>6</v>
      </c>
      <c r="D186" s="3">
        <f t="shared" si="14"/>
        <v>53</v>
      </c>
      <c r="E186" s="4">
        <f t="shared" si="15"/>
        <v>12</v>
      </c>
      <c r="F186" s="4">
        <f t="shared" si="16"/>
        <v>31</v>
      </c>
      <c r="G186" s="3">
        <f>IF(E186&gt;=20,2000,1900) + D186</f>
        <v>1953</v>
      </c>
      <c r="H186">
        <f t="shared" si="17"/>
        <v>12</v>
      </c>
      <c r="I186" s="4">
        <f t="shared" si="18"/>
        <v>31</v>
      </c>
      <c r="J186">
        <f t="shared" si="19"/>
        <v>19531231</v>
      </c>
      <c r="K186">
        <f t="shared" si="20"/>
        <v>20</v>
      </c>
    </row>
    <row r="187" spans="1:11" x14ac:dyDescent="0.25">
      <c r="A187" s="4" t="s">
        <v>213</v>
      </c>
      <c r="B187" t="s">
        <v>14</v>
      </c>
      <c r="C187" t="s">
        <v>6</v>
      </c>
      <c r="D187" s="3">
        <f t="shared" si="14"/>
        <v>73</v>
      </c>
      <c r="E187" s="4">
        <f t="shared" si="15"/>
        <v>6</v>
      </c>
      <c r="F187" s="4">
        <f t="shared" si="16"/>
        <v>2</v>
      </c>
      <c r="G187" s="3">
        <f>IF(E187&gt;=20,2000,1900) + D187</f>
        <v>1973</v>
      </c>
      <c r="H187">
        <f t="shared" si="17"/>
        <v>6</v>
      </c>
      <c r="I187" s="4">
        <f t="shared" si="18"/>
        <v>2</v>
      </c>
      <c r="J187">
        <f t="shared" si="19"/>
        <v>19730602</v>
      </c>
      <c r="K187">
        <f t="shared" si="20"/>
        <v>20</v>
      </c>
    </row>
    <row r="188" spans="1:11" x14ac:dyDescent="0.25">
      <c r="A188" s="4" t="s">
        <v>214</v>
      </c>
      <c r="B188" t="s">
        <v>14</v>
      </c>
      <c r="C188" t="s">
        <v>4</v>
      </c>
      <c r="D188" s="3">
        <f t="shared" si="14"/>
        <v>77</v>
      </c>
      <c r="E188" s="4">
        <f t="shared" si="15"/>
        <v>12</v>
      </c>
      <c r="F188" s="4">
        <f t="shared" si="16"/>
        <v>19</v>
      </c>
      <c r="G188" s="3">
        <f>IF(E188&gt;=20,2000,1900) + D188</f>
        <v>1977</v>
      </c>
      <c r="H188">
        <f t="shared" si="17"/>
        <v>12</v>
      </c>
      <c r="I188" s="4">
        <f t="shared" si="18"/>
        <v>19</v>
      </c>
      <c r="J188">
        <f t="shared" si="19"/>
        <v>19771219</v>
      </c>
      <c r="K188">
        <f t="shared" si="20"/>
        <v>20</v>
      </c>
    </row>
    <row r="189" spans="1:11" x14ac:dyDescent="0.25">
      <c r="A189" s="4" t="s">
        <v>215</v>
      </c>
      <c r="B189" t="s">
        <v>7</v>
      </c>
      <c r="C189" t="s">
        <v>4</v>
      </c>
      <c r="D189" s="3">
        <f t="shared" si="14"/>
        <v>68</v>
      </c>
      <c r="E189" s="4">
        <f t="shared" si="15"/>
        <v>3</v>
      </c>
      <c r="F189" s="4">
        <f t="shared" si="16"/>
        <v>10</v>
      </c>
      <c r="G189" s="3">
        <f>IF(E189&gt;=20,2000,1900) + D189</f>
        <v>1968</v>
      </c>
      <c r="H189">
        <f t="shared" si="17"/>
        <v>3</v>
      </c>
      <c r="I189" s="4">
        <f t="shared" si="18"/>
        <v>10</v>
      </c>
      <c r="J189">
        <f t="shared" si="19"/>
        <v>19680310</v>
      </c>
      <c r="K189">
        <f t="shared" si="20"/>
        <v>20</v>
      </c>
    </row>
    <row r="190" spans="1:11" x14ac:dyDescent="0.25">
      <c r="A190" s="4" t="s">
        <v>216</v>
      </c>
      <c r="B190" t="s">
        <v>16</v>
      </c>
      <c r="C190" t="s">
        <v>6</v>
      </c>
      <c r="D190" s="3">
        <f t="shared" si="14"/>
        <v>98</v>
      </c>
      <c r="E190" s="4">
        <f t="shared" si="15"/>
        <v>10</v>
      </c>
      <c r="F190" s="4">
        <f t="shared" si="16"/>
        <v>6</v>
      </c>
      <c r="G190" s="3">
        <f>IF(E190&gt;=20,2000,1900) + D190</f>
        <v>1998</v>
      </c>
      <c r="H190">
        <f t="shared" si="17"/>
        <v>10</v>
      </c>
      <c r="I190" s="4">
        <f t="shared" si="18"/>
        <v>6</v>
      </c>
      <c r="J190">
        <f t="shared" si="19"/>
        <v>19981006</v>
      </c>
      <c r="K190">
        <f t="shared" si="20"/>
        <v>20</v>
      </c>
    </row>
    <row r="191" spans="1:11" x14ac:dyDescent="0.25">
      <c r="A191" s="4" t="s">
        <v>217</v>
      </c>
      <c r="B191" t="s">
        <v>12</v>
      </c>
      <c r="C191" t="s">
        <v>4</v>
      </c>
      <c r="D191" s="3">
        <f t="shared" si="14"/>
        <v>76</v>
      </c>
      <c r="E191" s="4">
        <f t="shared" si="15"/>
        <v>7</v>
      </c>
      <c r="F191" s="4">
        <f t="shared" si="16"/>
        <v>29</v>
      </c>
      <c r="G191" s="3">
        <f>IF(E191&gt;=20,2000,1900) + D191</f>
        <v>1976</v>
      </c>
      <c r="H191">
        <f t="shared" si="17"/>
        <v>7</v>
      </c>
      <c r="I191" s="4">
        <f t="shared" si="18"/>
        <v>29</v>
      </c>
      <c r="J191">
        <f t="shared" si="19"/>
        <v>19760729</v>
      </c>
      <c r="K191">
        <f t="shared" si="20"/>
        <v>20</v>
      </c>
    </row>
    <row r="192" spans="1:11" x14ac:dyDescent="0.25">
      <c r="A192" s="4" t="s">
        <v>218</v>
      </c>
      <c r="B192" t="s">
        <v>15</v>
      </c>
      <c r="C192" t="s">
        <v>4</v>
      </c>
      <c r="D192" s="3">
        <f t="shared" si="14"/>
        <v>55</v>
      </c>
      <c r="E192" s="4">
        <f t="shared" si="15"/>
        <v>4</v>
      </c>
      <c r="F192" s="4">
        <f t="shared" si="16"/>
        <v>14</v>
      </c>
      <c r="G192" s="3">
        <f>IF(E192&gt;=20,2000,1900) + D192</f>
        <v>1955</v>
      </c>
      <c r="H192">
        <f t="shared" si="17"/>
        <v>4</v>
      </c>
      <c r="I192" s="4">
        <f t="shared" si="18"/>
        <v>14</v>
      </c>
      <c r="J192">
        <f t="shared" si="19"/>
        <v>19550414</v>
      </c>
      <c r="K192">
        <f t="shared" si="20"/>
        <v>20</v>
      </c>
    </row>
    <row r="193" spans="1:11" x14ac:dyDescent="0.25">
      <c r="A193" s="4" t="s">
        <v>219</v>
      </c>
      <c r="B193" t="s">
        <v>13</v>
      </c>
      <c r="C193" t="s">
        <v>4</v>
      </c>
      <c r="D193" s="3">
        <f t="shared" si="14"/>
        <v>96</v>
      </c>
      <c r="E193" s="4">
        <f t="shared" si="15"/>
        <v>1</v>
      </c>
      <c r="F193" s="4">
        <f t="shared" si="16"/>
        <v>6</v>
      </c>
      <c r="G193" s="3">
        <f>IF(E193&gt;=20,2000,1900) + D193</f>
        <v>1996</v>
      </c>
      <c r="H193">
        <f t="shared" si="17"/>
        <v>1</v>
      </c>
      <c r="I193" s="4">
        <f t="shared" si="18"/>
        <v>6</v>
      </c>
      <c r="J193">
        <f t="shared" si="19"/>
        <v>19960106</v>
      </c>
      <c r="K193">
        <f t="shared" si="20"/>
        <v>20</v>
      </c>
    </row>
    <row r="194" spans="1:11" x14ac:dyDescent="0.25">
      <c r="A194" s="4" t="s">
        <v>220</v>
      </c>
      <c r="B194" t="s">
        <v>14</v>
      </c>
      <c r="C194" t="s">
        <v>6</v>
      </c>
      <c r="D194" s="3">
        <f t="shared" si="14"/>
        <v>84</v>
      </c>
      <c r="E194" s="4">
        <f t="shared" si="15"/>
        <v>3</v>
      </c>
      <c r="F194" s="4">
        <f t="shared" si="16"/>
        <v>23</v>
      </c>
      <c r="G194" s="3">
        <f>IF(E194&gt;=20,2000,1900) + D194</f>
        <v>1984</v>
      </c>
      <c r="H194">
        <f t="shared" si="17"/>
        <v>3</v>
      </c>
      <c r="I194" s="4">
        <f t="shared" si="18"/>
        <v>23</v>
      </c>
      <c r="J194">
        <f t="shared" si="19"/>
        <v>19840323</v>
      </c>
      <c r="K194">
        <f t="shared" si="20"/>
        <v>20</v>
      </c>
    </row>
    <row r="195" spans="1:11" x14ac:dyDescent="0.25">
      <c r="A195" s="4" t="s">
        <v>221</v>
      </c>
      <c r="B195" t="s">
        <v>10</v>
      </c>
      <c r="C195" t="s">
        <v>4</v>
      </c>
      <c r="D195" s="3">
        <f t="shared" ref="D195:D258" si="21">MID(A195,1,2)*1</f>
        <v>50</v>
      </c>
      <c r="E195" s="4">
        <f t="shared" ref="E195:E258" si="22">MID(A195,3,2)*1</f>
        <v>10</v>
      </c>
      <c r="F195" s="4">
        <f t="shared" ref="F195:F258" si="23">MID(A195,5,2)*1</f>
        <v>14</v>
      </c>
      <c r="G195" s="3">
        <f>IF(E195&gt;=20,2000,1900) + D195</f>
        <v>1950</v>
      </c>
      <c r="H195">
        <f t="shared" ref="H195:H258" si="24">IF(E195&gt;=20,E195-20,E195)</f>
        <v>10</v>
      </c>
      <c r="I195" s="4">
        <f t="shared" ref="I195:I258" si="25">F195</f>
        <v>14</v>
      </c>
      <c r="J195">
        <f t="shared" ref="J195:J258" si="26">CONCATENATE(G195,IF(LEN(E195)=1,CONCATENATE("0",E195),E195),IF(LEN(F195)=1,CONCATENATE("0",F195),F195))*1</f>
        <v>19501014</v>
      </c>
      <c r="K195">
        <f t="shared" ref="K195:K258" si="27">IF(G195&lt;=2000,20,21)</f>
        <v>20</v>
      </c>
    </row>
    <row r="196" spans="1:11" x14ac:dyDescent="0.25">
      <c r="A196" s="4" t="s">
        <v>222</v>
      </c>
      <c r="B196" t="s">
        <v>19</v>
      </c>
      <c r="C196" t="s">
        <v>6</v>
      </c>
      <c r="D196" s="3">
        <f t="shared" si="21"/>
        <v>54</v>
      </c>
      <c r="E196" s="4">
        <f t="shared" si="22"/>
        <v>12</v>
      </c>
      <c r="F196" s="4">
        <f t="shared" si="23"/>
        <v>22</v>
      </c>
      <c r="G196" s="3">
        <f>IF(E196&gt;=20,2000,1900) + D196</f>
        <v>1954</v>
      </c>
      <c r="H196">
        <f t="shared" si="24"/>
        <v>12</v>
      </c>
      <c r="I196" s="4">
        <f t="shared" si="25"/>
        <v>22</v>
      </c>
      <c r="J196">
        <f t="shared" si="26"/>
        <v>19541222</v>
      </c>
      <c r="K196">
        <f t="shared" si="27"/>
        <v>20</v>
      </c>
    </row>
    <row r="197" spans="1:11" x14ac:dyDescent="0.25">
      <c r="A197" s="4" t="s">
        <v>223</v>
      </c>
      <c r="B197" t="s">
        <v>12</v>
      </c>
      <c r="C197" t="s">
        <v>4</v>
      </c>
      <c r="D197" s="3">
        <f t="shared" si="21"/>
        <v>67</v>
      </c>
      <c r="E197" s="4">
        <f t="shared" si="22"/>
        <v>9</v>
      </c>
      <c r="F197" s="4">
        <f t="shared" si="23"/>
        <v>24</v>
      </c>
      <c r="G197" s="3">
        <f>IF(E197&gt;=20,2000,1900) + D197</f>
        <v>1967</v>
      </c>
      <c r="H197">
        <f t="shared" si="24"/>
        <v>9</v>
      </c>
      <c r="I197" s="4">
        <f t="shared" si="25"/>
        <v>24</v>
      </c>
      <c r="J197">
        <f t="shared" si="26"/>
        <v>19670924</v>
      </c>
      <c r="K197">
        <f t="shared" si="27"/>
        <v>20</v>
      </c>
    </row>
    <row r="198" spans="1:11" x14ac:dyDescent="0.25">
      <c r="A198" s="4" t="s">
        <v>224</v>
      </c>
      <c r="B198" t="s">
        <v>7</v>
      </c>
      <c r="C198" t="s">
        <v>4</v>
      </c>
      <c r="D198" s="3">
        <f t="shared" si="21"/>
        <v>67</v>
      </c>
      <c r="E198" s="4">
        <f t="shared" si="22"/>
        <v>2</v>
      </c>
      <c r="F198" s="4">
        <f t="shared" si="23"/>
        <v>23</v>
      </c>
      <c r="G198" s="3">
        <f>IF(E198&gt;=20,2000,1900) + D198</f>
        <v>1967</v>
      </c>
      <c r="H198">
        <f t="shared" si="24"/>
        <v>2</v>
      </c>
      <c r="I198" s="4">
        <f t="shared" si="25"/>
        <v>23</v>
      </c>
      <c r="J198">
        <f t="shared" si="26"/>
        <v>19670223</v>
      </c>
      <c r="K198">
        <f t="shared" si="27"/>
        <v>20</v>
      </c>
    </row>
    <row r="199" spans="1:11" x14ac:dyDescent="0.25">
      <c r="A199" s="4" t="s">
        <v>225</v>
      </c>
      <c r="B199" t="s">
        <v>14</v>
      </c>
      <c r="C199" t="s">
        <v>6</v>
      </c>
      <c r="D199" s="3">
        <f t="shared" si="21"/>
        <v>97</v>
      </c>
      <c r="E199" s="4">
        <f t="shared" si="22"/>
        <v>4</v>
      </c>
      <c r="F199" s="4">
        <f t="shared" si="23"/>
        <v>19</v>
      </c>
      <c r="G199" s="3">
        <f>IF(E199&gt;=20,2000,1900) + D199</f>
        <v>1997</v>
      </c>
      <c r="H199">
        <f t="shared" si="24"/>
        <v>4</v>
      </c>
      <c r="I199" s="4">
        <f t="shared" si="25"/>
        <v>19</v>
      </c>
      <c r="J199">
        <f t="shared" si="26"/>
        <v>19970419</v>
      </c>
      <c r="K199">
        <f t="shared" si="27"/>
        <v>20</v>
      </c>
    </row>
    <row r="200" spans="1:11" x14ac:dyDescent="0.25">
      <c r="A200" s="4" t="s">
        <v>226</v>
      </c>
      <c r="B200" t="s">
        <v>13</v>
      </c>
      <c r="C200" t="s">
        <v>6</v>
      </c>
      <c r="D200" s="3">
        <f t="shared" si="21"/>
        <v>99</v>
      </c>
      <c r="E200" s="4">
        <f t="shared" si="22"/>
        <v>1</v>
      </c>
      <c r="F200" s="4">
        <f t="shared" si="23"/>
        <v>12</v>
      </c>
      <c r="G200" s="3">
        <f>IF(E200&gt;=20,2000,1900) + D200</f>
        <v>1999</v>
      </c>
      <c r="H200">
        <f t="shared" si="24"/>
        <v>1</v>
      </c>
      <c r="I200" s="4">
        <f t="shared" si="25"/>
        <v>12</v>
      </c>
      <c r="J200">
        <f t="shared" si="26"/>
        <v>19990112</v>
      </c>
      <c r="K200">
        <f t="shared" si="27"/>
        <v>20</v>
      </c>
    </row>
    <row r="201" spans="1:11" x14ac:dyDescent="0.25">
      <c r="A201" s="4" t="s">
        <v>227</v>
      </c>
      <c r="B201" t="s">
        <v>11</v>
      </c>
      <c r="C201" t="s">
        <v>6</v>
      </c>
      <c r="D201" s="3">
        <f t="shared" si="21"/>
        <v>57</v>
      </c>
      <c r="E201" s="4">
        <f t="shared" si="22"/>
        <v>7</v>
      </c>
      <c r="F201" s="4">
        <f t="shared" si="23"/>
        <v>12</v>
      </c>
      <c r="G201" s="3">
        <f>IF(E201&gt;=20,2000,1900) + D201</f>
        <v>1957</v>
      </c>
      <c r="H201">
        <f t="shared" si="24"/>
        <v>7</v>
      </c>
      <c r="I201" s="4">
        <f t="shared" si="25"/>
        <v>12</v>
      </c>
      <c r="J201">
        <f t="shared" si="26"/>
        <v>19570712</v>
      </c>
      <c r="K201">
        <f t="shared" si="27"/>
        <v>20</v>
      </c>
    </row>
    <row r="202" spans="1:11" x14ac:dyDescent="0.25">
      <c r="A202" s="4" t="s">
        <v>228</v>
      </c>
      <c r="B202" t="s">
        <v>17</v>
      </c>
      <c r="C202" t="s">
        <v>6</v>
      </c>
      <c r="D202" s="3">
        <f t="shared" si="21"/>
        <v>93</v>
      </c>
      <c r="E202" s="4">
        <f t="shared" si="22"/>
        <v>1</v>
      </c>
      <c r="F202" s="4">
        <f t="shared" si="23"/>
        <v>29</v>
      </c>
      <c r="G202" s="3">
        <f>IF(E202&gt;=20,2000,1900) + D202</f>
        <v>1993</v>
      </c>
      <c r="H202">
        <f t="shared" si="24"/>
        <v>1</v>
      </c>
      <c r="I202" s="4">
        <f t="shared" si="25"/>
        <v>29</v>
      </c>
      <c r="J202">
        <f t="shared" si="26"/>
        <v>19930129</v>
      </c>
      <c r="K202">
        <f t="shared" si="27"/>
        <v>20</v>
      </c>
    </row>
    <row r="203" spans="1:11" x14ac:dyDescent="0.25">
      <c r="A203" s="4" t="s">
        <v>229</v>
      </c>
      <c r="B203" t="s">
        <v>9</v>
      </c>
      <c r="C203" t="s">
        <v>4</v>
      </c>
      <c r="D203" s="3">
        <f t="shared" si="21"/>
        <v>59</v>
      </c>
      <c r="E203" s="4">
        <f t="shared" si="22"/>
        <v>8</v>
      </c>
      <c r="F203" s="4">
        <f t="shared" si="23"/>
        <v>27</v>
      </c>
      <c r="G203" s="3">
        <f>IF(E203&gt;=20,2000,1900) + D203</f>
        <v>1959</v>
      </c>
      <c r="H203">
        <f t="shared" si="24"/>
        <v>8</v>
      </c>
      <c r="I203" s="4">
        <f t="shared" si="25"/>
        <v>27</v>
      </c>
      <c r="J203">
        <f t="shared" si="26"/>
        <v>19590827</v>
      </c>
      <c r="K203">
        <f t="shared" si="27"/>
        <v>20</v>
      </c>
    </row>
    <row r="204" spans="1:11" x14ac:dyDescent="0.25">
      <c r="A204" s="4" t="s">
        <v>230</v>
      </c>
      <c r="B204" t="s">
        <v>20</v>
      </c>
      <c r="C204" t="s">
        <v>4</v>
      </c>
      <c r="D204" s="3">
        <f t="shared" si="21"/>
        <v>81</v>
      </c>
      <c r="E204" s="4">
        <f t="shared" si="22"/>
        <v>9</v>
      </c>
      <c r="F204" s="4">
        <f t="shared" si="23"/>
        <v>16</v>
      </c>
      <c r="G204" s="3">
        <f>IF(E204&gt;=20,2000,1900) + D204</f>
        <v>1981</v>
      </c>
      <c r="H204">
        <f t="shared" si="24"/>
        <v>9</v>
      </c>
      <c r="I204" s="4">
        <f t="shared" si="25"/>
        <v>16</v>
      </c>
      <c r="J204">
        <f t="shared" si="26"/>
        <v>19810916</v>
      </c>
      <c r="K204">
        <f t="shared" si="27"/>
        <v>20</v>
      </c>
    </row>
    <row r="205" spans="1:11" x14ac:dyDescent="0.25">
      <c r="A205" s="4" t="s">
        <v>231</v>
      </c>
      <c r="B205" t="s">
        <v>14</v>
      </c>
      <c r="C205" t="s">
        <v>4</v>
      </c>
      <c r="D205" s="3">
        <f t="shared" si="21"/>
        <v>71</v>
      </c>
      <c r="E205" s="4">
        <f t="shared" si="22"/>
        <v>2</v>
      </c>
      <c r="F205" s="4">
        <f t="shared" si="23"/>
        <v>28</v>
      </c>
      <c r="G205" s="3">
        <f>IF(E205&gt;=20,2000,1900) + D205</f>
        <v>1971</v>
      </c>
      <c r="H205">
        <f t="shared" si="24"/>
        <v>2</v>
      </c>
      <c r="I205" s="4">
        <f t="shared" si="25"/>
        <v>28</v>
      </c>
      <c r="J205">
        <f t="shared" si="26"/>
        <v>19710228</v>
      </c>
      <c r="K205">
        <f t="shared" si="27"/>
        <v>20</v>
      </c>
    </row>
    <row r="206" spans="1:11" x14ac:dyDescent="0.25">
      <c r="A206" s="4" t="s">
        <v>232</v>
      </c>
      <c r="B206" t="s">
        <v>9</v>
      </c>
      <c r="C206" t="s">
        <v>6</v>
      </c>
      <c r="D206" s="3">
        <f t="shared" si="21"/>
        <v>74</v>
      </c>
      <c r="E206" s="4">
        <f t="shared" si="22"/>
        <v>12</v>
      </c>
      <c r="F206" s="4">
        <f t="shared" si="23"/>
        <v>30</v>
      </c>
      <c r="G206" s="3">
        <f>IF(E206&gt;=20,2000,1900) + D206</f>
        <v>1974</v>
      </c>
      <c r="H206">
        <f t="shared" si="24"/>
        <v>12</v>
      </c>
      <c r="I206" s="4">
        <f t="shared" si="25"/>
        <v>30</v>
      </c>
      <c r="J206">
        <f t="shared" si="26"/>
        <v>19741230</v>
      </c>
      <c r="K206">
        <f t="shared" si="27"/>
        <v>20</v>
      </c>
    </row>
    <row r="207" spans="1:11" x14ac:dyDescent="0.25">
      <c r="A207" s="4" t="s">
        <v>233</v>
      </c>
      <c r="B207" t="s">
        <v>20</v>
      </c>
      <c r="C207" t="s">
        <v>6</v>
      </c>
      <c r="D207" s="3">
        <f t="shared" si="21"/>
        <v>88</v>
      </c>
      <c r="E207" s="4">
        <f t="shared" si="22"/>
        <v>6</v>
      </c>
      <c r="F207" s="4">
        <f t="shared" si="23"/>
        <v>4</v>
      </c>
      <c r="G207" s="3">
        <f>IF(E207&gt;=20,2000,1900) + D207</f>
        <v>1988</v>
      </c>
      <c r="H207">
        <f t="shared" si="24"/>
        <v>6</v>
      </c>
      <c r="I207" s="4">
        <f t="shared" si="25"/>
        <v>4</v>
      </c>
      <c r="J207">
        <f t="shared" si="26"/>
        <v>19880604</v>
      </c>
      <c r="K207">
        <f t="shared" si="27"/>
        <v>20</v>
      </c>
    </row>
    <row r="208" spans="1:11" x14ac:dyDescent="0.25">
      <c r="A208" s="4" t="s">
        <v>234</v>
      </c>
      <c r="B208" t="s">
        <v>20</v>
      </c>
      <c r="C208" t="s">
        <v>6</v>
      </c>
      <c r="D208" s="3">
        <f t="shared" si="21"/>
        <v>85</v>
      </c>
      <c r="E208" s="4">
        <f t="shared" si="22"/>
        <v>1</v>
      </c>
      <c r="F208" s="4">
        <f t="shared" si="23"/>
        <v>27</v>
      </c>
      <c r="G208" s="3">
        <f>IF(E208&gt;=20,2000,1900) + D208</f>
        <v>1985</v>
      </c>
      <c r="H208">
        <f t="shared" si="24"/>
        <v>1</v>
      </c>
      <c r="I208" s="4">
        <f t="shared" si="25"/>
        <v>27</v>
      </c>
      <c r="J208">
        <f t="shared" si="26"/>
        <v>19850127</v>
      </c>
      <c r="K208">
        <f t="shared" si="27"/>
        <v>20</v>
      </c>
    </row>
    <row r="209" spans="1:11" x14ac:dyDescent="0.25">
      <c r="A209" s="4" t="s">
        <v>235</v>
      </c>
      <c r="B209" t="s">
        <v>12</v>
      </c>
      <c r="C209" t="s">
        <v>4</v>
      </c>
      <c r="D209" s="3">
        <f t="shared" si="21"/>
        <v>94</v>
      </c>
      <c r="E209" s="4">
        <f t="shared" si="22"/>
        <v>11</v>
      </c>
      <c r="F209" s="4">
        <f t="shared" si="23"/>
        <v>21</v>
      </c>
      <c r="G209" s="3">
        <f>IF(E209&gt;=20,2000,1900) + D209</f>
        <v>1994</v>
      </c>
      <c r="H209">
        <f t="shared" si="24"/>
        <v>11</v>
      </c>
      <c r="I209" s="4">
        <f t="shared" si="25"/>
        <v>21</v>
      </c>
      <c r="J209">
        <f t="shared" si="26"/>
        <v>19941121</v>
      </c>
      <c r="K209">
        <f t="shared" si="27"/>
        <v>20</v>
      </c>
    </row>
    <row r="210" spans="1:11" x14ac:dyDescent="0.25">
      <c r="A210" s="4" t="s">
        <v>236</v>
      </c>
      <c r="B210" t="s">
        <v>12</v>
      </c>
      <c r="C210" t="s">
        <v>4</v>
      </c>
      <c r="D210" s="3">
        <f t="shared" si="21"/>
        <v>68</v>
      </c>
      <c r="E210" s="4">
        <f t="shared" si="22"/>
        <v>9</v>
      </c>
      <c r="F210" s="4">
        <f t="shared" si="23"/>
        <v>16</v>
      </c>
      <c r="G210" s="3">
        <f>IF(E210&gt;=20,2000,1900) + D210</f>
        <v>1968</v>
      </c>
      <c r="H210">
        <f t="shared" si="24"/>
        <v>9</v>
      </c>
      <c r="I210" s="4">
        <f t="shared" si="25"/>
        <v>16</v>
      </c>
      <c r="J210">
        <f t="shared" si="26"/>
        <v>19680916</v>
      </c>
      <c r="K210">
        <f t="shared" si="27"/>
        <v>20</v>
      </c>
    </row>
    <row r="211" spans="1:11" x14ac:dyDescent="0.25">
      <c r="A211" s="4" t="s">
        <v>237</v>
      </c>
      <c r="B211" t="s">
        <v>14</v>
      </c>
      <c r="C211" t="s">
        <v>6</v>
      </c>
      <c r="D211" s="3">
        <f t="shared" si="21"/>
        <v>54</v>
      </c>
      <c r="E211" s="4">
        <f t="shared" si="22"/>
        <v>8</v>
      </c>
      <c r="F211" s="4">
        <f t="shared" si="23"/>
        <v>13</v>
      </c>
      <c r="G211" s="3">
        <f>IF(E211&gt;=20,2000,1900) + D211</f>
        <v>1954</v>
      </c>
      <c r="H211">
        <f t="shared" si="24"/>
        <v>8</v>
      </c>
      <c r="I211" s="4">
        <f t="shared" si="25"/>
        <v>13</v>
      </c>
      <c r="J211">
        <f t="shared" si="26"/>
        <v>19540813</v>
      </c>
      <c r="K211">
        <f t="shared" si="27"/>
        <v>20</v>
      </c>
    </row>
    <row r="212" spans="1:11" x14ac:dyDescent="0.25">
      <c r="A212" s="4" t="s">
        <v>238</v>
      </c>
      <c r="B212" t="s">
        <v>14</v>
      </c>
      <c r="C212" t="s">
        <v>4</v>
      </c>
      <c r="D212" s="3">
        <f t="shared" si="21"/>
        <v>60</v>
      </c>
      <c r="E212" s="4">
        <f t="shared" si="22"/>
        <v>1</v>
      </c>
      <c r="F212" s="4">
        <f t="shared" si="23"/>
        <v>23</v>
      </c>
      <c r="G212" s="3">
        <f>IF(E212&gt;=20,2000,1900) + D212</f>
        <v>1960</v>
      </c>
      <c r="H212">
        <f t="shared" si="24"/>
        <v>1</v>
      </c>
      <c r="I212" s="4">
        <f t="shared" si="25"/>
        <v>23</v>
      </c>
      <c r="J212">
        <f t="shared" si="26"/>
        <v>19600123</v>
      </c>
      <c r="K212">
        <f t="shared" si="27"/>
        <v>20</v>
      </c>
    </row>
    <row r="213" spans="1:11" x14ac:dyDescent="0.25">
      <c r="A213" s="4" t="s">
        <v>239</v>
      </c>
      <c r="B213" t="s">
        <v>14</v>
      </c>
      <c r="C213" t="s">
        <v>4</v>
      </c>
      <c r="D213" s="3">
        <f t="shared" si="21"/>
        <v>61</v>
      </c>
      <c r="E213" s="4">
        <f t="shared" si="22"/>
        <v>4</v>
      </c>
      <c r="F213" s="4">
        <f t="shared" si="23"/>
        <v>29</v>
      </c>
      <c r="G213" s="3">
        <f>IF(E213&gt;=20,2000,1900) + D213</f>
        <v>1961</v>
      </c>
      <c r="H213">
        <f t="shared" si="24"/>
        <v>4</v>
      </c>
      <c r="I213" s="4">
        <f t="shared" si="25"/>
        <v>29</v>
      </c>
      <c r="J213">
        <f t="shared" si="26"/>
        <v>19610429</v>
      </c>
      <c r="K213">
        <f t="shared" si="27"/>
        <v>20</v>
      </c>
    </row>
    <row r="214" spans="1:11" x14ac:dyDescent="0.25">
      <c r="A214" s="4" t="s">
        <v>240</v>
      </c>
      <c r="B214" t="s">
        <v>11</v>
      </c>
      <c r="C214" t="s">
        <v>4</v>
      </c>
      <c r="D214" s="3">
        <f t="shared" si="21"/>
        <v>67</v>
      </c>
      <c r="E214" s="4">
        <f t="shared" si="22"/>
        <v>12</v>
      </c>
      <c r="F214" s="4">
        <f t="shared" si="23"/>
        <v>25</v>
      </c>
      <c r="G214" s="3">
        <f>IF(E214&gt;=20,2000,1900) + D214</f>
        <v>1967</v>
      </c>
      <c r="H214">
        <f t="shared" si="24"/>
        <v>12</v>
      </c>
      <c r="I214" s="4">
        <f t="shared" si="25"/>
        <v>25</v>
      </c>
      <c r="J214">
        <f t="shared" si="26"/>
        <v>19671225</v>
      </c>
      <c r="K214">
        <f t="shared" si="27"/>
        <v>20</v>
      </c>
    </row>
    <row r="215" spans="1:11" x14ac:dyDescent="0.25">
      <c r="A215" s="4" t="s">
        <v>241</v>
      </c>
      <c r="B215" t="s">
        <v>5</v>
      </c>
      <c r="C215" t="s">
        <v>6</v>
      </c>
      <c r="D215" s="3">
        <f t="shared" si="21"/>
        <v>85</v>
      </c>
      <c r="E215" s="4">
        <f t="shared" si="22"/>
        <v>6</v>
      </c>
      <c r="F215" s="4">
        <f t="shared" si="23"/>
        <v>5</v>
      </c>
      <c r="G215" s="3">
        <f>IF(E215&gt;=20,2000,1900) + D215</f>
        <v>1985</v>
      </c>
      <c r="H215">
        <f t="shared" si="24"/>
        <v>6</v>
      </c>
      <c r="I215" s="4">
        <f t="shared" si="25"/>
        <v>5</v>
      </c>
      <c r="J215">
        <f t="shared" si="26"/>
        <v>19850605</v>
      </c>
      <c r="K215">
        <f t="shared" si="27"/>
        <v>20</v>
      </c>
    </row>
    <row r="216" spans="1:11" x14ac:dyDescent="0.25">
      <c r="A216" s="4" t="s">
        <v>242</v>
      </c>
      <c r="B216" t="s">
        <v>17</v>
      </c>
      <c r="C216" t="s">
        <v>6</v>
      </c>
      <c r="D216" s="3">
        <f t="shared" si="21"/>
        <v>62</v>
      </c>
      <c r="E216" s="4">
        <f t="shared" si="22"/>
        <v>3</v>
      </c>
      <c r="F216" s="4">
        <f t="shared" si="23"/>
        <v>5</v>
      </c>
      <c r="G216" s="3">
        <f>IF(E216&gt;=20,2000,1900) + D216</f>
        <v>1962</v>
      </c>
      <c r="H216">
        <f t="shared" si="24"/>
        <v>3</v>
      </c>
      <c r="I216" s="4">
        <f t="shared" si="25"/>
        <v>5</v>
      </c>
      <c r="J216">
        <f t="shared" si="26"/>
        <v>19620305</v>
      </c>
      <c r="K216">
        <f t="shared" si="27"/>
        <v>20</v>
      </c>
    </row>
    <row r="217" spans="1:11" x14ac:dyDescent="0.25">
      <c r="A217" s="4" t="s">
        <v>243</v>
      </c>
      <c r="B217" t="s">
        <v>9</v>
      </c>
      <c r="C217" t="s">
        <v>6</v>
      </c>
      <c r="D217" s="3">
        <f t="shared" si="21"/>
        <v>87</v>
      </c>
      <c r="E217" s="4">
        <f t="shared" si="22"/>
        <v>7</v>
      </c>
      <c r="F217" s="4">
        <f t="shared" si="23"/>
        <v>16</v>
      </c>
      <c r="G217" s="3">
        <f>IF(E217&gt;=20,2000,1900) + D217</f>
        <v>1987</v>
      </c>
      <c r="H217">
        <f t="shared" si="24"/>
        <v>7</v>
      </c>
      <c r="I217" s="4">
        <f t="shared" si="25"/>
        <v>16</v>
      </c>
      <c r="J217">
        <f t="shared" si="26"/>
        <v>19870716</v>
      </c>
      <c r="K217">
        <f t="shared" si="27"/>
        <v>20</v>
      </c>
    </row>
    <row r="218" spans="1:11" x14ac:dyDescent="0.25">
      <c r="A218" s="4" t="s">
        <v>244</v>
      </c>
      <c r="B218" t="s">
        <v>9</v>
      </c>
      <c r="C218" t="s">
        <v>6</v>
      </c>
      <c r="D218" s="3">
        <f t="shared" si="21"/>
        <v>80</v>
      </c>
      <c r="E218" s="4">
        <f t="shared" si="22"/>
        <v>5</v>
      </c>
      <c r="F218" s="4">
        <f t="shared" si="23"/>
        <v>13</v>
      </c>
      <c r="G218" s="3">
        <f>IF(E218&gt;=20,2000,1900) + D218</f>
        <v>1980</v>
      </c>
      <c r="H218">
        <f t="shared" si="24"/>
        <v>5</v>
      </c>
      <c r="I218" s="4">
        <f t="shared" si="25"/>
        <v>13</v>
      </c>
      <c r="J218">
        <f t="shared" si="26"/>
        <v>19800513</v>
      </c>
      <c r="K218">
        <f t="shared" si="27"/>
        <v>20</v>
      </c>
    </row>
    <row r="219" spans="1:11" x14ac:dyDescent="0.25">
      <c r="A219" s="4" t="s">
        <v>245</v>
      </c>
      <c r="B219" t="s">
        <v>9</v>
      </c>
      <c r="C219" t="s">
        <v>6</v>
      </c>
      <c r="D219" s="3">
        <f t="shared" si="21"/>
        <v>63</v>
      </c>
      <c r="E219" s="4">
        <f t="shared" si="22"/>
        <v>3</v>
      </c>
      <c r="F219" s="4">
        <f t="shared" si="23"/>
        <v>12</v>
      </c>
      <c r="G219" s="3">
        <f>IF(E219&gt;=20,2000,1900) + D219</f>
        <v>1963</v>
      </c>
      <c r="H219">
        <f t="shared" si="24"/>
        <v>3</v>
      </c>
      <c r="I219" s="4">
        <f t="shared" si="25"/>
        <v>12</v>
      </c>
      <c r="J219">
        <f t="shared" si="26"/>
        <v>19630312</v>
      </c>
      <c r="K219">
        <f t="shared" si="27"/>
        <v>20</v>
      </c>
    </row>
    <row r="220" spans="1:11" x14ac:dyDescent="0.25">
      <c r="A220" s="4" t="s">
        <v>246</v>
      </c>
      <c r="B220" t="s">
        <v>18</v>
      </c>
      <c r="C220" t="s">
        <v>4</v>
      </c>
      <c r="D220" s="3">
        <f t="shared" si="21"/>
        <v>99</v>
      </c>
      <c r="E220" s="4">
        <f t="shared" si="22"/>
        <v>11</v>
      </c>
      <c r="F220" s="4">
        <f t="shared" si="23"/>
        <v>27</v>
      </c>
      <c r="G220" s="3">
        <f>IF(E220&gt;=20,2000,1900) + D220</f>
        <v>1999</v>
      </c>
      <c r="H220">
        <f t="shared" si="24"/>
        <v>11</v>
      </c>
      <c r="I220" s="4">
        <f t="shared" si="25"/>
        <v>27</v>
      </c>
      <c r="J220">
        <f t="shared" si="26"/>
        <v>19991127</v>
      </c>
      <c r="K220">
        <f t="shared" si="27"/>
        <v>20</v>
      </c>
    </row>
    <row r="221" spans="1:11" x14ac:dyDescent="0.25">
      <c r="A221" s="4" t="s">
        <v>247</v>
      </c>
      <c r="B221" t="s">
        <v>12</v>
      </c>
      <c r="C221" t="s">
        <v>4</v>
      </c>
      <c r="D221" s="3">
        <f t="shared" si="21"/>
        <v>90</v>
      </c>
      <c r="E221" s="4">
        <f t="shared" si="22"/>
        <v>7</v>
      </c>
      <c r="F221" s="4">
        <f t="shared" si="23"/>
        <v>13</v>
      </c>
      <c r="G221" s="3">
        <f>IF(E221&gt;=20,2000,1900) + D221</f>
        <v>1990</v>
      </c>
      <c r="H221">
        <f t="shared" si="24"/>
        <v>7</v>
      </c>
      <c r="I221" s="4">
        <f t="shared" si="25"/>
        <v>13</v>
      </c>
      <c r="J221">
        <f t="shared" si="26"/>
        <v>19900713</v>
      </c>
      <c r="K221">
        <f t="shared" si="27"/>
        <v>20</v>
      </c>
    </row>
    <row r="222" spans="1:11" x14ac:dyDescent="0.25">
      <c r="A222" s="4" t="s">
        <v>248</v>
      </c>
      <c r="B222" t="s">
        <v>15</v>
      </c>
      <c r="C222" t="s">
        <v>6</v>
      </c>
      <c r="D222" s="3">
        <f t="shared" si="21"/>
        <v>79</v>
      </c>
      <c r="E222" s="4">
        <f t="shared" si="22"/>
        <v>10</v>
      </c>
      <c r="F222" s="4">
        <f t="shared" si="23"/>
        <v>1</v>
      </c>
      <c r="G222" s="3">
        <f>IF(E222&gt;=20,2000,1900) + D222</f>
        <v>1979</v>
      </c>
      <c r="H222">
        <f t="shared" si="24"/>
        <v>10</v>
      </c>
      <c r="I222" s="4">
        <f t="shared" si="25"/>
        <v>1</v>
      </c>
      <c r="J222">
        <f t="shared" si="26"/>
        <v>19791001</v>
      </c>
      <c r="K222">
        <f t="shared" si="27"/>
        <v>20</v>
      </c>
    </row>
    <row r="223" spans="1:11" x14ac:dyDescent="0.25">
      <c r="A223" s="4" t="s">
        <v>249</v>
      </c>
      <c r="B223" t="s">
        <v>8</v>
      </c>
      <c r="C223" t="s">
        <v>6</v>
      </c>
      <c r="D223" s="3">
        <f t="shared" si="21"/>
        <v>67</v>
      </c>
      <c r="E223" s="4">
        <f t="shared" si="22"/>
        <v>2</v>
      </c>
      <c r="F223" s="4">
        <f t="shared" si="23"/>
        <v>16</v>
      </c>
      <c r="G223" s="3">
        <f>IF(E223&gt;=20,2000,1900) + D223</f>
        <v>1967</v>
      </c>
      <c r="H223">
        <f t="shared" si="24"/>
        <v>2</v>
      </c>
      <c r="I223" s="4">
        <f t="shared" si="25"/>
        <v>16</v>
      </c>
      <c r="J223">
        <f t="shared" si="26"/>
        <v>19670216</v>
      </c>
      <c r="K223">
        <f t="shared" si="27"/>
        <v>20</v>
      </c>
    </row>
    <row r="224" spans="1:11" x14ac:dyDescent="0.25">
      <c r="A224" s="4" t="s">
        <v>250</v>
      </c>
      <c r="B224" t="s">
        <v>20</v>
      </c>
      <c r="C224" t="s">
        <v>4</v>
      </c>
      <c r="D224" s="3">
        <f t="shared" si="21"/>
        <v>80</v>
      </c>
      <c r="E224" s="4">
        <f t="shared" si="22"/>
        <v>12</v>
      </c>
      <c r="F224" s="4">
        <f t="shared" si="23"/>
        <v>29</v>
      </c>
      <c r="G224" s="3">
        <f>IF(E224&gt;=20,2000,1900) + D224</f>
        <v>1980</v>
      </c>
      <c r="H224">
        <f t="shared" si="24"/>
        <v>12</v>
      </c>
      <c r="I224" s="4">
        <f t="shared" si="25"/>
        <v>29</v>
      </c>
      <c r="J224">
        <f t="shared" si="26"/>
        <v>19801229</v>
      </c>
      <c r="K224">
        <f t="shared" si="27"/>
        <v>20</v>
      </c>
    </row>
    <row r="225" spans="1:11" x14ac:dyDescent="0.25">
      <c r="A225" s="4" t="s">
        <v>251</v>
      </c>
      <c r="B225" t="s">
        <v>7</v>
      </c>
      <c r="C225" t="s">
        <v>6</v>
      </c>
      <c r="D225" s="3">
        <f t="shared" si="21"/>
        <v>68</v>
      </c>
      <c r="E225" s="4">
        <f t="shared" si="22"/>
        <v>2</v>
      </c>
      <c r="F225" s="4">
        <f t="shared" si="23"/>
        <v>15</v>
      </c>
      <c r="G225" s="3">
        <f>IF(E225&gt;=20,2000,1900) + D225</f>
        <v>1968</v>
      </c>
      <c r="H225">
        <f t="shared" si="24"/>
        <v>2</v>
      </c>
      <c r="I225" s="4">
        <f t="shared" si="25"/>
        <v>15</v>
      </c>
      <c r="J225">
        <f t="shared" si="26"/>
        <v>19680215</v>
      </c>
      <c r="K225">
        <f t="shared" si="27"/>
        <v>20</v>
      </c>
    </row>
    <row r="226" spans="1:11" x14ac:dyDescent="0.25">
      <c r="A226" s="4" t="s">
        <v>252</v>
      </c>
      <c r="B226" t="s">
        <v>16</v>
      </c>
      <c r="C226" t="s">
        <v>4</v>
      </c>
      <c r="D226" s="3">
        <f t="shared" si="21"/>
        <v>57</v>
      </c>
      <c r="E226" s="4">
        <f t="shared" si="22"/>
        <v>5</v>
      </c>
      <c r="F226" s="4">
        <f t="shared" si="23"/>
        <v>17</v>
      </c>
      <c r="G226" s="3">
        <f>IF(E226&gt;=20,2000,1900) + D226</f>
        <v>1957</v>
      </c>
      <c r="H226">
        <f t="shared" si="24"/>
        <v>5</v>
      </c>
      <c r="I226" s="4">
        <f t="shared" si="25"/>
        <v>17</v>
      </c>
      <c r="J226">
        <f t="shared" si="26"/>
        <v>19570517</v>
      </c>
      <c r="K226">
        <f t="shared" si="27"/>
        <v>20</v>
      </c>
    </row>
    <row r="227" spans="1:11" x14ac:dyDescent="0.25">
      <c r="A227" s="4" t="s">
        <v>253</v>
      </c>
      <c r="B227" t="s">
        <v>11</v>
      </c>
      <c r="C227" t="s">
        <v>6</v>
      </c>
      <c r="D227" s="3">
        <f t="shared" si="21"/>
        <v>96</v>
      </c>
      <c r="E227" s="4">
        <f t="shared" si="22"/>
        <v>11</v>
      </c>
      <c r="F227" s="4">
        <f t="shared" si="23"/>
        <v>12</v>
      </c>
      <c r="G227" s="3">
        <f>IF(E227&gt;=20,2000,1900) + D227</f>
        <v>1996</v>
      </c>
      <c r="H227">
        <f t="shared" si="24"/>
        <v>11</v>
      </c>
      <c r="I227" s="4">
        <f t="shared" si="25"/>
        <v>12</v>
      </c>
      <c r="J227">
        <f t="shared" si="26"/>
        <v>19961112</v>
      </c>
      <c r="K227">
        <f t="shared" si="27"/>
        <v>20</v>
      </c>
    </row>
    <row r="228" spans="1:11" x14ac:dyDescent="0.25">
      <c r="A228" s="4" t="s">
        <v>254</v>
      </c>
      <c r="B228" t="s">
        <v>15</v>
      </c>
      <c r="C228" t="s">
        <v>6</v>
      </c>
      <c r="D228" s="3">
        <f t="shared" si="21"/>
        <v>89</v>
      </c>
      <c r="E228" s="4">
        <f t="shared" si="22"/>
        <v>3</v>
      </c>
      <c r="F228" s="4">
        <f t="shared" si="23"/>
        <v>10</v>
      </c>
      <c r="G228" s="3">
        <f>IF(E228&gt;=20,2000,1900) + D228</f>
        <v>1989</v>
      </c>
      <c r="H228">
        <f t="shared" si="24"/>
        <v>3</v>
      </c>
      <c r="I228" s="4">
        <f t="shared" si="25"/>
        <v>10</v>
      </c>
      <c r="J228">
        <f t="shared" si="26"/>
        <v>19890310</v>
      </c>
      <c r="K228">
        <f t="shared" si="27"/>
        <v>20</v>
      </c>
    </row>
    <row r="229" spans="1:11" x14ac:dyDescent="0.25">
      <c r="A229" s="4" t="s">
        <v>255</v>
      </c>
      <c r="B229" t="s">
        <v>19</v>
      </c>
      <c r="C229" t="s">
        <v>4</v>
      </c>
      <c r="D229" s="3">
        <f t="shared" si="21"/>
        <v>82</v>
      </c>
      <c r="E229" s="4">
        <f t="shared" si="22"/>
        <v>9</v>
      </c>
      <c r="F229" s="4">
        <f t="shared" si="23"/>
        <v>13</v>
      </c>
      <c r="G229" s="3">
        <f>IF(E229&gt;=20,2000,1900) + D229</f>
        <v>1982</v>
      </c>
      <c r="H229">
        <f t="shared" si="24"/>
        <v>9</v>
      </c>
      <c r="I229" s="4">
        <f t="shared" si="25"/>
        <v>13</v>
      </c>
      <c r="J229">
        <f t="shared" si="26"/>
        <v>19820913</v>
      </c>
      <c r="K229">
        <f t="shared" si="27"/>
        <v>20</v>
      </c>
    </row>
    <row r="230" spans="1:11" x14ac:dyDescent="0.25">
      <c r="A230" s="4" t="s">
        <v>256</v>
      </c>
      <c r="B230" t="s">
        <v>7</v>
      </c>
      <c r="C230" t="s">
        <v>4</v>
      </c>
      <c r="D230" s="3">
        <f t="shared" si="21"/>
        <v>51</v>
      </c>
      <c r="E230" s="4">
        <f t="shared" si="22"/>
        <v>12</v>
      </c>
      <c r="F230" s="4">
        <f t="shared" si="23"/>
        <v>20</v>
      </c>
      <c r="G230" s="3">
        <f>IF(E230&gt;=20,2000,1900) + D230</f>
        <v>1951</v>
      </c>
      <c r="H230">
        <f t="shared" si="24"/>
        <v>12</v>
      </c>
      <c r="I230" s="4">
        <f t="shared" si="25"/>
        <v>20</v>
      </c>
      <c r="J230">
        <f t="shared" si="26"/>
        <v>19511220</v>
      </c>
      <c r="K230">
        <f t="shared" si="27"/>
        <v>20</v>
      </c>
    </row>
    <row r="231" spans="1:11" x14ac:dyDescent="0.25">
      <c r="A231" s="4" t="s">
        <v>257</v>
      </c>
      <c r="B231" t="s">
        <v>9</v>
      </c>
      <c r="C231" t="s">
        <v>6</v>
      </c>
      <c r="D231" s="3">
        <f t="shared" si="21"/>
        <v>65</v>
      </c>
      <c r="E231" s="4">
        <f t="shared" si="22"/>
        <v>8</v>
      </c>
      <c r="F231" s="4">
        <f t="shared" si="23"/>
        <v>18</v>
      </c>
      <c r="G231" s="3">
        <f>IF(E231&gt;=20,2000,1900) + D231</f>
        <v>1965</v>
      </c>
      <c r="H231">
        <f t="shared" si="24"/>
        <v>8</v>
      </c>
      <c r="I231" s="4">
        <f t="shared" si="25"/>
        <v>18</v>
      </c>
      <c r="J231">
        <f t="shared" si="26"/>
        <v>19650818</v>
      </c>
      <c r="K231">
        <f t="shared" si="27"/>
        <v>20</v>
      </c>
    </row>
    <row r="232" spans="1:11" x14ac:dyDescent="0.25">
      <c r="A232" s="4" t="s">
        <v>258</v>
      </c>
      <c r="B232" t="s">
        <v>14</v>
      </c>
      <c r="C232" t="s">
        <v>4</v>
      </c>
      <c r="D232" s="3">
        <f t="shared" si="21"/>
        <v>52</v>
      </c>
      <c r="E232" s="4">
        <f t="shared" si="22"/>
        <v>7</v>
      </c>
      <c r="F232" s="4">
        <f t="shared" si="23"/>
        <v>31</v>
      </c>
      <c r="G232" s="3">
        <f>IF(E232&gt;=20,2000,1900) + D232</f>
        <v>1952</v>
      </c>
      <c r="H232">
        <f t="shared" si="24"/>
        <v>7</v>
      </c>
      <c r="I232" s="4">
        <f t="shared" si="25"/>
        <v>31</v>
      </c>
      <c r="J232">
        <f t="shared" si="26"/>
        <v>19520731</v>
      </c>
      <c r="K232">
        <f t="shared" si="27"/>
        <v>20</v>
      </c>
    </row>
    <row r="233" spans="1:11" x14ac:dyDescent="0.25">
      <c r="A233" s="4" t="s">
        <v>259</v>
      </c>
      <c r="B233" t="s">
        <v>8</v>
      </c>
      <c r="C233" t="s">
        <v>6</v>
      </c>
      <c r="D233" s="3">
        <f t="shared" si="21"/>
        <v>52</v>
      </c>
      <c r="E233" s="4">
        <f t="shared" si="22"/>
        <v>7</v>
      </c>
      <c r="F233" s="4">
        <f t="shared" si="23"/>
        <v>27</v>
      </c>
      <c r="G233" s="3">
        <f>IF(E233&gt;=20,2000,1900) + D233</f>
        <v>1952</v>
      </c>
      <c r="H233">
        <f t="shared" si="24"/>
        <v>7</v>
      </c>
      <c r="I233" s="4">
        <f t="shared" si="25"/>
        <v>27</v>
      </c>
      <c r="J233">
        <f t="shared" si="26"/>
        <v>19520727</v>
      </c>
      <c r="K233">
        <f t="shared" si="27"/>
        <v>20</v>
      </c>
    </row>
    <row r="234" spans="1:11" x14ac:dyDescent="0.25">
      <c r="A234" s="4" t="s">
        <v>260</v>
      </c>
      <c r="B234" t="s">
        <v>16</v>
      </c>
      <c r="C234" t="s">
        <v>4</v>
      </c>
      <c r="D234" s="3">
        <f t="shared" si="21"/>
        <v>73</v>
      </c>
      <c r="E234" s="4">
        <f t="shared" si="22"/>
        <v>5</v>
      </c>
      <c r="F234" s="4">
        <f t="shared" si="23"/>
        <v>8</v>
      </c>
      <c r="G234" s="3">
        <f>IF(E234&gt;=20,2000,1900) + D234</f>
        <v>1973</v>
      </c>
      <c r="H234">
        <f t="shared" si="24"/>
        <v>5</v>
      </c>
      <c r="I234" s="4">
        <f t="shared" si="25"/>
        <v>8</v>
      </c>
      <c r="J234">
        <f t="shared" si="26"/>
        <v>19730508</v>
      </c>
      <c r="K234">
        <f t="shared" si="27"/>
        <v>20</v>
      </c>
    </row>
    <row r="235" spans="1:11" x14ac:dyDescent="0.25">
      <c r="A235" s="4" t="s">
        <v>261</v>
      </c>
      <c r="B235" t="s">
        <v>19</v>
      </c>
      <c r="C235" t="s">
        <v>6</v>
      </c>
      <c r="D235" s="3">
        <f t="shared" si="21"/>
        <v>61</v>
      </c>
      <c r="E235" s="4">
        <f t="shared" si="22"/>
        <v>4</v>
      </c>
      <c r="F235" s="4">
        <f t="shared" si="23"/>
        <v>18</v>
      </c>
      <c r="G235" s="3">
        <f>IF(E235&gt;=20,2000,1900) + D235</f>
        <v>1961</v>
      </c>
      <c r="H235">
        <f t="shared" si="24"/>
        <v>4</v>
      </c>
      <c r="I235" s="4">
        <f t="shared" si="25"/>
        <v>18</v>
      </c>
      <c r="J235">
        <f t="shared" si="26"/>
        <v>19610418</v>
      </c>
      <c r="K235">
        <f t="shared" si="27"/>
        <v>20</v>
      </c>
    </row>
    <row r="236" spans="1:11" x14ac:dyDescent="0.25">
      <c r="A236" s="4" t="s">
        <v>262</v>
      </c>
      <c r="B236" t="s">
        <v>8</v>
      </c>
      <c r="C236" t="s">
        <v>4</v>
      </c>
      <c r="D236" s="3">
        <f t="shared" si="21"/>
        <v>66</v>
      </c>
      <c r="E236" s="4">
        <f t="shared" si="22"/>
        <v>7</v>
      </c>
      <c r="F236" s="4">
        <f t="shared" si="23"/>
        <v>20</v>
      </c>
      <c r="G236" s="3">
        <f>IF(E236&gt;=20,2000,1900) + D236</f>
        <v>1966</v>
      </c>
      <c r="H236">
        <f t="shared" si="24"/>
        <v>7</v>
      </c>
      <c r="I236" s="4">
        <f t="shared" si="25"/>
        <v>20</v>
      </c>
      <c r="J236">
        <f t="shared" si="26"/>
        <v>19660720</v>
      </c>
      <c r="K236">
        <f t="shared" si="27"/>
        <v>20</v>
      </c>
    </row>
    <row r="237" spans="1:11" x14ac:dyDescent="0.25">
      <c r="A237" s="4" t="s">
        <v>263</v>
      </c>
      <c r="B237" t="s">
        <v>3</v>
      </c>
      <c r="C237" t="s">
        <v>4</v>
      </c>
      <c r="D237" s="3">
        <f t="shared" si="21"/>
        <v>52</v>
      </c>
      <c r="E237" s="4">
        <f t="shared" si="22"/>
        <v>1</v>
      </c>
      <c r="F237" s="4">
        <f t="shared" si="23"/>
        <v>15</v>
      </c>
      <c r="G237" s="3">
        <f>IF(E237&gt;=20,2000,1900) + D237</f>
        <v>1952</v>
      </c>
      <c r="H237">
        <f t="shared" si="24"/>
        <v>1</v>
      </c>
      <c r="I237" s="4">
        <f t="shared" si="25"/>
        <v>15</v>
      </c>
      <c r="J237">
        <f t="shared" si="26"/>
        <v>19520115</v>
      </c>
      <c r="K237">
        <f t="shared" si="27"/>
        <v>20</v>
      </c>
    </row>
    <row r="238" spans="1:11" x14ac:dyDescent="0.25">
      <c r="A238" s="4" t="s">
        <v>264</v>
      </c>
      <c r="B238" t="s">
        <v>17</v>
      </c>
      <c r="C238" t="s">
        <v>6</v>
      </c>
      <c r="D238" s="3">
        <f t="shared" si="21"/>
        <v>90</v>
      </c>
      <c r="E238" s="4">
        <f t="shared" si="22"/>
        <v>3</v>
      </c>
      <c r="F238" s="4">
        <f t="shared" si="23"/>
        <v>7</v>
      </c>
      <c r="G238" s="3">
        <f>IF(E238&gt;=20,2000,1900) + D238</f>
        <v>1990</v>
      </c>
      <c r="H238">
        <f t="shared" si="24"/>
        <v>3</v>
      </c>
      <c r="I238" s="4">
        <f t="shared" si="25"/>
        <v>7</v>
      </c>
      <c r="J238">
        <f t="shared" si="26"/>
        <v>19900307</v>
      </c>
      <c r="K238">
        <f t="shared" si="27"/>
        <v>20</v>
      </c>
    </row>
    <row r="239" spans="1:11" x14ac:dyDescent="0.25">
      <c r="A239" s="4" t="s">
        <v>265</v>
      </c>
      <c r="B239" t="s">
        <v>18</v>
      </c>
      <c r="C239" t="s">
        <v>4</v>
      </c>
      <c r="D239" s="3">
        <f t="shared" si="21"/>
        <v>79</v>
      </c>
      <c r="E239" s="4">
        <f t="shared" si="22"/>
        <v>1</v>
      </c>
      <c r="F239" s="4">
        <f t="shared" si="23"/>
        <v>19</v>
      </c>
      <c r="G239" s="3">
        <f>IF(E239&gt;=20,2000,1900) + D239</f>
        <v>1979</v>
      </c>
      <c r="H239">
        <f t="shared" si="24"/>
        <v>1</v>
      </c>
      <c r="I239" s="4">
        <f t="shared" si="25"/>
        <v>19</v>
      </c>
      <c r="J239">
        <f t="shared" si="26"/>
        <v>19790119</v>
      </c>
      <c r="K239">
        <f t="shared" si="27"/>
        <v>20</v>
      </c>
    </row>
    <row r="240" spans="1:11" x14ac:dyDescent="0.25">
      <c r="A240" s="4" t="s">
        <v>266</v>
      </c>
      <c r="B240" t="s">
        <v>13</v>
      </c>
      <c r="C240" t="s">
        <v>4</v>
      </c>
      <c r="D240" s="3">
        <f t="shared" si="21"/>
        <v>93</v>
      </c>
      <c r="E240" s="4">
        <f t="shared" si="22"/>
        <v>8</v>
      </c>
      <c r="F240" s="4">
        <f t="shared" si="23"/>
        <v>20</v>
      </c>
      <c r="G240" s="3">
        <f>IF(E240&gt;=20,2000,1900) + D240</f>
        <v>1993</v>
      </c>
      <c r="H240">
        <f t="shared" si="24"/>
        <v>8</v>
      </c>
      <c r="I240" s="4">
        <f t="shared" si="25"/>
        <v>20</v>
      </c>
      <c r="J240">
        <f t="shared" si="26"/>
        <v>19930820</v>
      </c>
      <c r="K240">
        <f t="shared" si="27"/>
        <v>20</v>
      </c>
    </row>
    <row r="241" spans="1:11" x14ac:dyDescent="0.25">
      <c r="A241" s="4" t="s">
        <v>267</v>
      </c>
      <c r="B241" t="s">
        <v>16</v>
      </c>
      <c r="C241" t="s">
        <v>6</v>
      </c>
      <c r="D241" s="3">
        <f t="shared" si="21"/>
        <v>95</v>
      </c>
      <c r="E241" s="4">
        <f t="shared" si="22"/>
        <v>2</v>
      </c>
      <c r="F241" s="4">
        <f t="shared" si="23"/>
        <v>5</v>
      </c>
      <c r="G241" s="3">
        <f>IF(E241&gt;=20,2000,1900) + D241</f>
        <v>1995</v>
      </c>
      <c r="H241">
        <f t="shared" si="24"/>
        <v>2</v>
      </c>
      <c r="I241" s="4">
        <f t="shared" si="25"/>
        <v>5</v>
      </c>
      <c r="J241">
        <f t="shared" si="26"/>
        <v>19950205</v>
      </c>
      <c r="K241">
        <f t="shared" si="27"/>
        <v>20</v>
      </c>
    </row>
    <row r="242" spans="1:11" x14ac:dyDescent="0.25">
      <c r="A242" s="4" t="s">
        <v>268</v>
      </c>
      <c r="B242" t="s">
        <v>11</v>
      </c>
      <c r="C242" t="s">
        <v>4</v>
      </c>
      <c r="D242" s="3">
        <f t="shared" si="21"/>
        <v>62</v>
      </c>
      <c r="E242" s="4">
        <f t="shared" si="22"/>
        <v>12</v>
      </c>
      <c r="F242" s="4">
        <f t="shared" si="23"/>
        <v>10</v>
      </c>
      <c r="G242" s="3">
        <f>IF(E242&gt;=20,2000,1900) + D242</f>
        <v>1962</v>
      </c>
      <c r="H242">
        <f t="shared" si="24"/>
        <v>12</v>
      </c>
      <c r="I242" s="4">
        <f t="shared" si="25"/>
        <v>10</v>
      </c>
      <c r="J242">
        <f t="shared" si="26"/>
        <v>19621210</v>
      </c>
      <c r="K242">
        <f t="shared" si="27"/>
        <v>20</v>
      </c>
    </row>
    <row r="243" spans="1:11" x14ac:dyDescent="0.25">
      <c r="A243" s="4" t="s">
        <v>269</v>
      </c>
      <c r="B243" t="s">
        <v>8</v>
      </c>
      <c r="C243" t="s">
        <v>6</v>
      </c>
      <c r="D243" s="3">
        <f t="shared" si="21"/>
        <v>98</v>
      </c>
      <c r="E243" s="4">
        <f t="shared" si="22"/>
        <v>7</v>
      </c>
      <c r="F243" s="4">
        <f t="shared" si="23"/>
        <v>5</v>
      </c>
      <c r="G243" s="3">
        <f>IF(E243&gt;=20,2000,1900) + D243</f>
        <v>1998</v>
      </c>
      <c r="H243">
        <f t="shared" si="24"/>
        <v>7</v>
      </c>
      <c r="I243" s="4">
        <f t="shared" si="25"/>
        <v>5</v>
      </c>
      <c r="J243">
        <f t="shared" si="26"/>
        <v>19980705</v>
      </c>
      <c r="K243">
        <f t="shared" si="27"/>
        <v>20</v>
      </c>
    </row>
    <row r="244" spans="1:11" x14ac:dyDescent="0.25">
      <c r="A244" s="4" t="s">
        <v>270</v>
      </c>
      <c r="B244" t="s">
        <v>3</v>
      </c>
      <c r="C244" t="s">
        <v>4</v>
      </c>
      <c r="D244" s="3">
        <f t="shared" si="21"/>
        <v>93</v>
      </c>
      <c r="E244" s="4">
        <f t="shared" si="22"/>
        <v>3</v>
      </c>
      <c r="F244" s="4">
        <f t="shared" si="23"/>
        <v>5</v>
      </c>
      <c r="G244" s="3">
        <f>IF(E244&gt;=20,2000,1900) + D244</f>
        <v>1993</v>
      </c>
      <c r="H244">
        <f t="shared" si="24"/>
        <v>3</v>
      </c>
      <c r="I244" s="4">
        <f t="shared" si="25"/>
        <v>5</v>
      </c>
      <c r="J244">
        <f t="shared" si="26"/>
        <v>19930305</v>
      </c>
      <c r="K244">
        <f t="shared" si="27"/>
        <v>20</v>
      </c>
    </row>
    <row r="245" spans="1:11" x14ac:dyDescent="0.25">
      <c r="A245" s="4" t="s">
        <v>271</v>
      </c>
      <c r="B245" t="s">
        <v>15</v>
      </c>
      <c r="C245" t="s">
        <v>6</v>
      </c>
      <c r="D245" s="3">
        <f t="shared" si="21"/>
        <v>89</v>
      </c>
      <c r="E245" s="4">
        <f t="shared" si="22"/>
        <v>5</v>
      </c>
      <c r="F245" s="4">
        <f t="shared" si="23"/>
        <v>19</v>
      </c>
      <c r="G245" s="3">
        <f>IF(E245&gt;=20,2000,1900) + D245</f>
        <v>1989</v>
      </c>
      <c r="H245">
        <f t="shared" si="24"/>
        <v>5</v>
      </c>
      <c r="I245" s="4">
        <f t="shared" si="25"/>
        <v>19</v>
      </c>
      <c r="J245">
        <f t="shared" si="26"/>
        <v>19890519</v>
      </c>
      <c r="K245">
        <f t="shared" si="27"/>
        <v>20</v>
      </c>
    </row>
    <row r="246" spans="1:11" x14ac:dyDescent="0.25">
      <c r="A246" s="4" t="s">
        <v>272</v>
      </c>
      <c r="B246" t="s">
        <v>11</v>
      </c>
      <c r="C246" t="s">
        <v>6</v>
      </c>
      <c r="D246" s="3">
        <f t="shared" si="21"/>
        <v>98</v>
      </c>
      <c r="E246" s="4">
        <f t="shared" si="22"/>
        <v>3</v>
      </c>
      <c r="F246" s="4">
        <f t="shared" si="23"/>
        <v>15</v>
      </c>
      <c r="G246" s="3">
        <f>IF(E246&gt;=20,2000,1900) + D246</f>
        <v>1998</v>
      </c>
      <c r="H246">
        <f t="shared" si="24"/>
        <v>3</v>
      </c>
      <c r="I246" s="4">
        <f t="shared" si="25"/>
        <v>15</v>
      </c>
      <c r="J246">
        <f t="shared" si="26"/>
        <v>19980315</v>
      </c>
      <c r="K246">
        <f t="shared" si="27"/>
        <v>20</v>
      </c>
    </row>
    <row r="247" spans="1:11" x14ac:dyDescent="0.25">
      <c r="A247" s="4" t="s">
        <v>273</v>
      </c>
      <c r="B247" t="s">
        <v>9</v>
      </c>
      <c r="C247" t="s">
        <v>4</v>
      </c>
      <c r="D247" s="3">
        <f t="shared" si="21"/>
        <v>96</v>
      </c>
      <c r="E247" s="4">
        <f t="shared" si="22"/>
        <v>3</v>
      </c>
      <c r="F247" s="4">
        <f t="shared" si="23"/>
        <v>24</v>
      </c>
      <c r="G247" s="3">
        <f>IF(E247&gt;=20,2000,1900) + D247</f>
        <v>1996</v>
      </c>
      <c r="H247">
        <f t="shared" si="24"/>
        <v>3</v>
      </c>
      <c r="I247" s="4">
        <f t="shared" si="25"/>
        <v>24</v>
      </c>
      <c r="J247">
        <f t="shared" si="26"/>
        <v>19960324</v>
      </c>
      <c r="K247">
        <f t="shared" si="27"/>
        <v>20</v>
      </c>
    </row>
    <row r="248" spans="1:11" x14ac:dyDescent="0.25">
      <c r="A248" s="4" t="s">
        <v>274</v>
      </c>
      <c r="B248" t="s">
        <v>12</v>
      </c>
      <c r="C248" t="s">
        <v>4</v>
      </c>
      <c r="D248" s="3">
        <f t="shared" si="21"/>
        <v>76</v>
      </c>
      <c r="E248" s="4">
        <f t="shared" si="22"/>
        <v>6</v>
      </c>
      <c r="F248" s="4">
        <f t="shared" si="23"/>
        <v>4</v>
      </c>
      <c r="G248" s="3">
        <f>IF(E248&gt;=20,2000,1900) + D248</f>
        <v>1976</v>
      </c>
      <c r="H248">
        <f t="shared" si="24"/>
        <v>6</v>
      </c>
      <c r="I248" s="4">
        <f t="shared" si="25"/>
        <v>4</v>
      </c>
      <c r="J248">
        <f t="shared" si="26"/>
        <v>19760604</v>
      </c>
      <c r="K248">
        <f t="shared" si="27"/>
        <v>20</v>
      </c>
    </row>
    <row r="249" spans="1:11" x14ac:dyDescent="0.25">
      <c r="A249" s="4" t="s">
        <v>275</v>
      </c>
      <c r="B249" t="s">
        <v>7</v>
      </c>
      <c r="C249" t="s">
        <v>6</v>
      </c>
      <c r="D249" s="3">
        <f t="shared" si="21"/>
        <v>86</v>
      </c>
      <c r="E249" s="4">
        <f t="shared" si="22"/>
        <v>10</v>
      </c>
      <c r="F249" s="4">
        <f t="shared" si="23"/>
        <v>23</v>
      </c>
      <c r="G249" s="3">
        <f>IF(E249&gt;=20,2000,1900) + D249</f>
        <v>1986</v>
      </c>
      <c r="H249">
        <f t="shared" si="24"/>
        <v>10</v>
      </c>
      <c r="I249" s="4">
        <f t="shared" si="25"/>
        <v>23</v>
      </c>
      <c r="J249">
        <f t="shared" si="26"/>
        <v>19861023</v>
      </c>
      <c r="K249">
        <f t="shared" si="27"/>
        <v>20</v>
      </c>
    </row>
    <row r="250" spans="1:11" x14ac:dyDescent="0.25">
      <c r="A250" s="4" t="s">
        <v>276</v>
      </c>
      <c r="B250" t="s">
        <v>19</v>
      </c>
      <c r="C250" t="s">
        <v>6</v>
      </c>
      <c r="D250" s="3">
        <f t="shared" si="21"/>
        <v>50</v>
      </c>
      <c r="E250" s="4">
        <f t="shared" si="22"/>
        <v>1</v>
      </c>
      <c r="F250" s="4">
        <f t="shared" si="23"/>
        <v>10</v>
      </c>
      <c r="G250" s="3">
        <f>IF(E250&gt;=20,2000,1900) + D250</f>
        <v>1950</v>
      </c>
      <c r="H250">
        <f t="shared" si="24"/>
        <v>1</v>
      </c>
      <c r="I250" s="4">
        <f t="shared" si="25"/>
        <v>10</v>
      </c>
      <c r="J250">
        <f t="shared" si="26"/>
        <v>19500110</v>
      </c>
      <c r="K250">
        <f t="shared" si="27"/>
        <v>20</v>
      </c>
    </row>
    <row r="251" spans="1:11" x14ac:dyDescent="0.25">
      <c r="A251" s="4" t="s">
        <v>277</v>
      </c>
      <c r="B251" t="s">
        <v>11</v>
      </c>
      <c r="C251" t="s">
        <v>6</v>
      </c>
      <c r="D251" s="3">
        <f t="shared" si="21"/>
        <v>79</v>
      </c>
      <c r="E251" s="4">
        <f t="shared" si="22"/>
        <v>2</v>
      </c>
      <c r="F251" s="4">
        <f t="shared" si="23"/>
        <v>9</v>
      </c>
      <c r="G251" s="3">
        <f>IF(E251&gt;=20,2000,1900) + D251</f>
        <v>1979</v>
      </c>
      <c r="H251">
        <f t="shared" si="24"/>
        <v>2</v>
      </c>
      <c r="I251" s="4">
        <f t="shared" si="25"/>
        <v>9</v>
      </c>
      <c r="J251">
        <f t="shared" si="26"/>
        <v>19790209</v>
      </c>
      <c r="K251">
        <f t="shared" si="27"/>
        <v>20</v>
      </c>
    </row>
    <row r="252" spans="1:11" x14ac:dyDescent="0.25">
      <c r="A252" s="4" t="s">
        <v>278</v>
      </c>
      <c r="B252" t="s">
        <v>13</v>
      </c>
      <c r="C252" t="s">
        <v>6</v>
      </c>
      <c r="D252" s="3">
        <f t="shared" si="21"/>
        <v>78</v>
      </c>
      <c r="E252" s="4">
        <f t="shared" si="22"/>
        <v>2</v>
      </c>
      <c r="F252" s="4">
        <f t="shared" si="23"/>
        <v>24</v>
      </c>
      <c r="G252" s="3">
        <f>IF(E252&gt;=20,2000,1900) + D252</f>
        <v>1978</v>
      </c>
      <c r="H252">
        <f t="shared" si="24"/>
        <v>2</v>
      </c>
      <c r="I252" s="4">
        <f t="shared" si="25"/>
        <v>24</v>
      </c>
      <c r="J252">
        <f t="shared" si="26"/>
        <v>19780224</v>
      </c>
      <c r="K252">
        <f t="shared" si="27"/>
        <v>20</v>
      </c>
    </row>
    <row r="253" spans="1:11" x14ac:dyDescent="0.25">
      <c r="A253" s="4" t="s">
        <v>279</v>
      </c>
      <c r="B253" t="s">
        <v>14</v>
      </c>
      <c r="C253" t="s">
        <v>4</v>
      </c>
      <c r="D253" s="3">
        <f t="shared" si="21"/>
        <v>63</v>
      </c>
      <c r="E253" s="4">
        <f t="shared" si="22"/>
        <v>12</v>
      </c>
      <c r="F253" s="4">
        <f t="shared" si="23"/>
        <v>10</v>
      </c>
      <c r="G253" s="3">
        <f>IF(E253&gt;=20,2000,1900) + D253</f>
        <v>1963</v>
      </c>
      <c r="H253">
        <f t="shared" si="24"/>
        <v>12</v>
      </c>
      <c r="I253" s="4">
        <f t="shared" si="25"/>
        <v>10</v>
      </c>
      <c r="J253">
        <f t="shared" si="26"/>
        <v>19631210</v>
      </c>
      <c r="K253">
        <f t="shared" si="27"/>
        <v>20</v>
      </c>
    </row>
    <row r="254" spans="1:11" x14ac:dyDescent="0.25">
      <c r="A254" s="4" t="s">
        <v>280</v>
      </c>
      <c r="B254" t="s">
        <v>19</v>
      </c>
      <c r="C254" t="s">
        <v>4</v>
      </c>
      <c r="D254" s="3">
        <f t="shared" si="21"/>
        <v>56</v>
      </c>
      <c r="E254" s="4">
        <f t="shared" si="22"/>
        <v>8</v>
      </c>
      <c r="F254" s="4">
        <f t="shared" si="23"/>
        <v>8</v>
      </c>
      <c r="G254" s="3">
        <f>IF(E254&gt;=20,2000,1900) + D254</f>
        <v>1956</v>
      </c>
      <c r="H254">
        <f t="shared" si="24"/>
        <v>8</v>
      </c>
      <c r="I254" s="4">
        <f t="shared" si="25"/>
        <v>8</v>
      </c>
      <c r="J254">
        <f t="shared" si="26"/>
        <v>19560808</v>
      </c>
      <c r="K254">
        <f t="shared" si="27"/>
        <v>20</v>
      </c>
    </row>
    <row r="255" spans="1:11" x14ac:dyDescent="0.25">
      <c r="A255" s="4" t="s">
        <v>281</v>
      </c>
      <c r="B255" t="s">
        <v>17</v>
      </c>
      <c r="C255" t="s">
        <v>4</v>
      </c>
      <c r="D255" s="3">
        <f t="shared" si="21"/>
        <v>66</v>
      </c>
      <c r="E255" s="4">
        <f t="shared" si="22"/>
        <v>10</v>
      </c>
      <c r="F255" s="4">
        <f t="shared" si="23"/>
        <v>10</v>
      </c>
      <c r="G255" s="3">
        <f>IF(E255&gt;=20,2000,1900) + D255</f>
        <v>1966</v>
      </c>
      <c r="H255">
        <f t="shared" si="24"/>
        <v>10</v>
      </c>
      <c r="I255" s="4">
        <f t="shared" si="25"/>
        <v>10</v>
      </c>
      <c r="J255">
        <f t="shared" si="26"/>
        <v>19661010</v>
      </c>
      <c r="K255">
        <f t="shared" si="27"/>
        <v>20</v>
      </c>
    </row>
    <row r="256" spans="1:11" x14ac:dyDescent="0.25">
      <c r="A256" s="4" t="s">
        <v>282</v>
      </c>
      <c r="B256" t="s">
        <v>13</v>
      </c>
      <c r="C256" t="s">
        <v>6</v>
      </c>
      <c r="D256" s="3">
        <f t="shared" si="21"/>
        <v>65</v>
      </c>
      <c r="E256" s="4">
        <f t="shared" si="22"/>
        <v>5</v>
      </c>
      <c r="F256" s="4">
        <f t="shared" si="23"/>
        <v>23</v>
      </c>
      <c r="G256" s="3">
        <f>IF(E256&gt;=20,2000,1900) + D256</f>
        <v>1965</v>
      </c>
      <c r="H256">
        <f t="shared" si="24"/>
        <v>5</v>
      </c>
      <c r="I256" s="4">
        <f t="shared" si="25"/>
        <v>23</v>
      </c>
      <c r="J256">
        <f t="shared" si="26"/>
        <v>19650523</v>
      </c>
      <c r="K256">
        <f t="shared" si="27"/>
        <v>20</v>
      </c>
    </row>
    <row r="257" spans="1:11" x14ac:dyDescent="0.25">
      <c r="A257" s="4" t="s">
        <v>283</v>
      </c>
      <c r="B257" t="s">
        <v>9</v>
      </c>
      <c r="C257" t="s">
        <v>6</v>
      </c>
      <c r="D257" s="3">
        <f t="shared" si="21"/>
        <v>54</v>
      </c>
      <c r="E257" s="4">
        <f t="shared" si="22"/>
        <v>6</v>
      </c>
      <c r="F257" s="4">
        <f t="shared" si="23"/>
        <v>18</v>
      </c>
      <c r="G257" s="3">
        <f>IF(E257&gt;=20,2000,1900) + D257</f>
        <v>1954</v>
      </c>
      <c r="H257">
        <f t="shared" si="24"/>
        <v>6</v>
      </c>
      <c r="I257" s="4">
        <f t="shared" si="25"/>
        <v>18</v>
      </c>
      <c r="J257">
        <f t="shared" si="26"/>
        <v>19540618</v>
      </c>
      <c r="K257">
        <f t="shared" si="27"/>
        <v>20</v>
      </c>
    </row>
    <row r="258" spans="1:11" x14ac:dyDescent="0.25">
      <c r="A258" s="4" t="s">
        <v>284</v>
      </c>
      <c r="B258" t="s">
        <v>8</v>
      </c>
      <c r="C258" t="s">
        <v>6</v>
      </c>
      <c r="D258" s="3">
        <f t="shared" si="21"/>
        <v>90</v>
      </c>
      <c r="E258" s="4">
        <f t="shared" si="22"/>
        <v>4</v>
      </c>
      <c r="F258" s="4">
        <f t="shared" si="23"/>
        <v>22</v>
      </c>
      <c r="G258" s="3">
        <f>IF(E258&gt;=20,2000,1900) + D258</f>
        <v>1990</v>
      </c>
      <c r="H258">
        <f t="shared" si="24"/>
        <v>4</v>
      </c>
      <c r="I258" s="4">
        <f t="shared" si="25"/>
        <v>22</v>
      </c>
      <c r="J258">
        <f t="shared" si="26"/>
        <v>19900422</v>
      </c>
      <c r="K258">
        <f t="shared" si="27"/>
        <v>20</v>
      </c>
    </row>
    <row r="259" spans="1:11" x14ac:dyDescent="0.25">
      <c r="A259" s="4" t="s">
        <v>285</v>
      </c>
      <c r="B259" t="s">
        <v>7</v>
      </c>
      <c r="C259" t="s">
        <v>6</v>
      </c>
      <c r="D259" s="3">
        <f t="shared" ref="D259:D322" si="28">MID(A259,1,2)*1</f>
        <v>58</v>
      </c>
      <c r="E259" s="4">
        <f t="shared" ref="E259:E322" si="29">MID(A259,3,2)*1</f>
        <v>1</v>
      </c>
      <c r="F259" s="4">
        <f t="shared" ref="F259:F322" si="30">MID(A259,5,2)*1</f>
        <v>22</v>
      </c>
      <c r="G259" s="3">
        <f>IF(E259&gt;=20,2000,1900) + D259</f>
        <v>1958</v>
      </c>
      <c r="H259">
        <f t="shared" ref="H259:H322" si="31">IF(E259&gt;=20,E259-20,E259)</f>
        <v>1</v>
      </c>
      <c r="I259" s="4">
        <f t="shared" ref="I259:I322" si="32">F259</f>
        <v>22</v>
      </c>
      <c r="J259">
        <f t="shared" ref="J259:J322" si="33">CONCATENATE(G259,IF(LEN(E259)=1,CONCATENATE("0",E259),E259),IF(LEN(F259)=1,CONCATENATE("0",F259),F259))*1</f>
        <v>19580122</v>
      </c>
      <c r="K259">
        <f t="shared" ref="K259:K322" si="34">IF(G259&lt;=2000,20,21)</f>
        <v>20</v>
      </c>
    </row>
    <row r="260" spans="1:11" x14ac:dyDescent="0.25">
      <c r="A260" s="4" t="s">
        <v>286</v>
      </c>
      <c r="B260" t="s">
        <v>15</v>
      </c>
      <c r="C260" t="s">
        <v>4</v>
      </c>
      <c r="D260" s="3">
        <f t="shared" si="28"/>
        <v>88</v>
      </c>
      <c r="E260" s="4">
        <f t="shared" si="29"/>
        <v>2</v>
      </c>
      <c r="F260" s="4">
        <f t="shared" si="30"/>
        <v>2</v>
      </c>
      <c r="G260" s="3">
        <f>IF(E260&gt;=20,2000,1900) + D260</f>
        <v>1988</v>
      </c>
      <c r="H260">
        <f t="shared" si="31"/>
        <v>2</v>
      </c>
      <c r="I260" s="4">
        <f t="shared" si="32"/>
        <v>2</v>
      </c>
      <c r="J260">
        <f t="shared" si="33"/>
        <v>19880202</v>
      </c>
      <c r="K260">
        <f t="shared" si="34"/>
        <v>20</v>
      </c>
    </row>
    <row r="261" spans="1:11" x14ac:dyDescent="0.25">
      <c r="A261" s="4" t="s">
        <v>287</v>
      </c>
      <c r="B261" t="s">
        <v>19</v>
      </c>
      <c r="C261" t="s">
        <v>6</v>
      </c>
      <c r="D261" s="3">
        <f t="shared" si="28"/>
        <v>74</v>
      </c>
      <c r="E261" s="4">
        <f t="shared" si="29"/>
        <v>7</v>
      </c>
      <c r="F261" s="4">
        <f t="shared" si="30"/>
        <v>23</v>
      </c>
      <c r="G261" s="3">
        <f>IF(E261&gt;=20,2000,1900) + D261</f>
        <v>1974</v>
      </c>
      <c r="H261">
        <f t="shared" si="31"/>
        <v>7</v>
      </c>
      <c r="I261" s="4">
        <f t="shared" si="32"/>
        <v>23</v>
      </c>
      <c r="J261">
        <f t="shared" si="33"/>
        <v>19740723</v>
      </c>
      <c r="K261">
        <f t="shared" si="34"/>
        <v>20</v>
      </c>
    </row>
    <row r="262" spans="1:11" x14ac:dyDescent="0.25">
      <c r="A262" s="4" t="s">
        <v>288</v>
      </c>
      <c r="B262" t="s">
        <v>19</v>
      </c>
      <c r="C262" t="s">
        <v>6</v>
      </c>
      <c r="D262" s="3">
        <f t="shared" si="28"/>
        <v>72</v>
      </c>
      <c r="E262" s="4">
        <f t="shared" si="29"/>
        <v>12</v>
      </c>
      <c r="F262" s="4">
        <f t="shared" si="30"/>
        <v>27</v>
      </c>
      <c r="G262" s="3">
        <f>IF(E262&gt;=20,2000,1900) + D262</f>
        <v>1972</v>
      </c>
      <c r="H262">
        <f t="shared" si="31"/>
        <v>12</v>
      </c>
      <c r="I262" s="4">
        <f t="shared" si="32"/>
        <v>27</v>
      </c>
      <c r="J262">
        <f t="shared" si="33"/>
        <v>19721227</v>
      </c>
      <c r="K262">
        <f t="shared" si="34"/>
        <v>20</v>
      </c>
    </row>
    <row r="263" spans="1:11" x14ac:dyDescent="0.25">
      <c r="A263" s="4" t="s">
        <v>289</v>
      </c>
      <c r="B263" t="s">
        <v>16</v>
      </c>
      <c r="C263" t="s">
        <v>6</v>
      </c>
      <c r="D263" s="3">
        <f t="shared" si="28"/>
        <v>76</v>
      </c>
      <c r="E263" s="4">
        <f t="shared" si="29"/>
        <v>8</v>
      </c>
      <c r="F263" s="4">
        <f t="shared" si="30"/>
        <v>18</v>
      </c>
      <c r="G263" s="3">
        <f>IF(E263&gt;=20,2000,1900) + D263</f>
        <v>1976</v>
      </c>
      <c r="H263">
        <f t="shared" si="31"/>
        <v>8</v>
      </c>
      <c r="I263" s="4">
        <f t="shared" si="32"/>
        <v>18</v>
      </c>
      <c r="J263">
        <f t="shared" si="33"/>
        <v>19760818</v>
      </c>
      <c r="K263">
        <f t="shared" si="34"/>
        <v>20</v>
      </c>
    </row>
    <row r="264" spans="1:11" x14ac:dyDescent="0.25">
      <c r="A264" s="4" t="s">
        <v>290</v>
      </c>
      <c r="B264" t="s">
        <v>10</v>
      </c>
      <c r="C264" t="s">
        <v>6</v>
      </c>
      <c r="D264" s="3">
        <f t="shared" si="28"/>
        <v>79</v>
      </c>
      <c r="E264" s="4">
        <f t="shared" si="29"/>
        <v>4</v>
      </c>
      <c r="F264" s="4">
        <f t="shared" si="30"/>
        <v>25</v>
      </c>
      <c r="G264" s="3">
        <f>IF(E264&gt;=20,2000,1900) + D264</f>
        <v>1979</v>
      </c>
      <c r="H264">
        <f t="shared" si="31"/>
        <v>4</v>
      </c>
      <c r="I264" s="4">
        <f t="shared" si="32"/>
        <v>25</v>
      </c>
      <c r="J264">
        <f t="shared" si="33"/>
        <v>19790425</v>
      </c>
      <c r="K264">
        <f t="shared" si="34"/>
        <v>20</v>
      </c>
    </row>
    <row r="265" spans="1:11" x14ac:dyDescent="0.25">
      <c r="A265" s="4" t="s">
        <v>291</v>
      </c>
      <c r="B265" t="s">
        <v>7</v>
      </c>
      <c r="C265" t="s">
        <v>4</v>
      </c>
      <c r="D265" s="3">
        <f t="shared" si="28"/>
        <v>57</v>
      </c>
      <c r="E265" s="4">
        <f t="shared" si="29"/>
        <v>7</v>
      </c>
      <c r="F265" s="4">
        <f t="shared" si="30"/>
        <v>17</v>
      </c>
      <c r="G265" s="3">
        <f>IF(E265&gt;=20,2000,1900) + D265</f>
        <v>1957</v>
      </c>
      <c r="H265">
        <f t="shared" si="31"/>
        <v>7</v>
      </c>
      <c r="I265" s="4">
        <f t="shared" si="32"/>
        <v>17</v>
      </c>
      <c r="J265">
        <f t="shared" si="33"/>
        <v>19570717</v>
      </c>
      <c r="K265">
        <f t="shared" si="34"/>
        <v>20</v>
      </c>
    </row>
    <row r="266" spans="1:11" x14ac:dyDescent="0.25">
      <c r="A266" s="4" t="s">
        <v>292</v>
      </c>
      <c r="B266" t="s">
        <v>5</v>
      </c>
      <c r="C266" t="s">
        <v>4</v>
      </c>
      <c r="D266" s="3">
        <f t="shared" si="28"/>
        <v>69</v>
      </c>
      <c r="E266" s="4">
        <f t="shared" si="29"/>
        <v>4</v>
      </c>
      <c r="F266" s="4">
        <f t="shared" si="30"/>
        <v>28</v>
      </c>
      <c r="G266" s="3">
        <f>IF(E266&gt;=20,2000,1900) + D266</f>
        <v>1969</v>
      </c>
      <c r="H266">
        <f t="shared" si="31"/>
        <v>4</v>
      </c>
      <c r="I266" s="4">
        <f t="shared" si="32"/>
        <v>28</v>
      </c>
      <c r="J266">
        <f t="shared" si="33"/>
        <v>19690428</v>
      </c>
      <c r="K266">
        <f t="shared" si="34"/>
        <v>20</v>
      </c>
    </row>
    <row r="267" spans="1:11" x14ac:dyDescent="0.25">
      <c r="A267" s="4" t="s">
        <v>293</v>
      </c>
      <c r="B267" t="s">
        <v>9</v>
      </c>
      <c r="C267" t="s">
        <v>4</v>
      </c>
      <c r="D267" s="3">
        <f t="shared" si="28"/>
        <v>51</v>
      </c>
      <c r="E267" s="4">
        <f t="shared" si="29"/>
        <v>12</v>
      </c>
      <c r="F267" s="4">
        <f t="shared" si="30"/>
        <v>28</v>
      </c>
      <c r="G267" s="3">
        <f>IF(E267&gt;=20,2000,1900) + D267</f>
        <v>1951</v>
      </c>
      <c r="H267">
        <f t="shared" si="31"/>
        <v>12</v>
      </c>
      <c r="I267" s="4">
        <f t="shared" si="32"/>
        <v>28</v>
      </c>
      <c r="J267">
        <f t="shared" si="33"/>
        <v>19511228</v>
      </c>
      <c r="K267">
        <f t="shared" si="34"/>
        <v>20</v>
      </c>
    </row>
    <row r="268" spans="1:11" x14ac:dyDescent="0.25">
      <c r="A268" s="4" t="s">
        <v>294</v>
      </c>
      <c r="B268" t="s">
        <v>14</v>
      </c>
      <c r="C268" t="s">
        <v>6</v>
      </c>
      <c r="D268" s="3">
        <f t="shared" si="28"/>
        <v>60</v>
      </c>
      <c r="E268" s="4">
        <f t="shared" si="29"/>
        <v>10</v>
      </c>
      <c r="F268" s="4">
        <f t="shared" si="30"/>
        <v>6</v>
      </c>
      <c r="G268" s="3">
        <f>IF(E268&gt;=20,2000,1900) + D268</f>
        <v>1960</v>
      </c>
      <c r="H268">
        <f t="shared" si="31"/>
        <v>10</v>
      </c>
      <c r="I268" s="4">
        <f t="shared" si="32"/>
        <v>6</v>
      </c>
      <c r="J268">
        <f t="shared" si="33"/>
        <v>19601006</v>
      </c>
      <c r="K268">
        <f t="shared" si="34"/>
        <v>20</v>
      </c>
    </row>
    <row r="269" spans="1:11" x14ac:dyDescent="0.25">
      <c r="A269" s="4" t="s">
        <v>295</v>
      </c>
      <c r="B269" t="s">
        <v>15</v>
      </c>
      <c r="C269" t="s">
        <v>6</v>
      </c>
      <c r="D269" s="3">
        <f t="shared" si="28"/>
        <v>71</v>
      </c>
      <c r="E269" s="4">
        <f t="shared" si="29"/>
        <v>3</v>
      </c>
      <c r="F269" s="4">
        <f t="shared" si="30"/>
        <v>26</v>
      </c>
      <c r="G269" s="3">
        <f>IF(E269&gt;=20,2000,1900) + D269</f>
        <v>1971</v>
      </c>
      <c r="H269">
        <f t="shared" si="31"/>
        <v>3</v>
      </c>
      <c r="I269" s="4">
        <f t="shared" si="32"/>
        <v>26</v>
      </c>
      <c r="J269">
        <f t="shared" si="33"/>
        <v>19710326</v>
      </c>
      <c r="K269">
        <f t="shared" si="34"/>
        <v>20</v>
      </c>
    </row>
    <row r="270" spans="1:11" x14ac:dyDescent="0.25">
      <c r="A270" s="4" t="s">
        <v>296</v>
      </c>
      <c r="B270" t="s">
        <v>8</v>
      </c>
      <c r="C270" t="s">
        <v>4</v>
      </c>
      <c r="D270" s="3">
        <f t="shared" si="28"/>
        <v>65</v>
      </c>
      <c r="E270" s="4">
        <f t="shared" si="29"/>
        <v>2</v>
      </c>
      <c r="F270" s="4">
        <f t="shared" si="30"/>
        <v>1</v>
      </c>
      <c r="G270" s="3">
        <f>IF(E270&gt;=20,2000,1900) + D270</f>
        <v>1965</v>
      </c>
      <c r="H270">
        <f t="shared" si="31"/>
        <v>2</v>
      </c>
      <c r="I270" s="4">
        <f t="shared" si="32"/>
        <v>1</v>
      </c>
      <c r="J270">
        <f t="shared" si="33"/>
        <v>19650201</v>
      </c>
      <c r="K270">
        <f t="shared" si="34"/>
        <v>20</v>
      </c>
    </row>
    <row r="271" spans="1:11" x14ac:dyDescent="0.25">
      <c r="A271" s="4" t="s">
        <v>297</v>
      </c>
      <c r="B271" t="s">
        <v>11</v>
      </c>
      <c r="C271" t="s">
        <v>4</v>
      </c>
      <c r="D271" s="3">
        <f t="shared" si="28"/>
        <v>96</v>
      </c>
      <c r="E271" s="4">
        <f t="shared" si="29"/>
        <v>3</v>
      </c>
      <c r="F271" s="4">
        <f t="shared" si="30"/>
        <v>7</v>
      </c>
      <c r="G271" s="3">
        <f>IF(E271&gt;=20,2000,1900) + D271</f>
        <v>1996</v>
      </c>
      <c r="H271">
        <f t="shared" si="31"/>
        <v>3</v>
      </c>
      <c r="I271" s="4">
        <f t="shared" si="32"/>
        <v>7</v>
      </c>
      <c r="J271">
        <f t="shared" si="33"/>
        <v>19960307</v>
      </c>
      <c r="K271">
        <f t="shared" si="34"/>
        <v>20</v>
      </c>
    </row>
    <row r="272" spans="1:11" x14ac:dyDescent="0.25">
      <c r="A272" s="4" t="s">
        <v>298</v>
      </c>
      <c r="B272" t="s">
        <v>11</v>
      </c>
      <c r="C272" t="s">
        <v>6</v>
      </c>
      <c r="D272" s="3">
        <f t="shared" si="28"/>
        <v>58</v>
      </c>
      <c r="E272" s="4">
        <f t="shared" si="29"/>
        <v>7</v>
      </c>
      <c r="F272" s="4">
        <f t="shared" si="30"/>
        <v>24</v>
      </c>
      <c r="G272" s="3">
        <f>IF(E272&gt;=20,2000,1900) + D272</f>
        <v>1958</v>
      </c>
      <c r="H272">
        <f t="shared" si="31"/>
        <v>7</v>
      </c>
      <c r="I272" s="4">
        <f t="shared" si="32"/>
        <v>24</v>
      </c>
      <c r="J272">
        <f t="shared" si="33"/>
        <v>19580724</v>
      </c>
      <c r="K272">
        <f t="shared" si="34"/>
        <v>20</v>
      </c>
    </row>
    <row r="273" spans="1:11" x14ac:dyDescent="0.25">
      <c r="A273" s="4" t="s">
        <v>299</v>
      </c>
      <c r="B273" t="s">
        <v>19</v>
      </c>
      <c r="C273" t="s">
        <v>6</v>
      </c>
      <c r="D273" s="3">
        <f t="shared" si="28"/>
        <v>76</v>
      </c>
      <c r="E273" s="4">
        <f t="shared" si="29"/>
        <v>12</v>
      </c>
      <c r="F273" s="4">
        <f t="shared" si="30"/>
        <v>19</v>
      </c>
      <c r="G273" s="3">
        <f>IF(E273&gt;=20,2000,1900) + D273</f>
        <v>1976</v>
      </c>
      <c r="H273">
        <f t="shared" si="31"/>
        <v>12</v>
      </c>
      <c r="I273" s="4">
        <f t="shared" si="32"/>
        <v>19</v>
      </c>
      <c r="J273">
        <f t="shared" si="33"/>
        <v>19761219</v>
      </c>
      <c r="K273">
        <f t="shared" si="34"/>
        <v>20</v>
      </c>
    </row>
    <row r="274" spans="1:11" x14ac:dyDescent="0.25">
      <c r="A274" s="4" t="s">
        <v>300</v>
      </c>
      <c r="B274" t="s">
        <v>17</v>
      </c>
      <c r="C274" t="s">
        <v>4</v>
      </c>
      <c r="D274" s="3">
        <f t="shared" si="28"/>
        <v>63</v>
      </c>
      <c r="E274" s="4">
        <f t="shared" si="29"/>
        <v>10</v>
      </c>
      <c r="F274" s="4">
        <f t="shared" si="30"/>
        <v>22</v>
      </c>
      <c r="G274" s="3">
        <f>IF(E274&gt;=20,2000,1900) + D274</f>
        <v>1963</v>
      </c>
      <c r="H274">
        <f t="shared" si="31"/>
        <v>10</v>
      </c>
      <c r="I274" s="4">
        <f t="shared" si="32"/>
        <v>22</v>
      </c>
      <c r="J274">
        <f t="shared" si="33"/>
        <v>19631022</v>
      </c>
      <c r="K274">
        <f t="shared" si="34"/>
        <v>20</v>
      </c>
    </row>
    <row r="275" spans="1:11" x14ac:dyDescent="0.25">
      <c r="A275" s="4" t="s">
        <v>301</v>
      </c>
      <c r="B275" t="s">
        <v>15</v>
      </c>
      <c r="C275" t="s">
        <v>6</v>
      </c>
      <c r="D275" s="3">
        <f t="shared" si="28"/>
        <v>60</v>
      </c>
      <c r="E275" s="4">
        <f t="shared" si="29"/>
        <v>10</v>
      </c>
      <c r="F275" s="4">
        <f t="shared" si="30"/>
        <v>20</v>
      </c>
      <c r="G275" s="3">
        <f>IF(E275&gt;=20,2000,1900) + D275</f>
        <v>1960</v>
      </c>
      <c r="H275">
        <f t="shared" si="31"/>
        <v>10</v>
      </c>
      <c r="I275" s="4">
        <f t="shared" si="32"/>
        <v>20</v>
      </c>
      <c r="J275">
        <f t="shared" si="33"/>
        <v>19601020</v>
      </c>
      <c r="K275">
        <f t="shared" si="34"/>
        <v>20</v>
      </c>
    </row>
    <row r="276" spans="1:11" x14ac:dyDescent="0.25">
      <c r="A276" s="4" t="s">
        <v>302</v>
      </c>
      <c r="B276" t="s">
        <v>18</v>
      </c>
      <c r="C276" t="s">
        <v>4</v>
      </c>
      <c r="D276" s="3">
        <f t="shared" si="28"/>
        <v>79</v>
      </c>
      <c r="E276" s="4">
        <f t="shared" si="29"/>
        <v>11</v>
      </c>
      <c r="F276" s="4">
        <f t="shared" si="30"/>
        <v>6</v>
      </c>
      <c r="G276" s="3">
        <f>IF(E276&gt;=20,2000,1900) + D276</f>
        <v>1979</v>
      </c>
      <c r="H276">
        <f t="shared" si="31"/>
        <v>11</v>
      </c>
      <c r="I276" s="4">
        <f t="shared" si="32"/>
        <v>6</v>
      </c>
      <c r="J276">
        <f t="shared" si="33"/>
        <v>19791106</v>
      </c>
      <c r="K276">
        <f t="shared" si="34"/>
        <v>20</v>
      </c>
    </row>
    <row r="277" spans="1:11" x14ac:dyDescent="0.25">
      <c r="A277" s="4" t="s">
        <v>303</v>
      </c>
      <c r="B277" t="s">
        <v>8</v>
      </c>
      <c r="C277" t="s">
        <v>4</v>
      </c>
      <c r="D277" s="3">
        <f t="shared" si="28"/>
        <v>56</v>
      </c>
      <c r="E277" s="4">
        <f t="shared" si="29"/>
        <v>3</v>
      </c>
      <c r="F277" s="4">
        <f t="shared" si="30"/>
        <v>13</v>
      </c>
      <c r="G277" s="3">
        <f>IF(E277&gt;=20,2000,1900) + D277</f>
        <v>1956</v>
      </c>
      <c r="H277">
        <f t="shared" si="31"/>
        <v>3</v>
      </c>
      <c r="I277" s="4">
        <f t="shared" si="32"/>
        <v>13</v>
      </c>
      <c r="J277">
        <f t="shared" si="33"/>
        <v>19560313</v>
      </c>
      <c r="K277">
        <f t="shared" si="34"/>
        <v>20</v>
      </c>
    </row>
    <row r="278" spans="1:11" x14ac:dyDescent="0.25">
      <c r="A278" s="4" t="s">
        <v>304</v>
      </c>
      <c r="B278" t="s">
        <v>8</v>
      </c>
      <c r="C278" t="s">
        <v>6</v>
      </c>
      <c r="D278" s="3">
        <f t="shared" si="28"/>
        <v>88</v>
      </c>
      <c r="E278" s="4">
        <f t="shared" si="29"/>
        <v>3</v>
      </c>
      <c r="F278" s="4">
        <f t="shared" si="30"/>
        <v>19</v>
      </c>
      <c r="G278" s="3">
        <f>IF(E278&gt;=20,2000,1900) + D278</f>
        <v>1988</v>
      </c>
      <c r="H278">
        <f t="shared" si="31"/>
        <v>3</v>
      </c>
      <c r="I278" s="4">
        <f t="shared" si="32"/>
        <v>19</v>
      </c>
      <c r="J278">
        <f t="shared" si="33"/>
        <v>19880319</v>
      </c>
      <c r="K278">
        <f t="shared" si="34"/>
        <v>20</v>
      </c>
    </row>
    <row r="279" spans="1:11" x14ac:dyDescent="0.25">
      <c r="A279" s="4" t="s">
        <v>305</v>
      </c>
      <c r="B279" t="s">
        <v>16</v>
      </c>
      <c r="C279" t="s">
        <v>4</v>
      </c>
      <c r="D279" s="3">
        <f t="shared" si="28"/>
        <v>60</v>
      </c>
      <c r="E279" s="4">
        <f t="shared" si="29"/>
        <v>10</v>
      </c>
      <c r="F279" s="4">
        <f t="shared" si="30"/>
        <v>2</v>
      </c>
      <c r="G279" s="3">
        <f>IF(E279&gt;=20,2000,1900) + D279</f>
        <v>1960</v>
      </c>
      <c r="H279">
        <f t="shared" si="31"/>
        <v>10</v>
      </c>
      <c r="I279" s="4">
        <f t="shared" si="32"/>
        <v>2</v>
      </c>
      <c r="J279">
        <f t="shared" si="33"/>
        <v>19601002</v>
      </c>
      <c r="K279">
        <f t="shared" si="34"/>
        <v>20</v>
      </c>
    </row>
    <row r="280" spans="1:11" x14ac:dyDescent="0.25">
      <c r="A280" s="4" t="s">
        <v>306</v>
      </c>
      <c r="B280" t="s">
        <v>16</v>
      </c>
      <c r="C280" t="s">
        <v>6</v>
      </c>
      <c r="D280" s="3">
        <f t="shared" si="28"/>
        <v>70</v>
      </c>
      <c r="E280" s="4">
        <f t="shared" si="29"/>
        <v>8</v>
      </c>
      <c r="F280" s="4">
        <f t="shared" si="30"/>
        <v>4</v>
      </c>
      <c r="G280" s="3">
        <f>IF(E280&gt;=20,2000,1900) + D280</f>
        <v>1970</v>
      </c>
      <c r="H280">
        <f t="shared" si="31"/>
        <v>8</v>
      </c>
      <c r="I280" s="4">
        <f t="shared" si="32"/>
        <v>4</v>
      </c>
      <c r="J280">
        <f t="shared" si="33"/>
        <v>19700804</v>
      </c>
      <c r="K280">
        <f t="shared" si="34"/>
        <v>20</v>
      </c>
    </row>
    <row r="281" spans="1:11" x14ac:dyDescent="0.25">
      <c r="A281" s="4" t="s">
        <v>307</v>
      </c>
      <c r="B281" t="s">
        <v>20</v>
      </c>
      <c r="C281" t="s">
        <v>4</v>
      </c>
      <c r="D281" s="3">
        <f t="shared" si="28"/>
        <v>71</v>
      </c>
      <c r="E281" s="4">
        <f t="shared" si="29"/>
        <v>11</v>
      </c>
      <c r="F281" s="4">
        <f t="shared" si="30"/>
        <v>19</v>
      </c>
      <c r="G281" s="3">
        <f>IF(E281&gt;=20,2000,1900) + D281</f>
        <v>1971</v>
      </c>
      <c r="H281">
        <f t="shared" si="31"/>
        <v>11</v>
      </c>
      <c r="I281" s="4">
        <f t="shared" si="32"/>
        <v>19</v>
      </c>
      <c r="J281">
        <f t="shared" si="33"/>
        <v>19711119</v>
      </c>
      <c r="K281">
        <f t="shared" si="34"/>
        <v>20</v>
      </c>
    </row>
    <row r="282" spans="1:11" x14ac:dyDescent="0.25">
      <c r="A282" s="4" t="s">
        <v>308</v>
      </c>
      <c r="B282" t="s">
        <v>16</v>
      </c>
      <c r="C282" t="s">
        <v>4</v>
      </c>
      <c r="D282" s="3">
        <f t="shared" si="28"/>
        <v>77</v>
      </c>
      <c r="E282" s="4">
        <f t="shared" si="29"/>
        <v>4</v>
      </c>
      <c r="F282" s="4">
        <f t="shared" si="30"/>
        <v>18</v>
      </c>
      <c r="G282" s="3">
        <f>IF(E282&gt;=20,2000,1900) + D282</f>
        <v>1977</v>
      </c>
      <c r="H282">
        <f t="shared" si="31"/>
        <v>4</v>
      </c>
      <c r="I282" s="4">
        <f t="shared" si="32"/>
        <v>18</v>
      </c>
      <c r="J282">
        <f t="shared" si="33"/>
        <v>19770418</v>
      </c>
      <c r="K282">
        <f t="shared" si="34"/>
        <v>20</v>
      </c>
    </row>
    <row r="283" spans="1:11" x14ac:dyDescent="0.25">
      <c r="A283" s="4" t="s">
        <v>309</v>
      </c>
      <c r="B283" t="s">
        <v>16</v>
      </c>
      <c r="C283" t="s">
        <v>6</v>
      </c>
      <c r="D283" s="3">
        <f t="shared" si="28"/>
        <v>61</v>
      </c>
      <c r="E283" s="4">
        <f t="shared" si="29"/>
        <v>8</v>
      </c>
      <c r="F283" s="4">
        <f t="shared" si="30"/>
        <v>24</v>
      </c>
      <c r="G283" s="3">
        <f>IF(E283&gt;=20,2000,1900) + D283</f>
        <v>1961</v>
      </c>
      <c r="H283">
        <f t="shared" si="31"/>
        <v>8</v>
      </c>
      <c r="I283" s="4">
        <f t="shared" si="32"/>
        <v>24</v>
      </c>
      <c r="J283">
        <f t="shared" si="33"/>
        <v>19610824</v>
      </c>
      <c r="K283">
        <f t="shared" si="34"/>
        <v>20</v>
      </c>
    </row>
    <row r="284" spans="1:11" x14ac:dyDescent="0.25">
      <c r="A284" s="4" t="s">
        <v>310</v>
      </c>
      <c r="B284" t="s">
        <v>13</v>
      </c>
      <c r="C284" t="s">
        <v>4</v>
      </c>
      <c r="D284" s="3">
        <f t="shared" si="28"/>
        <v>53</v>
      </c>
      <c r="E284" s="4">
        <f t="shared" si="29"/>
        <v>8</v>
      </c>
      <c r="F284" s="4">
        <f t="shared" si="30"/>
        <v>3</v>
      </c>
      <c r="G284" s="3">
        <f>IF(E284&gt;=20,2000,1900) + D284</f>
        <v>1953</v>
      </c>
      <c r="H284">
        <f t="shared" si="31"/>
        <v>8</v>
      </c>
      <c r="I284" s="4">
        <f t="shared" si="32"/>
        <v>3</v>
      </c>
      <c r="J284">
        <f t="shared" si="33"/>
        <v>19530803</v>
      </c>
      <c r="K284">
        <f t="shared" si="34"/>
        <v>20</v>
      </c>
    </row>
    <row r="285" spans="1:11" x14ac:dyDescent="0.25">
      <c r="A285" s="4" t="s">
        <v>311</v>
      </c>
      <c r="B285" t="s">
        <v>20</v>
      </c>
      <c r="C285" t="s">
        <v>6</v>
      </c>
      <c r="D285" s="3">
        <f t="shared" si="28"/>
        <v>81</v>
      </c>
      <c r="E285" s="4">
        <f t="shared" si="29"/>
        <v>9</v>
      </c>
      <c r="F285" s="4">
        <f t="shared" si="30"/>
        <v>21</v>
      </c>
      <c r="G285" s="3">
        <f>IF(E285&gt;=20,2000,1900) + D285</f>
        <v>1981</v>
      </c>
      <c r="H285">
        <f t="shared" si="31"/>
        <v>9</v>
      </c>
      <c r="I285" s="4">
        <f t="shared" si="32"/>
        <v>21</v>
      </c>
      <c r="J285">
        <f t="shared" si="33"/>
        <v>19810921</v>
      </c>
      <c r="K285">
        <f t="shared" si="34"/>
        <v>20</v>
      </c>
    </row>
    <row r="286" spans="1:11" x14ac:dyDescent="0.25">
      <c r="A286" s="4" t="s">
        <v>312</v>
      </c>
      <c r="B286" t="s">
        <v>13</v>
      </c>
      <c r="C286" t="s">
        <v>4</v>
      </c>
      <c r="D286" s="3">
        <f t="shared" si="28"/>
        <v>83</v>
      </c>
      <c r="E286" s="4">
        <f t="shared" si="29"/>
        <v>10</v>
      </c>
      <c r="F286" s="4">
        <f t="shared" si="30"/>
        <v>20</v>
      </c>
      <c r="G286" s="3">
        <f>IF(E286&gt;=20,2000,1900) + D286</f>
        <v>1983</v>
      </c>
      <c r="H286">
        <f t="shared" si="31"/>
        <v>10</v>
      </c>
      <c r="I286" s="4">
        <f t="shared" si="32"/>
        <v>20</v>
      </c>
      <c r="J286">
        <f t="shared" si="33"/>
        <v>19831020</v>
      </c>
      <c r="K286">
        <f t="shared" si="34"/>
        <v>20</v>
      </c>
    </row>
    <row r="287" spans="1:11" x14ac:dyDescent="0.25">
      <c r="A287" s="4" t="s">
        <v>313</v>
      </c>
      <c r="B287" t="s">
        <v>10</v>
      </c>
      <c r="C287" t="s">
        <v>6</v>
      </c>
      <c r="D287" s="3">
        <f t="shared" si="28"/>
        <v>57</v>
      </c>
      <c r="E287" s="4">
        <f t="shared" si="29"/>
        <v>8</v>
      </c>
      <c r="F287" s="4">
        <f t="shared" si="30"/>
        <v>7</v>
      </c>
      <c r="G287" s="3">
        <f>IF(E287&gt;=20,2000,1900) + D287</f>
        <v>1957</v>
      </c>
      <c r="H287">
        <f t="shared" si="31"/>
        <v>8</v>
      </c>
      <c r="I287" s="4">
        <f t="shared" si="32"/>
        <v>7</v>
      </c>
      <c r="J287">
        <f t="shared" si="33"/>
        <v>19570807</v>
      </c>
      <c r="K287">
        <f t="shared" si="34"/>
        <v>20</v>
      </c>
    </row>
    <row r="288" spans="1:11" x14ac:dyDescent="0.25">
      <c r="A288" s="4" t="s">
        <v>314</v>
      </c>
      <c r="B288" t="s">
        <v>17</v>
      </c>
      <c r="C288" t="s">
        <v>4</v>
      </c>
      <c r="D288" s="3">
        <f t="shared" si="28"/>
        <v>96</v>
      </c>
      <c r="E288" s="4">
        <f t="shared" si="29"/>
        <v>9</v>
      </c>
      <c r="F288" s="4">
        <f t="shared" si="30"/>
        <v>28</v>
      </c>
      <c r="G288" s="3">
        <f>IF(E288&gt;=20,2000,1900) + D288</f>
        <v>1996</v>
      </c>
      <c r="H288">
        <f t="shared" si="31"/>
        <v>9</v>
      </c>
      <c r="I288" s="4">
        <f t="shared" si="32"/>
        <v>28</v>
      </c>
      <c r="J288">
        <f t="shared" si="33"/>
        <v>19960928</v>
      </c>
      <c r="K288">
        <f t="shared" si="34"/>
        <v>20</v>
      </c>
    </row>
    <row r="289" spans="1:11" x14ac:dyDescent="0.25">
      <c r="A289" s="4" t="s">
        <v>315</v>
      </c>
      <c r="B289" t="s">
        <v>18</v>
      </c>
      <c r="C289" t="s">
        <v>4</v>
      </c>
      <c r="D289" s="3">
        <f t="shared" si="28"/>
        <v>61</v>
      </c>
      <c r="E289" s="4">
        <f t="shared" si="29"/>
        <v>4</v>
      </c>
      <c r="F289" s="4">
        <f t="shared" si="30"/>
        <v>8</v>
      </c>
      <c r="G289" s="3">
        <f>IF(E289&gt;=20,2000,1900) + D289</f>
        <v>1961</v>
      </c>
      <c r="H289">
        <f t="shared" si="31"/>
        <v>4</v>
      </c>
      <c r="I289" s="4">
        <f t="shared" si="32"/>
        <v>8</v>
      </c>
      <c r="J289">
        <f t="shared" si="33"/>
        <v>19610408</v>
      </c>
      <c r="K289">
        <f t="shared" si="34"/>
        <v>20</v>
      </c>
    </row>
    <row r="290" spans="1:11" x14ac:dyDescent="0.25">
      <c r="A290" s="4" t="s">
        <v>316</v>
      </c>
      <c r="B290" t="s">
        <v>13</v>
      </c>
      <c r="C290" t="s">
        <v>6</v>
      </c>
      <c r="D290" s="3">
        <f t="shared" si="28"/>
        <v>56</v>
      </c>
      <c r="E290" s="4">
        <f t="shared" si="29"/>
        <v>11</v>
      </c>
      <c r="F290" s="4">
        <f t="shared" si="30"/>
        <v>24</v>
      </c>
      <c r="G290" s="3">
        <f>IF(E290&gt;=20,2000,1900) + D290</f>
        <v>1956</v>
      </c>
      <c r="H290">
        <f t="shared" si="31"/>
        <v>11</v>
      </c>
      <c r="I290" s="4">
        <f t="shared" si="32"/>
        <v>24</v>
      </c>
      <c r="J290">
        <f t="shared" si="33"/>
        <v>19561124</v>
      </c>
      <c r="K290">
        <f t="shared" si="34"/>
        <v>20</v>
      </c>
    </row>
    <row r="291" spans="1:11" x14ac:dyDescent="0.25">
      <c r="A291" s="4" t="s">
        <v>317</v>
      </c>
      <c r="B291" t="s">
        <v>7</v>
      </c>
      <c r="C291" t="s">
        <v>6</v>
      </c>
      <c r="D291" s="3">
        <f t="shared" si="28"/>
        <v>73</v>
      </c>
      <c r="E291" s="4">
        <f t="shared" si="29"/>
        <v>3</v>
      </c>
      <c r="F291" s="4">
        <f t="shared" si="30"/>
        <v>31</v>
      </c>
      <c r="G291" s="3">
        <f>IF(E291&gt;=20,2000,1900) + D291</f>
        <v>1973</v>
      </c>
      <c r="H291">
        <f t="shared" si="31"/>
        <v>3</v>
      </c>
      <c r="I291" s="4">
        <f t="shared" si="32"/>
        <v>31</v>
      </c>
      <c r="J291">
        <f t="shared" si="33"/>
        <v>19730331</v>
      </c>
      <c r="K291">
        <f t="shared" si="34"/>
        <v>20</v>
      </c>
    </row>
    <row r="292" spans="1:11" x14ac:dyDescent="0.25">
      <c r="A292" s="4" t="s">
        <v>318</v>
      </c>
      <c r="B292" t="s">
        <v>16</v>
      </c>
      <c r="C292" t="s">
        <v>4</v>
      </c>
      <c r="D292" s="3">
        <f t="shared" si="28"/>
        <v>59</v>
      </c>
      <c r="E292" s="4">
        <f t="shared" si="29"/>
        <v>7</v>
      </c>
      <c r="F292" s="4">
        <f t="shared" si="30"/>
        <v>11</v>
      </c>
      <c r="G292" s="3">
        <f>IF(E292&gt;=20,2000,1900) + D292</f>
        <v>1959</v>
      </c>
      <c r="H292">
        <f t="shared" si="31"/>
        <v>7</v>
      </c>
      <c r="I292" s="4">
        <f t="shared" si="32"/>
        <v>11</v>
      </c>
      <c r="J292">
        <f t="shared" si="33"/>
        <v>19590711</v>
      </c>
      <c r="K292">
        <f t="shared" si="34"/>
        <v>20</v>
      </c>
    </row>
    <row r="293" spans="1:11" x14ac:dyDescent="0.25">
      <c r="A293" s="4" t="s">
        <v>319</v>
      </c>
      <c r="B293" t="s">
        <v>11</v>
      </c>
      <c r="C293" t="s">
        <v>6</v>
      </c>
      <c r="D293" s="3">
        <f t="shared" si="28"/>
        <v>53</v>
      </c>
      <c r="E293" s="4">
        <f t="shared" si="29"/>
        <v>6</v>
      </c>
      <c r="F293" s="4">
        <f t="shared" si="30"/>
        <v>26</v>
      </c>
      <c r="G293" s="3">
        <f>IF(E293&gt;=20,2000,1900) + D293</f>
        <v>1953</v>
      </c>
      <c r="H293">
        <f t="shared" si="31"/>
        <v>6</v>
      </c>
      <c r="I293" s="4">
        <f t="shared" si="32"/>
        <v>26</v>
      </c>
      <c r="J293">
        <f t="shared" si="33"/>
        <v>19530626</v>
      </c>
      <c r="K293">
        <f t="shared" si="34"/>
        <v>20</v>
      </c>
    </row>
    <row r="294" spans="1:11" x14ac:dyDescent="0.25">
      <c r="A294" s="4" t="s">
        <v>320</v>
      </c>
      <c r="B294" t="s">
        <v>5</v>
      </c>
      <c r="C294" t="s">
        <v>6</v>
      </c>
      <c r="D294" s="3">
        <f t="shared" si="28"/>
        <v>94</v>
      </c>
      <c r="E294" s="4">
        <f t="shared" si="29"/>
        <v>9</v>
      </c>
      <c r="F294" s="4">
        <f t="shared" si="30"/>
        <v>17</v>
      </c>
      <c r="G294" s="3">
        <f>IF(E294&gt;=20,2000,1900) + D294</f>
        <v>1994</v>
      </c>
      <c r="H294">
        <f t="shared" si="31"/>
        <v>9</v>
      </c>
      <c r="I294" s="4">
        <f t="shared" si="32"/>
        <v>17</v>
      </c>
      <c r="J294">
        <f t="shared" si="33"/>
        <v>19940917</v>
      </c>
      <c r="K294">
        <f t="shared" si="34"/>
        <v>20</v>
      </c>
    </row>
    <row r="295" spans="1:11" x14ac:dyDescent="0.25">
      <c r="A295" s="4" t="s">
        <v>321</v>
      </c>
      <c r="B295" t="s">
        <v>18</v>
      </c>
      <c r="C295" t="s">
        <v>6</v>
      </c>
      <c r="D295" s="3">
        <f t="shared" si="28"/>
        <v>66</v>
      </c>
      <c r="E295" s="4">
        <f t="shared" si="29"/>
        <v>8</v>
      </c>
      <c r="F295" s="4">
        <f t="shared" si="30"/>
        <v>24</v>
      </c>
      <c r="G295" s="3">
        <f>IF(E295&gt;=20,2000,1900) + D295</f>
        <v>1966</v>
      </c>
      <c r="H295">
        <f t="shared" si="31"/>
        <v>8</v>
      </c>
      <c r="I295" s="4">
        <f t="shared" si="32"/>
        <v>24</v>
      </c>
      <c r="J295">
        <f t="shared" si="33"/>
        <v>19660824</v>
      </c>
      <c r="K295">
        <f t="shared" si="34"/>
        <v>20</v>
      </c>
    </row>
    <row r="296" spans="1:11" x14ac:dyDescent="0.25">
      <c r="A296" s="4" t="s">
        <v>322</v>
      </c>
      <c r="B296" t="s">
        <v>18</v>
      </c>
      <c r="C296" t="s">
        <v>4</v>
      </c>
      <c r="D296" s="3">
        <f t="shared" si="28"/>
        <v>70</v>
      </c>
      <c r="E296" s="4">
        <f t="shared" si="29"/>
        <v>12</v>
      </c>
      <c r="F296" s="4">
        <f t="shared" si="30"/>
        <v>4</v>
      </c>
      <c r="G296" s="3">
        <f>IF(E296&gt;=20,2000,1900) + D296</f>
        <v>1970</v>
      </c>
      <c r="H296">
        <f t="shared" si="31"/>
        <v>12</v>
      </c>
      <c r="I296" s="4">
        <f t="shared" si="32"/>
        <v>4</v>
      </c>
      <c r="J296">
        <f t="shared" si="33"/>
        <v>19701204</v>
      </c>
      <c r="K296">
        <f t="shared" si="34"/>
        <v>20</v>
      </c>
    </row>
    <row r="297" spans="1:11" x14ac:dyDescent="0.25">
      <c r="A297" s="4" t="s">
        <v>323</v>
      </c>
      <c r="B297" t="s">
        <v>17</v>
      </c>
      <c r="C297" t="s">
        <v>6</v>
      </c>
      <c r="D297" s="3">
        <f t="shared" si="28"/>
        <v>99</v>
      </c>
      <c r="E297" s="4">
        <f t="shared" si="29"/>
        <v>7</v>
      </c>
      <c r="F297" s="4">
        <f t="shared" si="30"/>
        <v>23</v>
      </c>
      <c r="G297" s="3">
        <f>IF(E297&gt;=20,2000,1900) + D297</f>
        <v>1999</v>
      </c>
      <c r="H297">
        <f t="shared" si="31"/>
        <v>7</v>
      </c>
      <c r="I297" s="4">
        <f t="shared" si="32"/>
        <v>23</v>
      </c>
      <c r="J297">
        <f t="shared" si="33"/>
        <v>19990723</v>
      </c>
      <c r="K297">
        <f t="shared" si="34"/>
        <v>20</v>
      </c>
    </row>
    <row r="298" spans="1:11" x14ac:dyDescent="0.25">
      <c r="A298" s="4" t="s">
        <v>324</v>
      </c>
      <c r="B298" t="s">
        <v>17</v>
      </c>
      <c r="C298" t="s">
        <v>4</v>
      </c>
      <c r="D298" s="3">
        <f t="shared" si="28"/>
        <v>52</v>
      </c>
      <c r="E298" s="4">
        <f t="shared" si="29"/>
        <v>3</v>
      </c>
      <c r="F298" s="4">
        <f t="shared" si="30"/>
        <v>21</v>
      </c>
      <c r="G298" s="3">
        <f>IF(E298&gt;=20,2000,1900) + D298</f>
        <v>1952</v>
      </c>
      <c r="H298">
        <f t="shared" si="31"/>
        <v>3</v>
      </c>
      <c r="I298" s="4">
        <f t="shared" si="32"/>
        <v>21</v>
      </c>
      <c r="J298">
        <f t="shared" si="33"/>
        <v>19520321</v>
      </c>
      <c r="K298">
        <f t="shared" si="34"/>
        <v>20</v>
      </c>
    </row>
    <row r="299" spans="1:11" x14ac:dyDescent="0.25">
      <c r="A299" s="4" t="s">
        <v>325</v>
      </c>
      <c r="B299" t="s">
        <v>3</v>
      </c>
      <c r="C299" t="s">
        <v>6</v>
      </c>
      <c r="D299" s="3">
        <f t="shared" si="28"/>
        <v>89</v>
      </c>
      <c r="E299" s="4">
        <f t="shared" si="29"/>
        <v>10</v>
      </c>
      <c r="F299" s="4">
        <f t="shared" si="30"/>
        <v>11</v>
      </c>
      <c r="G299" s="3">
        <f>IF(E299&gt;=20,2000,1900) + D299</f>
        <v>1989</v>
      </c>
      <c r="H299">
        <f t="shared" si="31"/>
        <v>10</v>
      </c>
      <c r="I299" s="4">
        <f t="shared" si="32"/>
        <v>11</v>
      </c>
      <c r="J299">
        <f t="shared" si="33"/>
        <v>19891011</v>
      </c>
      <c r="K299">
        <f t="shared" si="34"/>
        <v>20</v>
      </c>
    </row>
    <row r="300" spans="1:11" x14ac:dyDescent="0.25">
      <c r="A300" s="4" t="s">
        <v>326</v>
      </c>
      <c r="B300" t="s">
        <v>14</v>
      </c>
      <c r="C300" t="s">
        <v>6</v>
      </c>
      <c r="D300" s="3">
        <f t="shared" si="28"/>
        <v>79</v>
      </c>
      <c r="E300" s="4">
        <f t="shared" si="29"/>
        <v>8</v>
      </c>
      <c r="F300" s="4">
        <f t="shared" si="30"/>
        <v>30</v>
      </c>
      <c r="G300" s="3">
        <f>IF(E300&gt;=20,2000,1900) + D300</f>
        <v>1979</v>
      </c>
      <c r="H300">
        <f t="shared" si="31"/>
        <v>8</v>
      </c>
      <c r="I300" s="4">
        <f t="shared" si="32"/>
        <v>30</v>
      </c>
      <c r="J300">
        <f t="shared" si="33"/>
        <v>19790830</v>
      </c>
      <c r="K300">
        <f t="shared" si="34"/>
        <v>20</v>
      </c>
    </row>
    <row r="301" spans="1:11" x14ac:dyDescent="0.25">
      <c r="A301" s="4" t="s">
        <v>327</v>
      </c>
      <c r="B301" t="s">
        <v>5</v>
      </c>
      <c r="C301" t="s">
        <v>4</v>
      </c>
      <c r="D301" s="3">
        <f t="shared" si="28"/>
        <v>93</v>
      </c>
      <c r="E301" s="4">
        <f t="shared" si="29"/>
        <v>2</v>
      </c>
      <c r="F301" s="4">
        <f t="shared" si="30"/>
        <v>15</v>
      </c>
      <c r="G301" s="3">
        <f>IF(E301&gt;=20,2000,1900) + D301</f>
        <v>1993</v>
      </c>
      <c r="H301">
        <f t="shared" si="31"/>
        <v>2</v>
      </c>
      <c r="I301" s="4">
        <f t="shared" si="32"/>
        <v>15</v>
      </c>
      <c r="J301">
        <f t="shared" si="33"/>
        <v>19930215</v>
      </c>
      <c r="K301">
        <f t="shared" si="34"/>
        <v>20</v>
      </c>
    </row>
    <row r="302" spans="1:11" x14ac:dyDescent="0.25">
      <c r="A302" s="4" t="s">
        <v>328</v>
      </c>
      <c r="B302" t="s">
        <v>17</v>
      </c>
      <c r="C302" t="s">
        <v>4</v>
      </c>
      <c r="D302" s="3">
        <f t="shared" si="28"/>
        <v>92</v>
      </c>
      <c r="E302" s="4">
        <f t="shared" si="29"/>
        <v>11</v>
      </c>
      <c r="F302" s="4">
        <f t="shared" si="30"/>
        <v>24</v>
      </c>
      <c r="G302" s="3">
        <f>IF(E302&gt;=20,2000,1900) + D302</f>
        <v>1992</v>
      </c>
      <c r="H302">
        <f t="shared" si="31"/>
        <v>11</v>
      </c>
      <c r="I302" s="4">
        <f t="shared" si="32"/>
        <v>24</v>
      </c>
      <c r="J302">
        <f t="shared" si="33"/>
        <v>19921124</v>
      </c>
      <c r="K302">
        <f t="shared" si="34"/>
        <v>20</v>
      </c>
    </row>
    <row r="303" spans="1:11" x14ac:dyDescent="0.25">
      <c r="A303" s="4" t="s">
        <v>329</v>
      </c>
      <c r="B303" t="s">
        <v>20</v>
      </c>
      <c r="C303" t="s">
        <v>6</v>
      </c>
      <c r="D303" s="3">
        <f t="shared" si="28"/>
        <v>51</v>
      </c>
      <c r="E303" s="4">
        <f t="shared" si="29"/>
        <v>12</v>
      </c>
      <c r="F303" s="4">
        <f t="shared" si="30"/>
        <v>11</v>
      </c>
      <c r="G303" s="3">
        <f>IF(E303&gt;=20,2000,1900) + D303</f>
        <v>1951</v>
      </c>
      <c r="H303">
        <f t="shared" si="31"/>
        <v>12</v>
      </c>
      <c r="I303" s="4">
        <f t="shared" si="32"/>
        <v>11</v>
      </c>
      <c r="J303">
        <f t="shared" si="33"/>
        <v>19511211</v>
      </c>
      <c r="K303">
        <f t="shared" si="34"/>
        <v>20</v>
      </c>
    </row>
    <row r="304" spans="1:11" x14ac:dyDescent="0.25">
      <c r="A304" s="4" t="s">
        <v>330</v>
      </c>
      <c r="B304" t="s">
        <v>15</v>
      </c>
      <c r="C304" t="s">
        <v>6</v>
      </c>
      <c r="D304" s="3">
        <f t="shared" si="28"/>
        <v>85</v>
      </c>
      <c r="E304" s="4">
        <f t="shared" si="29"/>
        <v>11</v>
      </c>
      <c r="F304" s="4">
        <f t="shared" si="30"/>
        <v>14</v>
      </c>
      <c r="G304" s="3">
        <f>IF(E304&gt;=20,2000,1900) + D304</f>
        <v>1985</v>
      </c>
      <c r="H304">
        <f t="shared" si="31"/>
        <v>11</v>
      </c>
      <c r="I304" s="4">
        <f t="shared" si="32"/>
        <v>14</v>
      </c>
      <c r="J304">
        <f t="shared" si="33"/>
        <v>19851114</v>
      </c>
      <c r="K304">
        <f t="shared" si="34"/>
        <v>20</v>
      </c>
    </row>
    <row r="305" spans="1:11" x14ac:dyDescent="0.25">
      <c r="A305" s="4" t="s">
        <v>331</v>
      </c>
      <c r="B305" t="s">
        <v>20</v>
      </c>
      <c r="C305" t="s">
        <v>4</v>
      </c>
      <c r="D305" s="3">
        <f t="shared" si="28"/>
        <v>98</v>
      </c>
      <c r="E305" s="4">
        <f t="shared" si="29"/>
        <v>1</v>
      </c>
      <c r="F305" s="4">
        <f t="shared" si="30"/>
        <v>20</v>
      </c>
      <c r="G305" s="3">
        <f>IF(E305&gt;=20,2000,1900) + D305</f>
        <v>1998</v>
      </c>
      <c r="H305">
        <f t="shared" si="31"/>
        <v>1</v>
      </c>
      <c r="I305" s="4">
        <f t="shared" si="32"/>
        <v>20</v>
      </c>
      <c r="J305">
        <f t="shared" si="33"/>
        <v>19980120</v>
      </c>
      <c r="K305">
        <f t="shared" si="34"/>
        <v>20</v>
      </c>
    </row>
    <row r="306" spans="1:11" x14ac:dyDescent="0.25">
      <c r="A306" s="4" t="s">
        <v>332</v>
      </c>
      <c r="B306" t="s">
        <v>15</v>
      </c>
      <c r="C306" t="s">
        <v>4</v>
      </c>
      <c r="D306" s="3">
        <f t="shared" si="28"/>
        <v>72</v>
      </c>
      <c r="E306" s="4">
        <f t="shared" si="29"/>
        <v>7</v>
      </c>
      <c r="F306" s="4">
        <f t="shared" si="30"/>
        <v>10</v>
      </c>
      <c r="G306" s="3">
        <f>IF(E306&gt;=20,2000,1900) + D306</f>
        <v>1972</v>
      </c>
      <c r="H306">
        <f t="shared" si="31"/>
        <v>7</v>
      </c>
      <c r="I306" s="4">
        <f t="shared" si="32"/>
        <v>10</v>
      </c>
      <c r="J306">
        <f t="shared" si="33"/>
        <v>19720710</v>
      </c>
      <c r="K306">
        <f t="shared" si="34"/>
        <v>20</v>
      </c>
    </row>
    <row r="307" spans="1:11" x14ac:dyDescent="0.25">
      <c r="A307" s="4" t="s">
        <v>333</v>
      </c>
      <c r="B307" t="s">
        <v>10</v>
      </c>
      <c r="C307" t="s">
        <v>4</v>
      </c>
      <c r="D307" s="3">
        <f t="shared" si="28"/>
        <v>69</v>
      </c>
      <c r="E307" s="4">
        <f t="shared" si="29"/>
        <v>4</v>
      </c>
      <c r="F307" s="4">
        <f t="shared" si="30"/>
        <v>9</v>
      </c>
      <c r="G307" s="3">
        <f>IF(E307&gt;=20,2000,1900) + D307</f>
        <v>1969</v>
      </c>
      <c r="H307">
        <f t="shared" si="31"/>
        <v>4</v>
      </c>
      <c r="I307" s="4">
        <f t="shared" si="32"/>
        <v>9</v>
      </c>
      <c r="J307">
        <f t="shared" si="33"/>
        <v>19690409</v>
      </c>
      <c r="K307">
        <f t="shared" si="34"/>
        <v>20</v>
      </c>
    </row>
    <row r="308" spans="1:11" x14ac:dyDescent="0.25">
      <c r="A308" s="4" t="s">
        <v>334</v>
      </c>
      <c r="B308" t="s">
        <v>5</v>
      </c>
      <c r="C308" t="s">
        <v>4</v>
      </c>
      <c r="D308" s="3">
        <f t="shared" si="28"/>
        <v>69</v>
      </c>
      <c r="E308" s="4">
        <f t="shared" si="29"/>
        <v>9</v>
      </c>
      <c r="F308" s="4">
        <f t="shared" si="30"/>
        <v>4</v>
      </c>
      <c r="G308" s="3">
        <f>IF(E308&gt;=20,2000,1900) + D308</f>
        <v>1969</v>
      </c>
      <c r="H308">
        <f t="shared" si="31"/>
        <v>9</v>
      </c>
      <c r="I308" s="4">
        <f t="shared" si="32"/>
        <v>4</v>
      </c>
      <c r="J308">
        <f t="shared" si="33"/>
        <v>19690904</v>
      </c>
      <c r="K308">
        <f t="shared" si="34"/>
        <v>20</v>
      </c>
    </row>
    <row r="309" spans="1:11" x14ac:dyDescent="0.25">
      <c r="A309" s="4" t="s">
        <v>335</v>
      </c>
      <c r="B309" t="s">
        <v>19</v>
      </c>
      <c r="C309" t="s">
        <v>4</v>
      </c>
      <c r="D309" s="3">
        <f t="shared" si="28"/>
        <v>50</v>
      </c>
      <c r="E309" s="4">
        <f t="shared" si="29"/>
        <v>6</v>
      </c>
      <c r="F309" s="4">
        <f t="shared" si="30"/>
        <v>21</v>
      </c>
      <c r="G309" s="3">
        <f>IF(E309&gt;=20,2000,1900) + D309</f>
        <v>1950</v>
      </c>
      <c r="H309">
        <f t="shared" si="31"/>
        <v>6</v>
      </c>
      <c r="I309" s="4">
        <f t="shared" si="32"/>
        <v>21</v>
      </c>
      <c r="J309">
        <f t="shared" si="33"/>
        <v>19500621</v>
      </c>
      <c r="K309">
        <f t="shared" si="34"/>
        <v>20</v>
      </c>
    </row>
    <row r="310" spans="1:11" x14ac:dyDescent="0.25">
      <c r="A310" s="4" t="s">
        <v>336</v>
      </c>
      <c r="B310" t="s">
        <v>14</v>
      </c>
      <c r="C310" t="s">
        <v>6</v>
      </c>
      <c r="D310" s="3">
        <f t="shared" si="28"/>
        <v>96</v>
      </c>
      <c r="E310" s="4">
        <f t="shared" si="29"/>
        <v>12</v>
      </c>
      <c r="F310" s="4">
        <f t="shared" si="30"/>
        <v>30</v>
      </c>
      <c r="G310" s="3">
        <f>IF(E310&gt;=20,2000,1900) + D310</f>
        <v>1996</v>
      </c>
      <c r="H310">
        <f t="shared" si="31"/>
        <v>12</v>
      </c>
      <c r="I310" s="4">
        <f t="shared" si="32"/>
        <v>30</v>
      </c>
      <c r="J310">
        <f t="shared" si="33"/>
        <v>19961230</v>
      </c>
      <c r="K310">
        <f t="shared" si="34"/>
        <v>20</v>
      </c>
    </row>
    <row r="311" spans="1:11" x14ac:dyDescent="0.25">
      <c r="A311" s="4" t="s">
        <v>337</v>
      </c>
      <c r="B311" t="s">
        <v>11</v>
      </c>
      <c r="C311" t="s">
        <v>4</v>
      </c>
      <c r="D311" s="3">
        <f t="shared" si="28"/>
        <v>50</v>
      </c>
      <c r="E311" s="4">
        <f t="shared" si="29"/>
        <v>4</v>
      </c>
      <c r="F311" s="4">
        <f t="shared" si="30"/>
        <v>7</v>
      </c>
      <c r="G311" s="3">
        <f>IF(E311&gt;=20,2000,1900) + D311</f>
        <v>1950</v>
      </c>
      <c r="H311">
        <f t="shared" si="31"/>
        <v>4</v>
      </c>
      <c r="I311" s="4">
        <f t="shared" si="32"/>
        <v>7</v>
      </c>
      <c r="J311">
        <f t="shared" si="33"/>
        <v>19500407</v>
      </c>
      <c r="K311">
        <f t="shared" si="34"/>
        <v>20</v>
      </c>
    </row>
    <row r="312" spans="1:11" x14ac:dyDescent="0.25">
      <c r="A312" s="4" t="s">
        <v>338</v>
      </c>
      <c r="B312" t="s">
        <v>19</v>
      </c>
      <c r="C312" t="s">
        <v>4</v>
      </c>
      <c r="D312" s="3">
        <f t="shared" si="28"/>
        <v>86</v>
      </c>
      <c r="E312" s="4">
        <f t="shared" si="29"/>
        <v>6</v>
      </c>
      <c r="F312" s="4">
        <f t="shared" si="30"/>
        <v>30</v>
      </c>
      <c r="G312" s="3">
        <f>IF(E312&gt;=20,2000,1900) + D312</f>
        <v>1986</v>
      </c>
      <c r="H312">
        <f t="shared" si="31"/>
        <v>6</v>
      </c>
      <c r="I312" s="4">
        <f t="shared" si="32"/>
        <v>30</v>
      </c>
      <c r="J312">
        <f t="shared" si="33"/>
        <v>19860630</v>
      </c>
      <c r="K312">
        <f t="shared" si="34"/>
        <v>20</v>
      </c>
    </row>
    <row r="313" spans="1:11" x14ac:dyDescent="0.25">
      <c r="A313" s="4" t="s">
        <v>339</v>
      </c>
      <c r="B313" t="s">
        <v>17</v>
      </c>
      <c r="C313" t="s">
        <v>4</v>
      </c>
      <c r="D313" s="3">
        <f t="shared" si="28"/>
        <v>64</v>
      </c>
      <c r="E313" s="4">
        <f t="shared" si="29"/>
        <v>7</v>
      </c>
      <c r="F313" s="4">
        <f t="shared" si="30"/>
        <v>5</v>
      </c>
      <c r="G313" s="3">
        <f>IF(E313&gt;=20,2000,1900) + D313</f>
        <v>1964</v>
      </c>
      <c r="H313">
        <f t="shared" si="31"/>
        <v>7</v>
      </c>
      <c r="I313" s="4">
        <f t="shared" si="32"/>
        <v>5</v>
      </c>
      <c r="J313">
        <f t="shared" si="33"/>
        <v>19640705</v>
      </c>
      <c r="K313">
        <f t="shared" si="34"/>
        <v>20</v>
      </c>
    </row>
    <row r="314" spans="1:11" x14ac:dyDescent="0.25">
      <c r="A314" s="4" t="s">
        <v>340</v>
      </c>
      <c r="B314" t="s">
        <v>12</v>
      </c>
      <c r="C314" t="s">
        <v>4</v>
      </c>
      <c r="D314" s="3">
        <f t="shared" si="28"/>
        <v>61</v>
      </c>
      <c r="E314" s="4">
        <f t="shared" si="29"/>
        <v>11</v>
      </c>
      <c r="F314" s="4">
        <f t="shared" si="30"/>
        <v>14</v>
      </c>
      <c r="G314" s="3">
        <f>IF(E314&gt;=20,2000,1900) + D314</f>
        <v>1961</v>
      </c>
      <c r="H314">
        <f t="shared" si="31"/>
        <v>11</v>
      </c>
      <c r="I314" s="4">
        <f t="shared" si="32"/>
        <v>14</v>
      </c>
      <c r="J314">
        <f t="shared" si="33"/>
        <v>19611114</v>
      </c>
      <c r="K314">
        <f t="shared" si="34"/>
        <v>20</v>
      </c>
    </row>
    <row r="315" spans="1:11" x14ac:dyDescent="0.25">
      <c r="A315" s="4" t="s">
        <v>341</v>
      </c>
      <c r="B315" t="s">
        <v>5</v>
      </c>
      <c r="C315" t="s">
        <v>6</v>
      </c>
      <c r="D315" s="3">
        <f t="shared" si="28"/>
        <v>55</v>
      </c>
      <c r="E315" s="4">
        <f t="shared" si="29"/>
        <v>8</v>
      </c>
      <c r="F315" s="4">
        <f t="shared" si="30"/>
        <v>14</v>
      </c>
      <c r="G315" s="3">
        <f>IF(E315&gt;=20,2000,1900) + D315</f>
        <v>1955</v>
      </c>
      <c r="H315">
        <f t="shared" si="31"/>
        <v>8</v>
      </c>
      <c r="I315" s="4">
        <f t="shared" si="32"/>
        <v>14</v>
      </c>
      <c r="J315">
        <f t="shared" si="33"/>
        <v>19550814</v>
      </c>
      <c r="K315">
        <f t="shared" si="34"/>
        <v>20</v>
      </c>
    </row>
    <row r="316" spans="1:11" x14ac:dyDescent="0.25">
      <c r="A316" s="4" t="s">
        <v>342</v>
      </c>
      <c r="B316" t="s">
        <v>5</v>
      </c>
      <c r="C316" t="s">
        <v>6</v>
      </c>
      <c r="D316" s="3">
        <f t="shared" si="28"/>
        <v>68</v>
      </c>
      <c r="E316" s="4">
        <f t="shared" si="29"/>
        <v>10</v>
      </c>
      <c r="F316" s="4">
        <f t="shared" si="30"/>
        <v>14</v>
      </c>
      <c r="G316" s="3">
        <f>IF(E316&gt;=20,2000,1900) + D316</f>
        <v>1968</v>
      </c>
      <c r="H316">
        <f t="shared" si="31"/>
        <v>10</v>
      </c>
      <c r="I316" s="4">
        <f t="shared" si="32"/>
        <v>14</v>
      </c>
      <c r="J316">
        <f t="shared" si="33"/>
        <v>19681014</v>
      </c>
      <c r="K316">
        <f t="shared" si="34"/>
        <v>20</v>
      </c>
    </row>
    <row r="317" spans="1:11" x14ac:dyDescent="0.25">
      <c r="A317" s="4" t="s">
        <v>343</v>
      </c>
      <c r="B317" t="s">
        <v>17</v>
      </c>
      <c r="C317" t="s">
        <v>6</v>
      </c>
      <c r="D317" s="3">
        <f t="shared" si="28"/>
        <v>96</v>
      </c>
      <c r="E317" s="4">
        <f t="shared" si="29"/>
        <v>7</v>
      </c>
      <c r="F317" s="4">
        <f t="shared" si="30"/>
        <v>21</v>
      </c>
      <c r="G317" s="3">
        <f>IF(E317&gt;=20,2000,1900) + D317</f>
        <v>1996</v>
      </c>
      <c r="H317">
        <f t="shared" si="31"/>
        <v>7</v>
      </c>
      <c r="I317" s="4">
        <f t="shared" si="32"/>
        <v>21</v>
      </c>
      <c r="J317">
        <f t="shared" si="33"/>
        <v>19960721</v>
      </c>
      <c r="K317">
        <f t="shared" si="34"/>
        <v>20</v>
      </c>
    </row>
    <row r="318" spans="1:11" x14ac:dyDescent="0.25">
      <c r="A318" s="4" t="s">
        <v>344</v>
      </c>
      <c r="B318" t="s">
        <v>8</v>
      </c>
      <c r="C318" t="s">
        <v>6</v>
      </c>
      <c r="D318" s="3">
        <f t="shared" si="28"/>
        <v>53</v>
      </c>
      <c r="E318" s="4">
        <f t="shared" si="29"/>
        <v>11</v>
      </c>
      <c r="F318" s="4">
        <f t="shared" si="30"/>
        <v>13</v>
      </c>
      <c r="G318" s="3">
        <f>IF(E318&gt;=20,2000,1900) + D318</f>
        <v>1953</v>
      </c>
      <c r="H318">
        <f t="shared" si="31"/>
        <v>11</v>
      </c>
      <c r="I318" s="4">
        <f t="shared" si="32"/>
        <v>13</v>
      </c>
      <c r="J318">
        <f t="shared" si="33"/>
        <v>19531113</v>
      </c>
      <c r="K318">
        <f t="shared" si="34"/>
        <v>20</v>
      </c>
    </row>
    <row r="319" spans="1:11" x14ac:dyDescent="0.25">
      <c r="A319" s="4" t="s">
        <v>345</v>
      </c>
      <c r="B319" t="s">
        <v>5</v>
      </c>
      <c r="C319" t="s">
        <v>6</v>
      </c>
      <c r="D319" s="3">
        <f t="shared" si="28"/>
        <v>66</v>
      </c>
      <c r="E319" s="4">
        <f t="shared" si="29"/>
        <v>5</v>
      </c>
      <c r="F319" s="4">
        <f t="shared" si="30"/>
        <v>4</v>
      </c>
      <c r="G319" s="3">
        <f>IF(E319&gt;=20,2000,1900) + D319</f>
        <v>1966</v>
      </c>
      <c r="H319">
        <f t="shared" si="31"/>
        <v>5</v>
      </c>
      <c r="I319" s="4">
        <f t="shared" si="32"/>
        <v>4</v>
      </c>
      <c r="J319">
        <f t="shared" si="33"/>
        <v>19660504</v>
      </c>
      <c r="K319">
        <f t="shared" si="34"/>
        <v>20</v>
      </c>
    </row>
    <row r="320" spans="1:11" x14ac:dyDescent="0.25">
      <c r="A320" s="4" t="s">
        <v>346</v>
      </c>
      <c r="B320" t="s">
        <v>8</v>
      </c>
      <c r="C320" t="s">
        <v>6</v>
      </c>
      <c r="D320" s="3">
        <f t="shared" si="28"/>
        <v>50</v>
      </c>
      <c r="E320" s="4">
        <f t="shared" si="29"/>
        <v>11</v>
      </c>
      <c r="F320" s="4">
        <f t="shared" si="30"/>
        <v>25</v>
      </c>
      <c r="G320" s="3">
        <f>IF(E320&gt;=20,2000,1900) + D320</f>
        <v>1950</v>
      </c>
      <c r="H320">
        <f t="shared" si="31"/>
        <v>11</v>
      </c>
      <c r="I320" s="4">
        <f t="shared" si="32"/>
        <v>25</v>
      </c>
      <c r="J320">
        <f t="shared" si="33"/>
        <v>19501125</v>
      </c>
      <c r="K320">
        <f t="shared" si="34"/>
        <v>20</v>
      </c>
    </row>
    <row r="321" spans="1:11" x14ac:dyDescent="0.25">
      <c r="A321" s="4" t="s">
        <v>347</v>
      </c>
      <c r="B321" t="s">
        <v>17</v>
      </c>
      <c r="C321" t="s">
        <v>4</v>
      </c>
      <c r="D321" s="3">
        <f t="shared" si="28"/>
        <v>66</v>
      </c>
      <c r="E321" s="4">
        <f t="shared" si="29"/>
        <v>4</v>
      </c>
      <c r="F321" s="4">
        <f t="shared" si="30"/>
        <v>15</v>
      </c>
      <c r="G321" s="3">
        <f>IF(E321&gt;=20,2000,1900) + D321</f>
        <v>1966</v>
      </c>
      <c r="H321">
        <f t="shared" si="31"/>
        <v>4</v>
      </c>
      <c r="I321" s="4">
        <f t="shared" si="32"/>
        <v>15</v>
      </c>
      <c r="J321">
        <f t="shared" si="33"/>
        <v>19660415</v>
      </c>
      <c r="K321">
        <f t="shared" si="34"/>
        <v>20</v>
      </c>
    </row>
    <row r="322" spans="1:11" x14ac:dyDescent="0.25">
      <c r="A322" s="4" t="s">
        <v>348</v>
      </c>
      <c r="B322" t="s">
        <v>9</v>
      </c>
      <c r="C322" t="s">
        <v>4</v>
      </c>
      <c r="D322" s="3">
        <f t="shared" si="28"/>
        <v>54</v>
      </c>
      <c r="E322" s="4">
        <f t="shared" si="29"/>
        <v>11</v>
      </c>
      <c r="F322" s="4">
        <f t="shared" si="30"/>
        <v>11</v>
      </c>
      <c r="G322" s="3">
        <f>IF(E322&gt;=20,2000,1900) + D322</f>
        <v>1954</v>
      </c>
      <c r="H322">
        <f t="shared" si="31"/>
        <v>11</v>
      </c>
      <c r="I322" s="4">
        <f t="shared" si="32"/>
        <v>11</v>
      </c>
      <c r="J322">
        <f t="shared" si="33"/>
        <v>19541111</v>
      </c>
      <c r="K322">
        <f t="shared" si="34"/>
        <v>20</v>
      </c>
    </row>
    <row r="323" spans="1:11" x14ac:dyDescent="0.25">
      <c r="A323" s="4" t="s">
        <v>349</v>
      </c>
      <c r="B323" t="s">
        <v>14</v>
      </c>
      <c r="C323" t="s">
        <v>6</v>
      </c>
      <c r="D323" s="3">
        <f t="shared" ref="D323:D386" si="35">MID(A323,1,2)*1</f>
        <v>56</v>
      </c>
      <c r="E323" s="4">
        <f t="shared" ref="E323:E386" si="36">MID(A323,3,2)*1</f>
        <v>4</v>
      </c>
      <c r="F323" s="4">
        <f t="shared" ref="F323:F386" si="37">MID(A323,5,2)*1</f>
        <v>2</v>
      </c>
      <c r="G323" s="3">
        <f>IF(E323&gt;=20,2000,1900) + D323</f>
        <v>1956</v>
      </c>
      <c r="H323">
        <f t="shared" ref="H323:H386" si="38">IF(E323&gt;=20,E323-20,E323)</f>
        <v>4</v>
      </c>
      <c r="I323" s="4">
        <f t="shared" ref="I323:I386" si="39">F323</f>
        <v>2</v>
      </c>
      <c r="J323">
        <f t="shared" ref="J323:J386" si="40">CONCATENATE(G323,IF(LEN(E323)=1,CONCATENATE("0",E323),E323),IF(LEN(F323)=1,CONCATENATE("0",F323),F323))*1</f>
        <v>19560402</v>
      </c>
      <c r="K323">
        <f t="shared" ref="K323:K386" si="41">IF(G323&lt;=2000,20,21)</f>
        <v>20</v>
      </c>
    </row>
    <row r="324" spans="1:11" x14ac:dyDescent="0.25">
      <c r="A324" s="4" t="s">
        <v>350</v>
      </c>
      <c r="B324" t="s">
        <v>11</v>
      </c>
      <c r="C324" t="s">
        <v>4</v>
      </c>
      <c r="D324" s="3">
        <f t="shared" si="35"/>
        <v>78</v>
      </c>
      <c r="E324" s="4">
        <f t="shared" si="36"/>
        <v>11</v>
      </c>
      <c r="F324" s="4">
        <f t="shared" si="37"/>
        <v>14</v>
      </c>
      <c r="G324" s="3">
        <f>IF(E324&gt;=20,2000,1900) + D324</f>
        <v>1978</v>
      </c>
      <c r="H324">
        <f t="shared" si="38"/>
        <v>11</v>
      </c>
      <c r="I324" s="4">
        <f t="shared" si="39"/>
        <v>14</v>
      </c>
      <c r="J324">
        <f t="shared" si="40"/>
        <v>19781114</v>
      </c>
      <c r="K324">
        <f t="shared" si="41"/>
        <v>20</v>
      </c>
    </row>
    <row r="325" spans="1:11" x14ac:dyDescent="0.25">
      <c r="A325" s="4" t="s">
        <v>351</v>
      </c>
      <c r="B325" t="s">
        <v>7</v>
      </c>
      <c r="C325" t="s">
        <v>6</v>
      </c>
      <c r="D325" s="3">
        <f t="shared" si="35"/>
        <v>73</v>
      </c>
      <c r="E325" s="4">
        <f t="shared" si="36"/>
        <v>7</v>
      </c>
      <c r="F325" s="4">
        <f t="shared" si="37"/>
        <v>6</v>
      </c>
      <c r="G325" s="3">
        <f>IF(E325&gt;=20,2000,1900) + D325</f>
        <v>1973</v>
      </c>
      <c r="H325">
        <f t="shared" si="38"/>
        <v>7</v>
      </c>
      <c r="I325" s="4">
        <f t="shared" si="39"/>
        <v>6</v>
      </c>
      <c r="J325">
        <f t="shared" si="40"/>
        <v>19730706</v>
      </c>
      <c r="K325">
        <f t="shared" si="41"/>
        <v>20</v>
      </c>
    </row>
    <row r="326" spans="1:11" x14ac:dyDescent="0.25">
      <c r="A326" s="4" t="s">
        <v>352</v>
      </c>
      <c r="B326" t="s">
        <v>14</v>
      </c>
      <c r="C326" t="s">
        <v>6</v>
      </c>
      <c r="D326" s="3">
        <f t="shared" si="35"/>
        <v>61</v>
      </c>
      <c r="E326" s="4">
        <f t="shared" si="36"/>
        <v>4</v>
      </c>
      <c r="F326" s="4">
        <f t="shared" si="37"/>
        <v>24</v>
      </c>
      <c r="G326" s="3">
        <f>IF(E326&gt;=20,2000,1900) + D326</f>
        <v>1961</v>
      </c>
      <c r="H326">
        <f t="shared" si="38"/>
        <v>4</v>
      </c>
      <c r="I326" s="4">
        <f t="shared" si="39"/>
        <v>24</v>
      </c>
      <c r="J326">
        <f t="shared" si="40"/>
        <v>19610424</v>
      </c>
      <c r="K326">
        <f t="shared" si="41"/>
        <v>20</v>
      </c>
    </row>
    <row r="327" spans="1:11" x14ac:dyDescent="0.25">
      <c r="A327" s="4" t="s">
        <v>353</v>
      </c>
      <c r="B327" t="s">
        <v>19</v>
      </c>
      <c r="C327" t="s">
        <v>4</v>
      </c>
      <c r="D327" s="3">
        <f t="shared" si="35"/>
        <v>81</v>
      </c>
      <c r="E327" s="4">
        <f t="shared" si="36"/>
        <v>5</v>
      </c>
      <c r="F327" s="4">
        <f t="shared" si="37"/>
        <v>8</v>
      </c>
      <c r="G327" s="3">
        <f>IF(E327&gt;=20,2000,1900) + D327</f>
        <v>1981</v>
      </c>
      <c r="H327">
        <f t="shared" si="38"/>
        <v>5</v>
      </c>
      <c r="I327" s="4">
        <f t="shared" si="39"/>
        <v>8</v>
      </c>
      <c r="J327">
        <f t="shared" si="40"/>
        <v>19810508</v>
      </c>
      <c r="K327">
        <f t="shared" si="41"/>
        <v>20</v>
      </c>
    </row>
    <row r="328" spans="1:11" x14ac:dyDescent="0.25">
      <c r="A328" s="4" t="s">
        <v>354</v>
      </c>
      <c r="B328" t="s">
        <v>9</v>
      </c>
      <c r="C328" t="s">
        <v>4</v>
      </c>
      <c r="D328" s="3">
        <f t="shared" si="35"/>
        <v>58</v>
      </c>
      <c r="E328" s="4">
        <f t="shared" si="36"/>
        <v>9</v>
      </c>
      <c r="F328" s="4">
        <f t="shared" si="37"/>
        <v>18</v>
      </c>
      <c r="G328" s="3">
        <f>IF(E328&gt;=20,2000,1900) + D328</f>
        <v>1958</v>
      </c>
      <c r="H328">
        <f t="shared" si="38"/>
        <v>9</v>
      </c>
      <c r="I328" s="4">
        <f t="shared" si="39"/>
        <v>18</v>
      </c>
      <c r="J328">
        <f t="shared" si="40"/>
        <v>19580918</v>
      </c>
      <c r="K328">
        <f t="shared" si="41"/>
        <v>20</v>
      </c>
    </row>
    <row r="329" spans="1:11" x14ac:dyDescent="0.25">
      <c r="A329" s="4" t="s">
        <v>355</v>
      </c>
      <c r="B329" t="s">
        <v>5</v>
      </c>
      <c r="C329" t="s">
        <v>6</v>
      </c>
      <c r="D329" s="3">
        <f t="shared" si="35"/>
        <v>66</v>
      </c>
      <c r="E329" s="4">
        <f t="shared" si="36"/>
        <v>8</v>
      </c>
      <c r="F329" s="4">
        <f t="shared" si="37"/>
        <v>22</v>
      </c>
      <c r="G329" s="3">
        <f>IF(E329&gt;=20,2000,1900) + D329</f>
        <v>1966</v>
      </c>
      <c r="H329">
        <f t="shared" si="38"/>
        <v>8</v>
      </c>
      <c r="I329" s="4">
        <f t="shared" si="39"/>
        <v>22</v>
      </c>
      <c r="J329">
        <f t="shared" si="40"/>
        <v>19660822</v>
      </c>
      <c r="K329">
        <f t="shared" si="41"/>
        <v>20</v>
      </c>
    </row>
    <row r="330" spans="1:11" x14ac:dyDescent="0.25">
      <c r="A330" s="4" t="s">
        <v>356</v>
      </c>
      <c r="B330" t="s">
        <v>17</v>
      </c>
      <c r="C330" t="s">
        <v>6</v>
      </c>
      <c r="D330" s="3">
        <f t="shared" si="35"/>
        <v>69</v>
      </c>
      <c r="E330" s="4">
        <f t="shared" si="36"/>
        <v>2</v>
      </c>
      <c r="F330" s="4">
        <f t="shared" si="37"/>
        <v>5</v>
      </c>
      <c r="G330" s="3">
        <f>IF(E330&gt;=20,2000,1900) + D330</f>
        <v>1969</v>
      </c>
      <c r="H330">
        <f t="shared" si="38"/>
        <v>2</v>
      </c>
      <c r="I330" s="4">
        <f t="shared" si="39"/>
        <v>5</v>
      </c>
      <c r="J330">
        <f t="shared" si="40"/>
        <v>19690205</v>
      </c>
      <c r="K330">
        <f t="shared" si="41"/>
        <v>20</v>
      </c>
    </row>
    <row r="331" spans="1:11" x14ac:dyDescent="0.25">
      <c r="A331" s="4" t="s">
        <v>357</v>
      </c>
      <c r="B331" t="s">
        <v>10</v>
      </c>
      <c r="C331" t="s">
        <v>4</v>
      </c>
      <c r="D331" s="3">
        <f t="shared" si="35"/>
        <v>57</v>
      </c>
      <c r="E331" s="4">
        <f t="shared" si="36"/>
        <v>11</v>
      </c>
      <c r="F331" s="4">
        <f t="shared" si="37"/>
        <v>14</v>
      </c>
      <c r="G331" s="3">
        <f>IF(E331&gt;=20,2000,1900) + D331</f>
        <v>1957</v>
      </c>
      <c r="H331">
        <f t="shared" si="38"/>
        <v>11</v>
      </c>
      <c r="I331" s="4">
        <f t="shared" si="39"/>
        <v>14</v>
      </c>
      <c r="J331">
        <f t="shared" si="40"/>
        <v>19571114</v>
      </c>
      <c r="K331">
        <f t="shared" si="41"/>
        <v>20</v>
      </c>
    </row>
    <row r="332" spans="1:11" x14ac:dyDescent="0.25">
      <c r="A332" s="4" t="s">
        <v>358</v>
      </c>
      <c r="B332" t="s">
        <v>12</v>
      </c>
      <c r="C332" t="s">
        <v>4</v>
      </c>
      <c r="D332" s="3">
        <f t="shared" si="35"/>
        <v>52</v>
      </c>
      <c r="E332" s="4">
        <f t="shared" si="36"/>
        <v>11</v>
      </c>
      <c r="F332" s="4">
        <f t="shared" si="37"/>
        <v>7</v>
      </c>
      <c r="G332" s="3">
        <f>IF(E332&gt;=20,2000,1900) + D332</f>
        <v>1952</v>
      </c>
      <c r="H332">
        <f t="shared" si="38"/>
        <v>11</v>
      </c>
      <c r="I332" s="4">
        <f t="shared" si="39"/>
        <v>7</v>
      </c>
      <c r="J332">
        <f t="shared" si="40"/>
        <v>19521107</v>
      </c>
      <c r="K332">
        <f t="shared" si="41"/>
        <v>20</v>
      </c>
    </row>
    <row r="333" spans="1:11" x14ac:dyDescent="0.25">
      <c r="A333" s="4" t="s">
        <v>359</v>
      </c>
      <c r="B333" t="s">
        <v>19</v>
      </c>
      <c r="C333" t="s">
        <v>4</v>
      </c>
      <c r="D333" s="3">
        <f t="shared" si="35"/>
        <v>93</v>
      </c>
      <c r="E333" s="4">
        <f t="shared" si="36"/>
        <v>1</v>
      </c>
      <c r="F333" s="4">
        <f t="shared" si="37"/>
        <v>12</v>
      </c>
      <c r="G333" s="3">
        <f>IF(E333&gt;=20,2000,1900) + D333</f>
        <v>1993</v>
      </c>
      <c r="H333">
        <f t="shared" si="38"/>
        <v>1</v>
      </c>
      <c r="I333" s="4">
        <f t="shared" si="39"/>
        <v>12</v>
      </c>
      <c r="J333">
        <f t="shared" si="40"/>
        <v>19930112</v>
      </c>
      <c r="K333">
        <f t="shared" si="41"/>
        <v>20</v>
      </c>
    </row>
    <row r="334" spans="1:11" x14ac:dyDescent="0.25">
      <c r="A334" s="4" t="s">
        <v>360</v>
      </c>
      <c r="B334" t="s">
        <v>12</v>
      </c>
      <c r="C334" t="s">
        <v>6</v>
      </c>
      <c r="D334" s="3">
        <f t="shared" si="35"/>
        <v>96</v>
      </c>
      <c r="E334" s="4">
        <f t="shared" si="36"/>
        <v>12</v>
      </c>
      <c r="F334" s="4">
        <f t="shared" si="37"/>
        <v>19</v>
      </c>
      <c r="G334" s="3">
        <f>IF(E334&gt;=20,2000,1900) + D334</f>
        <v>1996</v>
      </c>
      <c r="H334">
        <f t="shared" si="38"/>
        <v>12</v>
      </c>
      <c r="I334" s="4">
        <f t="shared" si="39"/>
        <v>19</v>
      </c>
      <c r="J334">
        <f t="shared" si="40"/>
        <v>19961219</v>
      </c>
      <c r="K334">
        <f t="shared" si="41"/>
        <v>20</v>
      </c>
    </row>
    <row r="335" spans="1:11" x14ac:dyDescent="0.25">
      <c r="A335" s="4" t="s">
        <v>361</v>
      </c>
      <c r="B335" t="s">
        <v>17</v>
      </c>
      <c r="C335" t="s">
        <v>6</v>
      </c>
      <c r="D335" s="3">
        <f t="shared" si="35"/>
        <v>79</v>
      </c>
      <c r="E335" s="4">
        <f t="shared" si="36"/>
        <v>6</v>
      </c>
      <c r="F335" s="4">
        <f t="shared" si="37"/>
        <v>16</v>
      </c>
      <c r="G335" s="3">
        <f>IF(E335&gt;=20,2000,1900) + D335</f>
        <v>1979</v>
      </c>
      <c r="H335">
        <f t="shared" si="38"/>
        <v>6</v>
      </c>
      <c r="I335" s="4">
        <f t="shared" si="39"/>
        <v>16</v>
      </c>
      <c r="J335">
        <f t="shared" si="40"/>
        <v>19790616</v>
      </c>
      <c r="K335">
        <f t="shared" si="41"/>
        <v>20</v>
      </c>
    </row>
    <row r="336" spans="1:11" x14ac:dyDescent="0.25">
      <c r="A336" s="4" t="s">
        <v>362</v>
      </c>
      <c r="B336" t="s">
        <v>5</v>
      </c>
      <c r="C336" t="s">
        <v>4</v>
      </c>
      <c r="D336" s="3">
        <f t="shared" si="35"/>
        <v>90</v>
      </c>
      <c r="E336" s="4">
        <f t="shared" si="36"/>
        <v>8</v>
      </c>
      <c r="F336" s="4">
        <f t="shared" si="37"/>
        <v>29</v>
      </c>
      <c r="G336" s="3">
        <f>IF(E336&gt;=20,2000,1900) + D336</f>
        <v>1990</v>
      </c>
      <c r="H336">
        <f t="shared" si="38"/>
        <v>8</v>
      </c>
      <c r="I336" s="4">
        <f t="shared" si="39"/>
        <v>29</v>
      </c>
      <c r="J336">
        <f t="shared" si="40"/>
        <v>19900829</v>
      </c>
      <c r="K336">
        <f t="shared" si="41"/>
        <v>20</v>
      </c>
    </row>
    <row r="337" spans="1:11" x14ac:dyDescent="0.25">
      <c r="A337" s="4" t="s">
        <v>363</v>
      </c>
      <c r="B337" t="s">
        <v>19</v>
      </c>
      <c r="C337" t="s">
        <v>4</v>
      </c>
      <c r="D337" s="3">
        <f t="shared" si="35"/>
        <v>86</v>
      </c>
      <c r="E337" s="4">
        <f t="shared" si="36"/>
        <v>1</v>
      </c>
      <c r="F337" s="4">
        <f t="shared" si="37"/>
        <v>8</v>
      </c>
      <c r="G337" s="3">
        <f>IF(E337&gt;=20,2000,1900) + D337</f>
        <v>1986</v>
      </c>
      <c r="H337">
        <f t="shared" si="38"/>
        <v>1</v>
      </c>
      <c r="I337" s="4">
        <f t="shared" si="39"/>
        <v>8</v>
      </c>
      <c r="J337">
        <f t="shared" si="40"/>
        <v>19860108</v>
      </c>
      <c r="K337">
        <f t="shared" si="41"/>
        <v>20</v>
      </c>
    </row>
    <row r="338" spans="1:11" x14ac:dyDescent="0.25">
      <c r="A338" s="4" t="s">
        <v>364</v>
      </c>
      <c r="B338" t="s">
        <v>13</v>
      </c>
      <c r="C338" t="s">
        <v>4</v>
      </c>
      <c r="D338" s="3">
        <f t="shared" si="35"/>
        <v>60</v>
      </c>
      <c r="E338" s="4">
        <f t="shared" si="36"/>
        <v>5</v>
      </c>
      <c r="F338" s="4">
        <f t="shared" si="37"/>
        <v>14</v>
      </c>
      <c r="G338" s="3">
        <f>IF(E338&gt;=20,2000,1900) + D338</f>
        <v>1960</v>
      </c>
      <c r="H338">
        <f t="shared" si="38"/>
        <v>5</v>
      </c>
      <c r="I338" s="4">
        <f t="shared" si="39"/>
        <v>14</v>
      </c>
      <c r="J338">
        <f t="shared" si="40"/>
        <v>19600514</v>
      </c>
      <c r="K338">
        <f t="shared" si="41"/>
        <v>20</v>
      </c>
    </row>
    <row r="339" spans="1:11" x14ac:dyDescent="0.25">
      <c r="A339" s="4" t="s">
        <v>365</v>
      </c>
      <c r="B339" t="s">
        <v>13</v>
      </c>
      <c r="C339" t="s">
        <v>6</v>
      </c>
      <c r="D339" s="3">
        <f t="shared" si="35"/>
        <v>78</v>
      </c>
      <c r="E339" s="4">
        <f t="shared" si="36"/>
        <v>1</v>
      </c>
      <c r="F339" s="4">
        <f t="shared" si="37"/>
        <v>26</v>
      </c>
      <c r="G339" s="3">
        <f>IF(E339&gt;=20,2000,1900) + D339</f>
        <v>1978</v>
      </c>
      <c r="H339">
        <f t="shared" si="38"/>
        <v>1</v>
      </c>
      <c r="I339" s="4">
        <f t="shared" si="39"/>
        <v>26</v>
      </c>
      <c r="J339">
        <f t="shared" si="40"/>
        <v>19780126</v>
      </c>
      <c r="K339">
        <f t="shared" si="41"/>
        <v>20</v>
      </c>
    </row>
    <row r="340" spans="1:11" x14ac:dyDescent="0.25">
      <c r="A340" s="4" t="s">
        <v>366</v>
      </c>
      <c r="B340" t="s">
        <v>20</v>
      </c>
      <c r="C340" t="s">
        <v>6</v>
      </c>
      <c r="D340" s="3">
        <f t="shared" si="35"/>
        <v>85</v>
      </c>
      <c r="E340" s="4">
        <f t="shared" si="36"/>
        <v>12</v>
      </c>
      <c r="F340" s="4">
        <f t="shared" si="37"/>
        <v>2</v>
      </c>
      <c r="G340" s="3">
        <f>IF(E340&gt;=20,2000,1900) + D340</f>
        <v>1985</v>
      </c>
      <c r="H340">
        <f t="shared" si="38"/>
        <v>12</v>
      </c>
      <c r="I340" s="4">
        <f t="shared" si="39"/>
        <v>2</v>
      </c>
      <c r="J340">
        <f t="shared" si="40"/>
        <v>19851202</v>
      </c>
      <c r="K340">
        <f t="shared" si="41"/>
        <v>20</v>
      </c>
    </row>
    <row r="341" spans="1:11" x14ac:dyDescent="0.25">
      <c r="A341" s="4" t="s">
        <v>367</v>
      </c>
      <c r="B341" t="s">
        <v>19</v>
      </c>
      <c r="C341" t="s">
        <v>4</v>
      </c>
      <c r="D341" s="3">
        <f t="shared" si="35"/>
        <v>52</v>
      </c>
      <c r="E341" s="4">
        <f t="shared" si="36"/>
        <v>4</v>
      </c>
      <c r="F341" s="4">
        <f t="shared" si="37"/>
        <v>25</v>
      </c>
      <c r="G341" s="3">
        <f>IF(E341&gt;=20,2000,1900) + D341</f>
        <v>1952</v>
      </c>
      <c r="H341">
        <f t="shared" si="38"/>
        <v>4</v>
      </c>
      <c r="I341" s="4">
        <f t="shared" si="39"/>
        <v>25</v>
      </c>
      <c r="J341">
        <f t="shared" si="40"/>
        <v>19520425</v>
      </c>
      <c r="K341">
        <f t="shared" si="41"/>
        <v>20</v>
      </c>
    </row>
    <row r="342" spans="1:11" x14ac:dyDescent="0.25">
      <c r="A342" s="4" t="s">
        <v>368</v>
      </c>
      <c r="B342" t="s">
        <v>10</v>
      </c>
      <c r="C342" t="s">
        <v>4</v>
      </c>
      <c r="D342" s="3">
        <f t="shared" si="35"/>
        <v>60</v>
      </c>
      <c r="E342" s="4">
        <f t="shared" si="36"/>
        <v>9</v>
      </c>
      <c r="F342" s="4">
        <f t="shared" si="37"/>
        <v>18</v>
      </c>
      <c r="G342" s="3">
        <f>IF(E342&gt;=20,2000,1900) + D342</f>
        <v>1960</v>
      </c>
      <c r="H342">
        <f t="shared" si="38"/>
        <v>9</v>
      </c>
      <c r="I342" s="4">
        <f t="shared" si="39"/>
        <v>18</v>
      </c>
      <c r="J342">
        <f t="shared" si="40"/>
        <v>19600918</v>
      </c>
      <c r="K342">
        <f t="shared" si="41"/>
        <v>20</v>
      </c>
    </row>
    <row r="343" spans="1:11" x14ac:dyDescent="0.25">
      <c r="A343" s="4" t="s">
        <v>369</v>
      </c>
      <c r="B343" t="s">
        <v>10</v>
      </c>
      <c r="C343" t="s">
        <v>4</v>
      </c>
      <c r="D343" s="3">
        <f t="shared" si="35"/>
        <v>80</v>
      </c>
      <c r="E343" s="4">
        <f t="shared" si="36"/>
        <v>2</v>
      </c>
      <c r="F343" s="4">
        <f t="shared" si="37"/>
        <v>15</v>
      </c>
      <c r="G343" s="3">
        <f>IF(E343&gt;=20,2000,1900) + D343</f>
        <v>1980</v>
      </c>
      <c r="H343">
        <f t="shared" si="38"/>
        <v>2</v>
      </c>
      <c r="I343" s="4">
        <f t="shared" si="39"/>
        <v>15</v>
      </c>
      <c r="J343">
        <f t="shared" si="40"/>
        <v>19800215</v>
      </c>
      <c r="K343">
        <f t="shared" si="41"/>
        <v>20</v>
      </c>
    </row>
    <row r="344" spans="1:11" x14ac:dyDescent="0.25">
      <c r="A344" s="4" t="s">
        <v>370</v>
      </c>
      <c r="B344" t="s">
        <v>10</v>
      </c>
      <c r="C344" t="s">
        <v>6</v>
      </c>
      <c r="D344" s="3">
        <f t="shared" si="35"/>
        <v>62</v>
      </c>
      <c r="E344" s="4">
        <f t="shared" si="36"/>
        <v>1</v>
      </c>
      <c r="F344" s="4">
        <f t="shared" si="37"/>
        <v>19</v>
      </c>
      <c r="G344" s="3">
        <f>IF(E344&gt;=20,2000,1900) + D344</f>
        <v>1962</v>
      </c>
      <c r="H344">
        <f t="shared" si="38"/>
        <v>1</v>
      </c>
      <c r="I344" s="4">
        <f t="shared" si="39"/>
        <v>19</v>
      </c>
      <c r="J344">
        <f t="shared" si="40"/>
        <v>19620119</v>
      </c>
      <c r="K344">
        <f t="shared" si="41"/>
        <v>20</v>
      </c>
    </row>
    <row r="345" spans="1:11" x14ac:dyDescent="0.25">
      <c r="A345" s="4" t="s">
        <v>371</v>
      </c>
      <c r="B345" t="s">
        <v>19</v>
      </c>
      <c r="C345" t="s">
        <v>4</v>
      </c>
      <c r="D345" s="3">
        <f t="shared" si="35"/>
        <v>78</v>
      </c>
      <c r="E345" s="4">
        <f t="shared" si="36"/>
        <v>9</v>
      </c>
      <c r="F345" s="4">
        <f t="shared" si="37"/>
        <v>28</v>
      </c>
      <c r="G345" s="3">
        <f>IF(E345&gt;=20,2000,1900) + D345</f>
        <v>1978</v>
      </c>
      <c r="H345">
        <f t="shared" si="38"/>
        <v>9</v>
      </c>
      <c r="I345" s="4">
        <f t="shared" si="39"/>
        <v>28</v>
      </c>
      <c r="J345">
        <f t="shared" si="40"/>
        <v>19780928</v>
      </c>
      <c r="K345">
        <f t="shared" si="41"/>
        <v>20</v>
      </c>
    </row>
    <row r="346" spans="1:11" x14ac:dyDescent="0.25">
      <c r="A346" s="4" t="s">
        <v>372</v>
      </c>
      <c r="B346" t="s">
        <v>3</v>
      </c>
      <c r="C346" t="s">
        <v>4</v>
      </c>
      <c r="D346" s="3">
        <f t="shared" si="35"/>
        <v>69</v>
      </c>
      <c r="E346" s="4">
        <f t="shared" si="36"/>
        <v>6</v>
      </c>
      <c r="F346" s="4">
        <f t="shared" si="37"/>
        <v>5</v>
      </c>
      <c r="G346" s="3">
        <f>IF(E346&gt;=20,2000,1900) + D346</f>
        <v>1969</v>
      </c>
      <c r="H346">
        <f t="shared" si="38"/>
        <v>6</v>
      </c>
      <c r="I346" s="4">
        <f t="shared" si="39"/>
        <v>5</v>
      </c>
      <c r="J346">
        <f t="shared" si="40"/>
        <v>19690605</v>
      </c>
      <c r="K346">
        <f t="shared" si="41"/>
        <v>20</v>
      </c>
    </row>
    <row r="347" spans="1:11" x14ac:dyDescent="0.25">
      <c r="A347" s="4" t="s">
        <v>373</v>
      </c>
      <c r="B347" t="s">
        <v>13</v>
      </c>
      <c r="C347" t="s">
        <v>4</v>
      </c>
      <c r="D347" s="3">
        <f t="shared" si="35"/>
        <v>54</v>
      </c>
      <c r="E347" s="4">
        <f t="shared" si="36"/>
        <v>1</v>
      </c>
      <c r="F347" s="4">
        <f t="shared" si="37"/>
        <v>20</v>
      </c>
      <c r="G347" s="3">
        <f>IF(E347&gt;=20,2000,1900) + D347</f>
        <v>1954</v>
      </c>
      <c r="H347">
        <f t="shared" si="38"/>
        <v>1</v>
      </c>
      <c r="I347" s="4">
        <f t="shared" si="39"/>
        <v>20</v>
      </c>
      <c r="J347">
        <f t="shared" si="40"/>
        <v>19540120</v>
      </c>
      <c r="K347">
        <f t="shared" si="41"/>
        <v>20</v>
      </c>
    </row>
    <row r="348" spans="1:11" x14ac:dyDescent="0.25">
      <c r="A348" s="4" t="s">
        <v>374</v>
      </c>
      <c r="B348" t="s">
        <v>11</v>
      </c>
      <c r="C348" t="s">
        <v>6</v>
      </c>
      <c r="D348" s="3">
        <f t="shared" si="35"/>
        <v>71</v>
      </c>
      <c r="E348" s="4">
        <f t="shared" si="36"/>
        <v>12</v>
      </c>
      <c r="F348" s="4">
        <f t="shared" si="37"/>
        <v>7</v>
      </c>
      <c r="G348" s="3">
        <f>IF(E348&gt;=20,2000,1900) + D348</f>
        <v>1971</v>
      </c>
      <c r="H348">
        <f t="shared" si="38"/>
        <v>12</v>
      </c>
      <c r="I348" s="4">
        <f t="shared" si="39"/>
        <v>7</v>
      </c>
      <c r="J348">
        <f t="shared" si="40"/>
        <v>19711207</v>
      </c>
      <c r="K348">
        <f t="shared" si="41"/>
        <v>20</v>
      </c>
    </row>
    <row r="349" spans="1:11" x14ac:dyDescent="0.25">
      <c r="A349" s="4" t="s">
        <v>375</v>
      </c>
      <c r="B349" t="s">
        <v>13</v>
      </c>
      <c r="C349" t="s">
        <v>4</v>
      </c>
      <c r="D349" s="3">
        <f t="shared" si="35"/>
        <v>97</v>
      </c>
      <c r="E349" s="4">
        <f t="shared" si="36"/>
        <v>8</v>
      </c>
      <c r="F349" s="4">
        <f t="shared" si="37"/>
        <v>25</v>
      </c>
      <c r="G349" s="3">
        <f>IF(E349&gt;=20,2000,1900) + D349</f>
        <v>1997</v>
      </c>
      <c r="H349">
        <f t="shared" si="38"/>
        <v>8</v>
      </c>
      <c r="I349" s="4">
        <f t="shared" si="39"/>
        <v>25</v>
      </c>
      <c r="J349">
        <f t="shared" si="40"/>
        <v>19970825</v>
      </c>
      <c r="K349">
        <f t="shared" si="41"/>
        <v>20</v>
      </c>
    </row>
    <row r="350" spans="1:11" x14ac:dyDescent="0.25">
      <c r="A350" s="4" t="s">
        <v>376</v>
      </c>
      <c r="B350" t="s">
        <v>16</v>
      </c>
      <c r="C350" t="s">
        <v>4</v>
      </c>
      <c r="D350" s="3">
        <f t="shared" si="35"/>
        <v>83</v>
      </c>
      <c r="E350" s="4">
        <f t="shared" si="36"/>
        <v>9</v>
      </c>
      <c r="F350" s="4">
        <f t="shared" si="37"/>
        <v>20</v>
      </c>
      <c r="G350" s="3">
        <f>IF(E350&gt;=20,2000,1900) + D350</f>
        <v>1983</v>
      </c>
      <c r="H350">
        <f t="shared" si="38"/>
        <v>9</v>
      </c>
      <c r="I350" s="4">
        <f t="shared" si="39"/>
        <v>20</v>
      </c>
      <c r="J350">
        <f t="shared" si="40"/>
        <v>19830920</v>
      </c>
      <c r="K350">
        <f t="shared" si="41"/>
        <v>20</v>
      </c>
    </row>
    <row r="351" spans="1:11" x14ac:dyDescent="0.25">
      <c r="A351" s="4" t="s">
        <v>377</v>
      </c>
      <c r="B351" t="s">
        <v>19</v>
      </c>
      <c r="C351" t="s">
        <v>6</v>
      </c>
      <c r="D351" s="3">
        <f t="shared" si="35"/>
        <v>63</v>
      </c>
      <c r="E351" s="4">
        <f t="shared" si="36"/>
        <v>1</v>
      </c>
      <c r="F351" s="4">
        <f t="shared" si="37"/>
        <v>12</v>
      </c>
      <c r="G351" s="3">
        <f>IF(E351&gt;=20,2000,1900) + D351</f>
        <v>1963</v>
      </c>
      <c r="H351">
        <f t="shared" si="38"/>
        <v>1</v>
      </c>
      <c r="I351" s="4">
        <f t="shared" si="39"/>
        <v>12</v>
      </c>
      <c r="J351">
        <f t="shared" si="40"/>
        <v>19630112</v>
      </c>
      <c r="K351">
        <f t="shared" si="41"/>
        <v>20</v>
      </c>
    </row>
    <row r="352" spans="1:11" x14ac:dyDescent="0.25">
      <c r="A352" s="4" t="s">
        <v>378</v>
      </c>
      <c r="B352" t="s">
        <v>17</v>
      </c>
      <c r="C352" t="s">
        <v>4</v>
      </c>
      <c r="D352" s="3">
        <f t="shared" si="35"/>
        <v>55</v>
      </c>
      <c r="E352" s="4">
        <f t="shared" si="36"/>
        <v>4</v>
      </c>
      <c r="F352" s="4">
        <f t="shared" si="37"/>
        <v>3</v>
      </c>
      <c r="G352" s="3">
        <f>IF(E352&gt;=20,2000,1900) + D352</f>
        <v>1955</v>
      </c>
      <c r="H352">
        <f t="shared" si="38"/>
        <v>4</v>
      </c>
      <c r="I352" s="4">
        <f t="shared" si="39"/>
        <v>3</v>
      </c>
      <c r="J352">
        <f t="shared" si="40"/>
        <v>19550403</v>
      </c>
      <c r="K352">
        <f t="shared" si="41"/>
        <v>20</v>
      </c>
    </row>
    <row r="353" spans="1:11" x14ac:dyDescent="0.25">
      <c r="A353" s="4" t="s">
        <v>379</v>
      </c>
      <c r="B353" t="s">
        <v>11</v>
      </c>
      <c r="C353" t="s">
        <v>6</v>
      </c>
      <c r="D353" s="3">
        <f t="shared" si="35"/>
        <v>93</v>
      </c>
      <c r="E353" s="4">
        <f t="shared" si="36"/>
        <v>4</v>
      </c>
      <c r="F353" s="4">
        <f t="shared" si="37"/>
        <v>23</v>
      </c>
      <c r="G353" s="3">
        <f>IF(E353&gt;=20,2000,1900) + D353</f>
        <v>1993</v>
      </c>
      <c r="H353">
        <f t="shared" si="38"/>
        <v>4</v>
      </c>
      <c r="I353" s="4">
        <f t="shared" si="39"/>
        <v>23</v>
      </c>
      <c r="J353">
        <f t="shared" si="40"/>
        <v>19930423</v>
      </c>
      <c r="K353">
        <f t="shared" si="41"/>
        <v>20</v>
      </c>
    </row>
    <row r="354" spans="1:11" x14ac:dyDescent="0.25">
      <c r="A354" s="4" t="s">
        <v>380</v>
      </c>
      <c r="B354" t="s">
        <v>7</v>
      </c>
      <c r="C354" t="s">
        <v>4</v>
      </c>
      <c r="D354" s="3">
        <f t="shared" si="35"/>
        <v>54</v>
      </c>
      <c r="E354" s="4">
        <f t="shared" si="36"/>
        <v>5</v>
      </c>
      <c r="F354" s="4">
        <f t="shared" si="37"/>
        <v>4</v>
      </c>
      <c r="G354" s="3">
        <f>IF(E354&gt;=20,2000,1900) + D354</f>
        <v>1954</v>
      </c>
      <c r="H354">
        <f t="shared" si="38"/>
        <v>5</v>
      </c>
      <c r="I354" s="4">
        <f t="shared" si="39"/>
        <v>4</v>
      </c>
      <c r="J354">
        <f t="shared" si="40"/>
        <v>19540504</v>
      </c>
      <c r="K354">
        <f t="shared" si="41"/>
        <v>20</v>
      </c>
    </row>
    <row r="355" spans="1:11" x14ac:dyDescent="0.25">
      <c r="A355" s="4" t="s">
        <v>381</v>
      </c>
      <c r="B355" t="s">
        <v>20</v>
      </c>
      <c r="C355" t="s">
        <v>6</v>
      </c>
      <c r="D355" s="3">
        <f t="shared" si="35"/>
        <v>87</v>
      </c>
      <c r="E355" s="4">
        <f t="shared" si="36"/>
        <v>11</v>
      </c>
      <c r="F355" s="4">
        <f t="shared" si="37"/>
        <v>4</v>
      </c>
      <c r="G355" s="3">
        <f>IF(E355&gt;=20,2000,1900) + D355</f>
        <v>1987</v>
      </c>
      <c r="H355">
        <f t="shared" si="38"/>
        <v>11</v>
      </c>
      <c r="I355" s="4">
        <f t="shared" si="39"/>
        <v>4</v>
      </c>
      <c r="J355">
        <f t="shared" si="40"/>
        <v>19871104</v>
      </c>
      <c r="K355">
        <f t="shared" si="41"/>
        <v>20</v>
      </c>
    </row>
    <row r="356" spans="1:11" x14ac:dyDescent="0.25">
      <c r="A356" s="4" t="s">
        <v>382</v>
      </c>
      <c r="B356" t="s">
        <v>18</v>
      </c>
      <c r="C356" t="s">
        <v>6</v>
      </c>
      <c r="D356" s="3">
        <f t="shared" si="35"/>
        <v>56</v>
      </c>
      <c r="E356" s="4">
        <f t="shared" si="36"/>
        <v>10</v>
      </c>
      <c r="F356" s="4">
        <f t="shared" si="37"/>
        <v>2</v>
      </c>
      <c r="G356" s="3">
        <f>IF(E356&gt;=20,2000,1900) + D356</f>
        <v>1956</v>
      </c>
      <c r="H356">
        <f t="shared" si="38"/>
        <v>10</v>
      </c>
      <c r="I356" s="4">
        <f t="shared" si="39"/>
        <v>2</v>
      </c>
      <c r="J356">
        <f t="shared" si="40"/>
        <v>19561002</v>
      </c>
      <c r="K356">
        <f t="shared" si="41"/>
        <v>20</v>
      </c>
    </row>
    <row r="357" spans="1:11" x14ac:dyDescent="0.25">
      <c r="A357" s="4" t="s">
        <v>383</v>
      </c>
      <c r="B357" t="s">
        <v>19</v>
      </c>
      <c r="C357" t="s">
        <v>4</v>
      </c>
      <c r="D357" s="3">
        <f t="shared" si="35"/>
        <v>87</v>
      </c>
      <c r="E357" s="4">
        <f t="shared" si="36"/>
        <v>8</v>
      </c>
      <c r="F357" s="4">
        <f t="shared" si="37"/>
        <v>17</v>
      </c>
      <c r="G357" s="3">
        <f>IF(E357&gt;=20,2000,1900) + D357</f>
        <v>1987</v>
      </c>
      <c r="H357">
        <f t="shared" si="38"/>
        <v>8</v>
      </c>
      <c r="I357" s="4">
        <f t="shared" si="39"/>
        <v>17</v>
      </c>
      <c r="J357">
        <f t="shared" si="40"/>
        <v>19870817</v>
      </c>
      <c r="K357">
        <f t="shared" si="41"/>
        <v>20</v>
      </c>
    </row>
    <row r="358" spans="1:11" x14ac:dyDescent="0.25">
      <c r="A358" s="4" t="s">
        <v>384</v>
      </c>
      <c r="B358" t="s">
        <v>19</v>
      </c>
      <c r="C358" t="s">
        <v>4</v>
      </c>
      <c r="D358" s="3">
        <f t="shared" si="35"/>
        <v>65</v>
      </c>
      <c r="E358" s="4">
        <f t="shared" si="36"/>
        <v>3</v>
      </c>
      <c r="F358" s="4">
        <f t="shared" si="37"/>
        <v>1</v>
      </c>
      <c r="G358" s="3">
        <f>IF(E358&gt;=20,2000,1900) + D358</f>
        <v>1965</v>
      </c>
      <c r="H358">
        <f t="shared" si="38"/>
        <v>3</v>
      </c>
      <c r="I358" s="4">
        <f t="shared" si="39"/>
        <v>1</v>
      </c>
      <c r="J358">
        <f t="shared" si="40"/>
        <v>19650301</v>
      </c>
      <c r="K358">
        <f t="shared" si="41"/>
        <v>20</v>
      </c>
    </row>
    <row r="359" spans="1:11" x14ac:dyDescent="0.25">
      <c r="A359" s="4" t="s">
        <v>385</v>
      </c>
      <c r="B359" t="s">
        <v>12</v>
      </c>
      <c r="C359" t="s">
        <v>6</v>
      </c>
      <c r="D359" s="3">
        <f t="shared" si="35"/>
        <v>98</v>
      </c>
      <c r="E359" s="4">
        <f t="shared" si="36"/>
        <v>10</v>
      </c>
      <c r="F359" s="4">
        <f t="shared" si="37"/>
        <v>14</v>
      </c>
      <c r="G359" s="3">
        <f>IF(E359&gt;=20,2000,1900) + D359</f>
        <v>1998</v>
      </c>
      <c r="H359">
        <f t="shared" si="38"/>
        <v>10</v>
      </c>
      <c r="I359" s="4">
        <f t="shared" si="39"/>
        <v>14</v>
      </c>
      <c r="J359">
        <f t="shared" si="40"/>
        <v>19981014</v>
      </c>
      <c r="K359">
        <f t="shared" si="41"/>
        <v>20</v>
      </c>
    </row>
    <row r="360" spans="1:11" x14ac:dyDescent="0.25">
      <c r="A360" s="4" t="s">
        <v>386</v>
      </c>
      <c r="B360" t="s">
        <v>16</v>
      </c>
      <c r="C360" t="s">
        <v>4</v>
      </c>
      <c r="D360" s="3">
        <f t="shared" si="35"/>
        <v>81</v>
      </c>
      <c r="E360" s="4">
        <f t="shared" si="36"/>
        <v>7</v>
      </c>
      <c r="F360" s="4">
        <f t="shared" si="37"/>
        <v>14</v>
      </c>
      <c r="G360" s="3">
        <f>IF(E360&gt;=20,2000,1900) + D360</f>
        <v>1981</v>
      </c>
      <c r="H360">
        <f t="shared" si="38"/>
        <v>7</v>
      </c>
      <c r="I360" s="4">
        <f t="shared" si="39"/>
        <v>14</v>
      </c>
      <c r="J360">
        <f t="shared" si="40"/>
        <v>19810714</v>
      </c>
      <c r="K360">
        <f t="shared" si="41"/>
        <v>20</v>
      </c>
    </row>
    <row r="361" spans="1:11" x14ac:dyDescent="0.25">
      <c r="A361" s="4" t="s">
        <v>387</v>
      </c>
      <c r="B361" t="s">
        <v>19</v>
      </c>
      <c r="C361" t="s">
        <v>4</v>
      </c>
      <c r="D361" s="3">
        <f t="shared" si="35"/>
        <v>82</v>
      </c>
      <c r="E361" s="4">
        <f t="shared" si="36"/>
        <v>4</v>
      </c>
      <c r="F361" s="4">
        <f t="shared" si="37"/>
        <v>28</v>
      </c>
      <c r="G361" s="3">
        <f>IF(E361&gt;=20,2000,1900) + D361</f>
        <v>1982</v>
      </c>
      <c r="H361">
        <f t="shared" si="38"/>
        <v>4</v>
      </c>
      <c r="I361" s="4">
        <f t="shared" si="39"/>
        <v>28</v>
      </c>
      <c r="J361">
        <f t="shared" si="40"/>
        <v>19820428</v>
      </c>
      <c r="K361">
        <f t="shared" si="41"/>
        <v>20</v>
      </c>
    </row>
    <row r="362" spans="1:11" x14ac:dyDescent="0.25">
      <c r="A362" s="4" t="s">
        <v>388</v>
      </c>
      <c r="B362" t="s">
        <v>16</v>
      </c>
      <c r="C362" t="s">
        <v>4</v>
      </c>
      <c r="D362" s="3">
        <f t="shared" si="35"/>
        <v>76</v>
      </c>
      <c r="E362" s="4">
        <f t="shared" si="36"/>
        <v>10</v>
      </c>
      <c r="F362" s="4">
        <f t="shared" si="37"/>
        <v>5</v>
      </c>
      <c r="G362" s="3">
        <f>IF(E362&gt;=20,2000,1900) + D362</f>
        <v>1976</v>
      </c>
      <c r="H362">
        <f t="shared" si="38"/>
        <v>10</v>
      </c>
      <c r="I362" s="4">
        <f t="shared" si="39"/>
        <v>5</v>
      </c>
      <c r="J362">
        <f t="shared" si="40"/>
        <v>19761005</v>
      </c>
      <c r="K362">
        <f t="shared" si="41"/>
        <v>20</v>
      </c>
    </row>
    <row r="363" spans="1:11" x14ac:dyDescent="0.25">
      <c r="A363" s="4" t="s">
        <v>389</v>
      </c>
      <c r="B363" t="s">
        <v>12</v>
      </c>
      <c r="C363" t="s">
        <v>6</v>
      </c>
      <c r="D363" s="3">
        <f t="shared" si="35"/>
        <v>76</v>
      </c>
      <c r="E363" s="4">
        <f t="shared" si="36"/>
        <v>2</v>
      </c>
      <c r="F363" s="4">
        <f t="shared" si="37"/>
        <v>16</v>
      </c>
      <c r="G363" s="3">
        <f>IF(E363&gt;=20,2000,1900) + D363</f>
        <v>1976</v>
      </c>
      <c r="H363">
        <f t="shared" si="38"/>
        <v>2</v>
      </c>
      <c r="I363" s="4">
        <f t="shared" si="39"/>
        <v>16</v>
      </c>
      <c r="J363">
        <f t="shared" si="40"/>
        <v>19760216</v>
      </c>
      <c r="K363">
        <f t="shared" si="41"/>
        <v>20</v>
      </c>
    </row>
    <row r="364" spans="1:11" x14ac:dyDescent="0.25">
      <c r="A364" s="4" t="s">
        <v>390</v>
      </c>
      <c r="B364" t="s">
        <v>15</v>
      </c>
      <c r="C364" t="s">
        <v>6</v>
      </c>
      <c r="D364" s="3">
        <f t="shared" si="35"/>
        <v>99</v>
      </c>
      <c r="E364" s="4">
        <f t="shared" si="36"/>
        <v>8</v>
      </c>
      <c r="F364" s="4">
        <f t="shared" si="37"/>
        <v>31</v>
      </c>
      <c r="G364" s="3">
        <f>IF(E364&gt;=20,2000,1900) + D364</f>
        <v>1999</v>
      </c>
      <c r="H364">
        <f t="shared" si="38"/>
        <v>8</v>
      </c>
      <c r="I364" s="4">
        <f t="shared" si="39"/>
        <v>31</v>
      </c>
      <c r="J364">
        <f t="shared" si="40"/>
        <v>19990831</v>
      </c>
      <c r="K364">
        <f t="shared" si="41"/>
        <v>20</v>
      </c>
    </row>
    <row r="365" spans="1:11" x14ac:dyDescent="0.25">
      <c r="A365" s="4" t="s">
        <v>391</v>
      </c>
      <c r="B365" t="s">
        <v>5</v>
      </c>
      <c r="C365" t="s">
        <v>6</v>
      </c>
      <c r="D365" s="3">
        <f t="shared" si="35"/>
        <v>53</v>
      </c>
      <c r="E365" s="4">
        <f t="shared" si="36"/>
        <v>4</v>
      </c>
      <c r="F365" s="4">
        <f t="shared" si="37"/>
        <v>14</v>
      </c>
      <c r="G365" s="3">
        <f>IF(E365&gt;=20,2000,1900) + D365</f>
        <v>1953</v>
      </c>
      <c r="H365">
        <f t="shared" si="38"/>
        <v>4</v>
      </c>
      <c r="I365" s="4">
        <f t="shared" si="39"/>
        <v>14</v>
      </c>
      <c r="J365">
        <f t="shared" si="40"/>
        <v>19530414</v>
      </c>
      <c r="K365">
        <f t="shared" si="41"/>
        <v>20</v>
      </c>
    </row>
    <row r="366" spans="1:11" x14ac:dyDescent="0.25">
      <c r="A366" s="4" t="s">
        <v>392</v>
      </c>
      <c r="B366" t="s">
        <v>19</v>
      </c>
      <c r="C366" t="s">
        <v>4</v>
      </c>
      <c r="D366" s="3">
        <f t="shared" si="35"/>
        <v>82</v>
      </c>
      <c r="E366" s="4">
        <f t="shared" si="36"/>
        <v>4</v>
      </c>
      <c r="F366" s="4">
        <f t="shared" si="37"/>
        <v>6</v>
      </c>
      <c r="G366" s="3">
        <f>IF(E366&gt;=20,2000,1900) + D366</f>
        <v>1982</v>
      </c>
      <c r="H366">
        <f t="shared" si="38"/>
        <v>4</v>
      </c>
      <c r="I366" s="4">
        <f t="shared" si="39"/>
        <v>6</v>
      </c>
      <c r="J366">
        <f t="shared" si="40"/>
        <v>19820406</v>
      </c>
      <c r="K366">
        <f t="shared" si="41"/>
        <v>20</v>
      </c>
    </row>
    <row r="367" spans="1:11" x14ac:dyDescent="0.25">
      <c r="A367" s="4" t="s">
        <v>393</v>
      </c>
      <c r="B367" t="s">
        <v>16</v>
      </c>
      <c r="C367" t="s">
        <v>4</v>
      </c>
      <c r="D367" s="3">
        <f t="shared" si="35"/>
        <v>98</v>
      </c>
      <c r="E367" s="4">
        <f t="shared" si="36"/>
        <v>6</v>
      </c>
      <c r="F367" s="4">
        <f t="shared" si="37"/>
        <v>28</v>
      </c>
      <c r="G367" s="3">
        <f>IF(E367&gt;=20,2000,1900) + D367</f>
        <v>1998</v>
      </c>
      <c r="H367">
        <f t="shared" si="38"/>
        <v>6</v>
      </c>
      <c r="I367" s="4">
        <f t="shared" si="39"/>
        <v>28</v>
      </c>
      <c r="J367">
        <f t="shared" si="40"/>
        <v>19980628</v>
      </c>
      <c r="K367">
        <f t="shared" si="41"/>
        <v>20</v>
      </c>
    </row>
    <row r="368" spans="1:11" x14ac:dyDescent="0.25">
      <c r="A368" s="4" t="s">
        <v>394</v>
      </c>
      <c r="B368" t="s">
        <v>12</v>
      </c>
      <c r="C368" t="s">
        <v>4</v>
      </c>
      <c r="D368" s="3">
        <f t="shared" si="35"/>
        <v>71</v>
      </c>
      <c r="E368" s="4">
        <f t="shared" si="36"/>
        <v>8</v>
      </c>
      <c r="F368" s="4">
        <f t="shared" si="37"/>
        <v>24</v>
      </c>
      <c r="G368" s="3">
        <f>IF(E368&gt;=20,2000,1900) + D368</f>
        <v>1971</v>
      </c>
      <c r="H368">
        <f t="shared" si="38"/>
        <v>8</v>
      </c>
      <c r="I368" s="4">
        <f t="shared" si="39"/>
        <v>24</v>
      </c>
      <c r="J368">
        <f t="shared" si="40"/>
        <v>19710824</v>
      </c>
      <c r="K368">
        <f t="shared" si="41"/>
        <v>20</v>
      </c>
    </row>
    <row r="369" spans="1:11" x14ac:dyDescent="0.25">
      <c r="A369" s="4" t="s">
        <v>395</v>
      </c>
      <c r="B369" t="s">
        <v>12</v>
      </c>
      <c r="C369" t="s">
        <v>4</v>
      </c>
      <c r="D369" s="3">
        <f t="shared" si="35"/>
        <v>98</v>
      </c>
      <c r="E369" s="4">
        <f t="shared" si="36"/>
        <v>12</v>
      </c>
      <c r="F369" s="4">
        <f t="shared" si="37"/>
        <v>14</v>
      </c>
      <c r="G369" s="3">
        <f>IF(E369&gt;=20,2000,1900) + D369</f>
        <v>1998</v>
      </c>
      <c r="H369">
        <f t="shared" si="38"/>
        <v>12</v>
      </c>
      <c r="I369" s="4">
        <f t="shared" si="39"/>
        <v>14</v>
      </c>
      <c r="J369">
        <f t="shared" si="40"/>
        <v>19981214</v>
      </c>
      <c r="K369">
        <f t="shared" si="41"/>
        <v>20</v>
      </c>
    </row>
    <row r="370" spans="1:11" x14ac:dyDescent="0.25">
      <c r="A370" s="4" t="s">
        <v>396</v>
      </c>
      <c r="B370" t="s">
        <v>10</v>
      </c>
      <c r="C370" t="s">
        <v>4</v>
      </c>
      <c r="D370" s="3">
        <f t="shared" si="35"/>
        <v>68</v>
      </c>
      <c r="E370" s="4">
        <f t="shared" si="36"/>
        <v>11</v>
      </c>
      <c r="F370" s="4">
        <f t="shared" si="37"/>
        <v>12</v>
      </c>
      <c r="G370" s="3">
        <f>IF(E370&gt;=20,2000,1900) + D370</f>
        <v>1968</v>
      </c>
      <c r="H370">
        <f t="shared" si="38"/>
        <v>11</v>
      </c>
      <c r="I370" s="4">
        <f t="shared" si="39"/>
        <v>12</v>
      </c>
      <c r="J370">
        <f t="shared" si="40"/>
        <v>19681112</v>
      </c>
      <c r="K370">
        <f t="shared" si="41"/>
        <v>20</v>
      </c>
    </row>
    <row r="371" spans="1:11" x14ac:dyDescent="0.25">
      <c r="A371" s="4" t="s">
        <v>397</v>
      </c>
      <c r="B371" t="s">
        <v>9</v>
      </c>
      <c r="C371" t="s">
        <v>6</v>
      </c>
      <c r="D371" s="3">
        <f t="shared" si="35"/>
        <v>96</v>
      </c>
      <c r="E371" s="4">
        <f t="shared" si="36"/>
        <v>11</v>
      </c>
      <c r="F371" s="4">
        <f t="shared" si="37"/>
        <v>25</v>
      </c>
      <c r="G371" s="3">
        <f>IF(E371&gt;=20,2000,1900) + D371</f>
        <v>1996</v>
      </c>
      <c r="H371">
        <f t="shared" si="38"/>
        <v>11</v>
      </c>
      <c r="I371" s="4">
        <f t="shared" si="39"/>
        <v>25</v>
      </c>
      <c r="J371">
        <f t="shared" si="40"/>
        <v>19961125</v>
      </c>
      <c r="K371">
        <f t="shared" si="41"/>
        <v>20</v>
      </c>
    </row>
    <row r="372" spans="1:11" x14ac:dyDescent="0.25">
      <c r="A372" s="4" t="s">
        <v>398</v>
      </c>
      <c r="B372" t="s">
        <v>7</v>
      </c>
      <c r="C372" t="s">
        <v>4</v>
      </c>
      <c r="D372" s="3">
        <f t="shared" si="35"/>
        <v>62</v>
      </c>
      <c r="E372" s="4">
        <f t="shared" si="36"/>
        <v>6</v>
      </c>
      <c r="F372" s="4">
        <f t="shared" si="37"/>
        <v>29</v>
      </c>
      <c r="G372" s="3">
        <f>IF(E372&gt;=20,2000,1900) + D372</f>
        <v>1962</v>
      </c>
      <c r="H372">
        <f t="shared" si="38"/>
        <v>6</v>
      </c>
      <c r="I372" s="4">
        <f t="shared" si="39"/>
        <v>29</v>
      </c>
      <c r="J372">
        <f t="shared" si="40"/>
        <v>19620629</v>
      </c>
      <c r="K372">
        <f t="shared" si="41"/>
        <v>20</v>
      </c>
    </row>
    <row r="373" spans="1:11" x14ac:dyDescent="0.25">
      <c r="A373" s="4" t="s">
        <v>399</v>
      </c>
      <c r="B373" t="s">
        <v>12</v>
      </c>
      <c r="C373" t="s">
        <v>4</v>
      </c>
      <c r="D373" s="3">
        <f t="shared" si="35"/>
        <v>98</v>
      </c>
      <c r="E373" s="4">
        <f t="shared" si="36"/>
        <v>1</v>
      </c>
      <c r="F373" s="4">
        <f t="shared" si="37"/>
        <v>20</v>
      </c>
      <c r="G373" s="3">
        <f>IF(E373&gt;=20,2000,1900) + D373</f>
        <v>1998</v>
      </c>
      <c r="H373">
        <f t="shared" si="38"/>
        <v>1</v>
      </c>
      <c r="I373" s="4">
        <f t="shared" si="39"/>
        <v>20</v>
      </c>
      <c r="J373">
        <f t="shared" si="40"/>
        <v>19980120</v>
      </c>
      <c r="K373">
        <f t="shared" si="41"/>
        <v>20</v>
      </c>
    </row>
    <row r="374" spans="1:11" x14ac:dyDescent="0.25">
      <c r="A374" s="4" t="s">
        <v>400</v>
      </c>
      <c r="B374" t="s">
        <v>7</v>
      </c>
      <c r="C374" t="s">
        <v>6</v>
      </c>
      <c r="D374" s="3">
        <f t="shared" si="35"/>
        <v>81</v>
      </c>
      <c r="E374" s="4">
        <f t="shared" si="36"/>
        <v>6</v>
      </c>
      <c r="F374" s="4">
        <f t="shared" si="37"/>
        <v>16</v>
      </c>
      <c r="G374" s="3">
        <f>IF(E374&gt;=20,2000,1900) + D374</f>
        <v>1981</v>
      </c>
      <c r="H374">
        <f t="shared" si="38"/>
        <v>6</v>
      </c>
      <c r="I374" s="4">
        <f t="shared" si="39"/>
        <v>16</v>
      </c>
      <c r="J374">
        <f t="shared" si="40"/>
        <v>19810616</v>
      </c>
      <c r="K374">
        <f t="shared" si="41"/>
        <v>20</v>
      </c>
    </row>
    <row r="375" spans="1:11" x14ac:dyDescent="0.25">
      <c r="A375" s="4" t="s">
        <v>401</v>
      </c>
      <c r="B375" t="s">
        <v>14</v>
      </c>
      <c r="C375" t="s">
        <v>6</v>
      </c>
      <c r="D375" s="3">
        <f t="shared" si="35"/>
        <v>71</v>
      </c>
      <c r="E375" s="4">
        <f t="shared" si="36"/>
        <v>9</v>
      </c>
      <c r="F375" s="4">
        <f t="shared" si="37"/>
        <v>28</v>
      </c>
      <c r="G375" s="3">
        <f>IF(E375&gt;=20,2000,1900) + D375</f>
        <v>1971</v>
      </c>
      <c r="H375">
        <f t="shared" si="38"/>
        <v>9</v>
      </c>
      <c r="I375" s="4">
        <f t="shared" si="39"/>
        <v>28</v>
      </c>
      <c r="J375">
        <f t="shared" si="40"/>
        <v>19710928</v>
      </c>
      <c r="K375">
        <f t="shared" si="41"/>
        <v>20</v>
      </c>
    </row>
    <row r="376" spans="1:11" x14ac:dyDescent="0.25">
      <c r="A376" s="4" t="s">
        <v>402</v>
      </c>
      <c r="B376" t="s">
        <v>12</v>
      </c>
      <c r="C376" t="s">
        <v>6</v>
      </c>
      <c r="D376" s="3">
        <f t="shared" si="35"/>
        <v>86</v>
      </c>
      <c r="E376" s="4">
        <f t="shared" si="36"/>
        <v>12</v>
      </c>
      <c r="F376" s="4">
        <f t="shared" si="37"/>
        <v>16</v>
      </c>
      <c r="G376" s="3">
        <f>IF(E376&gt;=20,2000,1900) + D376</f>
        <v>1986</v>
      </c>
      <c r="H376">
        <f t="shared" si="38"/>
        <v>12</v>
      </c>
      <c r="I376" s="4">
        <f t="shared" si="39"/>
        <v>16</v>
      </c>
      <c r="J376">
        <f t="shared" si="40"/>
        <v>19861216</v>
      </c>
      <c r="K376">
        <f t="shared" si="41"/>
        <v>20</v>
      </c>
    </row>
    <row r="377" spans="1:11" x14ac:dyDescent="0.25">
      <c r="A377" s="4" t="s">
        <v>403</v>
      </c>
      <c r="B377" t="s">
        <v>18</v>
      </c>
      <c r="C377" t="s">
        <v>4</v>
      </c>
      <c r="D377" s="3">
        <f t="shared" si="35"/>
        <v>57</v>
      </c>
      <c r="E377" s="4">
        <f t="shared" si="36"/>
        <v>12</v>
      </c>
      <c r="F377" s="4">
        <f t="shared" si="37"/>
        <v>16</v>
      </c>
      <c r="G377" s="3">
        <f>IF(E377&gt;=20,2000,1900) + D377</f>
        <v>1957</v>
      </c>
      <c r="H377">
        <f t="shared" si="38"/>
        <v>12</v>
      </c>
      <c r="I377" s="4">
        <f t="shared" si="39"/>
        <v>16</v>
      </c>
      <c r="J377">
        <f t="shared" si="40"/>
        <v>19571216</v>
      </c>
      <c r="K377">
        <f t="shared" si="41"/>
        <v>20</v>
      </c>
    </row>
    <row r="378" spans="1:11" x14ac:dyDescent="0.25">
      <c r="A378" s="4" t="s">
        <v>404</v>
      </c>
      <c r="B378" t="s">
        <v>7</v>
      </c>
      <c r="C378" t="s">
        <v>4</v>
      </c>
      <c r="D378" s="3">
        <f t="shared" si="35"/>
        <v>60</v>
      </c>
      <c r="E378" s="4">
        <f t="shared" si="36"/>
        <v>2</v>
      </c>
      <c r="F378" s="4">
        <f t="shared" si="37"/>
        <v>7</v>
      </c>
      <c r="G378" s="3">
        <f>IF(E378&gt;=20,2000,1900) + D378</f>
        <v>1960</v>
      </c>
      <c r="H378">
        <f t="shared" si="38"/>
        <v>2</v>
      </c>
      <c r="I378" s="4">
        <f t="shared" si="39"/>
        <v>7</v>
      </c>
      <c r="J378">
        <f t="shared" si="40"/>
        <v>19600207</v>
      </c>
      <c r="K378">
        <f t="shared" si="41"/>
        <v>20</v>
      </c>
    </row>
    <row r="379" spans="1:11" x14ac:dyDescent="0.25">
      <c r="A379" s="4" t="s">
        <v>405</v>
      </c>
      <c r="B379" t="s">
        <v>12</v>
      </c>
      <c r="C379" t="s">
        <v>4</v>
      </c>
      <c r="D379" s="3">
        <f t="shared" si="35"/>
        <v>75</v>
      </c>
      <c r="E379" s="4">
        <f t="shared" si="36"/>
        <v>2</v>
      </c>
      <c r="F379" s="4">
        <f t="shared" si="37"/>
        <v>4</v>
      </c>
      <c r="G379" s="3">
        <f>IF(E379&gt;=20,2000,1900) + D379</f>
        <v>1975</v>
      </c>
      <c r="H379">
        <f t="shared" si="38"/>
        <v>2</v>
      </c>
      <c r="I379" s="4">
        <f t="shared" si="39"/>
        <v>4</v>
      </c>
      <c r="J379">
        <f t="shared" si="40"/>
        <v>19750204</v>
      </c>
      <c r="K379">
        <f t="shared" si="41"/>
        <v>20</v>
      </c>
    </row>
    <row r="380" spans="1:11" x14ac:dyDescent="0.25">
      <c r="A380" s="4" t="s">
        <v>406</v>
      </c>
      <c r="B380" t="s">
        <v>18</v>
      </c>
      <c r="C380" t="s">
        <v>4</v>
      </c>
      <c r="D380" s="3">
        <f t="shared" si="35"/>
        <v>77</v>
      </c>
      <c r="E380" s="4">
        <f t="shared" si="36"/>
        <v>11</v>
      </c>
      <c r="F380" s="4">
        <f t="shared" si="37"/>
        <v>15</v>
      </c>
      <c r="G380" s="3">
        <f>IF(E380&gt;=20,2000,1900) + D380</f>
        <v>1977</v>
      </c>
      <c r="H380">
        <f t="shared" si="38"/>
        <v>11</v>
      </c>
      <c r="I380" s="4">
        <f t="shared" si="39"/>
        <v>15</v>
      </c>
      <c r="J380">
        <f t="shared" si="40"/>
        <v>19771115</v>
      </c>
      <c r="K380">
        <f t="shared" si="41"/>
        <v>20</v>
      </c>
    </row>
    <row r="381" spans="1:11" x14ac:dyDescent="0.25">
      <c r="A381" s="4" t="s">
        <v>407</v>
      </c>
      <c r="B381" t="s">
        <v>16</v>
      </c>
      <c r="C381" t="s">
        <v>4</v>
      </c>
      <c r="D381" s="3">
        <f t="shared" si="35"/>
        <v>58</v>
      </c>
      <c r="E381" s="4">
        <f t="shared" si="36"/>
        <v>2</v>
      </c>
      <c r="F381" s="4">
        <f t="shared" si="37"/>
        <v>17</v>
      </c>
      <c r="G381" s="3">
        <f>IF(E381&gt;=20,2000,1900) + D381</f>
        <v>1958</v>
      </c>
      <c r="H381">
        <f t="shared" si="38"/>
        <v>2</v>
      </c>
      <c r="I381" s="4">
        <f t="shared" si="39"/>
        <v>17</v>
      </c>
      <c r="J381">
        <f t="shared" si="40"/>
        <v>19580217</v>
      </c>
      <c r="K381">
        <f t="shared" si="41"/>
        <v>20</v>
      </c>
    </row>
    <row r="382" spans="1:11" x14ac:dyDescent="0.25">
      <c r="A382" s="4" t="s">
        <v>408</v>
      </c>
      <c r="B382" t="s">
        <v>13</v>
      </c>
      <c r="C382" t="s">
        <v>4</v>
      </c>
      <c r="D382" s="3">
        <f t="shared" si="35"/>
        <v>76</v>
      </c>
      <c r="E382" s="4">
        <f t="shared" si="36"/>
        <v>8</v>
      </c>
      <c r="F382" s="4">
        <f t="shared" si="37"/>
        <v>27</v>
      </c>
      <c r="G382" s="3">
        <f>IF(E382&gt;=20,2000,1900) + D382</f>
        <v>1976</v>
      </c>
      <c r="H382">
        <f t="shared" si="38"/>
        <v>8</v>
      </c>
      <c r="I382" s="4">
        <f t="shared" si="39"/>
        <v>27</v>
      </c>
      <c r="J382">
        <f t="shared" si="40"/>
        <v>19760827</v>
      </c>
      <c r="K382">
        <f t="shared" si="41"/>
        <v>20</v>
      </c>
    </row>
    <row r="383" spans="1:11" x14ac:dyDescent="0.25">
      <c r="A383" s="4" t="s">
        <v>409</v>
      </c>
      <c r="B383" t="s">
        <v>7</v>
      </c>
      <c r="C383" t="s">
        <v>4</v>
      </c>
      <c r="D383" s="3">
        <f t="shared" si="35"/>
        <v>98</v>
      </c>
      <c r="E383" s="4">
        <f t="shared" si="36"/>
        <v>6</v>
      </c>
      <c r="F383" s="4">
        <f t="shared" si="37"/>
        <v>7</v>
      </c>
      <c r="G383" s="3">
        <f>IF(E383&gt;=20,2000,1900) + D383</f>
        <v>1998</v>
      </c>
      <c r="H383">
        <f t="shared" si="38"/>
        <v>6</v>
      </c>
      <c r="I383" s="4">
        <f t="shared" si="39"/>
        <v>7</v>
      </c>
      <c r="J383">
        <f t="shared" si="40"/>
        <v>19980607</v>
      </c>
      <c r="K383">
        <f t="shared" si="41"/>
        <v>20</v>
      </c>
    </row>
    <row r="384" spans="1:11" x14ac:dyDescent="0.25">
      <c r="A384" s="4" t="s">
        <v>410</v>
      </c>
      <c r="B384" t="s">
        <v>5</v>
      </c>
      <c r="C384" t="s">
        <v>6</v>
      </c>
      <c r="D384" s="3">
        <f t="shared" si="35"/>
        <v>50</v>
      </c>
      <c r="E384" s="4">
        <f t="shared" si="36"/>
        <v>11</v>
      </c>
      <c r="F384" s="4">
        <f t="shared" si="37"/>
        <v>19</v>
      </c>
      <c r="G384" s="3">
        <f>IF(E384&gt;=20,2000,1900) + D384</f>
        <v>1950</v>
      </c>
      <c r="H384">
        <f t="shared" si="38"/>
        <v>11</v>
      </c>
      <c r="I384" s="4">
        <f t="shared" si="39"/>
        <v>19</v>
      </c>
      <c r="J384">
        <f t="shared" si="40"/>
        <v>19501119</v>
      </c>
      <c r="K384">
        <f t="shared" si="41"/>
        <v>20</v>
      </c>
    </row>
    <row r="385" spans="1:11" x14ac:dyDescent="0.25">
      <c r="A385" s="4" t="s">
        <v>411</v>
      </c>
      <c r="B385" t="s">
        <v>5</v>
      </c>
      <c r="C385" t="s">
        <v>6</v>
      </c>
      <c r="D385" s="3">
        <f t="shared" si="35"/>
        <v>64</v>
      </c>
      <c r="E385" s="4">
        <f t="shared" si="36"/>
        <v>1</v>
      </c>
      <c r="F385" s="4">
        <f t="shared" si="37"/>
        <v>19</v>
      </c>
      <c r="G385" s="3">
        <f>IF(E385&gt;=20,2000,1900) + D385</f>
        <v>1964</v>
      </c>
      <c r="H385">
        <f t="shared" si="38"/>
        <v>1</v>
      </c>
      <c r="I385" s="4">
        <f t="shared" si="39"/>
        <v>19</v>
      </c>
      <c r="J385">
        <f t="shared" si="40"/>
        <v>19640119</v>
      </c>
      <c r="K385">
        <f t="shared" si="41"/>
        <v>20</v>
      </c>
    </row>
    <row r="386" spans="1:11" x14ac:dyDescent="0.25">
      <c r="A386" s="4" t="s">
        <v>412</v>
      </c>
      <c r="B386" t="s">
        <v>10</v>
      </c>
      <c r="C386" t="s">
        <v>6</v>
      </c>
      <c r="D386" s="3">
        <f t="shared" si="35"/>
        <v>64</v>
      </c>
      <c r="E386" s="4">
        <f t="shared" si="36"/>
        <v>11</v>
      </c>
      <c r="F386" s="4">
        <f t="shared" si="37"/>
        <v>19</v>
      </c>
      <c r="G386" s="3">
        <f>IF(E386&gt;=20,2000,1900) + D386</f>
        <v>1964</v>
      </c>
      <c r="H386">
        <f t="shared" si="38"/>
        <v>11</v>
      </c>
      <c r="I386" s="4">
        <f t="shared" si="39"/>
        <v>19</v>
      </c>
      <c r="J386">
        <f t="shared" si="40"/>
        <v>19641119</v>
      </c>
      <c r="K386">
        <f t="shared" si="41"/>
        <v>20</v>
      </c>
    </row>
    <row r="387" spans="1:11" x14ac:dyDescent="0.25">
      <c r="A387" s="4" t="s">
        <v>413</v>
      </c>
      <c r="B387" t="s">
        <v>14</v>
      </c>
      <c r="C387" t="s">
        <v>6</v>
      </c>
      <c r="D387" s="3">
        <f t="shared" ref="D387:D450" si="42">MID(A387,1,2)*1</f>
        <v>67</v>
      </c>
      <c r="E387" s="4">
        <f t="shared" ref="E387:E450" si="43">MID(A387,3,2)*1</f>
        <v>9</v>
      </c>
      <c r="F387" s="4">
        <f t="shared" ref="F387:F450" si="44">MID(A387,5,2)*1</f>
        <v>8</v>
      </c>
      <c r="G387" s="3">
        <f>IF(E387&gt;=20,2000,1900) + D387</f>
        <v>1967</v>
      </c>
      <c r="H387">
        <f t="shared" ref="H387:H450" si="45">IF(E387&gt;=20,E387-20,E387)</f>
        <v>9</v>
      </c>
      <c r="I387" s="4">
        <f t="shared" ref="I387:I450" si="46">F387</f>
        <v>8</v>
      </c>
      <c r="J387">
        <f t="shared" ref="J387:J450" si="47">CONCATENATE(G387,IF(LEN(E387)=1,CONCATENATE("0",E387),E387),IF(LEN(F387)=1,CONCATENATE("0",F387),F387))*1</f>
        <v>19670908</v>
      </c>
      <c r="K387">
        <f t="shared" ref="K387:K450" si="48">IF(G387&lt;=2000,20,21)</f>
        <v>20</v>
      </c>
    </row>
    <row r="388" spans="1:11" x14ac:dyDescent="0.25">
      <c r="A388" s="4" t="s">
        <v>414</v>
      </c>
      <c r="B388" t="s">
        <v>3</v>
      </c>
      <c r="C388" t="s">
        <v>6</v>
      </c>
      <c r="D388" s="3">
        <f t="shared" si="42"/>
        <v>55</v>
      </c>
      <c r="E388" s="4">
        <f t="shared" si="43"/>
        <v>1</v>
      </c>
      <c r="F388" s="4">
        <f t="shared" si="44"/>
        <v>17</v>
      </c>
      <c r="G388" s="3">
        <f>IF(E388&gt;=20,2000,1900) + D388</f>
        <v>1955</v>
      </c>
      <c r="H388">
        <f t="shared" si="45"/>
        <v>1</v>
      </c>
      <c r="I388" s="4">
        <f t="shared" si="46"/>
        <v>17</v>
      </c>
      <c r="J388">
        <f t="shared" si="47"/>
        <v>19550117</v>
      </c>
      <c r="K388">
        <f t="shared" si="48"/>
        <v>20</v>
      </c>
    </row>
    <row r="389" spans="1:11" x14ac:dyDescent="0.25">
      <c r="A389" s="4" t="s">
        <v>415</v>
      </c>
      <c r="B389" t="s">
        <v>16</v>
      </c>
      <c r="C389" t="s">
        <v>4</v>
      </c>
      <c r="D389" s="3">
        <f t="shared" si="42"/>
        <v>76</v>
      </c>
      <c r="E389" s="4">
        <f t="shared" si="43"/>
        <v>9</v>
      </c>
      <c r="F389" s="4">
        <f t="shared" si="44"/>
        <v>4</v>
      </c>
      <c r="G389" s="3">
        <f>IF(E389&gt;=20,2000,1900) + D389</f>
        <v>1976</v>
      </c>
      <c r="H389">
        <f t="shared" si="45"/>
        <v>9</v>
      </c>
      <c r="I389" s="4">
        <f t="shared" si="46"/>
        <v>4</v>
      </c>
      <c r="J389">
        <f t="shared" si="47"/>
        <v>19760904</v>
      </c>
      <c r="K389">
        <f t="shared" si="48"/>
        <v>20</v>
      </c>
    </row>
    <row r="390" spans="1:11" x14ac:dyDescent="0.25">
      <c r="A390" s="4" t="s">
        <v>416</v>
      </c>
      <c r="B390" t="s">
        <v>19</v>
      </c>
      <c r="C390" t="s">
        <v>6</v>
      </c>
      <c r="D390" s="3">
        <f t="shared" si="42"/>
        <v>80</v>
      </c>
      <c r="E390" s="4">
        <f t="shared" si="43"/>
        <v>2</v>
      </c>
      <c r="F390" s="4">
        <f t="shared" si="44"/>
        <v>8</v>
      </c>
      <c r="G390" s="3">
        <f>IF(E390&gt;=20,2000,1900) + D390</f>
        <v>1980</v>
      </c>
      <c r="H390">
        <f t="shared" si="45"/>
        <v>2</v>
      </c>
      <c r="I390" s="4">
        <f t="shared" si="46"/>
        <v>8</v>
      </c>
      <c r="J390">
        <f t="shared" si="47"/>
        <v>19800208</v>
      </c>
      <c r="K390">
        <f t="shared" si="48"/>
        <v>20</v>
      </c>
    </row>
    <row r="391" spans="1:11" x14ac:dyDescent="0.25">
      <c r="A391" s="4" t="s">
        <v>417</v>
      </c>
      <c r="B391" t="s">
        <v>17</v>
      </c>
      <c r="C391" t="s">
        <v>6</v>
      </c>
      <c r="D391" s="3">
        <f t="shared" si="42"/>
        <v>73</v>
      </c>
      <c r="E391" s="4">
        <f t="shared" si="43"/>
        <v>2</v>
      </c>
      <c r="F391" s="4">
        <f t="shared" si="44"/>
        <v>1</v>
      </c>
      <c r="G391" s="3">
        <f>IF(E391&gt;=20,2000,1900) + D391</f>
        <v>1973</v>
      </c>
      <c r="H391">
        <f t="shared" si="45"/>
        <v>2</v>
      </c>
      <c r="I391" s="4">
        <f t="shared" si="46"/>
        <v>1</v>
      </c>
      <c r="J391">
        <f t="shared" si="47"/>
        <v>19730201</v>
      </c>
      <c r="K391">
        <f t="shared" si="48"/>
        <v>20</v>
      </c>
    </row>
    <row r="392" spans="1:11" x14ac:dyDescent="0.25">
      <c r="A392" s="4" t="s">
        <v>418</v>
      </c>
      <c r="B392" t="s">
        <v>20</v>
      </c>
      <c r="C392" t="s">
        <v>4</v>
      </c>
      <c r="D392" s="3">
        <f t="shared" si="42"/>
        <v>67</v>
      </c>
      <c r="E392" s="4">
        <f t="shared" si="43"/>
        <v>3</v>
      </c>
      <c r="F392" s="4">
        <f t="shared" si="44"/>
        <v>4</v>
      </c>
      <c r="G392" s="3">
        <f>IF(E392&gt;=20,2000,1900) + D392</f>
        <v>1967</v>
      </c>
      <c r="H392">
        <f t="shared" si="45"/>
        <v>3</v>
      </c>
      <c r="I392" s="4">
        <f t="shared" si="46"/>
        <v>4</v>
      </c>
      <c r="J392">
        <f t="shared" si="47"/>
        <v>19670304</v>
      </c>
      <c r="K392">
        <f t="shared" si="48"/>
        <v>20</v>
      </c>
    </row>
    <row r="393" spans="1:11" x14ac:dyDescent="0.25">
      <c r="A393" s="4" t="s">
        <v>419</v>
      </c>
      <c r="B393" t="s">
        <v>8</v>
      </c>
      <c r="C393" t="s">
        <v>4</v>
      </c>
      <c r="D393" s="3">
        <f t="shared" si="42"/>
        <v>93</v>
      </c>
      <c r="E393" s="4">
        <f t="shared" si="43"/>
        <v>2</v>
      </c>
      <c r="F393" s="4">
        <f t="shared" si="44"/>
        <v>12</v>
      </c>
      <c r="G393" s="3">
        <f>IF(E393&gt;=20,2000,1900) + D393</f>
        <v>1993</v>
      </c>
      <c r="H393">
        <f t="shared" si="45"/>
        <v>2</v>
      </c>
      <c r="I393" s="4">
        <f t="shared" si="46"/>
        <v>12</v>
      </c>
      <c r="J393">
        <f t="shared" si="47"/>
        <v>19930212</v>
      </c>
      <c r="K393">
        <f t="shared" si="48"/>
        <v>20</v>
      </c>
    </row>
    <row r="394" spans="1:11" x14ac:dyDescent="0.25">
      <c r="A394" s="4" t="s">
        <v>420</v>
      </c>
      <c r="B394" t="s">
        <v>5</v>
      </c>
      <c r="C394" t="s">
        <v>4</v>
      </c>
      <c r="D394" s="3">
        <f t="shared" si="42"/>
        <v>89</v>
      </c>
      <c r="E394" s="4">
        <f t="shared" si="43"/>
        <v>5</v>
      </c>
      <c r="F394" s="4">
        <f t="shared" si="44"/>
        <v>5</v>
      </c>
      <c r="G394" s="3">
        <f>IF(E394&gt;=20,2000,1900) + D394</f>
        <v>1989</v>
      </c>
      <c r="H394">
        <f t="shared" si="45"/>
        <v>5</v>
      </c>
      <c r="I394" s="4">
        <f t="shared" si="46"/>
        <v>5</v>
      </c>
      <c r="J394">
        <f t="shared" si="47"/>
        <v>19890505</v>
      </c>
      <c r="K394">
        <f t="shared" si="48"/>
        <v>20</v>
      </c>
    </row>
    <row r="395" spans="1:11" x14ac:dyDescent="0.25">
      <c r="A395" s="4" t="s">
        <v>421</v>
      </c>
      <c r="B395" t="s">
        <v>16</v>
      </c>
      <c r="C395" t="s">
        <v>4</v>
      </c>
      <c r="D395" s="3">
        <f t="shared" si="42"/>
        <v>73</v>
      </c>
      <c r="E395" s="4">
        <f t="shared" si="43"/>
        <v>10</v>
      </c>
      <c r="F395" s="4">
        <f t="shared" si="44"/>
        <v>14</v>
      </c>
      <c r="G395" s="3">
        <f>IF(E395&gt;=20,2000,1900) + D395</f>
        <v>1973</v>
      </c>
      <c r="H395">
        <f t="shared" si="45"/>
        <v>10</v>
      </c>
      <c r="I395" s="4">
        <f t="shared" si="46"/>
        <v>14</v>
      </c>
      <c r="J395">
        <f t="shared" si="47"/>
        <v>19731014</v>
      </c>
      <c r="K395">
        <f t="shared" si="48"/>
        <v>20</v>
      </c>
    </row>
    <row r="396" spans="1:11" x14ac:dyDescent="0.25">
      <c r="A396" s="4" t="s">
        <v>422</v>
      </c>
      <c r="B396" t="s">
        <v>3</v>
      </c>
      <c r="C396" t="s">
        <v>6</v>
      </c>
      <c r="D396" s="3">
        <f t="shared" si="42"/>
        <v>85</v>
      </c>
      <c r="E396" s="4">
        <f t="shared" si="43"/>
        <v>7</v>
      </c>
      <c r="F396" s="4">
        <f t="shared" si="44"/>
        <v>14</v>
      </c>
      <c r="G396" s="3">
        <f>IF(E396&gt;=20,2000,1900) + D396</f>
        <v>1985</v>
      </c>
      <c r="H396">
        <f t="shared" si="45"/>
        <v>7</v>
      </c>
      <c r="I396" s="4">
        <f t="shared" si="46"/>
        <v>14</v>
      </c>
      <c r="J396">
        <f t="shared" si="47"/>
        <v>19850714</v>
      </c>
      <c r="K396">
        <f t="shared" si="48"/>
        <v>20</v>
      </c>
    </row>
    <row r="397" spans="1:11" x14ac:dyDescent="0.25">
      <c r="A397" s="4" t="s">
        <v>423</v>
      </c>
      <c r="B397" t="s">
        <v>5</v>
      </c>
      <c r="C397" t="s">
        <v>6</v>
      </c>
      <c r="D397" s="3">
        <f t="shared" si="42"/>
        <v>65</v>
      </c>
      <c r="E397" s="4">
        <f t="shared" si="43"/>
        <v>7</v>
      </c>
      <c r="F397" s="4">
        <f t="shared" si="44"/>
        <v>14</v>
      </c>
      <c r="G397" s="3">
        <f>IF(E397&gt;=20,2000,1900) + D397</f>
        <v>1965</v>
      </c>
      <c r="H397">
        <f t="shared" si="45"/>
        <v>7</v>
      </c>
      <c r="I397" s="4">
        <f t="shared" si="46"/>
        <v>14</v>
      </c>
      <c r="J397">
        <f t="shared" si="47"/>
        <v>19650714</v>
      </c>
      <c r="K397">
        <f t="shared" si="48"/>
        <v>20</v>
      </c>
    </row>
    <row r="398" spans="1:11" x14ac:dyDescent="0.25">
      <c r="A398" s="4" t="s">
        <v>424</v>
      </c>
      <c r="B398" t="s">
        <v>20</v>
      </c>
      <c r="C398" t="s">
        <v>4</v>
      </c>
      <c r="D398" s="3">
        <f t="shared" si="42"/>
        <v>61</v>
      </c>
      <c r="E398" s="4">
        <f t="shared" si="43"/>
        <v>2</v>
      </c>
      <c r="F398" s="4">
        <f t="shared" si="44"/>
        <v>13</v>
      </c>
      <c r="G398" s="3">
        <f>IF(E398&gt;=20,2000,1900) + D398</f>
        <v>1961</v>
      </c>
      <c r="H398">
        <f t="shared" si="45"/>
        <v>2</v>
      </c>
      <c r="I398" s="4">
        <f t="shared" si="46"/>
        <v>13</v>
      </c>
      <c r="J398">
        <f t="shared" si="47"/>
        <v>19610213</v>
      </c>
      <c r="K398">
        <f t="shared" si="48"/>
        <v>20</v>
      </c>
    </row>
    <row r="399" spans="1:11" x14ac:dyDescent="0.25">
      <c r="A399" s="4" t="s">
        <v>425</v>
      </c>
      <c r="B399" t="s">
        <v>10</v>
      </c>
      <c r="C399" t="s">
        <v>4</v>
      </c>
      <c r="D399" s="3">
        <f t="shared" si="42"/>
        <v>84</v>
      </c>
      <c r="E399" s="4">
        <f t="shared" si="43"/>
        <v>12</v>
      </c>
      <c r="F399" s="4">
        <f t="shared" si="44"/>
        <v>14</v>
      </c>
      <c r="G399" s="3">
        <f>IF(E399&gt;=20,2000,1900) + D399</f>
        <v>1984</v>
      </c>
      <c r="H399">
        <f t="shared" si="45"/>
        <v>12</v>
      </c>
      <c r="I399" s="4">
        <f t="shared" si="46"/>
        <v>14</v>
      </c>
      <c r="J399">
        <f t="shared" si="47"/>
        <v>19841214</v>
      </c>
      <c r="K399">
        <f t="shared" si="48"/>
        <v>20</v>
      </c>
    </row>
    <row r="400" spans="1:11" x14ac:dyDescent="0.25">
      <c r="A400" s="4" t="s">
        <v>426</v>
      </c>
      <c r="B400" t="s">
        <v>14</v>
      </c>
      <c r="C400" t="s">
        <v>4</v>
      </c>
      <c r="D400" s="3">
        <f t="shared" si="42"/>
        <v>74</v>
      </c>
      <c r="E400" s="4">
        <f t="shared" si="43"/>
        <v>9</v>
      </c>
      <c r="F400" s="4">
        <f t="shared" si="44"/>
        <v>22</v>
      </c>
      <c r="G400" s="3">
        <f>IF(E400&gt;=20,2000,1900) + D400</f>
        <v>1974</v>
      </c>
      <c r="H400">
        <f t="shared" si="45"/>
        <v>9</v>
      </c>
      <c r="I400" s="4">
        <f t="shared" si="46"/>
        <v>22</v>
      </c>
      <c r="J400">
        <f t="shared" si="47"/>
        <v>19740922</v>
      </c>
      <c r="K400">
        <f t="shared" si="48"/>
        <v>20</v>
      </c>
    </row>
    <row r="401" spans="1:11" x14ac:dyDescent="0.25">
      <c r="A401" s="4" t="s">
        <v>427</v>
      </c>
      <c r="B401" t="s">
        <v>17</v>
      </c>
      <c r="C401" t="s">
        <v>4</v>
      </c>
      <c r="D401" s="3">
        <f t="shared" si="42"/>
        <v>53</v>
      </c>
      <c r="E401" s="4">
        <f t="shared" si="43"/>
        <v>5</v>
      </c>
      <c r="F401" s="4">
        <f t="shared" si="44"/>
        <v>27</v>
      </c>
      <c r="G401" s="3">
        <f>IF(E401&gt;=20,2000,1900) + D401</f>
        <v>1953</v>
      </c>
      <c r="H401">
        <f t="shared" si="45"/>
        <v>5</v>
      </c>
      <c r="I401" s="4">
        <f t="shared" si="46"/>
        <v>27</v>
      </c>
      <c r="J401">
        <f t="shared" si="47"/>
        <v>19530527</v>
      </c>
      <c r="K401">
        <f t="shared" si="48"/>
        <v>20</v>
      </c>
    </row>
    <row r="402" spans="1:11" x14ac:dyDescent="0.25">
      <c r="A402" s="4" t="s">
        <v>428</v>
      </c>
      <c r="B402" t="s">
        <v>9</v>
      </c>
      <c r="C402" t="s">
        <v>6</v>
      </c>
      <c r="D402" s="3">
        <f t="shared" si="42"/>
        <v>97</v>
      </c>
      <c r="E402" s="4">
        <f t="shared" si="43"/>
        <v>4</v>
      </c>
      <c r="F402" s="4">
        <f t="shared" si="44"/>
        <v>29</v>
      </c>
      <c r="G402" s="3">
        <f>IF(E402&gt;=20,2000,1900) + D402</f>
        <v>1997</v>
      </c>
      <c r="H402">
        <f t="shared" si="45"/>
        <v>4</v>
      </c>
      <c r="I402" s="4">
        <f t="shared" si="46"/>
        <v>29</v>
      </c>
      <c r="J402">
        <f t="shared" si="47"/>
        <v>19970429</v>
      </c>
      <c r="K402">
        <f t="shared" si="48"/>
        <v>20</v>
      </c>
    </row>
    <row r="403" spans="1:11" x14ac:dyDescent="0.25">
      <c r="A403" s="4" t="s">
        <v>429</v>
      </c>
      <c r="B403" t="s">
        <v>7</v>
      </c>
      <c r="C403" t="s">
        <v>4</v>
      </c>
      <c r="D403" s="3">
        <f t="shared" si="42"/>
        <v>78</v>
      </c>
      <c r="E403" s="4">
        <f t="shared" si="43"/>
        <v>6</v>
      </c>
      <c r="F403" s="4">
        <f t="shared" si="44"/>
        <v>25</v>
      </c>
      <c r="G403" s="3">
        <f>IF(E403&gt;=20,2000,1900) + D403</f>
        <v>1978</v>
      </c>
      <c r="H403">
        <f t="shared" si="45"/>
        <v>6</v>
      </c>
      <c r="I403" s="4">
        <f t="shared" si="46"/>
        <v>25</v>
      </c>
      <c r="J403">
        <f t="shared" si="47"/>
        <v>19780625</v>
      </c>
      <c r="K403">
        <f t="shared" si="48"/>
        <v>20</v>
      </c>
    </row>
    <row r="404" spans="1:11" x14ac:dyDescent="0.25">
      <c r="A404" s="4" t="s">
        <v>430</v>
      </c>
      <c r="B404" t="s">
        <v>11</v>
      </c>
      <c r="C404" t="s">
        <v>4</v>
      </c>
      <c r="D404" s="3">
        <f t="shared" si="42"/>
        <v>65</v>
      </c>
      <c r="E404" s="4">
        <f t="shared" si="43"/>
        <v>11</v>
      </c>
      <c r="F404" s="4">
        <f t="shared" si="44"/>
        <v>19</v>
      </c>
      <c r="G404" s="3">
        <f>IF(E404&gt;=20,2000,1900) + D404</f>
        <v>1965</v>
      </c>
      <c r="H404">
        <f t="shared" si="45"/>
        <v>11</v>
      </c>
      <c r="I404" s="4">
        <f t="shared" si="46"/>
        <v>19</v>
      </c>
      <c r="J404">
        <f t="shared" si="47"/>
        <v>19651119</v>
      </c>
      <c r="K404">
        <f t="shared" si="48"/>
        <v>20</v>
      </c>
    </row>
    <row r="405" spans="1:11" x14ac:dyDescent="0.25">
      <c r="A405" s="4" t="s">
        <v>431</v>
      </c>
      <c r="B405" t="s">
        <v>3</v>
      </c>
      <c r="C405" t="s">
        <v>4</v>
      </c>
      <c r="D405" s="3">
        <f t="shared" si="42"/>
        <v>50</v>
      </c>
      <c r="E405" s="4">
        <f t="shared" si="43"/>
        <v>1</v>
      </c>
      <c r="F405" s="4">
        <f t="shared" si="44"/>
        <v>14</v>
      </c>
      <c r="G405" s="3">
        <f>IF(E405&gt;=20,2000,1900) + D405</f>
        <v>1950</v>
      </c>
      <c r="H405">
        <f t="shared" si="45"/>
        <v>1</v>
      </c>
      <c r="I405" s="4">
        <f t="shared" si="46"/>
        <v>14</v>
      </c>
      <c r="J405">
        <f t="shared" si="47"/>
        <v>19500114</v>
      </c>
      <c r="K405">
        <f t="shared" si="48"/>
        <v>20</v>
      </c>
    </row>
    <row r="406" spans="1:11" x14ac:dyDescent="0.25">
      <c r="A406" s="4" t="s">
        <v>432</v>
      </c>
      <c r="B406" t="s">
        <v>11</v>
      </c>
      <c r="C406" t="s">
        <v>6</v>
      </c>
      <c r="D406" s="3">
        <f t="shared" si="42"/>
        <v>83</v>
      </c>
      <c r="E406" s="4">
        <f t="shared" si="43"/>
        <v>11</v>
      </c>
      <c r="F406" s="4">
        <f t="shared" si="44"/>
        <v>10</v>
      </c>
      <c r="G406" s="3">
        <f>IF(E406&gt;=20,2000,1900) + D406</f>
        <v>1983</v>
      </c>
      <c r="H406">
        <f t="shared" si="45"/>
        <v>11</v>
      </c>
      <c r="I406" s="4">
        <f t="shared" si="46"/>
        <v>10</v>
      </c>
      <c r="J406">
        <f t="shared" si="47"/>
        <v>19831110</v>
      </c>
      <c r="K406">
        <f t="shared" si="48"/>
        <v>20</v>
      </c>
    </row>
    <row r="407" spans="1:11" x14ac:dyDescent="0.25">
      <c r="A407" s="4" t="s">
        <v>433</v>
      </c>
      <c r="B407" t="s">
        <v>17</v>
      </c>
      <c r="C407" t="s">
        <v>6</v>
      </c>
      <c r="D407" s="3">
        <f t="shared" si="42"/>
        <v>75</v>
      </c>
      <c r="E407" s="4">
        <f t="shared" si="43"/>
        <v>12</v>
      </c>
      <c r="F407" s="4">
        <f t="shared" si="44"/>
        <v>21</v>
      </c>
      <c r="G407" s="3">
        <f>IF(E407&gt;=20,2000,1900) + D407</f>
        <v>1975</v>
      </c>
      <c r="H407">
        <f t="shared" si="45"/>
        <v>12</v>
      </c>
      <c r="I407" s="4">
        <f t="shared" si="46"/>
        <v>21</v>
      </c>
      <c r="J407">
        <f t="shared" si="47"/>
        <v>19751221</v>
      </c>
      <c r="K407">
        <f t="shared" si="48"/>
        <v>20</v>
      </c>
    </row>
    <row r="408" spans="1:11" x14ac:dyDescent="0.25">
      <c r="A408" s="4" t="s">
        <v>434</v>
      </c>
      <c r="B408" t="s">
        <v>5</v>
      </c>
      <c r="C408" t="s">
        <v>4</v>
      </c>
      <c r="D408" s="3">
        <f t="shared" si="42"/>
        <v>65</v>
      </c>
      <c r="E408" s="4">
        <f t="shared" si="43"/>
        <v>10</v>
      </c>
      <c r="F408" s="4">
        <f t="shared" si="44"/>
        <v>5</v>
      </c>
      <c r="G408" s="3">
        <f>IF(E408&gt;=20,2000,1900) + D408</f>
        <v>1965</v>
      </c>
      <c r="H408">
        <f t="shared" si="45"/>
        <v>10</v>
      </c>
      <c r="I408" s="4">
        <f t="shared" si="46"/>
        <v>5</v>
      </c>
      <c r="J408">
        <f t="shared" si="47"/>
        <v>19651005</v>
      </c>
      <c r="K408">
        <f t="shared" si="48"/>
        <v>20</v>
      </c>
    </row>
    <row r="409" spans="1:11" x14ac:dyDescent="0.25">
      <c r="A409" s="4" t="s">
        <v>435</v>
      </c>
      <c r="B409" t="s">
        <v>9</v>
      </c>
      <c r="C409" t="s">
        <v>6</v>
      </c>
      <c r="D409" s="3">
        <f t="shared" si="42"/>
        <v>70</v>
      </c>
      <c r="E409" s="4">
        <f t="shared" si="43"/>
        <v>2</v>
      </c>
      <c r="F409" s="4">
        <f t="shared" si="44"/>
        <v>19</v>
      </c>
      <c r="G409" s="3">
        <f>IF(E409&gt;=20,2000,1900) + D409</f>
        <v>1970</v>
      </c>
      <c r="H409">
        <f t="shared" si="45"/>
        <v>2</v>
      </c>
      <c r="I409" s="4">
        <f t="shared" si="46"/>
        <v>19</v>
      </c>
      <c r="J409">
        <f t="shared" si="47"/>
        <v>19700219</v>
      </c>
      <c r="K409">
        <f t="shared" si="48"/>
        <v>20</v>
      </c>
    </row>
    <row r="410" spans="1:11" x14ac:dyDescent="0.25">
      <c r="A410" s="4" t="s">
        <v>436</v>
      </c>
      <c r="B410" t="s">
        <v>15</v>
      </c>
      <c r="C410" t="s">
        <v>4</v>
      </c>
      <c r="D410" s="3">
        <f t="shared" si="42"/>
        <v>79</v>
      </c>
      <c r="E410" s="4">
        <f t="shared" si="43"/>
        <v>5</v>
      </c>
      <c r="F410" s="4">
        <f t="shared" si="44"/>
        <v>30</v>
      </c>
      <c r="G410" s="3">
        <f>IF(E410&gt;=20,2000,1900) + D410</f>
        <v>1979</v>
      </c>
      <c r="H410">
        <f t="shared" si="45"/>
        <v>5</v>
      </c>
      <c r="I410" s="4">
        <f t="shared" si="46"/>
        <v>30</v>
      </c>
      <c r="J410">
        <f t="shared" si="47"/>
        <v>19790530</v>
      </c>
      <c r="K410">
        <f t="shared" si="48"/>
        <v>20</v>
      </c>
    </row>
    <row r="411" spans="1:11" x14ac:dyDescent="0.25">
      <c r="A411" s="4" t="s">
        <v>437</v>
      </c>
      <c r="B411" t="s">
        <v>20</v>
      </c>
      <c r="C411" t="s">
        <v>4</v>
      </c>
      <c r="D411" s="3">
        <f t="shared" si="42"/>
        <v>98</v>
      </c>
      <c r="E411" s="4">
        <f t="shared" si="43"/>
        <v>10</v>
      </c>
      <c r="F411" s="4">
        <f t="shared" si="44"/>
        <v>7</v>
      </c>
      <c r="G411" s="3">
        <f>IF(E411&gt;=20,2000,1900) + D411</f>
        <v>1998</v>
      </c>
      <c r="H411">
        <f t="shared" si="45"/>
        <v>10</v>
      </c>
      <c r="I411" s="4">
        <f t="shared" si="46"/>
        <v>7</v>
      </c>
      <c r="J411">
        <f t="shared" si="47"/>
        <v>19981007</v>
      </c>
      <c r="K411">
        <f t="shared" si="48"/>
        <v>20</v>
      </c>
    </row>
    <row r="412" spans="1:11" x14ac:dyDescent="0.25">
      <c r="A412" s="4" t="s">
        <v>438</v>
      </c>
      <c r="B412" t="s">
        <v>14</v>
      </c>
      <c r="C412" t="s">
        <v>4</v>
      </c>
      <c r="D412" s="3">
        <f t="shared" si="42"/>
        <v>61</v>
      </c>
      <c r="E412" s="4">
        <f t="shared" si="43"/>
        <v>4</v>
      </c>
      <c r="F412" s="4">
        <f t="shared" si="44"/>
        <v>4</v>
      </c>
      <c r="G412" s="3">
        <f>IF(E412&gt;=20,2000,1900) + D412</f>
        <v>1961</v>
      </c>
      <c r="H412">
        <f t="shared" si="45"/>
        <v>4</v>
      </c>
      <c r="I412" s="4">
        <f t="shared" si="46"/>
        <v>4</v>
      </c>
      <c r="J412">
        <f t="shared" si="47"/>
        <v>19610404</v>
      </c>
      <c r="K412">
        <f t="shared" si="48"/>
        <v>20</v>
      </c>
    </row>
    <row r="413" spans="1:11" x14ac:dyDescent="0.25">
      <c r="A413" s="4" t="s">
        <v>439</v>
      </c>
      <c r="B413" t="s">
        <v>13</v>
      </c>
      <c r="C413" t="s">
        <v>4</v>
      </c>
      <c r="D413" s="3">
        <f t="shared" si="42"/>
        <v>54</v>
      </c>
      <c r="E413" s="4">
        <f t="shared" si="43"/>
        <v>12</v>
      </c>
      <c r="F413" s="4">
        <f t="shared" si="44"/>
        <v>9</v>
      </c>
      <c r="G413" s="3">
        <f>IF(E413&gt;=20,2000,1900) + D413</f>
        <v>1954</v>
      </c>
      <c r="H413">
        <f t="shared" si="45"/>
        <v>12</v>
      </c>
      <c r="I413" s="4">
        <f t="shared" si="46"/>
        <v>9</v>
      </c>
      <c r="J413">
        <f t="shared" si="47"/>
        <v>19541209</v>
      </c>
      <c r="K413">
        <f t="shared" si="48"/>
        <v>20</v>
      </c>
    </row>
    <row r="414" spans="1:11" x14ac:dyDescent="0.25">
      <c r="A414" s="4" t="s">
        <v>440</v>
      </c>
      <c r="B414" t="s">
        <v>13</v>
      </c>
      <c r="C414" t="s">
        <v>6</v>
      </c>
      <c r="D414" s="3">
        <f t="shared" si="42"/>
        <v>87</v>
      </c>
      <c r="E414" s="4">
        <f t="shared" si="43"/>
        <v>1</v>
      </c>
      <c r="F414" s="4">
        <f t="shared" si="44"/>
        <v>17</v>
      </c>
      <c r="G414" s="3">
        <f>IF(E414&gt;=20,2000,1900) + D414</f>
        <v>1987</v>
      </c>
      <c r="H414">
        <f t="shared" si="45"/>
        <v>1</v>
      </c>
      <c r="I414" s="4">
        <f t="shared" si="46"/>
        <v>17</v>
      </c>
      <c r="J414">
        <f t="shared" si="47"/>
        <v>19870117</v>
      </c>
      <c r="K414">
        <f t="shared" si="48"/>
        <v>20</v>
      </c>
    </row>
    <row r="415" spans="1:11" x14ac:dyDescent="0.25">
      <c r="A415" s="4" t="s">
        <v>441</v>
      </c>
      <c r="B415" t="s">
        <v>7</v>
      </c>
      <c r="C415" t="s">
        <v>4</v>
      </c>
      <c r="D415" s="3">
        <f t="shared" si="42"/>
        <v>89</v>
      </c>
      <c r="E415" s="4">
        <f t="shared" si="43"/>
        <v>12</v>
      </c>
      <c r="F415" s="4">
        <f t="shared" si="44"/>
        <v>21</v>
      </c>
      <c r="G415" s="3">
        <f>IF(E415&gt;=20,2000,1900) + D415</f>
        <v>1989</v>
      </c>
      <c r="H415">
        <f t="shared" si="45"/>
        <v>12</v>
      </c>
      <c r="I415" s="4">
        <f t="shared" si="46"/>
        <v>21</v>
      </c>
      <c r="J415">
        <f t="shared" si="47"/>
        <v>19891221</v>
      </c>
      <c r="K415">
        <f t="shared" si="48"/>
        <v>20</v>
      </c>
    </row>
    <row r="416" spans="1:11" x14ac:dyDescent="0.25">
      <c r="A416" s="4" t="s">
        <v>442</v>
      </c>
      <c r="B416" t="s">
        <v>15</v>
      </c>
      <c r="C416" t="s">
        <v>4</v>
      </c>
      <c r="D416" s="3">
        <f t="shared" si="42"/>
        <v>63</v>
      </c>
      <c r="E416" s="4">
        <f t="shared" si="43"/>
        <v>10</v>
      </c>
      <c r="F416" s="4">
        <f t="shared" si="44"/>
        <v>25</v>
      </c>
      <c r="G416" s="3">
        <f>IF(E416&gt;=20,2000,1900) + D416</f>
        <v>1963</v>
      </c>
      <c r="H416">
        <f t="shared" si="45"/>
        <v>10</v>
      </c>
      <c r="I416" s="4">
        <f t="shared" si="46"/>
        <v>25</v>
      </c>
      <c r="J416">
        <f t="shared" si="47"/>
        <v>19631025</v>
      </c>
      <c r="K416">
        <f t="shared" si="48"/>
        <v>20</v>
      </c>
    </row>
    <row r="417" spans="1:11" x14ac:dyDescent="0.25">
      <c r="A417" s="4" t="s">
        <v>443</v>
      </c>
      <c r="B417" t="s">
        <v>20</v>
      </c>
      <c r="C417" t="s">
        <v>6</v>
      </c>
      <c r="D417" s="3">
        <f t="shared" si="42"/>
        <v>91</v>
      </c>
      <c r="E417" s="4">
        <f t="shared" si="43"/>
        <v>10</v>
      </c>
      <c r="F417" s="4">
        <f t="shared" si="44"/>
        <v>17</v>
      </c>
      <c r="G417" s="3">
        <f>IF(E417&gt;=20,2000,1900) + D417</f>
        <v>1991</v>
      </c>
      <c r="H417">
        <f t="shared" si="45"/>
        <v>10</v>
      </c>
      <c r="I417" s="4">
        <f t="shared" si="46"/>
        <v>17</v>
      </c>
      <c r="J417">
        <f t="shared" si="47"/>
        <v>19911017</v>
      </c>
      <c r="K417">
        <f t="shared" si="48"/>
        <v>20</v>
      </c>
    </row>
    <row r="418" spans="1:11" x14ac:dyDescent="0.25">
      <c r="A418" s="4" t="s">
        <v>444</v>
      </c>
      <c r="B418" t="s">
        <v>14</v>
      </c>
      <c r="C418" t="s">
        <v>6</v>
      </c>
      <c r="D418" s="3">
        <f t="shared" si="42"/>
        <v>73</v>
      </c>
      <c r="E418" s="4">
        <f t="shared" si="43"/>
        <v>4</v>
      </c>
      <c r="F418" s="4">
        <f t="shared" si="44"/>
        <v>12</v>
      </c>
      <c r="G418" s="3">
        <f>IF(E418&gt;=20,2000,1900) + D418</f>
        <v>1973</v>
      </c>
      <c r="H418">
        <f t="shared" si="45"/>
        <v>4</v>
      </c>
      <c r="I418" s="4">
        <f t="shared" si="46"/>
        <v>12</v>
      </c>
      <c r="J418">
        <f t="shared" si="47"/>
        <v>19730412</v>
      </c>
      <c r="K418">
        <f t="shared" si="48"/>
        <v>20</v>
      </c>
    </row>
    <row r="419" spans="1:11" x14ac:dyDescent="0.25">
      <c r="A419" s="4" t="s">
        <v>445</v>
      </c>
      <c r="B419" t="s">
        <v>19</v>
      </c>
      <c r="C419" t="s">
        <v>4</v>
      </c>
      <c r="D419" s="3">
        <f t="shared" si="42"/>
        <v>63</v>
      </c>
      <c r="E419" s="4">
        <f t="shared" si="43"/>
        <v>10</v>
      </c>
      <c r="F419" s="4">
        <f t="shared" si="44"/>
        <v>12</v>
      </c>
      <c r="G419" s="3">
        <f>IF(E419&gt;=20,2000,1900) + D419</f>
        <v>1963</v>
      </c>
      <c r="H419">
        <f t="shared" si="45"/>
        <v>10</v>
      </c>
      <c r="I419" s="4">
        <f t="shared" si="46"/>
        <v>12</v>
      </c>
      <c r="J419">
        <f t="shared" si="47"/>
        <v>19631012</v>
      </c>
      <c r="K419">
        <f t="shared" si="48"/>
        <v>20</v>
      </c>
    </row>
    <row r="420" spans="1:11" x14ac:dyDescent="0.25">
      <c r="A420" s="4" t="s">
        <v>446</v>
      </c>
      <c r="B420" t="s">
        <v>10</v>
      </c>
      <c r="C420" t="s">
        <v>6</v>
      </c>
      <c r="D420" s="3">
        <f t="shared" si="42"/>
        <v>84</v>
      </c>
      <c r="E420" s="4">
        <f t="shared" si="43"/>
        <v>2</v>
      </c>
      <c r="F420" s="4">
        <f t="shared" si="44"/>
        <v>14</v>
      </c>
      <c r="G420" s="3">
        <f>IF(E420&gt;=20,2000,1900) + D420</f>
        <v>1984</v>
      </c>
      <c r="H420">
        <f t="shared" si="45"/>
        <v>2</v>
      </c>
      <c r="I420" s="4">
        <f t="shared" si="46"/>
        <v>14</v>
      </c>
      <c r="J420">
        <f t="shared" si="47"/>
        <v>19840214</v>
      </c>
      <c r="K420">
        <f t="shared" si="48"/>
        <v>20</v>
      </c>
    </row>
    <row r="421" spans="1:11" x14ac:dyDescent="0.25">
      <c r="A421" s="4" t="s">
        <v>447</v>
      </c>
      <c r="B421" t="s">
        <v>5</v>
      </c>
      <c r="C421" t="s">
        <v>4</v>
      </c>
      <c r="D421" s="3">
        <f t="shared" si="42"/>
        <v>87</v>
      </c>
      <c r="E421" s="4">
        <f t="shared" si="43"/>
        <v>5</v>
      </c>
      <c r="F421" s="4">
        <f t="shared" si="44"/>
        <v>13</v>
      </c>
      <c r="G421" s="3">
        <f>IF(E421&gt;=20,2000,1900) + D421</f>
        <v>1987</v>
      </c>
      <c r="H421">
        <f t="shared" si="45"/>
        <v>5</v>
      </c>
      <c r="I421" s="4">
        <f t="shared" si="46"/>
        <v>13</v>
      </c>
      <c r="J421">
        <f t="shared" si="47"/>
        <v>19870513</v>
      </c>
      <c r="K421">
        <f t="shared" si="48"/>
        <v>20</v>
      </c>
    </row>
    <row r="422" spans="1:11" x14ac:dyDescent="0.25">
      <c r="A422" s="4" t="s">
        <v>448</v>
      </c>
      <c r="B422" t="s">
        <v>17</v>
      </c>
      <c r="C422" t="s">
        <v>4</v>
      </c>
      <c r="D422" s="3">
        <f t="shared" si="42"/>
        <v>87</v>
      </c>
      <c r="E422" s="4">
        <f t="shared" si="43"/>
        <v>12</v>
      </c>
      <c r="F422" s="4">
        <f t="shared" si="44"/>
        <v>22</v>
      </c>
      <c r="G422" s="3">
        <f>IF(E422&gt;=20,2000,1900) + D422</f>
        <v>1987</v>
      </c>
      <c r="H422">
        <f t="shared" si="45"/>
        <v>12</v>
      </c>
      <c r="I422" s="4">
        <f t="shared" si="46"/>
        <v>22</v>
      </c>
      <c r="J422">
        <f t="shared" si="47"/>
        <v>19871222</v>
      </c>
      <c r="K422">
        <f t="shared" si="48"/>
        <v>20</v>
      </c>
    </row>
    <row r="423" spans="1:11" x14ac:dyDescent="0.25">
      <c r="A423" s="4" t="s">
        <v>449</v>
      </c>
      <c r="B423" t="s">
        <v>12</v>
      </c>
      <c r="C423" t="s">
        <v>4</v>
      </c>
      <c r="D423" s="3">
        <f t="shared" si="42"/>
        <v>63</v>
      </c>
      <c r="E423" s="4">
        <f t="shared" si="43"/>
        <v>6</v>
      </c>
      <c r="F423" s="4">
        <f t="shared" si="44"/>
        <v>29</v>
      </c>
      <c r="G423" s="3">
        <f>IF(E423&gt;=20,2000,1900) + D423</f>
        <v>1963</v>
      </c>
      <c r="H423">
        <f t="shared" si="45"/>
        <v>6</v>
      </c>
      <c r="I423" s="4">
        <f t="shared" si="46"/>
        <v>29</v>
      </c>
      <c r="J423">
        <f t="shared" si="47"/>
        <v>19630629</v>
      </c>
      <c r="K423">
        <f t="shared" si="48"/>
        <v>20</v>
      </c>
    </row>
    <row r="424" spans="1:11" x14ac:dyDescent="0.25">
      <c r="A424" s="4" t="s">
        <v>450</v>
      </c>
      <c r="B424" t="s">
        <v>19</v>
      </c>
      <c r="C424" t="s">
        <v>6</v>
      </c>
      <c r="D424" s="3">
        <f t="shared" si="42"/>
        <v>99</v>
      </c>
      <c r="E424" s="4">
        <f t="shared" si="43"/>
        <v>1</v>
      </c>
      <c r="F424" s="4">
        <f t="shared" si="44"/>
        <v>12</v>
      </c>
      <c r="G424" s="3">
        <f>IF(E424&gt;=20,2000,1900) + D424</f>
        <v>1999</v>
      </c>
      <c r="H424">
        <f t="shared" si="45"/>
        <v>1</v>
      </c>
      <c r="I424" s="4">
        <f t="shared" si="46"/>
        <v>12</v>
      </c>
      <c r="J424">
        <f t="shared" si="47"/>
        <v>19990112</v>
      </c>
      <c r="K424">
        <f t="shared" si="48"/>
        <v>20</v>
      </c>
    </row>
    <row r="425" spans="1:11" x14ac:dyDescent="0.25">
      <c r="A425" s="4" t="s">
        <v>451</v>
      </c>
      <c r="B425" t="s">
        <v>19</v>
      </c>
      <c r="C425" t="s">
        <v>6</v>
      </c>
      <c r="D425" s="3">
        <f t="shared" si="42"/>
        <v>72</v>
      </c>
      <c r="E425" s="4">
        <f t="shared" si="43"/>
        <v>11</v>
      </c>
      <c r="F425" s="4">
        <f t="shared" si="44"/>
        <v>7</v>
      </c>
      <c r="G425" s="3">
        <f>IF(E425&gt;=20,2000,1900) + D425</f>
        <v>1972</v>
      </c>
      <c r="H425">
        <f t="shared" si="45"/>
        <v>11</v>
      </c>
      <c r="I425" s="4">
        <f t="shared" si="46"/>
        <v>7</v>
      </c>
      <c r="J425">
        <f t="shared" si="47"/>
        <v>19721107</v>
      </c>
      <c r="K425">
        <f t="shared" si="48"/>
        <v>20</v>
      </c>
    </row>
    <row r="426" spans="1:11" x14ac:dyDescent="0.25">
      <c r="A426" s="4" t="s">
        <v>452</v>
      </c>
      <c r="B426" t="s">
        <v>16</v>
      </c>
      <c r="C426" t="s">
        <v>6</v>
      </c>
      <c r="D426" s="3">
        <f t="shared" si="42"/>
        <v>70</v>
      </c>
      <c r="E426" s="4">
        <f t="shared" si="43"/>
        <v>5</v>
      </c>
      <c r="F426" s="4">
        <f t="shared" si="44"/>
        <v>23</v>
      </c>
      <c r="G426" s="3">
        <f>IF(E426&gt;=20,2000,1900) + D426</f>
        <v>1970</v>
      </c>
      <c r="H426">
        <f t="shared" si="45"/>
        <v>5</v>
      </c>
      <c r="I426" s="4">
        <f t="shared" si="46"/>
        <v>23</v>
      </c>
      <c r="J426">
        <f t="shared" si="47"/>
        <v>19700523</v>
      </c>
      <c r="K426">
        <f t="shared" si="48"/>
        <v>20</v>
      </c>
    </row>
    <row r="427" spans="1:11" x14ac:dyDescent="0.25">
      <c r="A427" s="4" t="s">
        <v>453</v>
      </c>
      <c r="B427" t="s">
        <v>12</v>
      </c>
      <c r="C427" t="s">
        <v>6</v>
      </c>
      <c r="D427" s="3">
        <f t="shared" si="42"/>
        <v>53</v>
      </c>
      <c r="E427" s="4">
        <f t="shared" si="43"/>
        <v>8</v>
      </c>
      <c r="F427" s="4">
        <f t="shared" si="44"/>
        <v>6</v>
      </c>
      <c r="G427" s="3">
        <f>IF(E427&gt;=20,2000,1900) + D427</f>
        <v>1953</v>
      </c>
      <c r="H427">
        <f t="shared" si="45"/>
        <v>8</v>
      </c>
      <c r="I427" s="4">
        <f t="shared" si="46"/>
        <v>6</v>
      </c>
      <c r="J427">
        <f t="shared" si="47"/>
        <v>19530806</v>
      </c>
      <c r="K427">
        <f t="shared" si="48"/>
        <v>20</v>
      </c>
    </row>
    <row r="428" spans="1:11" x14ac:dyDescent="0.25">
      <c r="A428" s="4" t="s">
        <v>454</v>
      </c>
      <c r="B428" t="s">
        <v>13</v>
      </c>
      <c r="C428" t="s">
        <v>6</v>
      </c>
      <c r="D428" s="3">
        <f t="shared" si="42"/>
        <v>63</v>
      </c>
      <c r="E428" s="4">
        <f t="shared" si="43"/>
        <v>9</v>
      </c>
      <c r="F428" s="4">
        <f t="shared" si="44"/>
        <v>26</v>
      </c>
      <c r="G428" s="3">
        <f>IF(E428&gt;=20,2000,1900) + D428</f>
        <v>1963</v>
      </c>
      <c r="H428">
        <f t="shared" si="45"/>
        <v>9</v>
      </c>
      <c r="I428" s="4">
        <f t="shared" si="46"/>
        <v>26</v>
      </c>
      <c r="J428">
        <f t="shared" si="47"/>
        <v>19630926</v>
      </c>
      <c r="K428">
        <f t="shared" si="48"/>
        <v>20</v>
      </c>
    </row>
    <row r="429" spans="1:11" x14ac:dyDescent="0.25">
      <c r="A429" s="4" t="s">
        <v>455</v>
      </c>
      <c r="B429" t="s">
        <v>15</v>
      </c>
      <c r="C429" t="s">
        <v>4</v>
      </c>
      <c r="D429" s="3">
        <f t="shared" si="42"/>
        <v>80</v>
      </c>
      <c r="E429" s="4">
        <f t="shared" si="43"/>
        <v>1</v>
      </c>
      <c r="F429" s="4">
        <f t="shared" si="44"/>
        <v>23</v>
      </c>
      <c r="G429" s="3">
        <f>IF(E429&gt;=20,2000,1900) + D429</f>
        <v>1980</v>
      </c>
      <c r="H429">
        <f t="shared" si="45"/>
        <v>1</v>
      </c>
      <c r="I429" s="4">
        <f t="shared" si="46"/>
        <v>23</v>
      </c>
      <c r="J429">
        <f t="shared" si="47"/>
        <v>19800123</v>
      </c>
      <c r="K429">
        <f t="shared" si="48"/>
        <v>20</v>
      </c>
    </row>
    <row r="430" spans="1:11" x14ac:dyDescent="0.25">
      <c r="A430" s="4" t="s">
        <v>456</v>
      </c>
      <c r="B430" t="s">
        <v>5</v>
      </c>
      <c r="C430" t="s">
        <v>4</v>
      </c>
      <c r="D430" s="3">
        <f t="shared" si="42"/>
        <v>88</v>
      </c>
      <c r="E430" s="4">
        <f t="shared" si="43"/>
        <v>9</v>
      </c>
      <c r="F430" s="4">
        <f t="shared" si="44"/>
        <v>28</v>
      </c>
      <c r="G430" s="3">
        <f>IF(E430&gt;=20,2000,1900) + D430</f>
        <v>1988</v>
      </c>
      <c r="H430">
        <f t="shared" si="45"/>
        <v>9</v>
      </c>
      <c r="I430" s="4">
        <f t="shared" si="46"/>
        <v>28</v>
      </c>
      <c r="J430">
        <f t="shared" si="47"/>
        <v>19880928</v>
      </c>
      <c r="K430">
        <f t="shared" si="48"/>
        <v>20</v>
      </c>
    </row>
    <row r="431" spans="1:11" x14ac:dyDescent="0.25">
      <c r="A431" s="4" t="s">
        <v>457</v>
      </c>
      <c r="B431" t="s">
        <v>18</v>
      </c>
      <c r="C431" t="s">
        <v>6</v>
      </c>
      <c r="D431" s="3">
        <f t="shared" si="42"/>
        <v>63</v>
      </c>
      <c r="E431" s="4">
        <f t="shared" si="43"/>
        <v>6</v>
      </c>
      <c r="F431" s="4">
        <f t="shared" si="44"/>
        <v>20</v>
      </c>
      <c r="G431" s="3">
        <f>IF(E431&gt;=20,2000,1900) + D431</f>
        <v>1963</v>
      </c>
      <c r="H431">
        <f t="shared" si="45"/>
        <v>6</v>
      </c>
      <c r="I431" s="4">
        <f t="shared" si="46"/>
        <v>20</v>
      </c>
      <c r="J431">
        <f t="shared" si="47"/>
        <v>19630620</v>
      </c>
      <c r="K431">
        <f t="shared" si="48"/>
        <v>20</v>
      </c>
    </row>
    <row r="432" spans="1:11" x14ac:dyDescent="0.25">
      <c r="A432" s="4" t="s">
        <v>458</v>
      </c>
      <c r="B432" t="s">
        <v>15</v>
      </c>
      <c r="C432" t="s">
        <v>4</v>
      </c>
      <c r="D432" s="3">
        <f t="shared" si="42"/>
        <v>62</v>
      </c>
      <c r="E432" s="4">
        <f t="shared" si="43"/>
        <v>2</v>
      </c>
      <c r="F432" s="4">
        <f t="shared" si="44"/>
        <v>6</v>
      </c>
      <c r="G432" s="3">
        <f>IF(E432&gt;=20,2000,1900) + D432</f>
        <v>1962</v>
      </c>
      <c r="H432">
        <f t="shared" si="45"/>
        <v>2</v>
      </c>
      <c r="I432" s="4">
        <f t="shared" si="46"/>
        <v>6</v>
      </c>
      <c r="J432">
        <f t="shared" si="47"/>
        <v>19620206</v>
      </c>
      <c r="K432">
        <f t="shared" si="48"/>
        <v>20</v>
      </c>
    </row>
    <row r="433" spans="1:11" x14ac:dyDescent="0.25">
      <c r="A433" s="4" t="s">
        <v>459</v>
      </c>
      <c r="B433" t="s">
        <v>20</v>
      </c>
      <c r="C433" t="s">
        <v>6</v>
      </c>
      <c r="D433" s="3">
        <f t="shared" si="42"/>
        <v>85</v>
      </c>
      <c r="E433" s="4">
        <f t="shared" si="43"/>
        <v>12</v>
      </c>
      <c r="F433" s="4">
        <f t="shared" si="44"/>
        <v>7</v>
      </c>
      <c r="G433" s="3">
        <f>IF(E433&gt;=20,2000,1900) + D433</f>
        <v>1985</v>
      </c>
      <c r="H433">
        <f t="shared" si="45"/>
        <v>12</v>
      </c>
      <c r="I433" s="4">
        <f t="shared" si="46"/>
        <v>7</v>
      </c>
      <c r="J433">
        <f t="shared" si="47"/>
        <v>19851207</v>
      </c>
      <c r="K433">
        <f t="shared" si="48"/>
        <v>20</v>
      </c>
    </row>
    <row r="434" spans="1:11" x14ac:dyDescent="0.25">
      <c r="A434" s="4" t="s">
        <v>460</v>
      </c>
      <c r="B434" t="s">
        <v>17</v>
      </c>
      <c r="C434" t="s">
        <v>4</v>
      </c>
      <c r="D434" s="3">
        <f t="shared" si="42"/>
        <v>57</v>
      </c>
      <c r="E434" s="4">
        <f t="shared" si="43"/>
        <v>7</v>
      </c>
      <c r="F434" s="4">
        <f t="shared" si="44"/>
        <v>24</v>
      </c>
      <c r="G434" s="3">
        <f>IF(E434&gt;=20,2000,1900) + D434</f>
        <v>1957</v>
      </c>
      <c r="H434">
        <f t="shared" si="45"/>
        <v>7</v>
      </c>
      <c r="I434" s="4">
        <f t="shared" si="46"/>
        <v>24</v>
      </c>
      <c r="J434">
        <f t="shared" si="47"/>
        <v>19570724</v>
      </c>
      <c r="K434">
        <f t="shared" si="48"/>
        <v>20</v>
      </c>
    </row>
    <row r="435" spans="1:11" x14ac:dyDescent="0.25">
      <c r="A435" s="4" t="s">
        <v>461</v>
      </c>
      <c r="B435" t="s">
        <v>20</v>
      </c>
      <c r="C435" t="s">
        <v>6</v>
      </c>
      <c r="D435" s="3">
        <f t="shared" si="42"/>
        <v>82</v>
      </c>
      <c r="E435" s="4">
        <f t="shared" si="43"/>
        <v>2</v>
      </c>
      <c r="F435" s="4">
        <f t="shared" si="44"/>
        <v>2</v>
      </c>
      <c r="G435" s="3">
        <f>IF(E435&gt;=20,2000,1900) + D435</f>
        <v>1982</v>
      </c>
      <c r="H435">
        <f t="shared" si="45"/>
        <v>2</v>
      </c>
      <c r="I435" s="4">
        <f t="shared" si="46"/>
        <v>2</v>
      </c>
      <c r="J435">
        <f t="shared" si="47"/>
        <v>19820202</v>
      </c>
      <c r="K435">
        <f t="shared" si="48"/>
        <v>20</v>
      </c>
    </row>
    <row r="436" spans="1:11" x14ac:dyDescent="0.25">
      <c r="A436" s="4" t="s">
        <v>462</v>
      </c>
      <c r="B436" t="s">
        <v>11</v>
      </c>
      <c r="C436" t="s">
        <v>4</v>
      </c>
      <c r="D436" s="3">
        <f t="shared" si="42"/>
        <v>93</v>
      </c>
      <c r="E436" s="4">
        <f t="shared" si="43"/>
        <v>11</v>
      </c>
      <c r="F436" s="4">
        <f t="shared" si="44"/>
        <v>30</v>
      </c>
      <c r="G436" s="3">
        <f>IF(E436&gt;=20,2000,1900) + D436</f>
        <v>1993</v>
      </c>
      <c r="H436">
        <f t="shared" si="45"/>
        <v>11</v>
      </c>
      <c r="I436" s="4">
        <f t="shared" si="46"/>
        <v>30</v>
      </c>
      <c r="J436">
        <f t="shared" si="47"/>
        <v>19931130</v>
      </c>
      <c r="K436">
        <f t="shared" si="48"/>
        <v>20</v>
      </c>
    </row>
    <row r="437" spans="1:11" x14ac:dyDescent="0.25">
      <c r="A437" s="4" t="s">
        <v>463</v>
      </c>
      <c r="B437" t="s">
        <v>3</v>
      </c>
      <c r="C437" t="s">
        <v>4</v>
      </c>
      <c r="D437" s="3">
        <f t="shared" si="42"/>
        <v>80</v>
      </c>
      <c r="E437" s="4">
        <f t="shared" si="43"/>
        <v>3</v>
      </c>
      <c r="F437" s="4">
        <f t="shared" si="44"/>
        <v>29</v>
      </c>
      <c r="G437" s="3">
        <f>IF(E437&gt;=20,2000,1900) + D437</f>
        <v>1980</v>
      </c>
      <c r="H437">
        <f t="shared" si="45"/>
        <v>3</v>
      </c>
      <c r="I437" s="4">
        <f t="shared" si="46"/>
        <v>29</v>
      </c>
      <c r="J437">
        <f t="shared" si="47"/>
        <v>19800329</v>
      </c>
      <c r="K437">
        <f t="shared" si="48"/>
        <v>20</v>
      </c>
    </row>
    <row r="438" spans="1:11" x14ac:dyDescent="0.25">
      <c r="A438" s="4" t="s">
        <v>464</v>
      </c>
      <c r="B438" t="s">
        <v>11</v>
      </c>
      <c r="C438" t="s">
        <v>4</v>
      </c>
      <c r="D438" s="3">
        <f t="shared" si="42"/>
        <v>97</v>
      </c>
      <c r="E438" s="4">
        <f t="shared" si="43"/>
        <v>6</v>
      </c>
      <c r="F438" s="4">
        <f t="shared" si="44"/>
        <v>16</v>
      </c>
      <c r="G438" s="3">
        <f>IF(E438&gt;=20,2000,1900) + D438</f>
        <v>1997</v>
      </c>
      <c r="H438">
        <f t="shared" si="45"/>
        <v>6</v>
      </c>
      <c r="I438" s="4">
        <f t="shared" si="46"/>
        <v>16</v>
      </c>
      <c r="J438">
        <f t="shared" si="47"/>
        <v>19970616</v>
      </c>
      <c r="K438">
        <f t="shared" si="48"/>
        <v>20</v>
      </c>
    </row>
    <row r="439" spans="1:11" x14ac:dyDescent="0.25">
      <c r="A439" s="4" t="s">
        <v>465</v>
      </c>
      <c r="B439" t="s">
        <v>11</v>
      </c>
      <c r="C439" t="s">
        <v>4</v>
      </c>
      <c r="D439" s="3">
        <f t="shared" si="42"/>
        <v>99</v>
      </c>
      <c r="E439" s="4">
        <f t="shared" si="43"/>
        <v>4</v>
      </c>
      <c r="F439" s="4">
        <f t="shared" si="44"/>
        <v>22</v>
      </c>
      <c r="G439" s="3">
        <f>IF(E439&gt;=20,2000,1900) + D439</f>
        <v>1999</v>
      </c>
      <c r="H439">
        <f t="shared" si="45"/>
        <v>4</v>
      </c>
      <c r="I439" s="4">
        <f t="shared" si="46"/>
        <v>22</v>
      </c>
      <c r="J439">
        <f t="shared" si="47"/>
        <v>19990422</v>
      </c>
      <c r="K439">
        <f t="shared" si="48"/>
        <v>20</v>
      </c>
    </row>
    <row r="440" spans="1:11" x14ac:dyDescent="0.25">
      <c r="A440" s="4" t="s">
        <v>466</v>
      </c>
      <c r="B440" t="s">
        <v>7</v>
      </c>
      <c r="C440" t="s">
        <v>4</v>
      </c>
      <c r="D440" s="3">
        <f t="shared" si="42"/>
        <v>90</v>
      </c>
      <c r="E440" s="4">
        <f t="shared" si="43"/>
        <v>12</v>
      </c>
      <c r="F440" s="4">
        <f t="shared" si="44"/>
        <v>22</v>
      </c>
      <c r="G440" s="3">
        <f>IF(E440&gt;=20,2000,1900) + D440</f>
        <v>1990</v>
      </c>
      <c r="H440">
        <f t="shared" si="45"/>
        <v>12</v>
      </c>
      <c r="I440" s="4">
        <f t="shared" si="46"/>
        <v>22</v>
      </c>
      <c r="J440">
        <f t="shared" si="47"/>
        <v>19901222</v>
      </c>
      <c r="K440">
        <f t="shared" si="48"/>
        <v>20</v>
      </c>
    </row>
    <row r="441" spans="1:11" x14ac:dyDescent="0.25">
      <c r="A441" s="4" t="s">
        <v>467</v>
      </c>
      <c r="B441" t="s">
        <v>3</v>
      </c>
      <c r="C441" t="s">
        <v>4</v>
      </c>
      <c r="D441" s="3">
        <f t="shared" si="42"/>
        <v>98</v>
      </c>
      <c r="E441" s="4">
        <f t="shared" si="43"/>
        <v>4</v>
      </c>
      <c r="F441" s="4">
        <f t="shared" si="44"/>
        <v>20</v>
      </c>
      <c r="G441" s="3">
        <f>IF(E441&gt;=20,2000,1900) + D441</f>
        <v>1998</v>
      </c>
      <c r="H441">
        <f t="shared" si="45"/>
        <v>4</v>
      </c>
      <c r="I441" s="4">
        <f t="shared" si="46"/>
        <v>20</v>
      </c>
      <c r="J441">
        <f t="shared" si="47"/>
        <v>19980420</v>
      </c>
      <c r="K441">
        <f t="shared" si="48"/>
        <v>20</v>
      </c>
    </row>
    <row r="442" spans="1:11" x14ac:dyDescent="0.25">
      <c r="A442" s="4" t="s">
        <v>468</v>
      </c>
      <c r="B442" t="s">
        <v>11</v>
      </c>
      <c r="C442" t="s">
        <v>4</v>
      </c>
      <c r="D442" s="3">
        <f t="shared" si="42"/>
        <v>63</v>
      </c>
      <c r="E442" s="4">
        <f t="shared" si="43"/>
        <v>9</v>
      </c>
      <c r="F442" s="4">
        <f t="shared" si="44"/>
        <v>6</v>
      </c>
      <c r="G442" s="3">
        <f>IF(E442&gt;=20,2000,1900) + D442</f>
        <v>1963</v>
      </c>
      <c r="H442">
        <f t="shared" si="45"/>
        <v>9</v>
      </c>
      <c r="I442" s="4">
        <f t="shared" si="46"/>
        <v>6</v>
      </c>
      <c r="J442">
        <f t="shared" si="47"/>
        <v>19630906</v>
      </c>
      <c r="K442">
        <f t="shared" si="48"/>
        <v>20</v>
      </c>
    </row>
    <row r="443" spans="1:11" x14ac:dyDescent="0.25">
      <c r="A443" s="4" t="s">
        <v>469</v>
      </c>
      <c r="B443" t="s">
        <v>14</v>
      </c>
      <c r="C443" t="s">
        <v>4</v>
      </c>
      <c r="D443" s="3">
        <f t="shared" si="42"/>
        <v>56</v>
      </c>
      <c r="E443" s="4">
        <f t="shared" si="43"/>
        <v>4</v>
      </c>
      <c r="F443" s="4">
        <f t="shared" si="44"/>
        <v>16</v>
      </c>
      <c r="G443" s="3">
        <f>IF(E443&gt;=20,2000,1900) + D443</f>
        <v>1956</v>
      </c>
      <c r="H443">
        <f t="shared" si="45"/>
        <v>4</v>
      </c>
      <c r="I443" s="4">
        <f t="shared" si="46"/>
        <v>16</v>
      </c>
      <c r="J443">
        <f t="shared" si="47"/>
        <v>19560416</v>
      </c>
      <c r="K443">
        <f t="shared" si="48"/>
        <v>20</v>
      </c>
    </row>
    <row r="444" spans="1:11" x14ac:dyDescent="0.25">
      <c r="A444" s="4" t="s">
        <v>470</v>
      </c>
      <c r="B444" t="s">
        <v>11</v>
      </c>
      <c r="C444" t="s">
        <v>4</v>
      </c>
      <c r="D444" s="3">
        <f t="shared" si="42"/>
        <v>61</v>
      </c>
      <c r="E444" s="4">
        <f t="shared" si="43"/>
        <v>6</v>
      </c>
      <c r="F444" s="4">
        <f t="shared" si="44"/>
        <v>13</v>
      </c>
      <c r="G444" s="3">
        <f>IF(E444&gt;=20,2000,1900) + D444</f>
        <v>1961</v>
      </c>
      <c r="H444">
        <f t="shared" si="45"/>
        <v>6</v>
      </c>
      <c r="I444" s="4">
        <f t="shared" si="46"/>
        <v>13</v>
      </c>
      <c r="J444">
        <f t="shared" si="47"/>
        <v>19610613</v>
      </c>
      <c r="K444">
        <f t="shared" si="48"/>
        <v>20</v>
      </c>
    </row>
    <row r="445" spans="1:11" x14ac:dyDescent="0.25">
      <c r="A445" s="4" t="s">
        <v>471</v>
      </c>
      <c r="B445" t="s">
        <v>16</v>
      </c>
      <c r="C445" t="s">
        <v>6</v>
      </c>
      <c r="D445" s="3">
        <f t="shared" si="42"/>
        <v>65</v>
      </c>
      <c r="E445" s="4">
        <f t="shared" si="43"/>
        <v>3</v>
      </c>
      <c r="F445" s="4">
        <f t="shared" si="44"/>
        <v>2</v>
      </c>
      <c r="G445" s="3">
        <f>IF(E445&gt;=20,2000,1900) + D445</f>
        <v>1965</v>
      </c>
      <c r="H445">
        <f t="shared" si="45"/>
        <v>3</v>
      </c>
      <c r="I445" s="4">
        <f t="shared" si="46"/>
        <v>2</v>
      </c>
      <c r="J445">
        <f t="shared" si="47"/>
        <v>19650302</v>
      </c>
      <c r="K445">
        <f t="shared" si="48"/>
        <v>20</v>
      </c>
    </row>
    <row r="446" spans="1:11" x14ac:dyDescent="0.25">
      <c r="A446" s="4" t="s">
        <v>472</v>
      </c>
      <c r="B446" t="s">
        <v>12</v>
      </c>
      <c r="C446" t="s">
        <v>4</v>
      </c>
      <c r="D446" s="3">
        <f t="shared" si="42"/>
        <v>92</v>
      </c>
      <c r="E446" s="4">
        <f t="shared" si="43"/>
        <v>1</v>
      </c>
      <c r="F446" s="4">
        <f t="shared" si="44"/>
        <v>29</v>
      </c>
      <c r="G446" s="3">
        <f>IF(E446&gt;=20,2000,1900) + D446</f>
        <v>1992</v>
      </c>
      <c r="H446">
        <f t="shared" si="45"/>
        <v>1</v>
      </c>
      <c r="I446" s="4">
        <f t="shared" si="46"/>
        <v>29</v>
      </c>
      <c r="J446">
        <f t="shared" si="47"/>
        <v>19920129</v>
      </c>
      <c r="K446">
        <f t="shared" si="48"/>
        <v>20</v>
      </c>
    </row>
    <row r="447" spans="1:11" x14ac:dyDescent="0.25">
      <c r="A447" s="4" t="s">
        <v>473</v>
      </c>
      <c r="B447" t="s">
        <v>15</v>
      </c>
      <c r="C447" t="s">
        <v>6</v>
      </c>
      <c r="D447" s="3">
        <f t="shared" si="42"/>
        <v>98</v>
      </c>
      <c r="E447" s="4">
        <f t="shared" si="43"/>
        <v>2</v>
      </c>
      <c r="F447" s="4">
        <f t="shared" si="44"/>
        <v>13</v>
      </c>
      <c r="G447" s="3">
        <f>IF(E447&gt;=20,2000,1900) + D447</f>
        <v>1998</v>
      </c>
      <c r="H447">
        <f t="shared" si="45"/>
        <v>2</v>
      </c>
      <c r="I447" s="4">
        <f t="shared" si="46"/>
        <v>13</v>
      </c>
      <c r="J447">
        <f t="shared" si="47"/>
        <v>19980213</v>
      </c>
      <c r="K447">
        <f t="shared" si="48"/>
        <v>20</v>
      </c>
    </row>
    <row r="448" spans="1:11" x14ac:dyDescent="0.25">
      <c r="A448" s="4" t="s">
        <v>474</v>
      </c>
      <c r="B448" t="s">
        <v>10</v>
      </c>
      <c r="C448" t="s">
        <v>6</v>
      </c>
      <c r="D448" s="3">
        <f t="shared" si="42"/>
        <v>61</v>
      </c>
      <c r="E448" s="4">
        <f t="shared" si="43"/>
        <v>2</v>
      </c>
      <c r="F448" s="4">
        <f t="shared" si="44"/>
        <v>7</v>
      </c>
      <c r="G448" s="3">
        <f>IF(E448&gt;=20,2000,1900) + D448</f>
        <v>1961</v>
      </c>
      <c r="H448">
        <f t="shared" si="45"/>
        <v>2</v>
      </c>
      <c r="I448" s="4">
        <f t="shared" si="46"/>
        <v>7</v>
      </c>
      <c r="J448">
        <f t="shared" si="47"/>
        <v>19610207</v>
      </c>
      <c r="K448">
        <f t="shared" si="48"/>
        <v>20</v>
      </c>
    </row>
    <row r="449" spans="1:11" x14ac:dyDescent="0.25">
      <c r="A449" s="4" t="s">
        <v>475</v>
      </c>
      <c r="B449" t="s">
        <v>11</v>
      </c>
      <c r="C449" t="s">
        <v>6</v>
      </c>
      <c r="D449" s="3">
        <f t="shared" si="42"/>
        <v>51</v>
      </c>
      <c r="E449" s="4">
        <f t="shared" si="43"/>
        <v>10</v>
      </c>
      <c r="F449" s="4">
        <f t="shared" si="44"/>
        <v>8</v>
      </c>
      <c r="G449" s="3">
        <f>IF(E449&gt;=20,2000,1900) + D449</f>
        <v>1951</v>
      </c>
      <c r="H449">
        <f t="shared" si="45"/>
        <v>10</v>
      </c>
      <c r="I449" s="4">
        <f t="shared" si="46"/>
        <v>8</v>
      </c>
      <c r="J449">
        <f t="shared" si="47"/>
        <v>19511008</v>
      </c>
      <c r="K449">
        <f t="shared" si="48"/>
        <v>20</v>
      </c>
    </row>
    <row r="450" spans="1:11" x14ac:dyDescent="0.25">
      <c r="A450" s="4" t="s">
        <v>476</v>
      </c>
      <c r="B450" t="s">
        <v>12</v>
      </c>
      <c r="C450" t="s">
        <v>4</v>
      </c>
      <c r="D450" s="3">
        <f t="shared" si="42"/>
        <v>58</v>
      </c>
      <c r="E450" s="4">
        <f t="shared" si="43"/>
        <v>9</v>
      </c>
      <c r="F450" s="4">
        <f t="shared" si="44"/>
        <v>23</v>
      </c>
      <c r="G450" s="3">
        <f>IF(E450&gt;=20,2000,1900) + D450</f>
        <v>1958</v>
      </c>
      <c r="H450">
        <f t="shared" si="45"/>
        <v>9</v>
      </c>
      <c r="I450" s="4">
        <f t="shared" si="46"/>
        <v>23</v>
      </c>
      <c r="J450">
        <f t="shared" si="47"/>
        <v>19580923</v>
      </c>
      <c r="K450">
        <f t="shared" si="48"/>
        <v>20</v>
      </c>
    </row>
    <row r="451" spans="1:11" x14ac:dyDescent="0.25">
      <c r="A451" s="4" t="s">
        <v>477</v>
      </c>
      <c r="B451" t="s">
        <v>15</v>
      </c>
      <c r="C451" t="s">
        <v>4</v>
      </c>
      <c r="D451" s="3">
        <f t="shared" ref="D451:D514" si="49">MID(A451,1,2)*1</f>
        <v>58</v>
      </c>
      <c r="E451" s="4">
        <f t="shared" ref="E451:E514" si="50">MID(A451,3,2)*1</f>
        <v>8</v>
      </c>
      <c r="F451" s="4">
        <f t="shared" ref="F451:F514" si="51">MID(A451,5,2)*1</f>
        <v>18</v>
      </c>
      <c r="G451" s="3">
        <f>IF(E451&gt;=20,2000,1900) + D451</f>
        <v>1958</v>
      </c>
      <c r="H451">
        <f t="shared" ref="H451:H514" si="52">IF(E451&gt;=20,E451-20,E451)</f>
        <v>8</v>
      </c>
      <c r="I451" s="4">
        <f t="shared" ref="I451:I514" si="53">F451</f>
        <v>18</v>
      </c>
      <c r="J451">
        <f t="shared" ref="J451:J514" si="54">CONCATENATE(G451,IF(LEN(E451)=1,CONCATENATE("0",E451),E451),IF(LEN(F451)=1,CONCATENATE("0",F451),F451))*1</f>
        <v>19580818</v>
      </c>
      <c r="K451">
        <f t="shared" ref="K451:K514" si="55">IF(G451&lt;=2000,20,21)</f>
        <v>20</v>
      </c>
    </row>
    <row r="452" spans="1:11" x14ac:dyDescent="0.25">
      <c r="A452" s="4" t="s">
        <v>478</v>
      </c>
      <c r="B452" t="s">
        <v>17</v>
      </c>
      <c r="C452" t="s">
        <v>4</v>
      </c>
      <c r="D452" s="3">
        <f t="shared" si="49"/>
        <v>51</v>
      </c>
      <c r="E452" s="4">
        <f t="shared" si="50"/>
        <v>11</v>
      </c>
      <c r="F452" s="4">
        <f t="shared" si="51"/>
        <v>20</v>
      </c>
      <c r="G452" s="3">
        <f>IF(E452&gt;=20,2000,1900) + D452</f>
        <v>1951</v>
      </c>
      <c r="H452">
        <f t="shared" si="52"/>
        <v>11</v>
      </c>
      <c r="I452" s="4">
        <f t="shared" si="53"/>
        <v>20</v>
      </c>
      <c r="J452">
        <f t="shared" si="54"/>
        <v>19511120</v>
      </c>
      <c r="K452">
        <f t="shared" si="55"/>
        <v>20</v>
      </c>
    </row>
    <row r="453" spans="1:11" x14ac:dyDescent="0.25">
      <c r="A453" s="4" t="s">
        <v>479</v>
      </c>
      <c r="B453" t="s">
        <v>15</v>
      </c>
      <c r="C453" t="s">
        <v>4</v>
      </c>
      <c r="D453" s="3">
        <f t="shared" si="49"/>
        <v>89</v>
      </c>
      <c r="E453" s="4">
        <f t="shared" si="50"/>
        <v>1</v>
      </c>
      <c r="F453" s="4">
        <f t="shared" si="51"/>
        <v>1</v>
      </c>
      <c r="G453" s="3">
        <f>IF(E453&gt;=20,2000,1900) + D453</f>
        <v>1989</v>
      </c>
      <c r="H453">
        <f t="shared" si="52"/>
        <v>1</v>
      </c>
      <c r="I453" s="4">
        <f t="shared" si="53"/>
        <v>1</v>
      </c>
      <c r="J453">
        <f t="shared" si="54"/>
        <v>19890101</v>
      </c>
      <c r="K453">
        <f t="shared" si="55"/>
        <v>20</v>
      </c>
    </row>
    <row r="454" spans="1:11" x14ac:dyDescent="0.25">
      <c r="A454" s="4" t="s">
        <v>480</v>
      </c>
      <c r="B454" t="s">
        <v>14</v>
      </c>
      <c r="C454" t="s">
        <v>6</v>
      </c>
      <c r="D454" s="3">
        <f t="shared" si="49"/>
        <v>84</v>
      </c>
      <c r="E454" s="4">
        <f t="shared" si="50"/>
        <v>2</v>
      </c>
      <c r="F454" s="4">
        <f t="shared" si="51"/>
        <v>11</v>
      </c>
      <c r="G454" s="3">
        <f>IF(E454&gt;=20,2000,1900) + D454</f>
        <v>1984</v>
      </c>
      <c r="H454">
        <f t="shared" si="52"/>
        <v>2</v>
      </c>
      <c r="I454" s="4">
        <f t="shared" si="53"/>
        <v>11</v>
      </c>
      <c r="J454">
        <f t="shared" si="54"/>
        <v>19840211</v>
      </c>
      <c r="K454">
        <f t="shared" si="55"/>
        <v>20</v>
      </c>
    </row>
    <row r="455" spans="1:11" x14ac:dyDescent="0.25">
      <c r="A455" s="4" t="s">
        <v>481</v>
      </c>
      <c r="B455" t="s">
        <v>9</v>
      </c>
      <c r="C455" t="s">
        <v>6</v>
      </c>
      <c r="D455" s="3">
        <f t="shared" si="49"/>
        <v>66</v>
      </c>
      <c r="E455" s="4">
        <f t="shared" si="50"/>
        <v>7</v>
      </c>
      <c r="F455" s="4">
        <f t="shared" si="51"/>
        <v>11</v>
      </c>
      <c r="G455" s="3">
        <f>IF(E455&gt;=20,2000,1900) + D455</f>
        <v>1966</v>
      </c>
      <c r="H455">
        <f t="shared" si="52"/>
        <v>7</v>
      </c>
      <c r="I455" s="4">
        <f t="shared" si="53"/>
        <v>11</v>
      </c>
      <c r="J455">
        <f t="shared" si="54"/>
        <v>19660711</v>
      </c>
      <c r="K455">
        <f t="shared" si="55"/>
        <v>20</v>
      </c>
    </row>
    <row r="456" spans="1:11" x14ac:dyDescent="0.25">
      <c r="A456" s="4" t="s">
        <v>482</v>
      </c>
      <c r="B456" t="s">
        <v>9</v>
      </c>
      <c r="C456" t="s">
        <v>6</v>
      </c>
      <c r="D456" s="3">
        <f t="shared" si="49"/>
        <v>64</v>
      </c>
      <c r="E456" s="4">
        <f t="shared" si="50"/>
        <v>11</v>
      </c>
      <c r="F456" s="4">
        <f t="shared" si="51"/>
        <v>5</v>
      </c>
      <c r="G456" s="3">
        <f>IF(E456&gt;=20,2000,1900) + D456</f>
        <v>1964</v>
      </c>
      <c r="H456">
        <f t="shared" si="52"/>
        <v>11</v>
      </c>
      <c r="I456" s="4">
        <f t="shared" si="53"/>
        <v>5</v>
      </c>
      <c r="J456">
        <f t="shared" si="54"/>
        <v>19641105</v>
      </c>
      <c r="K456">
        <f t="shared" si="55"/>
        <v>20</v>
      </c>
    </row>
    <row r="457" spans="1:11" x14ac:dyDescent="0.25">
      <c r="A457" s="4" t="s">
        <v>483</v>
      </c>
      <c r="B457" t="s">
        <v>7</v>
      </c>
      <c r="C457" t="s">
        <v>6</v>
      </c>
      <c r="D457" s="3">
        <f t="shared" si="49"/>
        <v>80</v>
      </c>
      <c r="E457" s="4">
        <f t="shared" si="50"/>
        <v>9</v>
      </c>
      <c r="F457" s="4">
        <f t="shared" si="51"/>
        <v>7</v>
      </c>
      <c r="G457" s="3">
        <f>IF(E457&gt;=20,2000,1900) + D457</f>
        <v>1980</v>
      </c>
      <c r="H457">
        <f t="shared" si="52"/>
        <v>9</v>
      </c>
      <c r="I457" s="4">
        <f t="shared" si="53"/>
        <v>7</v>
      </c>
      <c r="J457">
        <f t="shared" si="54"/>
        <v>19800907</v>
      </c>
      <c r="K457">
        <f t="shared" si="55"/>
        <v>20</v>
      </c>
    </row>
    <row r="458" spans="1:11" x14ac:dyDescent="0.25">
      <c r="A458" s="4" t="s">
        <v>484</v>
      </c>
      <c r="B458" t="s">
        <v>17</v>
      </c>
      <c r="C458" t="s">
        <v>4</v>
      </c>
      <c r="D458" s="3">
        <f t="shared" si="49"/>
        <v>60</v>
      </c>
      <c r="E458" s="4">
        <f t="shared" si="50"/>
        <v>8</v>
      </c>
      <c r="F458" s="4">
        <f t="shared" si="51"/>
        <v>10</v>
      </c>
      <c r="G458" s="3">
        <f>IF(E458&gt;=20,2000,1900) + D458</f>
        <v>1960</v>
      </c>
      <c r="H458">
        <f t="shared" si="52"/>
        <v>8</v>
      </c>
      <c r="I458" s="4">
        <f t="shared" si="53"/>
        <v>10</v>
      </c>
      <c r="J458">
        <f t="shared" si="54"/>
        <v>19600810</v>
      </c>
      <c r="K458">
        <f t="shared" si="55"/>
        <v>20</v>
      </c>
    </row>
    <row r="459" spans="1:11" x14ac:dyDescent="0.25">
      <c r="A459" s="4" t="s">
        <v>485</v>
      </c>
      <c r="B459" t="s">
        <v>5</v>
      </c>
      <c r="C459" t="s">
        <v>6</v>
      </c>
      <c r="D459" s="3">
        <f t="shared" si="49"/>
        <v>81</v>
      </c>
      <c r="E459" s="4">
        <f t="shared" si="50"/>
        <v>6</v>
      </c>
      <c r="F459" s="4">
        <f t="shared" si="51"/>
        <v>6</v>
      </c>
      <c r="G459" s="3">
        <f>IF(E459&gt;=20,2000,1900) + D459</f>
        <v>1981</v>
      </c>
      <c r="H459">
        <f t="shared" si="52"/>
        <v>6</v>
      </c>
      <c r="I459" s="4">
        <f t="shared" si="53"/>
        <v>6</v>
      </c>
      <c r="J459">
        <f t="shared" si="54"/>
        <v>19810606</v>
      </c>
      <c r="K459">
        <f t="shared" si="55"/>
        <v>20</v>
      </c>
    </row>
    <row r="460" spans="1:11" x14ac:dyDescent="0.25">
      <c r="A460" s="4" t="s">
        <v>486</v>
      </c>
      <c r="B460" t="s">
        <v>19</v>
      </c>
      <c r="C460" t="s">
        <v>4</v>
      </c>
      <c r="D460" s="3">
        <f t="shared" si="49"/>
        <v>72</v>
      </c>
      <c r="E460" s="4">
        <f t="shared" si="50"/>
        <v>4</v>
      </c>
      <c r="F460" s="4">
        <f t="shared" si="51"/>
        <v>11</v>
      </c>
      <c r="G460" s="3">
        <f>IF(E460&gt;=20,2000,1900) + D460</f>
        <v>1972</v>
      </c>
      <c r="H460">
        <f t="shared" si="52"/>
        <v>4</v>
      </c>
      <c r="I460" s="4">
        <f t="shared" si="53"/>
        <v>11</v>
      </c>
      <c r="J460">
        <f t="shared" si="54"/>
        <v>19720411</v>
      </c>
      <c r="K460">
        <f t="shared" si="55"/>
        <v>20</v>
      </c>
    </row>
    <row r="461" spans="1:11" x14ac:dyDescent="0.25">
      <c r="A461" s="4" t="s">
        <v>487</v>
      </c>
      <c r="B461" t="s">
        <v>15</v>
      </c>
      <c r="C461" t="s">
        <v>6</v>
      </c>
      <c r="D461" s="3">
        <f t="shared" si="49"/>
        <v>93</v>
      </c>
      <c r="E461" s="4">
        <f t="shared" si="50"/>
        <v>5</v>
      </c>
      <c r="F461" s="4">
        <f t="shared" si="51"/>
        <v>2</v>
      </c>
      <c r="G461" s="3">
        <f>IF(E461&gt;=20,2000,1900) + D461</f>
        <v>1993</v>
      </c>
      <c r="H461">
        <f t="shared" si="52"/>
        <v>5</v>
      </c>
      <c r="I461" s="4">
        <f t="shared" si="53"/>
        <v>2</v>
      </c>
      <c r="J461">
        <f t="shared" si="54"/>
        <v>19930502</v>
      </c>
      <c r="K461">
        <f t="shared" si="55"/>
        <v>20</v>
      </c>
    </row>
    <row r="462" spans="1:11" x14ac:dyDescent="0.25">
      <c r="A462" s="4" t="s">
        <v>488</v>
      </c>
      <c r="B462" t="s">
        <v>5</v>
      </c>
      <c r="C462" t="s">
        <v>6</v>
      </c>
      <c r="D462" s="3">
        <f t="shared" si="49"/>
        <v>57</v>
      </c>
      <c r="E462" s="4">
        <f t="shared" si="50"/>
        <v>11</v>
      </c>
      <c r="F462" s="4">
        <f t="shared" si="51"/>
        <v>10</v>
      </c>
      <c r="G462" s="3">
        <f>IF(E462&gt;=20,2000,1900) + D462</f>
        <v>1957</v>
      </c>
      <c r="H462">
        <f t="shared" si="52"/>
        <v>11</v>
      </c>
      <c r="I462" s="4">
        <f t="shared" si="53"/>
        <v>10</v>
      </c>
      <c r="J462">
        <f t="shared" si="54"/>
        <v>19571110</v>
      </c>
      <c r="K462">
        <f t="shared" si="55"/>
        <v>20</v>
      </c>
    </row>
    <row r="463" spans="1:11" x14ac:dyDescent="0.25">
      <c r="A463" s="4" t="s">
        <v>489</v>
      </c>
      <c r="B463" t="s">
        <v>7</v>
      </c>
      <c r="C463" t="s">
        <v>6</v>
      </c>
      <c r="D463" s="3">
        <f t="shared" si="49"/>
        <v>95</v>
      </c>
      <c r="E463" s="4">
        <f t="shared" si="50"/>
        <v>12</v>
      </c>
      <c r="F463" s="4">
        <f t="shared" si="51"/>
        <v>1</v>
      </c>
      <c r="G463" s="3">
        <f>IF(E463&gt;=20,2000,1900) + D463</f>
        <v>1995</v>
      </c>
      <c r="H463">
        <f t="shared" si="52"/>
        <v>12</v>
      </c>
      <c r="I463" s="4">
        <f t="shared" si="53"/>
        <v>1</v>
      </c>
      <c r="J463">
        <f t="shared" si="54"/>
        <v>19951201</v>
      </c>
      <c r="K463">
        <f t="shared" si="55"/>
        <v>20</v>
      </c>
    </row>
    <row r="464" spans="1:11" x14ac:dyDescent="0.25">
      <c r="A464" s="4" t="s">
        <v>490</v>
      </c>
      <c r="B464" t="s">
        <v>7</v>
      </c>
      <c r="C464" t="s">
        <v>6</v>
      </c>
      <c r="D464" s="3">
        <f t="shared" si="49"/>
        <v>50</v>
      </c>
      <c r="E464" s="4">
        <f t="shared" si="50"/>
        <v>3</v>
      </c>
      <c r="F464" s="4">
        <f t="shared" si="51"/>
        <v>5</v>
      </c>
      <c r="G464" s="3">
        <f>IF(E464&gt;=20,2000,1900) + D464</f>
        <v>1950</v>
      </c>
      <c r="H464">
        <f t="shared" si="52"/>
        <v>3</v>
      </c>
      <c r="I464" s="4">
        <f t="shared" si="53"/>
        <v>5</v>
      </c>
      <c r="J464">
        <f t="shared" si="54"/>
        <v>19500305</v>
      </c>
      <c r="K464">
        <f t="shared" si="55"/>
        <v>20</v>
      </c>
    </row>
    <row r="465" spans="1:11" x14ac:dyDescent="0.25">
      <c r="A465" s="4" t="s">
        <v>491</v>
      </c>
      <c r="B465" t="s">
        <v>12</v>
      </c>
      <c r="C465" t="s">
        <v>6</v>
      </c>
      <c r="D465" s="3">
        <f t="shared" si="49"/>
        <v>99</v>
      </c>
      <c r="E465" s="4">
        <f t="shared" si="50"/>
        <v>3</v>
      </c>
      <c r="F465" s="4">
        <f t="shared" si="51"/>
        <v>7</v>
      </c>
      <c r="G465" s="3">
        <f>IF(E465&gt;=20,2000,1900) + D465</f>
        <v>1999</v>
      </c>
      <c r="H465">
        <f t="shared" si="52"/>
        <v>3</v>
      </c>
      <c r="I465" s="4">
        <f t="shared" si="53"/>
        <v>7</v>
      </c>
      <c r="J465">
        <f t="shared" si="54"/>
        <v>19990307</v>
      </c>
      <c r="K465">
        <f t="shared" si="55"/>
        <v>20</v>
      </c>
    </row>
    <row r="466" spans="1:11" x14ac:dyDescent="0.25">
      <c r="A466" s="4" t="s">
        <v>492</v>
      </c>
      <c r="B466" t="s">
        <v>5</v>
      </c>
      <c r="C466" t="s">
        <v>6</v>
      </c>
      <c r="D466" s="3">
        <f t="shared" si="49"/>
        <v>86</v>
      </c>
      <c r="E466" s="4">
        <f t="shared" si="50"/>
        <v>1</v>
      </c>
      <c r="F466" s="4">
        <f t="shared" si="51"/>
        <v>28</v>
      </c>
      <c r="G466" s="3">
        <f>IF(E466&gt;=20,2000,1900) + D466</f>
        <v>1986</v>
      </c>
      <c r="H466">
        <f t="shared" si="52"/>
        <v>1</v>
      </c>
      <c r="I466" s="4">
        <f t="shared" si="53"/>
        <v>28</v>
      </c>
      <c r="J466">
        <f t="shared" si="54"/>
        <v>19860128</v>
      </c>
      <c r="K466">
        <f t="shared" si="55"/>
        <v>20</v>
      </c>
    </row>
    <row r="467" spans="1:11" x14ac:dyDescent="0.25">
      <c r="A467" s="4" t="s">
        <v>493</v>
      </c>
      <c r="B467" t="s">
        <v>16</v>
      </c>
      <c r="C467" t="s">
        <v>4</v>
      </c>
      <c r="D467" s="3">
        <f t="shared" si="49"/>
        <v>77</v>
      </c>
      <c r="E467" s="4">
        <f t="shared" si="50"/>
        <v>7</v>
      </c>
      <c r="F467" s="4">
        <f t="shared" si="51"/>
        <v>9</v>
      </c>
      <c r="G467" s="3">
        <f>IF(E467&gt;=20,2000,1900) + D467</f>
        <v>1977</v>
      </c>
      <c r="H467">
        <f t="shared" si="52"/>
        <v>7</v>
      </c>
      <c r="I467" s="4">
        <f t="shared" si="53"/>
        <v>9</v>
      </c>
      <c r="J467">
        <f t="shared" si="54"/>
        <v>19770709</v>
      </c>
      <c r="K467">
        <f t="shared" si="55"/>
        <v>20</v>
      </c>
    </row>
    <row r="468" spans="1:11" x14ac:dyDescent="0.25">
      <c r="A468" s="4" t="s">
        <v>494</v>
      </c>
      <c r="B468" t="s">
        <v>3</v>
      </c>
      <c r="C468" t="s">
        <v>4</v>
      </c>
      <c r="D468" s="3">
        <f t="shared" si="49"/>
        <v>81</v>
      </c>
      <c r="E468" s="4">
        <f t="shared" si="50"/>
        <v>11</v>
      </c>
      <c r="F468" s="4">
        <f t="shared" si="51"/>
        <v>7</v>
      </c>
      <c r="G468" s="3">
        <f>IF(E468&gt;=20,2000,1900) + D468</f>
        <v>1981</v>
      </c>
      <c r="H468">
        <f t="shared" si="52"/>
        <v>11</v>
      </c>
      <c r="I468" s="4">
        <f t="shared" si="53"/>
        <v>7</v>
      </c>
      <c r="J468">
        <f t="shared" si="54"/>
        <v>19811107</v>
      </c>
      <c r="K468">
        <f t="shared" si="55"/>
        <v>20</v>
      </c>
    </row>
    <row r="469" spans="1:11" x14ac:dyDescent="0.25">
      <c r="A469" s="4" t="s">
        <v>495</v>
      </c>
      <c r="B469" t="s">
        <v>7</v>
      </c>
      <c r="C469" t="s">
        <v>4</v>
      </c>
      <c r="D469" s="3">
        <f t="shared" si="49"/>
        <v>77</v>
      </c>
      <c r="E469" s="4">
        <f t="shared" si="50"/>
        <v>11</v>
      </c>
      <c r="F469" s="4">
        <f t="shared" si="51"/>
        <v>11</v>
      </c>
      <c r="G469" s="3">
        <f>IF(E469&gt;=20,2000,1900) + D469</f>
        <v>1977</v>
      </c>
      <c r="H469">
        <f t="shared" si="52"/>
        <v>11</v>
      </c>
      <c r="I469" s="4">
        <f t="shared" si="53"/>
        <v>11</v>
      </c>
      <c r="J469">
        <f t="shared" si="54"/>
        <v>19771111</v>
      </c>
      <c r="K469">
        <f t="shared" si="55"/>
        <v>20</v>
      </c>
    </row>
    <row r="470" spans="1:11" x14ac:dyDescent="0.25">
      <c r="A470" s="4" t="s">
        <v>496</v>
      </c>
      <c r="B470" t="s">
        <v>13</v>
      </c>
      <c r="C470" t="s">
        <v>4</v>
      </c>
      <c r="D470" s="3">
        <f t="shared" si="49"/>
        <v>70</v>
      </c>
      <c r="E470" s="4">
        <f t="shared" si="50"/>
        <v>10</v>
      </c>
      <c r="F470" s="4">
        <f t="shared" si="51"/>
        <v>1</v>
      </c>
      <c r="G470" s="3">
        <f>IF(E470&gt;=20,2000,1900) + D470</f>
        <v>1970</v>
      </c>
      <c r="H470">
        <f t="shared" si="52"/>
        <v>10</v>
      </c>
      <c r="I470" s="4">
        <f t="shared" si="53"/>
        <v>1</v>
      </c>
      <c r="J470">
        <f t="shared" si="54"/>
        <v>19701001</v>
      </c>
      <c r="K470">
        <f t="shared" si="55"/>
        <v>20</v>
      </c>
    </row>
    <row r="471" spans="1:11" x14ac:dyDescent="0.25">
      <c r="A471" s="4" t="s">
        <v>497</v>
      </c>
      <c r="B471" t="s">
        <v>15</v>
      </c>
      <c r="C471" t="s">
        <v>6</v>
      </c>
      <c r="D471" s="3">
        <f t="shared" si="49"/>
        <v>65</v>
      </c>
      <c r="E471" s="4">
        <f t="shared" si="50"/>
        <v>2</v>
      </c>
      <c r="F471" s="4">
        <f t="shared" si="51"/>
        <v>15</v>
      </c>
      <c r="G471" s="3">
        <f>IF(E471&gt;=20,2000,1900) + D471</f>
        <v>1965</v>
      </c>
      <c r="H471">
        <f t="shared" si="52"/>
        <v>2</v>
      </c>
      <c r="I471" s="4">
        <f t="shared" si="53"/>
        <v>15</v>
      </c>
      <c r="J471">
        <f t="shared" si="54"/>
        <v>19650215</v>
      </c>
      <c r="K471">
        <f t="shared" si="55"/>
        <v>20</v>
      </c>
    </row>
    <row r="472" spans="1:11" x14ac:dyDescent="0.25">
      <c r="A472" s="4" t="s">
        <v>498</v>
      </c>
      <c r="B472" t="s">
        <v>20</v>
      </c>
      <c r="C472" t="s">
        <v>4</v>
      </c>
      <c r="D472" s="3">
        <f t="shared" si="49"/>
        <v>85</v>
      </c>
      <c r="E472" s="4">
        <f t="shared" si="50"/>
        <v>6</v>
      </c>
      <c r="F472" s="4">
        <f t="shared" si="51"/>
        <v>8</v>
      </c>
      <c r="G472" s="3">
        <f>IF(E472&gt;=20,2000,1900) + D472</f>
        <v>1985</v>
      </c>
      <c r="H472">
        <f t="shared" si="52"/>
        <v>6</v>
      </c>
      <c r="I472" s="4">
        <f t="shared" si="53"/>
        <v>8</v>
      </c>
      <c r="J472">
        <f t="shared" si="54"/>
        <v>19850608</v>
      </c>
      <c r="K472">
        <f t="shared" si="55"/>
        <v>20</v>
      </c>
    </row>
    <row r="473" spans="1:11" x14ac:dyDescent="0.25">
      <c r="A473" s="4" t="s">
        <v>499</v>
      </c>
      <c r="B473" t="s">
        <v>5</v>
      </c>
      <c r="C473" t="s">
        <v>6</v>
      </c>
      <c r="D473" s="3">
        <f t="shared" si="49"/>
        <v>71</v>
      </c>
      <c r="E473" s="4">
        <f t="shared" si="50"/>
        <v>5</v>
      </c>
      <c r="F473" s="4">
        <f t="shared" si="51"/>
        <v>6</v>
      </c>
      <c r="G473" s="3">
        <f>IF(E473&gt;=20,2000,1900) + D473</f>
        <v>1971</v>
      </c>
      <c r="H473">
        <f t="shared" si="52"/>
        <v>5</v>
      </c>
      <c r="I473" s="4">
        <f t="shared" si="53"/>
        <v>6</v>
      </c>
      <c r="J473">
        <f t="shared" si="54"/>
        <v>19710506</v>
      </c>
      <c r="K473">
        <f t="shared" si="55"/>
        <v>20</v>
      </c>
    </row>
    <row r="474" spans="1:11" x14ac:dyDescent="0.25">
      <c r="A474" s="4" t="s">
        <v>500</v>
      </c>
      <c r="B474" t="s">
        <v>10</v>
      </c>
      <c r="C474" t="s">
        <v>6</v>
      </c>
      <c r="D474" s="3">
        <f t="shared" si="49"/>
        <v>59</v>
      </c>
      <c r="E474" s="4">
        <f t="shared" si="50"/>
        <v>7</v>
      </c>
      <c r="F474" s="4">
        <f t="shared" si="51"/>
        <v>17</v>
      </c>
      <c r="G474" s="3">
        <f>IF(E474&gt;=20,2000,1900) + D474</f>
        <v>1959</v>
      </c>
      <c r="H474">
        <f t="shared" si="52"/>
        <v>7</v>
      </c>
      <c r="I474" s="4">
        <f t="shared" si="53"/>
        <v>17</v>
      </c>
      <c r="J474">
        <f t="shared" si="54"/>
        <v>19590717</v>
      </c>
      <c r="K474">
        <f t="shared" si="55"/>
        <v>20</v>
      </c>
    </row>
    <row r="475" spans="1:11" x14ac:dyDescent="0.25">
      <c r="A475" s="4" t="s">
        <v>501</v>
      </c>
      <c r="B475" t="s">
        <v>19</v>
      </c>
      <c r="C475" t="s">
        <v>6</v>
      </c>
      <c r="D475" s="3">
        <f t="shared" si="49"/>
        <v>95</v>
      </c>
      <c r="E475" s="4">
        <f t="shared" si="50"/>
        <v>3</v>
      </c>
      <c r="F475" s="4">
        <f t="shared" si="51"/>
        <v>24</v>
      </c>
      <c r="G475" s="3">
        <f>IF(E475&gt;=20,2000,1900) + D475</f>
        <v>1995</v>
      </c>
      <c r="H475">
        <f t="shared" si="52"/>
        <v>3</v>
      </c>
      <c r="I475" s="4">
        <f t="shared" si="53"/>
        <v>24</v>
      </c>
      <c r="J475">
        <f t="shared" si="54"/>
        <v>19950324</v>
      </c>
      <c r="K475">
        <f t="shared" si="55"/>
        <v>20</v>
      </c>
    </row>
    <row r="476" spans="1:11" x14ac:dyDescent="0.25">
      <c r="A476" s="4" t="s">
        <v>502</v>
      </c>
      <c r="B476" t="s">
        <v>9</v>
      </c>
      <c r="C476" t="s">
        <v>4</v>
      </c>
      <c r="D476" s="3">
        <f t="shared" si="49"/>
        <v>89</v>
      </c>
      <c r="E476" s="4">
        <f t="shared" si="50"/>
        <v>6</v>
      </c>
      <c r="F476" s="4">
        <f t="shared" si="51"/>
        <v>17</v>
      </c>
      <c r="G476" s="3">
        <f>IF(E476&gt;=20,2000,1900) + D476</f>
        <v>1989</v>
      </c>
      <c r="H476">
        <f t="shared" si="52"/>
        <v>6</v>
      </c>
      <c r="I476" s="4">
        <f t="shared" si="53"/>
        <v>17</v>
      </c>
      <c r="J476">
        <f t="shared" si="54"/>
        <v>19890617</v>
      </c>
      <c r="K476">
        <f t="shared" si="55"/>
        <v>20</v>
      </c>
    </row>
    <row r="477" spans="1:11" x14ac:dyDescent="0.25">
      <c r="A477" s="4" t="s">
        <v>503</v>
      </c>
      <c r="B477" t="s">
        <v>17</v>
      </c>
      <c r="C477" t="s">
        <v>4</v>
      </c>
      <c r="D477" s="3">
        <f t="shared" si="49"/>
        <v>51</v>
      </c>
      <c r="E477" s="4">
        <f t="shared" si="50"/>
        <v>8</v>
      </c>
      <c r="F477" s="4">
        <f t="shared" si="51"/>
        <v>8</v>
      </c>
      <c r="G477" s="3">
        <f>IF(E477&gt;=20,2000,1900) + D477</f>
        <v>1951</v>
      </c>
      <c r="H477">
        <f t="shared" si="52"/>
        <v>8</v>
      </c>
      <c r="I477" s="4">
        <f t="shared" si="53"/>
        <v>8</v>
      </c>
      <c r="J477">
        <f t="shared" si="54"/>
        <v>19510808</v>
      </c>
      <c r="K477">
        <f t="shared" si="55"/>
        <v>20</v>
      </c>
    </row>
    <row r="478" spans="1:11" x14ac:dyDescent="0.25">
      <c r="A478" s="4" t="s">
        <v>504</v>
      </c>
      <c r="B478" t="s">
        <v>19</v>
      </c>
      <c r="C478" t="s">
        <v>4</v>
      </c>
      <c r="D478" s="3">
        <f t="shared" si="49"/>
        <v>57</v>
      </c>
      <c r="E478" s="4">
        <f t="shared" si="50"/>
        <v>2</v>
      </c>
      <c r="F478" s="4">
        <f t="shared" si="51"/>
        <v>21</v>
      </c>
      <c r="G478" s="3">
        <f>IF(E478&gt;=20,2000,1900) + D478</f>
        <v>1957</v>
      </c>
      <c r="H478">
        <f t="shared" si="52"/>
        <v>2</v>
      </c>
      <c r="I478" s="4">
        <f t="shared" si="53"/>
        <v>21</v>
      </c>
      <c r="J478">
        <f t="shared" si="54"/>
        <v>19570221</v>
      </c>
      <c r="K478">
        <f t="shared" si="55"/>
        <v>20</v>
      </c>
    </row>
    <row r="479" spans="1:11" x14ac:dyDescent="0.25">
      <c r="A479" s="4" t="s">
        <v>505</v>
      </c>
      <c r="B479" t="s">
        <v>16</v>
      </c>
      <c r="C479" t="s">
        <v>4</v>
      </c>
      <c r="D479" s="3">
        <f t="shared" si="49"/>
        <v>83</v>
      </c>
      <c r="E479" s="4">
        <f t="shared" si="50"/>
        <v>4</v>
      </c>
      <c r="F479" s="4">
        <f t="shared" si="51"/>
        <v>1</v>
      </c>
      <c r="G479" s="3">
        <f>IF(E479&gt;=20,2000,1900) + D479</f>
        <v>1983</v>
      </c>
      <c r="H479">
        <f t="shared" si="52"/>
        <v>4</v>
      </c>
      <c r="I479" s="4">
        <f t="shared" si="53"/>
        <v>1</v>
      </c>
      <c r="J479">
        <f t="shared" si="54"/>
        <v>19830401</v>
      </c>
      <c r="K479">
        <f t="shared" si="55"/>
        <v>20</v>
      </c>
    </row>
    <row r="480" spans="1:11" x14ac:dyDescent="0.25">
      <c r="A480" s="4" t="s">
        <v>506</v>
      </c>
      <c r="B480" t="s">
        <v>17</v>
      </c>
      <c r="C480" t="s">
        <v>6</v>
      </c>
      <c r="D480" s="3">
        <f t="shared" si="49"/>
        <v>94</v>
      </c>
      <c r="E480" s="4">
        <f t="shared" si="50"/>
        <v>7</v>
      </c>
      <c r="F480" s="4">
        <f t="shared" si="51"/>
        <v>30</v>
      </c>
      <c r="G480" s="3">
        <f>IF(E480&gt;=20,2000,1900) + D480</f>
        <v>1994</v>
      </c>
      <c r="H480">
        <f t="shared" si="52"/>
        <v>7</v>
      </c>
      <c r="I480" s="4">
        <f t="shared" si="53"/>
        <v>30</v>
      </c>
      <c r="J480">
        <f t="shared" si="54"/>
        <v>19940730</v>
      </c>
      <c r="K480">
        <f t="shared" si="55"/>
        <v>20</v>
      </c>
    </row>
    <row r="481" spans="1:11" x14ac:dyDescent="0.25">
      <c r="A481" s="4" t="s">
        <v>507</v>
      </c>
      <c r="B481" t="s">
        <v>20</v>
      </c>
      <c r="C481" t="s">
        <v>6</v>
      </c>
      <c r="D481" s="3">
        <f t="shared" si="49"/>
        <v>85</v>
      </c>
      <c r="E481" s="4">
        <f t="shared" si="50"/>
        <v>8</v>
      </c>
      <c r="F481" s="4">
        <f t="shared" si="51"/>
        <v>26</v>
      </c>
      <c r="G481" s="3">
        <f>IF(E481&gt;=20,2000,1900) + D481</f>
        <v>1985</v>
      </c>
      <c r="H481">
        <f t="shared" si="52"/>
        <v>8</v>
      </c>
      <c r="I481" s="4">
        <f t="shared" si="53"/>
        <v>26</v>
      </c>
      <c r="J481">
        <f t="shared" si="54"/>
        <v>19850826</v>
      </c>
      <c r="K481">
        <f t="shared" si="55"/>
        <v>20</v>
      </c>
    </row>
    <row r="482" spans="1:11" x14ac:dyDescent="0.25">
      <c r="A482" s="4" t="s">
        <v>508</v>
      </c>
      <c r="B482" t="s">
        <v>8</v>
      </c>
      <c r="C482" t="s">
        <v>6</v>
      </c>
      <c r="D482" s="3">
        <f t="shared" si="49"/>
        <v>68</v>
      </c>
      <c r="E482" s="4">
        <f t="shared" si="50"/>
        <v>7</v>
      </c>
      <c r="F482" s="4">
        <f t="shared" si="51"/>
        <v>11</v>
      </c>
      <c r="G482" s="3">
        <f>IF(E482&gt;=20,2000,1900) + D482</f>
        <v>1968</v>
      </c>
      <c r="H482">
        <f t="shared" si="52"/>
        <v>7</v>
      </c>
      <c r="I482" s="4">
        <f t="shared" si="53"/>
        <v>11</v>
      </c>
      <c r="J482">
        <f t="shared" si="54"/>
        <v>19680711</v>
      </c>
      <c r="K482">
        <f t="shared" si="55"/>
        <v>20</v>
      </c>
    </row>
    <row r="483" spans="1:11" x14ac:dyDescent="0.25">
      <c r="A483" s="4" t="s">
        <v>509</v>
      </c>
      <c r="B483" t="s">
        <v>8</v>
      </c>
      <c r="C483" t="s">
        <v>4</v>
      </c>
      <c r="D483" s="3">
        <f t="shared" si="49"/>
        <v>66</v>
      </c>
      <c r="E483" s="4">
        <f t="shared" si="50"/>
        <v>12</v>
      </c>
      <c r="F483" s="4">
        <f t="shared" si="51"/>
        <v>24</v>
      </c>
      <c r="G483" s="3">
        <f>IF(E483&gt;=20,2000,1900) + D483</f>
        <v>1966</v>
      </c>
      <c r="H483">
        <f t="shared" si="52"/>
        <v>12</v>
      </c>
      <c r="I483" s="4">
        <f t="shared" si="53"/>
        <v>24</v>
      </c>
      <c r="J483">
        <f t="shared" si="54"/>
        <v>19661224</v>
      </c>
      <c r="K483">
        <f t="shared" si="55"/>
        <v>20</v>
      </c>
    </row>
    <row r="484" spans="1:11" x14ac:dyDescent="0.25">
      <c r="A484" s="4" t="s">
        <v>510</v>
      </c>
      <c r="B484" t="s">
        <v>12</v>
      </c>
      <c r="C484" t="s">
        <v>4</v>
      </c>
      <c r="D484" s="3">
        <f t="shared" si="49"/>
        <v>83</v>
      </c>
      <c r="E484" s="4">
        <f t="shared" si="50"/>
        <v>11</v>
      </c>
      <c r="F484" s="4">
        <f t="shared" si="51"/>
        <v>25</v>
      </c>
      <c r="G484" s="3">
        <f>IF(E484&gt;=20,2000,1900) + D484</f>
        <v>1983</v>
      </c>
      <c r="H484">
        <f t="shared" si="52"/>
        <v>11</v>
      </c>
      <c r="I484" s="4">
        <f t="shared" si="53"/>
        <v>25</v>
      </c>
      <c r="J484">
        <f t="shared" si="54"/>
        <v>19831125</v>
      </c>
      <c r="K484">
        <f t="shared" si="55"/>
        <v>20</v>
      </c>
    </row>
    <row r="485" spans="1:11" x14ac:dyDescent="0.25">
      <c r="A485" s="4" t="s">
        <v>511</v>
      </c>
      <c r="B485" t="s">
        <v>20</v>
      </c>
      <c r="C485" t="s">
        <v>4</v>
      </c>
      <c r="D485" s="3">
        <f t="shared" si="49"/>
        <v>72</v>
      </c>
      <c r="E485" s="4">
        <f t="shared" si="50"/>
        <v>3</v>
      </c>
      <c r="F485" s="4">
        <f t="shared" si="51"/>
        <v>29</v>
      </c>
      <c r="G485" s="3">
        <f>IF(E485&gt;=20,2000,1900) + D485</f>
        <v>1972</v>
      </c>
      <c r="H485">
        <f t="shared" si="52"/>
        <v>3</v>
      </c>
      <c r="I485" s="4">
        <f t="shared" si="53"/>
        <v>29</v>
      </c>
      <c r="J485">
        <f t="shared" si="54"/>
        <v>19720329</v>
      </c>
      <c r="K485">
        <f t="shared" si="55"/>
        <v>20</v>
      </c>
    </row>
    <row r="486" spans="1:11" x14ac:dyDescent="0.25">
      <c r="A486" s="4" t="s">
        <v>512</v>
      </c>
      <c r="B486" t="s">
        <v>11</v>
      </c>
      <c r="C486" t="s">
        <v>6</v>
      </c>
      <c r="D486" s="3">
        <f t="shared" si="49"/>
        <v>99</v>
      </c>
      <c r="E486" s="4">
        <f t="shared" si="50"/>
        <v>4</v>
      </c>
      <c r="F486" s="4">
        <f t="shared" si="51"/>
        <v>14</v>
      </c>
      <c r="G486" s="3">
        <f>IF(E486&gt;=20,2000,1900) + D486</f>
        <v>1999</v>
      </c>
      <c r="H486">
        <f t="shared" si="52"/>
        <v>4</v>
      </c>
      <c r="I486" s="4">
        <f t="shared" si="53"/>
        <v>14</v>
      </c>
      <c r="J486">
        <f t="shared" si="54"/>
        <v>19990414</v>
      </c>
      <c r="K486">
        <f t="shared" si="55"/>
        <v>20</v>
      </c>
    </row>
    <row r="487" spans="1:11" x14ac:dyDescent="0.25">
      <c r="A487" s="4" t="s">
        <v>513</v>
      </c>
      <c r="B487" t="s">
        <v>3</v>
      </c>
      <c r="C487" t="s">
        <v>4</v>
      </c>
      <c r="D487" s="3">
        <f t="shared" si="49"/>
        <v>99</v>
      </c>
      <c r="E487" s="4">
        <f t="shared" si="50"/>
        <v>8</v>
      </c>
      <c r="F487" s="4">
        <f t="shared" si="51"/>
        <v>20</v>
      </c>
      <c r="G487" s="3">
        <f>IF(E487&gt;=20,2000,1900) + D487</f>
        <v>1999</v>
      </c>
      <c r="H487">
        <f t="shared" si="52"/>
        <v>8</v>
      </c>
      <c r="I487" s="4">
        <f t="shared" si="53"/>
        <v>20</v>
      </c>
      <c r="J487">
        <f t="shared" si="54"/>
        <v>19990820</v>
      </c>
      <c r="K487">
        <f t="shared" si="55"/>
        <v>20</v>
      </c>
    </row>
    <row r="488" spans="1:11" x14ac:dyDescent="0.25">
      <c r="A488" s="4" t="s">
        <v>514</v>
      </c>
      <c r="B488" t="s">
        <v>16</v>
      </c>
      <c r="C488" t="s">
        <v>6</v>
      </c>
      <c r="D488" s="3">
        <f t="shared" si="49"/>
        <v>62</v>
      </c>
      <c r="E488" s="4">
        <f t="shared" si="50"/>
        <v>12</v>
      </c>
      <c r="F488" s="4">
        <f t="shared" si="51"/>
        <v>30</v>
      </c>
      <c r="G488" s="3">
        <f>IF(E488&gt;=20,2000,1900) + D488</f>
        <v>1962</v>
      </c>
      <c r="H488">
        <f t="shared" si="52"/>
        <v>12</v>
      </c>
      <c r="I488" s="4">
        <f t="shared" si="53"/>
        <v>30</v>
      </c>
      <c r="J488">
        <f t="shared" si="54"/>
        <v>19621230</v>
      </c>
      <c r="K488">
        <f t="shared" si="55"/>
        <v>20</v>
      </c>
    </row>
    <row r="489" spans="1:11" x14ac:dyDescent="0.25">
      <c r="A489" s="4" t="s">
        <v>515</v>
      </c>
      <c r="B489" t="s">
        <v>10</v>
      </c>
      <c r="C489" t="s">
        <v>4</v>
      </c>
      <c r="D489" s="3">
        <f t="shared" si="49"/>
        <v>65</v>
      </c>
      <c r="E489" s="4">
        <f t="shared" si="50"/>
        <v>3</v>
      </c>
      <c r="F489" s="4">
        <f t="shared" si="51"/>
        <v>17</v>
      </c>
      <c r="G489" s="3">
        <f>IF(E489&gt;=20,2000,1900) + D489</f>
        <v>1965</v>
      </c>
      <c r="H489">
        <f t="shared" si="52"/>
        <v>3</v>
      </c>
      <c r="I489" s="4">
        <f t="shared" si="53"/>
        <v>17</v>
      </c>
      <c r="J489">
        <f t="shared" si="54"/>
        <v>19650317</v>
      </c>
      <c r="K489">
        <f t="shared" si="55"/>
        <v>20</v>
      </c>
    </row>
    <row r="490" spans="1:11" x14ac:dyDescent="0.25">
      <c r="A490" s="4" t="s">
        <v>516</v>
      </c>
      <c r="B490" t="s">
        <v>8</v>
      </c>
      <c r="C490" t="s">
        <v>6</v>
      </c>
      <c r="D490" s="3">
        <f t="shared" si="49"/>
        <v>66</v>
      </c>
      <c r="E490" s="4">
        <f t="shared" si="50"/>
        <v>3</v>
      </c>
      <c r="F490" s="4">
        <f t="shared" si="51"/>
        <v>15</v>
      </c>
      <c r="G490" s="3">
        <f>IF(E490&gt;=20,2000,1900) + D490</f>
        <v>1966</v>
      </c>
      <c r="H490">
        <f t="shared" si="52"/>
        <v>3</v>
      </c>
      <c r="I490" s="4">
        <f t="shared" si="53"/>
        <v>15</v>
      </c>
      <c r="J490">
        <f t="shared" si="54"/>
        <v>19660315</v>
      </c>
      <c r="K490">
        <f t="shared" si="55"/>
        <v>20</v>
      </c>
    </row>
    <row r="491" spans="1:11" x14ac:dyDescent="0.25">
      <c r="A491" s="4" t="s">
        <v>517</v>
      </c>
      <c r="B491" t="s">
        <v>17</v>
      </c>
      <c r="C491" t="s">
        <v>4</v>
      </c>
      <c r="D491" s="3">
        <f t="shared" si="49"/>
        <v>84</v>
      </c>
      <c r="E491" s="4">
        <f t="shared" si="50"/>
        <v>12</v>
      </c>
      <c r="F491" s="4">
        <f t="shared" si="51"/>
        <v>12</v>
      </c>
      <c r="G491" s="3">
        <f>IF(E491&gt;=20,2000,1900) + D491</f>
        <v>1984</v>
      </c>
      <c r="H491">
        <f t="shared" si="52"/>
        <v>12</v>
      </c>
      <c r="I491" s="4">
        <f t="shared" si="53"/>
        <v>12</v>
      </c>
      <c r="J491">
        <f t="shared" si="54"/>
        <v>19841212</v>
      </c>
      <c r="K491">
        <f t="shared" si="55"/>
        <v>20</v>
      </c>
    </row>
    <row r="492" spans="1:11" x14ac:dyDescent="0.25">
      <c r="A492" s="4" t="s">
        <v>518</v>
      </c>
      <c r="B492" t="s">
        <v>8</v>
      </c>
      <c r="C492" t="s">
        <v>6</v>
      </c>
      <c r="D492" s="3">
        <f t="shared" si="49"/>
        <v>56</v>
      </c>
      <c r="E492" s="4">
        <f t="shared" si="50"/>
        <v>6</v>
      </c>
      <c r="F492" s="4">
        <f t="shared" si="51"/>
        <v>2</v>
      </c>
      <c r="G492" s="3">
        <f>IF(E492&gt;=20,2000,1900) + D492</f>
        <v>1956</v>
      </c>
      <c r="H492">
        <f t="shared" si="52"/>
        <v>6</v>
      </c>
      <c r="I492" s="4">
        <f t="shared" si="53"/>
        <v>2</v>
      </c>
      <c r="J492">
        <f t="shared" si="54"/>
        <v>19560602</v>
      </c>
      <c r="K492">
        <f t="shared" si="55"/>
        <v>20</v>
      </c>
    </row>
    <row r="493" spans="1:11" x14ac:dyDescent="0.25">
      <c r="A493" s="4" t="s">
        <v>519</v>
      </c>
      <c r="B493" t="s">
        <v>13</v>
      </c>
      <c r="C493" t="s">
        <v>4</v>
      </c>
      <c r="D493" s="3">
        <f t="shared" si="49"/>
        <v>88</v>
      </c>
      <c r="E493" s="4">
        <f t="shared" si="50"/>
        <v>6</v>
      </c>
      <c r="F493" s="4">
        <f t="shared" si="51"/>
        <v>2</v>
      </c>
      <c r="G493" s="3">
        <f>IF(E493&gt;=20,2000,1900) + D493</f>
        <v>1988</v>
      </c>
      <c r="H493">
        <f t="shared" si="52"/>
        <v>6</v>
      </c>
      <c r="I493" s="4">
        <f t="shared" si="53"/>
        <v>2</v>
      </c>
      <c r="J493">
        <f t="shared" si="54"/>
        <v>19880602</v>
      </c>
      <c r="K493">
        <f t="shared" si="55"/>
        <v>20</v>
      </c>
    </row>
    <row r="494" spans="1:11" x14ac:dyDescent="0.25">
      <c r="A494" s="4" t="s">
        <v>520</v>
      </c>
      <c r="B494" t="s">
        <v>19</v>
      </c>
      <c r="C494" t="s">
        <v>6</v>
      </c>
      <c r="D494" s="3">
        <f t="shared" si="49"/>
        <v>93</v>
      </c>
      <c r="E494" s="4">
        <f t="shared" si="50"/>
        <v>7</v>
      </c>
      <c r="F494" s="4">
        <f t="shared" si="51"/>
        <v>16</v>
      </c>
      <c r="G494" s="3">
        <f>IF(E494&gt;=20,2000,1900) + D494</f>
        <v>1993</v>
      </c>
      <c r="H494">
        <f t="shared" si="52"/>
        <v>7</v>
      </c>
      <c r="I494" s="4">
        <f t="shared" si="53"/>
        <v>16</v>
      </c>
      <c r="J494">
        <f t="shared" si="54"/>
        <v>19930716</v>
      </c>
      <c r="K494">
        <f t="shared" si="55"/>
        <v>20</v>
      </c>
    </row>
    <row r="495" spans="1:11" x14ac:dyDescent="0.25">
      <c r="A495" s="4" t="s">
        <v>521</v>
      </c>
      <c r="B495" t="s">
        <v>9</v>
      </c>
      <c r="C495" t="s">
        <v>4</v>
      </c>
      <c r="D495" s="3">
        <f t="shared" si="49"/>
        <v>56</v>
      </c>
      <c r="E495" s="4">
        <f t="shared" si="50"/>
        <v>3</v>
      </c>
      <c r="F495" s="4">
        <f t="shared" si="51"/>
        <v>22</v>
      </c>
      <c r="G495" s="3">
        <f>IF(E495&gt;=20,2000,1900) + D495</f>
        <v>1956</v>
      </c>
      <c r="H495">
        <f t="shared" si="52"/>
        <v>3</v>
      </c>
      <c r="I495" s="4">
        <f t="shared" si="53"/>
        <v>22</v>
      </c>
      <c r="J495">
        <f t="shared" si="54"/>
        <v>19560322</v>
      </c>
      <c r="K495">
        <f t="shared" si="55"/>
        <v>20</v>
      </c>
    </row>
    <row r="496" spans="1:11" x14ac:dyDescent="0.25">
      <c r="A496" s="4" t="s">
        <v>522</v>
      </c>
      <c r="B496" t="s">
        <v>7</v>
      </c>
      <c r="C496" t="s">
        <v>4</v>
      </c>
      <c r="D496" s="3">
        <f t="shared" si="49"/>
        <v>64</v>
      </c>
      <c r="E496" s="4">
        <f t="shared" si="50"/>
        <v>8</v>
      </c>
      <c r="F496" s="4">
        <f t="shared" si="51"/>
        <v>11</v>
      </c>
      <c r="G496" s="3">
        <f>IF(E496&gt;=20,2000,1900) + D496</f>
        <v>1964</v>
      </c>
      <c r="H496">
        <f t="shared" si="52"/>
        <v>8</v>
      </c>
      <c r="I496" s="4">
        <f t="shared" si="53"/>
        <v>11</v>
      </c>
      <c r="J496">
        <f t="shared" si="54"/>
        <v>19640811</v>
      </c>
      <c r="K496">
        <f t="shared" si="55"/>
        <v>20</v>
      </c>
    </row>
    <row r="497" spans="1:11" x14ac:dyDescent="0.25">
      <c r="A497" s="4" t="s">
        <v>523</v>
      </c>
      <c r="B497" t="s">
        <v>10</v>
      </c>
      <c r="C497" t="s">
        <v>4</v>
      </c>
      <c r="D497" s="3">
        <f t="shared" si="49"/>
        <v>62</v>
      </c>
      <c r="E497" s="4">
        <f t="shared" si="50"/>
        <v>4</v>
      </c>
      <c r="F497" s="4">
        <f t="shared" si="51"/>
        <v>6</v>
      </c>
      <c r="G497" s="3">
        <f>IF(E497&gt;=20,2000,1900) + D497</f>
        <v>1962</v>
      </c>
      <c r="H497">
        <f t="shared" si="52"/>
        <v>4</v>
      </c>
      <c r="I497" s="4">
        <f t="shared" si="53"/>
        <v>6</v>
      </c>
      <c r="J497">
        <f t="shared" si="54"/>
        <v>19620406</v>
      </c>
      <c r="K497">
        <f t="shared" si="55"/>
        <v>20</v>
      </c>
    </row>
    <row r="498" spans="1:11" x14ac:dyDescent="0.25">
      <c r="A498" s="4" t="s">
        <v>524</v>
      </c>
      <c r="B498" t="s">
        <v>14</v>
      </c>
      <c r="C498" t="s">
        <v>4</v>
      </c>
      <c r="D498" s="3">
        <f t="shared" si="49"/>
        <v>87</v>
      </c>
      <c r="E498" s="4">
        <f t="shared" si="50"/>
        <v>3</v>
      </c>
      <c r="F498" s="4">
        <f t="shared" si="51"/>
        <v>21</v>
      </c>
      <c r="G498" s="3">
        <f>IF(E498&gt;=20,2000,1900) + D498</f>
        <v>1987</v>
      </c>
      <c r="H498">
        <f t="shared" si="52"/>
        <v>3</v>
      </c>
      <c r="I498" s="4">
        <f t="shared" si="53"/>
        <v>21</v>
      </c>
      <c r="J498">
        <f t="shared" si="54"/>
        <v>19870321</v>
      </c>
      <c r="K498">
        <f t="shared" si="55"/>
        <v>20</v>
      </c>
    </row>
    <row r="499" spans="1:11" x14ac:dyDescent="0.25">
      <c r="A499" s="4" t="s">
        <v>525</v>
      </c>
      <c r="B499" t="s">
        <v>7</v>
      </c>
      <c r="C499" t="s">
        <v>4</v>
      </c>
      <c r="D499" s="3">
        <f t="shared" si="49"/>
        <v>73</v>
      </c>
      <c r="E499" s="4">
        <f t="shared" si="50"/>
        <v>10</v>
      </c>
      <c r="F499" s="4">
        <f t="shared" si="51"/>
        <v>14</v>
      </c>
      <c r="G499" s="3">
        <f>IF(E499&gt;=20,2000,1900) + D499</f>
        <v>1973</v>
      </c>
      <c r="H499">
        <f t="shared" si="52"/>
        <v>10</v>
      </c>
      <c r="I499" s="4">
        <f t="shared" si="53"/>
        <v>14</v>
      </c>
      <c r="J499">
        <f t="shared" si="54"/>
        <v>19731014</v>
      </c>
      <c r="K499">
        <f t="shared" si="55"/>
        <v>20</v>
      </c>
    </row>
    <row r="500" spans="1:11" x14ac:dyDescent="0.25">
      <c r="A500" s="4" t="s">
        <v>526</v>
      </c>
      <c r="B500" t="s">
        <v>19</v>
      </c>
      <c r="C500" t="s">
        <v>6</v>
      </c>
      <c r="D500" s="3">
        <f t="shared" si="49"/>
        <v>56</v>
      </c>
      <c r="E500" s="4">
        <f t="shared" si="50"/>
        <v>11</v>
      </c>
      <c r="F500" s="4">
        <f t="shared" si="51"/>
        <v>12</v>
      </c>
      <c r="G500" s="3">
        <f>IF(E500&gt;=20,2000,1900) + D500</f>
        <v>1956</v>
      </c>
      <c r="H500">
        <f t="shared" si="52"/>
        <v>11</v>
      </c>
      <c r="I500" s="4">
        <f t="shared" si="53"/>
        <v>12</v>
      </c>
      <c r="J500">
        <f t="shared" si="54"/>
        <v>19561112</v>
      </c>
      <c r="K500">
        <f t="shared" si="55"/>
        <v>20</v>
      </c>
    </row>
    <row r="501" spans="1:11" x14ac:dyDescent="0.25">
      <c r="A501" s="4" t="s">
        <v>527</v>
      </c>
      <c r="B501" t="s">
        <v>8</v>
      </c>
      <c r="C501" t="s">
        <v>4</v>
      </c>
      <c r="D501" s="3">
        <f t="shared" si="49"/>
        <v>83</v>
      </c>
      <c r="E501" s="4">
        <f t="shared" si="50"/>
        <v>3</v>
      </c>
      <c r="F501" s="4">
        <f t="shared" si="51"/>
        <v>26</v>
      </c>
      <c r="G501" s="3">
        <f>IF(E501&gt;=20,2000,1900) + D501</f>
        <v>1983</v>
      </c>
      <c r="H501">
        <f t="shared" si="52"/>
        <v>3</v>
      </c>
      <c r="I501" s="4">
        <f t="shared" si="53"/>
        <v>26</v>
      </c>
      <c r="J501">
        <f t="shared" si="54"/>
        <v>19830326</v>
      </c>
      <c r="K501">
        <f t="shared" si="55"/>
        <v>20</v>
      </c>
    </row>
    <row r="502" spans="1:11" x14ac:dyDescent="0.25">
      <c r="A502" s="4" t="s">
        <v>528</v>
      </c>
      <c r="B502" t="s">
        <v>9</v>
      </c>
      <c r="C502" t="s">
        <v>4</v>
      </c>
      <c r="D502" s="3">
        <f t="shared" si="49"/>
        <v>88</v>
      </c>
      <c r="E502" s="4">
        <f t="shared" si="50"/>
        <v>5</v>
      </c>
      <c r="F502" s="4">
        <f t="shared" si="51"/>
        <v>10</v>
      </c>
      <c r="G502" s="3">
        <f>IF(E502&gt;=20,2000,1900) + D502</f>
        <v>1988</v>
      </c>
      <c r="H502">
        <f t="shared" si="52"/>
        <v>5</v>
      </c>
      <c r="I502" s="4">
        <f t="shared" si="53"/>
        <v>10</v>
      </c>
      <c r="J502">
        <f t="shared" si="54"/>
        <v>19880510</v>
      </c>
      <c r="K502">
        <f t="shared" si="55"/>
        <v>20</v>
      </c>
    </row>
    <row r="503" spans="1:11" x14ac:dyDescent="0.25">
      <c r="A503" s="4" t="s">
        <v>529</v>
      </c>
      <c r="B503" t="s">
        <v>14</v>
      </c>
      <c r="C503" t="s">
        <v>4</v>
      </c>
      <c r="D503" s="3">
        <f t="shared" si="49"/>
        <v>50</v>
      </c>
      <c r="E503" s="4">
        <f t="shared" si="50"/>
        <v>1</v>
      </c>
      <c r="F503" s="4">
        <f t="shared" si="51"/>
        <v>26</v>
      </c>
      <c r="G503" s="3">
        <f>IF(E503&gt;=20,2000,1900) + D503</f>
        <v>1950</v>
      </c>
      <c r="H503">
        <f t="shared" si="52"/>
        <v>1</v>
      </c>
      <c r="I503" s="4">
        <f t="shared" si="53"/>
        <v>26</v>
      </c>
      <c r="J503">
        <f t="shared" si="54"/>
        <v>19500126</v>
      </c>
      <c r="K503">
        <f t="shared" si="55"/>
        <v>20</v>
      </c>
    </row>
    <row r="504" spans="1:11" x14ac:dyDescent="0.25">
      <c r="A504" s="4" t="s">
        <v>530</v>
      </c>
      <c r="B504" t="s">
        <v>9</v>
      </c>
      <c r="C504" t="s">
        <v>6</v>
      </c>
      <c r="D504" s="3">
        <f t="shared" si="49"/>
        <v>96</v>
      </c>
      <c r="E504" s="4">
        <f t="shared" si="50"/>
        <v>4</v>
      </c>
      <c r="F504" s="4">
        <f t="shared" si="51"/>
        <v>2</v>
      </c>
      <c r="G504" s="3">
        <f>IF(E504&gt;=20,2000,1900) + D504</f>
        <v>1996</v>
      </c>
      <c r="H504">
        <f t="shared" si="52"/>
        <v>4</v>
      </c>
      <c r="I504" s="4">
        <f t="shared" si="53"/>
        <v>2</v>
      </c>
      <c r="J504">
        <f t="shared" si="54"/>
        <v>19960402</v>
      </c>
      <c r="K504">
        <f t="shared" si="55"/>
        <v>20</v>
      </c>
    </row>
    <row r="505" spans="1:11" x14ac:dyDescent="0.25">
      <c r="A505" s="4" t="s">
        <v>531</v>
      </c>
      <c r="B505" t="s">
        <v>7</v>
      </c>
      <c r="C505" t="s">
        <v>4</v>
      </c>
      <c r="D505" s="3">
        <f t="shared" si="49"/>
        <v>91</v>
      </c>
      <c r="E505" s="4">
        <f t="shared" si="50"/>
        <v>4</v>
      </c>
      <c r="F505" s="4">
        <f t="shared" si="51"/>
        <v>10</v>
      </c>
      <c r="G505" s="3">
        <f>IF(E505&gt;=20,2000,1900) + D505</f>
        <v>1991</v>
      </c>
      <c r="H505">
        <f t="shared" si="52"/>
        <v>4</v>
      </c>
      <c r="I505" s="4">
        <f t="shared" si="53"/>
        <v>10</v>
      </c>
      <c r="J505">
        <f t="shared" si="54"/>
        <v>19910410</v>
      </c>
      <c r="K505">
        <f t="shared" si="55"/>
        <v>20</v>
      </c>
    </row>
    <row r="506" spans="1:11" x14ac:dyDescent="0.25">
      <c r="A506" s="4" t="s">
        <v>532</v>
      </c>
      <c r="B506" t="s">
        <v>14</v>
      </c>
      <c r="C506" t="s">
        <v>6</v>
      </c>
      <c r="D506" s="3">
        <f t="shared" si="49"/>
        <v>75</v>
      </c>
      <c r="E506" s="4">
        <f t="shared" si="50"/>
        <v>6</v>
      </c>
      <c r="F506" s="4">
        <f t="shared" si="51"/>
        <v>17</v>
      </c>
      <c r="G506" s="3">
        <f>IF(E506&gt;=20,2000,1900) + D506</f>
        <v>1975</v>
      </c>
      <c r="H506">
        <f t="shared" si="52"/>
        <v>6</v>
      </c>
      <c r="I506" s="4">
        <f t="shared" si="53"/>
        <v>17</v>
      </c>
      <c r="J506">
        <f t="shared" si="54"/>
        <v>19750617</v>
      </c>
      <c r="K506">
        <f t="shared" si="55"/>
        <v>20</v>
      </c>
    </row>
    <row r="507" spans="1:11" x14ac:dyDescent="0.25">
      <c r="A507" s="4" t="s">
        <v>533</v>
      </c>
      <c r="B507" t="s">
        <v>8</v>
      </c>
      <c r="C507" t="s">
        <v>4</v>
      </c>
      <c r="D507" s="3">
        <f t="shared" si="49"/>
        <v>52</v>
      </c>
      <c r="E507" s="4">
        <f t="shared" si="50"/>
        <v>2</v>
      </c>
      <c r="F507" s="4">
        <f t="shared" si="51"/>
        <v>4</v>
      </c>
      <c r="G507" s="3">
        <f>IF(E507&gt;=20,2000,1900) + D507</f>
        <v>1952</v>
      </c>
      <c r="H507">
        <f t="shared" si="52"/>
        <v>2</v>
      </c>
      <c r="I507" s="4">
        <f t="shared" si="53"/>
        <v>4</v>
      </c>
      <c r="J507">
        <f t="shared" si="54"/>
        <v>19520204</v>
      </c>
      <c r="K507">
        <f t="shared" si="55"/>
        <v>20</v>
      </c>
    </row>
    <row r="508" spans="1:11" x14ac:dyDescent="0.25">
      <c r="A508" s="4" t="s">
        <v>534</v>
      </c>
      <c r="B508" t="s">
        <v>15</v>
      </c>
      <c r="C508" t="s">
        <v>4</v>
      </c>
      <c r="D508" s="3">
        <f t="shared" si="49"/>
        <v>94</v>
      </c>
      <c r="E508" s="4">
        <f t="shared" si="50"/>
        <v>2</v>
      </c>
      <c r="F508" s="4">
        <f t="shared" si="51"/>
        <v>17</v>
      </c>
      <c r="G508" s="3">
        <f>IF(E508&gt;=20,2000,1900) + D508</f>
        <v>1994</v>
      </c>
      <c r="H508">
        <f t="shared" si="52"/>
        <v>2</v>
      </c>
      <c r="I508" s="4">
        <f t="shared" si="53"/>
        <v>17</v>
      </c>
      <c r="J508">
        <f t="shared" si="54"/>
        <v>19940217</v>
      </c>
      <c r="K508">
        <f t="shared" si="55"/>
        <v>20</v>
      </c>
    </row>
    <row r="509" spans="1:11" x14ac:dyDescent="0.25">
      <c r="A509" s="4" t="s">
        <v>535</v>
      </c>
      <c r="B509" t="s">
        <v>8</v>
      </c>
      <c r="C509" t="s">
        <v>6</v>
      </c>
      <c r="D509" s="3">
        <f t="shared" si="49"/>
        <v>54</v>
      </c>
      <c r="E509" s="4">
        <f t="shared" si="50"/>
        <v>6</v>
      </c>
      <c r="F509" s="4">
        <f t="shared" si="51"/>
        <v>14</v>
      </c>
      <c r="G509" s="3">
        <f>IF(E509&gt;=20,2000,1900) + D509</f>
        <v>1954</v>
      </c>
      <c r="H509">
        <f t="shared" si="52"/>
        <v>6</v>
      </c>
      <c r="I509" s="4">
        <f t="shared" si="53"/>
        <v>14</v>
      </c>
      <c r="J509">
        <f t="shared" si="54"/>
        <v>19540614</v>
      </c>
      <c r="K509">
        <f t="shared" si="55"/>
        <v>20</v>
      </c>
    </row>
    <row r="510" spans="1:11" x14ac:dyDescent="0.25">
      <c r="A510" s="4" t="s">
        <v>536</v>
      </c>
      <c r="B510" t="s">
        <v>9</v>
      </c>
      <c r="C510" t="s">
        <v>6</v>
      </c>
      <c r="D510" s="3">
        <f t="shared" si="49"/>
        <v>60</v>
      </c>
      <c r="E510" s="4">
        <f t="shared" si="50"/>
        <v>1</v>
      </c>
      <c r="F510" s="4">
        <f t="shared" si="51"/>
        <v>26</v>
      </c>
      <c r="G510" s="3">
        <f>IF(E510&gt;=20,2000,1900) + D510</f>
        <v>1960</v>
      </c>
      <c r="H510">
        <f t="shared" si="52"/>
        <v>1</v>
      </c>
      <c r="I510" s="4">
        <f t="shared" si="53"/>
        <v>26</v>
      </c>
      <c r="J510">
        <f t="shared" si="54"/>
        <v>19600126</v>
      </c>
      <c r="K510">
        <f t="shared" si="55"/>
        <v>20</v>
      </c>
    </row>
    <row r="511" spans="1:11" x14ac:dyDescent="0.25">
      <c r="A511" s="4" t="s">
        <v>537</v>
      </c>
      <c r="B511" t="s">
        <v>14</v>
      </c>
      <c r="C511" t="s">
        <v>6</v>
      </c>
      <c r="D511" s="3">
        <f t="shared" si="49"/>
        <v>64</v>
      </c>
      <c r="E511" s="4">
        <f t="shared" si="50"/>
        <v>3</v>
      </c>
      <c r="F511" s="4">
        <f t="shared" si="51"/>
        <v>13</v>
      </c>
      <c r="G511" s="3">
        <f>IF(E511&gt;=20,2000,1900) + D511</f>
        <v>1964</v>
      </c>
      <c r="H511">
        <f t="shared" si="52"/>
        <v>3</v>
      </c>
      <c r="I511" s="4">
        <f t="shared" si="53"/>
        <v>13</v>
      </c>
      <c r="J511">
        <f t="shared" si="54"/>
        <v>19640313</v>
      </c>
      <c r="K511">
        <f t="shared" si="55"/>
        <v>20</v>
      </c>
    </row>
    <row r="512" spans="1:11" x14ac:dyDescent="0.25">
      <c r="A512" s="4" t="s">
        <v>538</v>
      </c>
      <c r="B512" t="s">
        <v>20</v>
      </c>
      <c r="C512" t="s">
        <v>6</v>
      </c>
      <c r="D512" s="3">
        <f t="shared" si="49"/>
        <v>76</v>
      </c>
      <c r="E512" s="4">
        <f t="shared" si="50"/>
        <v>3</v>
      </c>
      <c r="F512" s="4">
        <f t="shared" si="51"/>
        <v>25</v>
      </c>
      <c r="G512" s="3">
        <f>IF(E512&gt;=20,2000,1900) + D512</f>
        <v>1976</v>
      </c>
      <c r="H512">
        <f t="shared" si="52"/>
        <v>3</v>
      </c>
      <c r="I512" s="4">
        <f t="shared" si="53"/>
        <v>25</v>
      </c>
      <c r="J512">
        <f t="shared" si="54"/>
        <v>19760325</v>
      </c>
      <c r="K512">
        <f t="shared" si="55"/>
        <v>20</v>
      </c>
    </row>
    <row r="513" spans="1:11" x14ac:dyDescent="0.25">
      <c r="A513" s="4" t="s">
        <v>539</v>
      </c>
      <c r="B513" t="s">
        <v>11</v>
      </c>
      <c r="C513" t="s">
        <v>4</v>
      </c>
      <c r="D513" s="3">
        <f t="shared" si="49"/>
        <v>94</v>
      </c>
      <c r="E513" s="4">
        <f t="shared" si="50"/>
        <v>4</v>
      </c>
      <c r="F513" s="4">
        <f t="shared" si="51"/>
        <v>22</v>
      </c>
      <c r="G513" s="3">
        <f>IF(E513&gt;=20,2000,1900) + D513</f>
        <v>1994</v>
      </c>
      <c r="H513">
        <f t="shared" si="52"/>
        <v>4</v>
      </c>
      <c r="I513" s="4">
        <f t="shared" si="53"/>
        <v>22</v>
      </c>
      <c r="J513">
        <f t="shared" si="54"/>
        <v>19940422</v>
      </c>
      <c r="K513">
        <f t="shared" si="55"/>
        <v>20</v>
      </c>
    </row>
    <row r="514" spans="1:11" x14ac:dyDescent="0.25">
      <c r="A514" s="4" t="s">
        <v>540</v>
      </c>
      <c r="B514" t="s">
        <v>16</v>
      </c>
      <c r="C514" t="s">
        <v>6</v>
      </c>
      <c r="D514" s="3">
        <f t="shared" si="49"/>
        <v>72</v>
      </c>
      <c r="E514" s="4">
        <f t="shared" si="50"/>
        <v>1</v>
      </c>
      <c r="F514" s="4">
        <f t="shared" si="51"/>
        <v>12</v>
      </c>
      <c r="G514" s="3">
        <f>IF(E514&gt;=20,2000,1900) + D514</f>
        <v>1972</v>
      </c>
      <c r="H514">
        <f t="shared" si="52"/>
        <v>1</v>
      </c>
      <c r="I514" s="4">
        <f t="shared" si="53"/>
        <v>12</v>
      </c>
      <c r="J514">
        <f t="shared" si="54"/>
        <v>19720112</v>
      </c>
      <c r="K514">
        <f t="shared" si="55"/>
        <v>20</v>
      </c>
    </row>
    <row r="515" spans="1:11" x14ac:dyDescent="0.25">
      <c r="A515" s="4" t="s">
        <v>541</v>
      </c>
      <c r="B515" t="s">
        <v>12</v>
      </c>
      <c r="C515" t="s">
        <v>6</v>
      </c>
      <c r="D515" s="3">
        <f t="shared" ref="D515:D578" si="56">MID(A515,1,2)*1</f>
        <v>55</v>
      </c>
      <c r="E515" s="4">
        <f t="shared" ref="E515:E578" si="57">MID(A515,3,2)*1</f>
        <v>10</v>
      </c>
      <c r="F515" s="4">
        <f t="shared" ref="F515:F578" si="58">MID(A515,5,2)*1</f>
        <v>16</v>
      </c>
      <c r="G515" s="3">
        <f>IF(E515&gt;=20,2000,1900) + D515</f>
        <v>1955</v>
      </c>
      <c r="H515">
        <f t="shared" ref="H515:H578" si="59">IF(E515&gt;=20,E515-20,E515)</f>
        <v>10</v>
      </c>
      <c r="I515" s="4">
        <f t="shared" ref="I515:I578" si="60">F515</f>
        <v>16</v>
      </c>
      <c r="J515">
        <f t="shared" ref="J515:J578" si="61">CONCATENATE(G515,IF(LEN(E515)=1,CONCATENATE("0",E515),E515),IF(LEN(F515)=1,CONCATENATE("0",F515),F515))*1</f>
        <v>19551016</v>
      </c>
      <c r="K515">
        <f t="shared" ref="K515:K578" si="62">IF(G515&lt;=2000,20,21)</f>
        <v>20</v>
      </c>
    </row>
    <row r="516" spans="1:11" x14ac:dyDescent="0.25">
      <c r="A516" s="4" t="s">
        <v>542</v>
      </c>
      <c r="B516" t="s">
        <v>5</v>
      </c>
      <c r="C516" t="s">
        <v>6</v>
      </c>
      <c r="D516" s="3">
        <f t="shared" si="56"/>
        <v>63</v>
      </c>
      <c r="E516" s="4">
        <f t="shared" si="57"/>
        <v>6</v>
      </c>
      <c r="F516" s="4">
        <f t="shared" si="58"/>
        <v>15</v>
      </c>
      <c r="G516" s="3">
        <f>IF(E516&gt;=20,2000,1900) + D516</f>
        <v>1963</v>
      </c>
      <c r="H516">
        <f t="shared" si="59"/>
        <v>6</v>
      </c>
      <c r="I516" s="4">
        <f t="shared" si="60"/>
        <v>15</v>
      </c>
      <c r="J516">
        <f t="shared" si="61"/>
        <v>19630615</v>
      </c>
      <c r="K516">
        <f t="shared" si="62"/>
        <v>20</v>
      </c>
    </row>
    <row r="517" spans="1:11" x14ac:dyDescent="0.25">
      <c r="A517" s="4" t="s">
        <v>543</v>
      </c>
      <c r="B517" t="s">
        <v>15</v>
      </c>
      <c r="C517" t="s">
        <v>6</v>
      </c>
      <c r="D517" s="3">
        <f t="shared" si="56"/>
        <v>66</v>
      </c>
      <c r="E517" s="4">
        <f t="shared" si="57"/>
        <v>9</v>
      </c>
      <c r="F517" s="4">
        <f t="shared" si="58"/>
        <v>20</v>
      </c>
      <c r="G517" s="3">
        <f>IF(E517&gt;=20,2000,1900) + D517</f>
        <v>1966</v>
      </c>
      <c r="H517">
        <f t="shared" si="59"/>
        <v>9</v>
      </c>
      <c r="I517" s="4">
        <f t="shared" si="60"/>
        <v>20</v>
      </c>
      <c r="J517">
        <f t="shared" si="61"/>
        <v>19660920</v>
      </c>
      <c r="K517">
        <f t="shared" si="62"/>
        <v>20</v>
      </c>
    </row>
    <row r="518" spans="1:11" x14ac:dyDescent="0.25">
      <c r="A518" s="4" t="s">
        <v>544</v>
      </c>
      <c r="B518" t="s">
        <v>15</v>
      </c>
      <c r="C518" t="s">
        <v>6</v>
      </c>
      <c r="D518" s="3">
        <f t="shared" si="56"/>
        <v>79</v>
      </c>
      <c r="E518" s="4">
        <f t="shared" si="57"/>
        <v>12</v>
      </c>
      <c r="F518" s="4">
        <f t="shared" si="58"/>
        <v>3</v>
      </c>
      <c r="G518" s="3">
        <f>IF(E518&gt;=20,2000,1900) + D518</f>
        <v>1979</v>
      </c>
      <c r="H518">
        <f t="shared" si="59"/>
        <v>12</v>
      </c>
      <c r="I518" s="4">
        <f t="shared" si="60"/>
        <v>3</v>
      </c>
      <c r="J518">
        <f t="shared" si="61"/>
        <v>19791203</v>
      </c>
      <c r="K518">
        <f t="shared" si="62"/>
        <v>20</v>
      </c>
    </row>
    <row r="519" spans="1:11" x14ac:dyDescent="0.25">
      <c r="A519" s="4" t="s">
        <v>545</v>
      </c>
      <c r="B519" t="s">
        <v>17</v>
      </c>
      <c r="C519" t="s">
        <v>6</v>
      </c>
      <c r="D519" s="3">
        <f t="shared" si="56"/>
        <v>75</v>
      </c>
      <c r="E519" s="4">
        <f t="shared" si="57"/>
        <v>3</v>
      </c>
      <c r="F519" s="4">
        <f t="shared" si="58"/>
        <v>20</v>
      </c>
      <c r="G519" s="3">
        <f>IF(E519&gt;=20,2000,1900) + D519</f>
        <v>1975</v>
      </c>
      <c r="H519">
        <f t="shared" si="59"/>
        <v>3</v>
      </c>
      <c r="I519" s="4">
        <f t="shared" si="60"/>
        <v>20</v>
      </c>
      <c r="J519">
        <f t="shared" si="61"/>
        <v>19750320</v>
      </c>
      <c r="K519">
        <f t="shared" si="62"/>
        <v>20</v>
      </c>
    </row>
    <row r="520" spans="1:11" x14ac:dyDescent="0.25">
      <c r="A520" s="4" t="s">
        <v>546</v>
      </c>
      <c r="B520" t="s">
        <v>17</v>
      </c>
      <c r="C520" t="s">
        <v>4</v>
      </c>
      <c r="D520" s="3">
        <f t="shared" si="56"/>
        <v>64</v>
      </c>
      <c r="E520" s="4">
        <f t="shared" si="57"/>
        <v>12</v>
      </c>
      <c r="F520" s="4">
        <f t="shared" si="58"/>
        <v>6</v>
      </c>
      <c r="G520" s="3">
        <f>IF(E520&gt;=20,2000,1900) + D520</f>
        <v>1964</v>
      </c>
      <c r="H520">
        <f t="shared" si="59"/>
        <v>12</v>
      </c>
      <c r="I520" s="4">
        <f t="shared" si="60"/>
        <v>6</v>
      </c>
      <c r="J520">
        <f t="shared" si="61"/>
        <v>19641206</v>
      </c>
      <c r="K520">
        <f t="shared" si="62"/>
        <v>20</v>
      </c>
    </row>
    <row r="521" spans="1:11" x14ac:dyDescent="0.25">
      <c r="A521" s="4" t="s">
        <v>547</v>
      </c>
      <c r="B521" t="s">
        <v>9</v>
      </c>
      <c r="C521" t="s">
        <v>6</v>
      </c>
      <c r="D521" s="3">
        <f t="shared" si="56"/>
        <v>73</v>
      </c>
      <c r="E521" s="4">
        <f t="shared" si="57"/>
        <v>7</v>
      </c>
      <c r="F521" s="4">
        <f t="shared" si="58"/>
        <v>28</v>
      </c>
      <c r="G521" s="3">
        <f>IF(E521&gt;=20,2000,1900) + D521</f>
        <v>1973</v>
      </c>
      <c r="H521">
        <f t="shared" si="59"/>
        <v>7</v>
      </c>
      <c r="I521" s="4">
        <f t="shared" si="60"/>
        <v>28</v>
      </c>
      <c r="J521">
        <f t="shared" si="61"/>
        <v>19730728</v>
      </c>
      <c r="K521">
        <f t="shared" si="62"/>
        <v>20</v>
      </c>
    </row>
    <row r="522" spans="1:11" x14ac:dyDescent="0.25">
      <c r="A522" s="4" t="s">
        <v>548</v>
      </c>
      <c r="B522" t="s">
        <v>17</v>
      </c>
      <c r="C522" t="s">
        <v>6</v>
      </c>
      <c r="D522" s="3">
        <f t="shared" si="56"/>
        <v>81</v>
      </c>
      <c r="E522" s="4">
        <f t="shared" si="57"/>
        <v>3</v>
      </c>
      <c r="F522" s="4">
        <f t="shared" si="58"/>
        <v>21</v>
      </c>
      <c r="G522" s="3">
        <f>IF(E522&gt;=20,2000,1900) + D522</f>
        <v>1981</v>
      </c>
      <c r="H522">
        <f t="shared" si="59"/>
        <v>3</v>
      </c>
      <c r="I522" s="4">
        <f t="shared" si="60"/>
        <v>21</v>
      </c>
      <c r="J522">
        <f t="shared" si="61"/>
        <v>19810321</v>
      </c>
      <c r="K522">
        <f t="shared" si="62"/>
        <v>20</v>
      </c>
    </row>
    <row r="523" spans="1:11" x14ac:dyDescent="0.25">
      <c r="A523" s="4" t="s">
        <v>549</v>
      </c>
      <c r="B523" t="s">
        <v>18</v>
      </c>
      <c r="C523" t="s">
        <v>4</v>
      </c>
      <c r="D523" s="3">
        <f t="shared" si="56"/>
        <v>99</v>
      </c>
      <c r="E523" s="4">
        <f t="shared" si="57"/>
        <v>12</v>
      </c>
      <c r="F523" s="4">
        <f t="shared" si="58"/>
        <v>2</v>
      </c>
      <c r="G523" s="3">
        <f>IF(E523&gt;=20,2000,1900) + D523</f>
        <v>1999</v>
      </c>
      <c r="H523">
        <f t="shared" si="59"/>
        <v>12</v>
      </c>
      <c r="I523" s="4">
        <f t="shared" si="60"/>
        <v>2</v>
      </c>
      <c r="J523">
        <f t="shared" si="61"/>
        <v>19991202</v>
      </c>
      <c r="K523">
        <f t="shared" si="62"/>
        <v>20</v>
      </c>
    </row>
    <row r="524" spans="1:11" x14ac:dyDescent="0.25">
      <c r="A524" s="4" t="s">
        <v>550</v>
      </c>
      <c r="B524" t="s">
        <v>7</v>
      </c>
      <c r="C524" t="s">
        <v>6</v>
      </c>
      <c r="D524" s="3">
        <f t="shared" si="56"/>
        <v>57</v>
      </c>
      <c r="E524" s="4">
        <f t="shared" si="57"/>
        <v>4</v>
      </c>
      <c r="F524" s="4">
        <f t="shared" si="58"/>
        <v>5</v>
      </c>
      <c r="G524" s="3">
        <f>IF(E524&gt;=20,2000,1900) + D524</f>
        <v>1957</v>
      </c>
      <c r="H524">
        <f t="shared" si="59"/>
        <v>4</v>
      </c>
      <c r="I524" s="4">
        <f t="shared" si="60"/>
        <v>5</v>
      </c>
      <c r="J524">
        <f t="shared" si="61"/>
        <v>19570405</v>
      </c>
      <c r="K524">
        <f t="shared" si="62"/>
        <v>20</v>
      </c>
    </row>
    <row r="525" spans="1:11" x14ac:dyDescent="0.25">
      <c r="A525" s="4" t="s">
        <v>551</v>
      </c>
      <c r="B525" t="s">
        <v>14</v>
      </c>
      <c r="C525" t="s">
        <v>6</v>
      </c>
      <c r="D525" s="3">
        <f t="shared" si="56"/>
        <v>99</v>
      </c>
      <c r="E525" s="4">
        <f t="shared" si="57"/>
        <v>5</v>
      </c>
      <c r="F525" s="4">
        <f t="shared" si="58"/>
        <v>13</v>
      </c>
      <c r="G525" s="3">
        <f>IF(E525&gt;=20,2000,1900) + D525</f>
        <v>1999</v>
      </c>
      <c r="H525">
        <f t="shared" si="59"/>
        <v>5</v>
      </c>
      <c r="I525" s="4">
        <f t="shared" si="60"/>
        <v>13</v>
      </c>
      <c r="J525">
        <f t="shared" si="61"/>
        <v>19990513</v>
      </c>
      <c r="K525">
        <f t="shared" si="62"/>
        <v>20</v>
      </c>
    </row>
    <row r="526" spans="1:11" x14ac:dyDescent="0.25">
      <c r="A526" s="4" t="s">
        <v>552</v>
      </c>
      <c r="B526" t="s">
        <v>11</v>
      </c>
      <c r="C526" t="s">
        <v>4</v>
      </c>
      <c r="D526" s="3">
        <f t="shared" si="56"/>
        <v>73</v>
      </c>
      <c r="E526" s="4">
        <f t="shared" si="57"/>
        <v>3</v>
      </c>
      <c r="F526" s="4">
        <f t="shared" si="58"/>
        <v>18</v>
      </c>
      <c r="G526" s="3">
        <f>IF(E526&gt;=20,2000,1900) + D526</f>
        <v>1973</v>
      </c>
      <c r="H526">
        <f t="shared" si="59"/>
        <v>3</v>
      </c>
      <c r="I526" s="4">
        <f t="shared" si="60"/>
        <v>18</v>
      </c>
      <c r="J526">
        <f t="shared" si="61"/>
        <v>19730318</v>
      </c>
      <c r="K526">
        <f t="shared" si="62"/>
        <v>20</v>
      </c>
    </row>
    <row r="527" spans="1:11" x14ac:dyDescent="0.25">
      <c r="A527" s="4" t="s">
        <v>553</v>
      </c>
      <c r="B527" t="s">
        <v>5</v>
      </c>
      <c r="C527" t="s">
        <v>6</v>
      </c>
      <c r="D527" s="3">
        <f t="shared" si="56"/>
        <v>86</v>
      </c>
      <c r="E527" s="4">
        <f t="shared" si="57"/>
        <v>6</v>
      </c>
      <c r="F527" s="4">
        <f t="shared" si="58"/>
        <v>15</v>
      </c>
      <c r="G527" s="3">
        <f>IF(E527&gt;=20,2000,1900) + D527</f>
        <v>1986</v>
      </c>
      <c r="H527">
        <f t="shared" si="59"/>
        <v>6</v>
      </c>
      <c r="I527" s="4">
        <f t="shared" si="60"/>
        <v>15</v>
      </c>
      <c r="J527">
        <f t="shared" si="61"/>
        <v>19860615</v>
      </c>
      <c r="K527">
        <f t="shared" si="62"/>
        <v>20</v>
      </c>
    </row>
    <row r="528" spans="1:11" x14ac:dyDescent="0.25">
      <c r="A528" s="4" t="s">
        <v>554</v>
      </c>
      <c r="B528" t="s">
        <v>11</v>
      </c>
      <c r="C528" t="s">
        <v>4</v>
      </c>
      <c r="D528" s="3">
        <f t="shared" si="56"/>
        <v>53</v>
      </c>
      <c r="E528" s="4">
        <f t="shared" si="57"/>
        <v>9</v>
      </c>
      <c r="F528" s="4">
        <f t="shared" si="58"/>
        <v>6</v>
      </c>
      <c r="G528" s="3">
        <f>IF(E528&gt;=20,2000,1900) + D528</f>
        <v>1953</v>
      </c>
      <c r="H528">
        <f t="shared" si="59"/>
        <v>9</v>
      </c>
      <c r="I528" s="4">
        <f t="shared" si="60"/>
        <v>6</v>
      </c>
      <c r="J528">
        <f t="shared" si="61"/>
        <v>19530906</v>
      </c>
      <c r="K528">
        <f t="shared" si="62"/>
        <v>20</v>
      </c>
    </row>
    <row r="529" spans="1:11" x14ac:dyDescent="0.25">
      <c r="A529" s="4" t="s">
        <v>555</v>
      </c>
      <c r="B529" t="s">
        <v>3</v>
      </c>
      <c r="C529" t="s">
        <v>4</v>
      </c>
      <c r="D529" s="3">
        <f t="shared" si="56"/>
        <v>75</v>
      </c>
      <c r="E529" s="4">
        <f t="shared" si="57"/>
        <v>2</v>
      </c>
      <c r="F529" s="4">
        <f t="shared" si="58"/>
        <v>13</v>
      </c>
      <c r="G529" s="3">
        <f>IF(E529&gt;=20,2000,1900) + D529</f>
        <v>1975</v>
      </c>
      <c r="H529">
        <f t="shared" si="59"/>
        <v>2</v>
      </c>
      <c r="I529" s="4">
        <f t="shared" si="60"/>
        <v>13</v>
      </c>
      <c r="J529">
        <f t="shared" si="61"/>
        <v>19750213</v>
      </c>
      <c r="K529">
        <f t="shared" si="62"/>
        <v>20</v>
      </c>
    </row>
    <row r="530" spans="1:11" x14ac:dyDescent="0.25">
      <c r="A530" s="4" t="s">
        <v>556</v>
      </c>
      <c r="B530" t="s">
        <v>5</v>
      </c>
      <c r="C530" t="s">
        <v>6</v>
      </c>
      <c r="D530" s="3">
        <f t="shared" si="56"/>
        <v>72</v>
      </c>
      <c r="E530" s="4">
        <f t="shared" si="57"/>
        <v>12</v>
      </c>
      <c r="F530" s="4">
        <f t="shared" si="58"/>
        <v>31</v>
      </c>
      <c r="G530" s="3">
        <f>IF(E530&gt;=20,2000,1900) + D530</f>
        <v>1972</v>
      </c>
      <c r="H530">
        <f t="shared" si="59"/>
        <v>12</v>
      </c>
      <c r="I530" s="4">
        <f t="shared" si="60"/>
        <v>31</v>
      </c>
      <c r="J530">
        <f t="shared" si="61"/>
        <v>19721231</v>
      </c>
      <c r="K530">
        <f t="shared" si="62"/>
        <v>20</v>
      </c>
    </row>
    <row r="531" spans="1:11" x14ac:dyDescent="0.25">
      <c r="A531" s="4" t="s">
        <v>557</v>
      </c>
      <c r="B531" t="s">
        <v>15</v>
      </c>
      <c r="C531" t="s">
        <v>6</v>
      </c>
      <c r="D531" s="3">
        <f t="shared" si="56"/>
        <v>79</v>
      </c>
      <c r="E531" s="4">
        <f t="shared" si="57"/>
        <v>7</v>
      </c>
      <c r="F531" s="4">
        <f t="shared" si="58"/>
        <v>6</v>
      </c>
      <c r="G531" s="3">
        <f>IF(E531&gt;=20,2000,1900) + D531</f>
        <v>1979</v>
      </c>
      <c r="H531">
        <f t="shared" si="59"/>
        <v>7</v>
      </c>
      <c r="I531" s="4">
        <f t="shared" si="60"/>
        <v>6</v>
      </c>
      <c r="J531">
        <f t="shared" si="61"/>
        <v>19790706</v>
      </c>
      <c r="K531">
        <f t="shared" si="62"/>
        <v>20</v>
      </c>
    </row>
    <row r="532" spans="1:11" x14ac:dyDescent="0.25">
      <c r="A532" s="4" t="s">
        <v>558</v>
      </c>
      <c r="B532" t="s">
        <v>13</v>
      </c>
      <c r="C532" t="s">
        <v>6</v>
      </c>
      <c r="D532" s="3">
        <f t="shared" si="56"/>
        <v>99</v>
      </c>
      <c r="E532" s="4">
        <f t="shared" si="57"/>
        <v>12</v>
      </c>
      <c r="F532" s="4">
        <f t="shared" si="58"/>
        <v>16</v>
      </c>
      <c r="G532" s="3">
        <f>IF(E532&gt;=20,2000,1900) + D532</f>
        <v>1999</v>
      </c>
      <c r="H532">
        <f t="shared" si="59"/>
        <v>12</v>
      </c>
      <c r="I532" s="4">
        <f t="shared" si="60"/>
        <v>16</v>
      </c>
      <c r="J532">
        <f t="shared" si="61"/>
        <v>19991216</v>
      </c>
      <c r="K532">
        <f t="shared" si="62"/>
        <v>20</v>
      </c>
    </row>
    <row r="533" spans="1:11" x14ac:dyDescent="0.25">
      <c r="A533" s="4" t="s">
        <v>559</v>
      </c>
      <c r="B533" t="s">
        <v>7</v>
      </c>
      <c r="C533" t="s">
        <v>4</v>
      </c>
      <c r="D533" s="3">
        <f t="shared" si="56"/>
        <v>62</v>
      </c>
      <c r="E533" s="4">
        <f t="shared" si="57"/>
        <v>4</v>
      </c>
      <c r="F533" s="4">
        <f t="shared" si="58"/>
        <v>8</v>
      </c>
      <c r="G533" s="3">
        <f>IF(E533&gt;=20,2000,1900) + D533</f>
        <v>1962</v>
      </c>
      <c r="H533">
        <f t="shared" si="59"/>
        <v>4</v>
      </c>
      <c r="I533" s="4">
        <f t="shared" si="60"/>
        <v>8</v>
      </c>
      <c r="J533">
        <f t="shared" si="61"/>
        <v>19620408</v>
      </c>
      <c r="K533">
        <f t="shared" si="62"/>
        <v>20</v>
      </c>
    </row>
    <row r="534" spans="1:11" x14ac:dyDescent="0.25">
      <c r="A534" s="4" t="s">
        <v>560</v>
      </c>
      <c r="B534" t="s">
        <v>14</v>
      </c>
      <c r="C534" t="s">
        <v>6</v>
      </c>
      <c r="D534" s="3">
        <f t="shared" si="56"/>
        <v>77</v>
      </c>
      <c r="E534" s="4">
        <f t="shared" si="57"/>
        <v>5</v>
      </c>
      <c r="F534" s="4">
        <f t="shared" si="58"/>
        <v>7</v>
      </c>
      <c r="G534" s="3">
        <f>IF(E534&gt;=20,2000,1900) + D534</f>
        <v>1977</v>
      </c>
      <c r="H534">
        <f t="shared" si="59"/>
        <v>5</v>
      </c>
      <c r="I534" s="4">
        <f t="shared" si="60"/>
        <v>7</v>
      </c>
      <c r="J534">
        <f t="shared" si="61"/>
        <v>19770507</v>
      </c>
      <c r="K534">
        <f t="shared" si="62"/>
        <v>20</v>
      </c>
    </row>
    <row r="535" spans="1:11" x14ac:dyDescent="0.25">
      <c r="A535" s="4" t="s">
        <v>561</v>
      </c>
      <c r="B535" t="s">
        <v>10</v>
      </c>
      <c r="C535" t="s">
        <v>6</v>
      </c>
      <c r="D535" s="3">
        <f t="shared" si="56"/>
        <v>61</v>
      </c>
      <c r="E535" s="4">
        <f t="shared" si="57"/>
        <v>1</v>
      </c>
      <c r="F535" s="4">
        <f t="shared" si="58"/>
        <v>18</v>
      </c>
      <c r="G535" s="3">
        <f>IF(E535&gt;=20,2000,1900) + D535</f>
        <v>1961</v>
      </c>
      <c r="H535">
        <f t="shared" si="59"/>
        <v>1</v>
      </c>
      <c r="I535" s="4">
        <f t="shared" si="60"/>
        <v>18</v>
      </c>
      <c r="J535">
        <f t="shared" si="61"/>
        <v>19610118</v>
      </c>
      <c r="K535">
        <f t="shared" si="62"/>
        <v>20</v>
      </c>
    </row>
    <row r="536" spans="1:11" x14ac:dyDescent="0.25">
      <c r="A536" s="4" t="s">
        <v>562</v>
      </c>
      <c r="B536" t="s">
        <v>10</v>
      </c>
      <c r="C536" t="s">
        <v>4</v>
      </c>
      <c r="D536" s="3">
        <f t="shared" si="56"/>
        <v>67</v>
      </c>
      <c r="E536" s="4">
        <f t="shared" si="57"/>
        <v>9</v>
      </c>
      <c r="F536" s="4">
        <f t="shared" si="58"/>
        <v>7</v>
      </c>
      <c r="G536" s="3">
        <f>IF(E536&gt;=20,2000,1900) + D536</f>
        <v>1967</v>
      </c>
      <c r="H536">
        <f t="shared" si="59"/>
        <v>9</v>
      </c>
      <c r="I536" s="4">
        <f t="shared" si="60"/>
        <v>7</v>
      </c>
      <c r="J536">
        <f t="shared" si="61"/>
        <v>19670907</v>
      </c>
      <c r="K536">
        <f t="shared" si="62"/>
        <v>20</v>
      </c>
    </row>
    <row r="537" spans="1:11" x14ac:dyDescent="0.25">
      <c r="A537" s="4" t="s">
        <v>563</v>
      </c>
      <c r="B537" t="s">
        <v>19</v>
      </c>
      <c r="C537" t="s">
        <v>4</v>
      </c>
      <c r="D537" s="3">
        <f t="shared" si="56"/>
        <v>69</v>
      </c>
      <c r="E537" s="4">
        <f t="shared" si="57"/>
        <v>12</v>
      </c>
      <c r="F537" s="4">
        <f t="shared" si="58"/>
        <v>18</v>
      </c>
      <c r="G537" s="3">
        <f>IF(E537&gt;=20,2000,1900) + D537</f>
        <v>1969</v>
      </c>
      <c r="H537">
        <f t="shared" si="59"/>
        <v>12</v>
      </c>
      <c r="I537" s="4">
        <f t="shared" si="60"/>
        <v>18</v>
      </c>
      <c r="J537">
        <f t="shared" si="61"/>
        <v>19691218</v>
      </c>
      <c r="K537">
        <f t="shared" si="62"/>
        <v>20</v>
      </c>
    </row>
    <row r="538" spans="1:11" x14ac:dyDescent="0.25">
      <c r="A538" s="4" t="s">
        <v>564</v>
      </c>
      <c r="B538" t="s">
        <v>11</v>
      </c>
      <c r="C538" t="s">
        <v>6</v>
      </c>
      <c r="D538" s="3">
        <f t="shared" si="56"/>
        <v>95</v>
      </c>
      <c r="E538" s="4">
        <f t="shared" si="57"/>
        <v>2</v>
      </c>
      <c r="F538" s="4">
        <f t="shared" si="58"/>
        <v>21</v>
      </c>
      <c r="G538" s="3">
        <f>IF(E538&gt;=20,2000,1900) + D538</f>
        <v>1995</v>
      </c>
      <c r="H538">
        <f t="shared" si="59"/>
        <v>2</v>
      </c>
      <c r="I538" s="4">
        <f t="shared" si="60"/>
        <v>21</v>
      </c>
      <c r="J538">
        <f t="shared" si="61"/>
        <v>19950221</v>
      </c>
      <c r="K538">
        <f t="shared" si="62"/>
        <v>20</v>
      </c>
    </row>
    <row r="539" spans="1:11" x14ac:dyDescent="0.25">
      <c r="A539" s="4" t="s">
        <v>565</v>
      </c>
      <c r="B539" t="s">
        <v>10</v>
      </c>
      <c r="C539" t="s">
        <v>6</v>
      </c>
      <c r="D539" s="3">
        <f t="shared" si="56"/>
        <v>50</v>
      </c>
      <c r="E539" s="4">
        <f t="shared" si="57"/>
        <v>12</v>
      </c>
      <c r="F539" s="4">
        <f t="shared" si="58"/>
        <v>23</v>
      </c>
      <c r="G539" s="3">
        <f>IF(E539&gt;=20,2000,1900) + D539</f>
        <v>1950</v>
      </c>
      <c r="H539">
        <f t="shared" si="59"/>
        <v>12</v>
      </c>
      <c r="I539" s="4">
        <f t="shared" si="60"/>
        <v>23</v>
      </c>
      <c r="J539">
        <f t="shared" si="61"/>
        <v>19501223</v>
      </c>
      <c r="K539">
        <f t="shared" si="62"/>
        <v>20</v>
      </c>
    </row>
    <row r="540" spans="1:11" x14ac:dyDescent="0.25">
      <c r="A540" s="4" t="s">
        <v>566</v>
      </c>
      <c r="B540" t="s">
        <v>20</v>
      </c>
      <c r="C540" t="s">
        <v>4</v>
      </c>
      <c r="D540" s="3">
        <f t="shared" si="56"/>
        <v>64</v>
      </c>
      <c r="E540" s="4">
        <f t="shared" si="57"/>
        <v>4</v>
      </c>
      <c r="F540" s="4">
        <f t="shared" si="58"/>
        <v>8</v>
      </c>
      <c r="G540" s="3">
        <f>IF(E540&gt;=20,2000,1900) + D540</f>
        <v>1964</v>
      </c>
      <c r="H540">
        <f t="shared" si="59"/>
        <v>4</v>
      </c>
      <c r="I540" s="4">
        <f t="shared" si="60"/>
        <v>8</v>
      </c>
      <c r="J540">
        <f t="shared" si="61"/>
        <v>19640408</v>
      </c>
      <c r="K540">
        <f t="shared" si="62"/>
        <v>20</v>
      </c>
    </row>
    <row r="541" spans="1:11" x14ac:dyDescent="0.25">
      <c r="A541" s="4" t="s">
        <v>567</v>
      </c>
      <c r="B541" t="s">
        <v>18</v>
      </c>
      <c r="C541" t="s">
        <v>4</v>
      </c>
      <c r="D541" s="3">
        <f t="shared" si="56"/>
        <v>74</v>
      </c>
      <c r="E541" s="4">
        <f t="shared" si="57"/>
        <v>11</v>
      </c>
      <c r="F541" s="4">
        <f t="shared" si="58"/>
        <v>4</v>
      </c>
      <c r="G541" s="3">
        <f>IF(E541&gt;=20,2000,1900) + D541</f>
        <v>1974</v>
      </c>
      <c r="H541">
        <f t="shared" si="59"/>
        <v>11</v>
      </c>
      <c r="I541" s="4">
        <f t="shared" si="60"/>
        <v>4</v>
      </c>
      <c r="J541">
        <f t="shared" si="61"/>
        <v>19741104</v>
      </c>
      <c r="K541">
        <f t="shared" si="62"/>
        <v>20</v>
      </c>
    </row>
    <row r="542" spans="1:11" x14ac:dyDescent="0.25">
      <c r="A542" s="4" t="s">
        <v>568</v>
      </c>
      <c r="B542" t="s">
        <v>14</v>
      </c>
      <c r="C542" t="s">
        <v>4</v>
      </c>
      <c r="D542" s="3">
        <f t="shared" si="56"/>
        <v>95</v>
      </c>
      <c r="E542" s="4">
        <f t="shared" si="57"/>
        <v>7</v>
      </c>
      <c r="F542" s="4">
        <f t="shared" si="58"/>
        <v>1</v>
      </c>
      <c r="G542" s="3">
        <f>IF(E542&gt;=20,2000,1900) + D542</f>
        <v>1995</v>
      </c>
      <c r="H542">
        <f t="shared" si="59"/>
        <v>7</v>
      </c>
      <c r="I542" s="4">
        <f t="shared" si="60"/>
        <v>1</v>
      </c>
      <c r="J542">
        <f t="shared" si="61"/>
        <v>19950701</v>
      </c>
      <c r="K542">
        <f t="shared" si="62"/>
        <v>20</v>
      </c>
    </row>
    <row r="543" spans="1:11" x14ac:dyDescent="0.25">
      <c r="A543" s="4" t="s">
        <v>569</v>
      </c>
      <c r="B543" t="s">
        <v>7</v>
      </c>
      <c r="C543" t="s">
        <v>6</v>
      </c>
      <c r="D543" s="3">
        <f t="shared" si="56"/>
        <v>51</v>
      </c>
      <c r="E543" s="4">
        <f t="shared" si="57"/>
        <v>4</v>
      </c>
      <c r="F543" s="4">
        <f t="shared" si="58"/>
        <v>7</v>
      </c>
      <c r="G543" s="3">
        <f>IF(E543&gt;=20,2000,1900) + D543</f>
        <v>1951</v>
      </c>
      <c r="H543">
        <f t="shared" si="59"/>
        <v>4</v>
      </c>
      <c r="I543" s="4">
        <f t="shared" si="60"/>
        <v>7</v>
      </c>
      <c r="J543">
        <f t="shared" si="61"/>
        <v>19510407</v>
      </c>
      <c r="K543">
        <f t="shared" si="62"/>
        <v>20</v>
      </c>
    </row>
    <row r="544" spans="1:11" x14ac:dyDescent="0.25">
      <c r="A544" s="4" t="s">
        <v>570</v>
      </c>
      <c r="B544" t="s">
        <v>13</v>
      </c>
      <c r="C544" t="s">
        <v>4</v>
      </c>
      <c r="D544" s="3">
        <f t="shared" si="56"/>
        <v>68</v>
      </c>
      <c r="E544" s="4">
        <f t="shared" si="57"/>
        <v>5</v>
      </c>
      <c r="F544" s="4">
        <f t="shared" si="58"/>
        <v>3</v>
      </c>
      <c r="G544" s="3">
        <f>IF(E544&gt;=20,2000,1900) + D544</f>
        <v>1968</v>
      </c>
      <c r="H544">
        <f t="shared" si="59"/>
        <v>5</v>
      </c>
      <c r="I544" s="4">
        <f t="shared" si="60"/>
        <v>3</v>
      </c>
      <c r="J544">
        <f t="shared" si="61"/>
        <v>19680503</v>
      </c>
      <c r="K544">
        <f t="shared" si="62"/>
        <v>20</v>
      </c>
    </row>
    <row r="545" spans="1:11" x14ac:dyDescent="0.25">
      <c r="A545" s="4" t="s">
        <v>571</v>
      </c>
      <c r="B545" t="s">
        <v>14</v>
      </c>
      <c r="C545" t="s">
        <v>4</v>
      </c>
      <c r="D545" s="3">
        <f t="shared" si="56"/>
        <v>78</v>
      </c>
      <c r="E545" s="4">
        <f t="shared" si="57"/>
        <v>1</v>
      </c>
      <c r="F545" s="4">
        <f t="shared" si="58"/>
        <v>24</v>
      </c>
      <c r="G545" s="3">
        <f>IF(E545&gt;=20,2000,1900) + D545</f>
        <v>1978</v>
      </c>
      <c r="H545">
        <f t="shared" si="59"/>
        <v>1</v>
      </c>
      <c r="I545" s="4">
        <f t="shared" si="60"/>
        <v>24</v>
      </c>
      <c r="J545">
        <f t="shared" si="61"/>
        <v>19780124</v>
      </c>
      <c r="K545">
        <f t="shared" si="62"/>
        <v>20</v>
      </c>
    </row>
    <row r="546" spans="1:11" x14ac:dyDescent="0.25">
      <c r="A546" s="4" t="s">
        <v>572</v>
      </c>
      <c r="B546" t="s">
        <v>18</v>
      </c>
      <c r="C546" t="s">
        <v>4</v>
      </c>
      <c r="D546" s="3">
        <f t="shared" si="56"/>
        <v>85</v>
      </c>
      <c r="E546" s="4">
        <f t="shared" si="57"/>
        <v>8</v>
      </c>
      <c r="F546" s="4">
        <f t="shared" si="58"/>
        <v>2</v>
      </c>
      <c r="G546" s="3">
        <f>IF(E546&gt;=20,2000,1900) + D546</f>
        <v>1985</v>
      </c>
      <c r="H546">
        <f t="shared" si="59"/>
        <v>8</v>
      </c>
      <c r="I546" s="4">
        <f t="shared" si="60"/>
        <v>2</v>
      </c>
      <c r="J546">
        <f t="shared" si="61"/>
        <v>19850802</v>
      </c>
      <c r="K546">
        <f t="shared" si="62"/>
        <v>20</v>
      </c>
    </row>
    <row r="547" spans="1:11" x14ac:dyDescent="0.25">
      <c r="A547" s="4" t="s">
        <v>573</v>
      </c>
      <c r="B547" t="s">
        <v>3</v>
      </c>
      <c r="C547" t="s">
        <v>4</v>
      </c>
      <c r="D547" s="3">
        <f t="shared" si="56"/>
        <v>80</v>
      </c>
      <c r="E547" s="4">
        <f t="shared" si="57"/>
        <v>11</v>
      </c>
      <c r="F547" s="4">
        <f t="shared" si="58"/>
        <v>18</v>
      </c>
      <c r="G547" s="3">
        <f>IF(E547&gt;=20,2000,1900) + D547</f>
        <v>1980</v>
      </c>
      <c r="H547">
        <f t="shared" si="59"/>
        <v>11</v>
      </c>
      <c r="I547" s="4">
        <f t="shared" si="60"/>
        <v>18</v>
      </c>
      <c r="J547">
        <f t="shared" si="61"/>
        <v>19801118</v>
      </c>
      <c r="K547">
        <f t="shared" si="62"/>
        <v>20</v>
      </c>
    </row>
    <row r="548" spans="1:11" x14ac:dyDescent="0.25">
      <c r="A548" s="4" t="s">
        <v>574</v>
      </c>
      <c r="B548" t="s">
        <v>17</v>
      </c>
      <c r="C548" t="s">
        <v>4</v>
      </c>
      <c r="D548" s="3">
        <f t="shared" si="56"/>
        <v>64</v>
      </c>
      <c r="E548" s="4">
        <f t="shared" si="57"/>
        <v>6</v>
      </c>
      <c r="F548" s="4">
        <f t="shared" si="58"/>
        <v>2</v>
      </c>
      <c r="G548" s="3">
        <f>IF(E548&gt;=20,2000,1900) + D548</f>
        <v>1964</v>
      </c>
      <c r="H548">
        <f t="shared" si="59"/>
        <v>6</v>
      </c>
      <c r="I548" s="4">
        <f t="shared" si="60"/>
        <v>2</v>
      </c>
      <c r="J548">
        <f t="shared" si="61"/>
        <v>19640602</v>
      </c>
      <c r="K548">
        <f t="shared" si="62"/>
        <v>20</v>
      </c>
    </row>
    <row r="549" spans="1:11" x14ac:dyDescent="0.25">
      <c r="A549" s="4" t="s">
        <v>575</v>
      </c>
      <c r="B549" t="s">
        <v>9</v>
      </c>
      <c r="C549" t="s">
        <v>6</v>
      </c>
      <c r="D549" s="3">
        <f t="shared" si="56"/>
        <v>66</v>
      </c>
      <c r="E549" s="4">
        <f t="shared" si="57"/>
        <v>11</v>
      </c>
      <c r="F549" s="4">
        <f t="shared" si="58"/>
        <v>24</v>
      </c>
      <c r="G549" s="3">
        <f>IF(E549&gt;=20,2000,1900) + D549</f>
        <v>1966</v>
      </c>
      <c r="H549">
        <f t="shared" si="59"/>
        <v>11</v>
      </c>
      <c r="I549" s="4">
        <f t="shared" si="60"/>
        <v>24</v>
      </c>
      <c r="J549">
        <f t="shared" si="61"/>
        <v>19661124</v>
      </c>
      <c r="K549">
        <f t="shared" si="62"/>
        <v>20</v>
      </c>
    </row>
    <row r="550" spans="1:11" x14ac:dyDescent="0.25">
      <c r="A550" s="4" t="s">
        <v>576</v>
      </c>
      <c r="B550" t="s">
        <v>11</v>
      </c>
      <c r="C550" t="s">
        <v>6</v>
      </c>
      <c r="D550" s="3">
        <f t="shared" si="56"/>
        <v>95</v>
      </c>
      <c r="E550" s="4">
        <f t="shared" si="57"/>
        <v>1</v>
      </c>
      <c r="F550" s="4">
        <f t="shared" si="58"/>
        <v>5</v>
      </c>
      <c r="G550" s="3">
        <f>IF(E550&gt;=20,2000,1900) + D550</f>
        <v>1995</v>
      </c>
      <c r="H550">
        <f t="shared" si="59"/>
        <v>1</v>
      </c>
      <c r="I550" s="4">
        <f t="shared" si="60"/>
        <v>5</v>
      </c>
      <c r="J550">
        <f t="shared" si="61"/>
        <v>19950105</v>
      </c>
      <c r="K550">
        <f t="shared" si="62"/>
        <v>20</v>
      </c>
    </row>
    <row r="551" spans="1:11" x14ac:dyDescent="0.25">
      <c r="A551" s="4" t="s">
        <v>577</v>
      </c>
      <c r="B551" t="s">
        <v>8</v>
      </c>
      <c r="C551" t="s">
        <v>6</v>
      </c>
      <c r="D551" s="3">
        <f t="shared" si="56"/>
        <v>66</v>
      </c>
      <c r="E551" s="4">
        <f t="shared" si="57"/>
        <v>9</v>
      </c>
      <c r="F551" s="4">
        <f t="shared" si="58"/>
        <v>16</v>
      </c>
      <c r="G551" s="3">
        <f>IF(E551&gt;=20,2000,1900) + D551</f>
        <v>1966</v>
      </c>
      <c r="H551">
        <f t="shared" si="59"/>
        <v>9</v>
      </c>
      <c r="I551" s="4">
        <f t="shared" si="60"/>
        <v>16</v>
      </c>
      <c r="J551">
        <f t="shared" si="61"/>
        <v>19660916</v>
      </c>
      <c r="K551">
        <f t="shared" si="62"/>
        <v>20</v>
      </c>
    </row>
    <row r="552" spans="1:11" x14ac:dyDescent="0.25">
      <c r="A552" s="4" t="s">
        <v>578</v>
      </c>
      <c r="B552" t="s">
        <v>12</v>
      </c>
      <c r="C552" t="s">
        <v>4</v>
      </c>
      <c r="D552" s="3">
        <f t="shared" si="56"/>
        <v>60</v>
      </c>
      <c r="E552" s="4">
        <f t="shared" si="57"/>
        <v>10</v>
      </c>
      <c r="F552" s="4">
        <f t="shared" si="58"/>
        <v>13</v>
      </c>
      <c r="G552" s="3">
        <f>IF(E552&gt;=20,2000,1900) + D552</f>
        <v>1960</v>
      </c>
      <c r="H552">
        <f t="shared" si="59"/>
        <v>10</v>
      </c>
      <c r="I552" s="4">
        <f t="shared" si="60"/>
        <v>13</v>
      </c>
      <c r="J552">
        <f t="shared" si="61"/>
        <v>19601013</v>
      </c>
      <c r="K552">
        <f t="shared" si="62"/>
        <v>20</v>
      </c>
    </row>
    <row r="553" spans="1:11" x14ac:dyDescent="0.25">
      <c r="A553" s="4" t="s">
        <v>579</v>
      </c>
      <c r="B553" t="s">
        <v>12</v>
      </c>
      <c r="C553" t="s">
        <v>4</v>
      </c>
      <c r="D553" s="3">
        <f t="shared" si="56"/>
        <v>73</v>
      </c>
      <c r="E553" s="4">
        <f t="shared" si="57"/>
        <v>11</v>
      </c>
      <c r="F553" s="4">
        <f t="shared" si="58"/>
        <v>22</v>
      </c>
      <c r="G553" s="3">
        <f>IF(E553&gt;=20,2000,1900) + D553</f>
        <v>1973</v>
      </c>
      <c r="H553">
        <f t="shared" si="59"/>
        <v>11</v>
      </c>
      <c r="I553" s="4">
        <f t="shared" si="60"/>
        <v>22</v>
      </c>
      <c r="J553">
        <f t="shared" si="61"/>
        <v>19731122</v>
      </c>
      <c r="K553">
        <f t="shared" si="62"/>
        <v>20</v>
      </c>
    </row>
    <row r="554" spans="1:11" x14ac:dyDescent="0.25">
      <c r="A554" s="4" t="s">
        <v>580</v>
      </c>
      <c r="B554" t="s">
        <v>7</v>
      </c>
      <c r="C554" t="s">
        <v>6</v>
      </c>
      <c r="D554" s="3">
        <f t="shared" si="56"/>
        <v>77</v>
      </c>
      <c r="E554" s="4">
        <f t="shared" si="57"/>
        <v>10</v>
      </c>
      <c r="F554" s="4">
        <f t="shared" si="58"/>
        <v>4</v>
      </c>
      <c r="G554" s="3">
        <f>IF(E554&gt;=20,2000,1900) + D554</f>
        <v>1977</v>
      </c>
      <c r="H554">
        <f t="shared" si="59"/>
        <v>10</v>
      </c>
      <c r="I554" s="4">
        <f t="shared" si="60"/>
        <v>4</v>
      </c>
      <c r="J554">
        <f t="shared" si="61"/>
        <v>19771004</v>
      </c>
      <c r="K554">
        <f t="shared" si="62"/>
        <v>20</v>
      </c>
    </row>
    <row r="555" spans="1:11" x14ac:dyDescent="0.25">
      <c r="A555" s="4" t="s">
        <v>581</v>
      </c>
      <c r="B555" t="s">
        <v>9</v>
      </c>
      <c r="C555" t="s">
        <v>6</v>
      </c>
      <c r="D555" s="3">
        <f t="shared" si="56"/>
        <v>98</v>
      </c>
      <c r="E555" s="4">
        <f t="shared" si="57"/>
        <v>9</v>
      </c>
      <c r="F555" s="4">
        <f t="shared" si="58"/>
        <v>16</v>
      </c>
      <c r="G555" s="3">
        <f>IF(E555&gt;=20,2000,1900) + D555</f>
        <v>1998</v>
      </c>
      <c r="H555">
        <f t="shared" si="59"/>
        <v>9</v>
      </c>
      <c r="I555" s="4">
        <f t="shared" si="60"/>
        <v>16</v>
      </c>
      <c r="J555">
        <f t="shared" si="61"/>
        <v>19980916</v>
      </c>
      <c r="K555">
        <f t="shared" si="62"/>
        <v>20</v>
      </c>
    </row>
    <row r="556" spans="1:11" x14ac:dyDescent="0.25">
      <c r="A556" s="4" t="s">
        <v>582</v>
      </c>
      <c r="B556" t="s">
        <v>16</v>
      </c>
      <c r="C556" t="s">
        <v>6</v>
      </c>
      <c r="D556" s="3">
        <f t="shared" si="56"/>
        <v>67</v>
      </c>
      <c r="E556" s="4">
        <f t="shared" si="57"/>
        <v>9</v>
      </c>
      <c r="F556" s="4">
        <f t="shared" si="58"/>
        <v>14</v>
      </c>
      <c r="G556" s="3">
        <f>IF(E556&gt;=20,2000,1900) + D556</f>
        <v>1967</v>
      </c>
      <c r="H556">
        <f t="shared" si="59"/>
        <v>9</v>
      </c>
      <c r="I556" s="4">
        <f t="shared" si="60"/>
        <v>14</v>
      </c>
      <c r="J556">
        <f t="shared" si="61"/>
        <v>19670914</v>
      </c>
      <c r="K556">
        <f t="shared" si="62"/>
        <v>20</v>
      </c>
    </row>
    <row r="557" spans="1:11" x14ac:dyDescent="0.25">
      <c r="A557" s="4" t="s">
        <v>583</v>
      </c>
      <c r="B557" t="s">
        <v>5</v>
      </c>
      <c r="C557" t="s">
        <v>6</v>
      </c>
      <c r="D557" s="3">
        <f t="shared" si="56"/>
        <v>75</v>
      </c>
      <c r="E557" s="4">
        <f t="shared" si="57"/>
        <v>5</v>
      </c>
      <c r="F557" s="4">
        <f t="shared" si="58"/>
        <v>24</v>
      </c>
      <c r="G557" s="3">
        <f>IF(E557&gt;=20,2000,1900) + D557</f>
        <v>1975</v>
      </c>
      <c r="H557">
        <f t="shared" si="59"/>
        <v>5</v>
      </c>
      <c r="I557" s="4">
        <f t="shared" si="60"/>
        <v>24</v>
      </c>
      <c r="J557">
        <f t="shared" si="61"/>
        <v>19750524</v>
      </c>
      <c r="K557">
        <f t="shared" si="62"/>
        <v>20</v>
      </c>
    </row>
    <row r="558" spans="1:11" x14ac:dyDescent="0.25">
      <c r="A558" s="4" t="s">
        <v>584</v>
      </c>
      <c r="B558" t="s">
        <v>18</v>
      </c>
      <c r="C558" t="s">
        <v>4</v>
      </c>
      <c r="D558" s="3">
        <f t="shared" si="56"/>
        <v>93</v>
      </c>
      <c r="E558" s="4">
        <f t="shared" si="57"/>
        <v>4</v>
      </c>
      <c r="F558" s="4">
        <f t="shared" si="58"/>
        <v>20</v>
      </c>
      <c r="G558" s="3">
        <f>IF(E558&gt;=20,2000,1900) + D558</f>
        <v>1993</v>
      </c>
      <c r="H558">
        <f t="shared" si="59"/>
        <v>4</v>
      </c>
      <c r="I558" s="4">
        <f t="shared" si="60"/>
        <v>20</v>
      </c>
      <c r="J558">
        <f t="shared" si="61"/>
        <v>19930420</v>
      </c>
      <c r="K558">
        <f t="shared" si="62"/>
        <v>20</v>
      </c>
    </row>
    <row r="559" spans="1:11" x14ac:dyDescent="0.25">
      <c r="A559" s="4" t="s">
        <v>585</v>
      </c>
      <c r="B559" t="s">
        <v>20</v>
      </c>
      <c r="C559" t="s">
        <v>6</v>
      </c>
      <c r="D559" s="3">
        <f t="shared" si="56"/>
        <v>58</v>
      </c>
      <c r="E559" s="4">
        <f t="shared" si="57"/>
        <v>1</v>
      </c>
      <c r="F559" s="4">
        <f t="shared" si="58"/>
        <v>14</v>
      </c>
      <c r="G559" s="3">
        <f>IF(E559&gt;=20,2000,1900) + D559</f>
        <v>1958</v>
      </c>
      <c r="H559">
        <f t="shared" si="59"/>
        <v>1</v>
      </c>
      <c r="I559" s="4">
        <f t="shared" si="60"/>
        <v>14</v>
      </c>
      <c r="J559">
        <f t="shared" si="61"/>
        <v>19580114</v>
      </c>
      <c r="K559">
        <f t="shared" si="62"/>
        <v>20</v>
      </c>
    </row>
    <row r="560" spans="1:11" x14ac:dyDescent="0.25">
      <c r="A560" s="4" t="s">
        <v>586</v>
      </c>
      <c r="B560" t="s">
        <v>17</v>
      </c>
      <c r="C560" t="s">
        <v>4</v>
      </c>
      <c r="D560" s="3">
        <f t="shared" si="56"/>
        <v>61</v>
      </c>
      <c r="E560" s="4">
        <f t="shared" si="57"/>
        <v>1</v>
      </c>
      <c r="F560" s="4">
        <f t="shared" si="58"/>
        <v>9</v>
      </c>
      <c r="G560" s="3">
        <f>IF(E560&gt;=20,2000,1900) + D560</f>
        <v>1961</v>
      </c>
      <c r="H560">
        <f t="shared" si="59"/>
        <v>1</v>
      </c>
      <c r="I560" s="4">
        <f t="shared" si="60"/>
        <v>9</v>
      </c>
      <c r="J560">
        <f t="shared" si="61"/>
        <v>19610109</v>
      </c>
      <c r="K560">
        <f t="shared" si="62"/>
        <v>20</v>
      </c>
    </row>
    <row r="561" spans="1:11" x14ac:dyDescent="0.25">
      <c r="A561" s="4" t="s">
        <v>587</v>
      </c>
      <c r="B561" t="s">
        <v>20</v>
      </c>
      <c r="C561" t="s">
        <v>4</v>
      </c>
      <c r="D561" s="3">
        <f t="shared" si="56"/>
        <v>59</v>
      </c>
      <c r="E561" s="4">
        <f t="shared" si="57"/>
        <v>2</v>
      </c>
      <c r="F561" s="4">
        <f t="shared" si="58"/>
        <v>1</v>
      </c>
      <c r="G561" s="3">
        <f>IF(E561&gt;=20,2000,1900) + D561</f>
        <v>1959</v>
      </c>
      <c r="H561">
        <f t="shared" si="59"/>
        <v>2</v>
      </c>
      <c r="I561" s="4">
        <f t="shared" si="60"/>
        <v>1</v>
      </c>
      <c r="J561">
        <f t="shared" si="61"/>
        <v>19590201</v>
      </c>
      <c r="K561">
        <f t="shared" si="62"/>
        <v>20</v>
      </c>
    </row>
    <row r="562" spans="1:11" x14ac:dyDescent="0.25">
      <c r="A562" s="4" t="s">
        <v>588</v>
      </c>
      <c r="B562" t="s">
        <v>10</v>
      </c>
      <c r="C562" t="s">
        <v>6</v>
      </c>
      <c r="D562" s="3">
        <f t="shared" si="56"/>
        <v>85</v>
      </c>
      <c r="E562" s="4">
        <f t="shared" si="57"/>
        <v>1</v>
      </c>
      <c r="F562" s="4">
        <f t="shared" si="58"/>
        <v>20</v>
      </c>
      <c r="G562" s="3">
        <f>IF(E562&gt;=20,2000,1900) + D562</f>
        <v>1985</v>
      </c>
      <c r="H562">
        <f t="shared" si="59"/>
        <v>1</v>
      </c>
      <c r="I562" s="4">
        <f t="shared" si="60"/>
        <v>20</v>
      </c>
      <c r="J562">
        <f t="shared" si="61"/>
        <v>19850120</v>
      </c>
      <c r="K562">
        <f t="shared" si="62"/>
        <v>20</v>
      </c>
    </row>
    <row r="563" spans="1:11" x14ac:dyDescent="0.25">
      <c r="A563" s="4" t="s">
        <v>589</v>
      </c>
      <c r="B563" t="s">
        <v>14</v>
      </c>
      <c r="C563" t="s">
        <v>6</v>
      </c>
      <c r="D563" s="3">
        <f t="shared" si="56"/>
        <v>89</v>
      </c>
      <c r="E563" s="4">
        <f t="shared" si="57"/>
        <v>2</v>
      </c>
      <c r="F563" s="4">
        <f t="shared" si="58"/>
        <v>13</v>
      </c>
      <c r="G563" s="3">
        <f>IF(E563&gt;=20,2000,1900) + D563</f>
        <v>1989</v>
      </c>
      <c r="H563">
        <f t="shared" si="59"/>
        <v>2</v>
      </c>
      <c r="I563" s="4">
        <f t="shared" si="60"/>
        <v>13</v>
      </c>
      <c r="J563">
        <f t="shared" si="61"/>
        <v>19890213</v>
      </c>
      <c r="K563">
        <f t="shared" si="62"/>
        <v>20</v>
      </c>
    </row>
    <row r="564" spans="1:11" x14ac:dyDescent="0.25">
      <c r="A564" s="4" t="s">
        <v>590</v>
      </c>
      <c r="B564" t="s">
        <v>15</v>
      </c>
      <c r="C564" t="s">
        <v>4</v>
      </c>
      <c r="D564" s="3">
        <f t="shared" si="56"/>
        <v>65</v>
      </c>
      <c r="E564" s="4">
        <f t="shared" si="57"/>
        <v>9</v>
      </c>
      <c r="F564" s="4">
        <f t="shared" si="58"/>
        <v>24</v>
      </c>
      <c r="G564" s="3">
        <f>IF(E564&gt;=20,2000,1900) + D564</f>
        <v>1965</v>
      </c>
      <c r="H564">
        <f t="shared" si="59"/>
        <v>9</v>
      </c>
      <c r="I564" s="4">
        <f t="shared" si="60"/>
        <v>24</v>
      </c>
      <c r="J564">
        <f t="shared" si="61"/>
        <v>19650924</v>
      </c>
      <c r="K564">
        <f t="shared" si="62"/>
        <v>20</v>
      </c>
    </row>
    <row r="565" spans="1:11" x14ac:dyDescent="0.25">
      <c r="A565" s="4" t="s">
        <v>591</v>
      </c>
      <c r="B565" t="s">
        <v>12</v>
      </c>
      <c r="C565" t="s">
        <v>6</v>
      </c>
      <c r="D565" s="3">
        <f t="shared" si="56"/>
        <v>69</v>
      </c>
      <c r="E565" s="4">
        <f t="shared" si="57"/>
        <v>7</v>
      </c>
      <c r="F565" s="4">
        <f t="shared" si="58"/>
        <v>23</v>
      </c>
      <c r="G565" s="3">
        <f>IF(E565&gt;=20,2000,1900) + D565</f>
        <v>1969</v>
      </c>
      <c r="H565">
        <f t="shared" si="59"/>
        <v>7</v>
      </c>
      <c r="I565" s="4">
        <f t="shared" si="60"/>
        <v>23</v>
      </c>
      <c r="J565">
        <f t="shared" si="61"/>
        <v>19690723</v>
      </c>
      <c r="K565">
        <f t="shared" si="62"/>
        <v>20</v>
      </c>
    </row>
    <row r="566" spans="1:11" x14ac:dyDescent="0.25">
      <c r="A566" s="4" t="s">
        <v>592</v>
      </c>
      <c r="B566" t="s">
        <v>9</v>
      </c>
      <c r="C566" t="s">
        <v>4</v>
      </c>
      <c r="D566" s="3">
        <f t="shared" si="56"/>
        <v>80</v>
      </c>
      <c r="E566" s="4">
        <f t="shared" si="57"/>
        <v>10</v>
      </c>
      <c r="F566" s="4">
        <f t="shared" si="58"/>
        <v>14</v>
      </c>
      <c r="G566" s="3">
        <f>IF(E566&gt;=20,2000,1900) + D566</f>
        <v>1980</v>
      </c>
      <c r="H566">
        <f t="shared" si="59"/>
        <v>10</v>
      </c>
      <c r="I566" s="4">
        <f t="shared" si="60"/>
        <v>14</v>
      </c>
      <c r="J566">
        <f t="shared" si="61"/>
        <v>19801014</v>
      </c>
      <c r="K566">
        <f t="shared" si="62"/>
        <v>20</v>
      </c>
    </row>
    <row r="567" spans="1:11" x14ac:dyDescent="0.25">
      <c r="A567" s="4" t="s">
        <v>593</v>
      </c>
      <c r="B567" t="s">
        <v>18</v>
      </c>
      <c r="C567" t="s">
        <v>6</v>
      </c>
      <c r="D567" s="3">
        <f t="shared" si="56"/>
        <v>74</v>
      </c>
      <c r="E567" s="4">
        <f t="shared" si="57"/>
        <v>4</v>
      </c>
      <c r="F567" s="4">
        <f t="shared" si="58"/>
        <v>11</v>
      </c>
      <c r="G567" s="3">
        <f>IF(E567&gt;=20,2000,1900) + D567</f>
        <v>1974</v>
      </c>
      <c r="H567">
        <f t="shared" si="59"/>
        <v>4</v>
      </c>
      <c r="I567" s="4">
        <f t="shared" si="60"/>
        <v>11</v>
      </c>
      <c r="J567">
        <f t="shared" si="61"/>
        <v>19740411</v>
      </c>
      <c r="K567">
        <f t="shared" si="62"/>
        <v>20</v>
      </c>
    </row>
    <row r="568" spans="1:11" x14ac:dyDescent="0.25">
      <c r="A568" s="4" t="s">
        <v>594</v>
      </c>
      <c r="B568" t="s">
        <v>11</v>
      </c>
      <c r="C568" t="s">
        <v>6</v>
      </c>
      <c r="D568" s="3">
        <f t="shared" si="56"/>
        <v>95</v>
      </c>
      <c r="E568" s="4">
        <f t="shared" si="57"/>
        <v>3</v>
      </c>
      <c r="F568" s="4">
        <f t="shared" si="58"/>
        <v>3</v>
      </c>
      <c r="G568" s="3">
        <f>IF(E568&gt;=20,2000,1900) + D568</f>
        <v>1995</v>
      </c>
      <c r="H568">
        <f t="shared" si="59"/>
        <v>3</v>
      </c>
      <c r="I568" s="4">
        <f t="shared" si="60"/>
        <v>3</v>
      </c>
      <c r="J568">
        <f t="shared" si="61"/>
        <v>19950303</v>
      </c>
      <c r="K568">
        <f t="shared" si="62"/>
        <v>20</v>
      </c>
    </row>
    <row r="569" spans="1:11" x14ac:dyDescent="0.25">
      <c r="A569" s="4" t="s">
        <v>595</v>
      </c>
      <c r="B569" t="s">
        <v>9</v>
      </c>
      <c r="C569" t="s">
        <v>6</v>
      </c>
      <c r="D569" s="3">
        <f t="shared" si="56"/>
        <v>84</v>
      </c>
      <c r="E569" s="4">
        <f t="shared" si="57"/>
        <v>8</v>
      </c>
      <c r="F569" s="4">
        <f t="shared" si="58"/>
        <v>31</v>
      </c>
      <c r="G569" s="3">
        <f>IF(E569&gt;=20,2000,1900) + D569</f>
        <v>1984</v>
      </c>
      <c r="H569">
        <f t="shared" si="59"/>
        <v>8</v>
      </c>
      <c r="I569" s="4">
        <f t="shared" si="60"/>
        <v>31</v>
      </c>
      <c r="J569">
        <f t="shared" si="61"/>
        <v>19840831</v>
      </c>
      <c r="K569">
        <f t="shared" si="62"/>
        <v>20</v>
      </c>
    </row>
    <row r="570" spans="1:11" x14ac:dyDescent="0.25">
      <c r="A570" s="4" t="s">
        <v>596</v>
      </c>
      <c r="B570" t="s">
        <v>20</v>
      </c>
      <c r="C570" t="s">
        <v>6</v>
      </c>
      <c r="D570" s="3">
        <f t="shared" si="56"/>
        <v>81</v>
      </c>
      <c r="E570" s="4">
        <f t="shared" si="57"/>
        <v>8</v>
      </c>
      <c r="F570" s="4">
        <f t="shared" si="58"/>
        <v>27</v>
      </c>
      <c r="G570" s="3">
        <f>IF(E570&gt;=20,2000,1900) + D570</f>
        <v>1981</v>
      </c>
      <c r="H570">
        <f t="shared" si="59"/>
        <v>8</v>
      </c>
      <c r="I570" s="4">
        <f t="shared" si="60"/>
        <v>27</v>
      </c>
      <c r="J570">
        <f t="shared" si="61"/>
        <v>19810827</v>
      </c>
      <c r="K570">
        <f t="shared" si="62"/>
        <v>20</v>
      </c>
    </row>
    <row r="571" spans="1:11" x14ac:dyDescent="0.25">
      <c r="A571" s="4" t="s">
        <v>597</v>
      </c>
      <c r="B571" t="s">
        <v>16</v>
      </c>
      <c r="C571" t="s">
        <v>6</v>
      </c>
      <c r="D571" s="3">
        <f t="shared" si="56"/>
        <v>64</v>
      </c>
      <c r="E571" s="4">
        <f t="shared" si="57"/>
        <v>6</v>
      </c>
      <c r="F571" s="4">
        <f t="shared" si="58"/>
        <v>14</v>
      </c>
      <c r="G571" s="3">
        <f>IF(E571&gt;=20,2000,1900) + D571</f>
        <v>1964</v>
      </c>
      <c r="H571">
        <f t="shared" si="59"/>
        <v>6</v>
      </c>
      <c r="I571" s="4">
        <f t="shared" si="60"/>
        <v>14</v>
      </c>
      <c r="J571">
        <f t="shared" si="61"/>
        <v>19640614</v>
      </c>
      <c r="K571">
        <f t="shared" si="62"/>
        <v>20</v>
      </c>
    </row>
    <row r="572" spans="1:11" x14ac:dyDescent="0.25">
      <c r="A572" s="4" t="s">
        <v>598</v>
      </c>
      <c r="B572" t="s">
        <v>11</v>
      </c>
      <c r="C572" t="s">
        <v>6</v>
      </c>
      <c r="D572" s="3">
        <f t="shared" si="56"/>
        <v>96</v>
      </c>
      <c r="E572" s="4">
        <f t="shared" si="57"/>
        <v>9</v>
      </c>
      <c r="F572" s="4">
        <f t="shared" si="58"/>
        <v>13</v>
      </c>
      <c r="G572" s="3">
        <f>IF(E572&gt;=20,2000,1900) + D572</f>
        <v>1996</v>
      </c>
      <c r="H572">
        <f t="shared" si="59"/>
        <v>9</v>
      </c>
      <c r="I572" s="4">
        <f t="shared" si="60"/>
        <v>13</v>
      </c>
      <c r="J572">
        <f t="shared" si="61"/>
        <v>19960913</v>
      </c>
      <c r="K572">
        <f t="shared" si="62"/>
        <v>20</v>
      </c>
    </row>
    <row r="573" spans="1:11" x14ac:dyDescent="0.25">
      <c r="A573" s="4" t="s">
        <v>599</v>
      </c>
      <c r="B573" t="s">
        <v>13</v>
      </c>
      <c r="C573" t="s">
        <v>6</v>
      </c>
      <c r="D573" s="3">
        <f t="shared" si="56"/>
        <v>84</v>
      </c>
      <c r="E573" s="4">
        <f t="shared" si="57"/>
        <v>4</v>
      </c>
      <c r="F573" s="4">
        <f t="shared" si="58"/>
        <v>16</v>
      </c>
      <c r="G573" s="3">
        <f>IF(E573&gt;=20,2000,1900) + D573</f>
        <v>1984</v>
      </c>
      <c r="H573">
        <f t="shared" si="59"/>
        <v>4</v>
      </c>
      <c r="I573" s="4">
        <f t="shared" si="60"/>
        <v>16</v>
      </c>
      <c r="J573">
        <f t="shared" si="61"/>
        <v>19840416</v>
      </c>
      <c r="K573">
        <f t="shared" si="62"/>
        <v>20</v>
      </c>
    </row>
    <row r="574" spans="1:11" x14ac:dyDescent="0.25">
      <c r="A574" s="4" t="s">
        <v>600</v>
      </c>
      <c r="B574" t="s">
        <v>15</v>
      </c>
      <c r="C574" t="s">
        <v>6</v>
      </c>
      <c r="D574" s="3">
        <f t="shared" si="56"/>
        <v>94</v>
      </c>
      <c r="E574" s="4">
        <f t="shared" si="57"/>
        <v>11</v>
      </c>
      <c r="F574" s="4">
        <f t="shared" si="58"/>
        <v>30</v>
      </c>
      <c r="G574" s="3">
        <f>IF(E574&gt;=20,2000,1900) + D574</f>
        <v>1994</v>
      </c>
      <c r="H574">
        <f t="shared" si="59"/>
        <v>11</v>
      </c>
      <c r="I574" s="4">
        <f t="shared" si="60"/>
        <v>30</v>
      </c>
      <c r="J574">
        <f t="shared" si="61"/>
        <v>19941130</v>
      </c>
      <c r="K574">
        <f t="shared" si="62"/>
        <v>20</v>
      </c>
    </row>
    <row r="575" spans="1:11" x14ac:dyDescent="0.25">
      <c r="A575" s="4" t="s">
        <v>601</v>
      </c>
      <c r="B575" t="s">
        <v>15</v>
      </c>
      <c r="C575" t="s">
        <v>4</v>
      </c>
      <c r="D575" s="3">
        <f t="shared" si="56"/>
        <v>53</v>
      </c>
      <c r="E575" s="4">
        <f t="shared" si="57"/>
        <v>10</v>
      </c>
      <c r="F575" s="4">
        <f t="shared" si="58"/>
        <v>1</v>
      </c>
      <c r="G575" s="3">
        <f>IF(E575&gt;=20,2000,1900) + D575</f>
        <v>1953</v>
      </c>
      <c r="H575">
        <f t="shared" si="59"/>
        <v>10</v>
      </c>
      <c r="I575" s="4">
        <f t="shared" si="60"/>
        <v>1</v>
      </c>
      <c r="J575">
        <f t="shared" si="61"/>
        <v>19531001</v>
      </c>
      <c r="K575">
        <f t="shared" si="62"/>
        <v>20</v>
      </c>
    </row>
    <row r="576" spans="1:11" x14ac:dyDescent="0.25">
      <c r="A576" s="4" t="s">
        <v>602</v>
      </c>
      <c r="B576" t="s">
        <v>15</v>
      </c>
      <c r="C576" t="s">
        <v>4</v>
      </c>
      <c r="D576" s="3">
        <f t="shared" si="56"/>
        <v>81</v>
      </c>
      <c r="E576" s="4">
        <f t="shared" si="57"/>
        <v>10</v>
      </c>
      <c r="F576" s="4">
        <f t="shared" si="58"/>
        <v>29</v>
      </c>
      <c r="G576" s="3">
        <f>IF(E576&gt;=20,2000,1900) + D576</f>
        <v>1981</v>
      </c>
      <c r="H576">
        <f t="shared" si="59"/>
        <v>10</v>
      </c>
      <c r="I576" s="4">
        <f t="shared" si="60"/>
        <v>29</v>
      </c>
      <c r="J576">
        <f t="shared" si="61"/>
        <v>19811029</v>
      </c>
      <c r="K576">
        <f t="shared" si="62"/>
        <v>20</v>
      </c>
    </row>
    <row r="577" spans="1:11" x14ac:dyDescent="0.25">
      <c r="A577" s="4" t="s">
        <v>603</v>
      </c>
      <c r="B577" t="s">
        <v>18</v>
      </c>
      <c r="C577" t="s">
        <v>6</v>
      </c>
      <c r="D577" s="3">
        <f t="shared" si="56"/>
        <v>91</v>
      </c>
      <c r="E577" s="4">
        <f t="shared" si="57"/>
        <v>2</v>
      </c>
      <c r="F577" s="4">
        <f t="shared" si="58"/>
        <v>3</v>
      </c>
      <c r="G577" s="3">
        <f>IF(E577&gt;=20,2000,1900) + D577</f>
        <v>1991</v>
      </c>
      <c r="H577">
        <f t="shared" si="59"/>
        <v>2</v>
      </c>
      <c r="I577" s="4">
        <f t="shared" si="60"/>
        <v>3</v>
      </c>
      <c r="J577">
        <f t="shared" si="61"/>
        <v>19910203</v>
      </c>
      <c r="K577">
        <f t="shared" si="62"/>
        <v>20</v>
      </c>
    </row>
    <row r="578" spans="1:11" x14ac:dyDescent="0.25">
      <c r="A578" s="4" t="s">
        <v>604</v>
      </c>
      <c r="B578" t="s">
        <v>16</v>
      </c>
      <c r="C578" t="s">
        <v>4</v>
      </c>
      <c r="D578" s="3">
        <f t="shared" si="56"/>
        <v>86</v>
      </c>
      <c r="E578" s="4">
        <f t="shared" si="57"/>
        <v>1</v>
      </c>
      <c r="F578" s="4">
        <f t="shared" si="58"/>
        <v>29</v>
      </c>
      <c r="G578" s="3">
        <f>IF(E578&gt;=20,2000,1900) + D578</f>
        <v>1986</v>
      </c>
      <c r="H578">
        <f t="shared" si="59"/>
        <v>1</v>
      </c>
      <c r="I578" s="4">
        <f t="shared" si="60"/>
        <v>29</v>
      </c>
      <c r="J578">
        <f t="shared" si="61"/>
        <v>19860129</v>
      </c>
      <c r="K578">
        <f t="shared" si="62"/>
        <v>20</v>
      </c>
    </row>
    <row r="579" spans="1:11" x14ac:dyDescent="0.25">
      <c r="A579" s="4" t="s">
        <v>605</v>
      </c>
      <c r="B579" t="s">
        <v>10</v>
      </c>
      <c r="C579" t="s">
        <v>6</v>
      </c>
      <c r="D579" s="3">
        <f t="shared" ref="D579:D642" si="63">MID(A579,1,2)*1</f>
        <v>95</v>
      </c>
      <c r="E579" s="4">
        <f t="shared" ref="E579:E642" si="64">MID(A579,3,2)*1</f>
        <v>1</v>
      </c>
      <c r="F579" s="4">
        <f t="shared" ref="F579:F642" si="65">MID(A579,5,2)*1</f>
        <v>12</v>
      </c>
      <c r="G579" s="3">
        <f>IF(E579&gt;=20,2000,1900) + D579</f>
        <v>1995</v>
      </c>
      <c r="H579">
        <f t="shared" ref="H579:H642" si="66">IF(E579&gt;=20,E579-20,E579)</f>
        <v>1</v>
      </c>
      <c r="I579" s="4">
        <f t="shared" ref="I579:I642" si="67">F579</f>
        <v>12</v>
      </c>
      <c r="J579">
        <f t="shared" ref="J579:J642" si="68">CONCATENATE(G579,IF(LEN(E579)=1,CONCATENATE("0",E579),E579),IF(LEN(F579)=1,CONCATENATE("0",F579),F579))*1</f>
        <v>19950112</v>
      </c>
      <c r="K579">
        <f t="shared" ref="K579:K642" si="69">IF(G579&lt;=2000,20,21)</f>
        <v>20</v>
      </c>
    </row>
    <row r="580" spans="1:11" x14ac:dyDescent="0.25">
      <c r="A580" s="4" t="s">
        <v>606</v>
      </c>
      <c r="B580" t="s">
        <v>19</v>
      </c>
      <c r="C580" t="s">
        <v>4</v>
      </c>
      <c r="D580" s="3">
        <f t="shared" si="63"/>
        <v>63</v>
      </c>
      <c r="E580" s="4">
        <f t="shared" si="64"/>
        <v>6</v>
      </c>
      <c r="F580" s="4">
        <f t="shared" si="65"/>
        <v>5</v>
      </c>
      <c r="G580" s="3">
        <f>IF(E580&gt;=20,2000,1900) + D580</f>
        <v>1963</v>
      </c>
      <c r="H580">
        <f t="shared" si="66"/>
        <v>6</v>
      </c>
      <c r="I580" s="4">
        <f t="shared" si="67"/>
        <v>5</v>
      </c>
      <c r="J580">
        <f t="shared" si="68"/>
        <v>19630605</v>
      </c>
      <c r="K580">
        <f t="shared" si="69"/>
        <v>20</v>
      </c>
    </row>
    <row r="581" spans="1:11" x14ac:dyDescent="0.25">
      <c r="A581" s="4" t="s">
        <v>607</v>
      </c>
      <c r="B581" t="s">
        <v>13</v>
      </c>
      <c r="C581" t="s">
        <v>4</v>
      </c>
      <c r="D581" s="3">
        <f t="shared" si="63"/>
        <v>73</v>
      </c>
      <c r="E581" s="4">
        <f t="shared" si="64"/>
        <v>5</v>
      </c>
      <c r="F581" s="4">
        <f t="shared" si="65"/>
        <v>22</v>
      </c>
      <c r="G581" s="3">
        <f>IF(E581&gt;=20,2000,1900) + D581</f>
        <v>1973</v>
      </c>
      <c r="H581">
        <f t="shared" si="66"/>
        <v>5</v>
      </c>
      <c r="I581" s="4">
        <f t="shared" si="67"/>
        <v>22</v>
      </c>
      <c r="J581">
        <f t="shared" si="68"/>
        <v>19730522</v>
      </c>
      <c r="K581">
        <f t="shared" si="69"/>
        <v>20</v>
      </c>
    </row>
    <row r="582" spans="1:11" x14ac:dyDescent="0.25">
      <c r="A582" s="4" t="s">
        <v>608</v>
      </c>
      <c r="B582" t="s">
        <v>8</v>
      </c>
      <c r="C582" t="s">
        <v>4</v>
      </c>
      <c r="D582" s="3">
        <f t="shared" si="63"/>
        <v>57</v>
      </c>
      <c r="E582" s="4">
        <f t="shared" si="64"/>
        <v>2</v>
      </c>
      <c r="F582" s="4">
        <f t="shared" si="65"/>
        <v>24</v>
      </c>
      <c r="G582" s="3">
        <f>IF(E582&gt;=20,2000,1900) + D582</f>
        <v>1957</v>
      </c>
      <c r="H582">
        <f t="shared" si="66"/>
        <v>2</v>
      </c>
      <c r="I582" s="4">
        <f t="shared" si="67"/>
        <v>24</v>
      </c>
      <c r="J582">
        <f t="shared" si="68"/>
        <v>19570224</v>
      </c>
      <c r="K582">
        <f t="shared" si="69"/>
        <v>20</v>
      </c>
    </row>
    <row r="583" spans="1:11" x14ac:dyDescent="0.25">
      <c r="A583" s="4" t="s">
        <v>609</v>
      </c>
      <c r="B583" t="s">
        <v>18</v>
      </c>
      <c r="C583" t="s">
        <v>6</v>
      </c>
      <c r="D583" s="3">
        <f t="shared" si="63"/>
        <v>50</v>
      </c>
      <c r="E583" s="4">
        <f t="shared" si="64"/>
        <v>9</v>
      </c>
      <c r="F583" s="4">
        <f t="shared" si="65"/>
        <v>17</v>
      </c>
      <c r="G583" s="3">
        <f>IF(E583&gt;=20,2000,1900) + D583</f>
        <v>1950</v>
      </c>
      <c r="H583">
        <f t="shared" si="66"/>
        <v>9</v>
      </c>
      <c r="I583" s="4">
        <f t="shared" si="67"/>
        <v>17</v>
      </c>
      <c r="J583">
        <f t="shared" si="68"/>
        <v>19500917</v>
      </c>
      <c r="K583">
        <f t="shared" si="69"/>
        <v>20</v>
      </c>
    </row>
    <row r="584" spans="1:11" x14ac:dyDescent="0.25">
      <c r="A584" s="4" t="s">
        <v>610</v>
      </c>
      <c r="B584" t="s">
        <v>18</v>
      </c>
      <c r="C584" t="s">
        <v>4</v>
      </c>
      <c r="D584" s="3">
        <f t="shared" si="63"/>
        <v>68</v>
      </c>
      <c r="E584" s="4">
        <f t="shared" si="64"/>
        <v>5</v>
      </c>
      <c r="F584" s="4">
        <f t="shared" si="65"/>
        <v>20</v>
      </c>
      <c r="G584" s="3">
        <f>IF(E584&gt;=20,2000,1900) + D584</f>
        <v>1968</v>
      </c>
      <c r="H584">
        <f t="shared" si="66"/>
        <v>5</v>
      </c>
      <c r="I584" s="4">
        <f t="shared" si="67"/>
        <v>20</v>
      </c>
      <c r="J584">
        <f t="shared" si="68"/>
        <v>19680520</v>
      </c>
      <c r="K584">
        <f t="shared" si="69"/>
        <v>20</v>
      </c>
    </row>
    <row r="585" spans="1:11" x14ac:dyDescent="0.25">
      <c r="A585" s="4" t="s">
        <v>611</v>
      </c>
      <c r="B585" t="s">
        <v>15</v>
      </c>
      <c r="C585" t="s">
        <v>4</v>
      </c>
      <c r="D585" s="3">
        <f t="shared" si="63"/>
        <v>84</v>
      </c>
      <c r="E585" s="4">
        <f t="shared" si="64"/>
        <v>6</v>
      </c>
      <c r="F585" s="4">
        <f t="shared" si="65"/>
        <v>10</v>
      </c>
      <c r="G585" s="3">
        <f>IF(E585&gt;=20,2000,1900) + D585</f>
        <v>1984</v>
      </c>
      <c r="H585">
        <f t="shared" si="66"/>
        <v>6</v>
      </c>
      <c r="I585" s="4">
        <f t="shared" si="67"/>
        <v>10</v>
      </c>
      <c r="J585">
        <f t="shared" si="68"/>
        <v>19840610</v>
      </c>
      <c r="K585">
        <f t="shared" si="69"/>
        <v>20</v>
      </c>
    </row>
    <row r="586" spans="1:11" x14ac:dyDescent="0.25">
      <c r="A586" s="4" t="s">
        <v>612</v>
      </c>
      <c r="B586" t="s">
        <v>17</v>
      </c>
      <c r="C586" t="s">
        <v>6</v>
      </c>
      <c r="D586" s="3">
        <f t="shared" si="63"/>
        <v>77</v>
      </c>
      <c r="E586" s="4">
        <f t="shared" si="64"/>
        <v>4</v>
      </c>
      <c r="F586" s="4">
        <f t="shared" si="65"/>
        <v>1</v>
      </c>
      <c r="G586" s="3">
        <f>IF(E586&gt;=20,2000,1900) + D586</f>
        <v>1977</v>
      </c>
      <c r="H586">
        <f t="shared" si="66"/>
        <v>4</v>
      </c>
      <c r="I586" s="4">
        <f t="shared" si="67"/>
        <v>1</v>
      </c>
      <c r="J586">
        <f t="shared" si="68"/>
        <v>19770401</v>
      </c>
      <c r="K586">
        <f t="shared" si="69"/>
        <v>20</v>
      </c>
    </row>
    <row r="587" spans="1:11" x14ac:dyDescent="0.25">
      <c r="A587" s="4" t="s">
        <v>613</v>
      </c>
      <c r="B587" t="s">
        <v>10</v>
      </c>
      <c r="C587" t="s">
        <v>6</v>
      </c>
      <c r="D587" s="3">
        <f t="shared" si="63"/>
        <v>84</v>
      </c>
      <c r="E587" s="4">
        <f t="shared" si="64"/>
        <v>9</v>
      </c>
      <c r="F587" s="4">
        <f t="shared" si="65"/>
        <v>12</v>
      </c>
      <c r="G587" s="3">
        <f>IF(E587&gt;=20,2000,1900) + D587</f>
        <v>1984</v>
      </c>
      <c r="H587">
        <f t="shared" si="66"/>
        <v>9</v>
      </c>
      <c r="I587" s="4">
        <f t="shared" si="67"/>
        <v>12</v>
      </c>
      <c r="J587">
        <f t="shared" si="68"/>
        <v>19840912</v>
      </c>
      <c r="K587">
        <f t="shared" si="69"/>
        <v>20</v>
      </c>
    </row>
    <row r="588" spans="1:11" x14ac:dyDescent="0.25">
      <c r="A588" s="4" t="s">
        <v>614</v>
      </c>
      <c r="B588" t="s">
        <v>19</v>
      </c>
      <c r="C588" t="s">
        <v>6</v>
      </c>
      <c r="D588" s="3">
        <f t="shared" si="63"/>
        <v>55</v>
      </c>
      <c r="E588" s="4">
        <f t="shared" si="64"/>
        <v>2</v>
      </c>
      <c r="F588" s="4">
        <f t="shared" si="65"/>
        <v>26</v>
      </c>
      <c r="G588" s="3">
        <f>IF(E588&gt;=20,2000,1900) + D588</f>
        <v>1955</v>
      </c>
      <c r="H588">
        <f t="shared" si="66"/>
        <v>2</v>
      </c>
      <c r="I588" s="4">
        <f t="shared" si="67"/>
        <v>26</v>
      </c>
      <c r="J588">
        <f t="shared" si="68"/>
        <v>19550226</v>
      </c>
      <c r="K588">
        <f t="shared" si="69"/>
        <v>20</v>
      </c>
    </row>
    <row r="589" spans="1:11" x14ac:dyDescent="0.25">
      <c r="A589" s="4" t="s">
        <v>615</v>
      </c>
      <c r="B589" t="s">
        <v>17</v>
      </c>
      <c r="C589" t="s">
        <v>6</v>
      </c>
      <c r="D589" s="3">
        <f t="shared" si="63"/>
        <v>69</v>
      </c>
      <c r="E589" s="4">
        <f t="shared" si="64"/>
        <v>8</v>
      </c>
      <c r="F589" s="4">
        <f t="shared" si="65"/>
        <v>22</v>
      </c>
      <c r="G589" s="3">
        <f>IF(E589&gt;=20,2000,1900) + D589</f>
        <v>1969</v>
      </c>
      <c r="H589">
        <f t="shared" si="66"/>
        <v>8</v>
      </c>
      <c r="I589" s="4">
        <f t="shared" si="67"/>
        <v>22</v>
      </c>
      <c r="J589">
        <f t="shared" si="68"/>
        <v>19690822</v>
      </c>
      <c r="K589">
        <f t="shared" si="69"/>
        <v>20</v>
      </c>
    </row>
    <row r="590" spans="1:11" x14ac:dyDescent="0.25">
      <c r="A590" s="4" t="s">
        <v>616</v>
      </c>
      <c r="B590" t="s">
        <v>11</v>
      </c>
      <c r="C590" t="s">
        <v>6</v>
      </c>
      <c r="D590" s="3">
        <f t="shared" si="63"/>
        <v>99</v>
      </c>
      <c r="E590" s="4">
        <f t="shared" si="64"/>
        <v>2</v>
      </c>
      <c r="F590" s="4">
        <f t="shared" si="65"/>
        <v>27</v>
      </c>
      <c r="G590" s="3">
        <f>IF(E590&gt;=20,2000,1900) + D590</f>
        <v>1999</v>
      </c>
      <c r="H590">
        <f t="shared" si="66"/>
        <v>2</v>
      </c>
      <c r="I590" s="4">
        <f t="shared" si="67"/>
        <v>27</v>
      </c>
      <c r="J590">
        <f t="shared" si="68"/>
        <v>19990227</v>
      </c>
      <c r="K590">
        <f t="shared" si="69"/>
        <v>20</v>
      </c>
    </row>
    <row r="591" spans="1:11" x14ac:dyDescent="0.25">
      <c r="A591" s="4" t="s">
        <v>617</v>
      </c>
      <c r="B591" t="s">
        <v>19</v>
      </c>
      <c r="C591" t="s">
        <v>6</v>
      </c>
      <c r="D591" s="3">
        <f t="shared" si="63"/>
        <v>97</v>
      </c>
      <c r="E591" s="4">
        <f t="shared" si="64"/>
        <v>8</v>
      </c>
      <c r="F591" s="4">
        <f t="shared" si="65"/>
        <v>27</v>
      </c>
      <c r="G591" s="3">
        <f>IF(E591&gt;=20,2000,1900) + D591</f>
        <v>1997</v>
      </c>
      <c r="H591">
        <f t="shared" si="66"/>
        <v>8</v>
      </c>
      <c r="I591" s="4">
        <f t="shared" si="67"/>
        <v>27</v>
      </c>
      <c r="J591">
        <f t="shared" si="68"/>
        <v>19970827</v>
      </c>
      <c r="K591">
        <f t="shared" si="69"/>
        <v>20</v>
      </c>
    </row>
    <row r="592" spans="1:11" x14ac:dyDescent="0.25">
      <c r="A592" s="4" t="s">
        <v>618</v>
      </c>
      <c r="B592" t="s">
        <v>11</v>
      </c>
      <c r="C592" t="s">
        <v>6</v>
      </c>
      <c r="D592" s="3">
        <f t="shared" si="63"/>
        <v>54</v>
      </c>
      <c r="E592" s="4">
        <f t="shared" si="64"/>
        <v>1</v>
      </c>
      <c r="F592" s="4">
        <f t="shared" si="65"/>
        <v>6</v>
      </c>
      <c r="G592" s="3">
        <f>IF(E592&gt;=20,2000,1900) + D592</f>
        <v>1954</v>
      </c>
      <c r="H592">
        <f t="shared" si="66"/>
        <v>1</v>
      </c>
      <c r="I592" s="4">
        <f t="shared" si="67"/>
        <v>6</v>
      </c>
      <c r="J592">
        <f t="shared" si="68"/>
        <v>19540106</v>
      </c>
      <c r="K592">
        <f t="shared" si="69"/>
        <v>20</v>
      </c>
    </row>
    <row r="593" spans="1:11" x14ac:dyDescent="0.25">
      <c r="A593" s="4" t="s">
        <v>619</v>
      </c>
      <c r="B593" t="s">
        <v>17</v>
      </c>
      <c r="C593" t="s">
        <v>6</v>
      </c>
      <c r="D593" s="3">
        <f t="shared" si="63"/>
        <v>91</v>
      </c>
      <c r="E593" s="4">
        <f t="shared" si="64"/>
        <v>2</v>
      </c>
      <c r="F593" s="4">
        <f t="shared" si="65"/>
        <v>5</v>
      </c>
      <c r="G593" s="3">
        <f>IF(E593&gt;=20,2000,1900) + D593</f>
        <v>1991</v>
      </c>
      <c r="H593">
        <f t="shared" si="66"/>
        <v>2</v>
      </c>
      <c r="I593" s="4">
        <f t="shared" si="67"/>
        <v>5</v>
      </c>
      <c r="J593">
        <f t="shared" si="68"/>
        <v>19910205</v>
      </c>
      <c r="K593">
        <f t="shared" si="69"/>
        <v>20</v>
      </c>
    </row>
    <row r="594" spans="1:11" x14ac:dyDescent="0.25">
      <c r="A594" s="4" t="s">
        <v>620</v>
      </c>
      <c r="B594" t="s">
        <v>19</v>
      </c>
      <c r="C594" t="s">
        <v>4</v>
      </c>
      <c r="D594" s="3">
        <f t="shared" si="63"/>
        <v>70</v>
      </c>
      <c r="E594" s="4">
        <f t="shared" si="64"/>
        <v>1</v>
      </c>
      <c r="F594" s="4">
        <f t="shared" si="65"/>
        <v>28</v>
      </c>
      <c r="G594" s="3">
        <f>IF(E594&gt;=20,2000,1900) + D594</f>
        <v>1970</v>
      </c>
      <c r="H594">
        <f t="shared" si="66"/>
        <v>1</v>
      </c>
      <c r="I594" s="4">
        <f t="shared" si="67"/>
        <v>28</v>
      </c>
      <c r="J594">
        <f t="shared" si="68"/>
        <v>19700128</v>
      </c>
      <c r="K594">
        <f t="shared" si="69"/>
        <v>20</v>
      </c>
    </row>
    <row r="595" spans="1:11" x14ac:dyDescent="0.25">
      <c r="A595" s="4" t="s">
        <v>621</v>
      </c>
      <c r="B595" t="s">
        <v>12</v>
      </c>
      <c r="C595" t="s">
        <v>4</v>
      </c>
      <c r="D595" s="3">
        <f t="shared" si="63"/>
        <v>70</v>
      </c>
      <c r="E595" s="4">
        <f t="shared" si="64"/>
        <v>12</v>
      </c>
      <c r="F595" s="4">
        <f t="shared" si="65"/>
        <v>29</v>
      </c>
      <c r="G595" s="3">
        <f>IF(E595&gt;=20,2000,1900) + D595</f>
        <v>1970</v>
      </c>
      <c r="H595">
        <f t="shared" si="66"/>
        <v>12</v>
      </c>
      <c r="I595" s="4">
        <f t="shared" si="67"/>
        <v>29</v>
      </c>
      <c r="J595">
        <f t="shared" si="68"/>
        <v>19701229</v>
      </c>
      <c r="K595">
        <f t="shared" si="69"/>
        <v>20</v>
      </c>
    </row>
    <row r="596" spans="1:11" x14ac:dyDescent="0.25">
      <c r="A596" s="4" t="s">
        <v>622</v>
      </c>
      <c r="B596" t="s">
        <v>8</v>
      </c>
      <c r="C596" t="s">
        <v>6</v>
      </c>
      <c r="D596" s="3">
        <f t="shared" si="63"/>
        <v>78</v>
      </c>
      <c r="E596" s="4">
        <f t="shared" si="64"/>
        <v>10</v>
      </c>
      <c r="F596" s="4">
        <f t="shared" si="65"/>
        <v>25</v>
      </c>
      <c r="G596" s="3">
        <f>IF(E596&gt;=20,2000,1900) + D596</f>
        <v>1978</v>
      </c>
      <c r="H596">
        <f t="shared" si="66"/>
        <v>10</v>
      </c>
      <c r="I596" s="4">
        <f t="shared" si="67"/>
        <v>25</v>
      </c>
      <c r="J596">
        <f t="shared" si="68"/>
        <v>19781025</v>
      </c>
      <c r="K596">
        <f t="shared" si="69"/>
        <v>20</v>
      </c>
    </row>
    <row r="597" spans="1:11" x14ac:dyDescent="0.25">
      <c r="A597" s="4" t="s">
        <v>623</v>
      </c>
      <c r="B597" t="s">
        <v>18</v>
      </c>
      <c r="C597" t="s">
        <v>6</v>
      </c>
      <c r="D597" s="3">
        <f t="shared" si="63"/>
        <v>97</v>
      </c>
      <c r="E597" s="4">
        <f t="shared" si="64"/>
        <v>6</v>
      </c>
      <c r="F597" s="4">
        <f t="shared" si="65"/>
        <v>5</v>
      </c>
      <c r="G597" s="3">
        <f>IF(E597&gt;=20,2000,1900) + D597</f>
        <v>1997</v>
      </c>
      <c r="H597">
        <f t="shared" si="66"/>
        <v>6</v>
      </c>
      <c r="I597" s="4">
        <f t="shared" si="67"/>
        <v>5</v>
      </c>
      <c r="J597">
        <f t="shared" si="68"/>
        <v>19970605</v>
      </c>
      <c r="K597">
        <f t="shared" si="69"/>
        <v>20</v>
      </c>
    </row>
    <row r="598" spans="1:11" x14ac:dyDescent="0.25">
      <c r="A598" s="4" t="s">
        <v>624</v>
      </c>
      <c r="B598" t="s">
        <v>9</v>
      </c>
      <c r="C598" t="s">
        <v>6</v>
      </c>
      <c r="D598" s="3">
        <f t="shared" si="63"/>
        <v>84</v>
      </c>
      <c r="E598" s="4">
        <f t="shared" si="64"/>
        <v>12</v>
      </c>
      <c r="F598" s="4">
        <f t="shared" si="65"/>
        <v>24</v>
      </c>
      <c r="G598" s="3">
        <f>IF(E598&gt;=20,2000,1900) + D598</f>
        <v>1984</v>
      </c>
      <c r="H598">
        <f t="shared" si="66"/>
        <v>12</v>
      </c>
      <c r="I598" s="4">
        <f t="shared" si="67"/>
        <v>24</v>
      </c>
      <c r="J598">
        <f t="shared" si="68"/>
        <v>19841224</v>
      </c>
      <c r="K598">
        <f t="shared" si="69"/>
        <v>20</v>
      </c>
    </row>
    <row r="599" spans="1:11" x14ac:dyDescent="0.25">
      <c r="A599" s="4" t="s">
        <v>625</v>
      </c>
      <c r="B599" t="s">
        <v>10</v>
      </c>
      <c r="C599" t="s">
        <v>4</v>
      </c>
      <c r="D599" s="3">
        <f t="shared" si="63"/>
        <v>98</v>
      </c>
      <c r="E599" s="4">
        <f t="shared" si="64"/>
        <v>5</v>
      </c>
      <c r="F599" s="4">
        <f t="shared" si="65"/>
        <v>17</v>
      </c>
      <c r="G599" s="3">
        <f>IF(E599&gt;=20,2000,1900) + D599</f>
        <v>1998</v>
      </c>
      <c r="H599">
        <f t="shared" si="66"/>
        <v>5</v>
      </c>
      <c r="I599" s="4">
        <f t="shared" si="67"/>
        <v>17</v>
      </c>
      <c r="J599">
        <f t="shared" si="68"/>
        <v>19980517</v>
      </c>
      <c r="K599">
        <f t="shared" si="69"/>
        <v>20</v>
      </c>
    </row>
    <row r="600" spans="1:11" x14ac:dyDescent="0.25">
      <c r="A600" s="4" t="s">
        <v>626</v>
      </c>
      <c r="B600" t="s">
        <v>17</v>
      </c>
      <c r="C600" t="s">
        <v>6</v>
      </c>
      <c r="D600" s="3">
        <f t="shared" si="63"/>
        <v>11</v>
      </c>
      <c r="E600" s="4">
        <f t="shared" si="64"/>
        <v>7</v>
      </c>
      <c r="F600" s="4">
        <f t="shared" si="65"/>
        <v>27</v>
      </c>
      <c r="G600" s="3">
        <f>IF(E600&gt;=20,2000,1900) + D600</f>
        <v>1911</v>
      </c>
      <c r="H600">
        <f t="shared" si="66"/>
        <v>7</v>
      </c>
      <c r="I600" s="4">
        <f t="shared" si="67"/>
        <v>27</v>
      </c>
      <c r="J600">
        <f t="shared" si="68"/>
        <v>19110727</v>
      </c>
      <c r="K600">
        <f t="shared" si="69"/>
        <v>20</v>
      </c>
    </row>
    <row r="601" spans="1:11" x14ac:dyDescent="0.25">
      <c r="A601" s="4" t="s">
        <v>627</v>
      </c>
      <c r="B601" t="s">
        <v>18</v>
      </c>
      <c r="C601" t="s">
        <v>6</v>
      </c>
      <c r="D601" s="3">
        <f t="shared" si="63"/>
        <v>5</v>
      </c>
      <c r="E601" s="4">
        <f t="shared" si="64"/>
        <v>25</v>
      </c>
      <c r="F601" s="4">
        <f t="shared" si="65"/>
        <v>17</v>
      </c>
      <c r="G601" s="3">
        <f>IF(E601&gt;=20,2000,1900) + D601</f>
        <v>2005</v>
      </c>
      <c r="H601">
        <f t="shared" si="66"/>
        <v>5</v>
      </c>
      <c r="I601" s="4">
        <f t="shared" si="67"/>
        <v>17</v>
      </c>
      <c r="J601">
        <f t="shared" si="68"/>
        <v>20052517</v>
      </c>
      <c r="K601">
        <f t="shared" si="69"/>
        <v>21</v>
      </c>
    </row>
    <row r="602" spans="1:11" x14ac:dyDescent="0.25">
      <c r="A602" s="4" t="s">
        <v>628</v>
      </c>
      <c r="B602" t="s">
        <v>12</v>
      </c>
      <c r="C602" t="s">
        <v>6</v>
      </c>
      <c r="D602" s="3">
        <f t="shared" si="63"/>
        <v>3</v>
      </c>
      <c r="E602" s="4">
        <f t="shared" si="64"/>
        <v>25</v>
      </c>
      <c r="F602" s="4">
        <f t="shared" si="65"/>
        <v>23</v>
      </c>
      <c r="G602" s="3">
        <f>IF(E602&gt;=20,2000,1900) + D602</f>
        <v>2003</v>
      </c>
      <c r="H602">
        <f t="shared" si="66"/>
        <v>5</v>
      </c>
      <c r="I602" s="4">
        <f t="shared" si="67"/>
        <v>23</v>
      </c>
      <c r="J602">
        <f t="shared" si="68"/>
        <v>20032523</v>
      </c>
      <c r="K602">
        <f t="shared" si="69"/>
        <v>21</v>
      </c>
    </row>
    <row r="603" spans="1:11" x14ac:dyDescent="0.25">
      <c r="A603" s="4" t="s">
        <v>629</v>
      </c>
      <c r="B603" t="s">
        <v>13</v>
      </c>
      <c r="C603" t="s">
        <v>4</v>
      </c>
      <c r="D603" s="3">
        <f t="shared" si="63"/>
        <v>7</v>
      </c>
      <c r="E603" s="4">
        <f t="shared" si="64"/>
        <v>28</v>
      </c>
      <c r="F603" s="4">
        <f t="shared" si="65"/>
        <v>23</v>
      </c>
      <c r="G603" s="3">
        <f>IF(E603&gt;=20,2000,1900) + D603</f>
        <v>2007</v>
      </c>
      <c r="H603">
        <f t="shared" si="66"/>
        <v>8</v>
      </c>
      <c r="I603" s="4">
        <f t="shared" si="67"/>
        <v>23</v>
      </c>
      <c r="J603">
        <f t="shared" si="68"/>
        <v>20072823</v>
      </c>
      <c r="K603">
        <f t="shared" si="69"/>
        <v>21</v>
      </c>
    </row>
    <row r="604" spans="1:11" x14ac:dyDescent="0.25">
      <c r="A604" s="4" t="s">
        <v>630</v>
      </c>
      <c r="B604" t="s">
        <v>16</v>
      </c>
      <c r="C604" t="s">
        <v>6</v>
      </c>
      <c r="D604" s="3">
        <f t="shared" si="63"/>
        <v>3</v>
      </c>
      <c r="E604" s="4">
        <f t="shared" si="64"/>
        <v>24</v>
      </c>
      <c r="F604" s="4">
        <f t="shared" si="65"/>
        <v>17</v>
      </c>
      <c r="G604" s="3">
        <f>IF(E604&gt;=20,2000,1900) + D604</f>
        <v>2003</v>
      </c>
      <c r="H604">
        <f t="shared" si="66"/>
        <v>4</v>
      </c>
      <c r="I604" s="4">
        <f t="shared" si="67"/>
        <v>17</v>
      </c>
      <c r="J604">
        <f t="shared" si="68"/>
        <v>20032417</v>
      </c>
      <c r="K604">
        <f t="shared" si="69"/>
        <v>21</v>
      </c>
    </row>
    <row r="605" spans="1:11" x14ac:dyDescent="0.25">
      <c r="A605" s="4" t="s">
        <v>631</v>
      </c>
      <c r="B605" t="s">
        <v>11</v>
      </c>
      <c r="C605" t="s">
        <v>6</v>
      </c>
      <c r="D605" s="3">
        <f t="shared" si="63"/>
        <v>3</v>
      </c>
      <c r="E605" s="4">
        <f t="shared" si="64"/>
        <v>21</v>
      </c>
      <c r="F605" s="4">
        <f t="shared" si="65"/>
        <v>26</v>
      </c>
      <c r="G605" s="3">
        <f>IF(E605&gt;=20,2000,1900) + D605</f>
        <v>2003</v>
      </c>
      <c r="H605">
        <f t="shared" si="66"/>
        <v>1</v>
      </c>
      <c r="I605" s="4">
        <f t="shared" si="67"/>
        <v>26</v>
      </c>
      <c r="J605">
        <f t="shared" si="68"/>
        <v>20032126</v>
      </c>
      <c r="K605">
        <f t="shared" si="69"/>
        <v>21</v>
      </c>
    </row>
    <row r="606" spans="1:11" x14ac:dyDescent="0.25">
      <c r="A606" s="4" t="s">
        <v>632</v>
      </c>
      <c r="B606" t="s">
        <v>5</v>
      </c>
      <c r="C606" t="s">
        <v>6</v>
      </c>
      <c r="D606" s="3">
        <f t="shared" si="63"/>
        <v>8</v>
      </c>
      <c r="E606" s="4">
        <f t="shared" si="64"/>
        <v>30</v>
      </c>
      <c r="F606" s="4">
        <f t="shared" si="65"/>
        <v>19</v>
      </c>
      <c r="G606" s="3">
        <f>IF(E606&gt;=20,2000,1900) + D606</f>
        <v>2008</v>
      </c>
      <c r="H606">
        <f t="shared" si="66"/>
        <v>10</v>
      </c>
      <c r="I606" s="4">
        <f t="shared" si="67"/>
        <v>19</v>
      </c>
      <c r="J606">
        <f t="shared" si="68"/>
        <v>20083019</v>
      </c>
      <c r="K606">
        <f t="shared" si="69"/>
        <v>21</v>
      </c>
    </row>
    <row r="607" spans="1:11" x14ac:dyDescent="0.25">
      <c r="A607" s="4" t="s">
        <v>633</v>
      </c>
      <c r="B607" t="s">
        <v>16</v>
      </c>
      <c r="C607" t="s">
        <v>6</v>
      </c>
      <c r="D607" s="3">
        <f t="shared" si="63"/>
        <v>4</v>
      </c>
      <c r="E607" s="4">
        <f t="shared" si="64"/>
        <v>29</v>
      </c>
      <c r="F607" s="4">
        <f t="shared" si="65"/>
        <v>12</v>
      </c>
      <c r="G607" s="3">
        <f>IF(E607&gt;=20,2000,1900) + D607</f>
        <v>2004</v>
      </c>
      <c r="H607">
        <f t="shared" si="66"/>
        <v>9</v>
      </c>
      <c r="I607" s="4">
        <f t="shared" si="67"/>
        <v>12</v>
      </c>
      <c r="J607">
        <f t="shared" si="68"/>
        <v>20042912</v>
      </c>
      <c r="K607">
        <f t="shared" si="69"/>
        <v>21</v>
      </c>
    </row>
    <row r="608" spans="1:11" x14ac:dyDescent="0.25">
      <c r="A608" s="4" t="s">
        <v>634</v>
      </c>
      <c r="B608" t="s">
        <v>14</v>
      </c>
      <c r="C608" t="s">
        <v>4</v>
      </c>
      <c r="D608" s="3">
        <f t="shared" si="63"/>
        <v>20</v>
      </c>
      <c r="E608" s="4">
        <f t="shared" si="64"/>
        <v>29</v>
      </c>
      <c r="F608" s="4">
        <f t="shared" si="65"/>
        <v>5</v>
      </c>
      <c r="G608" s="3">
        <f>IF(E608&gt;=20,2000,1900) + D608</f>
        <v>2020</v>
      </c>
      <c r="H608">
        <f t="shared" si="66"/>
        <v>9</v>
      </c>
      <c r="I608" s="4">
        <f t="shared" si="67"/>
        <v>5</v>
      </c>
      <c r="J608">
        <f t="shared" si="68"/>
        <v>20202905</v>
      </c>
      <c r="K608">
        <f t="shared" si="69"/>
        <v>21</v>
      </c>
    </row>
    <row r="609" spans="1:11" x14ac:dyDescent="0.25">
      <c r="A609" s="4" t="s">
        <v>635</v>
      </c>
      <c r="B609" t="s">
        <v>14</v>
      </c>
      <c r="C609" t="s">
        <v>6</v>
      </c>
      <c r="D609" s="3">
        <f t="shared" si="63"/>
        <v>13</v>
      </c>
      <c r="E609" s="4">
        <f t="shared" si="64"/>
        <v>30</v>
      </c>
      <c r="F609" s="4">
        <f t="shared" si="65"/>
        <v>26</v>
      </c>
      <c r="G609" s="3">
        <f>IF(E609&gt;=20,2000,1900) + D609</f>
        <v>2013</v>
      </c>
      <c r="H609">
        <f t="shared" si="66"/>
        <v>10</v>
      </c>
      <c r="I609" s="4">
        <f t="shared" si="67"/>
        <v>26</v>
      </c>
      <c r="J609">
        <f t="shared" si="68"/>
        <v>20133026</v>
      </c>
      <c r="K609">
        <f t="shared" si="69"/>
        <v>21</v>
      </c>
    </row>
    <row r="610" spans="1:11" x14ac:dyDescent="0.25">
      <c r="A610" s="4" t="s">
        <v>636</v>
      </c>
      <c r="B610" t="s">
        <v>20</v>
      </c>
      <c r="C610" t="s">
        <v>6</v>
      </c>
      <c r="D610" s="3">
        <f t="shared" si="63"/>
        <v>9</v>
      </c>
      <c r="E610" s="4">
        <f t="shared" si="64"/>
        <v>21</v>
      </c>
      <c r="F610" s="4">
        <f t="shared" si="65"/>
        <v>4</v>
      </c>
      <c r="G610" s="3">
        <f>IF(E610&gt;=20,2000,1900) + D610</f>
        <v>2009</v>
      </c>
      <c r="H610">
        <f t="shared" si="66"/>
        <v>1</v>
      </c>
      <c r="I610" s="4">
        <f t="shared" si="67"/>
        <v>4</v>
      </c>
      <c r="J610">
        <f t="shared" si="68"/>
        <v>20092104</v>
      </c>
      <c r="K610">
        <f t="shared" si="69"/>
        <v>21</v>
      </c>
    </row>
    <row r="611" spans="1:11" x14ac:dyDescent="0.25">
      <c r="A611" s="4" t="s">
        <v>637</v>
      </c>
      <c r="B611" t="s">
        <v>20</v>
      </c>
      <c r="C611" t="s">
        <v>4</v>
      </c>
      <c r="D611" s="3">
        <f t="shared" si="63"/>
        <v>0</v>
      </c>
      <c r="E611" s="4">
        <f t="shared" si="64"/>
        <v>21</v>
      </c>
      <c r="F611" s="4">
        <f t="shared" si="65"/>
        <v>18</v>
      </c>
      <c r="G611" s="3">
        <f>IF(E611&gt;=20,2000,1900) + D611</f>
        <v>2000</v>
      </c>
      <c r="H611">
        <f t="shared" si="66"/>
        <v>1</v>
      </c>
      <c r="I611" s="4">
        <f t="shared" si="67"/>
        <v>18</v>
      </c>
      <c r="J611">
        <f t="shared" si="68"/>
        <v>20002118</v>
      </c>
      <c r="K611">
        <f t="shared" si="69"/>
        <v>20</v>
      </c>
    </row>
    <row r="612" spans="1:11" x14ac:dyDescent="0.25">
      <c r="A612" s="4" t="s">
        <v>638</v>
      </c>
      <c r="B612" t="s">
        <v>9</v>
      </c>
      <c r="C612" t="s">
        <v>4</v>
      </c>
      <c r="D612" s="3">
        <f t="shared" si="63"/>
        <v>2</v>
      </c>
      <c r="E612" s="4">
        <f t="shared" si="64"/>
        <v>25</v>
      </c>
      <c r="F612" s="4">
        <f t="shared" si="65"/>
        <v>12</v>
      </c>
      <c r="G612" s="3">
        <f>IF(E612&gt;=20,2000,1900) + D612</f>
        <v>2002</v>
      </c>
      <c r="H612">
        <f t="shared" si="66"/>
        <v>5</v>
      </c>
      <c r="I612" s="4">
        <f t="shared" si="67"/>
        <v>12</v>
      </c>
      <c r="J612">
        <f t="shared" si="68"/>
        <v>20022512</v>
      </c>
      <c r="K612">
        <f t="shared" si="69"/>
        <v>21</v>
      </c>
    </row>
    <row r="613" spans="1:11" x14ac:dyDescent="0.25">
      <c r="A613" s="4" t="s">
        <v>639</v>
      </c>
      <c r="B613" t="s">
        <v>20</v>
      </c>
      <c r="C613" t="s">
        <v>4</v>
      </c>
      <c r="D613" s="3">
        <f t="shared" si="63"/>
        <v>3</v>
      </c>
      <c r="E613" s="4">
        <f t="shared" si="64"/>
        <v>23</v>
      </c>
      <c r="F613" s="4">
        <f t="shared" si="65"/>
        <v>11</v>
      </c>
      <c r="G613" s="3">
        <f>IF(E613&gt;=20,2000,1900) + D613</f>
        <v>2003</v>
      </c>
      <c r="H613">
        <f t="shared" si="66"/>
        <v>3</v>
      </c>
      <c r="I613" s="4">
        <f t="shared" si="67"/>
        <v>11</v>
      </c>
      <c r="J613">
        <f t="shared" si="68"/>
        <v>20032311</v>
      </c>
      <c r="K613">
        <f t="shared" si="69"/>
        <v>21</v>
      </c>
    </row>
    <row r="614" spans="1:11" x14ac:dyDescent="0.25">
      <c r="A614" s="4" t="s">
        <v>640</v>
      </c>
      <c r="B614" t="s">
        <v>3</v>
      </c>
      <c r="C614" t="s">
        <v>6</v>
      </c>
      <c r="D614" s="3">
        <f t="shared" si="63"/>
        <v>4</v>
      </c>
      <c r="E614" s="4">
        <f t="shared" si="64"/>
        <v>24</v>
      </c>
      <c r="F614" s="4">
        <f t="shared" si="65"/>
        <v>3</v>
      </c>
      <c r="G614" s="3">
        <f>IF(E614&gt;=20,2000,1900) + D614</f>
        <v>2004</v>
      </c>
      <c r="H614">
        <f t="shared" si="66"/>
        <v>4</v>
      </c>
      <c r="I614" s="4">
        <f t="shared" si="67"/>
        <v>3</v>
      </c>
      <c r="J614">
        <f t="shared" si="68"/>
        <v>20042403</v>
      </c>
      <c r="K614">
        <f t="shared" si="69"/>
        <v>21</v>
      </c>
    </row>
    <row r="615" spans="1:11" x14ac:dyDescent="0.25">
      <c r="A615" s="4" t="s">
        <v>641</v>
      </c>
      <c r="B615" t="s">
        <v>5</v>
      </c>
      <c r="C615" t="s">
        <v>4</v>
      </c>
      <c r="D615" s="3">
        <f t="shared" si="63"/>
        <v>3</v>
      </c>
      <c r="E615" s="4">
        <f t="shared" si="64"/>
        <v>29</v>
      </c>
      <c r="F615" s="4">
        <f t="shared" si="65"/>
        <v>12</v>
      </c>
      <c r="G615" s="3">
        <f>IF(E615&gt;=20,2000,1900) + D615</f>
        <v>2003</v>
      </c>
      <c r="H615">
        <f t="shared" si="66"/>
        <v>9</v>
      </c>
      <c r="I615" s="4">
        <f t="shared" si="67"/>
        <v>12</v>
      </c>
      <c r="J615">
        <f t="shared" si="68"/>
        <v>20032912</v>
      </c>
      <c r="K615">
        <f t="shared" si="69"/>
        <v>21</v>
      </c>
    </row>
    <row r="616" spans="1:11" x14ac:dyDescent="0.25">
      <c r="A616" s="4" t="s">
        <v>642</v>
      </c>
      <c r="B616" t="s">
        <v>10</v>
      </c>
      <c r="C616" t="s">
        <v>6</v>
      </c>
      <c r="D616" s="3">
        <f t="shared" si="63"/>
        <v>22</v>
      </c>
      <c r="E616" s="4">
        <f t="shared" si="64"/>
        <v>28</v>
      </c>
      <c r="F616" s="4">
        <f t="shared" si="65"/>
        <v>15</v>
      </c>
      <c r="G616" s="3">
        <f>IF(E616&gt;=20,2000,1900) + D616</f>
        <v>2022</v>
      </c>
      <c r="H616">
        <f t="shared" si="66"/>
        <v>8</v>
      </c>
      <c r="I616" s="4">
        <f t="shared" si="67"/>
        <v>15</v>
      </c>
      <c r="J616">
        <f t="shared" si="68"/>
        <v>20222815</v>
      </c>
      <c r="K616">
        <f t="shared" si="69"/>
        <v>21</v>
      </c>
    </row>
    <row r="617" spans="1:11" x14ac:dyDescent="0.25">
      <c r="A617" s="4" t="s">
        <v>643</v>
      </c>
      <c r="B617" t="s">
        <v>16</v>
      </c>
      <c r="C617" t="s">
        <v>6</v>
      </c>
      <c r="D617" s="3">
        <f t="shared" si="63"/>
        <v>2</v>
      </c>
      <c r="E617" s="4">
        <f t="shared" si="64"/>
        <v>26</v>
      </c>
      <c r="F617" s="4">
        <f t="shared" si="65"/>
        <v>24</v>
      </c>
      <c r="G617" s="3">
        <f>IF(E617&gt;=20,2000,1900) + D617</f>
        <v>2002</v>
      </c>
      <c r="H617">
        <f t="shared" si="66"/>
        <v>6</v>
      </c>
      <c r="I617" s="4">
        <f t="shared" si="67"/>
        <v>24</v>
      </c>
      <c r="J617">
        <f t="shared" si="68"/>
        <v>20022624</v>
      </c>
      <c r="K617">
        <f t="shared" si="69"/>
        <v>21</v>
      </c>
    </row>
    <row r="618" spans="1:11" x14ac:dyDescent="0.25">
      <c r="A618" s="4" t="s">
        <v>644</v>
      </c>
      <c r="B618" t="s">
        <v>5</v>
      </c>
      <c r="C618" t="s">
        <v>6</v>
      </c>
      <c r="D618" s="3">
        <f t="shared" si="63"/>
        <v>8</v>
      </c>
      <c r="E618" s="4">
        <f t="shared" si="64"/>
        <v>21</v>
      </c>
      <c r="F618" s="4">
        <f t="shared" si="65"/>
        <v>10</v>
      </c>
      <c r="G618" s="3">
        <f>IF(E618&gt;=20,2000,1900) + D618</f>
        <v>2008</v>
      </c>
      <c r="H618">
        <f t="shared" si="66"/>
        <v>1</v>
      </c>
      <c r="I618" s="4">
        <f t="shared" si="67"/>
        <v>10</v>
      </c>
      <c r="J618">
        <f t="shared" si="68"/>
        <v>20082110</v>
      </c>
      <c r="K618">
        <f t="shared" si="69"/>
        <v>21</v>
      </c>
    </row>
    <row r="619" spans="1:11" x14ac:dyDescent="0.25">
      <c r="A619" s="4" t="s">
        <v>645</v>
      </c>
      <c r="B619" t="s">
        <v>13</v>
      </c>
      <c r="C619" t="s">
        <v>6</v>
      </c>
      <c r="D619" s="3">
        <f t="shared" si="63"/>
        <v>21</v>
      </c>
      <c r="E619" s="4">
        <f t="shared" si="64"/>
        <v>21</v>
      </c>
      <c r="F619" s="4">
        <f t="shared" si="65"/>
        <v>9</v>
      </c>
      <c r="G619" s="3">
        <f>IF(E619&gt;=20,2000,1900) + D619</f>
        <v>2021</v>
      </c>
      <c r="H619">
        <f t="shared" si="66"/>
        <v>1</v>
      </c>
      <c r="I619" s="4">
        <f t="shared" si="67"/>
        <v>9</v>
      </c>
      <c r="J619">
        <f t="shared" si="68"/>
        <v>20212109</v>
      </c>
      <c r="K619">
        <f t="shared" si="69"/>
        <v>21</v>
      </c>
    </row>
    <row r="620" spans="1:11" x14ac:dyDescent="0.25">
      <c r="A620" s="4" t="s">
        <v>646</v>
      </c>
      <c r="B620" t="s">
        <v>17</v>
      </c>
      <c r="C620" t="s">
        <v>4</v>
      </c>
      <c r="D620" s="3">
        <f t="shared" si="63"/>
        <v>20</v>
      </c>
      <c r="E620" s="4">
        <f t="shared" si="64"/>
        <v>24</v>
      </c>
      <c r="F620" s="4">
        <f t="shared" si="65"/>
        <v>6</v>
      </c>
      <c r="G620" s="3">
        <f>IF(E620&gt;=20,2000,1900) + D620</f>
        <v>2020</v>
      </c>
      <c r="H620">
        <f t="shared" si="66"/>
        <v>4</v>
      </c>
      <c r="I620" s="4">
        <f t="shared" si="67"/>
        <v>6</v>
      </c>
      <c r="J620">
        <f t="shared" si="68"/>
        <v>20202406</v>
      </c>
      <c r="K620">
        <f t="shared" si="69"/>
        <v>21</v>
      </c>
    </row>
    <row r="621" spans="1:11" x14ac:dyDescent="0.25">
      <c r="A621" s="4" t="s">
        <v>647</v>
      </c>
      <c r="B621" t="s">
        <v>18</v>
      </c>
      <c r="C621" t="s">
        <v>4</v>
      </c>
      <c r="D621" s="3">
        <f t="shared" si="63"/>
        <v>4</v>
      </c>
      <c r="E621" s="4">
        <f t="shared" si="64"/>
        <v>30</v>
      </c>
      <c r="F621" s="4">
        <f t="shared" si="65"/>
        <v>23</v>
      </c>
      <c r="G621" s="3">
        <f>IF(E621&gt;=20,2000,1900) + D621</f>
        <v>2004</v>
      </c>
      <c r="H621">
        <f t="shared" si="66"/>
        <v>10</v>
      </c>
      <c r="I621" s="4">
        <f t="shared" si="67"/>
        <v>23</v>
      </c>
      <c r="J621">
        <f t="shared" si="68"/>
        <v>20043023</v>
      </c>
      <c r="K621">
        <f t="shared" si="69"/>
        <v>21</v>
      </c>
    </row>
    <row r="622" spans="1:11" x14ac:dyDescent="0.25">
      <c r="A622" s="4" t="s">
        <v>648</v>
      </c>
      <c r="B622" t="s">
        <v>19</v>
      </c>
      <c r="C622" t="s">
        <v>6</v>
      </c>
      <c r="D622" s="3">
        <f t="shared" si="63"/>
        <v>21</v>
      </c>
      <c r="E622" s="4">
        <f t="shared" si="64"/>
        <v>21</v>
      </c>
      <c r="F622" s="4">
        <f t="shared" si="65"/>
        <v>31</v>
      </c>
      <c r="G622" s="3">
        <f>IF(E622&gt;=20,2000,1900) + D622</f>
        <v>2021</v>
      </c>
      <c r="H622">
        <f t="shared" si="66"/>
        <v>1</v>
      </c>
      <c r="I622" s="4">
        <f t="shared" si="67"/>
        <v>31</v>
      </c>
      <c r="J622">
        <f t="shared" si="68"/>
        <v>20212131</v>
      </c>
      <c r="K622">
        <f t="shared" si="69"/>
        <v>21</v>
      </c>
    </row>
    <row r="623" spans="1:11" x14ac:dyDescent="0.25">
      <c r="A623" s="4" t="s">
        <v>649</v>
      </c>
      <c r="B623" t="s">
        <v>7</v>
      </c>
      <c r="C623" t="s">
        <v>6</v>
      </c>
      <c r="D623" s="3">
        <f t="shared" si="63"/>
        <v>12</v>
      </c>
      <c r="E623" s="4">
        <f t="shared" si="64"/>
        <v>22</v>
      </c>
      <c r="F623" s="4">
        <f t="shared" si="65"/>
        <v>16</v>
      </c>
      <c r="G623" s="3">
        <f>IF(E623&gt;=20,2000,1900) + D623</f>
        <v>2012</v>
      </c>
      <c r="H623">
        <f t="shared" si="66"/>
        <v>2</v>
      </c>
      <c r="I623" s="4">
        <f t="shared" si="67"/>
        <v>16</v>
      </c>
      <c r="J623">
        <f t="shared" si="68"/>
        <v>20122216</v>
      </c>
      <c r="K623">
        <f t="shared" si="69"/>
        <v>21</v>
      </c>
    </row>
    <row r="624" spans="1:11" x14ac:dyDescent="0.25">
      <c r="A624" s="4" t="s">
        <v>650</v>
      </c>
      <c r="B624" t="s">
        <v>17</v>
      </c>
      <c r="C624" t="s">
        <v>6</v>
      </c>
      <c r="D624" s="3">
        <f t="shared" si="63"/>
        <v>0</v>
      </c>
      <c r="E624" s="4">
        <f t="shared" si="64"/>
        <v>29</v>
      </c>
      <c r="F624" s="4">
        <f t="shared" si="65"/>
        <v>27</v>
      </c>
      <c r="G624" s="3">
        <f>IF(E624&gt;=20,2000,1900) + D624</f>
        <v>2000</v>
      </c>
      <c r="H624">
        <f t="shared" si="66"/>
        <v>9</v>
      </c>
      <c r="I624" s="4">
        <f t="shared" si="67"/>
        <v>27</v>
      </c>
      <c r="J624">
        <f t="shared" si="68"/>
        <v>20002927</v>
      </c>
      <c r="K624">
        <f t="shared" si="69"/>
        <v>20</v>
      </c>
    </row>
    <row r="625" spans="1:11" x14ac:dyDescent="0.25">
      <c r="A625" s="4" t="s">
        <v>651</v>
      </c>
      <c r="B625" t="s">
        <v>15</v>
      </c>
      <c r="C625" t="s">
        <v>4</v>
      </c>
      <c r="D625" s="3">
        <f t="shared" si="63"/>
        <v>9</v>
      </c>
      <c r="E625" s="4">
        <f t="shared" si="64"/>
        <v>28</v>
      </c>
      <c r="F625" s="4">
        <f t="shared" si="65"/>
        <v>8</v>
      </c>
      <c r="G625" s="3">
        <f>IF(E625&gt;=20,2000,1900) + D625</f>
        <v>2009</v>
      </c>
      <c r="H625">
        <f t="shared" si="66"/>
        <v>8</v>
      </c>
      <c r="I625" s="4">
        <f t="shared" si="67"/>
        <v>8</v>
      </c>
      <c r="J625">
        <f t="shared" si="68"/>
        <v>20092808</v>
      </c>
      <c r="K625">
        <f t="shared" si="69"/>
        <v>21</v>
      </c>
    </row>
    <row r="626" spans="1:11" x14ac:dyDescent="0.25">
      <c r="A626" s="4" t="s">
        <v>652</v>
      </c>
      <c r="B626" t="s">
        <v>12</v>
      </c>
      <c r="C626" t="s">
        <v>4</v>
      </c>
      <c r="D626" s="3">
        <f t="shared" si="63"/>
        <v>7</v>
      </c>
      <c r="E626" s="4">
        <f t="shared" si="64"/>
        <v>23</v>
      </c>
      <c r="F626" s="4">
        <f t="shared" si="65"/>
        <v>1</v>
      </c>
      <c r="G626" s="3">
        <f>IF(E626&gt;=20,2000,1900) + D626</f>
        <v>2007</v>
      </c>
      <c r="H626">
        <f t="shared" si="66"/>
        <v>3</v>
      </c>
      <c r="I626" s="4">
        <f t="shared" si="67"/>
        <v>1</v>
      </c>
      <c r="J626">
        <f t="shared" si="68"/>
        <v>20072301</v>
      </c>
      <c r="K626">
        <f t="shared" si="69"/>
        <v>21</v>
      </c>
    </row>
    <row r="627" spans="1:11" x14ac:dyDescent="0.25">
      <c r="A627" s="4" t="s">
        <v>653</v>
      </c>
      <c r="B627" t="s">
        <v>12</v>
      </c>
      <c r="C627" t="s">
        <v>6</v>
      </c>
      <c r="D627" s="3">
        <f t="shared" si="63"/>
        <v>13</v>
      </c>
      <c r="E627" s="4">
        <f t="shared" si="64"/>
        <v>24</v>
      </c>
      <c r="F627" s="4">
        <f t="shared" si="65"/>
        <v>27</v>
      </c>
      <c r="G627" s="3">
        <f>IF(E627&gt;=20,2000,1900) + D627</f>
        <v>2013</v>
      </c>
      <c r="H627">
        <f t="shared" si="66"/>
        <v>4</v>
      </c>
      <c r="I627" s="4">
        <f t="shared" si="67"/>
        <v>27</v>
      </c>
      <c r="J627">
        <f t="shared" si="68"/>
        <v>20132427</v>
      </c>
      <c r="K627">
        <f t="shared" si="69"/>
        <v>21</v>
      </c>
    </row>
    <row r="628" spans="1:11" x14ac:dyDescent="0.25">
      <c r="A628" s="4" t="s">
        <v>654</v>
      </c>
      <c r="B628" t="s">
        <v>13</v>
      </c>
      <c r="C628" t="s">
        <v>6</v>
      </c>
      <c r="D628" s="3">
        <f t="shared" si="63"/>
        <v>19</v>
      </c>
      <c r="E628" s="4">
        <f t="shared" si="64"/>
        <v>30</v>
      </c>
      <c r="F628" s="4">
        <f t="shared" si="65"/>
        <v>16</v>
      </c>
      <c r="G628" s="3">
        <f>IF(E628&gt;=20,2000,1900) + D628</f>
        <v>2019</v>
      </c>
      <c r="H628">
        <f t="shared" si="66"/>
        <v>10</v>
      </c>
      <c r="I628" s="4">
        <f t="shared" si="67"/>
        <v>16</v>
      </c>
      <c r="J628">
        <f t="shared" si="68"/>
        <v>20193016</v>
      </c>
      <c r="K628">
        <f t="shared" si="69"/>
        <v>21</v>
      </c>
    </row>
    <row r="629" spans="1:11" x14ac:dyDescent="0.25">
      <c r="A629" s="4" t="s">
        <v>655</v>
      </c>
      <c r="B629" t="s">
        <v>3</v>
      </c>
      <c r="C629" t="s">
        <v>4</v>
      </c>
      <c r="D629" s="3">
        <f t="shared" si="63"/>
        <v>21</v>
      </c>
      <c r="E629" s="4">
        <f t="shared" si="64"/>
        <v>32</v>
      </c>
      <c r="F629" s="4">
        <f t="shared" si="65"/>
        <v>22</v>
      </c>
      <c r="G629" s="3">
        <f>IF(E629&gt;=20,2000,1900) + D629</f>
        <v>2021</v>
      </c>
      <c r="H629">
        <f t="shared" si="66"/>
        <v>12</v>
      </c>
      <c r="I629" s="4">
        <f t="shared" si="67"/>
        <v>22</v>
      </c>
      <c r="J629">
        <f t="shared" si="68"/>
        <v>20213222</v>
      </c>
      <c r="K629">
        <f t="shared" si="69"/>
        <v>21</v>
      </c>
    </row>
    <row r="630" spans="1:11" x14ac:dyDescent="0.25">
      <c r="A630" s="4" t="s">
        <v>656</v>
      </c>
      <c r="B630" t="s">
        <v>3</v>
      </c>
      <c r="C630" t="s">
        <v>6</v>
      </c>
      <c r="D630" s="3">
        <f t="shared" si="63"/>
        <v>22</v>
      </c>
      <c r="E630" s="4">
        <f t="shared" si="64"/>
        <v>32</v>
      </c>
      <c r="F630" s="4">
        <f t="shared" si="65"/>
        <v>1</v>
      </c>
      <c r="G630" s="3">
        <f>IF(E630&gt;=20,2000,1900) + D630</f>
        <v>2022</v>
      </c>
      <c r="H630">
        <f t="shared" si="66"/>
        <v>12</v>
      </c>
      <c r="I630" s="4">
        <f t="shared" si="67"/>
        <v>1</v>
      </c>
      <c r="J630">
        <f t="shared" si="68"/>
        <v>20223201</v>
      </c>
      <c r="K630">
        <f t="shared" si="69"/>
        <v>21</v>
      </c>
    </row>
    <row r="631" spans="1:11" x14ac:dyDescent="0.25">
      <c r="A631" s="4" t="s">
        <v>657</v>
      </c>
      <c r="B631" t="s">
        <v>15</v>
      </c>
      <c r="C631" t="s">
        <v>4</v>
      </c>
      <c r="D631" s="3">
        <f t="shared" si="63"/>
        <v>3</v>
      </c>
      <c r="E631" s="4">
        <f t="shared" si="64"/>
        <v>23</v>
      </c>
      <c r="F631" s="4">
        <f t="shared" si="65"/>
        <v>18</v>
      </c>
      <c r="G631" s="3">
        <f>IF(E631&gt;=20,2000,1900) + D631</f>
        <v>2003</v>
      </c>
      <c r="H631">
        <f t="shared" si="66"/>
        <v>3</v>
      </c>
      <c r="I631" s="4">
        <f t="shared" si="67"/>
        <v>18</v>
      </c>
      <c r="J631">
        <f t="shared" si="68"/>
        <v>20032318</v>
      </c>
      <c r="K631">
        <f t="shared" si="69"/>
        <v>21</v>
      </c>
    </row>
    <row r="632" spans="1:11" x14ac:dyDescent="0.25">
      <c r="A632" s="4" t="s">
        <v>658</v>
      </c>
      <c r="B632" t="s">
        <v>8</v>
      </c>
      <c r="C632" t="s">
        <v>6</v>
      </c>
      <c r="D632" s="3">
        <f t="shared" si="63"/>
        <v>16</v>
      </c>
      <c r="E632" s="4">
        <f t="shared" si="64"/>
        <v>21</v>
      </c>
      <c r="F632" s="4">
        <f t="shared" si="65"/>
        <v>1</v>
      </c>
      <c r="G632" s="3">
        <f>IF(E632&gt;=20,2000,1900) + D632</f>
        <v>2016</v>
      </c>
      <c r="H632">
        <f t="shared" si="66"/>
        <v>1</v>
      </c>
      <c r="I632" s="4">
        <f t="shared" si="67"/>
        <v>1</v>
      </c>
      <c r="J632">
        <f t="shared" si="68"/>
        <v>20162101</v>
      </c>
      <c r="K632">
        <f t="shared" si="69"/>
        <v>21</v>
      </c>
    </row>
    <row r="633" spans="1:11" x14ac:dyDescent="0.25">
      <c r="A633" s="4" t="s">
        <v>659</v>
      </c>
      <c r="B633" t="s">
        <v>5</v>
      </c>
      <c r="C633" t="s">
        <v>6</v>
      </c>
      <c r="D633" s="3">
        <f t="shared" si="63"/>
        <v>18</v>
      </c>
      <c r="E633" s="4">
        <f t="shared" si="64"/>
        <v>32</v>
      </c>
      <c r="F633" s="4">
        <f t="shared" si="65"/>
        <v>14</v>
      </c>
      <c r="G633" s="3">
        <f>IF(E633&gt;=20,2000,1900) + D633</f>
        <v>2018</v>
      </c>
      <c r="H633">
        <f t="shared" si="66"/>
        <v>12</v>
      </c>
      <c r="I633" s="4">
        <f t="shared" si="67"/>
        <v>14</v>
      </c>
      <c r="J633">
        <f t="shared" si="68"/>
        <v>20183214</v>
      </c>
      <c r="K633">
        <f t="shared" si="69"/>
        <v>21</v>
      </c>
    </row>
    <row r="634" spans="1:11" x14ac:dyDescent="0.25">
      <c r="A634" s="4" t="s">
        <v>660</v>
      </c>
      <c r="B634" t="s">
        <v>12</v>
      </c>
      <c r="C634" t="s">
        <v>4</v>
      </c>
      <c r="D634" s="3">
        <f t="shared" si="63"/>
        <v>16</v>
      </c>
      <c r="E634" s="4">
        <f t="shared" si="64"/>
        <v>26</v>
      </c>
      <c r="F634" s="4">
        <f t="shared" si="65"/>
        <v>16</v>
      </c>
      <c r="G634" s="3">
        <f>IF(E634&gt;=20,2000,1900) + D634</f>
        <v>2016</v>
      </c>
      <c r="H634">
        <f t="shared" si="66"/>
        <v>6</v>
      </c>
      <c r="I634" s="4">
        <f t="shared" si="67"/>
        <v>16</v>
      </c>
      <c r="J634">
        <f t="shared" si="68"/>
        <v>20162616</v>
      </c>
      <c r="K634">
        <f t="shared" si="69"/>
        <v>21</v>
      </c>
    </row>
    <row r="635" spans="1:11" x14ac:dyDescent="0.25">
      <c r="A635" s="4" t="s">
        <v>661</v>
      </c>
      <c r="B635" t="s">
        <v>13</v>
      </c>
      <c r="C635" t="s">
        <v>4</v>
      </c>
      <c r="D635" s="3">
        <f t="shared" si="63"/>
        <v>7</v>
      </c>
      <c r="E635" s="4">
        <f t="shared" si="64"/>
        <v>27</v>
      </c>
      <c r="F635" s="4">
        <f t="shared" si="65"/>
        <v>2</v>
      </c>
      <c r="G635" s="3">
        <f>IF(E635&gt;=20,2000,1900) + D635</f>
        <v>2007</v>
      </c>
      <c r="H635">
        <f t="shared" si="66"/>
        <v>7</v>
      </c>
      <c r="I635" s="4">
        <f t="shared" si="67"/>
        <v>2</v>
      </c>
      <c r="J635">
        <f t="shared" si="68"/>
        <v>20072702</v>
      </c>
      <c r="K635">
        <f t="shared" si="69"/>
        <v>21</v>
      </c>
    </row>
    <row r="636" spans="1:11" x14ac:dyDescent="0.25">
      <c r="A636" s="4" t="s">
        <v>662</v>
      </c>
      <c r="B636" t="s">
        <v>20</v>
      </c>
      <c r="C636" t="s">
        <v>6</v>
      </c>
      <c r="D636" s="3">
        <f t="shared" si="63"/>
        <v>12</v>
      </c>
      <c r="E636" s="4">
        <f t="shared" si="64"/>
        <v>23</v>
      </c>
      <c r="F636" s="4">
        <f t="shared" si="65"/>
        <v>3</v>
      </c>
      <c r="G636" s="3">
        <f>IF(E636&gt;=20,2000,1900) + D636</f>
        <v>2012</v>
      </c>
      <c r="H636">
        <f t="shared" si="66"/>
        <v>3</v>
      </c>
      <c r="I636" s="4">
        <f t="shared" si="67"/>
        <v>3</v>
      </c>
      <c r="J636">
        <f t="shared" si="68"/>
        <v>20122303</v>
      </c>
      <c r="K636">
        <f t="shared" si="69"/>
        <v>21</v>
      </c>
    </row>
    <row r="637" spans="1:11" x14ac:dyDescent="0.25">
      <c r="A637" s="4" t="s">
        <v>663</v>
      </c>
      <c r="B637" t="s">
        <v>3</v>
      </c>
      <c r="C637" t="s">
        <v>6</v>
      </c>
      <c r="D637" s="3">
        <f t="shared" si="63"/>
        <v>19</v>
      </c>
      <c r="E637" s="4">
        <f t="shared" si="64"/>
        <v>31</v>
      </c>
      <c r="F637" s="4">
        <f t="shared" si="65"/>
        <v>22</v>
      </c>
      <c r="G637" s="3">
        <f>IF(E637&gt;=20,2000,1900) + D637</f>
        <v>2019</v>
      </c>
      <c r="H637">
        <f t="shared" si="66"/>
        <v>11</v>
      </c>
      <c r="I637" s="4">
        <f t="shared" si="67"/>
        <v>22</v>
      </c>
      <c r="J637">
        <f t="shared" si="68"/>
        <v>20193122</v>
      </c>
      <c r="K637">
        <f t="shared" si="69"/>
        <v>21</v>
      </c>
    </row>
    <row r="638" spans="1:11" x14ac:dyDescent="0.25">
      <c r="A638" s="4" t="s">
        <v>664</v>
      </c>
      <c r="B638" t="s">
        <v>19</v>
      </c>
      <c r="C638" t="s">
        <v>6</v>
      </c>
      <c r="D638" s="3">
        <f t="shared" si="63"/>
        <v>1</v>
      </c>
      <c r="E638" s="4">
        <f t="shared" si="64"/>
        <v>30</v>
      </c>
      <c r="F638" s="4">
        <f t="shared" si="65"/>
        <v>8</v>
      </c>
      <c r="G638" s="3">
        <f>IF(E638&gt;=20,2000,1900) + D638</f>
        <v>2001</v>
      </c>
      <c r="H638">
        <f t="shared" si="66"/>
        <v>10</v>
      </c>
      <c r="I638" s="4">
        <f t="shared" si="67"/>
        <v>8</v>
      </c>
      <c r="J638">
        <f t="shared" si="68"/>
        <v>20013008</v>
      </c>
      <c r="K638">
        <f t="shared" si="69"/>
        <v>21</v>
      </c>
    </row>
    <row r="639" spans="1:11" x14ac:dyDescent="0.25">
      <c r="A639" s="4" t="s">
        <v>665</v>
      </c>
      <c r="B639" t="s">
        <v>10</v>
      </c>
      <c r="C639" t="s">
        <v>4</v>
      </c>
      <c r="D639" s="3">
        <f t="shared" si="63"/>
        <v>19</v>
      </c>
      <c r="E639" s="4">
        <f t="shared" si="64"/>
        <v>21</v>
      </c>
      <c r="F639" s="4">
        <f t="shared" si="65"/>
        <v>11</v>
      </c>
      <c r="G639" s="3">
        <f>IF(E639&gt;=20,2000,1900) + D639</f>
        <v>2019</v>
      </c>
      <c r="H639">
        <f t="shared" si="66"/>
        <v>1</v>
      </c>
      <c r="I639" s="4">
        <f t="shared" si="67"/>
        <v>11</v>
      </c>
      <c r="J639">
        <f t="shared" si="68"/>
        <v>20192111</v>
      </c>
      <c r="K639">
        <f t="shared" si="69"/>
        <v>21</v>
      </c>
    </row>
    <row r="640" spans="1:11" x14ac:dyDescent="0.25">
      <c r="A640" s="4" t="s">
        <v>666</v>
      </c>
      <c r="B640" t="s">
        <v>16</v>
      </c>
      <c r="C640" t="s">
        <v>4</v>
      </c>
      <c r="D640" s="3">
        <f t="shared" si="63"/>
        <v>22</v>
      </c>
      <c r="E640" s="4">
        <f t="shared" si="64"/>
        <v>24</v>
      </c>
      <c r="F640" s="4">
        <f t="shared" si="65"/>
        <v>26</v>
      </c>
      <c r="G640" s="3">
        <f>IF(E640&gt;=20,2000,1900) + D640</f>
        <v>2022</v>
      </c>
      <c r="H640">
        <f t="shared" si="66"/>
        <v>4</v>
      </c>
      <c r="I640" s="4">
        <f t="shared" si="67"/>
        <v>26</v>
      </c>
      <c r="J640">
        <f t="shared" si="68"/>
        <v>20222426</v>
      </c>
      <c r="K640">
        <f t="shared" si="69"/>
        <v>21</v>
      </c>
    </row>
    <row r="641" spans="1:11" x14ac:dyDescent="0.25">
      <c r="A641" s="4" t="s">
        <v>667</v>
      </c>
      <c r="B641" t="s">
        <v>8</v>
      </c>
      <c r="C641" t="s">
        <v>6</v>
      </c>
      <c r="D641" s="3">
        <f t="shared" si="63"/>
        <v>22</v>
      </c>
      <c r="E641" s="4">
        <f t="shared" si="64"/>
        <v>23</v>
      </c>
      <c r="F641" s="4">
        <f t="shared" si="65"/>
        <v>11</v>
      </c>
      <c r="G641" s="3">
        <f>IF(E641&gt;=20,2000,1900) + D641</f>
        <v>2022</v>
      </c>
      <c r="H641">
        <f t="shared" si="66"/>
        <v>3</v>
      </c>
      <c r="I641" s="4">
        <f t="shared" si="67"/>
        <v>11</v>
      </c>
      <c r="J641">
        <f t="shared" si="68"/>
        <v>20222311</v>
      </c>
      <c r="K641">
        <f t="shared" si="69"/>
        <v>21</v>
      </c>
    </row>
    <row r="642" spans="1:11" x14ac:dyDescent="0.25">
      <c r="A642" s="4" t="s">
        <v>668</v>
      </c>
      <c r="B642" t="s">
        <v>20</v>
      </c>
      <c r="C642" t="s">
        <v>4</v>
      </c>
      <c r="D642" s="3">
        <f t="shared" si="63"/>
        <v>7</v>
      </c>
      <c r="E642" s="4">
        <f t="shared" si="64"/>
        <v>26</v>
      </c>
      <c r="F642" s="4">
        <f t="shared" si="65"/>
        <v>27</v>
      </c>
      <c r="G642" s="3">
        <f>IF(E642&gt;=20,2000,1900) + D642</f>
        <v>2007</v>
      </c>
      <c r="H642">
        <f t="shared" si="66"/>
        <v>6</v>
      </c>
      <c r="I642" s="4">
        <f t="shared" si="67"/>
        <v>27</v>
      </c>
      <c r="J642">
        <f t="shared" si="68"/>
        <v>20072627</v>
      </c>
      <c r="K642">
        <f t="shared" si="69"/>
        <v>21</v>
      </c>
    </row>
    <row r="643" spans="1:11" x14ac:dyDescent="0.25">
      <c r="A643" s="4" t="s">
        <v>669</v>
      </c>
      <c r="B643" t="s">
        <v>17</v>
      </c>
      <c r="C643" t="s">
        <v>6</v>
      </c>
      <c r="D643" s="3">
        <f t="shared" ref="D643:D706" si="70">MID(A643,1,2)*1</f>
        <v>10</v>
      </c>
      <c r="E643" s="4">
        <f t="shared" ref="E643:E706" si="71">MID(A643,3,2)*1</f>
        <v>24</v>
      </c>
      <c r="F643" s="4">
        <f t="shared" ref="F643:F706" si="72">MID(A643,5,2)*1</f>
        <v>21</v>
      </c>
      <c r="G643" s="3">
        <f>IF(E643&gt;=20,2000,1900) + D643</f>
        <v>2010</v>
      </c>
      <c r="H643">
        <f t="shared" ref="H643:H706" si="73">IF(E643&gt;=20,E643-20,E643)</f>
        <v>4</v>
      </c>
      <c r="I643" s="4">
        <f t="shared" ref="I643:I706" si="74">F643</f>
        <v>21</v>
      </c>
      <c r="J643">
        <f t="shared" ref="J643:J706" si="75">CONCATENATE(G643,IF(LEN(E643)=1,CONCATENATE("0",E643),E643),IF(LEN(F643)=1,CONCATENATE("0",F643),F643))*1</f>
        <v>20102421</v>
      </c>
      <c r="K643">
        <f t="shared" ref="K643:K706" si="76">IF(G643&lt;=2000,20,21)</f>
        <v>21</v>
      </c>
    </row>
    <row r="644" spans="1:11" x14ac:dyDescent="0.25">
      <c r="A644" s="4" t="s">
        <v>670</v>
      </c>
      <c r="B644" t="s">
        <v>18</v>
      </c>
      <c r="C644" t="s">
        <v>4</v>
      </c>
      <c r="D644" s="3">
        <f t="shared" si="70"/>
        <v>5</v>
      </c>
      <c r="E644" s="4">
        <f t="shared" si="71"/>
        <v>29</v>
      </c>
      <c r="F644" s="4">
        <f t="shared" si="72"/>
        <v>22</v>
      </c>
      <c r="G644" s="3">
        <f>IF(E644&gt;=20,2000,1900) + D644</f>
        <v>2005</v>
      </c>
      <c r="H644">
        <f t="shared" si="73"/>
        <v>9</v>
      </c>
      <c r="I644" s="4">
        <f t="shared" si="74"/>
        <v>22</v>
      </c>
      <c r="J644">
        <f t="shared" si="75"/>
        <v>20052922</v>
      </c>
      <c r="K644">
        <f t="shared" si="76"/>
        <v>21</v>
      </c>
    </row>
    <row r="645" spans="1:11" x14ac:dyDescent="0.25">
      <c r="A645" s="4" t="s">
        <v>671</v>
      </c>
      <c r="B645" t="s">
        <v>8</v>
      </c>
      <c r="C645" t="s">
        <v>4</v>
      </c>
      <c r="D645" s="3">
        <f t="shared" si="70"/>
        <v>14</v>
      </c>
      <c r="E645" s="4">
        <f t="shared" si="71"/>
        <v>28</v>
      </c>
      <c r="F645" s="4">
        <f t="shared" si="72"/>
        <v>22</v>
      </c>
      <c r="G645" s="3">
        <f>IF(E645&gt;=20,2000,1900) + D645</f>
        <v>2014</v>
      </c>
      <c r="H645">
        <f t="shared" si="73"/>
        <v>8</v>
      </c>
      <c r="I645" s="4">
        <f t="shared" si="74"/>
        <v>22</v>
      </c>
      <c r="J645">
        <f t="shared" si="75"/>
        <v>20142822</v>
      </c>
      <c r="K645">
        <f t="shared" si="76"/>
        <v>21</v>
      </c>
    </row>
    <row r="646" spans="1:11" x14ac:dyDescent="0.25">
      <c r="A646" s="4" t="s">
        <v>672</v>
      </c>
      <c r="B646" t="s">
        <v>5</v>
      </c>
      <c r="C646" t="s">
        <v>6</v>
      </c>
      <c r="D646" s="3">
        <f t="shared" si="70"/>
        <v>18</v>
      </c>
      <c r="E646" s="4">
        <f t="shared" si="71"/>
        <v>23</v>
      </c>
      <c r="F646" s="4">
        <f t="shared" si="72"/>
        <v>2</v>
      </c>
      <c r="G646" s="3">
        <f>IF(E646&gt;=20,2000,1900) + D646</f>
        <v>2018</v>
      </c>
      <c r="H646">
        <f t="shared" si="73"/>
        <v>3</v>
      </c>
      <c r="I646" s="4">
        <f t="shared" si="74"/>
        <v>2</v>
      </c>
      <c r="J646">
        <f t="shared" si="75"/>
        <v>20182302</v>
      </c>
      <c r="K646">
        <f t="shared" si="76"/>
        <v>21</v>
      </c>
    </row>
    <row r="647" spans="1:11" x14ac:dyDescent="0.25">
      <c r="A647" s="4" t="s">
        <v>673</v>
      </c>
      <c r="B647" t="s">
        <v>3</v>
      </c>
      <c r="C647" t="s">
        <v>6</v>
      </c>
      <c r="D647" s="3">
        <f t="shared" si="70"/>
        <v>9</v>
      </c>
      <c r="E647" s="4">
        <f t="shared" si="71"/>
        <v>31</v>
      </c>
      <c r="F647" s="4">
        <f t="shared" si="72"/>
        <v>3</v>
      </c>
      <c r="G647" s="3">
        <f>IF(E647&gt;=20,2000,1900) + D647</f>
        <v>2009</v>
      </c>
      <c r="H647">
        <f t="shared" si="73"/>
        <v>11</v>
      </c>
      <c r="I647" s="4">
        <f t="shared" si="74"/>
        <v>3</v>
      </c>
      <c r="J647">
        <f t="shared" si="75"/>
        <v>20093103</v>
      </c>
      <c r="K647">
        <f t="shared" si="76"/>
        <v>21</v>
      </c>
    </row>
    <row r="648" spans="1:11" x14ac:dyDescent="0.25">
      <c r="A648" s="4" t="s">
        <v>674</v>
      </c>
      <c r="B648" t="s">
        <v>11</v>
      </c>
      <c r="C648" t="s">
        <v>4</v>
      </c>
      <c r="D648" s="3">
        <f t="shared" si="70"/>
        <v>14</v>
      </c>
      <c r="E648" s="4">
        <f t="shared" si="71"/>
        <v>29</v>
      </c>
      <c r="F648" s="4">
        <f t="shared" si="72"/>
        <v>13</v>
      </c>
      <c r="G648" s="3">
        <f>IF(E648&gt;=20,2000,1900) + D648</f>
        <v>2014</v>
      </c>
      <c r="H648">
        <f t="shared" si="73"/>
        <v>9</v>
      </c>
      <c r="I648" s="4">
        <f t="shared" si="74"/>
        <v>13</v>
      </c>
      <c r="J648">
        <f t="shared" si="75"/>
        <v>20142913</v>
      </c>
      <c r="K648">
        <f t="shared" si="76"/>
        <v>21</v>
      </c>
    </row>
    <row r="649" spans="1:11" x14ac:dyDescent="0.25">
      <c r="A649" s="4" t="s">
        <v>675</v>
      </c>
      <c r="B649" t="s">
        <v>16</v>
      </c>
      <c r="C649" t="s">
        <v>6</v>
      </c>
      <c r="D649" s="3">
        <f t="shared" si="70"/>
        <v>5</v>
      </c>
      <c r="E649" s="4">
        <f t="shared" si="71"/>
        <v>22</v>
      </c>
      <c r="F649" s="4">
        <f t="shared" si="72"/>
        <v>8</v>
      </c>
      <c r="G649" s="3">
        <f>IF(E649&gt;=20,2000,1900) + D649</f>
        <v>2005</v>
      </c>
      <c r="H649">
        <f t="shared" si="73"/>
        <v>2</v>
      </c>
      <c r="I649" s="4">
        <f t="shared" si="74"/>
        <v>8</v>
      </c>
      <c r="J649">
        <f t="shared" si="75"/>
        <v>20052208</v>
      </c>
      <c r="K649">
        <f t="shared" si="76"/>
        <v>21</v>
      </c>
    </row>
    <row r="650" spans="1:11" x14ac:dyDescent="0.25">
      <c r="A650" s="4" t="s">
        <v>676</v>
      </c>
      <c r="B650" t="s">
        <v>14</v>
      </c>
      <c r="C650" t="s">
        <v>6</v>
      </c>
      <c r="D650" s="3">
        <f t="shared" si="70"/>
        <v>1</v>
      </c>
      <c r="E650" s="4">
        <f t="shared" si="71"/>
        <v>29</v>
      </c>
      <c r="F650" s="4">
        <f t="shared" si="72"/>
        <v>15</v>
      </c>
      <c r="G650" s="3">
        <f>IF(E650&gt;=20,2000,1900) + D650</f>
        <v>2001</v>
      </c>
      <c r="H650">
        <f t="shared" si="73"/>
        <v>9</v>
      </c>
      <c r="I650" s="4">
        <f t="shared" si="74"/>
        <v>15</v>
      </c>
      <c r="J650">
        <f t="shared" si="75"/>
        <v>20012915</v>
      </c>
      <c r="K650">
        <f t="shared" si="76"/>
        <v>21</v>
      </c>
    </row>
    <row r="651" spans="1:11" x14ac:dyDescent="0.25">
      <c r="A651" s="4" t="s">
        <v>677</v>
      </c>
      <c r="B651" t="s">
        <v>13</v>
      </c>
      <c r="C651" t="s">
        <v>4</v>
      </c>
      <c r="D651" s="3">
        <f t="shared" si="70"/>
        <v>3</v>
      </c>
      <c r="E651" s="4">
        <f t="shared" si="71"/>
        <v>22</v>
      </c>
      <c r="F651" s="4">
        <f t="shared" si="72"/>
        <v>10</v>
      </c>
      <c r="G651" s="3">
        <f>IF(E651&gt;=20,2000,1900) + D651</f>
        <v>2003</v>
      </c>
      <c r="H651">
        <f t="shared" si="73"/>
        <v>2</v>
      </c>
      <c r="I651" s="4">
        <f t="shared" si="74"/>
        <v>10</v>
      </c>
      <c r="J651">
        <f t="shared" si="75"/>
        <v>20032210</v>
      </c>
      <c r="K651">
        <f t="shared" si="76"/>
        <v>21</v>
      </c>
    </row>
    <row r="652" spans="1:11" x14ac:dyDescent="0.25">
      <c r="A652" s="4" t="s">
        <v>678</v>
      </c>
      <c r="B652" t="s">
        <v>14</v>
      </c>
      <c r="C652" t="s">
        <v>4</v>
      </c>
      <c r="D652" s="3">
        <f t="shared" si="70"/>
        <v>13</v>
      </c>
      <c r="E652" s="4">
        <f t="shared" si="71"/>
        <v>28</v>
      </c>
      <c r="F652" s="4">
        <f t="shared" si="72"/>
        <v>16</v>
      </c>
      <c r="G652" s="3">
        <f>IF(E652&gt;=20,2000,1900) + D652</f>
        <v>2013</v>
      </c>
      <c r="H652">
        <f t="shared" si="73"/>
        <v>8</v>
      </c>
      <c r="I652" s="4">
        <f t="shared" si="74"/>
        <v>16</v>
      </c>
      <c r="J652">
        <f t="shared" si="75"/>
        <v>20132816</v>
      </c>
      <c r="K652">
        <f t="shared" si="76"/>
        <v>21</v>
      </c>
    </row>
    <row r="653" spans="1:11" x14ac:dyDescent="0.25">
      <c r="A653" s="4" t="s">
        <v>679</v>
      </c>
      <c r="B653" t="s">
        <v>19</v>
      </c>
      <c r="C653" t="s">
        <v>6</v>
      </c>
      <c r="D653" s="3">
        <f t="shared" si="70"/>
        <v>22</v>
      </c>
      <c r="E653" s="4">
        <f t="shared" si="71"/>
        <v>26</v>
      </c>
      <c r="F653" s="4">
        <f t="shared" si="72"/>
        <v>6</v>
      </c>
      <c r="G653" s="3">
        <f>IF(E653&gt;=20,2000,1900) + D653</f>
        <v>2022</v>
      </c>
      <c r="H653">
        <f t="shared" si="73"/>
        <v>6</v>
      </c>
      <c r="I653" s="4">
        <f t="shared" si="74"/>
        <v>6</v>
      </c>
      <c r="J653">
        <f t="shared" si="75"/>
        <v>20222606</v>
      </c>
      <c r="K653">
        <f t="shared" si="76"/>
        <v>21</v>
      </c>
    </row>
    <row r="654" spans="1:11" x14ac:dyDescent="0.25">
      <c r="A654" s="4" t="s">
        <v>680</v>
      </c>
      <c r="B654" t="s">
        <v>5</v>
      </c>
      <c r="C654" t="s">
        <v>4</v>
      </c>
      <c r="D654" s="3">
        <f t="shared" si="70"/>
        <v>16</v>
      </c>
      <c r="E654" s="4">
        <f t="shared" si="71"/>
        <v>26</v>
      </c>
      <c r="F654" s="4">
        <f t="shared" si="72"/>
        <v>29</v>
      </c>
      <c r="G654" s="3">
        <f>IF(E654&gt;=20,2000,1900) + D654</f>
        <v>2016</v>
      </c>
      <c r="H654">
        <f t="shared" si="73"/>
        <v>6</v>
      </c>
      <c r="I654" s="4">
        <f t="shared" si="74"/>
        <v>29</v>
      </c>
      <c r="J654">
        <f t="shared" si="75"/>
        <v>20162629</v>
      </c>
      <c r="K654">
        <f t="shared" si="76"/>
        <v>21</v>
      </c>
    </row>
    <row r="655" spans="1:11" x14ac:dyDescent="0.25">
      <c r="A655" s="4" t="s">
        <v>681</v>
      </c>
      <c r="B655" t="s">
        <v>7</v>
      </c>
      <c r="C655" t="s">
        <v>4</v>
      </c>
      <c r="D655" s="3">
        <f t="shared" si="70"/>
        <v>3</v>
      </c>
      <c r="E655" s="4">
        <f t="shared" si="71"/>
        <v>26</v>
      </c>
      <c r="F655" s="4">
        <f t="shared" si="72"/>
        <v>25</v>
      </c>
      <c r="G655" s="3">
        <f>IF(E655&gt;=20,2000,1900) + D655</f>
        <v>2003</v>
      </c>
      <c r="H655">
        <f t="shared" si="73"/>
        <v>6</v>
      </c>
      <c r="I655" s="4">
        <f t="shared" si="74"/>
        <v>25</v>
      </c>
      <c r="J655">
        <f t="shared" si="75"/>
        <v>20032625</v>
      </c>
      <c r="K655">
        <f t="shared" si="76"/>
        <v>21</v>
      </c>
    </row>
    <row r="656" spans="1:11" x14ac:dyDescent="0.25">
      <c r="A656" s="4" t="s">
        <v>682</v>
      </c>
      <c r="B656" t="s">
        <v>18</v>
      </c>
      <c r="C656" t="s">
        <v>6</v>
      </c>
      <c r="D656" s="3">
        <f t="shared" si="70"/>
        <v>8</v>
      </c>
      <c r="E656" s="4">
        <f t="shared" si="71"/>
        <v>26</v>
      </c>
      <c r="F656" s="4">
        <f t="shared" si="72"/>
        <v>16</v>
      </c>
      <c r="G656" s="3">
        <f>IF(E656&gt;=20,2000,1900) + D656</f>
        <v>2008</v>
      </c>
      <c r="H656">
        <f t="shared" si="73"/>
        <v>6</v>
      </c>
      <c r="I656" s="4">
        <f t="shared" si="74"/>
        <v>16</v>
      </c>
      <c r="J656">
        <f t="shared" si="75"/>
        <v>20082616</v>
      </c>
      <c r="K656">
        <f t="shared" si="76"/>
        <v>21</v>
      </c>
    </row>
    <row r="657" spans="1:11" x14ac:dyDescent="0.25">
      <c r="A657" s="4" t="s">
        <v>683</v>
      </c>
      <c r="B657" t="s">
        <v>19</v>
      </c>
      <c r="C657" t="s">
        <v>4</v>
      </c>
      <c r="D657" s="3">
        <f t="shared" si="70"/>
        <v>7</v>
      </c>
      <c r="E657" s="4">
        <f t="shared" si="71"/>
        <v>22</v>
      </c>
      <c r="F657" s="4">
        <f t="shared" si="72"/>
        <v>16</v>
      </c>
      <c r="G657" s="3">
        <f>IF(E657&gt;=20,2000,1900) + D657</f>
        <v>2007</v>
      </c>
      <c r="H657">
        <f t="shared" si="73"/>
        <v>2</v>
      </c>
      <c r="I657" s="4">
        <f t="shared" si="74"/>
        <v>16</v>
      </c>
      <c r="J657">
        <f t="shared" si="75"/>
        <v>20072216</v>
      </c>
      <c r="K657">
        <f t="shared" si="76"/>
        <v>21</v>
      </c>
    </row>
    <row r="658" spans="1:11" x14ac:dyDescent="0.25">
      <c r="A658" s="4" t="s">
        <v>684</v>
      </c>
      <c r="B658" t="s">
        <v>19</v>
      </c>
      <c r="C658" t="s">
        <v>4</v>
      </c>
      <c r="D658" s="3">
        <f t="shared" si="70"/>
        <v>3</v>
      </c>
      <c r="E658" s="4">
        <f t="shared" si="71"/>
        <v>22</v>
      </c>
      <c r="F658" s="4">
        <f t="shared" si="72"/>
        <v>10</v>
      </c>
      <c r="G658" s="3">
        <f>IF(E658&gt;=20,2000,1900) + D658</f>
        <v>2003</v>
      </c>
      <c r="H658">
        <f t="shared" si="73"/>
        <v>2</v>
      </c>
      <c r="I658" s="4">
        <f t="shared" si="74"/>
        <v>10</v>
      </c>
      <c r="J658">
        <f t="shared" si="75"/>
        <v>20032210</v>
      </c>
      <c r="K658">
        <f t="shared" si="76"/>
        <v>21</v>
      </c>
    </row>
    <row r="659" spans="1:11" x14ac:dyDescent="0.25">
      <c r="A659" s="4" t="s">
        <v>685</v>
      </c>
      <c r="B659" t="s">
        <v>9</v>
      </c>
      <c r="C659" t="s">
        <v>4</v>
      </c>
      <c r="D659" s="3">
        <f t="shared" si="70"/>
        <v>11</v>
      </c>
      <c r="E659" s="4">
        <f t="shared" si="71"/>
        <v>26</v>
      </c>
      <c r="F659" s="4">
        <f t="shared" si="72"/>
        <v>8</v>
      </c>
      <c r="G659" s="3">
        <f>IF(E659&gt;=20,2000,1900) + D659</f>
        <v>2011</v>
      </c>
      <c r="H659">
        <f t="shared" si="73"/>
        <v>6</v>
      </c>
      <c r="I659" s="4">
        <f t="shared" si="74"/>
        <v>8</v>
      </c>
      <c r="J659">
        <f t="shared" si="75"/>
        <v>20112608</v>
      </c>
      <c r="K659">
        <f t="shared" si="76"/>
        <v>21</v>
      </c>
    </row>
    <row r="660" spans="1:11" x14ac:dyDescent="0.25">
      <c r="A660" s="4" t="s">
        <v>686</v>
      </c>
      <c r="B660" t="s">
        <v>7</v>
      </c>
      <c r="C660" t="s">
        <v>4</v>
      </c>
      <c r="D660" s="3">
        <f t="shared" si="70"/>
        <v>14</v>
      </c>
      <c r="E660" s="4">
        <f t="shared" si="71"/>
        <v>24</v>
      </c>
      <c r="F660" s="4">
        <f t="shared" si="72"/>
        <v>11</v>
      </c>
      <c r="G660" s="3">
        <f>IF(E660&gt;=20,2000,1900) + D660</f>
        <v>2014</v>
      </c>
      <c r="H660">
        <f t="shared" si="73"/>
        <v>4</v>
      </c>
      <c r="I660" s="4">
        <f t="shared" si="74"/>
        <v>11</v>
      </c>
      <c r="J660">
        <f t="shared" si="75"/>
        <v>20142411</v>
      </c>
      <c r="K660">
        <f t="shared" si="76"/>
        <v>21</v>
      </c>
    </row>
    <row r="661" spans="1:11" x14ac:dyDescent="0.25">
      <c r="A661" s="4" t="s">
        <v>687</v>
      </c>
      <c r="B661" t="s">
        <v>19</v>
      </c>
      <c r="C661" t="s">
        <v>4</v>
      </c>
      <c r="D661" s="3">
        <f t="shared" si="70"/>
        <v>12</v>
      </c>
      <c r="E661" s="4">
        <f t="shared" si="71"/>
        <v>24</v>
      </c>
      <c r="F661" s="4">
        <f t="shared" si="72"/>
        <v>12</v>
      </c>
      <c r="G661" s="3">
        <f>IF(E661&gt;=20,2000,1900) + D661</f>
        <v>2012</v>
      </c>
      <c r="H661">
        <f t="shared" si="73"/>
        <v>4</v>
      </c>
      <c r="I661" s="4">
        <f t="shared" si="74"/>
        <v>12</v>
      </c>
      <c r="J661">
        <f t="shared" si="75"/>
        <v>20122412</v>
      </c>
      <c r="K661">
        <f t="shared" si="76"/>
        <v>21</v>
      </c>
    </row>
    <row r="662" spans="1:11" x14ac:dyDescent="0.25">
      <c r="A662" s="4" t="s">
        <v>688</v>
      </c>
      <c r="B662" t="s">
        <v>20</v>
      </c>
      <c r="C662" t="s">
        <v>6</v>
      </c>
      <c r="D662" s="3">
        <f t="shared" si="70"/>
        <v>4</v>
      </c>
      <c r="E662" s="4">
        <f t="shared" si="71"/>
        <v>21</v>
      </c>
      <c r="F662" s="4">
        <f t="shared" si="72"/>
        <v>31</v>
      </c>
      <c r="G662" s="3">
        <f>IF(E662&gt;=20,2000,1900) + D662</f>
        <v>2004</v>
      </c>
      <c r="H662">
        <f t="shared" si="73"/>
        <v>1</v>
      </c>
      <c r="I662" s="4">
        <f t="shared" si="74"/>
        <v>31</v>
      </c>
      <c r="J662">
        <f t="shared" si="75"/>
        <v>20042131</v>
      </c>
      <c r="K662">
        <f t="shared" si="76"/>
        <v>21</v>
      </c>
    </row>
    <row r="663" spans="1:11" x14ac:dyDescent="0.25">
      <c r="A663" s="4" t="s">
        <v>689</v>
      </c>
      <c r="B663" t="s">
        <v>10</v>
      </c>
      <c r="C663" t="s">
        <v>4</v>
      </c>
      <c r="D663" s="3">
        <f t="shared" si="70"/>
        <v>10</v>
      </c>
      <c r="E663" s="4">
        <f t="shared" si="71"/>
        <v>24</v>
      </c>
      <c r="F663" s="4">
        <f t="shared" si="72"/>
        <v>7</v>
      </c>
      <c r="G663" s="3">
        <f>IF(E663&gt;=20,2000,1900) + D663</f>
        <v>2010</v>
      </c>
      <c r="H663">
        <f t="shared" si="73"/>
        <v>4</v>
      </c>
      <c r="I663" s="4">
        <f t="shared" si="74"/>
        <v>7</v>
      </c>
      <c r="J663">
        <f t="shared" si="75"/>
        <v>20102407</v>
      </c>
      <c r="K663">
        <f t="shared" si="76"/>
        <v>21</v>
      </c>
    </row>
    <row r="664" spans="1:11" x14ac:dyDescent="0.25">
      <c r="A664" s="4" t="s">
        <v>690</v>
      </c>
      <c r="B664" t="s">
        <v>17</v>
      </c>
      <c r="C664" t="s">
        <v>6</v>
      </c>
      <c r="D664" s="3">
        <f t="shared" si="70"/>
        <v>19</v>
      </c>
      <c r="E664" s="4">
        <f t="shared" si="71"/>
        <v>25</v>
      </c>
      <c r="F664" s="4">
        <f t="shared" si="72"/>
        <v>11</v>
      </c>
      <c r="G664" s="3">
        <f>IF(E664&gt;=20,2000,1900) + D664</f>
        <v>2019</v>
      </c>
      <c r="H664">
        <f t="shared" si="73"/>
        <v>5</v>
      </c>
      <c r="I664" s="4">
        <f t="shared" si="74"/>
        <v>11</v>
      </c>
      <c r="J664">
        <f t="shared" si="75"/>
        <v>20192511</v>
      </c>
      <c r="K664">
        <f t="shared" si="76"/>
        <v>21</v>
      </c>
    </row>
    <row r="665" spans="1:11" x14ac:dyDescent="0.25">
      <c r="A665" s="4" t="s">
        <v>691</v>
      </c>
      <c r="B665" t="s">
        <v>14</v>
      </c>
      <c r="C665" t="s">
        <v>4</v>
      </c>
      <c r="D665" s="3">
        <f t="shared" si="70"/>
        <v>2</v>
      </c>
      <c r="E665" s="4">
        <f t="shared" si="71"/>
        <v>21</v>
      </c>
      <c r="F665" s="4">
        <f t="shared" si="72"/>
        <v>8</v>
      </c>
      <c r="G665" s="3">
        <f>IF(E665&gt;=20,2000,1900) + D665</f>
        <v>2002</v>
      </c>
      <c r="H665">
        <f t="shared" si="73"/>
        <v>1</v>
      </c>
      <c r="I665" s="4">
        <f t="shared" si="74"/>
        <v>8</v>
      </c>
      <c r="J665">
        <f t="shared" si="75"/>
        <v>20022108</v>
      </c>
      <c r="K665">
        <f t="shared" si="76"/>
        <v>21</v>
      </c>
    </row>
    <row r="666" spans="1:11" x14ac:dyDescent="0.25">
      <c r="A666" s="4" t="s">
        <v>692</v>
      </c>
      <c r="B666" t="s">
        <v>19</v>
      </c>
      <c r="C666" t="s">
        <v>4</v>
      </c>
      <c r="D666" s="3">
        <f t="shared" si="70"/>
        <v>16</v>
      </c>
      <c r="E666" s="4">
        <f t="shared" si="71"/>
        <v>32</v>
      </c>
      <c r="F666" s="4">
        <f t="shared" si="72"/>
        <v>3</v>
      </c>
      <c r="G666" s="3">
        <f>IF(E666&gt;=20,2000,1900) + D666</f>
        <v>2016</v>
      </c>
      <c r="H666">
        <f t="shared" si="73"/>
        <v>12</v>
      </c>
      <c r="I666" s="4">
        <f t="shared" si="74"/>
        <v>3</v>
      </c>
      <c r="J666">
        <f t="shared" si="75"/>
        <v>20163203</v>
      </c>
      <c r="K666">
        <f t="shared" si="76"/>
        <v>21</v>
      </c>
    </row>
    <row r="667" spans="1:11" x14ac:dyDescent="0.25">
      <c r="A667" s="4" t="s">
        <v>693</v>
      </c>
      <c r="B667" t="s">
        <v>14</v>
      </c>
      <c r="C667" t="s">
        <v>4</v>
      </c>
      <c r="D667" s="3">
        <f t="shared" si="70"/>
        <v>22</v>
      </c>
      <c r="E667" s="4">
        <f t="shared" si="71"/>
        <v>29</v>
      </c>
      <c r="F667" s="4">
        <f t="shared" si="72"/>
        <v>5</v>
      </c>
      <c r="G667" s="3">
        <f>IF(E667&gt;=20,2000,1900) + D667</f>
        <v>2022</v>
      </c>
      <c r="H667">
        <f t="shared" si="73"/>
        <v>9</v>
      </c>
      <c r="I667" s="4">
        <f t="shared" si="74"/>
        <v>5</v>
      </c>
      <c r="J667">
        <f t="shared" si="75"/>
        <v>20222905</v>
      </c>
      <c r="K667">
        <f t="shared" si="76"/>
        <v>21</v>
      </c>
    </row>
    <row r="668" spans="1:11" x14ac:dyDescent="0.25">
      <c r="A668" s="4" t="s">
        <v>694</v>
      </c>
      <c r="B668" t="s">
        <v>17</v>
      </c>
      <c r="C668" t="s">
        <v>4</v>
      </c>
      <c r="D668" s="3">
        <f t="shared" si="70"/>
        <v>15</v>
      </c>
      <c r="E668" s="4">
        <f t="shared" si="71"/>
        <v>27</v>
      </c>
      <c r="F668" s="4">
        <f t="shared" si="72"/>
        <v>28</v>
      </c>
      <c r="G668" s="3">
        <f>IF(E668&gt;=20,2000,1900) + D668</f>
        <v>2015</v>
      </c>
      <c r="H668">
        <f t="shared" si="73"/>
        <v>7</v>
      </c>
      <c r="I668" s="4">
        <f t="shared" si="74"/>
        <v>28</v>
      </c>
      <c r="J668">
        <f t="shared" si="75"/>
        <v>20152728</v>
      </c>
      <c r="K668">
        <f t="shared" si="76"/>
        <v>21</v>
      </c>
    </row>
    <row r="669" spans="1:11" x14ac:dyDescent="0.25">
      <c r="A669" s="4" t="s">
        <v>695</v>
      </c>
      <c r="B669" t="s">
        <v>11</v>
      </c>
      <c r="C669" t="s">
        <v>4</v>
      </c>
      <c r="D669" s="3">
        <f t="shared" si="70"/>
        <v>22</v>
      </c>
      <c r="E669" s="4">
        <f t="shared" si="71"/>
        <v>30</v>
      </c>
      <c r="F669" s="4">
        <f t="shared" si="72"/>
        <v>12</v>
      </c>
      <c r="G669" s="3">
        <f>IF(E669&gt;=20,2000,1900) + D669</f>
        <v>2022</v>
      </c>
      <c r="H669">
        <f t="shared" si="73"/>
        <v>10</v>
      </c>
      <c r="I669" s="4">
        <f t="shared" si="74"/>
        <v>12</v>
      </c>
      <c r="J669">
        <f t="shared" si="75"/>
        <v>20223012</v>
      </c>
      <c r="K669">
        <f t="shared" si="76"/>
        <v>21</v>
      </c>
    </row>
    <row r="670" spans="1:11" x14ac:dyDescent="0.25">
      <c r="A670" s="4" t="s">
        <v>696</v>
      </c>
      <c r="B670" t="s">
        <v>3</v>
      </c>
      <c r="C670" t="s">
        <v>6</v>
      </c>
      <c r="D670" s="3">
        <f t="shared" si="70"/>
        <v>12</v>
      </c>
      <c r="E670" s="4">
        <f t="shared" si="71"/>
        <v>29</v>
      </c>
      <c r="F670" s="4">
        <f t="shared" si="72"/>
        <v>30</v>
      </c>
      <c r="G670" s="3">
        <f>IF(E670&gt;=20,2000,1900) + D670</f>
        <v>2012</v>
      </c>
      <c r="H670">
        <f t="shared" si="73"/>
        <v>9</v>
      </c>
      <c r="I670" s="4">
        <f t="shared" si="74"/>
        <v>30</v>
      </c>
      <c r="J670">
        <f t="shared" si="75"/>
        <v>20122930</v>
      </c>
      <c r="K670">
        <f t="shared" si="76"/>
        <v>21</v>
      </c>
    </row>
    <row r="671" spans="1:11" x14ac:dyDescent="0.25">
      <c r="A671" s="4" t="s">
        <v>697</v>
      </c>
      <c r="B671" t="s">
        <v>3</v>
      </c>
      <c r="C671" t="s">
        <v>6</v>
      </c>
      <c r="D671" s="3">
        <f t="shared" si="70"/>
        <v>11</v>
      </c>
      <c r="E671" s="4">
        <f t="shared" si="71"/>
        <v>22</v>
      </c>
      <c r="F671" s="4">
        <f t="shared" si="72"/>
        <v>4</v>
      </c>
      <c r="G671" s="3">
        <f>IF(E671&gt;=20,2000,1900) + D671</f>
        <v>2011</v>
      </c>
      <c r="H671">
        <f t="shared" si="73"/>
        <v>2</v>
      </c>
      <c r="I671" s="4">
        <f t="shared" si="74"/>
        <v>4</v>
      </c>
      <c r="J671">
        <f t="shared" si="75"/>
        <v>20112204</v>
      </c>
      <c r="K671">
        <f t="shared" si="76"/>
        <v>21</v>
      </c>
    </row>
    <row r="672" spans="1:11" x14ac:dyDescent="0.25">
      <c r="A672" s="4" t="s">
        <v>698</v>
      </c>
      <c r="B672" t="s">
        <v>11</v>
      </c>
      <c r="C672" t="s">
        <v>4</v>
      </c>
      <c r="D672" s="3">
        <f t="shared" si="70"/>
        <v>6</v>
      </c>
      <c r="E672" s="4">
        <f t="shared" si="71"/>
        <v>32</v>
      </c>
      <c r="F672" s="4">
        <f t="shared" si="72"/>
        <v>16</v>
      </c>
      <c r="G672" s="3">
        <f>IF(E672&gt;=20,2000,1900) + D672</f>
        <v>2006</v>
      </c>
      <c r="H672">
        <f t="shared" si="73"/>
        <v>12</v>
      </c>
      <c r="I672" s="4">
        <f t="shared" si="74"/>
        <v>16</v>
      </c>
      <c r="J672">
        <f t="shared" si="75"/>
        <v>20063216</v>
      </c>
      <c r="K672">
        <f t="shared" si="76"/>
        <v>21</v>
      </c>
    </row>
    <row r="673" spans="1:11" x14ac:dyDescent="0.25">
      <c r="A673" s="4" t="s">
        <v>699</v>
      </c>
      <c r="B673" t="s">
        <v>10</v>
      </c>
      <c r="C673" t="s">
        <v>4</v>
      </c>
      <c r="D673" s="3">
        <f t="shared" si="70"/>
        <v>8</v>
      </c>
      <c r="E673" s="4">
        <f t="shared" si="71"/>
        <v>27</v>
      </c>
      <c r="F673" s="4">
        <f t="shared" si="72"/>
        <v>18</v>
      </c>
      <c r="G673" s="3">
        <f>IF(E673&gt;=20,2000,1900) + D673</f>
        <v>2008</v>
      </c>
      <c r="H673">
        <f t="shared" si="73"/>
        <v>7</v>
      </c>
      <c r="I673" s="4">
        <f t="shared" si="74"/>
        <v>18</v>
      </c>
      <c r="J673">
        <f t="shared" si="75"/>
        <v>20082718</v>
      </c>
      <c r="K673">
        <f t="shared" si="76"/>
        <v>21</v>
      </c>
    </row>
    <row r="674" spans="1:11" x14ac:dyDescent="0.25">
      <c r="A674" s="4" t="s">
        <v>700</v>
      </c>
      <c r="B674" t="s">
        <v>17</v>
      </c>
      <c r="C674" t="s">
        <v>6</v>
      </c>
      <c r="D674" s="3">
        <f t="shared" si="70"/>
        <v>12</v>
      </c>
      <c r="E674" s="4">
        <f t="shared" si="71"/>
        <v>22</v>
      </c>
      <c r="F674" s="4">
        <f t="shared" si="72"/>
        <v>1</v>
      </c>
      <c r="G674" s="3">
        <f>IF(E674&gt;=20,2000,1900) + D674</f>
        <v>2012</v>
      </c>
      <c r="H674">
        <f t="shared" si="73"/>
        <v>2</v>
      </c>
      <c r="I674" s="4">
        <f t="shared" si="74"/>
        <v>1</v>
      </c>
      <c r="J674">
        <f t="shared" si="75"/>
        <v>20122201</v>
      </c>
      <c r="K674">
        <f t="shared" si="76"/>
        <v>21</v>
      </c>
    </row>
    <row r="675" spans="1:11" x14ac:dyDescent="0.25">
      <c r="A675" s="4" t="s">
        <v>701</v>
      </c>
      <c r="B675" t="s">
        <v>13</v>
      </c>
      <c r="C675" t="s">
        <v>6</v>
      </c>
      <c r="D675" s="3">
        <f t="shared" si="70"/>
        <v>18</v>
      </c>
      <c r="E675" s="4">
        <f t="shared" si="71"/>
        <v>27</v>
      </c>
      <c r="F675" s="4">
        <f t="shared" si="72"/>
        <v>18</v>
      </c>
      <c r="G675" s="3">
        <f>IF(E675&gt;=20,2000,1900) + D675</f>
        <v>2018</v>
      </c>
      <c r="H675">
        <f t="shared" si="73"/>
        <v>7</v>
      </c>
      <c r="I675" s="4">
        <f t="shared" si="74"/>
        <v>18</v>
      </c>
      <c r="J675">
        <f t="shared" si="75"/>
        <v>20182718</v>
      </c>
      <c r="K675">
        <f t="shared" si="76"/>
        <v>21</v>
      </c>
    </row>
    <row r="676" spans="1:11" x14ac:dyDescent="0.25">
      <c r="A676" s="4" t="s">
        <v>702</v>
      </c>
      <c r="B676" t="s">
        <v>14</v>
      </c>
      <c r="C676" t="s">
        <v>6</v>
      </c>
      <c r="D676" s="3">
        <f t="shared" si="70"/>
        <v>6</v>
      </c>
      <c r="E676" s="4">
        <f t="shared" si="71"/>
        <v>21</v>
      </c>
      <c r="F676" s="4">
        <f t="shared" si="72"/>
        <v>8</v>
      </c>
      <c r="G676" s="3">
        <f>IF(E676&gt;=20,2000,1900) + D676</f>
        <v>2006</v>
      </c>
      <c r="H676">
        <f t="shared" si="73"/>
        <v>1</v>
      </c>
      <c r="I676" s="4">
        <f t="shared" si="74"/>
        <v>8</v>
      </c>
      <c r="J676">
        <f t="shared" si="75"/>
        <v>20062108</v>
      </c>
      <c r="K676">
        <f t="shared" si="76"/>
        <v>21</v>
      </c>
    </row>
    <row r="677" spans="1:11" x14ac:dyDescent="0.25">
      <c r="A677" s="4" t="s">
        <v>703</v>
      </c>
      <c r="B677" t="s">
        <v>20</v>
      </c>
      <c r="C677" t="s">
        <v>4</v>
      </c>
      <c r="D677" s="3">
        <f t="shared" si="70"/>
        <v>8</v>
      </c>
      <c r="E677" s="4">
        <f t="shared" si="71"/>
        <v>24</v>
      </c>
      <c r="F677" s="4">
        <f t="shared" si="72"/>
        <v>13</v>
      </c>
      <c r="G677" s="3">
        <f>IF(E677&gt;=20,2000,1900) + D677</f>
        <v>2008</v>
      </c>
      <c r="H677">
        <f t="shared" si="73"/>
        <v>4</v>
      </c>
      <c r="I677" s="4">
        <f t="shared" si="74"/>
        <v>13</v>
      </c>
      <c r="J677">
        <f t="shared" si="75"/>
        <v>20082413</v>
      </c>
      <c r="K677">
        <f t="shared" si="76"/>
        <v>21</v>
      </c>
    </row>
    <row r="678" spans="1:11" x14ac:dyDescent="0.25">
      <c r="A678" s="4" t="s">
        <v>704</v>
      </c>
      <c r="B678" t="s">
        <v>10</v>
      </c>
      <c r="C678" t="s">
        <v>4</v>
      </c>
      <c r="D678" s="3">
        <f t="shared" si="70"/>
        <v>15</v>
      </c>
      <c r="E678" s="4">
        <f t="shared" si="71"/>
        <v>32</v>
      </c>
      <c r="F678" s="4">
        <f t="shared" si="72"/>
        <v>11</v>
      </c>
      <c r="G678" s="3">
        <f>IF(E678&gt;=20,2000,1900) + D678</f>
        <v>2015</v>
      </c>
      <c r="H678">
        <f t="shared" si="73"/>
        <v>12</v>
      </c>
      <c r="I678" s="4">
        <f t="shared" si="74"/>
        <v>11</v>
      </c>
      <c r="J678">
        <f t="shared" si="75"/>
        <v>20153211</v>
      </c>
      <c r="K678">
        <f t="shared" si="76"/>
        <v>21</v>
      </c>
    </row>
    <row r="679" spans="1:11" x14ac:dyDescent="0.25">
      <c r="A679" s="4" t="s">
        <v>705</v>
      </c>
      <c r="B679" t="s">
        <v>11</v>
      </c>
      <c r="C679" t="s">
        <v>4</v>
      </c>
      <c r="D679" s="3">
        <f t="shared" si="70"/>
        <v>9</v>
      </c>
      <c r="E679" s="4">
        <f t="shared" si="71"/>
        <v>23</v>
      </c>
      <c r="F679" s="4">
        <f t="shared" si="72"/>
        <v>3</v>
      </c>
      <c r="G679" s="3">
        <f>IF(E679&gt;=20,2000,1900) + D679</f>
        <v>2009</v>
      </c>
      <c r="H679">
        <f t="shared" si="73"/>
        <v>3</v>
      </c>
      <c r="I679" s="4">
        <f t="shared" si="74"/>
        <v>3</v>
      </c>
      <c r="J679">
        <f t="shared" si="75"/>
        <v>20092303</v>
      </c>
      <c r="K679">
        <f t="shared" si="76"/>
        <v>21</v>
      </c>
    </row>
    <row r="680" spans="1:11" x14ac:dyDescent="0.25">
      <c r="A680" s="4" t="s">
        <v>706</v>
      </c>
      <c r="B680" t="s">
        <v>3</v>
      </c>
      <c r="C680" t="s">
        <v>4</v>
      </c>
      <c r="D680" s="3">
        <f t="shared" si="70"/>
        <v>9</v>
      </c>
      <c r="E680" s="4">
        <f t="shared" si="71"/>
        <v>28</v>
      </c>
      <c r="F680" s="4">
        <f t="shared" si="72"/>
        <v>22</v>
      </c>
      <c r="G680" s="3">
        <f>IF(E680&gt;=20,2000,1900) + D680</f>
        <v>2009</v>
      </c>
      <c r="H680">
        <f t="shared" si="73"/>
        <v>8</v>
      </c>
      <c r="I680" s="4">
        <f t="shared" si="74"/>
        <v>22</v>
      </c>
      <c r="J680">
        <f t="shared" si="75"/>
        <v>20092822</v>
      </c>
      <c r="K680">
        <f t="shared" si="76"/>
        <v>21</v>
      </c>
    </row>
    <row r="681" spans="1:11" x14ac:dyDescent="0.25">
      <c r="A681" s="4" t="s">
        <v>707</v>
      </c>
      <c r="B681" t="s">
        <v>15</v>
      </c>
      <c r="C681" t="s">
        <v>4</v>
      </c>
      <c r="D681" s="3">
        <f t="shared" si="70"/>
        <v>12</v>
      </c>
      <c r="E681" s="4">
        <f t="shared" si="71"/>
        <v>27</v>
      </c>
      <c r="F681" s="4">
        <f t="shared" si="72"/>
        <v>22</v>
      </c>
      <c r="G681" s="3">
        <f>IF(E681&gt;=20,2000,1900) + D681</f>
        <v>2012</v>
      </c>
      <c r="H681">
        <f t="shared" si="73"/>
        <v>7</v>
      </c>
      <c r="I681" s="4">
        <f t="shared" si="74"/>
        <v>22</v>
      </c>
      <c r="J681">
        <f t="shared" si="75"/>
        <v>20122722</v>
      </c>
      <c r="K681">
        <f t="shared" si="76"/>
        <v>21</v>
      </c>
    </row>
    <row r="682" spans="1:11" x14ac:dyDescent="0.25">
      <c r="A682" s="4" t="s">
        <v>708</v>
      </c>
      <c r="B682" t="s">
        <v>3</v>
      </c>
      <c r="C682" t="s">
        <v>6</v>
      </c>
      <c r="D682" s="3">
        <f t="shared" si="70"/>
        <v>6</v>
      </c>
      <c r="E682" s="4">
        <f t="shared" si="71"/>
        <v>26</v>
      </c>
      <c r="F682" s="4">
        <f t="shared" si="72"/>
        <v>17</v>
      </c>
      <c r="G682" s="3">
        <f>IF(E682&gt;=20,2000,1900) + D682</f>
        <v>2006</v>
      </c>
      <c r="H682">
        <f t="shared" si="73"/>
        <v>6</v>
      </c>
      <c r="I682" s="4">
        <f t="shared" si="74"/>
        <v>17</v>
      </c>
      <c r="J682">
        <f t="shared" si="75"/>
        <v>20062617</v>
      </c>
      <c r="K682">
        <f t="shared" si="76"/>
        <v>21</v>
      </c>
    </row>
    <row r="683" spans="1:11" x14ac:dyDescent="0.25">
      <c r="A683" s="4" t="s">
        <v>709</v>
      </c>
      <c r="B683" t="s">
        <v>13</v>
      </c>
      <c r="C683" t="s">
        <v>6</v>
      </c>
      <c r="D683" s="3">
        <f t="shared" si="70"/>
        <v>12</v>
      </c>
      <c r="E683" s="4">
        <f t="shared" si="71"/>
        <v>29</v>
      </c>
      <c r="F683" s="4">
        <f t="shared" si="72"/>
        <v>6</v>
      </c>
      <c r="G683" s="3">
        <f>IF(E683&gt;=20,2000,1900) + D683</f>
        <v>2012</v>
      </c>
      <c r="H683">
        <f t="shared" si="73"/>
        <v>9</v>
      </c>
      <c r="I683" s="4">
        <f t="shared" si="74"/>
        <v>6</v>
      </c>
      <c r="J683">
        <f t="shared" si="75"/>
        <v>20122906</v>
      </c>
      <c r="K683">
        <f t="shared" si="76"/>
        <v>21</v>
      </c>
    </row>
    <row r="684" spans="1:11" x14ac:dyDescent="0.25">
      <c r="A684" s="4" t="s">
        <v>710</v>
      </c>
      <c r="B684" t="s">
        <v>13</v>
      </c>
      <c r="C684" t="s">
        <v>6</v>
      </c>
      <c r="D684" s="3">
        <f t="shared" si="70"/>
        <v>13</v>
      </c>
      <c r="E684" s="4">
        <f t="shared" si="71"/>
        <v>22</v>
      </c>
      <c r="F684" s="4">
        <f t="shared" si="72"/>
        <v>23</v>
      </c>
      <c r="G684" s="3">
        <f>IF(E684&gt;=20,2000,1900) + D684</f>
        <v>2013</v>
      </c>
      <c r="H684">
        <f t="shared" si="73"/>
        <v>2</v>
      </c>
      <c r="I684" s="4">
        <f t="shared" si="74"/>
        <v>23</v>
      </c>
      <c r="J684">
        <f t="shared" si="75"/>
        <v>20132223</v>
      </c>
      <c r="K684">
        <f t="shared" si="76"/>
        <v>21</v>
      </c>
    </row>
    <row r="685" spans="1:11" x14ac:dyDescent="0.25">
      <c r="A685" s="4" t="s">
        <v>711</v>
      </c>
      <c r="B685" t="s">
        <v>10</v>
      </c>
      <c r="C685" t="s">
        <v>4</v>
      </c>
      <c r="D685" s="3">
        <f t="shared" si="70"/>
        <v>17</v>
      </c>
      <c r="E685" s="4">
        <f t="shared" si="71"/>
        <v>29</v>
      </c>
      <c r="F685" s="4">
        <f t="shared" si="72"/>
        <v>27</v>
      </c>
      <c r="G685" s="3">
        <f>IF(E685&gt;=20,2000,1900) + D685</f>
        <v>2017</v>
      </c>
      <c r="H685">
        <f t="shared" si="73"/>
        <v>9</v>
      </c>
      <c r="I685" s="4">
        <f t="shared" si="74"/>
        <v>27</v>
      </c>
      <c r="J685">
        <f t="shared" si="75"/>
        <v>20172927</v>
      </c>
      <c r="K685">
        <f t="shared" si="76"/>
        <v>21</v>
      </c>
    </row>
    <row r="686" spans="1:11" x14ac:dyDescent="0.25">
      <c r="A686" s="4" t="s">
        <v>712</v>
      </c>
      <c r="B686" t="s">
        <v>17</v>
      </c>
      <c r="C686" t="s">
        <v>4</v>
      </c>
      <c r="D686" s="3">
        <f t="shared" si="70"/>
        <v>19</v>
      </c>
      <c r="E686" s="4">
        <f t="shared" si="71"/>
        <v>30</v>
      </c>
      <c r="F686" s="4">
        <f t="shared" si="72"/>
        <v>21</v>
      </c>
      <c r="G686" s="3">
        <f>IF(E686&gt;=20,2000,1900) + D686</f>
        <v>2019</v>
      </c>
      <c r="H686">
        <f t="shared" si="73"/>
        <v>10</v>
      </c>
      <c r="I686" s="4">
        <f t="shared" si="74"/>
        <v>21</v>
      </c>
      <c r="J686">
        <f t="shared" si="75"/>
        <v>20193021</v>
      </c>
      <c r="K686">
        <f t="shared" si="76"/>
        <v>21</v>
      </c>
    </row>
    <row r="687" spans="1:11" x14ac:dyDescent="0.25">
      <c r="A687" s="4" t="s">
        <v>713</v>
      </c>
      <c r="B687" t="s">
        <v>7</v>
      </c>
      <c r="C687" t="s">
        <v>6</v>
      </c>
      <c r="D687" s="3">
        <f t="shared" si="70"/>
        <v>13</v>
      </c>
      <c r="E687" s="4">
        <f t="shared" si="71"/>
        <v>24</v>
      </c>
      <c r="F687" s="4">
        <f t="shared" si="72"/>
        <v>3</v>
      </c>
      <c r="G687" s="3">
        <f>IF(E687&gt;=20,2000,1900) + D687</f>
        <v>2013</v>
      </c>
      <c r="H687">
        <f t="shared" si="73"/>
        <v>4</v>
      </c>
      <c r="I687" s="4">
        <f t="shared" si="74"/>
        <v>3</v>
      </c>
      <c r="J687">
        <f t="shared" si="75"/>
        <v>20132403</v>
      </c>
      <c r="K687">
        <f t="shared" si="76"/>
        <v>21</v>
      </c>
    </row>
    <row r="688" spans="1:11" x14ac:dyDescent="0.25">
      <c r="A688" s="4" t="s">
        <v>714</v>
      </c>
      <c r="B688" t="s">
        <v>17</v>
      </c>
      <c r="C688" t="s">
        <v>6</v>
      </c>
      <c r="D688" s="3">
        <f t="shared" si="70"/>
        <v>15</v>
      </c>
      <c r="E688" s="4">
        <f t="shared" si="71"/>
        <v>24</v>
      </c>
      <c r="F688" s="4">
        <f t="shared" si="72"/>
        <v>3</v>
      </c>
      <c r="G688" s="3">
        <f>IF(E688&gt;=20,2000,1900) + D688</f>
        <v>2015</v>
      </c>
      <c r="H688">
        <f t="shared" si="73"/>
        <v>4</v>
      </c>
      <c r="I688" s="4">
        <f t="shared" si="74"/>
        <v>3</v>
      </c>
      <c r="J688">
        <f t="shared" si="75"/>
        <v>20152403</v>
      </c>
      <c r="K688">
        <f t="shared" si="76"/>
        <v>21</v>
      </c>
    </row>
    <row r="689" spans="1:11" x14ac:dyDescent="0.25">
      <c r="A689" s="4" t="s">
        <v>715</v>
      </c>
      <c r="B689" t="s">
        <v>3</v>
      </c>
      <c r="C689" t="s">
        <v>6</v>
      </c>
      <c r="D689" s="3">
        <f t="shared" si="70"/>
        <v>13</v>
      </c>
      <c r="E689" s="4">
        <f t="shared" si="71"/>
        <v>30</v>
      </c>
      <c r="F689" s="4">
        <f t="shared" si="72"/>
        <v>19</v>
      </c>
      <c r="G689" s="3">
        <f>IF(E689&gt;=20,2000,1900) + D689</f>
        <v>2013</v>
      </c>
      <c r="H689">
        <f t="shared" si="73"/>
        <v>10</v>
      </c>
      <c r="I689" s="4">
        <f t="shared" si="74"/>
        <v>19</v>
      </c>
      <c r="J689">
        <f t="shared" si="75"/>
        <v>20133019</v>
      </c>
      <c r="K689">
        <f t="shared" si="76"/>
        <v>21</v>
      </c>
    </row>
    <row r="690" spans="1:11" x14ac:dyDescent="0.25">
      <c r="A690" s="4" t="s">
        <v>716</v>
      </c>
      <c r="B690" t="s">
        <v>20</v>
      </c>
      <c r="C690" t="s">
        <v>6</v>
      </c>
      <c r="D690" s="3">
        <f t="shared" si="70"/>
        <v>19</v>
      </c>
      <c r="E690" s="4">
        <f t="shared" si="71"/>
        <v>26</v>
      </c>
      <c r="F690" s="4">
        <f t="shared" si="72"/>
        <v>27</v>
      </c>
      <c r="G690" s="3">
        <f>IF(E690&gt;=20,2000,1900) + D690</f>
        <v>2019</v>
      </c>
      <c r="H690">
        <f t="shared" si="73"/>
        <v>6</v>
      </c>
      <c r="I690" s="4">
        <f t="shared" si="74"/>
        <v>27</v>
      </c>
      <c r="J690">
        <f t="shared" si="75"/>
        <v>20192627</v>
      </c>
      <c r="K690">
        <f t="shared" si="76"/>
        <v>21</v>
      </c>
    </row>
    <row r="691" spans="1:11" x14ac:dyDescent="0.25">
      <c r="A691" s="4" t="s">
        <v>717</v>
      </c>
      <c r="B691" t="s">
        <v>9</v>
      </c>
      <c r="C691" t="s">
        <v>4</v>
      </c>
      <c r="D691" s="3">
        <f t="shared" si="70"/>
        <v>13</v>
      </c>
      <c r="E691" s="4">
        <f t="shared" si="71"/>
        <v>28</v>
      </c>
      <c r="F691" s="4">
        <f t="shared" si="72"/>
        <v>9</v>
      </c>
      <c r="G691" s="3">
        <f>IF(E691&gt;=20,2000,1900) + D691</f>
        <v>2013</v>
      </c>
      <c r="H691">
        <f t="shared" si="73"/>
        <v>8</v>
      </c>
      <c r="I691" s="4">
        <f t="shared" si="74"/>
        <v>9</v>
      </c>
      <c r="J691">
        <f t="shared" si="75"/>
        <v>20132809</v>
      </c>
      <c r="K691">
        <f t="shared" si="76"/>
        <v>21</v>
      </c>
    </row>
    <row r="692" spans="1:11" x14ac:dyDescent="0.25">
      <c r="A692" s="4" t="s">
        <v>718</v>
      </c>
      <c r="B692" t="s">
        <v>20</v>
      </c>
      <c r="C692" t="s">
        <v>6</v>
      </c>
      <c r="D692" s="3">
        <f t="shared" si="70"/>
        <v>14</v>
      </c>
      <c r="E692" s="4">
        <f t="shared" si="71"/>
        <v>30</v>
      </c>
      <c r="F692" s="4">
        <f t="shared" si="72"/>
        <v>28</v>
      </c>
      <c r="G692" s="3">
        <f>IF(E692&gt;=20,2000,1900) + D692</f>
        <v>2014</v>
      </c>
      <c r="H692">
        <f t="shared" si="73"/>
        <v>10</v>
      </c>
      <c r="I692" s="4">
        <f t="shared" si="74"/>
        <v>28</v>
      </c>
      <c r="J692">
        <f t="shared" si="75"/>
        <v>20143028</v>
      </c>
      <c r="K692">
        <f t="shared" si="76"/>
        <v>21</v>
      </c>
    </row>
    <row r="693" spans="1:11" x14ac:dyDescent="0.25">
      <c r="A693" s="4" t="s">
        <v>719</v>
      </c>
      <c r="B693" t="s">
        <v>10</v>
      </c>
      <c r="C693" t="s">
        <v>4</v>
      </c>
      <c r="D693" s="3">
        <f t="shared" si="70"/>
        <v>11</v>
      </c>
      <c r="E693" s="4">
        <f t="shared" si="71"/>
        <v>27</v>
      </c>
      <c r="F693" s="4">
        <f t="shared" si="72"/>
        <v>28</v>
      </c>
      <c r="G693" s="3">
        <f>IF(E693&gt;=20,2000,1900) + D693</f>
        <v>2011</v>
      </c>
      <c r="H693">
        <f t="shared" si="73"/>
        <v>7</v>
      </c>
      <c r="I693" s="4">
        <f t="shared" si="74"/>
        <v>28</v>
      </c>
      <c r="J693">
        <f t="shared" si="75"/>
        <v>20112728</v>
      </c>
      <c r="K693">
        <f t="shared" si="76"/>
        <v>21</v>
      </c>
    </row>
    <row r="694" spans="1:11" x14ac:dyDescent="0.25">
      <c r="A694" s="4" t="s">
        <v>720</v>
      </c>
      <c r="B694" t="s">
        <v>19</v>
      </c>
      <c r="C694" t="s">
        <v>6</v>
      </c>
      <c r="D694" s="3">
        <f t="shared" si="70"/>
        <v>5</v>
      </c>
      <c r="E694" s="4">
        <f t="shared" si="71"/>
        <v>29</v>
      </c>
      <c r="F694" s="4">
        <f t="shared" si="72"/>
        <v>18</v>
      </c>
      <c r="G694" s="3">
        <f>IF(E694&gt;=20,2000,1900) + D694</f>
        <v>2005</v>
      </c>
      <c r="H694">
        <f t="shared" si="73"/>
        <v>9</v>
      </c>
      <c r="I694" s="4">
        <f t="shared" si="74"/>
        <v>18</v>
      </c>
      <c r="J694">
        <f t="shared" si="75"/>
        <v>20052918</v>
      </c>
      <c r="K694">
        <f t="shared" si="76"/>
        <v>21</v>
      </c>
    </row>
    <row r="695" spans="1:11" x14ac:dyDescent="0.25">
      <c r="A695" s="4" t="s">
        <v>721</v>
      </c>
      <c r="B695" t="s">
        <v>19</v>
      </c>
      <c r="C695" t="s">
        <v>4</v>
      </c>
      <c r="D695" s="3">
        <f t="shared" si="70"/>
        <v>14</v>
      </c>
      <c r="E695" s="4">
        <f t="shared" si="71"/>
        <v>21</v>
      </c>
      <c r="F695" s="4">
        <f t="shared" si="72"/>
        <v>27</v>
      </c>
      <c r="G695" s="3">
        <f>IF(E695&gt;=20,2000,1900) + D695</f>
        <v>2014</v>
      </c>
      <c r="H695">
        <f t="shared" si="73"/>
        <v>1</v>
      </c>
      <c r="I695" s="4">
        <f t="shared" si="74"/>
        <v>27</v>
      </c>
      <c r="J695">
        <f t="shared" si="75"/>
        <v>20142127</v>
      </c>
      <c r="K695">
        <f t="shared" si="76"/>
        <v>21</v>
      </c>
    </row>
    <row r="696" spans="1:11" x14ac:dyDescent="0.25">
      <c r="A696" s="4" t="s">
        <v>722</v>
      </c>
      <c r="B696" t="s">
        <v>19</v>
      </c>
      <c r="C696" t="s">
        <v>6</v>
      </c>
      <c r="D696" s="3">
        <f t="shared" si="70"/>
        <v>3</v>
      </c>
      <c r="E696" s="4">
        <f t="shared" si="71"/>
        <v>21</v>
      </c>
      <c r="F696" s="4">
        <f t="shared" si="72"/>
        <v>1</v>
      </c>
      <c r="G696" s="3">
        <f>IF(E696&gt;=20,2000,1900) + D696</f>
        <v>2003</v>
      </c>
      <c r="H696">
        <f t="shared" si="73"/>
        <v>1</v>
      </c>
      <c r="I696" s="4">
        <f t="shared" si="74"/>
        <v>1</v>
      </c>
      <c r="J696">
        <f t="shared" si="75"/>
        <v>20032101</v>
      </c>
      <c r="K696">
        <f t="shared" si="76"/>
        <v>21</v>
      </c>
    </row>
    <row r="697" spans="1:11" x14ac:dyDescent="0.25">
      <c r="A697" s="4" t="s">
        <v>723</v>
      </c>
      <c r="B697" t="s">
        <v>16</v>
      </c>
      <c r="C697" t="s">
        <v>6</v>
      </c>
      <c r="D697" s="3">
        <f t="shared" si="70"/>
        <v>14</v>
      </c>
      <c r="E697" s="4">
        <f t="shared" si="71"/>
        <v>29</v>
      </c>
      <c r="F697" s="4">
        <f t="shared" si="72"/>
        <v>14</v>
      </c>
      <c r="G697" s="3">
        <f>IF(E697&gt;=20,2000,1900) + D697</f>
        <v>2014</v>
      </c>
      <c r="H697">
        <f t="shared" si="73"/>
        <v>9</v>
      </c>
      <c r="I697" s="4">
        <f t="shared" si="74"/>
        <v>14</v>
      </c>
      <c r="J697">
        <f t="shared" si="75"/>
        <v>20142914</v>
      </c>
      <c r="K697">
        <f t="shared" si="76"/>
        <v>21</v>
      </c>
    </row>
    <row r="698" spans="1:11" x14ac:dyDescent="0.25">
      <c r="A698" s="4" t="s">
        <v>724</v>
      </c>
      <c r="B698" t="s">
        <v>12</v>
      </c>
      <c r="C698" t="s">
        <v>6</v>
      </c>
      <c r="D698" s="3">
        <f t="shared" si="70"/>
        <v>12</v>
      </c>
      <c r="E698" s="4">
        <f t="shared" si="71"/>
        <v>30</v>
      </c>
      <c r="F698" s="4">
        <f t="shared" si="72"/>
        <v>6</v>
      </c>
      <c r="G698" s="3">
        <f>IF(E698&gt;=20,2000,1900) + D698</f>
        <v>2012</v>
      </c>
      <c r="H698">
        <f t="shared" si="73"/>
        <v>10</v>
      </c>
      <c r="I698" s="4">
        <f t="shared" si="74"/>
        <v>6</v>
      </c>
      <c r="J698">
        <f t="shared" si="75"/>
        <v>20123006</v>
      </c>
      <c r="K698">
        <f t="shared" si="76"/>
        <v>21</v>
      </c>
    </row>
    <row r="699" spans="1:11" x14ac:dyDescent="0.25">
      <c r="A699" s="4" t="s">
        <v>725</v>
      </c>
      <c r="B699" t="s">
        <v>11</v>
      </c>
      <c r="C699" t="s">
        <v>6</v>
      </c>
      <c r="D699" s="3">
        <f t="shared" si="70"/>
        <v>16</v>
      </c>
      <c r="E699" s="4">
        <f t="shared" si="71"/>
        <v>23</v>
      </c>
      <c r="F699" s="4">
        <f t="shared" si="72"/>
        <v>8</v>
      </c>
      <c r="G699" s="3">
        <f>IF(E699&gt;=20,2000,1900) + D699</f>
        <v>2016</v>
      </c>
      <c r="H699">
        <f t="shared" si="73"/>
        <v>3</v>
      </c>
      <c r="I699" s="4">
        <f t="shared" si="74"/>
        <v>8</v>
      </c>
      <c r="J699">
        <f t="shared" si="75"/>
        <v>20162308</v>
      </c>
      <c r="K699">
        <f t="shared" si="76"/>
        <v>21</v>
      </c>
    </row>
    <row r="700" spans="1:11" x14ac:dyDescent="0.25">
      <c r="A700" s="4" t="s">
        <v>726</v>
      </c>
      <c r="B700" t="s">
        <v>11</v>
      </c>
      <c r="C700" t="s">
        <v>6</v>
      </c>
      <c r="D700" s="3">
        <f t="shared" si="70"/>
        <v>1</v>
      </c>
      <c r="E700" s="4">
        <f t="shared" si="71"/>
        <v>22</v>
      </c>
      <c r="F700" s="4">
        <f t="shared" si="72"/>
        <v>7</v>
      </c>
      <c r="G700" s="3">
        <f>IF(E700&gt;=20,2000,1900) + D700</f>
        <v>2001</v>
      </c>
      <c r="H700">
        <f t="shared" si="73"/>
        <v>2</v>
      </c>
      <c r="I700" s="4">
        <f t="shared" si="74"/>
        <v>7</v>
      </c>
      <c r="J700">
        <f t="shared" si="75"/>
        <v>20012207</v>
      </c>
      <c r="K700">
        <f t="shared" si="76"/>
        <v>21</v>
      </c>
    </row>
    <row r="701" spans="1:11" x14ac:dyDescent="0.25">
      <c r="A701" s="4" t="s">
        <v>727</v>
      </c>
      <c r="B701" t="s">
        <v>20</v>
      </c>
      <c r="C701" t="s">
        <v>4</v>
      </c>
      <c r="D701" s="3">
        <f t="shared" si="70"/>
        <v>19</v>
      </c>
      <c r="E701" s="4">
        <f t="shared" si="71"/>
        <v>22</v>
      </c>
      <c r="F701" s="4">
        <f t="shared" si="72"/>
        <v>9</v>
      </c>
      <c r="G701" s="3">
        <f>IF(E701&gt;=20,2000,1900) + D701</f>
        <v>2019</v>
      </c>
      <c r="H701">
        <f t="shared" si="73"/>
        <v>2</v>
      </c>
      <c r="I701" s="4">
        <f t="shared" si="74"/>
        <v>9</v>
      </c>
      <c r="J701">
        <f t="shared" si="75"/>
        <v>20192209</v>
      </c>
      <c r="K701">
        <f t="shared" si="76"/>
        <v>21</v>
      </c>
    </row>
    <row r="702" spans="1:11" x14ac:dyDescent="0.25">
      <c r="A702" s="4" t="s">
        <v>728</v>
      </c>
      <c r="B702" t="s">
        <v>10</v>
      </c>
      <c r="C702" t="s">
        <v>4</v>
      </c>
      <c r="D702" s="3">
        <f t="shared" si="70"/>
        <v>7</v>
      </c>
      <c r="E702" s="4">
        <f t="shared" si="71"/>
        <v>24</v>
      </c>
      <c r="F702" s="4">
        <f t="shared" si="72"/>
        <v>7</v>
      </c>
      <c r="G702" s="3">
        <f>IF(E702&gt;=20,2000,1900) + D702</f>
        <v>2007</v>
      </c>
      <c r="H702">
        <f t="shared" si="73"/>
        <v>4</v>
      </c>
      <c r="I702" s="4">
        <f t="shared" si="74"/>
        <v>7</v>
      </c>
      <c r="J702">
        <f t="shared" si="75"/>
        <v>20072407</v>
      </c>
      <c r="K702">
        <f t="shared" si="76"/>
        <v>21</v>
      </c>
    </row>
    <row r="703" spans="1:11" x14ac:dyDescent="0.25">
      <c r="A703" s="4" t="s">
        <v>729</v>
      </c>
      <c r="B703" t="s">
        <v>18</v>
      </c>
      <c r="C703" t="s">
        <v>4</v>
      </c>
      <c r="D703" s="3">
        <f t="shared" si="70"/>
        <v>6</v>
      </c>
      <c r="E703" s="4">
        <f t="shared" si="71"/>
        <v>29</v>
      </c>
      <c r="F703" s="4">
        <f t="shared" si="72"/>
        <v>22</v>
      </c>
      <c r="G703" s="3">
        <f>IF(E703&gt;=20,2000,1900) + D703</f>
        <v>2006</v>
      </c>
      <c r="H703">
        <f t="shared" si="73"/>
        <v>9</v>
      </c>
      <c r="I703" s="4">
        <f t="shared" si="74"/>
        <v>22</v>
      </c>
      <c r="J703">
        <f t="shared" si="75"/>
        <v>20062922</v>
      </c>
      <c r="K703">
        <f t="shared" si="76"/>
        <v>21</v>
      </c>
    </row>
    <row r="704" spans="1:11" x14ac:dyDescent="0.25">
      <c r="A704" s="4" t="s">
        <v>730</v>
      </c>
      <c r="B704" t="s">
        <v>10</v>
      </c>
      <c r="C704" t="s">
        <v>4</v>
      </c>
      <c r="D704" s="3">
        <f t="shared" si="70"/>
        <v>17</v>
      </c>
      <c r="E704" s="4">
        <f t="shared" si="71"/>
        <v>31</v>
      </c>
      <c r="F704" s="4">
        <f t="shared" si="72"/>
        <v>11</v>
      </c>
      <c r="G704" s="3">
        <f>IF(E704&gt;=20,2000,1900) + D704</f>
        <v>2017</v>
      </c>
      <c r="H704">
        <f t="shared" si="73"/>
        <v>11</v>
      </c>
      <c r="I704" s="4">
        <f t="shared" si="74"/>
        <v>11</v>
      </c>
      <c r="J704">
        <f t="shared" si="75"/>
        <v>20173111</v>
      </c>
      <c r="K704">
        <f t="shared" si="76"/>
        <v>21</v>
      </c>
    </row>
    <row r="705" spans="1:11" x14ac:dyDescent="0.25">
      <c r="A705" s="4" t="s">
        <v>731</v>
      </c>
      <c r="B705" t="s">
        <v>17</v>
      </c>
      <c r="C705" t="s">
        <v>4</v>
      </c>
      <c r="D705" s="3">
        <f t="shared" si="70"/>
        <v>16</v>
      </c>
      <c r="E705" s="4">
        <f t="shared" si="71"/>
        <v>32</v>
      </c>
      <c r="F705" s="4">
        <f t="shared" si="72"/>
        <v>11</v>
      </c>
      <c r="G705" s="3">
        <f>IF(E705&gt;=20,2000,1900) + D705</f>
        <v>2016</v>
      </c>
      <c r="H705">
        <f t="shared" si="73"/>
        <v>12</v>
      </c>
      <c r="I705" s="4">
        <f t="shared" si="74"/>
        <v>11</v>
      </c>
      <c r="J705">
        <f t="shared" si="75"/>
        <v>20163211</v>
      </c>
      <c r="K705">
        <f t="shared" si="76"/>
        <v>21</v>
      </c>
    </row>
    <row r="706" spans="1:11" x14ac:dyDescent="0.25">
      <c r="A706" s="4" t="s">
        <v>732</v>
      </c>
      <c r="B706" t="s">
        <v>19</v>
      </c>
      <c r="C706" t="s">
        <v>6</v>
      </c>
      <c r="D706" s="3">
        <f t="shared" si="70"/>
        <v>6</v>
      </c>
      <c r="E706" s="4">
        <f t="shared" si="71"/>
        <v>29</v>
      </c>
      <c r="F706" s="4">
        <f t="shared" si="72"/>
        <v>21</v>
      </c>
      <c r="G706" s="3">
        <f>IF(E706&gt;=20,2000,1900) + D706</f>
        <v>2006</v>
      </c>
      <c r="H706">
        <f t="shared" si="73"/>
        <v>9</v>
      </c>
      <c r="I706" s="4">
        <f t="shared" si="74"/>
        <v>21</v>
      </c>
      <c r="J706">
        <f t="shared" si="75"/>
        <v>20062921</v>
      </c>
      <c r="K706">
        <f t="shared" si="76"/>
        <v>21</v>
      </c>
    </row>
    <row r="707" spans="1:11" x14ac:dyDescent="0.25">
      <c r="A707" s="4" t="s">
        <v>733</v>
      </c>
      <c r="B707" t="s">
        <v>15</v>
      </c>
      <c r="C707" t="s">
        <v>6</v>
      </c>
      <c r="D707" s="3">
        <f t="shared" ref="D707:D770" si="77">MID(A707,1,2)*1</f>
        <v>5</v>
      </c>
      <c r="E707" s="4">
        <f t="shared" ref="E707:E770" si="78">MID(A707,3,2)*1</f>
        <v>23</v>
      </c>
      <c r="F707" s="4">
        <f t="shared" ref="F707:F770" si="79">MID(A707,5,2)*1</f>
        <v>8</v>
      </c>
      <c r="G707" s="3">
        <f>IF(E707&gt;=20,2000,1900) + D707</f>
        <v>2005</v>
      </c>
      <c r="H707">
        <f t="shared" ref="H707:H770" si="80">IF(E707&gt;=20,E707-20,E707)</f>
        <v>3</v>
      </c>
      <c r="I707" s="4">
        <f t="shared" ref="I707:I770" si="81">F707</f>
        <v>8</v>
      </c>
      <c r="J707">
        <f t="shared" ref="J707:J770" si="82">CONCATENATE(G707,IF(LEN(E707)=1,CONCATENATE("0",E707),E707),IF(LEN(F707)=1,CONCATENATE("0",F707),F707))*1</f>
        <v>20052308</v>
      </c>
      <c r="K707">
        <f t="shared" ref="K707:K770" si="83">IF(G707&lt;=2000,20,21)</f>
        <v>21</v>
      </c>
    </row>
    <row r="708" spans="1:11" x14ac:dyDescent="0.25">
      <c r="A708" s="4" t="s">
        <v>734</v>
      </c>
      <c r="B708" t="s">
        <v>7</v>
      </c>
      <c r="C708" t="s">
        <v>4</v>
      </c>
      <c r="D708" s="3">
        <f t="shared" si="77"/>
        <v>18</v>
      </c>
      <c r="E708" s="4">
        <f t="shared" si="78"/>
        <v>27</v>
      </c>
      <c r="F708" s="4">
        <f t="shared" si="79"/>
        <v>14</v>
      </c>
      <c r="G708" s="3">
        <f>IF(E708&gt;=20,2000,1900) + D708</f>
        <v>2018</v>
      </c>
      <c r="H708">
        <f t="shared" si="80"/>
        <v>7</v>
      </c>
      <c r="I708" s="4">
        <f t="shared" si="81"/>
        <v>14</v>
      </c>
      <c r="J708">
        <f t="shared" si="82"/>
        <v>20182714</v>
      </c>
      <c r="K708">
        <f t="shared" si="83"/>
        <v>21</v>
      </c>
    </row>
    <row r="709" spans="1:11" x14ac:dyDescent="0.25">
      <c r="A709" s="4" t="s">
        <v>735</v>
      </c>
      <c r="B709" t="s">
        <v>5</v>
      </c>
      <c r="C709" t="s">
        <v>4</v>
      </c>
      <c r="D709" s="3">
        <f t="shared" si="77"/>
        <v>6</v>
      </c>
      <c r="E709" s="4">
        <f t="shared" si="78"/>
        <v>32</v>
      </c>
      <c r="F709" s="4">
        <f t="shared" si="79"/>
        <v>12</v>
      </c>
      <c r="G709" s="3">
        <f>IF(E709&gt;=20,2000,1900) + D709</f>
        <v>2006</v>
      </c>
      <c r="H709">
        <f t="shared" si="80"/>
        <v>12</v>
      </c>
      <c r="I709" s="4">
        <f t="shared" si="81"/>
        <v>12</v>
      </c>
      <c r="J709">
        <f t="shared" si="82"/>
        <v>20063212</v>
      </c>
      <c r="K709">
        <f t="shared" si="83"/>
        <v>21</v>
      </c>
    </row>
    <row r="710" spans="1:11" x14ac:dyDescent="0.25">
      <c r="A710" s="4" t="s">
        <v>736</v>
      </c>
      <c r="B710" t="s">
        <v>8</v>
      </c>
      <c r="C710" t="s">
        <v>6</v>
      </c>
      <c r="D710" s="3">
        <f t="shared" si="77"/>
        <v>18</v>
      </c>
      <c r="E710" s="4">
        <f t="shared" si="78"/>
        <v>26</v>
      </c>
      <c r="F710" s="4">
        <f t="shared" si="79"/>
        <v>26</v>
      </c>
      <c r="G710" s="3">
        <f>IF(E710&gt;=20,2000,1900) + D710</f>
        <v>2018</v>
      </c>
      <c r="H710">
        <f t="shared" si="80"/>
        <v>6</v>
      </c>
      <c r="I710" s="4">
        <f t="shared" si="81"/>
        <v>26</v>
      </c>
      <c r="J710">
        <f t="shared" si="82"/>
        <v>20182626</v>
      </c>
      <c r="K710">
        <f t="shared" si="83"/>
        <v>21</v>
      </c>
    </row>
    <row r="711" spans="1:11" x14ac:dyDescent="0.25">
      <c r="A711" s="4" t="s">
        <v>737</v>
      </c>
      <c r="B711" t="s">
        <v>7</v>
      </c>
      <c r="C711" t="s">
        <v>4</v>
      </c>
      <c r="D711" s="3">
        <f t="shared" si="77"/>
        <v>7</v>
      </c>
      <c r="E711" s="4">
        <f t="shared" si="78"/>
        <v>26</v>
      </c>
      <c r="F711" s="4">
        <f t="shared" si="79"/>
        <v>12</v>
      </c>
      <c r="G711" s="3">
        <f>IF(E711&gt;=20,2000,1900) + D711</f>
        <v>2007</v>
      </c>
      <c r="H711">
        <f t="shared" si="80"/>
        <v>6</v>
      </c>
      <c r="I711" s="4">
        <f t="shared" si="81"/>
        <v>12</v>
      </c>
      <c r="J711">
        <f t="shared" si="82"/>
        <v>20072612</v>
      </c>
      <c r="K711">
        <f t="shared" si="83"/>
        <v>21</v>
      </c>
    </row>
    <row r="712" spans="1:11" x14ac:dyDescent="0.25">
      <c r="A712" s="4" t="s">
        <v>738</v>
      </c>
      <c r="B712" t="s">
        <v>16</v>
      </c>
      <c r="C712" t="s">
        <v>4</v>
      </c>
      <c r="D712" s="3">
        <f t="shared" si="77"/>
        <v>8</v>
      </c>
      <c r="E712" s="4">
        <f t="shared" si="78"/>
        <v>30</v>
      </c>
      <c r="F712" s="4">
        <f t="shared" si="79"/>
        <v>6</v>
      </c>
      <c r="G712" s="3">
        <f>IF(E712&gt;=20,2000,1900) + D712</f>
        <v>2008</v>
      </c>
      <c r="H712">
        <f t="shared" si="80"/>
        <v>10</v>
      </c>
      <c r="I712" s="4">
        <f t="shared" si="81"/>
        <v>6</v>
      </c>
      <c r="J712">
        <f t="shared" si="82"/>
        <v>20083006</v>
      </c>
      <c r="K712">
        <f t="shared" si="83"/>
        <v>21</v>
      </c>
    </row>
    <row r="713" spans="1:11" x14ac:dyDescent="0.25">
      <c r="A713" s="4" t="s">
        <v>739</v>
      </c>
      <c r="B713" t="s">
        <v>10</v>
      </c>
      <c r="C713" t="s">
        <v>6</v>
      </c>
      <c r="D713" s="3">
        <f t="shared" si="77"/>
        <v>8</v>
      </c>
      <c r="E713" s="4">
        <f t="shared" si="78"/>
        <v>22</v>
      </c>
      <c r="F713" s="4">
        <f t="shared" si="79"/>
        <v>11</v>
      </c>
      <c r="G713" s="3">
        <f>IF(E713&gt;=20,2000,1900) + D713</f>
        <v>2008</v>
      </c>
      <c r="H713">
        <f t="shared" si="80"/>
        <v>2</v>
      </c>
      <c r="I713" s="4">
        <f t="shared" si="81"/>
        <v>11</v>
      </c>
      <c r="J713">
        <f t="shared" si="82"/>
        <v>20082211</v>
      </c>
      <c r="K713">
        <f t="shared" si="83"/>
        <v>21</v>
      </c>
    </row>
    <row r="714" spans="1:11" x14ac:dyDescent="0.25">
      <c r="A714" s="4" t="s">
        <v>740</v>
      </c>
      <c r="B714" t="s">
        <v>10</v>
      </c>
      <c r="C714" t="s">
        <v>4</v>
      </c>
      <c r="D714" s="3">
        <f t="shared" si="77"/>
        <v>5</v>
      </c>
      <c r="E714" s="4">
        <f t="shared" si="78"/>
        <v>22</v>
      </c>
      <c r="F714" s="4">
        <f t="shared" si="79"/>
        <v>1</v>
      </c>
      <c r="G714" s="3">
        <f>IF(E714&gt;=20,2000,1900) + D714</f>
        <v>2005</v>
      </c>
      <c r="H714">
        <f t="shared" si="80"/>
        <v>2</v>
      </c>
      <c r="I714" s="4">
        <f t="shared" si="81"/>
        <v>1</v>
      </c>
      <c r="J714">
        <f t="shared" si="82"/>
        <v>20052201</v>
      </c>
      <c r="K714">
        <f t="shared" si="83"/>
        <v>21</v>
      </c>
    </row>
    <row r="715" spans="1:11" x14ac:dyDescent="0.25">
      <c r="A715" s="4" t="s">
        <v>741</v>
      </c>
      <c r="B715" t="s">
        <v>12</v>
      </c>
      <c r="C715" t="s">
        <v>4</v>
      </c>
      <c r="D715" s="3">
        <f t="shared" si="77"/>
        <v>11</v>
      </c>
      <c r="E715" s="4">
        <f t="shared" si="78"/>
        <v>22</v>
      </c>
      <c r="F715" s="4">
        <f t="shared" si="79"/>
        <v>20</v>
      </c>
      <c r="G715" s="3">
        <f>IF(E715&gt;=20,2000,1900) + D715</f>
        <v>2011</v>
      </c>
      <c r="H715">
        <f t="shared" si="80"/>
        <v>2</v>
      </c>
      <c r="I715" s="4">
        <f t="shared" si="81"/>
        <v>20</v>
      </c>
      <c r="J715">
        <f t="shared" si="82"/>
        <v>20112220</v>
      </c>
      <c r="K715">
        <f t="shared" si="83"/>
        <v>21</v>
      </c>
    </row>
    <row r="716" spans="1:11" x14ac:dyDescent="0.25">
      <c r="A716" s="4" t="s">
        <v>742</v>
      </c>
      <c r="B716" t="s">
        <v>18</v>
      </c>
      <c r="C716" t="s">
        <v>4</v>
      </c>
      <c r="D716" s="3">
        <f t="shared" si="77"/>
        <v>18</v>
      </c>
      <c r="E716" s="4">
        <f t="shared" si="78"/>
        <v>32</v>
      </c>
      <c r="F716" s="4">
        <f t="shared" si="79"/>
        <v>2</v>
      </c>
      <c r="G716" s="3">
        <f>IF(E716&gt;=20,2000,1900) + D716</f>
        <v>2018</v>
      </c>
      <c r="H716">
        <f t="shared" si="80"/>
        <v>12</v>
      </c>
      <c r="I716" s="4">
        <f t="shared" si="81"/>
        <v>2</v>
      </c>
      <c r="J716">
        <f t="shared" si="82"/>
        <v>20183202</v>
      </c>
      <c r="K716">
        <f t="shared" si="83"/>
        <v>21</v>
      </c>
    </row>
    <row r="717" spans="1:11" x14ac:dyDescent="0.25">
      <c r="A717" s="4" t="s">
        <v>743</v>
      </c>
      <c r="B717" t="s">
        <v>3</v>
      </c>
      <c r="C717" t="s">
        <v>6</v>
      </c>
      <c r="D717" s="3">
        <f t="shared" si="77"/>
        <v>19</v>
      </c>
      <c r="E717" s="4">
        <f t="shared" si="78"/>
        <v>30</v>
      </c>
      <c r="F717" s="4">
        <f t="shared" si="79"/>
        <v>30</v>
      </c>
      <c r="G717" s="3">
        <f>IF(E717&gt;=20,2000,1900) + D717</f>
        <v>2019</v>
      </c>
      <c r="H717">
        <f t="shared" si="80"/>
        <v>10</v>
      </c>
      <c r="I717" s="4">
        <f t="shared" si="81"/>
        <v>30</v>
      </c>
      <c r="J717">
        <f t="shared" si="82"/>
        <v>20193030</v>
      </c>
      <c r="K717">
        <f t="shared" si="83"/>
        <v>21</v>
      </c>
    </row>
    <row r="718" spans="1:11" x14ac:dyDescent="0.25">
      <c r="A718" s="4" t="s">
        <v>744</v>
      </c>
      <c r="B718" t="s">
        <v>3</v>
      </c>
      <c r="C718" t="s">
        <v>6</v>
      </c>
      <c r="D718" s="3">
        <f t="shared" si="77"/>
        <v>16</v>
      </c>
      <c r="E718" s="4">
        <f t="shared" si="78"/>
        <v>29</v>
      </c>
      <c r="F718" s="4">
        <f t="shared" si="79"/>
        <v>13</v>
      </c>
      <c r="G718" s="3">
        <f>IF(E718&gt;=20,2000,1900) + D718</f>
        <v>2016</v>
      </c>
      <c r="H718">
        <f t="shared" si="80"/>
        <v>9</v>
      </c>
      <c r="I718" s="4">
        <f t="shared" si="81"/>
        <v>13</v>
      </c>
      <c r="J718">
        <f t="shared" si="82"/>
        <v>20162913</v>
      </c>
      <c r="K718">
        <f t="shared" si="83"/>
        <v>21</v>
      </c>
    </row>
    <row r="719" spans="1:11" x14ac:dyDescent="0.25">
      <c r="A719" s="4" t="s">
        <v>745</v>
      </c>
      <c r="B719" t="s">
        <v>18</v>
      </c>
      <c r="C719" t="s">
        <v>4</v>
      </c>
      <c r="D719" s="3">
        <f t="shared" si="77"/>
        <v>8</v>
      </c>
      <c r="E719" s="4">
        <f t="shared" si="78"/>
        <v>25</v>
      </c>
      <c r="F719" s="4">
        <f t="shared" si="79"/>
        <v>6</v>
      </c>
      <c r="G719" s="3">
        <f>IF(E719&gt;=20,2000,1900) + D719</f>
        <v>2008</v>
      </c>
      <c r="H719">
        <f t="shared" si="80"/>
        <v>5</v>
      </c>
      <c r="I719" s="4">
        <f t="shared" si="81"/>
        <v>6</v>
      </c>
      <c r="J719">
        <f t="shared" si="82"/>
        <v>20082506</v>
      </c>
      <c r="K719">
        <f t="shared" si="83"/>
        <v>21</v>
      </c>
    </row>
    <row r="720" spans="1:11" x14ac:dyDescent="0.25">
      <c r="A720" s="4" t="s">
        <v>746</v>
      </c>
      <c r="B720" t="s">
        <v>20</v>
      </c>
      <c r="C720" t="s">
        <v>6</v>
      </c>
      <c r="D720" s="3">
        <f t="shared" si="77"/>
        <v>5</v>
      </c>
      <c r="E720" s="4">
        <f t="shared" si="78"/>
        <v>26</v>
      </c>
      <c r="F720" s="4">
        <f t="shared" si="79"/>
        <v>30</v>
      </c>
      <c r="G720" s="3">
        <f>IF(E720&gt;=20,2000,1900) + D720</f>
        <v>2005</v>
      </c>
      <c r="H720">
        <f t="shared" si="80"/>
        <v>6</v>
      </c>
      <c r="I720" s="4">
        <f t="shared" si="81"/>
        <v>30</v>
      </c>
      <c r="J720">
        <f t="shared" si="82"/>
        <v>20052630</v>
      </c>
      <c r="K720">
        <f t="shared" si="83"/>
        <v>21</v>
      </c>
    </row>
    <row r="721" spans="1:11" x14ac:dyDescent="0.25">
      <c r="A721" s="4" t="s">
        <v>747</v>
      </c>
      <c r="B721" t="s">
        <v>13</v>
      </c>
      <c r="C721" t="s">
        <v>6</v>
      </c>
      <c r="D721" s="3">
        <f t="shared" si="77"/>
        <v>0</v>
      </c>
      <c r="E721" s="4">
        <f t="shared" si="78"/>
        <v>21</v>
      </c>
      <c r="F721" s="4">
        <f t="shared" si="79"/>
        <v>31</v>
      </c>
      <c r="G721" s="3">
        <f>IF(E721&gt;=20,2000,1900) + D721</f>
        <v>2000</v>
      </c>
      <c r="H721">
        <f t="shared" si="80"/>
        <v>1</v>
      </c>
      <c r="I721" s="4">
        <f t="shared" si="81"/>
        <v>31</v>
      </c>
      <c r="J721">
        <f t="shared" si="82"/>
        <v>20002131</v>
      </c>
      <c r="K721">
        <f t="shared" si="83"/>
        <v>20</v>
      </c>
    </row>
    <row r="722" spans="1:11" x14ac:dyDescent="0.25">
      <c r="A722" s="4" t="s">
        <v>748</v>
      </c>
      <c r="B722" t="s">
        <v>18</v>
      </c>
      <c r="C722" t="s">
        <v>6</v>
      </c>
      <c r="D722" s="3">
        <f t="shared" si="77"/>
        <v>8</v>
      </c>
      <c r="E722" s="4">
        <f t="shared" si="78"/>
        <v>32</v>
      </c>
      <c r="F722" s="4">
        <f t="shared" si="79"/>
        <v>27</v>
      </c>
      <c r="G722" s="3">
        <f>IF(E722&gt;=20,2000,1900) + D722</f>
        <v>2008</v>
      </c>
      <c r="H722">
        <f t="shared" si="80"/>
        <v>12</v>
      </c>
      <c r="I722" s="4">
        <f t="shared" si="81"/>
        <v>27</v>
      </c>
      <c r="J722">
        <f t="shared" si="82"/>
        <v>20083227</v>
      </c>
      <c r="K722">
        <f t="shared" si="83"/>
        <v>21</v>
      </c>
    </row>
    <row r="723" spans="1:11" x14ac:dyDescent="0.25">
      <c r="A723" s="4" t="s">
        <v>749</v>
      </c>
      <c r="B723" t="s">
        <v>5</v>
      </c>
      <c r="C723" t="s">
        <v>4</v>
      </c>
      <c r="D723" s="3">
        <f t="shared" si="77"/>
        <v>16</v>
      </c>
      <c r="E723" s="4">
        <f t="shared" si="78"/>
        <v>25</v>
      </c>
      <c r="F723" s="4">
        <f t="shared" si="79"/>
        <v>15</v>
      </c>
      <c r="G723" s="3">
        <f>IF(E723&gt;=20,2000,1900) + D723</f>
        <v>2016</v>
      </c>
      <c r="H723">
        <f t="shared" si="80"/>
        <v>5</v>
      </c>
      <c r="I723" s="4">
        <f t="shared" si="81"/>
        <v>15</v>
      </c>
      <c r="J723">
        <f t="shared" si="82"/>
        <v>20162515</v>
      </c>
      <c r="K723">
        <f t="shared" si="83"/>
        <v>21</v>
      </c>
    </row>
    <row r="724" spans="1:11" x14ac:dyDescent="0.25">
      <c r="A724" s="4" t="s">
        <v>750</v>
      </c>
      <c r="B724" t="s">
        <v>13</v>
      </c>
      <c r="C724" t="s">
        <v>6</v>
      </c>
      <c r="D724" s="3">
        <f t="shared" si="77"/>
        <v>10</v>
      </c>
      <c r="E724" s="4">
        <f t="shared" si="78"/>
        <v>29</v>
      </c>
      <c r="F724" s="4">
        <f t="shared" si="79"/>
        <v>27</v>
      </c>
      <c r="G724" s="3">
        <f>IF(E724&gt;=20,2000,1900) + D724</f>
        <v>2010</v>
      </c>
      <c r="H724">
        <f t="shared" si="80"/>
        <v>9</v>
      </c>
      <c r="I724" s="4">
        <f t="shared" si="81"/>
        <v>27</v>
      </c>
      <c r="J724">
        <f t="shared" si="82"/>
        <v>20102927</v>
      </c>
      <c r="K724">
        <f t="shared" si="83"/>
        <v>21</v>
      </c>
    </row>
    <row r="725" spans="1:11" x14ac:dyDescent="0.25">
      <c r="A725" s="4" t="s">
        <v>751</v>
      </c>
      <c r="B725" t="s">
        <v>13</v>
      </c>
      <c r="C725" t="s">
        <v>6</v>
      </c>
      <c r="D725" s="3">
        <f t="shared" si="77"/>
        <v>14</v>
      </c>
      <c r="E725" s="4">
        <f t="shared" si="78"/>
        <v>23</v>
      </c>
      <c r="F725" s="4">
        <f t="shared" si="79"/>
        <v>13</v>
      </c>
      <c r="G725" s="3">
        <f>IF(E725&gt;=20,2000,1900) + D725</f>
        <v>2014</v>
      </c>
      <c r="H725">
        <f t="shared" si="80"/>
        <v>3</v>
      </c>
      <c r="I725" s="4">
        <f t="shared" si="81"/>
        <v>13</v>
      </c>
      <c r="J725">
        <f t="shared" si="82"/>
        <v>20142313</v>
      </c>
      <c r="K725">
        <f t="shared" si="83"/>
        <v>21</v>
      </c>
    </row>
    <row r="726" spans="1:11" x14ac:dyDescent="0.25">
      <c r="A726" s="4" t="s">
        <v>752</v>
      </c>
      <c r="B726" t="s">
        <v>14</v>
      </c>
      <c r="C726" t="s">
        <v>4</v>
      </c>
      <c r="D726" s="3">
        <f t="shared" si="77"/>
        <v>21</v>
      </c>
      <c r="E726" s="4">
        <f t="shared" si="78"/>
        <v>22</v>
      </c>
      <c r="F726" s="4">
        <f t="shared" si="79"/>
        <v>26</v>
      </c>
      <c r="G726" s="3">
        <f>IF(E726&gt;=20,2000,1900) + D726</f>
        <v>2021</v>
      </c>
      <c r="H726">
        <f t="shared" si="80"/>
        <v>2</v>
      </c>
      <c r="I726" s="4">
        <f t="shared" si="81"/>
        <v>26</v>
      </c>
      <c r="J726">
        <f t="shared" si="82"/>
        <v>20212226</v>
      </c>
      <c r="K726">
        <f t="shared" si="83"/>
        <v>21</v>
      </c>
    </row>
    <row r="727" spans="1:11" x14ac:dyDescent="0.25">
      <c r="A727" s="4" t="s">
        <v>753</v>
      </c>
      <c r="B727" t="s">
        <v>17</v>
      </c>
      <c r="C727" t="s">
        <v>6</v>
      </c>
      <c r="D727" s="3">
        <f t="shared" si="77"/>
        <v>12</v>
      </c>
      <c r="E727" s="4">
        <f t="shared" si="78"/>
        <v>29</v>
      </c>
      <c r="F727" s="4">
        <f t="shared" si="79"/>
        <v>22</v>
      </c>
      <c r="G727" s="3">
        <f>IF(E727&gt;=20,2000,1900) + D727</f>
        <v>2012</v>
      </c>
      <c r="H727">
        <f t="shared" si="80"/>
        <v>9</v>
      </c>
      <c r="I727" s="4">
        <f t="shared" si="81"/>
        <v>22</v>
      </c>
      <c r="J727">
        <f t="shared" si="82"/>
        <v>20122922</v>
      </c>
      <c r="K727">
        <f t="shared" si="83"/>
        <v>21</v>
      </c>
    </row>
    <row r="728" spans="1:11" x14ac:dyDescent="0.25">
      <c r="A728" s="4" t="s">
        <v>754</v>
      </c>
      <c r="B728" t="s">
        <v>13</v>
      </c>
      <c r="C728" t="s">
        <v>6</v>
      </c>
      <c r="D728" s="3">
        <f t="shared" si="77"/>
        <v>7</v>
      </c>
      <c r="E728" s="4">
        <f t="shared" si="78"/>
        <v>28</v>
      </c>
      <c r="F728" s="4">
        <f t="shared" si="79"/>
        <v>29</v>
      </c>
      <c r="G728" s="3">
        <f>IF(E728&gt;=20,2000,1900) + D728</f>
        <v>2007</v>
      </c>
      <c r="H728">
        <f t="shared" si="80"/>
        <v>8</v>
      </c>
      <c r="I728" s="4">
        <f t="shared" si="81"/>
        <v>29</v>
      </c>
      <c r="J728">
        <f t="shared" si="82"/>
        <v>20072829</v>
      </c>
      <c r="K728">
        <f t="shared" si="83"/>
        <v>21</v>
      </c>
    </row>
    <row r="729" spans="1:11" x14ac:dyDescent="0.25">
      <c r="A729" s="4" t="s">
        <v>755</v>
      </c>
      <c r="B729" t="s">
        <v>19</v>
      </c>
      <c r="C729" t="s">
        <v>6</v>
      </c>
      <c r="D729" s="3">
        <f t="shared" si="77"/>
        <v>9</v>
      </c>
      <c r="E729" s="4">
        <f t="shared" si="78"/>
        <v>22</v>
      </c>
      <c r="F729" s="4">
        <f t="shared" si="79"/>
        <v>5</v>
      </c>
      <c r="G729" s="3">
        <f>IF(E729&gt;=20,2000,1900) + D729</f>
        <v>2009</v>
      </c>
      <c r="H729">
        <f t="shared" si="80"/>
        <v>2</v>
      </c>
      <c r="I729" s="4">
        <f t="shared" si="81"/>
        <v>5</v>
      </c>
      <c r="J729">
        <f t="shared" si="82"/>
        <v>20092205</v>
      </c>
      <c r="K729">
        <f t="shared" si="83"/>
        <v>21</v>
      </c>
    </row>
    <row r="730" spans="1:11" x14ac:dyDescent="0.25">
      <c r="A730" s="4" t="s">
        <v>756</v>
      </c>
      <c r="B730" t="s">
        <v>18</v>
      </c>
      <c r="C730" t="s">
        <v>6</v>
      </c>
      <c r="D730" s="3">
        <f t="shared" si="77"/>
        <v>21</v>
      </c>
      <c r="E730" s="4">
        <f t="shared" si="78"/>
        <v>23</v>
      </c>
      <c r="F730" s="4">
        <f t="shared" si="79"/>
        <v>1</v>
      </c>
      <c r="G730" s="3">
        <f>IF(E730&gt;=20,2000,1900) + D730</f>
        <v>2021</v>
      </c>
      <c r="H730">
        <f t="shared" si="80"/>
        <v>3</v>
      </c>
      <c r="I730" s="4">
        <f t="shared" si="81"/>
        <v>1</v>
      </c>
      <c r="J730">
        <f t="shared" si="82"/>
        <v>20212301</v>
      </c>
      <c r="K730">
        <f t="shared" si="83"/>
        <v>21</v>
      </c>
    </row>
    <row r="731" spans="1:11" x14ac:dyDescent="0.25">
      <c r="A731" s="4" t="s">
        <v>757</v>
      </c>
      <c r="B731" t="s">
        <v>16</v>
      </c>
      <c r="C731" t="s">
        <v>4</v>
      </c>
      <c r="D731" s="3">
        <f t="shared" si="77"/>
        <v>11</v>
      </c>
      <c r="E731" s="4">
        <f t="shared" si="78"/>
        <v>31</v>
      </c>
      <c r="F731" s="4">
        <f t="shared" si="79"/>
        <v>23</v>
      </c>
      <c r="G731" s="3">
        <f>IF(E731&gt;=20,2000,1900) + D731</f>
        <v>2011</v>
      </c>
      <c r="H731">
        <f t="shared" si="80"/>
        <v>11</v>
      </c>
      <c r="I731" s="4">
        <f t="shared" si="81"/>
        <v>23</v>
      </c>
      <c r="J731">
        <f t="shared" si="82"/>
        <v>20113123</v>
      </c>
      <c r="K731">
        <f t="shared" si="83"/>
        <v>21</v>
      </c>
    </row>
    <row r="732" spans="1:11" x14ac:dyDescent="0.25">
      <c r="A732" s="4" t="s">
        <v>758</v>
      </c>
      <c r="B732" t="s">
        <v>14</v>
      </c>
      <c r="C732" t="s">
        <v>4</v>
      </c>
      <c r="D732" s="3">
        <f t="shared" si="77"/>
        <v>9</v>
      </c>
      <c r="E732" s="4">
        <f t="shared" si="78"/>
        <v>24</v>
      </c>
      <c r="F732" s="4">
        <f t="shared" si="79"/>
        <v>6</v>
      </c>
      <c r="G732" s="3">
        <f>IF(E732&gt;=20,2000,1900) + D732</f>
        <v>2009</v>
      </c>
      <c r="H732">
        <f t="shared" si="80"/>
        <v>4</v>
      </c>
      <c r="I732" s="4">
        <f t="shared" si="81"/>
        <v>6</v>
      </c>
      <c r="J732">
        <f t="shared" si="82"/>
        <v>20092406</v>
      </c>
      <c r="K732">
        <f t="shared" si="83"/>
        <v>21</v>
      </c>
    </row>
    <row r="733" spans="1:11" x14ac:dyDescent="0.25">
      <c r="A733" s="4" t="s">
        <v>759</v>
      </c>
      <c r="B733" t="s">
        <v>15</v>
      </c>
      <c r="C733" t="s">
        <v>6</v>
      </c>
      <c r="D733" s="3">
        <f t="shared" si="77"/>
        <v>0</v>
      </c>
      <c r="E733" s="4">
        <f t="shared" si="78"/>
        <v>31</v>
      </c>
      <c r="F733" s="4">
        <f t="shared" si="79"/>
        <v>21</v>
      </c>
      <c r="G733" s="3">
        <f>IF(E733&gt;=20,2000,1900) + D733</f>
        <v>2000</v>
      </c>
      <c r="H733">
        <f t="shared" si="80"/>
        <v>11</v>
      </c>
      <c r="I733" s="4">
        <f t="shared" si="81"/>
        <v>21</v>
      </c>
      <c r="J733">
        <f t="shared" si="82"/>
        <v>20003121</v>
      </c>
      <c r="K733">
        <f t="shared" si="83"/>
        <v>20</v>
      </c>
    </row>
    <row r="734" spans="1:11" x14ac:dyDescent="0.25">
      <c r="A734" s="4" t="s">
        <v>760</v>
      </c>
      <c r="B734" t="s">
        <v>20</v>
      </c>
      <c r="C734" t="s">
        <v>4</v>
      </c>
      <c r="D734" s="3">
        <f t="shared" si="77"/>
        <v>8</v>
      </c>
      <c r="E734" s="4">
        <f t="shared" si="78"/>
        <v>28</v>
      </c>
      <c r="F734" s="4">
        <f t="shared" si="79"/>
        <v>11</v>
      </c>
      <c r="G734" s="3">
        <f>IF(E734&gt;=20,2000,1900) + D734</f>
        <v>2008</v>
      </c>
      <c r="H734">
        <f t="shared" si="80"/>
        <v>8</v>
      </c>
      <c r="I734" s="4">
        <f t="shared" si="81"/>
        <v>11</v>
      </c>
      <c r="J734">
        <f t="shared" si="82"/>
        <v>20082811</v>
      </c>
      <c r="K734">
        <f t="shared" si="83"/>
        <v>21</v>
      </c>
    </row>
    <row r="735" spans="1:11" x14ac:dyDescent="0.25">
      <c r="A735" s="4" t="s">
        <v>761</v>
      </c>
      <c r="B735" t="s">
        <v>17</v>
      </c>
      <c r="C735" t="s">
        <v>6</v>
      </c>
      <c r="D735" s="3">
        <f t="shared" si="77"/>
        <v>5</v>
      </c>
      <c r="E735" s="4">
        <f t="shared" si="78"/>
        <v>22</v>
      </c>
      <c r="F735" s="4">
        <f t="shared" si="79"/>
        <v>12</v>
      </c>
      <c r="G735" s="3">
        <f>IF(E735&gt;=20,2000,1900) + D735</f>
        <v>2005</v>
      </c>
      <c r="H735">
        <f t="shared" si="80"/>
        <v>2</v>
      </c>
      <c r="I735" s="4">
        <f t="shared" si="81"/>
        <v>12</v>
      </c>
      <c r="J735">
        <f t="shared" si="82"/>
        <v>20052212</v>
      </c>
      <c r="K735">
        <f t="shared" si="83"/>
        <v>21</v>
      </c>
    </row>
    <row r="736" spans="1:11" x14ac:dyDescent="0.25">
      <c r="A736" s="4" t="s">
        <v>762</v>
      </c>
      <c r="B736" t="s">
        <v>11</v>
      </c>
      <c r="C736" t="s">
        <v>4</v>
      </c>
      <c r="D736" s="3">
        <f t="shared" si="77"/>
        <v>16</v>
      </c>
      <c r="E736" s="4">
        <f t="shared" si="78"/>
        <v>21</v>
      </c>
      <c r="F736" s="4">
        <f t="shared" si="79"/>
        <v>24</v>
      </c>
      <c r="G736" s="3">
        <f>IF(E736&gt;=20,2000,1900) + D736</f>
        <v>2016</v>
      </c>
      <c r="H736">
        <f t="shared" si="80"/>
        <v>1</v>
      </c>
      <c r="I736" s="4">
        <f t="shared" si="81"/>
        <v>24</v>
      </c>
      <c r="J736">
        <f t="shared" si="82"/>
        <v>20162124</v>
      </c>
      <c r="K736">
        <f t="shared" si="83"/>
        <v>21</v>
      </c>
    </row>
    <row r="737" spans="1:11" x14ac:dyDescent="0.25">
      <c r="A737" s="4" t="s">
        <v>763</v>
      </c>
      <c r="B737" t="s">
        <v>20</v>
      </c>
      <c r="C737" t="s">
        <v>4</v>
      </c>
      <c r="D737" s="3">
        <f t="shared" si="77"/>
        <v>15</v>
      </c>
      <c r="E737" s="4">
        <f t="shared" si="78"/>
        <v>30</v>
      </c>
      <c r="F737" s="4">
        <f t="shared" si="79"/>
        <v>6</v>
      </c>
      <c r="G737" s="3">
        <f>IF(E737&gt;=20,2000,1900) + D737</f>
        <v>2015</v>
      </c>
      <c r="H737">
        <f t="shared" si="80"/>
        <v>10</v>
      </c>
      <c r="I737" s="4">
        <f t="shared" si="81"/>
        <v>6</v>
      </c>
      <c r="J737">
        <f t="shared" si="82"/>
        <v>20153006</v>
      </c>
      <c r="K737">
        <f t="shared" si="83"/>
        <v>21</v>
      </c>
    </row>
    <row r="738" spans="1:11" x14ac:dyDescent="0.25">
      <c r="A738" s="4" t="s">
        <v>764</v>
      </c>
      <c r="B738" t="s">
        <v>5</v>
      </c>
      <c r="C738" t="s">
        <v>4</v>
      </c>
      <c r="D738" s="3">
        <f t="shared" si="77"/>
        <v>15</v>
      </c>
      <c r="E738" s="4">
        <f t="shared" si="78"/>
        <v>29</v>
      </c>
      <c r="F738" s="4">
        <f t="shared" si="79"/>
        <v>18</v>
      </c>
      <c r="G738" s="3">
        <f>IF(E738&gt;=20,2000,1900) + D738</f>
        <v>2015</v>
      </c>
      <c r="H738">
        <f t="shared" si="80"/>
        <v>9</v>
      </c>
      <c r="I738" s="4">
        <f t="shared" si="81"/>
        <v>18</v>
      </c>
      <c r="J738">
        <f t="shared" si="82"/>
        <v>20152918</v>
      </c>
      <c r="K738">
        <f t="shared" si="83"/>
        <v>21</v>
      </c>
    </row>
    <row r="739" spans="1:11" x14ac:dyDescent="0.25">
      <c r="A739" s="4" t="s">
        <v>765</v>
      </c>
      <c r="B739" t="s">
        <v>19</v>
      </c>
      <c r="C739" t="s">
        <v>6</v>
      </c>
      <c r="D739" s="3">
        <f t="shared" si="77"/>
        <v>19</v>
      </c>
      <c r="E739" s="4">
        <f t="shared" si="78"/>
        <v>30</v>
      </c>
      <c r="F739" s="4">
        <f t="shared" si="79"/>
        <v>15</v>
      </c>
      <c r="G739" s="3">
        <f>IF(E739&gt;=20,2000,1900) + D739</f>
        <v>2019</v>
      </c>
      <c r="H739">
        <f t="shared" si="80"/>
        <v>10</v>
      </c>
      <c r="I739" s="4">
        <f t="shared" si="81"/>
        <v>15</v>
      </c>
      <c r="J739">
        <f t="shared" si="82"/>
        <v>20193015</v>
      </c>
      <c r="K739">
        <f t="shared" si="83"/>
        <v>21</v>
      </c>
    </row>
    <row r="740" spans="1:11" x14ac:dyDescent="0.25">
      <c r="A740" s="4" t="s">
        <v>766</v>
      </c>
      <c r="B740" t="s">
        <v>12</v>
      </c>
      <c r="C740" t="s">
        <v>4</v>
      </c>
      <c r="D740" s="3">
        <f t="shared" si="77"/>
        <v>3</v>
      </c>
      <c r="E740" s="4">
        <f t="shared" si="78"/>
        <v>21</v>
      </c>
      <c r="F740" s="4">
        <f t="shared" si="79"/>
        <v>14</v>
      </c>
      <c r="G740" s="3">
        <f>IF(E740&gt;=20,2000,1900) + D740</f>
        <v>2003</v>
      </c>
      <c r="H740">
        <f t="shared" si="80"/>
        <v>1</v>
      </c>
      <c r="I740" s="4">
        <f t="shared" si="81"/>
        <v>14</v>
      </c>
      <c r="J740">
        <f t="shared" si="82"/>
        <v>20032114</v>
      </c>
      <c r="K740">
        <f t="shared" si="83"/>
        <v>21</v>
      </c>
    </row>
    <row r="741" spans="1:11" x14ac:dyDescent="0.25">
      <c r="A741" s="4" t="s">
        <v>767</v>
      </c>
      <c r="B741" t="s">
        <v>11</v>
      </c>
      <c r="C741" t="s">
        <v>4</v>
      </c>
      <c r="D741" s="3">
        <f t="shared" si="77"/>
        <v>6</v>
      </c>
      <c r="E741" s="4">
        <f t="shared" si="78"/>
        <v>24</v>
      </c>
      <c r="F741" s="4">
        <f t="shared" si="79"/>
        <v>21</v>
      </c>
      <c r="G741" s="3">
        <f>IF(E741&gt;=20,2000,1900) + D741</f>
        <v>2006</v>
      </c>
      <c r="H741">
        <f t="shared" si="80"/>
        <v>4</v>
      </c>
      <c r="I741" s="4">
        <f t="shared" si="81"/>
        <v>21</v>
      </c>
      <c r="J741">
        <f t="shared" si="82"/>
        <v>20062421</v>
      </c>
      <c r="K741">
        <f t="shared" si="83"/>
        <v>21</v>
      </c>
    </row>
    <row r="742" spans="1:11" x14ac:dyDescent="0.25">
      <c r="A742" s="4" t="s">
        <v>768</v>
      </c>
      <c r="B742" t="s">
        <v>17</v>
      </c>
      <c r="C742" t="s">
        <v>4</v>
      </c>
      <c r="D742" s="3">
        <f t="shared" si="77"/>
        <v>3</v>
      </c>
      <c r="E742" s="4">
        <f t="shared" si="78"/>
        <v>25</v>
      </c>
      <c r="F742" s="4">
        <f t="shared" si="79"/>
        <v>28</v>
      </c>
      <c r="G742" s="3">
        <f>IF(E742&gt;=20,2000,1900) + D742</f>
        <v>2003</v>
      </c>
      <c r="H742">
        <f t="shared" si="80"/>
        <v>5</v>
      </c>
      <c r="I742" s="4">
        <f t="shared" si="81"/>
        <v>28</v>
      </c>
      <c r="J742">
        <f t="shared" si="82"/>
        <v>20032528</v>
      </c>
      <c r="K742">
        <f t="shared" si="83"/>
        <v>21</v>
      </c>
    </row>
    <row r="743" spans="1:11" x14ac:dyDescent="0.25">
      <c r="A743" s="4" t="s">
        <v>769</v>
      </c>
      <c r="B743" t="s">
        <v>12</v>
      </c>
      <c r="C743" t="s">
        <v>4</v>
      </c>
      <c r="D743" s="3">
        <f t="shared" si="77"/>
        <v>16</v>
      </c>
      <c r="E743" s="4">
        <f t="shared" si="78"/>
        <v>29</v>
      </c>
      <c r="F743" s="4">
        <f t="shared" si="79"/>
        <v>29</v>
      </c>
      <c r="G743" s="3">
        <f>IF(E743&gt;=20,2000,1900) + D743</f>
        <v>2016</v>
      </c>
      <c r="H743">
        <f t="shared" si="80"/>
        <v>9</v>
      </c>
      <c r="I743" s="4">
        <f t="shared" si="81"/>
        <v>29</v>
      </c>
      <c r="J743">
        <f t="shared" si="82"/>
        <v>20162929</v>
      </c>
      <c r="K743">
        <f t="shared" si="83"/>
        <v>21</v>
      </c>
    </row>
    <row r="744" spans="1:11" x14ac:dyDescent="0.25">
      <c r="A744" s="4" t="s">
        <v>770</v>
      </c>
      <c r="B744" t="s">
        <v>16</v>
      </c>
      <c r="C744" t="s">
        <v>6</v>
      </c>
      <c r="D744" s="3">
        <f t="shared" si="77"/>
        <v>0</v>
      </c>
      <c r="E744" s="4">
        <f t="shared" si="78"/>
        <v>27</v>
      </c>
      <c r="F744" s="4">
        <f t="shared" si="79"/>
        <v>27</v>
      </c>
      <c r="G744" s="3">
        <f>IF(E744&gt;=20,2000,1900) + D744</f>
        <v>2000</v>
      </c>
      <c r="H744">
        <f t="shared" si="80"/>
        <v>7</v>
      </c>
      <c r="I744" s="4">
        <f t="shared" si="81"/>
        <v>27</v>
      </c>
      <c r="J744">
        <f t="shared" si="82"/>
        <v>20002727</v>
      </c>
      <c r="K744">
        <f t="shared" si="83"/>
        <v>20</v>
      </c>
    </row>
    <row r="745" spans="1:11" x14ac:dyDescent="0.25">
      <c r="A745" s="4" t="s">
        <v>771</v>
      </c>
      <c r="B745" t="s">
        <v>12</v>
      </c>
      <c r="C745" t="s">
        <v>6</v>
      </c>
      <c r="D745" s="3">
        <f t="shared" si="77"/>
        <v>6</v>
      </c>
      <c r="E745" s="4">
        <f t="shared" si="78"/>
        <v>25</v>
      </c>
      <c r="F745" s="4">
        <f t="shared" si="79"/>
        <v>21</v>
      </c>
      <c r="G745" s="3">
        <f>IF(E745&gt;=20,2000,1900) + D745</f>
        <v>2006</v>
      </c>
      <c r="H745">
        <f t="shared" si="80"/>
        <v>5</v>
      </c>
      <c r="I745" s="4">
        <f t="shared" si="81"/>
        <v>21</v>
      </c>
      <c r="J745">
        <f t="shared" si="82"/>
        <v>20062521</v>
      </c>
      <c r="K745">
        <f t="shared" si="83"/>
        <v>21</v>
      </c>
    </row>
    <row r="746" spans="1:11" x14ac:dyDescent="0.25">
      <c r="A746" s="4" t="s">
        <v>772</v>
      </c>
      <c r="B746" t="s">
        <v>12</v>
      </c>
      <c r="C746" t="s">
        <v>6</v>
      </c>
      <c r="D746" s="3">
        <f t="shared" si="77"/>
        <v>12</v>
      </c>
      <c r="E746" s="4">
        <f t="shared" si="78"/>
        <v>24</v>
      </c>
      <c r="F746" s="4">
        <f t="shared" si="79"/>
        <v>17</v>
      </c>
      <c r="G746" s="3">
        <f>IF(E746&gt;=20,2000,1900) + D746</f>
        <v>2012</v>
      </c>
      <c r="H746">
        <f t="shared" si="80"/>
        <v>4</v>
      </c>
      <c r="I746" s="4">
        <f t="shared" si="81"/>
        <v>17</v>
      </c>
      <c r="J746">
        <f t="shared" si="82"/>
        <v>20122417</v>
      </c>
      <c r="K746">
        <f t="shared" si="83"/>
        <v>21</v>
      </c>
    </row>
    <row r="747" spans="1:11" x14ac:dyDescent="0.25">
      <c r="A747" s="4" t="s">
        <v>773</v>
      </c>
      <c r="B747" t="s">
        <v>19</v>
      </c>
      <c r="C747" t="s">
        <v>6</v>
      </c>
      <c r="D747" s="3">
        <f t="shared" si="77"/>
        <v>17</v>
      </c>
      <c r="E747" s="4">
        <f t="shared" si="78"/>
        <v>25</v>
      </c>
      <c r="F747" s="4">
        <f t="shared" si="79"/>
        <v>1</v>
      </c>
      <c r="G747" s="3">
        <f>IF(E747&gt;=20,2000,1900) + D747</f>
        <v>2017</v>
      </c>
      <c r="H747">
        <f t="shared" si="80"/>
        <v>5</v>
      </c>
      <c r="I747" s="4">
        <f t="shared" si="81"/>
        <v>1</v>
      </c>
      <c r="J747">
        <f t="shared" si="82"/>
        <v>20172501</v>
      </c>
      <c r="K747">
        <f t="shared" si="83"/>
        <v>21</v>
      </c>
    </row>
    <row r="748" spans="1:11" x14ac:dyDescent="0.25">
      <c r="A748" s="4" t="s">
        <v>774</v>
      </c>
      <c r="B748" t="s">
        <v>5</v>
      </c>
      <c r="C748" t="s">
        <v>6</v>
      </c>
      <c r="D748" s="3">
        <f t="shared" si="77"/>
        <v>15</v>
      </c>
      <c r="E748" s="4">
        <f t="shared" si="78"/>
        <v>31</v>
      </c>
      <c r="F748" s="4">
        <f t="shared" si="79"/>
        <v>26</v>
      </c>
      <c r="G748" s="3">
        <f>IF(E748&gt;=20,2000,1900) + D748</f>
        <v>2015</v>
      </c>
      <c r="H748">
        <f t="shared" si="80"/>
        <v>11</v>
      </c>
      <c r="I748" s="4">
        <f t="shared" si="81"/>
        <v>26</v>
      </c>
      <c r="J748">
        <f t="shared" si="82"/>
        <v>20153126</v>
      </c>
      <c r="K748">
        <f t="shared" si="83"/>
        <v>21</v>
      </c>
    </row>
    <row r="749" spans="1:11" x14ac:dyDescent="0.25">
      <c r="A749" s="4" t="s">
        <v>775</v>
      </c>
      <c r="B749" t="s">
        <v>14</v>
      </c>
      <c r="C749" t="s">
        <v>4</v>
      </c>
      <c r="D749" s="3">
        <f t="shared" si="77"/>
        <v>11</v>
      </c>
      <c r="E749" s="4">
        <f t="shared" si="78"/>
        <v>26</v>
      </c>
      <c r="F749" s="4">
        <f t="shared" si="79"/>
        <v>13</v>
      </c>
      <c r="G749" s="3">
        <f>IF(E749&gt;=20,2000,1900) + D749</f>
        <v>2011</v>
      </c>
      <c r="H749">
        <f t="shared" si="80"/>
        <v>6</v>
      </c>
      <c r="I749" s="4">
        <f t="shared" si="81"/>
        <v>13</v>
      </c>
      <c r="J749">
        <f t="shared" si="82"/>
        <v>20112613</v>
      </c>
      <c r="K749">
        <f t="shared" si="83"/>
        <v>21</v>
      </c>
    </row>
    <row r="750" spans="1:11" x14ac:dyDescent="0.25">
      <c r="A750" s="4" t="s">
        <v>776</v>
      </c>
      <c r="B750" t="s">
        <v>13</v>
      </c>
      <c r="C750" t="s">
        <v>4</v>
      </c>
      <c r="D750" s="3">
        <f t="shared" si="77"/>
        <v>11</v>
      </c>
      <c r="E750" s="4">
        <f t="shared" si="78"/>
        <v>27</v>
      </c>
      <c r="F750" s="4">
        <f t="shared" si="79"/>
        <v>8</v>
      </c>
      <c r="G750" s="3">
        <f>IF(E750&gt;=20,2000,1900) + D750</f>
        <v>2011</v>
      </c>
      <c r="H750">
        <f t="shared" si="80"/>
        <v>7</v>
      </c>
      <c r="I750" s="4">
        <f t="shared" si="81"/>
        <v>8</v>
      </c>
      <c r="J750">
        <f t="shared" si="82"/>
        <v>20112708</v>
      </c>
      <c r="K750">
        <f t="shared" si="83"/>
        <v>21</v>
      </c>
    </row>
    <row r="751" spans="1:11" x14ac:dyDescent="0.25">
      <c r="A751" s="4" t="s">
        <v>777</v>
      </c>
      <c r="B751" t="s">
        <v>15</v>
      </c>
      <c r="C751" t="s">
        <v>4</v>
      </c>
      <c r="D751" s="3">
        <f t="shared" si="77"/>
        <v>13</v>
      </c>
      <c r="E751" s="4">
        <f t="shared" si="78"/>
        <v>25</v>
      </c>
      <c r="F751" s="4">
        <f t="shared" si="79"/>
        <v>10</v>
      </c>
      <c r="G751" s="3">
        <f>IF(E751&gt;=20,2000,1900) + D751</f>
        <v>2013</v>
      </c>
      <c r="H751">
        <f t="shared" si="80"/>
        <v>5</v>
      </c>
      <c r="I751" s="4">
        <f t="shared" si="81"/>
        <v>10</v>
      </c>
      <c r="J751">
        <f t="shared" si="82"/>
        <v>20132510</v>
      </c>
      <c r="K751">
        <f t="shared" si="83"/>
        <v>21</v>
      </c>
    </row>
    <row r="752" spans="1:11" x14ac:dyDescent="0.25">
      <c r="A752" s="4" t="s">
        <v>778</v>
      </c>
      <c r="B752" t="s">
        <v>20</v>
      </c>
      <c r="C752" t="s">
        <v>4</v>
      </c>
      <c r="D752" s="3">
        <f t="shared" si="77"/>
        <v>16</v>
      </c>
      <c r="E752" s="4">
        <f t="shared" si="78"/>
        <v>25</v>
      </c>
      <c r="F752" s="4">
        <f t="shared" si="79"/>
        <v>14</v>
      </c>
      <c r="G752" s="3">
        <f>IF(E752&gt;=20,2000,1900) + D752</f>
        <v>2016</v>
      </c>
      <c r="H752">
        <f t="shared" si="80"/>
        <v>5</v>
      </c>
      <c r="I752" s="4">
        <f t="shared" si="81"/>
        <v>14</v>
      </c>
      <c r="J752">
        <f t="shared" si="82"/>
        <v>20162514</v>
      </c>
      <c r="K752">
        <f t="shared" si="83"/>
        <v>21</v>
      </c>
    </row>
    <row r="753" spans="1:11" x14ac:dyDescent="0.25">
      <c r="A753" s="4" t="s">
        <v>779</v>
      </c>
      <c r="B753" t="s">
        <v>12</v>
      </c>
      <c r="C753" t="s">
        <v>6</v>
      </c>
      <c r="D753" s="3">
        <f t="shared" si="77"/>
        <v>21</v>
      </c>
      <c r="E753" s="4">
        <f t="shared" si="78"/>
        <v>27</v>
      </c>
      <c r="F753" s="4">
        <f t="shared" si="79"/>
        <v>2</v>
      </c>
      <c r="G753" s="3">
        <f>IF(E753&gt;=20,2000,1900) + D753</f>
        <v>2021</v>
      </c>
      <c r="H753">
        <f t="shared" si="80"/>
        <v>7</v>
      </c>
      <c r="I753" s="4">
        <f t="shared" si="81"/>
        <v>2</v>
      </c>
      <c r="J753">
        <f t="shared" si="82"/>
        <v>20212702</v>
      </c>
      <c r="K753">
        <f t="shared" si="83"/>
        <v>21</v>
      </c>
    </row>
    <row r="754" spans="1:11" x14ac:dyDescent="0.25">
      <c r="A754" s="4" t="s">
        <v>780</v>
      </c>
      <c r="B754" t="s">
        <v>16</v>
      </c>
      <c r="C754" t="s">
        <v>6</v>
      </c>
      <c r="D754" s="3">
        <f t="shared" si="77"/>
        <v>7</v>
      </c>
      <c r="E754" s="4">
        <f t="shared" si="78"/>
        <v>23</v>
      </c>
      <c r="F754" s="4">
        <f t="shared" si="79"/>
        <v>31</v>
      </c>
      <c r="G754" s="3">
        <f>IF(E754&gt;=20,2000,1900) + D754</f>
        <v>2007</v>
      </c>
      <c r="H754">
        <f t="shared" si="80"/>
        <v>3</v>
      </c>
      <c r="I754" s="4">
        <f t="shared" si="81"/>
        <v>31</v>
      </c>
      <c r="J754">
        <f t="shared" si="82"/>
        <v>20072331</v>
      </c>
      <c r="K754">
        <f t="shared" si="83"/>
        <v>21</v>
      </c>
    </row>
    <row r="755" spans="1:11" x14ac:dyDescent="0.25">
      <c r="A755" s="4" t="s">
        <v>781</v>
      </c>
      <c r="B755" t="s">
        <v>14</v>
      </c>
      <c r="C755" t="s">
        <v>4</v>
      </c>
      <c r="D755" s="3">
        <f t="shared" si="77"/>
        <v>6</v>
      </c>
      <c r="E755" s="4">
        <f t="shared" si="78"/>
        <v>24</v>
      </c>
      <c r="F755" s="4">
        <f t="shared" si="79"/>
        <v>6</v>
      </c>
      <c r="G755" s="3">
        <f>IF(E755&gt;=20,2000,1900) + D755</f>
        <v>2006</v>
      </c>
      <c r="H755">
        <f t="shared" si="80"/>
        <v>4</v>
      </c>
      <c r="I755" s="4">
        <f t="shared" si="81"/>
        <v>6</v>
      </c>
      <c r="J755">
        <f t="shared" si="82"/>
        <v>20062406</v>
      </c>
      <c r="K755">
        <f t="shared" si="83"/>
        <v>21</v>
      </c>
    </row>
    <row r="756" spans="1:11" x14ac:dyDescent="0.25">
      <c r="A756" s="4" t="s">
        <v>782</v>
      </c>
      <c r="B756" t="s">
        <v>8</v>
      </c>
      <c r="C756" t="s">
        <v>4</v>
      </c>
      <c r="D756" s="3">
        <f t="shared" si="77"/>
        <v>8</v>
      </c>
      <c r="E756" s="4">
        <f t="shared" si="78"/>
        <v>23</v>
      </c>
      <c r="F756" s="4">
        <f t="shared" si="79"/>
        <v>7</v>
      </c>
      <c r="G756" s="3">
        <f>IF(E756&gt;=20,2000,1900) + D756</f>
        <v>2008</v>
      </c>
      <c r="H756">
        <f t="shared" si="80"/>
        <v>3</v>
      </c>
      <c r="I756" s="4">
        <f t="shared" si="81"/>
        <v>7</v>
      </c>
      <c r="J756">
        <f t="shared" si="82"/>
        <v>20082307</v>
      </c>
      <c r="K756">
        <f t="shared" si="83"/>
        <v>21</v>
      </c>
    </row>
    <row r="757" spans="1:11" x14ac:dyDescent="0.25">
      <c r="A757" s="4" t="s">
        <v>783</v>
      </c>
      <c r="B757" t="s">
        <v>19</v>
      </c>
      <c r="C757" t="s">
        <v>4</v>
      </c>
      <c r="D757" s="3">
        <f t="shared" si="77"/>
        <v>10</v>
      </c>
      <c r="E757" s="4">
        <f t="shared" si="78"/>
        <v>27</v>
      </c>
      <c r="F757" s="4">
        <f t="shared" si="79"/>
        <v>26</v>
      </c>
      <c r="G757" s="3">
        <f>IF(E757&gt;=20,2000,1900) + D757</f>
        <v>2010</v>
      </c>
      <c r="H757">
        <f t="shared" si="80"/>
        <v>7</v>
      </c>
      <c r="I757" s="4">
        <f t="shared" si="81"/>
        <v>26</v>
      </c>
      <c r="J757">
        <f t="shared" si="82"/>
        <v>20102726</v>
      </c>
      <c r="K757">
        <f t="shared" si="83"/>
        <v>21</v>
      </c>
    </row>
    <row r="758" spans="1:11" x14ac:dyDescent="0.25">
      <c r="A758" s="4" t="s">
        <v>784</v>
      </c>
      <c r="B758" t="s">
        <v>18</v>
      </c>
      <c r="C758" t="s">
        <v>4</v>
      </c>
      <c r="D758" s="3">
        <f t="shared" si="77"/>
        <v>2</v>
      </c>
      <c r="E758" s="4">
        <f t="shared" si="78"/>
        <v>22</v>
      </c>
      <c r="F758" s="4">
        <f t="shared" si="79"/>
        <v>26</v>
      </c>
      <c r="G758" s="3">
        <f>IF(E758&gt;=20,2000,1900) + D758</f>
        <v>2002</v>
      </c>
      <c r="H758">
        <f t="shared" si="80"/>
        <v>2</v>
      </c>
      <c r="I758" s="4">
        <f t="shared" si="81"/>
        <v>26</v>
      </c>
      <c r="J758">
        <f t="shared" si="82"/>
        <v>20022226</v>
      </c>
      <c r="K758">
        <f t="shared" si="83"/>
        <v>21</v>
      </c>
    </row>
    <row r="759" spans="1:11" x14ac:dyDescent="0.25">
      <c r="A759" s="4" t="s">
        <v>785</v>
      </c>
      <c r="B759" t="s">
        <v>8</v>
      </c>
      <c r="C759" t="s">
        <v>4</v>
      </c>
      <c r="D759" s="3">
        <f t="shared" si="77"/>
        <v>2</v>
      </c>
      <c r="E759" s="4">
        <f t="shared" si="78"/>
        <v>30</v>
      </c>
      <c r="F759" s="4">
        <f t="shared" si="79"/>
        <v>2</v>
      </c>
      <c r="G759" s="3">
        <f>IF(E759&gt;=20,2000,1900) + D759</f>
        <v>2002</v>
      </c>
      <c r="H759">
        <f t="shared" si="80"/>
        <v>10</v>
      </c>
      <c r="I759" s="4">
        <f t="shared" si="81"/>
        <v>2</v>
      </c>
      <c r="J759">
        <f t="shared" si="82"/>
        <v>20023002</v>
      </c>
      <c r="K759">
        <f t="shared" si="83"/>
        <v>21</v>
      </c>
    </row>
    <row r="760" spans="1:11" x14ac:dyDescent="0.25">
      <c r="A760" s="4" t="s">
        <v>786</v>
      </c>
      <c r="B760" t="s">
        <v>5</v>
      </c>
      <c r="C760" t="s">
        <v>4</v>
      </c>
      <c r="D760" s="3">
        <f t="shared" si="77"/>
        <v>2</v>
      </c>
      <c r="E760" s="4">
        <f t="shared" si="78"/>
        <v>32</v>
      </c>
      <c r="F760" s="4">
        <f t="shared" si="79"/>
        <v>1</v>
      </c>
      <c r="G760" s="3">
        <f>IF(E760&gt;=20,2000,1900) + D760</f>
        <v>2002</v>
      </c>
      <c r="H760">
        <f t="shared" si="80"/>
        <v>12</v>
      </c>
      <c r="I760" s="4">
        <f t="shared" si="81"/>
        <v>1</v>
      </c>
      <c r="J760">
        <f t="shared" si="82"/>
        <v>20023201</v>
      </c>
      <c r="K760">
        <f t="shared" si="83"/>
        <v>21</v>
      </c>
    </row>
    <row r="761" spans="1:11" x14ac:dyDescent="0.25">
      <c r="A761" s="4" t="s">
        <v>787</v>
      </c>
      <c r="B761" t="s">
        <v>17</v>
      </c>
      <c r="C761" t="s">
        <v>4</v>
      </c>
      <c r="D761" s="3">
        <f t="shared" si="77"/>
        <v>10</v>
      </c>
      <c r="E761" s="4">
        <f t="shared" si="78"/>
        <v>23</v>
      </c>
      <c r="F761" s="4">
        <f t="shared" si="79"/>
        <v>13</v>
      </c>
      <c r="G761" s="3">
        <f>IF(E761&gt;=20,2000,1900) + D761</f>
        <v>2010</v>
      </c>
      <c r="H761">
        <f t="shared" si="80"/>
        <v>3</v>
      </c>
      <c r="I761" s="4">
        <f t="shared" si="81"/>
        <v>13</v>
      </c>
      <c r="J761">
        <f t="shared" si="82"/>
        <v>20102313</v>
      </c>
      <c r="K761">
        <f t="shared" si="83"/>
        <v>21</v>
      </c>
    </row>
    <row r="762" spans="1:11" x14ac:dyDescent="0.25">
      <c r="A762" s="4" t="s">
        <v>788</v>
      </c>
      <c r="B762" t="s">
        <v>5</v>
      </c>
      <c r="C762" t="s">
        <v>6</v>
      </c>
      <c r="D762" s="3">
        <f t="shared" si="77"/>
        <v>1</v>
      </c>
      <c r="E762" s="4">
        <f t="shared" si="78"/>
        <v>21</v>
      </c>
      <c r="F762" s="4">
        <f t="shared" si="79"/>
        <v>16</v>
      </c>
      <c r="G762" s="3">
        <f>IF(E762&gt;=20,2000,1900) + D762</f>
        <v>2001</v>
      </c>
      <c r="H762">
        <f t="shared" si="80"/>
        <v>1</v>
      </c>
      <c r="I762" s="4">
        <f t="shared" si="81"/>
        <v>16</v>
      </c>
      <c r="J762">
        <f t="shared" si="82"/>
        <v>20012116</v>
      </c>
      <c r="K762">
        <f t="shared" si="83"/>
        <v>21</v>
      </c>
    </row>
    <row r="763" spans="1:11" x14ac:dyDescent="0.25">
      <c r="A763" s="4" t="s">
        <v>789</v>
      </c>
      <c r="B763" t="s">
        <v>3</v>
      </c>
      <c r="C763" t="s">
        <v>4</v>
      </c>
      <c r="D763" s="3">
        <f t="shared" si="77"/>
        <v>19</v>
      </c>
      <c r="E763" s="4">
        <f t="shared" si="78"/>
        <v>22</v>
      </c>
      <c r="F763" s="4">
        <f t="shared" si="79"/>
        <v>19</v>
      </c>
      <c r="G763" s="3">
        <f>IF(E763&gt;=20,2000,1900) + D763</f>
        <v>2019</v>
      </c>
      <c r="H763">
        <f t="shared" si="80"/>
        <v>2</v>
      </c>
      <c r="I763" s="4">
        <f t="shared" si="81"/>
        <v>19</v>
      </c>
      <c r="J763">
        <f t="shared" si="82"/>
        <v>20192219</v>
      </c>
      <c r="K763">
        <f t="shared" si="83"/>
        <v>21</v>
      </c>
    </row>
    <row r="764" spans="1:11" x14ac:dyDescent="0.25">
      <c r="A764" s="4" t="s">
        <v>790</v>
      </c>
      <c r="B764" t="s">
        <v>16</v>
      </c>
      <c r="C764" t="s">
        <v>4</v>
      </c>
      <c r="D764" s="3">
        <f t="shared" si="77"/>
        <v>21</v>
      </c>
      <c r="E764" s="4">
        <f t="shared" si="78"/>
        <v>24</v>
      </c>
      <c r="F764" s="4">
        <f t="shared" si="79"/>
        <v>21</v>
      </c>
      <c r="G764" s="3">
        <f>IF(E764&gt;=20,2000,1900) + D764</f>
        <v>2021</v>
      </c>
      <c r="H764">
        <f t="shared" si="80"/>
        <v>4</v>
      </c>
      <c r="I764" s="4">
        <f t="shared" si="81"/>
        <v>21</v>
      </c>
      <c r="J764">
        <f t="shared" si="82"/>
        <v>20212421</v>
      </c>
      <c r="K764">
        <f t="shared" si="83"/>
        <v>21</v>
      </c>
    </row>
    <row r="765" spans="1:11" x14ac:dyDescent="0.25">
      <c r="A765" s="4" t="s">
        <v>791</v>
      </c>
      <c r="B765" t="s">
        <v>12</v>
      </c>
      <c r="C765" t="s">
        <v>4</v>
      </c>
      <c r="D765" s="3">
        <f t="shared" si="77"/>
        <v>21</v>
      </c>
      <c r="E765" s="4">
        <f t="shared" si="78"/>
        <v>22</v>
      </c>
      <c r="F765" s="4">
        <f t="shared" si="79"/>
        <v>3</v>
      </c>
      <c r="G765" s="3">
        <f>IF(E765&gt;=20,2000,1900) + D765</f>
        <v>2021</v>
      </c>
      <c r="H765">
        <f t="shared" si="80"/>
        <v>2</v>
      </c>
      <c r="I765" s="4">
        <f t="shared" si="81"/>
        <v>3</v>
      </c>
      <c r="J765">
        <f t="shared" si="82"/>
        <v>20212203</v>
      </c>
      <c r="K765">
        <f t="shared" si="83"/>
        <v>21</v>
      </c>
    </row>
    <row r="766" spans="1:11" x14ac:dyDescent="0.25">
      <c r="A766" s="4" t="s">
        <v>792</v>
      </c>
      <c r="B766" t="s">
        <v>7</v>
      </c>
      <c r="C766" t="s">
        <v>4</v>
      </c>
      <c r="D766" s="3">
        <f t="shared" si="77"/>
        <v>2</v>
      </c>
      <c r="E766" s="4">
        <f t="shared" si="78"/>
        <v>30</v>
      </c>
      <c r="F766" s="4">
        <f t="shared" si="79"/>
        <v>13</v>
      </c>
      <c r="G766" s="3">
        <f>IF(E766&gt;=20,2000,1900) + D766</f>
        <v>2002</v>
      </c>
      <c r="H766">
        <f t="shared" si="80"/>
        <v>10</v>
      </c>
      <c r="I766" s="4">
        <f t="shared" si="81"/>
        <v>13</v>
      </c>
      <c r="J766">
        <f t="shared" si="82"/>
        <v>20023013</v>
      </c>
      <c r="K766">
        <f t="shared" si="83"/>
        <v>21</v>
      </c>
    </row>
    <row r="767" spans="1:11" x14ac:dyDescent="0.25">
      <c r="A767" s="4" t="s">
        <v>793</v>
      </c>
      <c r="B767" t="s">
        <v>16</v>
      </c>
      <c r="C767" t="s">
        <v>4</v>
      </c>
      <c r="D767" s="3">
        <f t="shared" si="77"/>
        <v>0</v>
      </c>
      <c r="E767" s="4">
        <f t="shared" si="78"/>
        <v>32</v>
      </c>
      <c r="F767" s="4">
        <f t="shared" si="79"/>
        <v>25</v>
      </c>
      <c r="G767" s="3">
        <f>IF(E767&gt;=20,2000,1900) + D767</f>
        <v>2000</v>
      </c>
      <c r="H767">
        <f t="shared" si="80"/>
        <v>12</v>
      </c>
      <c r="I767" s="4">
        <f t="shared" si="81"/>
        <v>25</v>
      </c>
      <c r="J767">
        <f t="shared" si="82"/>
        <v>20003225</v>
      </c>
      <c r="K767">
        <f t="shared" si="83"/>
        <v>20</v>
      </c>
    </row>
    <row r="768" spans="1:11" x14ac:dyDescent="0.25">
      <c r="A768" s="4" t="s">
        <v>794</v>
      </c>
      <c r="B768" t="s">
        <v>15</v>
      </c>
      <c r="C768" t="s">
        <v>4</v>
      </c>
      <c r="D768" s="3">
        <f t="shared" si="77"/>
        <v>13</v>
      </c>
      <c r="E768" s="4">
        <f t="shared" si="78"/>
        <v>28</v>
      </c>
      <c r="F768" s="4">
        <f t="shared" si="79"/>
        <v>11</v>
      </c>
      <c r="G768" s="3">
        <f>IF(E768&gt;=20,2000,1900) + D768</f>
        <v>2013</v>
      </c>
      <c r="H768">
        <f t="shared" si="80"/>
        <v>8</v>
      </c>
      <c r="I768" s="4">
        <f t="shared" si="81"/>
        <v>11</v>
      </c>
      <c r="J768">
        <f t="shared" si="82"/>
        <v>20132811</v>
      </c>
      <c r="K768">
        <f t="shared" si="83"/>
        <v>21</v>
      </c>
    </row>
    <row r="769" spans="1:11" x14ac:dyDescent="0.25">
      <c r="A769" s="4" t="s">
        <v>795</v>
      </c>
      <c r="B769" t="s">
        <v>14</v>
      </c>
      <c r="C769" t="s">
        <v>4</v>
      </c>
      <c r="D769" s="3">
        <f t="shared" si="77"/>
        <v>8</v>
      </c>
      <c r="E769" s="4">
        <f t="shared" si="78"/>
        <v>29</v>
      </c>
      <c r="F769" s="4">
        <f t="shared" si="79"/>
        <v>11</v>
      </c>
      <c r="G769" s="3">
        <f>IF(E769&gt;=20,2000,1900) + D769</f>
        <v>2008</v>
      </c>
      <c r="H769">
        <f t="shared" si="80"/>
        <v>9</v>
      </c>
      <c r="I769" s="4">
        <f t="shared" si="81"/>
        <v>11</v>
      </c>
      <c r="J769">
        <f t="shared" si="82"/>
        <v>20082911</v>
      </c>
      <c r="K769">
        <f t="shared" si="83"/>
        <v>21</v>
      </c>
    </row>
    <row r="770" spans="1:11" x14ac:dyDescent="0.25">
      <c r="A770" s="4" t="s">
        <v>796</v>
      </c>
      <c r="B770" t="s">
        <v>10</v>
      </c>
      <c r="C770" t="s">
        <v>6</v>
      </c>
      <c r="D770" s="3">
        <f t="shared" si="77"/>
        <v>9</v>
      </c>
      <c r="E770" s="4">
        <f t="shared" si="78"/>
        <v>21</v>
      </c>
      <c r="F770" s="4">
        <f t="shared" si="79"/>
        <v>10</v>
      </c>
      <c r="G770" s="3">
        <f>IF(E770&gt;=20,2000,1900) + D770</f>
        <v>2009</v>
      </c>
      <c r="H770">
        <f t="shared" si="80"/>
        <v>1</v>
      </c>
      <c r="I770" s="4">
        <f t="shared" si="81"/>
        <v>10</v>
      </c>
      <c r="J770">
        <f t="shared" si="82"/>
        <v>20092110</v>
      </c>
      <c r="K770">
        <f t="shared" si="83"/>
        <v>21</v>
      </c>
    </row>
    <row r="771" spans="1:11" x14ac:dyDescent="0.25">
      <c r="A771" s="4" t="s">
        <v>797</v>
      </c>
      <c r="B771" t="s">
        <v>13</v>
      </c>
      <c r="C771" t="s">
        <v>4</v>
      </c>
      <c r="D771" s="3">
        <f t="shared" ref="D771:D834" si="84">MID(A771,1,2)*1</f>
        <v>4</v>
      </c>
      <c r="E771" s="4">
        <f t="shared" ref="E771:E834" si="85">MID(A771,3,2)*1</f>
        <v>32</v>
      </c>
      <c r="F771" s="4">
        <f t="shared" ref="F771:F834" si="86">MID(A771,5,2)*1</f>
        <v>26</v>
      </c>
      <c r="G771" s="3">
        <f>IF(E771&gt;=20,2000,1900) + D771</f>
        <v>2004</v>
      </c>
      <c r="H771">
        <f t="shared" ref="H771:H834" si="87">IF(E771&gt;=20,E771-20,E771)</f>
        <v>12</v>
      </c>
      <c r="I771" s="4">
        <f t="shared" ref="I771:I834" si="88">F771</f>
        <v>26</v>
      </c>
      <c r="J771">
        <f t="shared" ref="J771:J834" si="89">CONCATENATE(G771,IF(LEN(E771)=1,CONCATENATE("0",E771),E771),IF(LEN(F771)=1,CONCATENATE("0",F771),F771))*1</f>
        <v>20043226</v>
      </c>
      <c r="K771">
        <f t="shared" ref="K771:K834" si="90">IF(G771&lt;=2000,20,21)</f>
        <v>21</v>
      </c>
    </row>
    <row r="772" spans="1:11" x14ac:dyDescent="0.25">
      <c r="A772" s="4" t="s">
        <v>798</v>
      </c>
      <c r="B772" t="s">
        <v>7</v>
      </c>
      <c r="C772" t="s">
        <v>4</v>
      </c>
      <c r="D772" s="3">
        <f t="shared" si="84"/>
        <v>21</v>
      </c>
      <c r="E772" s="4">
        <f t="shared" si="85"/>
        <v>29</v>
      </c>
      <c r="F772" s="4">
        <f t="shared" si="86"/>
        <v>19</v>
      </c>
      <c r="G772" s="3">
        <f>IF(E772&gt;=20,2000,1900) + D772</f>
        <v>2021</v>
      </c>
      <c r="H772">
        <f t="shared" si="87"/>
        <v>9</v>
      </c>
      <c r="I772" s="4">
        <f t="shared" si="88"/>
        <v>19</v>
      </c>
      <c r="J772">
        <f t="shared" si="89"/>
        <v>20212919</v>
      </c>
      <c r="K772">
        <f t="shared" si="90"/>
        <v>21</v>
      </c>
    </row>
    <row r="773" spans="1:11" x14ac:dyDescent="0.25">
      <c r="A773" s="4" t="s">
        <v>799</v>
      </c>
      <c r="B773" t="s">
        <v>3</v>
      </c>
      <c r="C773" t="s">
        <v>6</v>
      </c>
      <c r="D773" s="3">
        <f t="shared" si="84"/>
        <v>12</v>
      </c>
      <c r="E773" s="4">
        <f t="shared" si="85"/>
        <v>27</v>
      </c>
      <c r="F773" s="4">
        <f t="shared" si="86"/>
        <v>22</v>
      </c>
      <c r="G773" s="3">
        <f>IF(E773&gt;=20,2000,1900) + D773</f>
        <v>2012</v>
      </c>
      <c r="H773">
        <f t="shared" si="87"/>
        <v>7</v>
      </c>
      <c r="I773" s="4">
        <f t="shared" si="88"/>
        <v>22</v>
      </c>
      <c r="J773">
        <f t="shared" si="89"/>
        <v>20122722</v>
      </c>
      <c r="K773">
        <f t="shared" si="90"/>
        <v>21</v>
      </c>
    </row>
    <row r="774" spans="1:11" x14ac:dyDescent="0.25">
      <c r="A774" s="4" t="s">
        <v>800</v>
      </c>
      <c r="B774" t="s">
        <v>7</v>
      </c>
      <c r="C774" t="s">
        <v>4</v>
      </c>
      <c r="D774" s="3">
        <f t="shared" si="84"/>
        <v>10</v>
      </c>
      <c r="E774" s="4">
        <f t="shared" si="85"/>
        <v>27</v>
      </c>
      <c r="F774" s="4">
        <f t="shared" si="86"/>
        <v>10</v>
      </c>
      <c r="G774" s="3">
        <f>IF(E774&gt;=20,2000,1900) + D774</f>
        <v>2010</v>
      </c>
      <c r="H774">
        <f t="shared" si="87"/>
        <v>7</v>
      </c>
      <c r="I774" s="4">
        <f t="shared" si="88"/>
        <v>10</v>
      </c>
      <c r="J774">
        <f t="shared" si="89"/>
        <v>20102710</v>
      </c>
      <c r="K774">
        <f t="shared" si="90"/>
        <v>21</v>
      </c>
    </row>
    <row r="775" spans="1:11" x14ac:dyDescent="0.25">
      <c r="A775" s="4" t="s">
        <v>801</v>
      </c>
      <c r="B775" t="s">
        <v>9</v>
      </c>
      <c r="C775" t="s">
        <v>4</v>
      </c>
      <c r="D775" s="3">
        <f t="shared" si="84"/>
        <v>13</v>
      </c>
      <c r="E775" s="4">
        <f t="shared" si="85"/>
        <v>28</v>
      </c>
      <c r="F775" s="4">
        <f t="shared" si="86"/>
        <v>17</v>
      </c>
      <c r="G775" s="3">
        <f>IF(E775&gt;=20,2000,1900) + D775</f>
        <v>2013</v>
      </c>
      <c r="H775">
        <f t="shared" si="87"/>
        <v>8</v>
      </c>
      <c r="I775" s="4">
        <f t="shared" si="88"/>
        <v>17</v>
      </c>
      <c r="J775">
        <f t="shared" si="89"/>
        <v>20132817</v>
      </c>
      <c r="K775">
        <f t="shared" si="90"/>
        <v>21</v>
      </c>
    </row>
    <row r="776" spans="1:11" x14ac:dyDescent="0.25">
      <c r="A776" s="4" t="s">
        <v>802</v>
      </c>
      <c r="B776" t="s">
        <v>12</v>
      </c>
      <c r="C776" t="s">
        <v>6</v>
      </c>
      <c r="D776" s="3">
        <f t="shared" si="84"/>
        <v>8</v>
      </c>
      <c r="E776" s="4">
        <f t="shared" si="85"/>
        <v>32</v>
      </c>
      <c r="F776" s="4">
        <f t="shared" si="86"/>
        <v>14</v>
      </c>
      <c r="G776" s="3">
        <f>IF(E776&gt;=20,2000,1900) + D776</f>
        <v>2008</v>
      </c>
      <c r="H776">
        <f t="shared" si="87"/>
        <v>12</v>
      </c>
      <c r="I776" s="4">
        <f t="shared" si="88"/>
        <v>14</v>
      </c>
      <c r="J776">
        <f t="shared" si="89"/>
        <v>20083214</v>
      </c>
      <c r="K776">
        <f t="shared" si="90"/>
        <v>21</v>
      </c>
    </row>
    <row r="777" spans="1:11" x14ac:dyDescent="0.25">
      <c r="A777" s="4" t="s">
        <v>803</v>
      </c>
      <c r="B777" t="s">
        <v>12</v>
      </c>
      <c r="C777" t="s">
        <v>4</v>
      </c>
      <c r="D777" s="3">
        <f t="shared" si="84"/>
        <v>3</v>
      </c>
      <c r="E777" s="4">
        <f t="shared" si="85"/>
        <v>24</v>
      </c>
      <c r="F777" s="4">
        <f t="shared" si="86"/>
        <v>11</v>
      </c>
      <c r="G777" s="3">
        <f>IF(E777&gt;=20,2000,1900) + D777</f>
        <v>2003</v>
      </c>
      <c r="H777">
        <f t="shared" si="87"/>
        <v>4</v>
      </c>
      <c r="I777" s="4">
        <f t="shared" si="88"/>
        <v>11</v>
      </c>
      <c r="J777">
        <f t="shared" si="89"/>
        <v>20032411</v>
      </c>
      <c r="K777">
        <f t="shared" si="90"/>
        <v>21</v>
      </c>
    </row>
    <row r="778" spans="1:11" x14ac:dyDescent="0.25">
      <c r="A778" s="4" t="s">
        <v>804</v>
      </c>
      <c r="B778" t="s">
        <v>11</v>
      </c>
      <c r="C778" t="s">
        <v>4</v>
      </c>
      <c r="D778" s="3">
        <f t="shared" si="84"/>
        <v>6</v>
      </c>
      <c r="E778" s="4">
        <f t="shared" si="85"/>
        <v>26</v>
      </c>
      <c r="F778" s="4">
        <f t="shared" si="86"/>
        <v>18</v>
      </c>
      <c r="G778" s="3">
        <f>IF(E778&gt;=20,2000,1900) + D778</f>
        <v>2006</v>
      </c>
      <c r="H778">
        <f t="shared" si="87"/>
        <v>6</v>
      </c>
      <c r="I778" s="4">
        <f t="shared" si="88"/>
        <v>18</v>
      </c>
      <c r="J778">
        <f t="shared" si="89"/>
        <v>20062618</v>
      </c>
      <c r="K778">
        <f t="shared" si="90"/>
        <v>21</v>
      </c>
    </row>
    <row r="779" spans="1:11" x14ac:dyDescent="0.25">
      <c r="A779" s="4" t="s">
        <v>805</v>
      </c>
      <c r="B779" t="s">
        <v>8</v>
      </c>
      <c r="C779" t="s">
        <v>4</v>
      </c>
      <c r="D779" s="3">
        <f t="shared" si="84"/>
        <v>1</v>
      </c>
      <c r="E779" s="4">
        <f t="shared" si="85"/>
        <v>32</v>
      </c>
      <c r="F779" s="4">
        <f t="shared" si="86"/>
        <v>26</v>
      </c>
      <c r="G779" s="3">
        <f>IF(E779&gt;=20,2000,1900) + D779</f>
        <v>2001</v>
      </c>
      <c r="H779">
        <f t="shared" si="87"/>
        <v>12</v>
      </c>
      <c r="I779" s="4">
        <f t="shared" si="88"/>
        <v>26</v>
      </c>
      <c r="J779">
        <f t="shared" si="89"/>
        <v>20013226</v>
      </c>
      <c r="K779">
        <f t="shared" si="90"/>
        <v>21</v>
      </c>
    </row>
    <row r="780" spans="1:11" x14ac:dyDescent="0.25">
      <c r="A780" s="4" t="s">
        <v>806</v>
      </c>
      <c r="B780" t="s">
        <v>5</v>
      </c>
      <c r="C780" t="s">
        <v>6</v>
      </c>
      <c r="D780" s="3">
        <f t="shared" si="84"/>
        <v>2</v>
      </c>
      <c r="E780" s="4">
        <f t="shared" si="85"/>
        <v>21</v>
      </c>
      <c r="F780" s="4">
        <f t="shared" si="86"/>
        <v>22</v>
      </c>
      <c r="G780" s="3">
        <f>IF(E780&gt;=20,2000,1900) + D780</f>
        <v>2002</v>
      </c>
      <c r="H780">
        <f t="shared" si="87"/>
        <v>1</v>
      </c>
      <c r="I780" s="4">
        <f t="shared" si="88"/>
        <v>22</v>
      </c>
      <c r="J780">
        <f t="shared" si="89"/>
        <v>20022122</v>
      </c>
      <c r="K780">
        <f t="shared" si="90"/>
        <v>21</v>
      </c>
    </row>
    <row r="781" spans="1:11" x14ac:dyDescent="0.25">
      <c r="A781" s="4" t="s">
        <v>807</v>
      </c>
      <c r="B781" t="s">
        <v>10</v>
      </c>
      <c r="C781" t="s">
        <v>4</v>
      </c>
      <c r="D781" s="3">
        <f t="shared" si="84"/>
        <v>16</v>
      </c>
      <c r="E781" s="4">
        <f t="shared" si="85"/>
        <v>24</v>
      </c>
      <c r="F781" s="4">
        <f t="shared" si="86"/>
        <v>5</v>
      </c>
      <c r="G781" s="3">
        <f>IF(E781&gt;=20,2000,1900) + D781</f>
        <v>2016</v>
      </c>
      <c r="H781">
        <f t="shared" si="87"/>
        <v>4</v>
      </c>
      <c r="I781" s="4">
        <f t="shared" si="88"/>
        <v>5</v>
      </c>
      <c r="J781">
        <f t="shared" si="89"/>
        <v>20162405</v>
      </c>
      <c r="K781">
        <f t="shared" si="90"/>
        <v>21</v>
      </c>
    </row>
    <row r="782" spans="1:11" x14ac:dyDescent="0.25">
      <c r="A782" s="4" t="s">
        <v>808</v>
      </c>
      <c r="B782" t="s">
        <v>16</v>
      </c>
      <c r="C782" t="s">
        <v>6</v>
      </c>
      <c r="D782" s="3">
        <f t="shared" si="84"/>
        <v>3</v>
      </c>
      <c r="E782" s="4">
        <f t="shared" si="85"/>
        <v>26</v>
      </c>
      <c r="F782" s="4">
        <f t="shared" si="86"/>
        <v>3</v>
      </c>
      <c r="G782" s="3">
        <f>IF(E782&gt;=20,2000,1900) + D782</f>
        <v>2003</v>
      </c>
      <c r="H782">
        <f t="shared" si="87"/>
        <v>6</v>
      </c>
      <c r="I782" s="4">
        <f t="shared" si="88"/>
        <v>3</v>
      </c>
      <c r="J782">
        <f t="shared" si="89"/>
        <v>20032603</v>
      </c>
      <c r="K782">
        <f t="shared" si="90"/>
        <v>21</v>
      </c>
    </row>
    <row r="783" spans="1:11" x14ac:dyDescent="0.25">
      <c r="A783" s="4" t="s">
        <v>809</v>
      </c>
      <c r="B783" t="s">
        <v>5</v>
      </c>
      <c r="C783" t="s">
        <v>4</v>
      </c>
      <c r="D783" s="3">
        <f t="shared" si="84"/>
        <v>1</v>
      </c>
      <c r="E783" s="4">
        <f t="shared" si="85"/>
        <v>22</v>
      </c>
      <c r="F783" s="4">
        <f t="shared" si="86"/>
        <v>2</v>
      </c>
      <c r="G783" s="3">
        <f>IF(E783&gt;=20,2000,1900) + D783</f>
        <v>2001</v>
      </c>
      <c r="H783">
        <f t="shared" si="87"/>
        <v>2</v>
      </c>
      <c r="I783" s="4">
        <f t="shared" si="88"/>
        <v>2</v>
      </c>
      <c r="J783">
        <f t="shared" si="89"/>
        <v>20012202</v>
      </c>
      <c r="K783">
        <f t="shared" si="90"/>
        <v>21</v>
      </c>
    </row>
    <row r="784" spans="1:11" x14ac:dyDescent="0.25">
      <c r="A784" s="4" t="s">
        <v>810</v>
      </c>
      <c r="B784" t="s">
        <v>8</v>
      </c>
      <c r="C784" t="s">
        <v>6</v>
      </c>
      <c r="D784" s="3">
        <f t="shared" si="84"/>
        <v>6</v>
      </c>
      <c r="E784" s="4">
        <f t="shared" si="85"/>
        <v>21</v>
      </c>
      <c r="F784" s="4">
        <f t="shared" si="86"/>
        <v>8</v>
      </c>
      <c r="G784" s="3">
        <f>IF(E784&gt;=20,2000,1900) + D784</f>
        <v>2006</v>
      </c>
      <c r="H784">
        <f t="shared" si="87"/>
        <v>1</v>
      </c>
      <c r="I784" s="4">
        <f t="shared" si="88"/>
        <v>8</v>
      </c>
      <c r="J784">
        <f t="shared" si="89"/>
        <v>20062108</v>
      </c>
      <c r="K784">
        <f t="shared" si="90"/>
        <v>21</v>
      </c>
    </row>
    <row r="785" spans="1:11" x14ac:dyDescent="0.25">
      <c r="A785" s="4" t="s">
        <v>811</v>
      </c>
      <c r="B785" t="s">
        <v>10</v>
      </c>
      <c r="C785" t="s">
        <v>6</v>
      </c>
      <c r="D785" s="3">
        <f t="shared" si="84"/>
        <v>11</v>
      </c>
      <c r="E785" s="4">
        <f t="shared" si="85"/>
        <v>32</v>
      </c>
      <c r="F785" s="4">
        <f t="shared" si="86"/>
        <v>17</v>
      </c>
      <c r="G785" s="3">
        <f>IF(E785&gt;=20,2000,1900) + D785</f>
        <v>2011</v>
      </c>
      <c r="H785">
        <f t="shared" si="87"/>
        <v>12</v>
      </c>
      <c r="I785" s="4">
        <f t="shared" si="88"/>
        <v>17</v>
      </c>
      <c r="J785">
        <f t="shared" si="89"/>
        <v>20113217</v>
      </c>
      <c r="K785">
        <f t="shared" si="90"/>
        <v>21</v>
      </c>
    </row>
    <row r="786" spans="1:11" x14ac:dyDescent="0.25">
      <c r="A786" s="4" t="s">
        <v>812</v>
      </c>
      <c r="B786" t="s">
        <v>5</v>
      </c>
      <c r="C786" t="s">
        <v>4</v>
      </c>
      <c r="D786" s="3">
        <f t="shared" si="84"/>
        <v>8</v>
      </c>
      <c r="E786" s="4">
        <f t="shared" si="85"/>
        <v>29</v>
      </c>
      <c r="F786" s="4">
        <f t="shared" si="86"/>
        <v>15</v>
      </c>
      <c r="G786" s="3">
        <f>IF(E786&gt;=20,2000,1900) + D786</f>
        <v>2008</v>
      </c>
      <c r="H786">
        <f t="shared" si="87"/>
        <v>9</v>
      </c>
      <c r="I786" s="4">
        <f t="shared" si="88"/>
        <v>15</v>
      </c>
      <c r="J786">
        <f t="shared" si="89"/>
        <v>20082915</v>
      </c>
      <c r="K786">
        <f t="shared" si="90"/>
        <v>21</v>
      </c>
    </row>
    <row r="787" spans="1:11" x14ac:dyDescent="0.25">
      <c r="A787" s="4" t="s">
        <v>813</v>
      </c>
      <c r="B787" t="s">
        <v>15</v>
      </c>
      <c r="C787" t="s">
        <v>4</v>
      </c>
      <c r="D787" s="3">
        <f t="shared" si="84"/>
        <v>17</v>
      </c>
      <c r="E787" s="4">
        <f t="shared" si="85"/>
        <v>31</v>
      </c>
      <c r="F787" s="4">
        <f t="shared" si="86"/>
        <v>11</v>
      </c>
      <c r="G787" s="3">
        <f>IF(E787&gt;=20,2000,1900) + D787</f>
        <v>2017</v>
      </c>
      <c r="H787">
        <f t="shared" si="87"/>
        <v>11</v>
      </c>
      <c r="I787" s="4">
        <f t="shared" si="88"/>
        <v>11</v>
      </c>
      <c r="J787">
        <f t="shared" si="89"/>
        <v>20173111</v>
      </c>
      <c r="K787">
        <f t="shared" si="90"/>
        <v>21</v>
      </c>
    </row>
    <row r="788" spans="1:11" x14ac:dyDescent="0.25">
      <c r="A788" s="4" t="s">
        <v>814</v>
      </c>
      <c r="B788" t="s">
        <v>13</v>
      </c>
      <c r="C788" t="s">
        <v>6</v>
      </c>
      <c r="D788" s="3">
        <f t="shared" si="84"/>
        <v>4</v>
      </c>
      <c r="E788" s="4">
        <f t="shared" si="85"/>
        <v>22</v>
      </c>
      <c r="F788" s="4">
        <f t="shared" si="86"/>
        <v>1</v>
      </c>
      <c r="G788" s="3">
        <f>IF(E788&gt;=20,2000,1900) + D788</f>
        <v>2004</v>
      </c>
      <c r="H788">
        <f t="shared" si="87"/>
        <v>2</v>
      </c>
      <c r="I788" s="4">
        <f t="shared" si="88"/>
        <v>1</v>
      </c>
      <c r="J788">
        <f t="shared" si="89"/>
        <v>20042201</v>
      </c>
      <c r="K788">
        <f t="shared" si="90"/>
        <v>21</v>
      </c>
    </row>
    <row r="789" spans="1:11" x14ac:dyDescent="0.25">
      <c r="A789" s="4" t="s">
        <v>815</v>
      </c>
      <c r="B789" t="s">
        <v>8</v>
      </c>
      <c r="C789" t="s">
        <v>4</v>
      </c>
      <c r="D789" s="3">
        <f t="shared" si="84"/>
        <v>22</v>
      </c>
      <c r="E789" s="4">
        <f t="shared" si="85"/>
        <v>24</v>
      </c>
      <c r="F789" s="4">
        <f t="shared" si="86"/>
        <v>10</v>
      </c>
      <c r="G789" s="3">
        <f>IF(E789&gt;=20,2000,1900) + D789</f>
        <v>2022</v>
      </c>
      <c r="H789">
        <f t="shared" si="87"/>
        <v>4</v>
      </c>
      <c r="I789" s="4">
        <f t="shared" si="88"/>
        <v>10</v>
      </c>
      <c r="J789">
        <f t="shared" si="89"/>
        <v>20222410</v>
      </c>
      <c r="K789">
        <f t="shared" si="90"/>
        <v>21</v>
      </c>
    </row>
    <row r="790" spans="1:11" x14ac:dyDescent="0.25">
      <c r="A790" s="4" t="s">
        <v>816</v>
      </c>
      <c r="B790" t="s">
        <v>9</v>
      </c>
      <c r="C790" t="s">
        <v>4</v>
      </c>
      <c r="D790" s="3">
        <f t="shared" si="84"/>
        <v>13</v>
      </c>
      <c r="E790" s="4">
        <f t="shared" si="85"/>
        <v>29</v>
      </c>
      <c r="F790" s="4">
        <f t="shared" si="86"/>
        <v>18</v>
      </c>
      <c r="G790" s="3">
        <f>IF(E790&gt;=20,2000,1900) + D790</f>
        <v>2013</v>
      </c>
      <c r="H790">
        <f t="shared" si="87"/>
        <v>9</v>
      </c>
      <c r="I790" s="4">
        <f t="shared" si="88"/>
        <v>18</v>
      </c>
      <c r="J790">
        <f t="shared" si="89"/>
        <v>20132918</v>
      </c>
      <c r="K790">
        <f t="shared" si="90"/>
        <v>21</v>
      </c>
    </row>
    <row r="791" spans="1:11" x14ac:dyDescent="0.25">
      <c r="A791" s="4" t="s">
        <v>817</v>
      </c>
      <c r="B791" t="s">
        <v>8</v>
      </c>
      <c r="C791" t="s">
        <v>6</v>
      </c>
      <c r="D791" s="3">
        <f t="shared" si="84"/>
        <v>14</v>
      </c>
      <c r="E791" s="4">
        <f t="shared" si="85"/>
        <v>29</v>
      </c>
      <c r="F791" s="4">
        <f t="shared" si="86"/>
        <v>27</v>
      </c>
      <c r="G791" s="3">
        <f>IF(E791&gt;=20,2000,1900) + D791</f>
        <v>2014</v>
      </c>
      <c r="H791">
        <f t="shared" si="87"/>
        <v>9</v>
      </c>
      <c r="I791" s="4">
        <f t="shared" si="88"/>
        <v>27</v>
      </c>
      <c r="J791">
        <f t="shared" si="89"/>
        <v>20142927</v>
      </c>
      <c r="K791">
        <f t="shared" si="90"/>
        <v>21</v>
      </c>
    </row>
    <row r="792" spans="1:11" x14ac:dyDescent="0.25">
      <c r="A792" s="4" t="s">
        <v>818</v>
      </c>
      <c r="B792" t="s">
        <v>9</v>
      </c>
      <c r="C792" t="s">
        <v>4</v>
      </c>
      <c r="D792" s="3">
        <f t="shared" si="84"/>
        <v>20</v>
      </c>
      <c r="E792" s="4">
        <f t="shared" si="85"/>
        <v>25</v>
      </c>
      <c r="F792" s="4">
        <f t="shared" si="86"/>
        <v>24</v>
      </c>
      <c r="G792" s="3">
        <f>IF(E792&gt;=20,2000,1900) + D792</f>
        <v>2020</v>
      </c>
      <c r="H792">
        <f t="shared" si="87"/>
        <v>5</v>
      </c>
      <c r="I792" s="4">
        <f t="shared" si="88"/>
        <v>24</v>
      </c>
      <c r="J792">
        <f t="shared" si="89"/>
        <v>20202524</v>
      </c>
      <c r="K792">
        <f t="shared" si="90"/>
        <v>21</v>
      </c>
    </row>
    <row r="793" spans="1:11" x14ac:dyDescent="0.25">
      <c r="A793" s="4" t="s">
        <v>819</v>
      </c>
      <c r="B793" t="s">
        <v>18</v>
      </c>
      <c r="C793" t="s">
        <v>6</v>
      </c>
      <c r="D793" s="3">
        <f t="shared" si="84"/>
        <v>1</v>
      </c>
      <c r="E793" s="4">
        <f t="shared" si="85"/>
        <v>22</v>
      </c>
      <c r="F793" s="4">
        <f t="shared" si="86"/>
        <v>11</v>
      </c>
      <c r="G793" s="3">
        <f>IF(E793&gt;=20,2000,1900) + D793</f>
        <v>2001</v>
      </c>
      <c r="H793">
        <f t="shared" si="87"/>
        <v>2</v>
      </c>
      <c r="I793" s="4">
        <f t="shared" si="88"/>
        <v>11</v>
      </c>
      <c r="J793">
        <f t="shared" si="89"/>
        <v>20012211</v>
      </c>
      <c r="K793">
        <f t="shared" si="90"/>
        <v>21</v>
      </c>
    </row>
    <row r="794" spans="1:11" x14ac:dyDescent="0.25">
      <c r="A794" s="4" t="s">
        <v>820</v>
      </c>
      <c r="B794" t="s">
        <v>9</v>
      </c>
      <c r="C794" t="s">
        <v>6</v>
      </c>
      <c r="D794" s="3">
        <f t="shared" si="84"/>
        <v>5</v>
      </c>
      <c r="E794" s="4">
        <f t="shared" si="85"/>
        <v>29</v>
      </c>
      <c r="F794" s="4">
        <f t="shared" si="86"/>
        <v>3</v>
      </c>
      <c r="G794" s="3">
        <f>IF(E794&gt;=20,2000,1900) + D794</f>
        <v>2005</v>
      </c>
      <c r="H794">
        <f t="shared" si="87"/>
        <v>9</v>
      </c>
      <c r="I794" s="4">
        <f t="shared" si="88"/>
        <v>3</v>
      </c>
      <c r="J794">
        <f t="shared" si="89"/>
        <v>20052903</v>
      </c>
      <c r="K794">
        <f t="shared" si="90"/>
        <v>21</v>
      </c>
    </row>
    <row r="795" spans="1:11" x14ac:dyDescent="0.25">
      <c r="A795" s="4" t="s">
        <v>821</v>
      </c>
      <c r="B795" t="s">
        <v>9</v>
      </c>
      <c r="C795" t="s">
        <v>6</v>
      </c>
      <c r="D795" s="3">
        <f t="shared" si="84"/>
        <v>8</v>
      </c>
      <c r="E795" s="4">
        <f t="shared" si="85"/>
        <v>25</v>
      </c>
      <c r="F795" s="4">
        <f t="shared" si="86"/>
        <v>15</v>
      </c>
      <c r="G795" s="3">
        <f>IF(E795&gt;=20,2000,1900) + D795</f>
        <v>2008</v>
      </c>
      <c r="H795">
        <f t="shared" si="87"/>
        <v>5</v>
      </c>
      <c r="I795" s="4">
        <f t="shared" si="88"/>
        <v>15</v>
      </c>
      <c r="J795">
        <f t="shared" si="89"/>
        <v>20082515</v>
      </c>
      <c r="K795">
        <f t="shared" si="90"/>
        <v>21</v>
      </c>
    </row>
    <row r="796" spans="1:11" x14ac:dyDescent="0.25">
      <c r="A796" s="4" t="s">
        <v>822</v>
      </c>
      <c r="B796" t="s">
        <v>5</v>
      </c>
      <c r="C796" t="s">
        <v>4</v>
      </c>
      <c r="D796" s="3">
        <f t="shared" si="84"/>
        <v>1</v>
      </c>
      <c r="E796" s="4">
        <f t="shared" si="85"/>
        <v>24</v>
      </c>
      <c r="F796" s="4">
        <f t="shared" si="86"/>
        <v>23</v>
      </c>
      <c r="G796" s="3">
        <f>IF(E796&gt;=20,2000,1900) + D796</f>
        <v>2001</v>
      </c>
      <c r="H796">
        <f t="shared" si="87"/>
        <v>4</v>
      </c>
      <c r="I796" s="4">
        <f t="shared" si="88"/>
        <v>23</v>
      </c>
      <c r="J796">
        <f t="shared" si="89"/>
        <v>20012423</v>
      </c>
      <c r="K796">
        <f t="shared" si="90"/>
        <v>21</v>
      </c>
    </row>
    <row r="797" spans="1:11" x14ac:dyDescent="0.25">
      <c r="A797" s="4" t="s">
        <v>823</v>
      </c>
      <c r="B797" t="s">
        <v>5</v>
      </c>
      <c r="C797" t="s">
        <v>6</v>
      </c>
      <c r="D797" s="3">
        <f t="shared" si="84"/>
        <v>19</v>
      </c>
      <c r="E797" s="4">
        <f t="shared" si="85"/>
        <v>22</v>
      </c>
      <c r="F797" s="4">
        <f t="shared" si="86"/>
        <v>19</v>
      </c>
      <c r="G797" s="3">
        <f>IF(E797&gt;=20,2000,1900) + D797</f>
        <v>2019</v>
      </c>
      <c r="H797">
        <f t="shared" si="87"/>
        <v>2</v>
      </c>
      <c r="I797" s="4">
        <f t="shared" si="88"/>
        <v>19</v>
      </c>
      <c r="J797">
        <f t="shared" si="89"/>
        <v>20192219</v>
      </c>
      <c r="K797">
        <f t="shared" si="90"/>
        <v>21</v>
      </c>
    </row>
    <row r="798" spans="1:11" x14ac:dyDescent="0.25">
      <c r="A798" s="4" t="s">
        <v>824</v>
      </c>
      <c r="B798" t="s">
        <v>17</v>
      </c>
      <c r="C798" t="s">
        <v>4</v>
      </c>
      <c r="D798" s="3">
        <f t="shared" si="84"/>
        <v>2</v>
      </c>
      <c r="E798" s="4">
        <f t="shared" si="85"/>
        <v>24</v>
      </c>
      <c r="F798" s="4">
        <f t="shared" si="86"/>
        <v>22</v>
      </c>
      <c r="G798" s="3">
        <f>IF(E798&gt;=20,2000,1900) + D798</f>
        <v>2002</v>
      </c>
      <c r="H798">
        <f t="shared" si="87"/>
        <v>4</v>
      </c>
      <c r="I798" s="4">
        <f t="shared" si="88"/>
        <v>22</v>
      </c>
      <c r="J798">
        <f t="shared" si="89"/>
        <v>20022422</v>
      </c>
      <c r="K798">
        <f t="shared" si="90"/>
        <v>21</v>
      </c>
    </row>
    <row r="799" spans="1:11" x14ac:dyDescent="0.25">
      <c r="A799" s="4" t="s">
        <v>825</v>
      </c>
      <c r="B799" t="s">
        <v>3</v>
      </c>
      <c r="C799" t="s">
        <v>4</v>
      </c>
      <c r="D799" s="3">
        <f t="shared" si="84"/>
        <v>15</v>
      </c>
      <c r="E799" s="4">
        <f t="shared" si="85"/>
        <v>22</v>
      </c>
      <c r="F799" s="4">
        <f t="shared" si="86"/>
        <v>3</v>
      </c>
      <c r="G799" s="3">
        <f>IF(E799&gt;=20,2000,1900) + D799</f>
        <v>2015</v>
      </c>
      <c r="H799">
        <f t="shared" si="87"/>
        <v>2</v>
      </c>
      <c r="I799" s="4">
        <f t="shared" si="88"/>
        <v>3</v>
      </c>
      <c r="J799">
        <f t="shared" si="89"/>
        <v>20152203</v>
      </c>
      <c r="K799">
        <f t="shared" si="90"/>
        <v>21</v>
      </c>
    </row>
    <row r="800" spans="1:11" x14ac:dyDescent="0.25">
      <c r="A800" s="4" t="s">
        <v>826</v>
      </c>
      <c r="B800" t="s">
        <v>11</v>
      </c>
      <c r="C800" t="s">
        <v>4</v>
      </c>
      <c r="D800" s="3">
        <f t="shared" si="84"/>
        <v>5</v>
      </c>
      <c r="E800" s="4">
        <f t="shared" si="85"/>
        <v>27</v>
      </c>
      <c r="F800" s="4">
        <f t="shared" si="86"/>
        <v>1</v>
      </c>
      <c r="G800" s="3">
        <f>IF(E800&gt;=20,2000,1900) + D800</f>
        <v>2005</v>
      </c>
      <c r="H800">
        <f t="shared" si="87"/>
        <v>7</v>
      </c>
      <c r="I800" s="4">
        <f t="shared" si="88"/>
        <v>1</v>
      </c>
      <c r="J800">
        <f t="shared" si="89"/>
        <v>20052701</v>
      </c>
      <c r="K800">
        <f t="shared" si="90"/>
        <v>21</v>
      </c>
    </row>
    <row r="801" spans="1:11" x14ac:dyDescent="0.25">
      <c r="A801" s="4" t="s">
        <v>827</v>
      </c>
      <c r="B801" t="s">
        <v>13</v>
      </c>
      <c r="C801" t="s">
        <v>6</v>
      </c>
      <c r="D801" s="3">
        <f t="shared" si="84"/>
        <v>7</v>
      </c>
      <c r="E801" s="4">
        <f t="shared" si="85"/>
        <v>21</v>
      </c>
      <c r="F801" s="4">
        <f t="shared" si="86"/>
        <v>24</v>
      </c>
      <c r="G801" s="3">
        <f>IF(E801&gt;=20,2000,1900) + D801</f>
        <v>2007</v>
      </c>
      <c r="H801">
        <f t="shared" si="87"/>
        <v>1</v>
      </c>
      <c r="I801" s="4">
        <f t="shared" si="88"/>
        <v>24</v>
      </c>
      <c r="J801">
        <f t="shared" si="89"/>
        <v>20072124</v>
      </c>
      <c r="K801">
        <f t="shared" si="90"/>
        <v>21</v>
      </c>
    </row>
    <row r="802" spans="1:11" x14ac:dyDescent="0.25">
      <c r="A802" s="4" t="s">
        <v>828</v>
      </c>
      <c r="B802" t="s">
        <v>8</v>
      </c>
      <c r="C802" t="s">
        <v>4</v>
      </c>
      <c r="D802" s="3">
        <f t="shared" si="84"/>
        <v>6</v>
      </c>
      <c r="E802" s="4">
        <f t="shared" si="85"/>
        <v>21</v>
      </c>
      <c r="F802" s="4">
        <f t="shared" si="86"/>
        <v>7</v>
      </c>
      <c r="G802" s="3">
        <f>IF(E802&gt;=20,2000,1900) + D802</f>
        <v>2006</v>
      </c>
      <c r="H802">
        <f t="shared" si="87"/>
        <v>1</v>
      </c>
      <c r="I802" s="4">
        <f t="shared" si="88"/>
        <v>7</v>
      </c>
      <c r="J802">
        <f t="shared" si="89"/>
        <v>20062107</v>
      </c>
      <c r="K802">
        <f t="shared" si="90"/>
        <v>21</v>
      </c>
    </row>
    <row r="803" spans="1:11" x14ac:dyDescent="0.25">
      <c r="A803" s="4" t="s">
        <v>829</v>
      </c>
      <c r="B803" t="s">
        <v>15</v>
      </c>
      <c r="C803" t="s">
        <v>6</v>
      </c>
      <c r="D803" s="3">
        <f t="shared" si="84"/>
        <v>11</v>
      </c>
      <c r="E803" s="4">
        <f t="shared" si="85"/>
        <v>23</v>
      </c>
      <c r="F803" s="4">
        <f t="shared" si="86"/>
        <v>5</v>
      </c>
      <c r="G803" s="3">
        <f>IF(E803&gt;=20,2000,1900) + D803</f>
        <v>2011</v>
      </c>
      <c r="H803">
        <f t="shared" si="87"/>
        <v>3</v>
      </c>
      <c r="I803" s="4">
        <f t="shared" si="88"/>
        <v>5</v>
      </c>
      <c r="J803">
        <f t="shared" si="89"/>
        <v>20112305</v>
      </c>
      <c r="K803">
        <f t="shared" si="90"/>
        <v>21</v>
      </c>
    </row>
    <row r="804" spans="1:11" x14ac:dyDescent="0.25">
      <c r="A804" s="4" t="s">
        <v>830</v>
      </c>
      <c r="B804" t="s">
        <v>8</v>
      </c>
      <c r="C804" t="s">
        <v>6</v>
      </c>
      <c r="D804" s="3">
        <f t="shared" si="84"/>
        <v>9</v>
      </c>
      <c r="E804" s="4">
        <f t="shared" si="85"/>
        <v>30</v>
      </c>
      <c r="F804" s="4">
        <f t="shared" si="86"/>
        <v>1</v>
      </c>
      <c r="G804" s="3">
        <f>IF(E804&gt;=20,2000,1900) + D804</f>
        <v>2009</v>
      </c>
      <c r="H804">
        <f t="shared" si="87"/>
        <v>10</v>
      </c>
      <c r="I804" s="4">
        <f t="shared" si="88"/>
        <v>1</v>
      </c>
      <c r="J804">
        <f t="shared" si="89"/>
        <v>20093001</v>
      </c>
      <c r="K804">
        <f t="shared" si="90"/>
        <v>21</v>
      </c>
    </row>
    <row r="805" spans="1:11" x14ac:dyDescent="0.25">
      <c r="A805" s="4" t="s">
        <v>831</v>
      </c>
      <c r="B805" t="s">
        <v>3</v>
      </c>
      <c r="C805" t="s">
        <v>4</v>
      </c>
      <c r="D805" s="3">
        <f t="shared" si="84"/>
        <v>11</v>
      </c>
      <c r="E805" s="4">
        <f t="shared" si="85"/>
        <v>21</v>
      </c>
      <c r="F805" s="4">
        <f t="shared" si="86"/>
        <v>30</v>
      </c>
      <c r="G805" s="3">
        <f>IF(E805&gt;=20,2000,1900) + D805</f>
        <v>2011</v>
      </c>
      <c r="H805">
        <f t="shared" si="87"/>
        <v>1</v>
      </c>
      <c r="I805" s="4">
        <f t="shared" si="88"/>
        <v>30</v>
      </c>
      <c r="J805">
        <f t="shared" si="89"/>
        <v>20112130</v>
      </c>
      <c r="K805">
        <f t="shared" si="90"/>
        <v>21</v>
      </c>
    </row>
    <row r="806" spans="1:11" x14ac:dyDescent="0.25">
      <c r="A806" s="4" t="s">
        <v>832</v>
      </c>
      <c r="B806" t="s">
        <v>14</v>
      </c>
      <c r="C806" t="s">
        <v>6</v>
      </c>
      <c r="D806" s="3">
        <f t="shared" si="84"/>
        <v>11</v>
      </c>
      <c r="E806" s="4">
        <f t="shared" si="85"/>
        <v>32</v>
      </c>
      <c r="F806" s="4">
        <f t="shared" si="86"/>
        <v>4</v>
      </c>
      <c r="G806" s="3">
        <f>IF(E806&gt;=20,2000,1900) + D806</f>
        <v>2011</v>
      </c>
      <c r="H806">
        <f t="shared" si="87"/>
        <v>12</v>
      </c>
      <c r="I806" s="4">
        <f t="shared" si="88"/>
        <v>4</v>
      </c>
      <c r="J806">
        <f t="shared" si="89"/>
        <v>20113204</v>
      </c>
      <c r="K806">
        <f t="shared" si="90"/>
        <v>21</v>
      </c>
    </row>
    <row r="807" spans="1:11" x14ac:dyDescent="0.25">
      <c r="A807" s="4" t="s">
        <v>833</v>
      </c>
      <c r="B807" t="s">
        <v>5</v>
      </c>
      <c r="C807" t="s">
        <v>4</v>
      </c>
      <c r="D807" s="3">
        <f t="shared" si="84"/>
        <v>20</v>
      </c>
      <c r="E807" s="4">
        <f t="shared" si="85"/>
        <v>31</v>
      </c>
      <c r="F807" s="4">
        <f t="shared" si="86"/>
        <v>25</v>
      </c>
      <c r="G807" s="3">
        <f>IF(E807&gt;=20,2000,1900) + D807</f>
        <v>2020</v>
      </c>
      <c r="H807">
        <f t="shared" si="87"/>
        <v>11</v>
      </c>
      <c r="I807" s="4">
        <f t="shared" si="88"/>
        <v>25</v>
      </c>
      <c r="J807">
        <f t="shared" si="89"/>
        <v>20203125</v>
      </c>
      <c r="K807">
        <f t="shared" si="90"/>
        <v>21</v>
      </c>
    </row>
    <row r="808" spans="1:11" x14ac:dyDescent="0.25">
      <c r="A808" s="4" t="s">
        <v>834</v>
      </c>
      <c r="B808" t="s">
        <v>14</v>
      </c>
      <c r="C808" t="s">
        <v>4</v>
      </c>
      <c r="D808" s="3">
        <f t="shared" si="84"/>
        <v>14</v>
      </c>
      <c r="E808" s="4">
        <f t="shared" si="85"/>
        <v>28</v>
      </c>
      <c r="F808" s="4">
        <f t="shared" si="86"/>
        <v>5</v>
      </c>
      <c r="G808" s="3">
        <f>IF(E808&gt;=20,2000,1900) + D808</f>
        <v>2014</v>
      </c>
      <c r="H808">
        <f t="shared" si="87"/>
        <v>8</v>
      </c>
      <c r="I808" s="4">
        <f t="shared" si="88"/>
        <v>5</v>
      </c>
      <c r="J808">
        <f t="shared" si="89"/>
        <v>20142805</v>
      </c>
      <c r="K808">
        <f t="shared" si="90"/>
        <v>21</v>
      </c>
    </row>
    <row r="809" spans="1:11" x14ac:dyDescent="0.25">
      <c r="A809" s="4" t="s">
        <v>835</v>
      </c>
      <c r="B809" t="s">
        <v>15</v>
      </c>
      <c r="C809" t="s">
        <v>4</v>
      </c>
      <c r="D809" s="3">
        <f t="shared" si="84"/>
        <v>3</v>
      </c>
      <c r="E809" s="4">
        <f t="shared" si="85"/>
        <v>22</v>
      </c>
      <c r="F809" s="4">
        <f t="shared" si="86"/>
        <v>10</v>
      </c>
      <c r="G809" s="3">
        <f>IF(E809&gt;=20,2000,1900) + D809</f>
        <v>2003</v>
      </c>
      <c r="H809">
        <f t="shared" si="87"/>
        <v>2</v>
      </c>
      <c r="I809" s="4">
        <f t="shared" si="88"/>
        <v>10</v>
      </c>
      <c r="J809">
        <f t="shared" si="89"/>
        <v>20032210</v>
      </c>
      <c r="K809">
        <f t="shared" si="90"/>
        <v>21</v>
      </c>
    </row>
    <row r="810" spans="1:11" x14ac:dyDescent="0.25">
      <c r="A810" s="4" t="s">
        <v>836</v>
      </c>
      <c r="B810" t="s">
        <v>13</v>
      </c>
      <c r="C810" t="s">
        <v>6</v>
      </c>
      <c r="D810" s="3">
        <f t="shared" si="84"/>
        <v>16</v>
      </c>
      <c r="E810" s="4">
        <f t="shared" si="85"/>
        <v>29</v>
      </c>
      <c r="F810" s="4">
        <f t="shared" si="86"/>
        <v>16</v>
      </c>
      <c r="G810" s="3">
        <f>IF(E810&gt;=20,2000,1900) + D810</f>
        <v>2016</v>
      </c>
      <c r="H810">
        <f t="shared" si="87"/>
        <v>9</v>
      </c>
      <c r="I810" s="4">
        <f t="shared" si="88"/>
        <v>16</v>
      </c>
      <c r="J810">
        <f t="shared" si="89"/>
        <v>20162916</v>
      </c>
      <c r="K810">
        <f t="shared" si="90"/>
        <v>21</v>
      </c>
    </row>
    <row r="811" spans="1:11" x14ac:dyDescent="0.25">
      <c r="A811" s="4" t="s">
        <v>837</v>
      </c>
      <c r="B811" t="s">
        <v>11</v>
      </c>
      <c r="C811" t="s">
        <v>4</v>
      </c>
      <c r="D811" s="3">
        <f t="shared" si="84"/>
        <v>0</v>
      </c>
      <c r="E811" s="4">
        <f t="shared" si="85"/>
        <v>29</v>
      </c>
      <c r="F811" s="4">
        <f t="shared" si="86"/>
        <v>18</v>
      </c>
      <c r="G811" s="3">
        <f>IF(E811&gt;=20,2000,1900) + D811</f>
        <v>2000</v>
      </c>
      <c r="H811">
        <f t="shared" si="87"/>
        <v>9</v>
      </c>
      <c r="I811" s="4">
        <f t="shared" si="88"/>
        <v>18</v>
      </c>
      <c r="J811">
        <f t="shared" si="89"/>
        <v>20002918</v>
      </c>
      <c r="K811">
        <f t="shared" si="90"/>
        <v>20</v>
      </c>
    </row>
    <row r="812" spans="1:11" x14ac:dyDescent="0.25">
      <c r="A812" s="4" t="s">
        <v>838</v>
      </c>
      <c r="B812" t="s">
        <v>5</v>
      </c>
      <c r="C812" t="s">
        <v>4</v>
      </c>
      <c r="D812" s="3">
        <f t="shared" si="84"/>
        <v>11</v>
      </c>
      <c r="E812" s="4">
        <f t="shared" si="85"/>
        <v>30</v>
      </c>
      <c r="F812" s="4">
        <f t="shared" si="86"/>
        <v>20</v>
      </c>
      <c r="G812" s="3">
        <f>IF(E812&gt;=20,2000,1900) + D812</f>
        <v>2011</v>
      </c>
      <c r="H812">
        <f t="shared" si="87"/>
        <v>10</v>
      </c>
      <c r="I812" s="4">
        <f t="shared" si="88"/>
        <v>20</v>
      </c>
      <c r="J812">
        <f t="shared" si="89"/>
        <v>20113020</v>
      </c>
      <c r="K812">
        <f t="shared" si="90"/>
        <v>21</v>
      </c>
    </row>
    <row r="813" spans="1:11" x14ac:dyDescent="0.25">
      <c r="A813" s="4" t="s">
        <v>839</v>
      </c>
      <c r="B813" t="s">
        <v>8</v>
      </c>
      <c r="C813" t="s">
        <v>6</v>
      </c>
      <c r="D813" s="3">
        <f t="shared" si="84"/>
        <v>4</v>
      </c>
      <c r="E813" s="4">
        <f t="shared" si="85"/>
        <v>27</v>
      </c>
      <c r="F813" s="4">
        <f t="shared" si="86"/>
        <v>20</v>
      </c>
      <c r="G813" s="3">
        <f>IF(E813&gt;=20,2000,1900) + D813</f>
        <v>2004</v>
      </c>
      <c r="H813">
        <f t="shared" si="87"/>
        <v>7</v>
      </c>
      <c r="I813" s="4">
        <f t="shared" si="88"/>
        <v>20</v>
      </c>
      <c r="J813">
        <f t="shared" si="89"/>
        <v>20042720</v>
      </c>
      <c r="K813">
        <f t="shared" si="90"/>
        <v>21</v>
      </c>
    </row>
    <row r="814" spans="1:11" x14ac:dyDescent="0.25">
      <c r="A814" s="4" t="s">
        <v>840</v>
      </c>
      <c r="B814" t="s">
        <v>14</v>
      </c>
      <c r="C814" t="s">
        <v>4</v>
      </c>
      <c r="D814" s="3">
        <f t="shared" si="84"/>
        <v>0</v>
      </c>
      <c r="E814" s="4">
        <f t="shared" si="85"/>
        <v>26</v>
      </c>
      <c r="F814" s="4">
        <f t="shared" si="86"/>
        <v>28</v>
      </c>
      <c r="G814" s="3">
        <f>IF(E814&gt;=20,2000,1900) + D814</f>
        <v>2000</v>
      </c>
      <c r="H814">
        <f t="shared" si="87"/>
        <v>6</v>
      </c>
      <c r="I814" s="4">
        <f t="shared" si="88"/>
        <v>28</v>
      </c>
      <c r="J814">
        <f t="shared" si="89"/>
        <v>20002628</v>
      </c>
      <c r="K814">
        <f t="shared" si="90"/>
        <v>20</v>
      </c>
    </row>
    <row r="815" spans="1:11" x14ac:dyDescent="0.25">
      <c r="A815" s="4" t="s">
        <v>841</v>
      </c>
      <c r="B815" t="s">
        <v>20</v>
      </c>
      <c r="C815" t="s">
        <v>4</v>
      </c>
      <c r="D815" s="3">
        <f t="shared" si="84"/>
        <v>7</v>
      </c>
      <c r="E815" s="4">
        <f t="shared" si="85"/>
        <v>26</v>
      </c>
      <c r="F815" s="4">
        <f t="shared" si="86"/>
        <v>30</v>
      </c>
      <c r="G815" s="3">
        <f>IF(E815&gt;=20,2000,1900) + D815</f>
        <v>2007</v>
      </c>
      <c r="H815">
        <f t="shared" si="87"/>
        <v>6</v>
      </c>
      <c r="I815" s="4">
        <f t="shared" si="88"/>
        <v>30</v>
      </c>
      <c r="J815">
        <f t="shared" si="89"/>
        <v>20072630</v>
      </c>
      <c r="K815">
        <f t="shared" si="90"/>
        <v>21</v>
      </c>
    </row>
    <row r="816" spans="1:11" x14ac:dyDescent="0.25">
      <c r="A816" s="4" t="s">
        <v>842</v>
      </c>
      <c r="B816" t="s">
        <v>13</v>
      </c>
      <c r="C816" t="s">
        <v>6</v>
      </c>
      <c r="D816" s="3">
        <f t="shared" si="84"/>
        <v>2</v>
      </c>
      <c r="E816" s="4">
        <f t="shared" si="85"/>
        <v>21</v>
      </c>
      <c r="F816" s="4">
        <f t="shared" si="86"/>
        <v>1</v>
      </c>
      <c r="G816" s="3">
        <f>IF(E816&gt;=20,2000,1900) + D816</f>
        <v>2002</v>
      </c>
      <c r="H816">
        <f t="shared" si="87"/>
        <v>1</v>
      </c>
      <c r="I816" s="4">
        <f t="shared" si="88"/>
        <v>1</v>
      </c>
      <c r="J816">
        <f t="shared" si="89"/>
        <v>20022101</v>
      </c>
      <c r="K816">
        <f t="shared" si="90"/>
        <v>21</v>
      </c>
    </row>
    <row r="817" spans="1:11" x14ac:dyDescent="0.25">
      <c r="A817" s="4" t="s">
        <v>843</v>
      </c>
      <c r="B817" t="s">
        <v>11</v>
      </c>
      <c r="C817" t="s">
        <v>4</v>
      </c>
      <c r="D817" s="3">
        <f t="shared" si="84"/>
        <v>11</v>
      </c>
      <c r="E817" s="4">
        <f t="shared" si="85"/>
        <v>30</v>
      </c>
      <c r="F817" s="4">
        <f t="shared" si="86"/>
        <v>18</v>
      </c>
      <c r="G817" s="3">
        <f>IF(E817&gt;=20,2000,1900) + D817</f>
        <v>2011</v>
      </c>
      <c r="H817">
        <f t="shared" si="87"/>
        <v>10</v>
      </c>
      <c r="I817" s="4">
        <f t="shared" si="88"/>
        <v>18</v>
      </c>
      <c r="J817">
        <f t="shared" si="89"/>
        <v>20113018</v>
      </c>
      <c r="K817">
        <f t="shared" si="90"/>
        <v>21</v>
      </c>
    </row>
    <row r="818" spans="1:11" x14ac:dyDescent="0.25">
      <c r="A818" s="4" t="s">
        <v>844</v>
      </c>
      <c r="B818" t="s">
        <v>8</v>
      </c>
      <c r="C818" t="s">
        <v>4</v>
      </c>
      <c r="D818" s="3">
        <f t="shared" si="84"/>
        <v>10</v>
      </c>
      <c r="E818" s="4">
        <f t="shared" si="85"/>
        <v>29</v>
      </c>
      <c r="F818" s="4">
        <f t="shared" si="86"/>
        <v>25</v>
      </c>
      <c r="G818" s="3">
        <f>IF(E818&gt;=20,2000,1900) + D818</f>
        <v>2010</v>
      </c>
      <c r="H818">
        <f t="shared" si="87"/>
        <v>9</v>
      </c>
      <c r="I818" s="4">
        <f t="shared" si="88"/>
        <v>25</v>
      </c>
      <c r="J818">
        <f t="shared" si="89"/>
        <v>20102925</v>
      </c>
      <c r="K818">
        <f t="shared" si="90"/>
        <v>21</v>
      </c>
    </row>
    <row r="819" spans="1:11" x14ac:dyDescent="0.25">
      <c r="A819" s="4" t="s">
        <v>845</v>
      </c>
      <c r="B819" t="s">
        <v>16</v>
      </c>
      <c r="C819" t="s">
        <v>6</v>
      </c>
      <c r="D819" s="3">
        <f t="shared" si="84"/>
        <v>19</v>
      </c>
      <c r="E819" s="4">
        <f t="shared" si="85"/>
        <v>30</v>
      </c>
      <c r="F819" s="4">
        <f t="shared" si="86"/>
        <v>26</v>
      </c>
      <c r="G819" s="3">
        <f>IF(E819&gt;=20,2000,1900) + D819</f>
        <v>2019</v>
      </c>
      <c r="H819">
        <f t="shared" si="87"/>
        <v>10</v>
      </c>
      <c r="I819" s="4">
        <f t="shared" si="88"/>
        <v>26</v>
      </c>
      <c r="J819">
        <f t="shared" si="89"/>
        <v>20193026</v>
      </c>
      <c r="K819">
        <f t="shared" si="90"/>
        <v>21</v>
      </c>
    </row>
    <row r="820" spans="1:11" x14ac:dyDescent="0.25">
      <c r="A820" s="4" t="s">
        <v>846</v>
      </c>
      <c r="B820" t="s">
        <v>16</v>
      </c>
      <c r="C820" t="s">
        <v>6</v>
      </c>
      <c r="D820" s="3">
        <f t="shared" si="84"/>
        <v>2</v>
      </c>
      <c r="E820" s="4">
        <f t="shared" si="85"/>
        <v>29</v>
      </c>
      <c r="F820" s="4">
        <f t="shared" si="86"/>
        <v>6</v>
      </c>
      <c r="G820" s="3">
        <f>IF(E820&gt;=20,2000,1900) + D820</f>
        <v>2002</v>
      </c>
      <c r="H820">
        <f t="shared" si="87"/>
        <v>9</v>
      </c>
      <c r="I820" s="4">
        <f t="shared" si="88"/>
        <v>6</v>
      </c>
      <c r="J820">
        <f t="shared" si="89"/>
        <v>20022906</v>
      </c>
      <c r="K820">
        <f t="shared" si="90"/>
        <v>21</v>
      </c>
    </row>
    <row r="821" spans="1:11" x14ac:dyDescent="0.25">
      <c r="A821" s="4" t="s">
        <v>847</v>
      </c>
      <c r="B821" t="s">
        <v>5</v>
      </c>
      <c r="C821" t="s">
        <v>6</v>
      </c>
      <c r="D821" s="3">
        <f t="shared" si="84"/>
        <v>1</v>
      </c>
      <c r="E821" s="4">
        <f t="shared" si="85"/>
        <v>30</v>
      </c>
      <c r="F821" s="4">
        <f t="shared" si="86"/>
        <v>26</v>
      </c>
      <c r="G821" s="3">
        <f>IF(E821&gt;=20,2000,1900) + D821</f>
        <v>2001</v>
      </c>
      <c r="H821">
        <f t="shared" si="87"/>
        <v>10</v>
      </c>
      <c r="I821" s="4">
        <f t="shared" si="88"/>
        <v>26</v>
      </c>
      <c r="J821">
        <f t="shared" si="89"/>
        <v>20013026</v>
      </c>
      <c r="K821">
        <f t="shared" si="90"/>
        <v>21</v>
      </c>
    </row>
    <row r="822" spans="1:11" x14ac:dyDescent="0.25">
      <c r="A822" s="4" t="s">
        <v>848</v>
      </c>
      <c r="B822" t="s">
        <v>15</v>
      </c>
      <c r="C822" t="s">
        <v>6</v>
      </c>
      <c r="D822" s="3">
        <f t="shared" si="84"/>
        <v>19</v>
      </c>
      <c r="E822" s="4">
        <f t="shared" si="85"/>
        <v>30</v>
      </c>
      <c r="F822" s="4">
        <f t="shared" si="86"/>
        <v>26</v>
      </c>
      <c r="G822" s="3">
        <f>IF(E822&gt;=20,2000,1900) + D822</f>
        <v>2019</v>
      </c>
      <c r="H822">
        <f t="shared" si="87"/>
        <v>10</v>
      </c>
      <c r="I822" s="4">
        <f t="shared" si="88"/>
        <v>26</v>
      </c>
      <c r="J822">
        <f t="shared" si="89"/>
        <v>20193026</v>
      </c>
      <c r="K822">
        <f t="shared" si="90"/>
        <v>21</v>
      </c>
    </row>
    <row r="823" spans="1:11" x14ac:dyDescent="0.25">
      <c r="A823" s="4" t="s">
        <v>849</v>
      </c>
      <c r="B823" t="s">
        <v>16</v>
      </c>
      <c r="C823" t="s">
        <v>6</v>
      </c>
      <c r="D823" s="3">
        <f t="shared" si="84"/>
        <v>12</v>
      </c>
      <c r="E823" s="4">
        <f t="shared" si="85"/>
        <v>26</v>
      </c>
      <c r="F823" s="4">
        <f t="shared" si="86"/>
        <v>6</v>
      </c>
      <c r="G823" s="3">
        <f>IF(E823&gt;=20,2000,1900) + D823</f>
        <v>2012</v>
      </c>
      <c r="H823">
        <f t="shared" si="87"/>
        <v>6</v>
      </c>
      <c r="I823" s="4">
        <f t="shared" si="88"/>
        <v>6</v>
      </c>
      <c r="J823">
        <f t="shared" si="89"/>
        <v>20122606</v>
      </c>
      <c r="K823">
        <f t="shared" si="90"/>
        <v>21</v>
      </c>
    </row>
    <row r="824" spans="1:11" x14ac:dyDescent="0.25">
      <c r="A824" s="4" t="s">
        <v>850</v>
      </c>
      <c r="B824" t="s">
        <v>20</v>
      </c>
      <c r="C824" t="s">
        <v>4</v>
      </c>
      <c r="D824" s="3">
        <f t="shared" si="84"/>
        <v>0</v>
      </c>
      <c r="E824" s="4">
        <f t="shared" si="85"/>
        <v>24</v>
      </c>
      <c r="F824" s="4">
        <f t="shared" si="86"/>
        <v>16</v>
      </c>
      <c r="G824" s="3">
        <f>IF(E824&gt;=20,2000,1900) + D824</f>
        <v>2000</v>
      </c>
      <c r="H824">
        <f t="shared" si="87"/>
        <v>4</v>
      </c>
      <c r="I824" s="4">
        <f t="shared" si="88"/>
        <v>16</v>
      </c>
      <c r="J824">
        <f t="shared" si="89"/>
        <v>20002416</v>
      </c>
      <c r="K824">
        <f t="shared" si="90"/>
        <v>20</v>
      </c>
    </row>
    <row r="825" spans="1:11" x14ac:dyDescent="0.25">
      <c r="A825" s="4" t="s">
        <v>851</v>
      </c>
      <c r="B825" t="s">
        <v>5</v>
      </c>
      <c r="C825" t="s">
        <v>4</v>
      </c>
      <c r="D825" s="3">
        <f t="shared" si="84"/>
        <v>0</v>
      </c>
      <c r="E825" s="4">
        <f t="shared" si="85"/>
        <v>29</v>
      </c>
      <c r="F825" s="4">
        <f t="shared" si="86"/>
        <v>14</v>
      </c>
      <c r="G825" s="3">
        <f>IF(E825&gt;=20,2000,1900) + D825</f>
        <v>2000</v>
      </c>
      <c r="H825">
        <f t="shared" si="87"/>
        <v>9</v>
      </c>
      <c r="I825" s="4">
        <f t="shared" si="88"/>
        <v>14</v>
      </c>
      <c r="J825">
        <f t="shared" si="89"/>
        <v>20002914</v>
      </c>
      <c r="K825">
        <f t="shared" si="90"/>
        <v>20</v>
      </c>
    </row>
    <row r="826" spans="1:11" x14ac:dyDescent="0.25">
      <c r="A826" s="4" t="s">
        <v>852</v>
      </c>
      <c r="B826" t="s">
        <v>19</v>
      </c>
      <c r="C826" t="s">
        <v>4</v>
      </c>
      <c r="D826" s="3">
        <f t="shared" si="84"/>
        <v>9</v>
      </c>
      <c r="E826" s="4">
        <f t="shared" si="85"/>
        <v>28</v>
      </c>
      <c r="F826" s="4">
        <f t="shared" si="86"/>
        <v>16</v>
      </c>
      <c r="G826" s="3">
        <f>IF(E826&gt;=20,2000,1900) + D826</f>
        <v>2009</v>
      </c>
      <c r="H826">
        <f t="shared" si="87"/>
        <v>8</v>
      </c>
      <c r="I826" s="4">
        <f t="shared" si="88"/>
        <v>16</v>
      </c>
      <c r="J826">
        <f t="shared" si="89"/>
        <v>20092816</v>
      </c>
      <c r="K826">
        <f t="shared" si="90"/>
        <v>21</v>
      </c>
    </row>
    <row r="827" spans="1:11" x14ac:dyDescent="0.25">
      <c r="A827" s="4" t="s">
        <v>853</v>
      </c>
      <c r="B827" t="s">
        <v>11</v>
      </c>
      <c r="C827" t="s">
        <v>4</v>
      </c>
      <c r="D827" s="3">
        <f t="shared" si="84"/>
        <v>5</v>
      </c>
      <c r="E827" s="4">
        <f t="shared" si="85"/>
        <v>27</v>
      </c>
      <c r="F827" s="4">
        <f t="shared" si="86"/>
        <v>10</v>
      </c>
      <c r="G827" s="3">
        <f>IF(E827&gt;=20,2000,1900) + D827</f>
        <v>2005</v>
      </c>
      <c r="H827">
        <f t="shared" si="87"/>
        <v>7</v>
      </c>
      <c r="I827" s="4">
        <f t="shared" si="88"/>
        <v>10</v>
      </c>
      <c r="J827">
        <f t="shared" si="89"/>
        <v>20052710</v>
      </c>
      <c r="K827">
        <f t="shared" si="90"/>
        <v>21</v>
      </c>
    </row>
    <row r="828" spans="1:11" x14ac:dyDescent="0.25">
      <c r="A828" s="4" t="s">
        <v>854</v>
      </c>
      <c r="B828" t="s">
        <v>19</v>
      </c>
      <c r="C828" t="s">
        <v>4</v>
      </c>
      <c r="D828" s="3">
        <f t="shared" si="84"/>
        <v>20</v>
      </c>
      <c r="E828" s="4">
        <f t="shared" si="85"/>
        <v>22</v>
      </c>
      <c r="F828" s="4">
        <f t="shared" si="86"/>
        <v>26</v>
      </c>
      <c r="G828" s="3">
        <f>IF(E828&gt;=20,2000,1900) + D828</f>
        <v>2020</v>
      </c>
      <c r="H828">
        <f t="shared" si="87"/>
        <v>2</v>
      </c>
      <c r="I828" s="4">
        <f t="shared" si="88"/>
        <v>26</v>
      </c>
      <c r="J828">
        <f t="shared" si="89"/>
        <v>20202226</v>
      </c>
      <c r="K828">
        <f t="shared" si="90"/>
        <v>21</v>
      </c>
    </row>
    <row r="829" spans="1:11" x14ac:dyDescent="0.25">
      <c r="A829" s="4" t="s">
        <v>855</v>
      </c>
      <c r="B829" t="s">
        <v>18</v>
      </c>
      <c r="C829" t="s">
        <v>6</v>
      </c>
      <c r="D829" s="3">
        <f t="shared" si="84"/>
        <v>2</v>
      </c>
      <c r="E829" s="4">
        <f t="shared" si="85"/>
        <v>28</v>
      </c>
      <c r="F829" s="4">
        <f t="shared" si="86"/>
        <v>31</v>
      </c>
      <c r="G829" s="3">
        <f>IF(E829&gt;=20,2000,1900) + D829</f>
        <v>2002</v>
      </c>
      <c r="H829">
        <f t="shared" si="87"/>
        <v>8</v>
      </c>
      <c r="I829" s="4">
        <f t="shared" si="88"/>
        <v>31</v>
      </c>
      <c r="J829">
        <f t="shared" si="89"/>
        <v>20022831</v>
      </c>
      <c r="K829">
        <f t="shared" si="90"/>
        <v>21</v>
      </c>
    </row>
    <row r="830" spans="1:11" x14ac:dyDescent="0.25">
      <c r="A830" s="4" t="s">
        <v>856</v>
      </c>
      <c r="B830" t="s">
        <v>11</v>
      </c>
      <c r="C830" t="s">
        <v>6</v>
      </c>
      <c r="D830" s="3">
        <f t="shared" si="84"/>
        <v>19</v>
      </c>
      <c r="E830" s="4">
        <f t="shared" si="85"/>
        <v>23</v>
      </c>
      <c r="F830" s="4">
        <f t="shared" si="86"/>
        <v>10</v>
      </c>
      <c r="G830" s="3">
        <f>IF(E830&gt;=20,2000,1900) + D830</f>
        <v>2019</v>
      </c>
      <c r="H830">
        <f t="shared" si="87"/>
        <v>3</v>
      </c>
      <c r="I830" s="4">
        <f t="shared" si="88"/>
        <v>10</v>
      </c>
      <c r="J830">
        <f t="shared" si="89"/>
        <v>20192310</v>
      </c>
      <c r="K830">
        <f t="shared" si="90"/>
        <v>21</v>
      </c>
    </row>
    <row r="831" spans="1:11" x14ac:dyDescent="0.25">
      <c r="A831" s="4" t="s">
        <v>857</v>
      </c>
      <c r="B831" t="s">
        <v>10</v>
      </c>
      <c r="C831" t="s">
        <v>6</v>
      </c>
      <c r="D831" s="3">
        <f t="shared" si="84"/>
        <v>9</v>
      </c>
      <c r="E831" s="4">
        <f t="shared" si="85"/>
        <v>30</v>
      </c>
      <c r="F831" s="4">
        <f t="shared" si="86"/>
        <v>16</v>
      </c>
      <c r="G831" s="3">
        <f>IF(E831&gt;=20,2000,1900) + D831</f>
        <v>2009</v>
      </c>
      <c r="H831">
        <f t="shared" si="87"/>
        <v>10</v>
      </c>
      <c r="I831" s="4">
        <f t="shared" si="88"/>
        <v>16</v>
      </c>
      <c r="J831">
        <f t="shared" si="89"/>
        <v>20093016</v>
      </c>
      <c r="K831">
        <f t="shared" si="90"/>
        <v>21</v>
      </c>
    </row>
    <row r="832" spans="1:11" x14ac:dyDescent="0.25">
      <c r="A832" s="4" t="s">
        <v>858</v>
      </c>
      <c r="B832" t="s">
        <v>3</v>
      </c>
      <c r="C832" t="s">
        <v>4</v>
      </c>
      <c r="D832" s="3">
        <f t="shared" si="84"/>
        <v>12</v>
      </c>
      <c r="E832" s="4">
        <f t="shared" si="85"/>
        <v>29</v>
      </c>
      <c r="F832" s="4">
        <f t="shared" si="86"/>
        <v>26</v>
      </c>
      <c r="G832" s="3">
        <f>IF(E832&gt;=20,2000,1900) + D832</f>
        <v>2012</v>
      </c>
      <c r="H832">
        <f t="shared" si="87"/>
        <v>9</v>
      </c>
      <c r="I832" s="4">
        <f t="shared" si="88"/>
        <v>26</v>
      </c>
      <c r="J832">
        <f t="shared" si="89"/>
        <v>20122926</v>
      </c>
      <c r="K832">
        <f t="shared" si="90"/>
        <v>21</v>
      </c>
    </row>
    <row r="833" spans="1:11" x14ac:dyDescent="0.25">
      <c r="A833" s="4" t="s">
        <v>859</v>
      </c>
      <c r="B833" t="s">
        <v>9</v>
      </c>
      <c r="C833" t="s">
        <v>6</v>
      </c>
      <c r="D833" s="3">
        <f t="shared" si="84"/>
        <v>0</v>
      </c>
      <c r="E833" s="4">
        <f t="shared" si="85"/>
        <v>22</v>
      </c>
      <c r="F833" s="4">
        <f t="shared" si="86"/>
        <v>1</v>
      </c>
      <c r="G833" s="3">
        <f>IF(E833&gt;=20,2000,1900) + D833</f>
        <v>2000</v>
      </c>
      <c r="H833">
        <f t="shared" si="87"/>
        <v>2</v>
      </c>
      <c r="I833" s="4">
        <f t="shared" si="88"/>
        <v>1</v>
      </c>
      <c r="J833">
        <f t="shared" si="89"/>
        <v>20002201</v>
      </c>
      <c r="K833">
        <f t="shared" si="90"/>
        <v>20</v>
      </c>
    </row>
    <row r="834" spans="1:11" x14ac:dyDescent="0.25">
      <c r="A834" s="4" t="s">
        <v>860</v>
      </c>
      <c r="B834" t="s">
        <v>18</v>
      </c>
      <c r="C834" t="s">
        <v>4</v>
      </c>
      <c r="D834" s="3">
        <f t="shared" si="84"/>
        <v>18</v>
      </c>
      <c r="E834" s="4">
        <f t="shared" si="85"/>
        <v>26</v>
      </c>
      <c r="F834" s="4">
        <f t="shared" si="86"/>
        <v>18</v>
      </c>
      <c r="G834" s="3">
        <f>IF(E834&gt;=20,2000,1900) + D834</f>
        <v>2018</v>
      </c>
      <c r="H834">
        <f t="shared" si="87"/>
        <v>6</v>
      </c>
      <c r="I834" s="4">
        <f t="shared" si="88"/>
        <v>18</v>
      </c>
      <c r="J834">
        <f t="shared" si="89"/>
        <v>20182618</v>
      </c>
      <c r="K834">
        <f t="shared" si="90"/>
        <v>21</v>
      </c>
    </row>
    <row r="835" spans="1:11" x14ac:dyDescent="0.25">
      <c r="A835" s="4" t="s">
        <v>861</v>
      </c>
      <c r="B835" t="s">
        <v>18</v>
      </c>
      <c r="C835" t="s">
        <v>4</v>
      </c>
      <c r="D835" s="3">
        <f t="shared" ref="D835:D898" si="91">MID(A835,1,2)*1</f>
        <v>22</v>
      </c>
      <c r="E835" s="4">
        <f t="shared" ref="E835:E898" si="92">MID(A835,3,2)*1</f>
        <v>28</v>
      </c>
      <c r="F835" s="4">
        <f t="shared" ref="F835:F898" si="93">MID(A835,5,2)*1</f>
        <v>6</v>
      </c>
      <c r="G835" s="3">
        <f>IF(E835&gt;=20,2000,1900) + D835</f>
        <v>2022</v>
      </c>
      <c r="H835">
        <f t="shared" ref="H835:H898" si="94">IF(E835&gt;=20,E835-20,E835)</f>
        <v>8</v>
      </c>
      <c r="I835" s="4">
        <f t="shared" ref="I835:I898" si="95">F835</f>
        <v>6</v>
      </c>
      <c r="J835">
        <f t="shared" ref="J835:J898" si="96">CONCATENATE(G835,IF(LEN(E835)=1,CONCATENATE("0",E835),E835),IF(LEN(F835)=1,CONCATENATE("0",F835),F835))*1</f>
        <v>20222806</v>
      </c>
      <c r="K835">
        <f t="shared" ref="K835:K898" si="97">IF(G835&lt;=2000,20,21)</f>
        <v>21</v>
      </c>
    </row>
    <row r="836" spans="1:11" x14ac:dyDescent="0.25">
      <c r="A836" s="4" t="s">
        <v>862</v>
      </c>
      <c r="B836" t="s">
        <v>19</v>
      </c>
      <c r="C836" t="s">
        <v>6</v>
      </c>
      <c r="D836" s="3">
        <f t="shared" si="91"/>
        <v>21</v>
      </c>
      <c r="E836" s="4">
        <f t="shared" si="92"/>
        <v>22</v>
      </c>
      <c r="F836" s="4">
        <f t="shared" si="93"/>
        <v>13</v>
      </c>
      <c r="G836" s="3">
        <f>IF(E836&gt;=20,2000,1900) + D836</f>
        <v>2021</v>
      </c>
      <c r="H836">
        <f t="shared" si="94"/>
        <v>2</v>
      </c>
      <c r="I836" s="4">
        <f t="shared" si="95"/>
        <v>13</v>
      </c>
      <c r="J836">
        <f t="shared" si="96"/>
        <v>20212213</v>
      </c>
      <c r="K836">
        <f t="shared" si="97"/>
        <v>21</v>
      </c>
    </row>
    <row r="837" spans="1:11" x14ac:dyDescent="0.25">
      <c r="A837" s="4" t="s">
        <v>863</v>
      </c>
      <c r="B837" t="s">
        <v>5</v>
      </c>
      <c r="C837" t="s">
        <v>4</v>
      </c>
      <c r="D837" s="3">
        <f t="shared" si="91"/>
        <v>4</v>
      </c>
      <c r="E837" s="4">
        <f t="shared" si="92"/>
        <v>24</v>
      </c>
      <c r="F837" s="4">
        <f t="shared" si="93"/>
        <v>2</v>
      </c>
      <c r="G837" s="3">
        <f>IF(E837&gt;=20,2000,1900) + D837</f>
        <v>2004</v>
      </c>
      <c r="H837">
        <f t="shared" si="94"/>
        <v>4</v>
      </c>
      <c r="I837" s="4">
        <f t="shared" si="95"/>
        <v>2</v>
      </c>
      <c r="J837">
        <f t="shared" si="96"/>
        <v>20042402</v>
      </c>
      <c r="K837">
        <f t="shared" si="97"/>
        <v>21</v>
      </c>
    </row>
    <row r="838" spans="1:11" x14ac:dyDescent="0.25">
      <c r="A838" s="4" t="s">
        <v>864</v>
      </c>
      <c r="B838" t="s">
        <v>15</v>
      </c>
      <c r="C838" t="s">
        <v>6</v>
      </c>
      <c r="D838" s="3">
        <f t="shared" si="91"/>
        <v>12</v>
      </c>
      <c r="E838" s="4">
        <f t="shared" si="92"/>
        <v>31</v>
      </c>
      <c r="F838" s="4">
        <f t="shared" si="93"/>
        <v>24</v>
      </c>
      <c r="G838" s="3">
        <f>IF(E838&gt;=20,2000,1900) + D838</f>
        <v>2012</v>
      </c>
      <c r="H838">
        <f t="shared" si="94"/>
        <v>11</v>
      </c>
      <c r="I838" s="4">
        <f t="shared" si="95"/>
        <v>24</v>
      </c>
      <c r="J838">
        <f t="shared" si="96"/>
        <v>20123124</v>
      </c>
      <c r="K838">
        <f t="shared" si="97"/>
        <v>21</v>
      </c>
    </row>
    <row r="839" spans="1:11" x14ac:dyDescent="0.25">
      <c r="A839" s="4" t="s">
        <v>865</v>
      </c>
      <c r="B839" t="s">
        <v>3</v>
      </c>
      <c r="C839" t="s">
        <v>6</v>
      </c>
      <c r="D839" s="3">
        <f t="shared" si="91"/>
        <v>9</v>
      </c>
      <c r="E839" s="4">
        <f t="shared" si="92"/>
        <v>28</v>
      </c>
      <c r="F839" s="4">
        <f t="shared" si="93"/>
        <v>15</v>
      </c>
      <c r="G839" s="3">
        <f>IF(E839&gt;=20,2000,1900) + D839</f>
        <v>2009</v>
      </c>
      <c r="H839">
        <f t="shared" si="94"/>
        <v>8</v>
      </c>
      <c r="I839" s="4">
        <f t="shared" si="95"/>
        <v>15</v>
      </c>
      <c r="J839">
        <f t="shared" si="96"/>
        <v>20092815</v>
      </c>
      <c r="K839">
        <f t="shared" si="97"/>
        <v>21</v>
      </c>
    </row>
    <row r="840" spans="1:11" x14ac:dyDescent="0.25">
      <c r="A840" s="4" t="s">
        <v>866</v>
      </c>
      <c r="B840" t="s">
        <v>3</v>
      </c>
      <c r="C840" t="s">
        <v>6</v>
      </c>
      <c r="D840" s="3">
        <f t="shared" si="91"/>
        <v>15</v>
      </c>
      <c r="E840" s="4">
        <f t="shared" si="92"/>
        <v>25</v>
      </c>
      <c r="F840" s="4">
        <f t="shared" si="93"/>
        <v>30</v>
      </c>
      <c r="G840" s="3">
        <f>IF(E840&gt;=20,2000,1900) + D840</f>
        <v>2015</v>
      </c>
      <c r="H840">
        <f t="shared" si="94"/>
        <v>5</v>
      </c>
      <c r="I840" s="4">
        <f t="shared" si="95"/>
        <v>30</v>
      </c>
      <c r="J840">
        <f t="shared" si="96"/>
        <v>20152530</v>
      </c>
      <c r="K840">
        <f t="shared" si="97"/>
        <v>21</v>
      </c>
    </row>
    <row r="841" spans="1:11" x14ac:dyDescent="0.25">
      <c r="A841" s="4" t="s">
        <v>867</v>
      </c>
      <c r="B841" t="s">
        <v>13</v>
      </c>
      <c r="C841" t="s">
        <v>4</v>
      </c>
      <c r="D841" s="3">
        <f t="shared" si="91"/>
        <v>10</v>
      </c>
      <c r="E841" s="4">
        <f t="shared" si="92"/>
        <v>22</v>
      </c>
      <c r="F841" s="4">
        <f t="shared" si="93"/>
        <v>9</v>
      </c>
      <c r="G841" s="3">
        <f>IF(E841&gt;=20,2000,1900) + D841</f>
        <v>2010</v>
      </c>
      <c r="H841">
        <f t="shared" si="94"/>
        <v>2</v>
      </c>
      <c r="I841" s="4">
        <f t="shared" si="95"/>
        <v>9</v>
      </c>
      <c r="J841">
        <f t="shared" si="96"/>
        <v>20102209</v>
      </c>
      <c r="K841">
        <f t="shared" si="97"/>
        <v>21</v>
      </c>
    </row>
    <row r="842" spans="1:11" x14ac:dyDescent="0.25">
      <c r="A842" s="4" t="s">
        <v>868</v>
      </c>
      <c r="B842" t="s">
        <v>5</v>
      </c>
      <c r="C842" t="s">
        <v>4</v>
      </c>
      <c r="D842" s="3">
        <f t="shared" si="91"/>
        <v>5</v>
      </c>
      <c r="E842" s="4">
        <f t="shared" si="92"/>
        <v>23</v>
      </c>
      <c r="F842" s="4">
        <f t="shared" si="93"/>
        <v>14</v>
      </c>
      <c r="G842" s="3">
        <f>IF(E842&gt;=20,2000,1900) + D842</f>
        <v>2005</v>
      </c>
      <c r="H842">
        <f t="shared" si="94"/>
        <v>3</v>
      </c>
      <c r="I842" s="4">
        <f t="shared" si="95"/>
        <v>14</v>
      </c>
      <c r="J842">
        <f t="shared" si="96"/>
        <v>20052314</v>
      </c>
      <c r="K842">
        <f t="shared" si="97"/>
        <v>21</v>
      </c>
    </row>
    <row r="843" spans="1:11" x14ac:dyDescent="0.25">
      <c r="A843" s="4" t="s">
        <v>869</v>
      </c>
      <c r="B843" t="s">
        <v>10</v>
      </c>
      <c r="C843" t="s">
        <v>6</v>
      </c>
      <c r="D843" s="3">
        <f t="shared" si="91"/>
        <v>4</v>
      </c>
      <c r="E843" s="4">
        <f t="shared" si="92"/>
        <v>31</v>
      </c>
      <c r="F843" s="4">
        <f t="shared" si="93"/>
        <v>24</v>
      </c>
      <c r="G843" s="3">
        <f>IF(E843&gt;=20,2000,1900) + D843</f>
        <v>2004</v>
      </c>
      <c r="H843">
        <f t="shared" si="94"/>
        <v>11</v>
      </c>
      <c r="I843" s="4">
        <f t="shared" si="95"/>
        <v>24</v>
      </c>
      <c r="J843">
        <f t="shared" si="96"/>
        <v>20043124</v>
      </c>
      <c r="K843">
        <f t="shared" si="97"/>
        <v>21</v>
      </c>
    </row>
    <row r="844" spans="1:11" x14ac:dyDescent="0.25">
      <c r="A844" s="4" t="s">
        <v>870</v>
      </c>
      <c r="B844" t="s">
        <v>9</v>
      </c>
      <c r="C844" t="s">
        <v>6</v>
      </c>
      <c r="D844" s="3">
        <f t="shared" si="91"/>
        <v>22</v>
      </c>
      <c r="E844" s="4">
        <f t="shared" si="92"/>
        <v>29</v>
      </c>
      <c r="F844" s="4">
        <f t="shared" si="93"/>
        <v>5</v>
      </c>
      <c r="G844" s="3">
        <f>IF(E844&gt;=20,2000,1900) + D844</f>
        <v>2022</v>
      </c>
      <c r="H844">
        <f t="shared" si="94"/>
        <v>9</v>
      </c>
      <c r="I844" s="4">
        <f t="shared" si="95"/>
        <v>5</v>
      </c>
      <c r="J844">
        <f t="shared" si="96"/>
        <v>20222905</v>
      </c>
      <c r="K844">
        <f t="shared" si="97"/>
        <v>21</v>
      </c>
    </row>
    <row r="845" spans="1:11" x14ac:dyDescent="0.25">
      <c r="A845" s="4" t="s">
        <v>871</v>
      </c>
      <c r="B845" t="s">
        <v>3</v>
      </c>
      <c r="C845" t="s">
        <v>4</v>
      </c>
      <c r="D845" s="3">
        <f t="shared" si="91"/>
        <v>19</v>
      </c>
      <c r="E845" s="4">
        <f t="shared" si="92"/>
        <v>28</v>
      </c>
      <c r="F845" s="4">
        <f t="shared" si="93"/>
        <v>9</v>
      </c>
      <c r="G845" s="3">
        <f>IF(E845&gt;=20,2000,1900) + D845</f>
        <v>2019</v>
      </c>
      <c r="H845">
        <f t="shared" si="94"/>
        <v>8</v>
      </c>
      <c r="I845" s="4">
        <f t="shared" si="95"/>
        <v>9</v>
      </c>
      <c r="J845">
        <f t="shared" si="96"/>
        <v>20192809</v>
      </c>
      <c r="K845">
        <f t="shared" si="97"/>
        <v>21</v>
      </c>
    </row>
    <row r="846" spans="1:11" x14ac:dyDescent="0.25">
      <c r="A846" s="4" t="s">
        <v>872</v>
      </c>
      <c r="B846" t="s">
        <v>20</v>
      </c>
      <c r="C846" t="s">
        <v>6</v>
      </c>
      <c r="D846" s="3">
        <f t="shared" si="91"/>
        <v>11</v>
      </c>
      <c r="E846" s="4">
        <f t="shared" si="92"/>
        <v>25</v>
      </c>
      <c r="F846" s="4">
        <f t="shared" si="93"/>
        <v>10</v>
      </c>
      <c r="G846" s="3">
        <f>IF(E846&gt;=20,2000,1900) + D846</f>
        <v>2011</v>
      </c>
      <c r="H846">
        <f t="shared" si="94"/>
        <v>5</v>
      </c>
      <c r="I846" s="4">
        <f t="shared" si="95"/>
        <v>10</v>
      </c>
      <c r="J846">
        <f t="shared" si="96"/>
        <v>20112510</v>
      </c>
      <c r="K846">
        <f t="shared" si="97"/>
        <v>21</v>
      </c>
    </row>
    <row r="847" spans="1:11" x14ac:dyDescent="0.25">
      <c r="A847" s="4" t="s">
        <v>873</v>
      </c>
      <c r="B847" t="s">
        <v>13</v>
      </c>
      <c r="C847" t="s">
        <v>4</v>
      </c>
      <c r="D847" s="3">
        <f t="shared" si="91"/>
        <v>6</v>
      </c>
      <c r="E847" s="4">
        <f t="shared" si="92"/>
        <v>22</v>
      </c>
      <c r="F847" s="4">
        <f t="shared" si="93"/>
        <v>4</v>
      </c>
      <c r="G847" s="3">
        <f>IF(E847&gt;=20,2000,1900) + D847</f>
        <v>2006</v>
      </c>
      <c r="H847">
        <f t="shared" si="94"/>
        <v>2</v>
      </c>
      <c r="I847" s="4">
        <f t="shared" si="95"/>
        <v>4</v>
      </c>
      <c r="J847">
        <f t="shared" si="96"/>
        <v>20062204</v>
      </c>
      <c r="K847">
        <f t="shared" si="97"/>
        <v>21</v>
      </c>
    </row>
    <row r="848" spans="1:11" x14ac:dyDescent="0.25">
      <c r="A848" s="4" t="s">
        <v>874</v>
      </c>
      <c r="B848" t="s">
        <v>3</v>
      </c>
      <c r="C848" t="s">
        <v>4</v>
      </c>
      <c r="D848" s="3">
        <f t="shared" si="91"/>
        <v>7</v>
      </c>
      <c r="E848" s="4">
        <f t="shared" si="92"/>
        <v>28</v>
      </c>
      <c r="F848" s="4">
        <f t="shared" si="93"/>
        <v>21</v>
      </c>
      <c r="G848" s="3">
        <f>IF(E848&gt;=20,2000,1900) + D848</f>
        <v>2007</v>
      </c>
      <c r="H848">
        <f t="shared" si="94"/>
        <v>8</v>
      </c>
      <c r="I848" s="4">
        <f t="shared" si="95"/>
        <v>21</v>
      </c>
      <c r="J848">
        <f t="shared" si="96"/>
        <v>20072821</v>
      </c>
      <c r="K848">
        <f t="shared" si="97"/>
        <v>21</v>
      </c>
    </row>
    <row r="849" spans="1:11" x14ac:dyDescent="0.25">
      <c r="A849" s="4" t="s">
        <v>875</v>
      </c>
      <c r="B849" t="s">
        <v>11</v>
      </c>
      <c r="C849" t="s">
        <v>6</v>
      </c>
      <c r="D849" s="3">
        <f t="shared" si="91"/>
        <v>0</v>
      </c>
      <c r="E849" s="4">
        <f t="shared" si="92"/>
        <v>32</v>
      </c>
      <c r="F849" s="4">
        <f t="shared" si="93"/>
        <v>12</v>
      </c>
      <c r="G849" s="3">
        <f>IF(E849&gt;=20,2000,1900) + D849</f>
        <v>2000</v>
      </c>
      <c r="H849">
        <f t="shared" si="94"/>
        <v>12</v>
      </c>
      <c r="I849" s="4">
        <f t="shared" si="95"/>
        <v>12</v>
      </c>
      <c r="J849">
        <f t="shared" si="96"/>
        <v>20003212</v>
      </c>
      <c r="K849">
        <f t="shared" si="97"/>
        <v>20</v>
      </c>
    </row>
    <row r="850" spans="1:11" x14ac:dyDescent="0.25">
      <c r="A850" s="4" t="s">
        <v>876</v>
      </c>
      <c r="B850" t="s">
        <v>16</v>
      </c>
      <c r="C850" t="s">
        <v>4</v>
      </c>
      <c r="D850" s="3">
        <f t="shared" si="91"/>
        <v>17</v>
      </c>
      <c r="E850" s="4">
        <f t="shared" si="92"/>
        <v>23</v>
      </c>
      <c r="F850" s="4">
        <f t="shared" si="93"/>
        <v>1</v>
      </c>
      <c r="G850" s="3">
        <f>IF(E850&gt;=20,2000,1900) + D850</f>
        <v>2017</v>
      </c>
      <c r="H850">
        <f t="shared" si="94"/>
        <v>3</v>
      </c>
      <c r="I850" s="4">
        <f t="shared" si="95"/>
        <v>1</v>
      </c>
      <c r="J850">
        <f t="shared" si="96"/>
        <v>20172301</v>
      </c>
      <c r="K850">
        <f t="shared" si="97"/>
        <v>21</v>
      </c>
    </row>
    <row r="851" spans="1:11" x14ac:dyDescent="0.25">
      <c r="A851" s="4" t="s">
        <v>877</v>
      </c>
      <c r="B851" t="s">
        <v>11</v>
      </c>
      <c r="C851" t="s">
        <v>4</v>
      </c>
      <c r="D851" s="3">
        <f t="shared" si="91"/>
        <v>10</v>
      </c>
      <c r="E851" s="4">
        <f t="shared" si="92"/>
        <v>25</v>
      </c>
      <c r="F851" s="4">
        <f t="shared" si="93"/>
        <v>29</v>
      </c>
      <c r="G851" s="3">
        <f>IF(E851&gt;=20,2000,1900) + D851</f>
        <v>2010</v>
      </c>
      <c r="H851">
        <f t="shared" si="94"/>
        <v>5</v>
      </c>
      <c r="I851" s="4">
        <f t="shared" si="95"/>
        <v>29</v>
      </c>
      <c r="J851">
        <f t="shared" si="96"/>
        <v>20102529</v>
      </c>
      <c r="K851">
        <f t="shared" si="97"/>
        <v>21</v>
      </c>
    </row>
    <row r="852" spans="1:11" x14ac:dyDescent="0.25">
      <c r="A852" s="4" t="s">
        <v>878</v>
      </c>
      <c r="B852" t="s">
        <v>12</v>
      </c>
      <c r="C852" t="s">
        <v>6</v>
      </c>
      <c r="D852" s="3">
        <f t="shared" si="91"/>
        <v>11</v>
      </c>
      <c r="E852" s="4">
        <f t="shared" si="92"/>
        <v>22</v>
      </c>
      <c r="F852" s="4">
        <f t="shared" si="93"/>
        <v>19</v>
      </c>
      <c r="G852" s="3">
        <f>IF(E852&gt;=20,2000,1900) + D852</f>
        <v>2011</v>
      </c>
      <c r="H852">
        <f t="shared" si="94"/>
        <v>2</v>
      </c>
      <c r="I852" s="4">
        <f t="shared" si="95"/>
        <v>19</v>
      </c>
      <c r="J852">
        <f t="shared" si="96"/>
        <v>20112219</v>
      </c>
      <c r="K852">
        <f t="shared" si="97"/>
        <v>21</v>
      </c>
    </row>
    <row r="853" spans="1:11" x14ac:dyDescent="0.25">
      <c r="A853" s="4" t="s">
        <v>879</v>
      </c>
      <c r="B853" t="s">
        <v>14</v>
      </c>
      <c r="C853" t="s">
        <v>4</v>
      </c>
      <c r="D853" s="3">
        <f t="shared" si="91"/>
        <v>1</v>
      </c>
      <c r="E853" s="4">
        <f t="shared" si="92"/>
        <v>26</v>
      </c>
      <c r="F853" s="4">
        <f t="shared" si="93"/>
        <v>22</v>
      </c>
      <c r="G853" s="3">
        <f>IF(E853&gt;=20,2000,1900) + D853</f>
        <v>2001</v>
      </c>
      <c r="H853">
        <f t="shared" si="94"/>
        <v>6</v>
      </c>
      <c r="I853" s="4">
        <f t="shared" si="95"/>
        <v>22</v>
      </c>
      <c r="J853">
        <f t="shared" si="96"/>
        <v>20012622</v>
      </c>
      <c r="K853">
        <f t="shared" si="97"/>
        <v>21</v>
      </c>
    </row>
    <row r="854" spans="1:11" x14ac:dyDescent="0.25">
      <c r="A854" s="4" t="s">
        <v>880</v>
      </c>
      <c r="B854" t="s">
        <v>14</v>
      </c>
      <c r="C854" t="s">
        <v>6</v>
      </c>
      <c r="D854" s="3">
        <f t="shared" si="91"/>
        <v>8</v>
      </c>
      <c r="E854" s="4">
        <f t="shared" si="92"/>
        <v>23</v>
      </c>
      <c r="F854" s="4">
        <f t="shared" si="93"/>
        <v>29</v>
      </c>
      <c r="G854" s="3">
        <f>IF(E854&gt;=20,2000,1900) + D854</f>
        <v>2008</v>
      </c>
      <c r="H854">
        <f t="shared" si="94"/>
        <v>3</v>
      </c>
      <c r="I854" s="4">
        <f t="shared" si="95"/>
        <v>29</v>
      </c>
      <c r="J854">
        <f t="shared" si="96"/>
        <v>20082329</v>
      </c>
      <c r="K854">
        <f t="shared" si="97"/>
        <v>21</v>
      </c>
    </row>
    <row r="855" spans="1:11" x14ac:dyDescent="0.25">
      <c r="A855" s="4" t="s">
        <v>881</v>
      </c>
      <c r="B855" t="s">
        <v>3</v>
      </c>
      <c r="C855" t="s">
        <v>4</v>
      </c>
      <c r="D855" s="3">
        <f t="shared" si="91"/>
        <v>15</v>
      </c>
      <c r="E855" s="4">
        <f t="shared" si="92"/>
        <v>25</v>
      </c>
      <c r="F855" s="4">
        <f t="shared" si="93"/>
        <v>20</v>
      </c>
      <c r="G855" s="3">
        <f>IF(E855&gt;=20,2000,1900) + D855</f>
        <v>2015</v>
      </c>
      <c r="H855">
        <f t="shared" si="94"/>
        <v>5</v>
      </c>
      <c r="I855" s="4">
        <f t="shared" si="95"/>
        <v>20</v>
      </c>
      <c r="J855">
        <f t="shared" si="96"/>
        <v>20152520</v>
      </c>
      <c r="K855">
        <f t="shared" si="97"/>
        <v>21</v>
      </c>
    </row>
    <row r="856" spans="1:11" x14ac:dyDescent="0.25">
      <c r="A856" s="4" t="s">
        <v>882</v>
      </c>
      <c r="B856" t="s">
        <v>10</v>
      </c>
      <c r="C856" t="s">
        <v>6</v>
      </c>
      <c r="D856" s="3">
        <f t="shared" si="91"/>
        <v>12</v>
      </c>
      <c r="E856" s="4">
        <f t="shared" si="92"/>
        <v>27</v>
      </c>
      <c r="F856" s="4">
        <f t="shared" si="93"/>
        <v>6</v>
      </c>
      <c r="G856" s="3">
        <f>IF(E856&gt;=20,2000,1900) + D856</f>
        <v>2012</v>
      </c>
      <c r="H856">
        <f t="shared" si="94"/>
        <v>7</v>
      </c>
      <c r="I856" s="4">
        <f t="shared" si="95"/>
        <v>6</v>
      </c>
      <c r="J856">
        <f t="shared" si="96"/>
        <v>20122706</v>
      </c>
      <c r="K856">
        <f t="shared" si="97"/>
        <v>21</v>
      </c>
    </row>
    <row r="857" spans="1:11" x14ac:dyDescent="0.25">
      <c r="A857" s="4" t="s">
        <v>883</v>
      </c>
      <c r="B857" t="s">
        <v>3</v>
      </c>
      <c r="C857" t="s">
        <v>4</v>
      </c>
      <c r="D857" s="3">
        <f t="shared" si="91"/>
        <v>6</v>
      </c>
      <c r="E857" s="4">
        <f t="shared" si="92"/>
        <v>29</v>
      </c>
      <c r="F857" s="4">
        <f t="shared" si="93"/>
        <v>28</v>
      </c>
      <c r="G857" s="3">
        <f>IF(E857&gt;=20,2000,1900) + D857</f>
        <v>2006</v>
      </c>
      <c r="H857">
        <f t="shared" si="94"/>
        <v>9</v>
      </c>
      <c r="I857" s="4">
        <f t="shared" si="95"/>
        <v>28</v>
      </c>
      <c r="J857">
        <f t="shared" si="96"/>
        <v>20062928</v>
      </c>
      <c r="K857">
        <f t="shared" si="97"/>
        <v>21</v>
      </c>
    </row>
    <row r="858" spans="1:11" x14ac:dyDescent="0.25">
      <c r="A858" s="4" t="s">
        <v>884</v>
      </c>
      <c r="B858" t="s">
        <v>16</v>
      </c>
      <c r="C858" t="s">
        <v>6</v>
      </c>
      <c r="D858" s="3">
        <f t="shared" si="91"/>
        <v>20</v>
      </c>
      <c r="E858" s="4">
        <f t="shared" si="92"/>
        <v>25</v>
      </c>
      <c r="F858" s="4">
        <f t="shared" si="93"/>
        <v>12</v>
      </c>
      <c r="G858" s="3">
        <f>IF(E858&gt;=20,2000,1900) + D858</f>
        <v>2020</v>
      </c>
      <c r="H858">
        <f t="shared" si="94"/>
        <v>5</v>
      </c>
      <c r="I858" s="4">
        <f t="shared" si="95"/>
        <v>12</v>
      </c>
      <c r="J858">
        <f t="shared" si="96"/>
        <v>20202512</v>
      </c>
      <c r="K858">
        <f t="shared" si="97"/>
        <v>21</v>
      </c>
    </row>
    <row r="859" spans="1:11" x14ac:dyDescent="0.25">
      <c r="A859" s="4" t="s">
        <v>885</v>
      </c>
      <c r="B859" t="s">
        <v>9</v>
      </c>
      <c r="C859" t="s">
        <v>4</v>
      </c>
      <c r="D859" s="3">
        <f t="shared" si="91"/>
        <v>15</v>
      </c>
      <c r="E859" s="4">
        <f t="shared" si="92"/>
        <v>24</v>
      </c>
      <c r="F859" s="4">
        <f t="shared" si="93"/>
        <v>1</v>
      </c>
      <c r="G859" s="3">
        <f>IF(E859&gt;=20,2000,1900) + D859</f>
        <v>2015</v>
      </c>
      <c r="H859">
        <f t="shared" si="94"/>
        <v>4</v>
      </c>
      <c r="I859" s="4">
        <f t="shared" si="95"/>
        <v>1</v>
      </c>
      <c r="J859">
        <f t="shared" si="96"/>
        <v>20152401</v>
      </c>
      <c r="K859">
        <f t="shared" si="97"/>
        <v>21</v>
      </c>
    </row>
    <row r="860" spans="1:11" x14ac:dyDescent="0.25">
      <c r="A860" s="4" t="s">
        <v>886</v>
      </c>
      <c r="B860" t="s">
        <v>16</v>
      </c>
      <c r="C860" t="s">
        <v>4</v>
      </c>
      <c r="D860" s="3">
        <f t="shared" si="91"/>
        <v>12</v>
      </c>
      <c r="E860" s="4">
        <f t="shared" si="92"/>
        <v>22</v>
      </c>
      <c r="F860" s="4">
        <f t="shared" si="93"/>
        <v>6</v>
      </c>
      <c r="G860" s="3">
        <f>IF(E860&gt;=20,2000,1900) + D860</f>
        <v>2012</v>
      </c>
      <c r="H860">
        <f t="shared" si="94"/>
        <v>2</v>
      </c>
      <c r="I860" s="4">
        <f t="shared" si="95"/>
        <v>6</v>
      </c>
      <c r="J860">
        <f t="shared" si="96"/>
        <v>20122206</v>
      </c>
      <c r="K860">
        <f t="shared" si="97"/>
        <v>21</v>
      </c>
    </row>
    <row r="861" spans="1:11" x14ac:dyDescent="0.25">
      <c r="A861" s="4" t="s">
        <v>887</v>
      </c>
      <c r="B861" t="s">
        <v>13</v>
      </c>
      <c r="C861" t="s">
        <v>4</v>
      </c>
      <c r="D861" s="3">
        <f t="shared" si="91"/>
        <v>1</v>
      </c>
      <c r="E861" s="4">
        <f t="shared" si="92"/>
        <v>23</v>
      </c>
      <c r="F861" s="4">
        <f t="shared" si="93"/>
        <v>30</v>
      </c>
      <c r="G861" s="3">
        <f>IF(E861&gt;=20,2000,1900) + D861</f>
        <v>2001</v>
      </c>
      <c r="H861">
        <f t="shared" si="94"/>
        <v>3</v>
      </c>
      <c r="I861" s="4">
        <f t="shared" si="95"/>
        <v>30</v>
      </c>
      <c r="J861">
        <f t="shared" si="96"/>
        <v>20012330</v>
      </c>
      <c r="K861">
        <f t="shared" si="97"/>
        <v>21</v>
      </c>
    </row>
    <row r="862" spans="1:11" x14ac:dyDescent="0.25">
      <c r="A862" s="4" t="s">
        <v>888</v>
      </c>
      <c r="B862" t="s">
        <v>12</v>
      </c>
      <c r="C862" t="s">
        <v>6</v>
      </c>
      <c r="D862" s="3">
        <f t="shared" si="91"/>
        <v>3</v>
      </c>
      <c r="E862" s="4">
        <f t="shared" si="92"/>
        <v>31</v>
      </c>
      <c r="F862" s="4">
        <f t="shared" si="93"/>
        <v>17</v>
      </c>
      <c r="G862" s="3">
        <f>IF(E862&gt;=20,2000,1900) + D862</f>
        <v>2003</v>
      </c>
      <c r="H862">
        <f t="shared" si="94"/>
        <v>11</v>
      </c>
      <c r="I862" s="4">
        <f t="shared" si="95"/>
        <v>17</v>
      </c>
      <c r="J862">
        <f t="shared" si="96"/>
        <v>20033117</v>
      </c>
      <c r="K862">
        <f t="shared" si="97"/>
        <v>21</v>
      </c>
    </row>
    <row r="863" spans="1:11" x14ac:dyDescent="0.25">
      <c r="A863" s="4" t="s">
        <v>889</v>
      </c>
      <c r="B863" t="s">
        <v>7</v>
      </c>
      <c r="C863" t="s">
        <v>4</v>
      </c>
      <c r="D863" s="3">
        <f t="shared" si="91"/>
        <v>5</v>
      </c>
      <c r="E863" s="4">
        <f t="shared" si="92"/>
        <v>26</v>
      </c>
      <c r="F863" s="4">
        <f t="shared" si="93"/>
        <v>15</v>
      </c>
      <c r="G863" s="3">
        <f>IF(E863&gt;=20,2000,1900) + D863</f>
        <v>2005</v>
      </c>
      <c r="H863">
        <f t="shared" si="94"/>
        <v>6</v>
      </c>
      <c r="I863" s="4">
        <f t="shared" si="95"/>
        <v>15</v>
      </c>
      <c r="J863">
        <f t="shared" si="96"/>
        <v>20052615</v>
      </c>
      <c r="K863">
        <f t="shared" si="97"/>
        <v>21</v>
      </c>
    </row>
    <row r="864" spans="1:11" x14ac:dyDescent="0.25">
      <c r="A864" s="4" t="s">
        <v>890</v>
      </c>
      <c r="B864" t="s">
        <v>16</v>
      </c>
      <c r="C864" t="s">
        <v>4</v>
      </c>
      <c r="D864" s="3">
        <f t="shared" si="91"/>
        <v>19</v>
      </c>
      <c r="E864" s="4">
        <f t="shared" si="92"/>
        <v>31</v>
      </c>
      <c r="F864" s="4">
        <f t="shared" si="93"/>
        <v>26</v>
      </c>
      <c r="G864" s="3">
        <f>IF(E864&gt;=20,2000,1900) + D864</f>
        <v>2019</v>
      </c>
      <c r="H864">
        <f t="shared" si="94"/>
        <v>11</v>
      </c>
      <c r="I864" s="4">
        <f t="shared" si="95"/>
        <v>26</v>
      </c>
      <c r="J864">
        <f t="shared" si="96"/>
        <v>20193126</v>
      </c>
      <c r="K864">
        <f t="shared" si="97"/>
        <v>21</v>
      </c>
    </row>
    <row r="865" spans="1:11" x14ac:dyDescent="0.25">
      <c r="A865" s="4" t="s">
        <v>891</v>
      </c>
      <c r="B865" t="s">
        <v>19</v>
      </c>
      <c r="C865" t="s">
        <v>6</v>
      </c>
      <c r="D865" s="3">
        <f t="shared" si="91"/>
        <v>16</v>
      </c>
      <c r="E865" s="4">
        <f t="shared" si="92"/>
        <v>29</v>
      </c>
      <c r="F865" s="4">
        <f t="shared" si="93"/>
        <v>17</v>
      </c>
      <c r="G865" s="3">
        <f>IF(E865&gt;=20,2000,1900) + D865</f>
        <v>2016</v>
      </c>
      <c r="H865">
        <f t="shared" si="94"/>
        <v>9</v>
      </c>
      <c r="I865" s="4">
        <f t="shared" si="95"/>
        <v>17</v>
      </c>
      <c r="J865">
        <f t="shared" si="96"/>
        <v>20162917</v>
      </c>
      <c r="K865">
        <f t="shared" si="97"/>
        <v>21</v>
      </c>
    </row>
    <row r="866" spans="1:11" x14ac:dyDescent="0.25">
      <c r="A866" s="4" t="s">
        <v>892</v>
      </c>
      <c r="B866" t="s">
        <v>18</v>
      </c>
      <c r="C866" t="s">
        <v>6</v>
      </c>
      <c r="D866" s="3">
        <f t="shared" si="91"/>
        <v>7</v>
      </c>
      <c r="E866" s="4">
        <f t="shared" si="92"/>
        <v>22</v>
      </c>
      <c r="F866" s="4">
        <f t="shared" si="93"/>
        <v>10</v>
      </c>
      <c r="G866" s="3">
        <f>IF(E866&gt;=20,2000,1900) + D866</f>
        <v>2007</v>
      </c>
      <c r="H866">
        <f t="shared" si="94"/>
        <v>2</v>
      </c>
      <c r="I866" s="4">
        <f t="shared" si="95"/>
        <v>10</v>
      </c>
      <c r="J866">
        <f t="shared" si="96"/>
        <v>20072210</v>
      </c>
      <c r="K866">
        <f t="shared" si="97"/>
        <v>21</v>
      </c>
    </row>
    <row r="867" spans="1:11" x14ac:dyDescent="0.25">
      <c r="A867" s="4" t="s">
        <v>893</v>
      </c>
      <c r="B867" t="s">
        <v>17</v>
      </c>
      <c r="C867" t="s">
        <v>4</v>
      </c>
      <c r="D867" s="3">
        <f t="shared" si="91"/>
        <v>6</v>
      </c>
      <c r="E867" s="4">
        <f t="shared" si="92"/>
        <v>27</v>
      </c>
      <c r="F867" s="4">
        <f t="shared" si="93"/>
        <v>17</v>
      </c>
      <c r="G867" s="3">
        <f>IF(E867&gt;=20,2000,1900) + D867</f>
        <v>2006</v>
      </c>
      <c r="H867">
        <f t="shared" si="94"/>
        <v>7</v>
      </c>
      <c r="I867" s="4">
        <f t="shared" si="95"/>
        <v>17</v>
      </c>
      <c r="J867">
        <f t="shared" si="96"/>
        <v>20062717</v>
      </c>
      <c r="K867">
        <f t="shared" si="97"/>
        <v>21</v>
      </c>
    </row>
    <row r="868" spans="1:11" x14ac:dyDescent="0.25">
      <c r="A868" s="4" t="s">
        <v>894</v>
      </c>
      <c r="B868" t="s">
        <v>17</v>
      </c>
      <c r="C868" t="s">
        <v>6</v>
      </c>
      <c r="D868" s="3">
        <f t="shared" si="91"/>
        <v>18</v>
      </c>
      <c r="E868" s="4">
        <f t="shared" si="92"/>
        <v>23</v>
      </c>
      <c r="F868" s="4">
        <f t="shared" si="93"/>
        <v>8</v>
      </c>
      <c r="G868" s="3">
        <f>IF(E868&gt;=20,2000,1900) + D868</f>
        <v>2018</v>
      </c>
      <c r="H868">
        <f t="shared" si="94"/>
        <v>3</v>
      </c>
      <c r="I868" s="4">
        <f t="shared" si="95"/>
        <v>8</v>
      </c>
      <c r="J868">
        <f t="shared" si="96"/>
        <v>20182308</v>
      </c>
      <c r="K868">
        <f t="shared" si="97"/>
        <v>21</v>
      </c>
    </row>
    <row r="869" spans="1:11" x14ac:dyDescent="0.25">
      <c r="A869" s="4" t="s">
        <v>895</v>
      </c>
      <c r="B869" t="s">
        <v>5</v>
      </c>
      <c r="C869" t="s">
        <v>6</v>
      </c>
      <c r="D869" s="3">
        <f t="shared" si="91"/>
        <v>17</v>
      </c>
      <c r="E869" s="4">
        <f t="shared" si="92"/>
        <v>25</v>
      </c>
      <c r="F869" s="4">
        <f t="shared" si="93"/>
        <v>15</v>
      </c>
      <c r="G869" s="3">
        <f>IF(E869&gt;=20,2000,1900) + D869</f>
        <v>2017</v>
      </c>
      <c r="H869">
        <f t="shared" si="94"/>
        <v>5</v>
      </c>
      <c r="I869" s="4">
        <f t="shared" si="95"/>
        <v>15</v>
      </c>
      <c r="J869">
        <f t="shared" si="96"/>
        <v>20172515</v>
      </c>
      <c r="K869">
        <f t="shared" si="97"/>
        <v>21</v>
      </c>
    </row>
    <row r="870" spans="1:11" x14ac:dyDescent="0.25">
      <c r="A870" s="4" t="s">
        <v>896</v>
      </c>
      <c r="B870" t="s">
        <v>17</v>
      </c>
      <c r="C870" t="s">
        <v>6</v>
      </c>
      <c r="D870" s="3">
        <f t="shared" si="91"/>
        <v>19</v>
      </c>
      <c r="E870" s="4">
        <f t="shared" si="92"/>
        <v>22</v>
      </c>
      <c r="F870" s="4">
        <f t="shared" si="93"/>
        <v>22</v>
      </c>
      <c r="G870" s="3">
        <f>IF(E870&gt;=20,2000,1900) + D870</f>
        <v>2019</v>
      </c>
      <c r="H870">
        <f t="shared" si="94"/>
        <v>2</v>
      </c>
      <c r="I870" s="4">
        <f t="shared" si="95"/>
        <v>22</v>
      </c>
      <c r="J870">
        <f t="shared" si="96"/>
        <v>20192222</v>
      </c>
      <c r="K870">
        <f t="shared" si="97"/>
        <v>21</v>
      </c>
    </row>
    <row r="871" spans="1:11" x14ac:dyDescent="0.25">
      <c r="A871" s="4" t="s">
        <v>897</v>
      </c>
      <c r="B871" t="s">
        <v>5</v>
      </c>
      <c r="C871" t="s">
        <v>6</v>
      </c>
      <c r="D871" s="3">
        <f t="shared" si="91"/>
        <v>21</v>
      </c>
      <c r="E871" s="4">
        <f t="shared" si="92"/>
        <v>29</v>
      </c>
      <c r="F871" s="4">
        <f t="shared" si="93"/>
        <v>15</v>
      </c>
      <c r="G871" s="3">
        <f>IF(E871&gt;=20,2000,1900) + D871</f>
        <v>2021</v>
      </c>
      <c r="H871">
        <f t="shared" si="94"/>
        <v>9</v>
      </c>
      <c r="I871" s="4">
        <f t="shared" si="95"/>
        <v>15</v>
      </c>
      <c r="J871">
        <f t="shared" si="96"/>
        <v>20212915</v>
      </c>
      <c r="K871">
        <f t="shared" si="97"/>
        <v>21</v>
      </c>
    </row>
    <row r="872" spans="1:11" x14ac:dyDescent="0.25">
      <c r="A872" s="4" t="s">
        <v>898</v>
      </c>
      <c r="B872" t="s">
        <v>17</v>
      </c>
      <c r="C872" t="s">
        <v>6</v>
      </c>
      <c r="D872" s="3">
        <f t="shared" si="91"/>
        <v>20</v>
      </c>
      <c r="E872" s="4">
        <f t="shared" si="92"/>
        <v>25</v>
      </c>
      <c r="F872" s="4">
        <f t="shared" si="93"/>
        <v>15</v>
      </c>
      <c r="G872" s="3">
        <f>IF(E872&gt;=20,2000,1900) + D872</f>
        <v>2020</v>
      </c>
      <c r="H872">
        <f t="shared" si="94"/>
        <v>5</v>
      </c>
      <c r="I872" s="4">
        <f t="shared" si="95"/>
        <v>15</v>
      </c>
      <c r="J872">
        <f t="shared" si="96"/>
        <v>20202515</v>
      </c>
      <c r="K872">
        <f t="shared" si="97"/>
        <v>21</v>
      </c>
    </row>
    <row r="873" spans="1:11" x14ac:dyDescent="0.25">
      <c r="A873" s="4" t="s">
        <v>899</v>
      </c>
      <c r="B873" t="s">
        <v>18</v>
      </c>
      <c r="C873" t="s">
        <v>6</v>
      </c>
      <c r="D873" s="3">
        <f t="shared" si="91"/>
        <v>4</v>
      </c>
      <c r="E873" s="4">
        <f t="shared" si="92"/>
        <v>29</v>
      </c>
      <c r="F873" s="4">
        <f t="shared" si="93"/>
        <v>23</v>
      </c>
      <c r="G873" s="3">
        <f>IF(E873&gt;=20,2000,1900) + D873</f>
        <v>2004</v>
      </c>
      <c r="H873">
        <f t="shared" si="94"/>
        <v>9</v>
      </c>
      <c r="I873" s="4">
        <f t="shared" si="95"/>
        <v>23</v>
      </c>
      <c r="J873">
        <f t="shared" si="96"/>
        <v>20042923</v>
      </c>
      <c r="K873">
        <f t="shared" si="97"/>
        <v>21</v>
      </c>
    </row>
    <row r="874" spans="1:11" x14ac:dyDescent="0.25">
      <c r="A874" s="4" t="s">
        <v>900</v>
      </c>
      <c r="B874" t="s">
        <v>17</v>
      </c>
      <c r="C874" t="s">
        <v>4</v>
      </c>
      <c r="D874" s="3">
        <f t="shared" si="91"/>
        <v>19</v>
      </c>
      <c r="E874" s="4">
        <f t="shared" si="92"/>
        <v>21</v>
      </c>
      <c r="F874" s="4">
        <f t="shared" si="93"/>
        <v>23</v>
      </c>
      <c r="G874" s="3">
        <f>IF(E874&gt;=20,2000,1900) + D874</f>
        <v>2019</v>
      </c>
      <c r="H874">
        <f t="shared" si="94"/>
        <v>1</v>
      </c>
      <c r="I874" s="4">
        <f t="shared" si="95"/>
        <v>23</v>
      </c>
      <c r="J874">
        <f t="shared" si="96"/>
        <v>20192123</v>
      </c>
      <c r="K874">
        <f t="shared" si="97"/>
        <v>21</v>
      </c>
    </row>
    <row r="875" spans="1:11" x14ac:dyDescent="0.25">
      <c r="A875" s="4" t="s">
        <v>901</v>
      </c>
      <c r="B875" t="s">
        <v>3</v>
      </c>
      <c r="C875" t="s">
        <v>6</v>
      </c>
      <c r="D875" s="3">
        <f t="shared" si="91"/>
        <v>3</v>
      </c>
      <c r="E875" s="4">
        <f t="shared" si="92"/>
        <v>21</v>
      </c>
      <c r="F875" s="4">
        <f t="shared" si="93"/>
        <v>28</v>
      </c>
      <c r="G875" s="3">
        <f>IF(E875&gt;=20,2000,1900) + D875</f>
        <v>2003</v>
      </c>
      <c r="H875">
        <f t="shared" si="94"/>
        <v>1</v>
      </c>
      <c r="I875" s="4">
        <f t="shared" si="95"/>
        <v>28</v>
      </c>
      <c r="J875">
        <f t="shared" si="96"/>
        <v>20032128</v>
      </c>
      <c r="K875">
        <f t="shared" si="97"/>
        <v>21</v>
      </c>
    </row>
    <row r="876" spans="1:11" x14ac:dyDescent="0.25">
      <c r="A876" s="4" t="s">
        <v>902</v>
      </c>
      <c r="B876" t="s">
        <v>20</v>
      </c>
      <c r="C876" t="s">
        <v>6</v>
      </c>
      <c r="D876" s="3">
        <f t="shared" si="91"/>
        <v>8</v>
      </c>
      <c r="E876" s="4">
        <f t="shared" si="92"/>
        <v>23</v>
      </c>
      <c r="F876" s="4">
        <f t="shared" si="93"/>
        <v>19</v>
      </c>
      <c r="G876" s="3">
        <f>IF(E876&gt;=20,2000,1900) + D876</f>
        <v>2008</v>
      </c>
      <c r="H876">
        <f t="shared" si="94"/>
        <v>3</v>
      </c>
      <c r="I876" s="4">
        <f t="shared" si="95"/>
        <v>19</v>
      </c>
      <c r="J876">
        <f t="shared" si="96"/>
        <v>20082319</v>
      </c>
      <c r="K876">
        <f t="shared" si="97"/>
        <v>21</v>
      </c>
    </row>
    <row r="877" spans="1:11" x14ac:dyDescent="0.25">
      <c r="A877" s="4" t="s">
        <v>903</v>
      </c>
      <c r="B877" t="s">
        <v>20</v>
      </c>
      <c r="C877" t="s">
        <v>4</v>
      </c>
      <c r="D877" s="3">
        <f t="shared" si="91"/>
        <v>18</v>
      </c>
      <c r="E877" s="4">
        <f t="shared" si="92"/>
        <v>29</v>
      </c>
      <c r="F877" s="4">
        <f t="shared" si="93"/>
        <v>2</v>
      </c>
      <c r="G877" s="3">
        <f>IF(E877&gt;=20,2000,1900) + D877</f>
        <v>2018</v>
      </c>
      <c r="H877">
        <f t="shared" si="94"/>
        <v>9</v>
      </c>
      <c r="I877" s="4">
        <f t="shared" si="95"/>
        <v>2</v>
      </c>
      <c r="J877">
        <f t="shared" si="96"/>
        <v>20182902</v>
      </c>
      <c r="K877">
        <f t="shared" si="97"/>
        <v>21</v>
      </c>
    </row>
    <row r="878" spans="1:11" x14ac:dyDescent="0.25">
      <c r="A878" s="4" t="s">
        <v>904</v>
      </c>
      <c r="B878" t="s">
        <v>9</v>
      </c>
      <c r="C878" t="s">
        <v>6</v>
      </c>
      <c r="D878" s="3">
        <f t="shared" si="91"/>
        <v>14</v>
      </c>
      <c r="E878" s="4">
        <f t="shared" si="92"/>
        <v>27</v>
      </c>
      <c r="F878" s="4">
        <f t="shared" si="93"/>
        <v>9</v>
      </c>
      <c r="G878" s="3">
        <f>IF(E878&gt;=20,2000,1900) + D878</f>
        <v>2014</v>
      </c>
      <c r="H878">
        <f t="shared" si="94"/>
        <v>7</v>
      </c>
      <c r="I878" s="4">
        <f t="shared" si="95"/>
        <v>9</v>
      </c>
      <c r="J878">
        <f t="shared" si="96"/>
        <v>20142709</v>
      </c>
      <c r="K878">
        <f t="shared" si="97"/>
        <v>21</v>
      </c>
    </row>
    <row r="879" spans="1:11" x14ac:dyDescent="0.25">
      <c r="A879" s="4" t="s">
        <v>905</v>
      </c>
      <c r="B879" t="s">
        <v>3</v>
      </c>
      <c r="C879" t="s">
        <v>4</v>
      </c>
      <c r="D879" s="3">
        <f t="shared" si="91"/>
        <v>21</v>
      </c>
      <c r="E879" s="4">
        <f t="shared" si="92"/>
        <v>32</v>
      </c>
      <c r="F879" s="4">
        <f t="shared" si="93"/>
        <v>5</v>
      </c>
      <c r="G879" s="3">
        <f>IF(E879&gt;=20,2000,1900) + D879</f>
        <v>2021</v>
      </c>
      <c r="H879">
        <f t="shared" si="94"/>
        <v>12</v>
      </c>
      <c r="I879" s="4">
        <f t="shared" si="95"/>
        <v>5</v>
      </c>
      <c r="J879">
        <f t="shared" si="96"/>
        <v>20213205</v>
      </c>
      <c r="K879">
        <f t="shared" si="97"/>
        <v>21</v>
      </c>
    </row>
    <row r="880" spans="1:11" x14ac:dyDescent="0.25">
      <c r="A880" s="4" t="s">
        <v>906</v>
      </c>
      <c r="B880" t="s">
        <v>14</v>
      </c>
      <c r="C880" t="s">
        <v>6</v>
      </c>
      <c r="D880" s="3">
        <f t="shared" si="91"/>
        <v>15</v>
      </c>
      <c r="E880" s="4">
        <f t="shared" si="92"/>
        <v>28</v>
      </c>
      <c r="F880" s="4">
        <f t="shared" si="93"/>
        <v>2</v>
      </c>
      <c r="G880" s="3">
        <f>IF(E880&gt;=20,2000,1900) + D880</f>
        <v>2015</v>
      </c>
      <c r="H880">
        <f t="shared" si="94"/>
        <v>8</v>
      </c>
      <c r="I880" s="4">
        <f t="shared" si="95"/>
        <v>2</v>
      </c>
      <c r="J880">
        <f t="shared" si="96"/>
        <v>20152802</v>
      </c>
      <c r="K880">
        <f t="shared" si="97"/>
        <v>21</v>
      </c>
    </row>
    <row r="881" spans="1:11" x14ac:dyDescent="0.25">
      <c r="A881" s="4" t="s">
        <v>907</v>
      </c>
      <c r="B881" t="s">
        <v>12</v>
      </c>
      <c r="C881" t="s">
        <v>4</v>
      </c>
      <c r="D881" s="3">
        <f t="shared" si="91"/>
        <v>8</v>
      </c>
      <c r="E881" s="4">
        <f t="shared" si="92"/>
        <v>23</v>
      </c>
      <c r="F881" s="4">
        <f t="shared" si="93"/>
        <v>16</v>
      </c>
      <c r="G881" s="3">
        <f>IF(E881&gt;=20,2000,1900) + D881</f>
        <v>2008</v>
      </c>
      <c r="H881">
        <f t="shared" si="94"/>
        <v>3</v>
      </c>
      <c r="I881" s="4">
        <f t="shared" si="95"/>
        <v>16</v>
      </c>
      <c r="J881">
        <f t="shared" si="96"/>
        <v>20082316</v>
      </c>
      <c r="K881">
        <f t="shared" si="97"/>
        <v>21</v>
      </c>
    </row>
    <row r="882" spans="1:11" x14ac:dyDescent="0.25">
      <c r="A882" s="4" t="s">
        <v>908</v>
      </c>
      <c r="B882" t="s">
        <v>15</v>
      </c>
      <c r="C882" t="s">
        <v>6</v>
      </c>
      <c r="D882" s="3">
        <f t="shared" si="91"/>
        <v>4</v>
      </c>
      <c r="E882" s="4">
        <f t="shared" si="92"/>
        <v>27</v>
      </c>
      <c r="F882" s="4">
        <f t="shared" si="93"/>
        <v>29</v>
      </c>
      <c r="G882" s="3">
        <f>IF(E882&gt;=20,2000,1900) + D882</f>
        <v>2004</v>
      </c>
      <c r="H882">
        <f t="shared" si="94"/>
        <v>7</v>
      </c>
      <c r="I882" s="4">
        <f t="shared" si="95"/>
        <v>29</v>
      </c>
      <c r="J882">
        <f t="shared" si="96"/>
        <v>20042729</v>
      </c>
      <c r="K882">
        <f t="shared" si="97"/>
        <v>21</v>
      </c>
    </row>
    <row r="883" spans="1:11" x14ac:dyDescent="0.25">
      <c r="A883" s="4" t="s">
        <v>909</v>
      </c>
      <c r="B883" t="s">
        <v>19</v>
      </c>
      <c r="C883" t="s">
        <v>4</v>
      </c>
      <c r="D883" s="3">
        <f t="shared" si="91"/>
        <v>6</v>
      </c>
      <c r="E883" s="4">
        <f t="shared" si="92"/>
        <v>29</v>
      </c>
      <c r="F883" s="4">
        <f t="shared" si="93"/>
        <v>7</v>
      </c>
      <c r="G883" s="3">
        <f>IF(E883&gt;=20,2000,1900) + D883</f>
        <v>2006</v>
      </c>
      <c r="H883">
        <f t="shared" si="94"/>
        <v>9</v>
      </c>
      <c r="I883" s="4">
        <f t="shared" si="95"/>
        <v>7</v>
      </c>
      <c r="J883">
        <f t="shared" si="96"/>
        <v>20062907</v>
      </c>
      <c r="K883">
        <f t="shared" si="97"/>
        <v>21</v>
      </c>
    </row>
    <row r="884" spans="1:11" x14ac:dyDescent="0.25">
      <c r="A884" s="4" t="s">
        <v>910</v>
      </c>
      <c r="B884" t="s">
        <v>11</v>
      </c>
      <c r="C884" t="s">
        <v>4</v>
      </c>
      <c r="D884" s="3">
        <f t="shared" si="91"/>
        <v>0</v>
      </c>
      <c r="E884" s="4">
        <f t="shared" si="92"/>
        <v>30</v>
      </c>
      <c r="F884" s="4">
        <f t="shared" si="93"/>
        <v>12</v>
      </c>
      <c r="G884" s="3">
        <f>IF(E884&gt;=20,2000,1900) + D884</f>
        <v>2000</v>
      </c>
      <c r="H884">
        <f t="shared" si="94"/>
        <v>10</v>
      </c>
      <c r="I884" s="4">
        <f t="shared" si="95"/>
        <v>12</v>
      </c>
      <c r="J884">
        <f t="shared" si="96"/>
        <v>20003012</v>
      </c>
      <c r="K884">
        <f t="shared" si="97"/>
        <v>20</v>
      </c>
    </row>
    <row r="885" spans="1:11" x14ac:dyDescent="0.25">
      <c r="A885" s="4" t="s">
        <v>911</v>
      </c>
      <c r="B885" t="s">
        <v>13</v>
      </c>
      <c r="C885" t="s">
        <v>6</v>
      </c>
      <c r="D885" s="3">
        <f t="shared" si="91"/>
        <v>18</v>
      </c>
      <c r="E885" s="4">
        <f t="shared" si="92"/>
        <v>21</v>
      </c>
      <c r="F885" s="4">
        <f t="shared" si="93"/>
        <v>12</v>
      </c>
      <c r="G885" s="3">
        <f>IF(E885&gt;=20,2000,1900) + D885</f>
        <v>2018</v>
      </c>
      <c r="H885">
        <f t="shared" si="94"/>
        <v>1</v>
      </c>
      <c r="I885" s="4">
        <f t="shared" si="95"/>
        <v>12</v>
      </c>
      <c r="J885">
        <f t="shared" si="96"/>
        <v>20182112</v>
      </c>
      <c r="K885">
        <f t="shared" si="97"/>
        <v>21</v>
      </c>
    </row>
    <row r="886" spans="1:11" x14ac:dyDescent="0.25">
      <c r="A886" s="4" t="s">
        <v>912</v>
      </c>
      <c r="B886" t="s">
        <v>13</v>
      </c>
      <c r="C886" t="s">
        <v>4</v>
      </c>
      <c r="D886" s="3">
        <f t="shared" si="91"/>
        <v>5</v>
      </c>
      <c r="E886" s="4">
        <f t="shared" si="92"/>
        <v>28</v>
      </c>
      <c r="F886" s="4">
        <f t="shared" si="93"/>
        <v>23</v>
      </c>
      <c r="G886" s="3">
        <f>IF(E886&gt;=20,2000,1900) + D886</f>
        <v>2005</v>
      </c>
      <c r="H886">
        <f t="shared" si="94"/>
        <v>8</v>
      </c>
      <c r="I886" s="4">
        <f t="shared" si="95"/>
        <v>23</v>
      </c>
      <c r="J886">
        <f t="shared" si="96"/>
        <v>20052823</v>
      </c>
      <c r="K886">
        <f t="shared" si="97"/>
        <v>21</v>
      </c>
    </row>
    <row r="887" spans="1:11" x14ac:dyDescent="0.25">
      <c r="A887" s="4" t="s">
        <v>913</v>
      </c>
      <c r="B887" t="s">
        <v>16</v>
      </c>
      <c r="C887" t="s">
        <v>4</v>
      </c>
      <c r="D887" s="3">
        <f t="shared" si="91"/>
        <v>18</v>
      </c>
      <c r="E887" s="4">
        <f t="shared" si="92"/>
        <v>24</v>
      </c>
      <c r="F887" s="4">
        <f t="shared" si="93"/>
        <v>14</v>
      </c>
      <c r="G887" s="3">
        <f>IF(E887&gt;=20,2000,1900) + D887</f>
        <v>2018</v>
      </c>
      <c r="H887">
        <f t="shared" si="94"/>
        <v>4</v>
      </c>
      <c r="I887" s="4">
        <f t="shared" si="95"/>
        <v>14</v>
      </c>
      <c r="J887">
        <f t="shared" si="96"/>
        <v>20182414</v>
      </c>
      <c r="K887">
        <f t="shared" si="97"/>
        <v>21</v>
      </c>
    </row>
    <row r="888" spans="1:11" x14ac:dyDescent="0.25">
      <c r="A888" s="4" t="s">
        <v>914</v>
      </c>
      <c r="B888" t="s">
        <v>20</v>
      </c>
      <c r="C888" t="s">
        <v>6</v>
      </c>
      <c r="D888" s="3">
        <f t="shared" si="91"/>
        <v>16</v>
      </c>
      <c r="E888" s="4">
        <f t="shared" si="92"/>
        <v>31</v>
      </c>
      <c r="F888" s="4">
        <f t="shared" si="93"/>
        <v>20</v>
      </c>
      <c r="G888" s="3">
        <f>IF(E888&gt;=20,2000,1900) + D888</f>
        <v>2016</v>
      </c>
      <c r="H888">
        <f t="shared" si="94"/>
        <v>11</v>
      </c>
      <c r="I888" s="4">
        <f t="shared" si="95"/>
        <v>20</v>
      </c>
      <c r="J888">
        <f t="shared" si="96"/>
        <v>20163120</v>
      </c>
      <c r="K888">
        <f t="shared" si="97"/>
        <v>21</v>
      </c>
    </row>
    <row r="889" spans="1:11" x14ac:dyDescent="0.25">
      <c r="A889" s="4" t="s">
        <v>915</v>
      </c>
      <c r="B889" t="s">
        <v>9</v>
      </c>
      <c r="C889" t="s">
        <v>4</v>
      </c>
      <c r="D889" s="3">
        <f t="shared" si="91"/>
        <v>9</v>
      </c>
      <c r="E889" s="4">
        <f t="shared" si="92"/>
        <v>32</v>
      </c>
      <c r="F889" s="4">
        <f t="shared" si="93"/>
        <v>15</v>
      </c>
      <c r="G889" s="3">
        <f>IF(E889&gt;=20,2000,1900) + D889</f>
        <v>2009</v>
      </c>
      <c r="H889">
        <f t="shared" si="94"/>
        <v>12</v>
      </c>
      <c r="I889" s="4">
        <f t="shared" si="95"/>
        <v>15</v>
      </c>
      <c r="J889">
        <f t="shared" si="96"/>
        <v>20093215</v>
      </c>
      <c r="K889">
        <f t="shared" si="97"/>
        <v>21</v>
      </c>
    </row>
    <row r="890" spans="1:11" x14ac:dyDescent="0.25">
      <c r="A890" s="4" t="s">
        <v>916</v>
      </c>
      <c r="B890" t="s">
        <v>10</v>
      </c>
      <c r="C890" t="s">
        <v>6</v>
      </c>
      <c r="D890" s="3">
        <f t="shared" si="91"/>
        <v>8</v>
      </c>
      <c r="E890" s="4">
        <f t="shared" si="92"/>
        <v>27</v>
      </c>
      <c r="F890" s="4">
        <f t="shared" si="93"/>
        <v>17</v>
      </c>
      <c r="G890" s="3">
        <f>IF(E890&gt;=20,2000,1900) + D890</f>
        <v>2008</v>
      </c>
      <c r="H890">
        <f t="shared" si="94"/>
        <v>7</v>
      </c>
      <c r="I890" s="4">
        <f t="shared" si="95"/>
        <v>17</v>
      </c>
      <c r="J890">
        <f t="shared" si="96"/>
        <v>20082717</v>
      </c>
      <c r="K890">
        <f t="shared" si="97"/>
        <v>21</v>
      </c>
    </row>
    <row r="891" spans="1:11" x14ac:dyDescent="0.25">
      <c r="A891" s="4" t="s">
        <v>917</v>
      </c>
      <c r="B891" t="s">
        <v>9</v>
      </c>
      <c r="C891" t="s">
        <v>6</v>
      </c>
      <c r="D891" s="3">
        <f t="shared" si="91"/>
        <v>10</v>
      </c>
      <c r="E891" s="4">
        <f t="shared" si="92"/>
        <v>31</v>
      </c>
      <c r="F891" s="4">
        <f t="shared" si="93"/>
        <v>10</v>
      </c>
      <c r="G891" s="3">
        <f>IF(E891&gt;=20,2000,1900) + D891</f>
        <v>2010</v>
      </c>
      <c r="H891">
        <f t="shared" si="94"/>
        <v>11</v>
      </c>
      <c r="I891" s="4">
        <f t="shared" si="95"/>
        <v>10</v>
      </c>
      <c r="J891">
        <f t="shared" si="96"/>
        <v>20103110</v>
      </c>
      <c r="K891">
        <f t="shared" si="97"/>
        <v>21</v>
      </c>
    </row>
    <row r="892" spans="1:11" x14ac:dyDescent="0.25">
      <c r="A892" s="4" t="s">
        <v>918</v>
      </c>
      <c r="B892" t="s">
        <v>19</v>
      </c>
      <c r="C892" t="s">
        <v>4</v>
      </c>
      <c r="D892" s="3">
        <f t="shared" si="91"/>
        <v>14</v>
      </c>
      <c r="E892" s="4">
        <f t="shared" si="92"/>
        <v>28</v>
      </c>
      <c r="F892" s="4">
        <f t="shared" si="93"/>
        <v>12</v>
      </c>
      <c r="G892" s="3">
        <f>IF(E892&gt;=20,2000,1900) + D892</f>
        <v>2014</v>
      </c>
      <c r="H892">
        <f t="shared" si="94"/>
        <v>8</v>
      </c>
      <c r="I892" s="4">
        <f t="shared" si="95"/>
        <v>12</v>
      </c>
      <c r="J892">
        <f t="shared" si="96"/>
        <v>20142812</v>
      </c>
      <c r="K892">
        <f t="shared" si="97"/>
        <v>21</v>
      </c>
    </row>
    <row r="893" spans="1:11" x14ac:dyDescent="0.25">
      <c r="A893" s="4" t="s">
        <v>919</v>
      </c>
      <c r="B893" t="s">
        <v>13</v>
      </c>
      <c r="C893" t="s">
        <v>6</v>
      </c>
      <c r="D893" s="3">
        <f t="shared" si="91"/>
        <v>3</v>
      </c>
      <c r="E893" s="4">
        <f t="shared" si="92"/>
        <v>24</v>
      </c>
      <c r="F893" s="4">
        <f t="shared" si="93"/>
        <v>15</v>
      </c>
      <c r="G893" s="3">
        <f>IF(E893&gt;=20,2000,1900) + D893</f>
        <v>2003</v>
      </c>
      <c r="H893">
        <f t="shared" si="94"/>
        <v>4</v>
      </c>
      <c r="I893" s="4">
        <f t="shared" si="95"/>
        <v>15</v>
      </c>
      <c r="J893">
        <f t="shared" si="96"/>
        <v>20032415</v>
      </c>
      <c r="K893">
        <f t="shared" si="97"/>
        <v>21</v>
      </c>
    </row>
    <row r="894" spans="1:11" x14ac:dyDescent="0.25">
      <c r="A894" s="4" t="s">
        <v>920</v>
      </c>
      <c r="B894" t="s">
        <v>16</v>
      </c>
      <c r="C894" t="s">
        <v>4</v>
      </c>
      <c r="D894" s="3">
        <f t="shared" si="91"/>
        <v>2</v>
      </c>
      <c r="E894" s="4">
        <f t="shared" si="92"/>
        <v>27</v>
      </c>
      <c r="F894" s="4">
        <f t="shared" si="93"/>
        <v>20</v>
      </c>
      <c r="G894" s="3">
        <f>IF(E894&gt;=20,2000,1900) + D894</f>
        <v>2002</v>
      </c>
      <c r="H894">
        <f t="shared" si="94"/>
        <v>7</v>
      </c>
      <c r="I894" s="4">
        <f t="shared" si="95"/>
        <v>20</v>
      </c>
      <c r="J894">
        <f t="shared" si="96"/>
        <v>20022720</v>
      </c>
      <c r="K894">
        <f t="shared" si="97"/>
        <v>21</v>
      </c>
    </row>
    <row r="895" spans="1:11" x14ac:dyDescent="0.25">
      <c r="A895" s="4" t="s">
        <v>921</v>
      </c>
      <c r="B895" t="s">
        <v>13</v>
      </c>
      <c r="C895" t="s">
        <v>4</v>
      </c>
      <c r="D895" s="3">
        <f t="shared" si="91"/>
        <v>17</v>
      </c>
      <c r="E895" s="4">
        <f t="shared" si="92"/>
        <v>28</v>
      </c>
      <c r="F895" s="4">
        <f t="shared" si="93"/>
        <v>23</v>
      </c>
      <c r="G895" s="3">
        <f>IF(E895&gt;=20,2000,1900) + D895</f>
        <v>2017</v>
      </c>
      <c r="H895">
        <f t="shared" si="94"/>
        <v>8</v>
      </c>
      <c r="I895" s="4">
        <f t="shared" si="95"/>
        <v>23</v>
      </c>
      <c r="J895">
        <f t="shared" si="96"/>
        <v>20172823</v>
      </c>
      <c r="K895">
        <f t="shared" si="97"/>
        <v>21</v>
      </c>
    </row>
    <row r="896" spans="1:11" x14ac:dyDescent="0.25">
      <c r="A896" s="4" t="s">
        <v>922</v>
      </c>
      <c r="B896" t="s">
        <v>5</v>
      </c>
      <c r="C896" t="s">
        <v>6</v>
      </c>
      <c r="D896" s="3">
        <f t="shared" si="91"/>
        <v>3</v>
      </c>
      <c r="E896" s="4">
        <f t="shared" si="92"/>
        <v>24</v>
      </c>
      <c r="F896" s="4">
        <f t="shared" si="93"/>
        <v>18</v>
      </c>
      <c r="G896" s="3">
        <f>IF(E896&gt;=20,2000,1900) + D896</f>
        <v>2003</v>
      </c>
      <c r="H896">
        <f t="shared" si="94"/>
        <v>4</v>
      </c>
      <c r="I896" s="4">
        <f t="shared" si="95"/>
        <v>18</v>
      </c>
      <c r="J896">
        <f t="shared" si="96"/>
        <v>20032418</v>
      </c>
      <c r="K896">
        <f t="shared" si="97"/>
        <v>21</v>
      </c>
    </row>
    <row r="897" spans="1:11" x14ac:dyDescent="0.25">
      <c r="A897" s="4" t="s">
        <v>923</v>
      </c>
      <c r="B897" t="s">
        <v>9</v>
      </c>
      <c r="C897" t="s">
        <v>6</v>
      </c>
      <c r="D897" s="3">
        <f t="shared" si="91"/>
        <v>10</v>
      </c>
      <c r="E897" s="4">
        <f t="shared" si="92"/>
        <v>21</v>
      </c>
      <c r="F897" s="4">
        <f t="shared" si="93"/>
        <v>7</v>
      </c>
      <c r="G897" s="3">
        <f>IF(E897&gt;=20,2000,1900) + D897</f>
        <v>2010</v>
      </c>
      <c r="H897">
        <f t="shared" si="94"/>
        <v>1</v>
      </c>
      <c r="I897" s="4">
        <f t="shared" si="95"/>
        <v>7</v>
      </c>
      <c r="J897">
        <f t="shared" si="96"/>
        <v>20102107</v>
      </c>
      <c r="K897">
        <f t="shared" si="97"/>
        <v>21</v>
      </c>
    </row>
    <row r="898" spans="1:11" x14ac:dyDescent="0.25">
      <c r="A898" s="4" t="s">
        <v>924</v>
      </c>
      <c r="B898" t="s">
        <v>19</v>
      </c>
      <c r="C898" t="s">
        <v>4</v>
      </c>
      <c r="D898" s="3">
        <f t="shared" si="91"/>
        <v>12</v>
      </c>
      <c r="E898" s="4">
        <f t="shared" si="92"/>
        <v>31</v>
      </c>
      <c r="F898" s="4">
        <f t="shared" si="93"/>
        <v>7</v>
      </c>
      <c r="G898" s="3">
        <f>IF(E898&gt;=20,2000,1900) + D898</f>
        <v>2012</v>
      </c>
      <c r="H898">
        <f t="shared" si="94"/>
        <v>11</v>
      </c>
      <c r="I898" s="4">
        <f t="shared" si="95"/>
        <v>7</v>
      </c>
      <c r="J898">
        <f t="shared" si="96"/>
        <v>20123107</v>
      </c>
      <c r="K898">
        <f t="shared" si="97"/>
        <v>21</v>
      </c>
    </row>
    <row r="899" spans="1:11" x14ac:dyDescent="0.25">
      <c r="A899" s="4" t="s">
        <v>925</v>
      </c>
      <c r="B899" t="s">
        <v>10</v>
      </c>
      <c r="C899" t="s">
        <v>6</v>
      </c>
      <c r="D899" s="3">
        <f t="shared" ref="D899:D962" si="98">MID(A899,1,2)*1</f>
        <v>14</v>
      </c>
      <c r="E899" s="4">
        <f t="shared" ref="E899:E962" si="99">MID(A899,3,2)*1</f>
        <v>26</v>
      </c>
      <c r="F899" s="4">
        <f t="shared" ref="F899:F962" si="100">MID(A899,5,2)*1</f>
        <v>28</v>
      </c>
      <c r="G899" s="3">
        <f>IF(E899&gt;=20,2000,1900) + D899</f>
        <v>2014</v>
      </c>
      <c r="H899">
        <f t="shared" ref="H899:H962" si="101">IF(E899&gt;=20,E899-20,E899)</f>
        <v>6</v>
      </c>
      <c r="I899" s="4">
        <f t="shared" ref="I899:I962" si="102">F899</f>
        <v>28</v>
      </c>
      <c r="J899">
        <f t="shared" ref="J899:J962" si="103">CONCATENATE(G899,IF(LEN(E899)=1,CONCATENATE("0",E899),E899),IF(LEN(F899)=1,CONCATENATE("0",F899),F899))*1</f>
        <v>20142628</v>
      </c>
      <c r="K899">
        <f t="shared" ref="K899:K962" si="104">IF(G899&lt;=2000,20,21)</f>
        <v>21</v>
      </c>
    </row>
    <row r="900" spans="1:11" x14ac:dyDescent="0.25">
      <c r="A900" s="4" t="s">
        <v>926</v>
      </c>
      <c r="B900" t="s">
        <v>3</v>
      </c>
      <c r="C900" t="s">
        <v>6</v>
      </c>
      <c r="D900" s="3">
        <f t="shared" si="98"/>
        <v>16</v>
      </c>
      <c r="E900" s="4">
        <f t="shared" si="99"/>
        <v>22</v>
      </c>
      <c r="F900" s="4">
        <f t="shared" si="100"/>
        <v>14</v>
      </c>
      <c r="G900" s="3">
        <f>IF(E900&gt;=20,2000,1900) + D900</f>
        <v>2016</v>
      </c>
      <c r="H900">
        <f t="shared" si="101"/>
        <v>2</v>
      </c>
      <c r="I900" s="4">
        <f t="shared" si="102"/>
        <v>14</v>
      </c>
      <c r="J900">
        <f t="shared" si="103"/>
        <v>20162214</v>
      </c>
      <c r="K900">
        <f t="shared" si="104"/>
        <v>21</v>
      </c>
    </row>
    <row r="901" spans="1:11" x14ac:dyDescent="0.25">
      <c r="A901" s="4" t="s">
        <v>927</v>
      </c>
      <c r="B901" t="s">
        <v>12</v>
      </c>
      <c r="C901" t="s">
        <v>4</v>
      </c>
      <c r="D901" s="3">
        <f t="shared" si="98"/>
        <v>6</v>
      </c>
      <c r="E901" s="4">
        <f t="shared" si="99"/>
        <v>24</v>
      </c>
      <c r="F901" s="4">
        <f t="shared" si="100"/>
        <v>9</v>
      </c>
      <c r="G901" s="3">
        <f>IF(E901&gt;=20,2000,1900) + D901</f>
        <v>2006</v>
      </c>
      <c r="H901">
        <f t="shared" si="101"/>
        <v>4</v>
      </c>
      <c r="I901" s="4">
        <f t="shared" si="102"/>
        <v>9</v>
      </c>
      <c r="J901">
        <f t="shared" si="103"/>
        <v>20062409</v>
      </c>
      <c r="K901">
        <f t="shared" si="104"/>
        <v>21</v>
      </c>
    </row>
    <row r="902" spans="1:11" x14ac:dyDescent="0.25">
      <c r="A902" s="4" t="s">
        <v>928</v>
      </c>
      <c r="B902" t="s">
        <v>9</v>
      </c>
      <c r="C902" t="s">
        <v>4</v>
      </c>
      <c r="D902" s="3">
        <f t="shared" si="98"/>
        <v>20</v>
      </c>
      <c r="E902" s="4">
        <f t="shared" si="99"/>
        <v>23</v>
      </c>
      <c r="F902" s="4">
        <f t="shared" si="100"/>
        <v>12</v>
      </c>
      <c r="G902" s="3">
        <f>IF(E902&gt;=20,2000,1900) + D902</f>
        <v>2020</v>
      </c>
      <c r="H902">
        <f t="shared" si="101"/>
        <v>3</v>
      </c>
      <c r="I902" s="4">
        <f t="shared" si="102"/>
        <v>12</v>
      </c>
      <c r="J902">
        <f t="shared" si="103"/>
        <v>20202312</v>
      </c>
      <c r="K902">
        <f t="shared" si="104"/>
        <v>21</v>
      </c>
    </row>
    <row r="903" spans="1:11" x14ac:dyDescent="0.25">
      <c r="A903" s="4" t="s">
        <v>929</v>
      </c>
      <c r="B903" t="s">
        <v>16</v>
      </c>
      <c r="C903" t="s">
        <v>6</v>
      </c>
      <c r="D903" s="3">
        <f t="shared" si="98"/>
        <v>2</v>
      </c>
      <c r="E903" s="4">
        <f t="shared" si="99"/>
        <v>26</v>
      </c>
      <c r="F903" s="4">
        <f t="shared" si="100"/>
        <v>9</v>
      </c>
      <c r="G903" s="3">
        <f>IF(E903&gt;=20,2000,1900) + D903</f>
        <v>2002</v>
      </c>
      <c r="H903">
        <f t="shared" si="101"/>
        <v>6</v>
      </c>
      <c r="I903" s="4">
        <f t="shared" si="102"/>
        <v>9</v>
      </c>
      <c r="J903">
        <f t="shared" si="103"/>
        <v>20022609</v>
      </c>
      <c r="K903">
        <f t="shared" si="104"/>
        <v>21</v>
      </c>
    </row>
    <row r="904" spans="1:11" x14ac:dyDescent="0.25">
      <c r="A904" s="4" t="s">
        <v>930</v>
      </c>
      <c r="B904" t="s">
        <v>3</v>
      </c>
      <c r="C904" t="s">
        <v>6</v>
      </c>
      <c r="D904" s="3">
        <f t="shared" si="98"/>
        <v>15</v>
      </c>
      <c r="E904" s="4">
        <f t="shared" si="99"/>
        <v>30</v>
      </c>
      <c r="F904" s="4">
        <f t="shared" si="100"/>
        <v>4</v>
      </c>
      <c r="G904" s="3">
        <f>IF(E904&gt;=20,2000,1900) + D904</f>
        <v>2015</v>
      </c>
      <c r="H904">
        <f t="shared" si="101"/>
        <v>10</v>
      </c>
      <c r="I904" s="4">
        <f t="shared" si="102"/>
        <v>4</v>
      </c>
      <c r="J904">
        <f t="shared" si="103"/>
        <v>20153004</v>
      </c>
      <c r="K904">
        <f t="shared" si="104"/>
        <v>21</v>
      </c>
    </row>
    <row r="905" spans="1:11" x14ac:dyDescent="0.25">
      <c r="A905" s="4" t="s">
        <v>931</v>
      </c>
      <c r="B905" t="s">
        <v>7</v>
      </c>
      <c r="C905" t="s">
        <v>4</v>
      </c>
      <c r="D905" s="3">
        <f t="shared" si="98"/>
        <v>12</v>
      </c>
      <c r="E905" s="4">
        <f t="shared" si="99"/>
        <v>24</v>
      </c>
      <c r="F905" s="4">
        <f t="shared" si="100"/>
        <v>16</v>
      </c>
      <c r="G905" s="3">
        <f>IF(E905&gt;=20,2000,1900) + D905</f>
        <v>2012</v>
      </c>
      <c r="H905">
        <f t="shared" si="101"/>
        <v>4</v>
      </c>
      <c r="I905" s="4">
        <f t="shared" si="102"/>
        <v>16</v>
      </c>
      <c r="J905">
        <f t="shared" si="103"/>
        <v>20122416</v>
      </c>
      <c r="K905">
        <f t="shared" si="104"/>
        <v>21</v>
      </c>
    </row>
    <row r="906" spans="1:11" x14ac:dyDescent="0.25">
      <c r="A906" s="4" t="s">
        <v>932</v>
      </c>
      <c r="B906" t="s">
        <v>11</v>
      </c>
      <c r="C906" t="s">
        <v>6</v>
      </c>
      <c r="D906" s="3">
        <f t="shared" si="98"/>
        <v>13</v>
      </c>
      <c r="E906" s="4">
        <f t="shared" si="99"/>
        <v>22</v>
      </c>
      <c r="F906" s="4">
        <f t="shared" si="100"/>
        <v>24</v>
      </c>
      <c r="G906" s="3">
        <f>IF(E906&gt;=20,2000,1900) + D906</f>
        <v>2013</v>
      </c>
      <c r="H906">
        <f t="shared" si="101"/>
        <v>2</v>
      </c>
      <c r="I906" s="4">
        <f t="shared" si="102"/>
        <v>24</v>
      </c>
      <c r="J906">
        <f t="shared" si="103"/>
        <v>20132224</v>
      </c>
      <c r="K906">
        <f t="shared" si="104"/>
        <v>21</v>
      </c>
    </row>
    <row r="907" spans="1:11" x14ac:dyDescent="0.25">
      <c r="A907" s="4" t="s">
        <v>933</v>
      </c>
      <c r="B907" t="s">
        <v>8</v>
      </c>
      <c r="C907" t="s">
        <v>4</v>
      </c>
      <c r="D907" s="3">
        <f t="shared" si="98"/>
        <v>20</v>
      </c>
      <c r="E907" s="4">
        <f t="shared" si="99"/>
        <v>30</v>
      </c>
      <c r="F907" s="4">
        <f t="shared" si="100"/>
        <v>31</v>
      </c>
      <c r="G907" s="3">
        <f>IF(E907&gt;=20,2000,1900) + D907</f>
        <v>2020</v>
      </c>
      <c r="H907">
        <f t="shared" si="101"/>
        <v>10</v>
      </c>
      <c r="I907" s="4">
        <f t="shared" si="102"/>
        <v>31</v>
      </c>
      <c r="J907">
        <f t="shared" si="103"/>
        <v>20203031</v>
      </c>
      <c r="K907">
        <f t="shared" si="104"/>
        <v>21</v>
      </c>
    </row>
    <row r="908" spans="1:11" x14ac:dyDescent="0.25">
      <c r="A908" s="4" t="s">
        <v>934</v>
      </c>
      <c r="B908" t="s">
        <v>16</v>
      </c>
      <c r="C908" t="s">
        <v>4</v>
      </c>
      <c r="D908" s="3">
        <f t="shared" si="98"/>
        <v>14</v>
      </c>
      <c r="E908" s="4">
        <f t="shared" si="99"/>
        <v>27</v>
      </c>
      <c r="F908" s="4">
        <f t="shared" si="100"/>
        <v>18</v>
      </c>
      <c r="G908" s="3">
        <f>IF(E908&gt;=20,2000,1900) + D908</f>
        <v>2014</v>
      </c>
      <c r="H908">
        <f t="shared" si="101"/>
        <v>7</v>
      </c>
      <c r="I908" s="4">
        <f t="shared" si="102"/>
        <v>18</v>
      </c>
      <c r="J908">
        <f t="shared" si="103"/>
        <v>20142718</v>
      </c>
      <c r="K908">
        <f t="shared" si="104"/>
        <v>21</v>
      </c>
    </row>
    <row r="909" spans="1:11" x14ac:dyDescent="0.25">
      <c r="A909" s="4" t="s">
        <v>935</v>
      </c>
      <c r="B909" t="s">
        <v>7</v>
      </c>
      <c r="C909" t="s">
        <v>4</v>
      </c>
      <c r="D909" s="3">
        <f t="shared" si="98"/>
        <v>6</v>
      </c>
      <c r="E909" s="4">
        <f t="shared" si="99"/>
        <v>22</v>
      </c>
      <c r="F909" s="4">
        <f t="shared" si="100"/>
        <v>3</v>
      </c>
      <c r="G909" s="3">
        <f>IF(E909&gt;=20,2000,1900) + D909</f>
        <v>2006</v>
      </c>
      <c r="H909">
        <f t="shared" si="101"/>
        <v>2</v>
      </c>
      <c r="I909" s="4">
        <f t="shared" si="102"/>
        <v>3</v>
      </c>
      <c r="J909">
        <f t="shared" si="103"/>
        <v>20062203</v>
      </c>
      <c r="K909">
        <f t="shared" si="104"/>
        <v>21</v>
      </c>
    </row>
    <row r="910" spans="1:11" x14ac:dyDescent="0.25">
      <c r="A910" s="4" t="s">
        <v>936</v>
      </c>
      <c r="B910" t="s">
        <v>13</v>
      </c>
      <c r="C910" t="s">
        <v>4</v>
      </c>
      <c r="D910" s="3">
        <f t="shared" si="98"/>
        <v>7</v>
      </c>
      <c r="E910" s="4">
        <f t="shared" si="99"/>
        <v>23</v>
      </c>
      <c r="F910" s="4">
        <f t="shared" si="100"/>
        <v>16</v>
      </c>
      <c r="G910" s="3">
        <f>IF(E910&gt;=20,2000,1900) + D910</f>
        <v>2007</v>
      </c>
      <c r="H910">
        <f t="shared" si="101"/>
        <v>3</v>
      </c>
      <c r="I910" s="4">
        <f t="shared" si="102"/>
        <v>16</v>
      </c>
      <c r="J910">
        <f t="shared" si="103"/>
        <v>20072316</v>
      </c>
      <c r="K910">
        <f t="shared" si="104"/>
        <v>21</v>
      </c>
    </row>
    <row r="911" spans="1:11" x14ac:dyDescent="0.25">
      <c r="A911" s="4" t="s">
        <v>937</v>
      </c>
      <c r="B911" t="s">
        <v>16</v>
      </c>
      <c r="C911" t="s">
        <v>4</v>
      </c>
      <c r="D911" s="3">
        <f t="shared" si="98"/>
        <v>7</v>
      </c>
      <c r="E911" s="4">
        <f t="shared" si="99"/>
        <v>28</v>
      </c>
      <c r="F911" s="4">
        <f t="shared" si="100"/>
        <v>21</v>
      </c>
      <c r="G911" s="3">
        <f>IF(E911&gt;=20,2000,1900) + D911</f>
        <v>2007</v>
      </c>
      <c r="H911">
        <f t="shared" si="101"/>
        <v>8</v>
      </c>
      <c r="I911" s="4">
        <f t="shared" si="102"/>
        <v>21</v>
      </c>
      <c r="J911">
        <f t="shared" si="103"/>
        <v>20072821</v>
      </c>
      <c r="K911">
        <f t="shared" si="104"/>
        <v>21</v>
      </c>
    </row>
    <row r="912" spans="1:11" x14ac:dyDescent="0.25">
      <c r="A912" s="4" t="s">
        <v>938</v>
      </c>
      <c r="B912" t="s">
        <v>15</v>
      </c>
      <c r="C912" t="s">
        <v>6</v>
      </c>
      <c r="D912" s="3">
        <f t="shared" si="98"/>
        <v>13</v>
      </c>
      <c r="E912" s="4">
        <f t="shared" si="99"/>
        <v>24</v>
      </c>
      <c r="F912" s="4">
        <f t="shared" si="100"/>
        <v>27</v>
      </c>
      <c r="G912" s="3">
        <f>IF(E912&gt;=20,2000,1900) + D912</f>
        <v>2013</v>
      </c>
      <c r="H912">
        <f t="shared" si="101"/>
        <v>4</v>
      </c>
      <c r="I912" s="4">
        <f t="shared" si="102"/>
        <v>27</v>
      </c>
      <c r="J912">
        <f t="shared" si="103"/>
        <v>20132427</v>
      </c>
      <c r="K912">
        <f t="shared" si="104"/>
        <v>21</v>
      </c>
    </row>
    <row r="913" spans="1:11" x14ac:dyDescent="0.25">
      <c r="A913" s="4" t="s">
        <v>939</v>
      </c>
      <c r="B913" t="s">
        <v>19</v>
      </c>
      <c r="C913" t="s">
        <v>6</v>
      </c>
      <c r="D913" s="3">
        <f t="shared" si="98"/>
        <v>22</v>
      </c>
      <c r="E913" s="4">
        <f t="shared" si="99"/>
        <v>27</v>
      </c>
      <c r="F913" s="4">
        <f t="shared" si="100"/>
        <v>1</v>
      </c>
      <c r="G913" s="3">
        <f>IF(E913&gt;=20,2000,1900) + D913</f>
        <v>2022</v>
      </c>
      <c r="H913">
        <f t="shared" si="101"/>
        <v>7</v>
      </c>
      <c r="I913" s="4">
        <f t="shared" si="102"/>
        <v>1</v>
      </c>
      <c r="J913">
        <f t="shared" si="103"/>
        <v>20222701</v>
      </c>
      <c r="K913">
        <f t="shared" si="104"/>
        <v>21</v>
      </c>
    </row>
    <row r="914" spans="1:11" x14ac:dyDescent="0.25">
      <c r="A914" s="4" t="s">
        <v>940</v>
      </c>
      <c r="B914" t="s">
        <v>3</v>
      </c>
      <c r="C914" t="s">
        <v>6</v>
      </c>
      <c r="D914" s="3">
        <f t="shared" si="98"/>
        <v>15</v>
      </c>
      <c r="E914" s="4">
        <f t="shared" si="99"/>
        <v>22</v>
      </c>
      <c r="F914" s="4">
        <f t="shared" si="100"/>
        <v>3</v>
      </c>
      <c r="G914" s="3">
        <f>IF(E914&gt;=20,2000,1900) + D914</f>
        <v>2015</v>
      </c>
      <c r="H914">
        <f t="shared" si="101"/>
        <v>2</v>
      </c>
      <c r="I914" s="4">
        <f t="shared" si="102"/>
        <v>3</v>
      </c>
      <c r="J914">
        <f t="shared" si="103"/>
        <v>20152203</v>
      </c>
      <c r="K914">
        <f t="shared" si="104"/>
        <v>21</v>
      </c>
    </row>
    <row r="915" spans="1:11" x14ac:dyDescent="0.25">
      <c r="A915" s="4" t="s">
        <v>941</v>
      </c>
      <c r="B915" t="s">
        <v>14</v>
      </c>
      <c r="C915" t="s">
        <v>6</v>
      </c>
      <c r="D915" s="3">
        <f t="shared" si="98"/>
        <v>16</v>
      </c>
      <c r="E915" s="4">
        <f t="shared" si="99"/>
        <v>32</v>
      </c>
      <c r="F915" s="4">
        <f t="shared" si="100"/>
        <v>30</v>
      </c>
      <c r="G915" s="3">
        <f>IF(E915&gt;=20,2000,1900) + D915</f>
        <v>2016</v>
      </c>
      <c r="H915">
        <f t="shared" si="101"/>
        <v>12</v>
      </c>
      <c r="I915" s="4">
        <f t="shared" si="102"/>
        <v>30</v>
      </c>
      <c r="J915">
        <f t="shared" si="103"/>
        <v>20163230</v>
      </c>
      <c r="K915">
        <f t="shared" si="104"/>
        <v>21</v>
      </c>
    </row>
    <row r="916" spans="1:11" x14ac:dyDescent="0.25">
      <c r="A916" s="4" t="s">
        <v>942</v>
      </c>
      <c r="B916" t="s">
        <v>14</v>
      </c>
      <c r="C916" t="s">
        <v>4</v>
      </c>
      <c r="D916" s="3">
        <f t="shared" si="98"/>
        <v>17</v>
      </c>
      <c r="E916" s="4">
        <f t="shared" si="99"/>
        <v>21</v>
      </c>
      <c r="F916" s="4">
        <f t="shared" si="100"/>
        <v>29</v>
      </c>
      <c r="G916" s="3">
        <f>IF(E916&gt;=20,2000,1900) + D916</f>
        <v>2017</v>
      </c>
      <c r="H916">
        <f t="shared" si="101"/>
        <v>1</v>
      </c>
      <c r="I916" s="4">
        <f t="shared" si="102"/>
        <v>29</v>
      </c>
      <c r="J916">
        <f t="shared" si="103"/>
        <v>20172129</v>
      </c>
      <c r="K916">
        <f t="shared" si="104"/>
        <v>21</v>
      </c>
    </row>
    <row r="917" spans="1:11" x14ac:dyDescent="0.25">
      <c r="A917" s="4" t="s">
        <v>943</v>
      </c>
      <c r="B917" t="s">
        <v>7</v>
      </c>
      <c r="C917" t="s">
        <v>6</v>
      </c>
      <c r="D917" s="3">
        <f t="shared" si="98"/>
        <v>6</v>
      </c>
      <c r="E917" s="4">
        <f t="shared" si="99"/>
        <v>28</v>
      </c>
      <c r="F917" s="4">
        <f t="shared" si="100"/>
        <v>9</v>
      </c>
      <c r="G917" s="3">
        <f>IF(E917&gt;=20,2000,1900) + D917</f>
        <v>2006</v>
      </c>
      <c r="H917">
        <f t="shared" si="101"/>
        <v>8</v>
      </c>
      <c r="I917" s="4">
        <f t="shared" si="102"/>
        <v>9</v>
      </c>
      <c r="J917">
        <f t="shared" si="103"/>
        <v>20062809</v>
      </c>
      <c r="K917">
        <f t="shared" si="104"/>
        <v>21</v>
      </c>
    </row>
    <row r="918" spans="1:11" x14ac:dyDescent="0.25">
      <c r="A918" s="4" t="s">
        <v>944</v>
      </c>
      <c r="B918" t="s">
        <v>15</v>
      </c>
      <c r="C918" t="s">
        <v>6</v>
      </c>
      <c r="D918" s="3">
        <f t="shared" si="98"/>
        <v>20</v>
      </c>
      <c r="E918" s="4">
        <f t="shared" si="99"/>
        <v>30</v>
      </c>
      <c r="F918" s="4">
        <f t="shared" si="100"/>
        <v>12</v>
      </c>
      <c r="G918" s="3">
        <f>IF(E918&gt;=20,2000,1900) + D918</f>
        <v>2020</v>
      </c>
      <c r="H918">
        <f t="shared" si="101"/>
        <v>10</v>
      </c>
      <c r="I918" s="4">
        <f t="shared" si="102"/>
        <v>12</v>
      </c>
      <c r="J918">
        <f t="shared" si="103"/>
        <v>20203012</v>
      </c>
      <c r="K918">
        <f t="shared" si="104"/>
        <v>21</v>
      </c>
    </row>
    <row r="919" spans="1:11" x14ac:dyDescent="0.25">
      <c r="A919" s="4" t="s">
        <v>945</v>
      </c>
      <c r="B919" t="s">
        <v>3</v>
      </c>
      <c r="C919" t="s">
        <v>6</v>
      </c>
      <c r="D919" s="3">
        <f t="shared" si="98"/>
        <v>1</v>
      </c>
      <c r="E919" s="4">
        <f t="shared" si="99"/>
        <v>30</v>
      </c>
      <c r="F919" s="4">
        <f t="shared" si="100"/>
        <v>8</v>
      </c>
      <c r="G919" s="3">
        <f>IF(E919&gt;=20,2000,1900) + D919</f>
        <v>2001</v>
      </c>
      <c r="H919">
        <f t="shared" si="101"/>
        <v>10</v>
      </c>
      <c r="I919" s="4">
        <f t="shared" si="102"/>
        <v>8</v>
      </c>
      <c r="J919">
        <f t="shared" si="103"/>
        <v>20013008</v>
      </c>
      <c r="K919">
        <f t="shared" si="104"/>
        <v>21</v>
      </c>
    </row>
    <row r="920" spans="1:11" x14ac:dyDescent="0.25">
      <c r="A920" s="4" t="s">
        <v>946</v>
      </c>
      <c r="B920" t="s">
        <v>3</v>
      </c>
      <c r="C920" t="s">
        <v>6</v>
      </c>
      <c r="D920" s="3">
        <f t="shared" si="98"/>
        <v>21</v>
      </c>
      <c r="E920" s="4">
        <f t="shared" si="99"/>
        <v>29</v>
      </c>
      <c r="F920" s="4">
        <f t="shared" si="100"/>
        <v>28</v>
      </c>
      <c r="G920" s="3">
        <f>IF(E920&gt;=20,2000,1900) + D920</f>
        <v>2021</v>
      </c>
      <c r="H920">
        <f t="shared" si="101"/>
        <v>9</v>
      </c>
      <c r="I920" s="4">
        <f t="shared" si="102"/>
        <v>28</v>
      </c>
      <c r="J920">
        <f t="shared" si="103"/>
        <v>20212928</v>
      </c>
      <c r="K920">
        <f t="shared" si="104"/>
        <v>21</v>
      </c>
    </row>
    <row r="921" spans="1:11" x14ac:dyDescent="0.25">
      <c r="A921" s="4" t="s">
        <v>947</v>
      </c>
      <c r="B921" t="s">
        <v>17</v>
      </c>
      <c r="C921" t="s">
        <v>6</v>
      </c>
      <c r="D921" s="3">
        <f t="shared" si="98"/>
        <v>9</v>
      </c>
      <c r="E921" s="4">
        <f t="shared" si="99"/>
        <v>31</v>
      </c>
      <c r="F921" s="4">
        <f t="shared" si="100"/>
        <v>9</v>
      </c>
      <c r="G921" s="3">
        <f>IF(E921&gt;=20,2000,1900) + D921</f>
        <v>2009</v>
      </c>
      <c r="H921">
        <f t="shared" si="101"/>
        <v>11</v>
      </c>
      <c r="I921" s="4">
        <f t="shared" si="102"/>
        <v>9</v>
      </c>
      <c r="J921">
        <f t="shared" si="103"/>
        <v>20093109</v>
      </c>
      <c r="K921">
        <f t="shared" si="104"/>
        <v>21</v>
      </c>
    </row>
    <row r="922" spans="1:11" x14ac:dyDescent="0.25">
      <c r="A922" s="4" t="s">
        <v>948</v>
      </c>
      <c r="B922" t="s">
        <v>11</v>
      </c>
      <c r="C922" t="s">
        <v>6</v>
      </c>
      <c r="D922" s="3">
        <f t="shared" si="98"/>
        <v>0</v>
      </c>
      <c r="E922" s="4">
        <f t="shared" si="99"/>
        <v>30</v>
      </c>
      <c r="F922" s="4">
        <f t="shared" si="100"/>
        <v>19</v>
      </c>
      <c r="G922" s="3">
        <f>IF(E922&gt;=20,2000,1900) + D922</f>
        <v>2000</v>
      </c>
      <c r="H922">
        <f t="shared" si="101"/>
        <v>10</v>
      </c>
      <c r="I922" s="4">
        <f t="shared" si="102"/>
        <v>19</v>
      </c>
      <c r="J922">
        <f t="shared" si="103"/>
        <v>20003019</v>
      </c>
      <c r="K922">
        <f t="shared" si="104"/>
        <v>20</v>
      </c>
    </row>
    <row r="923" spans="1:11" x14ac:dyDescent="0.25">
      <c r="A923" s="4" t="s">
        <v>949</v>
      </c>
      <c r="B923" t="s">
        <v>15</v>
      </c>
      <c r="C923" t="s">
        <v>6</v>
      </c>
      <c r="D923" s="3">
        <f t="shared" si="98"/>
        <v>1</v>
      </c>
      <c r="E923" s="4">
        <f t="shared" si="99"/>
        <v>24</v>
      </c>
      <c r="F923" s="4">
        <f t="shared" si="100"/>
        <v>13</v>
      </c>
      <c r="G923" s="3">
        <f>IF(E923&gt;=20,2000,1900) + D923</f>
        <v>2001</v>
      </c>
      <c r="H923">
        <f t="shared" si="101"/>
        <v>4</v>
      </c>
      <c r="I923" s="4">
        <f t="shared" si="102"/>
        <v>13</v>
      </c>
      <c r="J923">
        <f t="shared" si="103"/>
        <v>20012413</v>
      </c>
      <c r="K923">
        <f t="shared" si="104"/>
        <v>21</v>
      </c>
    </row>
    <row r="924" spans="1:11" x14ac:dyDescent="0.25">
      <c r="A924" s="4" t="s">
        <v>950</v>
      </c>
      <c r="B924" t="s">
        <v>7</v>
      </c>
      <c r="C924" t="s">
        <v>4</v>
      </c>
      <c r="D924" s="3">
        <f t="shared" si="98"/>
        <v>20</v>
      </c>
      <c r="E924" s="4">
        <f t="shared" si="99"/>
        <v>24</v>
      </c>
      <c r="F924" s="4">
        <f t="shared" si="100"/>
        <v>22</v>
      </c>
      <c r="G924" s="3">
        <f>IF(E924&gt;=20,2000,1900) + D924</f>
        <v>2020</v>
      </c>
      <c r="H924">
        <f t="shared" si="101"/>
        <v>4</v>
      </c>
      <c r="I924" s="4">
        <f t="shared" si="102"/>
        <v>22</v>
      </c>
      <c r="J924">
        <f t="shared" si="103"/>
        <v>20202422</v>
      </c>
      <c r="K924">
        <f t="shared" si="104"/>
        <v>21</v>
      </c>
    </row>
    <row r="925" spans="1:11" x14ac:dyDescent="0.25">
      <c r="A925" s="4" t="s">
        <v>951</v>
      </c>
      <c r="B925" t="s">
        <v>7</v>
      </c>
      <c r="C925" t="s">
        <v>4</v>
      </c>
      <c r="D925" s="3">
        <f t="shared" si="98"/>
        <v>0</v>
      </c>
      <c r="E925" s="4">
        <f t="shared" si="99"/>
        <v>23</v>
      </c>
      <c r="F925" s="4">
        <f t="shared" si="100"/>
        <v>11</v>
      </c>
      <c r="G925" s="3">
        <f>IF(E925&gt;=20,2000,1900) + D925</f>
        <v>2000</v>
      </c>
      <c r="H925">
        <f t="shared" si="101"/>
        <v>3</v>
      </c>
      <c r="I925" s="4">
        <f t="shared" si="102"/>
        <v>11</v>
      </c>
      <c r="J925">
        <f t="shared" si="103"/>
        <v>20002311</v>
      </c>
      <c r="K925">
        <f t="shared" si="104"/>
        <v>20</v>
      </c>
    </row>
    <row r="926" spans="1:11" x14ac:dyDescent="0.25">
      <c r="A926" s="4" t="s">
        <v>952</v>
      </c>
      <c r="B926" t="s">
        <v>15</v>
      </c>
      <c r="C926" t="s">
        <v>4</v>
      </c>
      <c r="D926" s="3">
        <f t="shared" si="98"/>
        <v>15</v>
      </c>
      <c r="E926" s="4">
        <f t="shared" si="99"/>
        <v>27</v>
      </c>
      <c r="F926" s="4">
        <f t="shared" si="100"/>
        <v>26</v>
      </c>
      <c r="G926" s="3">
        <f>IF(E926&gt;=20,2000,1900) + D926</f>
        <v>2015</v>
      </c>
      <c r="H926">
        <f t="shared" si="101"/>
        <v>7</v>
      </c>
      <c r="I926" s="4">
        <f t="shared" si="102"/>
        <v>26</v>
      </c>
      <c r="J926">
        <f t="shared" si="103"/>
        <v>20152726</v>
      </c>
      <c r="K926">
        <f t="shared" si="104"/>
        <v>21</v>
      </c>
    </row>
    <row r="927" spans="1:11" x14ac:dyDescent="0.25">
      <c r="A927" s="4" t="s">
        <v>953</v>
      </c>
      <c r="B927" t="s">
        <v>3</v>
      </c>
      <c r="C927" t="s">
        <v>4</v>
      </c>
      <c r="D927" s="3">
        <f t="shared" si="98"/>
        <v>22</v>
      </c>
      <c r="E927" s="4">
        <f t="shared" si="99"/>
        <v>30</v>
      </c>
      <c r="F927" s="4">
        <f t="shared" si="100"/>
        <v>23</v>
      </c>
      <c r="G927" s="3">
        <f>IF(E927&gt;=20,2000,1900) + D927</f>
        <v>2022</v>
      </c>
      <c r="H927">
        <f t="shared" si="101"/>
        <v>10</v>
      </c>
      <c r="I927" s="4">
        <f t="shared" si="102"/>
        <v>23</v>
      </c>
      <c r="J927">
        <f t="shared" si="103"/>
        <v>20223023</v>
      </c>
      <c r="K927">
        <f t="shared" si="104"/>
        <v>21</v>
      </c>
    </row>
    <row r="928" spans="1:11" x14ac:dyDescent="0.25">
      <c r="A928" s="4" t="s">
        <v>954</v>
      </c>
      <c r="B928" t="s">
        <v>9</v>
      </c>
      <c r="C928" t="s">
        <v>6</v>
      </c>
      <c r="D928" s="3">
        <f t="shared" si="98"/>
        <v>17</v>
      </c>
      <c r="E928" s="4">
        <f t="shared" si="99"/>
        <v>24</v>
      </c>
      <c r="F928" s="4">
        <f t="shared" si="100"/>
        <v>15</v>
      </c>
      <c r="G928" s="3">
        <f>IF(E928&gt;=20,2000,1900) + D928</f>
        <v>2017</v>
      </c>
      <c r="H928">
        <f t="shared" si="101"/>
        <v>4</v>
      </c>
      <c r="I928" s="4">
        <f t="shared" si="102"/>
        <v>15</v>
      </c>
      <c r="J928">
        <f t="shared" si="103"/>
        <v>20172415</v>
      </c>
      <c r="K928">
        <f t="shared" si="104"/>
        <v>21</v>
      </c>
    </row>
    <row r="929" spans="1:11" x14ac:dyDescent="0.25">
      <c r="A929" s="4" t="s">
        <v>955</v>
      </c>
      <c r="B929" t="s">
        <v>9</v>
      </c>
      <c r="C929" t="s">
        <v>6</v>
      </c>
      <c r="D929" s="3">
        <f t="shared" si="98"/>
        <v>11</v>
      </c>
      <c r="E929" s="4">
        <f t="shared" si="99"/>
        <v>27</v>
      </c>
      <c r="F929" s="4">
        <f t="shared" si="100"/>
        <v>29</v>
      </c>
      <c r="G929" s="3">
        <f>IF(E929&gt;=20,2000,1900) + D929</f>
        <v>2011</v>
      </c>
      <c r="H929">
        <f t="shared" si="101"/>
        <v>7</v>
      </c>
      <c r="I929" s="4">
        <f t="shared" si="102"/>
        <v>29</v>
      </c>
      <c r="J929">
        <f t="shared" si="103"/>
        <v>20112729</v>
      </c>
      <c r="K929">
        <f t="shared" si="104"/>
        <v>21</v>
      </c>
    </row>
    <row r="930" spans="1:11" x14ac:dyDescent="0.25">
      <c r="A930" s="4" t="s">
        <v>956</v>
      </c>
      <c r="B930" t="s">
        <v>14</v>
      </c>
      <c r="C930" t="s">
        <v>4</v>
      </c>
      <c r="D930" s="3">
        <f t="shared" si="98"/>
        <v>15</v>
      </c>
      <c r="E930" s="4">
        <f t="shared" si="99"/>
        <v>32</v>
      </c>
      <c r="F930" s="4">
        <f t="shared" si="100"/>
        <v>31</v>
      </c>
      <c r="G930" s="3">
        <f>IF(E930&gt;=20,2000,1900) + D930</f>
        <v>2015</v>
      </c>
      <c r="H930">
        <f t="shared" si="101"/>
        <v>12</v>
      </c>
      <c r="I930" s="4">
        <f t="shared" si="102"/>
        <v>31</v>
      </c>
      <c r="J930">
        <f t="shared" si="103"/>
        <v>20153231</v>
      </c>
      <c r="K930">
        <f t="shared" si="104"/>
        <v>21</v>
      </c>
    </row>
    <row r="931" spans="1:11" x14ac:dyDescent="0.25">
      <c r="A931" s="4" t="s">
        <v>957</v>
      </c>
      <c r="B931" t="s">
        <v>5</v>
      </c>
      <c r="C931" t="s">
        <v>4</v>
      </c>
      <c r="D931" s="3">
        <f t="shared" si="98"/>
        <v>9</v>
      </c>
      <c r="E931" s="4">
        <f t="shared" si="99"/>
        <v>26</v>
      </c>
      <c r="F931" s="4">
        <f t="shared" si="100"/>
        <v>22</v>
      </c>
      <c r="G931" s="3">
        <f>IF(E931&gt;=20,2000,1900) + D931</f>
        <v>2009</v>
      </c>
      <c r="H931">
        <f t="shared" si="101"/>
        <v>6</v>
      </c>
      <c r="I931" s="4">
        <f t="shared" si="102"/>
        <v>22</v>
      </c>
      <c r="J931">
        <f t="shared" si="103"/>
        <v>20092622</v>
      </c>
      <c r="K931">
        <f t="shared" si="104"/>
        <v>21</v>
      </c>
    </row>
    <row r="932" spans="1:11" x14ac:dyDescent="0.25">
      <c r="A932" s="4" t="s">
        <v>958</v>
      </c>
      <c r="B932" t="s">
        <v>18</v>
      </c>
      <c r="C932" t="s">
        <v>4</v>
      </c>
      <c r="D932" s="3">
        <f t="shared" si="98"/>
        <v>21</v>
      </c>
      <c r="E932" s="4">
        <f t="shared" si="99"/>
        <v>22</v>
      </c>
      <c r="F932" s="4">
        <f t="shared" si="100"/>
        <v>6</v>
      </c>
      <c r="G932" s="3">
        <f>IF(E932&gt;=20,2000,1900) + D932</f>
        <v>2021</v>
      </c>
      <c r="H932">
        <f t="shared" si="101"/>
        <v>2</v>
      </c>
      <c r="I932" s="4">
        <f t="shared" si="102"/>
        <v>6</v>
      </c>
      <c r="J932">
        <f t="shared" si="103"/>
        <v>20212206</v>
      </c>
      <c r="K932">
        <f t="shared" si="104"/>
        <v>21</v>
      </c>
    </row>
    <row r="933" spans="1:11" x14ac:dyDescent="0.25">
      <c r="A933" s="4" t="s">
        <v>959</v>
      </c>
      <c r="B933" t="s">
        <v>14</v>
      </c>
      <c r="C933" t="s">
        <v>4</v>
      </c>
      <c r="D933" s="3">
        <f t="shared" si="98"/>
        <v>8</v>
      </c>
      <c r="E933" s="4">
        <f t="shared" si="99"/>
        <v>32</v>
      </c>
      <c r="F933" s="4">
        <f t="shared" si="100"/>
        <v>16</v>
      </c>
      <c r="G933" s="3">
        <f>IF(E933&gt;=20,2000,1900) + D933</f>
        <v>2008</v>
      </c>
      <c r="H933">
        <f t="shared" si="101"/>
        <v>12</v>
      </c>
      <c r="I933" s="4">
        <f t="shared" si="102"/>
        <v>16</v>
      </c>
      <c r="J933">
        <f t="shared" si="103"/>
        <v>20083216</v>
      </c>
      <c r="K933">
        <f t="shared" si="104"/>
        <v>21</v>
      </c>
    </row>
    <row r="934" spans="1:11" x14ac:dyDescent="0.25">
      <c r="A934" s="4" t="s">
        <v>960</v>
      </c>
      <c r="B934" t="s">
        <v>7</v>
      </c>
      <c r="C934" t="s">
        <v>4</v>
      </c>
      <c r="D934" s="3">
        <f t="shared" si="98"/>
        <v>4</v>
      </c>
      <c r="E934" s="4">
        <f t="shared" si="99"/>
        <v>32</v>
      </c>
      <c r="F934" s="4">
        <f t="shared" si="100"/>
        <v>21</v>
      </c>
      <c r="G934" s="3">
        <f>IF(E934&gt;=20,2000,1900) + D934</f>
        <v>2004</v>
      </c>
      <c r="H934">
        <f t="shared" si="101"/>
        <v>12</v>
      </c>
      <c r="I934" s="4">
        <f t="shared" si="102"/>
        <v>21</v>
      </c>
      <c r="J934">
        <f t="shared" si="103"/>
        <v>20043221</v>
      </c>
      <c r="K934">
        <f t="shared" si="104"/>
        <v>21</v>
      </c>
    </row>
    <row r="935" spans="1:11" x14ac:dyDescent="0.25">
      <c r="A935" s="4" t="s">
        <v>961</v>
      </c>
      <c r="B935" t="s">
        <v>5</v>
      </c>
      <c r="C935" t="s">
        <v>4</v>
      </c>
      <c r="D935" s="3">
        <f t="shared" si="98"/>
        <v>10</v>
      </c>
      <c r="E935" s="4">
        <f t="shared" si="99"/>
        <v>30</v>
      </c>
      <c r="F935" s="4">
        <f t="shared" si="100"/>
        <v>17</v>
      </c>
      <c r="G935" s="3">
        <f>IF(E935&gt;=20,2000,1900) + D935</f>
        <v>2010</v>
      </c>
      <c r="H935">
        <f t="shared" si="101"/>
        <v>10</v>
      </c>
      <c r="I935" s="4">
        <f t="shared" si="102"/>
        <v>17</v>
      </c>
      <c r="J935">
        <f t="shared" si="103"/>
        <v>20103017</v>
      </c>
      <c r="K935">
        <f t="shared" si="104"/>
        <v>21</v>
      </c>
    </row>
    <row r="936" spans="1:11" x14ac:dyDescent="0.25">
      <c r="A936" s="4" t="s">
        <v>962</v>
      </c>
      <c r="B936" t="s">
        <v>17</v>
      </c>
      <c r="C936" t="s">
        <v>6</v>
      </c>
      <c r="D936" s="3">
        <f t="shared" si="98"/>
        <v>9</v>
      </c>
      <c r="E936" s="4">
        <f t="shared" si="99"/>
        <v>27</v>
      </c>
      <c r="F936" s="4">
        <f t="shared" si="100"/>
        <v>16</v>
      </c>
      <c r="G936" s="3">
        <f>IF(E936&gt;=20,2000,1900) + D936</f>
        <v>2009</v>
      </c>
      <c r="H936">
        <f t="shared" si="101"/>
        <v>7</v>
      </c>
      <c r="I936" s="4">
        <f t="shared" si="102"/>
        <v>16</v>
      </c>
      <c r="J936">
        <f t="shared" si="103"/>
        <v>20092716</v>
      </c>
      <c r="K936">
        <f t="shared" si="104"/>
        <v>21</v>
      </c>
    </row>
    <row r="937" spans="1:11" x14ac:dyDescent="0.25">
      <c r="A937" s="4" t="s">
        <v>963</v>
      </c>
      <c r="B937" t="s">
        <v>15</v>
      </c>
      <c r="C937" t="s">
        <v>6</v>
      </c>
      <c r="D937" s="3">
        <f t="shared" si="98"/>
        <v>18</v>
      </c>
      <c r="E937" s="4">
        <f t="shared" si="99"/>
        <v>32</v>
      </c>
      <c r="F937" s="4">
        <f t="shared" si="100"/>
        <v>1</v>
      </c>
      <c r="G937" s="3">
        <f>IF(E937&gt;=20,2000,1900) + D937</f>
        <v>2018</v>
      </c>
      <c r="H937">
        <f t="shared" si="101"/>
        <v>12</v>
      </c>
      <c r="I937" s="4">
        <f t="shared" si="102"/>
        <v>1</v>
      </c>
      <c r="J937">
        <f t="shared" si="103"/>
        <v>20183201</v>
      </c>
      <c r="K937">
        <f t="shared" si="104"/>
        <v>21</v>
      </c>
    </row>
    <row r="938" spans="1:11" x14ac:dyDescent="0.25">
      <c r="A938" s="4" t="s">
        <v>964</v>
      </c>
      <c r="B938" t="s">
        <v>5</v>
      </c>
      <c r="C938" t="s">
        <v>4</v>
      </c>
      <c r="D938" s="3">
        <f t="shared" si="98"/>
        <v>10</v>
      </c>
      <c r="E938" s="4">
        <f t="shared" si="99"/>
        <v>26</v>
      </c>
      <c r="F938" s="4">
        <f t="shared" si="100"/>
        <v>22</v>
      </c>
      <c r="G938" s="3">
        <f>IF(E938&gt;=20,2000,1900) + D938</f>
        <v>2010</v>
      </c>
      <c r="H938">
        <f t="shared" si="101"/>
        <v>6</v>
      </c>
      <c r="I938" s="4">
        <f t="shared" si="102"/>
        <v>22</v>
      </c>
      <c r="J938">
        <f t="shared" si="103"/>
        <v>20102622</v>
      </c>
      <c r="K938">
        <f t="shared" si="104"/>
        <v>21</v>
      </c>
    </row>
    <row r="939" spans="1:11" x14ac:dyDescent="0.25">
      <c r="A939" s="4" t="s">
        <v>965</v>
      </c>
      <c r="B939" t="s">
        <v>7</v>
      </c>
      <c r="C939" t="s">
        <v>6</v>
      </c>
      <c r="D939" s="3">
        <f t="shared" si="98"/>
        <v>21</v>
      </c>
      <c r="E939" s="4">
        <f t="shared" si="99"/>
        <v>30</v>
      </c>
      <c r="F939" s="4">
        <f t="shared" si="100"/>
        <v>31</v>
      </c>
      <c r="G939" s="3">
        <f>IF(E939&gt;=20,2000,1900) + D939</f>
        <v>2021</v>
      </c>
      <c r="H939">
        <f t="shared" si="101"/>
        <v>10</v>
      </c>
      <c r="I939" s="4">
        <f t="shared" si="102"/>
        <v>31</v>
      </c>
      <c r="J939">
        <f t="shared" si="103"/>
        <v>20213031</v>
      </c>
      <c r="K939">
        <f t="shared" si="104"/>
        <v>21</v>
      </c>
    </row>
    <row r="940" spans="1:11" x14ac:dyDescent="0.25">
      <c r="A940" s="4" t="s">
        <v>966</v>
      </c>
      <c r="B940" t="s">
        <v>20</v>
      </c>
      <c r="C940" t="s">
        <v>4</v>
      </c>
      <c r="D940" s="3">
        <f t="shared" si="98"/>
        <v>10</v>
      </c>
      <c r="E940" s="4">
        <f t="shared" si="99"/>
        <v>29</v>
      </c>
      <c r="F940" s="4">
        <f t="shared" si="100"/>
        <v>30</v>
      </c>
      <c r="G940" s="3">
        <f>IF(E940&gt;=20,2000,1900) + D940</f>
        <v>2010</v>
      </c>
      <c r="H940">
        <f t="shared" si="101"/>
        <v>9</v>
      </c>
      <c r="I940" s="4">
        <f t="shared" si="102"/>
        <v>30</v>
      </c>
      <c r="J940">
        <f t="shared" si="103"/>
        <v>20102930</v>
      </c>
      <c r="K940">
        <f t="shared" si="104"/>
        <v>21</v>
      </c>
    </row>
    <row r="941" spans="1:11" x14ac:dyDescent="0.25">
      <c r="A941" s="4" t="s">
        <v>967</v>
      </c>
      <c r="B941" t="s">
        <v>18</v>
      </c>
      <c r="C941" t="s">
        <v>4</v>
      </c>
      <c r="D941" s="3">
        <f t="shared" si="98"/>
        <v>9</v>
      </c>
      <c r="E941" s="4">
        <f t="shared" si="99"/>
        <v>21</v>
      </c>
      <c r="F941" s="4">
        <f t="shared" si="100"/>
        <v>1</v>
      </c>
      <c r="G941" s="3">
        <f>IF(E941&gt;=20,2000,1900) + D941</f>
        <v>2009</v>
      </c>
      <c r="H941">
        <f t="shared" si="101"/>
        <v>1</v>
      </c>
      <c r="I941" s="4">
        <f t="shared" si="102"/>
        <v>1</v>
      </c>
      <c r="J941">
        <f t="shared" si="103"/>
        <v>20092101</v>
      </c>
      <c r="K941">
        <f t="shared" si="104"/>
        <v>21</v>
      </c>
    </row>
    <row r="942" spans="1:11" x14ac:dyDescent="0.25">
      <c r="A942" s="4" t="s">
        <v>968</v>
      </c>
      <c r="B942" t="s">
        <v>11</v>
      </c>
      <c r="C942" t="s">
        <v>6</v>
      </c>
      <c r="D942" s="3">
        <f t="shared" si="98"/>
        <v>20</v>
      </c>
      <c r="E942" s="4">
        <f t="shared" si="99"/>
        <v>26</v>
      </c>
      <c r="F942" s="4">
        <f t="shared" si="100"/>
        <v>4</v>
      </c>
      <c r="G942" s="3">
        <f>IF(E942&gt;=20,2000,1900) + D942</f>
        <v>2020</v>
      </c>
      <c r="H942">
        <f t="shared" si="101"/>
        <v>6</v>
      </c>
      <c r="I942" s="4">
        <f t="shared" si="102"/>
        <v>4</v>
      </c>
      <c r="J942">
        <f t="shared" si="103"/>
        <v>20202604</v>
      </c>
      <c r="K942">
        <f t="shared" si="104"/>
        <v>21</v>
      </c>
    </row>
    <row r="943" spans="1:11" x14ac:dyDescent="0.25">
      <c r="A943" s="4" t="s">
        <v>969</v>
      </c>
      <c r="B943" t="s">
        <v>11</v>
      </c>
      <c r="C943" t="s">
        <v>4</v>
      </c>
      <c r="D943" s="3">
        <f t="shared" si="98"/>
        <v>17</v>
      </c>
      <c r="E943" s="4">
        <f t="shared" si="99"/>
        <v>30</v>
      </c>
      <c r="F943" s="4">
        <f t="shared" si="100"/>
        <v>22</v>
      </c>
      <c r="G943" s="3">
        <f>IF(E943&gt;=20,2000,1900) + D943</f>
        <v>2017</v>
      </c>
      <c r="H943">
        <f t="shared" si="101"/>
        <v>10</v>
      </c>
      <c r="I943" s="4">
        <f t="shared" si="102"/>
        <v>22</v>
      </c>
      <c r="J943">
        <f t="shared" si="103"/>
        <v>20173022</v>
      </c>
      <c r="K943">
        <f t="shared" si="104"/>
        <v>21</v>
      </c>
    </row>
    <row r="944" spans="1:11" x14ac:dyDescent="0.25">
      <c r="A944" s="4" t="s">
        <v>970</v>
      </c>
      <c r="B944" t="s">
        <v>16</v>
      </c>
      <c r="C944" t="s">
        <v>4</v>
      </c>
      <c r="D944" s="3">
        <f t="shared" si="98"/>
        <v>2</v>
      </c>
      <c r="E944" s="4">
        <f t="shared" si="99"/>
        <v>32</v>
      </c>
      <c r="F944" s="4">
        <f t="shared" si="100"/>
        <v>2</v>
      </c>
      <c r="G944" s="3">
        <f>IF(E944&gt;=20,2000,1900) + D944</f>
        <v>2002</v>
      </c>
      <c r="H944">
        <f t="shared" si="101"/>
        <v>12</v>
      </c>
      <c r="I944" s="4">
        <f t="shared" si="102"/>
        <v>2</v>
      </c>
      <c r="J944">
        <f t="shared" si="103"/>
        <v>20023202</v>
      </c>
      <c r="K944">
        <f t="shared" si="104"/>
        <v>21</v>
      </c>
    </row>
    <row r="945" spans="1:11" x14ac:dyDescent="0.25">
      <c r="A945" s="4" t="s">
        <v>971</v>
      </c>
      <c r="B945" t="s">
        <v>11</v>
      </c>
      <c r="C945" t="s">
        <v>6</v>
      </c>
      <c r="D945" s="3">
        <f t="shared" si="98"/>
        <v>18</v>
      </c>
      <c r="E945" s="4">
        <f t="shared" si="99"/>
        <v>26</v>
      </c>
      <c r="F945" s="4">
        <f t="shared" si="100"/>
        <v>3</v>
      </c>
      <c r="G945" s="3">
        <f>IF(E945&gt;=20,2000,1900) + D945</f>
        <v>2018</v>
      </c>
      <c r="H945">
        <f t="shared" si="101"/>
        <v>6</v>
      </c>
      <c r="I945" s="4">
        <f t="shared" si="102"/>
        <v>3</v>
      </c>
      <c r="J945">
        <f t="shared" si="103"/>
        <v>20182603</v>
      </c>
      <c r="K945">
        <f t="shared" si="104"/>
        <v>21</v>
      </c>
    </row>
    <row r="946" spans="1:11" x14ac:dyDescent="0.25">
      <c r="A946" s="4" t="s">
        <v>972</v>
      </c>
      <c r="B946" t="s">
        <v>11</v>
      </c>
      <c r="C946" t="s">
        <v>4</v>
      </c>
      <c r="D946" s="3">
        <f t="shared" si="98"/>
        <v>4</v>
      </c>
      <c r="E946" s="4">
        <f t="shared" si="99"/>
        <v>22</v>
      </c>
      <c r="F946" s="4">
        <f t="shared" si="100"/>
        <v>29</v>
      </c>
      <c r="G946" s="3">
        <f>IF(E946&gt;=20,2000,1900) + D946</f>
        <v>2004</v>
      </c>
      <c r="H946">
        <f t="shared" si="101"/>
        <v>2</v>
      </c>
      <c r="I946" s="4">
        <f t="shared" si="102"/>
        <v>29</v>
      </c>
      <c r="J946">
        <f t="shared" si="103"/>
        <v>20042229</v>
      </c>
      <c r="K946">
        <f t="shared" si="104"/>
        <v>21</v>
      </c>
    </row>
    <row r="947" spans="1:11" x14ac:dyDescent="0.25">
      <c r="A947" s="4" t="s">
        <v>973</v>
      </c>
      <c r="B947" t="s">
        <v>14</v>
      </c>
      <c r="C947" t="s">
        <v>4</v>
      </c>
      <c r="D947" s="3">
        <f t="shared" si="98"/>
        <v>5</v>
      </c>
      <c r="E947" s="4">
        <f t="shared" si="99"/>
        <v>26</v>
      </c>
      <c r="F947" s="4">
        <f t="shared" si="100"/>
        <v>12</v>
      </c>
      <c r="G947" s="3">
        <f>IF(E947&gt;=20,2000,1900) + D947</f>
        <v>2005</v>
      </c>
      <c r="H947">
        <f t="shared" si="101"/>
        <v>6</v>
      </c>
      <c r="I947" s="4">
        <f t="shared" si="102"/>
        <v>12</v>
      </c>
      <c r="J947">
        <f t="shared" si="103"/>
        <v>20052612</v>
      </c>
      <c r="K947">
        <f t="shared" si="104"/>
        <v>21</v>
      </c>
    </row>
    <row r="948" spans="1:11" x14ac:dyDescent="0.25">
      <c r="A948" s="4" t="s">
        <v>974</v>
      </c>
      <c r="B948" t="s">
        <v>9</v>
      </c>
      <c r="C948" t="s">
        <v>4</v>
      </c>
      <c r="D948" s="3">
        <f t="shared" si="98"/>
        <v>15</v>
      </c>
      <c r="E948" s="4">
        <f t="shared" si="99"/>
        <v>32</v>
      </c>
      <c r="F948" s="4">
        <f t="shared" si="100"/>
        <v>6</v>
      </c>
      <c r="G948" s="3">
        <f>IF(E948&gt;=20,2000,1900) + D948</f>
        <v>2015</v>
      </c>
      <c r="H948">
        <f t="shared" si="101"/>
        <v>12</v>
      </c>
      <c r="I948" s="4">
        <f t="shared" si="102"/>
        <v>6</v>
      </c>
      <c r="J948">
        <f t="shared" si="103"/>
        <v>20153206</v>
      </c>
      <c r="K948">
        <f t="shared" si="104"/>
        <v>21</v>
      </c>
    </row>
    <row r="949" spans="1:11" x14ac:dyDescent="0.25">
      <c r="A949" s="4" t="s">
        <v>975</v>
      </c>
      <c r="B949" t="s">
        <v>9</v>
      </c>
      <c r="C949" t="s">
        <v>6</v>
      </c>
      <c r="D949" s="3">
        <f t="shared" si="98"/>
        <v>14</v>
      </c>
      <c r="E949" s="4">
        <f t="shared" si="99"/>
        <v>29</v>
      </c>
      <c r="F949" s="4">
        <f t="shared" si="100"/>
        <v>26</v>
      </c>
      <c r="G949" s="3">
        <f>IF(E949&gt;=20,2000,1900) + D949</f>
        <v>2014</v>
      </c>
      <c r="H949">
        <f t="shared" si="101"/>
        <v>9</v>
      </c>
      <c r="I949" s="4">
        <f t="shared" si="102"/>
        <v>26</v>
      </c>
      <c r="J949">
        <f t="shared" si="103"/>
        <v>20142926</v>
      </c>
      <c r="K949">
        <f t="shared" si="104"/>
        <v>21</v>
      </c>
    </row>
    <row r="950" spans="1:11" x14ac:dyDescent="0.25">
      <c r="A950" s="4" t="s">
        <v>976</v>
      </c>
      <c r="B950" t="s">
        <v>18</v>
      </c>
      <c r="C950" t="s">
        <v>4</v>
      </c>
      <c r="D950" s="3">
        <f t="shared" si="98"/>
        <v>15</v>
      </c>
      <c r="E950" s="4">
        <f t="shared" si="99"/>
        <v>21</v>
      </c>
      <c r="F950" s="4">
        <f t="shared" si="100"/>
        <v>3</v>
      </c>
      <c r="G950" s="3">
        <f>IF(E950&gt;=20,2000,1900) + D950</f>
        <v>2015</v>
      </c>
      <c r="H950">
        <f t="shared" si="101"/>
        <v>1</v>
      </c>
      <c r="I950" s="4">
        <f t="shared" si="102"/>
        <v>3</v>
      </c>
      <c r="J950">
        <f t="shared" si="103"/>
        <v>20152103</v>
      </c>
      <c r="K950">
        <f t="shared" si="104"/>
        <v>21</v>
      </c>
    </row>
    <row r="951" spans="1:11" x14ac:dyDescent="0.25">
      <c r="A951" s="4" t="s">
        <v>977</v>
      </c>
      <c r="B951" t="s">
        <v>19</v>
      </c>
      <c r="C951" t="s">
        <v>6</v>
      </c>
      <c r="D951" s="3">
        <f t="shared" si="98"/>
        <v>11</v>
      </c>
      <c r="E951" s="4">
        <f t="shared" si="99"/>
        <v>28</v>
      </c>
      <c r="F951" s="4">
        <f t="shared" si="100"/>
        <v>28</v>
      </c>
      <c r="G951" s="3">
        <f>IF(E951&gt;=20,2000,1900) + D951</f>
        <v>2011</v>
      </c>
      <c r="H951">
        <f t="shared" si="101"/>
        <v>8</v>
      </c>
      <c r="I951" s="4">
        <f t="shared" si="102"/>
        <v>28</v>
      </c>
      <c r="J951">
        <f t="shared" si="103"/>
        <v>20112828</v>
      </c>
      <c r="K951">
        <f t="shared" si="104"/>
        <v>21</v>
      </c>
    </row>
    <row r="952" spans="1:11" x14ac:dyDescent="0.25">
      <c r="A952" s="4" t="s">
        <v>978</v>
      </c>
      <c r="B952" t="s">
        <v>14</v>
      </c>
      <c r="C952" t="s">
        <v>6</v>
      </c>
      <c r="D952" s="3">
        <f t="shared" si="98"/>
        <v>21</v>
      </c>
      <c r="E952" s="4">
        <f t="shared" si="99"/>
        <v>27</v>
      </c>
      <c r="F952" s="4">
        <f t="shared" si="100"/>
        <v>8</v>
      </c>
      <c r="G952" s="3">
        <f>IF(E952&gt;=20,2000,1900) + D952</f>
        <v>2021</v>
      </c>
      <c r="H952">
        <f t="shared" si="101"/>
        <v>7</v>
      </c>
      <c r="I952" s="4">
        <f t="shared" si="102"/>
        <v>8</v>
      </c>
      <c r="J952">
        <f t="shared" si="103"/>
        <v>20212708</v>
      </c>
      <c r="K952">
        <f t="shared" si="104"/>
        <v>21</v>
      </c>
    </row>
    <row r="953" spans="1:11" x14ac:dyDescent="0.25">
      <c r="A953" s="4" t="s">
        <v>979</v>
      </c>
      <c r="B953" t="s">
        <v>10</v>
      </c>
      <c r="C953" t="s">
        <v>4</v>
      </c>
      <c r="D953" s="3">
        <f t="shared" si="98"/>
        <v>7</v>
      </c>
      <c r="E953" s="4">
        <f t="shared" si="99"/>
        <v>27</v>
      </c>
      <c r="F953" s="4">
        <f t="shared" si="100"/>
        <v>18</v>
      </c>
      <c r="G953" s="3">
        <f>IF(E953&gt;=20,2000,1900) + D953</f>
        <v>2007</v>
      </c>
      <c r="H953">
        <f t="shared" si="101"/>
        <v>7</v>
      </c>
      <c r="I953" s="4">
        <f t="shared" si="102"/>
        <v>18</v>
      </c>
      <c r="J953">
        <f t="shared" si="103"/>
        <v>20072718</v>
      </c>
      <c r="K953">
        <f t="shared" si="104"/>
        <v>21</v>
      </c>
    </row>
    <row r="954" spans="1:11" x14ac:dyDescent="0.25">
      <c r="A954" s="4" t="s">
        <v>980</v>
      </c>
      <c r="B954" t="s">
        <v>20</v>
      </c>
      <c r="C954" t="s">
        <v>6</v>
      </c>
      <c r="D954" s="3">
        <f t="shared" si="98"/>
        <v>5</v>
      </c>
      <c r="E954" s="4">
        <f t="shared" si="99"/>
        <v>28</v>
      </c>
      <c r="F954" s="4">
        <f t="shared" si="100"/>
        <v>18</v>
      </c>
      <c r="G954" s="3">
        <f>IF(E954&gt;=20,2000,1900) + D954</f>
        <v>2005</v>
      </c>
      <c r="H954">
        <f t="shared" si="101"/>
        <v>8</v>
      </c>
      <c r="I954" s="4">
        <f t="shared" si="102"/>
        <v>18</v>
      </c>
      <c r="J954">
        <f t="shared" si="103"/>
        <v>20052818</v>
      </c>
      <c r="K954">
        <f t="shared" si="104"/>
        <v>21</v>
      </c>
    </row>
    <row r="955" spans="1:11" x14ac:dyDescent="0.25">
      <c r="A955" s="4" t="s">
        <v>981</v>
      </c>
      <c r="B955" t="s">
        <v>10</v>
      </c>
      <c r="C955" t="s">
        <v>4</v>
      </c>
      <c r="D955" s="3">
        <f t="shared" si="98"/>
        <v>9</v>
      </c>
      <c r="E955" s="4">
        <f t="shared" si="99"/>
        <v>25</v>
      </c>
      <c r="F955" s="4">
        <f t="shared" si="100"/>
        <v>28</v>
      </c>
      <c r="G955" s="3">
        <f>IF(E955&gt;=20,2000,1900) + D955</f>
        <v>2009</v>
      </c>
      <c r="H955">
        <f t="shared" si="101"/>
        <v>5</v>
      </c>
      <c r="I955" s="4">
        <f t="shared" si="102"/>
        <v>28</v>
      </c>
      <c r="J955">
        <f t="shared" si="103"/>
        <v>20092528</v>
      </c>
      <c r="K955">
        <f t="shared" si="104"/>
        <v>21</v>
      </c>
    </row>
    <row r="956" spans="1:11" x14ac:dyDescent="0.25">
      <c r="A956" s="4" t="s">
        <v>982</v>
      </c>
      <c r="B956" t="s">
        <v>18</v>
      </c>
      <c r="C956" t="s">
        <v>4</v>
      </c>
      <c r="D956" s="3">
        <f t="shared" si="98"/>
        <v>0</v>
      </c>
      <c r="E956" s="4">
        <f t="shared" si="99"/>
        <v>29</v>
      </c>
      <c r="F956" s="4">
        <f t="shared" si="100"/>
        <v>13</v>
      </c>
      <c r="G956" s="3">
        <f>IF(E956&gt;=20,2000,1900) + D956</f>
        <v>2000</v>
      </c>
      <c r="H956">
        <f t="shared" si="101"/>
        <v>9</v>
      </c>
      <c r="I956" s="4">
        <f t="shared" si="102"/>
        <v>13</v>
      </c>
      <c r="J956">
        <f t="shared" si="103"/>
        <v>20002913</v>
      </c>
      <c r="K956">
        <f t="shared" si="104"/>
        <v>20</v>
      </c>
    </row>
    <row r="957" spans="1:11" x14ac:dyDescent="0.25">
      <c r="A957" s="4" t="s">
        <v>983</v>
      </c>
      <c r="B957" t="s">
        <v>12</v>
      </c>
      <c r="C957" t="s">
        <v>6</v>
      </c>
      <c r="D957" s="3">
        <f t="shared" si="98"/>
        <v>4</v>
      </c>
      <c r="E957" s="4">
        <f t="shared" si="99"/>
        <v>28</v>
      </c>
      <c r="F957" s="4">
        <f t="shared" si="100"/>
        <v>9</v>
      </c>
      <c r="G957" s="3">
        <f>IF(E957&gt;=20,2000,1900) + D957</f>
        <v>2004</v>
      </c>
      <c r="H957">
        <f t="shared" si="101"/>
        <v>8</v>
      </c>
      <c r="I957" s="4">
        <f t="shared" si="102"/>
        <v>9</v>
      </c>
      <c r="J957">
        <f t="shared" si="103"/>
        <v>20042809</v>
      </c>
      <c r="K957">
        <f t="shared" si="104"/>
        <v>21</v>
      </c>
    </row>
    <row r="958" spans="1:11" x14ac:dyDescent="0.25">
      <c r="A958" s="4" t="s">
        <v>984</v>
      </c>
      <c r="B958" t="s">
        <v>7</v>
      </c>
      <c r="C958" t="s">
        <v>6</v>
      </c>
      <c r="D958" s="3">
        <f t="shared" si="98"/>
        <v>2</v>
      </c>
      <c r="E958" s="4">
        <f t="shared" si="99"/>
        <v>22</v>
      </c>
      <c r="F958" s="4">
        <f t="shared" si="100"/>
        <v>9</v>
      </c>
      <c r="G958" s="3">
        <f>IF(E958&gt;=20,2000,1900) + D958</f>
        <v>2002</v>
      </c>
      <c r="H958">
        <f t="shared" si="101"/>
        <v>2</v>
      </c>
      <c r="I958" s="4">
        <f t="shared" si="102"/>
        <v>9</v>
      </c>
      <c r="J958">
        <f t="shared" si="103"/>
        <v>20022209</v>
      </c>
      <c r="K958">
        <f t="shared" si="104"/>
        <v>21</v>
      </c>
    </row>
    <row r="959" spans="1:11" x14ac:dyDescent="0.25">
      <c r="A959" s="4" t="s">
        <v>985</v>
      </c>
      <c r="B959" t="s">
        <v>16</v>
      </c>
      <c r="C959" t="s">
        <v>6</v>
      </c>
      <c r="D959" s="3">
        <f t="shared" si="98"/>
        <v>2</v>
      </c>
      <c r="E959" s="4">
        <f t="shared" si="99"/>
        <v>21</v>
      </c>
      <c r="F959" s="4">
        <f t="shared" si="100"/>
        <v>1</v>
      </c>
      <c r="G959" s="3">
        <f>IF(E959&gt;=20,2000,1900) + D959</f>
        <v>2002</v>
      </c>
      <c r="H959">
        <f t="shared" si="101"/>
        <v>1</v>
      </c>
      <c r="I959" s="4">
        <f t="shared" si="102"/>
        <v>1</v>
      </c>
      <c r="J959">
        <f t="shared" si="103"/>
        <v>20022101</v>
      </c>
      <c r="K959">
        <f t="shared" si="104"/>
        <v>21</v>
      </c>
    </row>
    <row r="960" spans="1:11" x14ac:dyDescent="0.25">
      <c r="A960" s="4" t="s">
        <v>986</v>
      </c>
      <c r="B960" t="s">
        <v>8</v>
      </c>
      <c r="C960" t="s">
        <v>6</v>
      </c>
      <c r="D960" s="3">
        <f t="shared" si="98"/>
        <v>9</v>
      </c>
      <c r="E960" s="4">
        <f t="shared" si="99"/>
        <v>24</v>
      </c>
      <c r="F960" s="4">
        <f t="shared" si="100"/>
        <v>11</v>
      </c>
      <c r="G960" s="3">
        <f>IF(E960&gt;=20,2000,1900) + D960</f>
        <v>2009</v>
      </c>
      <c r="H960">
        <f t="shared" si="101"/>
        <v>4</v>
      </c>
      <c r="I960" s="4">
        <f t="shared" si="102"/>
        <v>11</v>
      </c>
      <c r="J960">
        <f t="shared" si="103"/>
        <v>20092411</v>
      </c>
      <c r="K960">
        <f t="shared" si="104"/>
        <v>21</v>
      </c>
    </row>
    <row r="961" spans="1:11" x14ac:dyDescent="0.25">
      <c r="A961" s="4" t="s">
        <v>987</v>
      </c>
      <c r="B961" t="s">
        <v>18</v>
      </c>
      <c r="C961" t="s">
        <v>6</v>
      </c>
      <c r="D961" s="3">
        <f t="shared" si="98"/>
        <v>9</v>
      </c>
      <c r="E961" s="4">
        <f t="shared" si="99"/>
        <v>24</v>
      </c>
      <c r="F961" s="4">
        <f t="shared" si="100"/>
        <v>13</v>
      </c>
      <c r="G961" s="3">
        <f>IF(E961&gt;=20,2000,1900) + D961</f>
        <v>2009</v>
      </c>
      <c r="H961">
        <f t="shared" si="101"/>
        <v>4</v>
      </c>
      <c r="I961" s="4">
        <f t="shared" si="102"/>
        <v>13</v>
      </c>
      <c r="J961">
        <f t="shared" si="103"/>
        <v>20092413</v>
      </c>
      <c r="K961">
        <f t="shared" si="104"/>
        <v>21</v>
      </c>
    </row>
    <row r="962" spans="1:11" x14ac:dyDescent="0.25">
      <c r="A962" s="4" t="s">
        <v>988</v>
      </c>
      <c r="B962" t="s">
        <v>7</v>
      </c>
      <c r="C962" t="s">
        <v>6</v>
      </c>
      <c r="D962" s="3">
        <f t="shared" si="98"/>
        <v>13</v>
      </c>
      <c r="E962" s="4">
        <f t="shared" si="99"/>
        <v>31</v>
      </c>
      <c r="F962" s="4">
        <f t="shared" si="100"/>
        <v>28</v>
      </c>
      <c r="G962" s="3">
        <f>IF(E962&gt;=20,2000,1900) + D962</f>
        <v>2013</v>
      </c>
      <c r="H962">
        <f t="shared" si="101"/>
        <v>11</v>
      </c>
      <c r="I962" s="4">
        <f t="shared" si="102"/>
        <v>28</v>
      </c>
      <c r="J962">
        <f t="shared" si="103"/>
        <v>20133128</v>
      </c>
      <c r="K962">
        <f t="shared" si="104"/>
        <v>21</v>
      </c>
    </row>
    <row r="963" spans="1:11" x14ac:dyDescent="0.25">
      <c r="A963" s="4" t="s">
        <v>989</v>
      </c>
      <c r="B963" t="s">
        <v>5</v>
      </c>
      <c r="C963" t="s">
        <v>6</v>
      </c>
      <c r="D963" s="3">
        <f t="shared" ref="D963:D1001" si="105">MID(A963,1,2)*1</f>
        <v>13</v>
      </c>
      <c r="E963" s="4">
        <f t="shared" ref="E963:E1001" si="106">MID(A963,3,2)*1</f>
        <v>26</v>
      </c>
      <c r="F963" s="4">
        <f t="shared" ref="F963:F1001" si="107">MID(A963,5,2)*1</f>
        <v>22</v>
      </c>
      <c r="G963" s="3">
        <f>IF(E963&gt;=20,2000,1900) + D963</f>
        <v>2013</v>
      </c>
      <c r="H963">
        <f t="shared" ref="H963:H1001" si="108">IF(E963&gt;=20,E963-20,E963)</f>
        <v>6</v>
      </c>
      <c r="I963" s="4">
        <f t="shared" ref="I963:I1001" si="109">F963</f>
        <v>22</v>
      </c>
      <c r="J963">
        <f t="shared" ref="J963:J1001" si="110">CONCATENATE(G963,IF(LEN(E963)=1,CONCATENATE("0",E963),E963),IF(LEN(F963)=1,CONCATENATE("0",F963),F963))*1</f>
        <v>20132622</v>
      </c>
      <c r="K963">
        <f t="shared" ref="K963:K1001" si="111">IF(G963&lt;=2000,20,21)</f>
        <v>21</v>
      </c>
    </row>
    <row r="964" spans="1:11" x14ac:dyDescent="0.25">
      <c r="A964" s="4" t="s">
        <v>990</v>
      </c>
      <c r="B964" t="s">
        <v>7</v>
      </c>
      <c r="C964" t="s">
        <v>4</v>
      </c>
      <c r="D964" s="3">
        <f t="shared" si="105"/>
        <v>21</v>
      </c>
      <c r="E964" s="4">
        <f t="shared" si="106"/>
        <v>22</v>
      </c>
      <c r="F964" s="4">
        <f t="shared" si="107"/>
        <v>7</v>
      </c>
      <c r="G964" s="3">
        <f>IF(E964&gt;=20,2000,1900) + D964</f>
        <v>2021</v>
      </c>
      <c r="H964">
        <f t="shared" si="108"/>
        <v>2</v>
      </c>
      <c r="I964" s="4">
        <f t="shared" si="109"/>
        <v>7</v>
      </c>
      <c r="J964">
        <f t="shared" si="110"/>
        <v>20212207</v>
      </c>
      <c r="K964">
        <f t="shared" si="111"/>
        <v>21</v>
      </c>
    </row>
    <row r="965" spans="1:11" x14ac:dyDescent="0.25">
      <c r="A965" s="4" t="s">
        <v>991</v>
      </c>
      <c r="B965" t="s">
        <v>10</v>
      </c>
      <c r="C965" t="s">
        <v>6</v>
      </c>
      <c r="D965" s="3">
        <f t="shared" si="105"/>
        <v>6</v>
      </c>
      <c r="E965" s="4">
        <f t="shared" si="106"/>
        <v>26</v>
      </c>
      <c r="F965" s="4">
        <f t="shared" si="107"/>
        <v>17</v>
      </c>
      <c r="G965" s="3">
        <f>IF(E965&gt;=20,2000,1900) + D965</f>
        <v>2006</v>
      </c>
      <c r="H965">
        <f t="shared" si="108"/>
        <v>6</v>
      </c>
      <c r="I965" s="4">
        <f t="shared" si="109"/>
        <v>17</v>
      </c>
      <c r="J965">
        <f t="shared" si="110"/>
        <v>20062617</v>
      </c>
      <c r="K965">
        <f t="shared" si="111"/>
        <v>21</v>
      </c>
    </row>
    <row r="966" spans="1:11" x14ac:dyDescent="0.25">
      <c r="A966" s="4" t="s">
        <v>992</v>
      </c>
      <c r="B966" t="s">
        <v>16</v>
      </c>
      <c r="C966" t="s">
        <v>4</v>
      </c>
      <c r="D966" s="3">
        <f t="shared" si="105"/>
        <v>14</v>
      </c>
      <c r="E966" s="4">
        <f t="shared" si="106"/>
        <v>22</v>
      </c>
      <c r="F966" s="4">
        <f t="shared" si="107"/>
        <v>26</v>
      </c>
      <c r="G966" s="3">
        <f>IF(E966&gt;=20,2000,1900) + D966</f>
        <v>2014</v>
      </c>
      <c r="H966">
        <f t="shared" si="108"/>
        <v>2</v>
      </c>
      <c r="I966" s="4">
        <f t="shared" si="109"/>
        <v>26</v>
      </c>
      <c r="J966">
        <f t="shared" si="110"/>
        <v>20142226</v>
      </c>
      <c r="K966">
        <f t="shared" si="111"/>
        <v>21</v>
      </c>
    </row>
    <row r="967" spans="1:11" x14ac:dyDescent="0.25">
      <c r="A967" s="4" t="s">
        <v>993</v>
      </c>
      <c r="B967" t="s">
        <v>8</v>
      </c>
      <c r="C967" t="s">
        <v>6</v>
      </c>
      <c r="D967" s="3">
        <f t="shared" si="105"/>
        <v>19</v>
      </c>
      <c r="E967" s="4">
        <f t="shared" si="106"/>
        <v>32</v>
      </c>
      <c r="F967" s="4">
        <f t="shared" si="107"/>
        <v>12</v>
      </c>
      <c r="G967" s="3">
        <f>IF(E967&gt;=20,2000,1900) + D967</f>
        <v>2019</v>
      </c>
      <c r="H967">
        <f t="shared" si="108"/>
        <v>12</v>
      </c>
      <c r="I967" s="4">
        <f t="shared" si="109"/>
        <v>12</v>
      </c>
      <c r="J967">
        <f t="shared" si="110"/>
        <v>20193212</v>
      </c>
      <c r="K967">
        <f t="shared" si="111"/>
        <v>21</v>
      </c>
    </row>
    <row r="968" spans="1:11" x14ac:dyDescent="0.25">
      <c r="A968" s="4" t="s">
        <v>994</v>
      </c>
      <c r="B968" t="s">
        <v>9</v>
      </c>
      <c r="C968" t="s">
        <v>4</v>
      </c>
      <c r="D968" s="3">
        <f t="shared" si="105"/>
        <v>8</v>
      </c>
      <c r="E968" s="4">
        <f t="shared" si="106"/>
        <v>23</v>
      </c>
      <c r="F968" s="4">
        <f t="shared" si="107"/>
        <v>19</v>
      </c>
      <c r="G968" s="3">
        <f>IF(E968&gt;=20,2000,1900) + D968</f>
        <v>2008</v>
      </c>
      <c r="H968">
        <f t="shared" si="108"/>
        <v>3</v>
      </c>
      <c r="I968" s="4">
        <f t="shared" si="109"/>
        <v>19</v>
      </c>
      <c r="J968">
        <f t="shared" si="110"/>
        <v>20082319</v>
      </c>
      <c r="K968">
        <f t="shared" si="111"/>
        <v>21</v>
      </c>
    </row>
    <row r="969" spans="1:11" x14ac:dyDescent="0.25">
      <c r="A969" s="4" t="s">
        <v>995</v>
      </c>
      <c r="B969" t="s">
        <v>16</v>
      </c>
      <c r="C969" t="s">
        <v>6</v>
      </c>
      <c r="D969" s="3">
        <f t="shared" si="105"/>
        <v>15</v>
      </c>
      <c r="E969" s="4">
        <f t="shared" si="106"/>
        <v>29</v>
      </c>
      <c r="F969" s="4">
        <f t="shared" si="107"/>
        <v>12</v>
      </c>
      <c r="G969" s="3">
        <f>IF(E969&gt;=20,2000,1900) + D969</f>
        <v>2015</v>
      </c>
      <c r="H969">
        <f t="shared" si="108"/>
        <v>9</v>
      </c>
      <c r="I969" s="4">
        <f t="shared" si="109"/>
        <v>12</v>
      </c>
      <c r="J969">
        <f t="shared" si="110"/>
        <v>20152912</v>
      </c>
      <c r="K969">
        <f t="shared" si="111"/>
        <v>21</v>
      </c>
    </row>
    <row r="970" spans="1:11" x14ac:dyDescent="0.25">
      <c r="A970" s="4" t="s">
        <v>996</v>
      </c>
      <c r="B970" t="s">
        <v>17</v>
      </c>
      <c r="C970" t="s">
        <v>6</v>
      </c>
      <c r="D970" s="3">
        <f t="shared" si="105"/>
        <v>8</v>
      </c>
      <c r="E970" s="4">
        <f t="shared" si="106"/>
        <v>26</v>
      </c>
      <c r="F970" s="4">
        <f t="shared" si="107"/>
        <v>4</v>
      </c>
      <c r="G970" s="3">
        <f>IF(E970&gt;=20,2000,1900) + D970</f>
        <v>2008</v>
      </c>
      <c r="H970">
        <f t="shared" si="108"/>
        <v>6</v>
      </c>
      <c r="I970" s="4">
        <f t="shared" si="109"/>
        <v>4</v>
      </c>
      <c r="J970">
        <f t="shared" si="110"/>
        <v>20082604</v>
      </c>
      <c r="K970">
        <f t="shared" si="111"/>
        <v>21</v>
      </c>
    </row>
    <row r="971" spans="1:11" x14ac:dyDescent="0.25">
      <c r="A971" s="4" t="s">
        <v>997</v>
      </c>
      <c r="B971" t="s">
        <v>10</v>
      </c>
      <c r="C971" t="s">
        <v>6</v>
      </c>
      <c r="D971" s="3">
        <f t="shared" si="105"/>
        <v>8</v>
      </c>
      <c r="E971" s="4">
        <f t="shared" si="106"/>
        <v>24</v>
      </c>
      <c r="F971" s="4">
        <f t="shared" si="107"/>
        <v>2</v>
      </c>
      <c r="G971" s="3">
        <f>IF(E971&gt;=20,2000,1900) + D971</f>
        <v>2008</v>
      </c>
      <c r="H971">
        <f t="shared" si="108"/>
        <v>4</v>
      </c>
      <c r="I971" s="4">
        <f t="shared" si="109"/>
        <v>2</v>
      </c>
      <c r="J971">
        <f t="shared" si="110"/>
        <v>20082402</v>
      </c>
      <c r="K971">
        <f t="shared" si="111"/>
        <v>21</v>
      </c>
    </row>
    <row r="972" spans="1:11" x14ac:dyDescent="0.25">
      <c r="A972" s="4" t="s">
        <v>998</v>
      </c>
      <c r="B972" t="s">
        <v>17</v>
      </c>
      <c r="C972" t="s">
        <v>4</v>
      </c>
      <c r="D972" s="3">
        <f t="shared" si="105"/>
        <v>19</v>
      </c>
      <c r="E972" s="4">
        <f t="shared" si="106"/>
        <v>23</v>
      </c>
      <c r="F972" s="4">
        <f t="shared" si="107"/>
        <v>10</v>
      </c>
      <c r="G972" s="3">
        <f>IF(E972&gt;=20,2000,1900) + D972</f>
        <v>2019</v>
      </c>
      <c r="H972">
        <f t="shared" si="108"/>
        <v>3</v>
      </c>
      <c r="I972" s="4">
        <f t="shared" si="109"/>
        <v>10</v>
      </c>
      <c r="J972">
        <f t="shared" si="110"/>
        <v>20192310</v>
      </c>
      <c r="K972">
        <f t="shared" si="111"/>
        <v>21</v>
      </c>
    </row>
    <row r="973" spans="1:11" x14ac:dyDescent="0.25">
      <c r="A973" s="4" t="s">
        <v>999</v>
      </c>
      <c r="B973" t="s">
        <v>8</v>
      </c>
      <c r="C973" t="s">
        <v>6</v>
      </c>
      <c r="D973" s="3">
        <f t="shared" si="105"/>
        <v>14</v>
      </c>
      <c r="E973" s="4">
        <f t="shared" si="106"/>
        <v>28</v>
      </c>
      <c r="F973" s="4">
        <f t="shared" si="107"/>
        <v>12</v>
      </c>
      <c r="G973" s="3">
        <f>IF(E973&gt;=20,2000,1900) + D973</f>
        <v>2014</v>
      </c>
      <c r="H973">
        <f t="shared" si="108"/>
        <v>8</v>
      </c>
      <c r="I973" s="4">
        <f t="shared" si="109"/>
        <v>12</v>
      </c>
      <c r="J973">
        <f t="shared" si="110"/>
        <v>20142812</v>
      </c>
      <c r="K973">
        <f t="shared" si="111"/>
        <v>21</v>
      </c>
    </row>
    <row r="974" spans="1:11" x14ac:dyDescent="0.25">
      <c r="A974" s="4" t="s">
        <v>1000</v>
      </c>
      <c r="B974" t="s">
        <v>7</v>
      </c>
      <c r="C974" t="s">
        <v>4</v>
      </c>
      <c r="D974" s="3">
        <f t="shared" si="105"/>
        <v>7</v>
      </c>
      <c r="E974" s="4">
        <f t="shared" si="106"/>
        <v>28</v>
      </c>
      <c r="F974" s="4">
        <f t="shared" si="107"/>
        <v>2</v>
      </c>
      <c r="G974" s="3">
        <f>IF(E974&gt;=20,2000,1900) + D974</f>
        <v>2007</v>
      </c>
      <c r="H974">
        <f t="shared" si="108"/>
        <v>8</v>
      </c>
      <c r="I974" s="4">
        <f t="shared" si="109"/>
        <v>2</v>
      </c>
      <c r="J974">
        <f t="shared" si="110"/>
        <v>20072802</v>
      </c>
      <c r="K974">
        <f t="shared" si="111"/>
        <v>21</v>
      </c>
    </row>
    <row r="975" spans="1:11" x14ac:dyDescent="0.25">
      <c r="A975" s="4" t="s">
        <v>1001</v>
      </c>
      <c r="B975" t="s">
        <v>3</v>
      </c>
      <c r="C975" t="s">
        <v>6</v>
      </c>
      <c r="D975" s="3">
        <f t="shared" si="105"/>
        <v>6</v>
      </c>
      <c r="E975" s="4">
        <f t="shared" si="106"/>
        <v>26</v>
      </c>
      <c r="F975" s="4">
        <f t="shared" si="107"/>
        <v>25</v>
      </c>
      <c r="G975" s="3">
        <f>IF(E975&gt;=20,2000,1900) + D975</f>
        <v>2006</v>
      </c>
      <c r="H975">
        <f t="shared" si="108"/>
        <v>6</v>
      </c>
      <c r="I975" s="4">
        <f t="shared" si="109"/>
        <v>25</v>
      </c>
      <c r="J975">
        <f t="shared" si="110"/>
        <v>20062625</v>
      </c>
      <c r="K975">
        <f t="shared" si="111"/>
        <v>21</v>
      </c>
    </row>
    <row r="976" spans="1:11" x14ac:dyDescent="0.25">
      <c r="A976" s="4" t="s">
        <v>1002</v>
      </c>
      <c r="B976" t="s">
        <v>7</v>
      </c>
      <c r="C976" t="s">
        <v>6</v>
      </c>
      <c r="D976" s="3">
        <f t="shared" si="105"/>
        <v>15</v>
      </c>
      <c r="E976" s="4">
        <f t="shared" si="106"/>
        <v>24</v>
      </c>
      <c r="F976" s="4">
        <f t="shared" si="107"/>
        <v>27</v>
      </c>
      <c r="G976" s="3">
        <f>IF(E976&gt;=20,2000,1900) + D976</f>
        <v>2015</v>
      </c>
      <c r="H976">
        <f t="shared" si="108"/>
        <v>4</v>
      </c>
      <c r="I976" s="4">
        <f t="shared" si="109"/>
        <v>27</v>
      </c>
      <c r="J976">
        <f t="shared" si="110"/>
        <v>20152427</v>
      </c>
      <c r="K976">
        <f t="shared" si="111"/>
        <v>21</v>
      </c>
    </row>
    <row r="977" spans="1:11" x14ac:dyDescent="0.25">
      <c r="A977" s="4" t="s">
        <v>1003</v>
      </c>
      <c r="B977" t="s">
        <v>9</v>
      </c>
      <c r="C977" t="s">
        <v>6</v>
      </c>
      <c r="D977" s="3">
        <f t="shared" si="105"/>
        <v>14</v>
      </c>
      <c r="E977" s="4">
        <f t="shared" si="106"/>
        <v>26</v>
      </c>
      <c r="F977" s="4">
        <f t="shared" si="107"/>
        <v>22</v>
      </c>
      <c r="G977" s="3">
        <f>IF(E977&gt;=20,2000,1900) + D977</f>
        <v>2014</v>
      </c>
      <c r="H977">
        <f t="shared" si="108"/>
        <v>6</v>
      </c>
      <c r="I977" s="4">
        <f t="shared" si="109"/>
        <v>22</v>
      </c>
      <c r="J977">
        <f t="shared" si="110"/>
        <v>20142622</v>
      </c>
      <c r="K977">
        <f t="shared" si="111"/>
        <v>21</v>
      </c>
    </row>
    <row r="978" spans="1:11" x14ac:dyDescent="0.25">
      <c r="A978" s="4" t="s">
        <v>1004</v>
      </c>
      <c r="B978" t="s">
        <v>12</v>
      </c>
      <c r="C978" t="s">
        <v>4</v>
      </c>
      <c r="D978" s="3">
        <f t="shared" si="105"/>
        <v>1</v>
      </c>
      <c r="E978" s="4">
        <f t="shared" si="106"/>
        <v>21</v>
      </c>
      <c r="F978" s="4">
        <f t="shared" si="107"/>
        <v>29</v>
      </c>
      <c r="G978" s="3">
        <f>IF(E978&gt;=20,2000,1900) + D978</f>
        <v>2001</v>
      </c>
      <c r="H978">
        <f t="shared" si="108"/>
        <v>1</v>
      </c>
      <c r="I978" s="4">
        <f t="shared" si="109"/>
        <v>29</v>
      </c>
      <c r="J978">
        <f t="shared" si="110"/>
        <v>20012129</v>
      </c>
      <c r="K978">
        <f t="shared" si="111"/>
        <v>21</v>
      </c>
    </row>
    <row r="979" spans="1:11" x14ac:dyDescent="0.25">
      <c r="A979" s="4" t="s">
        <v>1005</v>
      </c>
      <c r="B979" t="s">
        <v>5</v>
      </c>
      <c r="C979" t="s">
        <v>4</v>
      </c>
      <c r="D979" s="3">
        <f t="shared" si="105"/>
        <v>21</v>
      </c>
      <c r="E979" s="4">
        <f t="shared" si="106"/>
        <v>21</v>
      </c>
      <c r="F979" s="4">
        <f t="shared" si="107"/>
        <v>2</v>
      </c>
      <c r="G979" s="3">
        <f>IF(E979&gt;=20,2000,1900) + D979</f>
        <v>2021</v>
      </c>
      <c r="H979">
        <f t="shared" si="108"/>
        <v>1</v>
      </c>
      <c r="I979" s="4">
        <f t="shared" si="109"/>
        <v>2</v>
      </c>
      <c r="J979">
        <f t="shared" si="110"/>
        <v>20212102</v>
      </c>
      <c r="K979">
        <f t="shared" si="111"/>
        <v>21</v>
      </c>
    </row>
    <row r="980" spans="1:11" x14ac:dyDescent="0.25">
      <c r="A980" s="4" t="s">
        <v>1006</v>
      </c>
      <c r="B980" t="s">
        <v>18</v>
      </c>
      <c r="C980" t="s">
        <v>4</v>
      </c>
      <c r="D980" s="3">
        <f t="shared" si="105"/>
        <v>16</v>
      </c>
      <c r="E980" s="4">
        <f t="shared" si="106"/>
        <v>28</v>
      </c>
      <c r="F980" s="4">
        <f t="shared" si="107"/>
        <v>24</v>
      </c>
      <c r="G980" s="3">
        <f>IF(E980&gt;=20,2000,1900) + D980</f>
        <v>2016</v>
      </c>
      <c r="H980">
        <f t="shared" si="108"/>
        <v>8</v>
      </c>
      <c r="I980" s="4">
        <f t="shared" si="109"/>
        <v>24</v>
      </c>
      <c r="J980">
        <f t="shared" si="110"/>
        <v>20162824</v>
      </c>
      <c r="K980">
        <f t="shared" si="111"/>
        <v>21</v>
      </c>
    </row>
    <row r="981" spans="1:11" x14ac:dyDescent="0.25">
      <c r="A981" s="4" t="s">
        <v>1007</v>
      </c>
      <c r="B981" t="s">
        <v>14</v>
      </c>
      <c r="C981" t="s">
        <v>6</v>
      </c>
      <c r="D981" s="3">
        <f t="shared" si="105"/>
        <v>2</v>
      </c>
      <c r="E981" s="4">
        <f t="shared" si="106"/>
        <v>24</v>
      </c>
      <c r="F981" s="4">
        <f t="shared" si="107"/>
        <v>12</v>
      </c>
      <c r="G981" s="3">
        <f>IF(E981&gt;=20,2000,1900) + D981</f>
        <v>2002</v>
      </c>
      <c r="H981">
        <f t="shared" si="108"/>
        <v>4</v>
      </c>
      <c r="I981" s="4">
        <f t="shared" si="109"/>
        <v>12</v>
      </c>
      <c r="J981">
        <f t="shared" si="110"/>
        <v>20022412</v>
      </c>
      <c r="K981">
        <f t="shared" si="111"/>
        <v>21</v>
      </c>
    </row>
    <row r="982" spans="1:11" x14ac:dyDescent="0.25">
      <c r="A982" s="4" t="s">
        <v>1008</v>
      </c>
      <c r="B982" t="s">
        <v>20</v>
      </c>
      <c r="C982" t="s">
        <v>4</v>
      </c>
      <c r="D982" s="3">
        <f t="shared" si="105"/>
        <v>6</v>
      </c>
      <c r="E982" s="4">
        <f t="shared" si="106"/>
        <v>31</v>
      </c>
      <c r="F982" s="4">
        <f t="shared" si="107"/>
        <v>5</v>
      </c>
      <c r="G982" s="3">
        <f>IF(E982&gt;=20,2000,1900) + D982</f>
        <v>2006</v>
      </c>
      <c r="H982">
        <f t="shared" si="108"/>
        <v>11</v>
      </c>
      <c r="I982" s="4">
        <f t="shared" si="109"/>
        <v>5</v>
      </c>
      <c r="J982">
        <f t="shared" si="110"/>
        <v>20063105</v>
      </c>
      <c r="K982">
        <f t="shared" si="111"/>
        <v>21</v>
      </c>
    </row>
    <row r="983" spans="1:11" x14ac:dyDescent="0.25">
      <c r="A983" s="4" t="s">
        <v>1009</v>
      </c>
      <c r="B983" t="s">
        <v>19</v>
      </c>
      <c r="C983" t="s">
        <v>6</v>
      </c>
      <c r="D983" s="3">
        <f t="shared" si="105"/>
        <v>18</v>
      </c>
      <c r="E983" s="4">
        <f t="shared" si="106"/>
        <v>21</v>
      </c>
      <c r="F983" s="4">
        <f t="shared" si="107"/>
        <v>9</v>
      </c>
      <c r="G983" s="3">
        <f>IF(E983&gt;=20,2000,1900) + D983</f>
        <v>2018</v>
      </c>
      <c r="H983">
        <f t="shared" si="108"/>
        <v>1</v>
      </c>
      <c r="I983" s="4">
        <f t="shared" si="109"/>
        <v>9</v>
      </c>
      <c r="J983">
        <f t="shared" si="110"/>
        <v>20182109</v>
      </c>
      <c r="K983">
        <f t="shared" si="111"/>
        <v>21</v>
      </c>
    </row>
    <row r="984" spans="1:11" x14ac:dyDescent="0.25">
      <c r="A984" s="4" t="s">
        <v>1010</v>
      </c>
      <c r="B984" t="s">
        <v>9</v>
      </c>
      <c r="C984" t="s">
        <v>4</v>
      </c>
      <c r="D984" s="3">
        <f t="shared" si="105"/>
        <v>21</v>
      </c>
      <c r="E984" s="4">
        <f t="shared" si="106"/>
        <v>24</v>
      </c>
      <c r="F984" s="4">
        <f t="shared" si="107"/>
        <v>30</v>
      </c>
      <c r="G984" s="3">
        <f>IF(E984&gt;=20,2000,1900) + D984</f>
        <v>2021</v>
      </c>
      <c r="H984">
        <f t="shared" si="108"/>
        <v>4</v>
      </c>
      <c r="I984" s="4">
        <f t="shared" si="109"/>
        <v>30</v>
      </c>
      <c r="J984">
        <f t="shared" si="110"/>
        <v>20212430</v>
      </c>
      <c r="K984">
        <f t="shared" si="111"/>
        <v>21</v>
      </c>
    </row>
    <row r="985" spans="1:11" x14ac:dyDescent="0.25">
      <c r="A985" s="4" t="s">
        <v>1011</v>
      </c>
      <c r="B985" t="s">
        <v>13</v>
      </c>
      <c r="C985" t="s">
        <v>6</v>
      </c>
      <c r="D985" s="3">
        <f t="shared" si="105"/>
        <v>0</v>
      </c>
      <c r="E985" s="4">
        <f t="shared" si="106"/>
        <v>25</v>
      </c>
      <c r="F985" s="4">
        <f t="shared" si="107"/>
        <v>12</v>
      </c>
      <c r="G985" s="3">
        <f>IF(E985&gt;=20,2000,1900) + D985</f>
        <v>2000</v>
      </c>
      <c r="H985">
        <f t="shared" si="108"/>
        <v>5</v>
      </c>
      <c r="I985" s="4">
        <f t="shared" si="109"/>
        <v>12</v>
      </c>
      <c r="J985">
        <f t="shared" si="110"/>
        <v>20002512</v>
      </c>
      <c r="K985">
        <f t="shared" si="111"/>
        <v>20</v>
      </c>
    </row>
    <row r="986" spans="1:11" x14ac:dyDescent="0.25">
      <c r="A986" s="4" t="s">
        <v>1012</v>
      </c>
      <c r="B986" t="s">
        <v>10</v>
      </c>
      <c r="C986" t="s">
        <v>6</v>
      </c>
      <c r="D986" s="3">
        <f t="shared" si="105"/>
        <v>0</v>
      </c>
      <c r="E986" s="4">
        <f t="shared" si="106"/>
        <v>27</v>
      </c>
      <c r="F986" s="4">
        <f t="shared" si="107"/>
        <v>4</v>
      </c>
      <c r="G986" s="3">
        <f>IF(E986&gt;=20,2000,1900) + D986</f>
        <v>2000</v>
      </c>
      <c r="H986">
        <f t="shared" si="108"/>
        <v>7</v>
      </c>
      <c r="I986" s="4">
        <f t="shared" si="109"/>
        <v>4</v>
      </c>
      <c r="J986">
        <f t="shared" si="110"/>
        <v>20002704</v>
      </c>
      <c r="K986">
        <f t="shared" si="111"/>
        <v>20</v>
      </c>
    </row>
    <row r="987" spans="1:11" x14ac:dyDescent="0.25">
      <c r="A987" s="4" t="s">
        <v>1013</v>
      </c>
      <c r="B987" t="s">
        <v>11</v>
      </c>
      <c r="C987" t="s">
        <v>4</v>
      </c>
      <c r="D987" s="3">
        <f t="shared" si="105"/>
        <v>6</v>
      </c>
      <c r="E987" s="4">
        <f t="shared" si="106"/>
        <v>21</v>
      </c>
      <c r="F987" s="4">
        <f t="shared" si="107"/>
        <v>13</v>
      </c>
      <c r="G987" s="3">
        <f>IF(E987&gt;=20,2000,1900) + D987</f>
        <v>2006</v>
      </c>
      <c r="H987">
        <f t="shared" si="108"/>
        <v>1</v>
      </c>
      <c r="I987" s="4">
        <f t="shared" si="109"/>
        <v>13</v>
      </c>
      <c r="J987">
        <f t="shared" si="110"/>
        <v>20062113</v>
      </c>
      <c r="K987">
        <f t="shared" si="111"/>
        <v>21</v>
      </c>
    </row>
    <row r="988" spans="1:11" x14ac:dyDescent="0.25">
      <c r="A988" s="4" t="s">
        <v>1014</v>
      </c>
      <c r="B988" t="s">
        <v>18</v>
      </c>
      <c r="C988" t="s">
        <v>6</v>
      </c>
      <c r="D988" s="3">
        <f t="shared" si="105"/>
        <v>17</v>
      </c>
      <c r="E988" s="4">
        <f t="shared" si="106"/>
        <v>21</v>
      </c>
      <c r="F988" s="4">
        <f t="shared" si="107"/>
        <v>22</v>
      </c>
      <c r="G988" s="3">
        <f>IF(E988&gt;=20,2000,1900) + D988</f>
        <v>2017</v>
      </c>
      <c r="H988">
        <f t="shared" si="108"/>
        <v>1</v>
      </c>
      <c r="I988" s="4">
        <f t="shared" si="109"/>
        <v>22</v>
      </c>
      <c r="J988">
        <f t="shared" si="110"/>
        <v>20172122</v>
      </c>
      <c r="K988">
        <f t="shared" si="111"/>
        <v>21</v>
      </c>
    </row>
    <row r="989" spans="1:11" x14ac:dyDescent="0.25">
      <c r="A989" s="4" t="s">
        <v>1015</v>
      </c>
      <c r="B989" t="s">
        <v>7</v>
      </c>
      <c r="C989" t="s">
        <v>6</v>
      </c>
      <c r="D989" s="3">
        <f t="shared" si="105"/>
        <v>11</v>
      </c>
      <c r="E989" s="4">
        <f t="shared" si="106"/>
        <v>24</v>
      </c>
      <c r="F989" s="4">
        <f t="shared" si="107"/>
        <v>15</v>
      </c>
      <c r="G989" s="3">
        <f>IF(E989&gt;=20,2000,1900) + D989</f>
        <v>2011</v>
      </c>
      <c r="H989">
        <f t="shared" si="108"/>
        <v>4</v>
      </c>
      <c r="I989" s="4">
        <f t="shared" si="109"/>
        <v>15</v>
      </c>
      <c r="J989">
        <f t="shared" si="110"/>
        <v>20112415</v>
      </c>
      <c r="K989">
        <f t="shared" si="111"/>
        <v>21</v>
      </c>
    </row>
    <row r="990" spans="1:11" x14ac:dyDescent="0.25">
      <c r="A990" s="4" t="s">
        <v>1016</v>
      </c>
      <c r="B990" t="s">
        <v>12</v>
      </c>
      <c r="C990" t="s">
        <v>4</v>
      </c>
      <c r="D990" s="3">
        <f t="shared" si="105"/>
        <v>18</v>
      </c>
      <c r="E990" s="4">
        <f t="shared" si="106"/>
        <v>22</v>
      </c>
      <c r="F990" s="4">
        <f t="shared" si="107"/>
        <v>22</v>
      </c>
      <c r="G990" s="3">
        <f>IF(E990&gt;=20,2000,1900) + D990</f>
        <v>2018</v>
      </c>
      <c r="H990">
        <f t="shared" si="108"/>
        <v>2</v>
      </c>
      <c r="I990" s="4">
        <f t="shared" si="109"/>
        <v>22</v>
      </c>
      <c r="J990">
        <f t="shared" si="110"/>
        <v>20182222</v>
      </c>
      <c r="K990">
        <f t="shared" si="111"/>
        <v>21</v>
      </c>
    </row>
    <row r="991" spans="1:11" x14ac:dyDescent="0.25">
      <c r="A991" s="4" t="s">
        <v>1017</v>
      </c>
      <c r="B991" t="s">
        <v>10</v>
      </c>
      <c r="C991" t="s">
        <v>4</v>
      </c>
      <c r="D991" s="3">
        <f t="shared" si="105"/>
        <v>4</v>
      </c>
      <c r="E991" s="4">
        <f t="shared" si="106"/>
        <v>31</v>
      </c>
      <c r="F991" s="4">
        <f t="shared" si="107"/>
        <v>19</v>
      </c>
      <c r="G991" s="3">
        <f>IF(E991&gt;=20,2000,1900) + D991</f>
        <v>2004</v>
      </c>
      <c r="H991">
        <f t="shared" si="108"/>
        <v>11</v>
      </c>
      <c r="I991" s="4">
        <f t="shared" si="109"/>
        <v>19</v>
      </c>
      <c r="J991">
        <f t="shared" si="110"/>
        <v>20043119</v>
      </c>
      <c r="K991">
        <f t="shared" si="111"/>
        <v>21</v>
      </c>
    </row>
    <row r="992" spans="1:11" x14ac:dyDescent="0.25">
      <c r="A992" s="4" t="s">
        <v>1018</v>
      </c>
      <c r="B992" t="s">
        <v>3</v>
      </c>
      <c r="C992" t="s">
        <v>6</v>
      </c>
      <c r="D992" s="3">
        <f t="shared" si="105"/>
        <v>6</v>
      </c>
      <c r="E992" s="4">
        <f t="shared" si="106"/>
        <v>26</v>
      </c>
      <c r="F992" s="4">
        <f t="shared" si="107"/>
        <v>1</v>
      </c>
      <c r="G992" s="3">
        <f>IF(E992&gt;=20,2000,1900) + D992</f>
        <v>2006</v>
      </c>
      <c r="H992">
        <f t="shared" si="108"/>
        <v>6</v>
      </c>
      <c r="I992" s="4">
        <f t="shared" si="109"/>
        <v>1</v>
      </c>
      <c r="J992">
        <f t="shared" si="110"/>
        <v>20062601</v>
      </c>
      <c r="K992">
        <f t="shared" si="111"/>
        <v>21</v>
      </c>
    </row>
    <row r="993" spans="1:11" x14ac:dyDescent="0.25">
      <c r="A993" s="4" t="s">
        <v>1019</v>
      </c>
      <c r="B993" t="s">
        <v>13</v>
      </c>
      <c r="C993" t="s">
        <v>6</v>
      </c>
      <c r="D993" s="3">
        <f t="shared" si="105"/>
        <v>6</v>
      </c>
      <c r="E993" s="4">
        <f t="shared" si="106"/>
        <v>22</v>
      </c>
      <c r="F993" s="4">
        <f t="shared" si="107"/>
        <v>4</v>
      </c>
      <c r="G993" s="3">
        <f>IF(E993&gt;=20,2000,1900) + D993</f>
        <v>2006</v>
      </c>
      <c r="H993">
        <f t="shared" si="108"/>
        <v>2</v>
      </c>
      <c r="I993" s="4">
        <f t="shared" si="109"/>
        <v>4</v>
      </c>
      <c r="J993">
        <f t="shared" si="110"/>
        <v>20062204</v>
      </c>
      <c r="K993">
        <f t="shared" si="111"/>
        <v>21</v>
      </c>
    </row>
    <row r="994" spans="1:11" x14ac:dyDescent="0.25">
      <c r="A994" s="4" t="s">
        <v>1020</v>
      </c>
      <c r="B994" t="s">
        <v>11</v>
      </c>
      <c r="C994" t="s">
        <v>4</v>
      </c>
      <c r="D994" s="3">
        <f t="shared" si="105"/>
        <v>22</v>
      </c>
      <c r="E994" s="4">
        <f t="shared" si="106"/>
        <v>26</v>
      </c>
      <c r="F994" s="4">
        <f t="shared" si="107"/>
        <v>12</v>
      </c>
      <c r="G994" s="3">
        <f>IF(E994&gt;=20,2000,1900) + D994</f>
        <v>2022</v>
      </c>
      <c r="H994">
        <f t="shared" si="108"/>
        <v>6</v>
      </c>
      <c r="I994" s="4">
        <f t="shared" si="109"/>
        <v>12</v>
      </c>
      <c r="J994">
        <f t="shared" si="110"/>
        <v>20222612</v>
      </c>
      <c r="K994">
        <f t="shared" si="111"/>
        <v>21</v>
      </c>
    </row>
    <row r="995" spans="1:11" x14ac:dyDescent="0.25">
      <c r="A995" s="4" t="s">
        <v>1021</v>
      </c>
      <c r="B995" t="s">
        <v>13</v>
      </c>
      <c r="C995" t="s">
        <v>6</v>
      </c>
      <c r="D995" s="3">
        <f t="shared" si="105"/>
        <v>19</v>
      </c>
      <c r="E995" s="4">
        <f t="shared" si="106"/>
        <v>29</v>
      </c>
      <c r="F995" s="4">
        <f t="shared" si="107"/>
        <v>15</v>
      </c>
      <c r="G995" s="3">
        <f>IF(E995&gt;=20,2000,1900) + D995</f>
        <v>2019</v>
      </c>
      <c r="H995">
        <f t="shared" si="108"/>
        <v>9</v>
      </c>
      <c r="I995" s="4">
        <f t="shared" si="109"/>
        <v>15</v>
      </c>
      <c r="J995">
        <f t="shared" si="110"/>
        <v>20192915</v>
      </c>
      <c r="K995">
        <f t="shared" si="111"/>
        <v>21</v>
      </c>
    </row>
    <row r="996" spans="1:11" x14ac:dyDescent="0.25">
      <c r="A996" s="4" t="s">
        <v>1022</v>
      </c>
      <c r="B996" t="s">
        <v>5</v>
      </c>
      <c r="C996" t="s">
        <v>4</v>
      </c>
      <c r="D996" s="3">
        <f t="shared" si="105"/>
        <v>1</v>
      </c>
      <c r="E996" s="4">
        <f t="shared" si="106"/>
        <v>31</v>
      </c>
      <c r="F996" s="4">
        <f t="shared" si="107"/>
        <v>3</v>
      </c>
      <c r="G996" s="3">
        <f>IF(E996&gt;=20,2000,1900) + D996</f>
        <v>2001</v>
      </c>
      <c r="H996">
        <f t="shared" si="108"/>
        <v>11</v>
      </c>
      <c r="I996" s="4">
        <f t="shared" si="109"/>
        <v>3</v>
      </c>
      <c r="J996">
        <f t="shared" si="110"/>
        <v>20013103</v>
      </c>
      <c r="K996">
        <f t="shared" si="111"/>
        <v>21</v>
      </c>
    </row>
    <row r="997" spans="1:11" x14ac:dyDescent="0.25">
      <c r="A997" s="4" t="s">
        <v>1023</v>
      </c>
      <c r="B997" t="s">
        <v>15</v>
      </c>
      <c r="C997" t="s">
        <v>6</v>
      </c>
      <c r="D997" s="3">
        <f t="shared" si="105"/>
        <v>16</v>
      </c>
      <c r="E997" s="4">
        <f t="shared" si="106"/>
        <v>23</v>
      </c>
      <c r="F997" s="4">
        <f t="shared" si="107"/>
        <v>24</v>
      </c>
      <c r="G997" s="3">
        <f>IF(E997&gt;=20,2000,1900) + D997</f>
        <v>2016</v>
      </c>
      <c r="H997">
        <f t="shared" si="108"/>
        <v>3</v>
      </c>
      <c r="I997" s="4">
        <f t="shared" si="109"/>
        <v>24</v>
      </c>
      <c r="J997">
        <f t="shared" si="110"/>
        <v>20162324</v>
      </c>
      <c r="K997">
        <f t="shared" si="111"/>
        <v>21</v>
      </c>
    </row>
    <row r="998" spans="1:11" x14ac:dyDescent="0.25">
      <c r="A998" s="4" t="s">
        <v>1024</v>
      </c>
      <c r="B998" t="s">
        <v>19</v>
      </c>
      <c r="C998" t="s">
        <v>6</v>
      </c>
      <c r="D998" s="3">
        <f t="shared" si="105"/>
        <v>2</v>
      </c>
      <c r="E998" s="4">
        <f t="shared" si="106"/>
        <v>24</v>
      </c>
      <c r="F998" s="4">
        <f t="shared" si="107"/>
        <v>7</v>
      </c>
      <c r="G998" s="3">
        <f>IF(E998&gt;=20,2000,1900) + D998</f>
        <v>2002</v>
      </c>
      <c r="H998">
        <f t="shared" si="108"/>
        <v>4</v>
      </c>
      <c r="I998" s="4">
        <f t="shared" si="109"/>
        <v>7</v>
      </c>
      <c r="J998">
        <f t="shared" si="110"/>
        <v>20022407</v>
      </c>
      <c r="K998">
        <f t="shared" si="111"/>
        <v>21</v>
      </c>
    </row>
    <row r="999" spans="1:11" x14ac:dyDescent="0.25">
      <c r="A999" s="4" t="s">
        <v>1025</v>
      </c>
      <c r="B999" t="s">
        <v>7</v>
      </c>
      <c r="C999" t="s">
        <v>4</v>
      </c>
      <c r="D999" s="3">
        <f t="shared" si="105"/>
        <v>6</v>
      </c>
      <c r="E999" s="4">
        <f t="shared" si="106"/>
        <v>27</v>
      </c>
      <c r="F999" s="4">
        <f t="shared" si="107"/>
        <v>4</v>
      </c>
      <c r="G999" s="3">
        <f>IF(E999&gt;=20,2000,1900) + D999</f>
        <v>2006</v>
      </c>
      <c r="H999">
        <f t="shared" si="108"/>
        <v>7</v>
      </c>
      <c r="I999" s="4">
        <f t="shared" si="109"/>
        <v>4</v>
      </c>
      <c r="J999">
        <f t="shared" si="110"/>
        <v>20062704</v>
      </c>
      <c r="K999">
        <f t="shared" si="111"/>
        <v>21</v>
      </c>
    </row>
    <row r="1000" spans="1:11" x14ac:dyDescent="0.25">
      <c r="A1000" s="4" t="s">
        <v>1026</v>
      </c>
      <c r="B1000" t="s">
        <v>8</v>
      </c>
      <c r="C1000" t="s">
        <v>4</v>
      </c>
      <c r="D1000" s="3">
        <f t="shared" si="105"/>
        <v>4</v>
      </c>
      <c r="E1000" s="4">
        <f t="shared" si="106"/>
        <v>24</v>
      </c>
      <c r="F1000" s="4">
        <f t="shared" si="107"/>
        <v>18</v>
      </c>
      <c r="G1000" s="3">
        <f>IF(E1000&gt;=20,2000,1900) + D1000</f>
        <v>2004</v>
      </c>
      <c r="H1000">
        <f t="shared" si="108"/>
        <v>4</v>
      </c>
      <c r="I1000" s="4">
        <f t="shared" si="109"/>
        <v>18</v>
      </c>
      <c r="J1000">
        <f t="shared" si="110"/>
        <v>20042418</v>
      </c>
      <c r="K1000">
        <f t="shared" si="111"/>
        <v>21</v>
      </c>
    </row>
    <row r="1001" spans="1:11" x14ac:dyDescent="0.25">
      <c r="A1001" s="4" t="s">
        <v>1027</v>
      </c>
      <c r="B1001" t="s">
        <v>14</v>
      </c>
      <c r="C1001" t="s">
        <v>6</v>
      </c>
      <c r="D1001" s="3">
        <f t="shared" si="105"/>
        <v>17</v>
      </c>
      <c r="E1001" s="4">
        <f t="shared" si="106"/>
        <v>32</v>
      </c>
      <c r="F1001" s="4">
        <f t="shared" si="107"/>
        <v>4</v>
      </c>
      <c r="G1001" s="3">
        <f>IF(E1001&gt;=20,2000,1900) + D1001</f>
        <v>2017</v>
      </c>
      <c r="H1001">
        <f t="shared" si="108"/>
        <v>12</v>
      </c>
      <c r="I1001" s="4">
        <f t="shared" si="109"/>
        <v>4</v>
      </c>
      <c r="J1001">
        <f t="shared" si="110"/>
        <v>20173204</v>
      </c>
      <c r="K1001">
        <f t="shared" si="111"/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4"/>
  <sheetViews>
    <sheetView workbookViewId="0">
      <selection activeCell="A4" sqref="A4"/>
    </sheetView>
  </sheetViews>
  <sheetFormatPr defaultRowHeight="15" x14ac:dyDescent="0.25"/>
  <cols>
    <col min="1" max="1" width="17.7109375" customWidth="1"/>
    <col min="2" max="2" width="12.85546875" bestFit="1" customWidth="1"/>
    <col min="3" max="5" width="3" customWidth="1"/>
    <col min="6" max="6" width="20.5703125" customWidth="1"/>
    <col min="7" max="25" width="3" customWidth="1"/>
    <col min="26" max="26" width="7.42578125" customWidth="1"/>
    <col min="27" max="27" width="14.28515625" bestFit="1" customWidth="1"/>
  </cols>
  <sheetData>
    <row r="2" spans="1:6" x14ac:dyDescent="0.25">
      <c r="F2" s="5" t="s">
        <v>1037</v>
      </c>
    </row>
    <row r="3" spans="1:6" x14ac:dyDescent="0.25">
      <c r="A3" s="1" t="s">
        <v>1036</v>
      </c>
      <c r="B3" t="s">
        <v>23</v>
      </c>
      <c r="F3" s="5">
        <f>SUM(B5:B23)+SUM(B54:B63)</f>
        <v>85</v>
      </c>
    </row>
    <row r="4" spans="1:6" x14ac:dyDescent="0.25">
      <c r="A4" s="2">
        <v>1</v>
      </c>
      <c r="B4" s="3">
        <v>89</v>
      </c>
    </row>
    <row r="5" spans="1:6" x14ac:dyDescent="0.25">
      <c r="A5" s="6">
        <v>1</v>
      </c>
      <c r="B5" s="3">
        <v>6</v>
      </c>
    </row>
    <row r="6" spans="1:6" x14ac:dyDescent="0.25">
      <c r="A6" s="6">
        <v>2</v>
      </c>
      <c r="B6" s="3">
        <v>1</v>
      </c>
    </row>
    <row r="7" spans="1:6" x14ac:dyDescent="0.25">
      <c r="A7" s="6">
        <v>3</v>
      </c>
      <c r="B7" s="3">
        <v>1</v>
      </c>
    </row>
    <row r="8" spans="1:6" x14ac:dyDescent="0.25">
      <c r="A8" s="6">
        <v>4</v>
      </c>
      <c r="B8" s="3">
        <v>3</v>
      </c>
    </row>
    <row r="9" spans="1:6" x14ac:dyDescent="0.25">
      <c r="A9" s="6">
        <v>5</v>
      </c>
      <c r="B9" s="3">
        <v>3</v>
      </c>
    </row>
    <row r="10" spans="1:6" x14ac:dyDescent="0.25">
      <c r="A10" s="6">
        <v>6</v>
      </c>
      <c r="B10" s="3">
        <v>3</v>
      </c>
    </row>
    <row r="11" spans="1:6" x14ac:dyDescent="0.25">
      <c r="A11" s="6">
        <v>7</v>
      </c>
      <c r="B11" s="3">
        <v>2</v>
      </c>
    </row>
    <row r="12" spans="1:6" x14ac:dyDescent="0.25">
      <c r="A12" s="6">
        <v>8</v>
      </c>
      <c r="B12" s="3">
        <v>5</v>
      </c>
    </row>
    <row r="13" spans="1:6" x14ac:dyDescent="0.25">
      <c r="A13" s="6">
        <v>9</v>
      </c>
      <c r="B13" s="3">
        <v>3</v>
      </c>
    </row>
    <row r="14" spans="1:6" x14ac:dyDescent="0.25">
      <c r="A14" s="6">
        <v>10</v>
      </c>
      <c r="B14" s="3">
        <v>4</v>
      </c>
    </row>
    <row r="15" spans="1:6" x14ac:dyDescent="0.25">
      <c r="A15" s="6">
        <v>11</v>
      </c>
      <c r="B15" s="3">
        <v>2</v>
      </c>
    </row>
    <row r="16" spans="1:6" x14ac:dyDescent="0.25">
      <c r="A16" s="6">
        <v>12</v>
      </c>
      <c r="B16" s="3">
        <v>7</v>
      </c>
    </row>
    <row r="17" spans="1:2" x14ac:dyDescent="0.25">
      <c r="A17" s="6">
        <v>13</v>
      </c>
      <c r="B17" s="3">
        <v>1</v>
      </c>
    </row>
    <row r="18" spans="1:2" x14ac:dyDescent="0.25">
      <c r="A18" s="6">
        <v>14</v>
      </c>
      <c r="B18" s="3">
        <v>3</v>
      </c>
    </row>
    <row r="19" spans="1:2" x14ac:dyDescent="0.25">
      <c r="A19" s="6">
        <v>15</v>
      </c>
      <c r="B19" s="3">
        <v>1</v>
      </c>
    </row>
    <row r="20" spans="1:2" x14ac:dyDescent="0.25">
      <c r="A20" s="6">
        <v>16</v>
      </c>
      <c r="B20" s="3">
        <v>1</v>
      </c>
    </row>
    <row r="21" spans="1:2" x14ac:dyDescent="0.25">
      <c r="A21" s="6">
        <v>17</v>
      </c>
      <c r="B21" s="3">
        <v>4</v>
      </c>
    </row>
    <row r="22" spans="1:2" x14ac:dyDescent="0.25">
      <c r="A22" s="6">
        <v>18</v>
      </c>
      <c r="B22" s="3">
        <v>2</v>
      </c>
    </row>
    <row r="23" spans="1:2" x14ac:dyDescent="0.25">
      <c r="A23" s="6">
        <v>19</v>
      </c>
      <c r="B23" s="3">
        <v>4</v>
      </c>
    </row>
    <row r="24" spans="1:2" x14ac:dyDescent="0.25">
      <c r="A24" s="6">
        <v>20</v>
      </c>
      <c r="B24" s="3">
        <v>4</v>
      </c>
    </row>
    <row r="25" spans="1:2" x14ac:dyDescent="0.25">
      <c r="A25" s="6">
        <v>22</v>
      </c>
      <c r="B25" s="3">
        <v>3</v>
      </c>
    </row>
    <row r="26" spans="1:2" x14ac:dyDescent="0.25">
      <c r="A26" s="6">
        <v>23</v>
      </c>
      <c r="B26" s="3">
        <v>3</v>
      </c>
    </row>
    <row r="27" spans="1:2" x14ac:dyDescent="0.25">
      <c r="A27" s="6">
        <v>24</v>
      </c>
      <c r="B27" s="3">
        <v>4</v>
      </c>
    </row>
    <row r="28" spans="1:2" x14ac:dyDescent="0.25">
      <c r="A28" s="6">
        <v>26</v>
      </c>
      <c r="B28" s="3">
        <v>5</v>
      </c>
    </row>
    <row r="29" spans="1:2" x14ac:dyDescent="0.25">
      <c r="A29" s="6">
        <v>27</v>
      </c>
      <c r="B29" s="3">
        <v>2</v>
      </c>
    </row>
    <row r="30" spans="1:2" x14ac:dyDescent="0.25">
      <c r="A30" s="6">
        <v>28</v>
      </c>
      <c r="B30" s="3">
        <v>3</v>
      </c>
    </row>
    <row r="31" spans="1:2" x14ac:dyDescent="0.25">
      <c r="A31" s="6">
        <v>29</v>
      </c>
      <c r="B31" s="3">
        <v>5</v>
      </c>
    </row>
    <row r="32" spans="1:2" x14ac:dyDescent="0.25">
      <c r="A32" s="6">
        <v>30</v>
      </c>
      <c r="B32" s="3">
        <v>1</v>
      </c>
    </row>
    <row r="33" spans="1:2" x14ac:dyDescent="0.25">
      <c r="A33" s="6">
        <v>31</v>
      </c>
      <c r="B33" s="3">
        <v>3</v>
      </c>
    </row>
    <row r="34" spans="1:2" x14ac:dyDescent="0.25">
      <c r="A34" s="2">
        <v>12</v>
      </c>
      <c r="B34" s="3">
        <v>84</v>
      </c>
    </row>
    <row r="35" spans="1:2" x14ac:dyDescent="0.25">
      <c r="A35" s="6">
        <v>1</v>
      </c>
      <c r="B35" s="3">
        <v>4</v>
      </c>
    </row>
    <row r="36" spans="1:2" x14ac:dyDescent="0.25">
      <c r="A36" s="6">
        <v>2</v>
      </c>
      <c r="B36" s="3">
        <v>5</v>
      </c>
    </row>
    <row r="37" spans="1:2" x14ac:dyDescent="0.25">
      <c r="A37" s="6">
        <v>3</v>
      </c>
      <c r="B37" s="3">
        <v>2</v>
      </c>
    </row>
    <row r="38" spans="1:2" x14ac:dyDescent="0.25">
      <c r="A38" s="6">
        <v>4</v>
      </c>
      <c r="B38" s="3">
        <v>4</v>
      </c>
    </row>
    <row r="39" spans="1:2" x14ac:dyDescent="0.25">
      <c r="A39" s="6">
        <v>5</v>
      </c>
      <c r="B39" s="3">
        <v>1</v>
      </c>
    </row>
    <row r="40" spans="1:2" x14ac:dyDescent="0.25">
      <c r="A40" s="6">
        <v>6</v>
      </c>
      <c r="B40" s="3">
        <v>2</v>
      </c>
    </row>
    <row r="41" spans="1:2" x14ac:dyDescent="0.25">
      <c r="A41" s="6">
        <v>7</v>
      </c>
      <c r="B41" s="3">
        <v>2</v>
      </c>
    </row>
    <row r="42" spans="1:2" x14ac:dyDescent="0.25">
      <c r="A42" s="6">
        <v>9</v>
      </c>
      <c r="B42" s="3">
        <v>2</v>
      </c>
    </row>
    <row r="43" spans="1:2" x14ac:dyDescent="0.25">
      <c r="A43" s="6">
        <v>10</v>
      </c>
      <c r="B43" s="3">
        <v>3</v>
      </c>
    </row>
    <row r="44" spans="1:2" x14ac:dyDescent="0.25">
      <c r="A44" s="6">
        <v>11</v>
      </c>
      <c r="B44" s="3">
        <v>3</v>
      </c>
    </row>
    <row r="45" spans="1:2" x14ac:dyDescent="0.25">
      <c r="A45" s="6">
        <v>12</v>
      </c>
      <c r="B45" s="3">
        <v>5</v>
      </c>
    </row>
    <row r="46" spans="1:2" x14ac:dyDescent="0.25">
      <c r="A46" s="6">
        <v>14</v>
      </c>
      <c r="B46" s="3">
        <v>4</v>
      </c>
    </row>
    <row r="47" spans="1:2" x14ac:dyDescent="0.25">
      <c r="A47" s="6">
        <v>15</v>
      </c>
      <c r="B47" s="3">
        <v>2</v>
      </c>
    </row>
    <row r="48" spans="1:2" x14ac:dyDescent="0.25">
      <c r="A48" s="6">
        <v>16</v>
      </c>
      <c r="B48" s="3">
        <v>5</v>
      </c>
    </row>
    <row r="49" spans="1:2" x14ac:dyDescent="0.25">
      <c r="A49" s="6">
        <v>17</v>
      </c>
      <c r="B49" s="3">
        <v>1</v>
      </c>
    </row>
    <row r="50" spans="1:2" x14ac:dyDescent="0.25">
      <c r="A50" s="6">
        <v>18</v>
      </c>
      <c r="B50" s="3">
        <v>1</v>
      </c>
    </row>
    <row r="51" spans="1:2" x14ac:dyDescent="0.25">
      <c r="A51" s="6">
        <v>19</v>
      </c>
      <c r="B51" s="3">
        <v>3</v>
      </c>
    </row>
    <row r="52" spans="1:2" x14ac:dyDescent="0.25">
      <c r="A52" s="6">
        <v>20</v>
      </c>
      <c r="B52" s="3">
        <v>2</v>
      </c>
    </row>
    <row r="53" spans="1:2" x14ac:dyDescent="0.25">
      <c r="A53" s="6">
        <v>21</v>
      </c>
      <c r="B53" s="3">
        <v>4</v>
      </c>
    </row>
    <row r="54" spans="1:2" x14ac:dyDescent="0.25">
      <c r="A54" s="6">
        <v>22</v>
      </c>
      <c r="B54" s="3">
        <v>4</v>
      </c>
    </row>
    <row r="55" spans="1:2" x14ac:dyDescent="0.25">
      <c r="A55" s="6">
        <v>23</v>
      </c>
      <c r="B55" s="3">
        <v>2</v>
      </c>
    </row>
    <row r="56" spans="1:2" x14ac:dyDescent="0.25">
      <c r="A56" s="6">
        <v>24</v>
      </c>
      <c r="B56" s="3">
        <v>2</v>
      </c>
    </row>
    <row r="57" spans="1:2" x14ac:dyDescent="0.25">
      <c r="A57" s="6">
        <v>25</v>
      </c>
      <c r="B57" s="3">
        <v>2</v>
      </c>
    </row>
    <row r="58" spans="1:2" x14ac:dyDescent="0.25">
      <c r="A58" s="6">
        <v>26</v>
      </c>
      <c r="B58" s="3">
        <v>5</v>
      </c>
    </row>
    <row r="59" spans="1:2" x14ac:dyDescent="0.25">
      <c r="A59" s="6">
        <v>27</v>
      </c>
      <c r="B59" s="3">
        <v>2</v>
      </c>
    </row>
    <row r="60" spans="1:2" x14ac:dyDescent="0.25">
      <c r="A60" s="6">
        <v>28</v>
      </c>
      <c r="B60" s="3">
        <v>3</v>
      </c>
    </row>
    <row r="61" spans="1:2" x14ac:dyDescent="0.25">
      <c r="A61" s="6">
        <v>29</v>
      </c>
      <c r="B61" s="3">
        <v>2</v>
      </c>
    </row>
    <row r="62" spans="1:2" x14ac:dyDescent="0.25">
      <c r="A62" s="6">
        <v>30</v>
      </c>
      <c r="B62" s="3">
        <v>4</v>
      </c>
    </row>
    <row r="63" spans="1:2" x14ac:dyDescent="0.25">
      <c r="A63" s="6">
        <v>31</v>
      </c>
      <c r="B63" s="3">
        <v>3</v>
      </c>
    </row>
    <row r="64" spans="1:2" x14ac:dyDescent="0.25">
      <c r="A64" s="2" t="s">
        <v>22</v>
      </c>
      <c r="B64" s="3">
        <v>173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001"/>
  <sheetViews>
    <sheetView topLeftCell="C1" workbookViewId="0">
      <selection activeCell="G1" sqref="G1"/>
    </sheetView>
  </sheetViews>
  <sheetFormatPr defaultRowHeight="15" x14ac:dyDescent="0.25"/>
  <cols>
    <col min="1" max="1" width="12" bestFit="1" customWidth="1"/>
    <col min="2" max="2" width="20.7109375" bestFit="1" customWidth="1"/>
    <col min="3" max="3" width="33.42578125" bestFit="1" customWidth="1"/>
    <col min="4" max="6" width="9.140625" style="3"/>
    <col min="7" max="7" width="16.7109375" style="3" customWidth="1"/>
    <col min="10" max="10" width="12.7109375" bestFit="1" customWidth="1"/>
    <col min="12" max="12" width="11.28515625" bestFit="1" customWidth="1"/>
    <col min="13" max="13" width="19.28515625" bestFit="1" customWidth="1"/>
    <col min="14" max="14" width="10" bestFit="1" customWidth="1"/>
    <col min="15" max="15" width="19.28515625" bestFit="1" customWidth="1"/>
  </cols>
  <sheetData>
    <row r="1" spans="1:15" x14ac:dyDescent="0.25">
      <c r="A1" s="4" t="s">
        <v>0</v>
      </c>
      <c r="B1" t="s">
        <v>1</v>
      </c>
      <c r="C1" t="s">
        <v>2</v>
      </c>
      <c r="D1" s="3" t="s">
        <v>27</v>
      </c>
      <c r="E1" s="3" t="s">
        <v>1028</v>
      </c>
      <c r="F1" s="3" t="s">
        <v>1029</v>
      </c>
      <c r="G1" s="3" t="s">
        <v>27</v>
      </c>
      <c r="H1" s="3" t="s">
        <v>1028</v>
      </c>
      <c r="I1" s="3" t="s">
        <v>1029</v>
      </c>
      <c r="J1" s="3" t="s">
        <v>1030</v>
      </c>
      <c r="L1" s="5" t="s">
        <v>1031</v>
      </c>
      <c r="M1" s="5" t="s">
        <v>1034</v>
      </c>
      <c r="N1" s="5" t="s">
        <v>1032</v>
      </c>
      <c r="O1" s="5" t="s">
        <v>1033</v>
      </c>
    </row>
    <row r="2" spans="1:15" hidden="1" x14ac:dyDescent="0.25">
      <c r="A2" s="4" t="s">
        <v>28</v>
      </c>
      <c r="B2" t="s">
        <v>3</v>
      </c>
      <c r="C2" t="s">
        <v>4</v>
      </c>
      <c r="D2" s="3">
        <f>MID(A2,1,2)*1</f>
        <v>93</v>
      </c>
      <c r="E2" s="4">
        <f>MID(A2,3,2)*1</f>
        <v>7</v>
      </c>
      <c r="F2" s="4">
        <f>MID(A2,5,2)*1</f>
        <v>12</v>
      </c>
      <c r="G2" s="3">
        <f>IF(E2&gt;=20,2000,1900) + D2</f>
        <v>1993</v>
      </c>
      <c r="H2">
        <f>IF(E2&gt;=20,E2-20,E2)</f>
        <v>7</v>
      </c>
      <c r="I2" s="4">
        <f>F2</f>
        <v>12</v>
      </c>
      <c r="J2">
        <f>CONCATENATE(G2,IF(LEN(H2)=1,CONCATENATE("0",H2),H2),IF(LEN(F2)=1,CONCATENATE("0",F2),F2))*1</f>
        <v>19930712</v>
      </c>
    </row>
    <row r="3" spans="1:15" hidden="1" x14ac:dyDescent="0.25">
      <c r="A3" s="4" t="s">
        <v>29</v>
      </c>
      <c r="B3" t="s">
        <v>5</v>
      </c>
      <c r="C3" t="s">
        <v>6</v>
      </c>
      <c r="D3" s="3">
        <f t="shared" ref="D3:D66" si="0">MID(A3,1,2)*1</f>
        <v>71</v>
      </c>
      <c r="E3" s="4">
        <f t="shared" ref="E3:E66" si="1">MID(A3,3,2)*1</f>
        <v>10</v>
      </c>
      <c r="F3" s="4">
        <f t="shared" ref="F3:F66" si="2">MID(A3,5,2)*1</f>
        <v>1</v>
      </c>
      <c r="G3" s="3">
        <f>IF(E3&gt;=20,2000,1900) + D3</f>
        <v>1971</v>
      </c>
      <c r="H3">
        <f t="shared" ref="H3:H66" si="3">IF(E3&gt;=20,E3-20,E3)</f>
        <v>10</v>
      </c>
      <c r="I3" s="4">
        <f t="shared" ref="I3:I66" si="4">F3</f>
        <v>1</v>
      </c>
      <c r="J3">
        <f t="shared" ref="J3:J66" si="5">CONCATENATE(G3,IF(LEN(H3)=1,CONCATENATE("0",H3),H3),IF(LEN(F3)=1,CONCATENATE("0",F3),F3))*1</f>
        <v>19711001</v>
      </c>
    </row>
    <row r="4" spans="1:15" hidden="1" x14ac:dyDescent="0.25">
      <c r="A4" s="4" t="s">
        <v>30</v>
      </c>
      <c r="B4" t="s">
        <v>7</v>
      </c>
      <c r="C4" t="s">
        <v>6</v>
      </c>
      <c r="D4" s="3">
        <f t="shared" si="0"/>
        <v>81</v>
      </c>
      <c r="E4" s="4">
        <f t="shared" si="1"/>
        <v>4</v>
      </c>
      <c r="F4" s="4">
        <f t="shared" si="2"/>
        <v>23</v>
      </c>
      <c r="G4" s="3">
        <f>IF(E4&gt;=20,2000,1900) + D4</f>
        <v>1981</v>
      </c>
      <c r="H4">
        <f t="shared" si="3"/>
        <v>4</v>
      </c>
      <c r="I4" s="4">
        <f t="shared" si="4"/>
        <v>23</v>
      </c>
      <c r="J4">
        <f t="shared" si="5"/>
        <v>19810423</v>
      </c>
    </row>
    <row r="5" spans="1:15" hidden="1" x14ac:dyDescent="0.25">
      <c r="A5" s="4" t="s">
        <v>31</v>
      </c>
      <c r="B5" t="s">
        <v>8</v>
      </c>
      <c r="C5" t="s">
        <v>4</v>
      </c>
      <c r="D5" s="3">
        <f t="shared" si="0"/>
        <v>72</v>
      </c>
      <c r="E5" s="4">
        <f t="shared" si="1"/>
        <v>8</v>
      </c>
      <c r="F5" s="4">
        <f t="shared" si="2"/>
        <v>31</v>
      </c>
      <c r="G5" s="3">
        <f>IF(E5&gt;=20,2000,1900) + D5</f>
        <v>1972</v>
      </c>
      <c r="H5">
        <f t="shared" si="3"/>
        <v>8</v>
      </c>
      <c r="I5" s="4">
        <f t="shared" si="4"/>
        <v>31</v>
      </c>
      <c r="J5">
        <f t="shared" si="5"/>
        <v>19720831</v>
      </c>
    </row>
    <row r="6" spans="1:15" hidden="1" x14ac:dyDescent="0.25">
      <c r="A6" s="4" t="s">
        <v>32</v>
      </c>
      <c r="B6" t="s">
        <v>9</v>
      </c>
      <c r="C6" t="s">
        <v>6</v>
      </c>
      <c r="D6" s="3">
        <f t="shared" si="0"/>
        <v>50</v>
      </c>
      <c r="E6" s="4">
        <f t="shared" si="1"/>
        <v>7</v>
      </c>
      <c r="F6" s="4">
        <f t="shared" si="2"/>
        <v>28</v>
      </c>
      <c r="G6" s="3">
        <f>IF(E6&gt;=20,2000,1900) + D6</f>
        <v>1950</v>
      </c>
      <c r="H6">
        <f t="shared" si="3"/>
        <v>7</v>
      </c>
      <c r="I6" s="4">
        <f t="shared" si="4"/>
        <v>28</v>
      </c>
      <c r="J6">
        <f t="shared" si="5"/>
        <v>19500728</v>
      </c>
    </row>
    <row r="7" spans="1:15" hidden="1" x14ac:dyDescent="0.25">
      <c r="A7" s="4" t="s">
        <v>33</v>
      </c>
      <c r="B7" t="s">
        <v>10</v>
      </c>
      <c r="C7" t="s">
        <v>6</v>
      </c>
      <c r="D7" s="3">
        <f t="shared" si="0"/>
        <v>93</v>
      </c>
      <c r="E7" s="4">
        <f t="shared" si="1"/>
        <v>5</v>
      </c>
      <c r="F7" s="4">
        <f t="shared" si="2"/>
        <v>7</v>
      </c>
      <c r="G7" s="3">
        <f>IF(E7&gt;=20,2000,1900) + D7</f>
        <v>1993</v>
      </c>
      <c r="H7">
        <f t="shared" si="3"/>
        <v>5</v>
      </c>
      <c r="I7" s="4">
        <f t="shared" si="4"/>
        <v>7</v>
      </c>
      <c r="J7">
        <f t="shared" si="5"/>
        <v>19930507</v>
      </c>
    </row>
    <row r="8" spans="1:15" hidden="1" x14ac:dyDescent="0.25">
      <c r="A8" s="4" t="s">
        <v>34</v>
      </c>
      <c r="B8" t="s">
        <v>9</v>
      </c>
      <c r="C8" t="s">
        <v>6</v>
      </c>
      <c r="D8" s="3">
        <f t="shared" si="0"/>
        <v>72</v>
      </c>
      <c r="E8" s="4">
        <f t="shared" si="1"/>
        <v>8</v>
      </c>
      <c r="F8" s="4">
        <f t="shared" si="2"/>
        <v>14</v>
      </c>
      <c r="G8" s="3">
        <f>IF(E8&gt;=20,2000,1900) + D8</f>
        <v>1972</v>
      </c>
      <c r="H8">
        <f t="shared" si="3"/>
        <v>8</v>
      </c>
      <c r="I8" s="4">
        <f t="shared" si="4"/>
        <v>14</v>
      </c>
      <c r="J8">
        <f t="shared" si="5"/>
        <v>19720814</v>
      </c>
    </row>
    <row r="9" spans="1:15" hidden="1" x14ac:dyDescent="0.25">
      <c r="A9" s="4" t="s">
        <v>35</v>
      </c>
      <c r="B9" t="s">
        <v>8</v>
      </c>
      <c r="C9" t="s">
        <v>6</v>
      </c>
      <c r="D9" s="3">
        <f t="shared" si="0"/>
        <v>95</v>
      </c>
      <c r="E9" s="4">
        <f t="shared" si="1"/>
        <v>9</v>
      </c>
      <c r="F9" s="4">
        <f t="shared" si="2"/>
        <v>8</v>
      </c>
      <c r="G9" s="3">
        <f>IF(E9&gt;=20,2000,1900) + D9</f>
        <v>1995</v>
      </c>
      <c r="H9">
        <f t="shared" si="3"/>
        <v>9</v>
      </c>
      <c r="I9" s="4">
        <f t="shared" si="4"/>
        <v>8</v>
      </c>
      <c r="J9">
        <f t="shared" si="5"/>
        <v>19950908</v>
      </c>
    </row>
    <row r="10" spans="1:15" hidden="1" x14ac:dyDescent="0.25">
      <c r="A10" s="4" t="s">
        <v>36</v>
      </c>
      <c r="B10" t="s">
        <v>3</v>
      </c>
      <c r="C10" t="s">
        <v>4</v>
      </c>
      <c r="D10" s="3">
        <f t="shared" si="0"/>
        <v>61</v>
      </c>
      <c r="E10" s="4">
        <f t="shared" si="1"/>
        <v>12</v>
      </c>
      <c r="F10" s="4">
        <f t="shared" si="2"/>
        <v>10</v>
      </c>
      <c r="G10" s="3">
        <f>IF(E10&gt;=20,2000,1900) + D10</f>
        <v>1961</v>
      </c>
      <c r="H10">
        <f t="shared" si="3"/>
        <v>12</v>
      </c>
      <c r="I10" s="4">
        <f t="shared" si="4"/>
        <v>10</v>
      </c>
      <c r="J10">
        <f t="shared" si="5"/>
        <v>19611210</v>
      </c>
    </row>
    <row r="11" spans="1:15" hidden="1" x14ac:dyDescent="0.25">
      <c r="A11" s="4" t="s">
        <v>37</v>
      </c>
      <c r="B11" t="s">
        <v>10</v>
      </c>
      <c r="C11" t="s">
        <v>6</v>
      </c>
      <c r="D11" s="3">
        <f t="shared" si="0"/>
        <v>81</v>
      </c>
      <c r="E11" s="4">
        <f t="shared" si="1"/>
        <v>5</v>
      </c>
      <c r="F11" s="4">
        <f t="shared" si="2"/>
        <v>17</v>
      </c>
      <c r="G11" s="3">
        <f>IF(E11&gt;=20,2000,1900) + D11</f>
        <v>1981</v>
      </c>
      <c r="H11">
        <f t="shared" si="3"/>
        <v>5</v>
      </c>
      <c r="I11" s="4">
        <f t="shared" si="4"/>
        <v>17</v>
      </c>
      <c r="J11">
        <f t="shared" si="5"/>
        <v>19810517</v>
      </c>
    </row>
    <row r="12" spans="1:15" hidden="1" x14ac:dyDescent="0.25">
      <c r="A12" s="4" t="s">
        <v>38</v>
      </c>
      <c r="B12" t="s">
        <v>5</v>
      </c>
      <c r="C12" t="s">
        <v>6</v>
      </c>
      <c r="D12" s="3">
        <f t="shared" si="0"/>
        <v>95</v>
      </c>
      <c r="E12" s="4">
        <f t="shared" si="1"/>
        <v>6</v>
      </c>
      <c r="F12" s="4">
        <f t="shared" si="2"/>
        <v>17</v>
      </c>
      <c r="G12" s="3">
        <f>IF(E12&gt;=20,2000,1900) + D12</f>
        <v>1995</v>
      </c>
      <c r="H12">
        <f t="shared" si="3"/>
        <v>6</v>
      </c>
      <c r="I12" s="4">
        <f t="shared" si="4"/>
        <v>17</v>
      </c>
      <c r="J12">
        <f t="shared" si="5"/>
        <v>19950617</v>
      </c>
    </row>
    <row r="13" spans="1:15" hidden="1" x14ac:dyDescent="0.25">
      <c r="A13" s="4" t="s">
        <v>39</v>
      </c>
      <c r="B13" t="s">
        <v>11</v>
      </c>
      <c r="C13" t="s">
        <v>6</v>
      </c>
      <c r="D13" s="3">
        <f t="shared" si="0"/>
        <v>50</v>
      </c>
      <c r="E13" s="4">
        <f t="shared" si="1"/>
        <v>8</v>
      </c>
      <c r="F13" s="4">
        <f t="shared" si="2"/>
        <v>8</v>
      </c>
      <c r="G13" s="3">
        <f>IF(E13&gt;=20,2000,1900) + D13</f>
        <v>1950</v>
      </c>
      <c r="H13">
        <f t="shared" si="3"/>
        <v>8</v>
      </c>
      <c r="I13" s="4">
        <f t="shared" si="4"/>
        <v>8</v>
      </c>
      <c r="J13">
        <f t="shared" si="5"/>
        <v>19500808</v>
      </c>
    </row>
    <row r="14" spans="1:15" hidden="1" x14ac:dyDescent="0.25">
      <c r="A14" s="4" t="s">
        <v>40</v>
      </c>
      <c r="B14" t="s">
        <v>12</v>
      </c>
      <c r="C14" t="s">
        <v>6</v>
      </c>
      <c r="D14" s="3">
        <f t="shared" si="0"/>
        <v>79</v>
      </c>
      <c r="E14" s="4">
        <f t="shared" si="1"/>
        <v>9</v>
      </c>
      <c r="F14" s="4">
        <f t="shared" si="2"/>
        <v>28</v>
      </c>
      <c r="G14" s="3">
        <f>IF(E14&gt;=20,2000,1900) + D14</f>
        <v>1979</v>
      </c>
      <c r="H14">
        <f t="shared" si="3"/>
        <v>9</v>
      </c>
      <c r="I14" s="4">
        <f t="shared" si="4"/>
        <v>28</v>
      </c>
      <c r="J14">
        <f t="shared" si="5"/>
        <v>19790928</v>
      </c>
    </row>
    <row r="15" spans="1:15" hidden="1" x14ac:dyDescent="0.25">
      <c r="A15" s="4" t="s">
        <v>41</v>
      </c>
      <c r="B15" t="s">
        <v>13</v>
      </c>
      <c r="C15" t="s">
        <v>6</v>
      </c>
      <c r="D15" s="3">
        <f t="shared" si="0"/>
        <v>66</v>
      </c>
      <c r="E15" s="4">
        <f t="shared" si="1"/>
        <v>9</v>
      </c>
      <c r="F15" s="4">
        <f t="shared" si="2"/>
        <v>11</v>
      </c>
      <c r="G15" s="3">
        <f>IF(E15&gt;=20,2000,1900) + D15</f>
        <v>1966</v>
      </c>
      <c r="H15">
        <f t="shared" si="3"/>
        <v>9</v>
      </c>
      <c r="I15" s="4">
        <f t="shared" si="4"/>
        <v>11</v>
      </c>
      <c r="J15">
        <f t="shared" si="5"/>
        <v>19660911</v>
      </c>
    </row>
    <row r="16" spans="1:15" hidden="1" x14ac:dyDescent="0.25">
      <c r="A16" s="4" t="s">
        <v>42</v>
      </c>
      <c r="B16" t="s">
        <v>12</v>
      </c>
      <c r="C16" t="s">
        <v>4</v>
      </c>
      <c r="D16" s="3">
        <f t="shared" si="0"/>
        <v>84</v>
      </c>
      <c r="E16" s="4">
        <f t="shared" si="1"/>
        <v>8</v>
      </c>
      <c r="F16" s="4">
        <f t="shared" si="2"/>
        <v>10</v>
      </c>
      <c r="G16" s="3">
        <f>IF(E16&gt;=20,2000,1900) + D16</f>
        <v>1984</v>
      </c>
      <c r="H16">
        <f t="shared" si="3"/>
        <v>8</v>
      </c>
      <c r="I16" s="4">
        <f t="shared" si="4"/>
        <v>10</v>
      </c>
      <c r="J16">
        <f t="shared" si="5"/>
        <v>19840810</v>
      </c>
    </row>
    <row r="17" spans="1:10" hidden="1" x14ac:dyDescent="0.25">
      <c r="A17" s="4" t="s">
        <v>43</v>
      </c>
      <c r="B17" t="s">
        <v>11</v>
      </c>
      <c r="C17" t="s">
        <v>6</v>
      </c>
      <c r="D17" s="3">
        <f t="shared" si="0"/>
        <v>76</v>
      </c>
      <c r="E17" s="4">
        <f t="shared" si="1"/>
        <v>1</v>
      </c>
      <c r="F17" s="4">
        <f t="shared" si="2"/>
        <v>24</v>
      </c>
      <c r="G17" s="3">
        <f>IF(E17&gt;=20,2000,1900) + D17</f>
        <v>1976</v>
      </c>
      <c r="H17">
        <f t="shared" si="3"/>
        <v>1</v>
      </c>
      <c r="I17" s="4">
        <f t="shared" si="4"/>
        <v>24</v>
      </c>
      <c r="J17">
        <f t="shared" si="5"/>
        <v>19760124</v>
      </c>
    </row>
    <row r="18" spans="1:10" hidden="1" x14ac:dyDescent="0.25">
      <c r="A18" s="4" t="s">
        <v>44</v>
      </c>
      <c r="B18" t="s">
        <v>10</v>
      </c>
      <c r="C18" t="s">
        <v>6</v>
      </c>
      <c r="D18" s="3">
        <f t="shared" si="0"/>
        <v>60</v>
      </c>
      <c r="E18" s="4">
        <f t="shared" si="1"/>
        <v>11</v>
      </c>
      <c r="F18" s="4">
        <f t="shared" si="2"/>
        <v>23</v>
      </c>
      <c r="G18" s="3">
        <f>IF(E18&gt;=20,2000,1900) + D18</f>
        <v>1960</v>
      </c>
      <c r="H18">
        <f t="shared" si="3"/>
        <v>11</v>
      </c>
      <c r="I18" s="4">
        <f t="shared" si="4"/>
        <v>23</v>
      </c>
      <c r="J18">
        <f t="shared" si="5"/>
        <v>19601123</v>
      </c>
    </row>
    <row r="19" spans="1:10" hidden="1" x14ac:dyDescent="0.25">
      <c r="A19" s="4" t="s">
        <v>45</v>
      </c>
      <c r="B19" t="s">
        <v>5</v>
      </c>
      <c r="C19" t="s">
        <v>6</v>
      </c>
      <c r="D19" s="3">
        <f t="shared" si="0"/>
        <v>95</v>
      </c>
      <c r="E19" s="4">
        <f t="shared" si="1"/>
        <v>10</v>
      </c>
      <c r="F19" s="4">
        <f t="shared" si="2"/>
        <v>9</v>
      </c>
      <c r="G19" s="3">
        <f>IF(E19&gt;=20,2000,1900) + D19</f>
        <v>1995</v>
      </c>
      <c r="H19">
        <f t="shared" si="3"/>
        <v>10</v>
      </c>
      <c r="I19" s="4">
        <f t="shared" si="4"/>
        <v>9</v>
      </c>
      <c r="J19">
        <f t="shared" si="5"/>
        <v>19951009</v>
      </c>
    </row>
    <row r="20" spans="1:10" hidden="1" x14ac:dyDescent="0.25">
      <c r="A20" s="4" t="s">
        <v>46</v>
      </c>
      <c r="B20" t="s">
        <v>14</v>
      </c>
      <c r="C20" t="s">
        <v>6</v>
      </c>
      <c r="D20" s="3">
        <f t="shared" si="0"/>
        <v>91</v>
      </c>
      <c r="E20" s="4">
        <f t="shared" si="1"/>
        <v>11</v>
      </c>
      <c r="F20" s="4">
        <f t="shared" si="2"/>
        <v>16</v>
      </c>
      <c r="G20" s="3">
        <f>IF(E20&gt;=20,2000,1900) + D20</f>
        <v>1991</v>
      </c>
      <c r="H20">
        <f t="shared" si="3"/>
        <v>11</v>
      </c>
      <c r="I20" s="4">
        <f t="shared" si="4"/>
        <v>16</v>
      </c>
      <c r="J20">
        <f t="shared" si="5"/>
        <v>19911116</v>
      </c>
    </row>
    <row r="21" spans="1:10" hidden="1" x14ac:dyDescent="0.25">
      <c r="A21" s="4" t="s">
        <v>47</v>
      </c>
      <c r="B21" t="s">
        <v>15</v>
      </c>
      <c r="C21" t="s">
        <v>4</v>
      </c>
      <c r="D21" s="3">
        <f t="shared" si="0"/>
        <v>74</v>
      </c>
      <c r="E21" s="4">
        <f t="shared" si="1"/>
        <v>1</v>
      </c>
      <c r="F21" s="4">
        <f t="shared" si="2"/>
        <v>26</v>
      </c>
      <c r="G21" s="3">
        <f>IF(E21&gt;=20,2000,1900) + D21</f>
        <v>1974</v>
      </c>
      <c r="H21">
        <f t="shared" si="3"/>
        <v>1</v>
      </c>
      <c r="I21" s="4">
        <f t="shared" si="4"/>
        <v>26</v>
      </c>
      <c r="J21">
        <f t="shared" si="5"/>
        <v>19740126</v>
      </c>
    </row>
    <row r="22" spans="1:10" hidden="1" x14ac:dyDescent="0.25">
      <c r="A22" s="4" t="s">
        <v>48</v>
      </c>
      <c r="B22" t="s">
        <v>16</v>
      </c>
      <c r="C22" t="s">
        <v>6</v>
      </c>
      <c r="D22" s="3">
        <f t="shared" si="0"/>
        <v>83</v>
      </c>
      <c r="E22" s="4">
        <f t="shared" si="1"/>
        <v>4</v>
      </c>
      <c r="F22" s="4">
        <f t="shared" si="2"/>
        <v>10</v>
      </c>
      <c r="G22" s="3">
        <f>IF(E22&gt;=20,2000,1900) + D22</f>
        <v>1983</v>
      </c>
      <c r="H22">
        <f t="shared" si="3"/>
        <v>4</v>
      </c>
      <c r="I22" s="4">
        <f t="shared" si="4"/>
        <v>10</v>
      </c>
      <c r="J22">
        <f t="shared" si="5"/>
        <v>19830410</v>
      </c>
    </row>
    <row r="23" spans="1:10" hidden="1" x14ac:dyDescent="0.25">
      <c r="A23" s="4" t="s">
        <v>49</v>
      </c>
      <c r="B23" t="s">
        <v>17</v>
      </c>
      <c r="C23" t="s">
        <v>4</v>
      </c>
      <c r="D23" s="3">
        <f t="shared" si="0"/>
        <v>61</v>
      </c>
      <c r="E23" s="4">
        <f t="shared" si="1"/>
        <v>12</v>
      </c>
      <c r="F23" s="4">
        <f t="shared" si="2"/>
        <v>26</v>
      </c>
      <c r="G23" s="3">
        <f>IF(E23&gt;=20,2000,1900) + D23</f>
        <v>1961</v>
      </c>
      <c r="H23">
        <f t="shared" si="3"/>
        <v>12</v>
      </c>
      <c r="I23" s="4">
        <f t="shared" si="4"/>
        <v>26</v>
      </c>
      <c r="J23">
        <f t="shared" si="5"/>
        <v>19611226</v>
      </c>
    </row>
    <row r="24" spans="1:10" x14ac:dyDescent="0.25">
      <c r="A24" s="4" t="s">
        <v>609</v>
      </c>
      <c r="B24" t="s">
        <v>18</v>
      </c>
      <c r="C24" t="s">
        <v>6</v>
      </c>
      <c r="D24" s="3">
        <f>MID(A24,1,2)*1</f>
        <v>50</v>
      </c>
      <c r="E24" s="4">
        <f>MID(A24,3,2)*1</f>
        <v>9</v>
      </c>
      <c r="F24" s="4">
        <f>MID(A24,5,2)*1</f>
        <v>17</v>
      </c>
      <c r="G24" s="3">
        <f>IF(E24&gt;=20,2000,1900) + D24</f>
        <v>1950</v>
      </c>
      <c r="H24">
        <f>IF(E24&gt;=20,E24-20,E24)</f>
        <v>9</v>
      </c>
      <c r="I24" s="4">
        <f>F24</f>
        <v>17</v>
      </c>
      <c r="J24">
        <f>CONCATENATE(G24,IF(LEN(H24)=1,CONCATENATE("0",H24),H24),IF(LEN(F24)=1,CONCATENATE("0",F24),F24))*1</f>
        <v>19500917</v>
      </c>
    </row>
    <row r="25" spans="1:10" hidden="1" x14ac:dyDescent="0.25">
      <c r="A25" s="4" t="s">
        <v>51</v>
      </c>
      <c r="B25" t="s">
        <v>19</v>
      </c>
      <c r="C25" t="s">
        <v>4</v>
      </c>
      <c r="D25" s="3">
        <f>MID(A25,1,2)*1</f>
        <v>72</v>
      </c>
      <c r="E25" s="4">
        <f>MID(A25,3,2)*1</f>
        <v>8</v>
      </c>
      <c r="F25" s="4">
        <f>MID(A25,5,2)*1</f>
        <v>26</v>
      </c>
      <c r="G25" s="3">
        <f>IF(E25&gt;=20,2000,1900) + D25</f>
        <v>1972</v>
      </c>
      <c r="H25">
        <f>IF(E25&gt;=20,E25-20,E25)</f>
        <v>8</v>
      </c>
      <c r="I25" s="4">
        <f>F25</f>
        <v>26</v>
      </c>
      <c r="J25">
        <f>CONCATENATE(G25,IF(LEN(H25)=1,CONCATENATE("0",H25),H25),IF(LEN(F25)=1,CONCATENATE("0",F25),F25))*1</f>
        <v>19720826</v>
      </c>
    </row>
    <row r="26" spans="1:10" hidden="1" x14ac:dyDescent="0.25">
      <c r="A26" s="4" t="s">
        <v>52</v>
      </c>
      <c r="B26" t="s">
        <v>10</v>
      </c>
      <c r="C26" t="s">
        <v>4</v>
      </c>
      <c r="D26" s="3">
        <f>MID(A26,1,2)*1</f>
        <v>97</v>
      </c>
      <c r="E26" s="4">
        <f>MID(A26,3,2)*1</f>
        <v>12</v>
      </c>
      <c r="F26" s="4">
        <f>MID(A26,5,2)*1</f>
        <v>28</v>
      </c>
      <c r="G26" s="3">
        <f>IF(E26&gt;=20,2000,1900) + D26</f>
        <v>1997</v>
      </c>
      <c r="H26">
        <f>IF(E26&gt;=20,E26-20,E26)</f>
        <v>12</v>
      </c>
      <c r="I26" s="4">
        <f>F26</f>
        <v>28</v>
      </c>
      <c r="J26">
        <f>CONCATENATE(G26,IF(LEN(H26)=1,CONCATENATE("0",H26),H26),IF(LEN(F26)=1,CONCATENATE("0",F26),F26))*1</f>
        <v>19971228</v>
      </c>
    </row>
    <row r="27" spans="1:10" hidden="1" x14ac:dyDescent="0.25">
      <c r="A27" s="4" t="s">
        <v>53</v>
      </c>
      <c r="B27" t="s">
        <v>20</v>
      </c>
      <c r="C27" t="s">
        <v>6</v>
      </c>
      <c r="D27" s="3">
        <f>MID(A27,1,2)*1</f>
        <v>56</v>
      </c>
      <c r="E27" s="4">
        <f>MID(A27,3,2)*1</f>
        <v>7</v>
      </c>
      <c r="F27" s="4">
        <f>MID(A27,5,2)*1</f>
        <v>10</v>
      </c>
      <c r="G27" s="3">
        <f>IF(E27&gt;=20,2000,1900) + D27</f>
        <v>1956</v>
      </c>
      <c r="H27">
        <f>IF(E27&gt;=20,E27-20,E27)</f>
        <v>7</v>
      </c>
      <c r="I27" s="4">
        <f>F27</f>
        <v>10</v>
      </c>
      <c r="J27">
        <f>CONCATENATE(G27,IF(LEN(H27)=1,CONCATENATE("0",H27),H27),IF(LEN(F27)=1,CONCATENATE("0",F27),F27))*1</f>
        <v>19560710</v>
      </c>
    </row>
    <row r="28" spans="1:10" hidden="1" x14ac:dyDescent="0.25">
      <c r="A28" s="4" t="s">
        <v>54</v>
      </c>
      <c r="B28" t="s">
        <v>3</v>
      </c>
      <c r="C28" t="s">
        <v>4</v>
      </c>
      <c r="D28" s="3">
        <f>MID(A28,1,2)*1</f>
        <v>83</v>
      </c>
      <c r="E28" s="4">
        <f>MID(A28,3,2)*1</f>
        <v>2</v>
      </c>
      <c r="F28" s="4">
        <f>MID(A28,5,2)*1</f>
        <v>1</v>
      </c>
      <c r="G28" s="3">
        <f>IF(E28&gt;=20,2000,1900) + D28</f>
        <v>1983</v>
      </c>
      <c r="H28">
        <f>IF(E28&gt;=20,E28-20,E28)</f>
        <v>2</v>
      </c>
      <c r="I28" s="4">
        <f>F28</f>
        <v>1</v>
      </c>
      <c r="J28">
        <f>CONCATENATE(G28,IF(LEN(H28)=1,CONCATENATE("0",H28),H28),IF(LEN(F28)=1,CONCATENATE("0",F28),F28))*1</f>
        <v>19830201</v>
      </c>
    </row>
    <row r="29" spans="1:10" hidden="1" x14ac:dyDescent="0.25">
      <c r="A29" s="4" t="s">
        <v>55</v>
      </c>
      <c r="B29" t="s">
        <v>14</v>
      </c>
      <c r="C29" t="s">
        <v>4</v>
      </c>
      <c r="D29" s="3">
        <f>MID(A29,1,2)*1</f>
        <v>86</v>
      </c>
      <c r="E29" s="4">
        <f>MID(A29,3,2)*1</f>
        <v>4</v>
      </c>
      <c r="F29" s="4">
        <f>MID(A29,5,2)*1</f>
        <v>8</v>
      </c>
      <c r="G29" s="3">
        <f>IF(E29&gt;=20,2000,1900) + D29</f>
        <v>1986</v>
      </c>
      <c r="H29">
        <f>IF(E29&gt;=20,E29-20,E29)</f>
        <v>4</v>
      </c>
      <c r="I29" s="4">
        <f>F29</f>
        <v>8</v>
      </c>
      <c r="J29">
        <f>CONCATENATE(G29,IF(LEN(H29)=1,CONCATENATE("0",H29),H29),IF(LEN(F29)=1,CONCATENATE("0",F29),F29))*1</f>
        <v>19860408</v>
      </c>
    </row>
    <row r="30" spans="1:10" hidden="1" x14ac:dyDescent="0.25">
      <c r="A30" s="4" t="s">
        <v>56</v>
      </c>
      <c r="B30" t="s">
        <v>3</v>
      </c>
      <c r="C30" t="s">
        <v>4</v>
      </c>
      <c r="D30" s="3">
        <f>MID(A30,1,2)*1</f>
        <v>56</v>
      </c>
      <c r="E30" s="4">
        <f>MID(A30,3,2)*1</f>
        <v>10</v>
      </c>
      <c r="F30" s="4">
        <f>MID(A30,5,2)*1</f>
        <v>27</v>
      </c>
      <c r="G30" s="3">
        <f>IF(E30&gt;=20,2000,1900) + D30</f>
        <v>1956</v>
      </c>
      <c r="H30">
        <f>IF(E30&gt;=20,E30-20,E30)</f>
        <v>10</v>
      </c>
      <c r="I30" s="4">
        <f>F30</f>
        <v>27</v>
      </c>
      <c r="J30">
        <f>CONCATENATE(G30,IF(LEN(H30)=1,CONCATENATE("0",H30),H30),IF(LEN(F30)=1,CONCATENATE("0",F30),F30))*1</f>
        <v>19561027</v>
      </c>
    </row>
    <row r="31" spans="1:10" hidden="1" x14ac:dyDescent="0.25">
      <c r="A31" s="4" t="s">
        <v>57</v>
      </c>
      <c r="B31" t="s">
        <v>10</v>
      </c>
      <c r="C31" t="s">
        <v>6</v>
      </c>
      <c r="D31" s="3">
        <f>MID(A31,1,2)*1</f>
        <v>57</v>
      </c>
      <c r="E31" s="4">
        <f>MID(A31,3,2)*1</f>
        <v>1</v>
      </c>
      <c r="F31" s="4">
        <f>MID(A31,5,2)*1</f>
        <v>11</v>
      </c>
      <c r="G31" s="3">
        <f>IF(E31&gt;=20,2000,1900) + D31</f>
        <v>1957</v>
      </c>
      <c r="H31">
        <f>IF(E31&gt;=20,E31-20,E31)</f>
        <v>1</v>
      </c>
      <c r="I31" s="4">
        <f>F31</f>
        <v>11</v>
      </c>
      <c r="J31">
        <f>CONCATENATE(G31,IF(LEN(H31)=1,CONCATENATE("0",H31),H31),IF(LEN(F31)=1,CONCATENATE("0",F31),F31))*1</f>
        <v>19570111</v>
      </c>
    </row>
    <row r="32" spans="1:10" hidden="1" x14ac:dyDescent="0.25">
      <c r="A32" s="4" t="s">
        <v>58</v>
      </c>
      <c r="B32" t="s">
        <v>12</v>
      </c>
      <c r="C32" t="s">
        <v>4</v>
      </c>
      <c r="D32" s="3">
        <f>MID(A32,1,2)*1</f>
        <v>88</v>
      </c>
      <c r="E32" s="4">
        <f>MID(A32,3,2)*1</f>
        <v>4</v>
      </c>
      <c r="F32" s="4">
        <f>MID(A32,5,2)*1</f>
        <v>9</v>
      </c>
      <c r="G32" s="3">
        <f>IF(E32&gt;=20,2000,1900) + D32</f>
        <v>1988</v>
      </c>
      <c r="H32">
        <f>IF(E32&gt;=20,E32-20,E32)</f>
        <v>4</v>
      </c>
      <c r="I32" s="4">
        <f>F32</f>
        <v>9</v>
      </c>
      <c r="J32">
        <f>CONCATENATE(G32,IF(LEN(H32)=1,CONCATENATE("0",H32),H32),IF(LEN(F32)=1,CONCATENATE("0",F32),F32))*1</f>
        <v>19880409</v>
      </c>
    </row>
    <row r="33" spans="1:10" hidden="1" x14ac:dyDescent="0.25">
      <c r="A33" s="4" t="s">
        <v>59</v>
      </c>
      <c r="B33" t="s">
        <v>9</v>
      </c>
      <c r="C33" t="s">
        <v>6</v>
      </c>
      <c r="D33" s="3">
        <f>MID(A33,1,2)*1</f>
        <v>86</v>
      </c>
      <c r="E33" s="4">
        <f>MID(A33,3,2)*1</f>
        <v>11</v>
      </c>
      <c r="F33" s="4">
        <f>MID(A33,5,2)*1</f>
        <v>26</v>
      </c>
      <c r="G33" s="3">
        <f>IF(E33&gt;=20,2000,1900) + D33</f>
        <v>1986</v>
      </c>
      <c r="H33">
        <f>IF(E33&gt;=20,E33-20,E33)</f>
        <v>11</v>
      </c>
      <c r="I33" s="4">
        <f>F33</f>
        <v>26</v>
      </c>
      <c r="J33">
        <f>CONCATENATE(G33,IF(LEN(H33)=1,CONCATENATE("0",H33),H33),IF(LEN(F33)=1,CONCATENATE("0",F33),F33))*1</f>
        <v>19861126</v>
      </c>
    </row>
    <row r="34" spans="1:10" hidden="1" x14ac:dyDescent="0.25">
      <c r="A34" s="4" t="s">
        <v>60</v>
      </c>
      <c r="B34" t="s">
        <v>19</v>
      </c>
      <c r="C34" t="s">
        <v>6</v>
      </c>
      <c r="D34" s="3">
        <f>MID(A34,1,2)*1</f>
        <v>71</v>
      </c>
      <c r="E34" s="4">
        <f>MID(A34,3,2)*1</f>
        <v>1</v>
      </c>
      <c r="F34" s="4">
        <f>MID(A34,5,2)*1</f>
        <v>8</v>
      </c>
      <c r="G34" s="3">
        <f>IF(E34&gt;=20,2000,1900) + D34</f>
        <v>1971</v>
      </c>
      <c r="H34">
        <f>IF(E34&gt;=20,E34-20,E34)</f>
        <v>1</v>
      </c>
      <c r="I34" s="4">
        <f>F34</f>
        <v>8</v>
      </c>
      <c r="J34">
        <f>CONCATENATE(G34,IF(LEN(H34)=1,CONCATENATE("0",H34),H34),IF(LEN(F34)=1,CONCATENATE("0",F34),F34))*1</f>
        <v>19710108</v>
      </c>
    </row>
    <row r="35" spans="1:10" hidden="1" x14ac:dyDescent="0.25">
      <c r="A35" s="4" t="s">
        <v>61</v>
      </c>
      <c r="B35" t="s">
        <v>13</v>
      </c>
      <c r="C35" t="s">
        <v>6</v>
      </c>
      <c r="D35" s="3">
        <f>MID(A35,1,2)*1</f>
        <v>94</v>
      </c>
      <c r="E35" s="4">
        <f>MID(A35,3,2)*1</f>
        <v>6</v>
      </c>
      <c r="F35" s="4">
        <f>MID(A35,5,2)*1</f>
        <v>23</v>
      </c>
      <c r="G35" s="3">
        <f>IF(E35&gt;=20,2000,1900) + D35</f>
        <v>1994</v>
      </c>
      <c r="H35">
        <f>IF(E35&gt;=20,E35-20,E35)</f>
        <v>6</v>
      </c>
      <c r="I35" s="4">
        <f>F35</f>
        <v>23</v>
      </c>
      <c r="J35">
        <f>CONCATENATE(G35,IF(LEN(H35)=1,CONCATENATE("0",H35),H35),IF(LEN(F35)=1,CONCATENATE("0",F35),F35))*1</f>
        <v>19940623</v>
      </c>
    </row>
    <row r="36" spans="1:10" hidden="1" x14ac:dyDescent="0.25">
      <c r="A36" s="4" t="s">
        <v>62</v>
      </c>
      <c r="B36" t="s">
        <v>16</v>
      </c>
      <c r="C36" t="s">
        <v>6</v>
      </c>
      <c r="D36" s="3">
        <f>MID(A36,1,2)*1</f>
        <v>61</v>
      </c>
      <c r="E36" s="4">
        <f>MID(A36,3,2)*1</f>
        <v>12</v>
      </c>
      <c r="F36" s="4">
        <f>MID(A36,5,2)*1</f>
        <v>2</v>
      </c>
      <c r="G36" s="3">
        <f>IF(E36&gt;=20,2000,1900) + D36</f>
        <v>1961</v>
      </c>
      <c r="H36">
        <f>IF(E36&gt;=20,E36-20,E36)</f>
        <v>12</v>
      </c>
      <c r="I36" s="4">
        <f>F36</f>
        <v>2</v>
      </c>
      <c r="J36">
        <f>CONCATENATE(G36,IF(LEN(H36)=1,CONCATENATE("0",H36),H36),IF(LEN(F36)=1,CONCATENATE("0",F36),F36))*1</f>
        <v>19611202</v>
      </c>
    </row>
    <row r="37" spans="1:10" hidden="1" x14ac:dyDescent="0.25">
      <c r="A37" s="4" t="s">
        <v>63</v>
      </c>
      <c r="B37" t="s">
        <v>13</v>
      </c>
      <c r="C37" t="s">
        <v>6</v>
      </c>
      <c r="D37" s="3">
        <f>MID(A37,1,2)*1</f>
        <v>81</v>
      </c>
      <c r="E37" s="4">
        <f>MID(A37,3,2)*1</f>
        <v>6</v>
      </c>
      <c r="F37" s="4">
        <f>MID(A37,5,2)*1</f>
        <v>12</v>
      </c>
      <c r="G37" s="3">
        <f>IF(E37&gt;=20,2000,1900) + D37</f>
        <v>1981</v>
      </c>
      <c r="H37">
        <f>IF(E37&gt;=20,E37-20,E37)</f>
        <v>6</v>
      </c>
      <c r="I37" s="4">
        <f>F37</f>
        <v>12</v>
      </c>
      <c r="J37">
        <f>CONCATENATE(G37,IF(LEN(H37)=1,CONCATENATE("0",H37),H37),IF(LEN(F37)=1,CONCATENATE("0",F37),F37))*1</f>
        <v>19810612</v>
      </c>
    </row>
    <row r="38" spans="1:10" hidden="1" x14ac:dyDescent="0.25">
      <c r="A38" s="4" t="s">
        <v>64</v>
      </c>
      <c r="B38" t="s">
        <v>12</v>
      </c>
      <c r="C38" t="s">
        <v>6</v>
      </c>
      <c r="D38" s="3">
        <f>MID(A38,1,2)*1</f>
        <v>82</v>
      </c>
      <c r="E38" s="4">
        <f>MID(A38,3,2)*1</f>
        <v>3</v>
      </c>
      <c r="F38" s="4">
        <f>MID(A38,5,2)*1</f>
        <v>6</v>
      </c>
      <c r="G38" s="3">
        <f>IF(E38&gt;=20,2000,1900) + D38</f>
        <v>1982</v>
      </c>
      <c r="H38">
        <f>IF(E38&gt;=20,E38-20,E38)</f>
        <v>3</v>
      </c>
      <c r="I38" s="4">
        <f>F38</f>
        <v>6</v>
      </c>
      <c r="J38">
        <f>CONCATENATE(G38,IF(LEN(H38)=1,CONCATENATE("0",H38),H38),IF(LEN(F38)=1,CONCATENATE("0",F38),F38))*1</f>
        <v>19820306</v>
      </c>
    </row>
    <row r="39" spans="1:10" hidden="1" x14ac:dyDescent="0.25">
      <c r="A39" s="4" t="s">
        <v>65</v>
      </c>
      <c r="B39" t="s">
        <v>14</v>
      </c>
      <c r="C39" t="s">
        <v>6</v>
      </c>
      <c r="D39" s="3">
        <f>MID(A39,1,2)*1</f>
        <v>94</v>
      </c>
      <c r="E39" s="4">
        <f>MID(A39,3,2)*1</f>
        <v>2</v>
      </c>
      <c r="F39" s="4">
        <f>MID(A39,5,2)*1</f>
        <v>28</v>
      </c>
      <c r="G39" s="3">
        <f>IF(E39&gt;=20,2000,1900) + D39</f>
        <v>1994</v>
      </c>
      <c r="H39">
        <f>IF(E39&gt;=20,E39-20,E39)</f>
        <v>2</v>
      </c>
      <c r="I39" s="4">
        <f>F39</f>
        <v>28</v>
      </c>
      <c r="J39">
        <f>CONCATENATE(G39,IF(LEN(H39)=1,CONCATENATE("0",H39),H39),IF(LEN(F39)=1,CONCATENATE("0",F39),F39))*1</f>
        <v>19940228</v>
      </c>
    </row>
    <row r="40" spans="1:10" hidden="1" x14ac:dyDescent="0.25">
      <c r="A40" s="4" t="s">
        <v>66</v>
      </c>
      <c r="B40" t="s">
        <v>19</v>
      </c>
      <c r="C40" t="s">
        <v>6</v>
      </c>
      <c r="D40" s="3">
        <f>MID(A40,1,2)*1</f>
        <v>99</v>
      </c>
      <c r="E40" s="4">
        <f>MID(A40,3,2)*1</f>
        <v>2</v>
      </c>
      <c r="F40" s="4">
        <f>MID(A40,5,2)*1</f>
        <v>1</v>
      </c>
      <c r="G40" s="3">
        <f>IF(E40&gt;=20,2000,1900) + D40</f>
        <v>1999</v>
      </c>
      <c r="H40">
        <f>IF(E40&gt;=20,E40-20,E40)</f>
        <v>2</v>
      </c>
      <c r="I40" s="4">
        <f>F40</f>
        <v>1</v>
      </c>
      <c r="J40">
        <f>CONCATENATE(G40,IF(LEN(H40)=1,CONCATENATE("0",H40),H40),IF(LEN(F40)=1,CONCATENATE("0",F40),F40))*1</f>
        <v>19990201</v>
      </c>
    </row>
    <row r="41" spans="1:10" hidden="1" x14ac:dyDescent="0.25">
      <c r="A41" s="4" t="s">
        <v>67</v>
      </c>
      <c r="B41" t="s">
        <v>19</v>
      </c>
      <c r="C41" t="s">
        <v>4</v>
      </c>
      <c r="D41" s="3">
        <f>MID(A41,1,2)*1</f>
        <v>82</v>
      </c>
      <c r="E41" s="4">
        <f>MID(A41,3,2)*1</f>
        <v>8</v>
      </c>
      <c r="F41" s="4">
        <f>MID(A41,5,2)*1</f>
        <v>2</v>
      </c>
      <c r="G41" s="3">
        <f>IF(E41&gt;=20,2000,1900) + D41</f>
        <v>1982</v>
      </c>
      <c r="H41">
        <f>IF(E41&gt;=20,E41-20,E41)</f>
        <v>8</v>
      </c>
      <c r="I41" s="4">
        <f>F41</f>
        <v>2</v>
      </c>
      <c r="J41">
        <f>CONCATENATE(G41,IF(LEN(H41)=1,CONCATENATE("0",H41),H41),IF(LEN(F41)=1,CONCATENATE("0",F41),F41))*1</f>
        <v>19820802</v>
      </c>
    </row>
    <row r="42" spans="1:10" hidden="1" x14ac:dyDescent="0.25">
      <c r="A42" s="4" t="s">
        <v>68</v>
      </c>
      <c r="B42" t="s">
        <v>19</v>
      </c>
      <c r="C42" t="s">
        <v>6</v>
      </c>
      <c r="D42" s="3">
        <f>MID(A42,1,2)*1</f>
        <v>66</v>
      </c>
      <c r="E42" s="4">
        <f>MID(A42,3,2)*1</f>
        <v>2</v>
      </c>
      <c r="F42" s="4">
        <f>MID(A42,5,2)*1</f>
        <v>1</v>
      </c>
      <c r="G42" s="3">
        <f>IF(E42&gt;=20,2000,1900) + D42</f>
        <v>1966</v>
      </c>
      <c r="H42">
        <f>IF(E42&gt;=20,E42-20,E42)</f>
        <v>2</v>
      </c>
      <c r="I42" s="4">
        <f>F42</f>
        <v>1</v>
      </c>
      <c r="J42">
        <f>CONCATENATE(G42,IF(LEN(H42)=1,CONCATENATE("0",H42),H42),IF(LEN(F42)=1,CONCATENATE("0",F42),F42))*1</f>
        <v>19660201</v>
      </c>
    </row>
    <row r="43" spans="1:10" hidden="1" x14ac:dyDescent="0.25">
      <c r="A43" s="4" t="s">
        <v>69</v>
      </c>
      <c r="B43" t="s">
        <v>17</v>
      </c>
      <c r="C43" t="s">
        <v>4</v>
      </c>
      <c r="D43" s="3">
        <f>MID(A43,1,2)*1</f>
        <v>86</v>
      </c>
      <c r="E43" s="4">
        <f>MID(A43,3,2)*1</f>
        <v>3</v>
      </c>
      <c r="F43" s="4">
        <f>MID(A43,5,2)*1</f>
        <v>28</v>
      </c>
      <c r="G43" s="3">
        <f>IF(E43&gt;=20,2000,1900) + D43</f>
        <v>1986</v>
      </c>
      <c r="H43">
        <f>IF(E43&gt;=20,E43-20,E43)</f>
        <v>3</v>
      </c>
      <c r="I43" s="4">
        <f>F43</f>
        <v>28</v>
      </c>
      <c r="J43">
        <f>CONCATENATE(G43,IF(LEN(H43)=1,CONCATENATE("0",H43),H43),IF(LEN(F43)=1,CONCATENATE("0",F43),F43))*1</f>
        <v>19860328</v>
      </c>
    </row>
    <row r="44" spans="1:10" hidden="1" x14ac:dyDescent="0.25">
      <c r="A44" s="4" t="s">
        <v>70</v>
      </c>
      <c r="B44" t="s">
        <v>12</v>
      </c>
      <c r="C44" t="s">
        <v>6</v>
      </c>
      <c r="D44" s="3">
        <f>MID(A44,1,2)*1</f>
        <v>83</v>
      </c>
      <c r="E44" s="4">
        <f>MID(A44,3,2)*1</f>
        <v>11</v>
      </c>
      <c r="F44" s="4">
        <f>MID(A44,5,2)*1</f>
        <v>18</v>
      </c>
      <c r="G44" s="3">
        <f>IF(E44&gt;=20,2000,1900) + D44</f>
        <v>1983</v>
      </c>
      <c r="H44">
        <f>IF(E44&gt;=20,E44-20,E44)</f>
        <v>11</v>
      </c>
      <c r="I44" s="4">
        <f>F44</f>
        <v>18</v>
      </c>
      <c r="J44">
        <f>CONCATENATE(G44,IF(LEN(H44)=1,CONCATENATE("0",H44),H44),IF(LEN(F44)=1,CONCATENATE("0",F44),F44))*1</f>
        <v>19831118</v>
      </c>
    </row>
    <row r="45" spans="1:10" hidden="1" x14ac:dyDescent="0.25">
      <c r="A45" s="4" t="s">
        <v>71</v>
      </c>
      <c r="B45" t="s">
        <v>14</v>
      </c>
      <c r="C45" t="s">
        <v>6</v>
      </c>
      <c r="D45" s="3">
        <f>MID(A45,1,2)*1</f>
        <v>67</v>
      </c>
      <c r="E45" s="4">
        <f>MID(A45,3,2)*1</f>
        <v>9</v>
      </c>
      <c r="F45" s="4">
        <f>MID(A45,5,2)*1</f>
        <v>25</v>
      </c>
      <c r="G45" s="3">
        <f>IF(E45&gt;=20,2000,1900) + D45</f>
        <v>1967</v>
      </c>
      <c r="H45">
        <f>IF(E45&gt;=20,E45-20,E45)</f>
        <v>9</v>
      </c>
      <c r="I45" s="4">
        <f>F45</f>
        <v>25</v>
      </c>
      <c r="J45">
        <f>CONCATENATE(G45,IF(LEN(H45)=1,CONCATENATE("0",H45),H45),IF(LEN(F45)=1,CONCATENATE("0",F45),F45))*1</f>
        <v>19670925</v>
      </c>
    </row>
    <row r="46" spans="1:10" hidden="1" x14ac:dyDescent="0.25">
      <c r="A46" s="4" t="s">
        <v>72</v>
      </c>
      <c r="B46" t="s">
        <v>19</v>
      </c>
      <c r="C46" t="s">
        <v>4</v>
      </c>
      <c r="D46" s="3">
        <f>MID(A46,1,2)*1</f>
        <v>55</v>
      </c>
      <c r="E46" s="4">
        <f>MID(A46,3,2)*1</f>
        <v>3</v>
      </c>
      <c r="F46" s="4">
        <f>MID(A46,5,2)*1</f>
        <v>23</v>
      </c>
      <c r="G46" s="3">
        <f>IF(E46&gt;=20,2000,1900) + D46</f>
        <v>1955</v>
      </c>
      <c r="H46">
        <f>IF(E46&gt;=20,E46-20,E46)</f>
        <v>3</v>
      </c>
      <c r="I46" s="4">
        <f>F46</f>
        <v>23</v>
      </c>
      <c r="J46">
        <f>CONCATENATE(G46,IF(LEN(H46)=1,CONCATENATE("0",H46),H46),IF(LEN(F46)=1,CONCATENATE("0",F46),F46))*1</f>
        <v>19550323</v>
      </c>
    </row>
    <row r="47" spans="1:10" hidden="1" x14ac:dyDescent="0.25">
      <c r="A47" s="4" t="s">
        <v>73</v>
      </c>
      <c r="B47" t="s">
        <v>17</v>
      </c>
      <c r="C47" t="s">
        <v>4</v>
      </c>
      <c r="D47" s="3">
        <f>MID(A47,1,2)*1</f>
        <v>68</v>
      </c>
      <c r="E47" s="4">
        <f>MID(A47,3,2)*1</f>
        <v>11</v>
      </c>
      <c r="F47" s="4">
        <f>MID(A47,5,2)*1</f>
        <v>15</v>
      </c>
      <c r="G47" s="3">
        <f>IF(E47&gt;=20,2000,1900) + D47</f>
        <v>1968</v>
      </c>
      <c r="H47">
        <f>IF(E47&gt;=20,E47-20,E47)</f>
        <v>11</v>
      </c>
      <c r="I47" s="4">
        <f>F47</f>
        <v>15</v>
      </c>
      <c r="J47">
        <f>CONCATENATE(G47,IF(LEN(H47)=1,CONCATENATE("0",H47),H47),IF(LEN(F47)=1,CONCATENATE("0",F47),F47))*1</f>
        <v>19681115</v>
      </c>
    </row>
    <row r="48" spans="1:10" hidden="1" x14ac:dyDescent="0.25">
      <c r="A48" s="4" t="s">
        <v>74</v>
      </c>
      <c r="B48" t="s">
        <v>19</v>
      </c>
      <c r="C48" t="s">
        <v>4</v>
      </c>
      <c r="D48" s="3">
        <f>MID(A48,1,2)*1</f>
        <v>72</v>
      </c>
      <c r="E48" s="4">
        <f>MID(A48,3,2)*1</f>
        <v>5</v>
      </c>
      <c r="F48" s="4">
        <f>MID(A48,5,2)*1</f>
        <v>1</v>
      </c>
      <c r="G48" s="3">
        <f>IF(E48&gt;=20,2000,1900) + D48</f>
        <v>1972</v>
      </c>
      <c r="H48">
        <f>IF(E48&gt;=20,E48-20,E48)</f>
        <v>5</v>
      </c>
      <c r="I48" s="4">
        <f>F48</f>
        <v>1</v>
      </c>
      <c r="J48">
        <f>CONCATENATE(G48,IF(LEN(H48)=1,CONCATENATE("0",H48),H48),IF(LEN(F48)=1,CONCATENATE("0",F48),F48))*1</f>
        <v>19720501</v>
      </c>
    </row>
    <row r="49" spans="1:10" hidden="1" x14ac:dyDescent="0.25">
      <c r="A49" s="4" t="s">
        <v>75</v>
      </c>
      <c r="B49" t="s">
        <v>17</v>
      </c>
      <c r="C49" t="s">
        <v>4</v>
      </c>
      <c r="D49" s="3">
        <f>MID(A49,1,2)*1</f>
        <v>89</v>
      </c>
      <c r="E49" s="4">
        <f>MID(A49,3,2)*1</f>
        <v>11</v>
      </c>
      <c r="F49" s="4">
        <f>MID(A49,5,2)*1</f>
        <v>6</v>
      </c>
      <c r="G49" s="3">
        <f>IF(E49&gt;=20,2000,1900) + D49</f>
        <v>1989</v>
      </c>
      <c r="H49">
        <f>IF(E49&gt;=20,E49-20,E49)</f>
        <v>11</v>
      </c>
      <c r="I49" s="4">
        <f>F49</f>
        <v>6</v>
      </c>
      <c r="J49">
        <f>CONCATENATE(G49,IF(LEN(H49)=1,CONCATENATE("0",H49),H49),IF(LEN(F49)=1,CONCATENATE("0",F49),F49))*1</f>
        <v>19891106</v>
      </c>
    </row>
    <row r="50" spans="1:10" hidden="1" x14ac:dyDescent="0.25">
      <c r="A50" s="4" t="s">
        <v>76</v>
      </c>
      <c r="B50" t="s">
        <v>14</v>
      </c>
      <c r="C50" t="s">
        <v>6</v>
      </c>
      <c r="D50" s="3">
        <f>MID(A50,1,2)*1</f>
        <v>92</v>
      </c>
      <c r="E50" s="4">
        <f>MID(A50,3,2)*1</f>
        <v>6</v>
      </c>
      <c r="F50" s="4">
        <f>MID(A50,5,2)*1</f>
        <v>29</v>
      </c>
      <c r="G50" s="3">
        <f>IF(E50&gt;=20,2000,1900) + D50</f>
        <v>1992</v>
      </c>
      <c r="H50">
        <f>IF(E50&gt;=20,E50-20,E50)</f>
        <v>6</v>
      </c>
      <c r="I50" s="4">
        <f>F50</f>
        <v>29</v>
      </c>
      <c r="J50">
        <f>CONCATENATE(G50,IF(LEN(H50)=1,CONCATENATE("0",H50),H50),IF(LEN(F50)=1,CONCATENATE("0",F50),F50))*1</f>
        <v>19920629</v>
      </c>
    </row>
    <row r="51" spans="1:10" hidden="1" x14ac:dyDescent="0.25">
      <c r="A51" s="4" t="s">
        <v>77</v>
      </c>
      <c r="B51" t="s">
        <v>17</v>
      </c>
      <c r="C51" t="s">
        <v>6</v>
      </c>
      <c r="D51" s="3">
        <f>MID(A51,1,2)*1</f>
        <v>96</v>
      </c>
      <c r="E51" s="4">
        <f>MID(A51,3,2)*1</f>
        <v>2</v>
      </c>
      <c r="F51" s="4">
        <f>MID(A51,5,2)*1</f>
        <v>27</v>
      </c>
      <c r="G51" s="3">
        <f>IF(E51&gt;=20,2000,1900) + D51</f>
        <v>1996</v>
      </c>
      <c r="H51">
        <f>IF(E51&gt;=20,E51-20,E51)</f>
        <v>2</v>
      </c>
      <c r="I51" s="4">
        <f>F51</f>
        <v>27</v>
      </c>
      <c r="J51">
        <f>CONCATENATE(G51,IF(LEN(H51)=1,CONCATENATE("0",H51),H51),IF(LEN(F51)=1,CONCATENATE("0",F51),F51))*1</f>
        <v>19960227</v>
      </c>
    </row>
    <row r="52" spans="1:10" hidden="1" x14ac:dyDescent="0.25">
      <c r="A52" s="4" t="s">
        <v>78</v>
      </c>
      <c r="B52" t="s">
        <v>12</v>
      </c>
      <c r="C52" t="s">
        <v>6</v>
      </c>
      <c r="D52" s="3">
        <f>MID(A52,1,2)*1</f>
        <v>67</v>
      </c>
      <c r="E52" s="4">
        <f>MID(A52,3,2)*1</f>
        <v>8</v>
      </c>
      <c r="F52" s="4">
        <f>MID(A52,5,2)*1</f>
        <v>27</v>
      </c>
      <c r="G52" s="3">
        <f>IF(E52&gt;=20,2000,1900) + D52</f>
        <v>1967</v>
      </c>
      <c r="H52">
        <f>IF(E52&gt;=20,E52-20,E52)</f>
        <v>8</v>
      </c>
      <c r="I52" s="4">
        <f>F52</f>
        <v>27</v>
      </c>
      <c r="J52">
        <f>CONCATENATE(G52,IF(LEN(H52)=1,CONCATENATE("0",H52),H52),IF(LEN(F52)=1,CONCATENATE("0",F52),F52))*1</f>
        <v>19670827</v>
      </c>
    </row>
    <row r="53" spans="1:10" hidden="1" x14ac:dyDescent="0.25">
      <c r="A53" s="4" t="s">
        <v>79</v>
      </c>
      <c r="B53" t="s">
        <v>13</v>
      </c>
      <c r="C53" t="s">
        <v>6</v>
      </c>
      <c r="D53" s="3">
        <f>MID(A53,1,2)*1</f>
        <v>53</v>
      </c>
      <c r="E53" s="4">
        <f>MID(A53,3,2)*1</f>
        <v>4</v>
      </c>
      <c r="F53" s="4">
        <f>MID(A53,5,2)*1</f>
        <v>13</v>
      </c>
      <c r="G53" s="3">
        <f>IF(E53&gt;=20,2000,1900) + D53</f>
        <v>1953</v>
      </c>
      <c r="H53">
        <f>IF(E53&gt;=20,E53-20,E53)</f>
        <v>4</v>
      </c>
      <c r="I53" s="4">
        <f>F53</f>
        <v>13</v>
      </c>
      <c r="J53">
        <f>CONCATENATE(G53,IF(LEN(H53)=1,CONCATENATE("0",H53),H53),IF(LEN(F53)=1,CONCATENATE("0",F53),F53))*1</f>
        <v>19530413</v>
      </c>
    </row>
    <row r="54" spans="1:10" hidden="1" x14ac:dyDescent="0.25">
      <c r="A54" s="4" t="s">
        <v>80</v>
      </c>
      <c r="B54" t="s">
        <v>15</v>
      </c>
      <c r="C54" t="s">
        <v>6</v>
      </c>
      <c r="D54" s="3">
        <f>MID(A54,1,2)*1</f>
        <v>85</v>
      </c>
      <c r="E54" s="4">
        <f>MID(A54,3,2)*1</f>
        <v>7</v>
      </c>
      <c r="F54" s="4">
        <f>MID(A54,5,2)*1</f>
        <v>4</v>
      </c>
      <c r="G54" s="3">
        <f>IF(E54&gt;=20,2000,1900) + D54</f>
        <v>1985</v>
      </c>
      <c r="H54">
        <f>IF(E54&gt;=20,E54-20,E54)</f>
        <v>7</v>
      </c>
      <c r="I54" s="4">
        <f>F54</f>
        <v>4</v>
      </c>
      <c r="J54">
        <f>CONCATENATE(G54,IF(LEN(H54)=1,CONCATENATE("0",H54),H54),IF(LEN(F54)=1,CONCATENATE("0",F54),F54))*1</f>
        <v>19850704</v>
      </c>
    </row>
    <row r="55" spans="1:10" hidden="1" x14ac:dyDescent="0.25">
      <c r="A55" s="4" t="s">
        <v>81</v>
      </c>
      <c r="B55" t="s">
        <v>3</v>
      </c>
      <c r="C55" t="s">
        <v>4</v>
      </c>
      <c r="D55" s="3">
        <f>MID(A55,1,2)*1</f>
        <v>67</v>
      </c>
      <c r="E55" s="4">
        <f>MID(A55,3,2)*1</f>
        <v>11</v>
      </c>
      <c r="F55" s="4">
        <f>MID(A55,5,2)*1</f>
        <v>4</v>
      </c>
      <c r="G55" s="3">
        <f>IF(E55&gt;=20,2000,1900) + D55</f>
        <v>1967</v>
      </c>
      <c r="H55">
        <f>IF(E55&gt;=20,E55-20,E55)</f>
        <v>11</v>
      </c>
      <c r="I55" s="4">
        <f>F55</f>
        <v>4</v>
      </c>
      <c r="J55">
        <f>CONCATENATE(G55,IF(LEN(H55)=1,CONCATENATE("0",H55),H55),IF(LEN(F55)=1,CONCATENATE("0",F55),F55))*1</f>
        <v>19671104</v>
      </c>
    </row>
    <row r="56" spans="1:10" hidden="1" x14ac:dyDescent="0.25">
      <c r="A56" s="4" t="s">
        <v>82</v>
      </c>
      <c r="B56" t="s">
        <v>16</v>
      </c>
      <c r="C56" t="s">
        <v>4</v>
      </c>
      <c r="D56" s="3">
        <f>MID(A56,1,2)*1</f>
        <v>76</v>
      </c>
      <c r="E56" s="4">
        <f>MID(A56,3,2)*1</f>
        <v>11</v>
      </c>
      <c r="F56" s="4">
        <f>MID(A56,5,2)*1</f>
        <v>29</v>
      </c>
      <c r="G56" s="3">
        <f>IF(E56&gt;=20,2000,1900) + D56</f>
        <v>1976</v>
      </c>
      <c r="H56">
        <f>IF(E56&gt;=20,E56-20,E56)</f>
        <v>11</v>
      </c>
      <c r="I56" s="4">
        <f>F56</f>
        <v>29</v>
      </c>
      <c r="J56">
        <f>CONCATENATE(G56,IF(LEN(H56)=1,CONCATENATE("0",H56),H56),IF(LEN(F56)=1,CONCATENATE("0",F56),F56))*1</f>
        <v>19761129</v>
      </c>
    </row>
    <row r="57" spans="1:10" hidden="1" x14ac:dyDescent="0.25">
      <c r="A57" s="4" t="s">
        <v>83</v>
      </c>
      <c r="B57" t="s">
        <v>7</v>
      </c>
      <c r="C57" t="s">
        <v>6</v>
      </c>
      <c r="D57" s="3">
        <f>MID(A57,1,2)*1</f>
        <v>78</v>
      </c>
      <c r="E57" s="4">
        <f>MID(A57,3,2)*1</f>
        <v>7</v>
      </c>
      <c r="F57" s="4">
        <f>MID(A57,5,2)*1</f>
        <v>23</v>
      </c>
      <c r="G57" s="3">
        <f>IF(E57&gt;=20,2000,1900) + D57</f>
        <v>1978</v>
      </c>
      <c r="H57">
        <f>IF(E57&gt;=20,E57-20,E57)</f>
        <v>7</v>
      </c>
      <c r="I57" s="4">
        <f>F57</f>
        <v>23</v>
      </c>
      <c r="J57">
        <f>CONCATENATE(G57,IF(LEN(H57)=1,CONCATENATE("0",H57),H57),IF(LEN(F57)=1,CONCATENATE("0",F57),F57))*1</f>
        <v>19780723</v>
      </c>
    </row>
    <row r="58" spans="1:10" hidden="1" x14ac:dyDescent="0.25">
      <c r="A58" s="4" t="s">
        <v>84</v>
      </c>
      <c r="B58" t="s">
        <v>13</v>
      </c>
      <c r="C58" t="s">
        <v>6</v>
      </c>
      <c r="D58" s="3">
        <f>MID(A58,1,2)*1</f>
        <v>50</v>
      </c>
      <c r="E58" s="4">
        <f>MID(A58,3,2)*1</f>
        <v>9</v>
      </c>
      <c r="F58" s="4">
        <f>MID(A58,5,2)*1</f>
        <v>27</v>
      </c>
      <c r="G58" s="3">
        <f>IF(E58&gt;=20,2000,1900) + D58</f>
        <v>1950</v>
      </c>
      <c r="H58">
        <f>IF(E58&gt;=20,E58-20,E58)</f>
        <v>9</v>
      </c>
      <c r="I58" s="4">
        <f>F58</f>
        <v>27</v>
      </c>
      <c r="J58">
        <f>CONCATENATE(G58,IF(LEN(H58)=1,CONCATENATE("0",H58),H58),IF(LEN(F58)=1,CONCATENATE("0",F58),F58))*1</f>
        <v>19500927</v>
      </c>
    </row>
    <row r="59" spans="1:10" hidden="1" x14ac:dyDescent="0.25">
      <c r="A59" s="4" t="s">
        <v>85</v>
      </c>
      <c r="B59" t="s">
        <v>10</v>
      </c>
      <c r="C59" t="s">
        <v>4</v>
      </c>
      <c r="D59" s="3">
        <f>MID(A59,1,2)*1</f>
        <v>67</v>
      </c>
      <c r="E59" s="4">
        <f>MID(A59,3,2)*1</f>
        <v>9</v>
      </c>
      <c r="F59" s="4">
        <f>MID(A59,5,2)*1</f>
        <v>9</v>
      </c>
      <c r="G59" s="3">
        <f>IF(E59&gt;=20,2000,1900) + D59</f>
        <v>1967</v>
      </c>
      <c r="H59">
        <f>IF(E59&gt;=20,E59-20,E59)</f>
        <v>9</v>
      </c>
      <c r="I59" s="4">
        <f>F59</f>
        <v>9</v>
      </c>
      <c r="J59">
        <f>CONCATENATE(G59,IF(LEN(H59)=1,CONCATENATE("0",H59),H59),IF(LEN(F59)=1,CONCATENATE("0",F59),F59))*1</f>
        <v>19670909</v>
      </c>
    </row>
    <row r="60" spans="1:10" hidden="1" x14ac:dyDescent="0.25">
      <c r="A60" s="4" t="s">
        <v>86</v>
      </c>
      <c r="B60" t="s">
        <v>3</v>
      </c>
      <c r="C60" t="s">
        <v>6</v>
      </c>
      <c r="D60" s="3">
        <f>MID(A60,1,2)*1</f>
        <v>94</v>
      </c>
      <c r="E60" s="4">
        <f>MID(A60,3,2)*1</f>
        <v>7</v>
      </c>
      <c r="F60" s="4">
        <f>MID(A60,5,2)*1</f>
        <v>7</v>
      </c>
      <c r="G60" s="3">
        <f>IF(E60&gt;=20,2000,1900) + D60</f>
        <v>1994</v>
      </c>
      <c r="H60">
        <f>IF(E60&gt;=20,E60-20,E60)</f>
        <v>7</v>
      </c>
      <c r="I60" s="4">
        <f>F60</f>
        <v>7</v>
      </c>
      <c r="J60">
        <f>CONCATENATE(G60,IF(LEN(H60)=1,CONCATENATE("0",H60),H60),IF(LEN(F60)=1,CONCATENATE("0",F60),F60))*1</f>
        <v>19940707</v>
      </c>
    </row>
    <row r="61" spans="1:10" hidden="1" x14ac:dyDescent="0.25">
      <c r="A61" s="4" t="s">
        <v>87</v>
      </c>
      <c r="B61" t="s">
        <v>13</v>
      </c>
      <c r="C61" t="s">
        <v>4</v>
      </c>
      <c r="D61" s="3">
        <f>MID(A61,1,2)*1</f>
        <v>78</v>
      </c>
      <c r="E61" s="4">
        <f>MID(A61,3,2)*1</f>
        <v>3</v>
      </c>
      <c r="F61" s="4">
        <f>MID(A61,5,2)*1</f>
        <v>14</v>
      </c>
      <c r="G61" s="3">
        <f>IF(E61&gt;=20,2000,1900) + D61</f>
        <v>1978</v>
      </c>
      <c r="H61">
        <f>IF(E61&gt;=20,E61-20,E61)</f>
        <v>3</v>
      </c>
      <c r="I61" s="4">
        <f>F61</f>
        <v>14</v>
      </c>
      <c r="J61">
        <f>CONCATENATE(G61,IF(LEN(H61)=1,CONCATENATE("0",H61),H61),IF(LEN(F61)=1,CONCATENATE("0",F61),F61))*1</f>
        <v>19780314</v>
      </c>
    </row>
    <row r="62" spans="1:10" hidden="1" x14ac:dyDescent="0.25">
      <c r="A62" s="4" t="s">
        <v>88</v>
      </c>
      <c r="B62" t="s">
        <v>9</v>
      </c>
      <c r="C62" t="s">
        <v>4</v>
      </c>
      <c r="D62" s="3">
        <f>MID(A62,1,2)*1</f>
        <v>75</v>
      </c>
      <c r="E62" s="4">
        <f>MID(A62,3,2)*1</f>
        <v>11</v>
      </c>
      <c r="F62" s="4">
        <f>MID(A62,5,2)*1</f>
        <v>18</v>
      </c>
      <c r="G62" s="3">
        <f>IF(E62&gt;=20,2000,1900) + D62</f>
        <v>1975</v>
      </c>
      <c r="H62">
        <f>IF(E62&gt;=20,E62-20,E62)</f>
        <v>11</v>
      </c>
      <c r="I62" s="4">
        <f>F62</f>
        <v>18</v>
      </c>
      <c r="J62">
        <f>CONCATENATE(G62,IF(LEN(H62)=1,CONCATENATE("0",H62),H62),IF(LEN(F62)=1,CONCATENATE("0",F62),F62))*1</f>
        <v>19751118</v>
      </c>
    </row>
    <row r="63" spans="1:10" hidden="1" x14ac:dyDescent="0.25">
      <c r="A63" s="4" t="s">
        <v>89</v>
      </c>
      <c r="B63" t="s">
        <v>20</v>
      </c>
      <c r="C63" t="s">
        <v>4</v>
      </c>
      <c r="D63" s="3">
        <f>MID(A63,1,2)*1</f>
        <v>84</v>
      </c>
      <c r="E63" s="4">
        <f>MID(A63,3,2)*1</f>
        <v>1</v>
      </c>
      <c r="F63" s="4">
        <f>MID(A63,5,2)*1</f>
        <v>17</v>
      </c>
      <c r="G63" s="3">
        <f>IF(E63&gt;=20,2000,1900) + D63</f>
        <v>1984</v>
      </c>
      <c r="H63">
        <f>IF(E63&gt;=20,E63-20,E63)</f>
        <v>1</v>
      </c>
      <c r="I63" s="4">
        <f>F63</f>
        <v>17</v>
      </c>
      <c r="J63">
        <f>CONCATENATE(G63,IF(LEN(H63)=1,CONCATENATE("0",H63),H63),IF(LEN(F63)=1,CONCATENATE("0",F63),F63))*1</f>
        <v>19840117</v>
      </c>
    </row>
    <row r="64" spans="1:10" hidden="1" x14ac:dyDescent="0.25">
      <c r="A64" s="4" t="s">
        <v>90</v>
      </c>
      <c r="B64" t="s">
        <v>8</v>
      </c>
      <c r="C64" t="s">
        <v>6</v>
      </c>
      <c r="D64" s="3">
        <f>MID(A64,1,2)*1</f>
        <v>73</v>
      </c>
      <c r="E64" s="4">
        <f>MID(A64,3,2)*1</f>
        <v>10</v>
      </c>
      <c r="F64" s="4">
        <f>MID(A64,5,2)*1</f>
        <v>19</v>
      </c>
      <c r="G64" s="3">
        <f>IF(E64&gt;=20,2000,1900) + D64</f>
        <v>1973</v>
      </c>
      <c r="H64">
        <f>IF(E64&gt;=20,E64-20,E64)</f>
        <v>10</v>
      </c>
      <c r="I64" s="4">
        <f>F64</f>
        <v>19</v>
      </c>
      <c r="J64">
        <f>CONCATENATE(G64,IF(LEN(H64)=1,CONCATENATE("0",H64),H64),IF(LEN(F64)=1,CONCATENATE("0",F64),F64))*1</f>
        <v>19731019</v>
      </c>
    </row>
    <row r="65" spans="1:10" hidden="1" x14ac:dyDescent="0.25">
      <c r="A65" s="4" t="s">
        <v>91</v>
      </c>
      <c r="B65" t="s">
        <v>20</v>
      </c>
      <c r="C65" t="s">
        <v>6</v>
      </c>
      <c r="D65" s="3">
        <f>MID(A65,1,2)*1</f>
        <v>98</v>
      </c>
      <c r="E65" s="4">
        <f>MID(A65,3,2)*1</f>
        <v>11</v>
      </c>
      <c r="F65" s="4">
        <f>MID(A65,5,2)*1</f>
        <v>25</v>
      </c>
      <c r="G65" s="3">
        <f>IF(E65&gt;=20,2000,1900) + D65</f>
        <v>1998</v>
      </c>
      <c r="H65">
        <f>IF(E65&gt;=20,E65-20,E65)</f>
        <v>11</v>
      </c>
      <c r="I65" s="4">
        <f>F65</f>
        <v>25</v>
      </c>
      <c r="J65">
        <f>CONCATENATE(G65,IF(LEN(H65)=1,CONCATENATE("0",H65),H65),IF(LEN(F65)=1,CONCATENATE("0",F65),F65))*1</f>
        <v>19981125</v>
      </c>
    </row>
    <row r="66" spans="1:10" hidden="1" x14ac:dyDescent="0.25">
      <c r="A66" s="4" t="s">
        <v>92</v>
      </c>
      <c r="B66" t="s">
        <v>14</v>
      </c>
      <c r="C66" t="s">
        <v>4</v>
      </c>
      <c r="D66" s="3">
        <f>MID(A66,1,2)*1</f>
        <v>80</v>
      </c>
      <c r="E66" s="4">
        <f>MID(A66,3,2)*1</f>
        <v>2</v>
      </c>
      <c r="F66" s="4">
        <f>MID(A66,5,2)*1</f>
        <v>5</v>
      </c>
      <c r="G66" s="3">
        <f>IF(E66&gt;=20,2000,1900) + D66</f>
        <v>1980</v>
      </c>
      <c r="H66">
        <f>IF(E66&gt;=20,E66-20,E66)</f>
        <v>2</v>
      </c>
      <c r="I66" s="4">
        <f>F66</f>
        <v>5</v>
      </c>
      <c r="J66">
        <f>CONCATENATE(G66,IF(LEN(H66)=1,CONCATENATE("0",H66),H66),IF(LEN(F66)=1,CONCATENATE("0",F66),F66))*1</f>
        <v>19800205</v>
      </c>
    </row>
    <row r="67" spans="1:10" hidden="1" x14ac:dyDescent="0.25">
      <c r="A67" s="4" t="s">
        <v>93</v>
      </c>
      <c r="B67" t="s">
        <v>17</v>
      </c>
      <c r="C67" t="s">
        <v>4</v>
      </c>
      <c r="D67" s="3">
        <f>MID(A67,1,2)*1</f>
        <v>78</v>
      </c>
      <c r="E67" s="4">
        <f>MID(A67,3,2)*1</f>
        <v>9</v>
      </c>
      <c r="F67" s="4">
        <f>MID(A67,5,2)*1</f>
        <v>6</v>
      </c>
      <c r="G67" s="3">
        <f>IF(E67&gt;=20,2000,1900) + D67</f>
        <v>1978</v>
      </c>
      <c r="H67">
        <f>IF(E67&gt;=20,E67-20,E67)</f>
        <v>9</v>
      </c>
      <c r="I67" s="4">
        <f>F67</f>
        <v>6</v>
      </c>
      <c r="J67">
        <f>CONCATENATE(G67,IF(LEN(H67)=1,CONCATENATE("0",H67),H67),IF(LEN(F67)=1,CONCATENATE("0",F67),F67))*1</f>
        <v>19780906</v>
      </c>
    </row>
    <row r="68" spans="1:10" hidden="1" x14ac:dyDescent="0.25">
      <c r="A68" s="4" t="s">
        <v>94</v>
      </c>
      <c r="B68" t="s">
        <v>8</v>
      </c>
      <c r="C68" t="s">
        <v>4</v>
      </c>
      <c r="D68" s="3">
        <f>MID(A68,1,2)*1</f>
        <v>85</v>
      </c>
      <c r="E68" s="4">
        <f>MID(A68,3,2)*1</f>
        <v>10</v>
      </c>
      <c r="F68" s="4">
        <f>MID(A68,5,2)*1</f>
        <v>4</v>
      </c>
      <c r="G68" s="3">
        <f>IF(E68&gt;=20,2000,1900) + D68</f>
        <v>1985</v>
      </c>
      <c r="H68">
        <f>IF(E68&gt;=20,E68-20,E68)</f>
        <v>10</v>
      </c>
      <c r="I68" s="4">
        <f>F68</f>
        <v>4</v>
      </c>
      <c r="J68">
        <f>CONCATENATE(G68,IF(LEN(H68)=1,CONCATENATE("0",H68),H68),IF(LEN(F68)=1,CONCATENATE("0",F68),F68))*1</f>
        <v>19851004</v>
      </c>
    </row>
    <row r="69" spans="1:10" hidden="1" x14ac:dyDescent="0.25">
      <c r="A69" s="4" t="s">
        <v>95</v>
      </c>
      <c r="B69" t="s">
        <v>17</v>
      </c>
      <c r="C69" t="s">
        <v>6</v>
      </c>
      <c r="D69" s="3">
        <f>MID(A69,1,2)*1</f>
        <v>62</v>
      </c>
      <c r="E69" s="4">
        <f>MID(A69,3,2)*1</f>
        <v>10</v>
      </c>
      <c r="F69" s="4">
        <f>MID(A69,5,2)*1</f>
        <v>30</v>
      </c>
      <c r="G69" s="3">
        <f>IF(E69&gt;=20,2000,1900) + D69</f>
        <v>1962</v>
      </c>
      <c r="H69">
        <f>IF(E69&gt;=20,E69-20,E69)</f>
        <v>10</v>
      </c>
      <c r="I69" s="4">
        <f>F69</f>
        <v>30</v>
      </c>
      <c r="J69">
        <f>CONCATENATE(G69,IF(LEN(H69)=1,CONCATENATE("0",H69),H69),IF(LEN(F69)=1,CONCATENATE("0",F69),F69))*1</f>
        <v>19621030</v>
      </c>
    </row>
    <row r="70" spans="1:10" hidden="1" x14ac:dyDescent="0.25">
      <c r="A70" s="4" t="s">
        <v>96</v>
      </c>
      <c r="B70" t="s">
        <v>20</v>
      </c>
      <c r="C70" t="s">
        <v>6</v>
      </c>
      <c r="D70" s="3">
        <f>MID(A70,1,2)*1</f>
        <v>64</v>
      </c>
      <c r="E70" s="4">
        <f>MID(A70,3,2)*1</f>
        <v>9</v>
      </c>
      <c r="F70" s="4">
        <f>MID(A70,5,2)*1</f>
        <v>21</v>
      </c>
      <c r="G70" s="3">
        <f>IF(E70&gt;=20,2000,1900) + D70</f>
        <v>1964</v>
      </c>
      <c r="H70">
        <f>IF(E70&gt;=20,E70-20,E70)</f>
        <v>9</v>
      </c>
      <c r="I70" s="4">
        <f>F70</f>
        <v>21</v>
      </c>
      <c r="J70">
        <f>CONCATENATE(G70,IF(LEN(H70)=1,CONCATENATE("0",H70),H70),IF(LEN(F70)=1,CONCATENATE("0",F70),F70))*1</f>
        <v>19640921</v>
      </c>
    </row>
    <row r="71" spans="1:10" hidden="1" x14ac:dyDescent="0.25">
      <c r="A71" s="4" t="s">
        <v>97</v>
      </c>
      <c r="B71" t="s">
        <v>19</v>
      </c>
      <c r="C71" t="s">
        <v>4</v>
      </c>
      <c r="D71" s="3">
        <f>MID(A71,1,2)*1</f>
        <v>72</v>
      </c>
      <c r="E71" s="4">
        <f>MID(A71,3,2)*1</f>
        <v>11</v>
      </c>
      <c r="F71" s="4">
        <f>MID(A71,5,2)*1</f>
        <v>28</v>
      </c>
      <c r="G71" s="3">
        <f>IF(E71&gt;=20,2000,1900) + D71</f>
        <v>1972</v>
      </c>
      <c r="H71">
        <f>IF(E71&gt;=20,E71-20,E71)</f>
        <v>11</v>
      </c>
      <c r="I71" s="4">
        <f>F71</f>
        <v>28</v>
      </c>
      <c r="J71">
        <f>CONCATENATE(G71,IF(LEN(H71)=1,CONCATENATE("0",H71),H71),IF(LEN(F71)=1,CONCATENATE("0",F71),F71))*1</f>
        <v>19721128</v>
      </c>
    </row>
    <row r="72" spans="1:10" hidden="1" x14ac:dyDescent="0.25">
      <c r="A72" s="4" t="s">
        <v>98</v>
      </c>
      <c r="B72" t="s">
        <v>15</v>
      </c>
      <c r="C72" t="s">
        <v>6</v>
      </c>
      <c r="D72" s="3">
        <f>MID(A72,1,2)*1</f>
        <v>90</v>
      </c>
      <c r="E72" s="4">
        <f>MID(A72,3,2)*1</f>
        <v>7</v>
      </c>
      <c r="F72" s="4">
        <f>MID(A72,5,2)*1</f>
        <v>11</v>
      </c>
      <c r="G72" s="3">
        <f>IF(E72&gt;=20,2000,1900) + D72</f>
        <v>1990</v>
      </c>
      <c r="H72">
        <f>IF(E72&gt;=20,E72-20,E72)</f>
        <v>7</v>
      </c>
      <c r="I72" s="4">
        <f>F72</f>
        <v>11</v>
      </c>
      <c r="J72">
        <f>CONCATENATE(G72,IF(LEN(H72)=1,CONCATENATE("0",H72),H72),IF(LEN(F72)=1,CONCATENATE("0",F72),F72))*1</f>
        <v>19900711</v>
      </c>
    </row>
    <row r="73" spans="1:10" hidden="1" x14ac:dyDescent="0.25">
      <c r="A73" s="4" t="s">
        <v>99</v>
      </c>
      <c r="B73" t="s">
        <v>10</v>
      </c>
      <c r="C73" t="s">
        <v>4</v>
      </c>
      <c r="D73" s="3">
        <f>MID(A73,1,2)*1</f>
        <v>80</v>
      </c>
      <c r="E73" s="4">
        <f>MID(A73,3,2)*1</f>
        <v>10</v>
      </c>
      <c r="F73" s="4">
        <f>MID(A73,5,2)*1</f>
        <v>7</v>
      </c>
      <c r="G73" s="3">
        <f>IF(E73&gt;=20,2000,1900) + D73</f>
        <v>1980</v>
      </c>
      <c r="H73">
        <f>IF(E73&gt;=20,E73-20,E73)</f>
        <v>10</v>
      </c>
      <c r="I73" s="4">
        <f>F73</f>
        <v>7</v>
      </c>
      <c r="J73">
        <f>CONCATENATE(G73,IF(LEN(H73)=1,CONCATENATE("0",H73),H73),IF(LEN(F73)=1,CONCATENATE("0",F73),F73))*1</f>
        <v>19801007</v>
      </c>
    </row>
    <row r="74" spans="1:10" hidden="1" x14ac:dyDescent="0.25">
      <c r="A74" s="4" t="s">
        <v>100</v>
      </c>
      <c r="B74" t="s">
        <v>19</v>
      </c>
      <c r="C74" t="s">
        <v>4</v>
      </c>
      <c r="D74" s="3">
        <f>MID(A74,1,2)*1</f>
        <v>67</v>
      </c>
      <c r="E74" s="4">
        <f>MID(A74,3,2)*1</f>
        <v>11</v>
      </c>
      <c r="F74" s="4">
        <f>MID(A74,5,2)*1</f>
        <v>16</v>
      </c>
      <c r="G74" s="3">
        <f>IF(E74&gt;=20,2000,1900) + D74</f>
        <v>1967</v>
      </c>
      <c r="H74">
        <f>IF(E74&gt;=20,E74-20,E74)</f>
        <v>11</v>
      </c>
      <c r="I74" s="4">
        <f>F74</f>
        <v>16</v>
      </c>
      <c r="J74">
        <f>CONCATENATE(G74,IF(LEN(H74)=1,CONCATENATE("0",H74),H74),IF(LEN(F74)=1,CONCATENATE("0",F74),F74))*1</f>
        <v>19671116</v>
      </c>
    </row>
    <row r="75" spans="1:10" hidden="1" x14ac:dyDescent="0.25">
      <c r="A75" s="4" t="s">
        <v>101</v>
      </c>
      <c r="B75" t="s">
        <v>9</v>
      </c>
      <c r="C75" t="s">
        <v>4</v>
      </c>
      <c r="D75" s="3">
        <f>MID(A75,1,2)*1</f>
        <v>87</v>
      </c>
      <c r="E75" s="4">
        <f>MID(A75,3,2)*1</f>
        <v>10</v>
      </c>
      <c r="F75" s="4">
        <f>MID(A75,5,2)*1</f>
        <v>4</v>
      </c>
      <c r="G75" s="3">
        <f>IF(E75&gt;=20,2000,1900) + D75</f>
        <v>1987</v>
      </c>
      <c r="H75">
        <f>IF(E75&gt;=20,E75-20,E75)</f>
        <v>10</v>
      </c>
      <c r="I75" s="4">
        <f>F75</f>
        <v>4</v>
      </c>
      <c r="J75">
        <f>CONCATENATE(G75,IF(LEN(H75)=1,CONCATENATE("0",H75),H75),IF(LEN(F75)=1,CONCATENATE("0",F75),F75))*1</f>
        <v>19871004</v>
      </c>
    </row>
    <row r="76" spans="1:10" hidden="1" x14ac:dyDescent="0.25">
      <c r="A76" s="4" t="s">
        <v>102</v>
      </c>
      <c r="B76" t="s">
        <v>20</v>
      </c>
      <c r="C76" t="s">
        <v>4</v>
      </c>
      <c r="D76" s="3">
        <f>MID(A76,1,2)*1</f>
        <v>64</v>
      </c>
      <c r="E76" s="4">
        <f>MID(A76,3,2)*1</f>
        <v>9</v>
      </c>
      <c r="F76" s="4">
        <f>MID(A76,5,2)*1</f>
        <v>1</v>
      </c>
      <c r="G76" s="3">
        <f>IF(E76&gt;=20,2000,1900) + D76</f>
        <v>1964</v>
      </c>
      <c r="H76">
        <f>IF(E76&gt;=20,E76-20,E76)</f>
        <v>9</v>
      </c>
      <c r="I76" s="4">
        <f>F76</f>
        <v>1</v>
      </c>
      <c r="J76">
        <f>CONCATENATE(G76,IF(LEN(H76)=1,CONCATENATE("0",H76),H76),IF(LEN(F76)=1,CONCATENATE("0",F76),F76))*1</f>
        <v>19640901</v>
      </c>
    </row>
    <row r="77" spans="1:10" hidden="1" x14ac:dyDescent="0.25">
      <c r="A77" s="4" t="s">
        <v>103</v>
      </c>
      <c r="B77" t="s">
        <v>3</v>
      </c>
      <c r="C77" t="s">
        <v>4</v>
      </c>
      <c r="D77" s="3">
        <f>MID(A77,1,2)*1</f>
        <v>61</v>
      </c>
      <c r="E77" s="4">
        <f>MID(A77,3,2)*1</f>
        <v>6</v>
      </c>
      <c r="F77" s="4">
        <f>MID(A77,5,2)*1</f>
        <v>17</v>
      </c>
      <c r="G77" s="3">
        <f>IF(E77&gt;=20,2000,1900) + D77</f>
        <v>1961</v>
      </c>
      <c r="H77">
        <f>IF(E77&gt;=20,E77-20,E77)</f>
        <v>6</v>
      </c>
      <c r="I77" s="4">
        <f>F77</f>
        <v>17</v>
      </c>
      <c r="J77">
        <f>CONCATENATE(G77,IF(LEN(H77)=1,CONCATENATE("0",H77),H77),IF(LEN(F77)=1,CONCATENATE("0",F77),F77))*1</f>
        <v>19610617</v>
      </c>
    </row>
    <row r="78" spans="1:10" hidden="1" x14ac:dyDescent="0.25">
      <c r="A78" s="4" t="s">
        <v>104</v>
      </c>
      <c r="B78" t="s">
        <v>9</v>
      </c>
      <c r="C78" t="s">
        <v>6</v>
      </c>
      <c r="D78" s="3">
        <f>MID(A78,1,2)*1</f>
        <v>66</v>
      </c>
      <c r="E78" s="4">
        <f>MID(A78,3,2)*1</f>
        <v>12</v>
      </c>
      <c r="F78" s="4">
        <f>MID(A78,5,2)*1</f>
        <v>15</v>
      </c>
      <c r="G78" s="3">
        <f>IF(E78&gt;=20,2000,1900) + D78</f>
        <v>1966</v>
      </c>
      <c r="H78">
        <f>IF(E78&gt;=20,E78-20,E78)</f>
        <v>12</v>
      </c>
      <c r="I78" s="4">
        <f>F78</f>
        <v>15</v>
      </c>
      <c r="J78">
        <f>CONCATENATE(G78,IF(LEN(H78)=1,CONCATENATE("0",H78),H78),IF(LEN(F78)=1,CONCATENATE("0",F78),F78))*1</f>
        <v>19661215</v>
      </c>
    </row>
    <row r="79" spans="1:10" hidden="1" x14ac:dyDescent="0.25">
      <c r="A79" s="4" t="s">
        <v>105</v>
      </c>
      <c r="B79" t="s">
        <v>14</v>
      </c>
      <c r="C79" t="s">
        <v>4</v>
      </c>
      <c r="D79" s="3">
        <f>MID(A79,1,2)*1</f>
        <v>92</v>
      </c>
      <c r="E79" s="4">
        <f>MID(A79,3,2)*1</f>
        <v>10</v>
      </c>
      <c r="F79" s="4">
        <f>MID(A79,5,2)*1</f>
        <v>29</v>
      </c>
      <c r="G79" s="3">
        <f>IF(E79&gt;=20,2000,1900) + D79</f>
        <v>1992</v>
      </c>
      <c r="H79">
        <f>IF(E79&gt;=20,E79-20,E79)</f>
        <v>10</v>
      </c>
      <c r="I79" s="4">
        <f>F79</f>
        <v>29</v>
      </c>
      <c r="J79">
        <f>CONCATENATE(G79,IF(LEN(H79)=1,CONCATENATE("0",H79),H79),IF(LEN(F79)=1,CONCATENATE("0",F79),F79))*1</f>
        <v>19921029</v>
      </c>
    </row>
    <row r="80" spans="1:10" hidden="1" x14ac:dyDescent="0.25">
      <c r="A80" s="4" t="s">
        <v>106</v>
      </c>
      <c r="B80" t="s">
        <v>3</v>
      </c>
      <c r="C80" t="s">
        <v>4</v>
      </c>
      <c r="D80" s="3">
        <f>MID(A80,1,2)*1</f>
        <v>97</v>
      </c>
      <c r="E80" s="4">
        <f>MID(A80,3,2)*1</f>
        <v>1</v>
      </c>
      <c r="F80" s="4">
        <f>MID(A80,5,2)*1</f>
        <v>19</v>
      </c>
      <c r="G80" s="3">
        <f>IF(E80&gt;=20,2000,1900) + D80</f>
        <v>1997</v>
      </c>
      <c r="H80">
        <f>IF(E80&gt;=20,E80-20,E80)</f>
        <v>1</v>
      </c>
      <c r="I80" s="4">
        <f>F80</f>
        <v>19</v>
      </c>
      <c r="J80">
        <f>CONCATENATE(G80,IF(LEN(H80)=1,CONCATENATE("0",H80),H80),IF(LEN(F80)=1,CONCATENATE("0",F80),F80))*1</f>
        <v>19970119</v>
      </c>
    </row>
    <row r="81" spans="1:10" hidden="1" x14ac:dyDescent="0.25">
      <c r="A81" s="4" t="s">
        <v>107</v>
      </c>
      <c r="B81" t="s">
        <v>14</v>
      </c>
      <c r="C81" t="s">
        <v>6</v>
      </c>
      <c r="D81" s="3">
        <f>MID(A81,1,2)*1</f>
        <v>75</v>
      </c>
      <c r="E81" s="4">
        <f>MID(A81,3,2)*1</f>
        <v>4</v>
      </c>
      <c r="F81" s="4">
        <f>MID(A81,5,2)*1</f>
        <v>20</v>
      </c>
      <c r="G81" s="3">
        <f>IF(E81&gt;=20,2000,1900) + D81</f>
        <v>1975</v>
      </c>
      <c r="H81">
        <f>IF(E81&gt;=20,E81-20,E81)</f>
        <v>4</v>
      </c>
      <c r="I81" s="4">
        <f>F81</f>
        <v>20</v>
      </c>
      <c r="J81">
        <f>CONCATENATE(G81,IF(LEN(H81)=1,CONCATENATE("0",H81),H81),IF(LEN(F81)=1,CONCATENATE("0",F81),F81))*1</f>
        <v>19750420</v>
      </c>
    </row>
    <row r="82" spans="1:10" hidden="1" x14ac:dyDescent="0.25">
      <c r="A82" s="4" t="s">
        <v>108</v>
      </c>
      <c r="B82" t="s">
        <v>15</v>
      </c>
      <c r="C82" t="s">
        <v>4</v>
      </c>
      <c r="D82" s="3">
        <f>MID(A82,1,2)*1</f>
        <v>51</v>
      </c>
      <c r="E82" s="4">
        <f>MID(A82,3,2)*1</f>
        <v>10</v>
      </c>
      <c r="F82" s="4">
        <f>MID(A82,5,2)*1</f>
        <v>1</v>
      </c>
      <c r="G82" s="3">
        <f>IF(E82&gt;=20,2000,1900) + D82</f>
        <v>1951</v>
      </c>
      <c r="H82">
        <f>IF(E82&gt;=20,E82-20,E82)</f>
        <v>10</v>
      </c>
      <c r="I82" s="4">
        <f>F82</f>
        <v>1</v>
      </c>
      <c r="J82">
        <f>CONCATENATE(G82,IF(LEN(H82)=1,CONCATENATE("0",H82),H82),IF(LEN(F82)=1,CONCATENATE("0",F82),F82))*1</f>
        <v>19511001</v>
      </c>
    </row>
    <row r="83" spans="1:10" hidden="1" x14ac:dyDescent="0.25">
      <c r="A83" s="4" t="s">
        <v>109</v>
      </c>
      <c r="B83" t="s">
        <v>15</v>
      </c>
      <c r="C83" t="s">
        <v>4</v>
      </c>
      <c r="D83" s="3">
        <f>MID(A83,1,2)*1</f>
        <v>72</v>
      </c>
      <c r="E83" s="4">
        <f>MID(A83,3,2)*1</f>
        <v>7</v>
      </c>
      <c r="F83" s="4">
        <f>MID(A83,5,2)*1</f>
        <v>30</v>
      </c>
      <c r="G83" s="3">
        <f>IF(E83&gt;=20,2000,1900) + D83</f>
        <v>1972</v>
      </c>
      <c r="H83">
        <f>IF(E83&gt;=20,E83-20,E83)</f>
        <v>7</v>
      </c>
      <c r="I83" s="4">
        <f>F83</f>
        <v>30</v>
      </c>
      <c r="J83">
        <f>CONCATENATE(G83,IF(LEN(H83)=1,CONCATENATE("0",H83),H83),IF(LEN(F83)=1,CONCATENATE("0",F83),F83))*1</f>
        <v>19720730</v>
      </c>
    </row>
    <row r="84" spans="1:10" hidden="1" x14ac:dyDescent="0.25">
      <c r="A84" s="4" t="s">
        <v>110</v>
      </c>
      <c r="B84" t="s">
        <v>5</v>
      </c>
      <c r="C84" t="s">
        <v>4</v>
      </c>
      <c r="D84" s="3">
        <f>MID(A84,1,2)*1</f>
        <v>95</v>
      </c>
      <c r="E84" s="4">
        <f>MID(A84,3,2)*1</f>
        <v>7</v>
      </c>
      <c r="F84" s="4">
        <f>MID(A84,5,2)*1</f>
        <v>15</v>
      </c>
      <c r="G84" s="3">
        <f>IF(E84&gt;=20,2000,1900) + D84</f>
        <v>1995</v>
      </c>
      <c r="H84">
        <f>IF(E84&gt;=20,E84-20,E84)</f>
        <v>7</v>
      </c>
      <c r="I84" s="4">
        <f>F84</f>
        <v>15</v>
      </c>
      <c r="J84">
        <f>CONCATENATE(G84,IF(LEN(H84)=1,CONCATENATE("0",H84),H84),IF(LEN(F84)=1,CONCATENATE("0",F84),F84))*1</f>
        <v>19950715</v>
      </c>
    </row>
    <row r="85" spans="1:10" hidden="1" x14ac:dyDescent="0.25">
      <c r="A85" s="4" t="s">
        <v>111</v>
      </c>
      <c r="B85" t="s">
        <v>9</v>
      </c>
      <c r="C85" t="s">
        <v>4</v>
      </c>
      <c r="D85" s="3">
        <f>MID(A85,1,2)*1</f>
        <v>64</v>
      </c>
      <c r="E85" s="4">
        <f>MID(A85,3,2)*1</f>
        <v>8</v>
      </c>
      <c r="F85" s="4">
        <f>MID(A85,5,2)*1</f>
        <v>27</v>
      </c>
      <c r="G85" s="3">
        <f>IF(E85&gt;=20,2000,1900) + D85</f>
        <v>1964</v>
      </c>
      <c r="H85">
        <f>IF(E85&gt;=20,E85-20,E85)</f>
        <v>8</v>
      </c>
      <c r="I85" s="4">
        <f>F85</f>
        <v>27</v>
      </c>
      <c r="J85">
        <f>CONCATENATE(G85,IF(LEN(H85)=1,CONCATENATE("0",H85),H85),IF(LEN(F85)=1,CONCATENATE("0",F85),F85))*1</f>
        <v>19640827</v>
      </c>
    </row>
    <row r="86" spans="1:10" hidden="1" x14ac:dyDescent="0.25">
      <c r="A86" s="4" t="s">
        <v>112</v>
      </c>
      <c r="B86" t="s">
        <v>5</v>
      </c>
      <c r="C86" t="s">
        <v>4</v>
      </c>
      <c r="D86" s="3">
        <f>MID(A86,1,2)*1</f>
        <v>74</v>
      </c>
      <c r="E86" s="4">
        <f>MID(A86,3,2)*1</f>
        <v>10</v>
      </c>
      <c r="F86" s="4">
        <f>MID(A86,5,2)*1</f>
        <v>20</v>
      </c>
      <c r="G86" s="3">
        <f>IF(E86&gt;=20,2000,1900) + D86</f>
        <v>1974</v>
      </c>
      <c r="H86">
        <f>IF(E86&gt;=20,E86-20,E86)</f>
        <v>10</v>
      </c>
      <c r="I86" s="4">
        <f>F86</f>
        <v>20</v>
      </c>
      <c r="J86">
        <f>CONCATENATE(G86,IF(LEN(H86)=1,CONCATENATE("0",H86),H86),IF(LEN(F86)=1,CONCATENATE("0",F86),F86))*1</f>
        <v>19741020</v>
      </c>
    </row>
    <row r="87" spans="1:10" hidden="1" x14ac:dyDescent="0.25">
      <c r="A87" s="4" t="s">
        <v>113</v>
      </c>
      <c r="B87" t="s">
        <v>14</v>
      </c>
      <c r="C87" t="s">
        <v>6</v>
      </c>
      <c r="D87" s="3">
        <f>MID(A87,1,2)*1</f>
        <v>57</v>
      </c>
      <c r="E87" s="4">
        <f>MID(A87,3,2)*1</f>
        <v>8</v>
      </c>
      <c r="F87" s="4">
        <f>MID(A87,5,2)*1</f>
        <v>13</v>
      </c>
      <c r="G87" s="3">
        <f>IF(E87&gt;=20,2000,1900) + D87</f>
        <v>1957</v>
      </c>
      <c r="H87">
        <f>IF(E87&gt;=20,E87-20,E87)</f>
        <v>8</v>
      </c>
      <c r="I87" s="4">
        <f>F87</f>
        <v>13</v>
      </c>
      <c r="J87">
        <f>CONCATENATE(G87,IF(LEN(H87)=1,CONCATENATE("0",H87),H87),IF(LEN(F87)=1,CONCATENATE("0",F87),F87))*1</f>
        <v>19570813</v>
      </c>
    </row>
    <row r="88" spans="1:10" hidden="1" x14ac:dyDescent="0.25">
      <c r="A88" s="4" t="s">
        <v>114</v>
      </c>
      <c r="B88" t="s">
        <v>8</v>
      </c>
      <c r="C88" t="s">
        <v>4</v>
      </c>
      <c r="D88" s="3">
        <f>MID(A88,1,2)*1</f>
        <v>63</v>
      </c>
      <c r="E88" s="4">
        <f>MID(A88,3,2)*1</f>
        <v>9</v>
      </c>
      <c r="F88" s="4">
        <f>MID(A88,5,2)*1</f>
        <v>18</v>
      </c>
      <c r="G88" s="3">
        <f>IF(E88&gt;=20,2000,1900) + D88</f>
        <v>1963</v>
      </c>
      <c r="H88">
        <f>IF(E88&gt;=20,E88-20,E88)</f>
        <v>9</v>
      </c>
      <c r="I88" s="4">
        <f>F88</f>
        <v>18</v>
      </c>
      <c r="J88">
        <f>CONCATENATE(G88,IF(LEN(H88)=1,CONCATENATE("0",H88),H88),IF(LEN(F88)=1,CONCATENATE("0",F88),F88))*1</f>
        <v>19630918</v>
      </c>
    </row>
    <row r="89" spans="1:10" hidden="1" x14ac:dyDescent="0.25">
      <c r="A89" s="4" t="s">
        <v>115</v>
      </c>
      <c r="B89" t="s">
        <v>16</v>
      </c>
      <c r="C89" t="s">
        <v>4</v>
      </c>
      <c r="D89" s="3">
        <f>MID(A89,1,2)*1</f>
        <v>90</v>
      </c>
      <c r="E89" s="4">
        <f>MID(A89,3,2)*1</f>
        <v>4</v>
      </c>
      <c r="F89" s="4">
        <f>MID(A89,5,2)*1</f>
        <v>2</v>
      </c>
      <c r="G89" s="3">
        <f>IF(E89&gt;=20,2000,1900) + D89</f>
        <v>1990</v>
      </c>
      <c r="H89">
        <f>IF(E89&gt;=20,E89-20,E89)</f>
        <v>4</v>
      </c>
      <c r="I89" s="4">
        <f>F89</f>
        <v>2</v>
      </c>
      <c r="J89">
        <f>CONCATENATE(G89,IF(LEN(H89)=1,CONCATENATE("0",H89),H89),IF(LEN(F89)=1,CONCATENATE("0",F89),F89))*1</f>
        <v>19900402</v>
      </c>
    </row>
    <row r="90" spans="1:10" hidden="1" x14ac:dyDescent="0.25">
      <c r="A90" s="4" t="s">
        <v>116</v>
      </c>
      <c r="B90" t="s">
        <v>17</v>
      </c>
      <c r="C90" t="s">
        <v>4</v>
      </c>
      <c r="D90" s="3">
        <f>MID(A90,1,2)*1</f>
        <v>93</v>
      </c>
      <c r="E90" s="4">
        <f>MID(A90,3,2)*1</f>
        <v>2</v>
      </c>
      <c r="F90" s="4">
        <f>MID(A90,5,2)*1</f>
        <v>10</v>
      </c>
      <c r="G90" s="3">
        <f>IF(E90&gt;=20,2000,1900) + D90</f>
        <v>1993</v>
      </c>
      <c r="H90">
        <f>IF(E90&gt;=20,E90-20,E90)</f>
        <v>2</v>
      </c>
      <c r="I90" s="4">
        <f>F90</f>
        <v>10</v>
      </c>
      <c r="J90">
        <f>CONCATENATE(G90,IF(LEN(H90)=1,CONCATENATE("0",H90),H90),IF(LEN(F90)=1,CONCATENATE("0",F90),F90))*1</f>
        <v>19930210</v>
      </c>
    </row>
    <row r="91" spans="1:10" hidden="1" x14ac:dyDescent="0.25">
      <c r="A91" s="4" t="s">
        <v>117</v>
      </c>
      <c r="B91" t="s">
        <v>20</v>
      </c>
      <c r="C91" t="s">
        <v>4</v>
      </c>
      <c r="D91" s="3">
        <f>MID(A91,1,2)*1</f>
        <v>71</v>
      </c>
      <c r="E91" s="4">
        <f>MID(A91,3,2)*1</f>
        <v>6</v>
      </c>
      <c r="F91" s="4">
        <f>MID(A91,5,2)*1</f>
        <v>9</v>
      </c>
      <c r="G91" s="3">
        <f>IF(E91&gt;=20,2000,1900) + D91</f>
        <v>1971</v>
      </c>
      <c r="H91">
        <f>IF(E91&gt;=20,E91-20,E91)</f>
        <v>6</v>
      </c>
      <c r="I91" s="4">
        <f>F91</f>
        <v>9</v>
      </c>
      <c r="J91">
        <f>CONCATENATE(G91,IF(LEN(H91)=1,CONCATENATE("0",H91),H91),IF(LEN(F91)=1,CONCATENATE("0",F91),F91))*1</f>
        <v>19710609</v>
      </c>
    </row>
    <row r="92" spans="1:10" x14ac:dyDescent="0.25">
      <c r="A92" s="4" t="s">
        <v>197</v>
      </c>
      <c r="B92" t="s">
        <v>18</v>
      </c>
      <c r="C92" t="s">
        <v>6</v>
      </c>
      <c r="D92" s="3">
        <f>MID(A92,1,2)*1</f>
        <v>52</v>
      </c>
      <c r="E92" s="4">
        <f>MID(A92,3,2)*1</f>
        <v>10</v>
      </c>
      <c r="F92" s="4">
        <f>MID(A92,5,2)*1</f>
        <v>17</v>
      </c>
      <c r="G92" s="3">
        <f>IF(E92&gt;=20,2000,1900) + D92</f>
        <v>1952</v>
      </c>
      <c r="H92">
        <f>IF(E92&gt;=20,E92-20,E92)</f>
        <v>10</v>
      </c>
      <c r="I92" s="4">
        <f>F92</f>
        <v>17</v>
      </c>
      <c r="J92">
        <f>CONCATENATE(G92,IF(LEN(H92)=1,CONCATENATE("0",H92),H92),IF(LEN(F92)=1,CONCATENATE("0",F92),F92))*1</f>
        <v>19521017</v>
      </c>
    </row>
    <row r="93" spans="1:10" hidden="1" x14ac:dyDescent="0.25">
      <c r="A93" s="4" t="s">
        <v>119</v>
      </c>
      <c r="B93" t="s">
        <v>3</v>
      </c>
      <c r="C93" t="s">
        <v>4</v>
      </c>
      <c r="D93" s="3">
        <f>MID(A93,1,2)*1</f>
        <v>97</v>
      </c>
      <c r="E93" s="4">
        <f>MID(A93,3,2)*1</f>
        <v>8</v>
      </c>
      <c r="F93" s="4">
        <f>MID(A93,5,2)*1</f>
        <v>2</v>
      </c>
      <c r="G93" s="3">
        <f>IF(E93&gt;=20,2000,1900) + D93</f>
        <v>1997</v>
      </c>
      <c r="H93">
        <f>IF(E93&gt;=20,E93-20,E93)</f>
        <v>8</v>
      </c>
      <c r="I93" s="4">
        <f>F93</f>
        <v>2</v>
      </c>
      <c r="J93">
        <f>CONCATENATE(G93,IF(LEN(H93)=1,CONCATENATE("0",H93),H93),IF(LEN(F93)=1,CONCATENATE("0",F93),F93))*1</f>
        <v>19970802</v>
      </c>
    </row>
    <row r="94" spans="1:10" hidden="1" x14ac:dyDescent="0.25">
      <c r="A94" s="4" t="s">
        <v>120</v>
      </c>
      <c r="B94" t="s">
        <v>16</v>
      </c>
      <c r="C94" t="s">
        <v>6</v>
      </c>
      <c r="D94" s="3">
        <f>MID(A94,1,2)*1</f>
        <v>81</v>
      </c>
      <c r="E94" s="4">
        <f>MID(A94,3,2)*1</f>
        <v>5</v>
      </c>
      <c r="F94" s="4">
        <f>MID(A94,5,2)*1</f>
        <v>30</v>
      </c>
      <c r="G94" s="3">
        <f>IF(E94&gt;=20,2000,1900) + D94</f>
        <v>1981</v>
      </c>
      <c r="H94">
        <f>IF(E94&gt;=20,E94-20,E94)</f>
        <v>5</v>
      </c>
      <c r="I94" s="4">
        <f>F94</f>
        <v>30</v>
      </c>
      <c r="J94">
        <f>CONCATENATE(G94,IF(LEN(H94)=1,CONCATENATE("0",H94),H94),IF(LEN(F94)=1,CONCATENATE("0",F94),F94))*1</f>
        <v>19810530</v>
      </c>
    </row>
    <row r="95" spans="1:10" hidden="1" x14ac:dyDescent="0.25">
      <c r="A95" s="4" t="s">
        <v>121</v>
      </c>
      <c r="B95" t="s">
        <v>13</v>
      </c>
      <c r="C95" t="s">
        <v>6</v>
      </c>
      <c r="D95" s="3">
        <f>MID(A95,1,2)*1</f>
        <v>91</v>
      </c>
      <c r="E95" s="4">
        <f>MID(A95,3,2)*1</f>
        <v>2</v>
      </c>
      <c r="F95" s="4">
        <f>MID(A95,5,2)*1</f>
        <v>24</v>
      </c>
      <c r="G95" s="3">
        <f>IF(E95&gt;=20,2000,1900) + D95</f>
        <v>1991</v>
      </c>
      <c r="H95">
        <f>IF(E95&gt;=20,E95-20,E95)</f>
        <v>2</v>
      </c>
      <c r="I95" s="4">
        <f>F95</f>
        <v>24</v>
      </c>
      <c r="J95">
        <f>CONCATENATE(G95,IF(LEN(H95)=1,CONCATENATE("0",H95),H95),IF(LEN(F95)=1,CONCATENATE("0",F95),F95))*1</f>
        <v>19910224</v>
      </c>
    </row>
    <row r="96" spans="1:10" hidden="1" x14ac:dyDescent="0.25">
      <c r="A96" s="4" t="s">
        <v>122</v>
      </c>
      <c r="B96" t="s">
        <v>15</v>
      </c>
      <c r="C96" t="s">
        <v>6</v>
      </c>
      <c r="D96" s="3">
        <f>MID(A96,1,2)*1</f>
        <v>75</v>
      </c>
      <c r="E96" s="4">
        <f>MID(A96,3,2)*1</f>
        <v>9</v>
      </c>
      <c r="F96" s="4">
        <f>MID(A96,5,2)*1</f>
        <v>1</v>
      </c>
      <c r="G96" s="3">
        <f>IF(E96&gt;=20,2000,1900) + D96</f>
        <v>1975</v>
      </c>
      <c r="H96">
        <f>IF(E96&gt;=20,E96-20,E96)</f>
        <v>9</v>
      </c>
      <c r="I96" s="4">
        <f>F96</f>
        <v>1</v>
      </c>
      <c r="J96">
        <f>CONCATENATE(G96,IF(LEN(H96)=1,CONCATENATE("0",H96),H96),IF(LEN(F96)=1,CONCATENATE("0",F96),F96))*1</f>
        <v>19750901</v>
      </c>
    </row>
    <row r="97" spans="1:10" hidden="1" x14ac:dyDescent="0.25">
      <c r="A97" s="4" t="s">
        <v>123</v>
      </c>
      <c r="B97" t="s">
        <v>5</v>
      </c>
      <c r="C97" t="s">
        <v>6</v>
      </c>
      <c r="D97" s="3">
        <f>MID(A97,1,2)*1</f>
        <v>84</v>
      </c>
      <c r="E97" s="4">
        <f>MID(A97,3,2)*1</f>
        <v>7</v>
      </c>
      <c r="F97" s="4">
        <f>MID(A97,5,2)*1</f>
        <v>1</v>
      </c>
      <c r="G97" s="3">
        <f>IF(E97&gt;=20,2000,1900) + D97</f>
        <v>1984</v>
      </c>
      <c r="H97">
        <f>IF(E97&gt;=20,E97-20,E97)</f>
        <v>7</v>
      </c>
      <c r="I97" s="4">
        <f>F97</f>
        <v>1</v>
      </c>
      <c r="J97">
        <f>CONCATENATE(G97,IF(LEN(H97)=1,CONCATENATE("0",H97),H97),IF(LEN(F97)=1,CONCATENATE("0",F97),F97))*1</f>
        <v>19840701</v>
      </c>
    </row>
    <row r="98" spans="1:10" x14ac:dyDescent="0.25">
      <c r="A98" s="4" t="s">
        <v>129</v>
      </c>
      <c r="B98" t="s">
        <v>18</v>
      </c>
      <c r="C98" t="s">
        <v>6</v>
      </c>
      <c r="D98" s="3">
        <f>MID(A98,1,2)*1</f>
        <v>54</v>
      </c>
      <c r="E98" s="4">
        <f>MID(A98,3,2)*1</f>
        <v>8</v>
      </c>
      <c r="F98" s="4">
        <f>MID(A98,5,2)*1</f>
        <v>26</v>
      </c>
      <c r="G98" s="3">
        <f>IF(E98&gt;=20,2000,1900) + D98</f>
        <v>1954</v>
      </c>
      <c r="H98">
        <f>IF(E98&gt;=20,E98-20,E98)</f>
        <v>8</v>
      </c>
      <c r="I98" s="4">
        <f>F98</f>
        <v>26</v>
      </c>
      <c r="J98">
        <f>CONCATENATE(G98,IF(LEN(H98)=1,CONCATENATE("0",H98),H98),IF(LEN(F98)=1,CONCATENATE("0",F98),F98))*1</f>
        <v>19540826</v>
      </c>
    </row>
    <row r="99" spans="1:10" hidden="1" x14ac:dyDescent="0.25">
      <c r="A99" s="4" t="s">
        <v>125</v>
      </c>
      <c r="B99" t="s">
        <v>17</v>
      </c>
      <c r="C99" t="s">
        <v>6</v>
      </c>
      <c r="D99" s="3">
        <f>MID(A99,1,2)*1</f>
        <v>50</v>
      </c>
      <c r="E99" s="4">
        <f>MID(A99,3,2)*1</f>
        <v>12</v>
      </c>
      <c r="F99" s="4">
        <f>MID(A99,5,2)*1</f>
        <v>12</v>
      </c>
      <c r="G99" s="3">
        <f>IF(E99&gt;=20,2000,1900) + D99</f>
        <v>1950</v>
      </c>
      <c r="H99">
        <f>IF(E99&gt;=20,E99-20,E99)</f>
        <v>12</v>
      </c>
      <c r="I99" s="4">
        <f>F99</f>
        <v>12</v>
      </c>
      <c r="J99">
        <f>CONCATENATE(G99,IF(LEN(H99)=1,CONCATENATE("0",H99),H99),IF(LEN(F99)=1,CONCATENATE("0",F99),F99))*1</f>
        <v>19501212</v>
      </c>
    </row>
    <row r="100" spans="1:10" hidden="1" x14ac:dyDescent="0.25">
      <c r="A100" s="4" t="s">
        <v>126</v>
      </c>
      <c r="B100" t="s">
        <v>14</v>
      </c>
      <c r="C100" t="s">
        <v>6</v>
      </c>
      <c r="D100" s="3">
        <f>MID(A100,1,2)*1</f>
        <v>85</v>
      </c>
      <c r="E100" s="4">
        <f>MID(A100,3,2)*1</f>
        <v>12</v>
      </c>
      <c r="F100" s="4">
        <f>MID(A100,5,2)*1</f>
        <v>21</v>
      </c>
      <c r="G100" s="3">
        <f>IF(E100&gt;=20,2000,1900) + D100</f>
        <v>1985</v>
      </c>
      <c r="H100">
        <f>IF(E100&gt;=20,E100-20,E100)</f>
        <v>12</v>
      </c>
      <c r="I100" s="4">
        <f>F100</f>
        <v>21</v>
      </c>
      <c r="J100">
        <f>CONCATENATE(G100,IF(LEN(H100)=1,CONCATENATE("0",H100),H100),IF(LEN(F100)=1,CONCATENATE("0",F100),F100))*1</f>
        <v>19851221</v>
      </c>
    </row>
    <row r="101" spans="1:10" hidden="1" x14ac:dyDescent="0.25">
      <c r="A101" s="4" t="s">
        <v>127</v>
      </c>
      <c r="B101" t="s">
        <v>13</v>
      </c>
      <c r="C101" t="s">
        <v>6</v>
      </c>
      <c r="D101" s="3">
        <f>MID(A101,1,2)*1</f>
        <v>90</v>
      </c>
      <c r="E101" s="4">
        <f>MID(A101,3,2)*1</f>
        <v>1</v>
      </c>
      <c r="F101" s="4">
        <f>MID(A101,5,2)*1</f>
        <v>4</v>
      </c>
      <c r="G101" s="3">
        <f>IF(E101&gt;=20,2000,1900) + D101</f>
        <v>1990</v>
      </c>
      <c r="H101">
        <f>IF(E101&gt;=20,E101-20,E101)</f>
        <v>1</v>
      </c>
      <c r="I101" s="4">
        <f>F101</f>
        <v>4</v>
      </c>
      <c r="J101">
        <f>CONCATENATE(G101,IF(LEN(H101)=1,CONCATENATE("0",H101),H101),IF(LEN(F101)=1,CONCATENATE("0",F101),F101))*1</f>
        <v>19900104</v>
      </c>
    </row>
    <row r="102" spans="1:10" hidden="1" x14ac:dyDescent="0.25">
      <c r="A102" s="4" t="s">
        <v>128</v>
      </c>
      <c r="B102" t="s">
        <v>9</v>
      </c>
      <c r="C102" t="s">
        <v>6</v>
      </c>
      <c r="D102" s="3">
        <f>MID(A102,1,2)*1</f>
        <v>72</v>
      </c>
      <c r="E102" s="4">
        <f>MID(A102,3,2)*1</f>
        <v>10</v>
      </c>
      <c r="F102" s="4">
        <f>MID(A102,5,2)*1</f>
        <v>7</v>
      </c>
      <c r="G102" s="3">
        <f>IF(E102&gt;=20,2000,1900) + D102</f>
        <v>1972</v>
      </c>
      <c r="H102">
        <f>IF(E102&gt;=20,E102-20,E102)</f>
        <v>10</v>
      </c>
      <c r="I102" s="4">
        <f>F102</f>
        <v>7</v>
      </c>
      <c r="J102">
        <f>CONCATENATE(G102,IF(LEN(H102)=1,CONCATENATE("0",H102),H102),IF(LEN(F102)=1,CONCATENATE("0",F102),F102))*1</f>
        <v>19721007</v>
      </c>
    </row>
    <row r="103" spans="1:10" x14ac:dyDescent="0.25">
      <c r="A103" s="4" t="s">
        <v>382</v>
      </c>
      <c r="B103" t="s">
        <v>18</v>
      </c>
      <c r="C103" t="s">
        <v>6</v>
      </c>
      <c r="D103" s="3">
        <f>MID(A103,1,2)*1</f>
        <v>56</v>
      </c>
      <c r="E103" s="4">
        <f>MID(A103,3,2)*1</f>
        <v>10</v>
      </c>
      <c r="F103" s="4">
        <f>MID(A103,5,2)*1</f>
        <v>2</v>
      </c>
      <c r="G103" s="3">
        <f>IF(E103&gt;=20,2000,1900) + D103</f>
        <v>1956</v>
      </c>
      <c r="H103">
        <f>IF(E103&gt;=20,E103-20,E103)</f>
        <v>10</v>
      </c>
      <c r="I103" s="4">
        <f>F103</f>
        <v>2</v>
      </c>
      <c r="J103">
        <f>CONCATENATE(G103,IF(LEN(H103)=1,CONCATENATE("0",H103),H103),IF(LEN(F103)=1,CONCATENATE("0",F103),F103))*1</f>
        <v>19561002</v>
      </c>
    </row>
    <row r="104" spans="1:10" hidden="1" x14ac:dyDescent="0.25">
      <c r="A104" s="4" t="s">
        <v>130</v>
      </c>
      <c r="B104" t="s">
        <v>8</v>
      </c>
      <c r="C104" t="s">
        <v>4</v>
      </c>
      <c r="D104" s="3">
        <f>MID(A104,1,2)*1</f>
        <v>60</v>
      </c>
      <c r="E104" s="4">
        <f>MID(A104,3,2)*1</f>
        <v>8</v>
      </c>
      <c r="F104" s="4">
        <f>MID(A104,5,2)*1</f>
        <v>26</v>
      </c>
      <c r="G104" s="3">
        <f>IF(E104&gt;=20,2000,1900) + D104</f>
        <v>1960</v>
      </c>
      <c r="H104">
        <f>IF(E104&gt;=20,E104-20,E104)</f>
        <v>8</v>
      </c>
      <c r="I104" s="4">
        <f>F104</f>
        <v>26</v>
      </c>
      <c r="J104">
        <f>CONCATENATE(G104,IF(LEN(H104)=1,CONCATENATE("0",H104),H104),IF(LEN(F104)=1,CONCATENATE("0",F104),F104))*1</f>
        <v>19600826</v>
      </c>
    </row>
    <row r="105" spans="1:10" hidden="1" x14ac:dyDescent="0.25">
      <c r="A105" s="4" t="s">
        <v>131</v>
      </c>
      <c r="B105" t="s">
        <v>13</v>
      </c>
      <c r="C105" t="s">
        <v>6</v>
      </c>
      <c r="D105" s="3">
        <f>MID(A105,1,2)*1</f>
        <v>57</v>
      </c>
      <c r="E105" s="4">
        <f>MID(A105,3,2)*1</f>
        <v>9</v>
      </c>
      <c r="F105" s="4">
        <f>MID(A105,5,2)*1</f>
        <v>16</v>
      </c>
      <c r="G105" s="3">
        <f>IF(E105&gt;=20,2000,1900) + D105</f>
        <v>1957</v>
      </c>
      <c r="H105">
        <f>IF(E105&gt;=20,E105-20,E105)</f>
        <v>9</v>
      </c>
      <c r="I105" s="4">
        <f>F105</f>
        <v>16</v>
      </c>
      <c r="J105">
        <f>CONCATENATE(G105,IF(LEN(H105)=1,CONCATENATE("0",H105),H105),IF(LEN(F105)=1,CONCATENATE("0",F105),F105))*1</f>
        <v>19570916</v>
      </c>
    </row>
    <row r="106" spans="1:10" hidden="1" x14ac:dyDescent="0.25">
      <c r="A106" s="4" t="s">
        <v>132</v>
      </c>
      <c r="B106" t="s">
        <v>20</v>
      </c>
      <c r="C106" t="s">
        <v>6</v>
      </c>
      <c r="D106" s="3">
        <f>MID(A106,1,2)*1</f>
        <v>87</v>
      </c>
      <c r="E106" s="4">
        <f>MID(A106,3,2)*1</f>
        <v>11</v>
      </c>
      <c r="F106" s="4">
        <f>MID(A106,5,2)*1</f>
        <v>10</v>
      </c>
      <c r="G106" s="3">
        <f>IF(E106&gt;=20,2000,1900) + D106</f>
        <v>1987</v>
      </c>
      <c r="H106">
        <f>IF(E106&gt;=20,E106-20,E106)</f>
        <v>11</v>
      </c>
      <c r="I106" s="4">
        <f>F106</f>
        <v>10</v>
      </c>
      <c r="J106">
        <f>CONCATENATE(G106,IF(LEN(H106)=1,CONCATENATE("0",H106),H106),IF(LEN(F106)=1,CONCATENATE("0",F106),F106))*1</f>
        <v>19871110</v>
      </c>
    </row>
    <row r="107" spans="1:10" hidden="1" x14ac:dyDescent="0.25">
      <c r="A107" s="4" t="s">
        <v>133</v>
      </c>
      <c r="B107" t="s">
        <v>11</v>
      </c>
      <c r="C107" t="s">
        <v>6</v>
      </c>
      <c r="D107" s="3">
        <f>MID(A107,1,2)*1</f>
        <v>50</v>
      </c>
      <c r="E107" s="4">
        <f>MID(A107,3,2)*1</f>
        <v>4</v>
      </c>
      <c r="F107" s="4">
        <f>MID(A107,5,2)*1</f>
        <v>7</v>
      </c>
      <c r="G107" s="3">
        <f>IF(E107&gt;=20,2000,1900) + D107</f>
        <v>1950</v>
      </c>
      <c r="H107">
        <f>IF(E107&gt;=20,E107-20,E107)</f>
        <v>4</v>
      </c>
      <c r="I107" s="4">
        <f>F107</f>
        <v>7</v>
      </c>
      <c r="J107">
        <f>CONCATENATE(G107,IF(LEN(H107)=1,CONCATENATE("0",H107),H107),IF(LEN(F107)=1,CONCATENATE("0",F107),F107))*1</f>
        <v>19500407</v>
      </c>
    </row>
    <row r="108" spans="1:10" hidden="1" x14ac:dyDescent="0.25">
      <c r="A108" s="4" t="s">
        <v>134</v>
      </c>
      <c r="B108" t="s">
        <v>8</v>
      </c>
      <c r="C108" t="s">
        <v>4</v>
      </c>
      <c r="D108" s="3">
        <f>MID(A108,1,2)*1</f>
        <v>68</v>
      </c>
      <c r="E108" s="4">
        <f>MID(A108,3,2)*1</f>
        <v>10</v>
      </c>
      <c r="F108" s="4">
        <f>MID(A108,5,2)*1</f>
        <v>10</v>
      </c>
      <c r="G108" s="3">
        <f>IF(E108&gt;=20,2000,1900) + D108</f>
        <v>1968</v>
      </c>
      <c r="H108">
        <f>IF(E108&gt;=20,E108-20,E108)</f>
        <v>10</v>
      </c>
      <c r="I108" s="4">
        <f>F108</f>
        <v>10</v>
      </c>
      <c r="J108">
        <f>CONCATENATE(G108,IF(LEN(H108)=1,CONCATENATE("0",H108),H108),IF(LEN(F108)=1,CONCATENATE("0",F108),F108))*1</f>
        <v>19681010</v>
      </c>
    </row>
    <row r="109" spans="1:10" hidden="1" x14ac:dyDescent="0.25">
      <c r="A109" s="4" t="s">
        <v>135</v>
      </c>
      <c r="B109" t="s">
        <v>7</v>
      </c>
      <c r="C109" t="s">
        <v>6</v>
      </c>
      <c r="D109" s="3">
        <f>MID(A109,1,2)*1</f>
        <v>62</v>
      </c>
      <c r="E109" s="4">
        <f>MID(A109,3,2)*1</f>
        <v>3</v>
      </c>
      <c r="F109" s="4">
        <f>MID(A109,5,2)*1</f>
        <v>30</v>
      </c>
      <c r="G109" s="3">
        <f>IF(E109&gt;=20,2000,1900) + D109</f>
        <v>1962</v>
      </c>
      <c r="H109">
        <f>IF(E109&gt;=20,E109-20,E109)</f>
        <v>3</v>
      </c>
      <c r="I109" s="4">
        <f>F109</f>
        <v>30</v>
      </c>
      <c r="J109">
        <f>CONCATENATE(G109,IF(LEN(H109)=1,CONCATENATE("0",H109),H109),IF(LEN(F109)=1,CONCATENATE("0",F109),F109))*1</f>
        <v>19620330</v>
      </c>
    </row>
    <row r="110" spans="1:10" hidden="1" x14ac:dyDescent="0.25">
      <c r="A110" s="4" t="s">
        <v>136</v>
      </c>
      <c r="B110" t="s">
        <v>20</v>
      </c>
      <c r="C110" t="s">
        <v>6</v>
      </c>
      <c r="D110" s="3">
        <f>MID(A110,1,2)*1</f>
        <v>79</v>
      </c>
      <c r="E110" s="4">
        <f>MID(A110,3,2)*1</f>
        <v>7</v>
      </c>
      <c r="F110" s="4">
        <f>MID(A110,5,2)*1</f>
        <v>27</v>
      </c>
      <c r="G110" s="3">
        <f>IF(E110&gt;=20,2000,1900) + D110</f>
        <v>1979</v>
      </c>
      <c r="H110">
        <f>IF(E110&gt;=20,E110-20,E110)</f>
        <v>7</v>
      </c>
      <c r="I110" s="4">
        <f>F110</f>
        <v>27</v>
      </c>
      <c r="J110">
        <f>CONCATENATE(G110,IF(LEN(H110)=1,CONCATENATE("0",H110),H110),IF(LEN(F110)=1,CONCATENATE("0",F110),F110))*1</f>
        <v>19790727</v>
      </c>
    </row>
    <row r="111" spans="1:10" hidden="1" x14ac:dyDescent="0.25">
      <c r="A111" s="4" t="s">
        <v>137</v>
      </c>
      <c r="B111" t="s">
        <v>15</v>
      </c>
      <c r="C111" t="s">
        <v>6</v>
      </c>
      <c r="D111" s="3">
        <f>MID(A111,1,2)*1</f>
        <v>94</v>
      </c>
      <c r="E111" s="4">
        <f>MID(A111,3,2)*1</f>
        <v>5</v>
      </c>
      <c r="F111" s="4">
        <f>MID(A111,5,2)*1</f>
        <v>10</v>
      </c>
      <c r="G111" s="3">
        <f>IF(E111&gt;=20,2000,1900) + D111</f>
        <v>1994</v>
      </c>
      <c r="H111">
        <f>IF(E111&gt;=20,E111-20,E111)</f>
        <v>5</v>
      </c>
      <c r="I111" s="4">
        <f>F111</f>
        <v>10</v>
      </c>
      <c r="J111">
        <f>CONCATENATE(G111,IF(LEN(H111)=1,CONCATENATE("0",H111),H111),IF(LEN(F111)=1,CONCATENATE("0",F111),F111))*1</f>
        <v>19940510</v>
      </c>
    </row>
    <row r="112" spans="1:10" hidden="1" x14ac:dyDescent="0.25">
      <c r="A112" s="4" t="s">
        <v>138</v>
      </c>
      <c r="B112" t="s">
        <v>17</v>
      </c>
      <c r="C112" t="s">
        <v>6</v>
      </c>
      <c r="D112" s="3">
        <f>MID(A112,1,2)*1</f>
        <v>98</v>
      </c>
      <c r="E112" s="4">
        <f>MID(A112,3,2)*1</f>
        <v>1</v>
      </c>
      <c r="F112" s="4">
        <f>MID(A112,5,2)*1</f>
        <v>5</v>
      </c>
      <c r="G112" s="3">
        <f>IF(E112&gt;=20,2000,1900) + D112</f>
        <v>1998</v>
      </c>
      <c r="H112">
        <f>IF(E112&gt;=20,E112-20,E112)</f>
        <v>1</v>
      </c>
      <c r="I112" s="4">
        <f>F112</f>
        <v>5</v>
      </c>
      <c r="J112">
        <f>CONCATENATE(G112,IF(LEN(H112)=1,CONCATENATE("0",H112),H112),IF(LEN(F112)=1,CONCATENATE("0",F112),F112))*1</f>
        <v>19980105</v>
      </c>
    </row>
    <row r="113" spans="1:10" hidden="1" x14ac:dyDescent="0.25">
      <c r="A113" s="4" t="s">
        <v>139</v>
      </c>
      <c r="B113" t="s">
        <v>7</v>
      </c>
      <c r="C113" t="s">
        <v>4</v>
      </c>
      <c r="D113" s="3">
        <f>MID(A113,1,2)*1</f>
        <v>98</v>
      </c>
      <c r="E113" s="4">
        <f>MID(A113,3,2)*1</f>
        <v>5</v>
      </c>
      <c r="F113" s="4">
        <f>MID(A113,5,2)*1</f>
        <v>24</v>
      </c>
      <c r="G113" s="3">
        <f>IF(E113&gt;=20,2000,1900) + D113</f>
        <v>1998</v>
      </c>
      <c r="H113">
        <f>IF(E113&gt;=20,E113-20,E113)</f>
        <v>5</v>
      </c>
      <c r="I113" s="4">
        <f>F113</f>
        <v>24</v>
      </c>
      <c r="J113">
        <f>CONCATENATE(G113,IF(LEN(H113)=1,CONCATENATE("0",H113),H113),IF(LEN(F113)=1,CONCATENATE("0",F113),F113))*1</f>
        <v>19980524</v>
      </c>
    </row>
    <row r="114" spans="1:10" hidden="1" x14ac:dyDescent="0.25">
      <c r="A114" s="4" t="s">
        <v>140</v>
      </c>
      <c r="B114" t="s">
        <v>15</v>
      </c>
      <c r="C114" t="s">
        <v>4</v>
      </c>
      <c r="D114" s="3">
        <f>MID(A114,1,2)*1</f>
        <v>86</v>
      </c>
      <c r="E114" s="4">
        <f>MID(A114,3,2)*1</f>
        <v>7</v>
      </c>
      <c r="F114" s="4">
        <f>MID(A114,5,2)*1</f>
        <v>29</v>
      </c>
      <c r="G114" s="3">
        <f>IF(E114&gt;=20,2000,1900) + D114</f>
        <v>1986</v>
      </c>
      <c r="H114">
        <f>IF(E114&gt;=20,E114-20,E114)</f>
        <v>7</v>
      </c>
      <c r="I114" s="4">
        <f>F114</f>
        <v>29</v>
      </c>
      <c r="J114">
        <f>CONCATENATE(G114,IF(LEN(H114)=1,CONCATENATE("0",H114),H114),IF(LEN(F114)=1,CONCATENATE("0",F114),F114))*1</f>
        <v>19860729</v>
      </c>
    </row>
    <row r="115" spans="1:10" hidden="1" x14ac:dyDescent="0.25">
      <c r="A115" s="4" t="s">
        <v>141</v>
      </c>
      <c r="B115" t="s">
        <v>11</v>
      </c>
      <c r="C115" t="s">
        <v>4</v>
      </c>
      <c r="D115" s="3">
        <f>MID(A115,1,2)*1</f>
        <v>76</v>
      </c>
      <c r="E115" s="4">
        <f>MID(A115,3,2)*1</f>
        <v>6</v>
      </c>
      <c r="F115" s="4">
        <f>MID(A115,5,2)*1</f>
        <v>16</v>
      </c>
      <c r="G115" s="3">
        <f>IF(E115&gt;=20,2000,1900) + D115</f>
        <v>1976</v>
      </c>
      <c r="H115">
        <f>IF(E115&gt;=20,E115-20,E115)</f>
        <v>6</v>
      </c>
      <c r="I115" s="4">
        <f>F115</f>
        <v>16</v>
      </c>
      <c r="J115">
        <f>CONCATENATE(G115,IF(LEN(H115)=1,CONCATENATE("0",H115),H115),IF(LEN(F115)=1,CONCATENATE("0",F115),F115))*1</f>
        <v>19760616</v>
      </c>
    </row>
    <row r="116" spans="1:10" hidden="1" x14ac:dyDescent="0.25">
      <c r="A116" s="4" t="s">
        <v>142</v>
      </c>
      <c r="B116" t="s">
        <v>3</v>
      </c>
      <c r="C116" t="s">
        <v>4</v>
      </c>
      <c r="D116" s="3">
        <f>MID(A116,1,2)*1</f>
        <v>69</v>
      </c>
      <c r="E116" s="4">
        <f>MID(A116,3,2)*1</f>
        <v>1</v>
      </c>
      <c r="F116" s="4">
        <f>MID(A116,5,2)*1</f>
        <v>17</v>
      </c>
      <c r="G116" s="3">
        <f>IF(E116&gt;=20,2000,1900) + D116</f>
        <v>1969</v>
      </c>
      <c r="H116">
        <f>IF(E116&gt;=20,E116-20,E116)</f>
        <v>1</v>
      </c>
      <c r="I116" s="4">
        <f>F116</f>
        <v>17</v>
      </c>
      <c r="J116">
        <f>CONCATENATE(G116,IF(LEN(H116)=1,CONCATENATE("0",H116),H116),IF(LEN(F116)=1,CONCATENATE("0",F116),F116))*1</f>
        <v>19690117</v>
      </c>
    </row>
    <row r="117" spans="1:10" hidden="1" x14ac:dyDescent="0.25">
      <c r="A117" s="4" t="s">
        <v>143</v>
      </c>
      <c r="B117" t="s">
        <v>9</v>
      </c>
      <c r="C117" t="s">
        <v>4</v>
      </c>
      <c r="D117" s="3">
        <f>MID(A117,1,2)*1</f>
        <v>72</v>
      </c>
      <c r="E117" s="4">
        <f>MID(A117,3,2)*1</f>
        <v>5</v>
      </c>
      <c r="F117" s="4">
        <f>MID(A117,5,2)*1</f>
        <v>31</v>
      </c>
      <c r="G117" s="3">
        <f>IF(E117&gt;=20,2000,1900) + D117</f>
        <v>1972</v>
      </c>
      <c r="H117">
        <f>IF(E117&gt;=20,E117-20,E117)</f>
        <v>5</v>
      </c>
      <c r="I117" s="4">
        <f>F117</f>
        <v>31</v>
      </c>
      <c r="J117">
        <f>CONCATENATE(G117,IF(LEN(H117)=1,CONCATENATE("0",H117),H117),IF(LEN(F117)=1,CONCATENATE("0",F117),F117))*1</f>
        <v>19720531</v>
      </c>
    </row>
    <row r="118" spans="1:10" hidden="1" x14ac:dyDescent="0.25">
      <c r="A118" s="4" t="s">
        <v>144</v>
      </c>
      <c r="B118" t="s">
        <v>10</v>
      </c>
      <c r="C118" t="s">
        <v>6</v>
      </c>
      <c r="D118" s="3">
        <f>MID(A118,1,2)*1</f>
        <v>92</v>
      </c>
      <c r="E118" s="4">
        <f>MID(A118,3,2)*1</f>
        <v>11</v>
      </c>
      <c r="F118" s="4">
        <f>MID(A118,5,2)*1</f>
        <v>11</v>
      </c>
      <c r="G118" s="3">
        <f>IF(E118&gt;=20,2000,1900) + D118</f>
        <v>1992</v>
      </c>
      <c r="H118">
        <f>IF(E118&gt;=20,E118-20,E118)</f>
        <v>11</v>
      </c>
      <c r="I118" s="4">
        <f>F118</f>
        <v>11</v>
      </c>
      <c r="J118">
        <f>CONCATENATE(G118,IF(LEN(H118)=1,CONCATENATE("0",H118),H118),IF(LEN(F118)=1,CONCATENATE("0",F118),F118))*1</f>
        <v>19921111</v>
      </c>
    </row>
    <row r="119" spans="1:10" hidden="1" x14ac:dyDescent="0.25">
      <c r="A119" s="4" t="s">
        <v>145</v>
      </c>
      <c r="B119" t="s">
        <v>5</v>
      </c>
      <c r="C119" t="s">
        <v>6</v>
      </c>
      <c r="D119" s="3">
        <f>MID(A119,1,2)*1</f>
        <v>56</v>
      </c>
      <c r="E119" s="4">
        <f>MID(A119,3,2)*1</f>
        <v>12</v>
      </c>
      <c r="F119" s="4">
        <f>MID(A119,5,2)*1</f>
        <v>26</v>
      </c>
      <c r="G119" s="3">
        <f>IF(E119&gt;=20,2000,1900) + D119</f>
        <v>1956</v>
      </c>
      <c r="H119">
        <f>IF(E119&gt;=20,E119-20,E119)</f>
        <v>12</v>
      </c>
      <c r="I119" s="4">
        <f>F119</f>
        <v>26</v>
      </c>
      <c r="J119">
        <f>CONCATENATE(G119,IF(LEN(H119)=1,CONCATENATE("0",H119),H119),IF(LEN(F119)=1,CONCATENATE("0",F119),F119))*1</f>
        <v>19561226</v>
      </c>
    </row>
    <row r="120" spans="1:10" x14ac:dyDescent="0.25">
      <c r="A120" s="4" t="s">
        <v>403</v>
      </c>
      <c r="B120" t="s">
        <v>18</v>
      </c>
      <c r="C120" t="s">
        <v>4</v>
      </c>
      <c r="D120" s="3">
        <f>MID(A120,1,2)*1</f>
        <v>57</v>
      </c>
      <c r="E120" s="4">
        <f>MID(A120,3,2)*1</f>
        <v>12</v>
      </c>
      <c r="F120" s="4">
        <f>MID(A120,5,2)*1</f>
        <v>16</v>
      </c>
      <c r="G120" s="3">
        <f>IF(E120&gt;=20,2000,1900) + D120</f>
        <v>1957</v>
      </c>
      <c r="H120">
        <f>IF(E120&gt;=20,E120-20,E120)</f>
        <v>12</v>
      </c>
      <c r="I120" s="4">
        <f>F120</f>
        <v>16</v>
      </c>
      <c r="J120">
        <f>CONCATENATE(G120,IF(LEN(H120)=1,CONCATENATE("0",H120),H120),IF(LEN(F120)=1,CONCATENATE("0",F120),F120))*1</f>
        <v>19571216</v>
      </c>
    </row>
    <row r="121" spans="1:10" hidden="1" x14ac:dyDescent="0.25">
      <c r="A121" s="4" t="s">
        <v>147</v>
      </c>
      <c r="B121" t="s">
        <v>16</v>
      </c>
      <c r="C121" t="s">
        <v>4</v>
      </c>
      <c r="D121" s="3">
        <f>MID(A121,1,2)*1</f>
        <v>93</v>
      </c>
      <c r="E121" s="4">
        <f>MID(A121,3,2)*1</f>
        <v>6</v>
      </c>
      <c r="F121" s="4">
        <f>MID(A121,5,2)*1</f>
        <v>23</v>
      </c>
      <c r="G121" s="3">
        <f>IF(E121&gt;=20,2000,1900) + D121</f>
        <v>1993</v>
      </c>
      <c r="H121">
        <f>IF(E121&gt;=20,E121-20,E121)</f>
        <v>6</v>
      </c>
      <c r="I121" s="4">
        <f>F121</f>
        <v>23</v>
      </c>
      <c r="J121">
        <f>CONCATENATE(G121,IF(LEN(H121)=1,CONCATENATE("0",H121),H121),IF(LEN(F121)=1,CONCATENATE("0",F121),F121))*1</f>
        <v>19930623</v>
      </c>
    </row>
    <row r="122" spans="1:10" hidden="1" x14ac:dyDescent="0.25">
      <c r="A122" s="4" t="s">
        <v>148</v>
      </c>
      <c r="B122" t="s">
        <v>13</v>
      </c>
      <c r="C122" t="s">
        <v>4</v>
      </c>
      <c r="D122" s="3">
        <f>MID(A122,1,2)*1</f>
        <v>68</v>
      </c>
      <c r="E122" s="4">
        <f>MID(A122,3,2)*1</f>
        <v>11</v>
      </c>
      <c r="F122" s="4">
        <f>MID(A122,5,2)*1</f>
        <v>12</v>
      </c>
      <c r="G122" s="3">
        <f>IF(E122&gt;=20,2000,1900) + D122</f>
        <v>1968</v>
      </c>
      <c r="H122">
        <f>IF(E122&gt;=20,E122-20,E122)</f>
        <v>11</v>
      </c>
      <c r="I122" s="4">
        <f>F122</f>
        <v>12</v>
      </c>
      <c r="J122">
        <f>CONCATENATE(G122,IF(LEN(H122)=1,CONCATENATE("0",H122),H122),IF(LEN(F122)=1,CONCATENATE("0",F122),F122))*1</f>
        <v>19681112</v>
      </c>
    </row>
    <row r="123" spans="1:10" hidden="1" x14ac:dyDescent="0.25">
      <c r="A123" s="4" t="s">
        <v>149</v>
      </c>
      <c r="B123" t="s">
        <v>8</v>
      </c>
      <c r="C123" t="s">
        <v>6</v>
      </c>
      <c r="D123" s="3">
        <f>MID(A123,1,2)*1</f>
        <v>78</v>
      </c>
      <c r="E123" s="4">
        <f>MID(A123,3,2)*1</f>
        <v>7</v>
      </c>
      <c r="F123" s="4">
        <f>MID(A123,5,2)*1</f>
        <v>14</v>
      </c>
      <c r="G123" s="3">
        <f>IF(E123&gt;=20,2000,1900) + D123</f>
        <v>1978</v>
      </c>
      <c r="H123">
        <f>IF(E123&gt;=20,E123-20,E123)</f>
        <v>7</v>
      </c>
      <c r="I123" s="4">
        <f>F123</f>
        <v>14</v>
      </c>
      <c r="J123">
        <f>CONCATENATE(G123,IF(LEN(H123)=1,CONCATENATE("0",H123),H123),IF(LEN(F123)=1,CONCATENATE("0",F123),F123))*1</f>
        <v>19780714</v>
      </c>
    </row>
    <row r="124" spans="1:10" hidden="1" x14ac:dyDescent="0.25">
      <c r="A124" s="4" t="s">
        <v>150</v>
      </c>
      <c r="B124" t="s">
        <v>16</v>
      </c>
      <c r="C124" t="s">
        <v>4</v>
      </c>
      <c r="D124" s="3">
        <f>MID(A124,1,2)*1</f>
        <v>76</v>
      </c>
      <c r="E124" s="4">
        <f>MID(A124,3,2)*1</f>
        <v>5</v>
      </c>
      <c r="F124" s="4">
        <f>MID(A124,5,2)*1</f>
        <v>19</v>
      </c>
      <c r="G124" s="3">
        <f>IF(E124&gt;=20,2000,1900) + D124</f>
        <v>1976</v>
      </c>
      <c r="H124">
        <f>IF(E124&gt;=20,E124-20,E124)</f>
        <v>5</v>
      </c>
      <c r="I124" s="4">
        <f>F124</f>
        <v>19</v>
      </c>
      <c r="J124">
        <f>CONCATENATE(G124,IF(LEN(H124)=1,CONCATENATE("0",H124),H124),IF(LEN(F124)=1,CONCATENATE("0",F124),F124))*1</f>
        <v>19760519</v>
      </c>
    </row>
    <row r="125" spans="1:10" hidden="1" x14ac:dyDescent="0.25">
      <c r="A125" s="4" t="s">
        <v>151</v>
      </c>
      <c r="B125" t="s">
        <v>3</v>
      </c>
      <c r="C125" t="s">
        <v>6</v>
      </c>
      <c r="D125" s="3">
        <f>MID(A125,1,2)*1</f>
        <v>64</v>
      </c>
      <c r="E125" s="4">
        <f>MID(A125,3,2)*1</f>
        <v>6</v>
      </c>
      <c r="F125" s="4">
        <f>MID(A125,5,2)*1</f>
        <v>29</v>
      </c>
      <c r="G125" s="3">
        <f>IF(E125&gt;=20,2000,1900) + D125</f>
        <v>1964</v>
      </c>
      <c r="H125">
        <f>IF(E125&gt;=20,E125-20,E125)</f>
        <v>6</v>
      </c>
      <c r="I125" s="4">
        <f>F125</f>
        <v>29</v>
      </c>
      <c r="J125">
        <f>CONCATENATE(G125,IF(LEN(H125)=1,CONCATENATE("0",H125),H125),IF(LEN(F125)=1,CONCATENATE("0",F125),F125))*1</f>
        <v>19640629</v>
      </c>
    </row>
    <row r="126" spans="1:10" x14ac:dyDescent="0.25">
      <c r="A126" s="4" t="s">
        <v>315</v>
      </c>
      <c r="B126" t="s">
        <v>18</v>
      </c>
      <c r="C126" t="s">
        <v>4</v>
      </c>
      <c r="D126" s="3">
        <f>MID(A126,1,2)*1</f>
        <v>61</v>
      </c>
      <c r="E126" s="4">
        <f>MID(A126,3,2)*1</f>
        <v>4</v>
      </c>
      <c r="F126" s="4">
        <f>MID(A126,5,2)*1</f>
        <v>8</v>
      </c>
      <c r="G126" s="3">
        <f>IF(E126&gt;=20,2000,1900) + D126</f>
        <v>1961</v>
      </c>
      <c r="H126">
        <f>IF(E126&gt;=20,E126-20,E126)</f>
        <v>4</v>
      </c>
      <c r="I126" s="4">
        <f>F126</f>
        <v>8</v>
      </c>
      <c r="J126">
        <f>CONCATENATE(G126,IF(LEN(H126)=1,CONCATENATE("0",H126),H126),IF(LEN(F126)=1,CONCATENATE("0",F126),F126))*1</f>
        <v>19610408</v>
      </c>
    </row>
    <row r="127" spans="1:10" hidden="1" x14ac:dyDescent="0.25">
      <c r="A127" s="4" t="s">
        <v>153</v>
      </c>
      <c r="B127" t="s">
        <v>19</v>
      </c>
      <c r="C127" t="s">
        <v>4</v>
      </c>
      <c r="D127" s="3">
        <f>MID(A127,1,2)*1</f>
        <v>82</v>
      </c>
      <c r="E127" s="4">
        <f>MID(A127,3,2)*1</f>
        <v>10</v>
      </c>
      <c r="F127" s="4">
        <f>MID(A127,5,2)*1</f>
        <v>29</v>
      </c>
      <c r="G127" s="3">
        <f>IF(E127&gt;=20,2000,1900) + D127</f>
        <v>1982</v>
      </c>
      <c r="H127">
        <f>IF(E127&gt;=20,E127-20,E127)</f>
        <v>10</v>
      </c>
      <c r="I127" s="4">
        <f>F127</f>
        <v>29</v>
      </c>
      <c r="J127">
        <f>CONCATENATE(G127,IF(LEN(H127)=1,CONCATENATE("0",H127),H127),IF(LEN(F127)=1,CONCATENATE("0",F127),F127))*1</f>
        <v>19821029</v>
      </c>
    </row>
    <row r="128" spans="1:10" hidden="1" x14ac:dyDescent="0.25">
      <c r="A128" s="4" t="s">
        <v>154</v>
      </c>
      <c r="B128" t="s">
        <v>15</v>
      </c>
      <c r="C128" t="s">
        <v>6</v>
      </c>
      <c r="D128" s="3">
        <f>MID(A128,1,2)*1</f>
        <v>80</v>
      </c>
      <c r="E128" s="4">
        <f>MID(A128,3,2)*1</f>
        <v>11</v>
      </c>
      <c r="F128" s="4">
        <f>MID(A128,5,2)*1</f>
        <v>15</v>
      </c>
      <c r="G128" s="3">
        <f>IF(E128&gt;=20,2000,1900) + D128</f>
        <v>1980</v>
      </c>
      <c r="H128">
        <f>IF(E128&gt;=20,E128-20,E128)</f>
        <v>11</v>
      </c>
      <c r="I128" s="4">
        <f>F128</f>
        <v>15</v>
      </c>
      <c r="J128">
        <f>CONCATENATE(G128,IF(LEN(H128)=1,CONCATENATE("0",H128),H128),IF(LEN(F128)=1,CONCATENATE("0",F128),F128))*1</f>
        <v>19801115</v>
      </c>
    </row>
    <row r="129" spans="1:10" hidden="1" x14ac:dyDescent="0.25">
      <c r="A129" s="4" t="s">
        <v>155</v>
      </c>
      <c r="B129" t="s">
        <v>10</v>
      </c>
      <c r="C129" t="s">
        <v>6</v>
      </c>
      <c r="D129" s="3">
        <f>MID(A129,1,2)*1</f>
        <v>73</v>
      </c>
      <c r="E129" s="4">
        <f>MID(A129,3,2)*1</f>
        <v>4</v>
      </c>
      <c r="F129" s="4">
        <f>MID(A129,5,2)*1</f>
        <v>21</v>
      </c>
      <c r="G129" s="3">
        <f>IF(E129&gt;=20,2000,1900) + D129</f>
        <v>1973</v>
      </c>
      <c r="H129">
        <f>IF(E129&gt;=20,E129-20,E129)</f>
        <v>4</v>
      </c>
      <c r="I129" s="4">
        <f>F129</f>
        <v>21</v>
      </c>
      <c r="J129">
        <f>CONCATENATE(G129,IF(LEN(H129)=1,CONCATENATE("0",H129),H129),IF(LEN(F129)=1,CONCATENATE("0",F129),F129))*1</f>
        <v>19730421</v>
      </c>
    </row>
    <row r="130" spans="1:10" hidden="1" x14ac:dyDescent="0.25">
      <c r="A130" s="4" t="s">
        <v>156</v>
      </c>
      <c r="B130" t="s">
        <v>13</v>
      </c>
      <c r="C130" t="s">
        <v>4</v>
      </c>
      <c r="D130" s="3">
        <f>MID(A130,1,2)*1</f>
        <v>71</v>
      </c>
      <c r="E130" s="4">
        <f>MID(A130,3,2)*1</f>
        <v>11</v>
      </c>
      <c r="F130" s="4">
        <f>MID(A130,5,2)*1</f>
        <v>16</v>
      </c>
      <c r="G130" s="3">
        <f>IF(E130&gt;=20,2000,1900) + D130</f>
        <v>1971</v>
      </c>
      <c r="H130">
        <f>IF(E130&gt;=20,E130-20,E130)</f>
        <v>11</v>
      </c>
      <c r="I130" s="4">
        <f>F130</f>
        <v>16</v>
      </c>
      <c r="J130">
        <f>CONCATENATE(G130,IF(LEN(H130)=1,CONCATENATE("0",H130),H130),IF(LEN(F130)=1,CONCATENATE("0",F130),F130))*1</f>
        <v>19711116</v>
      </c>
    </row>
    <row r="131" spans="1:10" hidden="1" x14ac:dyDescent="0.25">
      <c r="A131" s="4" t="s">
        <v>157</v>
      </c>
      <c r="B131" t="s">
        <v>3</v>
      </c>
      <c r="C131" t="s">
        <v>6</v>
      </c>
      <c r="D131" s="3">
        <f>MID(A131,1,2)*1</f>
        <v>52</v>
      </c>
      <c r="E131" s="4">
        <f>MID(A131,3,2)*1</f>
        <v>4</v>
      </c>
      <c r="F131" s="4">
        <f>MID(A131,5,2)*1</f>
        <v>24</v>
      </c>
      <c r="G131" s="3">
        <f>IF(E131&gt;=20,2000,1900) + D131</f>
        <v>1952</v>
      </c>
      <c r="H131">
        <f>IF(E131&gt;=20,E131-20,E131)</f>
        <v>4</v>
      </c>
      <c r="I131" s="4">
        <f>F131</f>
        <v>24</v>
      </c>
      <c r="J131">
        <f>CONCATENATE(G131,IF(LEN(H131)=1,CONCATENATE("0",H131),H131),IF(LEN(F131)=1,CONCATENATE("0",F131),F131))*1</f>
        <v>19520424</v>
      </c>
    </row>
    <row r="132" spans="1:10" hidden="1" x14ac:dyDescent="0.25">
      <c r="A132" s="4" t="s">
        <v>158</v>
      </c>
      <c r="B132" t="s">
        <v>17</v>
      </c>
      <c r="C132" t="s">
        <v>4</v>
      </c>
      <c r="D132" s="3">
        <f>MID(A132,1,2)*1</f>
        <v>94</v>
      </c>
      <c r="E132" s="4">
        <f>MID(A132,3,2)*1</f>
        <v>11</v>
      </c>
      <c r="F132" s="4">
        <f>MID(A132,5,2)*1</f>
        <v>5</v>
      </c>
      <c r="G132" s="3">
        <f>IF(E132&gt;=20,2000,1900) + D132</f>
        <v>1994</v>
      </c>
      <c r="H132">
        <f>IF(E132&gt;=20,E132-20,E132)</f>
        <v>11</v>
      </c>
      <c r="I132" s="4">
        <f>F132</f>
        <v>5</v>
      </c>
      <c r="J132">
        <f>CONCATENATE(G132,IF(LEN(H132)=1,CONCATENATE("0",H132),H132),IF(LEN(F132)=1,CONCATENATE("0",F132),F132))*1</f>
        <v>19941105</v>
      </c>
    </row>
    <row r="133" spans="1:10" hidden="1" x14ac:dyDescent="0.25">
      <c r="A133" s="4" t="s">
        <v>159</v>
      </c>
      <c r="B133" t="s">
        <v>7</v>
      </c>
      <c r="C133" t="s">
        <v>4</v>
      </c>
      <c r="D133" s="3">
        <f>MID(A133,1,2)*1</f>
        <v>97</v>
      </c>
      <c r="E133" s="4">
        <f>MID(A133,3,2)*1</f>
        <v>7</v>
      </c>
      <c r="F133" s="4">
        <f>MID(A133,5,2)*1</f>
        <v>3</v>
      </c>
      <c r="G133" s="3">
        <f>IF(E133&gt;=20,2000,1900) + D133</f>
        <v>1997</v>
      </c>
      <c r="H133">
        <f>IF(E133&gt;=20,E133-20,E133)</f>
        <v>7</v>
      </c>
      <c r="I133" s="4">
        <f>F133</f>
        <v>3</v>
      </c>
      <c r="J133">
        <f>CONCATENATE(G133,IF(LEN(H133)=1,CONCATENATE("0",H133),H133),IF(LEN(F133)=1,CONCATENATE("0",F133),F133))*1</f>
        <v>19970703</v>
      </c>
    </row>
    <row r="134" spans="1:10" hidden="1" x14ac:dyDescent="0.25">
      <c r="A134" s="4" t="s">
        <v>160</v>
      </c>
      <c r="B134" t="s">
        <v>3</v>
      </c>
      <c r="C134" t="s">
        <v>4</v>
      </c>
      <c r="D134" s="3">
        <f>MID(A134,1,2)*1</f>
        <v>68</v>
      </c>
      <c r="E134" s="4">
        <f>MID(A134,3,2)*1</f>
        <v>2</v>
      </c>
      <c r="F134" s="4">
        <f>MID(A134,5,2)*1</f>
        <v>1</v>
      </c>
      <c r="G134" s="3">
        <f>IF(E134&gt;=20,2000,1900) + D134</f>
        <v>1968</v>
      </c>
      <c r="H134">
        <f>IF(E134&gt;=20,E134-20,E134)</f>
        <v>2</v>
      </c>
      <c r="I134" s="4">
        <f>F134</f>
        <v>1</v>
      </c>
      <c r="J134">
        <f>CONCATENATE(G134,IF(LEN(H134)=1,CONCATENATE("0",H134),H134),IF(LEN(F134)=1,CONCATENATE("0",F134),F134))*1</f>
        <v>19680201</v>
      </c>
    </row>
    <row r="135" spans="1:10" hidden="1" x14ac:dyDescent="0.25">
      <c r="A135" s="4" t="s">
        <v>161</v>
      </c>
      <c r="B135" t="s">
        <v>10</v>
      </c>
      <c r="C135" t="s">
        <v>6</v>
      </c>
      <c r="D135" s="3">
        <f>MID(A135,1,2)*1</f>
        <v>61</v>
      </c>
      <c r="E135" s="4">
        <f>MID(A135,3,2)*1</f>
        <v>3</v>
      </c>
      <c r="F135" s="4">
        <f>MID(A135,5,2)*1</f>
        <v>23</v>
      </c>
      <c r="G135" s="3">
        <f>IF(E135&gt;=20,2000,1900) + D135</f>
        <v>1961</v>
      </c>
      <c r="H135">
        <f>IF(E135&gt;=20,E135-20,E135)</f>
        <v>3</v>
      </c>
      <c r="I135" s="4">
        <f>F135</f>
        <v>23</v>
      </c>
      <c r="J135">
        <f>CONCATENATE(G135,IF(LEN(H135)=1,CONCATENATE("0",H135),H135),IF(LEN(F135)=1,CONCATENATE("0",F135),F135))*1</f>
        <v>19610323</v>
      </c>
    </row>
    <row r="136" spans="1:10" hidden="1" x14ac:dyDescent="0.25">
      <c r="A136" s="4" t="s">
        <v>162</v>
      </c>
      <c r="B136" t="s">
        <v>15</v>
      </c>
      <c r="C136" t="s">
        <v>6</v>
      </c>
      <c r="D136" s="3">
        <f>MID(A136,1,2)*1</f>
        <v>89</v>
      </c>
      <c r="E136" s="4">
        <f>MID(A136,3,2)*1</f>
        <v>5</v>
      </c>
      <c r="F136" s="4">
        <f>MID(A136,5,2)*1</f>
        <v>18</v>
      </c>
      <c r="G136" s="3">
        <f>IF(E136&gt;=20,2000,1900) + D136</f>
        <v>1989</v>
      </c>
      <c r="H136">
        <f>IF(E136&gt;=20,E136-20,E136)</f>
        <v>5</v>
      </c>
      <c r="I136" s="4">
        <f>F136</f>
        <v>18</v>
      </c>
      <c r="J136">
        <f>CONCATENATE(G136,IF(LEN(H136)=1,CONCATENATE("0",H136),H136),IF(LEN(F136)=1,CONCATENATE("0",F136),F136))*1</f>
        <v>19890518</v>
      </c>
    </row>
    <row r="137" spans="1:10" hidden="1" x14ac:dyDescent="0.25">
      <c r="A137" s="4" t="s">
        <v>163</v>
      </c>
      <c r="B137" t="s">
        <v>19</v>
      </c>
      <c r="C137" t="s">
        <v>4</v>
      </c>
      <c r="D137" s="3">
        <f>MID(A137,1,2)*1</f>
        <v>97</v>
      </c>
      <c r="E137" s="4">
        <f>MID(A137,3,2)*1</f>
        <v>9</v>
      </c>
      <c r="F137" s="4">
        <f>MID(A137,5,2)*1</f>
        <v>7</v>
      </c>
      <c r="G137" s="3">
        <f>IF(E137&gt;=20,2000,1900) + D137</f>
        <v>1997</v>
      </c>
      <c r="H137">
        <f>IF(E137&gt;=20,E137-20,E137)</f>
        <v>9</v>
      </c>
      <c r="I137" s="4">
        <f>F137</f>
        <v>7</v>
      </c>
      <c r="J137">
        <f>CONCATENATE(G137,IF(LEN(H137)=1,CONCATENATE("0",H137),H137),IF(LEN(F137)=1,CONCATENATE("0",F137),F137))*1</f>
        <v>19970907</v>
      </c>
    </row>
    <row r="138" spans="1:10" hidden="1" x14ac:dyDescent="0.25">
      <c r="A138" s="4" t="s">
        <v>164</v>
      </c>
      <c r="B138" t="s">
        <v>7</v>
      </c>
      <c r="C138" t="s">
        <v>6</v>
      </c>
      <c r="D138" s="3">
        <f>MID(A138,1,2)*1</f>
        <v>61</v>
      </c>
      <c r="E138" s="4">
        <f>MID(A138,3,2)*1</f>
        <v>8</v>
      </c>
      <c r="F138" s="4">
        <f>MID(A138,5,2)*1</f>
        <v>5</v>
      </c>
      <c r="G138" s="3">
        <f>IF(E138&gt;=20,2000,1900) + D138</f>
        <v>1961</v>
      </c>
      <c r="H138">
        <f>IF(E138&gt;=20,E138-20,E138)</f>
        <v>8</v>
      </c>
      <c r="I138" s="4">
        <f>F138</f>
        <v>5</v>
      </c>
      <c r="J138">
        <f>CONCATENATE(G138,IF(LEN(H138)=1,CONCATENATE("0",H138),H138),IF(LEN(F138)=1,CONCATENATE("0",F138),F138))*1</f>
        <v>19610805</v>
      </c>
    </row>
    <row r="139" spans="1:10" x14ac:dyDescent="0.25">
      <c r="A139" s="4" t="s">
        <v>457</v>
      </c>
      <c r="B139" t="s">
        <v>18</v>
      </c>
      <c r="C139" t="s">
        <v>6</v>
      </c>
      <c r="D139" s="3">
        <f>MID(A139,1,2)*1</f>
        <v>63</v>
      </c>
      <c r="E139" s="4">
        <f>MID(A139,3,2)*1</f>
        <v>6</v>
      </c>
      <c r="F139" s="4">
        <f>MID(A139,5,2)*1</f>
        <v>20</v>
      </c>
      <c r="G139" s="3">
        <f>IF(E139&gt;=20,2000,1900) + D139</f>
        <v>1963</v>
      </c>
      <c r="H139">
        <f>IF(E139&gt;=20,E139-20,E139)</f>
        <v>6</v>
      </c>
      <c r="I139" s="4">
        <f>F139</f>
        <v>20</v>
      </c>
      <c r="J139">
        <f>CONCATENATE(G139,IF(LEN(H139)=1,CONCATENATE("0",H139),H139),IF(LEN(F139)=1,CONCATENATE("0",F139),F139))*1</f>
        <v>19630620</v>
      </c>
    </row>
    <row r="140" spans="1:10" hidden="1" x14ac:dyDescent="0.25">
      <c r="A140" s="4" t="s">
        <v>166</v>
      </c>
      <c r="B140" t="s">
        <v>14</v>
      </c>
      <c r="C140" t="s">
        <v>4</v>
      </c>
      <c r="D140" s="3">
        <f>MID(A140,1,2)*1</f>
        <v>53</v>
      </c>
      <c r="E140" s="4">
        <f>MID(A140,3,2)*1</f>
        <v>12</v>
      </c>
      <c r="F140" s="4">
        <f>MID(A140,5,2)*1</f>
        <v>9</v>
      </c>
      <c r="G140" s="3">
        <f>IF(E140&gt;=20,2000,1900) + D140</f>
        <v>1953</v>
      </c>
      <c r="H140">
        <f>IF(E140&gt;=20,E140-20,E140)</f>
        <v>12</v>
      </c>
      <c r="I140" s="4">
        <f>F140</f>
        <v>9</v>
      </c>
      <c r="J140">
        <f>CONCATENATE(G140,IF(LEN(H140)=1,CONCATENATE("0",H140),H140),IF(LEN(F140)=1,CONCATENATE("0",F140),F140))*1</f>
        <v>19531209</v>
      </c>
    </row>
    <row r="141" spans="1:10" hidden="1" x14ac:dyDescent="0.25">
      <c r="A141" s="4" t="s">
        <v>167</v>
      </c>
      <c r="B141" t="s">
        <v>3</v>
      </c>
      <c r="C141" t="s">
        <v>4</v>
      </c>
      <c r="D141" s="3">
        <f>MID(A141,1,2)*1</f>
        <v>84</v>
      </c>
      <c r="E141" s="4">
        <f>MID(A141,3,2)*1</f>
        <v>1</v>
      </c>
      <c r="F141" s="4">
        <f>MID(A141,5,2)*1</f>
        <v>5</v>
      </c>
      <c r="G141" s="3">
        <f>IF(E141&gt;=20,2000,1900) + D141</f>
        <v>1984</v>
      </c>
      <c r="H141">
        <f>IF(E141&gt;=20,E141-20,E141)</f>
        <v>1</v>
      </c>
      <c r="I141" s="4">
        <f>F141</f>
        <v>5</v>
      </c>
      <c r="J141">
        <f>CONCATENATE(G141,IF(LEN(H141)=1,CONCATENATE("0",H141),H141),IF(LEN(F141)=1,CONCATENATE("0",F141),F141))*1</f>
        <v>19840105</v>
      </c>
    </row>
    <row r="142" spans="1:10" hidden="1" x14ac:dyDescent="0.25">
      <c r="A142" s="4" t="s">
        <v>168</v>
      </c>
      <c r="B142" t="s">
        <v>13</v>
      </c>
      <c r="C142" t="s">
        <v>6</v>
      </c>
      <c r="D142" s="3">
        <f>MID(A142,1,2)*1</f>
        <v>94</v>
      </c>
      <c r="E142" s="4">
        <f>MID(A142,3,2)*1</f>
        <v>11</v>
      </c>
      <c r="F142" s="4">
        <f>MID(A142,5,2)*1</f>
        <v>16</v>
      </c>
      <c r="G142" s="3">
        <f>IF(E142&gt;=20,2000,1900) + D142</f>
        <v>1994</v>
      </c>
      <c r="H142">
        <f>IF(E142&gt;=20,E142-20,E142)</f>
        <v>11</v>
      </c>
      <c r="I142" s="4">
        <f>F142</f>
        <v>16</v>
      </c>
      <c r="J142">
        <f>CONCATENATE(G142,IF(LEN(H142)=1,CONCATENATE("0",H142),H142),IF(LEN(F142)=1,CONCATENATE("0",F142),F142))*1</f>
        <v>19941116</v>
      </c>
    </row>
    <row r="143" spans="1:10" hidden="1" x14ac:dyDescent="0.25">
      <c r="A143" s="4" t="s">
        <v>169</v>
      </c>
      <c r="B143" t="s">
        <v>9</v>
      </c>
      <c r="C143" t="s">
        <v>4</v>
      </c>
      <c r="D143" s="3">
        <f>MID(A143,1,2)*1</f>
        <v>83</v>
      </c>
      <c r="E143" s="4">
        <f>MID(A143,3,2)*1</f>
        <v>8</v>
      </c>
      <c r="F143" s="4">
        <f>MID(A143,5,2)*1</f>
        <v>9</v>
      </c>
      <c r="G143" s="3">
        <f>IF(E143&gt;=20,2000,1900) + D143</f>
        <v>1983</v>
      </c>
      <c r="H143">
        <f>IF(E143&gt;=20,E143-20,E143)</f>
        <v>8</v>
      </c>
      <c r="I143" s="4">
        <f>F143</f>
        <v>9</v>
      </c>
      <c r="J143">
        <f>CONCATENATE(G143,IF(LEN(H143)=1,CONCATENATE("0",H143),H143),IF(LEN(F143)=1,CONCATENATE("0",F143),F143))*1</f>
        <v>19830809</v>
      </c>
    </row>
    <row r="144" spans="1:10" hidden="1" x14ac:dyDescent="0.25">
      <c r="A144" s="4" t="s">
        <v>170</v>
      </c>
      <c r="B144" t="s">
        <v>8</v>
      </c>
      <c r="C144" t="s">
        <v>4</v>
      </c>
      <c r="D144" s="3">
        <f>MID(A144,1,2)*1</f>
        <v>99</v>
      </c>
      <c r="E144" s="4">
        <f>MID(A144,3,2)*1</f>
        <v>2</v>
      </c>
      <c r="F144" s="4">
        <f>MID(A144,5,2)*1</f>
        <v>6</v>
      </c>
      <c r="G144" s="3">
        <f>IF(E144&gt;=20,2000,1900) + D144</f>
        <v>1999</v>
      </c>
      <c r="H144">
        <f>IF(E144&gt;=20,E144-20,E144)</f>
        <v>2</v>
      </c>
      <c r="I144" s="4">
        <f>F144</f>
        <v>6</v>
      </c>
      <c r="J144">
        <f>CONCATENATE(G144,IF(LEN(H144)=1,CONCATENATE("0",H144),H144),IF(LEN(F144)=1,CONCATENATE("0",F144),F144))*1</f>
        <v>19990206</v>
      </c>
    </row>
    <row r="145" spans="1:10" hidden="1" x14ac:dyDescent="0.25">
      <c r="A145" s="4" t="s">
        <v>171</v>
      </c>
      <c r="B145" t="s">
        <v>17</v>
      </c>
      <c r="C145" t="s">
        <v>6</v>
      </c>
      <c r="D145" s="3">
        <f>MID(A145,1,2)*1</f>
        <v>99</v>
      </c>
      <c r="E145" s="4">
        <f>MID(A145,3,2)*1</f>
        <v>11</v>
      </c>
      <c r="F145" s="4">
        <f>MID(A145,5,2)*1</f>
        <v>13</v>
      </c>
      <c r="G145" s="3">
        <f>IF(E145&gt;=20,2000,1900) + D145</f>
        <v>1999</v>
      </c>
      <c r="H145">
        <f>IF(E145&gt;=20,E145-20,E145)</f>
        <v>11</v>
      </c>
      <c r="I145" s="4">
        <f>F145</f>
        <v>13</v>
      </c>
      <c r="J145">
        <f>CONCATENATE(G145,IF(LEN(H145)=1,CONCATENATE("0",H145),H145),IF(LEN(F145)=1,CONCATENATE("0",F145),F145))*1</f>
        <v>19991113</v>
      </c>
    </row>
    <row r="146" spans="1:10" hidden="1" x14ac:dyDescent="0.25">
      <c r="A146" s="4" t="s">
        <v>172</v>
      </c>
      <c r="B146" t="s">
        <v>20</v>
      </c>
      <c r="C146" t="s">
        <v>4</v>
      </c>
      <c r="D146" s="3">
        <f>MID(A146,1,2)*1</f>
        <v>51</v>
      </c>
      <c r="E146" s="4">
        <f>MID(A146,3,2)*1</f>
        <v>9</v>
      </c>
      <c r="F146" s="4">
        <f>MID(A146,5,2)*1</f>
        <v>25</v>
      </c>
      <c r="G146" s="3">
        <f>IF(E146&gt;=20,2000,1900) + D146</f>
        <v>1951</v>
      </c>
      <c r="H146">
        <f>IF(E146&gt;=20,E146-20,E146)</f>
        <v>9</v>
      </c>
      <c r="I146" s="4">
        <f>F146</f>
        <v>25</v>
      </c>
      <c r="J146">
        <f>CONCATENATE(G146,IF(LEN(H146)=1,CONCATENATE("0",H146),H146),IF(LEN(F146)=1,CONCATENATE("0",F146),F146))*1</f>
        <v>19510925</v>
      </c>
    </row>
    <row r="147" spans="1:10" hidden="1" x14ac:dyDescent="0.25">
      <c r="A147" s="4" t="s">
        <v>173</v>
      </c>
      <c r="B147" t="s">
        <v>9</v>
      </c>
      <c r="C147" t="s">
        <v>4</v>
      </c>
      <c r="D147" s="3">
        <f>MID(A147,1,2)*1</f>
        <v>56</v>
      </c>
      <c r="E147" s="4">
        <f>MID(A147,3,2)*1</f>
        <v>2</v>
      </c>
      <c r="F147" s="4">
        <f>MID(A147,5,2)*1</f>
        <v>14</v>
      </c>
      <c r="G147" s="3">
        <f>IF(E147&gt;=20,2000,1900) + D147</f>
        <v>1956</v>
      </c>
      <c r="H147">
        <f>IF(E147&gt;=20,E147-20,E147)</f>
        <v>2</v>
      </c>
      <c r="I147" s="4">
        <f>F147</f>
        <v>14</v>
      </c>
      <c r="J147">
        <f>CONCATENATE(G147,IF(LEN(H147)=1,CONCATENATE("0",H147),H147),IF(LEN(F147)=1,CONCATENATE("0",F147),F147))*1</f>
        <v>19560214</v>
      </c>
    </row>
    <row r="148" spans="1:10" hidden="1" x14ac:dyDescent="0.25">
      <c r="A148" s="4" t="s">
        <v>174</v>
      </c>
      <c r="B148" t="s">
        <v>13</v>
      </c>
      <c r="C148" t="s">
        <v>4</v>
      </c>
      <c r="D148" s="3">
        <f>MID(A148,1,2)*1</f>
        <v>61</v>
      </c>
      <c r="E148" s="4">
        <f>MID(A148,3,2)*1</f>
        <v>5</v>
      </c>
      <c r="F148" s="4">
        <f>MID(A148,5,2)*1</f>
        <v>23</v>
      </c>
      <c r="G148" s="3">
        <f>IF(E148&gt;=20,2000,1900) + D148</f>
        <v>1961</v>
      </c>
      <c r="H148">
        <f>IF(E148&gt;=20,E148-20,E148)</f>
        <v>5</v>
      </c>
      <c r="I148" s="4">
        <f>F148</f>
        <v>23</v>
      </c>
      <c r="J148">
        <f>CONCATENATE(G148,IF(LEN(H148)=1,CONCATENATE("0",H148),H148),IF(LEN(F148)=1,CONCATENATE("0",F148),F148))*1</f>
        <v>19610523</v>
      </c>
    </row>
    <row r="149" spans="1:10" hidden="1" x14ac:dyDescent="0.25">
      <c r="A149" s="4" t="s">
        <v>175</v>
      </c>
      <c r="B149" t="s">
        <v>13</v>
      </c>
      <c r="C149" t="s">
        <v>4</v>
      </c>
      <c r="D149" s="3">
        <f>MID(A149,1,2)*1</f>
        <v>51</v>
      </c>
      <c r="E149" s="4">
        <f>MID(A149,3,2)*1</f>
        <v>12</v>
      </c>
      <c r="F149" s="4">
        <f>MID(A149,5,2)*1</f>
        <v>28</v>
      </c>
      <c r="G149" s="3">
        <f>IF(E149&gt;=20,2000,1900) + D149</f>
        <v>1951</v>
      </c>
      <c r="H149">
        <f>IF(E149&gt;=20,E149-20,E149)</f>
        <v>12</v>
      </c>
      <c r="I149" s="4">
        <f>F149</f>
        <v>28</v>
      </c>
      <c r="J149">
        <f>CONCATENATE(G149,IF(LEN(H149)=1,CONCATENATE("0",H149),H149),IF(LEN(F149)=1,CONCATENATE("0",F149),F149))*1</f>
        <v>19511228</v>
      </c>
    </row>
    <row r="150" spans="1:10" hidden="1" x14ac:dyDescent="0.25">
      <c r="A150" s="4" t="s">
        <v>176</v>
      </c>
      <c r="B150" t="s">
        <v>19</v>
      </c>
      <c r="C150" t="s">
        <v>4</v>
      </c>
      <c r="D150" s="3">
        <f>MID(A150,1,2)*1</f>
        <v>71</v>
      </c>
      <c r="E150" s="4">
        <f>MID(A150,3,2)*1</f>
        <v>6</v>
      </c>
      <c r="F150" s="4">
        <f>MID(A150,5,2)*1</f>
        <v>30</v>
      </c>
      <c r="G150" s="3">
        <f>IF(E150&gt;=20,2000,1900) + D150</f>
        <v>1971</v>
      </c>
      <c r="H150">
        <f>IF(E150&gt;=20,E150-20,E150)</f>
        <v>6</v>
      </c>
      <c r="I150" s="4">
        <f>F150</f>
        <v>30</v>
      </c>
      <c r="J150">
        <f>CONCATENATE(G150,IF(LEN(H150)=1,CONCATENATE("0",H150),H150),IF(LEN(F150)=1,CONCATENATE("0",F150),F150))*1</f>
        <v>19710630</v>
      </c>
    </row>
    <row r="151" spans="1:10" hidden="1" x14ac:dyDescent="0.25">
      <c r="A151" s="4" t="s">
        <v>177</v>
      </c>
      <c r="B151" t="s">
        <v>5</v>
      </c>
      <c r="C151" t="s">
        <v>6</v>
      </c>
      <c r="D151" s="3">
        <f>MID(A151,1,2)*1</f>
        <v>74</v>
      </c>
      <c r="E151" s="4">
        <f>MID(A151,3,2)*1</f>
        <v>7</v>
      </c>
      <c r="F151" s="4">
        <f>MID(A151,5,2)*1</f>
        <v>22</v>
      </c>
      <c r="G151" s="3">
        <f>IF(E151&gt;=20,2000,1900) + D151</f>
        <v>1974</v>
      </c>
      <c r="H151">
        <f>IF(E151&gt;=20,E151-20,E151)</f>
        <v>7</v>
      </c>
      <c r="I151" s="4">
        <f>F151</f>
        <v>22</v>
      </c>
      <c r="J151">
        <f>CONCATENATE(G151,IF(LEN(H151)=1,CONCATENATE("0",H151),H151),IF(LEN(F151)=1,CONCATENATE("0",F151),F151))*1</f>
        <v>19740722</v>
      </c>
    </row>
    <row r="152" spans="1:10" hidden="1" x14ac:dyDescent="0.25">
      <c r="A152" s="4" t="s">
        <v>178</v>
      </c>
      <c r="B152" t="s">
        <v>10</v>
      </c>
      <c r="C152" t="s">
        <v>4</v>
      </c>
      <c r="D152" s="3">
        <f>MID(A152,1,2)*1</f>
        <v>91</v>
      </c>
      <c r="E152" s="4">
        <f>MID(A152,3,2)*1</f>
        <v>9</v>
      </c>
      <c r="F152" s="4">
        <f>MID(A152,5,2)*1</f>
        <v>14</v>
      </c>
      <c r="G152" s="3">
        <f>IF(E152&gt;=20,2000,1900) + D152</f>
        <v>1991</v>
      </c>
      <c r="H152">
        <f>IF(E152&gt;=20,E152-20,E152)</f>
        <v>9</v>
      </c>
      <c r="I152" s="4">
        <f>F152</f>
        <v>14</v>
      </c>
      <c r="J152">
        <f>CONCATENATE(G152,IF(LEN(H152)=1,CONCATENATE("0",H152),H152),IF(LEN(F152)=1,CONCATENATE("0",F152),F152))*1</f>
        <v>19910914</v>
      </c>
    </row>
    <row r="153" spans="1:10" hidden="1" x14ac:dyDescent="0.25">
      <c r="A153" s="4" t="s">
        <v>179</v>
      </c>
      <c r="B153" t="s">
        <v>9</v>
      </c>
      <c r="C153" t="s">
        <v>6</v>
      </c>
      <c r="D153" s="3">
        <f>MID(A153,1,2)*1</f>
        <v>57</v>
      </c>
      <c r="E153" s="4">
        <f>MID(A153,3,2)*1</f>
        <v>12</v>
      </c>
      <c r="F153" s="4">
        <f>MID(A153,5,2)*1</f>
        <v>23</v>
      </c>
      <c r="G153" s="3">
        <f>IF(E153&gt;=20,2000,1900) + D153</f>
        <v>1957</v>
      </c>
      <c r="H153">
        <f>IF(E153&gt;=20,E153-20,E153)</f>
        <v>12</v>
      </c>
      <c r="I153" s="4">
        <f>F153</f>
        <v>23</v>
      </c>
      <c r="J153">
        <f>CONCATENATE(G153,IF(LEN(H153)=1,CONCATENATE("0",H153),H153),IF(LEN(F153)=1,CONCATENATE("0",F153),F153))*1</f>
        <v>19571223</v>
      </c>
    </row>
    <row r="154" spans="1:10" hidden="1" x14ac:dyDescent="0.25">
      <c r="A154" s="4" t="s">
        <v>180</v>
      </c>
      <c r="B154" t="s">
        <v>7</v>
      </c>
      <c r="C154" t="s">
        <v>6</v>
      </c>
      <c r="D154" s="3">
        <f>MID(A154,1,2)*1</f>
        <v>99</v>
      </c>
      <c r="E154" s="4">
        <f>MID(A154,3,2)*1</f>
        <v>4</v>
      </c>
      <c r="F154" s="4">
        <f>MID(A154,5,2)*1</f>
        <v>14</v>
      </c>
      <c r="G154" s="3">
        <f>IF(E154&gt;=20,2000,1900) + D154</f>
        <v>1999</v>
      </c>
      <c r="H154">
        <f>IF(E154&gt;=20,E154-20,E154)</f>
        <v>4</v>
      </c>
      <c r="I154" s="4">
        <f>F154</f>
        <v>14</v>
      </c>
      <c r="J154">
        <f>CONCATENATE(G154,IF(LEN(H154)=1,CONCATENATE("0",H154),H154),IF(LEN(F154)=1,CONCATENATE("0",F154),F154))*1</f>
        <v>19990414</v>
      </c>
    </row>
    <row r="155" spans="1:10" x14ac:dyDescent="0.25">
      <c r="A155" s="4" t="s">
        <v>165</v>
      </c>
      <c r="B155" t="s">
        <v>18</v>
      </c>
      <c r="C155" t="s">
        <v>6</v>
      </c>
      <c r="D155" s="3">
        <f>MID(A155,1,2)*1</f>
        <v>66</v>
      </c>
      <c r="E155" s="4">
        <f>MID(A155,3,2)*1</f>
        <v>2</v>
      </c>
      <c r="F155" s="4">
        <f>MID(A155,5,2)*1</f>
        <v>22</v>
      </c>
      <c r="G155" s="3">
        <f>IF(E155&gt;=20,2000,1900) + D155</f>
        <v>1966</v>
      </c>
      <c r="H155">
        <f>IF(E155&gt;=20,E155-20,E155)</f>
        <v>2</v>
      </c>
      <c r="I155" s="4">
        <f>F155</f>
        <v>22</v>
      </c>
      <c r="J155">
        <f>CONCATENATE(G155,IF(LEN(H155)=1,CONCATENATE("0",H155),H155),IF(LEN(F155)=1,CONCATENATE("0",F155),F155))*1</f>
        <v>19660222</v>
      </c>
    </row>
    <row r="156" spans="1:10" hidden="1" x14ac:dyDescent="0.25">
      <c r="A156" s="4" t="s">
        <v>182</v>
      </c>
      <c r="B156" t="s">
        <v>17</v>
      </c>
      <c r="C156" t="s">
        <v>4</v>
      </c>
      <c r="D156" s="3">
        <f>MID(A156,1,2)*1</f>
        <v>82</v>
      </c>
      <c r="E156" s="4">
        <f>MID(A156,3,2)*1</f>
        <v>6</v>
      </c>
      <c r="F156" s="4">
        <f>MID(A156,5,2)*1</f>
        <v>20</v>
      </c>
      <c r="G156" s="3">
        <f>IF(E156&gt;=20,2000,1900) + D156</f>
        <v>1982</v>
      </c>
      <c r="H156">
        <f>IF(E156&gt;=20,E156-20,E156)</f>
        <v>6</v>
      </c>
      <c r="I156" s="4">
        <f>F156</f>
        <v>20</v>
      </c>
      <c r="J156">
        <f>CONCATENATE(G156,IF(LEN(H156)=1,CONCATENATE("0",H156),H156),IF(LEN(F156)=1,CONCATENATE("0",F156),F156))*1</f>
        <v>19820620</v>
      </c>
    </row>
    <row r="157" spans="1:10" hidden="1" x14ac:dyDescent="0.25">
      <c r="A157" s="4" t="s">
        <v>183</v>
      </c>
      <c r="B157" t="s">
        <v>11</v>
      </c>
      <c r="C157" t="s">
        <v>4</v>
      </c>
      <c r="D157" s="3">
        <f>MID(A157,1,2)*1</f>
        <v>57</v>
      </c>
      <c r="E157" s="4">
        <f>MID(A157,3,2)*1</f>
        <v>12</v>
      </c>
      <c r="F157" s="4">
        <f>MID(A157,5,2)*1</f>
        <v>20</v>
      </c>
      <c r="G157" s="3">
        <f>IF(E157&gt;=20,2000,1900) + D157</f>
        <v>1957</v>
      </c>
      <c r="H157">
        <f>IF(E157&gt;=20,E157-20,E157)</f>
        <v>12</v>
      </c>
      <c r="I157" s="4">
        <f>F157</f>
        <v>20</v>
      </c>
      <c r="J157">
        <f>CONCATENATE(G157,IF(LEN(H157)=1,CONCATENATE("0",H157),H157),IF(LEN(F157)=1,CONCATENATE("0",F157),F157))*1</f>
        <v>19571220</v>
      </c>
    </row>
    <row r="158" spans="1:10" hidden="1" x14ac:dyDescent="0.25">
      <c r="A158" s="4" t="s">
        <v>184</v>
      </c>
      <c r="B158" t="s">
        <v>16</v>
      </c>
      <c r="C158" t="s">
        <v>6</v>
      </c>
      <c r="D158" s="3">
        <f>MID(A158,1,2)*1</f>
        <v>67</v>
      </c>
      <c r="E158" s="4">
        <f>MID(A158,3,2)*1</f>
        <v>11</v>
      </c>
      <c r="F158" s="4">
        <f>MID(A158,5,2)*1</f>
        <v>21</v>
      </c>
      <c r="G158" s="3">
        <f>IF(E158&gt;=20,2000,1900) + D158</f>
        <v>1967</v>
      </c>
      <c r="H158">
        <f>IF(E158&gt;=20,E158-20,E158)</f>
        <v>11</v>
      </c>
      <c r="I158" s="4">
        <f>F158</f>
        <v>21</v>
      </c>
      <c r="J158">
        <f>CONCATENATE(G158,IF(LEN(H158)=1,CONCATENATE("0",H158),H158),IF(LEN(F158)=1,CONCATENATE("0",F158),F158))*1</f>
        <v>19671121</v>
      </c>
    </row>
    <row r="159" spans="1:10" hidden="1" x14ac:dyDescent="0.25">
      <c r="A159" s="4" t="s">
        <v>185</v>
      </c>
      <c r="B159" t="s">
        <v>9</v>
      </c>
      <c r="C159" t="s">
        <v>4</v>
      </c>
      <c r="D159" s="3">
        <f>MID(A159,1,2)*1</f>
        <v>87</v>
      </c>
      <c r="E159" s="4">
        <f>MID(A159,3,2)*1</f>
        <v>9</v>
      </c>
      <c r="F159" s="4">
        <f>MID(A159,5,2)*1</f>
        <v>2</v>
      </c>
      <c r="G159" s="3">
        <f>IF(E159&gt;=20,2000,1900) + D159</f>
        <v>1987</v>
      </c>
      <c r="H159">
        <f>IF(E159&gt;=20,E159-20,E159)</f>
        <v>9</v>
      </c>
      <c r="I159" s="4">
        <f>F159</f>
        <v>2</v>
      </c>
      <c r="J159">
        <f>CONCATENATE(G159,IF(LEN(H159)=1,CONCATENATE("0",H159),H159),IF(LEN(F159)=1,CONCATENATE("0",F159),F159))*1</f>
        <v>19870902</v>
      </c>
    </row>
    <row r="160" spans="1:10" hidden="1" x14ac:dyDescent="0.25">
      <c r="A160" s="4" t="s">
        <v>186</v>
      </c>
      <c r="B160" t="s">
        <v>7</v>
      </c>
      <c r="C160" t="s">
        <v>6</v>
      </c>
      <c r="D160" s="3">
        <f>MID(A160,1,2)*1</f>
        <v>61</v>
      </c>
      <c r="E160" s="4">
        <f>MID(A160,3,2)*1</f>
        <v>3</v>
      </c>
      <c r="F160" s="4">
        <f>MID(A160,5,2)*1</f>
        <v>24</v>
      </c>
      <c r="G160" s="3">
        <f>IF(E160&gt;=20,2000,1900) + D160</f>
        <v>1961</v>
      </c>
      <c r="H160">
        <f>IF(E160&gt;=20,E160-20,E160)</f>
        <v>3</v>
      </c>
      <c r="I160" s="4">
        <f>F160</f>
        <v>24</v>
      </c>
      <c r="J160">
        <f>CONCATENATE(G160,IF(LEN(H160)=1,CONCATENATE("0",H160),H160),IF(LEN(F160)=1,CONCATENATE("0",F160),F160))*1</f>
        <v>19610324</v>
      </c>
    </row>
    <row r="161" spans="1:10" hidden="1" x14ac:dyDescent="0.25">
      <c r="A161" s="4" t="s">
        <v>187</v>
      </c>
      <c r="B161" t="s">
        <v>5</v>
      </c>
      <c r="C161" t="s">
        <v>6</v>
      </c>
      <c r="D161" s="3">
        <f>MID(A161,1,2)*1</f>
        <v>64</v>
      </c>
      <c r="E161" s="4">
        <f>MID(A161,3,2)*1</f>
        <v>8</v>
      </c>
      <c r="F161" s="4">
        <f>MID(A161,5,2)*1</f>
        <v>7</v>
      </c>
      <c r="G161" s="3">
        <f>IF(E161&gt;=20,2000,1900) + D161</f>
        <v>1964</v>
      </c>
      <c r="H161">
        <f>IF(E161&gt;=20,E161-20,E161)</f>
        <v>8</v>
      </c>
      <c r="I161" s="4">
        <f>F161</f>
        <v>7</v>
      </c>
      <c r="J161">
        <f>CONCATENATE(G161,IF(LEN(H161)=1,CONCATENATE("0",H161),H161),IF(LEN(F161)=1,CONCATENATE("0",F161),F161))*1</f>
        <v>19640807</v>
      </c>
    </row>
    <row r="162" spans="1:10" hidden="1" x14ac:dyDescent="0.25">
      <c r="A162" s="4" t="s">
        <v>188</v>
      </c>
      <c r="B162" t="s">
        <v>9</v>
      </c>
      <c r="C162" t="s">
        <v>6</v>
      </c>
      <c r="D162" s="3">
        <f>MID(A162,1,2)*1</f>
        <v>59</v>
      </c>
      <c r="E162" s="4">
        <f>MID(A162,3,2)*1</f>
        <v>6</v>
      </c>
      <c r="F162" s="4">
        <f>MID(A162,5,2)*1</f>
        <v>27</v>
      </c>
      <c r="G162" s="3">
        <f>IF(E162&gt;=20,2000,1900) + D162</f>
        <v>1959</v>
      </c>
      <c r="H162">
        <f>IF(E162&gt;=20,E162-20,E162)</f>
        <v>6</v>
      </c>
      <c r="I162" s="4">
        <f>F162</f>
        <v>27</v>
      </c>
      <c r="J162">
        <f>CONCATENATE(G162,IF(LEN(H162)=1,CONCATENATE("0",H162),H162),IF(LEN(F162)=1,CONCATENATE("0",F162),F162))*1</f>
        <v>19590627</v>
      </c>
    </row>
    <row r="163" spans="1:10" hidden="1" x14ac:dyDescent="0.25">
      <c r="A163" s="4" t="s">
        <v>189</v>
      </c>
      <c r="B163" t="s">
        <v>20</v>
      </c>
      <c r="C163" t="s">
        <v>6</v>
      </c>
      <c r="D163" s="3">
        <f>MID(A163,1,2)*1</f>
        <v>65</v>
      </c>
      <c r="E163" s="4">
        <f>MID(A163,3,2)*1</f>
        <v>4</v>
      </c>
      <c r="F163" s="4">
        <f>MID(A163,5,2)*1</f>
        <v>6</v>
      </c>
      <c r="G163" s="3">
        <f>IF(E163&gt;=20,2000,1900) + D163</f>
        <v>1965</v>
      </c>
      <c r="H163">
        <f>IF(E163&gt;=20,E163-20,E163)</f>
        <v>4</v>
      </c>
      <c r="I163" s="4">
        <f>F163</f>
        <v>6</v>
      </c>
      <c r="J163">
        <f>CONCATENATE(G163,IF(LEN(H163)=1,CONCATENATE("0",H163),H163),IF(LEN(F163)=1,CONCATENATE("0",F163),F163))*1</f>
        <v>19650406</v>
      </c>
    </row>
    <row r="164" spans="1:10" hidden="1" x14ac:dyDescent="0.25">
      <c r="A164" s="4" t="s">
        <v>190</v>
      </c>
      <c r="B164" t="s">
        <v>13</v>
      </c>
      <c r="C164" t="s">
        <v>6</v>
      </c>
      <c r="D164" s="3">
        <f>MID(A164,1,2)*1</f>
        <v>94</v>
      </c>
      <c r="E164" s="4">
        <f>MID(A164,3,2)*1</f>
        <v>12</v>
      </c>
      <c r="F164" s="4">
        <f>MID(A164,5,2)*1</f>
        <v>26</v>
      </c>
      <c r="G164" s="3">
        <f>IF(E164&gt;=20,2000,1900) + D164</f>
        <v>1994</v>
      </c>
      <c r="H164">
        <f>IF(E164&gt;=20,E164-20,E164)</f>
        <v>12</v>
      </c>
      <c r="I164" s="4">
        <f>F164</f>
        <v>26</v>
      </c>
      <c r="J164">
        <f>CONCATENATE(G164,IF(LEN(H164)=1,CONCATENATE("0",H164),H164),IF(LEN(F164)=1,CONCATENATE("0",F164),F164))*1</f>
        <v>19941226</v>
      </c>
    </row>
    <row r="165" spans="1:10" hidden="1" x14ac:dyDescent="0.25">
      <c r="A165" s="4" t="s">
        <v>191</v>
      </c>
      <c r="B165" t="s">
        <v>20</v>
      </c>
      <c r="C165" t="s">
        <v>4</v>
      </c>
      <c r="D165" s="3">
        <f>MID(A165,1,2)*1</f>
        <v>58</v>
      </c>
      <c r="E165" s="4">
        <f>MID(A165,3,2)*1</f>
        <v>9</v>
      </c>
      <c r="F165" s="4">
        <f>MID(A165,5,2)*1</f>
        <v>13</v>
      </c>
      <c r="G165" s="3">
        <f>IF(E165&gt;=20,2000,1900) + D165</f>
        <v>1958</v>
      </c>
      <c r="H165">
        <f>IF(E165&gt;=20,E165-20,E165)</f>
        <v>9</v>
      </c>
      <c r="I165" s="4">
        <f>F165</f>
        <v>13</v>
      </c>
      <c r="J165">
        <f>CONCATENATE(G165,IF(LEN(H165)=1,CONCATENATE("0",H165),H165),IF(LEN(F165)=1,CONCATENATE("0",F165),F165))*1</f>
        <v>19580913</v>
      </c>
    </row>
    <row r="166" spans="1:10" hidden="1" x14ac:dyDescent="0.25">
      <c r="A166" s="4" t="s">
        <v>192</v>
      </c>
      <c r="B166" t="s">
        <v>7</v>
      </c>
      <c r="C166" t="s">
        <v>4</v>
      </c>
      <c r="D166" s="3">
        <f>MID(A166,1,2)*1</f>
        <v>73</v>
      </c>
      <c r="E166" s="4">
        <f>MID(A166,3,2)*1</f>
        <v>11</v>
      </c>
      <c r="F166" s="4">
        <f>MID(A166,5,2)*1</f>
        <v>23</v>
      </c>
      <c r="G166" s="3">
        <f>IF(E166&gt;=20,2000,1900) + D166</f>
        <v>1973</v>
      </c>
      <c r="H166">
        <f>IF(E166&gt;=20,E166-20,E166)</f>
        <v>11</v>
      </c>
      <c r="I166" s="4">
        <f>F166</f>
        <v>23</v>
      </c>
      <c r="J166">
        <f>CONCATENATE(G166,IF(LEN(H166)=1,CONCATENATE("0",H166),H166),IF(LEN(F166)=1,CONCATENATE("0",F166),F166))*1</f>
        <v>19731123</v>
      </c>
    </row>
    <row r="167" spans="1:10" hidden="1" x14ac:dyDescent="0.25">
      <c r="A167" s="4" t="s">
        <v>193</v>
      </c>
      <c r="B167" t="s">
        <v>16</v>
      </c>
      <c r="C167" t="s">
        <v>4</v>
      </c>
      <c r="D167" s="3">
        <f>MID(A167,1,2)*1</f>
        <v>61</v>
      </c>
      <c r="E167" s="4">
        <f>MID(A167,3,2)*1</f>
        <v>5</v>
      </c>
      <c r="F167" s="4">
        <f>MID(A167,5,2)*1</f>
        <v>28</v>
      </c>
      <c r="G167" s="3">
        <f>IF(E167&gt;=20,2000,1900) + D167</f>
        <v>1961</v>
      </c>
      <c r="H167">
        <f>IF(E167&gt;=20,E167-20,E167)</f>
        <v>5</v>
      </c>
      <c r="I167" s="4">
        <f>F167</f>
        <v>28</v>
      </c>
      <c r="J167">
        <f>CONCATENATE(G167,IF(LEN(H167)=1,CONCATENATE("0",H167),H167),IF(LEN(F167)=1,CONCATENATE("0",F167),F167))*1</f>
        <v>19610528</v>
      </c>
    </row>
    <row r="168" spans="1:10" x14ac:dyDescent="0.25">
      <c r="A168" s="4" t="s">
        <v>118</v>
      </c>
      <c r="B168" t="s">
        <v>18</v>
      </c>
      <c r="C168" t="s">
        <v>4</v>
      </c>
      <c r="D168" s="3">
        <f>MID(A168,1,2)*1</f>
        <v>66</v>
      </c>
      <c r="E168" s="4">
        <f>MID(A168,3,2)*1</f>
        <v>4</v>
      </c>
      <c r="F168" s="4">
        <f>MID(A168,5,2)*1</f>
        <v>28</v>
      </c>
      <c r="G168" s="3">
        <f>IF(E168&gt;=20,2000,1900) + D168</f>
        <v>1966</v>
      </c>
      <c r="H168">
        <f>IF(E168&gt;=20,E168-20,E168)</f>
        <v>4</v>
      </c>
      <c r="I168" s="4">
        <f>F168</f>
        <v>28</v>
      </c>
      <c r="J168">
        <f>CONCATENATE(G168,IF(LEN(H168)=1,CONCATENATE("0",H168),H168),IF(LEN(F168)=1,CONCATENATE("0",F168),F168))*1</f>
        <v>19660428</v>
      </c>
    </row>
    <row r="169" spans="1:10" hidden="1" x14ac:dyDescent="0.25">
      <c r="A169" s="4" t="s">
        <v>195</v>
      </c>
      <c r="B169" t="s">
        <v>15</v>
      </c>
      <c r="C169" t="s">
        <v>6</v>
      </c>
      <c r="D169" s="3">
        <f>MID(A169,1,2)*1</f>
        <v>56</v>
      </c>
      <c r="E169" s="4">
        <f>MID(A169,3,2)*1</f>
        <v>8</v>
      </c>
      <c r="F169" s="4">
        <f>MID(A169,5,2)*1</f>
        <v>22</v>
      </c>
      <c r="G169" s="3">
        <f>IF(E169&gt;=20,2000,1900) + D169</f>
        <v>1956</v>
      </c>
      <c r="H169">
        <f>IF(E169&gt;=20,E169-20,E169)</f>
        <v>8</v>
      </c>
      <c r="I169" s="4">
        <f>F169</f>
        <v>22</v>
      </c>
      <c r="J169">
        <f>CONCATENATE(G169,IF(LEN(H169)=1,CONCATENATE("0",H169),H169),IF(LEN(F169)=1,CONCATENATE("0",F169),F169))*1</f>
        <v>19560822</v>
      </c>
    </row>
    <row r="170" spans="1:10" hidden="1" x14ac:dyDescent="0.25">
      <c r="A170" s="4" t="s">
        <v>196</v>
      </c>
      <c r="B170" t="s">
        <v>19</v>
      </c>
      <c r="C170" t="s">
        <v>6</v>
      </c>
      <c r="D170" s="3">
        <f>MID(A170,1,2)*1</f>
        <v>99</v>
      </c>
      <c r="E170" s="4">
        <f>MID(A170,3,2)*1</f>
        <v>10</v>
      </c>
      <c r="F170" s="4">
        <f>MID(A170,5,2)*1</f>
        <v>12</v>
      </c>
      <c r="G170" s="3">
        <f>IF(E170&gt;=20,2000,1900) + D170</f>
        <v>1999</v>
      </c>
      <c r="H170">
        <f>IF(E170&gt;=20,E170-20,E170)</f>
        <v>10</v>
      </c>
      <c r="I170" s="4">
        <f>F170</f>
        <v>12</v>
      </c>
      <c r="J170">
        <f>CONCATENATE(G170,IF(LEN(H170)=1,CONCATENATE("0",H170),H170),IF(LEN(F170)=1,CONCATENATE("0",F170),F170))*1</f>
        <v>19991012</v>
      </c>
    </row>
    <row r="171" spans="1:10" x14ac:dyDescent="0.25">
      <c r="A171" s="4" t="s">
        <v>124</v>
      </c>
      <c r="B171" t="s">
        <v>18</v>
      </c>
      <c r="C171" t="s">
        <v>4</v>
      </c>
      <c r="D171" s="3">
        <f>MID(A171,1,2)*1</f>
        <v>66</v>
      </c>
      <c r="E171" s="4">
        <f>MID(A171,3,2)*1</f>
        <v>4</v>
      </c>
      <c r="F171" s="4">
        <f>MID(A171,5,2)*1</f>
        <v>30</v>
      </c>
      <c r="G171" s="3">
        <f>IF(E171&gt;=20,2000,1900) + D171</f>
        <v>1966</v>
      </c>
      <c r="H171">
        <f>IF(E171&gt;=20,E171-20,E171)</f>
        <v>4</v>
      </c>
      <c r="I171" s="4">
        <f>F171</f>
        <v>30</v>
      </c>
      <c r="J171">
        <f>CONCATENATE(G171,IF(LEN(H171)=1,CONCATENATE("0",H171),H171),IF(LEN(F171)=1,CONCATENATE("0",F171),F171))*1</f>
        <v>19660430</v>
      </c>
    </row>
    <row r="172" spans="1:10" hidden="1" x14ac:dyDescent="0.25">
      <c r="A172" s="4" t="s">
        <v>198</v>
      </c>
      <c r="B172" t="s">
        <v>11</v>
      </c>
      <c r="C172" t="s">
        <v>6</v>
      </c>
      <c r="D172" s="3">
        <f>MID(A172,1,2)*1</f>
        <v>86</v>
      </c>
      <c r="E172" s="4">
        <f>MID(A172,3,2)*1</f>
        <v>9</v>
      </c>
      <c r="F172" s="4">
        <f>MID(A172,5,2)*1</f>
        <v>16</v>
      </c>
      <c r="G172" s="3">
        <f>IF(E172&gt;=20,2000,1900) + D172</f>
        <v>1986</v>
      </c>
      <c r="H172">
        <f>IF(E172&gt;=20,E172-20,E172)</f>
        <v>9</v>
      </c>
      <c r="I172" s="4">
        <f>F172</f>
        <v>16</v>
      </c>
      <c r="J172">
        <f>CONCATENATE(G172,IF(LEN(H172)=1,CONCATENATE("0",H172),H172),IF(LEN(F172)=1,CONCATENATE("0",F172),F172))*1</f>
        <v>19860916</v>
      </c>
    </row>
    <row r="173" spans="1:10" hidden="1" x14ac:dyDescent="0.25">
      <c r="A173" s="4" t="s">
        <v>199</v>
      </c>
      <c r="B173" t="s">
        <v>10</v>
      </c>
      <c r="C173" t="s">
        <v>4</v>
      </c>
      <c r="D173" s="3">
        <f>MID(A173,1,2)*1</f>
        <v>58</v>
      </c>
      <c r="E173" s="4">
        <f>MID(A173,3,2)*1</f>
        <v>7</v>
      </c>
      <c r="F173" s="4">
        <f>MID(A173,5,2)*1</f>
        <v>19</v>
      </c>
      <c r="G173" s="3">
        <f>IF(E173&gt;=20,2000,1900) + D173</f>
        <v>1958</v>
      </c>
      <c r="H173">
        <f>IF(E173&gt;=20,E173-20,E173)</f>
        <v>7</v>
      </c>
      <c r="I173" s="4">
        <f>F173</f>
        <v>19</v>
      </c>
      <c r="J173">
        <f>CONCATENATE(G173,IF(LEN(H173)=1,CONCATENATE("0",H173),H173),IF(LEN(F173)=1,CONCATENATE("0",F173),F173))*1</f>
        <v>19580719</v>
      </c>
    </row>
    <row r="174" spans="1:10" hidden="1" x14ac:dyDescent="0.25">
      <c r="A174" s="4" t="s">
        <v>200</v>
      </c>
      <c r="B174" t="s">
        <v>16</v>
      </c>
      <c r="C174" t="s">
        <v>6</v>
      </c>
      <c r="D174" s="3">
        <f>MID(A174,1,2)*1</f>
        <v>95</v>
      </c>
      <c r="E174" s="4">
        <f>MID(A174,3,2)*1</f>
        <v>3</v>
      </c>
      <c r="F174" s="4">
        <f>MID(A174,5,2)*1</f>
        <v>4</v>
      </c>
      <c r="G174" s="3">
        <f>IF(E174&gt;=20,2000,1900) + D174</f>
        <v>1995</v>
      </c>
      <c r="H174">
        <f>IF(E174&gt;=20,E174-20,E174)</f>
        <v>3</v>
      </c>
      <c r="I174" s="4">
        <f>F174</f>
        <v>4</v>
      </c>
      <c r="J174">
        <f>CONCATENATE(G174,IF(LEN(H174)=1,CONCATENATE("0",H174),H174),IF(LEN(F174)=1,CONCATENATE("0",F174),F174))*1</f>
        <v>19950304</v>
      </c>
    </row>
    <row r="175" spans="1:10" hidden="1" x14ac:dyDescent="0.25">
      <c r="A175" s="4" t="s">
        <v>201</v>
      </c>
      <c r="B175" t="s">
        <v>13</v>
      </c>
      <c r="C175" t="s">
        <v>6</v>
      </c>
      <c r="D175" s="3">
        <f>MID(A175,1,2)*1</f>
        <v>91</v>
      </c>
      <c r="E175" s="4">
        <f>MID(A175,3,2)*1</f>
        <v>11</v>
      </c>
      <c r="F175" s="4">
        <f>MID(A175,5,2)*1</f>
        <v>3</v>
      </c>
      <c r="G175" s="3">
        <f>IF(E175&gt;=20,2000,1900) + D175</f>
        <v>1991</v>
      </c>
      <c r="H175">
        <f>IF(E175&gt;=20,E175-20,E175)</f>
        <v>11</v>
      </c>
      <c r="I175" s="4">
        <f>F175</f>
        <v>3</v>
      </c>
      <c r="J175">
        <f>CONCATENATE(G175,IF(LEN(H175)=1,CONCATENATE("0",H175),H175),IF(LEN(F175)=1,CONCATENATE("0",F175),F175))*1</f>
        <v>19911103</v>
      </c>
    </row>
    <row r="176" spans="1:10" hidden="1" x14ac:dyDescent="0.25">
      <c r="A176" s="4" t="s">
        <v>202</v>
      </c>
      <c r="B176" t="s">
        <v>16</v>
      </c>
      <c r="C176" t="s">
        <v>6</v>
      </c>
      <c r="D176" s="3">
        <f>MID(A176,1,2)*1</f>
        <v>56</v>
      </c>
      <c r="E176" s="4">
        <f>MID(A176,3,2)*1</f>
        <v>1</v>
      </c>
      <c r="F176" s="4">
        <f>MID(A176,5,2)*1</f>
        <v>6</v>
      </c>
      <c r="G176" s="3">
        <f>IF(E176&gt;=20,2000,1900) + D176</f>
        <v>1956</v>
      </c>
      <c r="H176">
        <f>IF(E176&gt;=20,E176-20,E176)</f>
        <v>1</v>
      </c>
      <c r="I176" s="4">
        <f>F176</f>
        <v>6</v>
      </c>
      <c r="J176">
        <f>CONCATENATE(G176,IF(LEN(H176)=1,CONCATENATE("0",H176),H176),IF(LEN(F176)=1,CONCATENATE("0",F176),F176))*1</f>
        <v>19560106</v>
      </c>
    </row>
    <row r="177" spans="1:10" x14ac:dyDescent="0.25">
      <c r="A177" s="4" t="s">
        <v>321</v>
      </c>
      <c r="B177" t="s">
        <v>18</v>
      </c>
      <c r="C177" t="s">
        <v>6</v>
      </c>
      <c r="D177" s="3">
        <f>MID(A177,1,2)*1</f>
        <v>66</v>
      </c>
      <c r="E177" s="4">
        <f>MID(A177,3,2)*1</f>
        <v>8</v>
      </c>
      <c r="F177" s="4">
        <f>MID(A177,5,2)*1</f>
        <v>24</v>
      </c>
      <c r="G177" s="3">
        <f>IF(E177&gt;=20,2000,1900) + D177</f>
        <v>1966</v>
      </c>
      <c r="H177">
        <f>IF(E177&gt;=20,E177-20,E177)</f>
        <v>8</v>
      </c>
      <c r="I177" s="4">
        <f>F177</f>
        <v>24</v>
      </c>
      <c r="J177">
        <f>CONCATENATE(G177,IF(LEN(H177)=1,CONCATENATE("0",H177),H177),IF(LEN(F177)=1,CONCATENATE("0",F177),F177))*1</f>
        <v>19660824</v>
      </c>
    </row>
    <row r="178" spans="1:10" hidden="1" x14ac:dyDescent="0.25">
      <c r="A178" s="4" t="s">
        <v>204</v>
      </c>
      <c r="B178" t="s">
        <v>17</v>
      </c>
      <c r="C178" t="s">
        <v>4</v>
      </c>
      <c r="D178" s="3">
        <f>MID(A178,1,2)*1</f>
        <v>94</v>
      </c>
      <c r="E178" s="4">
        <f>MID(A178,3,2)*1</f>
        <v>11</v>
      </c>
      <c r="F178" s="4">
        <f>MID(A178,5,2)*1</f>
        <v>11</v>
      </c>
      <c r="G178" s="3">
        <f>IF(E178&gt;=20,2000,1900) + D178</f>
        <v>1994</v>
      </c>
      <c r="H178">
        <f>IF(E178&gt;=20,E178-20,E178)</f>
        <v>11</v>
      </c>
      <c r="I178" s="4">
        <f>F178</f>
        <v>11</v>
      </c>
      <c r="J178">
        <f>CONCATENATE(G178,IF(LEN(H178)=1,CONCATENATE("0",H178),H178),IF(LEN(F178)=1,CONCATENATE("0",F178),F178))*1</f>
        <v>19941111</v>
      </c>
    </row>
    <row r="179" spans="1:10" hidden="1" x14ac:dyDescent="0.25">
      <c r="A179" s="4" t="s">
        <v>205</v>
      </c>
      <c r="B179" t="s">
        <v>12</v>
      </c>
      <c r="C179" t="s">
        <v>6</v>
      </c>
      <c r="D179" s="3">
        <f>MID(A179,1,2)*1</f>
        <v>81</v>
      </c>
      <c r="E179" s="4">
        <f>MID(A179,3,2)*1</f>
        <v>2</v>
      </c>
      <c r="F179" s="4">
        <f>MID(A179,5,2)*1</f>
        <v>15</v>
      </c>
      <c r="G179" s="3">
        <f>IF(E179&gt;=20,2000,1900) + D179</f>
        <v>1981</v>
      </c>
      <c r="H179">
        <f>IF(E179&gt;=20,E179-20,E179)</f>
        <v>2</v>
      </c>
      <c r="I179" s="4">
        <f>F179</f>
        <v>15</v>
      </c>
      <c r="J179">
        <f>CONCATENATE(G179,IF(LEN(H179)=1,CONCATENATE("0",H179),H179),IF(LEN(F179)=1,CONCATENATE("0",F179),F179))*1</f>
        <v>19810215</v>
      </c>
    </row>
    <row r="180" spans="1:10" hidden="1" x14ac:dyDescent="0.25">
      <c r="A180" s="4" t="s">
        <v>206</v>
      </c>
      <c r="B180" t="s">
        <v>11</v>
      </c>
      <c r="C180" t="s">
        <v>6</v>
      </c>
      <c r="D180" s="3">
        <f>MID(A180,1,2)*1</f>
        <v>90</v>
      </c>
      <c r="E180" s="4">
        <f>MID(A180,3,2)*1</f>
        <v>10</v>
      </c>
      <c r="F180" s="4">
        <f>MID(A180,5,2)*1</f>
        <v>31</v>
      </c>
      <c r="G180" s="3">
        <f>IF(E180&gt;=20,2000,1900) + D180</f>
        <v>1990</v>
      </c>
      <c r="H180">
        <f>IF(E180&gt;=20,E180-20,E180)</f>
        <v>10</v>
      </c>
      <c r="I180" s="4">
        <f>F180</f>
        <v>31</v>
      </c>
      <c r="J180">
        <f>CONCATENATE(G180,IF(LEN(H180)=1,CONCATENATE("0",H180),H180),IF(LEN(F180)=1,CONCATENATE("0",F180),F180))*1</f>
        <v>19901031</v>
      </c>
    </row>
    <row r="181" spans="1:10" hidden="1" x14ac:dyDescent="0.25">
      <c r="A181" s="4" t="s">
        <v>207</v>
      </c>
      <c r="B181" t="s">
        <v>11</v>
      </c>
      <c r="C181" t="s">
        <v>6</v>
      </c>
      <c r="D181" s="3">
        <f>MID(A181,1,2)*1</f>
        <v>72</v>
      </c>
      <c r="E181" s="4">
        <f>MID(A181,3,2)*1</f>
        <v>3</v>
      </c>
      <c r="F181" s="4">
        <f>MID(A181,5,2)*1</f>
        <v>31</v>
      </c>
      <c r="G181" s="3">
        <f>IF(E181&gt;=20,2000,1900) + D181</f>
        <v>1972</v>
      </c>
      <c r="H181">
        <f>IF(E181&gt;=20,E181-20,E181)</f>
        <v>3</v>
      </c>
      <c r="I181" s="4">
        <f>F181</f>
        <v>31</v>
      </c>
      <c r="J181">
        <f>CONCATENATE(G181,IF(LEN(H181)=1,CONCATENATE("0",H181),H181),IF(LEN(F181)=1,CONCATENATE("0",F181),F181))*1</f>
        <v>19720331</v>
      </c>
    </row>
    <row r="182" spans="1:10" hidden="1" x14ac:dyDescent="0.25">
      <c r="A182" s="4" t="s">
        <v>208</v>
      </c>
      <c r="B182" t="s">
        <v>16</v>
      </c>
      <c r="C182" t="s">
        <v>6</v>
      </c>
      <c r="D182" s="3">
        <f>MID(A182,1,2)*1</f>
        <v>90</v>
      </c>
      <c r="E182" s="4">
        <f>MID(A182,3,2)*1</f>
        <v>1</v>
      </c>
      <c r="F182" s="4">
        <f>MID(A182,5,2)*1</f>
        <v>4</v>
      </c>
      <c r="G182" s="3">
        <f>IF(E182&gt;=20,2000,1900) + D182</f>
        <v>1990</v>
      </c>
      <c r="H182">
        <f>IF(E182&gt;=20,E182-20,E182)</f>
        <v>1</v>
      </c>
      <c r="I182" s="4">
        <f>F182</f>
        <v>4</v>
      </c>
      <c r="J182">
        <f>CONCATENATE(G182,IF(LEN(H182)=1,CONCATENATE("0",H182),H182),IF(LEN(F182)=1,CONCATENATE("0",F182),F182))*1</f>
        <v>19900104</v>
      </c>
    </row>
    <row r="183" spans="1:10" hidden="1" x14ac:dyDescent="0.25">
      <c r="A183" s="4" t="s">
        <v>209</v>
      </c>
      <c r="B183" t="s">
        <v>7</v>
      </c>
      <c r="C183" t="s">
        <v>4</v>
      </c>
      <c r="D183" s="3">
        <f>MID(A183,1,2)*1</f>
        <v>93</v>
      </c>
      <c r="E183" s="4">
        <f>MID(A183,3,2)*1</f>
        <v>10</v>
      </c>
      <c r="F183" s="4">
        <f>MID(A183,5,2)*1</f>
        <v>11</v>
      </c>
      <c r="G183" s="3">
        <f>IF(E183&gt;=20,2000,1900) + D183</f>
        <v>1993</v>
      </c>
      <c r="H183">
        <f>IF(E183&gt;=20,E183-20,E183)</f>
        <v>10</v>
      </c>
      <c r="I183" s="4">
        <f>F183</f>
        <v>11</v>
      </c>
      <c r="J183">
        <f>CONCATENATE(G183,IF(LEN(H183)=1,CONCATENATE("0",H183),H183),IF(LEN(F183)=1,CONCATENATE("0",F183),F183))*1</f>
        <v>19931011</v>
      </c>
    </row>
    <row r="184" spans="1:10" hidden="1" x14ac:dyDescent="0.25">
      <c r="A184" s="4" t="s">
        <v>210</v>
      </c>
      <c r="B184" t="s">
        <v>20</v>
      </c>
      <c r="C184" t="s">
        <v>4</v>
      </c>
      <c r="D184" s="3">
        <f>MID(A184,1,2)*1</f>
        <v>96</v>
      </c>
      <c r="E184" s="4">
        <f>MID(A184,3,2)*1</f>
        <v>9</v>
      </c>
      <c r="F184" s="4">
        <f>MID(A184,5,2)*1</f>
        <v>15</v>
      </c>
      <c r="G184" s="3">
        <f>IF(E184&gt;=20,2000,1900) + D184</f>
        <v>1996</v>
      </c>
      <c r="H184">
        <f>IF(E184&gt;=20,E184-20,E184)</f>
        <v>9</v>
      </c>
      <c r="I184" s="4">
        <f>F184</f>
        <v>15</v>
      </c>
      <c r="J184">
        <f>CONCATENATE(G184,IF(LEN(H184)=1,CONCATENATE("0",H184),H184),IF(LEN(F184)=1,CONCATENATE("0",F184),F184))*1</f>
        <v>19960915</v>
      </c>
    </row>
    <row r="185" spans="1:10" hidden="1" x14ac:dyDescent="0.25">
      <c r="A185" s="4" t="s">
        <v>211</v>
      </c>
      <c r="B185" t="s">
        <v>15</v>
      </c>
      <c r="C185" t="s">
        <v>4</v>
      </c>
      <c r="D185" s="3">
        <f>MID(A185,1,2)*1</f>
        <v>65</v>
      </c>
      <c r="E185" s="4">
        <f>MID(A185,3,2)*1</f>
        <v>1</v>
      </c>
      <c r="F185" s="4">
        <f>MID(A185,5,2)*1</f>
        <v>10</v>
      </c>
      <c r="G185" s="3">
        <f>IF(E185&gt;=20,2000,1900) + D185</f>
        <v>1965</v>
      </c>
      <c r="H185">
        <f>IF(E185&gt;=20,E185-20,E185)</f>
        <v>1</v>
      </c>
      <c r="I185" s="4">
        <f>F185</f>
        <v>10</v>
      </c>
      <c r="J185">
        <f>CONCATENATE(G185,IF(LEN(H185)=1,CONCATENATE("0",H185),H185),IF(LEN(F185)=1,CONCATENATE("0",F185),F185))*1</f>
        <v>19650110</v>
      </c>
    </row>
    <row r="186" spans="1:10" hidden="1" x14ac:dyDescent="0.25">
      <c r="A186" s="4" t="s">
        <v>212</v>
      </c>
      <c r="B186" t="s">
        <v>9</v>
      </c>
      <c r="C186" t="s">
        <v>6</v>
      </c>
      <c r="D186" s="3">
        <f>MID(A186,1,2)*1</f>
        <v>53</v>
      </c>
      <c r="E186" s="4">
        <f>MID(A186,3,2)*1</f>
        <v>12</v>
      </c>
      <c r="F186" s="4">
        <f>MID(A186,5,2)*1</f>
        <v>31</v>
      </c>
      <c r="G186" s="3">
        <f>IF(E186&gt;=20,2000,1900) + D186</f>
        <v>1953</v>
      </c>
      <c r="H186">
        <f>IF(E186&gt;=20,E186-20,E186)</f>
        <v>12</v>
      </c>
      <c r="I186" s="4">
        <f>F186</f>
        <v>31</v>
      </c>
      <c r="J186">
        <f>CONCATENATE(G186,IF(LEN(H186)=1,CONCATENATE("0",H186),H186),IF(LEN(F186)=1,CONCATENATE("0",F186),F186))*1</f>
        <v>19531231</v>
      </c>
    </row>
    <row r="187" spans="1:10" hidden="1" x14ac:dyDescent="0.25">
      <c r="A187" s="4" t="s">
        <v>213</v>
      </c>
      <c r="B187" t="s">
        <v>14</v>
      </c>
      <c r="C187" t="s">
        <v>6</v>
      </c>
      <c r="D187" s="3">
        <f>MID(A187,1,2)*1</f>
        <v>73</v>
      </c>
      <c r="E187" s="4">
        <f>MID(A187,3,2)*1</f>
        <v>6</v>
      </c>
      <c r="F187" s="4">
        <f>MID(A187,5,2)*1</f>
        <v>2</v>
      </c>
      <c r="G187" s="3">
        <f>IF(E187&gt;=20,2000,1900) + D187</f>
        <v>1973</v>
      </c>
      <c r="H187">
        <f>IF(E187&gt;=20,E187-20,E187)</f>
        <v>6</v>
      </c>
      <c r="I187" s="4">
        <f>F187</f>
        <v>2</v>
      </c>
      <c r="J187">
        <f>CONCATENATE(G187,IF(LEN(H187)=1,CONCATENATE("0",H187),H187),IF(LEN(F187)=1,CONCATENATE("0",F187),F187))*1</f>
        <v>19730602</v>
      </c>
    </row>
    <row r="188" spans="1:10" hidden="1" x14ac:dyDescent="0.25">
      <c r="A188" s="4" t="s">
        <v>214</v>
      </c>
      <c r="B188" t="s">
        <v>14</v>
      </c>
      <c r="C188" t="s">
        <v>4</v>
      </c>
      <c r="D188" s="3">
        <f>MID(A188,1,2)*1</f>
        <v>77</v>
      </c>
      <c r="E188" s="4">
        <f>MID(A188,3,2)*1</f>
        <v>12</v>
      </c>
      <c r="F188" s="4">
        <f>MID(A188,5,2)*1</f>
        <v>19</v>
      </c>
      <c r="G188" s="3">
        <f>IF(E188&gt;=20,2000,1900) + D188</f>
        <v>1977</v>
      </c>
      <c r="H188">
        <f>IF(E188&gt;=20,E188-20,E188)</f>
        <v>12</v>
      </c>
      <c r="I188" s="4">
        <f>F188</f>
        <v>19</v>
      </c>
      <c r="J188">
        <f>CONCATENATE(G188,IF(LEN(H188)=1,CONCATENATE("0",H188),H188),IF(LEN(F188)=1,CONCATENATE("0",F188),F188))*1</f>
        <v>19771219</v>
      </c>
    </row>
    <row r="189" spans="1:10" hidden="1" x14ac:dyDescent="0.25">
      <c r="A189" s="4" t="s">
        <v>215</v>
      </c>
      <c r="B189" t="s">
        <v>7</v>
      </c>
      <c r="C189" t="s">
        <v>4</v>
      </c>
      <c r="D189" s="3">
        <f>MID(A189,1,2)*1</f>
        <v>68</v>
      </c>
      <c r="E189" s="4">
        <f>MID(A189,3,2)*1</f>
        <v>3</v>
      </c>
      <c r="F189" s="4">
        <f>MID(A189,5,2)*1</f>
        <v>10</v>
      </c>
      <c r="G189" s="3">
        <f>IF(E189&gt;=20,2000,1900) + D189</f>
        <v>1968</v>
      </c>
      <c r="H189">
        <f>IF(E189&gt;=20,E189-20,E189)</f>
        <v>3</v>
      </c>
      <c r="I189" s="4">
        <f>F189</f>
        <v>10</v>
      </c>
      <c r="J189">
        <f>CONCATENATE(G189,IF(LEN(H189)=1,CONCATENATE("0",H189),H189),IF(LEN(F189)=1,CONCATENATE("0",F189),F189))*1</f>
        <v>19680310</v>
      </c>
    </row>
    <row r="190" spans="1:10" hidden="1" x14ac:dyDescent="0.25">
      <c r="A190" s="4" t="s">
        <v>216</v>
      </c>
      <c r="B190" t="s">
        <v>16</v>
      </c>
      <c r="C190" t="s">
        <v>6</v>
      </c>
      <c r="D190" s="3">
        <f>MID(A190,1,2)*1</f>
        <v>98</v>
      </c>
      <c r="E190" s="4">
        <f>MID(A190,3,2)*1</f>
        <v>10</v>
      </c>
      <c r="F190" s="4">
        <f>MID(A190,5,2)*1</f>
        <v>6</v>
      </c>
      <c r="G190" s="3">
        <f>IF(E190&gt;=20,2000,1900) + D190</f>
        <v>1998</v>
      </c>
      <c r="H190">
        <f>IF(E190&gt;=20,E190-20,E190)</f>
        <v>10</v>
      </c>
      <c r="I190" s="4">
        <f>F190</f>
        <v>6</v>
      </c>
      <c r="J190">
        <f>CONCATENATE(G190,IF(LEN(H190)=1,CONCATENATE("0",H190),H190),IF(LEN(F190)=1,CONCATENATE("0",F190),F190))*1</f>
        <v>19981006</v>
      </c>
    </row>
    <row r="191" spans="1:10" hidden="1" x14ac:dyDescent="0.25">
      <c r="A191" s="4" t="s">
        <v>217</v>
      </c>
      <c r="B191" t="s">
        <v>12</v>
      </c>
      <c r="C191" t="s">
        <v>4</v>
      </c>
      <c r="D191" s="3">
        <f>MID(A191,1,2)*1</f>
        <v>76</v>
      </c>
      <c r="E191" s="4">
        <f>MID(A191,3,2)*1</f>
        <v>7</v>
      </c>
      <c r="F191" s="4">
        <f>MID(A191,5,2)*1</f>
        <v>29</v>
      </c>
      <c r="G191" s="3">
        <f>IF(E191&gt;=20,2000,1900) + D191</f>
        <v>1976</v>
      </c>
      <c r="H191">
        <f>IF(E191&gt;=20,E191-20,E191)</f>
        <v>7</v>
      </c>
      <c r="I191" s="4">
        <f>F191</f>
        <v>29</v>
      </c>
      <c r="J191">
        <f>CONCATENATE(G191,IF(LEN(H191)=1,CONCATENATE("0",H191),H191),IF(LEN(F191)=1,CONCATENATE("0",F191),F191))*1</f>
        <v>19760729</v>
      </c>
    </row>
    <row r="192" spans="1:10" hidden="1" x14ac:dyDescent="0.25">
      <c r="A192" s="4" t="s">
        <v>218</v>
      </c>
      <c r="B192" t="s">
        <v>15</v>
      </c>
      <c r="C192" t="s">
        <v>4</v>
      </c>
      <c r="D192" s="3">
        <f>MID(A192,1,2)*1</f>
        <v>55</v>
      </c>
      <c r="E192" s="4">
        <f>MID(A192,3,2)*1</f>
        <v>4</v>
      </c>
      <c r="F192" s="4">
        <f>MID(A192,5,2)*1</f>
        <v>14</v>
      </c>
      <c r="G192" s="3">
        <f>IF(E192&gt;=20,2000,1900) + D192</f>
        <v>1955</v>
      </c>
      <c r="H192">
        <f>IF(E192&gt;=20,E192-20,E192)</f>
        <v>4</v>
      </c>
      <c r="I192" s="4">
        <f>F192</f>
        <v>14</v>
      </c>
      <c r="J192">
        <f>CONCATENATE(G192,IF(LEN(H192)=1,CONCATENATE("0",H192),H192),IF(LEN(F192)=1,CONCATENATE("0",F192),F192))*1</f>
        <v>19550414</v>
      </c>
    </row>
    <row r="193" spans="1:10" hidden="1" x14ac:dyDescent="0.25">
      <c r="A193" s="4" t="s">
        <v>219</v>
      </c>
      <c r="B193" t="s">
        <v>13</v>
      </c>
      <c r="C193" t="s">
        <v>4</v>
      </c>
      <c r="D193" s="3">
        <f>MID(A193,1,2)*1</f>
        <v>96</v>
      </c>
      <c r="E193" s="4">
        <f>MID(A193,3,2)*1</f>
        <v>1</v>
      </c>
      <c r="F193" s="4">
        <f>MID(A193,5,2)*1</f>
        <v>6</v>
      </c>
      <c r="G193" s="3">
        <f>IF(E193&gt;=20,2000,1900) + D193</f>
        <v>1996</v>
      </c>
      <c r="H193">
        <f>IF(E193&gt;=20,E193-20,E193)</f>
        <v>1</v>
      </c>
      <c r="I193" s="4">
        <f>F193</f>
        <v>6</v>
      </c>
      <c r="J193">
        <f>CONCATENATE(G193,IF(LEN(H193)=1,CONCATENATE("0",H193),H193),IF(LEN(F193)=1,CONCATENATE("0",F193),F193))*1</f>
        <v>19960106</v>
      </c>
    </row>
    <row r="194" spans="1:10" hidden="1" x14ac:dyDescent="0.25">
      <c r="A194" s="4" t="s">
        <v>220</v>
      </c>
      <c r="B194" t="s">
        <v>14</v>
      </c>
      <c r="C194" t="s">
        <v>6</v>
      </c>
      <c r="D194" s="3">
        <f>MID(A194,1,2)*1</f>
        <v>84</v>
      </c>
      <c r="E194" s="4">
        <f>MID(A194,3,2)*1</f>
        <v>3</v>
      </c>
      <c r="F194" s="4">
        <f>MID(A194,5,2)*1</f>
        <v>23</v>
      </c>
      <c r="G194" s="3">
        <f>IF(E194&gt;=20,2000,1900) + D194</f>
        <v>1984</v>
      </c>
      <c r="H194">
        <f>IF(E194&gt;=20,E194-20,E194)</f>
        <v>3</v>
      </c>
      <c r="I194" s="4">
        <f>F194</f>
        <v>23</v>
      </c>
      <c r="J194">
        <f>CONCATENATE(G194,IF(LEN(H194)=1,CONCATENATE("0",H194),H194),IF(LEN(F194)=1,CONCATENATE("0",F194),F194))*1</f>
        <v>19840323</v>
      </c>
    </row>
    <row r="195" spans="1:10" hidden="1" x14ac:dyDescent="0.25">
      <c r="A195" s="4" t="s">
        <v>221</v>
      </c>
      <c r="B195" t="s">
        <v>10</v>
      </c>
      <c r="C195" t="s">
        <v>4</v>
      </c>
      <c r="D195" s="3">
        <f>MID(A195,1,2)*1</f>
        <v>50</v>
      </c>
      <c r="E195" s="4">
        <f>MID(A195,3,2)*1</f>
        <v>10</v>
      </c>
      <c r="F195" s="4">
        <f>MID(A195,5,2)*1</f>
        <v>14</v>
      </c>
      <c r="G195" s="3">
        <f>IF(E195&gt;=20,2000,1900) + D195</f>
        <v>1950</v>
      </c>
      <c r="H195">
        <f>IF(E195&gt;=20,E195-20,E195)</f>
        <v>10</v>
      </c>
      <c r="I195" s="4">
        <f>F195</f>
        <v>14</v>
      </c>
      <c r="J195">
        <f>CONCATENATE(G195,IF(LEN(H195)=1,CONCATENATE("0",H195),H195),IF(LEN(F195)=1,CONCATENATE("0",F195),F195))*1</f>
        <v>19501014</v>
      </c>
    </row>
    <row r="196" spans="1:10" hidden="1" x14ac:dyDescent="0.25">
      <c r="A196" s="4" t="s">
        <v>222</v>
      </c>
      <c r="B196" t="s">
        <v>19</v>
      </c>
      <c r="C196" t="s">
        <v>6</v>
      </c>
      <c r="D196" s="3">
        <f>MID(A196,1,2)*1</f>
        <v>54</v>
      </c>
      <c r="E196" s="4">
        <f>MID(A196,3,2)*1</f>
        <v>12</v>
      </c>
      <c r="F196" s="4">
        <f>MID(A196,5,2)*1</f>
        <v>22</v>
      </c>
      <c r="G196" s="3">
        <f>IF(E196&gt;=20,2000,1900) + D196</f>
        <v>1954</v>
      </c>
      <c r="H196">
        <f>IF(E196&gt;=20,E196-20,E196)</f>
        <v>12</v>
      </c>
      <c r="I196" s="4">
        <f>F196</f>
        <v>22</v>
      </c>
      <c r="J196">
        <f>CONCATENATE(G196,IF(LEN(H196)=1,CONCATENATE("0",H196),H196),IF(LEN(F196)=1,CONCATENATE("0",F196),F196))*1</f>
        <v>19541222</v>
      </c>
    </row>
    <row r="197" spans="1:10" hidden="1" x14ac:dyDescent="0.25">
      <c r="A197" s="4" t="s">
        <v>223</v>
      </c>
      <c r="B197" t="s">
        <v>12</v>
      </c>
      <c r="C197" t="s">
        <v>4</v>
      </c>
      <c r="D197" s="3">
        <f>MID(A197,1,2)*1</f>
        <v>67</v>
      </c>
      <c r="E197" s="4">
        <f>MID(A197,3,2)*1</f>
        <v>9</v>
      </c>
      <c r="F197" s="4">
        <f>MID(A197,5,2)*1</f>
        <v>24</v>
      </c>
      <c r="G197" s="3">
        <f>IF(E197&gt;=20,2000,1900) + D197</f>
        <v>1967</v>
      </c>
      <c r="H197">
        <f>IF(E197&gt;=20,E197-20,E197)</f>
        <v>9</v>
      </c>
      <c r="I197" s="4">
        <f>F197</f>
        <v>24</v>
      </c>
      <c r="J197">
        <f>CONCATENATE(G197,IF(LEN(H197)=1,CONCATENATE("0",H197),H197),IF(LEN(F197)=1,CONCATENATE("0",F197),F197))*1</f>
        <v>19670924</v>
      </c>
    </row>
    <row r="198" spans="1:10" hidden="1" x14ac:dyDescent="0.25">
      <c r="A198" s="4" t="s">
        <v>224</v>
      </c>
      <c r="B198" t="s">
        <v>7</v>
      </c>
      <c r="C198" t="s">
        <v>4</v>
      </c>
      <c r="D198" s="3">
        <f>MID(A198,1,2)*1</f>
        <v>67</v>
      </c>
      <c r="E198" s="4">
        <f>MID(A198,3,2)*1</f>
        <v>2</v>
      </c>
      <c r="F198" s="4">
        <f>MID(A198,5,2)*1</f>
        <v>23</v>
      </c>
      <c r="G198" s="3">
        <f>IF(E198&gt;=20,2000,1900) + D198</f>
        <v>1967</v>
      </c>
      <c r="H198">
        <f>IF(E198&gt;=20,E198-20,E198)</f>
        <v>2</v>
      </c>
      <c r="I198" s="4">
        <f>F198</f>
        <v>23</v>
      </c>
      <c r="J198">
        <f>CONCATENATE(G198,IF(LEN(H198)=1,CONCATENATE("0",H198),H198),IF(LEN(F198)=1,CONCATENATE("0",F198),F198))*1</f>
        <v>19670223</v>
      </c>
    </row>
    <row r="199" spans="1:10" hidden="1" x14ac:dyDescent="0.25">
      <c r="A199" s="4" t="s">
        <v>225</v>
      </c>
      <c r="B199" t="s">
        <v>14</v>
      </c>
      <c r="C199" t="s">
        <v>6</v>
      </c>
      <c r="D199" s="3">
        <f>MID(A199,1,2)*1</f>
        <v>97</v>
      </c>
      <c r="E199" s="4">
        <f>MID(A199,3,2)*1</f>
        <v>4</v>
      </c>
      <c r="F199" s="4">
        <f>MID(A199,5,2)*1</f>
        <v>19</v>
      </c>
      <c r="G199" s="3">
        <f>IF(E199&gt;=20,2000,1900) + D199</f>
        <v>1997</v>
      </c>
      <c r="H199">
        <f>IF(E199&gt;=20,E199-20,E199)</f>
        <v>4</v>
      </c>
      <c r="I199" s="4">
        <f>F199</f>
        <v>19</v>
      </c>
      <c r="J199">
        <f>CONCATENATE(G199,IF(LEN(H199)=1,CONCATENATE("0",H199),H199),IF(LEN(F199)=1,CONCATENATE("0",F199),F199))*1</f>
        <v>19970419</v>
      </c>
    </row>
    <row r="200" spans="1:10" hidden="1" x14ac:dyDescent="0.25">
      <c r="A200" s="4" t="s">
        <v>226</v>
      </c>
      <c r="B200" t="s">
        <v>13</v>
      </c>
      <c r="C200" t="s">
        <v>6</v>
      </c>
      <c r="D200" s="3">
        <f>MID(A200,1,2)*1</f>
        <v>99</v>
      </c>
      <c r="E200" s="4">
        <f>MID(A200,3,2)*1</f>
        <v>1</v>
      </c>
      <c r="F200" s="4">
        <f>MID(A200,5,2)*1</f>
        <v>12</v>
      </c>
      <c r="G200" s="3">
        <f>IF(E200&gt;=20,2000,1900) + D200</f>
        <v>1999</v>
      </c>
      <c r="H200">
        <f>IF(E200&gt;=20,E200-20,E200)</f>
        <v>1</v>
      </c>
      <c r="I200" s="4">
        <f>F200</f>
        <v>12</v>
      </c>
      <c r="J200">
        <f>CONCATENATE(G200,IF(LEN(H200)=1,CONCATENATE("0",H200),H200),IF(LEN(F200)=1,CONCATENATE("0",F200),F200))*1</f>
        <v>19990112</v>
      </c>
    </row>
    <row r="201" spans="1:10" hidden="1" x14ac:dyDescent="0.25">
      <c r="A201" s="4" t="s">
        <v>227</v>
      </c>
      <c r="B201" t="s">
        <v>11</v>
      </c>
      <c r="C201" t="s">
        <v>6</v>
      </c>
      <c r="D201" s="3">
        <f>MID(A201,1,2)*1</f>
        <v>57</v>
      </c>
      <c r="E201" s="4">
        <f>MID(A201,3,2)*1</f>
        <v>7</v>
      </c>
      <c r="F201" s="4">
        <f>MID(A201,5,2)*1</f>
        <v>12</v>
      </c>
      <c r="G201" s="3">
        <f>IF(E201&gt;=20,2000,1900) + D201</f>
        <v>1957</v>
      </c>
      <c r="H201">
        <f>IF(E201&gt;=20,E201-20,E201)</f>
        <v>7</v>
      </c>
      <c r="I201" s="4">
        <f>F201</f>
        <v>12</v>
      </c>
      <c r="J201">
        <f>CONCATENATE(G201,IF(LEN(H201)=1,CONCATENATE("0",H201),H201),IF(LEN(F201)=1,CONCATENATE("0",F201),F201))*1</f>
        <v>19570712</v>
      </c>
    </row>
    <row r="202" spans="1:10" hidden="1" x14ac:dyDescent="0.25">
      <c r="A202" s="4" t="s">
        <v>228</v>
      </c>
      <c r="B202" t="s">
        <v>17</v>
      </c>
      <c r="C202" t="s">
        <v>6</v>
      </c>
      <c r="D202" s="3">
        <f>MID(A202,1,2)*1</f>
        <v>93</v>
      </c>
      <c r="E202" s="4">
        <f>MID(A202,3,2)*1</f>
        <v>1</v>
      </c>
      <c r="F202" s="4">
        <f>MID(A202,5,2)*1</f>
        <v>29</v>
      </c>
      <c r="G202" s="3">
        <f>IF(E202&gt;=20,2000,1900) + D202</f>
        <v>1993</v>
      </c>
      <c r="H202">
        <f>IF(E202&gt;=20,E202-20,E202)</f>
        <v>1</v>
      </c>
      <c r="I202" s="4">
        <f>F202</f>
        <v>29</v>
      </c>
      <c r="J202">
        <f>CONCATENATE(G202,IF(LEN(H202)=1,CONCATENATE("0",H202),H202),IF(LEN(F202)=1,CONCATENATE("0",F202),F202))*1</f>
        <v>19930129</v>
      </c>
    </row>
    <row r="203" spans="1:10" hidden="1" x14ac:dyDescent="0.25">
      <c r="A203" s="4" t="s">
        <v>229</v>
      </c>
      <c r="B203" t="s">
        <v>9</v>
      </c>
      <c r="C203" t="s">
        <v>4</v>
      </c>
      <c r="D203" s="3">
        <f>MID(A203,1,2)*1</f>
        <v>59</v>
      </c>
      <c r="E203" s="4">
        <f>MID(A203,3,2)*1</f>
        <v>8</v>
      </c>
      <c r="F203" s="4">
        <f>MID(A203,5,2)*1</f>
        <v>27</v>
      </c>
      <c r="G203" s="3">
        <f>IF(E203&gt;=20,2000,1900) + D203</f>
        <v>1959</v>
      </c>
      <c r="H203">
        <f>IF(E203&gt;=20,E203-20,E203)</f>
        <v>8</v>
      </c>
      <c r="I203" s="4">
        <f>F203</f>
        <v>27</v>
      </c>
      <c r="J203">
        <f>CONCATENATE(G203,IF(LEN(H203)=1,CONCATENATE("0",H203),H203),IF(LEN(F203)=1,CONCATENATE("0",F203),F203))*1</f>
        <v>19590827</v>
      </c>
    </row>
    <row r="204" spans="1:10" hidden="1" x14ac:dyDescent="0.25">
      <c r="A204" s="4" t="s">
        <v>230</v>
      </c>
      <c r="B204" t="s">
        <v>20</v>
      </c>
      <c r="C204" t="s">
        <v>4</v>
      </c>
      <c r="D204" s="3">
        <f>MID(A204,1,2)*1</f>
        <v>81</v>
      </c>
      <c r="E204" s="4">
        <f>MID(A204,3,2)*1</f>
        <v>9</v>
      </c>
      <c r="F204" s="4">
        <f>MID(A204,5,2)*1</f>
        <v>16</v>
      </c>
      <c r="G204" s="3">
        <f>IF(E204&gt;=20,2000,1900) + D204</f>
        <v>1981</v>
      </c>
      <c r="H204">
        <f>IF(E204&gt;=20,E204-20,E204)</f>
        <v>9</v>
      </c>
      <c r="I204" s="4">
        <f>F204</f>
        <v>16</v>
      </c>
      <c r="J204">
        <f>CONCATENATE(G204,IF(LEN(H204)=1,CONCATENATE("0",H204),H204),IF(LEN(F204)=1,CONCATENATE("0",F204),F204))*1</f>
        <v>19810916</v>
      </c>
    </row>
    <row r="205" spans="1:10" hidden="1" x14ac:dyDescent="0.25">
      <c r="A205" s="4" t="s">
        <v>231</v>
      </c>
      <c r="B205" t="s">
        <v>14</v>
      </c>
      <c r="C205" t="s">
        <v>4</v>
      </c>
      <c r="D205" s="3">
        <f>MID(A205,1,2)*1</f>
        <v>71</v>
      </c>
      <c r="E205" s="4">
        <f>MID(A205,3,2)*1</f>
        <v>2</v>
      </c>
      <c r="F205" s="4">
        <f>MID(A205,5,2)*1</f>
        <v>28</v>
      </c>
      <c r="G205" s="3">
        <f>IF(E205&gt;=20,2000,1900) + D205</f>
        <v>1971</v>
      </c>
      <c r="H205">
        <f>IF(E205&gt;=20,E205-20,E205)</f>
        <v>2</v>
      </c>
      <c r="I205" s="4">
        <f>F205</f>
        <v>28</v>
      </c>
      <c r="J205">
        <f>CONCATENATE(G205,IF(LEN(H205)=1,CONCATENATE("0",H205),H205),IF(LEN(F205)=1,CONCATENATE("0",F205),F205))*1</f>
        <v>19710228</v>
      </c>
    </row>
    <row r="206" spans="1:10" hidden="1" x14ac:dyDescent="0.25">
      <c r="A206" s="4" t="s">
        <v>232</v>
      </c>
      <c r="B206" t="s">
        <v>9</v>
      </c>
      <c r="C206" t="s">
        <v>6</v>
      </c>
      <c r="D206" s="3">
        <f>MID(A206,1,2)*1</f>
        <v>74</v>
      </c>
      <c r="E206" s="4">
        <f>MID(A206,3,2)*1</f>
        <v>12</v>
      </c>
      <c r="F206" s="4">
        <f>MID(A206,5,2)*1</f>
        <v>30</v>
      </c>
      <c r="G206" s="3">
        <f>IF(E206&gt;=20,2000,1900) + D206</f>
        <v>1974</v>
      </c>
      <c r="H206">
        <f>IF(E206&gt;=20,E206-20,E206)</f>
        <v>12</v>
      </c>
      <c r="I206" s="4">
        <f>F206</f>
        <v>30</v>
      </c>
      <c r="J206">
        <f>CONCATENATE(G206,IF(LEN(H206)=1,CONCATENATE("0",H206),H206),IF(LEN(F206)=1,CONCATENATE("0",F206),F206))*1</f>
        <v>19741230</v>
      </c>
    </row>
    <row r="207" spans="1:10" hidden="1" x14ac:dyDescent="0.25">
      <c r="A207" s="4" t="s">
        <v>233</v>
      </c>
      <c r="B207" t="s">
        <v>20</v>
      </c>
      <c r="C207" t="s">
        <v>6</v>
      </c>
      <c r="D207" s="3">
        <f>MID(A207,1,2)*1</f>
        <v>88</v>
      </c>
      <c r="E207" s="4">
        <f>MID(A207,3,2)*1</f>
        <v>6</v>
      </c>
      <c r="F207" s="4">
        <f>MID(A207,5,2)*1</f>
        <v>4</v>
      </c>
      <c r="G207" s="3">
        <f>IF(E207&gt;=20,2000,1900) + D207</f>
        <v>1988</v>
      </c>
      <c r="H207">
        <f>IF(E207&gt;=20,E207-20,E207)</f>
        <v>6</v>
      </c>
      <c r="I207" s="4">
        <f>F207</f>
        <v>4</v>
      </c>
      <c r="J207">
        <f>CONCATENATE(G207,IF(LEN(H207)=1,CONCATENATE("0",H207),H207),IF(LEN(F207)=1,CONCATENATE("0",F207),F207))*1</f>
        <v>19880604</v>
      </c>
    </row>
    <row r="208" spans="1:10" hidden="1" x14ac:dyDescent="0.25">
      <c r="A208" s="4" t="s">
        <v>234</v>
      </c>
      <c r="B208" t="s">
        <v>20</v>
      </c>
      <c r="C208" t="s">
        <v>6</v>
      </c>
      <c r="D208" s="3">
        <f>MID(A208,1,2)*1</f>
        <v>85</v>
      </c>
      <c r="E208" s="4">
        <f>MID(A208,3,2)*1</f>
        <v>1</v>
      </c>
      <c r="F208" s="4">
        <f>MID(A208,5,2)*1</f>
        <v>27</v>
      </c>
      <c r="G208" s="3">
        <f>IF(E208&gt;=20,2000,1900) + D208</f>
        <v>1985</v>
      </c>
      <c r="H208">
        <f>IF(E208&gt;=20,E208-20,E208)</f>
        <v>1</v>
      </c>
      <c r="I208" s="4">
        <f>F208</f>
        <v>27</v>
      </c>
      <c r="J208">
        <f>CONCATENATE(G208,IF(LEN(H208)=1,CONCATENATE("0",H208),H208),IF(LEN(F208)=1,CONCATENATE("0",F208),F208))*1</f>
        <v>19850127</v>
      </c>
    </row>
    <row r="209" spans="1:10" hidden="1" x14ac:dyDescent="0.25">
      <c r="A209" s="4" t="s">
        <v>235</v>
      </c>
      <c r="B209" t="s">
        <v>12</v>
      </c>
      <c r="C209" t="s">
        <v>4</v>
      </c>
      <c r="D209" s="3">
        <f>MID(A209,1,2)*1</f>
        <v>94</v>
      </c>
      <c r="E209" s="4">
        <f>MID(A209,3,2)*1</f>
        <v>11</v>
      </c>
      <c r="F209" s="4">
        <f>MID(A209,5,2)*1</f>
        <v>21</v>
      </c>
      <c r="G209" s="3">
        <f>IF(E209&gt;=20,2000,1900) + D209</f>
        <v>1994</v>
      </c>
      <c r="H209">
        <f>IF(E209&gt;=20,E209-20,E209)</f>
        <v>11</v>
      </c>
      <c r="I209" s="4">
        <f>F209</f>
        <v>21</v>
      </c>
      <c r="J209">
        <f>CONCATENATE(G209,IF(LEN(H209)=1,CONCATENATE("0",H209),H209),IF(LEN(F209)=1,CONCATENATE("0",F209),F209))*1</f>
        <v>19941121</v>
      </c>
    </row>
    <row r="210" spans="1:10" hidden="1" x14ac:dyDescent="0.25">
      <c r="A210" s="4" t="s">
        <v>236</v>
      </c>
      <c r="B210" t="s">
        <v>12</v>
      </c>
      <c r="C210" t="s">
        <v>4</v>
      </c>
      <c r="D210" s="3">
        <f>MID(A210,1,2)*1</f>
        <v>68</v>
      </c>
      <c r="E210" s="4">
        <f>MID(A210,3,2)*1</f>
        <v>9</v>
      </c>
      <c r="F210" s="4">
        <f>MID(A210,5,2)*1</f>
        <v>16</v>
      </c>
      <c r="G210" s="3">
        <f>IF(E210&gt;=20,2000,1900) + D210</f>
        <v>1968</v>
      </c>
      <c r="H210">
        <f>IF(E210&gt;=20,E210-20,E210)</f>
        <v>9</v>
      </c>
      <c r="I210" s="4">
        <f>F210</f>
        <v>16</v>
      </c>
      <c r="J210">
        <f>CONCATENATE(G210,IF(LEN(H210)=1,CONCATENATE("0",H210),H210),IF(LEN(F210)=1,CONCATENATE("0",F210),F210))*1</f>
        <v>19680916</v>
      </c>
    </row>
    <row r="211" spans="1:10" hidden="1" x14ac:dyDescent="0.25">
      <c r="A211" s="4" t="s">
        <v>237</v>
      </c>
      <c r="B211" t="s">
        <v>14</v>
      </c>
      <c r="C211" t="s">
        <v>6</v>
      </c>
      <c r="D211" s="3">
        <f>MID(A211,1,2)*1</f>
        <v>54</v>
      </c>
      <c r="E211" s="4">
        <f>MID(A211,3,2)*1</f>
        <v>8</v>
      </c>
      <c r="F211" s="4">
        <f>MID(A211,5,2)*1</f>
        <v>13</v>
      </c>
      <c r="G211" s="3">
        <f>IF(E211&gt;=20,2000,1900) + D211</f>
        <v>1954</v>
      </c>
      <c r="H211">
        <f>IF(E211&gt;=20,E211-20,E211)</f>
        <v>8</v>
      </c>
      <c r="I211" s="4">
        <f>F211</f>
        <v>13</v>
      </c>
      <c r="J211">
        <f>CONCATENATE(G211,IF(LEN(H211)=1,CONCATENATE("0",H211),H211),IF(LEN(F211)=1,CONCATENATE("0",F211),F211))*1</f>
        <v>19540813</v>
      </c>
    </row>
    <row r="212" spans="1:10" hidden="1" x14ac:dyDescent="0.25">
      <c r="A212" s="4" t="s">
        <v>238</v>
      </c>
      <c r="B212" t="s">
        <v>14</v>
      </c>
      <c r="C212" t="s">
        <v>4</v>
      </c>
      <c r="D212" s="3">
        <f>MID(A212,1,2)*1</f>
        <v>60</v>
      </c>
      <c r="E212" s="4">
        <f>MID(A212,3,2)*1</f>
        <v>1</v>
      </c>
      <c r="F212" s="4">
        <f>MID(A212,5,2)*1</f>
        <v>23</v>
      </c>
      <c r="G212" s="3">
        <f>IF(E212&gt;=20,2000,1900) + D212</f>
        <v>1960</v>
      </c>
      <c r="H212">
        <f>IF(E212&gt;=20,E212-20,E212)</f>
        <v>1</v>
      </c>
      <c r="I212" s="4">
        <f>F212</f>
        <v>23</v>
      </c>
      <c r="J212">
        <f>CONCATENATE(G212,IF(LEN(H212)=1,CONCATENATE("0",H212),H212),IF(LEN(F212)=1,CONCATENATE("0",F212),F212))*1</f>
        <v>19600123</v>
      </c>
    </row>
    <row r="213" spans="1:10" hidden="1" x14ac:dyDescent="0.25">
      <c r="A213" s="4" t="s">
        <v>239</v>
      </c>
      <c r="B213" t="s">
        <v>14</v>
      </c>
      <c r="C213" t="s">
        <v>4</v>
      </c>
      <c r="D213" s="3">
        <f>MID(A213,1,2)*1</f>
        <v>61</v>
      </c>
      <c r="E213" s="4">
        <f>MID(A213,3,2)*1</f>
        <v>4</v>
      </c>
      <c r="F213" s="4">
        <f>MID(A213,5,2)*1</f>
        <v>29</v>
      </c>
      <c r="G213" s="3">
        <f>IF(E213&gt;=20,2000,1900) + D213</f>
        <v>1961</v>
      </c>
      <c r="H213">
        <f>IF(E213&gt;=20,E213-20,E213)</f>
        <v>4</v>
      </c>
      <c r="I213" s="4">
        <f>F213</f>
        <v>29</v>
      </c>
      <c r="J213">
        <f>CONCATENATE(G213,IF(LEN(H213)=1,CONCATENATE("0",H213),H213),IF(LEN(F213)=1,CONCATENATE("0",F213),F213))*1</f>
        <v>19610429</v>
      </c>
    </row>
    <row r="214" spans="1:10" hidden="1" x14ac:dyDescent="0.25">
      <c r="A214" s="4" t="s">
        <v>240</v>
      </c>
      <c r="B214" t="s">
        <v>11</v>
      </c>
      <c r="C214" t="s">
        <v>4</v>
      </c>
      <c r="D214" s="3">
        <f>MID(A214,1,2)*1</f>
        <v>67</v>
      </c>
      <c r="E214" s="4">
        <f>MID(A214,3,2)*1</f>
        <v>12</v>
      </c>
      <c r="F214" s="4">
        <f>MID(A214,5,2)*1</f>
        <v>25</v>
      </c>
      <c r="G214" s="3">
        <f>IF(E214&gt;=20,2000,1900) + D214</f>
        <v>1967</v>
      </c>
      <c r="H214">
        <f>IF(E214&gt;=20,E214-20,E214)</f>
        <v>12</v>
      </c>
      <c r="I214" s="4">
        <f>F214</f>
        <v>25</v>
      </c>
      <c r="J214">
        <f>CONCATENATE(G214,IF(LEN(H214)=1,CONCATENATE("0",H214),H214),IF(LEN(F214)=1,CONCATENATE("0",F214),F214))*1</f>
        <v>19671225</v>
      </c>
    </row>
    <row r="215" spans="1:10" hidden="1" x14ac:dyDescent="0.25">
      <c r="A215" s="4" t="s">
        <v>241</v>
      </c>
      <c r="B215" t="s">
        <v>5</v>
      </c>
      <c r="C215" t="s">
        <v>6</v>
      </c>
      <c r="D215" s="3">
        <f>MID(A215,1,2)*1</f>
        <v>85</v>
      </c>
      <c r="E215" s="4">
        <f>MID(A215,3,2)*1</f>
        <v>6</v>
      </c>
      <c r="F215" s="4">
        <f>MID(A215,5,2)*1</f>
        <v>5</v>
      </c>
      <c r="G215" s="3">
        <f>IF(E215&gt;=20,2000,1900) + D215</f>
        <v>1985</v>
      </c>
      <c r="H215">
        <f>IF(E215&gt;=20,E215-20,E215)</f>
        <v>6</v>
      </c>
      <c r="I215" s="4">
        <f>F215</f>
        <v>5</v>
      </c>
      <c r="J215">
        <f>CONCATENATE(G215,IF(LEN(H215)=1,CONCATENATE("0",H215),H215),IF(LEN(F215)=1,CONCATENATE("0",F215),F215))*1</f>
        <v>19850605</v>
      </c>
    </row>
    <row r="216" spans="1:10" hidden="1" x14ac:dyDescent="0.25">
      <c r="A216" s="4" t="s">
        <v>242</v>
      </c>
      <c r="B216" t="s">
        <v>17</v>
      </c>
      <c r="C216" t="s">
        <v>6</v>
      </c>
      <c r="D216" s="3">
        <f>MID(A216,1,2)*1</f>
        <v>62</v>
      </c>
      <c r="E216" s="4">
        <f>MID(A216,3,2)*1</f>
        <v>3</v>
      </c>
      <c r="F216" s="4">
        <f>MID(A216,5,2)*1</f>
        <v>5</v>
      </c>
      <c r="G216" s="3">
        <f>IF(E216&gt;=20,2000,1900) + D216</f>
        <v>1962</v>
      </c>
      <c r="H216">
        <f>IF(E216&gt;=20,E216-20,E216)</f>
        <v>3</v>
      </c>
      <c r="I216" s="4">
        <f>F216</f>
        <v>5</v>
      </c>
      <c r="J216">
        <f>CONCATENATE(G216,IF(LEN(H216)=1,CONCATENATE("0",H216),H216),IF(LEN(F216)=1,CONCATENATE("0",F216),F216))*1</f>
        <v>19620305</v>
      </c>
    </row>
    <row r="217" spans="1:10" hidden="1" x14ac:dyDescent="0.25">
      <c r="A217" s="4" t="s">
        <v>243</v>
      </c>
      <c r="B217" t="s">
        <v>9</v>
      </c>
      <c r="C217" t="s">
        <v>6</v>
      </c>
      <c r="D217" s="3">
        <f>MID(A217,1,2)*1</f>
        <v>87</v>
      </c>
      <c r="E217" s="4">
        <f>MID(A217,3,2)*1</f>
        <v>7</v>
      </c>
      <c r="F217" s="4">
        <f>MID(A217,5,2)*1</f>
        <v>16</v>
      </c>
      <c r="G217" s="3">
        <f>IF(E217&gt;=20,2000,1900) + D217</f>
        <v>1987</v>
      </c>
      <c r="H217">
        <f>IF(E217&gt;=20,E217-20,E217)</f>
        <v>7</v>
      </c>
      <c r="I217" s="4">
        <f>F217</f>
        <v>16</v>
      </c>
      <c r="J217">
        <f>CONCATENATE(G217,IF(LEN(H217)=1,CONCATENATE("0",H217),H217),IF(LEN(F217)=1,CONCATENATE("0",F217),F217))*1</f>
        <v>19870716</v>
      </c>
    </row>
    <row r="218" spans="1:10" hidden="1" x14ac:dyDescent="0.25">
      <c r="A218" s="4" t="s">
        <v>244</v>
      </c>
      <c r="B218" t="s">
        <v>9</v>
      </c>
      <c r="C218" t="s">
        <v>6</v>
      </c>
      <c r="D218" s="3">
        <f>MID(A218,1,2)*1</f>
        <v>80</v>
      </c>
      <c r="E218" s="4">
        <f>MID(A218,3,2)*1</f>
        <v>5</v>
      </c>
      <c r="F218" s="4">
        <f>MID(A218,5,2)*1</f>
        <v>13</v>
      </c>
      <c r="G218" s="3">
        <f>IF(E218&gt;=20,2000,1900) + D218</f>
        <v>1980</v>
      </c>
      <c r="H218">
        <f>IF(E218&gt;=20,E218-20,E218)</f>
        <v>5</v>
      </c>
      <c r="I218" s="4">
        <f>F218</f>
        <v>13</v>
      </c>
      <c r="J218">
        <f>CONCATENATE(G218,IF(LEN(H218)=1,CONCATENATE("0",H218),H218),IF(LEN(F218)=1,CONCATENATE("0",F218),F218))*1</f>
        <v>19800513</v>
      </c>
    </row>
    <row r="219" spans="1:10" hidden="1" x14ac:dyDescent="0.25">
      <c r="A219" s="4" t="s">
        <v>245</v>
      </c>
      <c r="B219" t="s">
        <v>9</v>
      </c>
      <c r="C219" t="s">
        <v>6</v>
      </c>
      <c r="D219" s="3">
        <f>MID(A219,1,2)*1</f>
        <v>63</v>
      </c>
      <c r="E219" s="4">
        <f>MID(A219,3,2)*1</f>
        <v>3</v>
      </c>
      <c r="F219" s="4">
        <f>MID(A219,5,2)*1</f>
        <v>12</v>
      </c>
      <c r="G219" s="3">
        <f>IF(E219&gt;=20,2000,1900) + D219</f>
        <v>1963</v>
      </c>
      <c r="H219">
        <f>IF(E219&gt;=20,E219-20,E219)</f>
        <v>3</v>
      </c>
      <c r="I219" s="4">
        <f>F219</f>
        <v>12</v>
      </c>
      <c r="J219">
        <f>CONCATENATE(G219,IF(LEN(H219)=1,CONCATENATE("0",H219),H219),IF(LEN(F219)=1,CONCATENATE("0",F219),F219))*1</f>
        <v>19630312</v>
      </c>
    </row>
    <row r="220" spans="1:10" x14ac:dyDescent="0.25">
      <c r="A220" s="4" t="s">
        <v>181</v>
      </c>
      <c r="B220" t="s">
        <v>18</v>
      </c>
      <c r="C220" t="s">
        <v>4</v>
      </c>
      <c r="D220" s="3">
        <f>MID(A220,1,2)*1</f>
        <v>67</v>
      </c>
      <c r="E220" s="4">
        <f>MID(A220,3,2)*1</f>
        <v>10</v>
      </c>
      <c r="F220" s="4">
        <f>MID(A220,5,2)*1</f>
        <v>3</v>
      </c>
      <c r="G220" s="3">
        <f>IF(E220&gt;=20,2000,1900) + D220</f>
        <v>1967</v>
      </c>
      <c r="H220">
        <f>IF(E220&gt;=20,E220-20,E220)</f>
        <v>10</v>
      </c>
      <c r="I220" s="4">
        <f>F220</f>
        <v>3</v>
      </c>
      <c r="J220">
        <f>CONCATENATE(G220,IF(LEN(H220)=1,CONCATENATE("0",H220),H220),IF(LEN(F220)=1,CONCATENATE("0",F220),F220))*1</f>
        <v>19671003</v>
      </c>
    </row>
    <row r="221" spans="1:10" hidden="1" x14ac:dyDescent="0.25">
      <c r="A221" s="4" t="s">
        <v>247</v>
      </c>
      <c r="B221" t="s">
        <v>12</v>
      </c>
      <c r="C221" t="s">
        <v>4</v>
      </c>
      <c r="D221" s="3">
        <f>MID(A221,1,2)*1</f>
        <v>90</v>
      </c>
      <c r="E221" s="4">
        <f>MID(A221,3,2)*1</f>
        <v>7</v>
      </c>
      <c r="F221" s="4">
        <f>MID(A221,5,2)*1</f>
        <v>13</v>
      </c>
      <c r="G221" s="3">
        <f>IF(E221&gt;=20,2000,1900) + D221</f>
        <v>1990</v>
      </c>
      <c r="H221">
        <f>IF(E221&gt;=20,E221-20,E221)</f>
        <v>7</v>
      </c>
      <c r="I221" s="4">
        <f>F221</f>
        <v>13</v>
      </c>
      <c r="J221">
        <f>CONCATENATE(G221,IF(LEN(H221)=1,CONCATENATE("0",H221),H221),IF(LEN(F221)=1,CONCATENATE("0",F221),F221))*1</f>
        <v>19900713</v>
      </c>
    </row>
    <row r="222" spans="1:10" hidden="1" x14ac:dyDescent="0.25">
      <c r="A222" s="4" t="s">
        <v>248</v>
      </c>
      <c r="B222" t="s">
        <v>15</v>
      </c>
      <c r="C222" t="s">
        <v>6</v>
      </c>
      <c r="D222" s="3">
        <f>MID(A222,1,2)*1</f>
        <v>79</v>
      </c>
      <c r="E222" s="4">
        <f>MID(A222,3,2)*1</f>
        <v>10</v>
      </c>
      <c r="F222" s="4">
        <f>MID(A222,5,2)*1</f>
        <v>1</v>
      </c>
      <c r="G222" s="3">
        <f>IF(E222&gt;=20,2000,1900) + D222</f>
        <v>1979</v>
      </c>
      <c r="H222">
        <f>IF(E222&gt;=20,E222-20,E222)</f>
        <v>10</v>
      </c>
      <c r="I222" s="4">
        <f>F222</f>
        <v>1</v>
      </c>
      <c r="J222">
        <f>CONCATENATE(G222,IF(LEN(H222)=1,CONCATENATE("0",H222),H222),IF(LEN(F222)=1,CONCATENATE("0",F222),F222))*1</f>
        <v>19791001</v>
      </c>
    </row>
    <row r="223" spans="1:10" hidden="1" x14ac:dyDescent="0.25">
      <c r="A223" s="4" t="s">
        <v>249</v>
      </c>
      <c r="B223" t="s">
        <v>8</v>
      </c>
      <c r="C223" t="s">
        <v>6</v>
      </c>
      <c r="D223" s="3">
        <f>MID(A223,1,2)*1</f>
        <v>67</v>
      </c>
      <c r="E223" s="4">
        <f>MID(A223,3,2)*1</f>
        <v>2</v>
      </c>
      <c r="F223" s="4">
        <f>MID(A223,5,2)*1</f>
        <v>16</v>
      </c>
      <c r="G223" s="3">
        <f>IF(E223&gt;=20,2000,1900) + D223</f>
        <v>1967</v>
      </c>
      <c r="H223">
        <f>IF(E223&gt;=20,E223-20,E223)</f>
        <v>2</v>
      </c>
      <c r="I223" s="4">
        <f>F223</f>
        <v>16</v>
      </c>
      <c r="J223">
        <f>CONCATENATE(G223,IF(LEN(H223)=1,CONCATENATE("0",H223),H223),IF(LEN(F223)=1,CONCATENATE("0",F223),F223))*1</f>
        <v>19670216</v>
      </c>
    </row>
    <row r="224" spans="1:10" hidden="1" x14ac:dyDescent="0.25">
      <c r="A224" s="4" t="s">
        <v>250</v>
      </c>
      <c r="B224" t="s">
        <v>20</v>
      </c>
      <c r="C224" t="s">
        <v>4</v>
      </c>
      <c r="D224" s="3">
        <f>MID(A224,1,2)*1</f>
        <v>80</v>
      </c>
      <c r="E224" s="4">
        <f>MID(A224,3,2)*1</f>
        <v>12</v>
      </c>
      <c r="F224" s="4">
        <f>MID(A224,5,2)*1</f>
        <v>29</v>
      </c>
      <c r="G224" s="3">
        <f>IF(E224&gt;=20,2000,1900) + D224</f>
        <v>1980</v>
      </c>
      <c r="H224">
        <f>IF(E224&gt;=20,E224-20,E224)</f>
        <v>12</v>
      </c>
      <c r="I224" s="4">
        <f>F224</f>
        <v>29</v>
      </c>
      <c r="J224">
        <f>CONCATENATE(G224,IF(LEN(H224)=1,CONCATENATE("0",H224),H224),IF(LEN(F224)=1,CONCATENATE("0",F224),F224))*1</f>
        <v>19801229</v>
      </c>
    </row>
    <row r="225" spans="1:10" hidden="1" x14ac:dyDescent="0.25">
      <c r="A225" s="4" t="s">
        <v>251</v>
      </c>
      <c r="B225" t="s">
        <v>7</v>
      </c>
      <c r="C225" t="s">
        <v>6</v>
      </c>
      <c r="D225" s="3">
        <f>MID(A225,1,2)*1</f>
        <v>68</v>
      </c>
      <c r="E225" s="4">
        <f>MID(A225,3,2)*1</f>
        <v>2</v>
      </c>
      <c r="F225" s="4">
        <f>MID(A225,5,2)*1</f>
        <v>15</v>
      </c>
      <c r="G225" s="3">
        <f>IF(E225&gt;=20,2000,1900) + D225</f>
        <v>1968</v>
      </c>
      <c r="H225">
        <f>IF(E225&gt;=20,E225-20,E225)</f>
        <v>2</v>
      </c>
      <c r="I225" s="4">
        <f>F225</f>
        <v>15</v>
      </c>
      <c r="J225">
        <f>CONCATENATE(G225,IF(LEN(H225)=1,CONCATENATE("0",H225),H225),IF(LEN(F225)=1,CONCATENATE("0",F225),F225))*1</f>
        <v>19680215</v>
      </c>
    </row>
    <row r="226" spans="1:10" hidden="1" x14ac:dyDescent="0.25">
      <c r="A226" s="4" t="s">
        <v>252</v>
      </c>
      <c r="B226" t="s">
        <v>16</v>
      </c>
      <c r="C226" t="s">
        <v>4</v>
      </c>
      <c r="D226" s="3">
        <f>MID(A226,1,2)*1</f>
        <v>57</v>
      </c>
      <c r="E226" s="4">
        <f>MID(A226,3,2)*1</f>
        <v>5</v>
      </c>
      <c r="F226" s="4">
        <f>MID(A226,5,2)*1</f>
        <v>17</v>
      </c>
      <c r="G226" s="3">
        <f>IF(E226&gt;=20,2000,1900) + D226</f>
        <v>1957</v>
      </c>
      <c r="H226">
        <f>IF(E226&gt;=20,E226-20,E226)</f>
        <v>5</v>
      </c>
      <c r="I226" s="4">
        <f>F226</f>
        <v>17</v>
      </c>
      <c r="J226">
        <f>CONCATENATE(G226,IF(LEN(H226)=1,CONCATENATE("0",H226),H226),IF(LEN(F226)=1,CONCATENATE("0",F226),F226))*1</f>
        <v>19570517</v>
      </c>
    </row>
    <row r="227" spans="1:10" hidden="1" x14ac:dyDescent="0.25">
      <c r="A227" s="4" t="s">
        <v>253</v>
      </c>
      <c r="B227" t="s">
        <v>11</v>
      </c>
      <c r="C227" t="s">
        <v>6</v>
      </c>
      <c r="D227" s="3">
        <f>MID(A227,1,2)*1</f>
        <v>96</v>
      </c>
      <c r="E227" s="4">
        <f>MID(A227,3,2)*1</f>
        <v>11</v>
      </c>
      <c r="F227" s="4">
        <f>MID(A227,5,2)*1</f>
        <v>12</v>
      </c>
      <c r="G227" s="3">
        <f>IF(E227&gt;=20,2000,1900) + D227</f>
        <v>1996</v>
      </c>
      <c r="H227">
        <f>IF(E227&gt;=20,E227-20,E227)</f>
        <v>11</v>
      </c>
      <c r="I227" s="4">
        <f>F227</f>
        <v>12</v>
      </c>
      <c r="J227">
        <f>CONCATENATE(G227,IF(LEN(H227)=1,CONCATENATE("0",H227),H227),IF(LEN(F227)=1,CONCATENATE("0",F227),F227))*1</f>
        <v>19961112</v>
      </c>
    </row>
    <row r="228" spans="1:10" hidden="1" x14ac:dyDescent="0.25">
      <c r="A228" s="4" t="s">
        <v>254</v>
      </c>
      <c r="B228" t="s">
        <v>15</v>
      </c>
      <c r="C228" t="s">
        <v>6</v>
      </c>
      <c r="D228" s="3">
        <f>MID(A228,1,2)*1</f>
        <v>89</v>
      </c>
      <c r="E228" s="4">
        <f>MID(A228,3,2)*1</f>
        <v>3</v>
      </c>
      <c r="F228" s="4">
        <f>MID(A228,5,2)*1</f>
        <v>10</v>
      </c>
      <c r="G228" s="3">
        <f>IF(E228&gt;=20,2000,1900) + D228</f>
        <v>1989</v>
      </c>
      <c r="H228">
        <f>IF(E228&gt;=20,E228-20,E228)</f>
        <v>3</v>
      </c>
      <c r="I228" s="4">
        <f>F228</f>
        <v>10</v>
      </c>
      <c r="J228">
        <f>CONCATENATE(G228,IF(LEN(H228)=1,CONCATENATE("0",H228),H228),IF(LEN(F228)=1,CONCATENATE("0",F228),F228))*1</f>
        <v>19890310</v>
      </c>
    </row>
    <row r="229" spans="1:10" hidden="1" x14ac:dyDescent="0.25">
      <c r="A229" s="4" t="s">
        <v>255</v>
      </c>
      <c r="B229" t="s">
        <v>19</v>
      </c>
      <c r="C229" t="s">
        <v>4</v>
      </c>
      <c r="D229" s="3">
        <f>MID(A229,1,2)*1</f>
        <v>82</v>
      </c>
      <c r="E229" s="4">
        <f>MID(A229,3,2)*1</f>
        <v>9</v>
      </c>
      <c r="F229" s="4">
        <f>MID(A229,5,2)*1</f>
        <v>13</v>
      </c>
      <c r="G229" s="3">
        <f>IF(E229&gt;=20,2000,1900) + D229</f>
        <v>1982</v>
      </c>
      <c r="H229">
        <f>IF(E229&gt;=20,E229-20,E229)</f>
        <v>9</v>
      </c>
      <c r="I229" s="4">
        <f>F229</f>
        <v>13</v>
      </c>
      <c r="J229">
        <f>CONCATENATE(G229,IF(LEN(H229)=1,CONCATENATE("0",H229),H229),IF(LEN(F229)=1,CONCATENATE("0",F229),F229))*1</f>
        <v>19820913</v>
      </c>
    </row>
    <row r="230" spans="1:10" hidden="1" x14ac:dyDescent="0.25">
      <c r="A230" s="4" t="s">
        <v>256</v>
      </c>
      <c r="B230" t="s">
        <v>7</v>
      </c>
      <c r="C230" t="s">
        <v>4</v>
      </c>
      <c r="D230" s="3">
        <f>MID(A230,1,2)*1</f>
        <v>51</v>
      </c>
      <c r="E230" s="4">
        <f>MID(A230,3,2)*1</f>
        <v>12</v>
      </c>
      <c r="F230" s="4">
        <f>MID(A230,5,2)*1</f>
        <v>20</v>
      </c>
      <c r="G230" s="3">
        <f>IF(E230&gt;=20,2000,1900) + D230</f>
        <v>1951</v>
      </c>
      <c r="H230">
        <f>IF(E230&gt;=20,E230-20,E230)</f>
        <v>12</v>
      </c>
      <c r="I230" s="4">
        <f>F230</f>
        <v>20</v>
      </c>
      <c r="J230">
        <f>CONCATENATE(G230,IF(LEN(H230)=1,CONCATENATE("0",H230),H230),IF(LEN(F230)=1,CONCATENATE("0",F230),F230))*1</f>
        <v>19511220</v>
      </c>
    </row>
    <row r="231" spans="1:10" hidden="1" x14ac:dyDescent="0.25">
      <c r="A231" s="4" t="s">
        <v>257</v>
      </c>
      <c r="B231" t="s">
        <v>9</v>
      </c>
      <c r="C231" t="s">
        <v>6</v>
      </c>
      <c r="D231" s="3">
        <f>MID(A231,1,2)*1</f>
        <v>65</v>
      </c>
      <c r="E231" s="4">
        <f>MID(A231,3,2)*1</f>
        <v>8</v>
      </c>
      <c r="F231" s="4">
        <f>MID(A231,5,2)*1</f>
        <v>18</v>
      </c>
      <c r="G231" s="3">
        <f>IF(E231&gt;=20,2000,1900) + D231</f>
        <v>1965</v>
      </c>
      <c r="H231">
        <f>IF(E231&gt;=20,E231-20,E231)</f>
        <v>8</v>
      </c>
      <c r="I231" s="4">
        <f>F231</f>
        <v>18</v>
      </c>
      <c r="J231">
        <f>CONCATENATE(G231,IF(LEN(H231)=1,CONCATENATE("0",H231),H231),IF(LEN(F231)=1,CONCATENATE("0",F231),F231))*1</f>
        <v>19650818</v>
      </c>
    </row>
    <row r="232" spans="1:10" hidden="1" x14ac:dyDescent="0.25">
      <c r="A232" s="4" t="s">
        <v>258</v>
      </c>
      <c r="B232" t="s">
        <v>14</v>
      </c>
      <c r="C232" t="s">
        <v>4</v>
      </c>
      <c r="D232" s="3">
        <f>MID(A232,1,2)*1</f>
        <v>52</v>
      </c>
      <c r="E232" s="4">
        <f>MID(A232,3,2)*1</f>
        <v>7</v>
      </c>
      <c r="F232" s="4">
        <f>MID(A232,5,2)*1</f>
        <v>31</v>
      </c>
      <c r="G232" s="3">
        <f>IF(E232&gt;=20,2000,1900) + D232</f>
        <v>1952</v>
      </c>
      <c r="H232">
        <f>IF(E232&gt;=20,E232-20,E232)</f>
        <v>7</v>
      </c>
      <c r="I232" s="4">
        <f>F232</f>
        <v>31</v>
      </c>
      <c r="J232">
        <f>CONCATENATE(G232,IF(LEN(H232)=1,CONCATENATE("0",H232),H232),IF(LEN(F232)=1,CONCATENATE("0",F232),F232))*1</f>
        <v>19520731</v>
      </c>
    </row>
    <row r="233" spans="1:10" hidden="1" x14ac:dyDescent="0.25">
      <c r="A233" s="4" t="s">
        <v>259</v>
      </c>
      <c r="B233" t="s">
        <v>8</v>
      </c>
      <c r="C233" t="s">
        <v>6</v>
      </c>
      <c r="D233" s="3">
        <f>MID(A233,1,2)*1</f>
        <v>52</v>
      </c>
      <c r="E233" s="4">
        <f>MID(A233,3,2)*1</f>
        <v>7</v>
      </c>
      <c r="F233" s="4">
        <f>MID(A233,5,2)*1</f>
        <v>27</v>
      </c>
      <c r="G233" s="3">
        <f>IF(E233&gt;=20,2000,1900) + D233</f>
        <v>1952</v>
      </c>
      <c r="H233">
        <f>IF(E233&gt;=20,E233-20,E233)</f>
        <v>7</v>
      </c>
      <c r="I233" s="4">
        <f>F233</f>
        <v>27</v>
      </c>
      <c r="J233">
        <f>CONCATENATE(G233,IF(LEN(H233)=1,CONCATENATE("0",H233),H233),IF(LEN(F233)=1,CONCATENATE("0",F233),F233))*1</f>
        <v>19520727</v>
      </c>
    </row>
    <row r="234" spans="1:10" hidden="1" x14ac:dyDescent="0.25">
      <c r="A234" s="4" t="s">
        <v>260</v>
      </c>
      <c r="B234" t="s">
        <v>16</v>
      </c>
      <c r="C234" t="s">
        <v>4</v>
      </c>
      <c r="D234" s="3">
        <f>MID(A234,1,2)*1</f>
        <v>73</v>
      </c>
      <c r="E234" s="4">
        <f>MID(A234,3,2)*1</f>
        <v>5</v>
      </c>
      <c r="F234" s="4">
        <f>MID(A234,5,2)*1</f>
        <v>8</v>
      </c>
      <c r="G234" s="3">
        <f>IF(E234&gt;=20,2000,1900) + D234</f>
        <v>1973</v>
      </c>
      <c r="H234">
        <f>IF(E234&gt;=20,E234-20,E234)</f>
        <v>5</v>
      </c>
      <c r="I234" s="4">
        <f>F234</f>
        <v>8</v>
      </c>
      <c r="J234">
        <f>CONCATENATE(G234,IF(LEN(H234)=1,CONCATENATE("0",H234),H234),IF(LEN(F234)=1,CONCATENATE("0",F234),F234))*1</f>
        <v>19730508</v>
      </c>
    </row>
    <row r="235" spans="1:10" hidden="1" x14ac:dyDescent="0.25">
      <c r="A235" s="4" t="s">
        <v>261</v>
      </c>
      <c r="B235" t="s">
        <v>19</v>
      </c>
      <c r="C235" t="s">
        <v>6</v>
      </c>
      <c r="D235" s="3">
        <f>MID(A235,1,2)*1</f>
        <v>61</v>
      </c>
      <c r="E235" s="4">
        <f>MID(A235,3,2)*1</f>
        <v>4</v>
      </c>
      <c r="F235" s="4">
        <f>MID(A235,5,2)*1</f>
        <v>18</v>
      </c>
      <c r="G235" s="3">
        <f>IF(E235&gt;=20,2000,1900) + D235</f>
        <v>1961</v>
      </c>
      <c r="H235">
        <f>IF(E235&gt;=20,E235-20,E235)</f>
        <v>4</v>
      </c>
      <c r="I235" s="4">
        <f>F235</f>
        <v>18</v>
      </c>
      <c r="J235">
        <f>CONCATENATE(G235,IF(LEN(H235)=1,CONCATENATE("0",H235),H235),IF(LEN(F235)=1,CONCATENATE("0",F235),F235))*1</f>
        <v>19610418</v>
      </c>
    </row>
    <row r="236" spans="1:10" hidden="1" x14ac:dyDescent="0.25">
      <c r="A236" s="4" t="s">
        <v>262</v>
      </c>
      <c r="B236" t="s">
        <v>8</v>
      </c>
      <c r="C236" t="s">
        <v>4</v>
      </c>
      <c r="D236" s="3">
        <f>MID(A236,1,2)*1</f>
        <v>66</v>
      </c>
      <c r="E236" s="4">
        <f>MID(A236,3,2)*1</f>
        <v>7</v>
      </c>
      <c r="F236" s="4">
        <f>MID(A236,5,2)*1</f>
        <v>20</v>
      </c>
      <c r="G236" s="3">
        <f>IF(E236&gt;=20,2000,1900) + D236</f>
        <v>1966</v>
      </c>
      <c r="H236">
        <f>IF(E236&gt;=20,E236-20,E236)</f>
        <v>7</v>
      </c>
      <c r="I236" s="4">
        <f>F236</f>
        <v>20</v>
      </c>
      <c r="J236">
        <f>CONCATENATE(G236,IF(LEN(H236)=1,CONCATENATE("0",H236),H236),IF(LEN(F236)=1,CONCATENATE("0",F236),F236))*1</f>
        <v>19660720</v>
      </c>
    </row>
    <row r="237" spans="1:10" hidden="1" x14ac:dyDescent="0.25">
      <c r="A237" s="4" t="s">
        <v>263</v>
      </c>
      <c r="B237" t="s">
        <v>3</v>
      </c>
      <c r="C237" t="s">
        <v>4</v>
      </c>
      <c r="D237" s="3">
        <f>MID(A237,1,2)*1</f>
        <v>52</v>
      </c>
      <c r="E237" s="4">
        <f>MID(A237,3,2)*1</f>
        <v>1</v>
      </c>
      <c r="F237" s="4">
        <f>MID(A237,5,2)*1</f>
        <v>15</v>
      </c>
      <c r="G237" s="3">
        <f>IF(E237&gt;=20,2000,1900) + D237</f>
        <v>1952</v>
      </c>
      <c r="H237">
        <f>IF(E237&gt;=20,E237-20,E237)</f>
        <v>1</v>
      </c>
      <c r="I237" s="4">
        <f>F237</f>
        <v>15</v>
      </c>
      <c r="J237">
        <f>CONCATENATE(G237,IF(LEN(H237)=1,CONCATENATE("0",H237),H237),IF(LEN(F237)=1,CONCATENATE("0",F237),F237))*1</f>
        <v>19520115</v>
      </c>
    </row>
    <row r="238" spans="1:10" hidden="1" x14ac:dyDescent="0.25">
      <c r="A238" s="4" t="s">
        <v>264</v>
      </c>
      <c r="B238" t="s">
        <v>17</v>
      </c>
      <c r="C238" t="s">
        <v>6</v>
      </c>
      <c r="D238" s="3">
        <f>MID(A238,1,2)*1</f>
        <v>90</v>
      </c>
      <c r="E238" s="4">
        <f>MID(A238,3,2)*1</f>
        <v>3</v>
      </c>
      <c r="F238" s="4">
        <f>MID(A238,5,2)*1</f>
        <v>7</v>
      </c>
      <c r="G238" s="3">
        <f>IF(E238&gt;=20,2000,1900) + D238</f>
        <v>1990</v>
      </c>
      <c r="H238">
        <f>IF(E238&gt;=20,E238-20,E238)</f>
        <v>3</v>
      </c>
      <c r="I238" s="4">
        <f>F238</f>
        <v>7</v>
      </c>
      <c r="J238">
        <f>CONCATENATE(G238,IF(LEN(H238)=1,CONCATENATE("0",H238),H238),IF(LEN(F238)=1,CONCATENATE("0",F238),F238))*1</f>
        <v>19900307</v>
      </c>
    </row>
    <row r="239" spans="1:10" x14ac:dyDescent="0.25">
      <c r="A239" s="4" t="s">
        <v>610</v>
      </c>
      <c r="B239" t="s">
        <v>18</v>
      </c>
      <c r="C239" t="s">
        <v>4</v>
      </c>
      <c r="D239" s="3">
        <f>MID(A239,1,2)*1</f>
        <v>68</v>
      </c>
      <c r="E239" s="4">
        <f>MID(A239,3,2)*1</f>
        <v>5</v>
      </c>
      <c r="F239" s="4">
        <f>MID(A239,5,2)*1</f>
        <v>20</v>
      </c>
      <c r="G239" s="3">
        <f>IF(E239&gt;=20,2000,1900) + D239</f>
        <v>1968</v>
      </c>
      <c r="H239">
        <f>IF(E239&gt;=20,E239-20,E239)</f>
        <v>5</v>
      </c>
      <c r="I239" s="4">
        <f>F239</f>
        <v>20</v>
      </c>
      <c r="J239">
        <f>CONCATENATE(G239,IF(LEN(H239)=1,CONCATENATE("0",H239),H239),IF(LEN(F239)=1,CONCATENATE("0",F239),F239))*1</f>
        <v>19680520</v>
      </c>
    </row>
    <row r="240" spans="1:10" hidden="1" x14ac:dyDescent="0.25">
      <c r="A240" s="4" t="s">
        <v>266</v>
      </c>
      <c r="B240" t="s">
        <v>13</v>
      </c>
      <c r="C240" t="s">
        <v>4</v>
      </c>
      <c r="D240" s="3">
        <f>MID(A240,1,2)*1</f>
        <v>93</v>
      </c>
      <c r="E240" s="4">
        <f>MID(A240,3,2)*1</f>
        <v>8</v>
      </c>
      <c r="F240" s="4">
        <f>MID(A240,5,2)*1</f>
        <v>20</v>
      </c>
      <c r="G240" s="3">
        <f>IF(E240&gt;=20,2000,1900) + D240</f>
        <v>1993</v>
      </c>
      <c r="H240">
        <f>IF(E240&gt;=20,E240-20,E240)</f>
        <v>8</v>
      </c>
      <c r="I240" s="4">
        <f>F240</f>
        <v>20</v>
      </c>
      <c r="J240">
        <f>CONCATENATE(G240,IF(LEN(H240)=1,CONCATENATE("0",H240),H240),IF(LEN(F240)=1,CONCATENATE("0",F240),F240))*1</f>
        <v>19930820</v>
      </c>
    </row>
    <row r="241" spans="1:10" hidden="1" x14ac:dyDescent="0.25">
      <c r="A241" s="4" t="s">
        <v>267</v>
      </c>
      <c r="B241" t="s">
        <v>16</v>
      </c>
      <c r="C241" t="s">
        <v>6</v>
      </c>
      <c r="D241" s="3">
        <f>MID(A241,1,2)*1</f>
        <v>95</v>
      </c>
      <c r="E241" s="4">
        <f>MID(A241,3,2)*1</f>
        <v>2</v>
      </c>
      <c r="F241" s="4">
        <f>MID(A241,5,2)*1</f>
        <v>5</v>
      </c>
      <c r="G241" s="3">
        <f>IF(E241&gt;=20,2000,1900) + D241</f>
        <v>1995</v>
      </c>
      <c r="H241">
        <f>IF(E241&gt;=20,E241-20,E241)</f>
        <v>2</v>
      </c>
      <c r="I241" s="4">
        <f>F241</f>
        <v>5</v>
      </c>
      <c r="J241">
        <f>CONCATENATE(G241,IF(LEN(H241)=1,CONCATENATE("0",H241),H241),IF(LEN(F241)=1,CONCATENATE("0",F241),F241))*1</f>
        <v>19950205</v>
      </c>
    </row>
    <row r="242" spans="1:10" hidden="1" x14ac:dyDescent="0.25">
      <c r="A242" s="4" t="s">
        <v>268</v>
      </c>
      <c r="B242" t="s">
        <v>11</v>
      </c>
      <c r="C242" t="s">
        <v>4</v>
      </c>
      <c r="D242" s="3">
        <f>MID(A242,1,2)*1</f>
        <v>62</v>
      </c>
      <c r="E242" s="4">
        <f>MID(A242,3,2)*1</f>
        <v>12</v>
      </c>
      <c r="F242" s="4">
        <f>MID(A242,5,2)*1</f>
        <v>10</v>
      </c>
      <c r="G242" s="3">
        <f>IF(E242&gt;=20,2000,1900) + D242</f>
        <v>1962</v>
      </c>
      <c r="H242">
        <f>IF(E242&gt;=20,E242-20,E242)</f>
        <v>12</v>
      </c>
      <c r="I242" s="4">
        <f>F242</f>
        <v>10</v>
      </c>
      <c r="J242">
        <f>CONCATENATE(G242,IF(LEN(H242)=1,CONCATENATE("0",H242),H242),IF(LEN(F242)=1,CONCATENATE("0",F242),F242))*1</f>
        <v>19621210</v>
      </c>
    </row>
    <row r="243" spans="1:10" hidden="1" x14ac:dyDescent="0.25">
      <c r="A243" s="4" t="s">
        <v>269</v>
      </c>
      <c r="B243" t="s">
        <v>8</v>
      </c>
      <c r="C243" t="s">
        <v>6</v>
      </c>
      <c r="D243" s="3">
        <f>MID(A243,1,2)*1</f>
        <v>98</v>
      </c>
      <c r="E243" s="4">
        <f>MID(A243,3,2)*1</f>
        <v>7</v>
      </c>
      <c r="F243" s="4">
        <f>MID(A243,5,2)*1</f>
        <v>5</v>
      </c>
      <c r="G243" s="3">
        <f>IF(E243&gt;=20,2000,1900) + D243</f>
        <v>1998</v>
      </c>
      <c r="H243">
        <f>IF(E243&gt;=20,E243-20,E243)</f>
        <v>7</v>
      </c>
      <c r="I243" s="4">
        <f>F243</f>
        <v>5</v>
      </c>
      <c r="J243">
        <f>CONCATENATE(G243,IF(LEN(H243)=1,CONCATENATE("0",H243),H243),IF(LEN(F243)=1,CONCATENATE("0",F243),F243))*1</f>
        <v>19980705</v>
      </c>
    </row>
    <row r="244" spans="1:10" hidden="1" x14ac:dyDescent="0.25">
      <c r="A244" s="4" t="s">
        <v>270</v>
      </c>
      <c r="B244" t="s">
        <v>3</v>
      </c>
      <c r="C244" t="s">
        <v>4</v>
      </c>
      <c r="D244" s="3">
        <f>MID(A244,1,2)*1</f>
        <v>93</v>
      </c>
      <c r="E244" s="4">
        <f>MID(A244,3,2)*1</f>
        <v>3</v>
      </c>
      <c r="F244" s="4">
        <f>MID(A244,5,2)*1</f>
        <v>5</v>
      </c>
      <c r="G244" s="3">
        <f>IF(E244&gt;=20,2000,1900) + D244</f>
        <v>1993</v>
      </c>
      <c r="H244">
        <f>IF(E244&gt;=20,E244-20,E244)</f>
        <v>3</v>
      </c>
      <c r="I244" s="4">
        <f>F244</f>
        <v>5</v>
      </c>
      <c r="J244">
        <f>CONCATENATE(G244,IF(LEN(H244)=1,CONCATENATE("0",H244),H244),IF(LEN(F244)=1,CONCATENATE("0",F244),F244))*1</f>
        <v>19930305</v>
      </c>
    </row>
    <row r="245" spans="1:10" hidden="1" x14ac:dyDescent="0.25">
      <c r="A245" s="4" t="s">
        <v>271</v>
      </c>
      <c r="B245" t="s">
        <v>15</v>
      </c>
      <c r="C245" t="s">
        <v>6</v>
      </c>
      <c r="D245" s="3">
        <f>MID(A245,1,2)*1</f>
        <v>89</v>
      </c>
      <c r="E245" s="4">
        <f>MID(A245,3,2)*1</f>
        <v>5</v>
      </c>
      <c r="F245" s="4">
        <f>MID(A245,5,2)*1</f>
        <v>19</v>
      </c>
      <c r="G245" s="3">
        <f>IF(E245&gt;=20,2000,1900) + D245</f>
        <v>1989</v>
      </c>
      <c r="H245">
        <f>IF(E245&gt;=20,E245-20,E245)</f>
        <v>5</v>
      </c>
      <c r="I245" s="4">
        <f>F245</f>
        <v>19</v>
      </c>
      <c r="J245">
        <f>CONCATENATE(G245,IF(LEN(H245)=1,CONCATENATE("0",H245),H245),IF(LEN(F245)=1,CONCATENATE("0",F245),F245))*1</f>
        <v>19890519</v>
      </c>
    </row>
    <row r="246" spans="1:10" hidden="1" x14ac:dyDescent="0.25">
      <c r="A246" s="4" t="s">
        <v>272</v>
      </c>
      <c r="B246" t="s">
        <v>11</v>
      </c>
      <c r="C246" t="s">
        <v>6</v>
      </c>
      <c r="D246" s="3">
        <f>MID(A246,1,2)*1</f>
        <v>98</v>
      </c>
      <c r="E246" s="4">
        <f>MID(A246,3,2)*1</f>
        <v>3</v>
      </c>
      <c r="F246" s="4">
        <f>MID(A246,5,2)*1</f>
        <v>15</v>
      </c>
      <c r="G246" s="3">
        <f>IF(E246&gt;=20,2000,1900) + D246</f>
        <v>1998</v>
      </c>
      <c r="H246">
        <f>IF(E246&gt;=20,E246-20,E246)</f>
        <v>3</v>
      </c>
      <c r="I246" s="4">
        <f>F246</f>
        <v>15</v>
      </c>
      <c r="J246">
        <f>CONCATENATE(G246,IF(LEN(H246)=1,CONCATENATE("0",H246),H246),IF(LEN(F246)=1,CONCATENATE("0",F246),F246))*1</f>
        <v>19980315</v>
      </c>
    </row>
    <row r="247" spans="1:10" hidden="1" x14ac:dyDescent="0.25">
      <c r="A247" s="4" t="s">
        <v>273</v>
      </c>
      <c r="B247" t="s">
        <v>9</v>
      </c>
      <c r="C247" t="s">
        <v>4</v>
      </c>
      <c r="D247" s="3">
        <f>MID(A247,1,2)*1</f>
        <v>96</v>
      </c>
      <c r="E247" s="4">
        <f>MID(A247,3,2)*1</f>
        <v>3</v>
      </c>
      <c r="F247" s="4">
        <f>MID(A247,5,2)*1</f>
        <v>24</v>
      </c>
      <c r="G247" s="3">
        <f>IF(E247&gt;=20,2000,1900) + D247</f>
        <v>1996</v>
      </c>
      <c r="H247">
        <f>IF(E247&gt;=20,E247-20,E247)</f>
        <v>3</v>
      </c>
      <c r="I247" s="4">
        <f>F247</f>
        <v>24</v>
      </c>
      <c r="J247">
        <f>CONCATENATE(G247,IF(LEN(H247)=1,CONCATENATE("0",H247),H247),IF(LEN(F247)=1,CONCATENATE("0",F247),F247))*1</f>
        <v>19960324</v>
      </c>
    </row>
    <row r="248" spans="1:10" hidden="1" x14ac:dyDescent="0.25">
      <c r="A248" s="4" t="s">
        <v>274</v>
      </c>
      <c r="B248" t="s">
        <v>12</v>
      </c>
      <c r="C248" t="s">
        <v>4</v>
      </c>
      <c r="D248" s="3">
        <f>MID(A248,1,2)*1</f>
        <v>76</v>
      </c>
      <c r="E248" s="4">
        <f>MID(A248,3,2)*1</f>
        <v>6</v>
      </c>
      <c r="F248" s="4">
        <f>MID(A248,5,2)*1</f>
        <v>4</v>
      </c>
      <c r="G248" s="3">
        <f>IF(E248&gt;=20,2000,1900) + D248</f>
        <v>1976</v>
      </c>
      <c r="H248">
        <f>IF(E248&gt;=20,E248-20,E248)</f>
        <v>6</v>
      </c>
      <c r="I248" s="4">
        <f>F248</f>
        <v>4</v>
      </c>
      <c r="J248">
        <f>CONCATENATE(G248,IF(LEN(H248)=1,CONCATENATE("0",H248),H248),IF(LEN(F248)=1,CONCATENATE("0",F248),F248))*1</f>
        <v>19760604</v>
      </c>
    </row>
    <row r="249" spans="1:10" hidden="1" x14ac:dyDescent="0.25">
      <c r="A249" s="4" t="s">
        <v>275</v>
      </c>
      <c r="B249" t="s">
        <v>7</v>
      </c>
      <c r="C249" t="s">
        <v>6</v>
      </c>
      <c r="D249" s="3">
        <f>MID(A249,1,2)*1</f>
        <v>86</v>
      </c>
      <c r="E249" s="4">
        <f>MID(A249,3,2)*1</f>
        <v>10</v>
      </c>
      <c r="F249" s="4">
        <f>MID(A249,5,2)*1</f>
        <v>23</v>
      </c>
      <c r="G249" s="3">
        <f>IF(E249&gt;=20,2000,1900) + D249</f>
        <v>1986</v>
      </c>
      <c r="H249">
        <f>IF(E249&gt;=20,E249-20,E249)</f>
        <v>10</v>
      </c>
      <c r="I249" s="4">
        <f>F249</f>
        <v>23</v>
      </c>
      <c r="J249">
        <f>CONCATENATE(G249,IF(LEN(H249)=1,CONCATENATE("0",H249),H249),IF(LEN(F249)=1,CONCATENATE("0",F249),F249))*1</f>
        <v>19861023</v>
      </c>
    </row>
    <row r="250" spans="1:10" hidden="1" x14ac:dyDescent="0.25">
      <c r="A250" s="4" t="s">
        <v>276</v>
      </c>
      <c r="B250" t="s">
        <v>19</v>
      </c>
      <c r="C250" t="s">
        <v>6</v>
      </c>
      <c r="D250" s="3">
        <f>MID(A250,1,2)*1</f>
        <v>50</v>
      </c>
      <c r="E250" s="4">
        <f>MID(A250,3,2)*1</f>
        <v>1</v>
      </c>
      <c r="F250" s="4">
        <f>MID(A250,5,2)*1</f>
        <v>10</v>
      </c>
      <c r="G250" s="3">
        <f>IF(E250&gt;=20,2000,1900) + D250</f>
        <v>1950</v>
      </c>
      <c r="H250">
        <f>IF(E250&gt;=20,E250-20,E250)</f>
        <v>1</v>
      </c>
      <c r="I250" s="4">
        <f>F250</f>
        <v>10</v>
      </c>
      <c r="J250">
        <f>CONCATENATE(G250,IF(LEN(H250)=1,CONCATENATE("0",H250),H250),IF(LEN(F250)=1,CONCATENATE("0",F250),F250))*1</f>
        <v>19500110</v>
      </c>
    </row>
    <row r="251" spans="1:10" hidden="1" x14ac:dyDescent="0.25">
      <c r="A251" s="4" t="s">
        <v>277</v>
      </c>
      <c r="B251" t="s">
        <v>11</v>
      </c>
      <c r="C251" t="s">
        <v>6</v>
      </c>
      <c r="D251" s="3">
        <f>MID(A251,1,2)*1</f>
        <v>79</v>
      </c>
      <c r="E251" s="4">
        <f>MID(A251,3,2)*1</f>
        <v>2</v>
      </c>
      <c r="F251" s="4">
        <f>MID(A251,5,2)*1</f>
        <v>9</v>
      </c>
      <c r="G251" s="3">
        <f>IF(E251&gt;=20,2000,1900) + D251</f>
        <v>1979</v>
      </c>
      <c r="H251">
        <f>IF(E251&gt;=20,E251-20,E251)</f>
        <v>2</v>
      </c>
      <c r="I251" s="4">
        <f>F251</f>
        <v>9</v>
      </c>
      <c r="J251">
        <f>CONCATENATE(G251,IF(LEN(H251)=1,CONCATENATE("0",H251),H251),IF(LEN(F251)=1,CONCATENATE("0",F251),F251))*1</f>
        <v>19790209</v>
      </c>
    </row>
    <row r="252" spans="1:10" hidden="1" x14ac:dyDescent="0.25">
      <c r="A252" s="4" t="s">
        <v>278</v>
      </c>
      <c r="B252" t="s">
        <v>13</v>
      </c>
      <c r="C252" t="s">
        <v>6</v>
      </c>
      <c r="D252" s="3">
        <f>MID(A252,1,2)*1</f>
        <v>78</v>
      </c>
      <c r="E252" s="4">
        <f>MID(A252,3,2)*1</f>
        <v>2</v>
      </c>
      <c r="F252" s="4">
        <f>MID(A252,5,2)*1</f>
        <v>24</v>
      </c>
      <c r="G252" s="3">
        <f>IF(E252&gt;=20,2000,1900) + D252</f>
        <v>1978</v>
      </c>
      <c r="H252">
        <f>IF(E252&gt;=20,E252-20,E252)</f>
        <v>2</v>
      </c>
      <c r="I252" s="4">
        <f>F252</f>
        <v>24</v>
      </c>
      <c r="J252">
        <f>CONCATENATE(G252,IF(LEN(H252)=1,CONCATENATE("0",H252),H252),IF(LEN(F252)=1,CONCATENATE("0",F252),F252))*1</f>
        <v>19780224</v>
      </c>
    </row>
    <row r="253" spans="1:10" hidden="1" x14ac:dyDescent="0.25">
      <c r="A253" s="4" t="s">
        <v>279</v>
      </c>
      <c r="B253" t="s">
        <v>14</v>
      </c>
      <c r="C253" t="s">
        <v>4</v>
      </c>
      <c r="D253" s="3">
        <f>MID(A253,1,2)*1</f>
        <v>63</v>
      </c>
      <c r="E253" s="4">
        <f>MID(A253,3,2)*1</f>
        <v>12</v>
      </c>
      <c r="F253" s="4">
        <f>MID(A253,5,2)*1</f>
        <v>10</v>
      </c>
      <c r="G253" s="3">
        <f>IF(E253&gt;=20,2000,1900) + D253</f>
        <v>1963</v>
      </c>
      <c r="H253">
        <f>IF(E253&gt;=20,E253-20,E253)</f>
        <v>12</v>
      </c>
      <c r="I253" s="4">
        <f>F253</f>
        <v>10</v>
      </c>
      <c r="J253">
        <f>CONCATENATE(G253,IF(LEN(H253)=1,CONCATENATE("0",H253),H253),IF(LEN(F253)=1,CONCATENATE("0",F253),F253))*1</f>
        <v>19631210</v>
      </c>
    </row>
    <row r="254" spans="1:10" hidden="1" x14ac:dyDescent="0.25">
      <c r="A254" s="4" t="s">
        <v>280</v>
      </c>
      <c r="B254" t="s">
        <v>19</v>
      </c>
      <c r="C254" t="s">
        <v>4</v>
      </c>
      <c r="D254" s="3">
        <f>MID(A254,1,2)*1</f>
        <v>56</v>
      </c>
      <c r="E254" s="4">
        <f>MID(A254,3,2)*1</f>
        <v>8</v>
      </c>
      <c r="F254" s="4">
        <f>MID(A254,5,2)*1</f>
        <v>8</v>
      </c>
      <c r="G254" s="3">
        <f>IF(E254&gt;=20,2000,1900) + D254</f>
        <v>1956</v>
      </c>
      <c r="H254">
        <f>IF(E254&gt;=20,E254-20,E254)</f>
        <v>8</v>
      </c>
      <c r="I254" s="4">
        <f>F254</f>
        <v>8</v>
      </c>
      <c r="J254">
        <f>CONCATENATE(G254,IF(LEN(H254)=1,CONCATENATE("0",H254),H254),IF(LEN(F254)=1,CONCATENATE("0",F254),F254))*1</f>
        <v>19560808</v>
      </c>
    </row>
    <row r="255" spans="1:10" hidden="1" x14ac:dyDescent="0.25">
      <c r="A255" s="4" t="s">
        <v>281</v>
      </c>
      <c r="B255" t="s">
        <v>17</v>
      </c>
      <c r="C255" t="s">
        <v>4</v>
      </c>
      <c r="D255" s="3">
        <f>MID(A255,1,2)*1</f>
        <v>66</v>
      </c>
      <c r="E255" s="4">
        <f>MID(A255,3,2)*1</f>
        <v>10</v>
      </c>
      <c r="F255" s="4">
        <f>MID(A255,5,2)*1</f>
        <v>10</v>
      </c>
      <c r="G255" s="3">
        <f>IF(E255&gt;=20,2000,1900) + D255</f>
        <v>1966</v>
      </c>
      <c r="H255">
        <f>IF(E255&gt;=20,E255-20,E255)</f>
        <v>10</v>
      </c>
      <c r="I255" s="4">
        <f>F255</f>
        <v>10</v>
      </c>
      <c r="J255">
        <f>CONCATENATE(G255,IF(LEN(H255)=1,CONCATENATE("0",H255),H255),IF(LEN(F255)=1,CONCATENATE("0",F255),F255))*1</f>
        <v>19661010</v>
      </c>
    </row>
    <row r="256" spans="1:10" hidden="1" x14ac:dyDescent="0.25">
      <c r="A256" s="4" t="s">
        <v>282</v>
      </c>
      <c r="B256" t="s">
        <v>13</v>
      </c>
      <c r="C256" t="s">
        <v>6</v>
      </c>
      <c r="D256" s="3">
        <f>MID(A256,1,2)*1</f>
        <v>65</v>
      </c>
      <c r="E256" s="4">
        <f>MID(A256,3,2)*1</f>
        <v>5</v>
      </c>
      <c r="F256" s="4">
        <f>MID(A256,5,2)*1</f>
        <v>23</v>
      </c>
      <c r="G256" s="3">
        <f>IF(E256&gt;=20,2000,1900) + D256</f>
        <v>1965</v>
      </c>
      <c r="H256">
        <f>IF(E256&gt;=20,E256-20,E256)</f>
        <v>5</v>
      </c>
      <c r="I256" s="4">
        <f>F256</f>
        <v>23</v>
      </c>
      <c r="J256">
        <f>CONCATENATE(G256,IF(LEN(H256)=1,CONCATENATE("0",H256),H256),IF(LEN(F256)=1,CONCATENATE("0",F256),F256))*1</f>
        <v>19650523</v>
      </c>
    </row>
    <row r="257" spans="1:10" hidden="1" x14ac:dyDescent="0.25">
      <c r="A257" s="4" t="s">
        <v>283</v>
      </c>
      <c r="B257" t="s">
        <v>9</v>
      </c>
      <c r="C257" t="s">
        <v>6</v>
      </c>
      <c r="D257" s="3">
        <f>MID(A257,1,2)*1</f>
        <v>54</v>
      </c>
      <c r="E257" s="4">
        <f>MID(A257,3,2)*1</f>
        <v>6</v>
      </c>
      <c r="F257" s="4">
        <f>MID(A257,5,2)*1</f>
        <v>18</v>
      </c>
      <c r="G257" s="3">
        <f>IF(E257&gt;=20,2000,1900) + D257</f>
        <v>1954</v>
      </c>
      <c r="H257">
        <f>IF(E257&gt;=20,E257-20,E257)</f>
        <v>6</v>
      </c>
      <c r="I257" s="4">
        <f>F257</f>
        <v>18</v>
      </c>
      <c r="J257">
        <f>CONCATENATE(G257,IF(LEN(H257)=1,CONCATENATE("0",H257),H257),IF(LEN(F257)=1,CONCATENATE("0",F257),F257))*1</f>
        <v>19540618</v>
      </c>
    </row>
    <row r="258" spans="1:10" hidden="1" x14ac:dyDescent="0.25">
      <c r="A258" s="4" t="s">
        <v>284</v>
      </c>
      <c r="B258" t="s">
        <v>8</v>
      </c>
      <c r="C258" t="s">
        <v>6</v>
      </c>
      <c r="D258" s="3">
        <f>MID(A258,1,2)*1</f>
        <v>90</v>
      </c>
      <c r="E258" s="4">
        <f>MID(A258,3,2)*1</f>
        <v>4</v>
      </c>
      <c r="F258" s="4">
        <f>MID(A258,5,2)*1</f>
        <v>22</v>
      </c>
      <c r="G258" s="3">
        <f>IF(E258&gt;=20,2000,1900) + D258</f>
        <v>1990</v>
      </c>
      <c r="H258">
        <f>IF(E258&gt;=20,E258-20,E258)</f>
        <v>4</v>
      </c>
      <c r="I258" s="4">
        <f>F258</f>
        <v>22</v>
      </c>
      <c r="J258">
        <f>CONCATENATE(G258,IF(LEN(H258)=1,CONCATENATE("0",H258),H258),IF(LEN(F258)=1,CONCATENATE("0",F258),F258))*1</f>
        <v>19900422</v>
      </c>
    </row>
    <row r="259" spans="1:10" hidden="1" x14ac:dyDescent="0.25">
      <c r="A259" s="4" t="s">
        <v>285</v>
      </c>
      <c r="B259" t="s">
        <v>7</v>
      </c>
      <c r="C259" t="s">
        <v>6</v>
      </c>
      <c r="D259" s="3">
        <f>MID(A259,1,2)*1</f>
        <v>58</v>
      </c>
      <c r="E259" s="4">
        <f>MID(A259,3,2)*1</f>
        <v>1</v>
      </c>
      <c r="F259" s="4">
        <f>MID(A259,5,2)*1</f>
        <v>22</v>
      </c>
      <c r="G259" s="3">
        <f>IF(E259&gt;=20,2000,1900) + D259</f>
        <v>1958</v>
      </c>
      <c r="H259">
        <f>IF(E259&gt;=20,E259-20,E259)</f>
        <v>1</v>
      </c>
      <c r="I259" s="4">
        <f>F259</f>
        <v>22</v>
      </c>
      <c r="J259">
        <f>CONCATENATE(G259,IF(LEN(H259)=1,CONCATENATE("0",H259),H259),IF(LEN(F259)=1,CONCATENATE("0",F259),F259))*1</f>
        <v>19580122</v>
      </c>
    </row>
    <row r="260" spans="1:10" hidden="1" x14ac:dyDescent="0.25">
      <c r="A260" s="4" t="s">
        <v>286</v>
      </c>
      <c r="B260" t="s">
        <v>15</v>
      </c>
      <c r="C260" t="s">
        <v>4</v>
      </c>
      <c r="D260" s="3">
        <f>MID(A260,1,2)*1</f>
        <v>88</v>
      </c>
      <c r="E260" s="4">
        <f>MID(A260,3,2)*1</f>
        <v>2</v>
      </c>
      <c r="F260" s="4">
        <f>MID(A260,5,2)*1</f>
        <v>2</v>
      </c>
      <c r="G260" s="3">
        <f>IF(E260&gt;=20,2000,1900) + D260</f>
        <v>1988</v>
      </c>
      <c r="H260">
        <f>IF(E260&gt;=20,E260-20,E260)</f>
        <v>2</v>
      </c>
      <c r="I260" s="4">
        <f>F260</f>
        <v>2</v>
      </c>
      <c r="J260">
        <f>CONCATENATE(G260,IF(LEN(H260)=1,CONCATENATE("0",H260),H260),IF(LEN(F260)=1,CONCATENATE("0",F260),F260))*1</f>
        <v>19880202</v>
      </c>
    </row>
    <row r="261" spans="1:10" hidden="1" x14ac:dyDescent="0.25">
      <c r="A261" s="4" t="s">
        <v>287</v>
      </c>
      <c r="B261" t="s">
        <v>19</v>
      </c>
      <c r="C261" t="s">
        <v>6</v>
      </c>
      <c r="D261" s="3">
        <f>MID(A261,1,2)*1</f>
        <v>74</v>
      </c>
      <c r="E261" s="4">
        <f>MID(A261,3,2)*1</f>
        <v>7</v>
      </c>
      <c r="F261" s="4">
        <f>MID(A261,5,2)*1</f>
        <v>23</v>
      </c>
      <c r="G261" s="3">
        <f>IF(E261&gt;=20,2000,1900) + D261</f>
        <v>1974</v>
      </c>
      <c r="H261">
        <f>IF(E261&gt;=20,E261-20,E261)</f>
        <v>7</v>
      </c>
      <c r="I261" s="4">
        <f>F261</f>
        <v>23</v>
      </c>
      <c r="J261">
        <f>CONCATENATE(G261,IF(LEN(H261)=1,CONCATENATE("0",H261),H261),IF(LEN(F261)=1,CONCATENATE("0",F261),F261))*1</f>
        <v>19740723</v>
      </c>
    </row>
    <row r="262" spans="1:10" hidden="1" x14ac:dyDescent="0.25">
      <c r="A262" s="4" t="s">
        <v>288</v>
      </c>
      <c r="B262" t="s">
        <v>19</v>
      </c>
      <c r="C262" t="s">
        <v>6</v>
      </c>
      <c r="D262" s="3">
        <f>MID(A262,1,2)*1</f>
        <v>72</v>
      </c>
      <c r="E262" s="4">
        <f>MID(A262,3,2)*1</f>
        <v>12</v>
      </c>
      <c r="F262" s="4">
        <f>MID(A262,5,2)*1</f>
        <v>27</v>
      </c>
      <c r="G262" s="3">
        <f>IF(E262&gt;=20,2000,1900) + D262</f>
        <v>1972</v>
      </c>
      <c r="H262">
        <f>IF(E262&gt;=20,E262-20,E262)</f>
        <v>12</v>
      </c>
      <c r="I262" s="4">
        <f>F262</f>
        <v>27</v>
      </c>
      <c r="J262">
        <f>CONCATENATE(G262,IF(LEN(H262)=1,CONCATENATE("0",H262),H262),IF(LEN(F262)=1,CONCATENATE("0",F262),F262))*1</f>
        <v>19721227</v>
      </c>
    </row>
    <row r="263" spans="1:10" hidden="1" x14ac:dyDescent="0.25">
      <c r="A263" s="4" t="s">
        <v>289</v>
      </c>
      <c r="B263" t="s">
        <v>16</v>
      </c>
      <c r="C263" t="s">
        <v>6</v>
      </c>
      <c r="D263" s="3">
        <f>MID(A263,1,2)*1</f>
        <v>76</v>
      </c>
      <c r="E263" s="4">
        <f>MID(A263,3,2)*1</f>
        <v>8</v>
      </c>
      <c r="F263" s="4">
        <f>MID(A263,5,2)*1</f>
        <v>18</v>
      </c>
      <c r="G263" s="3">
        <f>IF(E263&gt;=20,2000,1900) + D263</f>
        <v>1976</v>
      </c>
      <c r="H263">
        <f>IF(E263&gt;=20,E263-20,E263)</f>
        <v>8</v>
      </c>
      <c r="I263" s="4">
        <f>F263</f>
        <v>18</v>
      </c>
      <c r="J263">
        <f>CONCATENATE(G263,IF(LEN(H263)=1,CONCATENATE("0",H263),H263),IF(LEN(F263)=1,CONCATENATE("0",F263),F263))*1</f>
        <v>19760818</v>
      </c>
    </row>
    <row r="264" spans="1:10" hidden="1" x14ac:dyDescent="0.25">
      <c r="A264" s="4" t="s">
        <v>290</v>
      </c>
      <c r="B264" t="s">
        <v>10</v>
      </c>
      <c r="C264" t="s">
        <v>6</v>
      </c>
      <c r="D264" s="3">
        <f>MID(A264,1,2)*1</f>
        <v>79</v>
      </c>
      <c r="E264" s="4">
        <f>MID(A264,3,2)*1</f>
        <v>4</v>
      </c>
      <c r="F264" s="4">
        <f>MID(A264,5,2)*1</f>
        <v>25</v>
      </c>
      <c r="G264" s="3">
        <f>IF(E264&gt;=20,2000,1900) + D264</f>
        <v>1979</v>
      </c>
      <c r="H264">
        <f>IF(E264&gt;=20,E264-20,E264)</f>
        <v>4</v>
      </c>
      <c r="I264" s="4">
        <f>F264</f>
        <v>25</v>
      </c>
      <c r="J264">
        <f>CONCATENATE(G264,IF(LEN(H264)=1,CONCATENATE("0",H264),H264),IF(LEN(F264)=1,CONCATENATE("0",F264),F264))*1</f>
        <v>19790425</v>
      </c>
    </row>
    <row r="265" spans="1:10" hidden="1" x14ac:dyDescent="0.25">
      <c r="A265" s="4" t="s">
        <v>291</v>
      </c>
      <c r="B265" t="s">
        <v>7</v>
      </c>
      <c r="C265" t="s">
        <v>4</v>
      </c>
      <c r="D265" s="3">
        <f>MID(A265,1,2)*1</f>
        <v>57</v>
      </c>
      <c r="E265" s="4">
        <f>MID(A265,3,2)*1</f>
        <v>7</v>
      </c>
      <c r="F265" s="4">
        <f>MID(A265,5,2)*1</f>
        <v>17</v>
      </c>
      <c r="G265" s="3">
        <f>IF(E265&gt;=20,2000,1900) + D265</f>
        <v>1957</v>
      </c>
      <c r="H265">
        <f>IF(E265&gt;=20,E265-20,E265)</f>
        <v>7</v>
      </c>
      <c r="I265" s="4">
        <f>F265</f>
        <v>17</v>
      </c>
      <c r="J265">
        <f>CONCATENATE(G265,IF(LEN(H265)=1,CONCATENATE("0",H265),H265),IF(LEN(F265)=1,CONCATENATE("0",F265),F265))*1</f>
        <v>19570717</v>
      </c>
    </row>
    <row r="266" spans="1:10" hidden="1" x14ac:dyDescent="0.25">
      <c r="A266" s="4" t="s">
        <v>292</v>
      </c>
      <c r="B266" t="s">
        <v>5</v>
      </c>
      <c r="C266" t="s">
        <v>4</v>
      </c>
      <c r="D266" s="3">
        <f>MID(A266,1,2)*1</f>
        <v>69</v>
      </c>
      <c r="E266" s="4">
        <f>MID(A266,3,2)*1</f>
        <v>4</v>
      </c>
      <c r="F266" s="4">
        <f>MID(A266,5,2)*1</f>
        <v>28</v>
      </c>
      <c r="G266" s="3">
        <f>IF(E266&gt;=20,2000,1900) + D266</f>
        <v>1969</v>
      </c>
      <c r="H266">
        <f>IF(E266&gt;=20,E266-20,E266)</f>
        <v>4</v>
      </c>
      <c r="I266" s="4">
        <f>F266</f>
        <v>28</v>
      </c>
      <c r="J266">
        <f>CONCATENATE(G266,IF(LEN(H266)=1,CONCATENATE("0",H266),H266),IF(LEN(F266)=1,CONCATENATE("0",F266),F266))*1</f>
        <v>19690428</v>
      </c>
    </row>
    <row r="267" spans="1:10" hidden="1" x14ac:dyDescent="0.25">
      <c r="A267" s="4" t="s">
        <v>293</v>
      </c>
      <c r="B267" t="s">
        <v>9</v>
      </c>
      <c r="C267" t="s">
        <v>4</v>
      </c>
      <c r="D267" s="3">
        <f>MID(A267,1,2)*1</f>
        <v>51</v>
      </c>
      <c r="E267" s="4">
        <f>MID(A267,3,2)*1</f>
        <v>12</v>
      </c>
      <c r="F267" s="4">
        <f>MID(A267,5,2)*1</f>
        <v>28</v>
      </c>
      <c r="G267" s="3">
        <f>IF(E267&gt;=20,2000,1900) + D267</f>
        <v>1951</v>
      </c>
      <c r="H267">
        <f>IF(E267&gt;=20,E267-20,E267)</f>
        <v>12</v>
      </c>
      <c r="I267" s="4">
        <f>F267</f>
        <v>28</v>
      </c>
      <c r="J267">
        <f>CONCATENATE(G267,IF(LEN(H267)=1,CONCATENATE("0",H267),H267),IF(LEN(F267)=1,CONCATENATE("0",F267),F267))*1</f>
        <v>19511228</v>
      </c>
    </row>
    <row r="268" spans="1:10" hidden="1" x14ac:dyDescent="0.25">
      <c r="A268" s="4" t="s">
        <v>294</v>
      </c>
      <c r="B268" t="s">
        <v>14</v>
      </c>
      <c r="C268" t="s">
        <v>6</v>
      </c>
      <c r="D268" s="3">
        <f>MID(A268,1,2)*1</f>
        <v>60</v>
      </c>
      <c r="E268" s="4">
        <f>MID(A268,3,2)*1</f>
        <v>10</v>
      </c>
      <c r="F268" s="4">
        <f>MID(A268,5,2)*1</f>
        <v>6</v>
      </c>
      <c r="G268" s="3">
        <f>IF(E268&gt;=20,2000,1900) + D268</f>
        <v>1960</v>
      </c>
      <c r="H268">
        <f>IF(E268&gt;=20,E268-20,E268)</f>
        <v>10</v>
      </c>
      <c r="I268" s="4">
        <f>F268</f>
        <v>6</v>
      </c>
      <c r="J268">
        <f>CONCATENATE(G268,IF(LEN(H268)=1,CONCATENATE("0",H268),H268),IF(LEN(F268)=1,CONCATENATE("0",F268),F268))*1</f>
        <v>19601006</v>
      </c>
    </row>
    <row r="269" spans="1:10" hidden="1" x14ac:dyDescent="0.25">
      <c r="A269" s="4" t="s">
        <v>295</v>
      </c>
      <c r="B269" t="s">
        <v>15</v>
      </c>
      <c r="C269" t="s">
        <v>6</v>
      </c>
      <c r="D269" s="3">
        <f>MID(A269,1,2)*1</f>
        <v>71</v>
      </c>
      <c r="E269" s="4">
        <f>MID(A269,3,2)*1</f>
        <v>3</v>
      </c>
      <c r="F269" s="4">
        <f>MID(A269,5,2)*1</f>
        <v>26</v>
      </c>
      <c r="G269" s="3">
        <f>IF(E269&gt;=20,2000,1900) + D269</f>
        <v>1971</v>
      </c>
      <c r="H269">
        <f>IF(E269&gt;=20,E269-20,E269)</f>
        <v>3</v>
      </c>
      <c r="I269" s="4">
        <f>F269</f>
        <v>26</v>
      </c>
      <c r="J269">
        <f>CONCATENATE(G269,IF(LEN(H269)=1,CONCATENATE("0",H269),H269),IF(LEN(F269)=1,CONCATENATE("0",F269),F269))*1</f>
        <v>19710326</v>
      </c>
    </row>
    <row r="270" spans="1:10" hidden="1" x14ac:dyDescent="0.25">
      <c r="A270" s="4" t="s">
        <v>296</v>
      </c>
      <c r="B270" t="s">
        <v>8</v>
      </c>
      <c r="C270" t="s">
        <v>4</v>
      </c>
      <c r="D270" s="3">
        <f>MID(A270,1,2)*1</f>
        <v>65</v>
      </c>
      <c r="E270" s="4">
        <f>MID(A270,3,2)*1</f>
        <v>2</v>
      </c>
      <c r="F270" s="4">
        <f>MID(A270,5,2)*1</f>
        <v>1</v>
      </c>
      <c r="G270" s="3">
        <f>IF(E270&gt;=20,2000,1900) + D270</f>
        <v>1965</v>
      </c>
      <c r="H270">
        <f>IF(E270&gt;=20,E270-20,E270)</f>
        <v>2</v>
      </c>
      <c r="I270" s="4">
        <f>F270</f>
        <v>1</v>
      </c>
      <c r="J270">
        <f>CONCATENATE(G270,IF(LEN(H270)=1,CONCATENATE("0",H270),H270),IF(LEN(F270)=1,CONCATENATE("0",F270),F270))*1</f>
        <v>19650201</v>
      </c>
    </row>
    <row r="271" spans="1:10" hidden="1" x14ac:dyDescent="0.25">
      <c r="A271" s="4" t="s">
        <v>297</v>
      </c>
      <c r="B271" t="s">
        <v>11</v>
      </c>
      <c r="C271" t="s">
        <v>4</v>
      </c>
      <c r="D271" s="3">
        <f>MID(A271,1,2)*1</f>
        <v>96</v>
      </c>
      <c r="E271" s="4">
        <f>MID(A271,3,2)*1</f>
        <v>3</v>
      </c>
      <c r="F271" s="4">
        <f>MID(A271,5,2)*1</f>
        <v>7</v>
      </c>
      <c r="G271" s="3">
        <f>IF(E271&gt;=20,2000,1900) + D271</f>
        <v>1996</v>
      </c>
      <c r="H271">
        <f>IF(E271&gt;=20,E271-20,E271)</f>
        <v>3</v>
      </c>
      <c r="I271" s="4">
        <f>F271</f>
        <v>7</v>
      </c>
      <c r="J271">
        <f>CONCATENATE(G271,IF(LEN(H271)=1,CONCATENATE("0",H271),H271),IF(LEN(F271)=1,CONCATENATE("0",F271),F271))*1</f>
        <v>19960307</v>
      </c>
    </row>
    <row r="272" spans="1:10" hidden="1" x14ac:dyDescent="0.25">
      <c r="A272" s="4" t="s">
        <v>298</v>
      </c>
      <c r="B272" t="s">
        <v>11</v>
      </c>
      <c r="C272" t="s">
        <v>6</v>
      </c>
      <c r="D272" s="3">
        <f>MID(A272,1,2)*1</f>
        <v>58</v>
      </c>
      <c r="E272" s="4">
        <f>MID(A272,3,2)*1</f>
        <v>7</v>
      </c>
      <c r="F272" s="4">
        <f>MID(A272,5,2)*1</f>
        <v>24</v>
      </c>
      <c r="G272" s="3">
        <f>IF(E272&gt;=20,2000,1900) + D272</f>
        <v>1958</v>
      </c>
      <c r="H272">
        <f>IF(E272&gt;=20,E272-20,E272)</f>
        <v>7</v>
      </c>
      <c r="I272" s="4">
        <f>F272</f>
        <v>24</v>
      </c>
      <c r="J272">
        <f>CONCATENATE(G272,IF(LEN(H272)=1,CONCATENATE("0",H272),H272),IF(LEN(F272)=1,CONCATENATE("0",F272),F272))*1</f>
        <v>19580724</v>
      </c>
    </row>
    <row r="273" spans="1:10" hidden="1" x14ac:dyDescent="0.25">
      <c r="A273" s="4" t="s">
        <v>299</v>
      </c>
      <c r="B273" t="s">
        <v>19</v>
      </c>
      <c r="C273" t="s">
        <v>6</v>
      </c>
      <c r="D273" s="3">
        <f>MID(A273,1,2)*1</f>
        <v>76</v>
      </c>
      <c r="E273" s="4">
        <f>MID(A273,3,2)*1</f>
        <v>12</v>
      </c>
      <c r="F273" s="4">
        <f>MID(A273,5,2)*1</f>
        <v>19</v>
      </c>
      <c r="G273" s="3">
        <f>IF(E273&gt;=20,2000,1900) + D273</f>
        <v>1976</v>
      </c>
      <c r="H273">
        <f>IF(E273&gt;=20,E273-20,E273)</f>
        <v>12</v>
      </c>
      <c r="I273" s="4">
        <f>F273</f>
        <v>19</v>
      </c>
      <c r="J273">
        <f>CONCATENATE(G273,IF(LEN(H273)=1,CONCATENATE("0",H273),H273),IF(LEN(F273)=1,CONCATENATE("0",F273),F273))*1</f>
        <v>19761219</v>
      </c>
    </row>
    <row r="274" spans="1:10" hidden="1" x14ac:dyDescent="0.25">
      <c r="A274" s="4" t="s">
        <v>300</v>
      </c>
      <c r="B274" t="s">
        <v>17</v>
      </c>
      <c r="C274" t="s">
        <v>4</v>
      </c>
      <c r="D274" s="3">
        <f>MID(A274,1,2)*1</f>
        <v>63</v>
      </c>
      <c r="E274" s="4">
        <f>MID(A274,3,2)*1</f>
        <v>10</v>
      </c>
      <c r="F274" s="4">
        <f>MID(A274,5,2)*1</f>
        <v>22</v>
      </c>
      <c r="G274" s="3">
        <f>IF(E274&gt;=20,2000,1900) + D274</f>
        <v>1963</v>
      </c>
      <c r="H274">
        <f>IF(E274&gt;=20,E274-20,E274)</f>
        <v>10</v>
      </c>
      <c r="I274" s="4">
        <f>F274</f>
        <v>22</v>
      </c>
      <c r="J274">
        <f>CONCATENATE(G274,IF(LEN(H274)=1,CONCATENATE("0",H274),H274),IF(LEN(F274)=1,CONCATENATE("0",F274),F274))*1</f>
        <v>19631022</v>
      </c>
    </row>
    <row r="275" spans="1:10" hidden="1" x14ac:dyDescent="0.25">
      <c r="A275" s="4" t="s">
        <v>301</v>
      </c>
      <c r="B275" t="s">
        <v>15</v>
      </c>
      <c r="C275" t="s">
        <v>6</v>
      </c>
      <c r="D275" s="3">
        <f>MID(A275,1,2)*1</f>
        <v>60</v>
      </c>
      <c r="E275" s="4">
        <f>MID(A275,3,2)*1</f>
        <v>10</v>
      </c>
      <c r="F275" s="4">
        <f>MID(A275,5,2)*1</f>
        <v>20</v>
      </c>
      <c r="G275" s="3">
        <f>IF(E275&gt;=20,2000,1900) + D275</f>
        <v>1960</v>
      </c>
      <c r="H275">
        <f>IF(E275&gt;=20,E275-20,E275)</f>
        <v>10</v>
      </c>
      <c r="I275" s="4">
        <f>F275</f>
        <v>20</v>
      </c>
      <c r="J275">
        <f>CONCATENATE(G275,IF(LEN(H275)=1,CONCATENATE("0",H275),H275),IF(LEN(F275)=1,CONCATENATE("0",F275),F275))*1</f>
        <v>19601020</v>
      </c>
    </row>
    <row r="276" spans="1:10" x14ac:dyDescent="0.25">
      <c r="A276" s="4" t="s">
        <v>322</v>
      </c>
      <c r="B276" t="s">
        <v>18</v>
      </c>
      <c r="C276" t="s">
        <v>4</v>
      </c>
      <c r="D276" s="3">
        <f>MID(A276,1,2)*1</f>
        <v>70</v>
      </c>
      <c r="E276" s="4">
        <f>MID(A276,3,2)*1</f>
        <v>12</v>
      </c>
      <c r="F276" s="4">
        <f>MID(A276,5,2)*1</f>
        <v>4</v>
      </c>
      <c r="G276" s="3">
        <f>IF(E276&gt;=20,2000,1900) + D276</f>
        <v>1970</v>
      </c>
      <c r="H276">
        <f>IF(E276&gt;=20,E276-20,E276)</f>
        <v>12</v>
      </c>
      <c r="I276" s="4">
        <f>F276</f>
        <v>4</v>
      </c>
      <c r="J276">
        <f>CONCATENATE(G276,IF(LEN(H276)=1,CONCATENATE("0",H276),H276),IF(LEN(F276)=1,CONCATENATE("0",F276),F276))*1</f>
        <v>19701204</v>
      </c>
    </row>
    <row r="277" spans="1:10" hidden="1" x14ac:dyDescent="0.25">
      <c r="A277" s="4" t="s">
        <v>303</v>
      </c>
      <c r="B277" t="s">
        <v>8</v>
      </c>
      <c r="C277" t="s">
        <v>4</v>
      </c>
      <c r="D277" s="3">
        <f>MID(A277,1,2)*1</f>
        <v>56</v>
      </c>
      <c r="E277" s="4">
        <f>MID(A277,3,2)*1</f>
        <v>3</v>
      </c>
      <c r="F277" s="4">
        <f>MID(A277,5,2)*1</f>
        <v>13</v>
      </c>
      <c r="G277" s="3">
        <f>IF(E277&gt;=20,2000,1900) + D277</f>
        <v>1956</v>
      </c>
      <c r="H277">
        <f>IF(E277&gt;=20,E277-20,E277)</f>
        <v>3</v>
      </c>
      <c r="I277" s="4">
        <f>F277</f>
        <v>13</v>
      </c>
      <c r="J277">
        <f>CONCATENATE(G277,IF(LEN(H277)=1,CONCATENATE("0",H277),H277),IF(LEN(F277)=1,CONCATENATE("0",F277),F277))*1</f>
        <v>19560313</v>
      </c>
    </row>
    <row r="278" spans="1:10" hidden="1" x14ac:dyDescent="0.25">
      <c r="A278" s="4" t="s">
        <v>304</v>
      </c>
      <c r="B278" t="s">
        <v>8</v>
      </c>
      <c r="C278" t="s">
        <v>6</v>
      </c>
      <c r="D278" s="3">
        <f>MID(A278,1,2)*1</f>
        <v>88</v>
      </c>
      <c r="E278" s="4">
        <f>MID(A278,3,2)*1</f>
        <v>3</v>
      </c>
      <c r="F278" s="4">
        <f>MID(A278,5,2)*1</f>
        <v>19</v>
      </c>
      <c r="G278" s="3">
        <f>IF(E278&gt;=20,2000,1900) + D278</f>
        <v>1988</v>
      </c>
      <c r="H278">
        <f>IF(E278&gt;=20,E278-20,E278)</f>
        <v>3</v>
      </c>
      <c r="I278" s="4">
        <f>F278</f>
        <v>19</v>
      </c>
      <c r="J278">
        <f>CONCATENATE(G278,IF(LEN(H278)=1,CONCATENATE("0",H278),H278),IF(LEN(F278)=1,CONCATENATE("0",F278),F278))*1</f>
        <v>19880319</v>
      </c>
    </row>
    <row r="279" spans="1:10" hidden="1" x14ac:dyDescent="0.25">
      <c r="A279" s="4" t="s">
        <v>305</v>
      </c>
      <c r="B279" t="s">
        <v>16</v>
      </c>
      <c r="C279" t="s">
        <v>4</v>
      </c>
      <c r="D279" s="3">
        <f>MID(A279,1,2)*1</f>
        <v>60</v>
      </c>
      <c r="E279" s="4">
        <f>MID(A279,3,2)*1</f>
        <v>10</v>
      </c>
      <c r="F279" s="4">
        <f>MID(A279,5,2)*1</f>
        <v>2</v>
      </c>
      <c r="G279" s="3">
        <f>IF(E279&gt;=20,2000,1900) + D279</f>
        <v>1960</v>
      </c>
      <c r="H279">
        <f>IF(E279&gt;=20,E279-20,E279)</f>
        <v>10</v>
      </c>
      <c r="I279" s="4">
        <f>F279</f>
        <v>2</v>
      </c>
      <c r="J279">
        <f>CONCATENATE(G279,IF(LEN(H279)=1,CONCATENATE("0",H279),H279),IF(LEN(F279)=1,CONCATENATE("0",F279),F279))*1</f>
        <v>19601002</v>
      </c>
    </row>
    <row r="280" spans="1:10" hidden="1" x14ac:dyDescent="0.25">
      <c r="A280" s="4" t="s">
        <v>306</v>
      </c>
      <c r="B280" t="s">
        <v>16</v>
      </c>
      <c r="C280" t="s">
        <v>6</v>
      </c>
      <c r="D280" s="3">
        <f>MID(A280,1,2)*1</f>
        <v>70</v>
      </c>
      <c r="E280" s="4">
        <f>MID(A280,3,2)*1</f>
        <v>8</v>
      </c>
      <c r="F280" s="4">
        <f>MID(A280,5,2)*1</f>
        <v>4</v>
      </c>
      <c r="G280" s="3">
        <f>IF(E280&gt;=20,2000,1900) + D280</f>
        <v>1970</v>
      </c>
      <c r="H280">
        <f>IF(E280&gt;=20,E280-20,E280)</f>
        <v>8</v>
      </c>
      <c r="I280" s="4">
        <f>F280</f>
        <v>4</v>
      </c>
      <c r="J280">
        <f>CONCATENATE(G280,IF(LEN(H280)=1,CONCATENATE("0",H280),H280),IF(LEN(F280)=1,CONCATENATE("0",F280),F280))*1</f>
        <v>19700804</v>
      </c>
    </row>
    <row r="281" spans="1:10" hidden="1" x14ac:dyDescent="0.25">
      <c r="A281" s="4" t="s">
        <v>307</v>
      </c>
      <c r="B281" t="s">
        <v>20</v>
      </c>
      <c r="C281" t="s">
        <v>4</v>
      </c>
      <c r="D281" s="3">
        <f>MID(A281,1,2)*1</f>
        <v>71</v>
      </c>
      <c r="E281" s="4">
        <f>MID(A281,3,2)*1</f>
        <v>11</v>
      </c>
      <c r="F281" s="4">
        <f>MID(A281,5,2)*1</f>
        <v>19</v>
      </c>
      <c r="G281" s="3">
        <f>IF(E281&gt;=20,2000,1900) + D281</f>
        <v>1971</v>
      </c>
      <c r="H281">
        <f>IF(E281&gt;=20,E281-20,E281)</f>
        <v>11</v>
      </c>
      <c r="I281" s="4">
        <f>F281</f>
        <v>19</v>
      </c>
      <c r="J281">
        <f>CONCATENATE(G281,IF(LEN(H281)=1,CONCATENATE("0",H281),H281),IF(LEN(F281)=1,CONCATENATE("0",F281),F281))*1</f>
        <v>19711119</v>
      </c>
    </row>
    <row r="282" spans="1:10" hidden="1" x14ac:dyDescent="0.25">
      <c r="A282" s="4" t="s">
        <v>308</v>
      </c>
      <c r="B282" t="s">
        <v>16</v>
      </c>
      <c r="C282" t="s">
        <v>4</v>
      </c>
      <c r="D282" s="3">
        <f>MID(A282,1,2)*1</f>
        <v>77</v>
      </c>
      <c r="E282" s="4">
        <f>MID(A282,3,2)*1</f>
        <v>4</v>
      </c>
      <c r="F282" s="4">
        <f>MID(A282,5,2)*1</f>
        <v>18</v>
      </c>
      <c r="G282" s="3">
        <f>IF(E282&gt;=20,2000,1900) + D282</f>
        <v>1977</v>
      </c>
      <c r="H282">
        <f>IF(E282&gt;=20,E282-20,E282)</f>
        <v>4</v>
      </c>
      <c r="I282" s="4">
        <f>F282</f>
        <v>18</v>
      </c>
      <c r="J282">
        <f>CONCATENATE(G282,IF(LEN(H282)=1,CONCATENATE("0",H282),H282),IF(LEN(F282)=1,CONCATENATE("0",F282),F282))*1</f>
        <v>19770418</v>
      </c>
    </row>
    <row r="283" spans="1:10" hidden="1" x14ac:dyDescent="0.25">
      <c r="A283" s="4" t="s">
        <v>309</v>
      </c>
      <c r="B283" t="s">
        <v>16</v>
      </c>
      <c r="C283" t="s">
        <v>6</v>
      </c>
      <c r="D283" s="3">
        <f>MID(A283,1,2)*1</f>
        <v>61</v>
      </c>
      <c r="E283" s="4">
        <f>MID(A283,3,2)*1</f>
        <v>8</v>
      </c>
      <c r="F283" s="4">
        <f>MID(A283,5,2)*1</f>
        <v>24</v>
      </c>
      <c r="G283" s="3">
        <f>IF(E283&gt;=20,2000,1900) + D283</f>
        <v>1961</v>
      </c>
      <c r="H283">
        <f>IF(E283&gt;=20,E283-20,E283)</f>
        <v>8</v>
      </c>
      <c r="I283" s="4">
        <f>F283</f>
        <v>24</v>
      </c>
      <c r="J283">
        <f>CONCATENATE(G283,IF(LEN(H283)=1,CONCATENATE("0",H283),H283),IF(LEN(F283)=1,CONCATENATE("0",F283),F283))*1</f>
        <v>19610824</v>
      </c>
    </row>
    <row r="284" spans="1:10" hidden="1" x14ac:dyDescent="0.25">
      <c r="A284" s="4" t="s">
        <v>310</v>
      </c>
      <c r="B284" t="s">
        <v>13</v>
      </c>
      <c r="C284" t="s">
        <v>4</v>
      </c>
      <c r="D284" s="3">
        <f>MID(A284,1,2)*1</f>
        <v>53</v>
      </c>
      <c r="E284" s="4">
        <f>MID(A284,3,2)*1</f>
        <v>8</v>
      </c>
      <c r="F284" s="4">
        <f>MID(A284,5,2)*1</f>
        <v>3</v>
      </c>
      <c r="G284" s="3">
        <f>IF(E284&gt;=20,2000,1900) + D284</f>
        <v>1953</v>
      </c>
      <c r="H284">
        <f>IF(E284&gt;=20,E284-20,E284)</f>
        <v>8</v>
      </c>
      <c r="I284" s="4">
        <f>F284</f>
        <v>3</v>
      </c>
      <c r="J284">
        <f>CONCATENATE(G284,IF(LEN(H284)=1,CONCATENATE("0",H284),H284),IF(LEN(F284)=1,CONCATENATE("0",F284),F284))*1</f>
        <v>19530803</v>
      </c>
    </row>
    <row r="285" spans="1:10" hidden="1" x14ac:dyDescent="0.25">
      <c r="A285" s="4" t="s">
        <v>311</v>
      </c>
      <c r="B285" t="s">
        <v>20</v>
      </c>
      <c r="C285" t="s">
        <v>6</v>
      </c>
      <c r="D285" s="3">
        <f>MID(A285,1,2)*1</f>
        <v>81</v>
      </c>
      <c r="E285" s="4">
        <f>MID(A285,3,2)*1</f>
        <v>9</v>
      </c>
      <c r="F285" s="4">
        <f>MID(A285,5,2)*1</f>
        <v>21</v>
      </c>
      <c r="G285" s="3">
        <f>IF(E285&gt;=20,2000,1900) + D285</f>
        <v>1981</v>
      </c>
      <c r="H285">
        <f>IF(E285&gt;=20,E285-20,E285)</f>
        <v>9</v>
      </c>
      <c r="I285" s="4">
        <f>F285</f>
        <v>21</v>
      </c>
      <c r="J285">
        <f>CONCATENATE(G285,IF(LEN(H285)=1,CONCATENATE("0",H285),H285),IF(LEN(F285)=1,CONCATENATE("0",F285),F285))*1</f>
        <v>19810921</v>
      </c>
    </row>
    <row r="286" spans="1:10" hidden="1" x14ac:dyDescent="0.25">
      <c r="A286" s="4" t="s">
        <v>312</v>
      </c>
      <c r="B286" t="s">
        <v>13</v>
      </c>
      <c r="C286" t="s">
        <v>4</v>
      </c>
      <c r="D286" s="3">
        <f>MID(A286,1,2)*1</f>
        <v>83</v>
      </c>
      <c r="E286" s="4">
        <f>MID(A286,3,2)*1</f>
        <v>10</v>
      </c>
      <c r="F286" s="4">
        <f>MID(A286,5,2)*1</f>
        <v>20</v>
      </c>
      <c r="G286" s="3">
        <f>IF(E286&gt;=20,2000,1900) + D286</f>
        <v>1983</v>
      </c>
      <c r="H286">
        <f>IF(E286&gt;=20,E286-20,E286)</f>
        <v>10</v>
      </c>
      <c r="I286" s="4">
        <f>F286</f>
        <v>20</v>
      </c>
      <c r="J286">
        <f>CONCATENATE(G286,IF(LEN(H286)=1,CONCATENATE("0",H286),H286),IF(LEN(F286)=1,CONCATENATE("0",F286),F286))*1</f>
        <v>19831020</v>
      </c>
    </row>
    <row r="287" spans="1:10" hidden="1" x14ac:dyDescent="0.25">
      <c r="A287" s="4" t="s">
        <v>313</v>
      </c>
      <c r="B287" t="s">
        <v>10</v>
      </c>
      <c r="C287" t="s">
        <v>6</v>
      </c>
      <c r="D287" s="3">
        <f>MID(A287,1,2)*1</f>
        <v>57</v>
      </c>
      <c r="E287" s="4">
        <f>MID(A287,3,2)*1</f>
        <v>8</v>
      </c>
      <c r="F287" s="4">
        <f>MID(A287,5,2)*1</f>
        <v>7</v>
      </c>
      <c r="G287" s="3">
        <f>IF(E287&gt;=20,2000,1900) + D287</f>
        <v>1957</v>
      </c>
      <c r="H287">
        <f>IF(E287&gt;=20,E287-20,E287)</f>
        <v>8</v>
      </c>
      <c r="I287" s="4">
        <f>F287</f>
        <v>7</v>
      </c>
      <c r="J287">
        <f>CONCATENATE(G287,IF(LEN(H287)=1,CONCATENATE("0",H287),H287),IF(LEN(F287)=1,CONCATENATE("0",F287),F287))*1</f>
        <v>19570807</v>
      </c>
    </row>
    <row r="288" spans="1:10" hidden="1" x14ac:dyDescent="0.25">
      <c r="A288" s="4" t="s">
        <v>314</v>
      </c>
      <c r="B288" t="s">
        <v>17</v>
      </c>
      <c r="C288" t="s">
        <v>4</v>
      </c>
      <c r="D288" s="3">
        <f>MID(A288,1,2)*1</f>
        <v>96</v>
      </c>
      <c r="E288" s="4">
        <f>MID(A288,3,2)*1</f>
        <v>9</v>
      </c>
      <c r="F288" s="4">
        <f>MID(A288,5,2)*1</f>
        <v>28</v>
      </c>
      <c r="G288" s="3">
        <f>IF(E288&gt;=20,2000,1900) + D288</f>
        <v>1996</v>
      </c>
      <c r="H288">
        <f>IF(E288&gt;=20,E288-20,E288)</f>
        <v>9</v>
      </c>
      <c r="I288" s="4">
        <f>F288</f>
        <v>28</v>
      </c>
      <c r="J288">
        <f>CONCATENATE(G288,IF(LEN(H288)=1,CONCATENATE("0",H288),H288),IF(LEN(F288)=1,CONCATENATE("0",F288),F288))*1</f>
        <v>19960928</v>
      </c>
    </row>
    <row r="289" spans="1:10" x14ac:dyDescent="0.25">
      <c r="A289" s="4" t="s">
        <v>194</v>
      </c>
      <c r="B289" t="s">
        <v>18</v>
      </c>
      <c r="C289" t="s">
        <v>6</v>
      </c>
      <c r="D289" s="3">
        <f>MID(A289,1,2)*1</f>
        <v>71</v>
      </c>
      <c r="E289" s="4">
        <f>MID(A289,3,2)*1</f>
        <v>2</v>
      </c>
      <c r="F289" s="4">
        <f>MID(A289,5,2)*1</f>
        <v>16</v>
      </c>
      <c r="G289" s="3">
        <f>IF(E289&gt;=20,2000,1900) + D289</f>
        <v>1971</v>
      </c>
      <c r="H289">
        <f>IF(E289&gt;=20,E289-20,E289)</f>
        <v>2</v>
      </c>
      <c r="I289" s="4">
        <f>F289</f>
        <v>16</v>
      </c>
      <c r="J289">
        <f>CONCATENATE(G289,IF(LEN(H289)=1,CONCATENATE("0",H289),H289),IF(LEN(F289)=1,CONCATENATE("0",F289),F289))*1</f>
        <v>19710216</v>
      </c>
    </row>
    <row r="290" spans="1:10" hidden="1" x14ac:dyDescent="0.25">
      <c r="A290" s="4" t="s">
        <v>316</v>
      </c>
      <c r="B290" t="s">
        <v>13</v>
      </c>
      <c r="C290" t="s">
        <v>6</v>
      </c>
      <c r="D290" s="3">
        <f>MID(A290,1,2)*1</f>
        <v>56</v>
      </c>
      <c r="E290" s="4">
        <f>MID(A290,3,2)*1</f>
        <v>11</v>
      </c>
      <c r="F290" s="4">
        <f>MID(A290,5,2)*1</f>
        <v>24</v>
      </c>
      <c r="G290" s="3">
        <f>IF(E290&gt;=20,2000,1900) + D290</f>
        <v>1956</v>
      </c>
      <c r="H290">
        <f>IF(E290&gt;=20,E290-20,E290)</f>
        <v>11</v>
      </c>
      <c r="I290" s="4">
        <f>F290</f>
        <v>24</v>
      </c>
      <c r="J290">
        <f>CONCATENATE(G290,IF(LEN(H290)=1,CONCATENATE("0",H290),H290),IF(LEN(F290)=1,CONCATENATE("0",F290),F290))*1</f>
        <v>19561124</v>
      </c>
    </row>
    <row r="291" spans="1:10" hidden="1" x14ac:dyDescent="0.25">
      <c r="A291" s="4" t="s">
        <v>317</v>
      </c>
      <c r="B291" t="s">
        <v>7</v>
      </c>
      <c r="C291" t="s">
        <v>6</v>
      </c>
      <c r="D291" s="3">
        <f>MID(A291,1,2)*1</f>
        <v>73</v>
      </c>
      <c r="E291" s="4">
        <f>MID(A291,3,2)*1</f>
        <v>3</v>
      </c>
      <c r="F291" s="4">
        <f>MID(A291,5,2)*1</f>
        <v>31</v>
      </c>
      <c r="G291" s="3">
        <f>IF(E291&gt;=20,2000,1900) + D291</f>
        <v>1973</v>
      </c>
      <c r="H291">
        <f>IF(E291&gt;=20,E291-20,E291)</f>
        <v>3</v>
      </c>
      <c r="I291" s="4">
        <f>F291</f>
        <v>31</v>
      </c>
      <c r="J291">
        <f>CONCATENATE(G291,IF(LEN(H291)=1,CONCATENATE("0",H291),H291),IF(LEN(F291)=1,CONCATENATE("0",F291),F291))*1</f>
        <v>19730331</v>
      </c>
    </row>
    <row r="292" spans="1:10" hidden="1" x14ac:dyDescent="0.25">
      <c r="A292" s="4" t="s">
        <v>318</v>
      </c>
      <c r="B292" t="s">
        <v>16</v>
      </c>
      <c r="C292" t="s">
        <v>4</v>
      </c>
      <c r="D292" s="3">
        <f>MID(A292,1,2)*1</f>
        <v>59</v>
      </c>
      <c r="E292" s="4">
        <f>MID(A292,3,2)*1</f>
        <v>7</v>
      </c>
      <c r="F292" s="4">
        <f>MID(A292,5,2)*1</f>
        <v>11</v>
      </c>
      <c r="G292" s="3">
        <f>IF(E292&gt;=20,2000,1900) + D292</f>
        <v>1959</v>
      </c>
      <c r="H292">
        <f>IF(E292&gt;=20,E292-20,E292)</f>
        <v>7</v>
      </c>
      <c r="I292" s="4">
        <f>F292</f>
        <v>11</v>
      </c>
      <c r="J292">
        <f>CONCATENATE(G292,IF(LEN(H292)=1,CONCATENATE("0",H292),H292),IF(LEN(F292)=1,CONCATENATE("0",F292),F292))*1</f>
        <v>19590711</v>
      </c>
    </row>
    <row r="293" spans="1:10" hidden="1" x14ac:dyDescent="0.25">
      <c r="A293" s="4" t="s">
        <v>319</v>
      </c>
      <c r="B293" t="s">
        <v>11</v>
      </c>
      <c r="C293" t="s">
        <v>6</v>
      </c>
      <c r="D293" s="3">
        <f>MID(A293,1,2)*1</f>
        <v>53</v>
      </c>
      <c r="E293" s="4">
        <f>MID(A293,3,2)*1</f>
        <v>6</v>
      </c>
      <c r="F293" s="4">
        <f>MID(A293,5,2)*1</f>
        <v>26</v>
      </c>
      <c r="G293" s="3">
        <f>IF(E293&gt;=20,2000,1900) + D293</f>
        <v>1953</v>
      </c>
      <c r="H293">
        <f>IF(E293&gt;=20,E293-20,E293)</f>
        <v>6</v>
      </c>
      <c r="I293" s="4">
        <f>F293</f>
        <v>26</v>
      </c>
      <c r="J293">
        <f>CONCATENATE(G293,IF(LEN(H293)=1,CONCATENATE("0",H293),H293),IF(LEN(F293)=1,CONCATENATE("0",F293),F293))*1</f>
        <v>19530626</v>
      </c>
    </row>
    <row r="294" spans="1:10" hidden="1" x14ac:dyDescent="0.25">
      <c r="A294" s="4" t="s">
        <v>320</v>
      </c>
      <c r="B294" t="s">
        <v>5</v>
      </c>
      <c r="C294" t="s">
        <v>6</v>
      </c>
      <c r="D294" s="3">
        <f>MID(A294,1,2)*1</f>
        <v>94</v>
      </c>
      <c r="E294" s="4">
        <f>MID(A294,3,2)*1</f>
        <v>9</v>
      </c>
      <c r="F294" s="4">
        <f>MID(A294,5,2)*1</f>
        <v>17</v>
      </c>
      <c r="G294" s="3">
        <f>IF(E294&gt;=20,2000,1900) + D294</f>
        <v>1994</v>
      </c>
      <c r="H294">
        <f>IF(E294&gt;=20,E294-20,E294)</f>
        <v>9</v>
      </c>
      <c r="I294" s="4">
        <f>F294</f>
        <v>17</v>
      </c>
      <c r="J294">
        <f>CONCATENATE(G294,IF(LEN(H294)=1,CONCATENATE("0",H294),H294),IF(LEN(F294)=1,CONCATENATE("0",F294),F294))*1</f>
        <v>19940917</v>
      </c>
    </row>
    <row r="295" spans="1:10" x14ac:dyDescent="0.25">
      <c r="A295" s="4" t="s">
        <v>593</v>
      </c>
      <c r="B295" t="s">
        <v>18</v>
      </c>
      <c r="C295" t="s">
        <v>6</v>
      </c>
      <c r="D295" s="3">
        <f>MID(A295,1,2)*1</f>
        <v>74</v>
      </c>
      <c r="E295" s="4">
        <f>MID(A295,3,2)*1</f>
        <v>4</v>
      </c>
      <c r="F295" s="4">
        <f>MID(A295,5,2)*1</f>
        <v>11</v>
      </c>
      <c r="G295" s="3">
        <f>IF(E295&gt;=20,2000,1900) + D295</f>
        <v>1974</v>
      </c>
      <c r="H295">
        <f>IF(E295&gt;=20,E295-20,E295)</f>
        <v>4</v>
      </c>
      <c r="I295" s="4">
        <f>F295</f>
        <v>11</v>
      </c>
      <c r="J295">
        <f>CONCATENATE(G295,IF(LEN(H295)=1,CONCATENATE("0",H295),H295),IF(LEN(F295)=1,CONCATENATE("0",F295),F295))*1</f>
        <v>19740411</v>
      </c>
    </row>
    <row r="296" spans="1:10" x14ac:dyDescent="0.25">
      <c r="A296" s="4" t="s">
        <v>567</v>
      </c>
      <c r="B296" t="s">
        <v>18</v>
      </c>
      <c r="C296" t="s">
        <v>4</v>
      </c>
      <c r="D296" s="3">
        <f>MID(A296,1,2)*1</f>
        <v>74</v>
      </c>
      <c r="E296" s="4">
        <f>MID(A296,3,2)*1</f>
        <v>11</v>
      </c>
      <c r="F296" s="4">
        <f>MID(A296,5,2)*1</f>
        <v>4</v>
      </c>
      <c r="G296" s="3">
        <f>IF(E296&gt;=20,2000,1900) + D296</f>
        <v>1974</v>
      </c>
      <c r="H296">
        <f>IF(E296&gt;=20,E296-20,E296)</f>
        <v>11</v>
      </c>
      <c r="I296" s="4">
        <f>F296</f>
        <v>4</v>
      </c>
      <c r="J296">
        <f>CONCATENATE(G296,IF(LEN(H296)=1,CONCATENATE("0",H296),H296),IF(LEN(F296)=1,CONCATENATE("0",F296),F296))*1</f>
        <v>19741104</v>
      </c>
    </row>
    <row r="297" spans="1:10" hidden="1" x14ac:dyDescent="0.25">
      <c r="A297" s="4" t="s">
        <v>323</v>
      </c>
      <c r="B297" t="s">
        <v>17</v>
      </c>
      <c r="C297" t="s">
        <v>6</v>
      </c>
      <c r="D297" s="3">
        <f>MID(A297,1,2)*1</f>
        <v>99</v>
      </c>
      <c r="E297" s="4">
        <f>MID(A297,3,2)*1</f>
        <v>7</v>
      </c>
      <c r="F297" s="4">
        <f>MID(A297,5,2)*1</f>
        <v>23</v>
      </c>
      <c r="G297" s="3">
        <f>IF(E297&gt;=20,2000,1900) + D297</f>
        <v>1999</v>
      </c>
      <c r="H297">
        <f>IF(E297&gt;=20,E297-20,E297)</f>
        <v>7</v>
      </c>
      <c r="I297" s="4">
        <f>F297</f>
        <v>23</v>
      </c>
      <c r="J297">
        <f>CONCATENATE(G297,IF(LEN(H297)=1,CONCATENATE("0",H297),H297),IF(LEN(F297)=1,CONCATENATE("0",F297),F297))*1</f>
        <v>19990723</v>
      </c>
    </row>
    <row r="298" spans="1:10" hidden="1" x14ac:dyDescent="0.25">
      <c r="A298" s="4" t="s">
        <v>324</v>
      </c>
      <c r="B298" t="s">
        <v>17</v>
      </c>
      <c r="C298" t="s">
        <v>4</v>
      </c>
      <c r="D298" s="3">
        <f>MID(A298,1,2)*1</f>
        <v>52</v>
      </c>
      <c r="E298" s="4">
        <f>MID(A298,3,2)*1</f>
        <v>3</v>
      </c>
      <c r="F298" s="4">
        <f>MID(A298,5,2)*1</f>
        <v>21</v>
      </c>
      <c r="G298" s="3">
        <f>IF(E298&gt;=20,2000,1900) + D298</f>
        <v>1952</v>
      </c>
      <c r="H298">
        <f>IF(E298&gt;=20,E298-20,E298)</f>
        <v>3</v>
      </c>
      <c r="I298" s="4">
        <f>F298</f>
        <v>21</v>
      </c>
      <c r="J298">
        <f>CONCATENATE(G298,IF(LEN(H298)=1,CONCATENATE("0",H298),H298),IF(LEN(F298)=1,CONCATENATE("0",F298),F298))*1</f>
        <v>19520321</v>
      </c>
    </row>
    <row r="299" spans="1:10" hidden="1" x14ac:dyDescent="0.25">
      <c r="A299" s="4" t="s">
        <v>325</v>
      </c>
      <c r="B299" t="s">
        <v>3</v>
      </c>
      <c r="C299" t="s">
        <v>6</v>
      </c>
      <c r="D299" s="3">
        <f>MID(A299,1,2)*1</f>
        <v>89</v>
      </c>
      <c r="E299" s="4">
        <f>MID(A299,3,2)*1</f>
        <v>10</v>
      </c>
      <c r="F299" s="4">
        <f>MID(A299,5,2)*1</f>
        <v>11</v>
      </c>
      <c r="G299" s="3">
        <f>IF(E299&gt;=20,2000,1900) + D299</f>
        <v>1989</v>
      </c>
      <c r="H299">
        <f>IF(E299&gt;=20,E299-20,E299)</f>
        <v>10</v>
      </c>
      <c r="I299" s="4">
        <f>F299</f>
        <v>11</v>
      </c>
      <c r="J299">
        <f>CONCATENATE(G299,IF(LEN(H299)=1,CONCATENATE("0",H299),H299),IF(LEN(F299)=1,CONCATENATE("0",F299),F299))*1</f>
        <v>19891011</v>
      </c>
    </row>
    <row r="300" spans="1:10" hidden="1" x14ac:dyDescent="0.25">
      <c r="A300" s="4" t="s">
        <v>326</v>
      </c>
      <c r="B300" t="s">
        <v>14</v>
      </c>
      <c r="C300" t="s">
        <v>6</v>
      </c>
      <c r="D300" s="3">
        <f>MID(A300,1,2)*1</f>
        <v>79</v>
      </c>
      <c r="E300" s="4">
        <f>MID(A300,3,2)*1</f>
        <v>8</v>
      </c>
      <c r="F300" s="4">
        <f>MID(A300,5,2)*1</f>
        <v>30</v>
      </c>
      <c r="G300" s="3">
        <f>IF(E300&gt;=20,2000,1900) + D300</f>
        <v>1979</v>
      </c>
      <c r="H300">
        <f>IF(E300&gt;=20,E300-20,E300)</f>
        <v>8</v>
      </c>
      <c r="I300" s="4">
        <f>F300</f>
        <v>30</v>
      </c>
      <c r="J300">
        <f>CONCATENATE(G300,IF(LEN(H300)=1,CONCATENATE("0",H300),H300),IF(LEN(F300)=1,CONCATENATE("0",F300),F300))*1</f>
        <v>19790830</v>
      </c>
    </row>
    <row r="301" spans="1:10" hidden="1" x14ac:dyDescent="0.25">
      <c r="A301" s="4" t="s">
        <v>327</v>
      </c>
      <c r="B301" t="s">
        <v>5</v>
      </c>
      <c r="C301" t="s">
        <v>4</v>
      </c>
      <c r="D301" s="3">
        <f>MID(A301,1,2)*1</f>
        <v>93</v>
      </c>
      <c r="E301" s="4">
        <f>MID(A301,3,2)*1</f>
        <v>2</v>
      </c>
      <c r="F301" s="4">
        <f>MID(A301,5,2)*1</f>
        <v>15</v>
      </c>
      <c r="G301" s="3">
        <f>IF(E301&gt;=20,2000,1900) + D301</f>
        <v>1993</v>
      </c>
      <c r="H301">
        <f>IF(E301&gt;=20,E301-20,E301)</f>
        <v>2</v>
      </c>
      <c r="I301" s="4">
        <f>F301</f>
        <v>15</v>
      </c>
      <c r="J301">
        <f>CONCATENATE(G301,IF(LEN(H301)=1,CONCATENATE("0",H301),H301),IF(LEN(F301)=1,CONCATENATE("0",F301),F301))*1</f>
        <v>19930215</v>
      </c>
    </row>
    <row r="302" spans="1:10" hidden="1" x14ac:dyDescent="0.25">
      <c r="A302" s="4" t="s">
        <v>328</v>
      </c>
      <c r="B302" t="s">
        <v>17</v>
      </c>
      <c r="C302" t="s">
        <v>4</v>
      </c>
      <c r="D302" s="3">
        <f>MID(A302,1,2)*1</f>
        <v>92</v>
      </c>
      <c r="E302" s="4">
        <f>MID(A302,3,2)*1</f>
        <v>11</v>
      </c>
      <c r="F302" s="4">
        <f>MID(A302,5,2)*1</f>
        <v>24</v>
      </c>
      <c r="G302" s="3">
        <f>IF(E302&gt;=20,2000,1900) + D302</f>
        <v>1992</v>
      </c>
      <c r="H302">
        <f>IF(E302&gt;=20,E302-20,E302)</f>
        <v>11</v>
      </c>
      <c r="I302" s="4">
        <f>F302</f>
        <v>24</v>
      </c>
      <c r="J302">
        <f>CONCATENATE(G302,IF(LEN(H302)=1,CONCATENATE("0",H302),H302),IF(LEN(F302)=1,CONCATENATE("0",F302),F302))*1</f>
        <v>19921124</v>
      </c>
    </row>
    <row r="303" spans="1:10" hidden="1" x14ac:dyDescent="0.25">
      <c r="A303" s="4" t="s">
        <v>329</v>
      </c>
      <c r="B303" t="s">
        <v>20</v>
      </c>
      <c r="C303" t="s">
        <v>6</v>
      </c>
      <c r="D303" s="3">
        <f>MID(A303,1,2)*1</f>
        <v>51</v>
      </c>
      <c r="E303" s="4">
        <f>MID(A303,3,2)*1</f>
        <v>12</v>
      </c>
      <c r="F303" s="4">
        <f>MID(A303,5,2)*1</f>
        <v>11</v>
      </c>
      <c r="G303" s="3">
        <f>IF(E303&gt;=20,2000,1900) + D303</f>
        <v>1951</v>
      </c>
      <c r="H303">
        <f>IF(E303&gt;=20,E303-20,E303)</f>
        <v>12</v>
      </c>
      <c r="I303" s="4">
        <f>F303</f>
        <v>11</v>
      </c>
      <c r="J303">
        <f>CONCATENATE(G303,IF(LEN(H303)=1,CONCATENATE("0",H303),H303),IF(LEN(F303)=1,CONCATENATE("0",F303),F303))*1</f>
        <v>19511211</v>
      </c>
    </row>
    <row r="304" spans="1:10" hidden="1" x14ac:dyDescent="0.25">
      <c r="A304" s="4" t="s">
        <v>330</v>
      </c>
      <c r="B304" t="s">
        <v>15</v>
      </c>
      <c r="C304" t="s">
        <v>6</v>
      </c>
      <c r="D304" s="3">
        <f>MID(A304,1,2)*1</f>
        <v>85</v>
      </c>
      <c r="E304" s="4">
        <f>MID(A304,3,2)*1</f>
        <v>11</v>
      </c>
      <c r="F304" s="4">
        <f>MID(A304,5,2)*1</f>
        <v>14</v>
      </c>
      <c r="G304" s="3">
        <f>IF(E304&gt;=20,2000,1900) + D304</f>
        <v>1985</v>
      </c>
      <c r="H304">
        <f>IF(E304&gt;=20,E304-20,E304)</f>
        <v>11</v>
      </c>
      <c r="I304" s="4">
        <f>F304</f>
        <v>14</v>
      </c>
      <c r="J304">
        <f>CONCATENATE(G304,IF(LEN(H304)=1,CONCATENATE("0",H304),H304),IF(LEN(F304)=1,CONCATENATE("0",F304),F304))*1</f>
        <v>19851114</v>
      </c>
    </row>
    <row r="305" spans="1:10" hidden="1" x14ac:dyDescent="0.25">
      <c r="A305" s="4" t="s">
        <v>331</v>
      </c>
      <c r="B305" t="s">
        <v>20</v>
      </c>
      <c r="C305" t="s">
        <v>4</v>
      </c>
      <c r="D305" s="3">
        <f>MID(A305,1,2)*1</f>
        <v>98</v>
      </c>
      <c r="E305" s="4">
        <f>MID(A305,3,2)*1</f>
        <v>1</v>
      </c>
      <c r="F305" s="4">
        <f>MID(A305,5,2)*1</f>
        <v>20</v>
      </c>
      <c r="G305" s="3">
        <f>IF(E305&gt;=20,2000,1900) + D305</f>
        <v>1998</v>
      </c>
      <c r="H305">
        <f>IF(E305&gt;=20,E305-20,E305)</f>
        <v>1</v>
      </c>
      <c r="I305" s="4">
        <f>F305</f>
        <v>20</v>
      </c>
      <c r="J305">
        <f>CONCATENATE(G305,IF(LEN(H305)=1,CONCATENATE("0",H305),H305),IF(LEN(F305)=1,CONCATENATE("0",F305),F305))*1</f>
        <v>19980120</v>
      </c>
    </row>
    <row r="306" spans="1:10" hidden="1" x14ac:dyDescent="0.25">
      <c r="A306" s="4" t="s">
        <v>332</v>
      </c>
      <c r="B306" t="s">
        <v>15</v>
      </c>
      <c r="C306" t="s">
        <v>4</v>
      </c>
      <c r="D306" s="3">
        <f>MID(A306,1,2)*1</f>
        <v>72</v>
      </c>
      <c r="E306" s="4">
        <f>MID(A306,3,2)*1</f>
        <v>7</v>
      </c>
      <c r="F306" s="4">
        <f>MID(A306,5,2)*1</f>
        <v>10</v>
      </c>
      <c r="G306" s="3">
        <f>IF(E306&gt;=20,2000,1900) + D306</f>
        <v>1972</v>
      </c>
      <c r="H306">
        <f>IF(E306&gt;=20,E306-20,E306)</f>
        <v>7</v>
      </c>
      <c r="I306" s="4">
        <f>F306</f>
        <v>10</v>
      </c>
      <c r="J306">
        <f>CONCATENATE(G306,IF(LEN(H306)=1,CONCATENATE("0",H306),H306),IF(LEN(F306)=1,CONCATENATE("0",F306),F306))*1</f>
        <v>19720710</v>
      </c>
    </row>
    <row r="307" spans="1:10" hidden="1" x14ac:dyDescent="0.25">
      <c r="A307" s="4" t="s">
        <v>333</v>
      </c>
      <c r="B307" t="s">
        <v>10</v>
      </c>
      <c r="C307" t="s">
        <v>4</v>
      </c>
      <c r="D307" s="3">
        <f>MID(A307,1,2)*1</f>
        <v>69</v>
      </c>
      <c r="E307" s="4">
        <f>MID(A307,3,2)*1</f>
        <v>4</v>
      </c>
      <c r="F307" s="4">
        <f>MID(A307,5,2)*1</f>
        <v>9</v>
      </c>
      <c r="G307" s="3">
        <f>IF(E307&gt;=20,2000,1900) + D307</f>
        <v>1969</v>
      </c>
      <c r="H307">
        <f>IF(E307&gt;=20,E307-20,E307)</f>
        <v>4</v>
      </c>
      <c r="I307" s="4">
        <f>F307</f>
        <v>9</v>
      </c>
      <c r="J307">
        <f>CONCATENATE(G307,IF(LEN(H307)=1,CONCATENATE("0",H307),H307),IF(LEN(F307)=1,CONCATENATE("0",F307),F307))*1</f>
        <v>19690409</v>
      </c>
    </row>
    <row r="308" spans="1:10" hidden="1" x14ac:dyDescent="0.25">
      <c r="A308" s="4" t="s">
        <v>334</v>
      </c>
      <c r="B308" t="s">
        <v>5</v>
      </c>
      <c r="C308" t="s">
        <v>4</v>
      </c>
      <c r="D308" s="3">
        <f>MID(A308,1,2)*1</f>
        <v>69</v>
      </c>
      <c r="E308" s="4">
        <f>MID(A308,3,2)*1</f>
        <v>9</v>
      </c>
      <c r="F308" s="4">
        <f>MID(A308,5,2)*1</f>
        <v>4</v>
      </c>
      <c r="G308" s="3">
        <f>IF(E308&gt;=20,2000,1900) + D308</f>
        <v>1969</v>
      </c>
      <c r="H308">
        <f>IF(E308&gt;=20,E308-20,E308)</f>
        <v>9</v>
      </c>
      <c r="I308" s="4">
        <f>F308</f>
        <v>4</v>
      </c>
      <c r="J308">
        <f>CONCATENATE(G308,IF(LEN(H308)=1,CONCATENATE("0",H308),H308),IF(LEN(F308)=1,CONCATENATE("0",F308),F308))*1</f>
        <v>19690904</v>
      </c>
    </row>
    <row r="309" spans="1:10" hidden="1" x14ac:dyDescent="0.25">
      <c r="A309" s="4" t="s">
        <v>335</v>
      </c>
      <c r="B309" t="s">
        <v>19</v>
      </c>
      <c r="C309" t="s">
        <v>4</v>
      </c>
      <c r="D309" s="3">
        <f>MID(A309,1,2)*1</f>
        <v>50</v>
      </c>
      <c r="E309" s="4">
        <f>MID(A309,3,2)*1</f>
        <v>6</v>
      </c>
      <c r="F309" s="4">
        <f>MID(A309,5,2)*1</f>
        <v>21</v>
      </c>
      <c r="G309" s="3">
        <f>IF(E309&gt;=20,2000,1900) + D309</f>
        <v>1950</v>
      </c>
      <c r="H309">
        <f>IF(E309&gt;=20,E309-20,E309)</f>
        <v>6</v>
      </c>
      <c r="I309" s="4">
        <f>F309</f>
        <v>21</v>
      </c>
      <c r="J309">
        <f>CONCATENATE(G309,IF(LEN(H309)=1,CONCATENATE("0",H309),H309),IF(LEN(F309)=1,CONCATENATE("0",F309),F309))*1</f>
        <v>19500621</v>
      </c>
    </row>
    <row r="310" spans="1:10" hidden="1" x14ac:dyDescent="0.25">
      <c r="A310" s="4" t="s">
        <v>336</v>
      </c>
      <c r="B310" t="s">
        <v>14</v>
      </c>
      <c r="C310" t="s">
        <v>6</v>
      </c>
      <c r="D310" s="3">
        <f>MID(A310,1,2)*1</f>
        <v>96</v>
      </c>
      <c r="E310" s="4">
        <f>MID(A310,3,2)*1</f>
        <v>12</v>
      </c>
      <c r="F310" s="4">
        <f>MID(A310,5,2)*1</f>
        <v>30</v>
      </c>
      <c r="G310" s="3">
        <f>IF(E310&gt;=20,2000,1900) + D310</f>
        <v>1996</v>
      </c>
      <c r="H310">
        <f>IF(E310&gt;=20,E310-20,E310)</f>
        <v>12</v>
      </c>
      <c r="I310" s="4">
        <f>F310</f>
        <v>30</v>
      </c>
      <c r="J310">
        <f>CONCATENATE(G310,IF(LEN(H310)=1,CONCATENATE("0",H310),H310),IF(LEN(F310)=1,CONCATENATE("0",F310),F310))*1</f>
        <v>19961230</v>
      </c>
    </row>
    <row r="311" spans="1:10" hidden="1" x14ac:dyDescent="0.25">
      <c r="A311" s="4" t="s">
        <v>337</v>
      </c>
      <c r="B311" t="s">
        <v>11</v>
      </c>
      <c r="C311" t="s">
        <v>4</v>
      </c>
      <c r="D311" s="3">
        <f>MID(A311,1,2)*1</f>
        <v>50</v>
      </c>
      <c r="E311" s="4">
        <f>MID(A311,3,2)*1</f>
        <v>4</v>
      </c>
      <c r="F311" s="4">
        <f>MID(A311,5,2)*1</f>
        <v>7</v>
      </c>
      <c r="G311" s="3">
        <f>IF(E311&gt;=20,2000,1900) + D311</f>
        <v>1950</v>
      </c>
      <c r="H311">
        <f>IF(E311&gt;=20,E311-20,E311)</f>
        <v>4</v>
      </c>
      <c r="I311" s="4">
        <f>F311</f>
        <v>7</v>
      </c>
      <c r="J311">
        <f>CONCATENATE(G311,IF(LEN(H311)=1,CONCATENATE("0",H311),H311),IF(LEN(F311)=1,CONCATENATE("0",F311),F311))*1</f>
        <v>19500407</v>
      </c>
    </row>
    <row r="312" spans="1:10" hidden="1" x14ac:dyDescent="0.25">
      <c r="A312" s="4" t="s">
        <v>338</v>
      </c>
      <c r="B312" t="s">
        <v>19</v>
      </c>
      <c r="C312" t="s">
        <v>4</v>
      </c>
      <c r="D312" s="3">
        <f>MID(A312,1,2)*1</f>
        <v>86</v>
      </c>
      <c r="E312" s="4">
        <f>MID(A312,3,2)*1</f>
        <v>6</v>
      </c>
      <c r="F312" s="4">
        <f>MID(A312,5,2)*1</f>
        <v>30</v>
      </c>
      <c r="G312" s="3">
        <f>IF(E312&gt;=20,2000,1900) + D312</f>
        <v>1986</v>
      </c>
      <c r="H312">
        <f>IF(E312&gt;=20,E312-20,E312)</f>
        <v>6</v>
      </c>
      <c r="I312" s="4">
        <f>F312</f>
        <v>30</v>
      </c>
      <c r="J312">
        <f>CONCATENATE(G312,IF(LEN(H312)=1,CONCATENATE("0",H312),H312),IF(LEN(F312)=1,CONCATENATE("0",F312),F312))*1</f>
        <v>19860630</v>
      </c>
    </row>
    <row r="313" spans="1:10" hidden="1" x14ac:dyDescent="0.25">
      <c r="A313" s="4" t="s">
        <v>339</v>
      </c>
      <c r="B313" t="s">
        <v>17</v>
      </c>
      <c r="C313" t="s">
        <v>4</v>
      </c>
      <c r="D313" s="3">
        <f>MID(A313,1,2)*1</f>
        <v>64</v>
      </c>
      <c r="E313" s="4">
        <f>MID(A313,3,2)*1</f>
        <v>7</v>
      </c>
      <c r="F313" s="4">
        <f>MID(A313,5,2)*1</f>
        <v>5</v>
      </c>
      <c r="G313" s="3">
        <f>IF(E313&gt;=20,2000,1900) + D313</f>
        <v>1964</v>
      </c>
      <c r="H313">
        <f>IF(E313&gt;=20,E313-20,E313)</f>
        <v>7</v>
      </c>
      <c r="I313" s="4">
        <f>F313</f>
        <v>5</v>
      </c>
      <c r="J313">
        <f>CONCATENATE(G313,IF(LEN(H313)=1,CONCATENATE("0",H313),H313),IF(LEN(F313)=1,CONCATENATE("0",F313),F313))*1</f>
        <v>19640705</v>
      </c>
    </row>
    <row r="314" spans="1:10" hidden="1" x14ac:dyDescent="0.25">
      <c r="A314" s="4" t="s">
        <v>340</v>
      </c>
      <c r="B314" t="s">
        <v>12</v>
      </c>
      <c r="C314" t="s">
        <v>4</v>
      </c>
      <c r="D314" s="3">
        <f>MID(A314,1,2)*1</f>
        <v>61</v>
      </c>
      <c r="E314" s="4">
        <f>MID(A314,3,2)*1</f>
        <v>11</v>
      </c>
      <c r="F314" s="4">
        <f>MID(A314,5,2)*1</f>
        <v>14</v>
      </c>
      <c r="G314" s="3">
        <f>IF(E314&gt;=20,2000,1900) + D314</f>
        <v>1961</v>
      </c>
      <c r="H314">
        <f>IF(E314&gt;=20,E314-20,E314)</f>
        <v>11</v>
      </c>
      <c r="I314" s="4">
        <f>F314</f>
        <v>14</v>
      </c>
      <c r="J314">
        <f>CONCATENATE(G314,IF(LEN(H314)=1,CONCATENATE("0",H314),H314),IF(LEN(F314)=1,CONCATENATE("0",F314),F314))*1</f>
        <v>19611114</v>
      </c>
    </row>
    <row r="315" spans="1:10" hidden="1" x14ac:dyDescent="0.25">
      <c r="A315" s="4" t="s">
        <v>341</v>
      </c>
      <c r="B315" t="s">
        <v>5</v>
      </c>
      <c r="C315" t="s">
        <v>6</v>
      </c>
      <c r="D315" s="3">
        <f>MID(A315,1,2)*1</f>
        <v>55</v>
      </c>
      <c r="E315" s="4">
        <f>MID(A315,3,2)*1</f>
        <v>8</v>
      </c>
      <c r="F315" s="4">
        <f>MID(A315,5,2)*1</f>
        <v>14</v>
      </c>
      <c r="G315" s="3">
        <f>IF(E315&gt;=20,2000,1900) + D315</f>
        <v>1955</v>
      </c>
      <c r="H315">
        <f>IF(E315&gt;=20,E315-20,E315)</f>
        <v>8</v>
      </c>
      <c r="I315" s="4">
        <f>F315</f>
        <v>14</v>
      </c>
      <c r="J315">
        <f>CONCATENATE(G315,IF(LEN(H315)=1,CONCATENATE("0",H315),H315),IF(LEN(F315)=1,CONCATENATE("0",F315),F315))*1</f>
        <v>19550814</v>
      </c>
    </row>
    <row r="316" spans="1:10" hidden="1" x14ac:dyDescent="0.25">
      <c r="A316" s="4" t="s">
        <v>342</v>
      </c>
      <c r="B316" t="s">
        <v>5</v>
      </c>
      <c r="C316" t="s">
        <v>6</v>
      </c>
      <c r="D316" s="3">
        <f>MID(A316,1,2)*1</f>
        <v>68</v>
      </c>
      <c r="E316" s="4">
        <f>MID(A316,3,2)*1</f>
        <v>10</v>
      </c>
      <c r="F316" s="4">
        <f>MID(A316,5,2)*1</f>
        <v>14</v>
      </c>
      <c r="G316" s="3">
        <f>IF(E316&gt;=20,2000,1900) + D316</f>
        <v>1968</v>
      </c>
      <c r="H316">
        <f>IF(E316&gt;=20,E316-20,E316)</f>
        <v>10</v>
      </c>
      <c r="I316" s="4">
        <f>F316</f>
        <v>14</v>
      </c>
      <c r="J316">
        <f>CONCATENATE(G316,IF(LEN(H316)=1,CONCATENATE("0",H316),H316),IF(LEN(F316)=1,CONCATENATE("0",F316),F316))*1</f>
        <v>19681014</v>
      </c>
    </row>
    <row r="317" spans="1:10" hidden="1" x14ac:dyDescent="0.25">
      <c r="A317" s="4" t="s">
        <v>343</v>
      </c>
      <c r="B317" t="s">
        <v>17</v>
      </c>
      <c r="C317" t="s">
        <v>6</v>
      </c>
      <c r="D317" s="3">
        <f>MID(A317,1,2)*1</f>
        <v>96</v>
      </c>
      <c r="E317" s="4">
        <f>MID(A317,3,2)*1</f>
        <v>7</v>
      </c>
      <c r="F317" s="4">
        <f>MID(A317,5,2)*1</f>
        <v>21</v>
      </c>
      <c r="G317" s="3">
        <f>IF(E317&gt;=20,2000,1900) + D317</f>
        <v>1996</v>
      </c>
      <c r="H317">
        <f>IF(E317&gt;=20,E317-20,E317)</f>
        <v>7</v>
      </c>
      <c r="I317" s="4">
        <f>F317</f>
        <v>21</v>
      </c>
      <c r="J317">
        <f>CONCATENATE(G317,IF(LEN(H317)=1,CONCATENATE("0",H317),H317),IF(LEN(F317)=1,CONCATENATE("0",F317),F317))*1</f>
        <v>19960721</v>
      </c>
    </row>
    <row r="318" spans="1:10" hidden="1" x14ac:dyDescent="0.25">
      <c r="A318" s="4" t="s">
        <v>344</v>
      </c>
      <c r="B318" t="s">
        <v>8</v>
      </c>
      <c r="C318" t="s">
        <v>6</v>
      </c>
      <c r="D318" s="3">
        <f>MID(A318,1,2)*1</f>
        <v>53</v>
      </c>
      <c r="E318" s="4">
        <f>MID(A318,3,2)*1</f>
        <v>11</v>
      </c>
      <c r="F318" s="4">
        <f>MID(A318,5,2)*1</f>
        <v>13</v>
      </c>
      <c r="G318" s="3">
        <f>IF(E318&gt;=20,2000,1900) + D318</f>
        <v>1953</v>
      </c>
      <c r="H318">
        <f>IF(E318&gt;=20,E318-20,E318)</f>
        <v>11</v>
      </c>
      <c r="I318" s="4">
        <f>F318</f>
        <v>13</v>
      </c>
      <c r="J318">
        <f>CONCATENATE(G318,IF(LEN(H318)=1,CONCATENATE("0",H318),H318),IF(LEN(F318)=1,CONCATENATE("0",F318),F318))*1</f>
        <v>19531113</v>
      </c>
    </row>
    <row r="319" spans="1:10" hidden="1" x14ac:dyDescent="0.25">
      <c r="A319" s="4" t="s">
        <v>345</v>
      </c>
      <c r="B319" t="s">
        <v>5</v>
      </c>
      <c r="C319" t="s">
        <v>6</v>
      </c>
      <c r="D319" s="3">
        <f>MID(A319,1,2)*1</f>
        <v>66</v>
      </c>
      <c r="E319" s="4">
        <f>MID(A319,3,2)*1</f>
        <v>5</v>
      </c>
      <c r="F319" s="4">
        <f>MID(A319,5,2)*1</f>
        <v>4</v>
      </c>
      <c r="G319" s="3">
        <f>IF(E319&gt;=20,2000,1900) + D319</f>
        <v>1966</v>
      </c>
      <c r="H319">
        <f>IF(E319&gt;=20,E319-20,E319)</f>
        <v>5</v>
      </c>
      <c r="I319" s="4">
        <f>F319</f>
        <v>4</v>
      </c>
      <c r="J319">
        <f>CONCATENATE(G319,IF(LEN(H319)=1,CONCATENATE("0",H319),H319),IF(LEN(F319)=1,CONCATENATE("0",F319),F319))*1</f>
        <v>19660504</v>
      </c>
    </row>
    <row r="320" spans="1:10" hidden="1" x14ac:dyDescent="0.25">
      <c r="A320" s="4" t="s">
        <v>346</v>
      </c>
      <c r="B320" t="s">
        <v>8</v>
      </c>
      <c r="C320" t="s">
        <v>6</v>
      </c>
      <c r="D320" s="3">
        <f>MID(A320,1,2)*1</f>
        <v>50</v>
      </c>
      <c r="E320" s="4">
        <f>MID(A320,3,2)*1</f>
        <v>11</v>
      </c>
      <c r="F320" s="4">
        <f>MID(A320,5,2)*1</f>
        <v>25</v>
      </c>
      <c r="G320" s="3">
        <f>IF(E320&gt;=20,2000,1900) + D320</f>
        <v>1950</v>
      </c>
      <c r="H320">
        <f>IF(E320&gt;=20,E320-20,E320)</f>
        <v>11</v>
      </c>
      <c r="I320" s="4">
        <f>F320</f>
        <v>25</v>
      </c>
      <c r="J320">
        <f>CONCATENATE(G320,IF(LEN(H320)=1,CONCATENATE("0",H320),H320),IF(LEN(F320)=1,CONCATENATE("0",F320),F320))*1</f>
        <v>19501125</v>
      </c>
    </row>
    <row r="321" spans="1:10" hidden="1" x14ac:dyDescent="0.25">
      <c r="A321" s="4" t="s">
        <v>347</v>
      </c>
      <c r="B321" t="s">
        <v>17</v>
      </c>
      <c r="C321" t="s">
        <v>4</v>
      </c>
      <c r="D321" s="3">
        <f>MID(A321,1,2)*1</f>
        <v>66</v>
      </c>
      <c r="E321" s="4">
        <f>MID(A321,3,2)*1</f>
        <v>4</v>
      </c>
      <c r="F321" s="4">
        <f>MID(A321,5,2)*1</f>
        <v>15</v>
      </c>
      <c r="G321" s="3">
        <f>IF(E321&gt;=20,2000,1900) + D321</f>
        <v>1966</v>
      </c>
      <c r="H321">
        <f>IF(E321&gt;=20,E321-20,E321)</f>
        <v>4</v>
      </c>
      <c r="I321" s="4">
        <f>F321</f>
        <v>15</v>
      </c>
      <c r="J321">
        <f>CONCATENATE(G321,IF(LEN(H321)=1,CONCATENATE("0",H321),H321),IF(LEN(F321)=1,CONCATENATE("0",F321),F321))*1</f>
        <v>19660415</v>
      </c>
    </row>
    <row r="322" spans="1:10" hidden="1" x14ac:dyDescent="0.25">
      <c r="A322" s="4" t="s">
        <v>348</v>
      </c>
      <c r="B322" t="s">
        <v>9</v>
      </c>
      <c r="C322" t="s">
        <v>4</v>
      </c>
      <c r="D322" s="3">
        <f>MID(A322,1,2)*1</f>
        <v>54</v>
      </c>
      <c r="E322" s="4">
        <f>MID(A322,3,2)*1</f>
        <v>11</v>
      </c>
      <c r="F322" s="4">
        <f>MID(A322,5,2)*1</f>
        <v>11</v>
      </c>
      <c r="G322" s="3">
        <f>IF(E322&gt;=20,2000,1900) + D322</f>
        <v>1954</v>
      </c>
      <c r="H322">
        <f>IF(E322&gt;=20,E322-20,E322)</f>
        <v>11</v>
      </c>
      <c r="I322" s="4">
        <f>F322</f>
        <v>11</v>
      </c>
      <c r="J322">
        <f>CONCATENATE(G322,IF(LEN(H322)=1,CONCATENATE("0",H322),H322),IF(LEN(F322)=1,CONCATENATE("0",F322),F322))*1</f>
        <v>19541111</v>
      </c>
    </row>
    <row r="323" spans="1:10" hidden="1" x14ac:dyDescent="0.25">
      <c r="A323" s="4" t="s">
        <v>349</v>
      </c>
      <c r="B323" t="s">
        <v>14</v>
      </c>
      <c r="C323" t="s">
        <v>6</v>
      </c>
      <c r="D323" s="3">
        <f>MID(A323,1,2)*1</f>
        <v>56</v>
      </c>
      <c r="E323" s="4">
        <f>MID(A323,3,2)*1</f>
        <v>4</v>
      </c>
      <c r="F323" s="4">
        <f>MID(A323,5,2)*1</f>
        <v>2</v>
      </c>
      <c r="G323" s="3">
        <f>IF(E323&gt;=20,2000,1900) + D323</f>
        <v>1956</v>
      </c>
      <c r="H323">
        <f>IF(E323&gt;=20,E323-20,E323)</f>
        <v>4</v>
      </c>
      <c r="I323" s="4">
        <f>F323</f>
        <v>2</v>
      </c>
      <c r="J323">
        <f>CONCATENATE(G323,IF(LEN(H323)=1,CONCATENATE("0",H323),H323),IF(LEN(F323)=1,CONCATENATE("0",F323),F323))*1</f>
        <v>19560402</v>
      </c>
    </row>
    <row r="324" spans="1:10" hidden="1" x14ac:dyDescent="0.25">
      <c r="A324" s="4" t="s">
        <v>350</v>
      </c>
      <c r="B324" t="s">
        <v>11</v>
      </c>
      <c r="C324" t="s">
        <v>4</v>
      </c>
      <c r="D324" s="3">
        <f>MID(A324,1,2)*1</f>
        <v>78</v>
      </c>
      <c r="E324" s="4">
        <f>MID(A324,3,2)*1</f>
        <v>11</v>
      </c>
      <c r="F324" s="4">
        <f>MID(A324,5,2)*1</f>
        <v>14</v>
      </c>
      <c r="G324" s="3">
        <f>IF(E324&gt;=20,2000,1900) + D324</f>
        <v>1978</v>
      </c>
      <c r="H324">
        <f>IF(E324&gt;=20,E324-20,E324)</f>
        <v>11</v>
      </c>
      <c r="I324" s="4">
        <f>F324</f>
        <v>14</v>
      </c>
      <c r="J324">
        <f>CONCATENATE(G324,IF(LEN(H324)=1,CONCATENATE("0",H324),H324),IF(LEN(F324)=1,CONCATENATE("0",F324),F324))*1</f>
        <v>19781114</v>
      </c>
    </row>
    <row r="325" spans="1:10" hidden="1" x14ac:dyDescent="0.25">
      <c r="A325" s="4" t="s">
        <v>351</v>
      </c>
      <c r="B325" t="s">
        <v>7</v>
      </c>
      <c r="C325" t="s">
        <v>6</v>
      </c>
      <c r="D325" s="3">
        <f>MID(A325,1,2)*1</f>
        <v>73</v>
      </c>
      <c r="E325" s="4">
        <f>MID(A325,3,2)*1</f>
        <v>7</v>
      </c>
      <c r="F325" s="4">
        <f>MID(A325,5,2)*1</f>
        <v>6</v>
      </c>
      <c r="G325" s="3">
        <f>IF(E325&gt;=20,2000,1900) + D325</f>
        <v>1973</v>
      </c>
      <c r="H325">
        <f>IF(E325&gt;=20,E325-20,E325)</f>
        <v>7</v>
      </c>
      <c r="I325" s="4">
        <f>F325</f>
        <v>6</v>
      </c>
      <c r="J325">
        <f>CONCATENATE(G325,IF(LEN(H325)=1,CONCATENATE("0",H325),H325),IF(LEN(F325)=1,CONCATENATE("0",F325),F325))*1</f>
        <v>19730706</v>
      </c>
    </row>
    <row r="326" spans="1:10" hidden="1" x14ac:dyDescent="0.25">
      <c r="A326" s="4" t="s">
        <v>352</v>
      </c>
      <c r="B326" t="s">
        <v>14</v>
      </c>
      <c r="C326" t="s">
        <v>6</v>
      </c>
      <c r="D326" s="3">
        <f>MID(A326,1,2)*1</f>
        <v>61</v>
      </c>
      <c r="E326" s="4">
        <f>MID(A326,3,2)*1</f>
        <v>4</v>
      </c>
      <c r="F326" s="4">
        <f>MID(A326,5,2)*1</f>
        <v>24</v>
      </c>
      <c r="G326" s="3">
        <f>IF(E326&gt;=20,2000,1900) + D326</f>
        <v>1961</v>
      </c>
      <c r="H326">
        <f>IF(E326&gt;=20,E326-20,E326)</f>
        <v>4</v>
      </c>
      <c r="I326" s="4">
        <f>F326</f>
        <v>24</v>
      </c>
      <c r="J326">
        <f>CONCATENATE(G326,IF(LEN(H326)=1,CONCATENATE("0",H326),H326),IF(LEN(F326)=1,CONCATENATE("0",F326),F326))*1</f>
        <v>19610424</v>
      </c>
    </row>
    <row r="327" spans="1:10" hidden="1" x14ac:dyDescent="0.25">
      <c r="A327" s="4" t="s">
        <v>353</v>
      </c>
      <c r="B327" t="s">
        <v>19</v>
      </c>
      <c r="C327" t="s">
        <v>4</v>
      </c>
      <c r="D327" s="3">
        <f>MID(A327,1,2)*1</f>
        <v>81</v>
      </c>
      <c r="E327" s="4">
        <f>MID(A327,3,2)*1</f>
        <v>5</v>
      </c>
      <c r="F327" s="4">
        <f>MID(A327,5,2)*1</f>
        <v>8</v>
      </c>
      <c r="G327" s="3">
        <f>IF(E327&gt;=20,2000,1900) + D327</f>
        <v>1981</v>
      </c>
      <c r="H327">
        <f>IF(E327&gt;=20,E327-20,E327)</f>
        <v>5</v>
      </c>
      <c r="I327" s="4">
        <f>F327</f>
        <v>8</v>
      </c>
      <c r="J327">
        <f>CONCATENATE(G327,IF(LEN(H327)=1,CONCATENATE("0",H327),H327),IF(LEN(F327)=1,CONCATENATE("0",F327),F327))*1</f>
        <v>19810508</v>
      </c>
    </row>
    <row r="328" spans="1:10" hidden="1" x14ac:dyDescent="0.25">
      <c r="A328" s="4" t="s">
        <v>354</v>
      </c>
      <c r="B328" t="s">
        <v>9</v>
      </c>
      <c r="C328" t="s">
        <v>4</v>
      </c>
      <c r="D328" s="3">
        <f>MID(A328,1,2)*1</f>
        <v>58</v>
      </c>
      <c r="E328" s="4">
        <f>MID(A328,3,2)*1</f>
        <v>9</v>
      </c>
      <c r="F328" s="4">
        <f>MID(A328,5,2)*1</f>
        <v>18</v>
      </c>
      <c r="G328" s="3">
        <f>IF(E328&gt;=20,2000,1900) + D328</f>
        <v>1958</v>
      </c>
      <c r="H328">
        <f>IF(E328&gt;=20,E328-20,E328)</f>
        <v>9</v>
      </c>
      <c r="I328" s="4">
        <f>F328</f>
        <v>18</v>
      </c>
      <c r="J328">
        <f>CONCATENATE(G328,IF(LEN(H328)=1,CONCATENATE("0",H328),H328),IF(LEN(F328)=1,CONCATENATE("0",F328),F328))*1</f>
        <v>19580918</v>
      </c>
    </row>
    <row r="329" spans="1:10" hidden="1" x14ac:dyDescent="0.25">
      <c r="A329" s="4" t="s">
        <v>355</v>
      </c>
      <c r="B329" t="s">
        <v>5</v>
      </c>
      <c r="C329" t="s">
        <v>6</v>
      </c>
      <c r="D329" s="3">
        <f>MID(A329,1,2)*1</f>
        <v>66</v>
      </c>
      <c r="E329" s="4">
        <f>MID(A329,3,2)*1</f>
        <v>8</v>
      </c>
      <c r="F329" s="4">
        <f>MID(A329,5,2)*1</f>
        <v>22</v>
      </c>
      <c r="G329" s="3">
        <f>IF(E329&gt;=20,2000,1900) + D329</f>
        <v>1966</v>
      </c>
      <c r="H329">
        <f>IF(E329&gt;=20,E329-20,E329)</f>
        <v>8</v>
      </c>
      <c r="I329" s="4">
        <f>F329</f>
        <v>22</v>
      </c>
      <c r="J329">
        <f>CONCATENATE(G329,IF(LEN(H329)=1,CONCATENATE("0",H329),H329),IF(LEN(F329)=1,CONCATENATE("0",F329),F329))*1</f>
        <v>19660822</v>
      </c>
    </row>
    <row r="330" spans="1:10" hidden="1" x14ac:dyDescent="0.25">
      <c r="A330" s="4" t="s">
        <v>356</v>
      </c>
      <c r="B330" t="s">
        <v>17</v>
      </c>
      <c r="C330" t="s">
        <v>6</v>
      </c>
      <c r="D330" s="3">
        <f>MID(A330,1,2)*1</f>
        <v>69</v>
      </c>
      <c r="E330" s="4">
        <f>MID(A330,3,2)*1</f>
        <v>2</v>
      </c>
      <c r="F330" s="4">
        <f>MID(A330,5,2)*1</f>
        <v>5</v>
      </c>
      <c r="G330" s="3">
        <f>IF(E330&gt;=20,2000,1900) + D330</f>
        <v>1969</v>
      </c>
      <c r="H330">
        <f>IF(E330&gt;=20,E330-20,E330)</f>
        <v>2</v>
      </c>
      <c r="I330" s="4">
        <f>F330</f>
        <v>5</v>
      </c>
      <c r="J330">
        <f>CONCATENATE(G330,IF(LEN(H330)=1,CONCATENATE("0",H330),H330),IF(LEN(F330)=1,CONCATENATE("0",F330),F330))*1</f>
        <v>19690205</v>
      </c>
    </row>
    <row r="331" spans="1:10" hidden="1" x14ac:dyDescent="0.25">
      <c r="A331" s="4" t="s">
        <v>357</v>
      </c>
      <c r="B331" t="s">
        <v>10</v>
      </c>
      <c r="C331" t="s">
        <v>4</v>
      </c>
      <c r="D331" s="3">
        <f>MID(A331,1,2)*1</f>
        <v>57</v>
      </c>
      <c r="E331" s="4">
        <f>MID(A331,3,2)*1</f>
        <v>11</v>
      </c>
      <c r="F331" s="4">
        <f>MID(A331,5,2)*1</f>
        <v>14</v>
      </c>
      <c r="G331" s="3">
        <f>IF(E331&gt;=20,2000,1900) + D331</f>
        <v>1957</v>
      </c>
      <c r="H331">
        <f>IF(E331&gt;=20,E331-20,E331)</f>
        <v>11</v>
      </c>
      <c r="I331" s="4">
        <f>F331</f>
        <v>14</v>
      </c>
      <c r="J331">
        <f>CONCATENATE(G331,IF(LEN(H331)=1,CONCATENATE("0",H331),H331),IF(LEN(F331)=1,CONCATENATE("0",F331),F331))*1</f>
        <v>19571114</v>
      </c>
    </row>
    <row r="332" spans="1:10" hidden="1" x14ac:dyDescent="0.25">
      <c r="A332" s="4" t="s">
        <v>358</v>
      </c>
      <c r="B332" t="s">
        <v>12</v>
      </c>
      <c r="C332" t="s">
        <v>4</v>
      </c>
      <c r="D332" s="3">
        <f>MID(A332,1,2)*1</f>
        <v>52</v>
      </c>
      <c r="E332" s="4">
        <f>MID(A332,3,2)*1</f>
        <v>11</v>
      </c>
      <c r="F332" s="4">
        <f>MID(A332,5,2)*1</f>
        <v>7</v>
      </c>
      <c r="G332" s="3">
        <f>IF(E332&gt;=20,2000,1900) + D332</f>
        <v>1952</v>
      </c>
      <c r="H332">
        <f>IF(E332&gt;=20,E332-20,E332)</f>
        <v>11</v>
      </c>
      <c r="I332" s="4">
        <f>F332</f>
        <v>7</v>
      </c>
      <c r="J332">
        <f>CONCATENATE(G332,IF(LEN(H332)=1,CONCATENATE("0",H332),H332),IF(LEN(F332)=1,CONCATENATE("0",F332),F332))*1</f>
        <v>19521107</v>
      </c>
    </row>
    <row r="333" spans="1:10" hidden="1" x14ac:dyDescent="0.25">
      <c r="A333" s="4" t="s">
        <v>359</v>
      </c>
      <c r="B333" t="s">
        <v>19</v>
      </c>
      <c r="C333" t="s">
        <v>4</v>
      </c>
      <c r="D333" s="3">
        <f>MID(A333,1,2)*1</f>
        <v>93</v>
      </c>
      <c r="E333" s="4">
        <f>MID(A333,3,2)*1</f>
        <v>1</v>
      </c>
      <c r="F333" s="4">
        <f>MID(A333,5,2)*1</f>
        <v>12</v>
      </c>
      <c r="G333" s="3">
        <f>IF(E333&gt;=20,2000,1900) + D333</f>
        <v>1993</v>
      </c>
      <c r="H333">
        <f>IF(E333&gt;=20,E333-20,E333)</f>
        <v>1</v>
      </c>
      <c r="I333" s="4">
        <f>F333</f>
        <v>12</v>
      </c>
      <c r="J333">
        <f>CONCATENATE(G333,IF(LEN(H333)=1,CONCATENATE("0",H333),H333),IF(LEN(F333)=1,CONCATENATE("0",F333),F333))*1</f>
        <v>19930112</v>
      </c>
    </row>
    <row r="334" spans="1:10" hidden="1" x14ac:dyDescent="0.25">
      <c r="A334" s="4" t="s">
        <v>360</v>
      </c>
      <c r="B334" t="s">
        <v>12</v>
      </c>
      <c r="C334" t="s">
        <v>6</v>
      </c>
      <c r="D334" s="3">
        <f>MID(A334,1,2)*1</f>
        <v>96</v>
      </c>
      <c r="E334" s="4">
        <f>MID(A334,3,2)*1</f>
        <v>12</v>
      </c>
      <c r="F334" s="4">
        <f>MID(A334,5,2)*1</f>
        <v>19</v>
      </c>
      <c r="G334" s="3">
        <f>IF(E334&gt;=20,2000,1900) + D334</f>
        <v>1996</v>
      </c>
      <c r="H334">
        <f>IF(E334&gt;=20,E334-20,E334)</f>
        <v>12</v>
      </c>
      <c r="I334" s="4">
        <f>F334</f>
        <v>19</v>
      </c>
      <c r="J334">
        <f>CONCATENATE(G334,IF(LEN(H334)=1,CONCATENATE("0",H334),H334),IF(LEN(F334)=1,CONCATENATE("0",F334),F334))*1</f>
        <v>19961219</v>
      </c>
    </row>
    <row r="335" spans="1:10" hidden="1" x14ac:dyDescent="0.25">
      <c r="A335" s="4" t="s">
        <v>361</v>
      </c>
      <c r="B335" t="s">
        <v>17</v>
      </c>
      <c r="C335" t="s">
        <v>6</v>
      </c>
      <c r="D335" s="3">
        <f>MID(A335,1,2)*1</f>
        <v>79</v>
      </c>
      <c r="E335" s="4">
        <f>MID(A335,3,2)*1</f>
        <v>6</v>
      </c>
      <c r="F335" s="4">
        <f>MID(A335,5,2)*1</f>
        <v>16</v>
      </c>
      <c r="G335" s="3">
        <f>IF(E335&gt;=20,2000,1900) + D335</f>
        <v>1979</v>
      </c>
      <c r="H335">
        <f>IF(E335&gt;=20,E335-20,E335)</f>
        <v>6</v>
      </c>
      <c r="I335" s="4">
        <f>F335</f>
        <v>16</v>
      </c>
      <c r="J335">
        <f>CONCATENATE(G335,IF(LEN(H335)=1,CONCATENATE("0",H335),H335),IF(LEN(F335)=1,CONCATENATE("0",F335),F335))*1</f>
        <v>19790616</v>
      </c>
    </row>
    <row r="336" spans="1:10" hidden="1" x14ac:dyDescent="0.25">
      <c r="A336" s="4" t="s">
        <v>362</v>
      </c>
      <c r="B336" t="s">
        <v>5</v>
      </c>
      <c r="C336" t="s">
        <v>4</v>
      </c>
      <c r="D336" s="3">
        <f>MID(A336,1,2)*1</f>
        <v>90</v>
      </c>
      <c r="E336" s="4">
        <f>MID(A336,3,2)*1</f>
        <v>8</v>
      </c>
      <c r="F336" s="4">
        <f>MID(A336,5,2)*1</f>
        <v>29</v>
      </c>
      <c r="G336" s="3">
        <f>IF(E336&gt;=20,2000,1900) + D336</f>
        <v>1990</v>
      </c>
      <c r="H336">
        <f>IF(E336&gt;=20,E336-20,E336)</f>
        <v>8</v>
      </c>
      <c r="I336" s="4">
        <f>F336</f>
        <v>29</v>
      </c>
      <c r="J336">
        <f>CONCATENATE(G336,IF(LEN(H336)=1,CONCATENATE("0",H336),H336),IF(LEN(F336)=1,CONCATENATE("0",F336),F336))*1</f>
        <v>19900829</v>
      </c>
    </row>
    <row r="337" spans="1:10" hidden="1" x14ac:dyDescent="0.25">
      <c r="A337" s="4" t="s">
        <v>363</v>
      </c>
      <c r="B337" t="s">
        <v>19</v>
      </c>
      <c r="C337" t="s">
        <v>4</v>
      </c>
      <c r="D337" s="3">
        <f>MID(A337,1,2)*1</f>
        <v>86</v>
      </c>
      <c r="E337" s="4">
        <f>MID(A337,3,2)*1</f>
        <v>1</v>
      </c>
      <c r="F337" s="4">
        <f>MID(A337,5,2)*1</f>
        <v>8</v>
      </c>
      <c r="G337" s="3">
        <f>IF(E337&gt;=20,2000,1900) + D337</f>
        <v>1986</v>
      </c>
      <c r="H337">
        <f>IF(E337&gt;=20,E337-20,E337)</f>
        <v>1</v>
      </c>
      <c r="I337" s="4">
        <f>F337</f>
        <v>8</v>
      </c>
      <c r="J337">
        <f>CONCATENATE(G337,IF(LEN(H337)=1,CONCATENATE("0",H337),H337),IF(LEN(F337)=1,CONCATENATE("0",F337),F337))*1</f>
        <v>19860108</v>
      </c>
    </row>
    <row r="338" spans="1:10" hidden="1" x14ac:dyDescent="0.25">
      <c r="A338" s="4" t="s">
        <v>364</v>
      </c>
      <c r="B338" t="s">
        <v>13</v>
      </c>
      <c r="C338" t="s">
        <v>4</v>
      </c>
      <c r="D338" s="3">
        <f>MID(A338,1,2)*1</f>
        <v>60</v>
      </c>
      <c r="E338" s="4">
        <f>MID(A338,3,2)*1</f>
        <v>5</v>
      </c>
      <c r="F338" s="4">
        <f>MID(A338,5,2)*1</f>
        <v>14</v>
      </c>
      <c r="G338" s="3">
        <f>IF(E338&gt;=20,2000,1900) + D338</f>
        <v>1960</v>
      </c>
      <c r="H338">
        <f>IF(E338&gt;=20,E338-20,E338)</f>
        <v>5</v>
      </c>
      <c r="I338" s="4">
        <f>F338</f>
        <v>14</v>
      </c>
      <c r="J338">
        <f>CONCATENATE(G338,IF(LEN(H338)=1,CONCATENATE("0",H338),H338),IF(LEN(F338)=1,CONCATENATE("0",F338),F338))*1</f>
        <v>19600514</v>
      </c>
    </row>
    <row r="339" spans="1:10" hidden="1" x14ac:dyDescent="0.25">
      <c r="A339" s="4" t="s">
        <v>365</v>
      </c>
      <c r="B339" t="s">
        <v>13</v>
      </c>
      <c r="C339" t="s">
        <v>6</v>
      </c>
      <c r="D339" s="3">
        <f>MID(A339,1,2)*1</f>
        <v>78</v>
      </c>
      <c r="E339" s="4">
        <f>MID(A339,3,2)*1</f>
        <v>1</v>
      </c>
      <c r="F339" s="4">
        <f>MID(A339,5,2)*1</f>
        <v>26</v>
      </c>
      <c r="G339" s="3">
        <f>IF(E339&gt;=20,2000,1900) + D339</f>
        <v>1978</v>
      </c>
      <c r="H339">
        <f>IF(E339&gt;=20,E339-20,E339)</f>
        <v>1</v>
      </c>
      <c r="I339" s="4">
        <f>F339</f>
        <v>26</v>
      </c>
      <c r="J339">
        <f>CONCATENATE(G339,IF(LEN(H339)=1,CONCATENATE("0",H339),H339),IF(LEN(F339)=1,CONCATENATE("0",F339),F339))*1</f>
        <v>19780126</v>
      </c>
    </row>
    <row r="340" spans="1:10" hidden="1" x14ac:dyDescent="0.25">
      <c r="A340" s="4" t="s">
        <v>366</v>
      </c>
      <c r="B340" t="s">
        <v>20</v>
      </c>
      <c r="C340" t="s">
        <v>6</v>
      </c>
      <c r="D340" s="3">
        <f>MID(A340,1,2)*1</f>
        <v>85</v>
      </c>
      <c r="E340" s="4">
        <f>MID(A340,3,2)*1</f>
        <v>12</v>
      </c>
      <c r="F340" s="4">
        <f>MID(A340,5,2)*1</f>
        <v>2</v>
      </c>
      <c r="G340" s="3">
        <f>IF(E340&gt;=20,2000,1900) + D340</f>
        <v>1985</v>
      </c>
      <c r="H340">
        <f>IF(E340&gt;=20,E340-20,E340)</f>
        <v>12</v>
      </c>
      <c r="I340" s="4">
        <f>F340</f>
        <v>2</v>
      </c>
      <c r="J340">
        <f>CONCATENATE(G340,IF(LEN(H340)=1,CONCATENATE("0",H340),H340),IF(LEN(F340)=1,CONCATENATE("0",F340),F340))*1</f>
        <v>19851202</v>
      </c>
    </row>
    <row r="341" spans="1:10" hidden="1" x14ac:dyDescent="0.25">
      <c r="A341" s="4" t="s">
        <v>367</v>
      </c>
      <c r="B341" t="s">
        <v>19</v>
      </c>
      <c r="C341" t="s">
        <v>4</v>
      </c>
      <c r="D341" s="3">
        <f>MID(A341,1,2)*1</f>
        <v>52</v>
      </c>
      <c r="E341" s="4">
        <f>MID(A341,3,2)*1</f>
        <v>4</v>
      </c>
      <c r="F341" s="4">
        <f>MID(A341,5,2)*1</f>
        <v>25</v>
      </c>
      <c r="G341" s="3">
        <f>IF(E341&gt;=20,2000,1900) + D341</f>
        <v>1952</v>
      </c>
      <c r="H341">
        <f>IF(E341&gt;=20,E341-20,E341)</f>
        <v>4</v>
      </c>
      <c r="I341" s="4">
        <f>F341</f>
        <v>25</v>
      </c>
      <c r="J341">
        <f>CONCATENATE(G341,IF(LEN(H341)=1,CONCATENATE("0",H341),H341),IF(LEN(F341)=1,CONCATENATE("0",F341),F341))*1</f>
        <v>19520425</v>
      </c>
    </row>
    <row r="342" spans="1:10" hidden="1" x14ac:dyDescent="0.25">
      <c r="A342" s="4" t="s">
        <v>368</v>
      </c>
      <c r="B342" t="s">
        <v>10</v>
      </c>
      <c r="C342" t="s">
        <v>4</v>
      </c>
      <c r="D342" s="3">
        <f>MID(A342,1,2)*1</f>
        <v>60</v>
      </c>
      <c r="E342" s="4">
        <f>MID(A342,3,2)*1</f>
        <v>9</v>
      </c>
      <c r="F342" s="4">
        <f>MID(A342,5,2)*1</f>
        <v>18</v>
      </c>
      <c r="G342" s="3">
        <f>IF(E342&gt;=20,2000,1900) + D342</f>
        <v>1960</v>
      </c>
      <c r="H342">
        <f>IF(E342&gt;=20,E342-20,E342)</f>
        <v>9</v>
      </c>
      <c r="I342" s="4">
        <f>F342</f>
        <v>18</v>
      </c>
      <c r="J342">
        <f>CONCATENATE(G342,IF(LEN(H342)=1,CONCATENATE("0",H342),H342),IF(LEN(F342)=1,CONCATENATE("0",F342),F342))*1</f>
        <v>19600918</v>
      </c>
    </row>
    <row r="343" spans="1:10" hidden="1" x14ac:dyDescent="0.25">
      <c r="A343" s="4" t="s">
        <v>369</v>
      </c>
      <c r="B343" t="s">
        <v>10</v>
      </c>
      <c r="C343" t="s">
        <v>4</v>
      </c>
      <c r="D343" s="3">
        <f>MID(A343,1,2)*1</f>
        <v>80</v>
      </c>
      <c r="E343" s="4">
        <f>MID(A343,3,2)*1</f>
        <v>2</v>
      </c>
      <c r="F343" s="4">
        <f>MID(A343,5,2)*1</f>
        <v>15</v>
      </c>
      <c r="G343" s="3">
        <f>IF(E343&gt;=20,2000,1900) + D343</f>
        <v>1980</v>
      </c>
      <c r="H343">
        <f>IF(E343&gt;=20,E343-20,E343)</f>
        <v>2</v>
      </c>
      <c r="I343" s="4">
        <f>F343</f>
        <v>15</v>
      </c>
      <c r="J343">
        <f>CONCATENATE(G343,IF(LEN(H343)=1,CONCATENATE("0",H343),H343),IF(LEN(F343)=1,CONCATENATE("0",F343),F343))*1</f>
        <v>19800215</v>
      </c>
    </row>
    <row r="344" spans="1:10" hidden="1" x14ac:dyDescent="0.25">
      <c r="A344" s="4" t="s">
        <v>370</v>
      </c>
      <c r="B344" t="s">
        <v>10</v>
      </c>
      <c r="C344" t="s">
        <v>6</v>
      </c>
      <c r="D344" s="3">
        <f>MID(A344,1,2)*1</f>
        <v>62</v>
      </c>
      <c r="E344" s="4">
        <f>MID(A344,3,2)*1</f>
        <v>1</v>
      </c>
      <c r="F344" s="4">
        <f>MID(A344,5,2)*1</f>
        <v>19</v>
      </c>
      <c r="G344" s="3">
        <f>IF(E344&gt;=20,2000,1900) + D344</f>
        <v>1962</v>
      </c>
      <c r="H344">
        <f>IF(E344&gt;=20,E344-20,E344)</f>
        <v>1</v>
      </c>
      <c r="I344" s="4">
        <f>F344</f>
        <v>19</v>
      </c>
      <c r="J344">
        <f>CONCATENATE(G344,IF(LEN(H344)=1,CONCATENATE("0",H344),H344),IF(LEN(F344)=1,CONCATENATE("0",F344),F344))*1</f>
        <v>19620119</v>
      </c>
    </row>
    <row r="345" spans="1:10" hidden="1" x14ac:dyDescent="0.25">
      <c r="A345" s="4" t="s">
        <v>371</v>
      </c>
      <c r="B345" t="s">
        <v>19</v>
      </c>
      <c r="C345" t="s">
        <v>4</v>
      </c>
      <c r="D345" s="3">
        <f>MID(A345,1,2)*1</f>
        <v>78</v>
      </c>
      <c r="E345" s="4">
        <f>MID(A345,3,2)*1</f>
        <v>9</v>
      </c>
      <c r="F345" s="4">
        <f>MID(A345,5,2)*1</f>
        <v>28</v>
      </c>
      <c r="G345" s="3">
        <f>IF(E345&gt;=20,2000,1900) + D345</f>
        <v>1978</v>
      </c>
      <c r="H345">
        <f>IF(E345&gt;=20,E345-20,E345)</f>
        <v>9</v>
      </c>
      <c r="I345" s="4">
        <f>F345</f>
        <v>28</v>
      </c>
      <c r="J345">
        <f>CONCATENATE(G345,IF(LEN(H345)=1,CONCATENATE("0",H345),H345),IF(LEN(F345)=1,CONCATENATE("0",F345),F345))*1</f>
        <v>19780928</v>
      </c>
    </row>
    <row r="346" spans="1:10" hidden="1" x14ac:dyDescent="0.25">
      <c r="A346" s="4" t="s">
        <v>372</v>
      </c>
      <c r="B346" t="s">
        <v>3</v>
      </c>
      <c r="C346" t="s">
        <v>4</v>
      </c>
      <c r="D346" s="3">
        <f>MID(A346,1,2)*1</f>
        <v>69</v>
      </c>
      <c r="E346" s="4">
        <f>MID(A346,3,2)*1</f>
        <v>6</v>
      </c>
      <c r="F346" s="4">
        <f>MID(A346,5,2)*1</f>
        <v>5</v>
      </c>
      <c r="G346" s="3">
        <f>IF(E346&gt;=20,2000,1900) + D346</f>
        <v>1969</v>
      </c>
      <c r="H346">
        <f>IF(E346&gt;=20,E346-20,E346)</f>
        <v>6</v>
      </c>
      <c r="I346" s="4">
        <f>F346</f>
        <v>5</v>
      </c>
      <c r="J346">
        <f>CONCATENATE(G346,IF(LEN(H346)=1,CONCATENATE("0",H346),H346),IF(LEN(F346)=1,CONCATENATE("0",F346),F346))*1</f>
        <v>19690605</v>
      </c>
    </row>
    <row r="347" spans="1:10" hidden="1" x14ac:dyDescent="0.25">
      <c r="A347" s="4" t="s">
        <v>373</v>
      </c>
      <c r="B347" t="s">
        <v>13</v>
      </c>
      <c r="C347" t="s">
        <v>4</v>
      </c>
      <c r="D347" s="3">
        <f>MID(A347,1,2)*1</f>
        <v>54</v>
      </c>
      <c r="E347" s="4">
        <f>MID(A347,3,2)*1</f>
        <v>1</v>
      </c>
      <c r="F347" s="4">
        <f>MID(A347,5,2)*1</f>
        <v>20</v>
      </c>
      <c r="G347" s="3">
        <f>IF(E347&gt;=20,2000,1900) + D347</f>
        <v>1954</v>
      </c>
      <c r="H347">
        <f>IF(E347&gt;=20,E347-20,E347)</f>
        <v>1</v>
      </c>
      <c r="I347" s="4">
        <f>F347</f>
        <v>20</v>
      </c>
      <c r="J347">
        <f>CONCATENATE(G347,IF(LEN(H347)=1,CONCATENATE("0",H347),H347),IF(LEN(F347)=1,CONCATENATE("0",F347),F347))*1</f>
        <v>19540120</v>
      </c>
    </row>
    <row r="348" spans="1:10" hidden="1" x14ac:dyDescent="0.25">
      <c r="A348" s="4" t="s">
        <v>374</v>
      </c>
      <c r="B348" t="s">
        <v>11</v>
      </c>
      <c r="C348" t="s">
        <v>6</v>
      </c>
      <c r="D348" s="3">
        <f>MID(A348,1,2)*1</f>
        <v>71</v>
      </c>
      <c r="E348" s="4">
        <f>MID(A348,3,2)*1</f>
        <v>12</v>
      </c>
      <c r="F348" s="4">
        <f>MID(A348,5,2)*1</f>
        <v>7</v>
      </c>
      <c r="G348" s="3">
        <f>IF(E348&gt;=20,2000,1900) + D348</f>
        <v>1971</v>
      </c>
      <c r="H348">
        <f>IF(E348&gt;=20,E348-20,E348)</f>
        <v>12</v>
      </c>
      <c r="I348" s="4">
        <f>F348</f>
        <v>7</v>
      </c>
      <c r="J348">
        <f>CONCATENATE(G348,IF(LEN(H348)=1,CONCATENATE("0",H348),H348),IF(LEN(F348)=1,CONCATENATE("0",F348),F348))*1</f>
        <v>19711207</v>
      </c>
    </row>
    <row r="349" spans="1:10" hidden="1" x14ac:dyDescent="0.25">
      <c r="A349" s="4" t="s">
        <v>375</v>
      </c>
      <c r="B349" t="s">
        <v>13</v>
      </c>
      <c r="C349" t="s">
        <v>4</v>
      </c>
      <c r="D349" s="3">
        <f>MID(A349,1,2)*1</f>
        <v>97</v>
      </c>
      <c r="E349" s="4">
        <f>MID(A349,3,2)*1</f>
        <v>8</v>
      </c>
      <c r="F349" s="4">
        <f>MID(A349,5,2)*1</f>
        <v>25</v>
      </c>
      <c r="G349" s="3">
        <f>IF(E349&gt;=20,2000,1900) + D349</f>
        <v>1997</v>
      </c>
      <c r="H349">
        <f>IF(E349&gt;=20,E349-20,E349)</f>
        <v>8</v>
      </c>
      <c r="I349" s="4">
        <f>F349</f>
        <v>25</v>
      </c>
      <c r="J349">
        <f>CONCATENATE(G349,IF(LEN(H349)=1,CONCATENATE("0",H349),H349),IF(LEN(F349)=1,CONCATENATE("0",F349),F349))*1</f>
        <v>19970825</v>
      </c>
    </row>
    <row r="350" spans="1:10" hidden="1" x14ac:dyDescent="0.25">
      <c r="A350" s="4" t="s">
        <v>376</v>
      </c>
      <c r="B350" t="s">
        <v>16</v>
      </c>
      <c r="C350" t="s">
        <v>4</v>
      </c>
      <c r="D350" s="3">
        <f>MID(A350,1,2)*1</f>
        <v>83</v>
      </c>
      <c r="E350" s="4">
        <f>MID(A350,3,2)*1</f>
        <v>9</v>
      </c>
      <c r="F350" s="4">
        <f>MID(A350,5,2)*1</f>
        <v>20</v>
      </c>
      <c r="G350" s="3">
        <f>IF(E350&gt;=20,2000,1900) + D350</f>
        <v>1983</v>
      </c>
      <c r="H350">
        <f>IF(E350&gt;=20,E350-20,E350)</f>
        <v>9</v>
      </c>
      <c r="I350" s="4">
        <f>F350</f>
        <v>20</v>
      </c>
      <c r="J350">
        <f>CONCATENATE(G350,IF(LEN(H350)=1,CONCATENATE("0",H350),H350),IF(LEN(F350)=1,CONCATENATE("0",F350),F350))*1</f>
        <v>19830920</v>
      </c>
    </row>
    <row r="351" spans="1:10" hidden="1" x14ac:dyDescent="0.25">
      <c r="A351" s="4" t="s">
        <v>377</v>
      </c>
      <c r="B351" t="s">
        <v>19</v>
      </c>
      <c r="C351" t="s">
        <v>6</v>
      </c>
      <c r="D351" s="3">
        <f>MID(A351,1,2)*1</f>
        <v>63</v>
      </c>
      <c r="E351" s="4">
        <f>MID(A351,3,2)*1</f>
        <v>1</v>
      </c>
      <c r="F351" s="4">
        <f>MID(A351,5,2)*1</f>
        <v>12</v>
      </c>
      <c r="G351" s="3">
        <f>IF(E351&gt;=20,2000,1900) + D351</f>
        <v>1963</v>
      </c>
      <c r="H351">
        <f>IF(E351&gt;=20,E351-20,E351)</f>
        <v>1</v>
      </c>
      <c r="I351" s="4">
        <f>F351</f>
        <v>12</v>
      </c>
      <c r="J351">
        <f>CONCATENATE(G351,IF(LEN(H351)=1,CONCATENATE("0",H351),H351),IF(LEN(F351)=1,CONCATENATE("0",F351),F351))*1</f>
        <v>19630112</v>
      </c>
    </row>
    <row r="352" spans="1:10" hidden="1" x14ac:dyDescent="0.25">
      <c r="A352" s="4" t="s">
        <v>378</v>
      </c>
      <c r="B352" t="s">
        <v>17</v>
      </c>
      <c r="C352" t="s">
        <v>4</v>
      </c>
      <c r="D352" s="3">
        <f>MID(A352,1,2)*1</f>
        <v>55</v>
      </c>
      <c r="E352" s="4">
        <f>MID(A352,3,2)*1</f>
        <v>4</v>
      </c>
      <c r="F352" s="4">
        <f>MID(A352,5,2)*1</f>
        <v>3</v>
      </c>
      <c r="G352" s="3">
        <f>IF(E352&gt;=20,2000,1900) + D352</f>
        <v>1955</v>
      </c>
      <c r="H352">
        <f>IF(E352&gt;=20,E352-20,E352)</f>
        <v>4</v>
      </c>
      <c r="I352" s="4">
        <f>F352</f>
        <v>3</v>
      </c>
      <c r="J352">
        <f>CONCATENATE(G352,IF(LEN(H352)=1,CONCATENATE("0",H352),H352),IF(LEN(F352)=1,CONCATENATE("0",F352),F352))*1</f>
        <v>19550403</v>
      </c>
    </row>
    <row r="353" spans="1:10" hidden="1" x14ac:dyDescent="0.25">
      <c r="A353" s="4" t="s">
        <v>379</v>
      </c>
      <c r="B353" t="s">
        <v>11</v>
      </c>
      <c r="C353" t="s">
        <v>6</v>
      </c>
      <c r="D353" s="3">
        <f>MID(A353,1,2)*1</f>
        <v>93</v>
      </c>
      <c r="E353" s="4">
        <f>MID(A353,3,2)*1</f>
        <v>4</v>
      </c>
      <c r="F353" s="4">
        <f>MID(A353,5,2)*1</f>
        <v>23</v>
      </c>
      <c r="G353" s="3">
        <f>IF(E353&gt;=20,2000,1900) + D353</f>
        <v>1993</v>
      </c>
      <c r="H353">
        <f>IF(E353&gt;=20,E353-20,E353)</f>
        <v>4</v>
      </c>
      <c r="I353" s="4">
        <f>F353</f>
        <v>23</v>
      </c>
      <c r="J353">
        <f>CONCATENATE(G353,IF(LEN(H353)=1,CONCATENATE("0",H353),H353),IF(LEN(F353)=1,CONCATENATE("0",F353),F353))*1</f>
        <v>19930423</v>
      </c>
    </row>
    <row r="354" spans="1:10" hidden="1" x14ac:dyDescent="0.25">
      <c r="A354" s="4" t="s">
        <v>380</v>
      </c>
      <c r="B354" t="s">
        <v>7</v>
      </c>
      <c r="C354" t="s">
        <v>4</v>
      </c>
      <c r="D354" s="3">
        <f>MID(A354,1,2)*1</f>
        <v>54</v>
      </c>
      <c r="E354" s="4">
        <f>MID(A354,3,2)*1</f>
        <v>5</v>
      </c>
      <c r="F354" s="4">
        <f>MID(A354,5,2)*1</f>
        <v>4</v>
      </c>
      <c r="G354" s="3">
        <f>IF(E354&gt;=20,2000,1900) + D354</f>
        <v>1954</v>
      </c>
      <c r="H354">
        <f>IF(E354&gt;=20,E354-20,E354)</f>
        <v>5</v>
      </c>
      <c r="I354" s="4">
        <f>F354</f>
        <v>4</v>
      </c>
      <c r="J354">
        <f>CONCATENATE(G354,IF(LEN(H354)=1,CONCATENATE("0",H354),H354),IF(LEN(F354)=1,CONCATENATE("0",F354),F354))*1</f>
        <v>19540504</v>
      </c>
    </row>
    <row r="355" spans="1:10" hidden="1" x14ac:dyDescent="0.25">
      <c r="A355" s="4" t="s">
        <v>381</v>
      </c>
      <c r="B355" t="s">
        <v>20</v>
      </c>
      <c r="C355" t="s">
        <v>6</v>
      </c>
      <c r="D355" s="3">
        <f>MID(A355,1,2)*1</f>
        <v>87</v>
      </c>
      <c r="E355" s="4">
        <f>MID(A355,3,2)*1</f>
        <v>11</v>
      </c>
      <c r="F355" s="4">
        <f>MID(A355,5,2)*1</f>
        <v>4</v>
      </c>
      <c r="G355" s="3">
        <f>IF(E355&gt;=20,2000,1900) + D355</f>
        <v>1987</v>
      </c>
      <c r="H355">
        <f>IF(E355&gt;=20,E355-20,E355)</f>
        <v>11</v>
      </c>
      <c r="I355" s="4">
        <f>F355</f>
        <v>4</v>
      </c>
      <c r="J355">
        <f>CONCATENATE(G355,IF(LEN(H355)=1,CONCATENATE("0",H355),H355),IF(LEN(F355)=1,CONCATENATE("0",F355),F355))*1</f>
        <v>19871104</v>
      </c>
    </row>
    <row r="356" spans="1:10" x14ac:dyDescent="0.25">
      <c r="A356" s="4" t="s">
        <v>203</v>
      </c>
      <c r="B356" t="s">
        <v>18</v>
      </c>
      <c r="C356" t="s">
        <v>4</v>
      </c>
      <c r="D356" s="3">
        <f>MID(A356,1,2)*1</f>
        <v>75</v>
      </c>
      <c r="E356" s="4">
        <f>MID(A356,3,2)*1</f>
        <v>6</v>
      </c>
      <c r="F356" s="4">
        <f>MID(A356,5,2)*1</f>
        <v>27</v>
      </c>
      <c r="G356" s="3">
        <f>IF(E356&gt;=20,2000,1900) + D356</f>
        <v>1975</v>
      </c>
      <c r="H356">
        <f>IF(E356&gt;=20,E356-20,E356)</f>
        <v>6</v>
      </c>
      <c r="I356" s="4">
        <f>F356</f>
        <v>27</v>
      </c>
      <c r="J356">
        <f>CONCATENATE(G356,IF(LEN(H356)=1,CONCATENATE("0",H356),H356),IF(LEN(F356)=1,CONCATENATE("0",F356),F356))*1</f>
        <v>19750627</v>
      </c>
    </row>
    <row r="357" spans="1:10" hidden="1" x14ac:dyDescent="0.25">
      <c r="A357" s="4" t="s">
        <v>383</v>
      </c>
      <c r="B357" t="s">
        <v>19</v>
      </c>
      <c r="C357" t="s">
        <v>4</v>
      </c>
      <c r="D357" s="3">
        <f>MID(A357,1,2)*1</f>
        <v>87</v>
      </c>
      <c r="E357" s="4">
        <f>MID(A357,3,2)*1</f>
        <v>8</v>
      </c>
      <c r="F357" s="4">
        <f>MID(A357,5,2)*1</f>
        <v>17</v>
      </c>
      <c r="G357" s="3">
        <f>IF(E357&gt;=20,2000,1900) + D357</f>
        <v>1987</v>
      </c>
      <c r="H357">
        <f>IF(E357&gt;=20,E357-20,E357)</f>
        <v>8</v>
      </c>
      <c r="I357" s="4">
        <f>F357</f>
        <v>17</v>
      </c>
      <c r="J357">
        <f>CONCATENATE(G357,IF(LEN(H357)=1,CONCATENATE("0",H357),H357),IF(LEN(F357)=1,CONCATENATE("0",F357),F357))*1</f>
        <v>19870817</v>
      </c>
    </row>
    <row r="358" spans="1:10" hidden="1" x14ac:dyDescent="0.25">
      <c r="A358" s="4" t="s">
        <v>384</v>
      </c>
      <c r="B358" t="s">
        <v>19</v>
      </c>
      <c r="C358" t="s">
        <v>4</v>
      </c>
      <c r="D358" s="3">
        <f>MID(A358,1,2)*1</f>
        <v>65</v>
      </c>
      <c r="E358" s="4">
        <f>MID(A358,3,2)*1</f>
        <v>3</v>
      </c>
      <c r="F358" s="4">
        <f>MID(A358,5,2)*1</f>
        <v>1</v>
      </c>
      <c r="G358" s="3">
        <f>IF(E358&gt;=20,2000,1900) + D358</f>
        <v>1965</v>
      </c>
      <c r="H358">
        <f>IF(E358&gt;=20,E358-20,E358)</f>
        <v>3</v>
      </c>
      <c r="I358" s="4">
        <f>F358</f>
        <v>1</v>
      </c>
      <c r="J358">
        <f>CONCATENATE(G358,IF(LEN(H358)=1,CONCATENATE("0",H358),H358),IF(LEN(F358)=1,CONCATENATE("0",F358),F358))*1</f>
        <v>19650301</v>
      </c>
    </row>
    <row r="359" spans="1:10" hidden="1" x14ac:dyDescent="0.25">
      <c r="A359" s="4" t="s">
        <v>385</v>
      </c>
      <c r="B359" t="s">
        <v>12</v>
      </c>
      <c r="C359" t="s">
        <v>6</v>
      </c>
      <c r="D359" s="3">
        <f>MID(A359,1,2)*1</f>
        <v>98</v>
      </c>
      <c r="E359" s="4">
        <f>MID(A359,3,2)*1</f>
        <v>10</v>
      </c>
      <c r="F359" s="4">
        <f>MID(A359,5,2)*1</f>
        <v>14</v>
      </c>
      <c r="G359" s="3">
        <f>IF(E359&gt;=20,2000,1900) + D359</f>
        <v>1998</v>
      </c>
      <c r="H359">
        <f>IF(E359&gt;=20,E359-20,E359)</f>
        <v>10</v>
      </c>
      <c r="I359" s="4">
        <f>F359</f>
        <v>14</v>
      </c>
      <c r="J359">
        <f>CONCATENATE(G359,IF(LEN(H359)=1,CONCATENATE("0",H359),H359),IF(LEN(F359)=1,CONCATENATE("0",F359),F359))*1</f>
        <v>19981014</v>
      </c>
    </row>
    <row r="360" spans="1:10" hidden="1" x14ac:dyDescent="0.25">
      <c r="A360" s="4" t="s">
        <v>386</v>
      </c>
      <c r="B360" t="s">
        <v>16</v>
      </c>
      <c r="C360" t="s">
        <v>4</v>
      </c>
      <c r="D360" s="3">
        <f>MID(A360,1,2)*1</f>
        <v>81</v>
      </c>
      <c r="E360" s="4">
        <f>MID(A360,3,2)*1</f>
        <v>7</v>
      </c>
      <c r="F360" s="4">
        <f>MID(A360,5,2)*1</f>
        <v>14</v>
      </c>
      <c r="G360" s="3">
        <f>IF(E360&gt;=20,2000,1900) + D360</f>
        <v>1981</v>
      </c>
      <c r="H360">
        <f>IF(E360&gt;=20,E360-20,E360)</f>
        <v>7</v>
      </c>
      <c r="I360" s="4">
        <f>F360</f>
        <v>14</v>
      </c>
      <c r="J360">
        <f>CONCATENATE(G360,IF(LEN(H360)=1,CONCATENATE("0",H360),H360),IF(LEN(F360)=1,CONCATENATE("0",F360),F360))*1</f>
        <v>19810714</v>
      </c>
    </row>
    <row r="361" spans="1:10" hidden="1" x14ac:dyDescent="0.25">
      <c r="A361" s="4" t="s">
        <v>387</v>
      </c>
      <c r="B361" t="s">
        <v>19</v>
      </c>
      <c r="C361" t="s">
        <v>4</v>
      </c>
      <c r="D361" s="3">
        <f>MID(A361,1,2)*1</f>
        <v>82</v>
      </c>
      <c r="E361" s="4">
        <f>MID(A361,3,2)*1</f>
        <v>4</v>
      </c>
      <c r="F361" s="4">
        <f>MID(A361,5,2)*1</f>
        <v>28</v>
      </c>
      <c r="G361" s="3">
        <f>IF(E361&gt;=20,2000,1900) + D361</f>
        <v>1982</v>
      </c>
      <c r="H361">
        <f>IF(E361&gt;=20,E361-20,E361)</f>
        <v>4</v>
      </c>
      <c r="I361" s="4">
        <f>F361</f>
        <v>28</v>
      </c>
      <c r="J361">
        <f>CONCATENATE(G361,IF(LEN(H361)=1,CONCATENATE("0",H361),H361),IF(LEN(F361)=1,CONCATENATE("0",F361),F361))*1</f>
        <v>19820428</v>
      </c>
    </row>
    <row r="362" spans="1:10" hidden="1" x14ac:dyDescent="0.25">
      <c r="A362" s="4" t="s">
        <v>388</v>
      </c>
      <c r="B362" t="s">
        <v>16</v>
      </c>
      <c r="C362" t="s">
        <v>4</v>
      </c>
      <c r="D362" s="3">
        <f>MID(A362,1,2)*1</f>
        <v>76</v>
      </c>
      <c r="E362" s="4">
        <f>MID(A362,3,2)*1</f>
        <v>10</v>
      </c>
      <c r="F362" s="4">
        <f>MID(A362,5,2)*1</f>
        <v>5</v>
      </c>
      <c r="G362" s="3">
        <f>IF(E362&gt;=20,2000,1900) + D362</f>
        <v>1976</v>
      </c>
      <c r="H362">
        <f>IF(E362&gt;=20,E362-20,E362)</f>
        <v>10</v>
      </c>
      <c r="I362" s="4">
        <f>F362</f>
        <v>5</v>
      </c>
      <c r="J362">
        <f>CONCATENATE(G362,IF(LEN(H362)=1,CONCATENATE("0",H362),H362),IF(LEN(F362)=1,CONCATENATE("0",F362),F362))*1</f>
        <v>19761005</v>
      </c>
    </row>
    <row r="363" spans="1:10" hidden="1" x14ac:dyDescent="0.25">
      <c r="A363" s="4" t="s">
        <v>389</v>
      </c>
      <c r="B363" t="s">
        <v>12</v>
      </c>
      <c r="C363" t="s">
        <v>6</v>
      </c>
      <c r="D363" s="3">
        <f>MID(A363,1,2)*1</f>
        <v>76</v>
      </c>
      <c r="E363" s="4">
        <f>MID(A363,3,2)*1</f>
        <v>2</v>
      </c>
      <c r="F363" s="4">
        <f>MID(A363,5,2)*1</f>
        <v>16</v>
      </c>
      <c r="G363" s="3">
        <f>IF(E363&gt;=20,2000,1900) + D363</f>
        <v>1976</v>
      </c>
      <c r="H363">
        <f>IF(E363&gt;=20,E363-20,E363)</f>
        <v>2</v>
      </c>
      <c r="I363" s="4">
        <f>F363</f>
        <v>16</v>
      </c>
      <c r="J363">
        <f>CONCATENATE(G363,IF(LEN(H363)=1,CONCATENATE("0",H363),H363),IF(LEN(F363)=1,CONCATENATE("0",F363),F363))*1</f>
        <v>19760216</v>
      </c>
    </row>
    <row r="364" spans="1:10" hidden="1" x14ac:dyDescent="0.25">
      <c r="A364" s="4" t="s">
        <v>390</v>
      </c>
      <c r="B364" t="s">
        <v>15</v>
      </c>
      <c r="C364" t="s">
        <v>6</v>
      </c>
      <c r="D364" s="3">
        <f>MID(A364,1,2)*1</f>
        <v>99</v>
      </c>
      <c r="E364" s="4">
        <f>MID(A364,3,2)*1</f>
        <v>8</v>
      </c>
      <c r="F364" s="4">
        <f>MID(A364,5,2)*1</f>
        <v>31</v>
      </c>
      <c r="G364" s="3">
        <f>IF(E364&gt;=20,2000,1900) + D364</f>
        <v>1999</v>
      </c>
      <c r="H364">
        <f>IF(E364&gt;=20,E364-20,E364)</f>
        <v>8</v>
      </c>
      <c r="I364" s="4">
        <f>F364</f>
        <v>31</v>
      </c>
      <c r="J364">
        <f>CONCATENATE(G364,IF(LEN(H364)=1,CONCATENATE("0",H364),H364),IF(LEN(F364)=1,CONCATENATE("0",F364),F364))*1</f>
        <v>19990831</v>
      </c>
    </row>
    <row r="365" spans="1:10" hidden="1" x14ac:dyDescent="0.25">
      <c r="A365" s="4" t="s">
        <v>391</v>
      </c>
      <c r="B365" t="s">
        <v>5</v>
      </c>
      <c r="C365" t="s">
        <v>6</v>
      </c>
      <c r="D365" s="3">
        <f>MID(A365,1,2)*1</f>
        <v>53</v>
      </c>
      <c r="E365" s="4">
        <f>MID(A365,3,2)*1</f>
        <v>4</v>
      </c>
      <c r="F365" s="4">
        <f>MID(A365,5,2)*1</f>
        <v>14</v>
      </c>
      <c r="G365" s="3">
        <f>IF(E365&gt;=20,2000,1900) + D365</f>
        <v>1953</v>
      </c>
      <c r="H365">
        <f>IF(E365&gt;=20,E365-20,E365)</f>
        <v>4</v>
      </c>
      <c r="I365" s="4">
        <f>F365</f>
        <v>14</v>
      </c>
      <c r="J365">
        <f>CONCATENATE(G365,IF(LEN(H365)=1,CONCATENATE("0",H365),H365),IF(LEN(F365)=1,CONCATENATE("0",F365),F365))*1</f>
        <v>19530414</v>
      </c>
    </row>
    <row r="366" spans="1:10" hidden="1" x14ac:dyDescent="0.25">
      <c r="A366" s="4" t="s">
        <v>392</v>
      </c>
      <c r="B366" t="s">
        <v>19</v>
      </c>
      <c r="C366" t="s">
        <v>4</v>
      </c>
      <c r="D366" s="3">
        <f>MID(A366,1,2)*1</f>
        <v>82</v>
      </c>
      <c r="E366" s="4">
        <f>MID(A366,3,2)*1</f>
        <v>4</v>
      </c>
      <c r="F366" s="4">
        <f>MID(A366,5,2)*1</f>
        <v>6</v>
      </c>
      <c r="G366" s="3">
        <f>IF(E366&gt;=20,2000,1900) + D366</f>
        <v>1982</v>
      </c>
      <c r="H366">
        <f>IF(E366&gt;=20,E366-20,E366)</f>
        <v>4</v>
      </c>
      <c r="I366" s="4">
        <f>F366</f>
        <v>6</v>
      </c>
      <c r="J366">
        <f>CONCATENATE(G366,IF(LEN(H366)=1,CONCATENATE("0",H366),H366),IF(LEN(F366)=1,CONCATENATE("0",F366),F366))*1</f>
        <v>19820406</v>
      </c>
    </row>
    <row r="367" spans="1:10" hidden="1" x14ac:dyDescent="0.25">
      <c r="A367" s="4" t="s">
        <v>393</v>
      </c>
      <c r="B367" t="s">
        <v>16</v>
      </c>
      <c r="C367" t="s">
        <v>4</v>
      </c>
      <c r="D367" s="3">
        <f>MID(A367,1,2)*1</f>
        <v>98</v>
      </c>
      <c r="E367" s="4">
        <f>MID(A367,3,2)*1</f>
        <v>6</v>
      </c>
      <c r="F367" s="4">
        <f>MID(A367,5,2)*1</f>
        <v>28</v>
      </c>
      <c r="G367" s="3">
        <f>IF(E367&gt;=20,2000,1900) + D367</f>
        <v>1998</v>
      </c>
      <c r="H367">
        <f>IF(E367&gt;=20,E367-20,E367)</f>
        <v>6</v>
      </c>
      <c r="I367" s="4">
        <f>F367</f>
        <v>28</v>
      </c>
      <c r="J367">
        <f>CONCATENATE(G367,IF(LEN(H367)=1,CONCATENATE("0",H367),H367),IF(LEN(F367)=1,CONCATENATE("0",F367),F367))*1</f>
        <v>19980628</v>
      </c>
    </row>
    <row r="368" spans="1:10" hidden="1" x14ac:dyDescent="0.25">
      <c r="A368" s="4" t="s">
        <v>394</v>
      </c>
      <c r="B368" t="s">
        <v>12</v>
      </c>
      <c r="C368" t="s">
        <v>4</v>
      </c>
      <c r="D368" s="3">
        <f>MID(A368,1,2)*1</f>
        <v>71</v>
      </c>
      <c r="E368" s="4">
        <f>MID(A368,3,2)*1</f>
        <v>8</v>
      </c>
      <c r="F368" s="4">
        <f>MID(A368,5,2)*1</f>
        <v>24</v>
      </c>
      <c r="G368" s="3">
        <f>IF(E368&gt;=20,2000,1900) + D368</f>
        <v>1971</v>
      </c>
      <c r="H368">
        <f>IF(E368&gt;=20,E368-20,E368)</f>
        <v>8</v>
      </c>
      <c r="I368" s="4">
        <f>F368</f>
        <v>24</v>
      </c>
      <c r="J368">
        <f>CONCATENATE(G368,IF(LEN(H368)=1,CONCATENATE("0",H368),H368),IF(LEN(F368)=1,CONCATENATE("0",F368),F368))*1</f>
        <v>19710824</v>
      </c>
    </row>
    <row r="369" spans="1:10" hidden="1" x14ac:dyDescent="0.25">
      <c r="A369" s="4" t="s">
        <v>395</v>
      </c>
      <c r="B369" t="s">
        <v>12</v>
      </c>
      <c r="C369" t="s">
        <v>4</v>
      </c>
      <c r="D369" s="3">
        <f>MID(A369,1,2)*1</f>
        <v>98</v>
      </c>
      <c r="E369" s="4">
        <f>MID(A369,3,2)*1</f>
        <v>12</v>
      </c>
      <c r="F369" s="4">
        <f>MID(A369,5,2)*1</f>
        <v>14</v>
      </c>
      <c r="G369" s="3">
        <f>IF(E369&gt;=20,2000,1900) + D369</f>
        <v>1998</v>
      </c>
      <c r="H369">
        <f>IF(E369&gt;=20,E369-20,E369)</f>
        <v>12</v>
      </c>
      <c r="I369" s="4">
        <f>F369</f>
        <v>14</v>
      </c>
      <c r="J369">
        <f>CONCATENATE(G369,IF(LEN(H369)=1,CONCATENATE("0",H369),H369),IF(LEN(F369)=1,CONCATENATE("0",F369),F369))*1</f>
        <v>19981214</v>
      </c>
    </row>
    <row r="370" spans="1:10" hidden="1" x14ac:dyDescent="0.25">
      <c r="A370" s="4" t="s">
        <v>396</v>
      </c>
      <c r="B370" t="s">
        <v>10</v>
      </c>
      <c r="C370" t="s">
        <v>4</v>
      </c>
      <c r="D370" s="3">
        <f>MID(A370,1,2)*1</f>
        <v>68</v>
      </c>
      <c r="E370" s="4">
        <f>MID(A370,3,2)*1</f>
        <v>11</v>
      </c>
      <c r="F370" s="4">
        <f>MID(A370,5,2)*1</f>
        <v>12</v>
      </c>
      <c r="G370" s="3">
        <f>IF(E370&gt;=20,2000,1900) + D370</f>
        <v>1968</v>
      </c>
      <c r="H370">
        <f>IF(E370&gt;=20,E370-20,E370)</f>
        <v>11</v>
      </c>
      <c r="I370" s="4">
        <f>F370</f>
        <v>12</v>
      </c>
      <c r="J370">
        <f>CONCATENATE(G370,IF(LEN(H370)=1,CONCATENATE("0",H370),H370),IF(LEN(F370)=1,CONCATENATE("0",F370),F370))*1</f>
        <v>19681112</v>
      </c>
    </row>
    <row r="371" spans="1:10" hidden="1" x14ac:dyDescent="0.25">
      <c r="A371" s="4" t="s">
        <v>397</v>
      </c>
      <c r="B371" t="s">
        <v>9</v>
      </c>
      <c r="C371" t="s">
        <v>6</v>
      </c>
      <c r="D371" s="3">
        <f>MID(A371,1,2)*1</f>
        <v>96</v>
      </c>
      <c r="E371" s="4">
        <f>MID(A371,3,2)*1</f>
        <v>11</v>
      </c>
      <c r="F371" s="4">
        <f>MID(A371,5,2)*1</f>
        <v>25</v>
      </c>
      <c r="G371" s="3">
        <f>IF(E371&gt;=20,2000,1900) + D371</f>
        <v>1996</v>
      </c>
      <c r="H371">
        <f>IF(E371&gt;=20,E371-20,E371)</f>
        <v>11</v>
      </c>
      <c r="I371" s="4">
        <f>F371</f>
        <v>25</v>
      </c>
      <c r="J371">
        <f>CONCATENATE(G371,IF(LEN(H371)=1,CONCATENATE("0",H371),H371),IF(LEN(F371)=1,CONCATENATE("0",F371),F371))*1</f>
        <v>19961125</v>
      </c>
    </row>
    <row r="372" spans="1:10" hidden="1" x14ac:dyDescent="0.25">
      <c r="A372" s="4" t="s">
        <v>398</v>
      </c>
      <c r="B372" t="s">
        <v>7</v>
      </c>
      <c r="C372" t="s">
        <v>4</v>
      </c>
      <c r="D372" s="3">
        <f>MID(A372,1,2)*1</f>
        <v>62</v>
      </c>
      <c r="E372" s="4">
        <f>MID(A372,3,2)*1</f>
        <v>6</v>
      </c>
      <c r="F372" s="4">
        <f>MID(A372,5,2)*1</f>
        <v>29</v>
      </c>
      <c r="G372" s="3">
        <f>IF(E372&gt;=20,2000,1900) + D372</f>
        <v>1962</v>
      </c>
      <c r="H372">
        <f>IF(E372&gt;=20,E372-20,E372)</f>
        <v>6</v>
      </c>
      <c r="I372" s="4">
        <f>F372</f>
        <v>29</v>
      </c>
      <c r="J372">
        <f>CONCATENATE(G372,IF(LEN(H372)=1,CONCATENATE("0",H372),H372),IF(LEN(F372)=1,CONCATENATE("0",F372),F372))*1</f>
        <v>19620629</v>
      </c>
    </row>
    <row r="373" spans="1:10" hidden="1" x14ac:dyDescent="0.25">
      <c r="A373" s="4" t="s">
        <v>399</v>
      </c>
      <c r="B373" t="s">
        <v>12</v>
      </c>
      <c r="C373" t="s">
        <v>4</v>
      </c>
      <c r="D373" s="3">
        <f>MID(A373,1,2)*1</f>
        <v>98</v>
      </c>
      <c r="E373" s="4">
        <f>MID(A373,3,2)*1</f>
        <v>1</v>
      </c>
      <c r="F373" s="4">
        <f>MID(A373,5,2)*1</f>
        <v>20</v>
      </c>
      <c r="G373" s="3">
        <f>IF(E373&gt;=20,2000,1900) + D373</f>
        <v>1998</v>
      </c>
      <c r="H373">
        <f>IF(E373&gt;=20,E373-20,E373)</f>
        <v>1</v>
      </c>
      <c r="I373" s="4">
        <f>F373</f>
        <v>20</v>
      </c>
      <c r="J373">
        <f>CONCATENATE(G373,IF(LEN(H373)=1,CONCATENATE("0",H373),H373),IF(LEN(F373)=1,CONCATENATE("0",F373),F373))*1</f>
        <v>19980120</v>
      </c>
    </row>
    <row r="374" spans="1:10" hidden="1" x14ac:dyDescent="0.25">
      <c r="A374" s="4" t="s">
        <v>400</v>
      </c>
      <c r="B374" t="s">
        <v>7</v>
      </c>
      <c r="C374" t="s">
        <v>6</v>
      </c>
      <c r="D374" s="3">
        <f>MID(A374,1,2)*1</f>
        <v>81</v>
      </c>
      <c r="E374" s="4">
        <f>MID(A374,3,2)*1</f>
        <v>6</v>
      </c>
      <c r="F374" s="4">
        <f>MID(A374,5,2)*1</f>
        <v>16</v>
      </c>
      <c r="G374" s="3">
        <f>IF(E374&gt;=20,2000,1900) + D374</f>
        <v>1981</v>
      </c>
      <c r="H374">
        <f>IF(E374&gt;=20,E374-20,E374)</f>
        <v>6</v>
      </c>
      <c r="I374" s="4">
        <f>F374</f>
        <v>16</v>
      </c>
      <c r="J374">
        <f>CONCATENATE(G374,IF(LEN(H374)=1,CONCATENATE("0",H374),H374),IF(LEN(F374)=1,CONCATENATE("0",F374),F374))*1</f>
        <v>19810616</v>
      </c>
    </row>
    <row r="375" spans="1:10" hidden="1" x14ac:dyDescent="0.25">
      <c r="A375" s="4" t="s">
        <v>401</v>
      </c>
      <c r="B375" t="s">
        <v>14</v>
      </c>
      <c r="C375" t="s">
        <v>6</v>
      </c>
      <c r="D375" s="3">
        <f>MID(A375,1,2)*1</f>
        <v>71</v>
      </c>
      <c r="E375" s="4">
        <f>MID(A375,3,2)*1</f>
        <v>9</v>
      </c>
      <c r="F375" s="4">
        <f>MID(A375,5,2)*1</f>
        <v>28</v>
      </c>
      <c r="G375" s="3">
        <f>IF(E375&gt;=20,2000,1900) + D375</f>
        <v>1971</v>
      </c>
      <c r="H375">
        <f>IF(E375&gt;=20,E375-20,E375)</f>
        <v>9</v>
      </c>
      <c r="I375" s="4">
        <f>F375</f>
        <v>28</v>
      </c>
      <c r="J375">
        <f>CONCATENATE(G375,IF(LEN(H375)=1,CONCATENATE("0",H375),H375),IF(LEN(F375)=1,CONCATENATE("0",F375),F375))*1</f>
        <v>19710928</v>
      </c>
    </row>
    <row r="376" spans="1:10" hidden="1" x14ac:dyDescent="0.25">
      <c r="A376" s="4" t="s">
        <v>402</v>
      </c>
      <c r="B376" t="s">
        <v>12</v>
      </c>
      <c r="C376" t="s">
        <v>6</v>
      </c>
      <c r="D376" s="3">
        <f>MID(A376,1,2)*1</f>
        <v>86</v>
      </c>
      <c r="E376" s="4">
        <f>MID(A376,3,2)*1</f>
        <v>12</v>
      </c>
      <c r="F376" s="4">
        <f>MID(A376,5,2)*1</f>
        <v>16</v>
      </c>
      <c r="G376" s="3">
        <f>IF(E376&gt;=20,2000,1900) + D376</f>
        <v>1986</v>
      </c>
      <c r="H376">
        <f>IF(E376&gt;=20,E376-20,E376)</f>
        <v>12</v>
      </c>
      <c r="I376" s="4">
        <f>F376</f>
        <v>16</v>
      </c>
      <c r="J376">
        <f>CONCATENATE(G376,IF(LEN(H376)=1,CONCATENATE("0",H376),H376),IF(LEN(F376)=1,CONCATENATE("0",F376),F376))*1</f>
        <v>19861216</v>
      </c>
    </row>
    <row r="377" spans="1:10" x14ac:dyDescent="0.25">
      <c r="A377" s="4" t="s">
        <v>406</v>
      </c>
      <c r="B377" t="s">
        <v>18</v>
      </c>
      <c r="C377" t="s">
        <v>4</v>
      </c>
      <c r="D377" s="3">
        <f>MID(A377,1,2)*1</f>
        <v>77</v>
      </c>
      <c r="E377" s="4">
        <f>MID(A377,3,2)*1</f>
        <v>11</v>
      </c>
      <c r="F377" s="4">
        <f>MID(A377,5,2)*1</f>
        <v>15</v>
      </c>
      <c r="G377" s="3">
        <f>IF(E377&gt;=20,2000,1900) + D377</f>
        <v>1977</v>
      </c>
      <c r="H377">
        <f>IF(E377&gt;=20,E377-20,E377)</f>
        <v>11</v>
      </c>
      <c r="I377" s="4">
        <f>F377</f>
        <v>15</v>
      </c>
      <c r="J377">
        <f>CONCATENATE(G377,IF(LEN(H377)=1,CONCATENATE("0",H377),H377),IF(LEN(F377)=1,CONCATENATE("0",F377),F377))*1</f>
        <v>19771115</v>
      </c>
    </row>
    <row r="378" spans="1:10" hidden="1" x14ac:dyDescent="0.25">
      <c r="A378" s="4" t="s">
        <v>404</v>
      </c>
      <c r="B378" t="s">
        <v>7</v>
      </c>
      <c r="C378" t="s">
        <v>4</v>
      </c>
      <c r="D378" s="3">
        <f>MID(A378,1,2)*1</f>
        <v>60</v>
      </c>
      <c r="E378" s="4">
        <f>MID(A378,3,2)*1</f>
        <v>2</v>
      </c>
      <c r="F378" s="4">
        <f>MID(A378,5,2)*1</f>
        <v>7</v>
      </c>
      <c r="G378" s="3">
        <f>IF(E378&gt;=20,2000,1900) + D378</f>
        <v>1960</v>
      </c>
      <c r="H378">
        <f>IF(E378&gt;=20,E378-20,E378)</f>
        <v>2</v>
      </c>
      <c r="I378" s="4">
        <f>F378</f>
        <v>7</v>
      </c>
      <c r="J378">
        <f>CONCATENATE(G378,IF(LEN(H378)=1,CONCATENATE("0",H378),H378),IF(LEN(F378)=1,CONCATENATE("0",F378),F378))*1</f>
        <v>19600207</v>
      </c>
    </row>
    <row r="379" spans="1:10" hidden="1" x14ac:dyDescent="0.25">
      <c r="A379" s="4" t="s">
        <v>405</v>
      </c>
      <c r="B379" t="s">
        <v>12</v>
      </c>
      <c r="C379" t="s">
        <v>4</v>
      </c>
      <c r="D379" s="3">
        <f>MID(A379,1,2)*1</f>
        <v>75</v>
      </c>
      <c r="E379" s="4">
        <f>MID(A379,3,2)*1</f>
        <v>2</v>
      </c>
      <c r="F379" s="4">
        <f>MID(A379,5,2)*1</f>
        <v>4</v>
      </c>
      <c r="G379" s="3">
        <f>IF(E379&gt;=20,2000,1900) + D379</f>
        <v>1975</v>
      </c>
      <c r="H379">
        <f>IF(E379&gt;=20,E379-20,E379)</f>
        <v>2</v>
      </c>
      <c r="I379" s="4">
        <f>F379</f>
        <v>4</v>
      </c>
      <c r="J379">
        <f>CONCATENATE(G379,IF(LEN(H379)=1,CONCATENATE("0",H379),H379),IF(LEN(F379)=1,CONCATENATE("0",F379),F379))*1</f>
        <v>19750204</v>
      </c>
    </row>
    <row r="380" spans="1:10" x14ac:dyDescent="0.25">
      <c r="A380" s="4" t="s">
        <v>146</v>
      </c>
      <c r="B380" t="s">
        <v>18</v>
      </c>
      <c r="C380" t="s">
        <v>6</v>
      </c>
      <c r="D380" s="3">
        <f>MID(A380,1,2)*1</f>
        <v>78</v>
      </c>
      <c r="E380" s="4">
        <f>MID(A380,3,2)*1</f>
        <v>2</v>
      </c>
      <c r="F380" s="4">
        <f>MID(A380,5,2)*1</f>
        <v>21</v>
      </c>
      <c r="G380" s="3">
        <f>IF(E380&gt;=20,2000,1900) + D380</f>
        <v>1978</v>
      </c>
      <c r="H380">
        <f>IF(E380&gt;=20,E380-20,E380)</f>
        <v>2</v>
      </c>
      <c r="I380" s="4">
        <f>F380</f>
        <v>21</v>
      </c>
      <c r="J380">
        <f>CONCATENATE(G380,IF(LEN(H380)=1,CONCATENATE("0",H380),H380),IF(LEN(F380)=1,CONCATENATE("0",F380),F380))*1</f>
        <v>19780221</v>
      </c>
    </row>
    <row r="381" spans="1:10" hidden="1" x14ac:dyDescent="0.25">
      <c r="A381" s="4" t="s">
        <v>407</v>
      </c>
      <c r="B381" t="s">
        <v>16</v>
      </c>
      <c r="C381" t="s">
        <v>4</v>
      </c>
      <c r="D381" s="3">
        <f>MID(A381,1,2)*1</f>
        <v>58</v>
      </c>
      <c r="E381" s="4">
        <f>MID(A381,3,2)*1</f>
        <v>2</v>
      </c>
      <c r="F381" s="4">
        <f>MID(A381,5,2)*1</f>
        <v>17</v>
      </c>
      <c r="G381" s="3">
        <f>IF(E381&gt;=20,2000,1900) + D381</f>
        <v>1958</v>
      </c>
      <c r="H381">
        <f>IF(E381&gt;=20,E381-20,E381)</f>
        <v>2</v>
      </c>
      <c r="I381" s="4">
        <f>F381</f>
        <v>17</v>
      </c>
      <c r="J381">
        <f>CONCATENATE(G381,IF(LEN(H381)=1,CONCATENATE("0",H381),H381),IF(LEN(F381)=1,CONCATENATE("0",F381),F381))*1</f>
        <v>19580217</v>
      </c>
    </row>
    <row r="382" spans="1:10" hidden="1" x14ac:dyDescent="0.25">
      <c r="A382" s="4" t="s">
        <v>408</v>
      </c>
      <c r="B382" t="s">
        <v>13</v>
      </c>
      <c r="C382" t="s">
        <v>4</v>
      </c>
      <c r="D382" s="3">
        <f>MID(A382,1,2)*1</f>
        <v>76</v>
      </c>
      <c r="E382" s="4">
        <f>MID(A382,3,2)*1</f>
        <v>8</v>
      </c>
      <c r="F382" s="4">
        <f>MID(A382,5,2)*1</f>
        <v>27</v>
      </c>
      <c r="G382" s="3">
        <f>IF(E382&gt;=20,2000,1900) + D382</f>
        <v>1976</v>
      </c>
      <c r="H382">
        <f>IF(E382&gt;=20,E382-20,E382)</f>
        <v>8</v>
      </c>
      <c r="I382" s="4">
        <f>F382</f>
        <v>27</v>
      </c>
      <c r="J382">
        <f>CONCATENATE(G382,IF(LEN(H382)=1,CONCATENATE("0",H382),H382),IF(LEN(F382)=1,CONCATENATE("0",F382),F382))*1</f>
        <v>19760827</v>
      </c>
    </row>
    <row r="383" spans="1:10" hidden="1" x14ac:dyDescent="0.25">
      <c r="A383" s="4" t="s">
        <v>409</v>
      </c>
      <c r="B383" t="s">
        <v>7</v>
      </c>
      <c r="C383" t="s">
        <v>4</v>
      </c>
      <c r="D383" s="3">
        <f>MID(A383,1,2)*1</f>
        <v>98</v>
      </c>
      <c r="E383" s="4">
        <f>MID(A383,3,2)*1</f>
        <v>6</v>
      </c>
      <c r="F383" s="4">
        <f>MID(A383,5,2)*1</f>
        <v>7</v>
      </c>
      <c r="G383" s="3">
        <f>IF(E383&gt;=20,2000,1900) + D383</f>
        <v>1998</v>
      </c>
      <c r="H383">
        <f>IF(E383&gt;=20,E383-20,E383)</f>
        <v>6</v>
      </c>
      <c r="I383" s="4">
        <f>F383</f>
        <v>7</v>
      </c>
      <c r="J383">
        <f>CONCATENATE(G383,IF(LEN(H383)=1,CONCATENATE("0",H383),H383),IF(LEN(F383)=1,CONCATENATE("0",F383),F383))*1</f>
        <v>19980607</v>
      </c>
    </row>
    <row r="384" spans="1:10" hidden="1" x14ac:dyDescent="0.25">
      <c r="A384" s="4" t="s">
        <v>410</v>
      </c>
      <c r="B384" t="s">
        <v>5</v>
      </c>
      <c r="C384" t="s">
        <v>6</v>
      </c>
      <c r="D384" s="3">
        <f>MID(A384,1,2)*1</f>
        <v>50</v>
      </c>
      <c r="E384" s="4">
        <f>MID(A384,3,2)*1</f>
        <v>11</v>
      </c>
      <c r="F384" s="4">
        <f>MID(A384,5,2)*1</f>
        <v>19</v>
      </c>
      <c r="G384" s="3">
        <f>IF(E384&gt;=20,2000,1900) + D384</f>
        <v>1950</v>
      </c>
      <c r="H384">
        <f>IF(E384&gt;=20,E384-20,E384)</f>
        <v>11</v>
      </c>
      <c r="I384" s="4">
        <f>F384</f>
        <v>19</v>
      </c>
      <c r="J384">
        <f>CONCATENATE(G384,IF(LEN(H384)=1,CONCATENATE("0",H384),H384),IF(LEN(F384)=1,CONCATENATE("0",F384),F384))*1</f>
        <v>19501119</v>
      </c>
    </row>
    <row r="385" spans="1:10" hidden="1" x14ac:dyDescent="0.25">
      <c r="A385" s="4" t="s">
        <v>411</v>
      </c>
      <c r="B385" t="s">
        <v>5</v>
      </c>
      <c r="C385" t="s">
        <v>6</v>
      </c>
      <c r="D385" s="3">
        <f>MID(A385,1,2)*1</f>
        <v>64</v>
      </c>
      <c r="E385" s="4">
        <f>MID(A385,3,2)*1</f>
        <v>1</v>
      </c>
      <c r="F385" s="4">
        <f>MID(A385,5,2)*1</f>
        <v>19</v>
      </c>
      <c r="G385" s="3">
        <f>IF(E385&gt;=20,2000,1900) + D385</f>
        <v>1964</v>
      </c>
      <c r="H385">
        <f>IF(E385&gt;=20,E385-20,E385)</f>
        <v>1</v>
      </c>
      <c r="I385" s="4">
        <f>F385</f>
        <v>19</v>
      </c>
      <c r="J385">
        <f>CONCATENATE(G385,IF(LEN(H385)=1,CONCATENATE("0",H385),H385),IF(LEN(F385)=1,CONCATENATE("0",F385),F385))*1</f>
        <v>19640119</v>
      </c>
    </row>
    <row r="386" spans="1:10" hidden="1" x14ac:dyDescent="0.25">
      <c r="A386" s="4" t="s">
        <v>412</v>
      </c>
      <c r="B386" t="s">
        <v>10</v>
      </c>
      <c r="C386" t="s">
        <v>6</v>
      </c>
      <c r="D386" s="3">
        <f>MID(A386,1,2)*1</f>
        <v>64</v>
      </c>
      <c r="E386" s="4">
        <f>MID(A386,3,2)*1</f>
        <v>11</v>
      </c>
      <c r="F386" s="4">
        <f>MID(A386,5,2)*1</f>
        <v>19</v>
      </c>
      <c r="G386" s="3">
        <f>IF(E386&gt;=20,2000,1900) + D386</f>
        <v>1964</v>
      </c>
      <c r="H386">
        <f>IF(E386&gt;=20,E386-20,E386)</f>
        <v>11</v>
      </c>
      <c r="I386" s="4">
        <f>F386</f>
        <v>19</v>
      </c>
      <c r="J386">
        <f>CONCATENATE(G386,IF(LEN(H386)=1,CONCATENATE("0",H386),H386),IF(LEN(F386)=1,CONCATENATE("0",F386),F386))*1</f>
        <v>19641119</v>
      </c>
    </row>
    <row r="387" spans="1:10" hidden="1" x14ac:dyDescent="0.25">
      <c r="A387" s="4" t="s">
        <v>413</v>
      </c>
      <c r="B387" t="s">
        <v>14</v>
      </c>
      <c r="C387" t="s">
        <v>6</v>
      </c>
      <c r="D387" s="3">
        <f>MID(A387,1,2)*1</f>
        <v>67</v>
      </c>
      <c r="E387" s="4">
        <f>MID(A387,3,2)*1</f>
        <v>9</v>
      </c>
      <c r="F387" s="4">
        <f>MID(A387,5,2)*1</f>
        <v>8</v>
      </c>
      <c r="G387" s="3">
        <f>IF(E387&gt;=20,2000,1900) + D387</f>
        <v>1967</v>
      </c>
      <c r="H387">
        <f>IF(E387&gt;=20,E387-20,E387)</f>
        <v>9</v>
      </c>
      <c r="I387" s="4">
        <f>F387</f>
        <v>8</v>
      </c>
      <c r="J387">
        <f>CONCATENATE(G387,IF(LEN(H387)=1,CONCATENATE("0",H387),H387),IF(LEN(F387)=1,CONCATENATE("0",F387),F387))*1</f>
        <v>19670908</v>
      </c>
    </row>
    <row r="388" spans="1:10" hidden="1" x14ac:dyDescent="0.25">
      <c r="A388" s="4" t="s">
        <v>414</v>
      </c>
      <c r="B388" t="s">
        <v>3</v>
      </c>
      <c r="C388" t="s">
        <v>6</v>
      </c>
      <c r="D388" s="3">
        <f>MID(A388,1,2)*1</f>
        <v>55</v>
      </c>
      <c r="E388" s="4">
        <f>MID(A388,3,2)*1</f>
        <v>1</v>
      </c>
      <c r="F388" s="4">
        <f>MID(A388,5,2)*1</f>
        <v>17</v>
      </c>
      <c r="G388" s="3">
        <f>IF(E388&gt;=20,2000,1900) + D388</f>
        <v>1955</v>
      </c>
      <c r="H388">
        <f>IF(E388&gt;=20,E388-20,E388)</f>
        <v>1</v>
      </c>
      <c r="I388" s="4">
        <f>F388</f>
        <v>17</v>
      </c>
      <c r="J388">
        <f>CONCATENATE(G388,IF(LEN(H388)=1,CONCATENATE("0",H388),H388),IF(LEN(F388)=1,CONCATENATE("0",F388),F388))*1</f>
        <v>19550117</v>
      </c>
    </row>
    <row r="389" spans="1:10" hidden="1" x14ac:dyDescent="0.25">
      <c r="A389" s="4" t="s">
        <v>415</v>
      </c>
      <c r="B389" t="s">
        <v>16</v>
      </c>
      <c r="C389" t="s">
        <v>4</v>
      </c>
      <c r="D389" s="3">
        <f>MID(A389,1,2)*1</f>
        <v>76</v>
      </c>
      <c r="E389" s="4">
        <f>MID(A389,3,2)*1</f>
        <v>9</v>
      </c>
      <c r="F389" s="4">
        <f>MID(A389,5,2)*1</f>
        <v>4</v>
      </c>
      <c r="G389" s="3">
        <f>IF(E389&gt;=20,2000,1900) + D389</f>
        <v>1976</v>
      </c>
      <c r="H389">
        <f>IF(E389&gt;=20,E389-20,E389)</f>
        <v>9</v>
      </c>
      <c r="I389" s="4">
        <f>F389</f>
        <v>4</v>
      </c>
      <c r="J389">
        <f>CONCATENATE(G389,IF(LEN(H389)=1,CONCATENATE("0",H389),H389),IF(LEN(F389)=1,CONCATENATE("0",F389),F389))*1</f>
        <v>19760904</v>
      </c>
    </row>
    <row r="390" spans="1:10" hidden="1" x14ac:dyDescent="0.25">
      <c r="A390" s="4" t="s">
        <v>416</v>
      </c>
      <c r="B390" t="s">
        <v>19</v>
      </c>
      <c r="C390" t="s">
        <v>6</v>
      </c>
      <c r="D390" s="3">
        <f>MID(A390,1,2)*1</f>
        <v>80</v>
      </c>
      <c r="E390" s="4">
        <f>MID(A390,3,2)*1</f>
        <v>2</v>
      </c>
      <c r="F390" s="4">
        <f>MID(A390,5,2)*1</f>
        <v>8</v>
      </c>
      <c r="G390" s="3">
        <f>IF(E390&gt;=20,2000,1900) + D390</f>
        <v>1980</v>
      </c>
      <c r="H390">
        <f>IF(E390&gt;=20,E390-20,E390)</f>
        <v>2</v>
      </c>
      <c r="I390" s="4">
        <f>F390</f>
        <v>8</v>
      </c>
      <c r="J390">
        <f>CONCATENATE(G390,IF(LEN(H390)=1,CONCATENATE("0",H390),H390),IF(LEN(F390)=1,CONCATENATE("0",F390),F390))*1</f>
        <v>19800208</v>
      </c>
    </row>
    <row r="391" spans="1:10" hidden="1" x14ac:dyDescent="0.25">
      <c r="A391" s="4" t="s">
        <v>417</v>
      </c>
      <c r="B391" t="s">
        <v>17</v>
      </c>
      <c r="C391" t="s">
        <v>6</v>
      </c>
      <c r="D391" s="3">
        <f>MID(A391,1,2)*1</f>
        <v>73</v>
      </c>
      <c r="E391" s="4">
        <f>MID(A391,3,2)*1</f>
        <v>2</v>
      </c>
      <c r="F391" s="4">
        <f>MID(A391,5,2)*1</f>
        <v>1</v>
      </c>
      <c r="G391" s="3">
        <f>IF(E391&gt;=20,2000,1900) + D391</f>
        <v>1973</v>
      </c>
      <c r="H391">
        <f>IF(E391&gt;=20,E391-20,E391)</f>
        <v>2</v>
      </c>
      <c r="I391" s="4">
        <f>F391</f>
        <v>1</v>
      </c>
      <c r="J391">
        <f>CONCATENATE(G391,IF(LEN(H391)=1,CONCATENATE("0",H391),H391),IF(LEN(F391)=1,CONCATENATE("0",F391),F391))*1</f>
        <v>19730201</v>
      </c>
    </row>
    <row r="392" spans="1:10" hidden="1" x14ac:dyDescent="0.25">
      <c r="A392" s="4" t="s">
        <v>418</v>
      </c>
      <c r="B392" t="s">
        <v>20</v>
      </c>
      <c r="C392" t="s">
        <v>4</v>
      </c>
      <c r="D392" s="3">
        <f>MID(A392,1,2)*1</f>
        <v>67</v>
      </c>
      <c r="E392" s="4">
        <f>MID(A392,3,2)*1</f>
        <v>3</v>
      </c>
      <c r="F392" s="4">
        <f>MID(A392,5,2)*1</f>
        <v>4</v>
      </c>
      <c r="G392" s="3">
        <f>IF(E392&gt;=20,2000,1900) + D392</f>
        <v>1967</v>
      </c>
      <c r="H392">
        <f>IF(E392&gt;=20,E392-20,E392)</f>
        <v>3</v>
      </c>
      <c r="I392" s="4">
        <f>F392</f>
        <v>4</v>
      </c>
      <c r="J392">
        <f>CONCATENATE(G392,IF(LEN(H392)=1,CONCATENATE("0",H392),H392),IF(LEN(F392)=1,CONCATENATE("0",F392),F392))*1</f>
        <v>19670304</v>
      </c>
    </row>
    <row r="393" spans="1:10" hidden="1" x14ac:dyDescent="0.25">
      <c r="A393" s="4" t="s">
        <v>419</v>
      </c>
      <c r="B393" t="s">
        <v>8</v>
      </c>
      <c r="C393" t="s">
        <v>4</v>
      </c>
      <c r="D393" s="3">
        <f>MID(A393,1,2)*1</f>
        <v>93</v>
      </c>
      <c r="E393" s="4">
        <f>MID(A393,3,2)*1</f>
        <v>2</v>
      </c>
      <c r="F393" s="4">
        <f>MID(A393,5,2)*1</f>
        <v>12</v>
      </c>
      <c r="G393" s="3">
        <f>IF(E393&gt;=20,2000,1900) + D393</f>
        <v>1993</v>
      </c>
      <c r="H393">
        <f>IF(E393&gt;=20,E393-20,E393)</f>
        <v>2</v>
      </c>
      <c r="I393" s="4">
        <f>F393</f>
        <v>12</v>
      </c>
      <c r="J393">
        <f>CONCATENATE(G393,IF(LEN(H393)=1,CONCATENATE("0",H393),H393),IF(LEN(F393)=1,CONCATENATE("0",F393),F393))*1</f>
        <v>19930212</v>
      </c>
    </row>
    <row r="394" spans="1:10" hidden="1" x14ac:dyDescent="0.25">
      <c r="A394" s="4" t="s">
        <v>420</v>
      </c>
      <c r="B394" t="s">
        <v>5</v>
      </c>
      <c r="C394" t="s">
        <v>4</v>
      </c>
      <c r="D394" s="3">
        <f>MID(A394,1,2)*1</f>
        <v>89</v>
      </c>
      <c r="E394" s="4">
        <f>MID(A394,3,2)*1</f>
        <v>5</v>
      </c>
      <c r="F394" s="4">
        <f>MID(A394,5,2)*1</f>
        <v>5</v>
      </c>
      <c r="G394" s="3">
        <f>IF(E394&gt;=20,2000,1900) + D394</f>
        <v>1989</v>
      </c>
      <c r="H394">
        <f>IF(E394&gt;=20,E394-20,E394)</f>
        <v>5</v>
      </c>
      <c r="I394" s="4">
        <f>F394</f>
        <v>5</v>
      </c>
      <c r="J394">
        <f>CONCATENATE(G394,IF(LEN(H394)=1,CONCATENATE("0",H394),H394),IF(LEN(F394)=1,CONCATENATE("0",F394),F394))*1</f>
        <v>19890505</v>
      </c>
    </row>
    <row r="395" spans="1:10" hidden="1" x14ac:dyDescent="0.25">
      <c r="A395" s="4" t="s">
        <v>421</v>
      </c>
      <c r="B395" t="s">
        <v>16</v>
      </c>
      <c r="C395" t="s">
        <v>4</v>
      </c>
      <c r="D395" s="3">
        <f>MID(A395,1,2)*1</f>
        <v>73</v>
      </c>
      <c r="E395" s="4">
        <f>MID(A395,3,2)*1</f>
        <v>10</v>
      </c>
      <c r="F395" s="4">
        <f>MID(A395,5,2)*1</f>
        <v>14</v>
      </c>
      <c r="G395" s="3">
        <f>IF(E395&gt;=20,2000,1900) + D395</f>
        <v>1973</v>
      </c>
      <c r="H395">
        <f>IF(E395&gt;=20,E395-20,E395)</f>
        <v>10</v>
      </c>
      <c r="I395" s="4">
        <f>F395</f>
        <v>14</v>
      </c>
      <c r="J395">
        <f>CONCATENATE(G395,IF(LEN(H395)=1,CONCATENATE("0",H395),H395),IF(LEN(F395)=1,CONCATENATE("0",F395),F395))*1</f>
        <v>19731014</v>
      </c>
    </row>
    <row r="396" spans="1:10" hidden="1" x14ac:dyDescent="0.25">
      <c r="A396" s="4" t="s">
        <v>422</v>
      </c>
      <c r="B396" t="s">
        <v>3</v>
      </c>
      <c r="C396" t="s">
        <v>6</v>
      </c>
      <c r="D396" s="3">
        <f>MID(A396,1,2)*1</f>
        <v>85</v>
      </c>
      <c r="E396" s="4">
        <f>MID(A396,3,2)*1</f>
        <v>7</v>
      </c>
      <c r="F396" s="4">
        <f>MID(A396,5,2)*1</f>
        <v>14</v>
      </c>
      <c r="G396" s="3">
        <f>IF(E396&gt;=20,2000,1900) + D396</f>
        <v>1985</v>
      </c>
      <c r="H396">
        <f>IF(E396&gt;=20,E396-20,E396)</f>
        <v>7</v>
      </c>
      <c r="I396" s="4">
        <f>F396</f>
        <v>14</v>
      </c>
      <c r="J396">
        <f>CONCATENATE(G396,IF(LEN(H396)=1,CONCATENATE("0",H396),H396),IF(LEN(F396)=1,CONCATENATE("0",F396),F396))*1</f>
        <v>19850714</v>
      </c>
    </row>
    <row r="397" spans="1:10" hidden="1" x14ac:dyDescent="0.25">
      <c r="A397" s="4" t="s">
        <v>423</v>
      </c>
      <c r="B397" t="s">
        <v>5</v>
      </c>
      <c r="C397" t="s">
        <v>6</v>
      </c>
      <c r="D397" s="3">
        <f>MID(A397,1,2)*1</f>
        <v>65</v>
      </c>
      <c r="E397" s="4">
        <f>MID(A397,3,2)*1</f>
        <v>7</v>
      </c>
      <c r="F397" s="4">
        <f>MID(A397,5,2)*1</f>
        <v>14</v>
      </c>
      <c r="G397" s="3">
        <f>IF(E397&gt;=20,2000,1900) + D397</f>
        <v>1965</v>
      </c>
      <c r="H397">
        <f>IF(E397&gt;=20,E397-20,E397)</f>
        <v>7</v>
      </c>
      <c r="I397" s="4">
        <f>F397</f>
        <v>14</v>
      </c>
      <c r="J397">
        <f>CONCATENATE(G397,IF(LEN(H397)=1,CONCATENATE("0",H397),H397),IF(LEN(F397)=1,CONCATENATE("0",F397),F397))*1</f>
        <v>19650714</v>
      </c>
    </row>
    <row r="398" spans="1:10" hidden="1" x14ac:dyDescent="0.25">
      <c r="A398" s="4" t="s">
        <v>424</v>
      </c>
      <c r="B398" t="s">
        <v>20</v>
      </c>
      <c r="C398" t="s">
        <v>4</v>
      </c>
      <c r="D398" s="3">
        <f>MID(A398,1,2)*1</f>
        <v>61</v>
      </c>
      <c r="E398" s="4">
        <f>MID(A398,3,2)*1</f>
        <v>2</v>
      </c>
      <c r="F398" s="4">
        <f>MID(A398,5,2)*1</f>
        <v>13</v>
      </c>
      <c r="G398" s="3">
        <f>IF(E398&gt;=20,2000,1900) + D398</f>
        <v>1961</v>
      </c>
      <c r="H398">
        <f>IF(E398&gt;=20,E398-20,E398)</f>
        <v>2</v>
      </c>
      <c r="I398" s="4">
        <f>F398</f>
        <v>13</v>
      </c>
      <c r="J398">
        <f>CONCATENATE(G398,IF(LEN(H398)=1,CONCATENATE("0",H398),H398),IF(LEN(F398)=1,CONCATENATE("0",F398),F398))*1</f>
        <v>19610213</v>
      </c>
    </row>
    <row r="399" spans="1:10" hidden="1" x14ac:dyDescent="0.25">
      <c r="A399" s="4" t="s">
        <v>425</v>
      </c>
      <c r="B399" t="s">
        <v>10</v>
      </c>
      <c r="C399" t="s">
        <v>4</v>
      </c>
      <c r="D399" s="3">
        <f>MID(A399,1,2)*1</f>
        <v>84</v>
      </c>
      <c r="E399" s="4">
        <f>MID(A399,3,2)*1</f>
        <v>12</v>
      </c>
      <c r="F399" s="4">
        <f>MID(A399,5,2)*1</f>
        <v>14</v>
      </c>
      <c r="G399" s="3">
        <f>IF(E399&gt;=20,2000,1900) + D399</f>
        <v>1984</v>
      </c>
      <c r="H399">
        <f>IF(E399&gt;=20,E399-20,E399)</f>
        <v>12</v>
      </c>
      <c r="I399" s="4">
        <f>F399</f>
        <v>14</v>
      </c>
      <c r="J399">
        <f>CONCATENATE(G399,IF(LEN(H399)=1,CONCATENATE("0",H399),H399),IF(LEN(F399)=1,CONCATENATE("0",F399),F399))*1</f>
        <v>19841214</v>
      </c>
    </row>
    <row r="400" spans="1:10" hidden="1" x14ac:dyDescent="0.25">
      <c r="A400" s="4" t="s">
        <v>426</v>
      </c>
      <c r="B400" t="s">
        <v>14</v>
      </c>
      <c r="C400" t="s">
        <v>4</v>
      </c>
      <c r="D400" s="3">
        <f>MID(A400,1,2)*1</f>
        <v>74</v>
      </c>
      <c r="E400" s="4">
        <f>MID(A400,3,2)*1</f>
        <v>9</v>
      </c>
      <c r="F400" s="4">
        <f>MID(A400,5,2)*1</f>
        <v>22</v>
      </c>
      <c r="G400" s="3">
        <f>IF(E400&gt;=20,2000,1900) + D400</f>
        <v>1974</v>
      </c>
      <c r="H400">
        <f>IF(E400&gt;=20,E400-20,E400)</f>
        <v>9</v>
      </c>
      <c r="I400" s="4">
        <f>F400</f>
        <v>22</v>
      </c>
      <c r="J400">
        <f>CONCATENATE(G400,IF(LEN(H400)=1,CONCATENATE("0",H400),H400),IF(LEN(F400)=1,CONCATENATE("0",F400),F400))*1</f>
        <v>19740922</v>
      </c>
    </row>
    <row r="401" spans="1:10" hidden="1" x14ac:dyDescent="0.25">
      <c r="A401" s="4" t="s">
        <v>427</v>
      </c>
      <c r="B401" t="s">
        <v>17</v>
      </c>
      <c r="C401" t="s">
        <v>4</v>
      </c>
      <c r="D401" s="3">
        <f>MID(A401,1,2)*1</f>
        <v>53</v>
      </c>
      <c r="E401" s="4">
        <f>MID(A401,3,2)*1</f>
        <v>5</v>
      </c>
      <c r="F401" s="4">
        <f>MID(A401,5,2)*1</f>
        <v>27</v>
      </c>
      <c r="G401" s="3">
        <f>IF(E401&gt;=20,2000,1900) + D401</f>
        <v>1953</v>
      </c>
      <c r="H401">
        <f>IF(E401&gt;=20,E401-20,E401)</f>
        <v>5</v>
      </c>
      <c r="I401" s="4">
        <f>F401</f>
        <v>27</v>
      </c>
      <c r="J401">
        <f>CONCATENATE(G401,IF(LEN(H401)=1,CONCATENATE("0",H401),H401),IF(LEN(F401)=1,CONCATENATE("0",F401),F401))*1</f>
        <v>19530527</v>
      </c>
    </row>
    <row r="402" spans="1:10" hidden="1" x14ac:dyDescent="0.25">
      <c r="A402" s="4" t="s">
        <v>428</v>
      </c>
      <c r="B402" t="s">
        <v>9</v>
      </c>
      <c r="C402" t="s">
        <v>6</v>
      </c>
      <c r="D402" s="3">
        <f>MID(A402,1,2)*1</f>
        <v>97</v>
      </c>
      <c r="E402" s="4">
        <f>MID(A402,3,2)*1</f>
        <v>4</v>
      </c>
      <c r="F402" s="4">
        <f>MID(A402,5,2)*1</f>
        <v>29</v>
      </c>
      <c r="G402" s="3">
        <f>IF(E402&gt;=20,2000,1900) + D402</f>
        <v>1997</v>
      </c>
      <c r="H402">
        <f>IF(E402&gt;=20,E402-20,E402)</f>
        <v>4</v>
      </c>
      <c r="I402" s="4">
        <f>F402</f>
        <v>29</v>
      </c>
      <c r="J402">
        <f>CONCATENATE(G402,IF(LEN(H402)=1,CONCATENATE("0",H402),H402),IF(LEN(F402)=1,CONCATENATE("0",F402),F402))*1</f>
        <v>19970429</v>
      </c>
    </row>
    <row r="403" spans="1:10" hidden="1" x14ac:dyDescent="0.25">
      <c r="A403" s="4" t="s">
        <v>429</v>
      </c>
      <c r="B403" t="s">
        <v>7</v>
      </c>
      <c r="C403" t="s">
        <v>4</v>
      </c>
      <c r="D403" s="3">
        <f>MID(A403,1,2)*1</f>
        <v>78</v>
      </c>
      <c r="E403" s="4">
        <f>MID(A403,3,2)*1</f>
        <v>6</v>
      </c>
      <c r="F403" s="4">
        <f>MID(A403,5,2)*1</f>
        <v>25</v>
      </c>
      <c r="G403" s="3">
        <f>IF(E403&gt;=20,2000,1900) + D403</f>
        <v>1978</v>
      </c>
      <c r="H403">
        <f>IF(E403&gt;=20,E403-20,E403)</f>
        <v>6</v>
      </c>
      <c r="I403" s="4">
        <f>F403</f>
        <v>25</v>
      </c>
      <c r="J403">
        <f>CONCATENATE(G403,IF(LEN(H403)=1,CONCATENATE("0",H403),H403),IF(LEN(F403)=1,CONCATENATE("0",F403),F403))*1</f>
        <v>19780625</v>
      </c>
    </row>
    <row r="404" spans="1:10" hidden="1" x14ac:dyDescent="0.25">
      <c r="A404" s="4" t="s">
        <v>430</v>
      </c>
      <c r="B404" t="s">
        <v>11</v>
      </c>
      <c r="C404" t="s">
        <v>4</v>
      </c>
      <c r="D404" s="3">
        <f>MID(A404,1,2)*1</f>
        <v>65</v>
      </c>
      <c r="E404" s="4">
        <f>MID(A404,3,2)*1</f>
        <v>11</v>
      </c>
      <c r="F404" s="4">
        <f>MID(A404,5,2)*1</f>
        <v>19</v>
      </c>
      <c r="G404" s="3">
        <f>IF(E404&gt;=20,2000,1900) + D404</f>
        <v>1965</v>
      </c>
      <c r="H404">
        <f>IF(E404&gt;=20,E404-20,E404)</f>
        <v>11</v>
      </c>
      <c r="I404" s="4">
        <f>F404</f>
        <v>19</v>
      </c>
      <c r="J404">
        <f>CONCATENATE(G404,IF(LEN(H404)=1,CONCATENATE("0",H404),H404),IF(LEN(F404)=1,CONCATENATE("0",F404),F404))*1</f>
        <v>19651119</v>
      </c>
    </row>
    <row r="405" spans="1:10" hidden="1" x14ac:dyDescent="0.25">
      <c r="A405" s="4" t="s">
        <v>431</v>
      </c>
      <c r="B405" t="s">
        <v>3</v>
      </c>
      <c r="C405" t="s">
        <v>4</v>
      </c>
      <c r="D405" s="3">
        <f>MID(A405,1,2)*1</f>
        <v>50</v>
      </c>
      <c r="E405" s="4">
        <f>MID(A405,3,2)*1</f>
        <v>1</v>
      </c>
      <c r="F405" s="4">
        <f>MID(A405,5,2)*1</f>
        <v>14</v>
      </c>
      <c r="G405" s="3">
        <f>IF(E405&gt;=20,2000,1900) + D405</f>
        <v>1950</v>
      </c>
      <c r="H405">
        <f>IF(E405&gt;=20,E405-20,E405)</f>
        <v>1</v>
      </c>
      <c r="I405" s="4">
        <f>F405</f>
        <v>14</v>
      </c>
      <c r="J405">
        <f>CONCATENATE(G405,IF(LEN(H405)=1,CONCATENATE("0",H405),H405),IF(LEN(F405)=1,CONCATENATE("0",F405),F405))*1</f>
        <v>19500114</v>
      </c>
    </row>
    <row r="406" spans="1:10" hidden="1" x14ac:dyDescent="0.25">
      <c r="A406" s="4" t="s">
        <v>432</v>
      </c>
      <c r="B406" t="s">
        <v>11</v>
      </c>
      <c r="C406" t="s">
        <v>6</v>
      </c>
      <c r="D406" s="3">
        <f>MID(A406,1,2)*1</f>
        <v>83</v>
      </c>
      <c r="E406" s="4">
        <f>MID(A406,3,2)*1</f>
        <v>11</v>
      </c>
      <c r="F406" s="4">
        <f>MID(A406,5,2)*1</f>
        <v>10</v>
      </c>
      <c r="G406" s="3">
        <f>IF(E406&gt;=20,2000,1900) + D406</f>
        <v>1983</v>
      </c>
      <c r="H406">
        <f>IF(E406&gt;=20,E406-20,E406)</f>
        <v>11</v>
      </c>
      <c r="I406" s="4">
        <f>F406</f>
        <v>10</v>
      </c>
      <c r="J406">
        <f>CONCATENATE(G406,IF(LEN(H406)=1,CONCATENATE("0",H406),H406),IF(LEN(F406)=1,CONCATENATE("0",F406),F406))*1</f>
        <v>19831110</v>
      </c>
    </row>
    <row r="407" spans="1:10" hidden="1" x14ac:dyDescent="0.25">
      <c r="A407" s="4" t="s">
        <v>433</v>
      </c>
      <c r="B407" t="s">
        <v>17</v>
      </c>
      <c r="C407" t="s">
        <v>6</v>
      </c>
      <c r="D407" s="3">
        <f>MID(A407,1,2)*1</f>
        <v>75</v>
      </c>
      <c r="E407" s="4">
        <f>MID(A407,3,2)*1</f>
        <v>12</v>
      </c>
      <c r="F407" s="4">
        <f>MID(A407,5,2)*1</f>
        <v>21</v>
      </c>
      <c r="G407" s="3">
        <f>IF(E407&gt;=20,2000,1900) + D407</f>
        <v>1975</v>
      </c>
      <c r="H407">
        <f>IF(E407&gt;=20,E407-20,E407)</f>
        <v>12</v>
      </c>
      <c r="I407" s="4">
        <f>F407</f>
        <v>21</v>
      </c>
      <c r="J407">
        <f>CONCATENATE(G407,IF(LEN(H407)=1,CONCATENATE("0",H407),H407),IF(LEN(F407)=1,CONCATENATE("0",F407),F407))*1</f>
        <v>19751221</v>
      </c>
    </row>
    <row r="408" spans="1:10" hidden="1" x14ac:dyDescent="0.25">
      <c r="A408" s="4" t="s">
        <v>434</v>
      </c>
      <c r="B408" t="s">
        <v>5</v>
      </c>
      <c r="C408" t="s">
        <v>4</v>
      </c>
      <c r="D408" s="3">
        <f>MID(A408,1,2)*1</f>
        <v>65</v>
      </c>
      <c r="E408" s="4">
        <f>MID(A408,3,2)*1</f>
        <v>10</v>
      </c>
      <c r="F408" s="4">
        <f>MID(A408,5,2)*1</f>
        <v>5</v>
      </c>
      <c r="G408" s="3">
        <f>IF(E408&gt;=20,2000,1900) + D408</f>
        <v>1965</v>
      </c>
      <c r="H408">
        <f>IF(E408&gt;=20,E408-20,E408)</f>
        <v>10</v>
      </c>
      <c r="I408" s="4">
        <f>F408</f>
        <v>5</v>
      </c>
      <c r="J408">
        <f>CONCATENATE(G408,IF(LEN(H408)=1,CONCATENATE("0",H408),H408),IF(LEN(F408)=1,CONCATENATE("0",F408),F408))*1</f>
        <v>19651005</v>
      </c>
    </row>
    <row r="409" spans="1:10" hidden="1" x14ac:dyDescent="0.25">
      <c r="A409" s="4" t="s">
        <v>435</v>
      </c>
      <c r="B409" t="s">
        <v>9</v>
      </c>
      <c r="C409" t="s">
        <v>6</v>
      </c>
      <c r="D409" s="3">
        <f>MID(A409,1,2)*1</f>
        <v>70</v>
      </c>
      <c r="E409" s="4">
        <f>MID(A409,3,2)*1</f>
        <v>2</v>
      </c>
      <c r="F409" s="4">
        <f>MID(A409,5,2)*1</f>
        <v>19</v>
      </c>
      <c r="G409" s="3">
        <f>IF(E409&gt;=20,2000,1900) + D409</f>
        <v>1970</v>
      </c>
      <c r="H409">
        <f>IF(E409&gt;=20,E409-20,E409)</f>
        <v>2</v>
      </c>
      <c r="I409" s="4">
        <f>F409</f>
        <v>19</v>
      </c>
      <c r="J409">
        <f>CONCATENATE(G409,IF(LEN(H409)=1,CONCATENATE("0",H409),H409),IF(LEN(F409)=1,CONCATENATE("0",F409),F409))*1</f>
        <v>19700219</v>
      </c>
    </row>
    <row r="410" spans="1:10" hidden="1" x14ac:dyDescent="0.25">
      <c r="A410" s="4" t="s">
        <v>436</v>
      </c>
      <c r="B410" t="s">
        <v>15</v>
      </c>
      <c r="C410" t="s">
        <v>4</v>
      </c>
      <c r="D410" s="3">
        <f>MID(A410,1,2)*1</f>
        <v>79</v>
      </c>
      <c r="E410" s="4">
        <f>MID(A410,3,2)*1</f>
        <v>5</v>
      </c>
      <c r="F410" s="4">
        <f>MID(A410,5,2)*1</f>
        <v>30</v>
      </c>
      <c r="G410" s="3">
        <f>IF(E410&gt;=20,2000,1900) + D410</f>
        <v>1979</v>
      </c>
      <c r="H410">
        <f>IF(E410&gt;=20,E410-20,E410)</f>
        <v>5</v>
      </c>
      <c r="I410" s="4">
        <f>F410</f>
        <v>30</v>
      </c>
      <c r="J410">
        <f>CONCATENATE(G410,IF(LEN(H410)=1,CONCATENATE("0",H410),H410),IF(LEN(F410)=1,CONCATENATE("0",F410),F410))*1</f>
        <v>19790530</v>
      </c>
    </row>
    <row r="411" spans="1:10" hidden="1" x14ac:dyDescent="0.25">
      <c r="A411" s="4" t="s">
        <v>437</v>
      </c>
      <c r="B411" t="s">
        <v>20</v>
      </c>
      <c r="C411" t="s">
        <v>4</v>
      </c>
      <c r="D411" s="3">
        <f>MID(A411,1,2)*1</f>
        <v>98</v>
      </c>
      <c r="E411" s="4">
        <f>MID(A411,3,2)*1</f>
        <v>10</v>
      </c>
      <c r="F411" s="4">
        <f>MID(A411,5,2)*1</f>
        <v>7</v>
      </c>
      <c r="G411" s="3">
        <f>IF(E411&gt;=20,2000,1900) + D411</f>
        <v>1998</v>
      </c>
      <c r="H411">
        <f>IF(E411&gt;=20,E411-20,E411)</f>
        <v>10</v>
      </c>
      <c r="I411" s="4">
        <f>F411</f>
        <v>7</v>
      </c>
      <c r="J411">
        <f>CONCATENATE(G411,IF(LEN(H411)=1,CONCATENATE("0",H411),H411),IF(LEN(F411)=1,CONCATENATE("0",F411),F411))*1</f>
        <v>19981007</v>
      </c>
    </row>
    <row r="412" spans="1:10" hidden="1" x14ac:dyDescent="0.25">
      <c r="A412" s="4" t="s">
        <v>438</v>
      </c>
      <c r="B412" t="s">
        <v>14</v>
      </c>
      <c r="C412" t="s">
        <v>4</v>
      </c>
      <c r="D412" s="3">
        <f>MID(A412,1,2)*1</f>
        <v>61</v>
      </c>
      <c r="E412" s="4">
        <f>MID(A412,3,2)*1</f>
        <v>4</v>
      </c>
      <c r="F412" s="4">
        <f>MID(A412,5,2)*1</f>
        <v>4</v>
      </c>
      <c r="G412" s="3">
        <f>IF(E412&gt;=20,2000,1900) + D412</f>
        <v>1961</v>
      </c>
      <c r="H412">
        <f>IF(E412&gt;=20,E412-20,E412)</f>
        <v>4</v>
      </c>
      <c r="I412" s="4">
        <f>F412</f>
        <v>4</v>
      </c>
      <c r="J412">
        <f>CONCATENATE(G412,IF(LEN(H412)=1,CONCATENATE("0",H412),H412),IF(LEN(F412)=1,CONCATENATE("0",F412),F412))*1</f>
        <v>19610404</v>
      </c>
    </row>
    <row r="413" spans="1:10" hidden="1" x14ac:dyDescent="0.25">
      <c r="A413" s="4" t="s">
        <v>439</v>
      </c>
      <c r="B413" t="s">
        <v>13</v>
      </c>
      <c r="C413" t="s">
        <v>4</v>
      </c>
      <c r="D413" s="3">
        <f>MID(A413,1,2)*1</f>
        <v>54</v>
      </c>
      <c r="E413" s="4">
        <f>MID(A413,3,2)*1</f>
        <v>12</v>
      </c>
      <c r="F413" s="4">
        <f>MID(A413,5,2)*1</f>
        <v>9</v>
      </c>
      <c r="G413" s="3">
        <f>IF(E413&gt;=20,2000,1900) + D413</f>
        <v>1954</v>
      </c>
      <c r="H413">
        <f>IF(E413&gt;=20,E413-20,E413)</f>
        <v>12</v>
      </c>
      <c r="I413" s="4">
        <f>F413</f>
        <v>9</v>
      </c>
      <c r="J413">
        <f>CONCATENATE(G413,IF(LEN(H413)=1,CONCATENATE("0",H413),H413),IF(LEN(F413)=1,CONCATENATE("0",F413),F413))*1</f>
        <v>19541209</v>
      </c>
    </row>
    <row r="414" spans="1:10" hidden="1" x14ac:dyDescent="0.25">
      <c r="A414" s="4" t="s">
        <v>440</v>
      </c>
      <c r="B414" t="s">
        <v>13</v>
      </c>
      <c r="C414" t="s">
        <v>6</v>
      </c>
      <c r="D414" s="3">
        <f>MID(A414,1,2)*1</f>
        <v>87</v>
      </c>
      <c r="E414" s="4">
        <f>MID(A414,3,2)*1</f>
        <v>1</v>
      </c>
      <c r="F414" s="4">
        <f>MID(A414,5,2)*1</f>
        <v>17</v>
      </c>
      <c r="G414" s="3">
        <f>IF(E414&gt;=20,2000,1900) + D414</f>
        <v>1987</v>
      </c>
      <c r="H414">
        <f>IF(E414&gt;=20,E414-20,E414)</f>
        <v>1</v>
      </c>
      <c r="I414" s="4">
        <f>F414</f>
        <v>17</v>
      </c>
      <c r="J414">
        <f>CONCATENATE(G414,IF(LEN(H414)=1,CONCATENATE("0",H414),H414),IF(LEN(F414)=1,CONCATENATE("0",F414),F414))*1</f>
        <v>19870117</v>
      </c>
    </row>
    <row r="415" spans="1:10" hidden="1" x14ac:dyDescent="0.25">
      <c r="A415" s="4" t="s">
        <v>441</v>
      </c>
      <c r="B415" t="s">
        <v>7</v>
      </c>
      <c r="C415" t="s">
        <v>4</v>
      </c>
      <c r="D415" s="3">
        <f>MID(A415,1,2)*1</f>
        <v>89</v>
      </c>
      <c r="E415" s="4">
        <f>MID(A415,3,2)*1</f>
        <v>12</v>
      </c>
      <c r="F415" s="4">
        <f>MID(A415,5,2)*1</f>
        <v>21</v>
      </c>
      <c r="G415" s="3">
        <f>IF(E415&gt;=20,2000,1900) + D415</f>
        <v>1989</v>
      </c>
      <c r="H415">
        <f>IF(E415&gt;=20,E415-20,E415)</f>
        <v>12</v>
      </c>
      <c r="I415" s="4">
        <f>F415</f>
        <v>21</v>
      </c>
      <c r="J415">
        <f>CONCATENATE(G415,IF(LEN(H415)=1,CONCATENATE("0",H415),H415),IF(LEN(F415)=1,CONCATENATE("0",F415),F415))*1</f>
        <v>19891221</v>
      </c>
    </row>
    <row r="416" spans="1:10" hidden="1" x14ac:dyDescent="0.25">
      <c r="A416" s="4" t="s">
        <v>442</v>
      </c>
      <c r="B416" t="s">
        <v>15</v>
      </c>
      <c r="C416" t="s">
        <v>4</v>
      </c>
      <c r="D416" s="3">
        <f>MID(A416,1,2)*1</f>
        <v>63</v>
      </c>
      <c r="E416" s="4">
        <f>MID(A416,3,2)*1</f>
        <v>10</v>
      </c>
      <c r="F416" s="4">
        <f>MID(A416,5,2)*1</f>
        <v>25</v>
      </c>
      <c r="G416" s="3">
        <f>IF(E416&gt;=20,2000,1900) + D416</f>
        <v>1963</v>
      </c>
      <c r="H416">
        <f>IF(E416&gt;=20,E416-20,E416)</f>
        <v>10</v>
      </c>
      <c r="I416" s="4">
        <f>F416</f>
        <v>25</v>
      </c>
      <c r="J416">
        <f>CONCATENATE(G416,IF(LEN(H416)=1,CONCATENATE("0",H416),H416),IF(LEN(F416)=1,CONCATENATE("0",F416),F416))*1</f>
        <v>19631025</v>
      </c>
    </row>
    <row r="417" spans="1:10" hidden="1" x14ac:dyDescent="0.25">
      <c r="A417" s="4" t="s">
        <v>443</v>
      </c>
      <c r="B417" t="s">
        <v>20</v>
      </c>
      <c r="C417" t="s">
        <v>6</v>
      </c>
      <c r="D417" s="3">
        <f>MID(A417,1,2)*1</f>
        <v>91</v>
      </c>
      <c r="E417" s="4">
        <f>MID(A417,3,2)*1</f>
        <v>10</v>
      </c>
      <c r="F417" s="4">
        <f>MID(A417,5,2)*1</f>
        <v>17</v>
      </c>
      <c r="G417" s="3">
        <f>IF(E417&gt;=20,2000,1900) + D417</f>
        <v>1991</v>
      </c>
      <c r="H417">
        <f>IF(E417&gt;=20,E417-20,E417)</f>
        <v>10</v>
      </c>
      <c r="I417" s="4">
        <f>F417</f>
        <v>17</v>
      </c>
      <c r="J417">
        <f>CONCATENATE(G417,IF(LEN(H417)=1,CONCATENATE("0",H417),H417),IF(LEN(F417)=1,CONCATENATE("0",F417),F417))*1</f>
        <v>19911017</v>
      </c>
    </row>
    <row r="418" spans="1:10" hidden="1" x14ac:dyDescent="0.25">
      <c r="A418" s="4" t="s">
        <v>444</v>
      </c>
      <c r="B418" t="s">
        <v>14</v>
      </c>
      <c r="C418" t="s">
        <v>6</v>
      </c>
      <c r="D418" s="3">
        <f>MID(A418,1,2)*1</f>
        <v>73</v>
      </c>
      <c r="E418" s="4">
        <f>MID(A418,3,2)*1</f>
        <v>4</v>
      </c>
      <c r="F418" s="4">
        <f>MID(A418,5,2)*1</f>
        <v>12</v>
      </c>
      <c r="G418" s="3">
        <f>IF(E418&gt;=20,2000,1900) + D418</f>
        <v>1973</v>
      </c>
      <c r="H418">
        <f>IF(E418&gt;=20,E418-20,E418)</f>
        <v>4</v>
      </c>
      <c r="I418" s="4">
        <f>F418</f>
        <v>12</v>
      </c>
      <c r="J418">
        <f>CONCATENATE(G418,IF(LEN(H418)=1,CONCATENATE("0",H418),H418),IF(LEN(F418)=1,CONCATENATE("0",F418),F418))*1</f>
        <v>19730412</v>
      </c>
    </row>
    <row r="419" spans="1:10" hidden="1" x14ac:dyDescent="0.25">
      <c r="A419" s="4" t="s">
        <v>445</v>
      </c>
      <c r="B419" t="s">
        <v>19</v>
      </c>
      <c r="C419" t="s">
        <v>4</v>
      </c>
      <c r="D419" s="3">
        <f>MID(A419,1,2)*1</f>
        <v>63</v>
      </c>
      <c r="E419" s="4">
        <f>MID(A419,3,2)*1</f>
        <v>10</v>
      </c>
      <c r="F419" s="4">
        <f>MID(A419,5,2)*1</f>
        <v>12</v>
      </c>
      <c r="G419" s="3">
        <f>IF(E419&gt;=20,2000,1900) + D419</f>
        <v>1963</v>
      </c>
      <c r="H419">
        <f>IF(E419&gt;=20,E419-20,E419)</f>
        <v>10</v>
      </c>
      <c r="I419" s="4">
        <f>F419</f>
        <v>12</v>
      </c>
      <c r="J419">
        <f>CONCATENATE(G419,IF(LEN(H419)=1,CONCATENATE("0",H419),H419),IF(LEN(F419)=1,CONCATENATE("0",F419),F419))*1</f>
        <v>19631012</v>
      </c>
    </row>
    <row r="420" spans="1:10" hidden="1" x14ac:dyDescent="0.25">
      <c r="A420" s="4" t="s">
        <v>446</v>
      </c>
      <c r="B420" t="s">
        <v>10</v>
      </c>
      <c r="C420" t="s">
        <v>6</v>
      </c>
      <c r="D420" s="3">
        <f>MID(A420,1,2)*1</f>
        <v>84</v>
      </c>
      <c r="E420" s="4">
        <f>MID(A420,3,2)*1</f>
        <v>2</v>
      </c>
      <c r="F420" s="4">
        <f>MID(A420,5,2)*1</f>
        <v>14</v>
      </c>
      <c r="G420" s="3">
        <f>IF(E420&gt;=20,2000,1900) + D420</f>
        <v>1984</v>
      </c>
      <c r="H420">
        <f>IF(E420&gt;=20,E420-20,E420)</f>
        <v>2</v>
      </c>
      <c r="I420" s="4">
        <f>F420</f>
        <v>14</v>
      </c>
      <c r="J420">
        <f>CONCATENATE(G420,IF(LEN(H420)=1,CONCATENATE("0",H420),H420),IF(LEN(F420)=1,CONCATENATE("0",F420),F420))*1</f>
        <v>19840214</v>
      </c>
    </row>
    <row r="421" spans="1:10" hidden="1" x14ac:dyDescent="0.25">
      <c r="A421" s="4" t="s">
        <v>447</v>
      </c>
      <c r="B421" t="s">
        <v>5</v>
      </c>
      <c r="C421" t="s">
        <v>4</v>
      </c>
      <c r="D421" s="3">
        <f>MID(A421,1,2)*1</f>
        <v>87</v>
      </c>
      <c r="E421" s="4">
        <f>MID(A421,3,2)*1</f>
        <v>5</v>
      </c>
      <c r="F421" s="4">
        <f>MID(A421,5,2)*1</f>
        <v>13</v>
      </c>
      <c r="G421" s="3">
        <f>IF(E421&gt;=20,2000,1900) + D421</f>
        <v>1987</v>
      </c>
      <c r="H421">
        <f>IF(E421&gt;=20,E421-20,E421)</f>
        <v>5</v>
      </c>
      <c r="I421" s="4">
        <f>F421</f>
        <v>13</v>
      </c>
      <c r="J421">
        <f>CONCATENATE(G421,IF(LEN(H421)=1,CONCATENATE("0",H421),H421),IF(LEN(F421)=1,CONCATENATE("0",F421),F421))*1</f>
        <v>19870513</v>
      </c>
    </row>
    <row r="422" spans="1:10" hidden="1" x14ac:dyDescent="0.25">
      <c r="A422" s="4" t="s">
        <v>448</v>
      </c>
      <c r="B422" t="s">
        <v>17</v>
      </c>
      <c r="C422" t="s">
        <v>4</v>
      </c>
      <c r="D422" s="3">
        <f>MID(A422,1,2)*1</f>
        <v>87</v>
      </c>
      <c r="E422" s="4">
        <f>MID(A422,3,2)*1</f>
        <v>12</v>
      </c>
      <c r="F422" s="4">
        <f>MID(A422,5,2)*1</f>
        <v>22</v>
      </c>
      <c r="G422" s="3">
        <f>IF(E422&gt;=20,2000,1900) + D422</f>
        <v>1987</v>
      </c>
      <c r="H422">
        <f>IF(E422&gt;=20,E422-20,E422)</f>
        <v>12</v>
      </c>
      <c r="I422" s="4">
        <f>F422</f>
        <v>22</v>
      </c>
      <c r="J422">
        <f>CONCATENATE(G422,IF(LEN(H422)=1,CONCATENATE("0",H422),H422),IF(LEN(F422)=1,CONCATENATE("0",F422),F422))*1</f>
        <v>19871222</v>
      </c>
    </row>
    <row r="423" spans="1:10" hidden="1" x14ac:dyDescent="0.25">
      <c r="A423" s="4" t="s">
        <v>449</v>
      </c>
      <c r="B423" t="s">
        <v>12</v>
      </c>
      <c r="C423" t="s">
        <v>4</v>
      </c>
      <c r="D423" s="3">
        <f>MID(A423,1,2)*1</f>
        <v>63</v>
      </c>
      <c r="E423" s="4">
        <f>MID(A423,3,2)*1</f>
        <v>6</v>
      </c>
      <c r="F423" s="4">
        <f>MID(A423,5,2)*1</f>
        <v>29</v>
      </c>
      <c r="G423" s="3">
        <f>IF(E423&gt;=20,2000,1900) + D423</f>
        <v>1963</v>
      </c>
      <c r="H423">
        <f>IF(E423&gt;=20,E423-20,E423)</f>
        <v>6</v>
      </c>
      <c r="I423" s="4">
        <f>F423</f>
        <v>29</v>
      </c>
      <c r="J423">
        <f>CONCATENATE(G423,IF(LEN(H423)=1,CONCATENATE("0",H423),H423),IF(LEN(F423)=1,CONCATENATE("0",F423),F423))*1</f>
        <v>19630629</v>
      </c>
    </row>
    <row r="424" spans="1:10" hidden="1" x14ac:dyDescent="0.25">
      <c r="A424" s="4" t="s">
        <v>450</v>
      </c>
      <c r="B424" t="s">
        <v>19</v>
      </c>
      <c r="C424" t="s">
        <v>6</v>
      </c>
      <c r="D424" s="3">
        <f>MID(A424,1,2)*1</f>
        <v>99</v>
      </c>
      <c r="E424" s="4">
        <f>MID(A424,3,2)*1</f>
        <v>1</v>
      </c>
      <c r="F424" s="4">
        <f>MID(A424,5,2)*1</f>
        <v>12</v>
      </c>
      <c r="G424" s="3">
        <f>IF(E424&gt;=20,2000,1900) + D424</f>
        <v>1999</v>
      </c>
      <c r="H424">
        <f>IF(E424&gt;=20,E424-20,E424)</f>
        <v>1</v>
      </c>
      <c r="I424" s="4">
        <f>F424</f>
        <v>12</v>
      </c>
      <c r="J424">
        <f>CONCATENATE(G424,IF(LEN(H424)=1,CONCATENATE("0",H424),H424),IF(LEN(F424)=1,CONCATENATE("0",F424),F424))*1</f>
        <v>19990112</v>
      </c>
    </row>
    <row r="425" spans="1:10" hidden="1" x14ac:dyDescent="0.25">
      <c r="A425" s="4" t="s">
        <v>451</v>
      </c>
      <c r="B425" t="s">
        <v>19</v>
      </c>
      <c r="C425" t="s">
        <v>6</v>
      </c>
      <c r="D425" s="3">
        <f>MID(A425,1,2)*1</f>
        <v>72</v>
      </c>
      <c r="E425" s="4">
        <f>MID(A425,3,2)*1</f>
        <v>11</v>
      </c>
      <c r="F425" s="4">
        <f>MID(A425,5,2)*1</f>
        <v>7</v>
      </c>
      <c r="G425" s="3">
        <f>IF(E425&gt;=20,2000,1900) + D425</f>
        <v>1972</v>
      </c>
      <c r="H425">
        <f>IF(E425&gt;=20,E425-20,E425)</f>
        <v>11</v>
      </c>
      <c r="I425" s="4">
        <f>F425</f>
        <v>7</v>
      </c>
      <c r="J425">
        <f>CONCATENATE(G425,IF(LEN(H425)=1,CONCATENATE("0",H425),H425),IF(LEN(F425)=1,CONCATENATE("0",F425),F425))*1</f>
        <v>19721107</v>
      </c>
    </row>
    <row r="426" spans="1:10" hidden="1" x14ac:dyDescent="0.25">
      <c r="A426" s="4" t="s">
        <v>452</v>
      </c>
      <c r="B426" t="s">
        <v>16</v>
      </c>
      <c r="C426" t="s">
        <v>6</v>
      </c>
      <c r="D426" s="3">
        <f>MID(A426,1,2)*1</f>
        <v>70</v>
      </c>
      <c r="E426" s="4">
        <f>MID(A426,3,2)*1</f>
        <v>5</v>
      </c>
      <c r="F426" s="4">
        <f>MID(A426,5,2)*1</f>
        <v>23</v>
      </c>
      <c r="G426" s="3">
        <f>IF(E426&gt;=20,2000,1900) + D426</f>
        <v>1970</v>
      </c>
      <c r="H426">
        <f>IF(E426&gt;=20,E426-20,E426)</f>
        <v>5</v>
      </c>
      <c r="I426" s="4">
        <f>F426</f>
        <v>23</v>
      </c>
      <c r="J426">
        <f>CONCATENATE(G426,IF(LEN(H426)=1,CONCATENATE("0",H426),H426),IF(LEN(F426)=1,CONCATENATE("0",F426),F426))*1</f>
        <v>19700523</v>
      </c>
    </row>
    <row r="427" spans="1:10" hidden="1" x14ac:dyDescent="0.25">
      <c r="A427" s="4" t="s">
        <v>453</v>
      </c>
      <c r="B427" t="s">
        <v>12</v>
      </c>
      <c r="C427" t="s">
        <v>6</v>
      </c>
      <c r="D427" s="3">
        <f>MID(A427,1,2)*1</f>
        <v>53</v>
      </c>
      <c r="E427" s="4">
        <f>MID(A427,3,2)*1</f>
        <v>8</v>
      </c>
      <c r="F427" s="4">
        <f>MID(A427,5,2)*1</f>
        <v>6</v>
      </c>
      <c r="G427" s="3">
        <f>IF(E427&gt;=20,2000,1900) + D427</f>
        <v>1953</v>
      </c>
      <c r="H427">
        <f>IF(E427&gt;=20,E427-20,E427)</f>
        <v>8</v>
      </c>
      <c r="I427" s="4">
        <f>F427</f>
        <v>6</v>
      </c>
      <c r="J427">
        <f>CONCATENATE(G427,IF(LEN(H427)=1,CONCATENATE("0",H427),H427),IF(LEN(F427)=1,CONCATENATE("0",F427),F427))*1</f>
        <v>19530806</v>
      </c>
    </row>
    <row r="428" spans="1:10" hidden="1" x14ac:dyDescent="0.25">
      <c r="A428" s="4" t="s">
        <v>454</v>
      </c>
      <c r="B428" t="s">
        <v>13</v>
      </c>
      <c r="C428" t="s">
        <v>6</v>
      </c>
      <c r="D428" s="3">
        <f>MID(A428,1,2)*1</f>
        <v>63</v>
      </c>
      <c r="E428" s="4">
        <f>MID(A428,3,2)*1</f>
        <v>9</v>
      </c>
      <c r="F428" s="4">
        <f>MID(A428,5,2)*1</f>
        <v>26</v>
      </c>
      <c r="G428" s="3">
        <f>IF(E428&gt;=20,2000,1900) + D428</f>
        <v>1963</v>
      </c>
      <c r="H428">
        <f>IF(E428&gt;=20,E428-20,E428)</f>
        <v>9</v>
      </c>
      <c r="I428" s="4">
        <f>F428</f>
        <v>26</v>
      </c>
      <c r="J428">
        <f>CONCATENATE(G428,IF(LEN(H428)=1,CONCATENATE("0",H428),H428),IF(LEN(F428)=1,CONCATENATE("0",F428),F428))*1</f>
        <v>19630926</v>
      </c>
    </row>
    <row r="429" spans="1:10" hidden="1" x14ac:dyDescent="0.25">
      <c r="A429" s="4" t="s">
        <v>455</v>
      </c>
      <c r="B429" t="s">
        <v>15</v>
      </c>
      <c r="C429" t="s">
        <v>4</v>
      </c>
      <c r="D429" s="3">
        <f>MID(A429,1,2)*1</f>
        <v>80</v>
      </c>
      <c r="E429" s="4">
        <f>MID(A429,3,2)*1</f>
        <v>1</v>
      </c>
      <c r="F429" s="4">
        <f>MID(A429,5,2)*1</f>
        <v>23</v>
      </c>
      <c r="G429" s="3">
        <f>IF(E429&gt;=20,2000,1900) + D429</f>
        <v>1980</v>
      </c>
      <c r="H429">
        <f>IF(E429&gt;=20,E429-20,E429)</f>
        <v>1</v>
      </c>
      <c r="I429" s="4">
        <f>F429</f>
        <v>23</v>
      </c>
      <c r="J429">
        <f>CONCATENATE(G429,IF(LEN(H429)=1,CONCATENATE("0",H429),H429),IF(LEN(F429)=1,CONCATENATE("0",F429),F429))*1</f>
        <v>19800123</v>
      </c>
    </row>
    <row r="430" spans="1:10" hidden="1" x14ac:dyDescent="0.25">
      <c r="A430" s="4" t="s">
        <v>456</v>
      </c>
      <c r="B430" t="s">
        <v>5</v>
      </c>
      <c r="C430" t="s">
        <v>4</v>
      </c>
      <c r="D430" s="3">
        <f>MID(A430,1,2)*1</f>
        <v>88</v>
      </c>
      <c r="E430" s="4">
        <f>MID(A430,3,2)*1</f>
        <v>9</v>
      </c>
      <c r="F430" s="4">
        <f>MID(A430,5,2)*1</f>
        <v>28</v>
      </c>
      <c r="G430" s="3">
        <f>IF(E430&gt;=20,2000,1900) + D430</f>
        <v>1988</v>
      </c>
      <c r="H430">
        <f>IF(E430&gt;=20,E430-20,E430)</f>
        <v>9</v>
      </c>
      <c r="I430" s="4">
        <f>F430</f>
        <v>28</v>
      </c>
      <c r="J430">
        <f>CONCATENATE(G430,IF(LEN(H430)=1,CONCATENATE("0",H430),H430),IF(LEN(F430)=1,CONCATENATE("0",F430),F430))*1</f>
        <v>19880928</v>
      </c>
    </row>
    <row r="431" spans="1:10" x14ac:dyDescent="0.25">
      <c r="A431" s="4" t="s">
        <v>265</v>
      </c>
      <c r="B431" t="s">
        <v>18</v>
      </c>
      <c r="C431" t="s">
        <v>4</v>
      </c>
      <c r="D431" s="3">
        <f>MID(A431,1,2)*1</f>
        <v>79</v>
      </c>
      <c r="E431" s="4">
        <f>MID(A431,3,2)*1</f>
        <v>1</v>
      </c>
      <c r="F431" s="4">
        <f>MID(A431,5,2)*1</f>
        <v>19</v>
      </c>
      <c r="G431" s="3">
        <f>IF(E431&gt;=20,2000,1900) + D431</f>
        <v>1979</v>
      </c>
      <c r="H431">
        <f>IF(E431&gt;=20,E431-20,E431)</f>
        <v>1</v>
      </c>
      <c r="I431" s="4">
        <f>F431</f>
        <v>19</v>
      </c>
      <c r="J431">
        <f>CONCATENATE(G431,IF(LEN(H431)=1,CONCATENATE("0",H431),H431),IF(LEN(F431)=1,CONCATENATE("0",F431),F431))*1</f>
        <v>19790119</v>
      </c>
    </row>
    <row r="432" spans="1:10" hidden="1" x14ac:dyDescent="0.25">
      <c r="A432" s="4" t="s">
        <v>458</v>
      </c>
      <c r="B432" t="s">
        <v>15</v>
      </c>
      <c r="C432" t="s">
        <v>4</v>
      </c>
      <c r="D432" s="3">
        <f>MID(A432,1,2)*1</f>
        <v>62</v>
      </c>
      <c r="E432" s="4">
        <f>MID(A432,3,2)*1</f>
        <v>2</v>
      </c>
      <c r="F432" s="4">
        <f>MID(A432,5,2)*1</f>
        <v>6</v>
      </c>
      <c r="G432" s="3">
        <f>IF(E432&gt;=20,2000,1900) + D432</f>
        <v>1962</v>
      </c>
      <c r="H432">
        <f>IF(E432&gt;=20,E432-20,E432)</f>
        <v>2</v>
      </c>
      <c r="I432" s="4">
        <f>F432</f>
        <v>6</v>
      </c>
      <c r="J432">
        <f>CONCATENATE(G432,IF(LEN(H432)=1,CONCATENATE("0",H432),H432),IF(LEN(F432)=1,CONCATENATE("0",F432),F432))*1</f>
        <v>19620206</v>
      </c>
    </row>
    <row r="433" spans="1:10" hidden="1" x14ac:dyDescent="0.25">
      <c r="A433" s="4" t="s">
        <v>459</v>
      </c>
      <c r="B433" t="s">
        <v>20</v>
      </c>
      <c r="C433" t="s">
        <v>6</v>
      </c>
      <c r="D433" s="3">
        <f>MID(A433,1,2)*1</f>
        <v>85</v>
      </c>
      <c r="E433" s="4">
        <f>MID(A433,3,2)*1</f>
        <v>12</v>
      </c>
      <c r="F433" s="4">
        <f>MID(A433,5,2)*1</f>
        <v>7</v>
      </c>
      <c r="G433" s="3">
        <f>IF(E433&gt;=20,2000,1900) + D433</f>
        <v>1985</v>
      </c>
      <c r="H433">
        <f>IF(E433&gt;=20,E433-20,E433)</f>
        <v>12</v>
      </c>
      <c r="I433" s="4">
        <f>F433</f>
        <v>7</v>
      </c>
      <c r="J433">
        <f>CONCATENATE(G433,IF(LEN(H433)=1,CONCATENATE("0",H433),H433),IF(LEN(F433)=1,CONCATENATE("0",F433),F433))*1</f>
        <v>19851207</v>
      </c>
    </row>
    <row r="434" spans="1:10" hidden="1" x14ac:dyDescent="0.25">
      <c r="A434" s="4" t="s">
        <v>460</v>
      </c>
      <c r="B434" t="s">
        <v>17</v>
      </c>
      <c r="C434" t="s">
        <v>4</v>
      </c>
      <c r="D434" s="3">
        <f>MID(A434,1,2)*1</f>
        <v>57</v>
      </c>
      <c r="E434" s="4">
        <f>MID(A434,3,2)*1</f>
        <v>7</v>
      </c>
      <c r="F434" s="4">
        <f>MID(A434,5,2)*1</f>
        <v>24</v>
      </c>
      <c r="G434" s="3">
        <f>IF(E434&gt;=20,2000,1900) + D434</f>
        <v>1957</v>
      </c>
      <c r="H434">
        <f>IF(E434&gt;=20,E434-20,E434)</f>
        <v>7</v>
      </c>
      <c r="I434" s="4">
        <f>F434</f>
        <v>24</v>
      </c>
      <c r="J434">
        <f>CONCATENATE(G434,IF(LEN(H434)=1,CONCATENATE("0",H434),H434),IF(LEN(F434)=1,CONCATENATE("0",F434),F434))*1</f>
        <v>19570724</v>
      </c>
    </row>
    <row r="435" spans="1:10" hidden="1" x14ac:dyDescent="0.25">
      <c r="A435" s="4" t="s">
        <v>461</v>
      </c>
      <c r="B435" t="s">
        <v>20</v>
      </c>
      <c r="C435" t="s">
        <v>6</v>
      </c>
      <c r="D435" s="3">
        <f>MID(A435,1,2)*1</f>
        <v>82</v>
      </c>
      <c r="E435" s="4">
        <f>MID(A435,3,2)*1</f>
        <v>2</v>
      </c>
      <c r="F435" s="4">
        <f>MID(A435,5,2)*1</f>
        <v>2</v>
      </c>
      <c r="G435" s="3">
        <f>IF(E435&gt;=20,2000,1900) + D435</f>
        <v>1982</v>
      </c>
      <c r="H435">
        <f>IF(E435&gt;=20,E435-20,E435)</f>
        <v>2</v>
      </c>
      <c r="I435" s="4">
        <f>F435</f>
        <v>2</v>
      </c>
      <c r="J435">
        <f>CONCATENATE(G435,IF(LEN(H435)=1,CONCATENATE("0",H435),H435),IF(LEN(F435)=1,CONCATENATE("0",F435),F435))*1</f>
        <v>19820202</v>
      </c>
    </row>
    <row r="436" spans="1:10" hidden="1" x14ac:dyDescent="0.25">
      <c r="A436" s="4" t="s">
        <v>462</v>
      </c>
      <c r="B436" t="s">
        <v>11</v>
      </c>
      <c r="C436" t="s">
        <v>4</v>
      </c>
      <c r="D436" s="3">
        <f>MID(A436,1,2)*1</f>
        <v>93</v>
      </c>
      <c r="E436" s="4">
        <f>MID(A436,3,2)*1</f>
        <v>11</v>
      </c>
      <c r="F436" s="4">
        <f>MID(A436,5,2)*1</f>
        <v>30</v>
      </c>
      <c r="G436" s="3">
        <f>IF(E436&gt;=20,2000,1900) + D436</f>
        <v>1993</v>
      </c>
      <c r="H436">
        <f>IF(E436&gt;=20,E436-20,E436)</f>
        <v>11</v>
      </c>
      <c r="I436" s="4">
        <f>F436</f>
        <v>30</v>
      </c>
      <c r="J436">
        <f>CONCATENATE(G436,IF(LEN(H436)=1,CONCATENATE("0",H436),H436),IF(LEN(F436)=1,CONCATENATE("0",F436),F436))*1</f>
        <v>19931130</v>
      </c>
    </row>
    <row r="437" spans="1:10" hidden="1" x14ac:dyDescent="0.25">
      <c r="A437" s="4" t="s">
        <v>463</v>
      </c>
      <c r="B437" t="s">
        <v>3</v>
      </c>
      <c r="C437" t="s">
        <v>4</v>
      </c>
      <c r="D437" s="3">
        <f>MID(A437,1,2)*1</f>
        <v>80</v>
      </c>
      <c r="E437" s="4">
        <f>MID(A437,3,2)*1</f>
        <v>3</v>
      </c>
      <c r="F437" s="4">
        <f>MID(A437,5,2)*1</f>
        <v>29</v>
      </c>
      <c r="G437" s="3">
        <f>IF(E437&gt;=20,2000,1900) + D437</f>
        <v>1980</v>
      </c>
      <c r="H437">
        <f>IF(E437&gt;=20,E437-20,E437)</f>
        <v>3</v>
      </c>
      <c r="I437" s="4">
        <f>F437</f>
        <v>29</v>
      </c>
      <c r="J437">
        <f>CONCATENATE(G437,IF(LEN(H437)=1,CONCATENATE("0",H437),H437),IF(LEN(F437)=1,CONCATENATE("0",F437),F437))*1</f>
        <v>19800329</v>
      </c>
    </row>
    <row r="438" spans="1:10" hidden="1" x14ac:dyDescent="0.25">
      <c r="A438" s="4" t="s">
        <v>464</v>
      </c>
      <c r="B438" t="s">
        <v>11</v>
      </c>
      <c r="C438" t="s">
        <v>4</v>
      </c>
      <c r="D438" s="3">
        <f>MID(A438,1,2)*1</f>
        <v>97</v>
      </c>
      <c r="E438" s="4">
        <f>MID(A438,3,2)*1</f>
        <v>6</v>
      </c>
      <c r="F438" s="4">
        <f>MID(A438,5,2)*1</f>
        <v>16</v>
      </c>
      <c r="G438" s="3">
        <f>IF(E438&gt;=20,2000,1900) + D438</f>
        <v>1997</v>
      </c>
      <c r="H438">
        <f>IF(E438&gt;=20,E438-20,E438)</f>
        <v>6</v>
      </c>
      <c r="I438" s="4">
        <f>F438</f>
        <v>16</v>
      </c>
      <c r="J438">
        <f>CONCATENATE(G438,IF(LEN(H438)=1,CONCATENATE("0",H438),H438),IF(LEN(F438)=1,CONCATENATE("0",F438),F438))*1</f>
        <v>19970616</v>
      </c>
    </row>
    <row r="439" spans="1:10" hidden="1" x14ac:dyDescent="0.25">
      <c r="A439" s="4" t="s">
        <v>465</v>
      </c>
      <c r="B439" t="s">
        <v>11</v>
      </c>
      <c r="C439" t="s">
        <v>4</v>
      </c>
      <c r="D439" s="3">
        <f>MID(A439,1,2)*1</f>
        <v>99</v>
      </c>
      <c r="E439" s="4">
        <f>MID(A439,3,2)*1</f>
        <v>4</v>
      </c>
      <c r="F439" s="4">
        <f>MID(A439,5,2)*1</f>
        <v>22</v>
      </c>
      <c r="G439" s="3">
        <f>IF(E439&gt;=20,2000,1900) + D439</f>
        <v>1999</v>
      </c>
      <c r="H439">
        <f>IF(E439&gt;=20,E439-20,E439)</f>
        <v>4</v>
      </c>
      <c r="I439" s="4">
        <f>F439</f>
        <v>22</v>
      </c>
      <c r="J439">
        <f>CONCATENATE(G439,IF(LEN(H439)=1,CONCATENATE("0",H439),H439),IF(LEN(F439)=1,CONCATENATE("0",F439),F439))*1</f>
        <v>19990422</v>
      </c>
    </row>
    <row r="440" spans="1:10" hidden="1" x14ac:dyDescent="0.25">
      <c r="A440" s="4" t="s">
        <v>466</v>
      </c>
      <c r="B440" t="s">
        <v>7</v>
      </c>
      <c r="C440" t="s">
        <v>4</v>
      </c>
      <c r="D440" s="3">
        <f>MID(A440,1,2)*1</f>
        <v>90</v>
      </c>
      <c r="E440" s="4">
        <f>MID(A440,3,2)*1</f>
        <v>12</v>
      </c>
      <c r="F440" s="4">
        <f>MID(A440,5,2)*1</f>
        <v>22</v>
      </c>
      <c r="G440" s="3">
        <f>IF(E440&gt;=20,2000,1900) + D440</f>
        <v>1990</v>
      </c>
      <c r="H440">
        <f>IF(E440&gt;=20,E440-20,E440)</f>
        <v>12</v>
      </c>
      <c r="I440" s="4">
        <f>F440</f>
        <v>22</v>
      </c>
      <c r="J440">
        <f>CONCATENATE(G440,IF(LEN(H440)=1,CONCATENATE("0",H440),H440),IF(LEN(F440)=1,CONCATENATE("0",F440),F440))*1</f>
        <v>19901222</v>
      </c>
    </row>
    <row r="441" spans="1:10" hidden="1" x14ac:dyDescent="0.25">
      <c r="A441" s="4" t="s">
        <v>467</v>
      </c>
      <c r="B441" t="s">
        <v>3</v>
      </c>
      <c r="C441" t="s">
        <v>4</v>
      </c>
      <c r="D441" s="3">
        <f>MID(A441,1,2)*1</f>
        <v>98</v>
      </c>
      <c r="E441" s="4">
        <f>MID(A441,3,2)*1</f>
        <v>4</v>
      </c>
      <c r="F441" s="4">
        <f>MID(A441,5,2)*1</f>
        <v>20</v>
      </c>
      <c r="G441" s="3">
        <f>IF(E441&gt;=20,2000,1900) + D441</f>
        <v>1998</v>
      </c>
      <c r="H441">
        <f>IF(E441&gt;=20,E441-20,E441)</f>
        <v>4</v>
      </c>
      <c r="I441" s="4">
        <f>F441</f>
        <v>20</v>
      </c>
      <c r="J441">
        <f>CONCATENATE(G441,IF(LEN(H441)=1,CONCATENATE("0",H441),H441),IF(LEN(F441)=1,CONCATENATE("0",F441),F441))*1</f>
        <v>19980420</v>
      </c>
    </row>
    <row r="442" spans="1:10" hidden="1" x14ac:dyDescent="0.25">
      <c r="A442" s="4" t="s">
        <v>468</v>
      </c>
      <c r="B442" t="s">
        <v>11</v>
      </c>
      <c r="C442" t="s">
        <v>4</v>
      </c>
      <c r="D442" s="3">
        <f>MID(A442,1,2)*1</f>
        <v>63</v>
      </c>
      <c r="E442" s="4">
        <f>MID(A442,3,2)*1</f>
        <v>9</v>
      </c>
      <c r="F442" s="4">
        <f>MID(A442,5,2)*1</f>
        <v>6</v>
      </c>
      <c r="G442" s="3">
        <f>IF(E442&gt;=20,2000,1900) + D442</f>
        <v>1963</v>
      </c>
      <c r="H442">
        <f>IF(E442&gt;=20,E442-20,E442)</f>
        <v>9</v>
      </c>
      <c r="I442" s="4">
        <f>F442</f>
        <v>6</v>
      </c>
      <c r="J442">
        <f>CONCATENATE(G442,IF(LEN(H442)=1,CONCATENATE("0",H442),H442),IF(LEN(F442)=1,CONCATENATE("0",F442),F442))*1</f>
        <v>19630906</v>
      </c>
    </row>
    <row r="443" spans="1:10" hidden="1" x14ac:dyDescent="0.25">
      <c r="A443" s="4" t="s">
        <v>469</v>
      </c>
      <c r="B443" t="s">
        <v>14</v>
      </c>
      <c r="C443" t="s">
        <v>4</v>
      </c>
      <c r="D443" s="3">
        <f>MID(A443,1,2)*1</f>
        <v>56</v>
      </c>
      <c r="E443" s="4">
        <f>MID(A443,3,2)*1</f>
        <v>4</v>
      </c>
      <c r="F443" s="4">
        <f>MID(A443,5,2)*1</f>
        <v>16</v>
      </c>
      <c r="G443" s="3">
        <f>IF(E443&gt;=20,2000,1900) + D443</f>
        <v>1956</v>
      </c>
      <c r="H443">
        <f>IF(E443&gt;=20,E443-20,E443)</f>
        <v>4</v>
      </c>
      <c r="I443" s="4">
        <f>F443</f>
        <v>16</v>
      </c>
      <c r="J443">
        <f>CONCATENATE(G443,IF(LEN(H443)=1,CONCATENATE("0",H443),H443),IF(LEN(F443)=1,CONCATENATE("0",F443),F443))*1</f>
        <v>19560416</v>
      </c>
    </row>
    <row r="444" spans="1:10" hidden="1" x14ac:dyDescent="0.25">
      <c r="A444" s="4" t="s">
        <v>470</v>
      </c>
      <c r="B444" t="s">
        <v>11</v>
      </c>
      <c r="C444" t="s">
        <v>4</v>
      </c>
      <c r="D444" s="3">
        <f>MID(A444,1,2)*1</f>
        <v>61</v>
      </c>
      <c r="E444" s="4">
        <f>MID(A444,3,2)*1</f>
        <v>6</v>
      </c>
      <c r="F444" s="4">
        <f>MID(A444,5,2)*1</f>
        <v>13</v>
      </c>
      <c r="G444" s="3">
        <f>IF(E444&gt;=20,2000,1900) + D444</f>
        <v>1961</v>
      </c>
      <c r="H444">
        <f>IF(E444&gt;=20,E444-20,E444)</f>
        <v>6</v>
      </c>
      <c r="I444" s="4">
        <f>F444</f>
        <v>13</v>
      </c>
      <c r="J444">
        <f>CONCATENATE(G444,IF(LEN(H444)=1,CONCATENATE("0",H444),H444),IF(LEN(F444)=1,CONCATENATE("0",F444),F444))*1</f>
        <v>19610613</v>
      </c>
    </row>
    <row r="445" spans="1:10" hidden="1" x14ac:dyDescent="0.25">
      <c r="A445" s="4" t="s">
        <v>471</v>
      </c>
      <c r="B445" t="s">
        <v>16</v>
      </c>
      <c r="C445" t="s">
        <v>6</v>
      </c>
      <c r="D445" s="3">
        <f>MID(A445,1,2)*1</f>
        <v>65</v>
      </c>
      <c r="E445" s="4">
        <f>MID(A445,3,2)*1</f>
        <v>3</v>
      </c>
      <c r="F445" s="4">
        <f>MID(A445,5,2)*1</f>
        <v>2</v>
      </c>
      <c r="G445" s="3">
        <f>IF(E445&gt;=20,2000,1900) + D445</f>
        <v>1965</v>
      </c>
      <c r="H445">
        <f>IF(E445&gt;=20,E445-20,E445)</f>
        <v>3</v>
      </c>
      <c r="I445" s="4">
        <f>F445</f>
        <v>2</v>
      </c>
      <c r="J445">
        <f>CONCATENATE(G445,IF(LEN(H445)=1,CONCATENATE("0",H445),H445),IF(LEN(F445)=1,CONCATENATE("0",F445),F445))*1</f>
        <v>19650302</v>
      </c>
    </row>
    <row r="446" spans="1:10" hidden="1" x14ac:dyDescent="0.25">
      <c r="A446" s="4" t="s">
        <v>472</v>
      </c>
      <c r="B446" t="s">
        <v>12</v>
      </c>
      <c r="C446" t="s">
        <v>4</v>
      </c>
      <c r="D446" s="3">
        <f>MID(A446,1,2)*1</f>
        <v>92</v>
      </c>
      <c r="E446" s="4">
        <f>MID(A446,3,2)*1</f>
        <v>1</v>
      </c>
      <c r="F446" s="4">
        <f>MID(A446,5,2)*1</f>
        <v>29</v>
      </c>
      <c r="G446" s="3">
        <f>IF(E446&gt;=20,2000,1900) + D446</f>
        <v>1992</v>
      </c>
      <c r="H446">
        <f>IF(E446&gt;=20,E446-20,E446)</f>
        <v>1</v>
      </c>
      <c r="I446" s="4">
        <f>F446</f>
        <v>29</v>
      </c>
      <c r="J446">
        <f>CONCATENATE(G446,IF(LEN(H446)=1,CONCATENATE("0",H446),H446),IF(LEN(F446)=1,CONCATENATE("0",F446),F446))*1</f>
        <v>19920129</v>
      </c>
    </row>
    <row r="447" spans="1:10" hidden="1" x14ac:dyDescent="0.25">
      <c r="A447" s="4" t="s">
        <v>473</v>
      </c>
      <c r="B447" t="s">
        <v>15</v>
      </c>
      <c r="C447" t="s">
        <v>6</v>
      </c>
      <c r="D447" s="3">
        <f>MID(A447,1,2)*1</f>
        <v>98</v>
      </c>
      <c r="E447" s="4">
        <f>MID(A447,3,2)*1</f>
        <v>2</v>
      </c>
      <c r="F447" s="4">
        <f>MID(A447,5,2)*1</f>
        <v>13</v>
      </c>
      <c r="G447" s="3">
        <f>IF(E447&gt;=20,2000,1900) + D447</f>
        <v>1998</v>
      </c>
      <c r="H447">
        <f>IF(E447&gt;=20,E447-20,E447)</f>
        <v>2</v>
      </c>
      <c r="I447" s="4">
        <f>F447</f>
        <v>13</v>
      </c>
      <c r="J447">
        <f>CONCATENATE(G447,IF(LEN(H447)=1,CONCATENATE("0",H447),H447),IF(LEN(F447)=1,CONCATENATE("0",F447),F447))*1</f>
        <v>19980213</v>
      </c>
    </row>
    <row r="448" spans="1:10" hidden="1" x14ac:dyDescent="0.25">
      <c r="A448" s="4" t="s">
        <v>474</v>
      </c>
      <c r="B448" t="s">
        <v>10</v>
      </c>
      <c r="C448" t="s">
        <v>6</v>
      </c>
      <c r="D448" s="3">
        <f>MID(A448,1,2)*1</f>
        <v>61</v>
      </c>
      <c r="E448" s="4">
        <f>MID(A448,3,2)*1</f>
        <v>2</v>
      </c>
      <c r="F448" s="4">
        <f>MID(A448,5,2)*1</f>
        <v>7</v>
      </c>
      <c r="G448" s="3">
        <f>IF(E448&gt;=20,2000,1900) + D448</f>
        <v>1961</v>
      </c>
      <c r="H448">
        <f>IF(E448&gt;=20,E448-20,E448)</f>
        <v>2</v>
      </c>
      <c r="I448" s="4">
        <f>F448</f>
        <v>7</v>
      </c>
      <c r="J448">
        <f>CONCATENATE(G448,IF(LEN(H448)=1,CONCATENATE("0",H448),H448),IF(LEN(F448)=1,CONCATENATE("0",F448),F448))*1</f>
        <v>19610207</v>
      </c>
    </row>
    <row r="449" spans="1:10" hidden="1" x14ac:dyDescent="0.25">
      <c r="A449" s="4" t="s">
        <v>475</v>
      </c>
      <c r="B449" t="s">
        <v>11</v>
      </c>
      <c r="C449" t="s">
        <v>6</v>
      </c>
      <c r="D449" s="3">
        <f>MID(A449,1,2)*1</f>
        <v>51</v>
      </c>
      <c r="E449" s="4">
        <f>MID(A449,3,2)*1</f>
        <v>10</v>
      </c>
      <c r="F449" s="4">
        <f>MID(A449,5,2)*1</f>
        <v>8</v>
      </c>
      <c r="G449" s="3">
        <f>IF(E449&gt;=20,2000,1900) + D449</f>
        <v>1951</v>
      </c>
      <c r="H449">
        <f>IF(E449&gt;=20,E449-20,E449)</f>
        <v>10</v>
      </c>
      <c r="I449" s="4">
        <f>F449</f>
        <v>8</v>
      </c>
      <c r="J449">
        <f>CONCATENATE(G449,IF(LEN(H449)=1,CONCATENATE("0",H449),H449),IF(LEN(F449)=1,CONCATENATE("0",F449),F449))*1</f>
        <v>19511008</v>
      </c>
    </row>
    <row r="450" spans="1:10" hidden="1" x14ac:dyDescent="0.25">
      <c r="A450" s="4" t="s">
        <v>476</v>
      </c>
      <c r="B450" t="s">
        <v>12</v>
      </c>
      <c r="C450" t="s">
        <v>4</v>
      </c>
      <c r="D450" s="3">
        <f>MID(A450,1,2)*1</f>
        <v>58</v>
      </c>
      <c r="E450" s="4">
        <f>MID(A450,3,2)*1</f>
        <v>9</v>
      </c>
      <c r="F450" s="4">
        <f>MID(A450,5,2)*1</f>
        <v>23</v>
      </c>
      <c r="G450" s="3">
        <f>IF(E450&gt;=20,2000,1900) + D450</f>
        <v>1958</v>
      </c>
      <c r="H450">
        <f>IF(E450&gt;=20,E450-20,E450)</f>
        <v>9</v>
      </c>
      <c r="I450" s="4">
        <f>F450</f>
        <v>23</v>
      </c>
      <c r="J450">
        <f>CONCATENATE(G450,IF(LEN(H450)=1,CONCATENATE("0",H450),H450),IF(LEN(F450)=1,CONCATENATE("0",F450),F450))*1</f>
        <v>19580923</v>
      </c>
    </row>
    <row r="451" spans="1:10" hidden="1" x14ac:dyDescent="0.25">
      <c r="A451" s="4" t="s">
        <v>477</v>
      </c>
      <c r="B451" t="s">
        <v>15</v>
      </c>
      <c r="C451" t="s">
        <v>4</v>
      </c>
      <c r="D451" s="3">
        <f>MID(A451,1,2)*1</f>
        <v>58</v>
      </c>
      <c r="E451" s="4">
        <f>MID(A451,3,2)*1</f>
        <v>8</v>
      </c>
      <c r="F451" s="4">
        <f>MID(A451,5,2)*1</f>
        <v>18</v>
      </c>
      <c r="G451" s="3">
        <f>IF(E451&gt;=20,2000,1900) + D451</f>
        <v>1958</v>
      </c>
      <c r="H451">
        <f>IF(E451&gt;=20,E451-20,E451)</f>
        <v>8</v>
      </c>
      <c r="I451" s="4">
        <f>F451</f>
        <v>18</v>
      </c>
      <c r="J451">
        <f>CONCATENATE(G451,IF(LEN(H451)=1,CONCATENATE("0",H451),H451),IF(LEN(F451)=1,CONCATENATE("0",F451),F451))*1</f>
        <v>19580818</v>
      </c>
    </row>
    <row r="452" spans="1:10" hidden="1" x14ac:dyDescent="0.25">
      <c r="A452" s="4" t="s">
        <v>478</v>
      </c>
      <c r="B452" t="s">
        <v>17</v>
      </c>
      <c r="C452" t="s">
        <v>4</v>
      </c>
      <c r="D452" s="3">
        <f>MID(A452,1,2)*1</f>
        <v>51</v>
      </c>
      <c r="E452" s="4">
        <f>MID(A452,3,2)*1</f>
        <v>11</v>
      </c>
      <c r="F452" s="4">
        <f>MID(A452,5,2)*1</f>
        <v>20</v>
      </c>
      <c r="G452" s="3">
        <f>IF(E452&gt;=20,2000,1900) + D452</f>
        <v>1951</v>
      </c>
      <c r="H452">
        <f>IF(E452&gt;=20,E452-20,E452)</f>
        <v>11</v>
      </c>
      <c r="I452" s="4">
        <f>F452</f>
        <v>20</v>
      </c>
      <c r="J452">
        <f>CONCATENATE(G452,IF(LEN(H452)=1,CONCATENATE("0",H452),H452),IF(LEN(F452)=1,CONCATENATE("0",F452),F452))*1</f>
        <v>19511120</v>
      </c>
    </row>
    <row r="453" spans="1:10" hidden="1" x14ac:dyDescent="0.25">
      <c r="A453" s="4" t="s">
        <v>479</v>
      </c>
      <c r="B453" t="s">
        <v>15</v>
      </c>
      <c r="C453" t="s">
        <v>4</v>
      </c>
      <c r="D453" s="3">
        <f>MID(A453,1,2)*1</f>
        <v>89</v>
      </c>
      <c r="E453" s="4">
        <f>MID(A453,3,2)*1</f>
        <v>1</v>
      </c>
      <c r="F453" s="4">
        <f>MID(A453,5,2)*1</f>
        <v>1</v>
      </c>
      <c r="G453" s="3">
        <f>IF(E453&gt;=20,2000,1900) + D453</f>
        <v>1989</v>
      </c>
      <c r="H453">
        <f>IF(E453&gt;=20,E453-20,E453)</f>
        <v>1</v>
      </c>
      <c r="I453" s="4">
        <f>F453</f>
        <v>1</v>
      </c>
      <c r="J453">
        <f>CONCATENATE(G453,IF(LEN(H453)=1,CONCATENATE("0",H453),H453),IF(LEN(F453)=1,CONCATENATE("0",F453),F453))*1</f>
        <v>19890101</v>
      </c>
    </row>
    <row r="454" spans="1:10" hidden="1" x14ac:dyDescent="0.25">
      <c r="A454" s="4" t="s">
        <v>480</v>
      </c>
      <c r="B454" t="s">
        <v>14</v>
      </c>
      <c r="C454" t="s">
        <v>6</v>
      </c>
      <c r="D454" s="3">
        <f>MID(A454,1,2)*1</f>
        <v>84</v>
      </c>
      <c r="E454" s="4">
        <f>MID(A454,3,2)*1</f>
        <v>2</v>
      </c>
      <c r="F454" s="4">
        <f>MID(A454,5,2)*1</f>
        <v>11</v>
      </c>
      <c r="G454" s="3">
        <f>IF(E454&gt;=20,2000,1900) + D454</f>
        <v>1984</v>
      </c>
      <c r="H454">
        <f>IF(E454&gt;=20,E454-20,E454)</f>
        <v>2</v>
      </c>
      <c r="I454" s="4">
        <f>F454</f>
        <v>11</v>
      </c>
      <c r="J454">
        <f>CONCATENATE(G454,IF(LEN(H454)=1,CONCATENATE("0",H454),H454),IF(LEN(F454)=1,CONCATENATE("0",F454),F454))*1</f>
        <v>19840211</v>
      </c>
    </row>
    <row r="455" spans="1:10" hidden="1" x14ac:dyDescent="0.25">
      <c r="A455" s="4" t="s">
        <v>481</v>
      </c>
      <c r="B455" t="s">
        <v>9</v>
      </c>
      <c r="C455" t="s">
        <v>6</v>
      </c>
      <c r="D455" s="3">
        <f>MID(A455,1,2)*1</f>
        <v>66</v>
      </c>
      <c r="E455" s="4">
        <f>MID(A455,3,2)*1</f>
        <v>7</v>
      </c>
      <c r="F455" s="4">
        <f>MID(A455,5,2)*1</f>
        <v>11</v>
      </c>
      <c r="G455" s="3">
        <f>IF(E455&gt;=20,2000,1900) + D455</f>
        <v>1966</v>
      </c>
      <c r="H455">
        <f>IF(E455&gt;=20,E455-20,E455)</f>
        <v>7</v>
      </c>
      <c r="I455" s="4">
        <f>F455</f>
        <v>11</v>
      </c>
      <c r="J455">
        <f>CONCATENATE(G455,IF(LEN(H455)=1,CONCATENATE("0",H455),H455),IF(LEN(F455)=1,CONCATENATE("0",F455),F455))*1</f>
        <v>19660711</v>
      </c>
    </row>
    <row r="456" spans="1:10" hidden="1" x14ac:dyDescent="0.25">
      <c r="A456" s="4" t="s">
        <v>482</v>
      </c>
      <c r="B456" t="s">
        <v>9</v>
      </c>
      <c r="C456" t="s">
        <v>6</v>
      </c>
      <c r="D456" s="3">
        <f>MID(A456,1,2)*1</f>
        <v>64</v>
      </c>
      <c r="E456" s="4">
        <f>MID(A456,3,2)*1</f>
        <v>11</v>
      </c>
      <c r="F456" s="4">
        <f>MID(A456,5,2)*1</f>
        <v>5</v>
      </c>
      <c r="G456" s="3">
        <f>IF(E456&gt;=20,2000,1900) + D456</f>
        <v>1964</v>
      </c>
      <c r="H456">
        <f>IF(E456&gt;=20,E456-20,E456)</f>
        <v>11</v>
      </c>
      <c r="I456" s="4">
        <f>F456</f>
        <v>5</v>
      </c>
      <c r="J456">
        <f>CONCATENATE(G456,IF(LEN(H456)=1,CONCATENATE("0",H456),H456),IF(LEN(F456)=1,CONCATENATE("0",F456),F456))*1</f>
        <v>19641105</v>
      </c>
    </row>
    <row r="457" spans="1:10" hidden="1" x14ac:dyDescent="0.25">
      <c r="A457" s="4" t="s">
        <v>483</v>
      </c>
      <c r="B457" t="s">
        <v>7</v>
      </c>
      <c r="C457" t="s">
        <v>6</v>
      </c>
      <c r="D457" s="3">
        <f>MID(A457,1,2)*1</f>
        <v>80</v>
      </c>
      <c r="E457" s="4">
        <f>MID(A457,3,2)*1</f>
        <v>9</v>
      </c>
      <c r="F457" s="4">
        <f>MID(A457,5,2)*1</f>
        <v>7</v>
      </c>
      <c r="G457" s="3">
        <f>IF(E457&gt;=20,2000,1900) + D457</f>
        <v>1980</v>
      </c>
      <c r="H457">
        <f>IF(E457&gt;=20,E457-20,E457)</f>
        <v>9</v>
      </c>
      <c r="I457" s="4">
        <f>F457</f>
        <v>7</v>
      </c>
      <c r="J457">
        <f>CONCATENATE(G457,IF(LEN(H457)=1,CONCATENATE("0",H457),H457),IF(LEN(F457)=1,CONCATENATE("0",F457),F457))*1</f>
        <v>19800907</v>
      </c>
    </row>
    <row r="458" spans="1:10" hidden="1" x14ac:dyDescent="0.25">
      <c r="A458" s="4" t="s">
        <v>484</v>
      </c>
      <c r="B458" t="s">
        <v>17</v>
      </c>
      <c r="C458" t="s">
        <v>4</v>
      </c>
      <c r="D458" s="3">
        <f>MID(A458,1,2)*1</f>
        <v>60</v>
      </c>
      <c r="E458" s="4">
        <f>MID(A458,3,2)*1</f>
        <v>8</v>
      </c>
      <c r="F458" s="4">
        <f>MID(A458,5,2)*1</f>
        <v>10</v>
      </c>
      <c r="G458" s="3">
        <f>IF(E458&gt;=20,2000,1900) + D458</f>
        <v>1960</v>
      </c>
      <c r="H458">
        <f>IF(E458&gt;=20,E458-20,E458)</f>
        <v>8</v>
      </c>
      <c r="I458" s="4">
        <f>F458</f>
        <v>10</v>
      </c>
      <c r="J458">
        <f>CONCATENATE(G458,IF(LEN(H458)=1,CONCATENATE("0",H458),H458),IF(LEN(F458)=1,CONCATENATE("0",F458),F458))*1</f>
        <v>19600810</v>
      </c>
    </row>
    <row r="459" spans="1:10" hidden="1" x14ac:dyDescent="0.25">
      <c r="A459" s="4" t="s">
        <v>485</v>
      </c>
      <c r="B459" t="s">
        <v>5</v>
      </c>
      <c r="C459" t="s">
        <v>6</v>
      </c>
      <c r="D459" s="3">
        <f>MID(A459,1,2)*1</f>
        <v>81</v>
      </c>
      <c r="E459" s="4">
        <f>MID(A459,3,2)*1</f>
        <v>6</v>
      </c>
      <c r="F459" s="4">
        <f>MID(A459,5,2)*1</f>
        <v>6</v>
      </c>
      <c r="G459" s="3">
        <f>IF(E459&gt;=20,2000,1900) + D459</f>
        <v>1981</v>
      </c>
      <c r="H459">
        <f>IF(E459&gt;=20,E459-20,E459)</f>
        <v>6</v>
      </c>
      <c r="I459" s="4">
        <f>F459</f>
        <v>6</v>
      </c>
      <c r="J459">
        <f>CONCATENATE(G459,IF(LEN(H459)=1,CONCATENATE("0",H459),H459),IF(LEN(F459)=1,CONCATENATE("0",F459),F459))*1</f>
        <v>19810606</v>
      </c>
    </row>
    <row r="460" spans="1:10" hidden="1" x14ac:dyDescent="0.25">
      <c r="A460" s="4" t="s">
        <v>486</v>
      </c>
      <c r="B460" t="s">
        <v>19</v>
      </c>
      <c r="C460" t="s">
        <v>4</v>
      </c>
      <c r="D460" s="3">
        <f>MID(A460,1,2)*1</f>
        <v>72</v>
      </c>
      <c r="E460" s="4">
        <f>MID(A460,3,2)*1</f>
        <v>4</v>
      </c>
      <c r="F460" s="4">
        <f>MID(A460,5,2)*1</f>
        <v>11</v>
      </c>
      <c r="G460" s="3">
        <f>IF(E460&gt;=20,2000,1900) + D460</f>
        <v>1972</v>
      </c>
      <c r="H460">
        <f>IF(E460&gt;=20,E460-20,E460)</f>
        <v>4</v>
      </c>
      <c r="I460" s="4">
        <f>F460</f>
        <v>11</v>
      </c>
      <c r="J460">
        <f>CONCATENATE(G460,IF(LEN(H460)=1,CONCATENATE("0",H460),H460),IF(LEN(F460)=1,CONCATENATE("0",F460),F460))*1</f>
        <v>19720411</v>
      </c>
    </row>
    <row r="461" spans="1:10" hidden="1" x14ac:dyDescent="0.25">
      <c r="A461" s="4" t="s">
        <v>487</v>
      </c>
      <c r="B461" t="s">
        <v>15</v>
      </c>
      <c r="C461" t="s">
        <v>6</v>
      </c>
      <c r="D461" s="3">
        <f>MID(A461,1,2)*1</f>
        <v>93</v>
      </c>
      <c r="E461" s="4">
        <f>MID(A461,3,2)*1</f>
        <v>5</v>
      </c>
      <c r="F461" s="4">
        <f>MID(A461,5,2)*1</f>
        <v>2</v>
      </c>
      <c r="G461" s="3">
        <f>IF(E461&gt;=20,2000,1900) + D461</f>
        <v>1993</v>
      </c>
      <c r="H461">
        <f>IF(E461&gt;=20,E461-20,E461)</f>
        <v>5</v>
      </c>
      <c r="I461" s="4">
        <f>F461</f>
        <v>2</v>
      </c>
      <c r="J461">
        <f>CONCATENATE(G461,IF(LEN(H461)=1,CONCATENATE("0",H461),H461),IF(LEN(F461)=1,CONCATENATE("0",F461),F461))*1</f>
        <v>19930502</v>
      </c>
    </row>
    <row r="462" spans="1:10" hidden="1" x14ac:dyDescent="0.25">
      <c r="A462" s="4" t="s">
        <v>488</v>
      </c>
      <c r="B462" t="s">
        <v>5</v>
      </c>
      <c r="C462" t="s">
        <v>6</v>
      </c>
      <c r="D462" s="3">
        <f>MID(A462,1,2)*1</f>
        <v>57</v>
      </c>
      <c r="E462" s="4">
        <f>MID(A462,3,2)*1</f>
        <v>11</v>
      </c>
      <c r="F462" s="4">
        <f>MID(A462,5,2)*1</f>
        <v>10</v>
      </c>
      <c r="G462" s="3">
        <f>IF(E462&gt;=20,2000,1900) + D462</f>
        <v>1957</v>
      </c>
      <c r="H462">
        <f>IF(E462&gt;=20,E462-20,E462)</f>
        <v>11</v>
      </c>
      <c r="I462" s="4">
        <f>F462</f>
        <v>10</v>
      </c>
      <c r="J462">
        <f>CONCATENATE(G462,IF(LEN(H462)=1,CONCATENATE("0",H462),H462),IF(LEN(F462)=1,CONCATENATE("0",F462),F462))*1</f>
        <v>19571110</v>
      </c>
    </row>
    <row r="463" spans="1:10" hidden="1" x14ac:dyDescent="0.25">
      <c r="A463" s="4" t="s">
        <v>489</v>
      </c>
      <c r="B463" t="s">
        <v>7</v>
      </c>
      <c r="C463" t="s">
        <v>6</v>
      </c>
      <c r="D463" s="3">
        <f>MID(A463,1,2)*1</f>
        <v>95</v>
      </c>
      <c r="E463" s="4">
        <f>MID(A463,3,2)*1</f>
        <v>12</v>
      </c>
      <c r="F463" s="4">
        <f>MID(A463,5,2)*1</f>
        <v>1</v>
      </c>
      <c r="G463" s="3">
        <f>IF(E463&gt;=20,2000,1900) + D463</f>
        <v>1995</v>
      </c>
      <c r="H463">
        <f>IF(E463&gt;=20,E463-20,E463)</f>
        <v>12</v>
      </c>
      <c r="I463" s="4">
        <f>F463</f>
        <v>1</v>
      </c>
      <c r="J463">
        <f>CONCATENATE(G463,IF(LEN(H463)=1,CONCATENATE("0",H463),H463),IF(LEN(F463)=1,CONCATENATE("0",F463),F463))*1</f>
        <v>19951201</v>
      </c>
    </row>
    <row r="464" spans="1:10" hidden="1" x14ac:dyDescent="0.25">
      <c r="A464" s="4" t="s">
        <v>490</v>
      </c>
      <c r="B464" t="s">
        <v>7</v>
      </c>
      <c r="C464" t="s">
        <v>6</v>
      </c>
      <c r="D464" s="3">
        <f>MID(A464,1,2)*1</f>
        <v>50</v>
      </c>
      <c r="E464" s="4">
        <f>MID(A464,3,2)*1</f>
        <v>3</v>
      </c>
      <c r="F464" s="4">
        <f>MID(A464,5,2)*1</f>
        <v>5</v>
      </c>
      <c r="G464" s="3">
        <f>IF(E464&gt;=20,2000,1900) + D464</f>
        <v>1950</v>
      </c>
      <c r="H464">
        <f>IF(E464&gt;=20,E464-20,E464)</f>
        <v>3</v>
      </c>
      <c r="I464" s="4">
        <f>F464</f>
        <v>5</v>
      </c>
      <c r="J464">
        <f>CONCATENATE(G464,IF(LEN(H464)=1,CONCATENATE("0",H464),H464),IF(LEN(F464)=1,CONCATENATE("0",F464),F464))*1</f>
        <v>19500305</v>
      </c>
    </row>
    <row r="465" spans="1:10" hidden="1" x14ac:dyDescent="0.25">
      <c r="A465" s="4" t="s">
        <v>491</v>
      </c>
      <c r="B465" t="s">
        <v>12</v>
      </c>
      <c r="C465" t="s">
        <v>6</v>
      </c>
      <c r="D465" s="3">
        <f>MID(A465,1,2)*1</f>
        <v>99</v>
      </c>
      <c r="E465" s="4">
        <f>MID(A465,3,2)*1</f>
        <v>3</v>
      </c>
      <c r="F465" s="4">
        <f>MID(A465,5,2)*1</f>
        <v>7</v>
      </c>
      <c r="G465" s="3">
        <f>IF(E465&gt;=20,2000,1900) + D465</f>
        <v>1999</v>
      </c>
      <c r="H465">
        <f>IF(E465&gt;=20,E465-20,E465)</f>
        <v>3</v>
      </c>
      <c r="I465" s="4">
        <f>F465</f>
        <v>7</v>
      </c>
      <c r="J465">
        <f>CONCATENATE(G465,IF(LEN(H465)=1,CONCATENATE("0",H465),H465),IF(LEN(F465)=1,CONCATENATE("0",F465),F465))*1</f>
        <v>19990307</v>
      </c>
    </row>
    <row r="466" spans="1:10" hidden="1" x14ac:dyDescent="0.25">
      <c r="A466" s="4" t="s">
        <v>492</v>
      </c>
      <c r="B466" t="s">
        <v>5</v>
      </c>
      <c r="C466" t="s">
        <v>6</v>
      </c>
      <c r="D466" s="3">
        <f>MID(A466,1,2)*1</f>
        <v>86</v>
      </c>
      <c r="E466" s="4">
        <f>MID(A466,3,2)*1</f>
        <v>1</v>
      </c>
      <c r="F466" s="4">
        <f>MID(A466,5,2)*1</f>
        <v>28</v>
      </c>
      <c r="G466" s="3">
        <f>IF(E466&gt;=20,2000,1900) + D466</f>
        <v>1986</v>
      </c>
      <c r="H466">
        <f>IF(E466&gt;=20,E466-20,E466)</f>
        <v>1</v>
      </c>
      <c r="I466" s="4">
        <f>F466</f>
        <v>28</v>
      </c>
      <c r="J466">
        <f>CONCATENATE(G466,IF(LEN(H466)=1,CONCATENATE("0",H466),H466),IF(LEN(F466)=1,CONCATENATE("0",F466),F466))*1</f>
        <v>19860128</v>
      </c>
    </row>
    <row r="467" spans="1:10" hidden="1" x14ac:dyDescent="0.25">
      <c r="A467" s="4" t="s">
        <v>493</v>
      </c>
      <c r="B467" t="s">
        <v>16</v>
      </c>
      <c r="C467" t="s">
        <v>4</v>
      </c>
      <c r="D467" s="3">
        <f>MID(A467,1,2)*1</f>
        <v>77</v>
      </c>
      <c r="E467" s="4">
        <f>MID(A467,3,2)*1</f>
        <v>7</v>
      </c>
      <c r="F467" s="4">
        <f>MID(A467,5,2)*1</f>
        <v>9</v>
      </c>
      <c r="G467" s="3">
        <f>IF(E467&gt;=20,2000,1900) + D467</f>
        <v>1977</v>
      </c>
      <c r="H467">
        <f>IF(E467&gt;=20,E467-20,E467)</f>
        <v>7</v>
      </c>
      <c r="I467" s="4">
        <f>F467</f>
        <v>9</v>
      </c>
      <c r="J467">
        <f>CONCATENATE(G467,IF(LEN(H467)=1,CONCATENATE("0",H467),H467),IF(LEN(F467)=1,CONCATENATE("0",F467),F467))*1</f>
        <v>19770709</v>
      </c>
    </row>
    <row r="468" spans="1:10" hidden="1" x14ac:dyDescent="0.25">
      <c r="A468" s="4" t="s">
        <v>494</v>
      </c>
      <c r="B468" t="s">
        <v>3</v>
      </c>
      <c r="C468" t="s">
        <v>4</v>
      </c>
      <c r="D468" s="3">
        <f>MID(A468,1,2)*1</f>
        <v>81</v>
      </c>
      <c r="E468" s="4">
        <f>MID(A468,3,2)*1</f>
        <v>11</v>
      </c>
      <c r="F468" s="4">
        <f>MID(A468,5,2)*1</f>
        <v>7</v>
      </c>
      <c r="G468" s="3">
        <f>IF(E468&gt;=20,2000,1900) + D468</f>
        <v>1981</v>
      </c>
      <c r="H468">
        <f>IF(E468&gt;=20,E468-20,E468)</f>
        <v>11</v>
      </c>
      <c r="I468" s="4">
        <f>F468</f>
        <v>7</v>
      </c>
      <c r="J468">
        <f>CONCATENATE(G468,IF(LEN(H468)=1,CONCATENATE("0",H468),H468),IF(LEN(F468)=1,CONCATENATE("0",F468),F468))*1</f>
        <v>19811107</v>
      </c>
    </row>
    <row r="469" spans="1:10" hidden="1" x14ac:dyDescent="0.25">
      <c r="A469" s="4" t="s">
        <v>495</v>
      </c>
      <c r="B469" t="s">
        <v>7</v>
      </c>
      <c r="C469" t="s">
        <v>4</v>
      </c>
      <c r="D469" s="3">
        <f>MID(A469,1,2)*1</f>
        <v>77</v>
      </c>
      <c r="E469" s="4">
        <f>MID(A469,3,2)*1</f>
        <v>11</v>
      </c>
      <c r="F469" s="4">
        <f>MID(A469,5,2)*1</f>
        <v>11</v>
      </c>
      <c r="G469" s="3">
        <f>IF(E469&gt;=20,2000,1900) + D469</f>
        <v>1977</v>
      </c>
      <c r="H469">
        <f>IF(E469&gt;=20,E469-20,E469)</f>
        <v>11</v>
      </c>
      <c r="I469" s="4">
        <f>F469</f>
        <v>11</v>
      </c>
      <c r="J469">
        <f>CONCATENATE(G469,IF(LEN(H469)=1,CONCATENATE("0",H469),H469),IF(LEN(F469)=1,CONCATENATE("0",F469),F469))*1</f>
        <v>19771111</v>
      </c>
    </row>
    <row r="470" spans="1:10" hidden="1" x14ac:dyDescent="0.25">
      <c r="A470" s="4" t="s">
        <v>496</v>
      </c>
      <c r="B470" t="s">
        <v>13</v>
      </c>
      <c r="C470" t="s">
        <v>4</v>
      </c>
      <c r="D470" s="3">
        <f>MID(A470,1,2)*1</f>
        <v>70</v>
      </c>
      <c r="E470" s="4">
        <f>MID(A470,3,2)*1</f>
        <v>10</v>
      </c>
      <c r="F470" s="4">
        <f>MID(A470,5,2)*1</f>
        <v>1</v>
      </c>
      <c r="G470" s="3">
        <f>IF(E470&gt;=20,2000,1900) + D470</f>
        <v>1970</v>
      </c>
      <c r="H470">
        <f>IF(E470&gt;=20,E470-20,E470)</f>
        <v>10</v>
      </c>
      <c r="I470" s="4">
        <f>F470</f>
        <v>1</v>
      </c>
      <c r="J470">
        <f>CONCATENATE(G470,IF(LEN(H470)=1,CONCATENATE("0",H470),H470),IF(LEN(F470)=1,CONCATENATE("0",F470),F470))*1</f>
        <v>19701001</v>
      </c>
    </row>
    <row r="471" spans="1:10" hidden="1" x14ac:dyDescent="0.25">
      <c r="A471" s="4" t="s">
        <v>497</v>
      </c>
      <c r="B471" t="s">
        <v>15</v>
      </c>
      <c r="C471" t="s">
        <v>6</v>
      </c>
      <c r="D471" s="3">
        <f>MID(A471,1,2)*1</f>
        <v>65</v>
      </c>
      <c r="E471" s="4">
        <f>MID(A471,3,2)*1</f>
        <v>2</v>
      </c>
      <c r="F471" s="4">
        <f>MID(A471,5,2)*1</f>
        <v>15</v>
      </c>
      <c r="G471" s="3">
        <f>IF(E471&gt;=20,2000,1900) + D471</f>
        <v>1965</v>
      </c>
      <c r="H471">
        <f>IF(E471&gt;=20,E471-20,E471)</f>
        <v>2</v>
      </c>
      <c r="I471" s="4">
        <f>F471</f>
        <v>15</v>
      </c>
      <c r="J471">
        <f>CONCATENATE(G471,IF(LEN(H471)=1,CONCATENATE("0",H471),H471),IF(LEN(F471)=1,CONCATENATE("0",F471),F471))*1</f>
        <v>19650215</v>
      </c>
    </row>
    <row r="472" spans="1:10" hidden="1" x14ac:dyDescent="0.25">
      <c r="A472" s="4" t="s">
        <v>498</v>
      </c>
      <c r="B472" t="s">
        <v>20</v>
      </c>
      <c r="C472" t="s">
        <v>4</v>
      </c>
      <c r="D472" s="3">
        <f>MID(A472,1,2)*1</f>
        <v>85</v>
      </c>
      <c r="E472" s="4">
        <f>MID(A472,3,2)*1</f>
        <v>6</v>
      </c>
      <c r="F472" s="4">
        <f>MID(A472,5,2)*1</f>
        <v>8</v>
      </c>
      <c r="G472" s="3">
        <f>IF(E472&gt;=20,2000,1900) + D472</f>
        <v>1985</v>
      </c>
      <c r="H472">
        <f>IF(E472&gt;=20,E472-20,E472)</f>
        <v>6</v>
      </c>
      <c r="I472" s="4">
        <f>F472</f>
        <v>8</v>
      </c>
      <c r="J472">
        <f>CONCATENATE(G472,IF(LEN(H472)=1,CONCATENATE("0",H472),H472),IF(LEN(F472)=1,CONCATENATE("0",F472),F472))*1</f>
        <v>19850608</v>
      </c>
    </row>
    <row r="473" spans="1:10" hidden="1" x14ac:dyDescent="0.25">
      <c r="A473" s="4" t="s">
        <v>499</v>
      </c>
      <c r="B473" t="s">
        <v>5</v>
      </c>
      <c r="C473" t="s">
        <v>6</v>
      </c>
      <c r="D473" s="3">
        <f>MID(A473,1,2)*1</f>
        <v>71</v>
      </c>
      <c r="E473" s="4">
        <f>MID(A473,3,2)*1</f>
        <v>5</v>
      </c>
      <c r="F473" s="4">
        <f>MID(A473,5,2)*1</f>
        <v>6</v>
      </c>
      <c r="G473" s="3">
        <f>IF(E473&gt;=20,2000,1900) + D473</f>
        <v>1971</v>
      </c>
      <c r="H473">
        <f>IF(E473&gt;=20,E473-20,E473)</f>
        <v>5</v>
      </c>
      <c r="I473" s="4">
        <f>F473</f>
        <v>6</v>
      </c>
      <c r="J473">
        <f>CONCATENATE(G473,IF(LEN(H473)=1,CONCATENATE("0",H473),H473),IF(LEN(F473)=1,CONCATENATE("0",F473),F473))*1</f>
        <v>19710506</v>
      </c>
    </row>
    <row r="474" spans="1:10" hidden="1" x14ac:dyDescent="0.25">
      <c r="A474" s="4" t="s">
        <v>500</v>
      </c>
      <c r="B474" t="s">
        <v>10</v>
      </c>
      <c r="C474" t="s">
        <v>6</v>
      </c>
      <c r="D474" s="3">
        <f>MID(A474,1,2)*1</f>
        <v>59</v>
      </c>
      <c r="E474" s="4">
        <f>MID(A474,3,2)*1</f>
        <v>7</v>
      </c>
      <c r="F474" s="4">
        <f>MID(A474,5,2)*1</f>
        <v>17</v>
      </c>
      <c r="G474" s="3">
        <f>IF(E474&gt;=20,2000,1900) + D474</f>
        <v>1959</v>
      </c>
      <c r="H474">
        <f>IF(E474&gt;=20,E474-20,E474)</f>
        <v>7</v>
      </c>
      <c r="I474" s="4">
        <f>F474</f>
        <v>17</v>
      </c>
      <c r="J474">
        <f>CONCATENATE(G474,IF(LEN(H474)=1,CONCATENATE("0",H474),H474),IF(LEN(F474)=1,CONCATENATE("0",F474),F474))*1</f>
        <v>19590717</v>
      </c>
    </row>
    <row r="475" spans="1:10" hidden="1" x14ac:dyDescent="0.25">
      <c r="A475" s="4" t="s">
        <v>501</v>
      </c>
      <c r="B475" t="s">
        <v>19</v>
      </c>
      <c r="C475" t="s">
        <v>6</v>
      </c>
      <c r="D475" s="3">
        <f>MID(A475,1,2)*1</f>
        <v>95</v>
      </c>
      <c r="E475" s="4">
        <f>MID(A475,3,2)*1</f>
        <v>3</v>
      </c>
      <c r="F475" s="4">
        <f>MID(A475,5,2)*1</f>
        <v>24</v>
      </c>
      <c r="G475" s="3">
        <f>IF(E475&gt;=20,2000,1900) + D475</f>
        <v>1995</v>
      </c>
      <c r="H475">
        <f>IF(E475&gt;=20,E475-20,E475)</f>
        <v>3</v>
      </c>
      <c r="I475" s="4">
        <f>F475</f>
        <v>24</v>
      </c>
      <c r="J475">
        <f>CONCATENATE(G475,IF(LEN(H475)=1,CONCATENATE("0",H475),H475),IF(LEN(F475)=1,CONCATENATE("0",F475),F475))*1</f>
        <v>19950324</v>
      </c>
    </row>
    <row r="476" spans="1:10" hidden="1" x14ac:dyDescent="0.25">
      <c r="A476" s="4" t="s">
        <v>502</v>
      </c>
      <c r="B476" t="s">
        <v>9</v>
      </c>
      <c r="C476" t="s">
        <v>4</v>
      </c>
      <c r="D476" s="3">
        <f>MID(A476,1,2)*1</f>
        <v>89</v>
      </c>
      <c r="E476" s="4">
        <f>MID(A476,3,2)*1</f>
        <v>6</v>
      </c>
      <c r="F476" s="4">
        <f>MID(A476,5,2)*1</f>
        <v>17</v>
      </c>
      <c r="G476" s="3">
        <f>IF(E476&gt;=20,2000,1900) + D476</f>
        <v>1989</v>
      </c>
      <c r="H476">
        <f>IF(E476&gt;=20,E476-20,E476)</f>
        <v>6</v>
      </c>
      <c r="I476" s="4">
        <f>F476</f>
        <v>17</v>
      </c>
      <c r="J476">
        <f>CONCATENATE(G476,IF(LEN(H476)=1,CONCATENATE("0",H476),H476),IF(LEN(F476)=1,CONCATENATE("0",F476),F476))*1</f>
        <v>19890617</v>
      </c>
    </row>
    <row r="477" spans="1:10" hidden="1" x14ac:dyDescent="0.25">
      <c r="A477" s="4" t="s">
        <v>503</v>
      </c>
      <c r="B477" t="s">
        <v>17</v>
      </c>
      <c r="C477" t="s">
        <v>4</v>
      </c>
      <c r="D477" s="3">
        <f>MID(A477,1,2)*1</f>
        <v>51</v>
      </c>
      <c r="E477" s="4">
        <f>MID(A477,3,2)*1</f>
        <v>8</v>
      </c>
      <c r="F477" s="4">
        <f>MID(A477,5,2)*1</f>
        <v>8</v>
      </c>
      <c r="G477" s="3">
        <f>IF(E477&gt;=20,2000,1900) + D477</f>
        <v>1951</v>
      </c>
      <c r="H477">
        <f>IF(E477&gt;=20,E477-20,E477)</f>
        <v>8</v>
      </c>
      <c r="I477" s="4">
        <f>F477</f>
        <v>8</v>
      </c>
      <c r="J477">
        <f>CONCATENATE(G477,IF(LEN(H477)=1,CONCATENATE("0",H477),H477),IF(LEN(F477)=1,CONCATENATE("0",F477),F477))*1</f>
        <v>19510808</v>
      </c>
    </row>
    <row r="478" spans="1:10" hidden="1" x14ac:dyDescent="0.25">
      <c r="A478" s="4" t="s">
        <v>504</v>
      </c>
      <c r="B478" t="s">
        <v>19</v>
      </c>
      <c r="C478" t="s">
        <v>4</v>
      </c>
      <c r="D478" s="3">
        <f>MID(A478,1,2)*1</f>
        <v>57</v>
      </c>
      <c r="E478" s="4">
        <f>MID(A478,3,2)*1</f>
        <v>2</v>
      </c>
      <c r="F478" s="4">
        <f>MID(A478,5,2)*1</f>
        <v>21</v>
      </c>
      <c r="G478" s="3">
        <f>IF(E478&gt;=20,2000,1900) + D478</f>
        <v>1957</v>
      </c>
      <c r="H478">
        <f>IF(E478&gt;=20,E478-20,E478)</f>
        <v>2</v>
      </c>
      <c r="I478" s="4">
        <f>F478</f>
        <v>21</v>
      </c>
      <c r="J478">
        <f>CONCATENATE(G478,IF(LEN(H478)=1,CONCATENATE("0",H478),H478),IF(LEN(F478)=1,CONCATENATE("0",F478),F478))*1</f>
        <v>19570221</v>
      </c>
    </row>
    <row r="479" spans="1:10" hidden="1" x14ac:dyDescent="0.25">
      <c r="A479" s="4" t="s">
        <v>505</v>
      </c>
      <c r="B479" t="s">
        <v>16</v>
      </c>
      <c r="C479" t="s">
        <v>4</v>
      </c>
      <c r="D479" s="3">
        <f>MID(A479,1,2)*1</f>
        <v>83</v>
      </c>
      <c r="E479" s="4">
        <f>MID(A479,3,2)*1</f>
        <v>4</v>
      </c>
      <c r="F479" s="4">
        <f>MID(A479,5,2)*1</f>
        <v>1</v>
      </c>
      <c r="G479" s="3">
        <f>IF(E479&gt;=20,2000,1900) + D479</f>
        <v>1983</v>
      </c>
      <c r="H479">
        <f>IF(E479&gt;=20,E479-20,E479)</f>
        <v>4</v>
      </c>
      <c r="I479" s="4">
        <f>F479</f>
        <v>1</v>
      </c>
      <c r="J479">
        <f>CONCATENATE(G479,IF(LEN(H479)=1,CONCATENATE("0",H479),H479),IF(LEN(F479)=1,CONCATENATE("0",F479),F479))*1</f>
        <v>19830401</v>
      </c>
    </row>
    <row r="480" spans="1:10" hidden="1" x14ac:dyDescent="0.25">
      <c r="A480" s="4" t="s">
        <v>506</v>
      </c>
      <c r="B480" t="s">
        <v>17</v>
      </c>
      <c r="C480" t="s">
        <v>6</v>
      </c>
      <c r="D480" s="3">
        <f>MID(A480,1,2)*1</f>
        <v>94</v>
      </c>
      <c r="E480" s="4">
        <f>MID(A480,3,2)*1</f>
        <v>7</v>
      </c>
      <c r="F480" s="4">
        <f>MID(A480,5,2)*1</f>
        <v>30</v>
      </c>
      <c r="G480" s="3">
        <f>IF(E480&gt;=20,2000,1900) + D480</f>
        <v>1994</v>
      </c>
      <c r="H480">
        <f>IF(E480&gt;=20,E480-20,E480)</f>
        <v>7</v>
      </c>
      <c r="I480" s="4">
        <f>F480</f>
        <v>30</v>
      </c>
      <c r="J480">
        <f>CONCATENATE(G480,IF(LEN(H480)=1,CONCATENATE("0",H480),H480),IF(LEN(F480)=1,CONCATENATE("0",F480),F480))*1</f>
        <v>19940730</v>
      </c>
    </row>
    <row r="481" spans="1:10" hidden="1" x14ac:dyDescent="0.25">
      <c r="A481" s="4" t="s">
        <v>507</v>
      </c>
      <c r="B481" t="s">
        <v>20</v>
      </c>
      <c r="C481" t="s">
        <v>6</v>
      </c>
      <c r="D481" s="3">
        <f>MID(A481,1,2)*1</f>
        <v>85</v>
      </c>
      <c r="E481" s="4">
        <f>MID(A481,3,2)*1</f>
        <v>8</v>
      </c>
      <c r="F481" s="4">
        <f>MID(A481,5,2)*1</f>
        <v>26</v>
      </c>
      <c r="G481" s="3">
        <f>IF(E481&gt;=20,2000,1900) + D481</f>
        <v>1985</v>
      </c>
      <c r="H481">
        <f>IF(E481&gt;=20,E481-20,E481)</f>
        <v>8</v>
      </c>
      <c r="I481" s="4">
        <f>F481</f>
        <v>26</v>
      </c>
      <c r="J481">
        <f>CONCATENATE(G481,IF(LEN(H481)=1,CONCATENATE("0",H481),H481),IF(LEN(F481)=1,CONCATENATE("0",F481),F481))*1</f>
        <v>19850826</v>
      </c>
    </row>
    <row r="482" spans="1:10" hidden="1" x14ac:dyDescent="0.25">
      <c r="A482" s="4" t="s">
        <v>508</v>
      </c>
      <c r="B482" t="s">
        <v>8</v>
      </c>
      <c r="C482" t="s">
        <v>6</v>
      </c>
      <c r="D482" s="3">
        <f>MID(A482,1,2)*1</f>
        <v>68</v>
      </c>
      <c r="E482" s="4">
        <f>MID(A482,3,2)*1</f>
        <v>7</v>
      </c>
      <c r="F482" s="4">
        <f>MID(A482,5,2)*1</f>
        <v>11</v>
      </c>
      <c r="G482" s="3">
        <f>IF(E482&gt;=20,2000,1900) + D482</f>
        <v>1968</v>
      </c>
      <c r="H482">
        <f>IF(E482&gt;=20,E482-20,E482)</f>
        <v>7</v>
      </c>
      <c r="I482" s="4">
        <f>F482</f>
        <v>11</v>
      </c>
      <c r="J482">
        <f>CONCATENATE(G482,IF(LEN(H482)=1,CONCATENATE("0",H482),H482),IF(LEN(F482)=1,CONCATENATE("0",F482),F482))*1</f>
        <v>19680711</v>
      </c>
    </row>
    <row r="483" spans="1:10" hidden="1" x14ac:dyDescent="0.25">
      <c r="A483" s="4" t="s">
        <v>509</v>
      </c>
      <c r="B483" t="s">
        <v>8</v>
      </c>
      <c r="C483" t="s">
        <v>4</v>
      </c>
      <c r="D483" s="3">
        <f>MID(A483,1,2)*1</f>
        <v>66</v>
      </c>
      <c r="E483" s="4">
        <f>MID(A483,3,2)*1</f>
        <v>12</v>
      </c>
      <c r="F483" s="4">
        <f>MID(A483,5,2)*1</f>
        <v>24</v>
      </c>
      <c r="G483" s="3">
        <f>IF(E483&gt;=20,2000,1900) + D483</f>
        <v>1966</v>
      </c>
      <c r="H483">
        <f>IF(E483&gt;=20,E483-20,E483)</f>
        <v>12</v>
      </c>
      <c r="I483" s="4">
        <f>F483</f>
        <v>24</v>
      </c>
      <c r="J483">
        <f>CONCATENATE(G483,IF(LEN(H483)=1,CONCATENATE("0",H483),H483),IF(LEN(F483)=1,CONCATENATE("0",F483),F483))*1</f>
        <v>19661224</v>
      </c>
    </row>
    <row r="484" spans="1:10" hidden="1" x14ac:dyDescent="0.25">
      <c r="A484" s="4" t="s">
        <v>510</v>
      </c>
      <c r="B484" t="s">
        <v>12</v>
      </c>
      <c r="C484" t="s">
        <v>4</v>
      </c>
      <c r="D484" s="3">
        <f>MID(A484,1,2)*1</f>
        <v>83</v>
      </c>
      <c r="E484" s="4">
        <f>MID(A484,3,2)*1</f>
        <v>11</v>
      </c>
      <c r="F484" s="4">
        <f>MID(A484,5,2)*1</f>
        <v>25</v>
      </c>
      <c r="G484" s="3">
        <f>IF(E484&gt;=20,2000,1900) + D484</f>
        <v>1983</v>
      </c>
      <c r="H484">
        <f>IF(E484&gt;=20,E484-20,E484)</f>
        <v>11</v>
      </c>
      <c r="I484" s="4">
        <f>F484</f>
        <v>25</v>
      </c>
      <c r="J484">
        <f>CONCATENATE(G484,IF(LEN(H484)=1,CONCATENATE("0",H484),H484),IF(LEN(F484)=1,CONCATENATE("0",F484),F484))*1</f>
        <v>19831125</v>
      </c>
    </row>
    <row r="485" spans="1:10" hidden="1" x14ac:dyDescent="0.25">
      <c r="A485" s="4" t="s">
        <v>511</v>
      </c>
      <c r="B485" t="s">
        <v>20</v>
      </c>
      <c r="C485" t="s">
        <v>4</v>
      </c>
      <c r="D485" s="3">
        <f>MID(A485,1,2)*1</f>
        <v>72</v>
      </c>
      <c r="E485" s="4">
        <f>MID(A485,3,2)*1</f>
        <v>3</v>
      </c>
      <c r="F485" s="4">
        <f>MID(A485,5,2)*1</f>
        <v>29</v>
      </c>
      <c r="G485" s="3">
        <f>IF(E485&gt;=20,2000,1900) + D485</f>
        <v>1972</v>
      </c>
      <c r="H485">
        <f>IF(E485&gt;=20,E485-20,E485)</f>
        <v>3</v>
      </c>
      <c r="I485" s="4">
        <f>F485</f>
        <v>29</v>
      </c>
      <c r="J485">
        <f>CONCATENATE(G485,IF(LEN(H485)=1,CONCATENATE("0",H485),H485),IF(LEN(F485)=1,CONCATENATE("0",F485),F485))*1</f>
        <v>19720329</v>
      </c>
    </row>
    <row r="486" spans="1:10" hidden="1" x14ac:dyDescent="0.25">
      <c r="A486" s="4" t="s">
        <v>512</v>
      </c>
      <c r="B486" t="s">
        <v>11</v>
      </c>
      <c r="C486" t="s">
        <v>6</v>
      </c>
      <c r="D486" s="3">
        <f>MID(A486,1,2)*1</f>
        <v>99</v>
      </c>
      <c r="E486" s="4">
        <f>MID(A486,3,2)*1</f>
        <v>4</v>
      </c>
      <c r="F486" s="4">
        <f>MID(A486,5,2)*1</f>
        <v>14</v>
      </c>
      <c r="G486" s="3">
        <f>IF(E486&gt;=20,2000,1900) + D486</f>
        <v>1999</v>
      </c>
      <c r="H486">
        <f>IF(E486&gt;=20,E486-20,E486)</f>
        <v>4</v>
      </c>
      <c r="I486" s="4">
        <f>F486</f>
        <v>14</v>
      </c>
      <c r="J486">
        <f>CONCATENATE(G486,IF(LEN(H486)=1,CONCATENATE("0",H486),H486),IF(LEN(F486)=1,CONCATENATE("0",F486),F486))*1</f>
        <v>19990414</v>
      </c>
    </row>
    <row r="487" spans="1:10" hidden="1" x14ac:dyDescent="0.25">
      <c r="A487" s="4" t="s">
        <v>513</v>
      </c>
      <c r="B487" t="s">
        <v>3</v>
      </c>
      <c r="C487" t="s">
        <v>4</v>
      </c>
      <c r="D487" s="3">
        <f>MID(A487,1,2)*1</f>
        <v>99</v>
      </c>
      <c r="E487" s="4">
        <f>MID(A487,3,2)*1</f>
        <v>8</v>
      </c>
      <c r="F487" s="4">
        <f>MID(A487,5,2)*1</f>
        <v>20</v>
      </c>
      <c r="G487" s="3">
        <f>IF(E487&gt;=20,2000,1900) + D487</f>
        <v>1999</v>
      </c>
      <c r="H487">
        <f>IF(E487&gt;=20,E487-20,E487)</f>
        <v>8</v>
      </c>
      <c r="I487" s="4">
        <f>F487</f>
        <v>20</v>
      </c>
      <c r="J487">
        <f>CONCATENATE(G487,IF(LEN(H487)=1,CONCATENATE("0",H487),H487),IF(LEN(F487)=1,CONCATENATE("0",F487),F487))*1</f>
        <v>19990820</v>
      </c>
    </row>
    <row r="488" spans="1:10" hidden="1" x14ac:dyDescent="0.25">
      <c r="A488" s="4" t="s">
        <v>514</v>
      </c>
      <c r="B488" t="s">
        <v>16</v>
      </c>
      <c r="C488" t="s">
        <v>6</v>
      </c>
      <c r="D488" s="3">
        <f>MID(A488,1,2)*1</f>
        <v>62</v>
      </c>
      <c r="E488" s="4">
        <f>MID(A488,3,2)*1</f>
        <v>12</v>
      </c>
      <c r="F488" s="4">
        <f>MID(A488,5,2)*1</f>
        <v>30</v>
      </c>
      <c r="G488" s="3">
        <f>IF(E488&gt;=20,2000,1900) + D488</f>
        <v>1962</v>
      </c>
      <c r="H488">
        <f>IF(E488&gt;=20,E488-20,E488)</f>
        <v>12</v>
      </c>
      <c r="I488" s="4">
        <f>F488</f>
        <v>30</v>
      </c>
      <c r="J488">
        <f>CONCATENATE(G488,IF(LEN(H488)=1,CONCATENATE("0",H488),H488),IF(LEN(F488)=1,CONCATENATE("0",F488),F488))*1</f>
        <v>19621230</v>
      </c>
    </row>
    <row r="489" spans="1:10" hidden="1" x14ac:dyDescent="0.25">
      <c r="A489" s="4" t="s">
        <v>515</v>
      </c>
      <c r="B489" t="s">
        <v>10</v>
      </c>
      <c r="C489" t="s">
        <v>4</v>
      </c>
      <c r="D489" s="3">
        <f>MID(A489,1,2)*1</f>
        <v>65</v>
      </c>
      <c r="E489" s="4">
        <f>MID(A489,3,2)*1</f>
        <v>3</v>
      </c>
      <c r="F489" s="4">
        <f>MID(A489,5,2)*1</f>
        <v>17</v>
      </c>
      <c r="G489" s="3">
        <f>IF(E489&gt;=20,2000,1900) + D489</f>
        <v>1965</v>
      </c>
      <c r="H489">
        <f>IF(E489&gt;=20,E489-20,E489)</f>
        <v>3</v>
      </c>
      <c r="I489" s="4">
        <f>F489</f>
        <v>17</v>
      </c>
      <c r="J489">
        <f>CONCATENATE(G489,IF(LEN(H489)=1,CONCATENATE("0",H489),H489),IF(LEN(F489)=1,CONCATENATE("0",F489),F489))*1</f>
        <v>19650317</v>
      </c>
    </row>
    <row r="490" spans="1:10" hidden="1" x14ac:dyDescent="0.25">
      <c r="A490" s="4" t="s">
        <v>516</v>
      </c>
      <c r="B490" t="s">
        <v>8</v>
      </c>
      <c r="C490" t="s">
        <v>6</v>
      </c>
      <c r="D490" s="3">
        <f>MID(A490,1,2)*1</f>
        <v>66</v>
      </c>
      <c r="E490" s="4">
        <f>MID(A490,3,2)*1</f>
        <v>3</v>
      </c>
      <c r="F490" s="4">
        <f>MID(A490,5,2)*1</f>
        <v>15</v>
      </c>
      <c r="G490" s="3">
        <f>IF(E490&gt;=20,2000,1900) + D490</f>
        <v>1966</v>
      </c>
      <c r="H490">
        <f>IF(E490&gt;=20,E490-20,E490)</f>
        <v>3</v>
      </c>
      <c r="I490" s="4">
        <f>F490</f>
        <v>15</v>
      </c>
      <c r="J490">
        <f>CONCATENATE(G490,IF(LEN(H490)=1,CONCATENATE("0",H490),H490),IF(LEN(F490)=1,CONCATENATE("0",F490),F490))*1</f>
        <v>19660315</v>
      </c>
    </row>
    <row r="491" spans="1:10" hidden="1" x14ac:dyDescent="0.25">
      <c r="A491" s="4" t="s">
        <v>517</v>
      </c>
      <c r="B491" t="s">
        <v>17</v>
      </c>
      <c r="C491" t="s">
        <v>4</v>
      </c>
      <c r="D491" s="3">
        <f>MID(A491,1,2)*1</f>
        <v>84</v>
      </c>
      <c r="E491" s="4">
        <f>MID(A491,3,2)*1</f>
        <v>12</v>
      </c>
      <c r="F491" s="4">
        <f>MID(A491,5,2)*1</f>
        <v>12</v>
      </c>
      <c r="G491" s="3">
        <f>IF(E491&gt;=20,2000,1900) + D491</f>
        <v>1984</v>
      </c>
      <c r="H491">
        <f>IF(E491&gt;=20,E491-20,E491)</f>
        <v>12</v>
      </c>
      <c r="I491" s="4">
        <f>F491</f>
        <v>12</v>
      </c>
      <c r="J491">
        <f>CONCATENATE(G491,IF(LEN(H491)=1,CONCATENATE("0",H491),H491),IF(LEN(F491)=1,CONCATENATE("0",F491),F491))*1</f>
        <v>19841212</v>
      </c>
    </row>
    <row r="492" spans="1:10" hidden="1" x14ac:dyDescent="0.25">
      <c r="A492" s="4" t="s">
        <v>518</v>
      </c>
      <c r="B492" t="s">
        <v>8</v>
      </c>
      <c r="C492" t="s">
        <v>6</v>
      </c>
      <c r="D492" s="3">
        <f>MID(A492,1,2)*1</f>
        <v>56</v>
      </c>
      <c r="E492" s="4">
        <f>MID(A492,3,2)*1</f>
        <v>6</v>
      </c>
      <c r="F492" s="4">
        <f>MID(A492,5,2)*1</f>
        <v>2</v>
      </c>
      <c r="G492" s="3">
        <f>IF(E492&gt;=20,2000,1900) + D492</f>
        <v>1956</v>
      </c>
      <c r="H492">
        <f>IF(E492&gt;=20,E492-20,E492)</f>
        <v>6</v>
      </c>
      <c r="I492" s="4">
        <f>F492</f>
        <v>2</v>
      </c>
      <c r="J492">
        <f>CONCATENATE(G492,IF(LEN(H492)=1,CONCATENATE("0",H492),H492),IF(LEN(F492)=1,CONCATENATE("0",F492),F492))*1</f>
        <v>19560602</v>
      </c>
    </row>
    <row r="493" spans="1:10" hidden="1" x14ac:dyDescent="0.25">
      <c r="A493" s="4" t="s">
        <v>519</v>
      </c>
      <c r="B493" t="s">
        <v>13</v>
      </c>
      <c r="C493" t="s">
        <v>4</v>
      </c>
      <c r="D493" s="3">
        <f>MID(A493,1,2)*1</f>
        <v>88</v>
      </c>
      <c r="E493" s="4">
        <f>MID(A493,3,2)*1</f>
        <v>6</v>
      </c>
      <c r="F493" s="4">
        <f>MID(A493,5,2)*1</f>
        <v>2</v>
      </c>
      <c r="G493" s="3">
        <f>IF(E493&gt;=20,2000,1900) + D493</f>
        <v>1988</v>
      </c>
      <c r="H493">
        <f>IF(E493&gt;=20,E493-20,E493)</f>
        <v>6</v>
      </c>
      <c r="I493" s="4">
        <f>F493</f>
        <v>2</v>
      </c>
      <c r="J493">
        <f>CONCATENATE(G493,IF(LEN(H493)=1,CONCATENATE("0",H493),H493),IF(LEN(F493)=1,CONCATENATE("0",F493),F493))*1</f>
        <v>19880602</v>
      </c>
    </row>
    <row r="494" spans="1:10" hidden="1" x14ac:dyDescent="0.25">
      <c r="A494" s="4" t="s">
        <v>520</v>
      </c>
      <c r="B494" t="s">
        <v>19</v>
      </c>
      <c r="C494" t="s">
        <v>6</v>
      </c>
      <c r="D494" s="3">
        <f>MID(A494,1,2)*1</f>
        <v>93</v>
      </c>
      <c r="E494" s="4">
        <f>MID(A494,3,2)*1</f>
        <v>7</v>
      </c>
      <c r="F494" s="4">
        <f>MID(A494,5,2)*1</f>
        <v>16</v>
      </c>
      <c r="G494" s="3">
        <f>IF(E494&gt;=20,2000,1900) + D494</f>
        <v>1993</v>
      </c>
      <c r="H494">
        <f>IF(E494&gt;=20,E494-20,E494)</f>
        <v>7</v>
      </c>
      <c r="I494" s="4">
        <f>F494</f>
        <v>16</v>
      </c>
      <c r="J494">
        <f>CONCATENATE(G494,IF(LEN(H494)=1,CONCATENATE("0",H494),H494),IF(LEN(F494)=1,CONCATENATE("0",F494),F494))*1</f>
        <v>19930716</v>
      </c>
    </row>
    <row r="495" spans="1:10" hidden="1" x14ac:dyDescent="0.25">
      <c r="A495" s="4" t="s">
        <v>521</v>
      </c>
      <c r="B495" t="s">
        <v>9</v>
      </c>
      <c r="C495" t="s">
        <v>4</v>
      </c>
      <c r="D495" s="3">
        <f>MID(A495,1,2)*1</f>
        <v>56</v>
      </c>
      <c r="E495" s="4">
        <f>MID(A495,3,2)*1</f>
        <v>3</v>
      </c>
      <c r="F495" s="4">
        <f>MID(A495,5,2)*1</f>
        <v>22</v>
      </c>
      <c r="G495" s="3">
        <f>IF(E495&gt;=20,2000,1900) + D495</f>
        <v>1956</v>
      </c>
      <c r="H495">
        <f>IF(E495&gt;=20,E495-20,E495)</f>
        <v>3</v>
      </c>
      <c r="I495" s="4">
        <f>F495</f>
        <v>22</v>
      </c>
      <c r="J495">
        <f>CONCATENATE(G495,IF(LEN(H495)=1,CONCATENATE("0",H495),H495),IF(LEN(F495)=1,CONCATENATE("0",F495),F495))*1</f>
        <v>19560322</v>
      </c>
    </row>
    <row r="496" spans="1:10" hidden="1" x14ac:dyDescent="0.25">
      <c r="A496" s="4" t="s">
        <v>522</v>
      </c>
      <c r="B496" t="s">
        <v>7</v>
      </c>
      <c r="C496" t="s">
        <v>4</v>
      </c>
      <c r="D496" s="3">
        <f>MID(A496,1,2)*1</f>
        <v>64</v>
      </c>
      <c r="E496" s="4">
        <f>MID(A496,3,2)*1</f>
        <v>8</v>
      </c>
      <c r="F496" s="4">
        <f>MID(A496,5,2)*1</f>
        <v>11</v>
      </c>
      <c r="G496" s="3">
        <f>IF(E496&gt;=20,2000,1900) + D496</f>
        <v>1964</v>
      </c>
      <c r="H496">
        <f>IF(E496&gt;=20,E496-20,E496)</f>
        <v>8</v>
      </c>
      <c r="I496" s="4">
        <f>F496</f>
        <v>11</v>
      </c>
      <c r="J496">
        <f>CONCATENATE(G496,IF(LEN(H496)=1,CONCATENATE("0",H496),H496),IF(LEN(F496)=1,CONCATENATE("0",F496),F496))*1</f>
        <v>19640811</v>
      </c>
    </row>
    <row r="497" spans="1:10" hidden="1" x14ac:dyDescent="0.25">
      <c r="A497" s="4" t="s">
        <v>523</v>
      </c>
      <c r="B497" t="s">
        <v>10</v>
      </c>
      <c r="C497" t="s">
        <v>4</v>
      </c>
      <c r="D497" s="3">
        <f>MID(A497,1,2)*1</f>
        <v>62</v>
      </c>
      <c r="E497" s="4">
        <f>MID(A497,3,2)*1</f>
        <v>4</v>
      </c>
      <c r="F497" s="4">
        <f>MID(A497,5,2)*1</f>
        <v>6</v>
      </c>
      <c r="G497" s="3">
        <f>IF(E497&gt;=20,2000,1900) + D497</f>
        <v>1962</v>
      </c>
      <c r="H497">
        <f>IF(E497&gt;=20,E497-20,E497)</f>
        <v>4</v>
      </c>
      <c r="I497" s="4">
        <f>F497</f>
        <v>6</v>
      </c>
      <c r="J497">
        <f>CONCATENATE(G497,IF(LEN(H497)=1,CONCATENATE("0",H497),H497),IF(LEN(F497)=1,CONCATENATE("0",F497),F497))*1</f>
        <v>19620406</v>
      </c>
    </row>
    <row r="498" spans="1:10" hidden="1" x14ac:dyDescent="0.25">
      <c r="A498" s="4" t="s">
        <v>524</v>
      </c>
      <c r="B498" t="s">
        <v>14</v>
      </c>
      <c r="C498" t="s">
        <v>4</v>
      </c>
      <c r="D498" s="3">
        <f>MID(A498,1,2)*1</f>
        <v>87</v>
      </c>
      <c r="E498" s="4">
        <f>MID(A498,3,2)*1</f>
        <v>3</v>
      </c>
      <c r="F498" s="4">
        <f>MID(A498,5,2)*1</f>
        <v>21</v>
      </c>
      <c r="G498" s="3">
        <f>IF(E498&gt;=20,2000,1900) + D498</f>
        <v>1987</v>
      </c>
      <c r="H498">
        <f>IF(E498&gt;=20,E498-20,E498)</f>
        <v>3</v>
      </c>
      <c r="I498" s="4">
        <f>F498</f>
        <v>21</v>
      </c>
      <c r="J498">
        <f>CONCATENATE(G498,IF(LEN(H498)=1,CONCATENATE("0",H498),H498),IF(LEN(F498)=1,CONCATENATE("0",F498),F498))*1</f>
        <v>19870321</v>
      </c>
    </row>
    <row r="499" spans="1:10" hidden="1" x14ac:dyDescent="0.25">
      <c r="A499" s="4" t="s">
        <v>525</v>
      </c>
      <c r="B499" t="s">
        <v>7</v>
      </c>
      <c r="C499" t="s">
        <v>4</v>
      </c>
      <c r="D499" s="3">
        <f>MID(A499,1,2)*1</f>
        <v>73</v>
      </c>
      <c r="E499" s="4">
        <f>MID(A499,3,2)*1</f>
        <v>10</v>
      </c>
      <c r="F499" s="4">
        <f>MID(A499,5,2)*1</f>
        <v>14</v>
      </c>
      <c r="G499" s="3">
        <f>IF(E499&gt;=20,2000,1900) + D499</f>
        <v>1973</v>
      </c>
      <c r="H499">
        <f>IF(E499&gt;=20,E499-20,E499)</f>
        <v>10</v>
      </c>
      <c r="I499" s="4">
        <f>F499</f>
        <v>14</v>
      </c>
      <c r="J499">
        <f>CONCATENATE(G499,IF(LEN(H499)=1,CONCATENATE("0",H499),H499),IF(LEN(F499)=1,CONCATENATE("0",F499),F499))*1</f>
        <v>19731014</v>
      </c>
    </row>
    <row r="500" spans="1:10" hidden="1" x14ac:dyDescent="0.25">
      <c r="A500" s="4" t="s">
        <v>526</v>
      </c>
      <c r="B500" t="s">
        <v>19</v>
      </c>
      <c r="C500" t="s">
        <v>6</v>
      </c>
      <c r="D500" s="3">
        <f>MID(A500,1,2)*1</f>
        <v>56</v>
      </c>
      <c r="E500" s="4">
        <f>MID(A500,3,2)*1</f>
        <v>11</v>
      </c>
      <c r="F500" s="4">
        <f>MID(A500,5,2)*1</f>
        <v>12</v>
      </c>
      <c r="G500" s="3">
        <f>IF(E500&gt;=20,2000,1900) + D500</f>
        <v>1956</v>
      </c>
      <c r="H500">
        <f>IF(E500&gt;=20,E500-20,E500)</f>
        <v>11</v>
      </c>
      <c r="I500" s="4">
        <f>F500</f>
        <v>12</v>
      </c>
      <c r="J500">
        <f>CONCATENATE(G500,IF(LEN(H500)=1,CONCATENATE("0",H500),H500),IF(LEN(F500)=1,CONCATENATE("0",F500),F500))*1</f>
        <v>19561112</v>
      </c>
    </row>
    <row r="501" spans="1:10" hidden="1" x14ac:dyDescent="0.25">
      <c r="A501" s="4" t="s">
        <v>527</v>
      </c>
      <c r="B501" t="s">
        <v>8</v>
      </c>
      <c r="C501" t="s">
        <v>4</v>
      </c>
      <c r="D501" s="3">
        <f>MID(A501,1,2)*1</f>
        <v>83</v>
      </c>
      <c r="E501" s="4">
        <f>MID(A501,3,2)*1</f>
        <v>3</v>
      </c>
      <c r="F501" s="4">
        <f>MID(A501,5,2)*1</f>
        <v>26</v>
      </c>
      <c r="G501" s="3">
        <f>IF(E501&gt;=20,2000,1900) + D501</f>
        <v>1983</v>
      </c>
      <c r="H501">
        <f>IF(E501&gt;=20,E501-20,E501)</f>
        <v>3</v>
      </c>
      <c r="I501" s="4">
        <f>F501</f>
        <v>26</v>
      </c>
      <c r="J501">
        <f>CONCATENATE(G501,IF(LEN(H501)=1,CONCATENATE("0",H501),H501),IF(LEN(F501)=1,CONCATENATE("0",F501),F501))*1</f>
        <v>19830326</v>
      </c>
    </row>
    <row r="502" spans="1:10" hidden="1" x14ac:dyDescent="0.25">
      <c r="A502" s="4" t="s">
        <v>528</v>
      </c>
      <c r="B502" t="s">
        <v>9</v>
      </c>
      <c r="C502" t="s">
        <v>4</v>
      </c>
      <c r="D502" s="3">
        <f>MID(A502,1,2)*1</f>
        <v>88</v>
      </c>
      <c r="E502" s="4">
        <f>MID(A502,3,2)*1</f>
        <v>5</v>
      </c>
      <c r="F502" s="4">
        <f>MID(A502,5,2)*1</f>
        <v>10</v>
      </c>
      <c r="G502" s="3">
        <f>IF(E502&gt;=20,2000,1900) + D502</f>
        <v>1988</v>
      </c>
      <c r="H502">
        <f>IF(E502&gt;=20,E502-20,E502)</f>
        <v>5</v>
      </c>
      <c r="I502" s="4">
        <f>F502</f>
        <v>10</v>
      </c>
      <c r="J502">
        <f>CONCATENATE(G502,IF(LEN(H502)=1,CONCATENATE("0",H502),H502),IF(LEN(F502)=1,CONCATENATE("0",F502),F502))*1</f>
        <v>19880510</v>
      </c>
    </row>
    <row r="503" spans="1:10" hidden="1" x14ac:dyDescent="0.25">
      <c r="A503" s="4" t="s">
        <v>529</v>
      </c>
      <c r="B503" t="s">
        <v>14</v>
      </c>
      <c r="C503" t="s">
        <v>4</v>
      </c>
      <c r="D503" s="3">
        <f>MID(A503,1,2)*1</f>
        <v>50</v>
      </c>
      <c r="E503" s="4">
        <f>MID(A503,3,2)*1</f>
        <v>1</v>
      </c>
      <c r="F503" s="4">
        <f>MID(A503,5,2)*1</f>
        <v>26</v>
      </c>
      <c r="G503" s="3">
        <f>IF(E503&gt;=20,2000,1900) + D503</f>
        <v>1950</v>
      </c>
      <c r="H503">
        <f>IF(E503&gt;=20,E503-20,E503)</f>
        <v>1</v>
      </c>
      <c r="I503" s="4">
        <f>F503</f>
        <v>26</v>
      </c>
      <c r="J503">
        <f>CONCATENATE(G503,IF(LEN(H503)=1,CONCATENATE("0",H503),H503),IF(LEN(F503)=1,CONCATENATE("0",F503),F503))*1</f>
        <v>19500126</v>
      </c>
    </row>
    <row r="504" spans="1:10" hidden="1" x14ac:dyDescent="0.25">
      <c r="A504" s="4" t="s">
        <v>530</v>
      </c>
      <c r="B504" t="s">
        <v>9</v>
      </c>
      <c r="C504" t="s">
        <v>6</v>
      </c>
      <c r="D504" s="3">
        <f>MID(A504,1,2)*1</f>
        <v>96</v>
      </c>
      <c r="E504" s="4">
        <f>MID(A504,3,2)*1</f>
        <v>4</v>
      </c>
      <c r="F504" s="4">
        <f>MID(A504,5,2)*1</f>
        <v>2</v>
      </c>
      <c r="G504" s="3">
        <f>IF(E504&gt;=20,2000,1900) + D504</f>
        <v>1996</v>
      </c>
      <c r="H504">
        <f>IF(E504&gt;=20,E504-20,E504)</f>
        <v>4</v>
      </c>
      <c r="I504" s="4">
        <f>F504</f>
        <v>2</v>
      </c>
      <c r="J504">
        <f>CONCATENATE(G504,IF(LEN(H504)=1,CONCATENATE("0",H504),H504),IF(LEN(F504)=1,CONCATENATE("0",F504),F504))*1</f>
        <v>19960402</v>
      </c>
    </row>
    <row r="505" spans="1:10" hidden="1" x14ac:dyDescent="0.25">
      <c r="A505" s="4" t="s">
        <v>531</v>
      </c>
      <c r="B505" t="s">
        <v>7</v>
      </c>
      <c r="C505" t="s">
        <v>4</v>
      </c>
      <c r="D505" s="3">
        <f>MID(A505,1,2)*1</f>
        <v>91</v>
      </c>
      <c r="E505" s="4">
        <f>MID(A505,3,2)*1</f>
        <v>4</v>
      </c>
      <c r="F505" s="4">
        <f>MID(A505,5,2)*1</f>
        <v>10</v>
      </c>
      <c r="G505" s="3">
        <f>IF(E505&gt;=20,2000,1900) + D505</f>
        <v>1991</v>
      </c>
      <c r="H505">
        <f>IF(E505&gt;=20,E505-20,E505)</f>
        <v>4</v>
      </c>
      <c r="I505" s="4">
        <f>F505</f>
        <v>10</v>
      </c>
      <c r="J505">
        <f>CONCATENATE(G505,IF(LEN(H505)=1,CONCATENATE("0",H505),H505),IF(LEN(F505)=1,CONCATENATE("0",F505),F505))*1</f>
        <v>19910410</v>
      </c>
    </row>
    <row r="506" spans="1:10" hidden="1" x14ac:dyDescent="0.25">
      <c r="A506" s="4" t="s">
        <v>532</v>
      </c>
      <c r="B506" t="s">
        <v>14</v>
      </c>
      <c r="C506" t="s">
        <v>6</v>
      </c>
      <c r="D506" s="3">
        <f>MID(A506,1,2)*1</f>
        <v>75</v>
      </c>
      <c r="E506" s="4">
        <f>MID(A506,3,2)*1</f>
        <v>6</v>
      </c>
      <c r="F506" s="4">
        <f>MID(A506,5,2)*1</f>
        <v>17</v>
      </c>
      <c r="G506" s="3">
        <f>IF(E506&gt;=20,2000,1900) + D506</f>
        <v>1975</v>
      </c>
      <c r="H506">
        <f>IF(E506&gt;=20,E506-20,E506)</f>
        <v>6</v>
      </c>
      <c r="I506" s="4">
        <f>F506</f>
        <v>17</v>
      </c>
      <c r="J506">
        <f>CONCATENATE(G506,IF(LEN(H506)=1,CONCATENATE("0",H506),H506),IF(LEN(F506)=1,CONCATENATE("0",F506),F506))*1</f>
        <v>19750617</v>
      </c>
    </row>
    <row r="507" spans="1:10" hidden="1" x14ac:dyDescent="0.25">
      <c r="A507" s="4" t="s">
        <v>533</v>
      </c>
      <c r="B507" t="s">
        <v>8</v>
      </c>
      <c r="C507" t="s">
        <v>4</v>
      </c>
      <c r="D507" s="3">
        <f>MID(A507,1,2)*1</f>
        <v>52</v>
      </c>
      <c r="E507" s="4">
        <f>MID(A507,3,2)*1</f>
        <v>2</v>
      </c>
      <c r="F507" s="4">
        <f>MID(A507,5,2)*1</f>
        <v>4</v>
      </c>
      <c r="G507" s="3">
        <f>IF(E507&gt;=20,2000,1900) + D507</f>
        <v>1952</v>
      </c>
      <c r="H507">
        <f>IF(E507&gt;=20,E507-20,E507)</f>
        <v>2</v>
      </c>
      <c r="I507" s="4">
        <f>F507</f>
        <v>4</v>
      </c>
      <c r="J507">
        <f>CONCATENATE(G507,IF(LEN(H507)=1,CONCATENATE("0",H507),H507),IF(LEN(F507)=1,CONCATENATE("0",F507),F507))*1</f>
        <v>19520204</v>
      </c>
    </row>
    <row r="508" spans="1:10" hidden="1" x14ac:dyDescent="0.25">
      <c r="A508" s="4" t="s">
        <v>534</v>
      </c>
      <c r="B508" t="s">
        <v>15</v>
      </c>
      <c r="C508" t="s">
        <v>4</v>
      </c>
      <c r="D508" s="3">
        <f>MID(A508,1,2)*1</f>
        <v>94</v>
      </c>
      <c r="E508" s="4">
        <f>MID(A508,3,2)*1</f>
        <v>2</v>
      </c>
      <c r="F508" s="4">
        <f>MID(A508,5,2)*1</f>
        <v>17</v>
      </c>
      <c r="G508" s="3">
        <f>IF(E508&gt;=20,2000,1900) + D508</f>
        <v>1994</v>
      </c>
      <c r="H508">
        <f>IF(E508&gt;=20,E508-20,E508)</f>
        <v>2</v>
      </c>
      <c r="I508" s="4">
        <f>F508</f>
        <v>17</v>
      </c>
      <c r="J508">
        <f>CONCATENATE(G508,IF(LEN(H508)=1,CONCATENATE("0",H508),H508),IF(LEN(F508)=1,CONCATENATE("0",F508),F508))*1</f>
        <v>19940217</v>
      </c>
    </row>
    <row r="509" spans="1:10" hidden="1" x14ac:dyDescent="0.25">
      <c r="A509" s="4" t="s">
        <v>535</v>
      </c>
      <c r="B509" t="s">
        <v>8</v>
      </c>
      <c r="C509" t="s">
        <v>6</v>
      </c>
      <c r="D509" s="3">
        <f>MID(A509,1,2)*1</f>
        <v>54</v>
      </c>
      <c r="E509" s="4">
        <f>MID(A509,3,2)*1</f>
        <v>6</v>
      </c>
      <c r="F509" s="4">
        <f>MID(A509,5,2)*1</f>
        <v>14</v>
      </c>
      <c r="G509" s="3">
        <f>IF(E509&gt;=20,2000,1900) + D509</f>
        <v>1954</v>
      </c>
      <c r="H509">
        <f>IF(E509&gt;=20,E509-20,E509)</f>
        <v>6</v>
      </c>
      <c r="I509" s="4">
        <f>F509</f>
        <v>14</v>
      </c>
      <c r="J509">
        <f>CONCATENATE(G509,IF(LEN(H509)=1,CONCATENATE("0",H509),H509),IF(LEN(F509)=1,CONCATENATE("0",F509),F509))*1</f>
        <v>19540614</v>
      </c>
    </row>
    <row r="510" spans="1:10" hidden="1" x14ac:dyDescent="0.25">
      <c r="A510" s="4" t="s">
        <v>536</v>
      </c>
      <c r="B510" t="s">
        <v>9</v>
      </c>
      <c r="C510" t="s">
        <v>6</v>
      </c>
      <c r="D510" s="3">
        <f>MID(A510,1,2)*1</f>
        <v>60</v>
      </c>
      <c r="E510" s="4">
        <f>MID(A510,3,2)*1</f>
        <v>1</v>
      </c>
      <c r="F510" s="4">
        <f>MID(A510,5,2)*1</f>
        <v>26</v>
      </c>
      <c r="G510" s="3">
        <f>IF(E510&gt;=20,2000,1900) + D510</f>
        <v>1960</v>
      </c>
      <c r="H510">
        <f>IF(E510&gt;=20,E510-20,E510)</f>
        <v>1</v>
      </c>
      <c r="I510" s="4">
        <f>F510</f>
        <v>26</v>
      </c>
      <c r="J510">
        <f>CONCATENATE(G510,IF(LEN(H510)=1,CONCATENATE("0",H510),H510),IF(LEN(F510)=1,CONCATENATE("0",F510),F510))*1</f>
        <v>19600126</v>
      </c>
    </row>
    <row r="511" spans="1:10" hidden="1" x14ac:dyDescent="0.25">
      <c r="A511" s="4" t="s">
        <v>537</v>
      </c>
      <c r="B511" t="s">
        <v>14</v>
      </c>
      <c r="C511" t="s">
        <v>6</v>
      </c>
      <c r="D511" s="3">
        <f>MID(A511,1,2)*1</f>
        <v>64</v>
      </c>
      <c r="E511" s="4">
        <f>MID(A511,3,2)*1</f>
        <v>3</v>
      </c>
      <c r="F511" s="4">
        <f>MID(A511,5,2)*1</f>
        <v>13</v>
      </c>
      <c r="G511" s="3">
        <f>IF(E511&gt;=20,2000,1900) + D511</f>
        <v>1964</v>
      </c>
      <c r="H511">
        <f>IF(E511&gt;=20,E511-20,E511)</f>
        <v>3</v>
      </c>
      <c r="I511" s="4">
        <f>F511</f>
        <v>13</v>
      </c>
      <c r="J511">
        <f>CONCATENATE(G511,IF(LEN(H511)=1,CONCATENATE("0",H511),H511),IF(LEN(F511)=1,CONCATENATE("0",F511),F511))*1</f>
        <v>19640313</v>
      </c>
    </row>
    <row r="512" spans="1:10" hidden="1" x14ac:dyDescent="0.25">
      <c r="A512" s="4" t="s">
        <v>538</v>
      </c>
      <c r="B512" t="s">
        <v>20</v>
      </c>
      <c r="C512" t="s">
        <v>6</v>
      </c>
      <c r="D512" s="3">
        <f>MID(A512,1,2)*1</f>
        <v>76</v>
      </c>
      <c r="E512" s="4">
        <f>MID(A512,3,2)*1</f>
        <v>3</v>
      </c>
      <c r="F512" s="4">
        <f>MID(A512,5,2)*1</f>
        <v>25</v>
      </c>
      <c r="G512" s="3">
        <f>IF(E512&gt;=20,2000,1900) + D512</f>
        <v>1976</v>
      </c>
      <c r="H512">
        <f>IF(E512&gt;=20,E512-20,E512)</f>
        <v>3</v>
      </c>
      <c r="I512" s="4">
        <f>F512</f>
        <v>25</v>
      </c>
      <c r="J512">
        <f>CONCATENATE(G512,IF(LEN(H512)=1,CONCATENATE("0",H512),H512),IF(LEN(F512)=1,CONCATENATE("0",F512),F512))*1</f>
        <v>19760325</v>
      </c>
    </row>
    <row r="513" spans="1:10" hidden="1" x14ac:dyDescent="0.25">
      <c r="A513" s="4" t="s">
        <v>539</v>
      </c>
      <c r="B513" t="s">
        <v>11</v>
      </c>
      <c r="C513" t="s">
        <v>4</v>
      </c>
      <c r="D513" s="3">
        <f>MID(A513,1,2)*1</f>
        <v>94</v>
      </c>
      <c r="E513" s="4">
        <f>MID(A513,3,2)*1</f>
        <v>4</v>
      </c>
      <c r="F513" s="4">
        <f>MID(A513,5,2)*1</f>
        <v>22</v>
      </c>
      <c r="G513" s="3">
        <f>IF(E513&gt;=20,2000,1900) + D513</f>
        <v>1994</v>
      </c>
      <c r="H513">
        <f>IF(E513&gt;=20,E513-20,E513)</f>
        <v>4</v>
      </c>
      <c r="I513" s="4">
        <f>F513</f>
        <v>22</v>
      </c>
      <c r="J513">
        <f>CONCATENATE(G513,IF(LEN(H513)=1,CONCATENATE("0",H513),H513),IF(LEN(F513)=1,CONCATENATE("0",F513),F513))*1</f>
        <v>19940422</v>
      </c>
    </row>
    <row r="514" spans="1:10" hidden="1" x14ac:dyDescent="0.25">
      <c r="A514" s="4" t="s">
        <v>540</v>
      </c>
      <c r="B514" t="s">
        <v>16</v>
      </c>
      <c r="C514" t="s">
        <v>6</v>
      </c>
      <c r="D514" s="3">
        <f>MID(A514,1,2)*1</f>
        <v>72</v>
      </c>
      <c r="E514" s="4">
        <f>MID(A514,3,2)*1</f>
        <v>1</v>
      </c>
      <c r="F514" s="4">
        <f>MID(A514,5,2)*1</f>
        <v>12</v>
      </c>
      <c r="G514" s="3">
        <f>IF(E514&gt;=20,2000,1900) + D514</f>
        <v>1972</v>
      </c>
      <c r="H514">
        <f>IF(E514&gt;=20,E514-20,E514)</f>
        <v>1</v>
      </c>
      <c r="I514" s="4">
        <f>F514</f>
        <v>12</v>
      </c>
      <c r="J514">
        <f>CONCATENATE(G514,IF(LEN(H514)=1,CONCATENATE("0",H514),H514),IF(LEN(F514)=1,CONCATENATE("0",F514),F514))*1</f>
        <v>19720112</v>
      </c>
    </row>
    <row r="515" spans="1:10" hidden="1" x14ac:dyDescent="0.25">
      <c r="A515" s="4" t="s">
        <v>541</v>
      </c>
      <c r="B515" t="s">
        <v>12</v>
      </c>
      <c r="C515" t="s">
        <v>6</v>
      </c>
      <c r="D515" s="3">
        <f>MID(A515,1,2)*1</f>
        <v>55</v>
      </c>
      <c r="E515" s="4">
        <f>MID(A515,3,2)*1</f>
        <v>10</v>
      </c>
      <c r="F515" s="4">
        <f>MID(A515,5,2)*1</f>
        <v>16</v>
      </c>
      <c r="G515" s="3">
        <f>IF(E515&gt;=20,2000,1900) + D515</f>
        <v>1955</v>
      </c>
      <c r="H515">
        <f>IF(E515&gt;=20,E515-20,E515)</f>
        <v>10</v>
      </c>
      <c r="I515" s="4">
        <f>F515</f>
        <v>16</v>
      </c>
      <c r="J515">
        <f>CONCATENATE(G515,IF(LEN(H515)=1,CONCATENATE("0",H515),H515),IF(LEN(F515)=1,CONCATENATE("0",F515),F515))*1</f>
        <v>19551016</v>
      </c>
    </row>
    <row r="516" spans="1:10" hidden="1" x14ac:dyDescent="0.25">
      <c r="A516" s="4" t="s">
        <v>542</v>
      </c>
      <c r="B516" t="s">
        <v>5</v>
      </c>
      <c r="C516" t="s">
        <v>6</v>
      </c>
      <c r="D516" s="3">
        <f>MID(A516,1,2)*1</f>
        <v>63</v>
      </c>
      <c r="E516" s="4">
        <f>MID(A516,3,2)*1</f>
        <v>6</v>
      </c>
      <c r="F516" s="4">
        <f>MID(A516,5,2)*1</f>
        <v>15</v>
      </c>
      <c r="G516" s="3">
        <f>IF(E516&gt;=20,2000,1900) + D516</f>
        <v>1963</v>
      </c>
      <c r="H516">
        <f>IF(E516&gt;=20,E516-20,E516)</f>
        <v>6</v>
      </c>
      <c r="I516" s="4">
        <f>F516</f>
        <v>15</v>
      </c>
      <c r="J516">
        <f>CONCATENATE(G516,IF(LEN(H516)=1,CONCATENATE("0",H516),H516),IF(LEN(F516)=1,CONCATENATE("0",F516),F516))*1</f>
        <v>19630615</v>
      </c>
    </row>
    <row r="517" spans="1:10" hidden="1" x14ac:dyDescent="0.25">
      <c r="A517" s="4" t="s">
        <v>543</v>
      </c>
      <c r="B517" t="s">
        <v>15</v>
      </c>
      <c r="C517" t="s">
        <v>6</v>
      </c>
      <c r="D517" s="3">
        <f>MID(A517,1,2)*1</f>
        <v>66</v>
      </c>
      <c r="E517" s="4">
        <f>MID(A517,3,2)*1</f>
        <v>9</v>
      </c>
      <c r="F517" s="4">
        <f>MID(A517,5,2)*1</f>
        <v>20</v>
      </c>
      <c r="G517" s="3">
        <f>IF(E517&gt;=20,2000,1900) + D517</f>
        <v>1966</v>
      </c>
      <c r="H517">
        <f>IF(E517&gt;=20,E517-20,E517)</f>
        <v>9</v>
      </c>
      <c r="I517" s="4">
        <f>F517</f>
        <v>20</v>
      </c>
      <c r="J517">
        <f>CONCATENATE(G517,IF(LEN(H517)=1,CONCATENATE("0",H517),H517),IF(LEN(F517)=1,CONCATENATE("0",F517),F517))*1</f>
        <v>19660920</v>
      </c>
    </row>
    <row r="518" spans="1:10" hidden="1" x14ac:dyDescent="0.25">
      <c r="A518" s="4" t="s">
        <v>544</v>
      </c>
      <c r="B518" t="s">
        <v>15</v>
      </c>
      <c r="C518" t="s">
        <v>6</v>
      </c>
      <c r="D518" s="3">
        <f>MID(A518,1,2)*1</f>
        <v>79</v>
      </c>
      <c r="E518" s="4">
        <f>MID(A518,3,2)*1</f>
        <v>12</v>
      </c>
      <c r="F518" s="4">
        <f>MID(A518,5,2)*1</f>
        <v>3</v>
      </c>
      <c r="G518" s="3">
        <f>IF(E518&gt;=20,2000,1900) + D518</f>
        <v>1979</v>
      </c>
      <c r="H518">
        <f>IF(E518&gt;=20,E518-20,E518)</f>
        <v>12</v>
      </c>
      <c r="I518" s="4">
        <f>F518</f>
        <v>3</v>
      </c>
      <c r="J518">
        <f>CONCATENATE(G518,IF(LEN(H518)=1,CONCATENATE("0",H518),H518),IF(LEN(F518)=1,CONCATENATE("0",F518),F518))*1</f>
        <v>19791203</v>
      </c>
    </row>
    <row r="519" spans="1:10" hidden="1" x14ac:dyDescent="0.25">
      <c r="A519" s="4" t="s">
        <v>545</v>
      </c>
      <c r="B519" t="s">
        <v>17</v>
      </c>
      <c r="C519" t="s">
        <v>6</v>
      </c>
      <c r="D519" s="3">
        <f>MID(A519,1,2)*1</f>
        <v>75</v>
      </c>
      <c r="E519" s="4">
        <f>MID(A519,3,2)*1</f>
        <v>3</v>
      </c>
      <c r="F519" s="4">
        <f>MID(A519,5,2)*1</f>
        <v>20</v>
      </c>
      <c r="G519" s="3">
        <f>IF(E519&gt;=20,2000,1900) + D519</f>
        <v>1975</v>
      </c>
      <c r="H519">
        <f>IF(E519&gt;=20,E519-20,E519)</f>
        <v>3</v>
      </c>
      <c r="I519" s="4">
        <f>F519</f>
        <v>20</v>
      </c>
      <c r="J519">
        <f>CONCATENATE(G519,IF(LEN(H519)=1,CONCATENATE("0",H519),H519),IF(LEN(F519)=1,CONCATENATE("0",F519),F519))*1</f>
        <v>19750320</v>
      </c>
    </row>
    <row r="520" spans="1:10" hidden="1" x14ac:dyDescent="0.25">
      <c r="A520" s="4" t="s">
        <v>546</v>
      </c>
      <c r="B520" t="s">
        <v>17</v>
      </c>
      <c r="C520" t="s">
        <v>4</v>
      </c>
      <c r="D520" s="3">
        <f>MID(A520,1,2)*1</f>
        <v>64</v>
      </c>
      <c r="E520" s="4">
        <f>MID(A520,3,2)*1</f>
        <v>12</v>
      </c>
      <c r="F520" s="4">
        <f>MID(A520,5,2)*1</f>
        <v>6</v>
      </c>
      <c r="G520" s="3">
        <f>IF(E520&gt;=20,2000,1900) + D520</f>
        <v>1964</v>
      </c>
      <c r="H520">
        <f>IF(E520&gt;=20,E520-20,E520)</f>
        <v>12</v>
      </c>
      <c r="I520" s="4">
        <f>F520</f>
        <v>6</v>
      </c>
      <c r="J520">
        <f>CONCATENATE(G520,IF(LEN(H520)=1,CONCATENATE("0",H520),H520),IF(LEN(F520)=1,CONCATENATE("0",F520),F520))*1</f>
        <v>19641206</v>
      </c>
    </row>
    <row r="521" spans="1:10" hidden="1" x14ac:dyDescent="0.25">
      <c r="A521" s="4" t="s">
        <v>547</v>
      </c>
      <c r="B521" t="s">
        <v>9</v>
      </c>
      <c r="C521" t="s">
        <v>6</v>
      </c>
      <c r="D521" s="3">
        <f>MID(A521,1,2)*1</f>
        <v>73</v>
      </c>
      <c r="E521" s="4">
        <f>MID(A521,3,2)*1</f>
        <v>7</v>
      </c>
      <c r="F521" s="4">
        <f>MID(A521,5,2)*1</f>
        <v>28</v>
      </c>
      <c r="G521" s="3">
        <f>IF(E521&gt;=20,2000,1900) + D521</f>
        <v>1973</v>
      </c>
      <c r="H521">
        <f>IF(E521&gt;=20,E521-20,E521)</f>
        <v>7</v>
      </c>
      <c r="I521" s="4">
        <f>F521</f>
        <v>28</v>
      </c>
      <c r="J521">
        <f>CONCATENATE(G521,IF(LEN(H521)=1,CONCATENATE("0",H521),H521),IF(LEN(F521)=1,CONCATENATE("0",F521),F521))*1</f>
        <v>19730728</v>
      </c>
    </row>
    <row r="522" spans="1:10" hidden="1" x14ac:dyDescent="0.25">
      <c r="A522" s="4" t="s">
        <v>548</v>
      </c>
      <c r="B522" t="s">
        <v>17</v>
      </c>
      <c r="C522" t="s">
        <v>6</v>
      </c>
      <c r="D522" s="3">
        <f>MID(A522,1,2)*1</f>
        <v>81</v>
      </c>
      <c r="E522" s="4">
        <f>MID(A522,3,2)*1</f>
        <v>3</v>
      </c>
      <c r="F522" s="4">
        <f>MID(A522,5,2)*1</f>
        <v>21</v>
      </c>
      <c r="G522" s="3">
        <f>IF(E522&gt;=20,2000,1900) + D522</f>
        <v>1981</v>
      </c>
      <c r="H522">
        <f>IF(E522&gt;=20,E522-20,E522)</f>
        <v>3</v>
      </c>
      <c r="I522" s="4">
        <f>F522</f>
        <v>21</v>
      </c>
      <c r="J522">
        <f>CONCATENATE(G522,IF(LEN(H522)=1,CONCATENATE("0",H522),H522),IF(LEN(F522)=1,CONCATENATE("0",F522),F522))*1</f>
        <v>19810321</v>
      </c>
    </row>
    <row r="523" spans="1:10" x14ac:dyDescent="0.25">
      <c r="A523" s="4" t="s">
        <v>302</v>
      </c>
      <c r="B523" t="s">
        <v>18</v>
      </c>
      <c r="C523" t="s">
        <v>4</v>
      </c>
      <c r="D523" s="3">
        <f>MID(A523,1,2)*1</f>
        <v>79</v>
      </c>
      <c r="E523" s="4">
        <f>MID(A523,3,2)*1</f>
        <v>11</v>
      </c>
      <c r="F523" s="4">
        <f>MID(A523,5,2)*1</f>
        <v>6</v>
      </c>
      <c r="G523" s="3">
        <f>IF(E523&gt;=20,2000,1900) + D523</f>
        <v>1979</v>
      </c>
      <c r="H523">
        <f>IF(E523&gt;=20,E523-20,E523)</f>
        <v>11</v>
      </c>
      <c r="I523" s="4">
        <f>F523</f>
        <v>6</v>
      </c>
      <c r="J523">
        <f>CONCATENATE(G523,IF(LEN(H523)=1,CONCATENATE("0",H523),H523),IF(LEN(F523)=1,CONCATENATE("0",F523),F523))*1</f>
        <v>19791106</v>
      </c>
    </row>
    <row r="524" spans="1:10" hidden="1" x14ac:dyDescent="0.25">
      <c r="A524" s="4" t="s">
        <v>550</v>
      </c>
      <c r="B524" t="s">
        <v>7</v>
      </c>
      <c r="C524" t="s">
        <v>6</v>
      </c>
      <c r="D524" s="3">
        <f>MID(A524,1,2)*1</f>
        <v>57</v>
      </c>
      <c r="E524" s="4">
        <f>MID(A524,3,2)*1</f>
        <v>4</v>
      </c>
      <c r="F524" s="4">
        <f>MID(A524,5,2)*1</f>
        <v>5</v>
      </c>
      <c r="G524" s="3">
        <f>IF(E524&gt;=20,2000,1900) + D524</f>
        <v>1957</v>
      </c>
      <c r="H524">
        <f>IF(E524&gt;=20,E524-20,E524)</f>
        <v>4</v>
      </c>
      <c r="I524" s="4">
        <f>F524</f>
        <v>5</v>
      </c>
      <c r="J524">
        <f>CONCATENATE(G524,IF(LEN(H524)=1,CONCATENATE("0",H524),H524),IF(LEN(F524)=1,CONCATENATE("0",F524),F524))*1</f>
        <v>19570405</v>
      </c>
    </row>
    <row r="525" spans="1:10" hidden="1" x14ac:dyDescent="0.25">
      <c r="A525" s="4" t="s">
        <v>551</v>
      </c>
      <c r="B525" t="s">
        <v>14</v>
      </c>
      <c r="C525" t="s">
        <v>6</v>
      </c>
      <c r="D525" s="3">
        <f>MID(A525,1,2)*1</f>
        <v>99</v>
      </c>
      <c r="E525" s="4">
        <f>MID(A525,3,2)*1</f>
        <v>5</v>
      </c>
      <c r="F525" s="4">
        <f>MID(A525,5,2)*1</f>
        <v>13</v>
      </c>
      <c r="G525" s="3">
        <f>IF(E525&gt;=20,2000,1900) + D525</f>
        <v>1999</v>
      </c>
      <c r="H525">
        <f>IF(E525&gt;=20,E525-20,E525)</f>
        <v>5</v>
      </c>
      <c r="I525" s="4">
        <f>F525</f>
        <v>13</v>
      </c>
      <c r="J525">
        <f>CONCATENATE(G525,IF(LEN(H525)=1,CONCATENATE("0",H525),H525),IF(LEN(F525)=1,CONCATENATE("0",F525),F525))*1</f>
        <v>19990513</v>
      </c>
    </row>
    <row r="526" spans="1:10" hidden="1" x14ac:dyDescent="0.25">
      <c r="A526" s="4" t="s">
        <v>552</v>
      </c>
      <c r="B526" t="s">
        <v>11</v>
      </c>
      <c r="C526" t="s">
        <v>4</v>
      </c>
      <c r="D526" s="3">
        <f>MID(A526,1,2)*1</f>
        <v>73</v>
      </c>
      <c r="E526" s="4">
        <f>MID(A526,3,2)*1</f>
        <v>3</v>
      </c>
      <c r="F526" s="4">
        <f>MID(A526,5,2)*1</f>
        <v>18</v>
      </c>
      <c r="G526" s="3">
        <f>IF(E526&gt;=20,2000,1900) + D526</f>
        <v>1973</v>
      </c>
      <c r="H526">
        <f>IF(E526&gt;=20,E526-20,E526)</f>
        <v>3</v>
      </c>
      <c r="I526" s="4">
        <f>F526</f>
        <v>18</v>
      </c>
      <c r="J526">
        <f>CONCATENATE(G526,IF(LEN(H526)=1,CONCATENATE("0",H526),H526),IF(LEN(F526)=1,CONCATENATE("0",F526),F526))*1</f>
        <v>19730318</v>
      </c>
    </row>
    <row r="527" spans="1:10" hidden="1" x14ac:dyDescent="0.25">
      <c r="A527" s="4" t="s">
        <v>553</v>
      </c>
      <c r="B527" t="s">
        <v>5</v>
      </c>
      <c r="C527" t="s">
        <v>6</v>
      </c>
      <c r="D527" s="3">
        <f>MID(A527,1,2)*1</f>
        <v>86</v>
      </c>
      <c r="E527" s="4">
        <f>MID(A527,3,2)*1</f>
        <v>6</v>
      </c>
      <c r="F527" s="4">
        <f>MID(A527,5,2)*1</f>
        <v>15</v>
      </c>
      <c r="G527" s="3">
        <f>IF(E527&gt;=20,2000,1900) + D527</f>
        <v>1986</v>
      </c>
      <c r="H527">
        <f>IF(E527&gt;=20,E527-20,E527)</f>
        <v>6</v>
      </c>
      <c r="I527" s="4">
        <f>F527</f>
        <v>15</v>
      </c>
      <c r="J527">
        <f>CONCATENATE(G527,IF(LEN(H527)=1,CONCATENATE("0",H527),H527),IF(LEN(F527)=1,CONCATENATE("0",F527),F527))*1</f>
        <v>19860615</v>
      </c>
    </row>
    <row r="528" spans="1:10" hidden="1" x14ac:dyDescent="0.25">
      <c r="A528" s="4" t="s">
        <v>554</v>
      </c>
      <c r="B528" t="s">
        <v>11</v>
      </c>
      <c r="C528" t="s">
        <v>4</v>
      </c>
      <c r="D528" s="3">
        <f>MID(A528,1,2)*1</f>
        <v>53</v>
      </c>
      <c r="E528" s="4">
        <f>MID(A528,3,2)*1</f>
        <v>9</v>
      </c>
      <c r="F528" s="4">
        <f>MID(A528,5,2)*1</f>
        <v>6</v>
      </c>
      <c r="G528" s="3">
        <f>IF(E528&gt;=20,2000,1900) + D528</f>
        <v>1953</v>
      </c>
      <c r="H528">
        <f>IF(E528&gt;=20,E528-20,E528)</f>
        <v>9</v>
      </c>
      <c r="I528" s="4">
        <f>F528</f>
        <v>6</v>
      </c>
      <c r="J528">
        <f>CONCATENATE(G528,IF(LEN(H528)=1,CONCATENATE("0",H528),H528),IF(LEN(F528)=1,CONCATENATE("0",F528),F528))*1</f>
        <v>19530906</v>
      </c>
    </row>
    <row r="529" spans="1:10" hidden="1" x14ac:dyDescent="0.25">
      <c r="A529" s="4" t="s">
        <v>555</v>
      </c>
      <c r="B529" t="s">
        <v>3</v>
      </c>
      <c r="C529" t="s">
        <v>4</v>
      </c>
      <c r="D529" s="3">
        <f>MID(A529,1,2)*1</f>
        <v>75</v>
      </c>
      <c r="E529" s="4">
        <f>MID(A529,3,2)*1</f>
        <v>2</v>
      </c>
      <c r="F529" s="4">
        <f>MID(A529,5,2)*1</f>
        <v>13</v>
      </c>
      <c r="G529" s="3">
        <f>IF(E529&gt;=20,2000,1900) + D529</f>
        <v>1975</v>
      </c>
      <c r="H529">
        <f>IF(E529&gt;=20,E529-20,E529)</f>
        <v>2</v>
      </c>
      <c r="I529" s="4">
        <f>F529</f>
        <v>13</v>
      </c>
      <c r="J529">
        <f>CONCATENATE(G529,IF(LEN(H529)=1,CONCATENATE("0",H529),H529),IF(LEN(F529)=1,CONCATENATE("0",F529),F529))*1</f>
        <v>19750213</v>
      </c>
    </row>
    <row r="530" spans="1:10" hidden="1" x14ac:dyDescent="0.25">
      <c r="A530" s="4" t="s">
        <v>556</v>
      </c>
      <c r="B530" t="s">
        <v>5</v>
      </c>
      <c r="C530" t="s">
        <v>6</v>
      </c>
      <c r="D530" s="3">
        <f>MID(A530,1,2)*1</f>
        <v>72</v>
      </c>
      <c r="E530" s="4">
        <f>MID(A530,3,2)*1</f>
        <v>12</v>
      </c>
      <c r="F530" s="4">
        <f>MID(A530,5,2)*1</f>
        <v>31</v>
      </c>
      <c r="G530" s="3">
        <f>IF(E530&gt;=20,2000,1900) + D530</f>
        <v>1972</v>
      </c>
      <c r="H530">
        <f>IF(E530&gt;=20,E530-20,E530)</f>
        <v>12</v>
      </c>
      <c r="I530" s="4">
        <f>F530</f>
        <v>31</v>
      </c>
      <c r="J530">
        <f>CONCATENATE(G530,IF(LEN(H530)=1,CONCATENATE("0",H530),H530),IF(LEN(F530)=1,CONCATENATE("0",F530),F530))*1</f>
        <v>19721231</v>
      </c>
    </row>
    <row r="531" spans="1:10" hidden="1" x14ac:dyDescent="0.25">
      <c r="A531" s="4" t="s">
        <v>557</v>
      </c>
      <c r="B531" t="s">
        <v>15</v>
      </c>
      <c r="C531" t="s">
        <v>6</v>
      </c>
      <c r="D531" s="3">
        <f>MID(A531,1,2)*1</f>
        <v>79</v>
      </c>
      <c r="E531" s="4">
        <f>MID(A531,3,2)*1</f>
        <v>7</v>
      </c>
      <c r="F531" s="4">
        <f>MID(A531,5,2)*1</f>
        <v>6</v>
      </c>
      <c r="G531" s="3">
        <f>IF(E531&gt;=20,2000,1900) + D531</f>
        <v>1979</v>
      </c>
      <c r="H531">
        <f>IF(E531&gt;=20,E531-20,E531)</f>
        <v>7</v>
      </c>
      <c r="I531" s="4">
        <f>F531</f>
        <v>6</v>
      </c>
      <c r="J531">
        <f>CONCATENATE(G531,IF(LEN(H531)=1,CONCATENATE("0",H531),H531),IF(LEN(F531)=1,CONCATENATE("0",F531),F531))*1</f>
        <v>19790706</v>
      </c>
    </row>
    <row r="532" spans="1:10" hidden="1" x14ac:dyDescent="0.25">
      <c r="A532" s="4" t="s">
        <v>558</v>
      </c>
      <c r="B532" t="s">
        <v>13</v>
      </c>
      <c r="C532" t="s">
        <v>6</v>
      </c>
      <c r="D532" s="3">
        <f>MID(A532,1,2)*1</f>
        <v>99</v>
      </c>
      <c r="E532" s="4">
        <f>MID(A532,3,2)*1</f>
        <v>12</v>
      </c>
      <c r="F532" s="4">
        <f>MID(A532,5,2)*1</f>
        <v>16</v>
      </c>
      <c r="G532" s="3">
        <f>IF(E532&gt;=20,2000,1900) + D532</f>
        <v>1999</v>
      </c>
      <c r="H532">
        <f>IF(E532&gt;=20,E532-20,E532)</f>
        <v>12</v>
      </c>
      <c r="I532" s="4">
        <f>F532</f>
        <v>16</v>
      </c>
      <c r="J532">
        <f>CONCATENATE(G532,IF(LEN(H532)=1,CONCATENATE("0",H532),H532),IF(LEN(F532)=1,CONCATENATE("0",F532),F532))*1</f>
        <v>19991216</v>
      </c>
    </row>
    <row r="533" spans="1:10" hidden="1" x14ac:dyDescent="0.25">
      <c r="A533" s="4" t="s">
        <v>559</v>
      </c>
      <c r="B533" t="s">
        <v>7</v>
      </c>
      <c r="C533" t="s">
        <v>4</v>
      </c>
      <c r="D533" s="3">
        <f>MID(A533,1,2)*1</f>
        <v>62</v>
      </c>
      <c r="E533" s="4">
        <f>MID(A533,3,2)*1</f>
        <v>4</v>
      </c>
      <c r="F533" s="4">
        <f>MID(A533,5,2)*1</f>
        <v>8</v>
      </c>
      <c r="G533" s="3">
        <f>IF(E533&gt;=20,2000,1900) + D533</f>
        <v>1962</v>
      </c>
      <c r="H533">
        <f>IF(E533&gt;=20,E533-20,E533)</f>
        <v>4</v>
      </c>
      <c r="I533" s="4">
        <f>F533</f>
        <v>8</v>
      </c>
      <c r="J533">
        <f>CONCATENATE(G533,IF(LEN(H533)=1,CONCATENATE("0",H533),H533),IF(LEN(F533)=1,CONCATENATE("0",F533),F533))*1</f>
        <v>19620408</v>
      </c>
    </row>
    <row r="534" spans="1:10" hidden="1" x14ac:dyDescent="0.25">
      <c r="A534" s="4" t="s">
        <v>560</v>
      </c>
      <c r="B534" t="s">
        <v>14</v>
      </c>
      <c r="C534" t="s">
        <v>6</v>
      </c>
      <c r="D534" s="3">
        <f>MID(A534,1,2)*1</f>
        <v>77</v>
      </c>
      <c r="E534" s="4">
        <f>MID(A534,3,2)*1</f>
        <v>5</v>
      </c>
      <c r="F534" s="4">
        <f>MID(A534,5,2)*1</f>
        <v>7</v>
      </c>
      <c r="G534" s="3">
        <f>IF(E534&gt;=20,2000,1900) + D534</f>
        <v>1977</v>
      </c>
      <c r="H534">
        <f>IF(E534&gt;=20,E534-20,E534)</f>
        <v>5</v>
      </c>
      <c r="I534" s="4">
        <f>F534</f>
        <v>7</v>
      </c>
      <c r="J534">
        <f>CONCATENATE(G534,IF(LEN(H534)=1,CONCATENATE("0",H534),H534),IF(LEN(F534)=1,CONCATENATE("0",F534),F534))*1</f>
        <v>19770507</v>
      </c>
    </row>
    <row r="535" spans="1:10" hidden="1" x14ac:dyDescent="0.25">
      <c r="A535" s="4" t="s">
        <v>561</v>
      </c>
      <c r="B535" t="s">
        <v>10</v>
      </c>
      <c r="C535" t="s">
        <v>6</v>
      </c>
      <c r="D535" s="3">
        <f>MID(A535,1,2)*1</f>
        <v>61</v>
      </c>
      <c r="E535" s="4">
        <f>MID(A535,3,2)*1</f>
        <v>1</v>
      </c>
      <c r="F535" s="4">
        <f>MID(A535,5,2)*1</f>
        <v>18</v>
      </c>
      <c r="G535" s="3">
        <f>IF(E535&gt;=20,2000,1900) + D535</f>
        <v>1961</v>
      </c>
      <c r="H535">
        <f>IF(E535&gt;=20,E535-20,E535)</f>
        <v>1</v>
      </c>
      <c r="I535" s="4">
        <f>F535</f>
        <v>18</v>
      </c>
      <c r="J535">
        <f>CONCATENATE(G535,IF(LEN(H535)=1,CONCATENATE("0",H535),H535),IF(LEN(F535)=1,CONCATENATE("0",F535),F535))*1</f>
        <v>19610118</v>
      </c>
    </row>
    <row r="536" spans="1:10" hidden="1" x14ac:dyDescent="0.25">
      <c r="A536" s="4" t="s">
        <v>562</v>
      </c>
      <c r="B536" t="s">
        <v>10</v>
      </c>
      <c r="C536" t="s">
        <v>4</v>
      </c>
      <c r="D536" s="3">
        <f>MID(A536,1,2)*1</f>
        <v>67</v>
      </c>
      <c r="E536" s="4">
        <f>MID(A536,3,2)*1</f>
        <v>9</v>
      </c>
      <c r="F536" s="4">
        <f>MID(A536,5,2)*1</f>
        <v>7</v>
      </c>
      <c r="G536" s="3">
        <f>IF(E536&gt;=20,2000,1900) + D536</f>
        <v>1967</v>
      </c>
      <c r="H536">
        <f>IF(E536&gt;=20,E536-20,E536)</f>
        <v>9</v>
      </c>
      <c r="I536" s="4">
        <f>F536</f>
        <v>7</v>
      </c>
      <c r="J536">
        <f>CONCATENATE(G536,IF(LEN(H536)=1,CONCATENATE("0",H536),H536),IF(LEN(F536)=1,CONCATENATE("0",F536),F536))*1</f>
        <v>19670907</v>
      </c>
    </row>
    <row r="537" spans="1:10" hidden="1" x14ac:dyDescent="0.25">
      <c r="A537" s="4" t="s">
        <v>563</v>
      </c>
      <c r="B537" t="s">
        <v>19</v>
      </c>
      <c r="C537" t="s">
        <v>4</v>
      </c>
      <c r="D537" s="3">
        <f>MID(A537,1,2)*1</f>
        <v>69</v>
      </c>
      <c r="E537" s="4">
        <f>MID(A537,3,2)*1</f>
        <v>12</v>
      </c>
      <c r="F537" s="4">
        <f>MID(A537,5,2)*1</f>
        <v>18</v>
      </c>
      <c r="G537" s="3">
        <f>IF(E537&gt;=20,2000,1900) + D537</f>
        <v>1969</v>
      </c>
      <c r="H537">
        <f>IF(E537&gt;=20,E537-20,E537)</f>
        <v>12</v>
      </c>
      <c r="I537" s="4">
        <f>F537</f>
        <v>18</v>
      </c>
      <c r="J537">
        <f>CONCATENATE(G537,IF(LEN(H537)=1,CONCATENATE("0",H537),H537),IF(LEN(F537)=1,CONCATENATE("0",F537),F537))*1</f>
        <v>19691218</v>
      </c>
    </row>
    <row r="538" spans="1:10" hidden="1" x14ac:dyDescent="0.25">
      <c r="A538" s="4" t="s">
        <v>564</v>
      </c>
      <c r="B538" t="s">
        <v>11</v>
      </c>
      <c r="C538" t="s">
        <v>6</v>
      </c>
      <c r="D538" s="3">
        <f>MID(A538,1,2)*1</f>
        <v>95</v>
      </c>
      <c r="E538" s="4">
        <f>MID(A538,3,2)*1</f>
        <v>2</v>
      </c>
      <c r="F538" s="4">
        <f>MID(A538,5,2)*1</f>
        <v>21</v>
      </c>
      <c r="G538" s="3">
        <f>IF(E538&gt;=20,2000,1900) + D538</f>
        <v>1995</v>
      </c>
      <c r="H538">
        <f>IF(E538&gt;=20,E538-20,E538)</f>
        <v>2</v>
      </c>
      <c r="I538" s="4">
        <f>F538</f>
        <v>21</v>
      </c>
      <c r="J538">
        <f>CONCATENATE(G538,IF(LEN(H538)=1,CONCATENATE("0",H538),H538),IF(LEN(F538)=1,CONCATENATE("0",F538),F538))*1</f>
        <v>19950221</v>
      </c>
    </row>
    <row r="539" spans="1:10" hidden="1" x14ac:dyDescent="0.25">
      <c r="A539" s="4" t="s">
        <v>565</v>
      </c>
      <c r="B539" t="s">
        <v>10</v>
      </c>
      <c r="C539" t="s">
        <v>6</v>
      </c>
      <c r="D539" s="3">
        <f>MID(A539,1,2)*1</f>
        <v>50</v>
      </c>
      <c r="E539" s="4">
        <f>MID(A539,3,2)*1</f>
        <v>12</v>
      </c>
      <c r="F539" s="4">
        <f>MID(A539,5,2)*1</f>
        <v>23</v>
      </c>
      <c r="G539" s="3">
        <f>IF(E539&gt;=20,2000,1900) + D539</f>
        <v>1950</v>
      </c>
      <c r="H539">
        <f>IF(E539&gt;=20,E539-20,E539)</f>
        <v>12</v>
      </c>
      <c r="I539" s="4">
        <f>F539</f>
        <v>23</v>
      </c>
      <c r="J539">
        <f>CONCATENATE(G539,IF(LEN(H539)=1,CONCATENATE("0",H539),H539),IF(LEN(F539)=1,CONCATENATE("0",F539),F539))*1</f>
        <v>19501223</v>
      </c>
    </row>
    <row r="540" spans="1:10" hidden="1" x14ac:dyDescent="0.25">
      <c r="A540" s="4" t="s">
        <v>566</v>
      </c>
      <c r="B540" t="s">
        <v>20</v>
      </c>
      <c r="C540" t="s">
        <v>4</v>
      </c>
      <c r="D540" s="3">
        <f>MID(A540,1,2)*1</f>
        <v>64</v>
      </c>
      <c r="E540" s="4">
        <f>MID(A540,3,2)*1</f>
        <v>4</v>
      </c>
      <c r="F540" s="4">
        <f>MID(A540,5,2)*1</f>
        <v>8</v>
      </c>
      <c r="G540" s="3">
        <f>IF(E540&gt;=20,2000,1900) + D540</f>
        <v>1964</v>
      </c>
      <c r="H540">
        <f>IF(E540&gt;=20,E540-20,E540)</f>
        <v>4</v>
      </c>
      <c r="I540" s="4">
        <f>F540</f>
        <v>8</v>
      </c>
      <c r="J540">
        <f>CONCATENATE(G540,IF(LEN(H540)=1,CONCATENATE("0",H540),H540),IF(LEN(F540)=1,CONCATENATE("0",F540),F540))*1</f>
        <v>19640408</v>
      </c>
    </row>
    <row r="541" spans="1:10" x14ac:dyDescent="0.25">
      <c r="A541" s="4" t="s">
        <v>572</v>
      </c>
      <c r="B541" t="s">
        <v>18</v>
      </c>
      <c r="C541" t="s">
        <v>4</v>
      </c>
      <c r="D541" s="3">
        <f>MID(A541,1,2)*1</f>
        <v>85</v>
      </c>
      <c r="E541" s="4">
        <f>MID(A541,3,2)*1</f>
        <v>8</v>
      </c>
      <c r="F541" s="4">
        <f>MID(A541,5,2)*1</f>
        <v>2</v>
      </c>
      <c r="G541" s="3">
        <f>IF(E541&gt;=20,2000,1900) + D541</f>
        <v>1985</v>
      </c>
      <c r="H541">
        <f>IF(E541&gt;=20,E541-20,E541)</f>
        <v>8</v>
      </c>
      <c r="I541" s="4">
        <f>F541</f>
        <v>2</v>
      </c>
      <c r="J541">
        <f>CONCATENATE(G541,IF(LEN(H541)=1,CONCATENATE("0",H541),H541),IF(LEN(F541)=1,CONCATENATE("0",F541),F541))*1</f>
        <v>19850802</v>
      </c>
    </row>
    <row r="542" spans="1:10" hidden="1" x14ac:dyDescent="0.25">
      <c r="A542" s="4" t="s">
        <v>568</v>
      </c>
      <c r="B542" t="s">
        <v>14</v>
      </c>
      <c r="C542" t="s">
        <v>4</v>
      </c>
      <c r="D542" s="3">
        <f>MID(A542,1,2)*1</f>
        <v>95</v>
      </c>
      <c r="E542" s="4">
        <f>MID(A542,3,2)*1</f>
        <v>7</v>
      </c>
      <c r="F542" s="4">
        <f>MID(A542,5,2)*1</f>
        <v>1</v>
      </c>
      <c r="G542" s="3">
        <f>IF(E542&gt;=20,2000,1900) + D542</f>
        <v>1995</v>
      </c>
      <c r="H542">
        <f>IF(E542&gt;=20,E542-20,E542)</f>
        <v>7</v>
      </c>
      <c r="I542" s="4">
        <f>F542</f>
        <v>1</v>
      </c>
      <c r="J542">
        <f>CONCATENATE(G542,IF(LEN(H542)=1,CONCATENATE("0",H542),H542),IF(LEN(F542)=1,CONCATENATE("0",F542),F542))*1</f>
        <v>19950701</v>
      </c>
    </row>
    <row r="543" spans="1:10" hidden="1" x14ac:dyDescent="0.25">
      <c r="A543" s="4" t="s">
        <v>569</v>
      </c>
      <c r="B543" t="s">
        <v>7</v>
      </c>
      <c r="C543" t="s">
        <v>6</v>
      </c>
      <c r="D543" s="3">
        <f>MID(A543,1,2)*1</f>
        <v>51</v>
      </c>
      <c r="E543" s="4">
        <f>MID(A543,3,2)*1</f>
        <v>4</v>
      </c>
      <c r="F543" s="4">
        <f>MID(A543,5,2)*1</f>
        <v>7</v>
      </c>
      <c r="G543" s="3">
        <f>IF(E543&gt;=20,2000,1900) + D543</f>
        <v>1951</v>
      </c>
      <c r="H543">
        <f>IF(E543&gt;=20,E543-20,E543)</f>
        <v>4</v>
      </c>
      <c r="I543" s="4">
        <f>F543</f>
        <v>7</v>
      </c>
      <c r="J543">
        <f>CONCATENATE(G543,IF(LEN(H543)=1,CONCATENATE("0",H543),H543),IF(LEN(F543)=1,CONCATENATE("0",F543),F543))*1</f>
        <v>19510407</v>
      </c>
    </row>
    <row r="544" spans="1:10" hidden="1" x14ac:dyDescent="0.25">
      <c r="A544" s="4" t="s">
        <v>570</v>
      </c>
      <c r="B544" t="s">
        <v>13</v>
      </c>
      <c r="C544" t="s">
        <v>4</v>
      </c>
      <c r="D544" s="3">
        <f>MID(A544,1,2)*1</f>
        <v>68</v>
      </c>
      <c r="E544" s="4">
        <f>MID(A544,3,2)*1</f>
        <v>5</v>
      </c>
      <c r="F544" s="4">
        <f>MID(A544,5,2)*1</f>
        <v>3</v>
      </c>
      <c r="G544" s="3">
        <f>IF(E544&gt;=20,2000,1900) + D544</f>
        <v>1968</v>
      </c>
      <c r="H544">
        <f>IF(E544&gt;=20,E544-20,E544)</f>
        <v>5</v>
      </c>
      <c r="I544" s="4">
        <f>F544</f>
        <v>3</v>
      </c>
      <c r="J544">
        <f>CONCATENATE(G544,IF(LEN(H544)=1,CONCATENATE("0",H544),H544),IF(LEN(F544)=1,CONCATENATE("0",F544),F544))*1</f>
        <v>19680503</v>
      </c>
    </row>
    <row r="545" spans="1:10" hidden="1" x14ac:dyDescent="0.25">
      <c r="A545" s="4" t="s">
        <v>571</v>
      </c>
      <c r="B545" t="s">
        <v>14</v>
      </c>
      <c r="C545" t="s">
        <v>4</v>
      </c>
      <c r="D545" s="3">
        <f>MID(A545,1,2)*1</f>
        <v>78</v>
      </c>
      <c r="E545" s="4">
        <f>MID(A545,3,2)*1</f>
        <v>1</v>
      </c>
      <c r="F545" s="4">
        <f>MID(A545,5,2)*1</f>
        <v>24</v>
      </c>
      <c r="G545" s="3">
        <f>IF(E545&gt;=20,2000,1900) + D545</f>
        <v>1978</v>
      </c>
      <c r="H545">
        <f>IF(E545&gt;=20,E545-20,E545)</f>
        <v>1</v>
      </c>
      <c r="I545" s="4">
        <f>F545</f>
        <v>24</v>
      </c>
      <c r="J545">
        <f>CONCATENATE(G545,IF(LEN(H545)=1,CONCATENATE("0",H545),H545),IF(LEN(F545)=1,CONCATENATE("0",F545),F545))*1</f>
        <v>19780124</v>
      </c>
    </row>
    <row r="546" spans="1:10" x14ac:dyDescent="0.25">
      <c r="A546" s="4" t="s">
        <v>152</v>
      </c>
      <c r="B546" t="s">
        <v>18</v>
      </c>
      <c r="C546" t="s">
        <v>4</v>
      </c>
      <c r="D546" s="3">
        <f>MID(A546,1,2)*1</f>
        <v>88</v>
      </c>
      <c r="E546" s="4">
        <f>MID(A546,3,2)*1</f>
        <v>4</v>
      </c>
      <c r="F546" s="4">
        <f>MID(A546,5,2)*1</f>
        <v>6</v>
      </c>
      <c r="G546" s="3">
        <f>IF(E546&gt;=20,2000,1900) + D546</f>
        <v>1988</v>
      </c>
      <c r="H546">
        <f>IF(E546&gt;=20,E546-20,E546)</f>
        <v>4</v>
      </c>
      <c r="I546" s="4">
        <f>F546</f>
        <v>6</v>
      </c>
      <c r="J546">
        <f>CONCATENATE(G546,IF(LEN(H546)=1,CONCATENATE("0",H546),H546),IF(LEN(F546)=1,CONCATENATE("0",F546),F546))*1</f>
        <v>19880406</v>
      </c>
    </row>
    <row r="547" spans="1:10" hidden="1" x14ac:dyDescent="0.25">
      <c r="A547" s="4" t="s">
        <v>573</v>
      </c>
      <c r="B547" t="s">
        <v>3</v>
      </c>
      <c r="C547" t="s">
        <v>4</v>
      </c>
      <c r="D547" s="3">
        <f>MID(A547,1,2)*1</f>
        <v>80</v>
      </c>
      <c r="E547" s="4">
        <f>MID(A547,3,2)*1</f>
        <v>11</v>
      </c>
      <c r="F547" s="4">
        <f>MID(A547,5,2)*1</f>
        <v>18</v>
      </c>
      <c r="G547" s="3">
        <f>IF(E547&gt;=20,2000,1900) + D547</f>
        <v>1980</v>
      </c>
      <c r="H547">
        <f>IF(E547&gt;=20,E547-20,E547)</f>
        <v>11</v>
      </c>
      <c r="I547" s="4">
        <f>F547</f>
        <v>18</v>
      </c>
      <c r="J547">
        <f>CONCATENATE(G547,IF(LEN(H547)=1,CONCATENATE("0",H547),H547),IF(LEN(F547)=1,CONCATENATE("0",F547),F547))*1</f>
        <v>19801118</v>
      </c>
    </row>
    <row r="548" spans="1:10" hidden="1" x14ac:dyDescent="0.25">
      <c r="A548" s="4" t="s">
        <v>574</v>
      </c>
      <c r="B548" t="s">
        <v>17</v>
      </c>
      <c r="C548" t="s">
        <v>4</v>
      </c>
      <c r="D548" s="3">
        <f>MID(A548,1,2)*1</f>
        <v>64</v>
      </c>
      <c r="E548" s="4">
        <f>MID(A548,3,2)*1</f>
        <v>6</v>
      </c>
      <c r="F548" s="4">
        <f>MID(A548,5,2)*1</f>
        <v>2</v>
      </c>
      <c r="G548" s="3">
        <f>IF(E548&gt;=20,2000,1900) + D548</f>
        <v>1964</v>
      </c>
      <c r="H548">
        <f>IF(E548&gt;=20,E548-20,E548)</f>
        <v>6</v>
      </c>
      <c r="I548" s="4">
        <f>F548</f>
        <v>2</v>
      </c>
      <c r="J548">
        <f>CONCATENATE(G548,IF(LEN(H548)=1,CONCATENATE("0",H548),H548),IF(LEN(F548)=1,CONCATENATE("0",F548),F548))*1</f>
        <v>19640602</v>
      </c>
    </row>
    <row r="549" spans="1:10" hidden="1" x14ac:dyDescent="0.25">
      <c r="A549" s="4" t="s">
        <v>575</v>
      </c>
      <c r="B549" t="s">
        <v>9</v>
      </c>
      <c r="C549" t="s">
        <v>6</v>
      </c>
      <c r="D549" s="3">
        <f>MID(A549,1,2)*1</f>
        <v>66</v>
      </c>
      <c r="E549" s="4">
        <f>MID(A549,3,2)*1</f>
        <v>11</v>
      </c>
      <c r="F549" s="4">
        <f>MID(A549,5,2)*1</f>
        <v>24</v>
      </c>
      <c r="G549" s="3">
        <f>IF(E549&gt;=20,2000,1900) + D549</f>
        <v>1966</v>
      </c>
      <c r="H549">
        <f>IF(E549&gt;=20,E549-20,E549)</f>
        <v>11</v>
      </c>
      <c r="I549" s="4">
        <f>F549</f>
        <v>24</v>
      </c>
      <c r="J549">
        <f>CONCATENATE(G549,IF(LEN(H549)=1,CONCATENATE("0",H549),H549),IF(LEN(F549)=1,CONCATENATE("0",F549),F549))*1</f>
        <v>19661124</v>
      </c>
    </row>
    <row r="550" spans="1:10" hidden="1" x14ac:dyDescent="0.25">
      <c r="A550" s="4" t="s">
        <v>576</v>
      </c>
      <c r="B550" t="s">
        <v>11</v>
      </c>
      <c r="C550" t="s">
        <v>6</v>
      </c>
      <c r="D550" s="3">
        <f>MID(A550,1,2)*1</f>
        <v>95</v>
      </c>
      <c r="E550" s="4">
        <f>MID(A550,3,2)*1</f>
        <v>1</v>
      </c>
      <c r="F550" s="4">
        <f>MID(A550,5,2)*1</f>
        <v>5</v>
      </c>
      <c r="G550" s="3">
        <f>IF(E550&gt;=20,2000,1900) + D550</f>
        <v>1995</v>
      </c>
      <c r="H550">
        <f>IF(E550&gt;=20,E550-20,E550)</f>
        <v>1</v>
      </c>
      <c r="I550" s="4">
        <f>F550</f>
        <v>5</v>
      </c>
      <c r="J550">
        <f>CONCATENATE(G550,IF(LEN(H550)=1,CONCATENATE("0",H550),H550),IF(LEN(F550)=1,CONCATENATE("0",F550),F550))*1</f>
        <v>19950105</v>
      </c>
    </row>
    <row r="551" spans="1:10" hidden="1" x14ac:dyDescent="0.25">
      <c r="A551" s="4" t="s">
        <v>577</v>
      </c>
      <c r="B551" t="s">
        <v>8</v>
      </c>
      <c r="C551" t="s">
        <v>6</v>
      </c>
      <c r="D551" s="3">
        <f>MID(A551,1,2)*1</f>
        <v>66</v>
      </c>
      <c r="E551" s="4">
        <f>MID(A551,3,2)*1</f>
        <v>9</v>
      </c>
      <c r="F551" s="4">
        <f>MID(A551,5,2)*1</f>
        <v>16</v>
      </c>
      <c r="G551" s="3">
        <f>IF(E551&gt;=20,2000,1900) + D551</f>
        <v>1966</v>
      </c>
      <c r="H551">
        <f>IF(E551&gt;=20,E551-20,E551)</f>
        <v>9</v>
      </c>
      <c r="I551" s="4">
        <f>F551</f>
        <v>16</v>
      </c>
      <c r="J551">
        <f>CONCATENATE(G551,IF(LEN(H551)=1,CONCATENATE("0",H551),H551),IF(LEN(F551)=1,CONCATENATE("0",F551),F551))*1</f>
        <v>19660916</v>
      </c>
    </row>
    <row r="552" spans="1:10" hidden="1" x14ac:dyDescent="0.25">
      <c r="A552" s="4" t="s">
        <v>578</v>
      </c>
      <c r="B552" t="s">
        <v>12</v>
      </c>
      <c r="C552" t="s">
        <v>4</v>
      </c>
      <c r="D552" s="3">
        <f>MID(A552,1,2)*1</f>
        <v>60</v>
      </c>
      <c r="E552" s="4">
        <f>MID(A552,3,2)*1</f>
        <v>10</v>
      </c>
      <c r="F552" s="4">
        <f>MID(A552,5,2)*1</f>
        <v>13</v>
      </c>
      <c r="G552" s="3">
        <f>IF(E552&gt;=20,2000,1900) + D552</f>
        <v>1960</v>
      </c>
      <c r="H552">
        <f>IF(E552&gt;=20,E552-20,E552)</f>
        <v>10</v>
      </c>
      <c r="I552" s="4">
        <f>F552</f>
        <v>13</v>
      </c>
      <c r="J552">
        <f>CONCATENATE(G552,IF(LEN(H552)=1,CONCATENATE("0",H552),H552),IF(LEN(F552)=1,CONCATENATE("0",F552),F552))*1</f>
        <v>19601013</v>
      </c>
    </row>
    <row r="553" spans="1:10" hidden="1" x14ac:dyDescent="0.25">
      <c r="A553" s="4" t="s">
        <v>579</v>
      </c>
      <c r="B553" t="s">
        <v>12</v>
      </c>
      <c r="C553" t="s">
        <v>4</v>
      </c>
      <c r="D553" s="3">
        <f>MID(A553,1,2)*1</f>
        <v>73</v>
      </c>
      <c r="E553" s="4">
        <f>MID(A553,3,2)*1</f>
        <v>11</v>
      </c>
      <c r="F553" s="4">
        <f>MID(A553,5,2)*1</f>
        <v>22</v>
      </c>
      <c r="G553" s="3">
        <f>IF(E553&gt;=20,2000,1900) + D553</f>
        <v>1973</v>
      </c>
      <c r="H553">
        <f>IF(E553&gt;=20,E553-20,E553)</f>
        <v>11</v>
      </c>
      <c r="I553" s="4">
        <f>F553</f>
        <v>22</v>
      </c>
      <c r="J553">
        <f>CONCATENATE(G553,IF(LEN(H553)=1,CONCATENATE("0",H553),H553),IF(LEN(F553)=1,CONCATENATE("0",F553),F553))*1</f>
        <v>19731122</v>
      </c>
    </row>
    <row r="554" spans="1:10" hidden="1" x14ac:dyDescent="0.25">
      <c r="A554" s="4" t="s">
        <v>580</v>
      </c>
      <c r="B554" t="s">
        <v>7</v>
      </c>
      <c r="C554" t="s">
        <v>6</v>
      </c>
      <c r="D554" s="3">
        <f>MID(A554,1,2)*1</f>
        <v>77</v>
      </c>
      <c r="E554" s="4">
        <f>MID(A554,3,2)*1</f>
        <v>10</v>
      </c>
      <c r="F554" s="4">
        <f>MID(A554,5,2)*1</f>
        <v>4</v>
      </c>
      <c r="G554" s="3">
        <f>IF(E554&gt;=20,2000,1900) + D554</f>
        <v>1977</v>
      </c>
      <c r="H554">
        <f>IF(E554&gt;=20,E554-20,E554)</f>
        <v>10</v>
      </c>
      <c r="I554" s="4">
        <f>F554</f>
        <v>4</v>
      </c>
      <c r="J554">
        <f>CONCATENATE(G554,IF(LEN(H554)=1,CONCATENATE("0",H554),H554),IF(LEN(F554)=1,CONCATENATE("0",F554),F554))*1</f>
        <v>19771004</v>
      </c>
    </row>
    <row r="555" spans="1:10" hidden="1" x14ac:dyDescent="0.25">
      <c r="A555" s="4" t="s">
        <v>581</v>
      </c>
      <c r="B555" t="s">
        <v>9</v>
      </c>
      <c r="C555" t="s">
        <v>6</v>
      </c>
      <c r="D555" s="3">
        <f>MID(A555,1,2)*1</f>
        <v>98</v>
      </c>
      <c r="E555" s="4">
        <f>MID(A555,3,2)*1</f>
        <v>9</v>
      </c>
      <c r="F555" s="4">
        <f>MID(A555,5,2)*1</f>
        <v>16</v>
      </c>
      <c r="G555" s="3">
        <f>IF(E555&gt;=20,2000,1900) + D555</f>
        <v>1998</v>
      </c>
      <c r="H555">
        <f>IF(E555&gt;=20,E555-20,E555)</f>
        <v>9</v>
      </c>
      <c r="I555" s="4">
        <f>F555</f>
        <v>16</v>
      </c>
      <c r="J555">
        <f>CONCATENATE(G555,IF(LEN(H555)=1,CONCATENATE("0",H555),H555),IF(LEN(F555)=1,CONCATENATE("0",F555),F555))*1</f>
        <v>19980916</v>
      </c>
    </row>
    <row r="556" spans="1:10" hidden="1" x14ac:dyDescent="0.25">
      <c r="A556" s="4" t="s">
        <v>582</v>
      </c>
      <c r="B556" t="s">
        <v>16</v>
      </c>
      <c r="C556" t="s">
        <v>6</v>
      </c>
      <c r="D556" s="3">
        <f>MID(A556,1,2)*1</f>
        <v>67</v>
      </c>
      <c r="E556" s="4">
        <f>MID(A556,3,2)*1</f>
        <v>9</v>
      </c>
      <c r="F556" s="4">
        <f>MID(A556,5,2)*1</f>
        <v>14</v>
      </c>
      <c r="G556" s="3">
        <f>IF(E556&gt;=20,2000,1900) + D556</f>
        <v>1967</v>
      </c>
      <c r="H556">
        <f>IF(E556&gt;=20,E556-20,E556)</f>
        <v>9</v>
      </c>
      <c r="I556" s="4">
        <f>F556</f>
        <v>14</v>
      </c>
      <c r="J556">
        <f>CONCATENATE(G556,IF(LEN(H556)=1,CONCATENATE("0",H556),H556),IF(LEN(F556)=1,CONCATENATE("0",F556),F556))*1</f>
        <v>19670914</v>
      </c>
    </row>
    <row r="557" spans="1:10" hidden="1" x14ac:dyDescent="0.25">
      <c r="A557" s="4" t="s">
        <v>583</v>
      </c>
      <c r="B557" t="s">
        <v>5</v>
      </c>
      <c r="C557" t="s">
        <v>6</v>
      </c>
      <c r="D557" s="3">
        <f>MID(A557,1,2)*1</f>
        <v>75</v>
      </c>
      <c r="E557" s="4">
        <f>MID(A557,3,2)*1</f>
        <v>5</v>
      </c>
      <c r="F557" s="4">
        <f>MID(A557,5,2)*1</f>
        <v>24</v>
      </c>
      <c r="G557" s="3">
        <f>IF(E557&gt;=20,2000,1900) + D557</f>
        <v>1975</v>
      </c>
      <c r="H557">
        <f>IF(E557&gt;=20,E557-20,E557)</f>
        <v>5</v>
      </c>
      <c r="I557" s="4">
        <f>F557</f>
        <v>24</v>
      </c>
      <c r="J557">
        <f>CONCATENATE(G557,IF(LEN(H557)=1,CONCATENATE("0",H557),H557),IF(LEN(F557)=1,CONCATENATE("0",F557),F557))*1</f>
        <v>19750524</v>
      </c>
    </row>
    <row r="558" spans="1:10" x14ac:dyDescent="0.25">
      <c r="A558" s="4" t="s">
        <v>603</v>
      </c>
      <c r="B558" t="s">
        <v>18</v>
      </c>
      <c r="C558" t="s">
        <v>6</v>
      </c>
      <c r="D558" s="3">
        <f>MID(A558,1,2)*1</f>
        <v>91</v>
      </c>
      <c r="E558" s="4">
        <f>MID(A558,3,2)*1</f>
        <v>2</v>
      </c>
      <c r="F558" s="4">
        <f>MID(A558,5,2)*1</f>
        <v>3</v>
      </c>
      <c r="G558" s="3">
        <f>IF(E558&gt;=20,2000,1900) + D558</f>
        <v>1991</v>
      </c>
      <c r="H558">
        <f>IF(E558&gt;=20,E558-20,E558)</f>
        <v>2</v>
      </c>
      <c r="I558" s="4">
        <f>F558</f>
        <v>3</v>
      </c>
      <c r="J558">
        <f>CONCATENATE(G558,IF(LEN(H558)=1,CONCATENATE("0",H558),H558),IF(LEN(F558)=1,CONCATENATE("0",F558),F558))*1</f>
        <v>19910203</v>
      </c>
    </row>
    <row r="559" spans="1:10" hidden="1" x14ac:dyDescent="0.25">
      <c r="A559" s="4" t="s">
        <v>585</v>
      </c>
      <c r="B559" t="s">
        <v>20</v>
      </c>
      <c r="C559" t="s">
        <v>6</v>
      </c>
      <c r="D559" s="3">
        <f>MID(A559,1,2)*1</f>
        <v>58</v>
      </c>
      <c r="E559" s="4">
        <f>MID(A559,3,2)*1</f>
        <v>1</v>
      </c>
      <c r="F559" s="4">
        <f>MID(A559,5,2)*1</f>
        <v>14</v>
      </c>
      <c r="G559" s="3">
        <f>IF(E559&gt;=20,2000,1900) + D559</f>
        <v>1958</v>
      </c>
      <c r="H559">
        <f>IF(E559&gt;=20,E559-20,E559)</f>
        <v>1</v>
      </c>
      <c r="I559" s="4">
        <f>F559</f>
        <v>14</v>
      </c>
      <c r="J559">
        <f>CONCATENATE(G559,IF(LEN(H559)=1,CONCATENATE("0",H559),H559),IF(LEN(F559)=1,CONCATENATE("0",F559),F559))*1</f>
        <v>19580114</v>
      </c>
    </row>
    <row r="560" spans="1:10" hidden="1" x14ac:dyDescent="0.25">
      <c r="A560" s="4" t="s">
        <v>586</v>
      </c>
      <c r="B560" t="s">
        <v>17</v>
      </c>
      <c r="C560" t="s">
        <v>4</v>
      </c>
      <c r="D560" s="3">
        <f>MID(A560,1,2)*1</f>
        <v>61</v>
      </c>
      <c r="E560" s="4">
        <f>MID(A560,3,2)*1</f>
        <v>1</v>
      </c>
      <c r="F560" s="4">
        <f>MID(A560,5,2)*1</f>
        <v>9</v>
      </c>
      <c r="G560" s="3">
        <f>IF(E560&gt;=20,2000,1900) + D560</f>
        <v>1961</v>
      </c>
      <c r="H560">
        <f>IF(E560&gt;=20,E560-20,E560)</f>
        <v>1</v>
      </c>
      <c r="I560" s="4">
        <f>F560</f>
        <v>9</v>
      </c>
      <c r="J560">
        <f>CONCATENATE(G560,IF(LEN(H560)=1,CONCATENATE("0",H560),H560),IF(LEN(F560)=1,CONCATENATE("0",F560),F560))*1</f>
        <v>19610109</v>
      </c>
    </row>
    <row r="561" spans="1:10" hidden="1" x14ac:dyDescent="0.25">
      <c r="A561" s="4" t="s">
        <v>587</v>
      </c>
      <c r="B561" t="s">
        <v>20</v>
      </c>
      <c r="C561" t="s">
        <v>4</v>
      </c>
      <c r="D561" s="3">
        <f>MID(A561,1,2)*1</f>
        <v>59</v>
      </c>
      <c r="E561" s="4">
        <f>MID(A561,3,2)*1</f>
        <v>2</v>
      </c>
      <c r="F561" s="4">
        <f>MID(A561,5,2)*1</f>
        <v>1</v>
      </c>
      <c r="G561" s="3">
        <f>IF(E561&gt;=20,2000,1900) + D561</f>
        <v>1959</v>
      </c>
      <c r="H561">
        <f>IF(E561&gt;=20,E561-20,E561)</f>
        <v>2</v>
      </c>
      <c r="I561" s="4">
        <f>F561</f>
        <v>1</v>
      </c>
      <c r="J561">
        <f>CONCATENATE(G561,IF(LEN(H561)=1,CONCATENATE("0",H561),H561),IF(LEN(F561)=1,CONCATENATE("0",F561),F561))*1</f>
        <v>19590201</v>
      </c>
    </row>
    <row r="562" spans="1:10" hidden="1" x14ac:dyDescent="0.25">
      <c r="A562" s="4" t="s">
        <v>588</v>
      </c>
      <c r="B562" t="s">
        <v>10</v>
      </c>
      <c r="C562" t="s">
        <v>6</v>
      </c>
      <c r="D562" s="3">
        <f>MID(A562,1,2)*1</f>
        <v>85</v>
      </c>
      <c r="E562" s="4">
        <f>MID(A562,3,2)*1</f>
        <v>1</v>
      </c>
      <c r="F562" s="4">
        <f>MID(A562,5,2)*1</f>
        <v>20</v>
      </c>
      <c r="G562" s="3">
        <f>IF(E562&gt;=20,2000,1900) + D562</f>
        <v>1985</v>
      </c>
      <c r="H562">
        <f>IF(E562&gt;=20,E562-20,E562)</f>
        <v>1</v>
      </c>
      <c r="I562" s="4">
        <f>F562</f>
        <v>20</v>
      </c>
      <c r="J562">
        <f>CONCATENATE(G562,IF(LEN(H562)=1,CONCATENATE("0",H562),H562),IF(LEN(F562)=1,CONCATENATE("0",F562),F562))*1</f>
        <v>19850120</v>
      </c>
    </row>
    <row r="563" spans="1:10" hidden="1" x14ac:dyDescent="0.25">
      <c r="A563" s="4" t="s">
        <v>589</v>
      </c>
      <c r="B563" t="s">
        <v>14</v>
      </c>
      <c r="C563" t="s">
        <v>6</v>
      </c>
      <c r="D563" s="3">
        <f>MID(A563,1,2)*1</f>
        <v>89</v>
      </c>
      <c r="E563" s="4">
        <f>MID(A563,3,2)*1</f>
        <v>2</v>
      </c>
      <c r="F563" s="4">
        <f>MID(A563,5,2)*1</f>
        <v>13</v>
      </c>
      <c r="G563" s="3">
        <f>IF(E563&gt;=20,2000,1900) + D563</f>
        <v>1989</v>
      </c>
      <c r="H563">
        <f>IF(E563&gt;=20,E563-20,E563)</f>
        <v>2</v>
      </c>
      <c r="I563" s="4">
        <f>F563</f>
        <v>13</v>
      </c>
      <c r="J563">
        <f>CONCATENATE(G563,IF(LEN(H563)=1,CONCATENATE("0",H563),H563),IF(LEN(F563)=1,CONCATENATE("0",F563),F563))*1</f>
        <v>19890213</v>
      </c>
    </row>
    <row r="564" spans="1:10" hidden="1" x14ac:dyDescent="0.25">
      <c r="A564" s="4" t="s">
        <v>590</v>
      </c>
      <c r="B564" t="s">
        <v>15</v>
      </c>
      <c r="C564" t="s">
        <v>4</v>
      </c>
      <c r="D564" s="3">
        <f>MID(A564,1,2)*1</f>
        <v>65</v>
      </c>
      <c r="E564" s="4">
        <f>MID(A564,3,2)*1</f>
        <v>9</v>
      </c>
      <c r="F564" s="4">
        <f>MID(A564,5,2)*1</f>
        <v>24</v>
      </c>
      <c r="G564" s="3">
        <f>IF(E564&gt;=20,2000,1900) + D564</f>
        <v>1965</v>
      </c>
      <c r="H564">
        <f>IF(E564&gt;=20,E564-20,E564)</f>
        <v>9</v>
      </c>
      <c r="I564" s="4">
        <f>F564</f>
        <v>24</v>
      </c>
      <c r="J564">
        <f>CONCATENATE(G564,IF(LEN(H564)=1,CONCATENATE("0",H564),H564),IF(LEN(F564)=1,CONCATENATE("0",F564),F564))*1</f>
        <v>19650924</v>
      </c>
    </row>
    <row r="565" spans="1:10" hidden="1" x14ac:dyDescent="0.25">
      <c r="A565" s="4" t="s">
        <v>591</v>
      </c>
      <c r="B565" t="s">
        <v>12</v>
      </c>
      <c r="C565" t="s">
        <v>6</v>
      </c>
      <c r="D565" s="3">
        <f>MID(A565,1,2)*1</f>
        <v>69</v>
      </c>
      <c r="E565" s="4">
        <f>MID(A565,3,2)*1</f>
        <v>7</v>
      </c>
      <c r="F565" s="4">
        <f>MID(A565,5,2)*1</f>
        <v>23</v>
      </c>
      <c r="G565" s="3">
        <f>IF(E565&gt;=20,2000,1900) + D565</f>
        <v>1969</v>
      </c>
      <c r="H565">
        <f>IF(E565&gt;=20,E565-20,E565)</f>
        <v>7</v>
      </c>
      <c r="I565" s="4">
        <f>F565</f>
        <v>23</v>
      </c>
      <c r="J565">
        <f>CONCATENATE(G565,IF(LEN(H565)=1,CONCATENATE("0",H565),H565),IF(LEN(F565)=1,CONCATENATE("0",F565),F565))*1</f>
        <v>19690723</v>
      </c>
    </row>
    <row r="566" spans="1:10" hidden="1" x14ac:dyDescent="0.25">
      <c r="A566" s="4" t="s">
        <v>592</v>
      </c>
      <c r="B566" t="s">
        <v>9</v>
      </c>
      <c r="C566" t="s">
        <v>4</v>
      </c>
      <c r="D566" s="3">
        <f>MID(A566,1,2)*1</f>
        <v>80</v>
      </c>
      <c r="E566" s="4">
        <f>MID(A566,3,2)*1</f>
        <v>10</v>
      </c>
      <c r="F566" s="4">
        <f>MID(A566,5,2)*1</f>
        <v>14</v>
      </c>
      <c r="G566" s="3">
        <f>IF(E566&gt;=20,2000,1900) + D566</f>
        <v>1980</v>
      </c>
      <c r="H566">
        <f>IF(E566&gt;=20,E566-20,E566)</f>
        <v>10</v>
      </c>
      <c r="I566" s="4">
        <f>F566</f>
        <v>14</v>
      </c>
      <c r="J566">
        <f>CONCATENATE(G566,IF(LEN(H566)=1,CONCATENATE("0",H566),H566),IF(LEN(F566)=1,CONCATENATE("0",F566),F566))*1</f>
        <v>19801014</v>
      </c>
    </row>
    <row r="567" spans="1:10" x14ac:dyDescent="0.25">
      <c r="A567" s="4" t="s">
        <v>50</v>
      </c>
      <c r="B567" t="s">
        <v>18</v>
      </c>
      <c r="C567" t="s">
        <v>4</v>
      </c>
      <c r="D567" s="3">
        <f>MID(A567,1,2)*1</f>
        <v>91</v>
      </c>
      <c r="E567" s="4">
        <f>MID(A567,3,2)*1</f>
        <v>12</v>
      </c>
      <c r="F567" s="4">
        <f>MID(A567,5,2)*1</f>
        <v>4</v>
      </c>
      <c r="G567" s="3">
        <f>IF(E567&gt;=20,2000,1900) + D567</f>
        <v>1991</v>
      </c>
      <c r="H567">
        <f>IF(E567&gt;=20,E567-20,E567)</f>
        <v>12</v>
      </c>
      <c r="I567" s="4">
        <f>F567</f>
        <v>4</v>
      </c>
      <c r="J567">
        <f>CONCATENATE(G567,IF(LEN(H567)=1,CONCATENATE("0",H567),H567),IF(LEN(F567)=1,CONCATENATE("0",F567),F567))*1</f>
        <v>19911204</v>
      </c>
    </row>
    <row r="568" spans="1:10" hidden="1" x14ac:dyDescent="0.25">
      <c r="A568" s="4" t="s">
        <v>594</v>
      </c>
      <c r="B568" t="s">
        <v>11</v>
      </c>
      <c r="C568" t="s">
        <v>6</v>
      </c>
      <c r="D568" s="3">
        <f>MID(A568,1,2)*1</f>
        <v>95</v>
      </c>
      <c r="E568" s="4">
        <f>MID(A568,3,2)*1</f>
        <v>3</v>
      </c>
      <c r="F568" s="4">
        <f>MID(A568,5,2)*1</f>
        <v>3</v>
      </c>
      <c r="G568" s="3">
        <f>IF(E568&gt;=20,2000,1900) + D568</f>
        <v>1995</v>
      </c>
      <c r="H568">
        <f>IF(E568&gt;=20,E568-20,E568)</f>
        <v>3</v>
      </c>
      <c r="I568" s="4">
        <f>F568</f>
        <v>3</v>
      </c>
      <c r="J568">
        <f>CONCATENATE(G568,IF(LEN(H568)=1,CONCATENATE("0",H568),H568),IF(LEN(F568)=1,CONCATENATE("0",F568),F568))*1</f>
        <v>19950303</v>
      </c>
    </row>
    <row r="569" spans="1:10" hidden="1" x14ac:dyDescent="0.25">
      <c r="A569" s="4" t="s">
        <v>595</v>
      </c>
      <c r="B569" t="s">
        <v>9</v>
      </c>
      <c r="C569" t="s">
        <v>6</v>
      </c>
      <c r="D569" s="3">
        <f>MID(A569,1,2)*1</f>
        <v>84</v>
      </c>
      <c r="E569" s="4">
        <f>MID(A569,3,2)*1</f>
        <v>8</v>
      </c>
      <c r="F569" s="4">
        <f>MID(A569,5,2)*1</f>
        <v>31</v>
      </c>
      <c r="G569" s="3">
        <f>IF(E569&gt;=20,2000,1900) + D569</f>
        <v>1984</v>
      </c>
      <c r="H569">
        <f>IF(E569&gt;=20,E569-20,E569)</f>
        <v>8</v>
      </c>
      <c r="I569" s="4">
        <f>F569</f>
        <v>31</v>
      </c>
      <c r="J569">
        <f>CONCATENATE(G569,IF(LEN(H569)=1,CONCATENATE("0",H569),H569),IF(LEN(F569)=1,CONCATENATE("0",F569),F569))*1</f>
        <v>19840831</v>
      </c>
    </row>
    <row r="570" spans="1:10" hidden="1" x14ac:dyDescent="0.25">
      <c r="A570" s="4" t="s">
        <v>596</v>
      </c>
      <c r="B570" t="s">
        <v>20</v>
      </c>
      <c r="C570" t="s">
        <v>6</v>
      </c>
      <c r="D570" s="3">
        <f>MID(A570,1,2)*1</f>
        <v>81</v>
      </c>
      <c r="E570" s="4">
        <f>MID(A570,3,2)*1</f>
        <v>8</v>
      </c>
      <c r="F570" s="4">
        <f>MID(A570,5,2)*1</f>
        <v>27</v>
      </c>
      <c r="G570" s="3">
        <f>IF(E570&gt;=20,2000,1900) + D570</f>
        <v>1981</v>
      </c>
      <c r="H570">
        <f>IF(E570&gt;=20,E570-20,E570)</f>
        <v>8</v>
      </c>
      <c r="I570" s="4">
        <f>F570</f>
        <v>27</v>
      </c>
      <c r="J570">
        <f>CONCATENATE(G570,IF(LEN(H570)=1,CONCATENATE("0",H570),H570),IF(LEN(F570)=1,CONCATENATE("0",F570),F570))*1</f>
        <v>19810827</v>
      </c>
    </row>
    <row r="571" spans="1:10" hidden="1" x14ac:dyDescent="0.25">
      <c r="A571" s="4" t="s">
        <v>597</v>
      </c>
      <c r="B571" t="s">
        <v>16</v>
      </c>
      <c r="C571" t="s">
        <v>6</v>
      </c>
      <c r="D571" s="3">
        <f>MID(A571,1,2)*1</f>
        <v>64</v>
      </c>
      <c r="E571" s="4">
        <f>MID(A571,3,2)*1</f>
        <v>6</v>
      </c>
      <c r="F571" s="4">
        <f>MID(A571,5,2)*1</f>
        <v>14</v>
      </c>
      <c r="G571" s="3">
        <f>IF(E571&gt;=20,2000,1900) + D571</f>
        <v>1964</v>
      </c>
      <c r="H571">
        <f>IF(E571&gt;=20,E571-20,E571)</f>
        <v>6</v>
      </c>
      <c r="I571" s="4">
        <f>F571</f>
        <v>14</v>
      </c>
      <c r="J571">
        <f>CONCATENATE(G571,IF(LEN(H571)=1,CONCATENATE("0",H571),H571),IF(LEN(F571)=1,CONCATENATE("0",F571),F571))*1</f>
        <v>19640614</v>
      </c>
    </row>
    <row r="572" spans="1:10" hidden="1" x14ac:dyDescent="0.25">
      <c r="A572" s="4" t="s">
        <v>598</v>
      </c>
      <c r="B572" t="s">
        <v>11</v>
      </c>
      <c r="C572" t="s">
        <v>6</v>
      </c>
      <c r="D572" s="3">
        <f>MID(A572,1,2)*1</f>
        <v>96</v>
      </c>
      <c r="E572" s="4">
        <f>MID(A572,3,2)*1</f>
        <v>9</v>
      </c>
      <c r="F572" s="4">
        <f>MID(A572,5,2)*1</f>
        <v>13</v>
      </c>
      <c r="G572" s="3">
        <f>IF(E572&gt;=20,2000,1900) + D572</f>
        <v>1996</v>
      </c>
      <c r="H572">
        <f>IF(E572&gt;=20,E572-20,E572)</f>
        <v>9</v>
      </c>
      <c r="I572" s="4">
        <f>F572</f>
        <v>13</v>
      </c>
      <c r="J572">
        <f>CONCATENATE(G572,IF(LEN(H572)=1,CONCATENATE("0",H572),H572),IF(LEN(F572)=1,CONCATENATE("0",F572),F572))*1</f>
        <v>19960913</v>
      </c>
    </row>
    <row r="573" spans="1:10" hidden="1" x14ac:dyDescent="0.25">
      <c r="A573" s="4" t="s">
        <v>599</v>
      </c>
      <c r="B573" t="s">
        <v>13</v>
      </c>
      <c r="C573" t="s">
        <v>6</v>
      </c>
      <c r="D573" s="3">
        <f>MID(A573,1,2)*1</f>
        <v>84</v>
      </c>
      <c r="E573" s="4">
        <f>MID(A573,3,2)*1</f>
        <v>4</v>
      </c>
      <c r="F573" s="4">
        <f>MID(A573,5,2)*1</f>
        <v>16</v>
      </c>
      <c r="G573" s="3">
        <f>IF(E573&gt;=20,2000,1900) + D573</f>
        <v>1984</v>
      </c>
      <c r="H573">
        <f>IF(E573&gt;=20,E573-20,E573)</f>
        <v>4</v>
      </c>
      <c r="I573" s="4">
        <f>F573</f>
        <v>16</v>
      </c>
      <c r="J573">
        <f>CONCATENATE(G573,IF(LEN(H573)=1,CONCATENATE("0",H573),H573),IF(LEN(F573)=1,CONCATENATE("0",F573),F573))*1</f>
        <v>19840416</v>
      </c>
    </row>
    <row r="574" spans="1:10" hidden="1" x14ac:dyDescent="0.25">
      <c r="A574" s="4" t="s">
        <v>600</v>
      </c>
      <c r="B574" t="s">
        <v>15</v>
      </c>
      <c r="C574" t="s">
        <v>6</v>
      </c>
      <c r="D574" s="3">
        <f>MID(A574,1,2)*1</f>
        <v>94</v>
      </c>
      <c r="E574" s="4">
        <f>MID(A574,3,2)*1</f>
        <v>11</v>
      </c>
      <c r="F574" s="4">
        <f>MID(A574,5,2)*1</f>
        <v>30</v>
      </c>
      <c r="G574" s="3">
        <f>IF(E574&gt;=20,2000,1900) + D574</f>
        <v>1994</v>
      </c>
      <c r="H574">
        <f>IF(E574&gt;=20,E574-20,E574)</f>
        <v>11</v>
      </c>
      <c r="I574" s="4">
        <f>F574</f>
        <v>30</v>
      </c>
      <c r="J574">
        <f>CONCATENATE(G574,IF(LEN(H574)=1,CONCATENATE("0",H574),H574),IF(LEN(F574)=1,CONCATENATE("0",F574),F574))*1</f>
        <v>19941130</v>
      </c>
    </row>
    <row r="575" spans="1:10" hidden="1" x14ac:dyDescent="0.25">
      <c r="A575" s="4" t="s">
        <v>601</v>
      </c>
      <c r="B575" t="s">
        <v>15</v>
      </c>
      <c r="C575" t="s">
        <v>4</v>
      </c>
      <c r="D575" s="3">
        <f>MID(A575,1,2)*1</f>
        <v>53</v>
      </c>
      <c r="E575" s="4">
        <f>MID(A575,3,2)*1</f>
        <v>10</v>
      </c>
      <c r="F575" s="4">
        <f>MID(A575,5,2)*1</f>
        <v>1</v>
      </c>
      <c r="G575" s="3">
        <f>IF(E575&gt;=20,2000,1900) + D575</f>
        <v>1953</v>
      </c>
      <c r="H575">
        <f>IF(E575&gt;=20,E575-20,E575)</f>
        <v>10</v>
      </c>
      <c r="I575" s="4">
        <f>F575</f>
        <v>1</v>
      </c>
      <c r="J575">
        <f>CONCATENATE(G575,IF(LEN(H575)=1,CONCATENATE("0",H575),H575),IF(LEN(F575)=1,CONCATENATE("0",F575),F575))*1</f>
        <v>19531001</v>
      </c>
    </row>
    <row r="576" spans="1:10" hidden="1" x14ac:dyDescent="0.25">
      <c r="A576" s="4" t="s">
        <v>602</v>
      </c>
      <c r="B576" t="s">
        <v>15</v>
      </c>
      <c r="C576" t="s">
        <v>4</v>
      </c>
      <c r="D576" s="3">
        <f>MID(A576,1,2)*1</f>
        <v>81</v>
      </c>
      <c r="E576" s="4">
        <f>MID(A576,3,2)*1</f>
        <v>10</v>
      </c>
      <c r="F576" s="4">
        <f>MID(A576,5,2)*1</f>
        <v>29</v>
      </c>
      <c r="G576" s="3">
        <f>IF(E576&gt;=20,2000,1900) + D576</f>
        <v>1981</v>
      </c>
      <c r="H576">
        <f>IF(E576&gt;=20,E576-20,E576)</f>
        <v>10</v>
      </c>
      <c r="I576" s="4">
        <f>F576</f>
        <v>29</v>
      </c>
      <c r="J576">
        <f>CONCATENATE(G576,IF(LEN(H576)=1,CONCATENATE("0",H576),H576),IF(LEN(F576)=1,CONCATENATE("0",F576),F576))*1</f>
        <v>19811029</v>
      </c>
    </row>
    <row r="577" spans="1:10" x14ac:dyDescent="0.25">
      <c r="A577" s="4" t="s">
        <v>584</v>
      </c>
      <c r="B577" t="s">
        <v>18</v>
      </c>
      <c r="C577" t="s">
        <v>4</v>
      </c>
      <c r="D577" s="3">
        <f>MID(A577,1,2)*1</f>
        <v>93</v>
      </c>
      <c r="E577" s="4">
        <f>MID(A577,3,2)*1</f>
        <v>4</v>
      </c>
      <c r="F577" s="4">
        <f>MID(A577,5,2)*1</f>
        <v>20</v>
      </c>
      <c r="G577" s="3">
        <f>IF(E577&gt;=20,2000,1900) + D577</f>
        <v>1993</v>
      </c>
      <c r="H577">
        <f>IF(E577&gt;=20,E577-20,E577)</f>
        <v>4</v>
      </c>
      <c r="I577" s="4">
        <f>F577</f>
        <v>20</v>
      </c>
      <c r="J577">
        <f>CONCATENATE(G577,IF(LEN(H577)=1,CONCATENATE("0",H577),H577),IF(LEN(F577)=1,CONCATENATE("0",F577),F577))*1</f>
        <v>19930420</v>
      </c>
    </row>
    <row r="578" spans="1:10" hidden="1" x14ac:dyDescent="0.25">
      <c r="A578" s="4" t="s">
        <v>604</v>
      </c>
      <c r="B578" t="s">
        <v>16</v>
      </c>
      <c r="C578" t="s">
        <v>4</v>
      </c>
      <c r="D578" s="3">
        <f>MID(A578,1,2)*1</f>
        <v>86</v>
      </c>
      <c r="E578" s="4">
        <f>MID(A578,3,2)*1</f>
        <v>1</v>
      </c>
      <c r="F578" s="4">
        <f>MID(A578,5,2)*1</f>
        <v>29</v>
      </c>
      <c r="G578" s="3">
        <f>IF(E578&gt;=20,2000,1900) + D578</f>
        <v>1986</v>
      </c>
      <c r="H578">
        <f>IF(E578&gt;=20,E578-20,E578)</f>
        <v>1</v>
      </c>
      <c r="I578" s="4">
        <f>F578</f>
        <v>29</v>
      </c>
      <c r="J578">
        <f>CONCATENATE(G578,IF(LEN(H578)=1,CONCATENATE("0",H578),H578),IF(LEN(F578)=1,CONCATENATE("0",F578),F578))*1</f>
        <v>19860129</v>
      </c>
    </row>
    <row r="579" spans="1:10" hidden="1" x14ac:dyDescent="0.25">
      <c r="A579" s="4" t="s">
        <v>605</v>
      </c>
      <c r="B579" t="s">
        <v>10</v>
      </c>
      <c r="C579" t="s">
        <v>6</v>
      </c>
      <c r="D579" s="3">
        <f>MID(A579,1,2)*1</f>
        <v>95</v>
      </c>
      <c r="E579" s="4">
        <f>MID(A579,3,2)*1</f>
        <v>1</v>
      </c>
      <c r="F579" s="4">
        <f>MID(A579,5,2)*1</f>
        <v>12</v>
      </c>
      <c r="G579" s="3">
        <f>IF(E579&gt;=20,2000,1900) + D579</f>
        <v>1995</v>
      </c>
      <c r="H579">
        <f>IF(E579&gt;=20,E579-20,E579)</f>
        <v>1</v>
      </c>
      <c r="I579" s="4">
        <f>F579</f>
        <v>12</v>
      </c>
      <c r="J579">
        <f>CONCATENATE(G579,IF(LEN(H579)=1,CONCATENATE("0",H579),H579),IF(LEN(F579)=1,CONCATENATE("0",F579),F579))*1</f>
        <v>19950112</v>
      </c>
    </row>
    <row r="580" spans="1:10" hidden="1" x14ac:dyDescent="0.25">
      <c r="A580" s="4" t="s">
        <v>606</v>
      </c>
      <c r="B580" t="s">
        <v>19</v>
      </c>
      <c r="C580" t="s">
        <v>4</v>
      </c>
      <c r="D580" s="3">
        <f>MID(A580,1,2)*1</f>
        <v>63</v>
      </c>
      <c r="E580" s="4">
        <f>MID(A580,3,2)*1</f>
        <v>6</v>
      </c>
      <c r="F580" s="4">
        <f>MID(A580,5,2)*1</f>
        <v>5</v>
      </c>
      <c r="G580" s="3">
        <f>IF(E580&gt;=20,2000,1900) + D580</f>
        <v>1963</v>
      </c>
      <c r="H580">
        <f>IF(E580&gt;=20,E580-20,E580)</f>
        <v>6</v>
      </c>
      <c r="I580" s="4">
        <f>F580</f>
        <v>5</v>
      </c>
      <c r="J580">
        <f>CONCATENATE(G580,IF(LEN(H580)=1,CONCATENATE("0",H580),H580),IF(LEN(F580)=1,CONCATENATE("0",F580),F580))*1</f>
        <v>19630605</v>
      </c>
    </row>
    <row r="581" spans="1:10" hidden="1" x14ac:dyDescent="0.25">
      <c r="A581" s="4" t="s">
        <v>607</v>
      </c>
      <c r="B581" t="s">
        <v>13</v>
      </c>
      <c r="C581" t="s">
        <v>4</v>
      </c>
      <c r="D581" s="3">
        <f>MID(A581,1,2)*1</f>
        <v>73</v>
      </c>
      <c r="E581" s="4">
        <f>MID(A581,3,2)*1</f>
        <v>5</v>
      </c>
      <c r="F581" s="4">
        <f>MID(A581,5,2)*1</f>
        <v>22</v>
      </c>
      <c r="G581" s="3">
        <f>IF(E581&gt;=20,2000,1900) + D581</f>
        <v>1973</v>
      </c>
      <c r="H581">
        <f>IF(E581&gt;=20,E581-20,E581)</f>
        <v>5</v>
      </c>
      <c r="I581" s="4">
        <f>F581</f>
        <v>22</v>
      </c>
      <c r="J581">
        <f>CONCATENATE(G581,IF(LEN(H581)=1,CONCATENATE("0",H581),H581),IF(LEN(F581)=1,CONCATENATE("0",F581),F581))*1</f>
        <v>19730522</v>
      </c>
    </row>
    <row r="582" spans="1:10" hidden="1" x14ac:dyDescent="0.25">
      <c r="A582" s="4" t="s">
        <v>608</v>
      </c>
      <c r="B582" t="s">
        <v>8</v>
      </c>
      <c r="C582" t="s">
        <v>4</v>
      </c>
      <c r="D582" s="3">
        <f>MID(A582,1,2)*1</f>
        <v>57</v>
      </c>
      <c r="E582" s="4">
        <f>MID(A582,3,2)*1</f>
        <v>2</v>
      </c>
      <c r="F582" s="4">
        <f>MID(A582,5,2)*1</f>
        <v>24</v>
      </c>
      <c r="G582" s="3">
        <f>IF(E582&gt;=20,2000,1900) + D582</f>
        <v>1957</v>
      </c>
      <c r="H582">
        <f>IF(E582&gt;=20,E582-20,E582)</f>
        <v>2</v>
      </c>
      <c r="I582" s="4">
        <f>F582</f>
        <v>24</v>
      </c>
      <c r="J582">
        <f>CONCATENATE(G582,IF(LEN(H582)=1,CONCATENATE("0",H582),H582),IF(LEN(F582)=1,CONCATENATE("0",F582),F582))*1</f>
        <v>19570224</v>
      </c>
    </row>
    <row r="583" spans="1:10" x14ac:dyDescent="0.25">
      <c r="A583" s="4" t="s">
        <v>623</v>
      </c>
      <c r="B583" t="s">
        <v>18</v>
      </c>
      <c r="C583" t="s">
        <v>6</v>
      </c>
      <c r="D583" s="3">
        <f>MID(A583,1,2)*1</f>
        <v>97</v>
      </c>
      <c r="E583" s="4">
        <f>MID(A583,3,2)*1</f>
        <v>6</v>
      </c>
      <c r="F583" s="4">
        <f>MID(A583,5,2)*1</f>
        <v>5</v>
      </c>
      <c r="G583" s="3">
        <f>IF(E583&gt;=20,2000,1900) + D583</f>
        <v>1997</v>
      </c>
      <c r="H583">
        <f>IF(E583&gt;=20,E583-20,E583)</f>
        <v>6</v>
      </c>
      <c r="I583" s="4">
        <f>F583</f>
        <v>5</v>
      </c>
      <c r="J583">
        <f>CONCATENATE(G583,IF(LEN(H583)=1,CONCATENATE("0",H583),H583),IF(LEN(F583)=1,CONCATENATE("0",F583),F583))*1</f>
        <v>19970605</v>
      </c>
    </row>
    <row r="584" spans="1:10" x14ac:dyDescent="0.25">
      <c r="A584" s="4" t="s">
        <v>246</v>
      </c>
      <c r="B584" t="s">
        <v>18</v>
      </c>
      <c r="C584" t="s">
        <v>4</v>
      </c>
      <c r="D584" s="3">
        <f>MID(A584,1,2)*1</f>
        <v>99</v>
      </c>
      <c r="E584" s="4">
        <f>MID(A584,3,2)*1</f>
        <v>11</v>
      </c>
      <c r="F584" s="4">
        <f>MID(A584,5,2)*1</f>
        <v>27</v>
      </c>
      <c r="G584" s="3">
        <f>IF(E584&gt;=20,2000,1900) + D584</f>
        <v>1999</v>
      </c>
      <c r="H584">
        <f>IF(E584&gt;=20,E584-20,E584)</f>
        <v>11</v>
      </c>
      <c r="I584" s="4">
        <f>F584</f>
        <v>27</v>
      </c>
      <c r="J584">
        <f>CONCATENATE(G584,IF(LEN(H584)=1,CONCATENATE("0",H584),H584),IF(LEN(F584)=1,CONCATENATE("0",F584),F584))*1</f>
        <v>19991127</v>
      </c>
    </row>
    <row r="585" spans="1:10" hidden="1" x14ac:dyDescent="0.25">
      <c r="A585" s="4" t="s">
        <v>611</v>
      </c>
      <c r="B585" t="s">
        <v>15</v>
      </c>
      <c r="C585" t="s">
        <v>4</v>
      </c>
      <c r="D585" s="3">
        <f>MID(A585,1,2)*1</f>
        <v>84</v>
      </c>
      <c r="E585" s="4">
        <f>MID(A585,3,2)*1</f>
        <v>6</v>
      </c>
      <c r="F585" s="4">
        <f>MID(A585,5,2)*1</f>
        <v>10</v>
      </c>
      <c r="G585" s="3">
        <f>IF(E585&gt;=20,2000,1900) + D585</f>
        <v>1984</v>
      </c>
      <c r="H585">
        <f>IF(E585&gt;=20,E585-20,E585)</f>
        <v>6</v>
      </c>
      <c r="I585" s="4">
        <f>F585</f>
        <v>10</v>
      </c>
      <c r="J585">
        <f>CONCATENATE(G585,IF(LEN(H585)=1,CONCATENATE("0",H585),H585),IF(LEN(F585)=1,CONCATENATE("0",F585),F585))*1</f>
        <v>19840610</v>
      </c>
    </row>
    <row r="586" spans="1:10" hidden="1" x14ac:dyDescent="0.25">
      <c r="A586" s="4" t="s">
        <v>612</v>
      </c>
      <c r="B586" t="s">
        <v>17</v>
      </c>
      <c r="C586" t="s">
        <v>6</v>
      </c>
      <c r="D586" s="3">
        <f>MID(A586,1,2)*1</f>
        <v>77</v>
      </c>
      <c r="E586" s="4">
        <f>MID(A586,3,2)*1</f>
        <v>4</v>
      </c>
      <c r="F586" s="4">
        <f>MID(A586,5,2)*1</f>
        <v>1</v>
      </c>
      <c r="G586" s="3">
        <f>IF(E586&gt;=20,2000,1900) + D586</f>
        <v>1977</v>
      </c>
      <c r="H586">
        <f>IF(E586&gt;=20,E586-20,E586)</f>
        <v>4</v>
      </c>
      <c r="I586" s="4">
        <f>F586</f>
        <v>1</v>
      </c>
      <c r="J586">
        <f>CONCATENATE(G586,IF(LEN(H586)=1,CONCATENATE("0",H586),H586),IF(LEN(F586)=1,CONCATENATE("0",F586),F586))*1</f>
        <v>19770401</v>
      </c>
    </row>
    <row r="587" spans="1:10" hidden="1" x14ac:dyDescent="0.25">
      <c r="A587" s="4" t="s">
        <v>613</v>
      </c>
      <c r="B587" t="s">
        <v>10</v>
      </c>
      <c r="C587" t="s">
        <v>6</v>
      </c>
      <c r="D587" s="3">
        <f>MID(A587,1,2)*1</f>
        <v>84</v>
      </c>
      <c r="E587" s="4">
        <f>MID(A587,3,2)*1</f>
        <v>9</v>
      </c>
      <c r="F587" s="4">
        <f>MID(A587,5,2)*1</f>
        <v>12</v>
      </c>
      <c r="G587" s="3">
        <f>IF(E587&gt;=20,2000,1900) + D587</f>
        <v>1984</v>
      </c>
      <c r="H587">
        <f>IF(E587&gt;=20,E587-20,E587)</f>
        <v>9</v>
      </c>
      <c r="I587" s="4">
        <f>F587</f>
        <v>12</v>
      </c>
      <c r="J587">
        <f>CONCATENATE(G587,IF(LEN(H587)=1,CONCATENATE("0",H587),H587),IF(LEN(F587)=1,CONCATENATE("0",F587),F587))*1</f>
        <v>19840912</v>
      </c>
    </row>
    <row r="588" spans="1:10" hidden="1" x14ac:dyDescent="0.25">
      <c r="A588" s="4" t="s">
        <v>614</v>
      </c>
      <c r="B588" t="s">
        <v>19</v>
      </c>
      <c r="C588" t="s">
        <v>6</v>
      </c>
      <c r="D588" s="3">
        <f>MID(A588,1,2)*1</f>
        <v>55</v>
      </c>
      <c r="E588" s="4">
        <f>MID(A588,3,2)*1</f>
        <v>2</v>
      </c>
      <c r="F588" s="4">
        <f>MID(A588,5,2)*1</f>
        <v>26</v>
      </c>
      <c r="G588" s="3">
        <f>IF(E588&gt;=20,2000,1900) + D588</f>
        <v>1955</v>
      </c>
      <c r="H588">
        <f>IF(E588&gt;=20,E588-20,E588)</f>
        <v>2</v>
      </c>
      <c r="I588" s="4">
        <f>F588</f>
        <v>26</v>
      </c>
      <c r="J588">
        <f>CONCATENATE(G588,IF(LEN(H588)=1,CONCATENATE("0",H588),H588),IF(LEN(F588)=1,CONCATENATE("0",F588),F588))*1</f>
        <v>19550226</v>
      </c>
    </row>
    <row r="589" spans="1:10" hidden="1" x14ac:dyDescent="0.25">
      <c r="A589" s="4" t="s">
        <v>615</v>
      </c>
      <c r="B589" t="s">
        <v>17</v>
      </c>
      <c r="C589" t="s">
        <v>6</v>
      </c>
      <c r="D589" s="3">
        <f>MID(A589,1,2)*1</f>
        <v>69</v>
      </c>
      <c r="E589" s="4">
        <f>MID(A589,3,2)*1</f>
        <v>8</v>
      </c>
      <c r="F589" s="4">
        <f>MID(A589,5,2)*1</f>
        <v>22</v>
      </c>
      <c r="G589" s="3">
        <f>IF(E589&gt;=20,2000,1900) + D589</f>
        <v>1969</v>
      </c>
      <c r="H589">
        <f>IF(E589&gt;=20,E589-20,E589)</f>
        <v>8</v>
      </c>
      <c r="I589" s="4">
        <f>F589</f>
        <v>22</v>
      </c>
      <c r="J589">
        <f>CONCATENATE(G589,IF(LEN(H589)=1,CONCATENATE("0",H589),H589),IF(LEN(F589)=1,CONCATENATE("0",F589),F589))*1</f>
        <v>19690822</v>
      </c>
    </row>
    <row r="590" spans="1:10" hidden="1" x14ac:dyDescent="0.25">
      <c r="A590" s="4" t="s">
        <v>616</v>
      </c>
      <c r="B590" t="s">
        <v>11</v>
      </c>
      <c r="C590" t="s">
        <v>6</v>
      </c>
      <c r="D590" s="3">
        <f>MID(A590,1,2)*1</f>
        <v>99</v>
      </c>
      <c r="E590" s="4">
        <f>MID(A590,3,2)*1</f>
        <v>2</v>
      </c>
      <c r="F590" s="4">
        <f>MID(A590,5,2)*1</f>
        <v>27</v>
      </c>
      <c r="G590" s="3">
        <f>IF(E590&gt;=20,2000,1900) + D590</f>
        <v>1999</v>
      </c>
      <c r="H590">
        <f>IF(E590&gt;=20,E590-20,E590)</f>
        <v>2</v>
      </c>
      <c r="I590" s="4">
        <f>F590</f>
        <v>27</v>
      </c>
      <c r="J590">
        <f>CONCATENATE(G590,IF(LEN(H590)=1,CONCATENATE("0",H590),H590),IF(LEN(F590)=1,CONCATENATE("0",F590),F590))*1</f>
        <v>19990227</v>
      </c>
    </row>
    <row r="591" spans="1:10" hidden="1" x14ac:dyDescent="0.25">
      <c r="A591" s="4" t="s">
        <v>617</v>
      </c>
      <c r="B591" t="s">
        <v>19</v>
      </c>
      <c r="C591" t="s">
        <v>6</v>
      </c>
      <c r="D591" s="3">
        <f>MID(A591,1,2)*1</f>
        <v>97</v>
      </c>
      <c r="E591" s="4">
        <f>MID(A591,3,2)*1</f>
        <v>8</v>
      </c>
      <c r="F591" s="4">
        <f>MID(A591,5,2)*1</f>
        <v>27</v>
      </c>
      <c r="G591" s="3">
        <f>IF(E591&gt;=20,2000,1900) + D591</f>
        <v>1997</v>
      </c>
      <c r="H591">
        <f>IF(E591&gt;=20,E591-20,E591)</f>
        <v>8</v>
      </c>
      <c r="I591" s="4">
        <f>F591</f>
        <v>27</v>
      </c>
      <c r="J591">
        <f>CONCATENATE(G591,IF(LEN(H591)=1,CONCATENATE("0",H591),H591),IF(LEN(F591)=1,CONCATENATE("0",F591),F591))*1</f>
        <v>19970827</v>
      </c>
    </row>
    <row r="592" spans="1:10" hidden="1" x14ac:dyDescent="0.25">
      <c r="A592" s="4" t="s">
        <v>618</v>
      </c>
      <c r="B592" t="s">
        <v>11</v>
      </c>
      <c r="C592" t="s">
        <v>6</v>
      </c>
      <c r="D592" s="3">
        <f>MID(A592,1,2)*1</f>
        <v>54</v>
      </c>
      <c r="E592" s="4">
        <f>MID(A592,3,2)*1</f>
        <v>1</v>
      </c>
      <c r="F592" s="4">
        <f>MID(A592,5,2)*1</f>
        <v>6</v>
      </c>
      <c r="G592" s="3">
        <f>IF(E592&gt;=20,2000,1900) + D592</f>
        <v>1954</v>
      </c>
      <c r="H592">
        <f>IF(E592&gt;=20,E592-20,E592)</f>
        <v>1</v>
      </c>
      <c r="I592" s="4">
        <f>F592</f>
        <v>6</v>
      </c>
      <c r="J592">
        <f>CONCATENATE(G592,IF(LEN(H592)=1,CONCATENATE("0",H592),H592),IF(LEN(F592)=1,CONCATENATE("0",F592),F592))*1</f>
        <v>19540106</v>
      </c>
    </row>
    <row r="593" spans="1:10" hidden="1" x14ac:dyDescent="0.25">
      <c r="A593" s="4" t="s">
        <v>619</v>
      </c>
      <c r="B593" t="s">
        <v>17</v>
      </c>
      <c r="C593" t="s">
        <v>6</v>
      </c>
      <c r="D593" s="3">
        <f>MID(A593,1,2)*1</f>
        <v>91</v>
      </c>
      <c r="E593" s="4">
        <f>MID(A593,3,2)*1</f>
        <v>2</v>
      </c>
      <c r="F593" s="4">
        <f>MID(A593,5,2)*1</f>
        <v>5</v>
      </c>
      <c r="G593" s="3">
        <f>IF(E593&gt;=20,2000,1900) + D593</f>
        <v>1991</v>
      </c>
      <c r="H593">
        <f>IF(E593&gt;=20,E593-20,E593)</f>
        <v>2</v>
      </c>
      <c r="I593" s="4">
        <f>F593</f>
        <v>5</v>
      </c>
      <c r="J593">
        <f>CONCATENATE(G593,IF(LEN(H593)=1,CONCATENATE("0",H593),H593),IF(LEN(F593)=1,CONCATENATE("0",F593),F593))*1</f>
        <v>19910205</v>
      </c>
    </row>
    <row r="594" spans="1:10" hidden="1" x14ac:dyDescent="0.25">
      <c r="A594" s="4" t="s">
        <v>620</v>
      </c>
      <c r="B594" t="s">
        <v>19</v>
      </c>
      <c r="C594" t="s">
        <v>4</v>
      </c>
      <c r="D594" s="3">
        <f>MID(A594,1,2)*1</f>
        <v>70</v>
      </c>
      <c r="E594" s="4">
        <f>MID(A594,3,2)*1</f>
        <v>1</v>
      </c>
      <c r="F594" s="4">
        <f>MID(A594,5,2)*1</f>
        <v>28</v>
      </c>
      <c r="G594" s="3">
        <f>IF(E594&gt;=20,2000,1900) + D594</f>
        <v>1970</v>
      </c>
      <c r="H594">
        <f>IF(E594&gt;=20,E594-20,E594)</f>
        <v>1</v>
      </c>
      <c r="I594" s="4">
        <f>F594</f>
        <v>28</v>
      </c>
      <c r="J594">
        <f>CONCATENATE(G594,IF(LEN(H594)=1,CONCATENATE("0",H594),H594),IF(LEN(F594)=1,CONCATENATE("0",F594),F594))*1</f>
        <v>19700128</v>
      </c>
    </row>
    <row r="595" spans="1:10" hidden="1" x14ac:dyDescent="0.25">
      <c r="A595" s="4" t="s">
        <v>621</v>
      </c>
      <c r="B595" t="s">
        <v>12</v>
      </c>
      <c r="C595" t="s">
        <v>4</v>
      </c>
      <c r="D595" s="3">
        <f>MID(A595,1,2)*1</f>
        <v>70</v>
      </c>
      <c r="E595" s="4">
        <f>MID(A595,3,2)*1</f>
        <v>12</v>
      </c>
      <c r="F595" s="4">
        <f>MID(A595,5,2)*1</f>
        <v>29</v>
      </c>
      <c r="G595" s="3">
        <f>IF(E595&gt;=20,2000,1900) + D595</f>
        <v>1970</v>
      </c>
      <c r="H595">
        <f>IF(E595&gt;=20,E595-20,E595)</f>
        <v>12</v>
      </c>
      <c r="I595" s="4">
        <f>F595</f>
        <v>29</v>
      </c>
      <c r="J595">
        <f>CONCATENATE(G595,IF(LEN(H595)=1,CONCATENATE("0",H595),H595),IF(LEN(F595)=1,CONCATENATE("0",F595),F595))*1</f>
        <v>19701229</v>
      </c>
    </row>
    <row r="596" spans="1:10" hidden="1" x14ac:dyDescent="0.25">
      <c r="A596" s="4" t="s">
        <v>622</v>
      </c>
      <c r="B596" t="s">
        <v>8</v>
      </c>
      <c r="C596" t="s">
        <v>6</v>
      </c>
      <c r="D596" s="3">
        <f>MID(A596,1,2)*1</f>
        <v>78</v>
      </c>
      <c r="E596" s="4">
        <f>MID(A596,3,2)*1</f>
        <v>10</v>
      </c>
      <c r="F596" s="4">
        <f>MID(A596,5,2)*1</f>
        <v>25</v>
      </c>
      <c r="G596" s="3">
        <f>IF(E596&gt;=20,2000,1900) + D596</f>
        <v>1978</v>
      </c>
      <c r="H596">
        <f>IF(E596&gt;=20,E596-20,E596)</f>
        <v>10</v>
      </c>
      <c r="I596" s="4">
        <f>F596</f>
        <v>25</v>
      </c>
      <c r="J596">
        <f>CONCATENATE(G596,IF(LEN(H596)=1,CONCATENATE("0",H596),H596),IF(LEN(F596)=1,CONCATENATE("0",F596),F596))*1</f>
        <v>19781025</v>
      </c>
    </row>
    <row r="597" spans="1:10" x14ac:dyDescent="0.25">
      <c r="A597" s="4" t="s">
        <v>549</v>
      </c>
      <c r="B597" t="s">
        <v>18</v>
      </c>
      <c r="C597" t="s">
        <v>4</v>
      </c>
      <c r="D597" s="3">
        <f>MID(A597,1,2)*1</f>
        <v>99</v>
      </c>
      <c r="E597" s="4">
        <f>MID(A597,3,2)*1</f>
        <v>12</v>
      </c>
      <c r="F597" s="4">
        <f>MID(A597,5,2)*1</f>
        <v>2</v>
      </c>
      <c r="G597" s="3">
        <f>IF(E597&gt;=20,2000,1900) + D597</f>
        <v>1999</v>
      </c>
      <c r="H597">
        <f>IF(E597&gt;=20,E597-20,E597)</f>
        <v>12</v>
      </c>
      <c r="I597" s="4">
        <f>F597</f>
        <v>2</v>
      </c>
      <c r="J597">
        <f>CONCATENATE(G597,IF(LEN(H597)=1,CONCATENATE("0",H597),H597),IF(LEN(F597)=1,CONCATENATE("0",F597),F597))*1</f>
        <v>19991202</v>
      </c>
    </row>
    <row r="598" spans="1:10" hidden="1" x14ac:dyDescent="0.25">
      <c r="A598" s="4" t="s">
        <v>624</v>
      </c>
      <c r="B598" t="s">
        <v>9</v>
      </c>
      <c r="C598" t="s">
        <v>6</v>
      </c>
      <c r="D598" s="3">
        <f>MID(A598,1,2)*1</f>
        <v>84</v>
      </c>
      <c r="E598" s="4">
        <f>MID(A598,3,2)*1</f>
        <v>12</v>
      </c>
      <c r="F598" s="4">
        <f>MID(A598,5,2)*1</f>
        <v>24</v>
      </c>
      <c r="G598" s="3">
        <f>IF(E598&gt;=20,2000,1900) + D598</f>
        <v>1984</v>
      </c>
      <c r="H598">
        <f>IF(E598&gt;=20,E598-20,E598)</f>
        <v>12</v>
      </c>
      <c r="I598" s="4">
        <f>F598</f>
        <v>24</v>
      </c>
      <c r="J598">
        <f>CONCATENATE(G598,IF(LEN(H598)=1,CONCATENATE("0",H598),H598),IF(LEN(F598)=1,CONCATENATE("0",F598),F598))*1</f>
        <v>19841224</v>
      </c>
    </row>
    <row r="599" spans="1:10" hidden="1" x14ac:dyDescent="0.25">
      <c r="A599" s="4" t="s">
        <v>625</v>
      </c>
      <c r="B599" t="s">
        <v>10</v>
      </c>
      <c r="C599" t="s">
        <v>4</v>
      </c>
      <c r="D599" s="3">
        <f>MID(A599,1,2)*1</f>
        <v>98</v>
      </c>
      <c r="E599" s="4">
        <f>MID(A599,3,2)*1</f>
        <v>5</v>
      </c>
      <c r="F599" s="4">
        <f>MID(A599,5,2)*1</f>
        <v>17</v>
      </c>
      <c r="G599" s="3">
        <f>IF(E599&gt;=20,2000,1900) + D599</f>
        <v>1998</v>
      </c>
      <c r="H599">
        <f>IF(E599&gt;=20,E599-20,E599)</f>
        <v>5</v>
      </c>
      <c r="I599" s="4">
        <f>F599</f>
        <v>17</v>
      </c>
      <c r="J599">
        <f>CONCATENATE(G599,IF(LEN(H599)=1,CONCATENATE("0",H599),H599),IF(LEN(F599)=1,CONCATENATE("0",F599),F599))*1</f>
        <v>19980517</v>
      </c>
    </row>
    <row r="600" spans="1:10" hidden="1" x14ac:dyDescent="0.25">
      <c r="A600" s="4" t="s">
        <v>626</v>
      </c>
      <c r="B600" t="s">
        <v>17</v>
      </c>
      <c r="C600" t="s">
        <v>6</v>
      </c>
      <c r="D600" s="3">
        <f>MID(A600,1,2)*1</f>
        <v>11</v>
      </c>
      <c r="E600" s="4">
        <f>MID(A600,3,2)*1</f>
        <v>7</v>
      </c>
      <c r="F600" s="4">
        <f>MID(A600,5,2)*1</f>
        <v>27</v>
      </c>
      <c r="G600" s="3">
        <f>IF(E600&gt;=20,2000,1900) + D600</f>
        <v>1911</v>
      </c>
      <c r="H600">
        <f>IF(E600&gt;=20,E600-20,E600)</f>
        <v>7</v>
      </c>
      <c r="I600" s="4">
        <f>F600</f>
        <v>27</v>
      </c>
      <c r="J600">
        <f>CONCATENATE(G600,IF(LEN(H600)=1,CONCATENATE("0",H600),H600),IF(LEN(F600)=1,CONCATENATE("0",F600),F600))*1</f>
        <v>19110727</v>
      </c>
    </row>
    <row r="601" spans="1:10" x14ac:dyDescent="0.25">
      <c r="A601" s="4" t="s">
        <v>982</v>
      </c>
      <c r="B601" t="s">
        <v>18</v>
      </c>
      <c r="C601" t="s">
        <v>4</v>
      </c>
      <c r="D601" s="3">
        <f>MID(A601,1,2)*1</f>
        <v>0</v>
      </c>
      <c r="E601" s="4">
        <f>MID(A601,3,2)*1</f>
        <v>29</v>
      </c>
      <c r="F601" s="4">
        <f>MID(A601,5,2)*1</f>
        <v>13</v>
      </c>
      <c r="G601" s="3">
        <f>IF(E601&gt;=20,2000,1900) + D601</f>
        <v>2000</v>
      </c>
      <c r="H601">
        <f>IF(E601&gt;=20,E601-20,E601)</f>
        <v>9</v>
      </c>
      <c r="I601" s="4">
        <f>F601</f>
        <v>13</v>
      </c>
      <c r="J601">
        <f>CONCATENATE(G601,IF(LEN(H601)=1,CONCATENATE("0",H601),H601),IF(LEN(F601)=1,CONCATENATE("0",F601),F601))*1</f>
        <v>20000913</v>
      </c>
    </row>
    <row r="602" spans="1:10" hidden="1" x14ac:dyDescent="0.25">
      <c r="A602" s="4" t="s">
        <v>628</v>
      </c>
      <c r="B602" t="s">
        <v>12</v>
      </c>
      <c r="C602" t="s">
        <v>6</v>
      </c>
      <c r="D602" s="3">
        <f>MID(A602,1,2)*1</f>
        <v>3</v>
      </c>
      <c r="E602" s="4">
        <f>MID(A602,3,2)*1</f>
        <v>25</v>
      </c>
      <c r="F602" s="4">
        <f>MID(A602,5,2)*1</f>
        <v>23</v>
      </c>
      <c r="G602" s="3">
        <f>IF(E602&gt;=20,2000,1900) + D602</f>
        <v>2003</v>
      </c>
      <c r="H602">
        <f>IF(E602&gt;=20,E602-20,E602)</f>
        <v>5</v>
      </c>
      <c r="I602" s="4">
        <f>F602</f>
        <v>23</v>
      </c>
      <c r="J602">
        <f>CONCATENATE(G602,IF(LEN(H602)=1,CONCATENATE("0",H602),H602),IF(LEN(F602)=1,CONCATENATE("0",F602),F602))*1</f>
        <v>20030523</v>
      </c>
    </row>
    <row r="603" spans="1:10" hidden="1" x14ac:dyDescent="0.25">
      <c r="A603" s="4" t="s">
        <v>629</v>
      </c>
      <c r="B603" t="s">
        <v>13</v>
      </c>
      <c r="C603" t="s">
        <v>4</v>
      </c>
      <c r="D603" s="3">
        <f>MID(A603,1,2)*1</f>
        <v>7</v>
      </c>
      <c r="E603" s="4">
        <f>MID(A603,3,2)*1</f>
        <v>28</v>
      </c>
      <c r="F603" s="4">
        <f>MID(A603,5,2)*1</f>
        <v>23</v>
      </c>
      <c r="G603" s="3">
        <f>IF(E603&gt;=20,2000,1900) + D603</f>
        <v>2007</v>
      </c>
      <c r="H603">
        <f>IF(E603&gt;=20,E603-20,E603)</f>
        <v>8</v>
      </c>
      <c r="I603" s="4">
        <f>F603</f>
        <v>23</v>
      </c>
      <c r="J603">
        <f>CONCATENATE(G603,IF(LEN(H603)=1,CONCATENATE("0",H603),H603),IF(LEN(F603)=1,CONCATENATE("0",F603),F603))*1</f>
        <v>20070823</v>
      </c>
    </row>
    <row r="604" spans="1:10" hidden="1" x14ac:dyDescent="0.25">
      <c r="A604" s="4" t="s">
        <v>630</v>
      </c>
      <c r="B604" t="s">
        <v>16</v>
      </c>
      <c r="C604" t="s">
        <v>6</v>
      </c>
      <c r="D604" s="3">
        <f>MID(A604,1,2)*1</f>
        <v>3</v>
      </c>
      <c r="E604" s="4">
        <f>MID(A604,3,2)*1</f>
        <v>24</v>
      </c>
      <c r="F604" s="4">
        <f>MID(A604,5,2)*1</f>
        <v>17</v>
      </c>
      <c r="G604" s="3">
        <f>IF(E604&gt;=20,2000,1900) + D604</f>
        <v>2003</v>
      </c>
      <c r="H604">
        <f>IF(E604&gt;=20,E604-20,E604)</f>
        <v>4</v>
      </c>
      <c r="I604" s="4">
        <f>F604</f>
        <v>17</v>
      </c>
      <c r="J604">
        <f>CONCATENATE(G604,IF(LEN(H604)=1,CONCATENATE("0",H604),H604),IF(LEN(F604)=1,CONCATENATE("0",F604),F604))*1</f>
        <v>20030417</v>
      </c>
    </row>
    <row r="605" spans="1:10" hidden="1" x14ac:dyDescent="0.25">
      <c r="A605" s="4" t="s">
        <v>631</v>
      </c>
      <c r="B605" t="s">
        <v>11</v>
      </c>
      <c r="C605" t="s">
        <v>6</v>
      </c>
      <c r="D605" s="3">
        <f>MID(A605,1,2)*1</f>
        <v>3</v>
      </c>
      <c r="E605" s="4">
        <f>MID(A605,3,2)*1</f>
        <v>21</v>
      </c>
      <c r="F605" s="4">
        <f>MID(A605,5,2)*1</f>
        <v>26</v>
      </c>
      <c r="G605" s="3">
        <f>IF(E605&gt;=20,2000,1900) + D605</f>
        <v>2003</v>
      </c>
      <c r="H605">
        <f>IF(E605&gt;=20,E605-20,E605)</f>
        <v>1</v>
      </c>
      <c r="I605" s="4">
        <f>F605</f>
        <v>26</v>
      </c>
      <c r="J605">
        <f>CONCATENATE(G605,IF(LEN(H605)=1,CONCATENATE("0",H605),H605),IF(LEN(F605)=1,CONCATENATE("0",F605),F605))*1</f>
        <v>20030126</v>
      </c>
    </row>
    <row r="606" spans="1:10" hidden="1" x14ac:dyDescent="0.25">
      <c r="A606" s="4" t="s">
        <v>632</v>
      </c>
      <c r="B606" t="s">
        <v>5</v>
      </c>
      <c r="C606" t="s">
        <v>6</v>
      </c>
      <c r="D606" s="3">
        <f>MID(A606,1,2)*1</f>
        <v>8</v>
      </c>
      <c r="E606" s="4">
        <f>MID(A606,3,2)*1</f>
        <v>30</v>
      </c>
      <c r="F606" s="4">
        <f>MID(A606,5,2)*1</f>
        <v>19</v>
      </c>
      <c r="G606" s="3">
        <f>IF(E606&gt;=20,2000,1900) + D606</f>
        <v>2008</v>
      </c>
      <c r="H606">
        <f>IF(E606&gt;=20,E606-20,E606)</f>
        <v>10</v>
      </c>
      <c r="I606" s="4">
        <f>F606</f>
        <v>19</v>
      </c>
      <c r="J606">
        <f>CONCATENATE(G606,IF(LEN(H606)=1,CONCATENATE("0",H606),H606),IF(LEN(F606)=1,CONCATENATE("0",F606),F606))*1</f>
        <v>20081019</v>
      </c>
    </row>
    <row r="607" spans="1:10" hidden="1" x14ac:dyDescent="0.25">
      <c r="A607" s="4" t="s">
        <v>633</v>
      </c>
      <c r="B607" t="s">
        <v>16</v>
      </c>
      <c r="C607" t="s">
        <v>6</v>
      </c>
      <c r="D607" s="3">
        <f>MID(A607,1,2)*1</f>
        <v>4</v>
      </c>
      <c r="E607" s="4">
        <f>MID(A607,3,2)*1</f>
        <v>29</v>
      </c>
      <c r="F607" s="4">
        <f>MID(A607,5,2)*1</f>
        <v>12</v>
      </c>
      <c r="G607" s="3">
        <f>IF(E607&gt;=20,2000,1900) + D607</f>
        <v>2004</v>
      </c>
      <c r="H607">
        <f>IF(E607&gt;=20,E607-20,E607)</f>
        <v>9</v>
      </c>
      <c r="I607" s="4">
        <f>F607</f>
        <v>12</v>
      </c>
      <c r="J607">
        <f>CONCATENATE(G607,IF(LEN(H607)=1,CONCATENATE("0",H607),H607),IF(LEN(F607)=1,CONCATENATE("0",F607),F607))*1</f>
        <v>20040912</v>
      </c>
    </row>
    <row r="608" spans="1:10" hidden="1" x14ac:dyDescent="0.25">
      <c r="A608" s="4" t="s">
        <v>634</v>
      </c>
      <c r="B608" t="s">
        <v>14</v>
      </c>
      <c r="C608" t="s">
        <v>4</v>
      </c>
      <c r="D608" s="3">
        <f>MID(A608,1,2)*1</f>
        <v>20</v>
      </c>
      <c r="E608" s="4">
        <f>MID(A608,3,2)*1</f>
        <v>29</v>
      </c>
      <c r="F608" s="4">
        <f>MID(A608,5,2)*1</f>
        <v>5</v>
      </c>
      <c r="G608" s="3">
        <f>IF(E608&gt;=20,2000,1900) + D608</f>
        <v>2020</v>
      </c>
      <c r="H608">
        <f>IF(E608&gt;=20,E608-20,E608)</f>
        <v>9</v>
      </c>
      <c r="I608" s="4">
        <f>F608</f>
        <v>5</v>
      </c>
      <c r="J608">
        <f>CONCATENATE(G608,IF(LEN(H608)=1,CONCATENATE("0",H608),H608),IF(LEN(F608)=1,CONCATENATE("0",F608),F608))*1</f>
        <v>20200905</v>
      </c>
    </row>
    <row r="609" spans="1:10" hidden="1" x14ac:dyDescent="0.25">
      <c r="A609" s="4" t="s">
        <v>635</v>
      </c>
      <c r="B609" t="s">
        <v>14</v>
      </c>
      <c r="C609" t="s">
        <v>6</v>
      </c>
      <c r="D609" s="3">
        <f>MID(A609,1,2)*1</f>
        <v>13</v>
      </c>
      <c r="E609" s="4">
        <f>MID(A609,3,2)*1</f>
        <v>30</v>
      </c>
      <c r="F609" s="4">
        <f>MID(A609,5,2)*1</f>
        <v>26</v>
      </c>
      <c r="G609" s="3">
        <f>IF(E609&gt;=20,2000,1900) + D609</f>
        <v>2013</v>
      </c>
      <c r="H609">
        <f>IF(E609&gt;=20,E609-20,E609)</f>
        <v>10</v>
      </c>
      <c r="I609" s="4">
        <f>F609</f>
        <v>26</v>
      </c>
      <c r="J609">
        <f>CONCATENATE(G609,IF(LEN(H609)=1,CONCATENATE("0",H609),H609),IF(LEN(F609)=1,CONCATENATE("0",F609),F609))*1</f>
        <v>20131026</v>
      </c>
    </row>
    <row r="610" spans="1:10" hidden="1" x14ac:dyDescent="0.25">
      <c r="A610" s="4" t="s">
        <v>636</v>
      </c>
      <c r="B610" t="s">
        <v>20</v>
      </c>
      <c r="C610" t="s">
        <v>6</v>
      </c>
      <c r="D610" s="3">
        <f>MID(A610,1,2)*1</f>
        <v>9</v>
      </c>
      <c r="E610" s="4">
        <f>MID(A610,3,2)*1</f>
        <v>21</v>
      </c>
      <c r="F610" s="4">
        <f>MID(A610,5,2)*1</f>
        <v>4</v>
      </c>
      <c r="G610" s="3">
        <f>IF(E610&gt;=20,2000,1900) + D610</f>
        <v>2009</v>
      </c>
      <c r="H610">
        <f>IF(E610&gt;=20,E610-20,E610)</f>
        <v>1</v>
      </c>
      <c r="I610" s="4">
        <f>F610</f>
        <v>4</v>
      </c>
      <c r="J610">
        <f>CONCATENATE(G610,IF(LEN(H610)=1,CONCATENATE("0",H610),H610),IF(LEN(F610)=1,CONCATENATE("0",F610),F610))*1</f>
        <v>20090104</v>
      </c>
    </row>
    <row r="611" spans="1:10" hidden="1" x14ac:dyDescent="0.25">
      <c r="A611" s="4" t="s">
        <v>637</v>
      </c>
      <c r="B611" t="s">
        <v>20</v>
      </c>
      <c r="C611" t="s">
        <v>4</v>
      </c>
      <c r="D611" s="3">
        <f>MID(A611,1,2)*1</f>
        <v>0</v>
      </c>
      <c r="E611" s="4">
        <f>MID(A611,3,2)*1</f>
        <v>21</v>
      </c>
      <c r="F611" s="4">
        <f>MID(A611,5,2)*1</f>
        <v>18</v>
      </c>
      <c r="G611" s="3">
        <f>IF(E611&gt;=20,2000,1900) + D611</f>
        <v>2000</v>
      </c>
      <c r="H611">
        <f>IF(E611&gt;=20,E611-20,E611)</f>
        <v>1</v>
      </c>
      <c r="I611" s="4">
        <f>F611</f>
        <v>18</v>
      </c>
      <c r="J611">
        <f>CONCATENATE(G611,IF(LEN(H611)=1,CONCATENATE("0",H611),H611),IF(LEN(F611)=1,CONCATENATE("0",F611),F611))*1</f>
        <v>20000118</v>
      </c>
    </row>
    <row r="612" spans="1:10" hidden="1" x14ac:dyDescent="0.25">
      <c r="A612" s="4" t="s">
        <v>638</v>
      </c>
      <c r="B612" t="s">
        <v>9</v>
      </c>
      <c r="C612" t="s">
        <v>4</v>
      </c>
      <c r="D612" s="3">
        <f>MID(A612,1,2)*1</f>
        <v>2</v>
      </c>
      <c r="E612" s="4">
        <f>MID(A612,3,2)*1</f>
        <v>25</v>
      </c>
      <c r="F612" s="4">
        <f>MID(A612,5,2)*1</f>
        <v>12</v>
      </c>
      <c r="G612" s="3">
        <f>IF(E612&gt;=20,2000,1900) + D612</f>
        <v>2002</v>
      </c>
      <c r="H612">
        <f>IF(E612&gt;=20,E612-20,E612)</f>
        <v>5</v>
      </c>
      <c r="I612" s="4">
        <f>F612</f>
        <v>12</v>
      </c>
      <c r="J612">
        <f>CONCATENATE(G612,IF(LEN(H612)=1,CONCATENATE("0",H612),H612),IF(LEN(F612)=1,CONCATENATE("0",F612),F612))*1</f>
        <v>20020512</v>
      </c>
    </row>
    <row r="613" spans="1:10" hidden="1" x14ac:dyDescent="0.25">
      <c r="A613" s="4" t="s">
        <v>639</v>
      </c>
      <c r="B613" t="s">
        <v>20</v>
      </c>
      <c r="C613" t="s">
        <v>4</v>
      </c>
      <c r="D613" s="3">
        <f>MID(A613,1,2)*1</f>
        <v>3</v>
      </c>
      <c r="E613" s="4">
        <f>MID(A613,3,2)*1</f>
        <v>23</v>
      </c>
      <c r="F613" s="4">
        <f>MID(A613,5,2)*1</f>
        <v>11</v>
      </c>
      <c r="G613" s="3">
        <f>IF(E613&gt;=20,2000,1900) + D613</f>
        <v>2003</v>
      </c>
      <c r="H613">
        <f>IF(E613&gt;=20,E613-20,E613)</f>
        <v>3</v>
      </c>
      <c r="I613" s="4">
        <f>F613</f>
        <v>11</v>
      </c>
      <c r="J613">
        <f>CONCATENATE(G613,IF(LEN(H613)=1,CONCATENATE("0",H613),H613),IF(LEN(F613)=1,CONCATENATE("0",F613),F613))*1</f>
        <v>20030311</v>
      </c>
    </row>
    <row r="614" spans="1:10" hidden="1" x14ac:dyDescent="0.25">
      <c r="A614" s="4" t="s">
        <v>640</v>
      </c>
      <c r="B614" t="s">
        <v>3</v>
      </c>
      <c r="C614" t="s">
        <v>6</v>
      </c>
      <c r="D614" s="3">
        <f>MID(A614,1,2)*1</f>
        <v>4</v>
      </c>
      <c r="E614" s="4">
        <f>MID(A614,3,2)*1</f>
        <v>24</v>
      </c>
      <c r="F614" s="4">
        <f>MID(A614,5,2)*1</f>
        <v>3</v>
      </c>
      <c r="G614" s="3">
        <f>IF(E614&gt;=20,2000,1900) + D614</f>
        <v>2004</v>
      </c>
      <c r="H614">
        <f>IF(E614&gt;=20,E614-20,E614)</f>
        <v>4</v>
      </c>
      <c r="I614" s="4">
        <f>F614</f>
        <v>3</v>
      </c>
      <c r="J614">
        <f>CONCATENATE(G614,IF(LEN(H614)=1,CONCATENATE("0",H614),H614),IF(LEN(F614)=1,CONCATENATE("0",F614),F614))*1</f>
        <v>20040403</v>
      </c>
    </row>
    <row r="615" spans="1:10" hidden="1" x14ac:dyDescent="0.25">
      <c r="A615" s="4" t="s">
        <v>641</v>
      </c>
      <c r="B615" t="s">
        <v>5</v>
      </c>
      <c r="C615" t="s">
        <v>4</v>
      </c>
      <c r="D615" s="3">
        <f>MID(A615,1,2)*1</f>
        <v>3</v>
      </c>
      <c r="E615" s="4">
        <f>MID(A615,3,2)*1</f>
        <v>29</v>
      </c>
      <c r="F615" s="4">
        <f>MID(A615,5,2)*1</f>
        <v>12</v>
      </c>
      <c r="G615" s="3">
        <f>IF(E615&gt;=20,2000,1900) + D615</f>
        <v>2003</v>
      </c>
      <c r="H615">
        <f>IF(E615&gt;=20,E615-20,E615)</f>
        <v>9</v>
      </c>
      <c r="I615" s="4">
        <f>F615</f>
        <v>12</v>
      </c>
      <c r="J615">
        <f>CONCATENATE(G615,IF(LEN(H615)=1,CONCATENATE("0",H615),H615),IF(LEN(F615)=1,CONCATENATE("0",F615),F615))*1</f>
        <v>20030912</v>
      </c>
    </row>
    <row r="616" spans="1:10" hidden="1" x14ac:dyDescent="0.25">
      <c r="A616" s="4" t="s">
        <v>642</v>
      </c>
      <c r="B616" t="s">
        <v>10</v>
      </c>
      <c r="C616" t="s">
        <v>6</v>
      </c>
      <c r="D616" s="3">
        <f>MID(A616,1,2)*1</f>
        <v>22</v>
      </c>
      <c r="E616" s="4">
        <f>MID(A616,3,2)*1</f>
        <v>28</v>
      </c>
      <c r="F616" s="4">
        <f>MID(A616,5,2)*1</f>
        <v>15</v>
      </c>
      <c r="G616" s="3">
        <f>IF(E616&gt;=20,2000,1900) + D616</f>
        <v>2022</v>
      </c>
      <c r="H616">
        <f>IF(E616&gt;=20,E616-20,E616)</f>
        <v>8</v>
      </c>
      <c r="I616" s="4">
        <f>F616</f>
        <v>15</v>
      </c>
      <c r="J616">
        <f>CONCATENATE(G616,IF(LEN(H616)=1,CONCATENATE("0",H616),H616),IF(LEN(F616)=1,CONCATENATE("0",F616),F616))*1</f>
        <v>20220815</v>
      </c>
    </row>
    <row r="617" spans="1:10" hidden="1" x14ac:dyDescent="0.25">
      <c r="A617" s="4" t="s">
        <v>643</v>
      </c>
      <c r="B617" t="s">
        <v>16</v>
      </c>
      <c r="C617" t="s">
        <v>6</v>
      </c>
      <c r="D617" s="3">
        <f>MID(A617,1,2)*1</f>
        <v>2</v>
      </c>
      <c r="E617" s="4">
        <f>MID(A617,3,2)*1</f>
        <v>26</v>
      </c>
      <c r="F617" s="4">
        <f>MID(A617,5,2)*1</f>
        <v>24</v>
      </c>
      <c r="G617" s="3">
        <f>IF(E617&gt;=20,2000,1900) + D617</f>
        <v>2002</v>
      </c>
      <c r="H617">
        <f>IF(E617&gt;=20,E617-20,E617)</f>
        <v>6</v>
      </c>
      <c r="I617" s="4">
        <f>F617</f>
        <v>24</v>
      </c>
      <c r="J617">
        <f>CONCATENATE(G617,IF(LEN(H617)=1,CONCATENATE("0",H617),H617),IF(LEN(F617)=1,CONCATENATE("0",F617),F617))*1</f>
        <v>20020624</v>
      </c>
    </row>
    <row r="618" spans="1:10" hidden="1" x14ac:dyDescent="0.25">
      <c r="A618" s="4" t="s">
        <v>644</v>
      </c>
      <c r="B618" t="s">
        <v>5</v>
      </c>
      <c r="C618" t="s">
        <v>6</v>
      </c>
      <c r="D618" s="3">
        <f>MID(A618,1,2)*1</f>
        <v>8</v>
      </c>
      <c r="E618" s="4">
        <f>MID(A618,3,2)*1</f>
        <v>21</v>
      </c>
      <c r="F618" s="4">
        <f>MID(A618,5,2)*1</f>
        <v>10</v>
      </c>
      <c r="G618" s="3">
        <f>IF(E618&gt;=20,2000,1900) + D618</f>
        <v>2008</v>
      </c>
      <c r="H618">
        <f>IF(E618&gt;=20,E618-20,E618)</f>
        <v>1</v>
      </c>
      <c r="I618" s="4">
        <f>F618</f>
        <v>10</v>
      </c>
      <c r="J618">
        <f>CONCATENATE(G618,IF(LEN(H618)=1,CONCATENATE("0",H618),H618),IF(LEN(F618)=1,CONCATENATE("0",F618),F618))*1</f>
        <v>20080110</v>
      </c>
    </row>
    <row r="619" spans="1:10" hidden="1" x14ac:dyDescent="0.25">
      <c r="A619" s="4" t="s">
        <v>645</v>
      </c>
      <c r="B619" t="s">
        <v>13</v>
      </c>
      <c r="C619" t="s">
        <v>6</v>
      </c>
      <c r="D619" s="3">
        <f>MID(A619,1,2)*1</f>
        <v>21</v>
      </c>
      <c r="E619" s="4">
        <f>MID(A619,3,2)*1</f>
        <v>21</v>
      </c>
      <c r="F619" s="4">
        <f>MID(A619,5,2)*1</f>
        <v>9</v>
      </c>
      <c r="G619" s="3">
        <f>IF(E619&gt;=20,2000,1900) + D619</f>
        <v>2021</v>
      </c>
      <c r="H619">
        <f>IF(E619&gt;=20,E619-20,E619)</f>
        <v>1</v>
      </c>
      <c r="I619" s="4">
        <f>F619</f>
        <v>9</v>
      </c>
      <c r="J619">
        <f>CONCATENATE(G619,IF(LEN(H619)=1,CONCATENATE("0",H619),H619),IF(LEN(F619)=1,CONCATENATE("0",F619),F619))*1</f>
        <v>20210109</v>
      </c>
    </row>
    <row r="620" spans="1:10" hidden="1" x14ac:dyDescent="0.25">
      <c r="A620" s="4" t="s">
        <v>646</v>
      </c>
      <c r="B620" t="s">
        <v>17</v>
      </c>
      <c r="C620" t="s">
        <v>4</v>
      </c>
      <c r="D620" s="3">
        <f>MID(A620,1,2)*1</f>
        <v>20</v>
      </c>
      <c r="E620" s="4">
        <f>MID(A620,3,2)*1</f>
        <v>24</v>
      </c>
      <c r="F620" s="4">
        <f>MID(A620,5,2)*1</f>
        <v>6</v>
      </c>
      <c r="G620" s="3">
        <f>IF(E620&gt;=20,2000,1900) + D620</f>
        <v>2020</v>
      </c>
      <c r="H620">
        <f>IF(E620&gt;=20,E620-20,E620)</f>
        <v>4</v>
      </c>
      <c r="I620" s="4">
        <f>F620</f>
        <v>6</v>
      </c>
      <c r="J620">
        <f>CONCATENATE(G620,IF(LEN(H620)=1,CONCATENATE("0",H620),H620),IF(LEN(F620)=1,CONCATENATE("0",F620),F620))*1</f>
        <v>20200406</v>
      </c>
    </row>
    <row r="621" spans="1:10" x14ac:dyDescent="0.25">
      <c r="A621" s="4" t="s">
        <v>819</v>
      </c>
      <c r="B621" t="s">
        <v>18</v>
      </c>
      <c r="C621" t="s">
        <v>6</v>
      </c>
      <c r="D621" s="3">
        <f>MID(A621,1,2)*1</f>
        <v>1</v>
      </c>
      <c r="E621" s="4">
        <f>MID(A621,3,2)*1</f>
        <v>22</v>
      </c>
      <c r="F621" s="4">
        <f>MID(A621,5,2)*1</f>
        <v>11</v>
      </c>
      <c r="G621" s="3">
        <f>IF(E621&gt;=20,2000,1900) + D621</f>
        <v>2001</v>
      </c>
      <c r="H621">
        <f>IF(E621&gt;=20,E621-20,E621)</f>
        <v>2</v>
      </c>
      <c r="I621" s="4">
        <f>F621</f>
        <v>11</v>
      </c>
      <c r="J621">
        <f>CONCATENATE(G621,IF(LEN(H621)=1,CONCATENATE("0",H621),H621),IF(LEN(F621)=1,CONCATENATE("0",F621),F621))*1</f>
        <v>20010211</v>
      </c>
    </row>
    <row r="622" spans="1:10" hidden="1" x14ac:dyDescent="0.25">
      <c r="A622" s="4" t="s">
        <v>648</v>
      </c>
      <c r="B622" t="s">
        <v>19</v>
      </c>
      <c r="C622" t="s">
        <v>6</v>
      </c>
      <c r="D622" s="3">
        <f>MID(A622,1,2)*1</f>
        <v>21</v>
      </c>
      <c r="E622" s="4">
        <f>MID(A622,3,2)*1</f>
        <v>21</v>
      </c>
      <c r="F622" s="4">
        <f>MID(A622,5,2)*1</f>
        <v>31</v>
      </c>
      <c r="G622" s="3">
        <f>IF(E622&gt;=20,2000,1900) + D622</f>
        <v>2021</v>
      </c>
      <c r="H622">
        <f>IF(E622&gt;=20,E622-20,E622)</f>
        <v>1</v>
      </c>
      <c r="I622" s="4">
        <f>F622</f>
        <v>31</v>
      </c>
      <c r="J622">
        <f>CONCATENATE(G622,IF(LEN(H622)=1,CONCATENATE("0",H622),H622),IF(LEN(F622)=1,CONCATENATE("0",F622),F622))*1</f>
        <v>20210131</v>
      </c>
    </row>
    <row r="623" spans="1:10" hidden="1" x14ac:dyDescent="0.25">
      <c r="A623" s="4" t="s">
        <v>649</v>
      </c>
      <c r="B623" t="s">
        <v>7</v>
      </c>
      <c r="C623" t="s">
        <v>6</v>
      </c>
      <c r="D623" s="3">
        <f>MID(A623,1,2)*1</f>
        <v>12</v>
      </c>
      <c r="E623" s="4">
        <f>MID(A623,3,2)*1</f>
        <v>22</v>
      </c>
      <c r="F623" s="4">
        <f>MID(A623,5,2)*1</f>
        <v>16</v>
      </c>
      <c r="G623" s="3">
        <f>IF(E623&gt;=20,2000,1900) + D623</f>
        <v>2012</v>
      </c>
      <c r="H623">
        <f>IF(E623&gt;=20,E623-20,E623)</f>
        <v>2</v>
      </c>
      <c r="I623" s="4">
        <f>F623</f>
        <v>16</v>
      </c>
      <c r="J623">
        <f>CONCATENATE(G623,IF(LEN(H623)=1,CONCATENATE("0",H623),H623),IF(LEN(F623)=1,CONCATENATE("0",F623),F623))*1</f>
        <v>20120216</v>
      </c>
    </row>
    <row r="624" spans="1:10" hidden="1" x14ac:dyDescent="0.25">
      <c r="A624" s="4" t="s">
        <v>650</v>
      </c>
      <c r="B624" t="s">
        <v>17</v>
      </c>
      <c r="C624" t="s">
        <v>6</v>
      </c>
      <c r="D624" s="3">
        <f>MID(A624,1,2)*1</f>
        <v>0</v>
      </c>
      <c r="E624" s="4">
        <f>MID(A624,3,2)*1</f>
        <v>29</v>
      </c>
      <c r="F624" s="4">
        <f>MID(A624,5,2)*1</f>
        <v>27</v>
      </c>
      <c r="G624" s="3">
        <f>IF(E624&gt;=20,2000,1900) + D624</f>
        <v>2000</v>
      </c>
      <c r="H624">
        <f>IF(E624&gt;=20,E624-20,E624)</f>
        <v>9</v>
      </c>
      <c r="I624" s="4">
        <f>F624</f>
        <v>27</v>
      </c>
      <c r="J624">
        <f>CONCATENATE(G624,IF(LEN(H624)=1,CONCATENATE("0",H624),H624),IF(LEN(F624)=1,CONCATENATE("0",F624),F624))*1</f>
        <v>20000927</v>
      </c>
    </row>
    <row r="625" spans="1:10" hidden="1" x14ac:dyDescent="0.25">
      <c r="A625" s="4" t="s">
        <v>651</v>
      </c>
      <c r="B625" t="s">
        <v>15</v>
      </c>
      <c r="C625" t="s">
        <v>4</v>
      </c>
      <c r="D625" s="3">
        <f>MID(A625,1,2)*1</f>
        <v>9</v>
      </c>
      <c r="E625" s="4">
        <f>MID(A625,3,2)*1</f>
        <v>28</v>
      </c>
      <c r="F625" s="4">
        <f>MID(A625,5,2)*1</f>
        <v>8</v>
      </c>
      <c r="G625" s="3">
        <f>IF(E625&gt;=20,2000,1900) + D625</f>
        <v>2009</v>
      </c>
      <c r="H625">
        <f>IF(E625&gt;=20,E625-20,E625)</f>
        <v>8</v>
      </c>
      <c r="I625" s="4">
        <f>F625</f>
        <v>8</v>
      </c>
      <c r="J625">
        <f>CONCATENATE(G625,IF(LEN(H625)=1,CONCATENATE("0",H625),H625),IF(LEN(F625)=1,CONCATENATE("0",F625),F625))*1</f>
        <v>20090808</v>
      </c>
    </row>
    <row r="626" spans="1:10" hidden="1" x14ac:dyDescent="0.25">
      <c r="A626" s="4" t="s">
        <v>652</v>
      </c>
      <c r="B626" t="s">
        <v>12</v>
      </c>
      <c r="C626" t="s">
        <v>4</v>
      </c>
      <c r="D626" s="3">
        <f>MID(A626,1,2)*1</f>
        <v>7</v>
      </c>
      <c r="E626" s="4">
        <f>MID(A626,3,2)*1</f>
        <v>23</v>
      </c>
      <c r="F626" s="4">
        <f>MID(A626,5,2)*1</f>
        <v>1</v>
      </c>
      <c r="G626" s="3">
        <f>IF(E626&gt;=20,2000,1900) + D626</f>
        <v>2007</v>
      </c>
      <c r="H626">
        <f>IF(E626&gt;=20,E626-20,E626)</f>
        <v>3</v>
      </c>
      <c r="I626" s="4">
        <f>F626</f>
        <v>1</v>
      </c>
      <c r="J626">
        <f>CONCATENATE(G626,IF(LEN(H626)=1,CONCATENATE("0",H626),H626),IF(LEN(F626)=1,CONCATENATE("0",F626),F626))*1</f>
        <v>20070301</v>
      </c>
    </row>
    <row r="627" spans="1:10" hidden="1" x14ac:dyDescent="0.25">
      <c r="A627" s="4" t="s">
        <v>653</v>
      </c>
      <c r="B627" t="s">
        <v>12</v>
      </c>
      <c r="C627" t="s">
        <v>6</v>
      </c>
      <c r="D627" s="3">
        <f>MID(A627,1,2)*1</f>
        <v>13</v>
      </c>
      <c r="E627" s="4">
        <f>MID(A627,3,2)*1</f>
        <v>24</v>
      </c>
      <c r="F627" s="4">
        <f>MID(A627,5,2)*1</f>
        <v>27</v>
      </c>
      <c r="G627" s="3">
        <f>IF(E627&gt;=20,2000,1900) + D627</f>
        <v>2013</v>
      </c>
      <c r="H627">
        <f>IF(E627&gt;=20,E627-20,E627)</f>
        <v>4</v>
      </c>
      <c r="I627" s="4">
        <f>F627</f>
        <v>27</v>
      </c>
      <c r="J627">
        <f>CONCATENATE(G627,IF(LEN(H627)=1,CONCATENATE("0",H627),H627),IF(LEN(F627)=1,CONCATENATE("0",F627),F627))*1</f>
        <v>20130427</v>
      </c>
    </row>
    <row r="628" spans="1:10" hidden="1" x14ac:dyDescent="0.25">
      <c r="A628" s="4" t="s">
        <v>654</v>
      </c>
      <c r="B628" t="s">
        <v>13</v>
      </c>
      <c r="C628" t="s">
        <v>6</v>
      </c>
      <c r="D628" s="3">
        <f>MID(A628,1,2)*1</f>
        <v>19</v>
      </c>
      <c r="E628" s="4">
        <f>MID(A628,3,2)*1</f>
        <v>30</v>
      </c>
      <c r="F628" s="4">
        <f>MID(A628,5,2)*1</f>
        <v>16</v>
      </c>
      <c r="G628" s="3">
        <f>IF(E628&gt;=20,2000,1900) + D628</f>
        <v>2019</v>
      </c>
      <c r="H628">
        <f>IF(E628&gt;=20,E628-20,E628)</f>
        <v>10</v>
      </c>
      <c r="I628" s="4">
        <f>F628</f>
        <v>16</v>
      </c>
      <c r="J628">
        <f>CONCATENATE(G628,IF(LEN(H628)=1,CONCATENATE("0",H628),H628),IF(LEN(F628)=1,CONCATENATE("0",F628),F628))*1</f>
        <v>20191016</v>
      </c>
    </row>
    <row r="629" spans="1:10" hidden="1" x14ac:dyDescent="0.25">
      <c r="A629" s="4" t="s">
        <v>655</v>
      </c>
      <c r="B629" t="s">
        <v>3</v>
      </c>
      <c r="C629" t="s">
        <v>4</v>
      </c>
      <c r="D629" s="3">
        <f>MID(A629,1,2)*1</f>
        <v>21</v>
      </c>
      <c r="E629" s="4">
        <f>MID(A629,3,2)*1</f>
        <v>32</v>
      </c>
      <c r="F629" s="4">
        <f>MID(A629,5,2)*1</f>
        <v>22</v>
      </c>
      <c r="G629" s="3">
        <f>IF(E629&gt;=20,2000,1900) + D629</f>
        <v>2021</v>
      </c>
      <c r="H629">
        <f>IF(E629&gt;=20,E629-20,E629)</f>
        <v>12</v>
      </c>
      <c r="I629" s="4">
        <f>F629</f>
        <v>22</v>
      </c>
      <c r="J629">
        <f>CONCATENATE(G629,IF(LEN(H629)=1,CONCATENATE("0",H629),H629),IF(LEN(F629)=1,CONCATENATE("0",F629),F629))*1</f>
        <v>20211222</v>
      </c>
    </row>
    <row r="630" spans="1:10" hidden="1" x14ac:dyDescent="0.25">
      <c r="A630" s="4" t="s">
        <v>656</v>
      </c>
      <c r="B630" t="s">
        <v>3</v>
      </c>
      <c r="C630" t="s">
        <v>6</v>
      </c>
      <c r="D630" s="3">
        <f>MID(A630,1,2)*1</f>
        <v>22</v>
      </c>
      <c r="E630" s="4">
        <f>MID(A630,3,2)*1</f>
        <v>32</v>
      </c>
      <c r="F630" s="4">
        <f>MID(A630,5,2)*1</f>
        <v>1</v>
      </c>
      <c r="G630" s="3">
        <f>IF(E630&gt;=20,2000,1900) + D630</f>
        <v>2022</v>
      </c>
      <c r="H630">
        <f>IF(E630&gt;=20,E630-20,E630)</f>
        <v>12</v>
      </c>
      <c r="I630" s="4">
        <f>F630</f>
        <v>1</v>
      </c>
      <c r="J630">
        <f>CONCATENATE(G630,IF(LEN(H630)=1,CONCATENATE("0",H630),H630),IF(LEN(F630)=1,CONCATENATE("0",F630),F630))*1</f>
        <v>20221201</v>
      </c>
    </row>
    <row r="631" spans="1:10" hidden="1" x14ac:dyDescent="0.25">
      <c r="A631" s="4" t="s">
        <v>657</v>
      </c>
      <c r="B631" t="s">
        <v>15</v>
      </c>
      <c r="C631" t="s">
        <v>4</v>
      </c>
      <c r="D631" s="3">
        <f>MID(A631,1,2)*1</f>
        <v>3</v>
      </c>
      <c r="E631" s="4">
        <f>MID(A631,3,2)*1</f>
        <v>23</v>
      </c>
      <c r="F631" s="4">
        <f>MID(A631,5,2)*1</f>
        <v>18</v>
      </c>
      <c r="G631" s="3">
        <f>IF(E631&gt;=20,2000,1900) + D631</f>
        <v>2003</v>
      </c>
      <c r="H631">
        <f>IF(E631&gt;=20,E631-20,E631)</f>
        <v>3</v>
      </c>
      <c r="I631" s="4">
        <f>F631</f>
        <v>18</v>
      </c>
      <c r="J631">
        <f>CONCATENATE(G631,IF(LEN(H631)=1,CONCATENATE("0",H631),H631),IF(LEN(F631)=1,CONCATENATE("0",F631),F631))*1</f>
        <v>20030318</v>
      </c>
    </row>
    <row r="632" spans="1:10" hidden="1" x14ac:dyDescent="0.25">
      <c r="A632" s="4" t="s">
        <v>658</v>
      </c>
      <c r="B632" t="s">
        <v>8</v>
      </c>
      <c r="C632" t="s">
        <v>6</v>
      </c>
      <c r="D632" s="3">
        <f>MID(A632,1,2)*1</f>
        <v>16</v>
      </c>
      <c r="E632" s="4">
        <f>MID(A632,3,2)*1</f>
        <v>21</v>
      </c>
      <c r="F632" s="4">
        <f>MID(A632,5,2)*1</f>
        <v>1</v>
      </c>
      <c r="G632" s="3">
        <f>IF(E632&gt;=20,2000,1900) + D632</f>
        <v>2016</v>
      </c>
      <c r="H632">
        <f>IF(E632&gt;=20,E632-20,E632)</f>
        <v>1</v>
      </c>
      <c r="I632" s="4">
        <f>F632</f>
        <v>1</v>
      </c>
      <c r="J632">
        <f>CONCATENATE(G632,IF(LEN(H632)=1,CONCATENATE("0",H632),H632),IF(LEN(F632)=1,CONCATENATE("0",F632),F632))*1</f>
        <v>20160101</v>
      </c>
    </row>
    <row r="633" spans="1:10" hidden="1" x14ac:dyDescent="0.25">
      <c r="A633" s="4" t="s">
        <v>659</v>
      </c>
      <c r="B633" t="s">
        <v>5</v>
      </c>
      <c r="C633" t="s">
        <v>6</v>
      </c>
      <c r="D633" s="3">
        <f>MID(A633,1,2)*1</f>
        <v>18</v>
      </c>
      <c r="E633" s="4">
        <f>MID(A633,3,2)*1</f>
        <v>32</v>
      </c>
      <c r="F633" s="4">
        <f>MID(A633,5,2)*1</f>
        <v>14</v>
      </c>
      <c r="G633" s="3">
        <f>IF(E633&gt;=20,2000,1900) + D633</f>
        <v>2018</v>
      </c>
      <c r="H633">
        <f>IF(E633&gt;=20,E633-20,E633)</f>
        <v>12</v>
      </c>
      <c r="I633" s="4">
        <f>F633</f>
        <v>14</v>
      </c>
      <c r="J633">
        <f>CONCATENATE(G633,IF(LEN(H633)=1,CONCATENATE("0",H633),H633),IF(LEN(F633)=1,CONCATENATE("0",F633),F633))*1</f>
        <v>20181214</v>
      </c>
    </row>
    <row r="634" spans="1:10" hidden="1" x14ac:dyDescent="0.25">
      <c r="A634" s="4" t="s">
        <v>660</v>
      </c>
      <c r="B634" t="s">
        <v>12</v>
      </c>
      <c r="C634" t="s">
        <v>4</v>
      </c>
      <c r="D634" s="3">
        <f>MID(A634,1,2)*1</f>
        <v>16</v>
      </c>
      <c r="E634" s="4">
        <f>MID(A634,3,2)*1</f>
        <v>26</v>
      </c>
      <c r="F634" s="4">
        <f>MID(A634,5,2)*1</f>
        <v>16</v>
      </c>
      <c r="G634" s="3">
        <f>IF(E634&gt;=20,2000,1900) + D634</f>
        <v>2016</v>
      </c>
      <c r="H634">
        <f>IF(E634&gt;=20,E634-20,E634)</f>
        <v>6</v>
      </c>
      <c r="I634" s="4">
        <f>F634</f>
        <v>16</v>
      </c>
      <c r="J634">
        <f>CONCATENATE(G634,IF(LEN(H634)=1,CONCATENATE("0",H634),H634),IF(LEN(F634)=1,CONCATENATE("0",F634),F634))*1</f>
        <v>20160616</v>
      </c>
    </row>
    <row r="635" spans="1:10" hidden="1" x14ac:dyDescent="0.25">
      <c r="A635" s="4" t="s">
        <v>661</v>
      </c>
      <c r="B635" t="s">
        <v>13</v>
      </c>
      <c r="C635" t="s">
        <v>4</v>
      </c>
      <c r="D635" s="3">
        <f>MID(A635,1,2)*1</f>
        <v>7</v>
      </c>
      <c r="E635" s="4">
        <f>MID(A635,3,2)*1</f>
        <v>27</v>
      </c>
      <c r="F635" s="4">
        <f>MID(A635,5,2)*1</f>
        <v>2</v>
      </c>
      <c r="G635" s="3">
        <f>IF(E635&gt;=20,2000,1900) + D635</f>
        <v>2007</v>
      </c>
      <c r="H635">
        <f>IF(E635&gt;=20,E635-20,E635)</f>
        <v>7</v>
      </c>
      <c r="I635" s="4">
        <f>F635</f>
        <v>2</v>
      </c>
      <c r="J635">
        <f>CONCATENATE(G635,IF(LEN(H635)=1,CONCATENATE("0",H635),H635),IF(LEN(F635)=1,CONCATENATE("0",F635),F635))*1</f>
        <v>20070702</v>
      </c>
    </row>
    <row r="636" spans="1:10" hidden="1" x14ac:dyDescent="0.25">
      <c r="A636" s="4" t="s">
        <v>662</v>
      </c>
      <c r="B636" t="s">
        <v>20</v>
      </c>
      <c r="C636" t="s">
        <v>6</v>
      </c>
      <c r="D636" s="3">
        <f>MID(A636,1,2)*1</f>
        <v>12</v>
      </c>
      <c r="E636" s="4">
        <f>MID(A636,3,2)*1</f>
        <v>23</v>
      </c>
      <c r="F636" s="4">
        <f>MID(A636,5,2)*1</f>
        <v>3</v>
      </c>
      <c r="G636" s="3">
        <f>IF(E636&gt;=20,2000,1900) + D636</f>
        <v>2012</v>
      </c>
      <c r="H636">
        <f>IF(E636&gt;=20,E636-20,E636)</f>
        <v>3</v>
      </c>
      <c r="I636" s="4">
        <f>F636</f>
        <v>3</v>
      </c>
      <c r="J636">
        <f>CONCATENATE(G636,IF(LEN(H636)=1,CONCATENATE("0",H636),H636),IF(LEN(F636)=1,CONCATENATE("0",F636),F636))*1</f>
        <v>20120303</v>
      </c>
    </row>
    <row r="637" spans="1:10" hidden="1" x14ac:dyDescent="0.25">
      <c r="A637" s="4" t="s">
        <v>663</v>
      </c>
      <c r="B637" t="s">
        <v>3</v>
      </c>
      <c r="C637" t="s">
        <v>6</v>
      </c>
      <c r="D637" s="3">
        <f>MID(A637,1,2)*1</f>
        <v>19</v>
      </c>
      <c r="E637" s="4">
        <f>MID(A637,3,2)*1</f>
        <v>31</v>
      </c>
      <c r="F637" s="4">
        <f>MID(A637,5,2)*1</f>
        <v>22</v>
      </c>
      <c r="G637" s="3">
        <f>IF(E637&gt;=20,2000,1900) + D637</f>
        <v>2019</v>
      </c>
      <c r="H637">
        <f>IF(E637&gt;=20,E637-20,E637)</f>
        <v>11</v>
      </c>
      <c r="I637" s="4">
        <f>F637</f>
        <v>22</v>
      </c>
      <c r="J637">
        <f>CONCATENATE(G637,IF(LEN(H637)=1,CONCATENATE("0",H637),H637),IF(LEN(F637)=1,CONCATENATE("0",F637),F637))*1</f>
        <v>20191122</v>
      </c>
    </row>
    <row r="638" spans="1:10" hidden="1" x14ac:dyDescent="0.25">
      <c r="A638" s="4" t="s">
        <v>664</v>
      </c>
      <c r="B638" t="s">
        <v>19</v>
      </c>
      <c r="C638" t="s">
        <v>6</v>
      </c>
      <c r="D638" s="3">
        <f>MID(A638,1,2)*1</f>
        <v>1</v>
      </c>
      <c r="E638" s="4">
        <f>MID(A638,3,2)*1</f>
        <v>30</v>
      </c>
      <c r="F638" s="4">
        <f>MID(A638,5,2)*1</f>
        <v>8</v>
      </c>
      <c r="G638" s="3">
        <f>IF(E638&gt;=20,2000,1900) + D638</f>
        <v>2001</v>
      </c>
      <c r="H638">
        <f>IF(E638&gt;=20,E638-20,E638)</f>
        <v>10</v>
      </c>
      <c r="I638" s="4">
        <f>F638</f>
        <v>8</v>
      </c>
      <c r="J638">
        <f>CONCATENATE(G638,IF(LEN(H638)=1,CONCATENATE("0",H638),H638),IF(LEN(F638)=1,CONCATENATE("0",F638),F638))*1</f>
        <v>20011008</v>
      </c>
    </row>
    <row r="639" spans="1:10" hidden="1" x14ac:dyDescent="0.25">
      <c r="A639" s="4" t="s">
        <v>665</v>
      </c>
      <c r="B639" t="s">
        <v>10</v>
      </c>
      <c r="C639" t="s">
        <v>4</v>
      </c>
      <c r="D639" s="3">
        <f>MID(A639,1,2)*1</f>
        <v>19</v>
      </c>
      <c r="E639" s="4">
        <f>MID(A639,3,2)*1</f>
        <v>21</v>
      </c>
      <c r="F639" s="4">
        <f>MID(A639,5,2)*1</f>
        <v>11</v>
      </c>
      <c r="G639" s="3">
        <f>IF(E639&gt;=20,2000,1900) + D639</f>
        <v>2019</v>
      </c>
      <c r="H639">
        <f>IF(E639&gt;=20,E639-20,E639)</f>
        <v>1</v>
      </c>
      <c r="I639" s="4">
        <f>F639</f>
        <v>11</v>
      </c>
      <c r="J639">
        <f>CONCATENATE(G639,IF(LEN(H639)=1,CONCATENATE("0",H639),H639),IF(LEN(F639)=1,CONCATENATE("0",F639),F639))*1</f>
        <v>20190111</v>
      </c>
    </row>
    <row r="640" spans="1:10" hidden="1" x14ac:dyDescent="0.25">
      <c r="A640" s="4" t="s">
        <v>666</v>
      </c>
      <c r="B640" t="s">
        <v>16</v>
      </c>
      <c r="C640" t="s">
        <v>4</v>
      </c>
      <c r="D640" s="3">
        <f>MID(A640,1,2)*1</f>
        <v>22</v>
      </c>
      <c r="E640" s="4">
        <f>MID(A640,3,2)*1</f>
        <v>24</v>
      </c>
      <c r="F640" s="4">
        <f>MID(A640,5,2)*1</f>
        <v>26</v>
      </c>
      <c r="G640" s="3">
        <f>IF(E640&gt;=20,2000,1900) + D640</f>
        <v>2022</v>
      </c>
      <c r="H640">
        <f>IF(E640&gt;=20,E640-20,E640)</f>
        <v>4</v>
      </c>
      <c r="I640" s="4">
        <f>F640</f>
        <v>26</v>
      </c>
      <c r="J640">
        <f>CONCATENATE(G640,IF(LEN(H640)=1,CONCATENATE("0",H640),H640),IF(LEN(F640)=1,CONCATENATE("0",F640),F640))*1</f>
        <v>20220426</v>
      </c>
    </row>
    <row r="641" spans="1:10" hidden="1" x14ac:dyDescent="0.25">
      <c r="A641" s="4" t="s">
        <v>667</v>
      </c>
      <c r="B641" t="s">
        <v>8</v>
      </c>
      <c r="C641" t="s">
        <v>6</v>
      </c>
      <c r="D641" s="3">
        <f>MID(A641,1,2)*1</f>
        <v>22</v>
      </c>
      <c r="E641" s="4">
        <f>MID(A641,3,2)*1</f>
        <v>23</v>
      </c>
      <c r="F641" s="4">
        <f>MID(A641,5,2)*1</f>
        <v>11</v>
      </c>
      <c r="G641" s="3">
        <f>IF(E641&gt;=20,2000,1900) + D641</f>
        <v>2022</v>
      </c>
      <c r="H641">
        <f>IF(E641&gt;=20,E641-20,E641)</f>
        <v>3</v>
      </c>
      <c r="I641" s="4">
        <f>F641</f>
        <v>11</v>
      </c>
      <c r="J641">
        <f>CONCATENATE(G641,IF(LEN(H641)=1,CONCATENATE("0",H641),H641),IF(LEN(F641)=1,CONCATENATE("0",F641),F641))*1</f>
        <v>20220311</v>
      </c>
    </row>
    <row r="642" spans="1:10" hidden="1" x14ac:dyDescent="0.25">
      <c r="A642" s="4" t="s">
        <v>668</v>
      </c>
      <c r="B642" t="s">
        <v>20</v>
      </c>
      <c r="C642" t="s">
        <v>4</v>
      </c>
      <c r="D642" s="3">
        <f>MID(A642,1,2)*1</f>
        <v>7</v>
      </c>
      <c r="E642" s="4">
        <f>MID(A642,3,2)*1</f>
        <v>26</v>
      </c>
      <c r="F642" s="4">
        <f>MID(A642,5,2)*1</f>
        <v>27</v>
      </c>
      <c r="G642" s="3">
        <f>IF(E642&gt;=20,2000,1900) + D642</f>
        <v>2007</v>
      </c>
      <c r="H642">
        <f>IF(E642&gt;=20,E642-20,E642)</f>
        <v>6</v>
      </c>
      <c r="I642" s="4">
        <f>F642</f>
        <v>27</v>
      </c>
      <c r="J642">
        <f>CONCATENATE(G642,IF(LEN(H642)=1,CONCATENATE("0",H642),H642),IF(LEN(F642)=1,CONCATENATE("0",F642),F642))*1</f>
        <v>20070627</v>
      </c>
    </row>
    <row r="643" spans="1:10" hidden="1" x14ac:dyDescent="0.25">
      <c r="A643" s="4" t="s">
        <v>669</v>
      </c>
      <c r="B643" t="s">
        <v>17</v>
      </c>
      <c r="C643" t="s">
        <v>6</v>
      </c>
      <c r="D643" s="3">
        <f>MID(A643,1,2)*1</f>
        <v>10</v>
      </c>
      <c r="E643" s="4">
        <f>MID(A643,3,2)*1</f>
        <v>24</v>
      </c>
      <c r="F643" s="4">
        <f>MID(A643,5,2)*1</f>
        <v>21</v>
      </c>
      <c r="G643" s="3">
        <f>IF(E643&gt;=20,2000,1900) + D643</f>
        <v>2010</v>
      </c>
      <c r="H643">
        <f>IF(E643&gt;=20,E643-20,E643)</f>
        <v>4</v>
      </c>
      <c r="I643" s="4">
        <f>F643</f>
        <v>21</v>
      </c>
      <c r="J643">
        <f>CONCATENATE(G643,IF(LEN(H643)=1,CONCATENATE("0",H643),H643),IF(LEN(F643)=1,CONCATENATE("0",F643),F643))*1</f>
        <v>20100421</v>
      </c>
    </row>
    <row r="644" spans="1:10" x14ac:dyDescent="0.25">
      <c r="A644" s="4" t="s">
        <v>784</v>
      </c>
      <c r="B644" t="s">
        <v>18</v>
      </c>
      <c r="C644" t="s">
        <v>4</v>
      </c>
      <c r="D644" s="3">
        <f>MID(A644,1,2)*1</f>
        <v>2</v>
      </c>
      <c r="E644" s="4">
        <f>MID(A644,3,2)*1</f>
        <v>22</v>
      </c>
      <c r="F644" s="4">
        <f>MID(A644,5,2)*1</f>
        <v>26</v>
      </c>
      <c r="G644" s="3">
        <f>IF(E644&gt;=20,2000,1900) + D644</f>
        <v>2002</v>
      </c>
      <c r="H644">
        <f>IF(E644&gt;=20,E644-20,E644)</f>
        <v>2</v>
      </c>
      <c r="I644" s="4">
        <f>F644</f>
        <v>26</v>
      </c>
      <c r="J644">
        <f>CONCATENATE(G644,IF(LEN(H644)=1,CONCATENATE("0",H644),H644),IF(LEN(F644)=1,CONCATENATE("0",F644),F644))*1</f>
        <v>20020226</v>
      </c>
    </row>
    <row r="645" spans="1:10" hidden="1" x14ac:dyDescent="0.25">
      <c r="A645" s="4" t="s">
        <v>671</v>
      </c>
      <c r="B645" t="s">
        <v>8</v>
      </c>
      <c r="C645" t="s">
        <v>4</v>
      </c>
      <c r="D645" s="3">
        <f>MID(A645,1,2)*1</f>
        <v>14</v>
      </c>
      <c r="E645" s="4">
        <f>MID(A645,3,2)*1</f>
        <v>28</v>
      </c>
      <c r="F645" s="4">
        <f>MID(A645,5,2)*1</f>
        <v>22</v>
      </c>
      <c r="G645" s="3">
        <f>IF(E645&gt;=20,2000,1900) + D645</f>
        <v>2014</v>
      </c>
      <c r="H645">
        <f>IF(E645&gt;=20,E645-20,E645)</f>
        <v>8</v>
      </c>
      <c r="I645" s="4">
        <f>F645</f>
        <v>22</v>
      </c>
      <c r="J645">
        <f>CONCATENATE(G645,IF(LEN(H645)=1,CONCATENATE("0",H645),H645),IF(LEN(F645)=1,CONCATENATE("0",F645),F645))*1</f>
        <v>20140822</v>
      </c>
    </row>
    <row r="646" spans="1:10" hidden="1" x14ac:dyDescent="0.25">
      <c r="A646" s="4" t="s">
        <v>672</v>
      </c>
      <c r="B646" t="s">
        <v>5</v>
      </c>
      <c r="C646" t="s">
        <v>6</v>
      </c>
      <c r="D646" s="3">
        <f>MID(A646,1,2)*1</f>
        <v>18</v>
      </c>
      <c r="E646" s="4">
        <f>MID(A646,3,2)*1</f>
        <v>23</v>
      </c>
      <c r="F646" s="4">
        <f>MID(A646,5,2)*1</f>
        <v>2</v>
      </c>
      <c r="G646" s="3">
        <f>IF(E646&gt;=20,2000,1900) + D646</f>
        <v>2018</v>
      </c>
      <c r="H646">
        <f>IF(E646&gt;=20,E646-20,E646)</f>
        <v>3</v>
      </c>
      <c r="I646" s="4">
        <f>F646</f>
        <v>2</v>
      </c>
      <c r="J646">
        <f>CONCATENATE(G646,IF(LEN(H646)=1,CONCATENATE("0",H646),H646),IF(LEN(F646)=1,CONCATENATE("0",F646),F646))*1</f>
        <v>20180302</v>
      </c>
    </row>
    <row r="647" spans="1:10" hidden="1" x14ac:dyDescent="0.25">
      <c r="A647" s="4" t="s">
        <v>673</v>
      </c>
      <c r="B647" t="s">
        <v>3</v>
      </c>
      <c r="C647" t="s">
        <v>6</v>
      </c>
      <c r="D647" s="3">
        <f>MID(A647,1,2)*1</f>
        <v>9</v>
      </c>
      <c r="E647" s="4">
        <f>MID(A647,3,2)*1</f>
        <v>31</v>
      </c>
      <c r="F647" s="4">
        <f>MID(A647,5,2)*1</f>
        <v>3</v>
      </c>
      <c r="G647" s="3">
        <f>IF(E647&gt;=20,2000,1900) + D647</f>
        <v>2009</v>
      </c>
      <c r="H647">
        <f>IF(E647&gt;=20,E647-20,E647)</f>
        <v>11</v>
      </c>
      <c r="I647" s="4">
        <f>F647</f>
        <v>3</v>
      </c>
      <c r="J647">
        <f>CONCATENATE(G647,IF(LEN(H647)=1,CONCATENATE("0",H647),H647),IF(LEN(F647)=1,CONCATENATE("0",F647),F647))*1</f>
        <v>20091103</v>
      </c>
    </row>
    <row r="648" spans="1:10" hidden="1" x14ac:dyDescent="0.25">
      <c r="A648" s="4" t="s">
        <v>674</v>
      </c>
      <c r="B648" t="s">
        <v>11</v>
      </c>
      <c r="C648" t="s">
        <v>4</v>
      </c>
      <c r="D648" s="3">
        <f>MID(A648,1,2)*1</f>
        <v>14</v>
      </c>
      <c r="E648" s="4">
        <f>MID(A648,3,2)*1</f>
        <v>29</v>
      </c>
      <c r="F648" s="4">
        <f>MID(A648,5,2)*1</f>
        <v>13</v>
      </c>
      <c r="G648" s="3">
        <f>IF(E648&gt;=20,2000,1900) + D648</f>
        <v>2014</v>
      </c>
      <c r="H648">
        <f>IF(E648&gt;=20,E648-20,E648)</f>
        <v>9</v>
      </c>
      <c r="I648" s="4">
        <f>F648</f>
        <v>13</v>
      </c>
      <c r="J648">
        <f>CONCATENATE(G648,IF(LEN(H648)=1,CONCATENATE("0",H648),H648),IF(LEN(F648)=1,CONCATENATE("0",F648),F648))*1</f>
        <v>20140913</v>
      </c>
    </row>
    <row r="649" spans="1:10" hidden="1" x14ac:dyDescent="0.25">
      <c r="A649" s="4" t="s">
        <v>675</v>
      </c>
      <c r="B649" t="s">
        <v>16</v>
      </c>
      <c r="C649" t="s">
        <v>6</v>
      </c>
      <c r="D649" s="3">
        <f>MID(A649,1,2)*1</f>
        <v>5</v>
      </c>
      <c r="E649" s="4">
        <f>MID(A649,3,2)*1</f>
        <v>22</v>
      </c>
      <c r="F649" s="4">
        <f>MID(A649,5,2)*1</f>
        <v>8</v>
      </c>
      <c r="G649" s="3">
        <f>IF(E649&gt;=20,2000,1900) + D649</f>
        <v>2005</v>
      </c>
      <c r="H649">
        <f>IF(E649&gt;=20,E649-20,E649)</f>
        <v>2</v>
      </c>
      <c r="I649" s="4">
        <f>F649</f>
        <v>8</v>
      </c>
      <c r="J649">
        <f>CONCATENATE(G649,IF(LEN(H649)=1,CONCATENATE("0",H649),H649),IF(LEN(F649)=1,CONCATENATE("0",F649),F649))*1</f>
        <v>20050208</v>
      </c>
    </row>
    <row r="650" spans="1:10" hidden="1" x14ac:dyDescent="0.25">
      <c r="A650" s="4" t="s">
        <v>676</v>
      </c>
      <c r="B650" t="s">
        <v>14</v>
      </c>
      <c r="C650" t="s">
        <v>6</v>
      </c>
      <c r="D650" s="3">
        <f>MID(A650,1,2)*1</f>
        <v>1</v>
      </c>
      <c r="E650" s="4">
        <f>MID(A650,3,2)*1</f>
        <v>29</v>
      </c>
      <c r="F650" s="4">
        <f>MID(A650,5,2)*1</f>
        <v>15</v>
      </c>
      <c r="G650" s="3">
        <f>IF(E650&gt;=20,2000,1900) + D650</f>
        <v>2001</v>
      </c>
      <c r="H650">
        <f>IF(E650&gt;=20,E650-20,E650)</f>
        <v>9</v>
      </c>
      <c r="I650" s="4">
        <f>F650</f>
        <v>15</v>
      </c>
      <c r="J650">
        <f>CONCATENATE(G650,IF(LEN(H650)=1,CONCATENATE("0",H650),H650),IF(LEN(F650)=1,CONCATENATE("0",F650),F650))*1</f>
        <v>20010915</v>
      </c>
    </row>
    <row r="651" spans="1:10" hidden="1" x14ac:dyDescent="0.25">
      <c r="A651" s="4" t="s">
        <v>677</v>
      </c>
      <c r="B651" t="s">
        <v>13</v>
      </c>
      <c r="C651" t="s">
        <v>4</v>
      </c>
      <c r="D651" s="3">
        <f>MID(A651,1,2)*1</f>
        <v>3</v>
      </c>
      <c r="E651" s="4">
        <f>MID(A651,3,2)*1</f>
        <v>22</v>
      </c>
      <c r="F651" s="4">
        <f>MID(A651,5,2)*1</f>
        <v>10</v>
      </c>
      <c r="G651" s="3">
        <f>IF(E651&gt;=20,2000,1900) + D651</f>
        <v>2003</v>
      </c>
      <c r="H651">
        <f>IF(E651&gt;=20,E651-20,E651)</f>
        <v>2</v>
      </c>
      <c r="I651" s="4">
        <f>F651</f>
        <v>10</v>
      </c>
      <c r="J651">
        <f>CONCATENATE(G651,IF(LEN(H651)=1,CONCATENATE("0",H651),H651),IF(LEN(F651)=1,CONCATENATE("0",F651),F651))*1</f>
        <v>20030210</v>
      </c>
    </row>
    <row r="652" spans="1:10" hidden="1" x14ac:dyDescent="0.25">
      <c r="A652" s="4" t="s">
        <v>678</v>
      </c>
      <c r="B652" t="s">
        <v>14</v>
      </c>
      <c r="C652" t="s">
        <v>4</v>
      </c>
      <c r="D652" s="3">
        <f>MID(A652,1,2)*1</f>
        <v>13</v>
      </c>
      <c r="E652" s="4">
        <f>MID(A652,3,2)*1</f>
        <v>28</v>
      </c>
      <c r="F652" s="4">
        <f>MID(A652,5,2)*1</f>
        <v>16</v>
      </c>
      <c r="G652" s="3">
        <f>IF(E652&gt;=20,2000,1900) + D652</f>
        <v>2013</v>
      </c>
      <c r="H652">
        <f>IF(E652&gt;=20,E652-20,E652)</f>
        <v>8</v>
      </c>
      <c r="I652" s="4">
        <f>F652</f>
        <v>16</v>
      </c>
      <c r="J652">
        <f>CONCATENATE(G652,IF(LEN(H652)=1,CONCATENATE("0",H652),H652),IF(LEN(F652)=1,CONCATENATE("0",F652),F652))*1</f>
        <v>20130816</v>
      </c>
    </row>
    <row r="653" spans="1:10" hidden="1" x14ac:dyDescent="0.25">
      <c r="A653" s="4" t="s">
        <v>679</v>
      </c>
      <c r="B653" t="s">
        <v>19</v>
      </c>
      <c r="C653" t="s">
        <v>6</v>
      </c>
      <c r="D653" s="3">
        <f>MID(A653,1,2)*1</f>
        <v>22</v>
      </c>
      <c r="E653" s="4">
        <f>MID(A653,3,2)*1</f>
        <v>26</v>
      </c>
      <c r="F653" s="4">
        <f>MID(A653,5,2)*1</f>
        <v>6</v>
      </c>
      <c r="G653" s="3">
        <f>IF(E653&gt;=20,2000,1900) + D653</f>
        <v>2022</v>
      </c>
      <c r="H653">
        <f>IF(E653&gt;=20,E653-20,E653)</f>
        <v>6</v>
      </c>
      <c r="I653" s="4">
        <f>F653</f>
        <v>6</v>
      </c>
      <c r="J653">
        <f>CONCATENATE(G653,IF(LEN(H653)=1,CONCATENATE("0",H653),H653),IF(LEN(F653)=1,CONCATENATE("0",F653),F653))*1</f>
        <v>20220606</v>
      </c>
    </row>
    <row r="654" spans="1:10" hidden="1" x14ac:dyDescent="0.25">
      <c r="A654" s="4" t="s">
        <v>680</v>
      </c>
      <c r="B654" t="s">
        <v>5</v>
      </c>
      <c r="C654" t="s">
        <v>4</v>
      </c>
      <c r="D654" s="3">
        <f>MID(A654,1,2)*1</f>
        <v>16</v>
      </c>
      <c r="E654" s="4">
        <f>MID(A654,3,2)*1</f>
        <v>26</v>
      </c>
      <c r="F654" s="4">
        <f>MID(A654,5,2)*1</f>
        <v>29</v>
      </c>
      <c r="G654" s="3">
        <f>IF(E654&gt;=20,2000,1900) + D654</f>
        <v>2016</v>
      </c>
      <c r="H654">
        <f>IF(E654&gt;=20,E654-20,E654)</f>
        <v>6</v>
      </c>
      <c r="I654" s="4">
        <f>F654</f>
        <v>29</v>
      </c>
      <c r="J654">
        <f>CONCATENATE(G654,IF(LEN(H654)=1,CONCATENATE("0",H654),H654),IF(LEN(F654)=1,CONCATENATE("0",F654),F654))*1</f>
        <v>20160629</v>
      </c>
    </row>
    <row r="655" spans="1:10" hidden="1" x14ac:dyDescent="0.25">
      <c r="A655" s="4" t="s">
        <v>681</v>
      </c>
      <c r="B655" t="s">
        <v>7</v>
      </c>
      <c r="C655" t="s">
        <v>4</v>
      </c>
      <c r="D655" s="3">
        <f>MID(A655,1,2)*1</f>
        <v>3</v>
      </c>
      <c r="E655" s="4">
        <f>MID(A655,3,2)*1</f>
        <v>26</v>
      </c>
      <c r="F655" s="4">
        <f>MID(A655,5,2)*1</f>
        <v>25</v>
      </c>
      <c r="G655" s="3">
        <f>IF(E655&gt;=20,2000,1900) + D655</f>
        <v>2003</v>
      </c>
      <c r="H655">
        <f>IF(E655&gt;=20,E655-20,E655)</f>
        <v>6</v>
      </c>
      <c r="I655" s="4">
        <f>F655</f>
        <v>25</v>
      </c>
      <c r="J655">
        <f>CONCATENATE(G655,IF(LEN(H655)=1,CONCATENATE("0",H655),H655),IF(LEN(F655)=1,CONCATENATE("0",F655),F655))*1</f>
        <v>20030625</v>
      </c>
    </row>
    <row r="656" spans="1:10" x14ac:dyDescent="0.25">
      <c r="A656" s="4" t="s">
        <v>855</v>
      </c>
      <c r="B656" t="s">
        <v>18</v>
      </c>
      <c r="C656" t="s">
        <v>6</v>
      </c>
      <c r="D656" s="3">
        <f>MID(A656,1,2)*1</f>
        <v>2</v>
      </c>
      <c r="E656" s="4">
        <f>MID(A656,3,2)*1</f>
        <v>28</v>
      </c>
      <c r="F656" s="4">
        <f>MID(A656,5,2)*1</f>
        <v>31</v>
      </c>
      <c r="G656" s="3">
        <f>IF(E656&gt;=20,2000,1900) + D656</f>
        <v>2002</v>
      </c>
      <c r="H656">
        <f>IF(E656&gt;=20,E656-20,E656)</f>
        <v>8</v>
      </c>
      <c r="I656" s="4">
        <f>F656</f>
        <v>31</v>
      </c>
      <c r="J656">
        <f>CONCATENATE(G656,IF(LEN(H656)=1,CONCATENATE("0",H656),H656),IF(LEN(F656)=1,CONCATENATE("0",F656),F656))*1</f>
        <v>20020831</v>
      </c>
    </row>
    <row r="657" spans="1:10" hidden="1" x14ac:dyDescent="0.25">
      <c r="A657" s="4" t="s">
        <v>683</v>
      </c>
      <c r="B657" t="s">
        <v>19</v>
      </c>
      <c r="C657" t="s">
        <v>4</v>
      </c>
      <c r="D657" s="3">
        <f>MID(A657,1,2)*1</f>
        <v>7</v>
      </c>
      <c r="E657" s="4">
        <f>MID(A657,3,2)*1</f>
        <v>22</v>
      </c>
      <c r="F657" s="4">
        <f>MID(A657,5,2)*1</f>
        <v>16</v>
      </c>
      <c r="G657" s="3">
        <f>IF(E657&gt;=20,2000,1900) + D657</f>
        <v>2007</v>
      </c>
      <c r="H657">
        <f>IF(E657&gt;=20,E657-20,E657)</f>
        <v>2</v>
      </c>
      <c r="I657" s="4">
        <f>F657</f>
        <v>16</v>
      </c>
      <c r="J657">
        <f>CONCATENATE(G657,IF(LEN(H657)=1,CONCATENATE("0",H657),H657),IF(LEN(F657)=1,CONCATENATE("0",F657),F657))*1</f>
        <v>20070216</v>
      </c>
    </row>
    <row r="658" spans="1:10" hidden="1" x14ac:dyDescent="0.25">
      <c r="A658" s="4" t="s">
        <v>684</v>
      </c>
      <c r="B658" t="s">
        <v>19</v>
      </c>
      <c r="C658" t="s">
        <v>4</v>
      </c>
      <c r="D658" s="3">
        <f>MID(A658,1,2)*1</f>
        <v>3</v>
      </c>
      <c r="E658" s="4">
        <f>MID(A658,3,2)*1</f>
        <v>22</v>
      </c>
      <c r="F658" s="4">
        <f>MID(A658,5,2)*1</f>
        <v>10</v>
      </c>
      <c r="G658" s="3">
        <f>IF(E658&gt;=20,2000,1900) + D658</f>
        <v>2003</v>
      </c>
      <c r="H658">
        <f>IF(E658&gt;=20,E658-20,E658)</f>
        <v>2</v>
      </c>
      <c r="I658" s="4">
        <f>F658</f>
        <v>10</v>
      </c>
      <c r="J658">
        <f>CONCATENATE(G658,IF(LEN(H658)=1,CONCATENATE("0",H658),H658),IF(LEN(F658)=1,CONCATENATE("0",F658),F658))*1</f>
        <v>20030210</v>
      </c>
    </row>
    <row r="659" spans="1:10" hidden="1" x14ac:dyDescent="0.25">
      <c r="A659" s="4" t="s">
        <v>685</v>
      </c>
      <c r="B659" t="s">
        <v>9</v>
      </c>
      <c r="C659" t="s">
        <v>4</v>
      </c>
      <c r="D659" s="3">
        <f>MID(A659,1,2)*1</f>
        <v>11</v>
      </c>
      <c r="E659" s="4">
        <f>MID(A659,3,2)*1</f>
        <v>26</v>
      </c>
      <c r="F659" s="4">
        <f>MID(A659,5,2)*1</f>
        <v>8</v>
      </c>
      <c r="G659" s="3">
        <f>IF(E659&gt;=20,2000,1900) + D659</f>
        <v>2011</v>
      </c>
      <c r="H659">
        <f>IF(E659&gt;=20,E659-20,E659)</f>
        <v>6</v>
      </c>
      <c r="I659" s="4">
        <f>F659</f>
        <v>8</v>
      </c>
      <c r="J659">
        <f>CONCATENATE(G659,IF(LEN(H659)=1,CONCATENATE("0",H659),H659),IF(LEN(F659)=1,CONCATENATE("0",F659),F659))*1</f>
        <v>20110608</v>
      </c>
    </row>
    <row r="660" spans="1:10" hidden="1" x14ac:dyDescent="0.25">
      <c r="A660" s="4" t="s">
        <v>686</v>
      </c>
      <c r="B660" t="s">
        <v>7</v>
      </c>
      <c r="C660" t="s">
        <v>4</v>
      </c>
      <c r="D660" s="3">
        <f>MID(A660,1,2)*1</f>
        <v>14</v>
      </c>
      <c r="E660" s="4">
        <f>MID(A660,3,2)*1</f>
        <v>24</v>
      </c>
      <c r="F660" s="4">
        <f>MID(A660,5,2)*1</f>
        <v>11</v>
      </c>
      <c r="G660" s="3">
        <f>IF(E660&gt;=20,2000,1900) + D660</f>
        <v>2014</v>
      </c>
      <c r="H660">
        <f>IF(E660&gt;=20,E660-20,E660)</f>
        <v>4</v>
      </c>
      <c r="I660" s="4">
        <f>F660</f>
        <v>11</v>
      </c>
      <c r="J660">
        <f>CONCATENATE(G660,IF(LEN(H660)=1,CONCATENATE("0",H660),H660),IF(LEN(F660)=1,CONCATENATE("0",F660),F660))*1</f>
        <v>20140411</v>
      </c>
    </row>
    <row r="661" spans="1:10" hidden="1" x14ac:dyDescent="0.25">
      <c r="A661" s="4" t="s">
        <v>687</v>
      </c>
      <c r="B661" t="s">
        <v>19</v>
      </c>
      <c r="C661" t="s">
        <v>4</v>
      </c>
      <c r="D661" s="3">
        <f>MID(A661,1,2)*1</f>
        <v>12</v>
      </c>
      <c r="E661" s="4">
        <f>MID(A661,3,2)*1</f>
        <v>24</v>
      </c>
      <c r="F661" s="4">
        <f>MID(A661,5,2)*1</f>
        <v>12</v>
      </c>
      <c r="G661" s="3">
        <f>IF(E661&gt;=20,2000,1900) + D661</f>
        <v>2012</v>
      </c>
      <c r="H661">
        <f>IF(E661&gt;=20,E661-20,E661)</f>
        <v>4</v>
      </c>
      <c r="I661" s="4">
        <f>F661</f>
        <v>12</v>
      </c>
      <c r="J661">
        <f>CONCATENATE(G661,IF(LEN(H661)=1,CONCATENATE("0",H661),H661),IF(LEN(F661)=1,CONCATENATE("0",F661),F661))*1</f>
        <v>20120412</v>
      </c>
    </row>
    <row r="662" spans="1:10" hidden="1" x14ac:dyDescent="0.25">
      <c r="A662" s="4" t="s">
        <v>688</v>
      </c>
      <c r="B662" t="s">
        <v>20</v>
      </c>
      <c r="C662" t="s">
        <v>6</v>
      </c>
      <c r="D662" s="3">
        <f>MID(A662,1,2)*1</f>
        <v>4</v>
      </c>
      <c r="E662" s="4">
        <f>MID(A662,3,2)*1</f>
        <v>21</v>
      </c>
      <c r="F662" s="4">
        <f>MID(A662,5,2)*1</f>
        <v>31</v>
      </c>
      <c r="G662" s="3">
        <f>IF(E662&gt;=20,2000,1900) + D662</f>
        <v>2004</v>
      </c>
      <c r="H662">
        <f>IF(E662&gt;=20,E662-20,E662)</f>
        <v>1</v>
      </c>
      <c r="I662" s="4">
        <f>F662</f>
        <v>31</v>
      </c>
      <c r="J662">
        <f>CONCATENATE(G662,IF(LEN(H662)=1,CONCATENATE("0",H662),H662),IF(LEN(F662)=1,CONCATENATE("0",F662),F662))*1</f>
        <v>20040131</v>
      </c>
    </row>
    <row r="663" spans="1:10" hidden="1" x14ac:dyDescent="0.25">
      <c r="A663" s="4" t="s">
        <v>689</v>
      </c>
      <c r="B663" t="s">
        <v>10</v>
      </c>
      <c r="C663" t="s">
        <v>4</v>
      </c>
      <c r="D663" s="3">
        <f>MID(A663,1,2)*1</f>
        <v>10</v>
      </c>
      <c r="E663" s="4">
        <f>MID(A663,3,2)*1</f>
        <v>24</v>
      </c>
      <c r="F663" s="4">
        <f>MID(A663,5,2)*1</f>
        <v>7</v>
      </c>
      <c r="G663" s="3">
        <f>IF(E663&gt;=20,2000,1900) + D663</f>
        <v>2010</v>
      </c>
      <c r="H663">
        <f>IF(E663&gt;=20,E663-20,E663)</f>
        <v>4</v>
      </c>
      <c r="I663" s="4">
        <f>F663</f>
        <v>7</v>
      </c>
      <c r="J663">
        <f>CONCATENATE(G663,IF(LEN(H663)=1,CONCATENATE("0",H663),H663),IF(LEN(F663)=1,CONCATENATE("0",F663),F663))*1</f>
        <v>20100407</v>
      </c>
    </row>
    <row r="664" spans="1:10" hidden="1" x14ac:dyDescent="0.25">
      <c r="A664" s="4" t="s">
        <v>690</v>
      </c>
      <c r="B664" t="s">
        <v>17</v>
      </c>
      <c r="C664" t="s">
        <v>6</v>
      </c>
      <c r="D664" s="3">
        <f>MID(A664,1,2)*1</f>
        <v>19</v>
      </c>
      <c r="E664" s="4">
        <f>MID(A664,3,2)*1</f>
        <v>25</v>
      </c>
      <c r="F664" s="4">
        <f>MID(A664,5,2)*1</f>
        <v>11</v>
      </c>
      <c r="G664" s="3">
        <f>IF(E664&gt;=20,2000,1900) + D664</f>
        <v>2019</v>
      </c>
      <c r="H664">
        <f>IF(E664&gt;=20,E664-20,E664)</f>
        <v>5</v>
      </c>
      <c r="I664" s="4">
        <f>F664</f>
        <v>11</v>
      </c>
      <c r="J664">
        <f>CONCATENATE(G664,IF(LEN(H664)=1,CONCATENATE("0",H664),H664),IF(LEN(F664)=1,CONCATENATE("0",F664),F664))*1</f>
        <v>20190511</v>
      </c>
    </row>
    <row r="665" spans="1:10" hidden="1" x14ac:dyDescent="0.25">
      <c r="A665" s="4" t="s">
        <v>691</v>
      </c>
      <c r="B665" t="s">
        <v>14</v>
      </c>
      <c r="C665" t="s">
        <v>4</v>
      </c>
      <c r="D665" s="3">
        <f>MID(A665,1,2)*1</f>
        <v>2</v>
      </c>
      <c r="E665" s="4">
        <f>MID(A665,3,2)*1</f>
        <v>21</v>
      </c>
      <c r="F665" s="4">
        <f>MID(A665,5,2)*1</f>
        <v>8</v>
      </c>
      <c r="G665" s="3">
        <f>IF(E665&gt;=20,2000,1900) + D665</f>
        <v>2002</v>
      </c>
      <c r="H665">
        <f>IF(E665&gt;=20,E665-20,E665)</f>
        <v>1</v>
      </c>
      <c r="I665" s="4">
        <f>F665</f>
        <v>8</v>
      </c>
      <c r="J665">
        <f>CONCATENATE(G665,IF(LEN(H665)=1,CONCATENATE("0",H665),H665),IF(LEN(F665)=1,CONCATENATE("0",F665),F665))*1</f>
        <v>20020108</v>
      </c>
    </row>
    <row r="666" spans="1:10" hidden="1" x14ac:dyDescent="0.25">
      <c r="A666" s="4" t="s">
        <v>692</v>
      </c>
      <c r="B666" t="s">
        <v>19</v>
      </c>
      <c r="C666" t="s">
        <v>4</v>
      </c>
      <c r="D666" s="3">
        <f>MID(A666,1,2)*1</f>
        <v>16</v>
      </c>
      <c r="E666" s="4">
        <f>MID(A666,3,2)*1</f>
        <v>32</v>
      </c>
      <c r="F666" s="4">
        <f>MID(A666,5,2)*1</f>
        <v>3</v>
      </c>
      <c r="G666" s="3">
        <f>IF(E666&gt;=20,2000,1900) + D666</f>
        <v>2016</v>
      </c>
      <c r="H666">
        <f>IF(E666&gt;=20,E666-20,E666)</f>
        <v>12</v>
      </c>
      <c r="I666" s="4">
        <f>F666</f>
        <v>3</v>
      </c>
      <c r="J666">
        <f>CONCATENATE(G666,IF(LEN(H666)=1,CONCATENATE("0",H666),H666),IF(LEN(F666)=1,CONCATENATE("0",F666),F666))*1</f>
        <v>20161203</v>
      </c>
    </row>
    <row r="667" spans="1:10" hidden="1" x14ac:dyDescent="0.25">
      <c r="A667" s="4" t="s">
        <v>693</v>
      </c>
      <c r="B667" t="s">
        <v>14</v>
      </c>
      <c r="C667" t="s">
        <v>4</v>
      </c>
      <c r="D667" s="3">
        <f>MID(A667,1,2)*1</f>
        <v>22</v>
      </c>
      <c r="E667" s="4">
        <f>MID(A667,3,2)*1</f>
        <v>29</v>
      </c>
      <c r="F667" s="4">
        <f>MID(A667,5,2)*1</f>
        <v>5</v>
      </c>
      <c r="G667" s="3">
        <f>IF(E667&gt;=20,2000,1900) + D667</f>
        <v>2022</v>
      </c>
      <c r="H667">
        <f>IF(E667&gt;=20,E667-20,E667)</f>
        <v>9</v>
      </c>
      <c r="I667" s="4">
        <f>F667</f>
        <v>5</v>
      </c>
      <c r="J667">
        <f>CONCATENATE(G667,IF(LEN(H667)=1,CONCATENATE("0",H667),H667),IF(LEN(F667)=1,CONCATENATE("0",F667),F667))*1</f>
        <v>20220905</v>
      </c>
    </row>
    <row r="668" spans="1:10" hidden="1" x14ac:dyDescent="0.25">
      <c r="A668" s="4" t="s">
        <v>694</v>
      </c>
      <c r="B668" t="s">
        <v>17</v>
      </c>
      <c r="C668" t="s">
        <v>4</v>
      </c>
      <c r="D668" s="3">
        <f>MID(A668,1,2)*1</f>
        <v>15</v>
      </c>
      <c r="E668" s="4">
        <f>MID(A668,3,2)*1</f>
        <v>27</v>
      </c>
      <c r="F668" s="4">
        <f>MID(A668,5,2)*1</f>
        <v>28</v>
      </c>
      <c r="G668" s="3">
        <f>IF(E668&gt;=20,2000,1900) + D668</f>
        <v>2015</v>
      </c>
      <c r="H668">
        <f>IF(E668&gt;=20,E668-20,E668)</f>
        <v>7</v>
      </c>
      <c r="I668" s="4">
        <f>F668</f>
        <v>28</v>
      </c>
      <c r="J668">
        <f>CONCATENATE(G668,IF(LEN(H668)=1,CONCATENATE("0",H668),H668),IF(LEN(F668)=1,CONCATENATE("0",F668),F668))*1</f>
        <v>20150728</v>
      </c>
    </row>
    <row r="669" spans="1:10" hidden="1" x14ac:dyDescent="0.25">
      <c r="A669" s="4" t="s">
        <v>695</v>
      </c>
      <c r="B669" t="s">
        <v>11</v>
      </c>
      <c r="C669" t="s">
        <v>4</v>
      </c>
      <c r="D669" s="3">
        <f>MID(A669,1,2)*1</f>
        <v>22</v>
      </c>
      <c r="E669" s="4">
        <f>MID(A669,3,2)*1</f>
        <v>30</v>
      </c>
      <c r="F669" s="4">
        <f>MID(A669,5,2)*1</f>
        <v>12</v>
      </c>
      <c r="G669" s="3">
        <f>IF(E669&gt;=20,2000,1900) + D669</f>
        <v>2022</v>
      </c>
      <c r="H669">
        <f>IF(E669&gt;=20,E669-20,E669)</f>
        <v>10</v>
      </c>
      <c r="I669" s="4">
        <f>F669</f>
        <v>12</v>
      </c>
      <c r="J669">
        <f>CONCATENATE(G669,IF(LEN(H669)=1,CONCATENATE("0",H669),H669),IF(LEN(F669)=1,CONCATENATE("0",F669),F669))*1</f>
        <v>20221012</v>
      </c>
    </row>
    <row r="670" spans="1:10" hidden="1" x14ac:dyDescent="0.25">
      <c r="A670" s="4" t="s">
        <v>696</v>
      </c>
      <c r="B670" t="s">
        <v>3</v>
      </c>
      <c r="C670" t="s">
        <v>6</v>
      </c>
      <c r="D670" s="3">
        <f>MID(A670,1,2)*1</f>
        <v>12</v>
      </c>
      <c r="E670" s="4">
        <f>MID(A670,3,2)*1</f>
        <v>29</v>
      </c>
      <c r="F670" s="4">
        <f>MID(A670,5,2)*1</f>
        <v>30</v>
      </c>
      <c r="G670" s="3">
        <f>IF(E670&gt;=20,2000,1900) + D670</f>
        <v>2012</v>
      </c>
      <c r="H670">
        <f>IF(E670&gt;=20,E670-20,E670)</f>
        <v>9</v>
      </c>
      <c r="I670" s="4">
        <f>F670</f>
        <v>30</v>
      </c>
      <c r="J670">
        <f>CONCATENATE(G670,IF(LEN(H670)=1,CONCATENATE("0",H670),H670),IF(LEN(F670)=1,CONCATENATE("0",F670),F670))*1</f>
        <v>20120930</v>
      </c>
    </row>
    <row r="671" spans="1:10" hidden="1" x14ac:dyDescent="0.25">
      <c r="A671" s="4" t="s">
        <v>697</v>
      </c>
      <c r="B671" t="s">
        <v>3</v>
      </c>
      <c r="C671" t="s">
        <v>6</v>
      </c>
      <c r="D671" s="3">
        <f>MID(A671,1,2)*1</f>
        <v>11</v>
      </c>
      <c r="E671" s="4">
        <f>MID(A671,3,2)*1</f>
        <v>22</v>
      </c>
      <c r="F671" s="4">
        <f>MID(A671,5,2)*1</f>
        <v>4</v>
      </c>
      <c r="G671" s="3">
        <f>IF(E671&gt;=20,2000,1900) + D671</f>
        <v>2011</v>
      </c>
      <c r="H671">
        <f>IF(E671&gt;=20,E671-20,E671)</f>
        <v>2</v>
      </c>
      <c r="I671" s="4">
        <f>F671</f>
        <v>4</v>
      </c>
      <c r="J671">
        <f>CONCATENATE(G671,IF(LEN(H671)=1,CONCATENATE("0",H671),H671),IF(LEN(F671)=1,CONCATENATE("0",F671),F671))*1</f>
        <v>20110204</v>
      </c>
    </row>
    <row r="672" spans="1:10" hidden="1" x14ac:dyDescent="0.25">
      <c r="A672" s="4" t="s">
        <v>698</v>
      </c>
      <c r="B672" t="s">
        <v>11</v>
      </c>
      <c r="C672" t="s">
        <v>4</v>
      </c>
      <c r="D672" s="3">
        <f>MID(A672,1,2)*1</f>
        <v>6</v>
      </c>
      <c r="E672" s="4">
        <f>MID(A672,3,2)*1</f>
        <v>32</v>
      </c>
      <c r="F672" s="4">
        <f>MID(A672,5,2)*1</f>
        <v>16</v>
      </c>
      <c r="G672" s="3">
        <f>IF(E672&gt;=20,2000,1900) + D672</f>
        <v>2006</v>
      </c>
      <c r="H672">
        <f>IF(E672&gt;=20,E672-20,E672)</f>
        <v>12</v>
      </c>
      <c r="I672" s="4">
        <f>F672</f>
        <v>16</v>
      </c>
      <c r="J672">
        <f>CONCATENATE(G672,IF(LEN(H672)=1,CONCATENATE("0",H672),H672),IF(LEN(F672)=1,CONCATENATE("0",F672),F672))*1</f>
        <v>20061216</v>
      </c>
    </row>
    <row r="673" spans="1:10" hidden="1" x14ac:dyDescent="0.25">
      <c r="A673" s="4" t="s">
        <v>699</v>
      </c>
      <c r="B673" t="s">
        <v>10</v>
      </c>
      <c r="C673" t="s">
        <v>4</v>
      </c>
      <c r="D673" s="3">
        <f>MID(A673,1,2)*1</f>
        <v>8</v>
      </c>
      <c r="E673" s="4">
        <f>MID(A673,3,2)*1</f>
        <v>27</v>
      </c>
      <c r="F673" s="4">
        <f>MID(A673,5,2)*1</f>
        <v>18</v>
      </c>
      <c r="G673" s="3">
        <f>IF(E673&gt;=20,2000,1900) + D673</f>
        <v>2008</v>
      </c>
      <c r="H673">
        <f>IF(E673&gt;=20,E673-20,E673)</f>
        <v>7</v>
      </c>
      <c r="I673" s="4">
        <f>F673</f>
        <v>18</v>
      </c>
      <c r="J673">
        <f>CONCATENATE(G673,IF(LEN(H673)=1,CONCATENATE("0",H673),H673),IF(LEN(F673)=1,CONCATENATE("0",F673),F673))*1</f>
        <v>20080718</v>
      </c>
    </row>
    <row r="674" spans="1:10" hidden="1" x14ac:dyDescent="0.25">
      <c r="A674" s="4" t="s">
        <v>700</v>
      </c>
      <c r="B674" t="s">
        <v>17</v>
      </c>
      <c r="C674" t="s">
        <v>6</v>
      </c>
      <c r="D674" s="3">
        <f>MID(A674,1,2)*1</f>
        <v>12</v>
      </c>
      <c r="E674" s="4">
        <f>MID(A674,3,2)*1</f>
        <v>22</v>
      </c>
      <c r="F674" s="4">
        <f>MID(A674,5,2)*1</f>
        <v>1</v>
      </c>
      <c r="G674" s="3">
        <f>IF(E674&gt;=20,2000,1900) + D674</f>
        <v>2012</v>
      </c>
      <c r="H674">
        <f>IF(E674&gt;=20,E674-20,E674)</f>
        <v>2</v>
      </c>
      <c r="I674" s="4">
        <f>F674</f>
        <v>1</v>
      </c>
      <c r="J674">
        <f>CONCATENATE(G674,IF(LEN(H674)=1,CONCATENATE("0",H674),H674),IF(LEN(F674)=1,CONCATENATE("0",F674),F674))*1</f>
        <v>20120201</v>
      </c>
    </row>
    <row r="675" spans="1:10" hidden="1" x14ac:dyDescent="0.25">
      <c r="A675" s="4" t="s">
        <v>701</v>
      </c>
      <c r="B675" t="s">
        <v>13</v>
      </c>
      <c r="C675" t="s">
        <v>6</v>
      </c>
      <c r="D675" s="3">
        <f>MID(A675,1,2)*1</f>
        <v>18</v>
      </c>
      <c r="E675" s="4">
        <f>MID(A675,3,2)*1</f>
        <v>27</v>
      </c>
      <c r="F675" s="4">
        <f>MID(A675,5,2)*1</f>
        <v>18</v>
      </c>
      <c r="G675" s="3">
        <f>IF(E675&gt;=20,2000,1900) + D675</f>
        <v>2018</v>
      </c>
      <c r="H675">
        <f>IF(E675&gt;=20,E675-20,E675)</f>
        <v>7</v>
      </c>
      <c r="I675" s="4">
        <f>F675</f>
        <v>18</v>
      </c>
      <c r="J675">
        <f>CONCATENATE(G675,IF(LEN(H675)=1,CONCATENATE("0",H675),H675),IF(LEN(F675)=1,CONCATENATE("0",F675),F675))*1</f>
        <v>20180718</v>
      </c>
    </row>
    <row r="676" spans="1:10" hidden="1" x14ac:dyDescent="0.25">
      <c r="A676" s="4" t="s">
        <v>702</v>
      </c>
      <c r="B676" t="s">
        <v>14</v>
      </c>
      <c r="C676" t="s">
        <v>6</v>
      </c>
      <c r="D676" s="3">
        <f>MID(A676,1,2)*1</f>
        <v>6</v>
      </c>
      <c r="E676" s="4">
        <f>MID(A676,3,2)*1</f>
        <v>21</v>
      </c>
      <c r="F676" s="4">
        <f>MID(A676,5,2)*1</f>
        <v>8</v>
      </c>
      <c r="G676" s="3">
        <f>IF(E676&gt;=20,2000,1900) + D676</f>
        <v>2006</v>
      </c>
      <c r="H676">
        <f>IF(E676&gt;=20,E676-20,E676)</f>
        <v>1</v>
      </c>
      <c r="I676" s="4">
        <f>F676</f>
        <v>8</v>
      </c>
      <c r="J676">
        <f>CONCATENATE(G676,IF(LEN(H676)=1,CONCATENATE("0",H676),H676),IF(LEN(F676)=1,CONCATENATE("0",F676),F676))*1</f>
        <v>20060108</v>
      </c>
    </row>
    <row r="677" spans="1:10" hidden="1" x14ac:dyDescent="0.25">
      <c r="A677" s="4" t="s">
        <v>703</v>
      </c>
      <c r="B677" t="s">
        <v>20</v>
      </c>
      <c r="C677" t="s">
        <v>4</v>
      </c>
      <c r="D677" s="3">
        <f>MID(A677,1,2)*1</f>
        <v>8</v>
      </c>
      <c r="E677" s="4">
        <f>MID(A677,3,2)*1</f>
        <v>24</v>
      </c>
      <c r="F677" s="4">
        <f>MID(A677,5,2)*1</f>
        <v>13</v>
      </c>
      <c r="G677" s="3">
        <f>IF(E677&gt;=20,2000,1900) + D677</f>
        <v>2008</v>
      </c>
      <c r="H677">
        <f>IF(E677&gt;=20,E677-20,E677)</f>
        <v>4</v>
      </c>
      <c r="I677" s="4">
        <f>F677</f>
        <v>13</v>
      </c>
      <c r="J677">
        <f>CONCATENATE(G677,IF(LEN(H677)=1,CONCATENATE("0",H677),H677),IF(LEN(F677)=1,CONCATENATE("0",F677),F677))*1</f>
        <v>20080413</v>
      </c>
    </row>
    <row r="678" spans="1:10" hidden="1" x14ac:dyDescent="0.25">
      <c r="A678" s="4" t="s">
        <v>704</v>
      </c>
      <c r="B678" t="s">
        <v>10</v>
      </c>
      <c r="C678" t="s">
        <v>4</v>
      </c>
      <c r="D678" s="3">
        <f>MID(A678,1,2)*1</f>
        <v>15</v>
      </c>
      <c r="E678" s="4">
        <f>MID(A678,3,2)*1</f>
        <v>32</v>
      </c>
      <c r="F678" s="4">
        <f>MID(A678,5,2)*1</f>
        <v>11</v>
      </c>
      <c r="G678" s="3">
        <f>IF(E678&gt;=20,2000,1900) + D678</f>
        <v>2015</v>
      </c>
      <c r="H678">
        <f>IF(E678&gt;=20,E678-20,E678)</f>
        <v>12</v>
      </c>
      <c r="I678" s="4">
        <f>F678</f>
        <v>11</v>
      </c>
      <c r="J678">
        <f>CONCATENATE(G678,IF(LEN(H678)=1,CONCATENATE("0",H678),H678),IF(LEN(F678)=1,CONCATENATE("0",F678),F678))*1</f>
        <v>20151211</v>
      </c>
    </row>
    <row r="679" spans="1:10" hidden="1" x14ac:dyDescent="0.25">
      <c r="A679" s="4" t="s">
        <v>705</v>
      </c>
      <c r="B679" t="s">
        <v>11</v>
      </c>
      <c r="C679" t="s">
        <v>4</v>
      </c>
      <c r="D679" s="3">
        <f>MID(A679,1,2)*1</f>
        <v>9</v>
      </c>
      <c r="E679" s="4">
        <f>MID(A679,3,2)*1</f>
        <v>23</v>
      </c>
      <c r="F679" s="4">
        <f>MID(A679,5,2)*1</f>
        <v>3</v>
      </c>
      <c r="G679" s="3">
        <f>IF(E679&gt;=20,2000,1900) + D679</f>
        <v>2009</v>
      </c>
      <c r="H679">
        <f>IF(E679&gt;=20,E679-20,E679)</f>
        <v>3</v>
      </c>
      <c r="I679" s="4">
        <f>F679</f>
        <v>3</v>
      </c>
      <c r="J679">
        <f>CONCATENATE(G679,IF(LEN(H679)=1,CONCATENATE("0",H679),H679),IF(LEN(F679)=1,CONCATENATE("0",F679),F679))*1</f>
        <v>20090303</v>
      </c>
    </row>
    <row r="680" spans="1:10" hidden="1" x14ac:dyDescent="0.25">
      <c r="A680" s="4" t="s">
        <v>706</v>
      </c>
      <c r="B680" t="s">
        <v>3</v>
      </c>
      <c r="C680" t="s">
        <v>4</v>
      </c>
      <c r="D680" s="3">
        <f>MID(A680,1,2)*1</f>
        <v>9</v>
      </c>
      <c r="E680" s="4">
        <f>MID(A680,3,2)*1</f>
        <v>28</v>
      </c>
      <c r="F680" s="4">
        <f>MID(A680,5,2)*1</f>
        <v>22</v>
      </c>
      <c r="G680" s="3">
        <f>IF(E680&gt;=20,2000,1900) + D680</f>
        <v>2009</v>
      </c>
      <c r="H680">
        <f>IF(E680&gt;=20,E680-20,E680)</f>
        <v>8</v>
      </c>
      <c r="I680" s="4">
        <f>F680</f>
        <v>22</v>
      </c>
      <c r="J680">
        <f>CONCATENATE(G680,IF(LEN(H680)=1,CONCATENATE("0",H680),H680),IF(LEN(F680)=1,CONCATENATE("0",F680),F680))*1</f>
        <v>20090822</v>
      </c>
    </row>
    <row r="681" spans="1:10" hidden="1" x14ac:dyDescent="0.25">
      <c r="A681" s="4" t="s">
        <v>707</v>
      </c>
      <c r="B681" t="s">
        <v>15</v>
      </c>
      <c r="C681" t="s">
        <v>4</v>
      </c>
      <c r="D681" s="3">
        <f>MID(A681,1,2)*1</f>
        <v>12</v>
      </c>
      <c r="E681" s="4">
        <f>MID(A681,3,2)*1</f>
        <v>27</v>
      </c>
      <c r="F681" s="4">
        <f>MID(A681,5,2)*1</f>
        <v>22</v>
      </c>
      <c r="G681" s="3">
        <f>IF(E681&gt;=20,2000,1900) + D681</f>
        <v>2012</v>
      </c>
      <c r="H681">
        <f>IF(E681&gt;=20,E681-20,E681)</f>
        <v>7</v>
      </c>
      <c r="I681" s="4">
        <f>F681</f>
        <v>22</v>
      </c>
      <c r="J681">
        <f>CONCATENATE(G681,IF(LEN(H681)=1,CONCATENATE("0",H681),H681),IF(LEN(F681)=1,CONCATENATE("0",F681),F681))*1</f>
        <v>20120722</v>
      </c>
    </row>
    <row r="682" spans="1:10" hidden="1" x14ac:dyDescent="0.25">
      <c r="A682" s="4" t="s">
        <v>708</v>
      </c>
      <c r="B682" t="s">
        <v>3</v>
      </c>
      <c r="C682" t="s">
        <v>6</v>
      </c>
      <c r="D682" s="3">
        <f>MID(A682,1,2)*1</f>
        <v>6</v>
      </c>
      <c r="E682" s="4">
        <f>MID(A682,3,2)*1</f>
        <v>26</v>
      </c>
      <c r="F682" s="4">
        <f>MID(A682,5,2)*1</f>
        <v>17</v>
      </c>
      <c r="G682" s="3">
        <f>IF(E682&gt;=20,2000,1900) + D682</f>
        <v>2006</v>
      </c>
      <c r="H682">
        <f>IF(E682&gt;=20,E682-20,E682)</f>
        <v>6</v>
      </c>
      <c r="I682" s="4">
        <f>F682</f>
        <v>17</v>
      </c>
      <c r="J682">
        <f>CONCATENATE(G682,IF(LEN(H682)=1,CONCATENATE("0",H682),H682),IF(LEN(F682)=1,CONCATENATE("0",F682),F682))*1</f>
        <v>20060617</v>
      </c>
    </row>
    <row r="683" spans="1:10" hidden="1" x14ac:dyDescent="0.25">
      <c r="A683" s="4" t="s">
        <v>709</v>
      </c>
      <c r="B683" t="s">
        <v>13</v>
      </c>
      <c r="C683" t="s">
        <v>6</v>
      </c>
      <c r="D683" s="3">
        <f>MID(A683,1,2)*1</f>
        <v>12</v>
      </c>
      <c r="E683" s="4">
        <f>MID(A683,3,2)*1</f>
        <v>29</v>
      </c>
      <c r="F683" s="4">
        <f>MID(A683,5,2)*1</f>
        <v>6</v>
      </c>
      <c r="G683" s="3">
        <f>IF(E683&gt;=20,2000,1900) + D683</f>
        <v>2012</v>
      </c>
      <c r="H683">
        <f>IF(E683&gt;=20,E683-20,E683)</f>
        <v>9</v>
      </c>
      <c r="I683" s="4">
        <f>F683</f>
        <v>6</v>
      </c>
      <c r="J683">
        <f>CONCATENATE(G683,IF(LEN(H683)=1,CONCATENATE("0",H683),H683),IF(LEN(F683)=1,CONCATENATE("0",F683),F683))*1</f>
        <v>20120906</v>
      </c>
    </row>
    <row r="684" spans="1:10" hidden="1" x14ac:dyDescent="0.25">
      <c r="A684" s="4" t="s">
        <v>710</v>
      </c>
      <c r="B684" t="s">
        <v>13</v>
      </c>
      <c r="C684" t="s">
        <v>6</v>
      </c>
      <c r="D684" s="3">
        <f>MID(A684,1,2)*1</f>
        <v>13</v>
      </c>
      <c r="E684" s="4">
        <f>MID(A684,3,2)*1</f>
        <v>22</v>
      </c>
      <c r="F684" s="4">
        <f>MID(A684,5,2)*1</f>
        <v>23</v>
      </c>
      <c r="G684" s="3">
        <f>IF(E684&gt;=20,2000,1900) + D684</f>
        <v>2013</v>
      </c>
      <c r="H684">
        <f>IF(E684&gt;=20,E684-20,E684)</f>
        <v>2</v>
      </c>
      <c r="I684" s="4">
        <f>F684</f>
        <v>23</v>
      </c>
      <c r="J684">
        <f>CONCATENATE(G684,IF(LEN(H684)=1,CONCATENATE("0",H684),H684),IF(LEN(F684)=1,CONCATENATE("0",F684),F684))*1</f>
        <v>20130223</v>
      </c>
    </row>
    <row r="685" spans="1:10" hidden="1" x14ac:dyDescent="0.25">
      <c r="A685" s="4" t="s">
        <v>711</v>
      </c>
      <c r="B685" t="s">
        <v>10</v>
      </c>
      <c r="C685" t="s">
        <v>4</v>
      </c>
      <c r="D685" s="3">
        <f>MID(A685,1,2)*1</f>
        <v>17</v>
      </c>
      <c r="E685" s="4">
        <f>MID(A685,3,2)*1</f>
        <v>29</v>
      </c>
      <c r="F685" s="4">
        <f>MID(A685,5,2)*1</f>
        <v>27</v>
      </c>
      <c r="G685" s="3">
        <f>IF(E685&gt;=20,2000,1900) + D685</f>
        <v>2017</v>
      </c>
      <c r="H685">
        <f>IF(E685&gt;=20,E685-20,E685)</f>
        <v>9</v>
      </c>
      <c r="I685" s="4">
        <f>F685</f>
        <v>27</v>
      </c>
      <c r="J685">
        <f>CONCATENATE(G685,IF(LEN(H685)=1,CONCATENATE("0",H685),H685),IF(LEN(F685)=1,CONCATENATE("0",F685),F685))*1</f>
        <v>20170927</v>
      </c>
    </row>
    <row r="686" spans="1:10" hidden="1" x14ac:dyDescent="0.25">
      <c r="A686" s="4" t="s">
        <v>712</v>
      </c>
      <c r="B686" t="s">
        <v>17</v>
      </c>
      <c r="C686" t="s">
        <v>4</v>
      </c>
      <c r="D686" s="3">
        <f>MID(A686,1,2)*1</f>
        <v>19</v>
      </c>
      <c r="E686" s="4">
        <f>MID(A686,3,2)*1</f>
        <v>30</v>
      </c>
      <c r="F686" s="4">
        <f>MID(A686,5,2)*1</f>
        <v>21</v>
      </c>
      <c r="G686" s="3">
        <f>IF(E686&gt;=20,2000,1900) + D686</f>
        <v>2019</v>
      </c>
      <c r="H686">
        <f>IF(E686&gt;=20,E686-20,E686)</f>
        <v>10</v>
      </c>
      <c r="I686" s="4">
        <f>F686</f>
        <v>21</v>
      </c>
      <c r="J686">
        <f>CONCATENATE(G686,IF(LEN(H686)=1,CONCATENATE("0",H686),H686),IF(LEN(F686)=1,CONCATENATE("0",F686),F686))*1</f>
        <v>20191021</v>
      </c>
    </row>
    <row r="687" spans="1:10" hidden="1" x14ac:dyDescent="0.25">
      <c r="A687" s="4" t="s">
        <v>713</v>
      </c>
      <c r="B687" t="s">
        <v>7</v>
      </c>
      <c r="C687" t="s">
        <v>6</v>
      </c>
      <c r="D687" s="3">
        <f>MID(A687,1,2)*1</f>
        <v>13</v>
      </c>
      <c r="E687" s="4">
        <f>MID(A687,3,2)*1</f>
        <v>24</v>
      </c>
      <c r="F687" s="4">
        <f>MID(A687,5,2)*1</f>
        <v>3</v>
      </c>
      <c r="G687" s="3">
        <f>IF(E687&gt;=20,2000,1900) + D687</f>
        <v>2013</v>
      </c>
      <c r="H687">
        <f>IF(E687&gt;=20,E687-20,E687)</f>
        <v>4</v>
      </c>
      <c r="I687" s="4">
        <f>F687</f>
        <v>3</v>
      </c>
      <c r="J687">
        <f>CONCATENATE(G687,IF(LEN(H687)=1,CONCATENATE("0",H687),H687),IF(LEN(F687)=1,CONCATENATE("0",F687),F687))*1</f>
        <v>20130403</v>
      </c>
    </row>
    <row r="688" spans="1:10" hidden="1" x14ac:dyDescent="0.25">
      <c r="A688" s="4" t="s">
        <v>714</v>
      </c>
      <c r="B688" t="s">
        <v>17</v>
      </c>
      <c r="C688" t="s">
        <v>6</v>
      </c>
      <c r="D688" s="3">
        <f>MID(A688,1,2)*1</f>
        <v>15</v>
      </c>
      <c r="E688" s="4">
        <f>MID(A688,3,2)*1</f>
        <v>24</v>
      </c>
      <c r="F688" s="4">
        <f>MID(A688,5,2)*1</f>
        <v>3</v>
      </c>
      <c r="G688" s="3">
        <f>IF(E688&gt;=20,2000,1900) + D688</f>
        <v>2015</v>
      </c>
      <c r="H688">
        <f>IF(E688&gt;=20,E688-20,E688)</f>
        <v>4</v>
      </c>
      <c r="I688" s="4">
        <f>F688</f>
        <v>3</v>
      </c>
      <c r="J688">
        <f>CONCATENATE(G688,IF(LEN(H688)=1,CONCATENATE("0",H688),H688),IF(LEN(F688)=1,CONCATENATE("0",F688),F688))*1</f>
        <v>20150403</v>
      </c>
    </row>
    <row r="689" spans="1:10" hidden="1" x14ac:dyDescent="0.25">
      <c r="A689" s="4" t="s">
        <v>715</v>
      </c>
      <c r="B689" t="s">
        <v>3</v>
      </c>
      <c r="C689" t="s">
        <v>6</v>
      </c>
      <c r="D689" s="3">
        <f>MID(A689,1,2)*1</f>
        <v>13</v>
      </c>
      <c r="E689" s="4">
        <f>MID(A689,3,2)*1</f>
        <v>30</v>
      </c>
      <c r="F689" s="4">
        <f>MID(A689,5,2)*1</f>
        <v>19</v>
      </c>
      <c r="G689" s="3">
        <f>IF(E689&gt;=20,2000,1900) + D689</f>
        <v>2013</v>
      </c>
      <c r="H689">
        <f>IF(E689&gt;=20,E689-20,E689)</f>
        <v>10</v>
      </c>
      <c r="I689" s="4">
        <f>F689</f>
        <v>19</v>
      </c>
      <c r="J689">
        <f>CONCATENATE(G689,IF(LEN(H689)=1,CONCATENATE("0",H689),H689),IF(LEN(F689)=1,CONCATENATE("0",F689),F689))*1</f>
        <v>20131019</v>
      </c>
    </row>
    <row r="690" spans="1:10" hidden="1" x14ac:dyDescent="0.25">
      <c r="A690" s="4" t="s">
        <v>716</v>
      </c>
      <c r="B690" t="s">
        <v>20</v>
      </c>
      <c r="C690" t="s">
        <v>6</v>
      </c>
      <c r="D690" s="3">
        <f>MID(A690,1,2)*1</f>
        <v>19</v>
      </c>
      <c r="E690" s="4">
        <f>MID(A690,3,2)*1</f>
        <v>26</v>
      </c>
      <c r="F690" s="4">
        <f>MID(A690,5,2)*1</f>
        <v>27</v>
      </c>
      <c r="G690" s="3">
        <f>IF(E690&gt;=20,2000,1900) + D690</f>
        <v>2019</v>
      </c>
      <c r="H690">
        <f>IF(E690&gt;=20,E690-20,E690)</f>
        <v>6</v>
      </c>
      <c r="I690" s="4">
        <f>F690</f>
        <v>27</v>
      </c>
      <c r="J690">
        <f>CONCATENATE(G690,IF(LEN(H690)=1,CONCATENATE("0",H690),H690),IF(LEN(F690)=1,CONCATENATE("0",F690),F690))*1</f>
        <v>20190627</v>
      </c>
    </row>
    <row r="691" spans="1:10" hidden="1" x14ac:dyDescent="0.25">
      <c r="A691" s="4" t="s">
        <v>717</v>
      </c>
      <c r="B691" t="s">
        <v>9</v>
      </c>
      <c r="C691" t="s">
        <v>4</v>
      </c>
      <c r="D691" s="3">
        <f>MID(A691,1,2)*1</f>
        <v>13</v>
      </c>
      <c r="E691" s="4">
        <f>MID(A691,3,2)*1</f>
        <v>28</v>
      </c>
      <c r="F691" s="4">
        <f>MID(A691,5,2)*1</f>
        <v>9</v>
      </c>
      <c r="G691" s="3">
        <f>IF(E691&gt;=20,2000,1900) + D691</f>
        <v>2013</v>
      </c>
      <c r="H691">
        <f>IF(E691&gt;=20,E691-20,E691)</f>
        <v>8</v>
      </c>
      <c r="I691" s="4">
        <f>F691</f>
        <v>9</v>
      </c>
      <c r="J691">
        <f>CONCATENATE(G691,IF(LEN(H691)=1,CONCATENATE("0",H691),H691),IF(LEN(F691)=1,CONCATENATE("0",F691),F691))*1</f>
        <v>20130809</v>
      </c>
    </row>
    <row r="692" spans="1:10" hidden="1" x14ac:dyDescent="0.25">
      <c r="A692" s="4" t="s">
        <v>718</v>
      </c>
      <c r="B692" t="s">
        <v>20</v>
      </c>
      <c r="C692" t="s">
        <v>6</v>
      </c>
      <c r="D692" s="3">
        <f>MID(A692,1,2)*1</f>
        <v>14</v>
      </c>
      <c r="E692" s="4">
        <f>MID(A692,3,2)*1</f>
        <v>30</v>
      </c>
      <c r="F692" s="4">
        <f>MID(A692,5,2)*1</f>
        <v>28</v>
      </c>
      <c r="G692" s="3">
        <f>IF(E692&gt;=20,2000,1900) + D692</f>
        <v>2014</v>
      </c>
      <c r="H692">
        <f>IF(E692&gt;=20,E692-20,E692)</f>
        <v>10</v>
      </c>
      <c r="I692" s="4">
        <f>F692</f>
        <v>28</v>
      </c>
      <c r="J692">
        <f>CONCATENATE(G692,IF(LEN(H692)=1,CONCATENATE("0",H692),H692),IF(LEN(F692)=1,CONCATENATE("0",F692),F692))*1</f>
        <v>20141028</v>
      </c>
    </row>
    <row r="693" spans="1:10" hidden="1" x14ac:dyDescent="0.25">
      <c r="A693" s="4" t="s">
        <v>719</v>
      </c>
      <c r="B693" t="s">
        <v>10</v>
      </c>
      <c r="C693" t="s">
        <v>4</v>
      </c>
      <c r="D693" s="3">
        <f>MID(A693,1,2)*1</f>
        <v>11</v>
      </c>
      <c r="E693" s="4">
        <f>MID(A693,3,2)*1</f>
        <v>27</v>
      </c>
      <c r="F693" s="4">
        <f>MID(A693,5,2)*1</f>
        <v>28</v>
      </c>
      <c r="G693" s="3">
        <f>IF(E693&gt;=20,2000,1900) + D693</f>
        <v>2011</v>
      </c>
      <c r="H693">
        <f>IF(E693&gt;=20,E693-20,E693)</f>
        <v>7</v>
      </c>
      <c r="I693" s="4">
        <f>F693</f>
        <v>28</v>
      </c>
      <c r="J693">
        <f>CONCATENATE(G693,IF(LEN(H693)=1,CONCATENATE("0",H693),H693),IF(LEN(F693)=1,CONCATENATE("0",F693),F693))*1</f>
        <v>20110728</v>
      </c>
    </row>
    <row r="694" spans="1:10" hidden="1" x14ac:dyDescent="0.25">
      <c r="A694" s="4" t="s">
        <v>720</v>
      </c>
      <c r="B694" t="s">
        <v>19</v>
      </c>
      <c r="C694" t="s">
        <v>6</v>
      </c>
      <c r="D694" s="3">
        <f>MID(A694,1,2)*1</f>
        <v>5</v>
      </c>
      <c r="E694" s="4">
        <f>MID(A694,3,2)*1</f>
        <v>29</v>
      </c>
      <c r="F694" s="4">
        <f>MID(A694,5,2)*1</f>
        <v>18</v>
      </c>
      <c r="G694" s="3">
        <f>IF(E694&gt;=20,2000,1900) + D694</f>
        <v>2005</v>
      </c>
      <c r="H694">
        <f>IF(E694&gt;=20,E694-20,E694)</f>
        <v>9</v>
      </c>
      <c r="I694" s="4">
        <f>F694</f>
        <v>18</v>
      </c>
      <c r="J694">
        <f>CONCATENATE(G694,IF(LEN(H694)=1,CONCATENATE("0",H694),H694),IF(LEN(F694)=1,CONCATENATE("0",F694),F694))*1</f>
        <v>20050918</v>
      </c>
    </row>
    <row r="695" spans="1:10" hidden="1" x14ac:dyDescent="0.25">
      <c r="A695" s="4" t="s">
        <v>721</v>
      </c>
      <c r="B695" t="s">
        <v>19</v>
      </c>
      <c r="C695" t="s">
        <v>4</v>
      </c>
      <c r="D695" s="3">
        <f>MID(A695,1,2)*1</f>
        <v>14</v>
      </c>
      <c r="E695" s="4">
        <f>MID(A695,3,2)*1</f>
        <v>21</v>
      </c>
      <c r="F695" s="4">
        <f>MID(A695,5,2)*1</f>
        <v>27</v>
      </c>
      <c r="G695" s="3">
        <f>IF(E695&gt;=20,2000,1900) + D695</f>
        <v>2014</v>
      </c>
      <c r="H695">
        <f>IF(E695&gt;=20,E695-20,E695)</f>
        <v>1</v>
      </c>
      <c r="I695" s="4">
        <f>F695</f>
        <v>27</v>
      </c>
      <c r="J695">
        <f>CONCATENATE(G695,IF(LEN(H695)=1,CONCATENATE("0",H695),H695),IF(LEN(F695)=1,CONCATENATE("0",F695),F695))*1</f>
        <v>20140127</v>
      </c>
    </row>
    <row r="696" spans="1:10" hidden="1" x14ac:dyDescent="0.25">
      <c r="A696" s="4" t="s">
        <v>722</v>
      </c>
      <c r="B696" t="s">
        <v>19</v>
      </c>
      <c r="C696" t="s">
        <v>6</v>
      </c>
      <c r="D696" s="3">
        <f>MID(A696,1,2)*1</f>
        <v>3</v>
      </c>
      <c r="E696" s="4">
        <f>MID(A696,3,2)*1</f>
        <v>21</v>
      </c>
      <c r="F696" s="4">
        <f>MID(A696,5,2)*1</f>
        <v>1</v>
      </c>
      <c r="G696" s="3">
        <f>IF(E696&gt;=20,2000,1900) + D696</f>
        <v>2003</v>
      </c>
      <c r="H696">
        <f>IF(E696&gt;=20,E696-20,E696)</f>
        <v>1</v>
      </c>
      <c r="I696" s="4">
        <f>F696</f>
        <v>1</v>
      </c>
      <c r="J696">
        <f>CONCATENATE(G696,IF(LEN(H696)=1,CONCATENATE("0",H696),H696),IF(LEN(F696)=1,CONCATENATE("0",F696),F696))*1</f>
        <v>20030101</v>
      </c>
    </row>
    <row r="697" spans="1:10" hidden="1" x14ac:dyDescent="0.25">
      <c r="A697" s="4" t="s">
        <v>723</v>
      </c>
      <c r="B697" t="s">
        <v>16</v>
      </c>
      <c r="C697" t="s">
        <v>6</v>
      </c>
      <c r="D697" s="3">
        <f>MID(A697,1,2)*1</f>
        <v>14</v>
      </c>
      <c r="E697" s="4">
        <f>MID(A697,3,2)*1</f>
        <v>29</v>
      </c>
      <c r="F697" s="4">
        <f>MID(A697,5,2)*1</f>
        <v>14</v>
      </c>
      <c r="G697" s="3">
        <f>IF(E697&gt;=20,2000,1900) + D697</f>
        <v>2014</v>
      </c>
      <c r="H697">
        <f>IF(E697&gt;=20,E697-20,E697)</f>
        <v>9</v>
      </c>
      <c r="I697" s="4">
        <f>F697</f>
        <v>14</v>
      </c>
      <c r="J697">
        <f>CONCATENATE(G697,IF(LEN(H697)=1,CONCATENATE("0",H697),H697),IF(LEN(F697)=1,CONCATENATE("0",F697),F697))*1</f>
        <v>20140914</v>
      </c>
    </row>
    <row r="698" spans="1:10" hidden="1" x14ac:dyDescent="0.25">
      <c r="A698" s="4" t="s">
        <v>724</v>
      </c>
      <c r="B698" t="s">
        <v>12</v>
      </c>
      <c r="C698" t="s">
        <v>6</v>
      </c>
      <c r="D698" s="3">
        <f>MID(A698,1,2)*1</f>
        <v>12</v>
      </c>
      <c r="E698" s="4">
        <f>MID(A698,3,2)*1</f>
        <v>30</v>
      </c>
      <c r="F698" s="4">
        <f>MID(A698,5,2)*1</f>
        <v>6</v>
      </c>
      <c r="G698" s="3">
        <f>IF(E698&gt;=20,2000,1900) + D698</f>
        <v>2012</v>
      </c>
      <c r="H698">
        <f>IF(E698&gt;=20,E698-20,E698)</f>
        <v>10</v>
      </c>
      <c r="I698" s="4">
        <f>F698</f>
        <v>6</v>
      </c>
      <c r="J698">
        <f>CONCATENATE(G698,IF(LEN(H698)=1,CONCATENATE("0",H698),H698),IF(LEN(F698)=1,CONCATENATE("0",F698),F698))*1</f>
        <v>20121006</v>
      </c>
    </row>
    <row r="699" spans="1:10" hidden="1" x14ac:dyDescent="0.25">
      <c r="A699" s="4" t="s">
        <v>725</v>
      </c>
      <c r="B699" t="s">
        <v>11</v>
      </c>
      <c r="C699" t="s">
        <v>6</v>
      </c>
      <c r="D699" s="3">
        <f>MID(A699,1,2)*1</f>
        <v>16</v>
      </c>
      <c r="E699" s="4">
        <f>MID(A699,3,2)*1</f>
        <v>23</v>
      </c>
      <c r="F699" s="4">
        <f>MID(A699,5,2)*1</f>
        <v>8</v>
      </c>
      <c r="G699" s="3">
        <f>IF(E699&gt;=20,2000,1900) + D699</f>
        <v>2016</v>
      </c>
      <c r="H699">
        <f>IF(E699&gt;=20,E699-20,E699)</f>
        <v>3</v>
      </c>
      <c r="I699" s="4">
        <f>F699</f>
        <v>8</v>
      </c>
      <c r="J699">
        <f>CONCATENATE(G699,IF(LEN(H699)=1,CONCATENATE("0",H699),H699),IF(LEN(F699)=1,CONCATENATE("0",F699),F699))*1</f>
        <v>20160308</v>
      </c>
    </row>
    <row r="700" spans="1:10" hidden="1" x14ac:dyDescent="0.25">
      <c r="A700" s="4" t="s">
        <v>726</v>
      </c>
      <c r="B700" t="s">
        <v>11</v>
      </c>
      <c r="C700" t="s">
        <v>6</v>
      </c>
      <c r="D700" s="3">
        <f>MID(A700,1,2)*1</f>
        <v>1</v>
      </c>
      <c r="E700" s="4">
        <f>MID(A700,3,2)*1</f>
        <v>22</v>
      </c>
      <c r="F700" s="4">
        <f>MID(A700,5,2)*1</f>
        <v>7</v>
      </c>
      <c r="G700" s="3">
        <f>IF(E700&gt;=20,2000,1900) + D700</f>
        <v>2001</v>
      </c>
      <c r="H700">
        <f>IF(E700&gt;=20,E700-20,E700)</f>
        <v>2</v>
      </c>
      <c r="I700" s="4">
        <f>F700</f>
        <v>7</v>
      </c>
      <c r="J700">
        <f>CONCATENATE(G700,IF(LEN(H700)=1,CONCATENATE("0",H700),H700),IF(LEN(F700)=1,CONCATENATE("0",F700),F700))*1</f>
        <v>20010207</v>
      </c>
    </row>
    <row r="701" spans="1:10" hidden="1" x14ac:dyDescent="0.25">
      <c r="A701" s="4" t="s">
        <v>727</v>
      </c>
      <c r="B701" t="s">
        <v>20</v>
      </c>
      <c r="C701" t="s">
        <v>4</v>
      </c>
      <c r="D701" s="3">
        <f>MID(A701,1,2)*1</f>
        <v>19</v>
      </c>
      <c r="E701" s="4">
        <f>MID(A701,3,2)*1</f>
        <v>22</v>
      </c>
      <c r="F701" s="4">
        <f>MID(A701,5,2)*1</f>
        <v>9</v>
      </c>
      <c r="G701" s="3">
        <f>IF(E701&gt;=20,2000,1900) + D701</f>
        <v>2019</v>
      </c>
      <c r="H701">
        <f>IF(E701&gt;=20,E701-20,E701)</f>
        <v>2</v>
      </c>
      <c r="I701" s="4">
        <f>F701</f>
        <v>9</v>
      </c>
      <c r="J701">
        <f>CONCATENATE(G701,IF(LEN(H701)=1,CONCATENATE("0",H701),H701),IF(LEN(F701)=1,CONCATENATE("0",F701),F701))*1</f>
        <v>20190209</v>
      </c>
    </row>
    <row r="702" spans="1:10" hidden="1" x14ac:dyDescent="0.25">
      <c r="A702" s="4" t="s">
        <v>728</v>
      </c>
      <c r="B702" t="s">
        <v>10</v>
      </c>
      <c r="C702" t="s">
        <v>4</v>
      </c>
      <c r="D702" s="3">
        <f>MID(A702,1,2)*1</f>
        <v>7</v>
      </c>
      <c r="E702" s="4">
        <f>MID(A702,3,2)*1</f>
        <v>24</v>
      </c>
      <c r="F702" s="4">
        <f>MID(A702,5,2)*1</f>
        <v>7</v>
      </c>
      <c r="G702" s="3">
        <f>IF(E702&gt;=20,2000,1900) + D702</f>
        <v>2007</v>
      </c>
      <c r="H702">
        <f>IF(E702&gt;=20,E702-20,E702)</f>
        <v>4</v>
      </c>
      <c r="I702" s="4">
        <f>F702</f>
        <v>7</v>
      </c>
      <c r="J702">
        <f>CONCATENATE(G702,IF(LEN(H702)=1,CONCATENATE("0",H702),H702),IF(LEN(F702)=1,CONCATENATE("0",F702),F702))*1</f>
        <v>20070407</v>
      </c>
    </row>
    <row r="703" spans="1:10" x14ac:dyDescent="0.25">
      <c r="A703" s="4" t="s">
        <v>899</v>
      </c>
      <c r="B703" t="s">
        <v>18</v>
      </c>
      <c r="C703" t="s">
        <v>6</v>
      </c>
      <c r="D703" s="3">
        <f>MID(A703,1,2)*1</f>
        <v>4</v>
      </c>
      <c r="E703" s="4">
        <f>MID(A703,3,2)*1</f>
        <v>29</v>
      </c>
      <c r="F703" s="4">
        <f>MID(A703,5,2)*1</f>
        <v>23</v>
      </c>
      <c r="G703" s="3">
        <f>IF(E703&gt;=20,2000,1900) + D703</f>
        <v>2004</v>
      </c>
      <c r="H703">
        <f>IF(E703&gt;=20,E703-20,E703)</f>
        <v>9</v>
      </c>
      <c r="I703" s="4">
        <f>F703</f>
        <v>23</v>
      </c>
      <c r="J703">
        <f>CONCATENATE(G703,IF(LEN(H703)=1,CONCATENATE("0",H703),H703),IF(LEN(F703)=1,CONCATENATE("0",F703),F703))*1</f>
        <v>20040923</v>
      </c>
    </row>
    <row r="704" spans="1:10" hidden="1" x14ac:dyDescent="0.25">
      <c r="A704" s="4" t="s">
        <v>730</v>
      </c>
      <c r="B704" t="s">
        <v>10</v>
      </c>
      <c r="C704" t="s">
        <v>4</v>
      </c>
      <c r="D704" s="3">
        <f>MID(A704,1,2)*1</f>
        <v>17</v>
      </c>
      <c r="E704" s="4">
        <f>MID(A704,3,2)*1</f>
        <v>31</v>
      </c>
      <c r="F704" s="4">
        <f>MID(A704,5,2)*1</f>
        <v>11</v>
      </c>
      <c r="G704" s="3">
        <f>IF(E704&gt;=20,2000,1900) + D704</f>
        <v>2017</v>
      </c>
      <c r="H704">
        <f>IF(E704&gt;=20,E704-20,E704)</f>
        <v>11</v>
      </c>
      <c r="I704" s="4">
        <f>F704</f>
        <v>11</v>
      </c>
      <c r="J704">
        <f>CONCATENATE(G704,IF(LEN(H704)=1,CONCATENATE("0",H704),H704),IF(LEN(F704)=1,CONCATENATE("0",F704),F704))*1</f>
        <v>20171111</v>
      </c>
    </row>
    <row r="705" spans="1:10" hidden="1" x14ac:dyDescent="0.25">
      <c r="A705" s="4" t="s">
        <v>731</v>
      </c>
      <c r="B705" t="s">
        <v>17</v>
      </c>
      <c r="C705" t="s">
        <v>4</v>
      </c>
      <c r="D705" s="3">
        <f>MID(A705,1,2)*1</f>
        <v>16</v>
      </c>
      <c r="E705" s="4">
        <f>MID(A705,3,2)*1</f>
        <v>32</v>
      </c>
      <c r="F705" s="4">
        <f>MID(A705,5,2)*1</f>
        <v>11</v>
      </c>
      <c r="G705" s="3">
        <f>IF(E705&gt;=20,2000,1900) + D705</f>
        <v>2016</v>
      </c>
      <c r="H705">
        <f>IF(E705&gt;=20,E705-20,E705)</f>
        <v>12</v>
      </c>
      <c r="I705" s="4">
        <f>F705</f>
        <v>11</v>
      </c>
      <c r="J705">
        <f>CONCATENATE(G705,IF(LEN(H705)=1,CONCATENATE("0",H705),H705),IF(LEN(F705)=1,CONCATENATE("0",F705),F705))*1</f>
        <v>20161211</v>
      </c>
    </row>
    <row r="706" spans="1:10" hidden="1" x14ac:dyDescent="0.25">
      <c r="A706" s="4" t="s">
        <v>732</v>
      </c>
      <c r="B706" t="s">
        <v>19</v>
      </c>
      <c r="C706" t="s">
        <v>6</v>
      </c>
      <c r="D706" s="3">
        <f>MID(A706,1,2)*1</f>
        <v>6</v>
      </c>
      <c r="E706" s="4">
        <f>MID(A706,3,2)*1</f>
        <v>29</v>
      </c>
      <c r="F706" s="4">
        <f>MID(A706,5,2)*1</f>
        <v>21</v>
      </c>
      <c r="G706" s="3">
        <f>IF(E706&gt;=20,2000,1900) + D706</f>
        <v>2006</v>
      </c>
      <c r="H706">
        <f>IF(E706&gt;=20,E706-20,E706)</f>
        <v>9</v>
      </c>
      <c r="I706" s="4">
        <f>F706</f>
        <v>21</v>
      </c>
      <c r="J706">
        <f>CONCATENATE(G706,IF(LEN(H706)=1,CONCATENATE("0",H706),H706),IF(LEN(F706)=1,CONCATENATE("0",F706),F706))*1</f>
        <v>20060921</v>
      </c>
    </row>
    <row r="707" spans="1:10" hidden="1" x14ac:dyDescent="0.25">
      <c r="A707" s="4" t="s">
        <v>733</v>
      </c>
      <c r="B707" t="s">
        <v>15</v>
      </c>
      <c r="C707" t="s">
        <v>6</v>
      </c>
      <c r="D707" s="3">
        <f>MID(A707,1,2)*1</f>
        <v>5</v>
      </c>
      <c r="E707" s="4">
        <f>MID(A707,3,2)*1</f>
        <v>23</v>
      </c>
      <c r="F707" s="4">
        <f>MID(A707,5,2)*1</f>
        <v>8</v>
      </c>
      <c r="G707" s="3">
        <f>IF(E707&gt;=20,2000,1900) + D707</f>
        <v>2005</v>
      </c>
      <c r="H707">
        <f>IF(E707&gt;=20,E707-20,E707)</f>
        <v>3</v>
      </c>
      <c r="I707" s="4">
        <f>F707</f>
        <v>8</v>
      </c>
      <c r="J707">
        <f>CONCATENATE(G707,IF(LEN(H707)=1,CONCATENATE("0",H707),H707),IF(LEN(F707)=1,CONCATENATE("0",F707),F707))*1</f>
        <v>20050308</v>
      </c>
    </row>
    <row r="708" spans="1:10" hidden="1" x14ac:dyDescent="0.25">
      <c r="A708" s="4" t="s">
        <v>734</v>
      </c>
      <c r="B708" t="s">
        <v>7</v>
      </c>
      <c r="C708" t="s">
        <v>4</v>
      </c>
      <c r="D708" s="3">
        <f>MID(A708,1,2)*1</f>
        <v>18</v>
      </c>
      <c r="E708" s="4">
        <f>MID(A708,3,2)*1</f>
        <v>27</v>
      </c>
      <c r="F708" s="4">
        <f>MID(A708,5,2)*1</f>
        <v>14</v>
      </c>
      <c r="G708" s="3">
        <f>IF(E708&gt;=20,2000,1900) + D708</f>
        <v>2018</v>
      </c>
      <c r="H708">
        <f>IF(E708&gt;=20,E708-20,E708)</f>
        <v>7</v>
      </c>
      <c r="I708" s="4">
        <f>F708</f>
        <v>14</v>
      </c>
      <c r="J708">
        <f>CONCATENATE(G708,IF(LEN(H708)=1,CONCATENATE("0",H708),H708),IF(LEN(F708)=1,CONCATENATE("0",F708),F708))*1</f>
        <v>20180714</v>
      </c>
    </row>
    <row r="709" spans="1:10" hidden="1" x14ac:dyDescent="0.25">
      <c r="A709" s="4" t="s">
        <v>735</v>
      </c>
      <c r="B709" t="s">
        <v>5</v>
      </c>
      <c r="C709" t="s">
        <v>4</v>
      </c>
      <c r="D709" s="3">
        <f>MID(A709,1,2)*1</f>
        <v>6</v>
      </c>
      <c r="E709" s="4">
        <f>MID(A709,3,2)*1</f>
        <v>32</v>
      </c>
      <c r="F709" s="4">
        <f>MID(A709,5,2)*1</f>
        <v>12</v>
      </c>
      <c r="G709" s="3">
        <f>IF(E709&gt;=20,2000,1900) + D709</f>
        <v>2006</v>
      </c>
      <c r="H709">
        <f>IF(E709&gt;=20,E709-20,E709)</f>
        <v>12</v>
      </c>
      <c r="I709" s="4">
        <f>F709</f>
        <v>12</v>
      </c>
      <c r="J709">
        <f>CONCATENATE(G709,IF(LEN(H709)=1,CONCATENATE("0",H709),H709),IF(LEN(F709)=1,CONCATENATE("0",F709),F709))*1</f>
        <v>20061212</v>
      </c>
    </row>
    <row r="710" spans="1:10" hidden="1" x14ac:dyDescent="0.25">
      <c r="A710" s="4" t="s">
        <v>736</v>
      </c>
      <c r="B710" t="s">
        <v>8</v>
      </c>
      <c r="C710" t="s">
        <v>6</v>
      </c>
      <c r="D710" s="3">
        <f>MID(A710,1,2)*1</f>
        <v>18</v>
      </c>
      <c r="E710" s="4">
        <f>MID(A710,3,2)*1</f>
        <v>26</v>
      </c>
      <c r="F710" s="4">
        <f>MID(A710,5,2)*1</f>
        <v>26</v>
      </c>
      <c r="G710" s="3">
        <f>IF(E710&gt;=20,2000,1900) + D710</f>
        <v>2018</v>
      </c>
      <c r="H710">
        <f>IF(E710&gt;=20,E710-20,E710)</f>
        <v>6</v>
      </c>
      <c r="I710" s="4">
        <f>F710</f>
        <v>26</v>
      </c>
      <c r="J710">
        <f>CONCATENATE(G710,IF(LEN(H710)=1,CONCATENATE("0",H710),H710),IF(LEN(F710)=1,CONCATENATE("0",F710),F710))*1</f>
        <v>20180626</v>
      </c>
    </row>
    <row r="711" spans="1:10" hidden="1" x14ac:dyDescent="0.25">
      <c r="A711" s="4" t="s">
        <v>737</v>
      </c>
      <c r="B711" t="s">
        <v>7</v>
      </c>
      <c r="C711" t="s">
        <v>4</v>
      </c>
      <c r="D711" s="3">
        <f>MID(A711,1,2)*1</f>
        <v>7</v>
      </c>
      <c r="E711" s="4">
        <f>MID(A711,3,2)*1</f>
        <v>26</v>
      </c>
      <c r="F711" s="4">
        <f>MID(A711,5,2)*1</f>
        <v>12</v>
      </c>
      <c r="G711" s="3">
        <f>IF(E711&gt;=20,2000,1900) + D711</f>
        <v>2007</v>
      </c>
      <c r="H711">
        <f>IF(E711&gt;=20,E711-20,E711)</f>
        <v>6</v>
      </c>
      <c r="I711" s="4">
        <f>F711</f>
        <v>12</v>
      </c>
      <c r="J711">
        <f>CONCATENATE(G711,IF(LEN(H711)=1,CONCATENATE("0",H711),H711),IF(LEN(F711)=1,CONCATENATE("0",F711),F711))*1</f>
        <v>20070612</v>
      </c>
    </row>
    <row r="712" spans="1:10" hidden="1" x14ac:dyDescent="0.25">
      <c r="A712" s="4" t="s">
        <v>738</v>
      </c>
      <c r="B712" t="s">
        <v>16</v>
      </c>
      <c r="C712" t="s">
        <v>4</v>
      </c>
      <c r="D712" s="3">
        <f>MID(A712,1,2)*1</f>
        <v>8</v>
      </c>
      <c r="E712" s="4">
        <f>MID(A712,3,2)*1</f>
        <v>30</v>
      </c>
      <c r="F712" s="4">
        <f>MID(A712,5,2)*1</f>
        <v>6</v>
      </c>
      <c r="G712" s="3">
        <f>IF(E712&gt;=20,2000,1900) + D712</f>
        <v>2008</v>
      </c>
      <c r="H712">
        <f>IF(E712&gt;=20,E712-20,E712)</f>
        <v>10</v>
      </c>
      <c r="I712" s="4">
        <f>F712</f>
        <v>6</v>
      </c>
      <c r="J712">
        <f>CONCATENATE(G712,IF(LEN(H712)=1,CONCATENATE("0",H712),H712),IF(LEN(F712)=1,CONCATENATE("0",F712),F712))*1</f>
        <v>20081006</v>
      </c>
    </row>
    <row r="713" spans="1:10" hidden="1" x14ac:dyDescent="0.25">
      <c r="A713" s="4" t="s">
        <v>739</v>
      </c>
      <c r="B713" t="s">
        <v>10</v>
      </c>
      <c r="C713" t="s">
        <v>6</v>
      </c>
      <c r="D713" s="3">
        <f>MID(A713,1,2)*1</f>
        <v>8</v>
      </c>
      <c r="E713" s="4">
        <f>MID(A713,3,2)*1</f>
        <v>22</v>
      </c>
      <c r="F713" s="4">
        <f>MID(A713,5,2)*1</f>
        <v>11</v>
      </c>
      <c r="G713" s="3">
        <f>IF(E713&gt;=20,2000,1900) + D713</f>
        <v>2008</v>
      </c>
      <c r="H713">
        <f>IF(E713&gt;=20,E713-20,E713)</f>
        <v>2</v>
      </c>
      <c r="I713" s="4">
        <f>F713</f>
        <v>11</v>
      </c>
      <c r="J713">
        <f>CONCATENATE(G713,IF(LEN(H713)=1,CONCATENATE("0",H713),H713),IF(LEN(F713)=1,CONCATENATE("0",F713),F713))*1</f>
        <v>20080211</v>
      </c>
    </row>
    <row r="714" spans="1:10" hidden="1" x14ac:dyDescent="0.25">
      <c r="A714" s="4" t="s">
        <v>740</v>
      </c>
      <c r="B714" t="s">
        <v>10</v>
      </c>
      <c r="C714" t="s">
        <v>4</v>
      </c>
      <c r="D714" s="3">
        <f>MID(A714,1,2)*1</f>
        <v>5</v>
      </c>
      <c r="E714" s="4">
        <f>MID(A714,3,2)*1</f>
        <v>22</v>
      </c>
      <c r="F714" s="4">
        <f>MID(A714,5,2)*1</f>
        <v>1</v>
      </c>
      <c r="G714" s="3">
        <f>IF(E714&gt;=20,2000,1900) + D714</f>
        <v>2005</v>
      </c>
      <c r="H714">
        <f>IF(E714&gt;=20,E714-20,E714)</f>
        <v>2</v>
      </c>
      <c r="I714" s="4">
        <f>F714</f>
        <v>1</v>
      </c>
      <c r="J714">
        <f>CONCATENATE(G714,IF(LEN(H714)=1,CONCATENATE("0",H714),H714),IF(LEN(F714)=1,CONCATENATE("0",F714),F714))*1</f>
        <v>20050201</v>
      </c>
    </row>
    <row r="715" spans="1:10" hidden="1" x14ac:dyDescent="0.25">
      <c r="A715" s="4" t="s">
        <v>741</v>
      </c>
      <c r="B715" t="s">
        <v>12</v>
      </c>
      <c r="C715" t="s">
        <v>4</v>
      </c>
      <c r="D715" s="3">
        <f>MID(A715,1,2)*1</f>
        <v>11</v>
      </c>
      <c r="E715" s="4">
        <f>MID(A715,3,2)*1</f>
        <v>22</v>
      </c>
      <c r="F715" s="4">
        <f>MID(A715,5,2)*1</f>
        <v>20</v>
      </c>
      <c r="G715" s="3">
        <f>IF(E715&gt;=20,2000,1900) + D715</f>
        <v>2011</v>
      </c>
      <c r="H715">
        <f>IF(E715&gt;=20,E715-20,E715)</f>
        <v>2</v>
      </c>
      <c r="I715" s="4">
        <f>F715</f>
        <v>20</v>
      </c>
      <c r="J715">
        <f>CONCATENATE(G715,IF(LEN(H715)=1,CONCATENATE("0",H715),H715),IF(LEN(F715)=1,CONCATENATE("0",F715),F715))*1</f>
        <v>20110220</v>
      </c>
    </row>
    <row r="716" spans="1:10" x14ac:dyDescent="0.25">
      <c r="A716" s="4" t="s">
        <v>647</v>
      </c>
      <c r="B716" t="s">
        <v>18</v>
      </c>
      <c r="C716" t="s">
        <v>4</v>
      </c>
      <c r="D716" s="3">
        <f>MID(A716,1,2)*1</f>
        <v>4</v>
      </c>
      <c r="E716" s="4">
        <f>MID(A716,3,2)*1</f>
        <v>30</v>
      </c>
      <c r="F716" s="4">
        <f>MID(A716,5,2)*1</f>
        <v>23</v>
      </c>
      <c r="G716" s="3">
        <f>IF(E716&gt;=20,2000,1900) + D716</f>
        <v>2004</v>
      </c>
      <c r="H716">
        <f>IF(E716&gt;=20,E716-20,E716)</f>
        <v>10</v>
      </c>
      <c r="I716" s="4">
        <f>F716</f>
        <v>23</v>
      </c>
      <c r="J716">
        <f>CONCATENATE(G716,IF(LEN(H716)=1,CONCATENATE("0",H716),H716),IF(LEN(F716)=1,CONCATENATE("0",F716),F716))*1</f>
        <v>20041023</v>
      </c>
    </row>
    <row r="717" spans="1:10" hidden="1" x14ac:dyDescent="0.25">
      <c r="A717" s="4" t="s">
        <v>743</v>
      </c>
      <c r="B717" t="s">
        <v>3</v>
      </c>
      <c r="C717" t="s">
        <v>6</v>
      </c>
      <c r="D717" s="3">
        <f>MID(A717,1,2)*1</f>
        <v>19</v>
      </c>
      <c r="E717" s="4">
        <f>MID(A717,3,2)*1</f>
        <v>30</v>
      </c>
      <c r="F717" s="4">
        <f>MID(A717,5,2)*1</f>
        <v>30</v>
      </c>
      <c r="G717" s="3">
        <f>IF(E717&gt;=20,2000,1900) + D717</f>
        <v>2019</v>
      </c>
      <c r="H717">
        <f>IF(E717&gt;=20,E717-20,E717)</f>
        <v>10</v>
      </c>
      <c r="I717" s="4">
        <f>F717</f>
        <v>30</v>
      </c>
      <c r="J717">
        <f>CONCATENATE(G717,IF(LEN(H717)=1,CONCATENATE("0",H717),H717),IF(LEN(F717)=1,CONCATENATE("0",F717),F717))*1</f>
        <v>20191030</v>
      </c>
    </row>
    <row r="718" spans="1:10" hidden="1" x14ac:dyDescent="0.25">
      <c r="A718" s="4" t="s">
        <v>744</v>
      </c>
      <c r="B718" t="s">
        <v>3</v>
      </c>
      <c r="C718" t="s">
        <v>6</v>
      </c>
      <c r="D718" s="3">
        <f>MID(A718,1,2)*1</f>
        <v>16</v>
      </c>
      <c r="E718" s="4">
        <f>MID(A718,3,2)*1</f>
        <v>29</v>
      </c>
      <c r="F718" s="4">
        <f>MID(A718,5,2)*1</f>
        <v>13</v>
      </c>
      <c r="G718" s="3">
        <f>IF(E718&gt;=20,2000,1900) + D718</f>
        <v>2016</v>
      </c>
      <c r="H718">
        <f>IF(E718&gt;=20,E718-20,E718)</f>
        <v>9</v>
      </c>
      <c r="I718" s="4">
        <f>F718</f>
        <v>13</v>
      </c>
      <c r="J718">
        <f>CONCATENATE(G718,IF(LEN(H718)=1,CONCATENATE("0",H718),H718),IF(LEN(F718)=1,CONCATENATE("0",F718),F718))*1</f>
        <v>20160913</v>
      </c>
    </row>
    <row r="719" spans="1:10" x14ac:dyDescent="0.25">
      <c r="A719" s="4" t="s">
        <v>627</v>
      </c>
      <c r="B719" t="s">
        <v>18</v>
      </c>
      <c r="C719" t="s">
        <v>6</v>
      </c>
      <c r="D719" s="3">
        <f>MID(A719,1,2)*1</f>
        <v>5</v>
      </c>
      <c r="E719" s="4">
        <f>MID(A719,3,2)*1</f>
        <v>25</v>
      </c>
      <c r="F719" s="4">
        <f>MID(A719,5,2)*1</f>
        <v>17</v>
      </c>
      <c r="G719" s="3">
        <f>IF(E719&gt;=20,2000,1900) + D719</f>
        <v>2005</v>
      </c>
      <c r="H719">
        <f>IF(E719&gt;=20,E719-20,E719)</f>
        <v>5</v>
      </c>
      <c r="I719" s="4">
        <f>F719</f>
        <v>17</v>
      </c>
      <c r="J719">
        <f>CONCATENATE(G719,IF(LEN(H719)=1,CONCATENATE("0",H719),H719),IF(LEN(F719)=1,CONCATENATE("0",F719),F719))*1</f>
        <v>20050517</v>
      </c>
    </row>
    <row r="720" spans="1:10" hidden="1" x14ac:dyDescent="0.25">
      <c r="A720" s="4" t="s">
        <v>746</v>
      </c>
      <c r="B720" t="s">
        <v>20</v>
      </c>
      <c r="C720" t="s">
        <v>6</v>
      </c>
      <c r="D720" s="3">
        <f>MID(A720,1,2)*1</f>
        <v>5</v>
      </c>
      <c r="E720" s="4">
        <f>MID(A720,3,2)*1</f>
        <v>26</v>
      </c>
      <c r="F720" s="4">
        <f>MID(A720,5,2)*1</f>
        <v>30</v>
      </c>
      <c r="G720" s="3">
        <f>IF(E720&gt;=20,2000,1900) + D720</f>
        <v>2005</v>
      </c>
      <c r="H720">
        <f>IF(E720&gt;=20,E720-20,E720)</f>
        <v>6</v>
      </c>
      <c r="I720" s="4">
        <f>F720</f>
        <v>30</v>
      </c>
      <c r="J720">
        <f>CONCATENATE(G720,IF(LEN(H720)=1,CONCATENATE("0",H720),H720),IF(LEN(F720)=1,CONCATENATE("0",F720),F720))*1</f>
        <v>20050630</v>
      </c>
    </row>
    <row r="721" spans="1:10" hidden="1" x14ac:dyDescent="0.25">
      <c r="A721" s="4" t="s">
        <v>747</v>
      </c>
      <c r="B721" t="s">
        <v>13</v>
      </c>
      <c r="C721" t="s">
        <v>6</v>
      </c>
      <c r="D721" s="3">
        <f>MID(A721,1,2)*1</f>
        <v>0</v>
      </c>
      <c r="E721" s="4">
        <f>MID(A721,3,2)*1</f>
        <v>21</v>
      </c>
      <c r="F721" s="4">
        <f>MID(A721,5,2)*1</f>
        <v>31</v>
      </c>
      <c r="G721" s="3">
        <f>IF(E721&gt;=20,2000,1900) + D721</f>
        <v>2000</v>
      </c>
      <c r="H721">
        <f>IF(E721&gt;=20,E721-20,E721)</f>
        <v>1</v>
      </c>
      <c r="I721" s="4">
        <f>F721</f>
        <v>31</v>
      </c>
      <c r="J721">
        <f>CONCATENATE(G721,IF(LEN(H721)=1,CONCATENATE("0",H721),H721),IF(LEN(F721)=1,CONCATENATE("0",F721),F721))*1</f>
        <v>20000131</v>
      </c>
    </row>
    <row r="722" spans="1:10" x14ac:dyDescent="0.25">
      <c r="A722" s="4" t="s">
        <v>670</v>
      </c>
      <c r="B722" t="s">
        <v>18</v>
      </c>
      <c r="C722" t="s">
        <v>4</v>
      </c>
      <c r="D722" s="3">
        <f>MID(A722,1,2)*1</f>
        <v>5</v>
      </c>
      <c r="E722" s="4">
        <f>MID(A722,3,2)*1</f>
        <v>29</v>
      </c>
      <c r="F722" s="4">
        <f>MID(A722,5,2)*1</f>
        <v>22</v>
      </c>
      <c r="G722" s="3">
        <f>IF(E722&gt;=20,2000,1900) + D722</f>
        <v>2005</v>
      </c>
      <c r="H722">
        <f>IF(E722&gt;=20,E722-20,E722)</f>
        <v>9</v>
      </c>
      <c r="I722" s="4">
        <f>F722</f>
        <v>22</v>
      </c>
      <c r="J722">
        <f>CONCATENATE(G722,IF(LEN(H722)=1,CONCATENATE("0",H722),H722),IF(LEN(F722)=1,CONCATENATE("0",F722),F722))*1</f>
        <v>20050922</v>
      </c>
    </row>
    <row r="723" spans="1:10" hidden="1" x14ac:dyDescent="0.25">
      <c r="A723" s="4" t="s">
        <v>749</v>
      </c>
      <c r="B723" t="s">
        <v>5</v>
      </c>
      <c r="C723" t="s">
        <v>4</v>
      </c>
      <c r="D723" s="3">
        <f>MID(A723,1,2)*1</f>
        <v>16</v>
      </c>
      <c r="E723" s="4">
        <f>MID(A723,3,2)*1</f>
        <v>25</v>
      </c>
      <c r="F723" s="4">
        <f>MID(A723,5,2)*1</f>
        <v>15</v>
      </c>
      <c r="G723" s="3">
        <f>IF(E723&gt;=20,2000,1900) + D723</f>
        <v>2016</v>
      </c>
      <c r="H723">
        <f>IF(E723&gt;=20,E723-20,E723)</f>
        <v>5</v>
      </c>
      <c r="I723" s="4">
        <f>F723</f>
        <v>15</v>
      </c>
      <c r="J723">
        <f>CONCATENATE(G723,IF(LEN(H723)=1,CONCATENATE("0",H723),H723),IF(LEN(F723)=1,CONCATENATE("0",F723),F723))*1</f>
        <v>20160515</v>
      </c>
    </row>
    <row r="724" spans="1:10" hidden="1" x14ac:dyDescent="0.25">
      <c r="A724" s="4" t="s">
        <v>750</v>
      </c>
      <c r="B724" t="s">
        <v>13</v>
      </c>
      <c r="C724" t="s">
        <v>6</v>
      </c>
      <c r="D724" s="3">
        <f>MID(A724,1,2)*1</f>
        <v>10</v>
      </c>
      <c r="E724" s="4">
        <f>MID(A724,3,2)*1</f>
        <v>29</v>
      </c>
      <c r="F724" s="4">
        <f>MID(A724,5,2)*1</f>
        <v>27</v>
      </c>
      <c r="G724" s="3">
        <f>IF(E724&gt;=20,2000,1900) + D724</f>
        <v>2010</v>
      </c>
      <c r="H724">
        <f>IF(E724&gt;=20,E724-20,E724)</f>
        <v>9</v>
      </c>
      <c r="I724" s="4">
        <f>F724</f>
        <v>27</v>
      </c>
      <c r="J724">
        <f>CONCATENATE(G724,IF(LEN(H724)=1,CONCATENATE("0",H724),H724),IF(LEN(F724)=1,CONCATENATE("0",F724),F724))*1</f>
        <v>20100927</v>
      </c>
    </row>
    <row r="725" spans="1:10" hidden="1" x14ac:dyDescent="0.25">
      <c r="A725" s="4" t="s">
        <v>751</v>
      </c>
      <c r="B725" t="s">
        <v>13</v>
      </c>
      <c r="C725" t="s">
        <v>6</v>
      </c>
      <c r="D725" s="3">
        <f>MID(A725,1,2)*1</f>
        <v>14</v>
      </c>
      <c r="E725" s="4">
        <f>MID(A725,3,2)*1</f>
        <v>23</v>
      </c>
      <c r="F725" s="4">
        <f>MID(A725,5,2)*1</f>
        <v>13</v>
      </c>
      <c r="G725" s="3">
        <f>IF(E725&gt;=20,2000,1900) + D725</f>
        <v>2014</v>
      </c>
      <c r="H725">
        <f>IF(E725&gt;=20,E725-20,E725)</f>
        <v>3</v>
      </c>
      <c r="I725" s="4">
        <f>F725</f>
        <v>13</v>
      </c>
      <c r="J725">
        <f>CONCATENATE(G725,IF(LEN(H725)=1,CONCATENATE("0",H725),H725),IF(LEN(F725)=1,CONCATENATE("0",F725),F725))*1</f>
        <v>20140313</v>
      </c>
    </row>
    <row r="726" spans="1:10" hidden="1" x14ac:dyDescent="0.25">
      <c r="A726" s="4" t="s">
        <v>752</v>
      </c>
      <c r="B726" t="s">
        <v>14</v>
      </c>
      <c r="C726" t="s">
        <v>4</v>
      </c>
      <c r="D726" s="3">
        <f>MID(A726,1,2)*1</f>
        <v>21</v>
      </c>
      <c r="E726" s="4">
        <f>MID(A726,3,2)*1</f>
        <v>22</v>
      </c>
      <c r="F726" s="4">
        <f>MID(A726,5,2)*1</f>
        <v>26</v>
      </c>
      <c r="G726" s="3">
        <f>IF(E726&gt;=20,2000,1900) + D726</f>
        <v>2021</v>
      </c>
      <c r="H726">
        <f>IF(E726&gt;=20,E726-20,E726)</f>
        <v>2</v>
      </c>
      <c r="I726" s="4">
        <f>F726</f>
        <v>26</v>
      </c>
      <c r="J726">
        <f>CONCATENATE(G726,IF(LEN(H726)=1,CONCATENATE("0",H726),H726),IF(LEN(F726)=1,CONCATENATE("0",F726),F726))*1</f>
        <v>20210226</v>
      </c>
    </row>
    <row r="727" spans="1:10" hidden="1" x14ac:dyDescent="0.25">
      <c r="A727" s="4" t="s">
        <v>753</v>
      </c>
      <c r="B727" t="s">
        <v>17</v>
      </c>
      <c r="C727" t="s">
        <v>6</v>
      </c>
      <c r="D727" s="3">
        <f>MID(A727,1,2)*1</f>
        <v>12</v>
      </c>
      <c r="E727" s="4">
        <f>MID(A727,3,2)*1</f>
        <v>29</v>
      </c>
      <c r="F727" s="4">
        <f>MID(A727,5,2)*1</f>
        <v>22</v>
      </c>
      <c r="G727" s="3">
        <f>IF(E727&gt;=20,2000,1900) + D727</f>
        <v>2012</v>
      </c>
      <c r="H727">
        <f>IF(E727&gt;=20,E727-20,E727)</f>
        <v>9</v>
      </c>
      <c r="I727" s="4">
        <f>F727</f>
        <v>22</v>
      </c>
      <c r="J727">
        <f>CONCATENATE(G727,IF(LEN(H727)=1,CONCATENATE("0",H727),H727),IF(LEN(F727)=1,CONCATENATE("0",F727),F727))*1</f>
        <v>20120922</v>
      </c>
    </row>
    <row r="728" spans="1:10" hidden="1" x14ac:dyDescent="0.25">
      <c r="A728" s="4" t="s">
        <v>754</v>
      </c>
      <c r="B728" t="s">
        <v>13</v>
      </c>
      <c r="C728" t="s">
        <v>6</v>
      </c>
      <c r="D728" s="3">
        <f>MID(A728,1,2)*1</f>
        <v>7</v>
      </c>
      <c r="E728" s="4">
        <f>MID(A728,3,2)*1</f>
        <v>28</v>
      </c>
      <c r="F728" s="4">
        <f>MID(A728,5,2)*1</f>
        <v>29</v>
      </c>
      <c r="G728" s="3">
        <f>IF(E728&gt;=20,2000,1900) + D728</f>
        <v>2007</v>
      </c>
      <c r="H728">
        <f>IF(E728&gt;=20,E728-20,E728)</f>
        <v>8</v>
      </c>
      <c r="I728" s="4">
        <f>F728</f>
        <v>29</v>
      </c>
      <c r="J728">
        <f>CONCATENATE(G728,IF(LEN(H728)=1,CONCATENATE("0",H728),H728),IF(LEN(F728)=1,CONCATENATE("0",F728),F728))*1</f>
        <v>20070829</v>
      </c>
    </row>
    <row r="729" spans="1:10" hidden="1" x14ac:dyDescent="0.25">
      <c r="A729" s="4" t="s">
        <v>755</v>
      </c>
      <c r="B729" t="s">
        <v>19</v>
      </c>
      <c r="C729" t="s">
        <v>6</v>
      </c>
      <c r="D729" s="3">
        <f>MID(A729,1,2)*1</f>
        <v>9</v>
      </c>
      <c r="E729" s="4">
        <f>MID(A729,3,2)*1</f>
        <v>22</v>
      </c>
      <c r="F729" s="4">
        <f>MID(A729,5,2)*1</f>
        <v>5</v>
      </c>
      <c r="G729" s="3">
        <f>IF(E729&gt;=20,2000,1900) + D729</f>
        <v>2009</v>
      </c>
      <c r="H729">
        <f>IF(E729&gt;=20,E729-20,E729)</f>
        <v>2</v>
      </c>
      <c r="I729" s="4">
        <f>F729</f>
        <v>5</v>
      </c>
      <c r="J729">
        <f>CONCATENATE(G729,IF(LEN(H729)=1,CONCATENATE("0",H729),H729),IF(LEN(F729)=1,CONCATENATE("0",F729),F729))*1</f>
        <v>20090205</v>
      </c>
    </row>
    <row r="730" spans="1:10" x14ac:dyDescent="0.25">
      <c r="A730" s="4" t="s">
        <v>729</v>
      </c>
      <c r="B730" t="s">
        <v>18</v>
      </c>
      <c r="C730" t="s">
        <v>4</v>
      </c>
      <c r="D730" s="3">
        <f>MID(A730,1,2)*1</f>
        <v>6</v>
      </c>
      <c r="E730" s="4">
        <f>MID(A730,3,2)*1</f>
        <v>29</v>
      </c>
      <c r="F730" s="4">
        <f>MID(A730,5,2)*1</f>
        <v>22</v>
      </c>
      <c r="G730" s="3">
        <f>IF(E730&gt;=20,2000,1900) + D730</f>
        <v>2006</v>
      </c>
      <c r="H730">
        <f>IF(E730&gt;=20,E730-20,E730)</f>
        <v>9</v>
      </c>
      <c r="I730" s="4">
        <f>F730</f>
        <v>22</v>
      </c>
      <c r="J730">
        <f>CONCATENATE(G730,IF(LEN(H730)=1,CONCATENATE("0",H730),H730),IF(LEN(F730)=1,CONCATENATE("0",F730),F730))*1</f>
        <v>20060922</v>
      </c>
    </row>
    <row r="731" spans="1:10" hidden="1" x14ac:dyDescent="0.25">
      <c r="A731" s="4" t="s">
        <v>757</v>
      </c>
      <c r="B731" t="s">
        <v>16</v>
      </c>
      <c r="C731" t="s">
        <v>4</v>
      </c>
      <c r="D731" s="3">
        <f>MID(A731,1,2)*1</f>
        <v>11</v>
      </c>
      <c r="E731" s="4">
        <f>MID(A731,3,2)*1</f>
        <v>31</v>
      </c>
      <c r="F731" s="4">
        <f>MID(A731,5,2)*1</f>
        <v>23</v>
      </c>
      <c r="G731" s="3">
        <f>IF(E731&gt;=20,2000,1900) + D731</f>
        <v>2011</v>
      </c>
      <c r="H731">
        <f>IF(E731&gt;=20,E731-20,E731)</f>
        <v>11</v>
      </c>
      <c r="I731" s="4">
        <f>F731</f>
        <v>23</v>
      </c>
      <c r="J731">
        <f>CONCATENATE(G731,IF(LEN(H731)=1,CONCATENATE("0",H731),H731),IF(LEN(F731)=1,CONCATENATE("0",F731),F731))*1</f>
        <v>20111123</v>
      </c>
    </row>
    <row r="732" spans="1:10" hidden="1" x14ac:dyDescent="0.25">
      <c r="A732" s="4" t="s">
        <v>758</v>
      </c>
      <c r="B732" t="s">
        <v>14</v>
      </c>
      <c r="C732" t="s">
        <v>4</v>
      </c>
      <c r="D732" s="3">
        <f>MID(A732,1,2)*1</f>
        <v>9</v>
      </c>
      <c r="E732" s="4">
        <f>MID(A732,3,2)*1</f>
        <v>24</v>
      </c>
      <c r="F732" s="4">
        <f>MID(A732,5,2)*1</f>
        <v>6</v>
      </c>
      <c r="G732" s="3">
        <f>IF(E732&gt;=20,2000,1900) + D732</f>
        <v>2009</v>
      </c>
      <c r="H732">
        <f>IF(E732&gt;=20,E732-20,E732)</f>
        <v>4</v>
      </c>
      <c r="I732" s="4">
        <f>F732</f>
        <v>6</v>
      </c>
      <c r="J732">
        <f>CONCATENATE(G732,IF(LEN(H732)=1,CONCATENATE("0",H732),H732),IF(LEN(F732)=1,CONCATENATE("0",F732),F732))*1</f>
        <v>20090406</v>
      </c>
    </row>
    <row r="733" spans="1:10" hidden="1" x14ac:dyDescent="0.25">
      <c r="A733" s="4" t="s">
        <v>759</v>
      </c>
      <c r="B733" t="s">
        <v>15</v>
      </c>
      <c r="C733" t="s">
        <v>6</v>
      </c>
      <c r="D733" s="3">
        <f>MID(A733,1,2)*1</f>
        <v>0</v>
      </c>
      <c r="E733" s="4">
        <f>MID(A733,3,2)*1</f>
        <v>31</v>
      </c>
      <c r="F733" s="4">
        <f>MID(A733,5,2)*1</f>
        <v>21</v>
      </c>
      <c r="G733" s="3">
        <f>IF(E733&gt;=20,2000,1900) + D733</f>
        <v>2000</v>
      </c>
      <c r="H733">
        <f>IF(E733&gt;=20,E733-20,E733)</f>
        <v>11</v>
      </c>
      <c r="I733" s="4">
        <f>F733</f>
        <v>21</v>
      </c>
      <c r="J733">
        <f>CONCATENATE(G733,IF(LEN(H733)=1,CONCATENATE("0",H733),H733),IF(LEN(F733)=1,CONCATENATE("0",F733),F733))*1</f>
        <v>20001121</v>
      </c>
    </row>
    <row r="734" spans="1:10" hidden="1" x14ac:dyDescent="0.25">
      <c r="A734" s="4" t="s">
        <v>760</v>
      </c>
      <c r="B734" t="s">
        <v>20</v>
      </c>
      <c r="C734" t="s">
        <v>4</v>
      </c>
      <c r="D734" s="3">
        <f>MID(A734,1,2)*1</f>
        <v>8</v>
      </c>
      <c r="E734" s="4">
        <f>MID(A734,3,2)*1</f>
        <v>28</v>
      </c>
      <c r="F734" s="4">
        <f>MID(A734,5,2)*1</f>
        <v>11</v>
      </c>
      <c r="G734" s="3">
        <f>IF(E734&gt;=20,2000,1900) + D734</f>
        <v>2008</v>
      </c>
      <c r="H734">
        <f>IF(E734&gt;=20,E734-20,E734)</f>
        <v>8</v>
      </c>
      <c r="I734" s="4">
        <f>F734</f>
        <v>11</v>
      </c>
      <c r="J734">
        <f>CONCATENATE(G734,IF(LEN(H734)=1,CONCATENATE("0",H734),H734),IF(LEN(F734)=1,CONCATENATE("0",F734),F734))*1</f>
        <v>20080811</v>
      </c>
    </row>
    <row r="735" spans="1:10" hidden="1" x14ac:dyDescent="0.25">
      <c r="A735" s="4" t="s">
        <v>761</v>
      </c>
      <c r="B735" t="s">
        <v>17</v>
      </c>
      <c r="C735" t="s">
        <v>6</v>
      </c>
      <c r="D735" s="3">
        <f>MID(A735,1,2)*1</f>
        <v>5</v>
      </c>
      <c r="E735" s="4">
        <f>MID(A735,3,2)*1</f>
        <v>22</v>
      </c>
      <c r="F735" s="4">
        <f>MID(A735,5,2)*1</f>
        <v>12</v>
      </c>
      <c r="G735" s="3">
        <f>IF(E735&gt;=20,2000,1900) + D735</f>
        <v>2005</v>
      </c>
      <c r="H735">
        <f>IF(E735&gt;=20,E735-20,E735)</f>
        <v>2</v>
      </c>
      <c r="I735" s="4">
        <f>F735</f>
        <v>12</v>
      </c>
      <c r="J735">
        <f>CONCATENATE(G735,IF(LEN(H735)=1,CONCATENATE("0",H735),H735),IF(LEN(F735)=1,CONCATENATE("0",F735),F735))*1</f>
        <v>20050212</v>
      </c>
    </row>
    <row r="736" spans="1:10" hidden="1" x14ac:dyDescent="0.25">
      <c r="A736" s="4" t="s">
        <v>762</v>
      </c>
      <c r="B736" t="s">
        <v>11</v>
      </c>
      <c r="C736" t="s">
        <v>4</v>
      </c>
      <c r="D736" s="3">
        <f>MID(A736,1,2)*1</f>
        <v>16</v>
      </c>
      <c r="E736" s="4">
        <f>MID(A736,3,2)*1</f>
        <v>21</v>
      </c>
      <c r="F736" s="4">
        <f>MID(A736,5,2)*1</f>
        <v>24</v>
      </c>
      <c r="G736" s="3">
        <f>IF(E736&gt;=20,2000,1900) + D736</f>
        <v>2016</v>
      </c>
      <c r="H736">
        <f>IF(E736&gt;=20,E736-20,E736)</f>
        <v>1</v>
      </c>
      <c r="I736" s="4">
        <f>F736</f>
        <v>24</v>
      </c>
      <c r="J736">
        <f>CONCATENATE(G736,IF(LEN(H736)=1,CONCATENATE("0",H736),H736),IF(LEN(F736)=1,CONCATENATE("0",F736),F736))*1</f>
        <v>20160124</v>
      </c>
    </row>
    <row r="737" spans="1:10" hidden="1" x14ac:dyDescent="0.25">
      <c r="A737" s="4" t="s">
        <v>763</v>
      </c>
      <c r="B737" t="s">
        <v>20</v>
      </c>
      <c r="C737" t="s">
        <v>4</v>
      </c>
      <c r="D737" s="3">
        <f>MID(A737,1,2)*1</f>
        <v>15</v>
      </c>
      <c r="E737" s="4">
        <f>MID(A737,3,2)*1</f>
        <v>30</v>
      </c>
      <c r="F737" s="4">
        <f>MID(A737,5,2)*1</f>
        <v>6</v>
      </c>
      <c r="G737" s="3">
        <f>IF(E737&gt;=20,2000,1900) + D737</f>
        <v>2015</v>
      </c>
      <c r="H737">
        <f>IF(E737&gt;=20,E737-20,E737)</f>
        <v>10</v>
      </c>
      <c r="I737" s="4">
        <f>F737</f>
        <v>6</v>
      </c>
      <c r="J737">
        <f>CONCATENATE(G737,IF(LEN(H737)=1,CONCATENATE("0",H737),H737),IF(LEN(F737)=1,CONCATENATE("0",F737),F737))*1</f>
        <v>20151006</v>
      </c>
    </row>
    <row r="738" spans="1:10" hidden="1" x14ac:dyDescent="0.25">
      <c r="A738" s="4" t="s">
        <v>764</v>
      </c>
      <c r="B738" t="s">
        <v>5</v>
      </c>
      <c r="C738" t="s">
        <v>4</v>
      </c>
      <c r="D738" s="3">
        <f>MID(A738,1,2)*1</f>
        <v>15</v>
      </c>
      <c r="E738" s="4">
        <f>MID(A738,3,2)*1</f>
        <v>29</v>
      </c>
      <c r="F738" s="4">
        <f>MID(A738,5,2)*1</f>
        <v>18</v>
      </c>
      <c r="G738" s="3">
        <f>IF(E738&gt;=20,2000,1900) + D738</f>
        <v>2015</v>
      </c>
      <c r="H738">
        <f>IF(E738&gt;=20,E738-20,E738)</f>
        <v>9</v>
      </c>
      <c r="I738" s="4">
        <f>F738</f>
        <v>18</v>
      </c>
      <c r="J738">
        <f>CONCATENATE(G738,IF(LEN(H738)=1,CONCATENATE("0",H738),H738),IF(LEN(F738)=1,CONCATENATE("0",F738),F738))*1</f>
        <v>20150918</v>
      </c>
    </row>
    <row r="739" spans="1:10" hidden="1" x14ac:dyDescent="0.25">
      <c r="A739" s="4" t="s">
        <v>765</v>
      </c>
      <c r="B739" t="s">
        <v>19</v>
      </c>
      <c r="C739" t="s">
        <v>6</v>
      </c>
      <c r="D739" s="3">
        <f>MID(A739,1,2)*1</f>
        <v>19</v>
      </c>
      <c r="E739" s="4">
        <f>MID(A739,3,2)*1</f>
        <v>30</v>
      </c>
      <c r="F739" s="4">
        <f>MID(A739,5,2)*1</f>
        <v>15</v>
      </c>
      <c r="G739" s="3">
        <f>IF(E739&gt;=20,2000,1900) + D739</f>
        <v>2019</v>
      </c>
      <c r="H739">
        <f>IF(E739&gt;=20,E739-20,E739)</f>
        <v>10</v>
      </c>
      <c r="I739" s="4">
        <f>F739</f>
        <v>15</v>
      </c>
      <c r="J739">
        <f>CONCATENATE(G739,IF(LEN(H739)=1,CONCATENATE("0",H739),H739),IF(LEN(F739)=1,CONCATENATE("0",F739),F739))*1</f>
        <v>20191015</v>
      </c>
    </row>
    <row r="740" spans="1:10" hidden="1" x14ac:dyDescent="0.25">
      <c r="A740" s="4" t="s">
        <v>766</v>
      </c>
      <c r="B740" t="s">
        <v>12</v>
      </c>
      <c r="C740" t="s">
        <v>4</v>
      </c>
      <c r="D740" s="3">
        <f>MID(A740,1,2)*1</f>
        <v>3</v>
      </c>
      <c r="E740" s="4">
        <f>MID(A740,3,2)*1</f>
        <v>21</v>
      </c>
      <c r="F740" s="4">
        <f>MID(A740,5,2)*1</f>
        <v>14</v>
      </c>
      <c r="G740" s="3">
        <f>IF(E740&gt;=20,2000,1900) + D740</f>
        <v>2003</v>
      </c>
      <c r="H740">
        <f>IF(E740&gt;=20,E740-20,E740)</f>
        <v>1</v>
      </c>
      <c r="I740" s="4">
        <f>F740</f>
        <v>14</v>
      </c>
      <c r="J740">
        <f>CONCATENATE(G740,IF(LEN(H740)=1,CONCATENATE("0",H740),H740),IF(LEN(F740)=1,CONCATENATE("0",F740),F740))*1</f>
        <v>20030114</v>
      </c>
    </row>
    <row r="741" spans="1:10" hidden="1" x14ac:dyDescent="0.25">
      <c r="A741" s="4" t="s">
        <v>767</v>
      </c>
      <c r="B741" t="s">
        <v>11</v>
      </c>
      <c r="C741" t="s">
        <v>4</v>
      </c>
      <c r="D741" s="3">
        <f>MID(A741,1,2)*1</f>
        <v>6</v>
      </c>
      <c r="E741" s="4">
        <f>MID(A741,3,2)*1</f>
        <v>24</v>
      </c>
      <c r="F741" s="4">
        <f>MID(A741,5,2)*1</f>
        <v>21</v>
      </c>
      <c r="G741" s="3">
        <f>IF(E741&gt;=20,2000,1900) + D741</f>
        <v>2006</v>
      </c>
      <c r="H741">
        <f>IF(E741&gt;=20,E741-20,E741)</f>
        <v>4</v>
      </c>
      <c r="I741" s="4">
        <f>F741</f>
        <v>21</v>
      </c>
      <c r="J741">
        <f>CONCATENATE(G741,IF(LEN(H741)=1,CONCATENATE("0",H741),H741),IF(LEN(F741)=1,CONCATENATE("0",F741),F741))*1</f>
        <v>20060421</v>
      </c>
    </row>
    <row r="742" spans="1:10" hidden="1" x14ac:dyDescent="0.25">
      <c r="A742" s="4" t="s">
        <v>768</v>
      </c>
      <c r="B742" t="s">
        <v>17</v>
      </c>
      <c r="C742" t="s">
        <v>4</v>
      </c>
      <c r="D742" s="3">
        <f>MID(A742,1,2)*1</f>
        <v>3</v>
      </c>
      <c r="E742" s="4">
        <f>MID(A742,3,2)*1</f>
        <v>25</v>
      </c>
      <c r="F742" s="4">
        <f>MID(A742,5,2)*1</f>
        <v>28</v>
      </c>
      <c r="G742" s="3">
        <f>IF(E742&gt;=20,2000,1900) + D742</f>
        <v>2003</v>
      </c>
      <c r="H742">
        <f>IF(E742&gt;=20,E742-20,E742)</f>
        <v>5</v>
      </c>
      <c r="I742" s="4">
        <f>F742</f>
        <v>28</v>
      </c>
      <c r="J742">
        <f>CONCATENATE(G742,IF(LEN(H742)=1,CONCATENATE("0",H742),H742),IF(LEN(F742)=1,CONCATENATE("0",F742),F742))*1</f>
        <v>20030528</v>
      </c>
    </row>
    <row r="743" spans="1:10" hidden="1" x14ac:dyDescent="0.25">
      <c r="A743" s="4" t="s">
        <v>769</v>
      </c>
      <c r="B743" t="s">
        <v>12</v>
      </c>
      <c r="C743" t="s">
        <v>4</v>
      </c>
      <c r="D743" s="3">
        <f>MID(A743,1,2)*1</f>
        <v>16</v>
      </c>
      <c r="E743" s="4">
        <f>MID(A743,3,2)*1</f>
        <v>29</v>
      </c>
      <c r="F743" s="4">
        <f>MID(A743,5,2)*1</f>
        <v>29</v>
      </c>
      <c r="G743" s="3">
        <f>IF(E743&gt;=20,2000,1900) + D743</f>
        <v>2016</v>
      </c>
      <c r="H743">
        <f>IF(E743&gt;=20,E743-20,E743)</f>
        <v>9</v>
      </c>
      <c r="I743" s="4">
        <f>F743</f>
        <v>29</v>
      </c>
      <c r="J743">
        <f>CONCATENATE(G743,IF(LEN(H743)=1,CONCATENATE("0",H743),H743),IF(LEN(F743)=1,CONCATENATE("0",F743),F743))*1</f>
        <v>20160929</v>
      </c>
    </row>
    <row r="744" spans="1:10" hidden="1" x14ac:dyDescent="0.25">
      <c r="A744" s="4" t="s">
        <v>770</v>
      </c>
      <c r="B744" t="s">
        <v>16</v>
      </c>
      <c r="C744" t="s">
        <v>6</v>
      </c>
      <c r="D744" s="3">
        <f>MID(A744,1,2)*1</f>
        <v>0</v>
      </c>
      <c r="E744" s="4">
        <f>MID(A744,3,2)*1</f>
        <v>27</v>
      </c>
      <c r="F744" s="4">
        <f>MID(A744,5,2)*1</f>
        <v>27</v>
      </c>
      <c r="G744" s="3">
        <f>IF(E744&gt;=20,2000,1900) + D744</f>
        <v>2000</v>
      </c>
      <c r="H744">
        <f>IF(E744&gt;=20,E744-20,E744)</f>
        <v>7</v>
      </c>
      <c r="I744" s="4">
        <f>F744</f>
        <v>27</v>
      </c>
      <c r="J744">
        <f>CONCATENATE(G744,IF(LEN(H744)=1,CONCATENATE("0",H744),H744),IF(LEN(F744)=1,CONCATENATE("0",F744),F744))*1</f>
        <v>20000727</v>
      </c>
    </row>
    <row r="745" spans="1:10" hidden="1" x14ac:dyDescent="0.25">
      <c r="A745" s="4" t="s">
        <v>771</v>
      </c>
      <c r="B745" t="s">
        <v>12</v>
      </c>
      <c r="C745" t="s">
        <v>6</v>
      </c>
      <c r="D745" s="3">
        <f>MID(A745,1,2)*1</f>
        <v>6</v>
      </c>
      <c r="E745" s="4">
        <f>MID(A745,3,2)*1</f>
        <v>25</v>
      </c>
      <c r="F745" s="4">
        <f>MID(A745,5,2)*1</f>
        <v>21</v>
      </c>
      <c r="G745" s="3">
        <f>IF(E745&gt;=20,2000,1900) + D745</f>
        <v>2006</v>
      </c>
      <c r="H745">
        <f>IF(E745&gt;=20,E745-20,E745)</f>
        <v>5</v>
      </c>
      <c r="I745" s="4">
        <f>F745</f>
        <v>21</v>
      </c>
      <c r="J745">
        <f>CONCATENATE(G745,IF(LEN(H745)=1,CONCATENATE("0",H745),H745),IF(LEN(F745)=1,CONCATENATE("0",F745),F745))*1</f>
        <v>20060521</v>
      </c>
    </row>
    <row r="746" spans="1:10" hidden="1" x14ac:dyDescent="0.25">
      <c r="A746" s="4" t="s">
        <v>772</v>
      </c>
      <c r="B746" t="s">
        <v>12</v>
      </c>
      <c r="C746" t="s">
        <v>6</v>
      </c>
      <c r="D746" s="3">
        <f>MID(A746,1,2)*1</f>
        <v>12</v>
      </c>
      <c r="E746" s="4">
        <f>MID(A746,3,2)*1</f>
        <v>24</v>
      </c>
      <c r="F746" s="4">
        <f>MID(A746,5,2)*1</f>
        <v>17</v>
      </c>
      <c r="G746" s="3">
        <f>IF(E746&gt;=20,2000,1900) + D746</f>
        <v>2012</v>
      </c>
      <c r="H746">
        <f>IF(E746&gt;=20,E746-20,E746)</f>
        <v>4</v>
      </c>
      <c r="I746" s="4">
        <f>F746</f>
        <v>17</v>
      </c>
      <c r="J746">
        <f>CONCATENATE(G746,IF(LEN(H746)=1,CONCATENATE("0",H746),H746),IF(LEN(F746)=1,CONCATENATE("0",F746),F746))*1</f>
        <v>20120417</v>
      </c>
    </row>
    <row r="747" spans="1:10" hidden="1" x14ac:dyDescent="0.25">
      <c r="A747" s="4" t="s">
        <v>773</v>
      </c>
      <c r="B747" t="s">
        <v>19</v>
      </c>
      <c r="C747" t="s">
        <v>6</v>
      </c>
      <c r="D747" s="3">
        <f>MID(A747,1,2)*1</f>
        <v>17</v>
      </c>
      <c r="E747" s="4">
        <f>MID(A747,3,2)*1</f>
        <v>25</v>
      </c>
      <c r="F747" s="4">
        <f>MID(A747,5,2)*1</f>
        <v>1</v>
      </c>
      <c r="G747" s="3">
        <f>IF(E747&gt;=20,2000,1900) + D747</f>
        <v>2017</v>
      </c>
      <c r="H747">
        <f>IF(E747&gt;=20,E747-20,E747)</f>
        <v>5</v>
      </c>
      <c r="I747" s="4">
        <f>F747</f>
        <v>1</v>
      </c>
      <c r="J747">
        <f>CONCATENATE(G747,IF(LEN(H747)=1,CONCATENATE("0",H747),H747),IF(LEN(F747)=1,CONCATENATE("0",F747),F747))*1</f>
        <v>20170501</v>
      </c>
    </row>
    <row r="748" spans="1:10" hidden="1" x14ac:dyDescent="0.25">
      <c r="A748" s="4" t="s">
        <v>774</v>
      </c>
      <c r="B748" t="s">
        <v>5</v>
      </c>
      <c r="C748" t="s">
        <v>6</v>
      </c>
      <c r="D748" s="3">
        <f>MID(A748,1,2)*1</f>
        <v>15</v>
      </c>
      <c r="E748" s="4">
        <f>MID(A748,3,2)*1</f>
        <v>31</v>
      </c>
      <c r="F748" s="4">
        <f>MID(A748,5,2)*1</f>
        <v>26</v>
      </c>
      <c r="G748" s="3">
        <f>IF(E748&gt;=20,2000,1900) + D748</f>
        <v>2015</v>
      </c>
      <c r="H748">
        <f>IF(E748&gt;=20,E748-20,E748)</f>
        <v>11</v>
      </c>
      <c r="I748" s="4">
        <f>F748</f>
        <v>26</v>
      </c>
      <c r="J748">
        <f>CONCATENATE(G748,IF(LEN(H748)=1,CONCATENATE("0",H748),H748),IF(LEN(F748)=1,CONCATENATE("0",F748),F748))*1</f>
        <v>20151126</v>
      </c>
    </row>
    <row r="749" spans="1:10" hidden="1" x14ac:dyDescent="0.25">
      <c r="A749" s="4" t="s">
        <v>775</v>
      </c>
      <c r="B749" t="s">
        <v>14</v>
      </c>
      <c r="C749" t="s">
        <v>4</v>
      </c>
      <c r="D749" s="3">
        <f>MID(A749,1,2)*1</f>
        <v>11</v>
      </c>
      <c r="E749" s="4">
        <f>MID(A749,3,2)*1</f>
        <v>26</v>
      </c>
      <c r="F749" s="4">
        <f>MID(A749,5,2)*1</f>
        <v>13</v>
      </c>
      <c r="G749" s="3">
        <f>IF(E749&gt;=20,2000,1900) + D749</f>
        <v>2011</v>
      </c>
      <c r="H749">
        <f>IF(E749&gt;=20,E749-20,E749)</f>
        <v>6</v>
      </c>
      <c r="I749" s="4">
        <f>F749</f>
        <v>13</v>
      </c>
      <c r="J749">
        <f>CONCATENATE(G749,IF(LEN(H749)=1,CONCATENATE("0",H749),H749),IF(LEN(F749)=1,CONCATENATE("0",F749),F749))*1</f>
        <v>20110613</v>
      </c>
    </row>
    <row r="750" spans="1:10" hidden="1" x14ac:dyDescent="0.25">
      <c r="A750" s="4" t="s">
        <v>776</v>
      </c>
      <c r="B750" t="s">
        <v>13</v>
      </c>
      <c r="C750" t="s">
        <v>4</v>
      </c>
      <c r="D750" s="3">
        <f>MID(A750,1,2)*1</f>
        <v>11</v>
      </c>
      <c r="E750" s="4">
        <f>MID(A750,3,2)*1</f>
        <v>27</v>
      </c>
      <c r="F750" s="4">
        <f>MID(A750,5,2)*1</f>
        <v>8</v>
      </c>
      <c r="G750" s="3">
        <f>IF(E750&gt;=20,2000,1900) + D750</f>
        <v>2011</v>
      </c>
      <c r="H750">
        <f>IF(E750&gt;=20,E750-20,E750)</f>
        <v>7</v>
      </c>
      <c r="I750" s="4">
        <f>F750</f>
        <v>8</v>
      </c>
      <c r="J750">
        <f>CONCATENATE(G750,IF(LEN(H750)=1,CONCATENATE("0",H750),H750),IF(LEN(F750)=1,CONCATENATE("0",F750),F750))*1</f>
        <v>20110708</v>
      </c>
    </row>
    <row r="751" spans="1:10" hidden="1" x14ac:dyDescent="0.25">
      <c r="A751" s="4" t="s">
        <v>777</v>
      </c>
      <c r="B751" t="s">
        <v>15</v>
      </c>
      <c r="C751" t="s">
        <v>4</v>
      </c>
      <c r="D751" s="3">
        <f>MID(A751,1,2)*1</f>
        <v>13</v>
      </c>
      <c r="E751" s="4">
        <f>MID(A751,3,2)*1</f>
        <v>25</v>
      </c>
      <c r="F751" s="4">
        <f>MID(A751,5,2)*1</f>
        <v>10</v>
      </c>
      <c r="G751" s="3">
        <f>IF(E751&gt;=20,2000,1900) + D751</f>
        <v>2013</v>
      </c>
      <c r="H751">
        <f>IF(E751&gt;=20,E751-20,E751)</f>
        <v>5</v>
      </c>
      <c r="I751" s="4">
        <f>F751</f>
        <v>10</v>
      </c>
      <c r="J751">
        <f>CONCATENATE(G751,IF(LEN(H751)=1,CONCATENATE("0",H751),H751),IF(LEN(F751)=1,CONCATENATE("0",F751),F751))*1</f>
        <v>20130510</v>
      </c>
    </row>
    <row r="752" spans="1:10" hidden="1" x14ac:dyDescent="0.25">
      <c r="A752" s="4" t="s">
        <v>778</v>
      </c>
      <c r="B752" t="s">
        <v>20</v>
      </c>
      <c r="C752" t="s">
        <v>4</v>
      </c>
      <c r="D752" s="3">
        <f>MID(A752,1,2)*1</f>
        <v>16</v>
      </c>
      <c r="E752" s="4">
        <f>MID(A752,3,2)*1</f>
        <v>25</v>
      </c>
      <c r="F752" s="4">
        <f>MID(A752,5,2)*1</f>
        <v>14</v>
      </c>
      <c r="G752" s="3">
        <f>IF(E752&gt;=20,2000,1900) + D752</f>
        <v>2016</v>
      </c>
      <c r="H752">
        <f>IF(E752&gt;=20,E752-20,E752)</f>
        <v>5</v>
      </c>
      <c r="I752" s="4">
        <f>F752</f>
        <v>14</v>
      </c>
      <c r="J752">
        <f>CONCATENATE(G752,IF(LEN(H752)=1,CONCATENATE("0",H752),H752),IF(LEN(F752)=1,CONCATENATE("0",F752),F752))*1</f>
        <v>20160514</v>
      </c>
    </row>
    <row r="753" spans="1:10" hidden="1" x14ac:dyDescent="0.25">
      <c r="A753" s="4" t="s">
        <v>779</v>
      </c>
      <c r="B753" t="s">
        <v>12</v>
      </c>
      <c r="C753" t="s">
        <v>6</v>
      </c>
      <c r="D753" s="3">
        <f>MID(A753,1,2)*1</f>
        <v>21</v>
      </c>
      <c r="E753" s="4">
        <f>MID(A753,3,2)*1</f>
        <v>27</v>
      </c>
      <c r="F753" s="4">
        <f>MID(A753,5,2)*1</f>
        <v>2</v>
      </c>
      <c r="G753" s="3">
        <f>IF(E753&gt;=20,2000,1900) + D753</f>
        <v>2021</v>
      </c>
      <c r="H753">
        <f>IF(E753&gt;=20,E753-20,E753)</f>
        <v>7</v>
      </c>
      <c r="I753" s="4">
        <f>F753</f>
        <v>2</v>
      </c>
      <c r="J753">
        <f>CONCATENATE(G753,IF(LEN(H753)=1,CONCATENATE("0",H753),H753),IF(LEN(F753)=1,CONCATENATE("0",F753),F753))*1</f>
        <v>20210702</v>
      </c>
    </row>
    <row r="754" spans="1:10" hidden="1" x14ac:dyDescent="0.25">
      <c r="A754" s="4" t="s">
        <v>780</v>
      </c>
      <c r="B754" t="s">
        <v>16</v>
      </c>
      <c r="C754" t="s">
        <v>6</v>
      </c>
      <c r="D754" s="3">
        <f>MID(A754,1,2)*1</f>
        <v>7</v>
      </c>
      <c r="E754" s="4">
        <f>MID(A754,3,2)*1</f>
        <v>23</v>
      </c>
      <c r="F754" s="4">
        <f>MID(A754,5,2)*1</f>
        <v>31</v>
      </c>
      <c r="G754" s="3">
        <f>IF(E754&gt;=20,2000,1900) + D754</f>
        <v>2007</v>
      </c>
      <c r="H754">
        <f>IF(E754&gt;=20,E754-20,E754)</f>
        <v>3</v>
      </c>
      <c r="I754" s="4">
        <f>F754</f>
        <v>31</v>
      </c>
      <c r="J754">
        <f>CONCATENATE(G754,IF(LEN(H754)=1,CONCATENATE("0",H754),H754),IF(LEN(F754)=1,CONCATENATE("0",F754),F754))*1</f>
        <v>20070331</v>
      </c>
    </row>
    <row r="755" spans="1:10" hidden="1" x14ac:dyDescent="0.25">
      <c r="A755" s="4" t="s">
        <v>781</v>
      </c>
      <c r="B755" t="s">
        <v>14</v>
      </c>
      <c r="C755" t="s">
        <v>4</v>
      </c>
      <c r="D755" s="3">
        <f>MID(A755,1,2)*1</f>
        <v>6</v>
      </c>
      <c r="E755" s="4">
        <f>MID(A755,3,2)*1</f>
        <v>24</v>
      </c>
      <c r="F755" s="4">
        <f>MID(A755,5,2)*1</f>
        <v>6</v>
      </c>
      <c r="G755" s="3">
        <f>IF(E755&gt;=20,2000,1900) + D755</f>
        <v>2006</v>
      </c>
      <c r="H755">
        <f>IF(E755&gt;=20,E755-20,E755)</f>
        <v>4</v>
      </c>
      <c r="I755" s="4">
        <f>F755</f>
        <v>6</v>
      </c>
      <c r="J755">
        <f>CONCATENATE(G755,IF(LEN(H755)=1,CONCATENATE("0",H755),H755),IF(LEN(F755)=1,CONCATENATE("0",F755),F755))*1</f>
        <v>20060406</v>
      </c>
    </row>
    <row r="756" spans="1:10" hidden="1" x14ac:dyDescent="0.25">
      <c r="A756" s="4" t="s">
        <v>782</v>
      </c>
      <c r="B756" t="s">
        <v>8</v>
      </c>
      <c r="C756" t="s">
        <v>4</v>
      </c>
      <c r="D756" s="3">
        <f>MID(A756,1,2)*1</f>
        <v>8</v>
      </c>
      <c r="E756" s="4">
        <f>MID(A756,3,2)*1</f>
        <v>23</v>
      </c>
      <c r="F756" s="4">
        <f>MID(A756,5,2)*1</f>
        <v>7</v>
      </c>
      <c r="G756" s="3">
        <f>IF(E756&gt;=20,2000,1900) + D756</f>
        <v>2008</v>
      </c>
      <c r="H756">
        <f>IF(E756&gt;=20,E756-20,E756)</f>
        <v>3</v>
      </c>
      <c r="I756" s="4">
        <f>F756</f>
        <v>7</v>
      </c>
      <c r="J756">
        <f>CONCATENATE(G756,IF(LEN(H756)=1,CONCATENATE("0",H756),H756),IF(LEN(F756)=1,CONCATENATE("0",F756),F756))*1</f>
        <v>20080307</v>
      </c>
    </row>
    <row r="757" spans="1:10" hidden="1" x14ac:dyDescent="0.25">
      <c r="A757" s="4" t="s">
        <v>783</v>
      </c>
      <c r="B757" t="s">
        <v>19</v>
      </c>
      <c r="C757" t="s">
        <v>4</v>
      </c>
      <c r="D757" s="3">
        <f>MID(A757,1,2)*1</f>
        <v>10</v>
      </c>
      <c r="E757" s="4">
        <f>MID(A757,3,2)*1</f>
        <v>27</v>
      </c>
      <c r="F757" s="4">
        <f>MID(A757,5,2)*1</f>
        <v>26</v>
      </c>
      <c r="G757" s="3">
        <f>IF(E757&gt;=20,2000,1900) + D757</f>
        <v>2010</v>
      </c>
      <c r="H757">
        <f>IF(E757&gt;=20,E757-20,E757)</f>
        <v>7</v>
      </c>
      <c r="I757" s="4">
        <f>F757</f>
        <v>26</v>
      </c>
      <c r="J757">
        <f>CONCATENATE(G757,IF(LEN(H757)=1,CONCATENATE("0",H757),H757),IF(LEN(F757)=1,CONCATENATE("0",F757),F757))*1</f>
        <v>20100726</v>
      </c>
    </row>
    <row r="758" spans="1:10" x14ac:dyDescent="0.25">
      <c r="A758" s="4" t="s">
        <v>892</v>
      </c>
      <c r="B758" t="s">
        <v>18</v>
      </c>
      <c r="C758" t="s">
        <v>6</v>
      </c>
      <c r="D758" s="3">
        <f>MID(A758,1,2)*1</f>
        <v>7</v>
      </c>
      <c r="E758" s="4">
        <f>MID(A758,3,2)*1</f>
        <v>22</v>
      </c>
      <c r="F758" s="4">
        <f>MID(A758,5,2)*1</f>
        <v>10</v>
      </c>
      <c r="G758" s="3">
        <f>IF(E758&gt;=20,2000,1900) + D758</f>
        <v>2007</v>
      </c>
      <c r="H758">
        <f>IF(E758&gt;=20,E758-20,E758)</f>
        <v>2</v>
      </c>
      <c r="I758" s="4">
        <f>F758</f>
        <v>10</v>
      </c>
      <c r="J758">
        <f>CONCATENATE(G758,IF(LEN(H758)=1,CONCATENATE("0",H758),H758),IF(LEN(F758)=1,CONCATENATE("0",F758),F758))*1</f>
        <v>20070210</v>
      </c>
    </row>
    <row r="759" spans="1:10" hidden="1" x14ac:dyDescent="0.25">
      <c r="A759" s="4" t="s">
        <v>785</v>
      </c>
      <c r="B759" t="s">
        <v>8</v>
      </c>
      <c r="C759" t="s">
        <v>4</v>
      </c>
      <c r="D759" s="3">
        <f>MID(A759,1,2)*1</f>
        <v>2</v>
      </c>
      <c r="E759" s="4">
        <f>MID(A759,3,2)*1</f>
        <v>30</v>
      </c>
      <c r="F759" s="4">
        <f>MID(A759,5,2)*1</f>
        <v>2</v>
      </c>
      <c r="G759" s="3">
        <f>IF(E759&gt;=20,2000,1900) + D759</f>
        <v>2002</v>
      </c>
      <c r="H759">
        <f>IF(E759&gt;=20,E759-20,E759)</f>
        <v>10</v>
      </c>
      <c r="I759" s="4">
        <f>F759</f>
        <v>2</v>
      </c>
      <c r="J759">
        <f>CONCATENATE(G759,IF(LEN(H759)=1,CONCATENATE("0",H759),H759),IF(LEN(F759)=1,CONCATENATE("0",F759),F759))*1</f>
        <v>20021002</v>
      </c>
    </row>
    <row r="760" spans="1:10" hidden="1" x14ac:dyDescent="0.25">
      <c r="A760" s="4" t="s">
        <v>786</v>
      </c>
      <c r="B760" t="s">
        <v>5</v>
      </c>
      <c r="C760" t="s">
        <v>4</v>
      </c>
      <c r="D760" s="3">
        <f>MID(A760,1,2)*1</f>
        <v>2</v>
      </c>
      <c r="E760" s="4">
        <f>MID(A760,3,2)*1</f>
        <v>32</v>
      </c>
      <c r="F760" s="4">
        <f>MID(A760,5,2)*1</f>
        <v>1</v>
      </c>
      <c r="G760" s="3">
        <f>IF(E760&gt;=20,2000,1900) + D760</f>
        <v>2002</v>
      </c>
      <c r="H760">
        <f>IF(E760&gt;=20,E760-20,E760)</f>
        <v>12</v>
      </c>
      <c r="I760" s="4">
        <f>F760</f>
        <v>1</v>
      </c>
      <c r="J760">
        <f>CONCATENATE(G760,IF(LEN(H760)=1,CONCATENATE("0",H760),H760),IF(LEN(F760)=1,CONCATENATE("0",F760),F760))*1</f>
        <v>20021201</v>
      </c>
    </row>
    <row r="761" spans="1:10" hidden="1" x14ac:dyDescent="0.25">
      <c r="A761" s="4" t="s">
        <v>787</v>
      </c>
      <c r="B761" t="s">
        <v>17</v>
      </c>
      <c r="C761" t="s">
        <v>4</v>
      </c>
      <c r="D761" s="3">
        <f>MID(A761,1,2)*1</f>
        <v>10</v>
      </c>
      <c r="E761" s="4">
        <f>MID(A761,3,2)*1</f>
        <v>23</v>
      </c>
      <c r="F761" s="4">
        <f>MID(A761,5,2)*1</f>
        <v>13</v>
      </c>
      <c r="G761" s="3">
        <f>IF(E761&gt;=20,2000,1900) + D761</f>
        <v>2010</v>
      </c>
      <c r="H761">
        <f>IF(E761&gt;=20,E761-20,E761)</f>
        <v>3</v>
      </c>
      <c r="I761" s="4">
        <f>F761</f>
        <v>13</v>
      </c>
      <c r="J761">
        <f>CONCATENATE(G761,IF(LEN(H761)=1,CONCATENATE("0",H761),H761),IF(LEN(F761)=1,CONCATENATE("0",F761),F761))*1</f>
        <v>20100313</v>
      </c>
    </row>
    <row r="762" spans="1:10" hidden="1" x14ac:dyDescent="0.25">
      <c r="A762" s="4" t="s">
        <v>788</v>
      </c>
      <c r="B762" t="s">
        <v>5</v>
      </c>
      <c r="C762" t="s">
        <v>6</v>
      </c>
      <c r="D762" s="3">
        <f>MID(A762,1,2)*1</f>
        <v>1</v>
      </c>
      <c r="E762" s="4">
        <f>MID(A762,3,2)*1</f>
        <v>21</v>
      </c>
      <c r="F762" s="4">
        <f>MID(A762,5,2)*1</f>
        <v>16</v>
      </c>
      <c r="G762" s="3">
        <f>IF(E762&gt;=20,2000,1900) + D762</f>
        <v>2001</v>
      </c>
      <c r="H762">
        <f>IF(E762&gt;=20,E762-20,E762)</f>
        <v>1</v>
      </c>
      <c r="I762" s="4">
        <f>F762</f>
        <v>16</v>
      </c>
      <c r="J762">
        <f>CONCATENATE(G762,IF(LEN(H762)=1,CONCATENATE("0",H762),H762),IF(LEN(F762)=1,CONCATENATE("0",F762),F762))*1</f>
        <v>20010116</v>
      </c>
    </row>
    <row r="763" spans="1:10" hidden="1" x14ac:dyDescent="0.25">
      <c r="A763" s="4" t="s">
        <v>789</v>
      </c>
      <c r="B763" t="s">
        <v>3</v>
      </c>
      <c r="C763" t="s">
        <v>4</v>
      </c>
      <c r="D763" s="3">
        <f>MID(A763,1,2)*1</f>
        <v>19</v>
      </c>
      <c r="E763" s="4">
        <f>MID(A763,3,2)*1</f>
        <v>22</v>
      </c>
      <c r="F763" s="4">
        <f>MID(A763,5,2)*1</f>
        <v>19</v>
      </c>
      <c r="G763" s="3">
        <f>IF(E763&gt;=20,2000,1900) + D763</f>
        <v>2019</v>
      </c>
      <c r="H763">
        <f>IF(E763&gt;=20,E763-20,E763)</f>
        <v>2</v>
      </c>
      <c r="I763" s="4">
        <f>F763</f>
        <v>19</v>
      </c>
      <c r="J763">
        <f>CONCATENATE(G763,IF(LEN(H763)=1,CONCATENATE("0",H763),H763),IF(LEN(F763)=1,CONCATENATE("0",F763),F763))*1</f>
        <v>20190219</v>
      </c>
    </row>
    <row r="764" spans="1:10" hidden="1" x14ac:dyDescent="0.25">
      <c r="A764" s="4" t="s">
        <v>790</v>
      </c>
      <c r="B764" t="s">
        <v>16</v>
      </c>
      <c r="C764" t="s">
        <v>4</v>
      </c>
      <c r="D764" s="3">
        <f>MID(A764,1,2)*1</f>
        <v>21</v>
      </c>
      <c r="E764" s="4">
        <f>MID(A764,3,2)*1</f>
        <v>24</v>
      </c>
      <c r="F764" s="4">
        <f>MID(A764,5,2)*1</f>
        <v>21</v>
      </c>
      <c r="G764" s="3">
        <f>IF(E764&gt;=20,2000,1900) + D764</f>
        <v>2021</v>
      </c>
      <c r="H764">
        <f>IF(E764&gt;=20,E764-20,E764)</f>
        <v>4</v>
      </c>
      <c r="I764" s="4">
        <f>F764</f>
        <v>21</v>
      </c>
      <c r="J764">
        <f>CONCATENATE(G764,IF(LEN(H764)=1,CONCATENATE("0",H764),H764),IF(LEN(F764)=1,CONCATENATE("0",F764),F764))*1</f>
        <v>20210421</v>
      </c>
    </row>
    <row r="765" spans="1:10" hidden="1" x14ac:dyDescent="0.25">
      <c r="A765" s="4" t="s">
        <v>791</v>
      </c>
      <c r="B765" t="s">
        <v>12</v>
      </c>
      <c r="C765" t="s">
        <v>4</v>
      </c>
      <c r="D765" s="3">
        <f>MID(A765,1,2)*1</f>
        <v>21</v>
      </c>
      <c r="E765" s="4">
        <f>MID(A765,3,2)*1</f>
        <v>22</v>
      </c>
      <c r="F765" s="4">
        <f>MID(A765,5,2)*1</f>
        <v>3</v>
      </c>
      <c r="G765" s="3">
        <f>IF(E765&gt;=20,2000,1900) + D765</f>
        <v>2021</v>
      </c>
      <c r="H765">
        <f>IF(E765&gt;=20,E765-20,E765)</f>
        <v>2</v>
      </c>
      <c r="I765" s="4">
        <f>F765</f>
        <v>3</v>
      </c>
      <c r="J765">
        <f>CONCATENATE(G765,IF(LEN(H765)=1,CONCATENATE("0",H765),H765),IF(LEN(F765)=1,CONCATENATE("0",F765),F765))*1</f>
        <v>20210203</v>
      </c>
    </row>
    <row r="766" spans="1:10" hidden="1" x14ac:dyDescent="0.25">
      <c r="A766" s="4" t="s">
        <v>792</v>
      </c>
      <c r="B766" t="s">
        <v>7</v>
      </c>
      <c r="C766" t="s">
        <v>4</v>
      </c>
      <c r="D766" s="3">
        <f>MID(A766,1,2)*1</f>
        <v>2</v>
      </c>
      <c r="E766" s="4">
        <f>MID(A766,3,2)*1</f>
        <v>30</v>
      </c>
      <c r="F766" s="4">
        <f>MID(A766,5,2)*1</f>
        <v>13</v>
      </c>
      <c r="G766" s="3">
        <f>IF(E766&gt;=20,2000,1900) + D766</f>
        <v>2002</v>
      </c>
      <c r="H766">
        <f>IF(E766&gt;=20,E766-20,E766)</f>
        <v>10</v>
      </c>
      <c r="I766" s="4">
        <f>F766</f>
        <v>13</v>
      </c>
      <c r="J766">
        <f>CONCATENATE(G766,IF(LEN(H766)=1,CONCATENATE("0",H766),H766),IF(LEN(F766)=1,CONCATENATE("0",F766),F766))*1</f>
        <v>20021013</v>
      </c>
    </row>
    <row r="767" spans="1:10" hidden="1" x14ac:dyDescent="0.25">
      <c r="A767" s="4" t="s">
        <v>793</v>
      </c>
      <c r="B767" t="s">
        <v>16</v>
      </c>
      <c r="C767" t="s">
        <v>4</v>
      </c>
      <c r="D767" s="3">
        <f>MID(A767,1,2)*1</f>
        <v>0</v>
      </c>
      <c r="E767" s="4">
        <f>MID(A767,3,2)*1</f>
        <v>32</v>
      </c>
      <c r="F767" s="4">
        <f>MID(A767,5,2)*1</f>
        <v>25</v>
      </c>
      <c r="G767" s="3">
        <f>IF(E767&gt;=20,2000,1900) + D767</f>
        <v>2000</v>
      </c>
      <c r="H767">
        <f>IF(E767&gt;=20,E767-20,E767)</f>
        <v>12</v>
      </c>
      <c r="I767" s="4">
        <f>F767</f>
        <v>25</v>
      </c>
      <c r="J767">
        <f>CONCATENATE(G767,IF(LEN(H767)=1,CONCATENATE("0",H767),H767),IF(LEN(F767)=1,CONCATENATE("0",F767),F767))*1</f>
        <v>20001225</v>
      </c>
    </row>
    <row r="768" spans="1:10" hidden="1" x14ac:dyDescent="0.25">
      <c r="A768" s="4" t="s">
        <v>794</v>
      </c>
      <c r="B768" t="s">
        <v>15</v>
      </c>
      <c r="C768" t="s">
        <v>4</v>
      </c>
      <c r="D768" s="3">
        <f>MID(A768,1,2)*1</f>
        <v>13</v>
      </c>
      <c r="E768" s="4">
        <f>MID(A768,3,2)*1</f>
        <v>28</v>
      </c>
      <c r="F768" s="4">
        <f>MID(A768,5,2)*1</f>
        <v>11</v>
      </c>
      <c r="G768" s="3">
        <f>IF(E768&gt;=20,2000,1900) + D768</f>
        <v>2013</v>
      </c>
      <c r="H768">
        <f>IF(E768&gt;=20,E768-20,E768)</f>
        <v>8</v>
      </c>
      <c r="I768" s="4">
        <f>F768</f>
        <v>11</v>
      </c>
      <c r="J768">
        <f>CONCATENATE(G768,IF(LEN(H768)=1,CONCATENATE("0",H768),H768),IF(LEN(F768)=1,CONCATENATE("0",F768),F768))*1</f>
        <v>20130811</v>
      </c>
    </row>
    <row r="769" spans="1:10" hidden="1" x14ac:dyDescent="0.25">
      <c r="A769" s="4" t="s">
        <v>795</v>
      </c>
      <c r="B769" t="s">
        <v>14</v>
      </c>
      <c r="C769" t="s">
        <v>4</v>
      </c>
      <c r="D769" s="3">
        <f>MID(A769,1,2)*1</f>
        <v>8</v>
      </c>
      <c r="E769" s="4">
        <f>MID(A769,3,2)*1</f>
        <v>29</v>
      </c>
      <c r="F769" s="4">
        <f>MID(A769,5,2)*1</f>
        <v>11</v>
      </c>
      <c r="G769" s="3">
        <f>IF(E769&gt;=20,2000,1900) + D769</f>
        <v>2008</v>
      </c>
      <c r="H769">
        <f>IF(E769&gt;=20,E769-20,E769)</f>
        <v>9</v>
      </c>
      <c r="I769" s="4">
        <f>F769</f>
        <v>11</v>
      </c>
      <c r="J769">
        <f>CONCATENATE(G769,IF(LEN(H769)=1,CONCATENATE("0",H769),H769),IF(LEN(F769)=1,CONCATENATE("0",F769),F769))*1</f>
        <v>20080911</v>
      </c>
    </row>
    <row r="770" spans="1:10" hidden="1" x14ac:dyDescent="0.25">
      <c r="A770" s="4" t="s">
        <v>796</v>
      </c>
      <c r="B770" t="s">
        <v>10</v>
      </c>
      <c r="C770" t="s">
        <v>6</v>
      </c>
      <c r="D770" s="3">
        <f>MID(A770,1,2)*1</f>
        <v>9</v>
      </c>
      <c r="E770" s="4">
        <f>MID(A770,3,2)*1</f>
        <v>21</v>
      </c>
      <c r="F770" s="4">
        <f>MID(A770,5,2)*1</f>
        <v>10</v>
      </c>
      <c r="G770" s="3">
        <f>IF(E770&gt;=20,2000,1900) + D770</f>
        <v>2009</v>
      </c>
      <c r="H770">
        <f>IF(E770&gt;=20,E770-20,E770)</f>
        <v>1</v>
      </c>
      <c r="I770" s="4">
        <f>F770</f>
        <v>10</v>
      </c>
      <c r="J770">
        <f>CONCATENATE(G770,IF(LEN(H770)=1,CONCATENATE("0",H770),H770),IF(LEN(F770)=1,CONCATENATE("0",F770),F770))*1</f>
        <v>20090110</v>
      </c>
    </row>
    <row r="771" spans="1:10" hidden="1" x14ac:dyDescent="0.25">
      <c r="A771" s="4" t="s">
        <v>797</v>
      </c>
      <c r="B771" t="s">
        <v>13</v>
      </c>
      <c r="C771" t="s">
        <v>4</v>
      </c>
      <c r="D771" s="3">
        <f>MID(A771,1,2)*1</f>
        <v>4</v>
      </c>
      <c r="E771" s="4">
        <f>MID(A771,3,2)*1</f>
        <v>32</v>
      </c>
      <c r="F771" s="4">
        <f>MID(A771,5,2)*1</f>
        <v>26</v>
      </c>
      <c r="G771" s="3">
        <f>IF(E771&gt;=20,2000,1900) + D771</f>
        <v>2004</v>
      </c>
      <c r="H771">
        <f>IF(E771&gt;=20,E771-20,E771)</f>
        <v>12</v>
      </c>
      <c r="I771" s="4">
        <f>F771</f>
        <v>26</v>
      </c>
      <c r="J771">
        <f>CONCATENATE(G771,IF(LEN(H771)=1,CONCATENATE("0",H771),H771),IF(LEN(F771)=1,CONCATENATE("0",F771),F771))*1</f>
        <v>20041226</v>
      </c>
    </row>
    <row r="772" spans="1:10" hidden="1" x14ac:dyDescent="0.25">
      <c r="A772" s="4" t="s">
        <v>798</v>
      </c>
      <c r="B772" t="s">
        <v>7</v>
      </c>
      <c r="C772" t="s">
        <v>4</v>
      </c>
      <c r="D772" s="3">
        <f>MID(A772,1,2)*1</f>
        <v>21</v>
      </c>
      <c r="E772" s="4">
        <f>MID(A772,3,2)*1</f>
        <v>29</v>
      </c>
      <c r="F772" s="4">
        <f>MID(A772,5,2)*1</f>
        <v>19</v>
      </c>
      <c r="G772" s="3">
        <f>IF(E772&gt;=20,2000,1900) + D772</f>
        <v>2021</v>
      </c>
      <c r="H772">
        <f>IF(E772&gt;=20,E772-20,E772)</f>
        <v>9</v>
      </c>
      <c r="I772" s="4">
        <f>F772</f>
        <v>19</v>
      </c>
      <c r="J772">
        <f>CONCATENATE(G772,IF(LEN(H772)=1,CONCATENATE("0",H772),H772),IF(LEN(F772)=1,CONCATENATE("0",F772),F772))*1</f>
        <v>20210919</v>
      </c>
    </row>
    <row r="773" spans="1:10" hidden="1" x14ac:dyDescent="0.25">
      <c r="A773" s="4" t="s">
        <v>799</v>
      </c>
      <c r="B773" t="s">
        <v>3</v>
      </c>
      <c r="C773" t="s">
        <v>6</v>
      </c>
      <c r="D773" s="3">
        <f>MID(A773,1,2)*1</f>
        <v>12</v>
      </c>
      <c r="E773" s="4">
        <f>MID(A773,3,2)*1</f>
        <v>27</v>
      </c>
      <c r="F773" s="4">
        <f>MID(A773,5,2)*1</f>
        <v>22</v>
      </c>
      <c r="G773" s="3">
        <f>IF(E773&gt;=20,2000,1900) + D773</f>
        <v>2012</v>
      </c>
      <c r="H773">
        <f>IF(E773&gt;=20,E773-20,E773)</f>
        <v>7</v>
      </c>
      <c r="I773" s="4">
        <f>F773</f>
        <v>22</v>
      </c>
      <c r="J773">
        <f>CONCATENATE(G773,IF(LEN(H773)=1,CONCATENATE("0",H773),H773),IF(LEN(F773)=1,CONCATENATE("0",F773),F773))*1</f>
        <v>20120722</v>
      </c>
    </row>
    <row r="774" spans="1:10" hidden="1" x14ac:dyDescent="0.25">
      <c r="A774" s="4" t="s">
        <v>800</v>
      </c>
      <c r="B774" t="s">
        <v>7</v>
      </c>
      <c r="C774" t="s">
        <v>4</v>
      </c>
      <c r="D774" s="3">
        <f>MID(A774,1,2)*1</f>
        <v>10</v>
      </c>
      <c r="E774" s="4">
        <f>MID(A774,3,2)*1</f>
        <v>27</v>
      </c>
      <c r="F774" s="4">
        <f>MID(A774,5,2)*1</f>
        <v>10</v>
      </c>
      <c r="G774" s="3">
        <f>IF(E774&gt;=20,2000,1900) + D774</f>
        <v>2010</v>
      </c>
      <c r="H774">
        <f>IF(E774&gt;=20,E774-20,E774)</f>
        <v>7</v>
      </c>
      <c r="I774" s="4">
        <f>F774</f>
        <v>10</v>
      </c>
      <c r="J774">
        <f>CONCATENATE(G774,IF(LEN(H774)=1,CONCATENATE("0",H774),H774),IF(LEN(F774)=1,CONCATENATE("0",F774),F774))*1</f>
        <v>20100710</v>
      </c>
    </row>
    <row r="775" spans="1:10" hidden="1" x14ac:dyDescent="0.25">
      <c r="A775" s="4" t="s">
        <v>801</v>
      </c>
      <c r="B775" t="s">
        <v>9</v>
      </c>
      <c r="C775" t="s">
        <v>4</v>
      </c>
      <c r="D775" s="3">
        <f>MID(A775,1,2)*1</f>
        <v>13</v>
      </c>
      <c r="E775" s="4">
        <f>MID(A775,3,2)*1</f>
        <v>28</v>
      </c>
      <c r="F775" s="4">
        <f>MID(A775,5,2)*1</f>
        <v>17</v>
      </c>
      <c r="G775" s="3">
        <f>IF(E775&gt;=20,2000,1900) + D775</f>
        <v>2013</v>
      </c>
      <c r="H775">
        <f>IF(E775&gt;=20,E775-20,E775)</f>
        <v>8</v>
      </c>
      <c r="I775" s="4">
        <f>F775</f>
        <v>17</v>
      </c>
      <c r="J775">
        <f>CONCATENATE(G775,IF(LEN(H775)=1,CONCATENATE("0",H775),H775),IF(LEN(F775)=1,CONCATENATE("0",F775),F775))*1</f>
        <v>20130817</v>
      </c>
    </row>
    <row r="776" spans="1:10" hidden="1" x14ac:dyDescent="0.25">
      <c r="A776" s="4" t="s">
        <v>802</v>
      </c>
      <c r="B776" t="s">
        <v>12</v>
      </c>
      <c r="C776" t="s">
        <v>6</v>
      </c>
      <c r="D776" s="3">
        <f>MID(A776,1,2)*1</f>
        <v>8</v>
      </c>
      <c r="E776" s="4">
        <f>MID(A776,3,2)*1</f>
        <v>32</v>
      </c>
      <c r="F776" s="4">
        <f>MID(A776,5,2)*1</f>
        <v>14</v>
      </c>
      <c r="G776" s="3">
        <f>IF(E776&gt;=20,2000,1900) + D776</f>
        <v>2008</v>
      </c>
      <c r="H776">
        <f>IF(E776&gt;=20,E776-20,E776)</f>
        <v>12</v>
      </c>
      <c r="I776" s="4">
        <f>F776</f>
        <v>14</v>
      </c>
      <c r="J776">
        <f>CONCATENATE(G776,IF(LEN(H776)=1,CONCATENATE("0",H776),H776),IF(LEN(F776)=1,CONCATENATE("0",F776),F776))*1</f>
        <v>20081214</v>
      </c>
    </row>
    <row r="777" spans="1:10" hidden="1" x14ac:dyDescent="0.25">
      <c r="A777" s="4" t="s">
        <v>803</v>
      </c>
      <c r="B777" t="s">
        <v>12</v>
      </c>
      <c r="C777" t="s">
        <v>4</v>
      </c>
      <c r="D777" s="3">
        <f>MID(A777,1,2)*1</f>
        <v>3</v>
      </c>
      <c r="E777" s="4">
        <f>MID(A777,3,2)*1</f>
        <v>24</v>
      </c>
      <c r="F777" s="4">
        <f>MID(A777,5,2)*1</f>
        <v>11</v>
      </c>
      <c r="G777" s="3">
        <f>IF(E777&gt;=20,2000,1900) + D777</f>
        <v>2003</v>
      </c>
      <c r="H777">
        <f>IF(E777&gt;=20,E777-20,E777)</f>
        <v>4</v>
      </c>
      <c r="I777" s="4">
        <f>F777</f>
        <v>11</v>
      </c>
      <c r="J777">
        <f>CONCATENATE(G777,IF(LEN(H777)=1,CONCATENATE("0",H777),H777),IF(LEN(F777)=1,CONCATENATE("0",F777),F777))*1</f>
        <v>20030411</v>
      </c>
    </row>
    <row r="778" spans="1:10" hidden="1" x14ac:dyDescent="0.25">
      <c r="A778" s="4" t="s">
        <v>804</v>
      </c>
      <c r="B778" t="s">
        <v>11</v>
      </c>
      <c r="C778" t="s">
        <v>4</v>
      </c>
      <c r="D778" s="3">
        <f>MID(A778,1,2)*1</f>
        <v>6</v>
      </c>
      <c r="E778" s="4">
        <f>MID(A778,3,2)*1</f>
        <v>26</v>
      </c>
      <c r="F778" s="4">
        <f>MID(A778,5,2)*1</f>
        <v>18</v>
      </c>
      <c r="G778" s="3">
        <f>IF(E778&gt;=20,2000,1900) + D778</f>
        <v>2006</v>
      </c>
      <c r="H778">
        <f>IF(E778&gt;=20,E778-20,E778)</f>
        <v>6</v>
      </c>
      <c r="I778" s="4">
        <f>F778</f>
        <v>18</v>
      </c>
      <c r="J778">
        <f>CONCATENATE(G778,IF(LEN(H778)=1,CONCATENATE("0",H778),H778),IF(LEN(F778)=1,CONCATENATE("0",F778),F778))*1</f>
        <v>20060618</v>
      </c>
    </row>
    <row r="779" spans="1:10" hidden="1" x14ac:dyDescent="0.25">
      <c r="A779" s="4" t="s">
        <v>805</v>
      </c>
      <c r="B779" t="s">
        <v>8</v>
      </c>
      <c r="C779" t="s">
        <v>4</v>
      </c>
      <c r="D779" s="3">
        <f>MID(A779,1,2)*1</f>
        <v>1</v>
      </c>
      <c r="E779" s="4">
        <f>MID(A779,3,2)*1</f>
        <v>32</v>
      </c>
      <c r="F779" s="4">
        <f>MID(A779,5,2)*1</f>
        <v>26</v>
      </c>
      <c r="G779" s="3">
        <f>IF(E779&gt;=20,2000,1900) + D779</f>
        <v>2001</v>
      </c>
      <c r="H779">
        <f>IF(E779&gt;=20,E779-20,E779)</f>
        <v>12</v>
      </c>
      <c r="I779" s="4">
        <f>F779</f>
        <v>26</v>
      </c>
      <c r="J779">
        <f>CONCATENATE(G779,IF(LEN(H779)=1,CONCATENATE("0",H779),H779),IF(LEN(F779)=1,CONCATENATE("0",F779),F779))*1</f>
        <v>20011226</v>
      </c>
    </row>
    <row r="780" spans="1:10" hidden="1" x14ac:dyDescent="0.25">
      <c r="A780" s="4" t="s">
        <v>806</v>
      </c>
      <c r="B780" t="s">
        <v>5</v>
      </c>
      <c r="C780" t="s">
        <v>6</v>
      </c>
      <c r="D780" s="3">
        <f>MID(A780,1,2)*1</f>
        <v>2</v>
      </c>
      <c r="E780" s="4">
        <f>MID(A780,3,2)*1</f>
        <v>21</v>
      </c>
      <c r="F780" s="4">
        <f>MID(A780,5,2)*1</f>
        <v>22</v>
      </c>
      <c r="G780" s="3">
        <f>IF(E780&gt;=20,2000,1900) + D780</f>
        <v>2002</v>
      </c>
      <c r="H780">
        <f>IF(E780&gt;=20,E780-20,E780)</f>
        <v>1</v>
      </c>
      <c r="I780" s="4">
        <f>F780</f>
        <v>22</v>
      </c>
      <c r="J780">
        <f>CONCATENATE(G780,IF(LEN(H780)=1,CONCATENATE("0",H780),H780),IF(LEN(F780)=1,CONCATENATE("0",F780),F780))*1</f>
        <v>20020122</v>
      </c>
    </row>
    <row r="781" spans="1:10" hidden="1" x14ac:dyDescent="0.25">
      <c r="A781" s="4" t="s">
        <v>807</v>
      </c>
      <c r="B781" t="s">
        <v>10</v>
      </c>
      <c r="C781" t="s">
        <v>4</v>
      </c>
      <c r="D781" s="3">
        <f>MID(A781,1,2)*1</f>
        <v>16</v>
      </c>
      <c r="E781" s="4">
        <f>MID(A781,3,2)*1</f>
        <v>24</v>
      </c>
      <c r="F781" s="4">
        <f>MID(A781,5,2)*1</f>
        <v>5</v>
      </c>
      <c r="G781" s="3">
        <f>IF(E781&gt;=20,2000,1900) + D781</f>
        <v>2016</v>
      </c>
      <c r="H781">
        <f>IF(E781&gt;=20,E781-20,E781)</f>
        <v>4</v>
      </c>
      <c r="I781" s="4">
        <f>F781</f>
        <v>5</v>
      </c>
      <c r="J781">
        <f>CONCATENATE(G781,IF(LEN(H781)=1,CONCATENATE("0",H781),H781),IF(LEN(F781)=1,CONCATENATE("0",F781),F781))*1</f>
        <v>20160405</v>
      </c>
    </row>
    <row r="782" spans="1:10" hidden="1" x14ac:dyDescent="0.25">
      <c r="A782" s="4" t="s">
        <v>808</v>
      </c>
      <c r="B782" t="s">
        <v>16</v>
      </c>
      <c r="C782" t="s">
        <v>6</v>
      </c>
      <c r="D782" s="3">
        <f>MID(A782,1,2)*1</f>
        <v>3</v>
      </c>
      <c r="E782" s="4">
        <f>MID(A782,3,2)*1</f>
        <v>26</v>
      </c>
      <c r="F782" s="4">
        <f>MID(A782,5,2)*1</f>
        <v>3</v>
      </c>
      <c r="G782" s="3">
        <f>IF(E782&gt;=20,2000,1900) + D782</f>
        <v>2003</v>
      </c>
      <c r="H782">
        <f>IF(E782&gt;=20,E782-20,E782)</f>
        <v>6</v>
      </c>
      <c r="I782" s="4">
        <f>F782</f>
        <v>3</v>
      </c>
      <c r="J782">
        <f>CONCATENATE(G782,IF(LEN(H782)=1,CONCATENATE("0",H782),H782),IF(LEN(F782)=1,CONCATENATE("0",F782),F782))*1</f>
        <v>20030603</v>
      </c>
    </row>
    <row r="783" spans="1:10" hidden="1" x14ac:dyDescent="0.25">
      <c r="A783" s="4" t="s">
        <v>809</v>
      </c>
      <c r="B783" t="s">
        <v>5</v>
      </c>
      <c r="C783" t="s">
        <v>4</v>
      </c>
      <c r="D783" s="3">
        <f>MID(A783,1,2)*1</f>
        <v>1</v>
      </c>
      <c r="E783" s="4">
        <f>MID(A783,3,2)*1</f>
        <v>22</v>
      </c>
      <c r="F783" s="4">
        <f>MID(A783,5,2)*1</f>
        <v>2</v>
      </c>
      <c r="G783" s="3">
        <f>IF(E783&gt;=20,2000,1900) + D783</f>
        <v>2001</v>
      </c>
      <c r="H783">
        <f>IF(E783&gt;=20,E783-20,E783)</f>
        <v>2</v>
      </c>
      <c r="I783" s="4">
        <f>F783</f>
        <v>2</v>
      </c>
      <c r="J783">
        <f>CONCATENATE(G783,IF(LEN(H783)=1,CONCATENATE("0",H783),H783),IF(LEN(F783)=1,CONCATENATE("0",F783),F783))*1</f>
        <v>20010202</v>
      </c>
    </row>
    <row r="784" spans="1:10" hidden="1" x14ac:dyDescent="0.25">
      <c r="A784" s="4" t="s">
        <v>810</v>
      </c>
      <c r="B784" t="s">
        <v>8</v>
      </c>
      <c r="C784" t="s">
        <v>6</v>
      </c>
      <c r="D784" s="3">
        <f>MID(A784,1,2)*1</f>
        <v>6</v>
      </c>
      <c r="E784" s="4">
        <f>MID(A784,3,2)*1</f>
        <v>21</v>
      </c>
      <c r="F784" s="4">
        <f>MID(A784,5,2)*1</f>
        <v>8</v>
      </c>
      <c r="G784" s="3">
        <f>IF(E784&gt;=20,2000,1900) + D784</f>
        <v>2006</v>
      </c>
      <c r="H784">
        <f>IF(E784&gt;=20,E784-20,E784)</f>
        <v>1</v>
      </c>
      <c r="I784" s="4">
        <f>F784</f>
        <v>8</v>
      </c>
      <c r="J784">
        <f>CONCATENATE(G784,IF(LEN(H784)=1,CONCATENATE("0",H784),H784),IF(LEN(F784)=1,CONCATENATE("0",F784),F784))*1</f>
        <v>20060108</v>
      </c>
    </row>
    <row r="785" spans="1:10" hidden="1" x14ac:dyDescent="0.25">
      <c r="A785" s="4" t="s">
        <v>811</v>
      </c>
      <c r="B785" t="s">
        <v>10</v>
      </c>
      <c r="C785" t="s">
        <v>6</v>
      </c>
      <c r="D785" s="3">
        <f>MID(A785,1,2)*1</f>
        <v>11</v>
      </c>
      <c r="E785" s="4">
        <f>MID(A785,3,2)*1</f>
        <v>32</v>
      </c>
      <c r="F785" s="4">
        <f>MID(A785,5,2)*1</f>
        <v>17</v>
      </c>
      <c r="G785" s="3">
        <f>IF(E785&gt;=20,2000,1900) + D785</f>
        <v>2011</v>
      </c>
      <c r="H785">
        <f>IF(E785&gt;=20,E785-20,E785)</f>
        <v>12</v>
      </c>
      <c r="I785" s="4">
        <f>F785</f>
        <v>17</v>
      </c>
      <c r="J785">
        <f>CONCATENATE(G785,IF(LEN(H785)=1,CONCATENATE("0",H785),H785),IF(LEN(F785)=1,CONCATENATE("0",F785),F785))*1</f>
        <v>20111217</v>
      </c>
    </row>
    <row r="786" spans="1:10" hidden="1" x14ac:dyDescent="0.25">
      <c r="A786" s="4" t="s">
        <v>812</v>
      </c>
      <c r="B786" t="s">
        <v>5</v>
      </c>
      <c r="C786" t="s">
        <v>4</v>
      </c>
      <c r="D786" s="3">
        <f>MID(A786,1,2)*1</f>
        <v>8</v>
      </c>
      <c r="E786" s="4">
        <f>MID(A786,3,2)*1</f>
        <v>29</v>
      </c>
      <c r="F786" s="4">
        <f>MID(A786,5,2)*1</f>
        <v>15</v>
      </c>
      <c r="G786" s="3">
        <f>IF(E786&gt;=20,2000,1900) + D786</f>
        <v>2008</v>
      </c>
      <c r="H786">
        <f>IF(E786&gt;=20,E786-20,E786)</f>
        <v>9</v>
      </c>
      <c r="I786" s="4">
        <f>F786</f>
        <v>15</v>
      </c>
      <c r="J786">
        <f>CONCATENATE(G786,IF(LEN(H786)=1,CONCATENATE("0",H786),H786),IF(LEN(F786)=1,CONCATENATE("0",F786),F786))*1</f>
        <v>20080915</v>
      </c>
    </row>
    <row r="787" spans="1:10" hidden="1" x14ac:dyDescent="0.25">
      <c r="A787" s="4" t="s">
        <v>813</v>
      </c>
      <c r="B787" t="s">
        <v>15</v>
      </c>
      <c r="C787" t="s">
        <v>4</v>
      </c>
      <c r="D787" s="3">
        <f>MID(A787,1,2)*1</f>
        <v>17</v>
      </c>
      <c r="E787" s="4">
        <f>MID(A787,3,2)*1</f>
        <v>31</v>
      </c>
      <c r="F787" s="4">
        <f>MID(A787,5,2)*1</f>
        <v>11</v>
      </c>
      <c r="G787" s="3">
        <f>IF(E787&gt;=20,2000,1900) + D787</f>
        <v>2017</v>
      </c>
      <c r="H787">
        <f>IF(E787&gt;=20,E787-20,E787)</f>
        <v>11</v>
      </c>
      <c r="I787" s="4">
        <f>F787</f>
        <v>11</v>
      </c>
      <c r="J787">
        <f>CONCATENATE(G787,IF(LEN(H787)=1,CONCATENATE("0",H787),H787),IF(LEN(F787)=1,CONCATENATE("0",F787),F787))*1</f>
        <v>20171111</v>
      </c>
    </row>
    <row r="788" spans="1:10" hidden="1" x14ac:dyDescent="0.25">
      <c r="A788" s="4" t="s">
        <v>814</v>
      </c>
      <c r="B788" t="s">
        <v>13</v>
      </c>
      <c r="C788" t="s">
        <v>6</v>
      </c>
      <c r="D788" s="3">
        <f>MID(A788,1,2)*1</f>
        <v>4</v>
      </c>
      <c r="E788" s="4">
        <f>MID(A788,3,2)*1</f>
        <v>22</v>
      </c>
      <c r="F788" s="4">
        <f>MID(A788,5,2)*1</f>
        <v>1</v>
      </c>
      <c r="G788" s="3">
        <f>IF(E788&gt;=20,2000,1900) + D788</f>
        <v>2004</v>
      </c>
      <c r="H788">
        <f>IF(E788&gt;=20,E788-20,E788)</f>
        <v>2</v>
      </c>
      <c r="I788" s="4">
        <f>F788</f>
        <v>1</v>
      </c>
      <c r="J788">
        <f>CONCATENATE(G788,IF(LEN(H788)=1,CONCATENATE("0",H788),H788),IF(LEN(F788)=1,CONCATENATE("0",F788),F788))*1</f>
        <v>20040201</v>
      </c>
    </row>
    <row r="789" spans="1:10" hidden="1" x14ac:dyDescent="0.25">
      <c r="A789" s="4" t="s">
        <v>815</v>
      </c>
      <c r="B789" t="s">
        <v>8</v>
      </c>
      <c r="C789" t="s">
        <v>4</v>
      </c>
      <c r="D789" s="3">
        <f>MID(A789,1,2)*1</f>
        <v>22</v>
      </c>
      <c r="E789" s="4">
        <f>MID(A789,3,2)*1</f>
        <v>24</v>
      </c>
      <c r="F789" s="4">
        <f>MID(A789,5,2)*1</f>
        <v>10</v>
      </c>
      <c r="G789" s="3">
        <f>IF(E789&gt;=20,2000,1900) + D789</f>
        <v>2022</v>
      </c>
      <c r="H789">
        <f>IF(E789&gt;=20,E789-20,E789)</f>
        <v>4</v>
      </c>
      <c r="I789" s="4">
        <f>F789</f>
        <v>10</v>
      </c>
      <c r="J789">
        <f>CONCATENATE(G789,IF(LEN(H789)=1,CONCATENATE("0",H789),H789),IF(LEN(F789)=1,CONCATENATE("0",F789),F789))*1</f>
        <v>20220410</v>
      </c>
    </row>
    <row r="790" spans="1:10" hidden="1" x14ac:dyDescent="0.25">
      <c r="A790" s="4" t="s">
        <v>816</v>
      </c>
      <c r="B790" t="s">
        <v>9</v>
      </c>
      <c r="C790" t="s">
        <v>4</v>
      </c>
      <c r="D790" s="3">
        <f>MID(A790,1,2)*1</f>
        <v>13</v>
      </c>
      <c r="E790" s="4">
        <f>MID(A790,3,2)*1</f>
        <v>29</v>
      </c>
      <c r="F790" s="4">
        <f>MID(A790,5,2)*1</f>
        <v>18</v>
      </c>
      <c r="G790" s="3">
        <f>IF(E790&gt;=20,2000,1900) + D790</f>
        <v>2013</v>
      </c>
      <c r="H790">
        <f>IF(E790&gt;=20,E790-20,E790)</f>
        <v>9</v>
      </c>
      <c r="I790" s="4">
        <f>F790</f>
        <v>18</v>
      </c>
      <c r="J790">
        <f>CONCATENATE(G790,IF(LEN(H790)=1,CONCATENATE("0",H790),H790),IF(LEN(F790)=1,CONCATENATE("0",F790),F790))*1</f>
        <v>20130918</v>
      </c>
    </row>
    <row r="791" spans="1:10" hidden="1" x14ac:dyDescent="0.25">
      <c r="A791" s="4" t="s">
        <v>817</v>
      </c>
      <c r="B791" t="s">
        <v>8</v>
      </c>
      <c r="C791" t="s">
        <v>6</v>
      </c>
      <c r="D791" s="3">
        <f>MID(A791,1,2)*1</f>
        <v>14</v>
      </c>
      <c r="E791" s="4">
        <f>MID(A791,3,2)*1</f>
        <v>29</v>
      </c>
      <c r="F791" s="4">
        <f>MID(A791,5,2)*1</f>
        <v>27</v>
      </c>
      <c r="G791" s="3">
        <f>IF(E791&gt;=20,2000,1900) + D791</f>
        <v>2014</v>
      </c>
      <c r="H791">
        <f>IF(E791&gt;=20,E791-20,E791)</f>
        <v>9</v>
      </c>
      <c r="I791" s="4">
        <f>F791</f>
        <v>27</v>
      </c>
      <c r="J791">
        <f>CONCATENATE(G791,IF(LEN(H791)=1,CONCATENATE("0",H791),H791),IF(LEN(F791)=1,CONCATENATE("0",F791),F791))*1</f>
        <v>20140927</v>
      </c>
    </row>
    <row r="792" spans="1:10" hidden="1" x14ac:dyDescent="0.25">
      <c r="A792" s="4" t="s">
        <v>818</v>
      </c>
      <c r="B792" t="s">
        <v>9</v>
      </c>
      <c r="C792" t="s">
        <v>4</v>
      </c>
      <c r="D792" s="3">
        <f>MID(A792,1,2)*1</f>
        <v>20</v>
      </c>
      <c r="E792" s="4">
        <f>MID(A792,3,2)*1</f>
        <v>25</v>
      </c>
      <c r="F792" s="4">
        <f>MID(A792,5,2)*1</f>
        <v>24</v>
      </c>
      <c r="G792" s="3">
        <f>IF(E792&gt;=20,2000,1900) + D792</f>
        <v>2020</v>
      </c>
      <c r="H792">
        <f>IF(E792&gt;=20,E792-20,E792)</f>
        <v>5</v>
      </c>
      <c r="I792" s="4">
        <f>F792</f>
        <v>24</v>
      </c>
      <c r="J792">
        <f>CONCATENATE(G792,IF(LEN(H792)=1,CONCATENATE("0",H792),H792),IF(LEN(F792)=1,CONCATENATE("0",F792),F792))*1</f>
        <v>20200524</v>
      </c>
    </row>
    <row r="793" spans="1:10" x14ac:dyDescent="0.25">
      <c r="A793" s="4" t="s">
        <v>745</v>
      </c>
      <c r="B793" t="s">
        <v>18</v>
      </c>
      <c r="C793" t="s">
        <v>4</v>
      </c>
      <c r="D793" s="3">
        <f>MID(A793,1,2)*1</f>
        <v>8</v>
      </c>
      <c r="E793" s="4">
        <f>MID(A793,3,2)*1</f>
        <v>25</v>
      </c>
      <c r="F793" s="4">
        <f>MID(A793,5,2)*1</f>
        <v>6</v>
      </c>
      <c r="G793" s="3">
        <f>IF(E793&gt;=20,2000,1900) + D793</f>
        <v>2008</v>
      </c>
      <c r="H793">
        <f>IF(E793&gt;=20,E793-20,E793)</f>
        <v>5</v>
      </c>
      <c r="I793" s="4">
        <f>F793</f>
        <v>6</v>
      </c>
      <c r="J793">
        <f>CONCATENATE(G793,IF(LEN(H793)=1,CONCATENATE("0",H793),H793),IF(LEN(F793)=1,CONCATENATE("0",F793),F793))*1</f>
        <v>20080506</v>
      </c>
    </row>
    <row r="794" spans="1:10" hidden="1" x14ac:dyDescent="0.25">
      <c r="A794" s="4" t="s">
        <v>820</v>
      </c>
      <c r="B794" t="s">
        <v>9</v>
      </c>
      <c r="C794" t="s">
        <v>6</v>
      </c>
      <c r="D794" s="3">
        <f>MID(A794,1,2)*1</f>
        <v>5</v>
      </c>
      <c r="E794" s="4">
        <f>MID(A794,3,2)*1</f>
        <v>29</v>
      </c>
      <c r="F794" s="4">
        <f>MID(A794,5,2)*1</f>
        <v>3</v>
      </c>
      <c r="G794" s="3">
        <f>IF(E794&gt;=20,2000,1900) + D794</f>
        <v>2005</v>
      </c>
      <c r="H794">
        <f>IF(E794&gt;=20,E794-20,E794)</f>
        <v>9</v>
      </c>
      <c r="I794" s="4">
        <f>F794</f>
        <v>3</v>
      </c>
      <c r="J794">
        <f>CONCATENATE(G794,IF(LEN(H794)=1,CONCATENATE("0",H794),H794),IF(LEN(F794)=1,CONCATENATE("0",F794),F794))*1</f>
        <v>20050903</v>
      </c>
    </row>
    <row r="795" spans="1:10" hidden="1" x14ac:dyDescent="0.25">
      <c r="A795" s="4" t="s">
        <v>821</v>
      </c>
      <c r="B795" t="s">
        <v>9</v>
      </c>
      <c r="C795" t="s">
        <v>6</v>
      </c>
      <c r="D795" s="3">
        <f>MID(A795,1,2)*1</f>
        <v>8</v>
      </c>
      <c r="E795" s="4">
        <f>MID(A795,3,2)*1</f>
        <v>25</v>
      </c>
      <c r="F795" s="4">
        <f>MID(A795,5,2)*1</f>
        <v>15</v>
      </c>
      <c r="G795" s="3">
        <f>IF(E795&gt;=20,2000,1900) + D795</f>
        <v>2008</v>
      </c>
      <c r="H795">
        <f>IF(E795&gt;=20,E795-20,E795)</f>
        <v>5</v>
      </c>
      <c r="I795" s="4">
        <f>F795</f>
        <v>15</v>
      </c>
      <c r="J795">
        <f>CONCATENATE(G795,IF(LEN(H795)=1,CONCATENATE("0",H795),H795),IF(LEN(F795)=1,CONCATENATE("0",F795),F795))*1</f>
        <v>20080515</v>
      </c>
    </row>
    <row r="796" spans="1:10" hidden="1" x14ac:dyDescent="0.25">
      <c r="A796" s="4" t="s">
        <v>822</v>
      </c>
      <c r="B796" t="s">
        <v>5</v>
      </c>
      <c r="C796" t="s">
        <v>4</v>
      </c>
      <c r="D796" s="3">
        <f>MID(A796,1,2)*1</f>
        <v>1</v>
      </c>
      <c r="E796" s="4">
        <f>MID(A796,3,2)*1</f>
        <v>24</v>
      </c>
      <c r="F796" s="4">
        <f>MID(A796,5,2)*1</f>
        <v>23</v>
      </c>
      <c r="G796" s="3">
        <f>IF(E796&gt;=20,2000,1900) + D796</f>
        <v>2001</v>
      </c>
      <c r="H796">
        <f>IF(E796&gt;=20,E796-20,E796)</f>
        <v>4</v>
      </c>
      <c r="I796" s="4">
        <f>F796</f>
        <v>23</v>
      </c>
      <c r="J796">
        <f>CONCATENATE(G796,IF(LEN(H796)=1,CONCATENATE("0",H796),H796),IF(LEN(F796)=1,CONCATENATE("0",F796),F796))*1</f>
        <v>20010423</v>
      </c>
    </row>
    <row r="797" spans="1:10" hidden="1" x14ac:dyDescent="0.25">
      <c r="A797" s="4" t="s">
        <v>823</v>
      </c>
      <c r="B797" t="s">
        <v>5</v>
      </c>
      <c r="C797" t="s">
        <v>6</v>
      </c>
      <c r="D797" s="3">
        <f>MID(A797,1,2)*1</f>
        <v>19</v>
      </c>
      <c r="E797" s="4">
        <f>MID(A797,3,2)*1</f>
        <v>22</v>
      </c>
      <c r="F797" s="4">
        <f>MID(A797,5,2)*1</f>
        <v>19</v>
      </c>
      <c r="G797" s="3">
        <f>IF(E797&gt;=20,2000,1900) + D797</f>
        <v>2019</v>
      </c>
      <c r="H797">
        <f>IF(E797&gt;=20,E797-20,E797)</f>
        <v>2</v>
      </c>
      <c r="I797" s="4">
        <f>F797</f>
        <v>19</v>
      </c>
      <c r="J797">
        <f>CONCATENATE(G797,IF(LEN(H797)=1,CONCATENATE("0",H797),H797),IF(LEN(F797)=1,CONCATENATE("0",F797),F797))*1</f>
        <v>20190219</v>
      </c>
    </row>
    <row r="798" spans="1:10" hidden="1" x14ac:dyDescent="0.25">
      <c r="A798" s="4" t="s">
        <v>824</v>
      </c>
      <c r="B798" t="s">
        <v>17</v>
      </c>
      <c r="C798" t="s">
        <v>4</v>
      </c>
      <c r="D798" s="3">
        <f>MID(A798,1,2)*1</f>
        <v>2</v>
      </c>
      <c r="E798" s="4">
        <f>MID(A798,3,2)*1</f>
        <v>24</v>
      </c>
      <c r="F798" s="4">
        <f>MID(A798,5,2)*1</f>
        <v>22</v>
      </c>
      <c r="G798" s="3">
        <f>IF(E798&gt;=20,2000,1900) + D798</f>
        <v>2002</v>
      </c>
      <c r="H798">
        <f>IF(E798&gt;=20,E798-20,E798)</f>
        <v>4</v>
      </c>
      <c r="I798" s="4">
        <f>F798</f>
        <v>22</v>
      </c>
      <c r="J798">
        <f>CONCATENATE(G798,IF(LEN(H798)=1,CONCATENATE("0",H798),H798),IF(LEN(F798)=1,CONCATENATE("0",F798),F798))*1</f>
        <v>20020422</v>
      </c>
    </row>
    <row r="799" spans="1:10" hidden="1" x14ac:dyDescent="0.25">
      <c r="A799" s="4" t="s">
        <v>825</v>
      </c>
      <c r="B799" t="s">
        <v>3</v>
      </c>
      <c r="C799" t="s">
        <v>4</v>
      </c>
      <c r="D799" s="3">
        <f>MID(A799,1,2)*1</f>
        <v>15</v>
      </c>
      <c r="E799" s="4">
        <f>MID(A799,3,2)*1</f>
        <v>22</v>
      </c>
      <c r="F799" s="4">
        <f>MID(A799,5,2)*1</f>
        <v>3</v>
      </c>
      <c r="G799" s="3">
        <f>IF(E799&gt;=20,2000,1900) + D799</f>
        <v>2015</v>
      </c>
      <c r="H799">
        <f>IF(E799&gt;=20,E799-20,E799)</f>
        <v>2</v>
      </c>
      <c r="I799" s="4">
        <f>F799</f>
        <v>3</v>
      </c>
      <c r="J799">
        <f>CONCATENATE(G799,IF(LEN(H799)=1,CONCATENATE("0",H799),H799),IF(LEN(F799)=1,CONCATENATE("0",F799),F799))*1</f>
        <v>20150203</v>
      </c>
    </row>
    <row r="800" spans="1:10" hidden="1" x14ac:dyDescent="0.25">
      <c r="A800" s="4" t="s">
        <v>826</v>
      </c>
      <c r="B800" t="s">
        <v>11</v>
      </c>
      <c r="C800" t="s">
        <v>4</v>
      </c>
      <c r="D800" s="3">
        <f>MID(A800,1,2)*1</f>
        <v>5</v>
      </c>
      <c r="E800" s="4">
        <f>MID(A800,3,2)*1</f>
        <v>27</v>
      </c>
      <c r="F800" s="4">
        <f>MID(A800,5,2)*1</f>
        <v>1</v>
      </c>
      <c r="G800" s="3">
        <f>IF(E800&gt;=20,2000,1900) + D800</f>
        <v>2005</v>
      </c>
      <c r="H800">
        <f>IF(E800&gt;=20,E800-20,E800)</f>
        <v>7</v>
      </c>
      <c r="I800" s="4">
        <f>F800</f>
        <v>1</v>
      </c>
      <c r="J800">
        <f>CONCATENATE(G800,IF(LEN(H800)=1,CONCATENATE("0",H800),H800),IF(LEN(F800)=1,CONCATENATE("0",F800),F800))*1</f>
        <v>20050701</v>
      </c>
    </row>
    <row r="801" spans="1:10" hidden="1" x14ac:dyDescent="0.25">
      <c r="A801" s="4" t="s">
        <v>827</v>
      </c>
      <c r="B801" t="s">
        <v>13</v>
      </c>
      <c r="C801" t="s">
        <v>6</v>
      </c>
      <c r="D801" s="3">
        <f>MID(A801,1,2)*1</f>
        <v>7</v>
      </c>
      <c r="E801" s="4">
        <f>MID(A801,3,2)*1</f>
        <v>21</v>
      </c>
      <c r="F801" s="4">
        <f>MID(A801,5,2)*1</f>
        <v>24</v>
      </c>
      <c r="G801" s="3">
        <f>IF(E801&gt;=20,2000,1900) + D801</f>
        <v>2007</v>
      </c>
      <c r="H801">
        <f>IF(E801&gt;=20,E801-20,E801)</f>
        <v>1</v>
      </c>
      <c r="I801" s="4">
        <f>F801</f>
        <v>24</v>
      </c>
      <c r="J801">
        <f>CONCATENATE(G801,IF(LEN(H801)=1,CONCATENATE("0",H801),H801),IF(LEN(F801)=1,CONCATENATE("0",F801),F801))*1</f>
        <v>20070124</v>
      </c>
    </row>
    <row r="802" spans="1:10" hidden="1" x14ac:dyDescent="0.25">
      <c r="A802" s="4" t="s">
        <v>828</v>
      </c>
      <c r="B802" t="s">
        <v>8</v>
      </c>
      <c r="C802" t="s">
        <v>4</v>
      </c>
      <c r="D802" s="3">
        <f>MID(A802,1,2)*1</f>
        <v>6</v>
      </c>
      <c r="E802" s="4">
        <f>MID(A802,3,2)*1</f>
        <v>21</v>
      </c>
      <c r="F802" s="4">
        <f>MID(A802,5,2)*1</f>
        <v>7</v>
      </c>
      <c r="G802" s="3">
        <f>IF(E802&gt;=20,2000,1900) + D802</f>
        <v>2006</v>
      </c>
      <c r="H802">
        <f>IF(E802&gt;=20,E802-20,E802)</f>
        <v>1</v>
      </c>
      <c r="I802" s="4">
        <f>F802</f>
        <v>7</v>
      </c>
      <c r="J802">
        <f>CONCATENATE(G802,IF(LEN(H802)=1,CONCATENATE("0",H802),H802),IF(LEN(F802)=1,CONCATENATE("0",F802),F802))*1</f>
        <v>20060107</v>
      </c>
    </row>
    <row r="803" spans="1:10" hidden="1" x14ac:dyDescent="0.25">
      <c r="A803" s="4" t="s">
        <v>829</v>
      </c>
      <c r="B803" t="s">
        <v>15</v>
      </c>
      <c r="C803" t="s">
        <v>6</v>
      </c>
      <c r="D803" s="3">
        <f>MID(A803,1,2)*1</f>
        <v>11</v>
      </c>
      <c r="E803" s="4">
        <f>MID(A803,3,2)*1</f>
        <v>23</v>
      </c>
      <c r="F803" s="4">
        <f>MID(A803,5,2)*1</f>
        <v>5</v>
      </c>
      <c r="G803" s="3">
        <f>IF(E803&gt;=20,2000,1900) + D803</f>
        <v>2011</v>
      </c>
      <c r="H803">
        <f>IF(E803&gt;=20,E803-20,E803)</f>
        <v>3</v>
      </c>
      <c r="I803" s="4">
        <f>F803</f>
        <v>5</v>
      </c>
      <c r="J803">
        <f>CONCATENATE(G803,IF(LEN(H803)=1,CONCATENATE("0",H803),H803),IF(LEN(F803)=1,CONCATENATE("0",F803),F803))*1</f>
        <v>20110305</v>
      </c>
    </row>
    <row r="804" spans="1:10" hidden="1" x14ac:dyDescent="0.25">
      <c r="A804" s="4" t="s">
        <v>830</v>
      </c>
      <c r="B804" t="s">
        <v>8</v>
      </c>
      <c r="C804" t="s">
        <v>6</v>
      </c>
      <c r="D804" s="3">
        <f>MID(A804,1,2)*1</f>
        <v>9</v>
      </c>
      <c r="E804" s="4">
        <f>MID(A804,3,2)*1</f>
        <v>30</v>
      </c>
      <c r="F804" s="4">
        <f>MID(A804,5,2)*1</f>
        <v>1</v>
      </c>
      <c r="G804" s="3">
        <f>IF(E804&gt;=20,2000,1900) + D804</f>
        <v>2009</v>
      </c>
      <c r="H804">
        <f>IF(E804&gt;=20,E804-20,E804)</f>
        <v>10</v>
      </c>
      <c r="I804" s="4">
        <f>F804</f>
        <v>1</v>
      </c>
      <c r="J804">
        <f>CONCATENATE(G804,IF(LEN(H804)=1,CONCATENATE("0",H804),H804),IF(LEN(F804)=1,CONCATENATE("0",F804),F804))*1</f>
        <v>20091001</v>
      </c>
    </row>
    <row r="805" spans="1:10" hidden="1" x14ac:dyDescent="0.25">
      <c r="A805" s="4" t="s">
        <v>831</v>
      </c>
      <c r="B805" t="s">
        <v>3</v>
      </c>
      <c r="C805" t="s">
        <v>4</v>
      </c>
      <c r="D805" s="3">
        <f>MID(A805,1,2)*1</f>
        <v>11</v>
      </c>
      <c r="E805" s="4">
        <f>MID(A805,3,2)*1</f>
        <v>21</v>
      </c>
      <c r="F805" s="4">
        <f>MID(A805,5,2)*1</f>
        <v>30</v>
      </c>
      <c r="G805" s="3">
        <f>IF(E805&gt;=20,2000,1900) + D805</f>
        <v>2011</v>
      </c>
      <c r="H805">
        <f>IF(E805&gt;=20,E805-20,E805)</f>
        <v>1</v>
      </c>
      <c r="I805" s="4">
        <f>F805</f>
        <v>30</v>
      </c>
      <c r="J805">
        <f>CONCATENATE(G805,IF(LEN(H805)=1,CONCATENATE("0",H805),H805),IF(LEN(F805)=1,CONCATENATE("0",F805),F805))*1</f>
        <v>20110130</v>
      </c>
    </row>
    <row r="806" spans="1:10" hidden="1" x14ac:dyDescent="0.25">
      <c r="A806" s="4" t="s">
        <v>832</v>
      </c>
      <c r="B806" t="s">
        <v>14</v>
      </c>
      <c r="C806" t="s">
        <v>6</v>
      </c>
      <c r="D806" s="3">
        <f>MID(A806,1,2)*1</f>
        <v>11</v>
      </c>
      <c r="E806" s="4">
        <f>MID(A806,3,2)*1</f>
        <v>32</v>
      </c>
      <c r="F806" s="4">
        <f>MID(A806,5,2)*1</f>
        <v>4</v>
      </c>
      <c r="G806" s="3">
        <f>IF(E806&gt;=20,2000,1900) + D806</f>
        <v>2011</v>
      </c>
      <c r="H806">
        <f>IF(E806&gt;=20,E806-20,E806)</f>
        <v>12</v>
      </c>
      <c r="I806" s="4">
        <f>F806</f>
        <v>4</v>
      </c>
      <c r="J806">
        <f>CONCATENATE(G806,IF(LEN(H806)=1,CONCATENATE("0",H806),H806),IF(LEN(F806)=1,CONCATENATE("0",F806),F806))*1</f>
        <v>20111204</v>
      </c>
    </row>
    <row r="807" spans="1:10" hidden="1" x14ac:dyDescent="0.25">
      <c r="A807" s="4" t="s">
        <v>833</v>
      </c>
      <c r="B807" t="s">
        <v>5</v>
      </c>
      <c r="C807" t="s">
        <v>4</v>
      </c>
      <c r="D807" s="3">
        <f>MID(A807,1,2)*1</f>
        <v>20</v>
      </c>
      <c r="E807" s="4">
        <f>MID(A807,3,2)*1</f>
        <v>31</v>
      </c>
      <c r="F807" s="4">
        <f>MID(A807,5,2)*1</f>
        <v>25</v>
      </c>
      <c r="G807" s="3">
        <f>IF(E807&gt;=20,2000,1900) + D807</f>
        <v>2020</v>
      </c>
      <c r="H807">
        <f>IF(E807&gt;=20,E807-20,E807)</f>
        <v>11</v>
      </c>
      <c r="I807" s="4">
        <f>F807</f>
        <v>25</v>
      </c>
      <c r="J807">
        <f>CONCATENATE(G807,IF(LEN(H807)=1,CONCATENATE("0",H807),H807),IF(LEN(F807)=1,CONCATENATE("0",F807),F807))*1</f>
        <v>20201125</v>
      </c>
    </row>
    <row r="808" spans="1:10" hidden="1" x14ac:dyDescent="0.25">
      <c r="A808" s="4" t="s">
        <v>834</v>
      </c>
      <c r="B808" t="s">
        <v>14</v>
      </c>
      <c r="C808" t="s">
        <v>4</v>
      </c>
      <c r="D808" s="3">
        <f>MID(A808,1,2)*1</f>
        <v>14</v>
      </c>
      <c r="E808" s="4">
        <f>MID(A808,3,2)*1</f>
        <v>28</v>
      </c>
      <c r="F808" s="4">
        <f>MID(A808,5,2)*1</f>
        <v>5</v>
      </c>
      <c r="G808" s="3">
        <f>IF(E808&gt;=20,2000,1900) + D808</f>
        <v>2014</v>
      </c>
      <c r="H808">
        <f>IF(E808&gt;=20,E808-20,E808)</f>
        <v>8</v>
      </c>
      <c r="I808" s="4">
        <f>F808</f>
        <v>5</v>
      </c>
      <c r="J808">
        <f>CONCATENATE(G808,IF(LEN(H808)=1,CONCATENATE("0",H808),H808),IF(LEN(F808)=1,CONCATENATE("0",F808),F808))*1</f>
        <v>20140805</v>
      </c>
    </row>
    <row r="809" spans="1:10" hidden="1" x14ac:dyDescent="0.25">
      <c r="A809" s="4" t="s">
        <v>835</v>
      </c>
      <c r="B809" t="s">
        <v>15</v>
      </c>
      <c r="C809" t="s">
        <v>4</v>
      </c>
      <c r="D809" s="3">
        <f>MID(A809,1,2)*1</f>
        <v>3</v>
      </c>
      <c r="E809" s="4">
        <f>MID(A809,3,2)*1</f>
        <v>22</v>
      </c>
      <c r="F809" s="4">
        <f>MID(A809,5,2)*1</f>
        <v>10</v>
      </c>
      <c r="G809" s="3">
        <f>IF(E809&gt;=20,2000,1900) + D809</f>
        <v>2003</v>
      </c>
      <c r="H809">
        <f>IF(E809&gt;=20,E809-20,E809)</f>
        <v>2</v>
      </c>
      <c r="I809" s="4">
        <f>F809</f>
        <v>10</v>
      </c>
      <c r="J809">
        <f>CONCATENATE(G809,IF(LEN(H809)=1,CONCATENATE("0",H809),H809),IF(LEN(F809)=1,CONCATENATE("0",F809),F809))*1</f>
        <v>20030210</v>
      </c>
    </row>
    <row r="810" spans="1:10" hidden="1" x14ac:dyDescent="0.25">
      <c r="A810" s="4" t="s">
        <v>836</v>
      </c>
      <c r="B810" t="s">
        <v>13</v>
      </c>
      <c r="C810" t="s">
        <v>6</v>
      </c>
      <c r="D810" s="3">
        <f>MID(A810,1,2)*1</f>
        <v>16</v>
      </c>
      <c r="E810" s="4">
        <f>MID(A810,3,2)*1</f>
        <v>29</v>
      </c>
      <c r="F810" s="4">
        <f>MID(A810,5,2)*1</f>
        <v>16</v>
      </c>
      <c r="G810" s="3">
        <f>IF(E810&gt;=20,2000,1900) + D810</f>
        <v>2016</v>
      </c>
      <c r="H810">
        <f>IF(E810&gt;=20,E810-20,E810)</f>
        <v>9</v>
      </c>
      <c r="I810" s="4">
        <f>F810</f>
        <v>16</v>
      </c>
      <c r="J810">
        <f>CONCATENATE(G810,IF(LEN(H810)=1,CONCATENATE("0",H810),H810),IF(LEN(F810)=1,CONCATENATE("0",F810),F810))*1</f>
        <v>20160916</v>
      </c>
    </row>
    <row r="811" spans="1:10" hidden="1" x14ac:dyDescent="0.25">
      <c r="A811" s="4" t="s">
        <v>837</v>
      </c>
      <c r="B811" t="s">
        <v>11</v>
      </c>
      <c r="C811" t="s">
        <v>4</v>
      </c>
      <c r="D811" s="3">
        <f>MID(A811,1,2)*1</f>
        <v>0</v>
      </c>
      <c r="E811" s="4">
        <f>MID(A811,3,2)*1</f>
        <v>29</v>
      </c>
      <c r="F811" s="4">
        <f>MID(A811,5,2)*1</f>
        <v>18</v>
      </c>
      <c r="G811" s="3">
        <f>IF(E811&gt;=20,2000,1900) + D811</f>
        <v>2000</v>
      </c>
      <c r="H811">
        <f>IF(E811&gt;=20,E811-20,E811)</f>
        <v>9</v>
      </c>
      <c r="I811" s="4">
        <f>F811</f>
        <v>18</v>
      </c>
      <c r="J811">
        <f>CONCATENATE(G811,IF(LEN(H811)=1,CONCATENATE("0",H811),H811),IF(LEN(F811)=1,CONCATENATE("0",F811),F811))*1</f>
        <v>20000918</v>
      </c>
    </row>
    <row r="812" spans="1:10" hidden="1" x14ac:dyDescent="0.25">
      <c r="A812" s="4" t="s">
        <v>838</v>
      </c>
      <c r="B812" t="s">
        <v>5</v>
      </c>
      <c r="C812" t="s">
        <v>4</v>
      </c>
      <c r="D812" s="3">
        <f>MID(A812,1,2)*1</f>
        <v>11</v>
      </c>
      <c r="E812" s="4">
        <f>MID(A812,3,2)*1</f>
        <v>30</v>
      </c>
      <c r="F812" s="4">
        <f>MID(A812,5,2)*1</f>
        <v>20</v>
      </c>
      <c r="G812" s="3">
        <f>IF(E812&gt;=20,2000,1900) + D812</f>
        <v>2011</v>
      </c>
      <c r="H812">
        <f>IF(E812&gt;=20,E812-20,E812)</f>
        <v>10</v>
      </c>
      <c r="I812" s="4">
        <f>F812</f>
        <v>20</v>
      </c>
      <c r="J812">
        <f>CONCATENATE(G812,IF(LEN(H812)=1,CONCATENATE("0",H812),H812),IF(LEN(F812)=1,CONCATENATE("0",F812),F812))*1</f>
        <v>20111020</v>
      </c>
    </row>
    <row r="813" spans="1:10" hidden="1" x14ac:dyDescent="0.25">
      <c r="A813" s="4" t="s">
        <v>839</v>
      </c>
      <c r="B813" t="s">
        <v>8</v>
      </c>
      <c r="C813" t="s">
        <v>6</v>
      </c>
      <c r="D813" s="3">
        <f>MID(A813,1,2)*1</f>
        <v>4</v>
      </c>
      <c r="E813" s="4">
        <f>MID(A813,3,2)*1</f>
        <v>27</v>
      </c>
      <c r="F813" s="4">
        <f>MID(A813,5,2)*1</f>
        <v>20</v>
      </c>
      <c r="G813" s="3">
        <f>IF(E813&gt;=20,2000,1900) + D813</f>
        <v>2004</v>
      </c>
      <c r="H813">
        <f>IF(E813&gt;=20,E813-20,E813)</f>
        <v>7</v>
      </c>
      <c r="I813" s="4">
        <f>F813</f>
        <v>20</v>
      </c>
      <c r="J813">
        <f>CONCATENATE(G813,IF(LEN(H813)=1,CONCATENATE("0",H813),H813),IF(LEN(F813)=1,CONCATENATE("0",F813),F813))*1</f>
        <v>20040720</v>
      </c>
    </row>
    <row r="814" spans="1:10" hidden="1" x14ac:dyDescent="0.25">
      <c r="A814" s="4" t="s">
        <v>840</v>
      </c>
      <c r="B814" t="s">
        <v>14</v>
      </c>
      <c r="C814" t="s">
        <v>4</v>
      </c>
      <c r="D814" s="3">
        <f>MID(A814,1,2)*1</f>
        <v>0</v>
      </c>
      <c r="E814" s="4">
        <f>MID(A814,3,2)*1</f>
        <v>26</v>
      </c>
      <c r="F814" s="4">
        <f>MID(A814,5,2)*1</f>
        <v>28</v>
      </c>
      <c r="G814" s="3">
        <f>IF(E814&gt;=20,2000,1900) + D814</f>
        <v>2000</v>
      </c>
      <c r="H814">
        <f>IF(E814&gt;=20,E814-20,E814)</f>
        <v>6</v>
      </c>
      <c r="I814" s="4">
        <f>F814</f>
        <v>28</v>
      </c>
      <c r="J814">
        <f>CONCATENATE(G814,IF(LEN(H814)=1,CONCATENATE("0",H814),H814),IF(LEN(F814)=1,CONCATENATE("0",F814),F814))*1</f>
        <v>20000628</v>
      </c>
    </row>
    <row r="815" spans="1:10" hidden="1" x14ac:dyDescent="0.25">
      <c r="A815" s="4" t="s">
        <v>841</v>
      </c>
      <c r="B815" t="s">
        <v>20</v>
      </c>
      <c r="C815" t="s">
        <v>4</v>
      </c>
      <c r="D815" s="3">
        <f>MID(A815,1,2)*1</f>
        <v>7</v>
      </c>
      <c r="E815" s="4">
        <f>MID(A815,3,2)*1</f>
        <v>26</v>
      </c>
      <c r="F815" s="4">
        <f>MID(A815,5,2)*1</f>
        <v>30</v>
      </c>
      <c r="G815" s="3">
        <f>IF(E815&gt;=20,2000,1900) + D815</f>
        <v>2007</v>
      </c>
      <c r="H815">
        <f>IF(E815&gt;=20,E815-20,E815)</f>
        <v>6</v>
      </c>
      <c r="I815" s="4">
        <f>F815</f>
        <v>30</v>
      </c>
      <c r="J815">
        <f>CONCATENATE(G815,IF(LEN(H815)=1,CONCATENATE("0",H815),H815),IF(LEN(F815)=1,CONCATENATE("0",F815),F815))*1</f>
        <v>20070630</v>
      </c>
    </row>
    <row r="816" spans="1:10" hidden="1" x14ac:dyDescent="0.25">
      <c r="A816" s="4" t="s">
        <v>842</v>
      </c>
      <c r="B816" t="s">
        <v>13</v>
      </c>
      <c r="C816" t="s">
        <v>6</v>
      </c>
      <c r="D816" s="3">
        <f>MID(A816,1,2)*1</f>
        <v>2</v>
      </c>
      <c r="E816" s="4">
        <f>MID(A816,3,2)*1</f>
        <v>21</v>
      </c>
      <c r="F816" s="4">
        <f>MID(A816,5,2)*1</f>
        <v>1</v>
      </c>
      <c r="G816" s="3">
        <f>IF(E816&gt;=20,2000,1900) + D816</f>
        <v>2002</v>
      </c>
      <c r="H816">
        <f>IF(E816&gt;=20,E816-20,E816)</f>
        <v>1</v>
      </c>
      <c r="I816" s="4">
        <f>F816</f>
        <v>1</v>
      </c>
      <c r="J816">
        <f>CONCATENATE(G816,IF(LEN(H816)=1,CONCATENATE("0",H816),H816),IF(LEN(F816)=1,CONCATENATE("0",F816),F816))*1</f>
        <v>20020101</v>
      </c>
    </row>
    <row r="817" spans="1:10" hidden="1" x14ac:dyDescent="0.25">
      <c r="A817" s="4" t="s">
        <v>843</v>
      </c>
      <c r="B817" t="s">
        <v>11</v>
      </c>
      <c r="C817" t="s">
        <v>4</v>
      </c>
      <c r="D817" s="3">
        <f>MID(A817,1,2)*1</f>
        <v>11</v>
      </c>
      <c r="E817" s="4">
        <f>MID(A817,3,2)*1</f>
        <v>30</v>
      </c>
      <c r="F817" s="4">
        <f>MID(A817,5,2)*1</f>
        <v>18</v>
      </c>
      <c r="G817" s="3">
        <f>IF(E817&gt;=20,2000,1900) + D817</f>
        <v>2011</v>
      </c>
      <c r="H817">
        <f>IF(E817&gt;=20,E817-20,E817)</f>
        <v>10</v>
      </c>
      <c r="I817" s="4">
        <f>F817</f>
        <v>18</v>
      </c>
      <c r="J817">
        <f>CONCATENATE(G817,IF(LEN(H817)=1,CONCATENATE("0",H817),H817),IF(LEN(F817)=1,CONCATENATE("0",F817),F817))*1</f>
        <v>20111018</v>
      </c>
    </row>
    <row r="818" spans="1:10" hidden="1" x14ac:dyDescent="0.25">
      <c r="A818" s="4" t="s">
        <v>844</v>
      </c>
      <c r="B818" t="s">
        <v>8</v>
      </c>
      <c r="C818" t="s">
        <v>4</v>
      </c>
      <c r="D818" s="3">
        <f>MID(A818,1,2)*1</f>
        <v>10</v>
      </c>
      <c r="E818" s="4">
        <f>MID(A818,3,2)*1</f>
        <v>29</v>
      </c>
      <c r="F818" s="4">
        <f>MID(A818,5,2)*1</f>
        <v>25</v>
      </c>
      <c r="G818" s="3">
        <f>IF(E818&gt;=20,2000,1900) + D818</f>
        <v>2010</v>
      </c>
      <c r="H818">
        <f>IF(E818&gt;=20,E818-20,E818)</f>
        <v>9</v>
      </c>
      <c r="I818" s="4">
        <f>F818</f>
        <v>25</v>
      </c>
      <c r="J818">
        <f>CONCATENATE(G818,IF(LEN(H818)=1,CONCATENATE("0",H818),H818),IF(LEN(F818)=1,CONCATENATE("0",F818),F818))*1</f>
        <v>20100925</v>
      </c>
    </row>
    <row r="819" spans="1:10" hidden="1" x14ac:dyDescent="0.25">
      <c r="A819" s="4" t="s">
        <v>845</v>
      </c>
      <c r="B819" t="s">
        <v>16</v>
      </c>
      <c r="C819" t="s">
        <v>6</v>
      </c>
      <c r="D819" s="3">
        <f>MID(A819,1,2)*1</f>
        <v>19</v>
      </c>
      <c r="E819" s="4">
        <f>MID(A819,3,2)*1</f>
        <v>30</v>
      </c>
      <c r="F819" s="4">
        <f>MID(A819,5,2)*1</f>
        <v>26</v>
      </c>
      <c r="G819" s="3">
        <f>IF(E819&gt;=20,2000,1900) + D819</f>
        <v>2019</v>
      </c>
      <c r="H819">
        <f>IF(E819&gt;=20,E819-20,E819)</f>
        <v>10</v>
      </c>
      <c r="I819" s="4">
        <f>F819</f>
        <v>26</v>
      </c>
      <c r="J819">
        <f>CONCATENATE(G819,IF(LEN(H819)=1,CONCATENATE("0",H819),H819),IF(LEN(F819)=1,CONCATENATE("0",F819),F819))*1</f>
        <v>20191026</v>
      </c>
    </row>
    <row r="820" spans="1:10" hidden="1" x14ac:dyDescent="0.25">
      <c r="A820" s="4" t="s">
        <v>846</v>
      </c>
      <c r="B820" t="s">
        <v>16</v>
      </c>
      <c r="C820" t="s">
        <v>6</v>
      </c>
      <c r="D820" s="3">
        <f>MID(A820,1,2)*1</f>
        <v>2</v>
      </c>
      <c r="E820" s="4">
        <f>MID(A820,3,2)*1</f>
        <v>29</v>
      </c>
      <c r="F820" s="4">
        <f>MID(A820,5,2)*1</f>
        <v>6</v>
      </c>
      <c r="G820" s="3">
        <f>IF(E820&gt;=20,2000,1900) + D820</f>
        <v>2002</v>
      </c>
      <c r="H820">
        <f>IF(E820&gt;=20,E820-20,E820)</f>
        <v>9</v>
      </c>
      <c r="I820" s="4">
        <f>F820</f>
        <v>6</v>
      </c>
      <c r="J820">
        <f>CONCATENATE(G820,IF(LEN(H820)=1,CONCATENATE("0",H820),H820),IF(LEN(F820)=1,CONCATENATE("0",F820),F820))*1</f>
        <v>20020906</v>
      </c>
    </row>
    <row r="821" spans="1:10" hidden="1" x14ac:dyDescent="0.25">
      <c r="A821" s="4" t="s">
        <v>847</v>
      </c>
      <c r="B821" t="s">
        <v>5</v>
      </c>
      <c r="C821" t="s">
        <v>6</v>
      </c>
      <c r="D821" s="3">
        <f>MID(A821,1,2)*1</f>
        <v>1</v>
      </c>
      <c r="E821" s="4">
        <f>MID(A821,3,2)*1</f>
        <v>30</v>
      </c>
      <c r="F821" s="4">
        <f>MID(A821,5,2)*1</f>
        <v>26</v>
      </c>
      <c r="G821" s="3">
        <f>IF(E821&gt;=20,2000,1900) + D821</f>
        <v>2001</v>
      </c>
      <c r="H821">
        <f>IF(E821&gt;=20,E821-20,E821)</f>
        <v>10</v>
      </c>
      <c r="I821" s="4">
        <f>F821</f>
        <v>26</v>
      </c>
      <c r="J821">
        <f>CONCATENATE(G821,IF(LEN(H821)=1,CONCATENATE("0",H821),H821),IF(LEN(F821)=1,CONCATENATE("0",F821),F821))*1</f>
        <v>20011026</v>
      </c>
    </row>
    <row r="822" spans="1:10" hidden="1" x14ac:dyDescent="0.25">
      <c r="A822" s="4" t="s">
        <v>848</v>
      </c>
      <c r="B822" t="s">
        <v>15</v>
      </c>
      <c r="C822" t="s">
        <v>6</v>
      </c>
      <c r="D822" s="3">
        <f>MID(A822,1,2)*1</f>
        <v>19</v>
      </c>
      <c r="E822" s="4">
        <f>MID(A822,3,2)*1</f>
        <v>30</v>
      </c>
      <c r="F822" s="4">
        <f>MID(A822,5,2)*1</f>
        <v>26</v>
      </c>
      <c r="G822" s="3">
        <f>IF(E822&gt;=20,2000,1900) + D822</f>
        <v>2019</v>
      </c>
      <c r="H822">
        <f>IF(E822&gt;=20,E822-20,E822)</f>
        <v>10</v>
      </c>
      <c r="I822" s="4">
        <f>F822</f>
        <v>26</v>
      </c>
      <c r="J822">
        <f>CONCATENATE(G822,IF(LEN(H822)=1,CONCATENATE("0",H822),H822),IF(LEN(F822)=1,CONCATENATE("0",F822),F822))*1</f>
        <v>20191026</v>
      </c>
    </row>
    <row r="823" spans="1:10" hidden="1" x14ac:dyDescent="0.25">
      <c r="A823" s="4" t="s">
        <v>849</v>
      </c>
      <c r="B823" t="s">
        <v>16</v>
      </c>
      <c r="C823" t="s">
        <v>6</v>
      </c>
      <c r="D823" s="3">
        <f>MID(A823,1,2)*1</f>
        <v>12</v>
      </c>
      <c r="E823" s="4">
        <f>MID(A823,3,2)*1</f>
        <v>26</v>
      </c>
      <c r="F823" s="4">
        <f>MID(A823,5,2)*1</f>
        <v>6</v>
      </c>
      <c r="G823" s="3">
        <f>IF(E823&gt;=20,2000,1900) + D823</f>
        <v>2012</v>
      </c>
      <c r="H823">
        <f>IF(E823&gt;=20,E823-20,E823)</f>
        <v>6</v>
      </c>
      <c r="I823" s="4">
        <f>F823</f>
        <v>6</v>
      </c>
      <c r="J823">
        <f>CONCATENATE(G823,IF(LEN(H823)=1,CONCATENATE("0",H823),H823),IF(LEN(F823)=1,CONCATENATE("0",F823),F823))*1</f>
        <v>20120606</v>
      </c>
    </row>
    <row r="824" spans="1:10" hidden="1" x14ac:dyDescent="0.25">
      <c r="A824" s="4" t="s">
        <v>850</v>
      </c>
      <c r="B824" t="s">
        <v>20</v>
      </c>
      <c r="C824" t="s">
        <v>4</v>
      </c>
      <c r="D824" s="3">
        <f>MID(A824,1,2)*1</f>
        <v>0</v>
      </c>
      <c r="E824" s="4">
        <f>MID(A824,3,2)*1</f>
        <v>24</v>
      </c>
      <c r="F824" s="4">
        <f>MID(A824,5,2)*1</f>
        <v>16</v>
      </c>
      <c r="G824" s="3">
        <f>IF(E824&gt;=20,2000,1900) + D824</f>
        <v>2000</v>
      </c>
      <c r="H824">
        <f>IF(E824&gt;=20,E824-20,E824)</f>
        <v>4</v>
      </c>
      <c r="I824" s="4">
        <f>F824</f>
        <v>16</v>
      </c>
      <c r="J824">
        <f>CONCATENATE(G824,IF(LEN(H824)=1,CONCATENATE("0",H824),H824),IF(LEN(F824)=1,CONCATENATE("0",F824),F824))*1</f>
        <v>20000416</v>
      </c>
    </row>
    <row r="825" spans="1:10" hidden="1" x14ac:dyDescent="0.25">
      <c r="A825" s="4" t="s">
        <v>851</v>
      </c>
      <c r="B825" t="s">
        <v>5</v>
      </c>
      <c r="C825" t="s">
        <v>4</v>
      </c>
      <c r="D825" s="3">
        <f>MID(A825,1,2)*1</f>
        <v>0</v>
      </c>
      <c r="E825" s="4">
        <f>MID(A825,3,2)*1</f>
        <v>29</v>
      </c>
      <c r="F825" s="4">
        <f>MID(A825,5,2)*1</f>
        <v>14</v>
      </c>
      <c r="G825" s="3">
        <f>IF(E825&gt;=20,2000,1900) + D825</f>
        <v>2000</v>
      </c>
      <c r="H825">
        <f>IF(E825&gt;=20,E825-20,E825)</f>
        <v>9</v>
      </c>
      <c r="I825" s="4">
        <f>F825</f>
        <v>14</v>
      </c>
      <c r="J825">
        <f>CONCATENATE(G825,IF(LEN(H825)=1,CONCATENATE("0",H825),H825),IF(LEN(F825)=1,CONCATENATE("0",F825),F825))*1</f>
        <v>20000914</v>
      </c>
    </row>
    <row r="826" spans="1:10" hidden="1" x14ac:dyDescent="0.25">
      <c r="A826" s="4" t="s">
        <v>852</v>
      </c>
      <c r="B826" t="s">
        <v>19</v>
      </c>
      <c r="C826" t="s">
        <v>4</v>
      </c>
      <c r="D826" s="3">
        <f>MID(A826,1,2)*1</f>
        <v>9</v>
      </c>
      <c r="E826" s="4">
        <f>MID(A826,3,2)*1</f>
        <v>28</v>
      </c>
      <c r="F826" s="4">
        <f>MID(A826,5,2)*1</f>
        <v>16</v>
      </c>
      <c r="G826" s="3">
        <f>IF(E826&gt;=20,2000,1900) + D826</f>
        <v>2009</v>
      </c>
      <c r="H826">
        <f>IF(E826&gt;=20,E826-20,E826)</f>
        <v>8</v>
      </c>
      <c r="I826" s="4">
        <f>F826</f>
        <v>16</v>
      </c>
      <c r="J826">
        <f>CONCATENATE(G826,IF(LEN(H826)=1,CONCATENATE("0",H826),H826),IF(LEN(F826)=1,CONCATENATE("0",F826),F826))*1</f>
        <v>20090816</v>
      </c>
    </row>
    <row r="827" spans="1:10" hidden="1" x14ac:dyDescent="0.25">
      <c r="A827" s="4" t="s">
        <v>853</v>
      </c>
      <c r="B827" t="s">
        <v>11</v>
      </c>
      <c r="C827" t="s">
        <v>4</v>
      </c>
      <c r="D827" s="3">
        <f>MID(A827,1,2)*1</f>
        <v>5</v>
      </c>
      <c r="E827" s="4">
        <f>MID(A827,3,2)*1</f>
        <v>27</v>
      </c>
      <c r="F827" s="4">
        <f>MID(A827,5,2)*1</f>
        <v>10</v>
      </c>
      <c r="G827" s="3">
        <f>IF(E827&gt;=20,2000,1900) + D827</f>
        <v>2005</v>
      </c>
      <c r="H827">
        <f>IF(E827&gt;=20,E827-20,E827)</f>
        <v>7</v>
      </c>
      <c r="I827" s="4">
        <f>F827</f>
        <v>10</v>
      </c>
      <c r="J827">
        <f>CONCATENATE(G827,IF(LEN(H827)=1,CONCATENATE("0",H827),H827),IF(LEN(F827)=1,CONCATENATE("0",F827),F827))*1</f>
        <v>20050710</v>
      </c>
    </row>
    <row r="828" spans="1:10" hidden="1" x14ac:dyDescent="0.25">
      <c r="A828" s="4" t="s">
        <v>854</v>
      </c>
      <c r="B828" t="s">
        <v>19</v>
      </c>
      <c r="C828" t="s">
        <v>4</v>
      </c>
      <c r="D828" s="3">
        <f>MID(A828,1,2)*1</f>
        <v>20</v>
      </c>
      <c r="E828" s="4">
        <f>MID(A828,3,2)*1</f>
        <v>22</v>
      </c>
      <c r="F828" s="4">
        <f>MID(A828,5,2)*1</f>
        <v>26</v>
      </c>
      <c r="G828" s="3">
        <f>IF(E828&gt;=20,2000,1900) + D828</f>
        <v>2020</v>
      </c>
      <c r="H828">
        <f>IF(E828&gt;=20,E828-20,E828)</f>
        <v>2</v>
      </c>
      <c r="I828" s="4">
        <f>F828</f>
        <v>26</v>
      </c>
      <c r="J828">
        <f>CONCATENATE(G828,IF(LEN(H828)=1,CONCATENATE("0",H828),H828),IF(LEN(F828)=1,CONCATENATE("0",F828),F828))*1</f>
        <v>20200226</v>
      </c>
    </row>
    <row r="829" spans="1:10" x14ac:dyDescent="0.25">
      <c r="A829" s="4" t="s">
        <v>682</v>
      </c>
      <c r="B829" t="s">
        <v>18</v>
      </c>
      <c r="C829" t="s">
        <v>6</v>
      </c>
      <c r="D829" s="3">
        <f>MID(A829,1,2)*1</f>
        <v>8</v>
      </c>
      <c r="E829" s="4">
        <f>MID(A829,3,2)*1</f>
        <v>26</v>
      </c>
      <c r="F829" s="4">
        <f>MID(A829,5,2)*1</f>
        <v>16</v>
      </c>
      <c r="G829" s="3">
        <f>IF(E829&gt;=20,2000,1900) + D829</f>
        <v>2008</v>
      </c>
      <c r="H829">
        <f>IF(E829&gt;=20,E829-20,E829)</f>
        <v>6</v>
      </c>
      <c r="I829" s="4">
        <f>F829</f>
        <v>16</v>
      </c>
      <c r="J829">
        <f>CONCATENATE(G829,IF(LEN(H829)=1,CONCATENATE("0",H829),H829),IF(LEN(F829)=1,CONCATENATE("0",F829),F829))*1</f>
        <v>20080616</v>
      </c>
    </row>
    <row r="830" spans="1:10" hidden="1" x14ac:dyDescent="0.25">
      <c r="A830" s="4" t="s">
        <v>856</v>
      </c>
      <c r="B830" t="s">
        <v>11</v>
      </c>
      <c r="C830" t="s">
        <v>6</v>
      </c>
      <c r="D830" s="3">
        <f>MID(A830,1,2)*1</f>
        <v>19</v>
      </c>
      <c r="E830" s="4">
        <f>MID(A830,3,2)*1</f>
        <v>23</v>
      </c>
      <c r="F830" s="4">
        <f>MID(A830,5,2)*1</f>
        <v>10</v>
      </c>
      <c r="G830" s="3">
        <f>IF(E830&gt;=20,2000,1900) + D830</f>
        <v>2019</v>
      </c>
      <c r="H830">
        <f>IF(E830&gt;=20,E830-20,E830)</f>
        <v>3</v>
      </c>
      <c r="I830" s="4">
        <f>F830</f>
        <v>10</v>
      </c>
      <c r="J830">
        <f>CONCATENATE(G830,IF(LEN(H830)=1,CONCATENATE("0",H830),H830),IF(LEN(F830)=1,CONCATENATE("0",F830),F830))*1</f>
        <v>20190310</v>
      </c>
    </row>
    <row r="831" spans="1:10" hidden="1" x14ac:dyDescent="0.25">
      <c r="A831" s="4" t="s">
        <v>857</v>
      </c>
      <c r="B831" t="s">
        <v>10</v>
      </c>
      <c r="C831" t="s">
        <v>6</v>
      </c>
      <c r="D831" s="3">
        <f>MID(A831,1,2)*1</f>
        <v>9</v>
      </c>
      <c r="E831" s="4">
        <f>MID(A831,3,2)*1</f>
        <v>30</v>
      </c>
      <c r="F831" s="4">
        <f>MID(A831,5,2)*1</f>
        <v>16</v>
      </c>
      <c r="G831" s="3">
        <f>IF(E831&gt;=20,2000,1900) + D831</f>
        <v>2009</v>
      </c>
      <c r="H831">
        <f>IF(E831&gt;=20,E831-20,E831)</f>
        <v>10</v>
      </c>
      <c r="I831" s="4">
        <f>F831</f>
        <v>16</v>
      </c>
      <c r="J831">
        <f>CONCATENATE(G831,IF(LEN(H831)=1,CONCATENATE("0",H831),H831),IF(LEN(F831)=1,CONCATENATE("0",F831),F831))*1</f>
        <v>20091016</v>
      </c>
    </row>
    <row r="832" spans="1:10" hidden="1" x14ac:dyDescent="0.25">
      <c r="A832" s="4" t="s">
        <v>858</v>
      </c>
      <c r="B832" t="s">
        <v>3</v>
      </c>
      <c r="C832" t="s">
        <v>4</v>
      </c>
      <c r="D832" s="3">
        <f>MID(A832,1,2)*1</f>
        <v>12</v>
      </c>
      <c r="E832" s="4">
        <f>MID(A832,3,2)*1</f>
        <v>29</v>
      </c>
      <c r="F832" s="4">
        <f>MID(A832,5,2)*1</f>
        <v>26</v>
      </c>
      <c r="G832" s="3">
        <f>IF(E832&gt;=20,2000,1900) + D832</f>
        <v>2012</v>
      </c>
      <c r="H832">
        <f>IF(E832&gt;=20,E832-20,E832)</f>
        <v>9</v>
      </c>
      <c r="I832" s="4">
        <f>F832</f>
        <v>26</v>
      </c>
      <c r="J832">
        <f>CONCATENATE(G832,IF(LEN(H832)=1,CONCATENATE("0",H832),H832),IF(LEN(F832)=1,CONCATENATE("0",F832),F832))*1</f>
        <v>20120926</v>
      </c>
    </row>
    <row r="833" spans="1:10" hidden="1" x14ac:dyDescent="0.25">
      <c r="A833" s="4" t="s">
        <v>859</v>
      </c>
      <c r="B833" t="s">
        <v>9</v>
      </c>
      <c r="C833" t="s">
        <v>6</v>
      </c>
      <c r="D833" s="3">
        <f>MID(A833,1,2)*1</f>
        <v>0</v>
      </c>
      <c r="E833" s="4">
        <f>MID(A833,3,2)*1</f>
        <v>22</v>
      </c>
      <c r="F833" s="4">
        <f>MID(A833,5,2)*1</f>
        <v>1</v>
      </c>
      <c r="G833" s="3">
        <f>IF(E833&gt;=20,2000,1900) + D833</f>
        <v>2000</v>
      </c>
      <c r="H833">
        <f>IF(E833&gt;=20,E833-20,E833)</f>
        <v>2</v>
      </c>
      <c r="I833" s="4">
        <f>F833</f>
        <v>1</v>
      </c>
      <c r="J833">
        <f>CONCATENATE(G833,IF(LEN(H833)=1,CONCATENATE("0",H833),H833),IF(LEN(F833)=1,CONCATENATE("0",F833),F833))*1</f>
        <v>20000201</v>
      </c>
    </row>
    <row r="834" spans="1:10" x14ac:dyDescent="0.25">
      <c r="A834" s="4" t="s">
        <v>748</v>
      </c>
      <c r="B834" t="s">
        <v>18</v>
      </c>
      <c r="C834" t="s">
        <v>6</v>
      </c>
      <c r="D834" s="3">
        <f>MID(A834,1,2)*1</f>
        <v>8</v>
      </c>
      <c r="E834" s="4">
        <f>MID(A834,3,2)*1</f>
        <v>32</v>
      </c>
      <c r="F834" s="4">
        <f>MID(A834,5,2)*1</f>
        <v>27</v>
      </c>
      <c r="G834" s="3">
        <f>IF(E834&gt;=20,2000,1900) + D834</f>
        <v>2008</v>
      </c>
      <c r="H834">
        <f>IF(E834&gt;=20,E834-20,E834)</f>
        <v>12</v>
      </c>
      <c r="I834" s="4">
        <f>F834</f>
        <v>27</v>
      </c>
      <c r="J834">
        <f>CONCATENATE(G834,IF(LEN(H834)=1,CONCATENATE("0",H834),H834),IF(LEN(F834)=1,CONCATENATE("0",F834),F834))*1</f>
        <v>20081227</v>
      </c>
    </row>
    <row r="835" spans="1:10" x14ac:dyDescent="0.25">
      <c r="A835" s="4" t="s">
        <v>967</v>
      </c>
      <c r="B835" t="s">
        <v>18</v>
      </c>
      <c r="C835" t="s">
        <v>4</v>
      </c>
      <c r="D835" s="3">
        <f>MID(A835,1,2)*1</f>
        <v>9</v>
      </c>
      <c r="E835" s="4">
        <f>MID(A835,3,2)*1</f>
        <v>21</v>
      </c>
      <c r="F835" s="4">
        <f>MID(A835,5,2)*1</f>
        <v>1</v>
      </c>
      <c r="G835" s="3">
        <f>IF(E835&gt;=20,2000,1900) + D835</f>
        <v>2009</v>
      </c>
      <c r="H835">
        <f>IF(E835&gt;=20,E835-20,E835)</f>
        <v>1</v>
      </c>
      <c r="I835" s="4">
        <f>F835</f>
        <v>1</v>
      </c>
      <c r="J835">
        <f>CONCATENATE(G835,IF(LEN(H835)=1,CONCATENATE("0",H835),H835),IF(LEN(F835)=1,CONCATENATE("0",F835),F835))*1</f>
        <v>20090101</v>
      </c>
    </row>
    <row r="836" spans="1:10" hidden="1" x14ac:dyDescent="0.25">
      <c r="A836" s="4" t="s">
        <v>862</v>
      </c>
      <c r="B836" t="s">
        <v>19</v>
      </c>
      <c r="C836" t="s">
        <v>6</v>
      </c>
      <c r="D836" s="3">
        <f>MID(A836,1,2)*1</f>
        <v>21</v>
      </c>
      <c r="E836" s="4">
        <f>MID(A836,3,2)*1</f>
        <v>22</v>
      </c>
      <c r="F836" s="4">
        <f>MID(A836,5,2)*1</f>
        <v>13</v>
      </c>
      <c r="G836" s="3">
        <f>IF(E836&gt;=20,2000,1900) + D836</f>
        <v>2021</v>
      </c>
      <c r="H836">
        <f>IF(E836&gt;=20,E836-20,E836)</f>
        <v>2</v>
      </c>
      <c r="I836" s="4">
        <f>F836</f>
        <v>13</v>
      </c>
      <c r="J836">
        <f>CONCATENATE(G836,IF(LEN(H836)=1,CONCATENATE("0",H836),H836),IF(LEN(F836)=1,CONCATENATE("0",F836),F836))*1</f>
        <v>20210213</v>
      </c>
    </row>
    <row r="837" spans="1:10" hidden="1" x14ac:dyDescent="0.25">
      <c r="A837" s="4" t="s">
        <v>863</v>
      </c>
      <c r="B837" t="s">
        <v>5</v>
      </c>
      <c r="C837" t="s">
        <v>4</v>
      </c>
      <c r="D837" s="3">
        <f>MID(A837,1,2)*1</f>
        <v>4</v>
      </c>
      <c r="E837" s="4">
        <f>MID(A837,3,2)*1</f>
        <v>24</v>
      </c>
      <c r="F837" s="4">
        <f>MID(A837,5,2)*1</f>
        <v>2</v>
      </c>
      <c r="G837" s="3">
        <f>IF(E837&gt;=20,2000,1900) + D837</f>
        <v>2004</v>
      </c>
      <c r="H837">
        <f>IF(E837&gt;=20,E837-20,E837)</f>
        <v>4</v>
      </c>
      <c r="I837" s="4">
        <f>F837</f>
        <v>2</v>
      </c>
      <c r="J837">
        <f>CONCATENATE(G837,IF(LEN(H837)=1,CONCATENATE("0",H837),H837),IF(LEN(F837)=1,CONCATENATE("0",F837),F837))*1</f>
        <v>20040402</v>
      </c>
    </row>
    <row r="838" spans="1:10" hidden="1" x14ac:dyDescent="0.25">
      <c r="A838" s="4" t="s">
        <v>864</v>
      </c>
      <c r="B838" t="s">
        <v>15</v>
      </c>
      <c r="C838" t="s">
        <v>6</v>
      </c>
      <c r="D838" s="3">
        <f>MID(A838,1,2)*1</f>
        <v>12</v>
      </c>
      <c r="E838" s="4">
        <f>MID(A838,3,2)*1</f>
        <v>31</v>
      </c>
      <c r="F838" s="4">
        <f>MID(A838,5,2)*1</f>
        <v>24</v>
      </c>
      <c r="G838" s="3">
        <f>IF(E838&gt;=20,2000,1900) + D838</f>
        <v>2012</v>
      </c>
      <c r="H838">
        <f>IF(E838&gt;=20,E838-20,E838)</f>
        <v>11</v>
      </c>
      <c r="I838" s="4">
        <f>F838</f>
        <v>24</v>
      </c>
      <c r="J838">
        <f>CONCATENATE(G838,IF(LEN(H838)=1,CONCATENATE("0",H838),H838),IF(LEN(F838)=1,CONCATENATE("0",F838),F838))*1</f>
        <v>20121124</v>
      </c>
    </row>
    <row r="839" spans="1:10" hidden="1" x14ac:dyDescent="0.25">
      <c r="A839" s="4" t="s">
        <v>865</v>
      </c>
      <c r="B839" t="s">
        <v>3</v>
      </c>
      <c r="C839" t="s">
        <v>6</v>
      </c>
      <c r="D839" s="3">
        <f>MID(A839,1,2)*1</f>
        <v>9</v>
      </c>
      <c r="E839" s="4">
        <f>MID(A839,3,2)*1</f>
        <v>28</v>
      </c>
      <c r="F839" s="4">
        <f>MID(A839,5,2)*1</f>
        <v>15</v>
      </c>
      <c r="G839" s="3">
        <f>IF(E839&gt;=20,2000,1900) + D839</f>
        <v>2009</v>
      </c>
      <c r="H839">
        <f>IF(E839&gt;=20,E839-20,E839)</f>
        <v>8</v>
      </c>
      <c r="I839" s="4">
        <f>F839</f>
        <v>15</v>
      </c>
      <c r="J839">
        <f>CONCATENATE(G839,IF(LEN(H839)=1,CONCATENATE("0",H839),H839),IF(LEN(F839)=1,CONCATENATE("0",F839),F839))*1</f>
        <v>20090815</v>
      </c>
    </row>
    <row r="840" spans="1:10" hidden="1" x14ac:dyDescent="0.25">
      <c r="A840" s="4" t="s">
        <v>866</v>
      </c>
      <c r="B840" t="s">
        <v>3</v>
      </c>
      <c r="C840" t="s">
        <v>6</v>
      </c>
      <c r="D840" s="3">
        <f>MID(A840,1,2)*1</f>
        <v>15</v>
      </c>
      <c r="E840" s="4">
        <f>MID(A840,3,2)*1</f>
        <v>25</v>
      </c>
      <c r="F840" s="4">
        <f>MID(A840,5,2)*1</f>
        <v>30</v>
      </c>
      <c r="G840" s="3">
        <f>IF(E840&gt;=20,2000,1900) + D840</f>
        <v>2015</v>
      </c>
      <c r="H840">
        <f>IF(E840&gt;=20,E840-20,E840)</f>
        <v>5</v>
      </c>
      <c r="I840" s="4">
        <f>F840</f>
        <v>30</v>
      </c>
      <c r="J840">
        <f>CONCATENATE(G840,IF(LEN(H840)=1,CONCATENATE("0",H840),H840),IF(LEN(F840)=1,CONCATENATE("0",F840),F840))*1</f>
        <v>20150530</v>
      </c>
    </row>
    <row r="841" spans="1:10" hidden="1" x14ac:dyDescent="0.25">
      <c r="A841" s="4" t="s">
        <v>867</v>
      </c>
      <c r="B841" t="s">
        <v>13</v>
      </c>
      <c r="C841" t="s">
        <v>4</v>
      </c>
      <c r="D841" s="3">
        <f>MID(A841,1,2)*1</f>
        <v>10</v>
      </c>
      <c r="E841" s="4">
        <f>MID(A841,3,2)*1</f>
        <v>22</v>
      </c>
      <c r="F841" s="4">
        <f>MID(A841,5,2)*1</f>
        <v>9</v>
      </c>
      <c r="G841" s="3">
        <f>IF(E841&gt;=20,2000,1900) + D841</f>
        <v>2010</v>
      </c>
      <c r="H841">
        <f>IF(E841&gt;=20,E841-20,E841)</f>
        <v>2</v>
      </c>
      <c r="I841" s="4">
        <f>F841</f>
        <v>9</v>
      </c>
      <c r="J841">
        <f>CONCATENATE(G841,IF(LEN(H841)=1,CONCATENATE("0",H841),H841),IF(LEN(F841)=1,CONCATENATE("0",F841),F841))*1</f>
        <v>20100209</v>
      </c>
    </row>
    <row r="842" spans="1:10" hidden="1" x14ac:dyDescent="0.25">
      <c r="A842" s="4" t="s">
        <v>868</v>
      </c>
      <c r="B842" t="s">
        <v>5</v>
      </c>
      <c r="C842" t="s">
        <v>4</v>
      </c>
      <c r="D842" s="3">
        <f>MID(A842,1,2)*1</f>
        <v>5</v>
      </c>
      <c r="E842" s="4">
        <f>MID(A842,3,2)*1</f>
        <v>23</v>
      </c>
      <c r="F842" s="4">
        <f>MID(A842,5,2)*1</f>
        <v>14</v>
      </c>
      <c r="G842" s="3">
        <f>IF(E842&gt;=20,2000,1900) + D842</f>
        <v>2005</v>
      </c>
      <c r="H842">
        <f>IF(E842&gt;=20,E842-20,E842)</f>
        <v>3</v>
      </c>
      <c r="I842" s="4">
        <f>F842</f>
        <v>14</v>
      </c>
      <c r="J842">
        <f>CONCATENATE(G842,IF(LEN(H842)=1,CONCATENATE("0",H842),H842),IF(LEN(F842)=1,CONCATENATE("0",F842),F842))*1</f>
        <v>20050314</v>
      </c>
    </row>
    <row r="843" spans="1:10" hidden="1" x14ac:dyDescent="0.25">
      <c r="A843" s="4" t="s">
        <v>869</v>
      </c>
      <c r="B843" t="s">
        <v>10</v>
      </c>
      <c r="C843" t="s">
        <v>6</v>
      </c>
      <c r="D843" s="3">
        <f>MID(A843,1,2)*1</f>
        <v>4</v>
      </c>
      <c r="E843" s="4">
        <f>MID(A843,3,2)*1</f>
        <v>31</v>
      </c>
      <c r="F843" s="4">
        <f>MID(A843,5,2)*1</f>
        <v>24</v>
      </c>
      <c r="G843" s="3">
        <f>IF(E843&gt;=20,2000,1900) + D843</f>
        <v>2004</v>
      </c>
      <c r="H843">
        <f>IF(E843&gt;=20,E843-20,E843)</f>
        <v>11</v>
      </c>
      <c r="I843" s="4">
        <f>F843</f>
        <v>24</v>
      </c>
      <c r="J843">
        <f>CONCATENATE(G843,IF(LEN(H843)=1,CONCATENATE("0",H843),H843),IF(LEN(F843)=1,CONCATENATE("0",F843),F843))*1</f>
        <v>20041124</v>
      </c>
    </row>
    <row r="844" spans="1:10" hidden="1" x14ac:dyDescent="0.25">
      <c r="A844" s="4" t="s">
        <v>870</v>
      </c>
      <c r="B844" t="s">
        <v>9</v>
      </c>
      <c r="C844" t="s">
        <v>6</v>
      </c>
      <c r="D844" s="3">
        <f>MID(A844,1,2)*1</f>
        <v>22</v>
      </c>
      <c r="E844" s="4">
        <f>MID(A844,3,2)*1</f>
        <v>29</v>
      </c>
      <c r="F844" s="4">
        <f>MID(A844,5,2)*1</f>
        <v>5</v>
      </c>
      <c r="G844" s="3">
        <f>IF(E844&gt;=20,2000,1900) + D844</f>
        <v>2022</v>
      </c>
      <c r="H844">
        <f>IF(E844&gt;=20,E844-20,E844)</f>
        <v>9</v>
      </c>
      <c r="I844" s="4">
        <f>F844</f>
        <v>5</v>
      </c>
      <c r="J844">
        <f>CONCATENATE(G844,IF(LEN(H844)=1,CONCATENATE("0",H844),H844),IF(LEN(F844)=1,CONCATENATE("0",F844),F844))*1</f>
        <v>20220905</v>
      </c>
    </row>
    <row r="845" spans="1:10" hidden="1" x14ac:dyDescent="0.25">
      <c r="A845" s="4" t="s">
        <v>871</v>
      </c>
      <c r="B845" t="s">
        <v>3</v>
      </c>
      <c r="C845" t="s">
        <v>4</v>
      </c>
      <c r="D845" s="3">
        <f>MID(A845,1,2)*1</f>
        <v>19</v>
      </c>
      <c r="E845" s="4">
        <f>MID(A845,3,2)*1</f>
        <v>28</v>
      </c>
      <c r="F845" s="4">
        <f>MID(A845,5,2)*1</f>
        <v>9</v>
      </c>
      <c r="G845" s="3">
        <f>IF(E845&gt;=20,2000,1900) + D845</f>
        <v>2019</v>
      </c>
      <c r="H845">
        <f>IF(E845&gt;=20,E845-20,E845)</f>
        <v>8</v>
      </c>
      <c r="I845" s="4">
        <f>F845</f>
        <v>9</v>
      </c>
      <c r="J845">
        <f>CONCATENATE(G845,IF(LEN(H845)=1,CONCATENATE("0",H845),H845),IF(LEN(F845)=1,CONCATENATE("0",F845),F845))*1</f>
        <v>20190809</v>
      </c>
    </row>
    <row r="846" spans="1:10" hidden="1" x14ac:dyDescent="0.25">
      <c r="A846" s="4" t="s">
        <v>872</v>
      </c>
      <c r="B846" t="s">
        <v>20</v>
      </c>
      <c r="C846" t="s">
        <v>6</v>
      </c>
      <c r="D846" s="3">
        <f>MID(A846,1,2)*1</f>
        <v>11</v>
      </c>
      <c r="E846" s="4">
        <f>MID(A846,3,2)*1</f>
        <v>25</v>
      </c>
      <c r="F846" s="4">
        <f>MID(A846,5,2)*1</f>
        <v>10</v>
      </c>
      <c r="G846" s="3">
        <f>IF(E846&gt;=20,2000,1900) + D846</f>
        <v>2011</v>
      </c>
      <c r="H846">
        <f>IF(E846&gt;=20,E846-20,E846)</f>
        <v>5</v>
      </c>
      <c r="I846" s="4">
        <f>F846</f>
        <v>10</v>
      </c>
      <c r="J846">
        <f>CONCATENATE(G846,IF(LEN(H846)=1,CONCATENATE("0",H846),H846),IF(LEN(F846)=1,CONCATENATE("0",F846),F846))*1</f>
        <v>20110510</v>
      </c>
    </row>
    <row r="847" spans="1:10" hidden="1" x14ac:dyDescent="0.25">
      <c r="A847" s="4" t="s">
        <v>873</v>
      </c>
      <c r="B847" t="s">
        <v>13</v>
      </c>
      <c r="C847" t="s">
        <v>4</v>
      </c>
      <c r="D847" s="3">
        <f>MID(A847,1,2)*1</f>
        <v>6</v>
      </c>
      <c r="E847" s="4">
        <f>MID(A847,3,2)*1</f>
        <v>22</v>
      </c>
      <c r="F847" s="4">
        <f>MID(A847,5,2)*1</f>
        <v>4</v>
      </c>
      <c r="G847" s="3">
        <f>IF(E847&gt;=20,2000,1900) + D847</f>
        <v>2006</v>
      </c>
      <c r="H847">
        <f>IF(E847&gt;=20,E847-20,E847)</f>
        <v>2</v>
      </c>
      <c r="I847" s="4">
        <f>F847</f>
        <v>4</v>
      </c>
      <c r="J847">
        <f>CONCATENATE(G847,IF(LEN(H847)=1,CONCATENATE("0",H847),H847),IF(LEN(F847)=1,CONCATENATE("0",F847),F847))*1</f>
        <v>20060204</v>
      </c>
    </row>
    <row r="848" spans="1:10" hidden="1" x14ac:dyDescent="0.25">
      <c r="A848" s="4" t="s">
        <v>874</v>
      </c>
      <c r="B848" t="s">
        <v>3</v>
      </c>
      <c r="C848" t="s">
        <v>4</v>
      </c>
      <c r="D848" s="3">
        <f>MID(A848,1,2)*1</f>
        <v>7</v>
      </c>
      <c r="E848" s="4">
        <f>MID(A848,3,2)*1</f>
        <v>28</v>
      </c>
      <c r="F848" s="4">
        <f>MID(A848,5,2)*1</f>
        <v>21</v>
      </c>
      <c r="G848" s="3">
        <f>IF(E848&gt;=20,2000,1900) + D848</f>
        <v>2007</v>
      </c>
      <c r="H848">
        <f>IF(E848&gt;=20,E848-20,E848)</f>
        <v>8</v>
      </c>
      <c r="I848" s="4">
        <f>F848</f>
        <v>21</v>
      </c>
      <c r="J848">
        <f>CONCATENATE(G848,IF(LEN(H848)=1,CONCATENATE("0",H848),H848),IF(LEN(F848)=1,CONCATENATE("0",F848),F848))*1</f>
        <v>20070821</v>
      </c>
    </row>
    <row r="849" spans="1:10" hidden="1" x14ac:dyDescent="0.25">
      <c r="A849" s="4" t="s">
        <v>875</v>
      </c>
      <c r="B849" t="s">
        <v>11</v>
      </c>
      <c r="C849" t="s">
        <v>6</v>
      </c>
      <c r="D849" s="3">
        <f>MID(A849,1,2)*1</f>
        <v>0</v>
      </c>
      <c r="E849" s="4">
        <f>MID(A849,3,2)*1</f>
        <v>32</v>
      </c>
      <c r="F849" s="4">
        <f>MID(A849,5,2)*1</f>
        <v>12</v>
      </c>
      <c r="G849" s="3">
        <f>IF(E849&gt;=20,2000,1900) + D849</f>
        <v>2000</v>
      </c>
      <c r="H849">
        <f>IF(E849&gt;=20,E849-20,E849)</f>
        <v>12</v>
      </c>
      <c r="I849" s="4">
        <f>F849</f>
        <v>12</v>
      </c>
      <c r="J849">
        <f>CONCATENATE(G849,IF(LEN(H849)=1,CONCATENATE("0",H849),H849),IF(LEN(F849)=1,CONCATENATE("0",F849),F849))*1</f>
        <v>20001212</v>
      </c>
    </row>
    <row r="850" spans="1:10" hidden="1" x14ac:dyDescent="0.25">
      <c r="A850" s="4" t="s">
        <v>876</v>
      </c>
      <c r="B850" t="s">
        <v>16</v>
      </c>
      <c r="C850" t="s">
        <v>4</v>
      </c>
      <c r="D850" s="3">
        <f>MID(A850,1,2)*1</f>
        <v>17</v>
      </c>
      <c r="E850" s="4">
        <f>MID(A850,3,2)*1</f>
        <v>23</v>
      </c>
      <c r="F850" s="4">
        <f>MID(A850,5,2)*1</f>
        <v>1</v>
      </c>
      <c r="G850" s="3">
        <f>IF(E850&gt;=20,2000,1900) + D850</f>
        <v>2017</v>
      </c>
      <c r="H850">
        <f>IF(E850&gt;=20,E850-20,E850)</f>
        <v>3</v>
      </c>
      <c r="I850" s="4">
        <f>F850</f>
        <v>1</v>
      </c>
      <c r="J850">
        <f>CONCATENATE(G850,IF(LEN(H850)=1,CONCATENATE("0",H850),H850),IF(LEN(F850)=1,CONCATENATE("0",F850),F850))*1</f>
        <v>20170301</v>
      </c>
    </row>
    <row r="851" spans="1:10" hidden="1" x14ac:dyDescent="0.25">
      <c r="A851" s="4" t="s">
        <v>877</v>
      </c>
      <c r="B851" t="s">
        <v>11</v>
      </c>
      <c r="C851" t="s">
        <v>4</v>
      </c>
      <c r="D851" s="3">
        <f>MID(A851,1,2)*1</f>
        <v>10</v>
      </c>
      <c r="E851" s="4">
        <f>MID(A851,3,2)*1</f>
        <v>25</v>
      </c>
      <c r="F851" s="4">
        <f>MID(A851,5,2)*1</f>
        <v>29</v>
      </c>
      <c r="G851" s="3">
        <f>IF(E851&gt;=20,2000,1900) + D851</f>
        <v>2010</v>
      </c>
      <c r="H851">
        <f>IF(E851&gt;=20,E851-20,E851)</f>
        <v>5</v>
      </c>
      <c r="I851" s="4">
        <f>F851</f>
        <v>29</v>
      </c>
      <c r="J851">
        <f>CONCATENATE(G851,IF(LEN(H851)=1,CONCATENATE("0",H851),H851),IF(LEN(F851)=1,CONCATENATE("0",F851),F851))*1</f>
        <v>20100529</v>
      </c>
    </row>
    <row r="852" spans="1:10" hidden="1" x14ac:dyDescent="0.25">
      <c r="A852" s="4" t="s">
        <v>878</v>
      </c>
      <c r="B852" t="s">
        <v>12</v>
      </c>
      <c r="C852" t="s">
        <v>6</v>
      </c>
      <c r="D852" s="3">
        <f>MID(A852,1,2)*1</f>
        <v>11</v>
      </c>
      <c r="E852" s="4">
        <f>MID(A852,3,2)*1</f>
        <v>22</v>
      </c>
      <c r="F852" s="4">
        <f>MID(A852,5,2)*1</f>
        <v>19</v>
      </c>
      <c r="G852" s="3">
        <f>IF(E852&gt;=20,2000,1900) + D852</f>
        <v>2011</v>
      </c>
      <c r="H852">
        <f>IF(E852&gt;=20,E852-20,E852)</f>
        <v>2</v>
      </c>
      <c r="I852" s="4">
        <f>F852</f>
        <v>19</v>
      </c>
      <c r="J852">
        <f>CONCATENATE(G852,IF(LEN(H852)=1,CONCATENATE("0",H852),H852),IF(LEN(F852)=1,CONCATENATE("0",F852),F852))*1</f>
        <v>20110219</v>
      </c>
    </row>
    <row r="853" spans="1:10" hidden="1" x14ac:dyDescent="0.25">
      <c r="A853" s="4" t="s">
        <v>879</v>
      </c>
      <c r="B853" t="s">
        <v>14</v>
      </c>
      <c r="C853" t="s">
        <v>4</v>
      </c>
      <c r="D853" s="3">
        <f>MID(A853,1,2)*1</f>
        <v>1</v>
      </c>
      <c r="E853" s="4">
        <f>MID(A853,3,2)*1</f>
        <v>26</v>
      </c>
      <c r="F853" s="4">
        <f>MID(A853,5,2)*1</f>
        <v>22</v>
      </c>
      <c r="G853" s="3">
        <f>IF(E853&gt;=20,2000,1900) + D853</f>
        <v>2001</v>
      </c>
      <c r="H853">
        <f>IF(E853&gt;=20,E853-20,E853)</f>
        <v>6</v>
      </c>
      <c r="I853" s="4">
        <f>F853</f>
        <v>22</v>
      </c>
      <c r="J853">
        <f>CONCATENATE(G853,IF(LEN(H853)=1,CONCATENATE("0",H853),H853),IF(LEN(F853)=1,CONCATENATE("0",F853),F853))*1</f>
        <v>20010622</v>
      </c>
    </row>
    <row r="854" spans="1:10" hidden="1" x14ac:dyDescent="0.25">
      <c r="A854" s="4" t="s">
        <v>880</v>
      </c>
      <c r="B854" t="s">
        <v>14</v>
      </c>
      <c r="C854" t="s">
        <v>6</v>
      </c>
      <c r="D854" s="3">
        <f>MID(A854,1,2)*1</f>
        <v>8</v>
      </c>
      <c r="E854" s="4">
        <f>MID(A854,3,2)*1</f>
        <v>23</v>
      </c>
      <c r="F854" s="4">
        <f>MID(A854,5,2)*1</f>
        <v>29</v>
      </c>
      <c r="G854" s="3">
        <f>IF(E854&gt;=20,2000,1900) + D854</f>
        <v>2008</v>
      </c>
      <c r="H854">
        <f>IF(E854&gt;=20,E854-20,E854)</f>
        <v>3</v>
      </c>
      <c r="I854" s="4">
        <f>F854</f>
        <v>29</v>
      </c>
      <c r="J854">
        <f>CONCATENATE(G854,IF(LEN(H854)=1,CONCATENATE("0",H854),H854),IF(LEN(F854)=1,CONCATENATE("0",F854),F854))*1</f>
        <v>20080329</v>
      </c>
    </row>
    <row r="855" spans="1:10" hidden="1" x14ac:dyDescent="0.25">
      <c r="A855" s="4" t="s">
        <v>881</v>
      </c>
      <c r="B855" t="s">
        <v>3</v>
      </c>
      <c r="C855" t="s">
        <v>4</v>
      </c>
      <c r="D855" s="3">
        <f>MID(A855,1,2)*1</f>
        <v>15</v>
      </c>
      <c r="E855" s="4">
        <f>MID(A855,3,2)*1</f>
        <v>25</v>
      </c>
      <c r="F855" s="4">
        <f>MID(A855,5,2)*1</f>
        <v>20</v>
      </c>
      <c r="G855" s="3">
        <f>IF(E855&gt;=20,2000,1900) + D855</f>
        <v>2015</v>
      </c>
      <c r="H855">
        <f>IF(E855&gt;=20,E855-20,E855)</f>
        <v>5</v>
      </c>
      <c r="I855" s="4">
        <f>F855</f>
        <v>20</v>
      </c>
      <c r="J855">
        <f>CONCATENATE(G855,IF(LEN(H855)=1,CONCATENATE("0",H855),H855),IF(LEN(F855)=1,CONCATENATE("0",F855),F855))*1</f>
        <v>20150520</v>
      </c>
    </row>
    <row r="856" spans="1:10" hidden="1" x14ac:dyDescent="0.25">
      <c r="A856" s="4" t="s">
        <v>882</v>
      </c>
      <c r="B856" t="s">
        <v>10</v>
      </c>
      <c r="C856" t="s">
        <v>6</v>
      </c>
      <c r="D856" s="3">
        <f>MID(A856,1,2)*1</f>
        <v>12</v>
      </c>
      <c r="E856" s="4">
        <f>MID(A856,3,2)*1</f>
        <v>27</v>
      </c>
      <c r="F856" s="4">
        <f>MID(A856,5,2)*1</f>
        <v>6</v>
      </c>
      <c r="G856" s="3">
        <f>IF(E856&gt;=20,2000,1900) + D856</f>
        <v>2012</v>
      </c>
      <c r="H856">
        <f>IF(E856&gt;=20,E856-20,E856)</f>
        <v>7</v>
      </c>
      <c r="I856" s="4">
        <f>F856</f>
        <v>6</v>
      </c>
      <c r="J856">
        <f>CONCATENATE(G856,IF(LEN(H856)=1,CONCATENATE("0",H856),H856),IF(LEN(F856)=1,CONCATENATE("0",F856),F856))*1</f>
        <v>20120706</v>
      </c>
    </row>
    <row r="857" spans="1:10" hidden="1" x14ac:dyDescent="0.25">
      <c r="A857" s="4" t="s">
        <v>883</v>
      </c>
      <c r="B857" t="s">
        <v>3</v>
      </c>
      <c r="C857" t="s">
        <v>4</v>
      </c>
      <c r="D857" s="3">
        <f>MID(A857,1,2)*1</f>
        <v>6</v>
      </c>
      <c r="E857" s="4">
        <f>MID(A857,3,2)*1</f>
        <v>29</v>
      </c>
      <c r="F857" s="4">
        <f>MID(A857,5,2)*1</f>
        <v>28</v>
      </c>
      <c r="G857" s="3">
        <f>IF(E857&gt;=20,2000,1900) + D857</f>
        <v>2006</v>
      </c>
      <c r="H857">
        <f>IF(E857&gt;=20,E857-20,E857)</f>
        <v>9</v>
      </c>
      <c r="I857" s="4">
        <f>F857</f>
        <v>28</v>
      </c>
      <c r="J857">
        <f>CONCATENATE(G857,IF(LEN(H857)=1,CONCATENATE("0",H857),H857),IF(LEN(F857)=1,CONCATENATE("0",F857),F857))*1</f>
        <v>20060928</v>
      </c>
    </row>
    <row r="858" spans="1:10" hidden="1" x14ac:dyDescent="0.25">
      <c r="A858" s="4" t="s">
        <v>884</v>
      </c>
      <c r="B858" t="s">
        <v>16</v>
      </c>
      <c r="C858" t="s">
        <v>6</v>
      </c>
      <c r="D858" s="3">
        <f>MID(A858,1,2)*1</f>
        <v>20</v>
      </c>
      <c r="E858" s="4">
        <f>MID(A858,3,2)*1</f>
        <v>25</v>
      </c>
      <c r="F858" s="4">
        <f>MID(A858,5,2)*1</f>
        <v>12</v>
      </c>
      <c r="G858" s="3">
        <f>IF(E858&gt;=20,2000,1900) + D858</f>
        <v>2020</v>
      </c>
      <c r="H858">
        <f>IF(E858&gt;=20,E858-20,E858)</f>
        <v>5</v>
      </c>
      <c r="I858" s="4">
        <f>F858</f>
        <v>12</v>
      </c>
      <c r="J858">
        <f>CONCATENATE(G858,IF(LEN(H858)=1,CONCATENATE("0",H858),H858),IF(LEN(F858)=1,CONCATENATE("0",F858),F858))*1</f>
        <v>20200512</v>
      </c>
    </row>
    <row r="859" spans="1:10" hidden="1" x14ac:dyDescent="0.25">
      <c r="A859" s="4" t="s">
        <v>885</v>
      </c>
      <c r="B859" t="s">
        <v>9</v>
      </c>
      <c r="C859" t="s">
        <v>4</v>
      </c>
      <c r="D859" s="3">
        <f>MID(A859,1,2)*1</f>
        <v>15</v>
      </c>
      <c r="E859" s="4">
        <f>MID(A859,3,2)*1</f>
        <v>24</v>
      </c>
      <c r="F859" s="4">
        <f>MID(A859,5,2)*1</f>
        <v>1</v>
      </c>
      <c r="G859" s="3">
        <f>IF(E859&gt;=20,2000,1900) + D859</f>
        <v>2015</v>
      </c>
      <c r="H859">
        <f>IF(E859&gt;=20,E859-20,E859)</f>
        <v>4</v>
      </c>
      <c r="I859" s="4">
        <f>F859</f>
        <v>1</v>
      </c>
      <c r="J859">
        <f>CONCATENATE(G859,IF(LEN(H859)=1,CONCATENATE("0",H859),H859),IF(LEN(F859)=1,CONCATENATE("0",F859),F859))*1</f>
        <v>20150401</v>
      </c>
    </row>
    <row r="860" spans="1:10" hidden="1" x14ac:dyDescent="0.25">
      <c r="A860" s="4" t="s">
        <v>886</v>
      </c>
      <c r="B860" t="s">
        <v>16</v>
      </c>
      <c r="C860" t="s">
        <v>4</v>
      </c>
      <c r="D860" s="3">
        <f>MID(A860,1,2)*1</f>
        <v>12</v>
      </c>
      <c r="E860" s="4">
        <f>MID(A860,3,2)*1</f>
        <v>22</v>
      </c>
      <c r="F860" s="4">
        <f>MID(A860,5,2)*1</f>
        <v>6</v>
      </c>
      <c r="G860" s="3">
        <f>IF(E860&gt;=20,2000,1900) + D860</f>
        <v>2012</v>
      </c>
      <c r="H860">
        <f>IF(E860&gt;=20,E860-20,E860)</f>
        <v>2</v>
      </c>
      <c r="I860" s="4">
        <f>F860</f>
        <v>6</v>
      </c>
      <c r="J860">
        <f>CONCATENATE(G860,IF(LEN(H860)=1,CONCATENATE("0",H860),H860),IF(LEN(F860)=1,CONCATENATE("0",F860),F860))*1</f>
        <v>20120206</v>
      </c>
    </row>
    <row r="861" spans="1:10" hidden="1" x14ac:dyDescent="0.25">
      <c r="A861" s="4" t="s">
        <v>887</v>
      </c>
      <c r="B861" t="s">
        <v>13</v>
      </c>
      <c r="C861" t="s">
        <v>4</v>
      </c>
      <c r="D861" s="3">
        <f>MID(A861,1,2)*1</f>
        <v>1</v>
      </c>
      <c r="E861" s="4">
        <f>MID(A861,3,2)*1</f>
        <v>23</v>
      </c>
      <c r="F861" s="4">
        <f>MID(A861,5,2)*1</f>
        <v>30</v>
      </c>
      <c r="G861" s="3">
        <f>IF(E861&gt;=20,2000,1900) + D861</f>
        <v>2001</v>
      </c>
      <c r="H861">
        <f>IF(E861&gt;=20,E861-20,E861)</f>
        <v>3</v>
      </c>
      <c r="I861" s="4">
        <f>F861</f>
        <v>30</v>
      </c>
      <c r="J861">
        <f>CONCATENATE(G861,IF(LEN(H861)=1,CONCATENATE("0",H861),H861),IF(LEN(F861)=1,CONCATENATE("0",F861),F861))*1</f>
        <v>20010330</v>
      </c>
    </row>
    <row r="862" spans="1:10" hidden="1" x14ac:dyDescent="0.25">
      <c r="A862" s="4" t="s">
        <v>888</v>
      </c>
      <c r="B862" t="s">
        <v>12</v>
      </c>
      <c r="C862" t="s">
        <v>6</v>
      </c>
      <c r="D862" s="3">
        <f>MID(A862,1,2)*1</f>
        <v>3</v>
      </c>
      <c r="E862" s="4">
        <f>MID(A862,3,2)*1</f>
        <v>31</v>
      </c>
      <c r="F862" s="4">
        <f>MID(A862,5,2)*1</f>
        <v>17</v>
      </c>
      <c r="G862" s="3">
        <f>IF(E862&gt;=20,2000,1900) + D862</f>
        <v>2003</v>
      </c>
      <c r="H862">
        <f>IF(E862&gt;=20,E862-20,E862)</f>
        <v>11</v>
      </c>
      <c r="I862" s="4">
        <f>F862</f>
        <v>17</v>
      </c>
      <c r="J862">
        <f>CONCATENATE(G862,IF(LEN(H862)=1,CONCATENATE("0",H862),H862),IF(LEN(F862)=1,CONCATENATE("0",F862),F862))*1</f>
        <v>20031117</v>
      </c>
    </row>
    <row r="863" spans="1:10" hidden="1" x14ac:dyDescent="0.25">
      <c r="A863" s="4" t="s">
        <v>889</v>
      </c>
      <c r="B863" t="s">
        <v>7</v>
      </c>
      <c r="C863" t="s">
        <v>4</v>
      </c>
      <c r="D863" s="3">
        <f>MID(A863,1,2)*1</f>
        <v>5</v>
      </c>
      <c r="E863" s="4">
        <f>MID(A863,3,2)*1</f>
        <v>26</v>
      </c>
      <c r="F863" s="4">
        <f>MID(A863,5,2)*1</f>
        <v>15</v>
      </c>
      <c r="G863" s="3">
        <f>IF(E863&gt;=20,2000,1900) + D863</f>
        <v>2005</v>
      </c>
      <c r="H863">
        <f>IF(E863&gt;=20,E863-20,E863)</f>
        <v>6</v>
      </c>
      <c r="I863" s="4">
        <f>F863</f>
        <v>15</v>
      </c>
      <c r="J863">
        <f>CONCATENATE(G863,IF(LEN(H863)=1,CONCATENATE("0",H863),H863),IF(LEN(F863)=1,CONCATENATE("0",F863),F863))*1</f>
        <v>20050615</v>
      </c>
    </row>
    <row r="864" spans="1:10" hidden="1" x14ac:dyDescent="0.25">
      <c r="A864" s="4" t="s">
        <v>890</v>
      </c>
      <c r="B864" t="s">
        <v>16</v>
      </c>
      <c r="C864" t="s">
        <v>4</v>
      </c>
      <c r="D864" s="3">
        <f>MID(A864,1,2)*1</f>
        <v>19</v>
      </c>
      <c r="E864" s="4">
        <f>MID(A864,3,2)*1</f>
        <v>31</v>
      </c>
      <c r="F864" s="4">
        <f>MID(A864,5,2)*1</f>
        <v>26</v>
      </c>
      <c r="G864" s="3">
        <f>IF(E864&gt;=20,2000,1900) + D864</f>
        <v>2019</v>
      </c>
      <c r="H864">
        <f>IF(E864&gt;=20,E864-20,E864)</f>
        <v>11</v>
      </c>
      <c r="I864" s="4">
        <f>F864</f>
        <v>26</v>
      </c>
      <c r="J864">
        <f>CONCATENATE(G864,IF(LEN(H864)=1,CONCATENATE("0",H864),H864),IF(LEN(F864)=1,CONCATENATE("0",F864),F864))*1</f>
        <v>20191126</v>
      </c>
    </row>
    <row r="865" spans="1:10" hidden="1" x14ac:dyDescent="0.25">
      <c r="A865" s="4" t="s">
        <v>891</v>
      </c>
      <c r="B865" t="s">
        <v>19</v>
      </c>
      <c r="C865" t="s">
        <v>6</v>
      </c>
      <c r="D865" s="3">
        <f>MID(A865,1,2)*1</f>
        <v>16</v>
      </c>
      <c r="E865" s="4">
        <f>MID(A865,3,2)*1</f>
        <v>29</v>
      </c>
      <c r="F865" s="4">
        <f>MID(A865,5,2)*1</f>
        <v>17</v>
      </c>
      <c r="G865" s="3">
        <f>IF(E865&gt;=20,2000,1900) + D865</f>
        <v>2016</v>
      </c>
      <c r="H865">
        <f>IF(E865&gt;=20,E865-20,E865)</f>
        <v>9</v>
      </c>
      <c r="I865" s="4">
        <f>F865</f>
        <v>17</v>
      </c>
      <c r="J865">
        <f>CONCATENATE(G865,IF(LEN(H865)=1,CONCATENATE("0",H865),H865),IF(LEN(F865)=1,CONCATENATE("0",F865),F865))*1</f>
        <v>20160917</v>
      </c>
    </row>
    <row r="866" spans="1:10" x14ac:dyDescent="0.25">
      <c r="A866" s="4" t="s">
        <v>987</v>
      </c>
      <c r="B866" t="s">
        <v>18</v>
      </c>
      <c r="C866" t="s">
        <v>6</v>
      </c>
      <c r="D866" s="3">
        <f>MID(A866,1,2)*1</f>
        <v>9</v>
      </c>
      <c r="E866" s="4">
        <f>MID(A866,3,2)*1</f>
        <v>24</v>
      </c>
      <c r="F866" s="4">
        <f>MID(A866,5,2)*1</f>
        <v>13</v>
      </c>
      <c r="G866" s="3">
        <f>IF(E866&gt;=20,2000,1900) + D866</f>
        <v>2009</v>
      </c>
      <c r="H866">
        <f>IF(E866&gt;=20,E866-20,E866)</f>
        <v>4</v>
      </c>
      <c r="I866" s="4">
        <f>F866</f>
        <v>13</v>
      </c>
      <c r="J866">
        <f>CONCATENATE(G866,IF(LEN(H866)=1,CONCATENATE("0",H866),H866),IF(LEN(F866)=1,CONCATENATE("0",F866),F866))*1</f>
        <v>20090413</v>
      </c>
    </row>
    <row r="867" spans="1:10" hidden="1" x14ac:dyDescent="0.25">
      <c r="A867" s="4" t="s">
        <v>893</v>
      </c>
      <c r="B867" t="s">
        <v>17</v>
      </c>
      <c r="C867" t="s">
        <v>4</v>
      </c>
      <c r="D867" s="3">
        <f>MID(A867,1,2)*1</f>
        <v>6</v>
      </c>
      <c r="E867" s="4">
        <f>MID(A867,3,2)*1</f>
        <v>27</v>
      </c>
      <c r="F867" s="4">
        <f>MID(A867,5,2)*1</f>
        <v>17</v>
      </c>
      <c r="G867" s="3">
        <f>IF(E867&gt;=20,2000,1900) + D867</f>
        <v>2006</v>
      </c>
      <c r="H867">
        <f>IF(E867&gt;=20,E867-20,E867)</f>
        <v>7</v>
      </c>
      <c r="I867" s="4">
        <f>F867</f>
        <v>17</v>
      </c>
      <c r="J867">
        <f>CONCATENATE(G867,IF(LEN(H867)=1,CONCATENATE("0",H867),H867),IF(LEN(F867)=1,CONCATENATE("0",F867),F867))*1</f>
        <v>20060717</v>
      </c>
    </row>
    <row r="868" spans="1:10" hidden="1" x14ac:dyDescent="0.25">
      <c r="A868" s="4" t="s">
        <v>894</v>
      </c>
      <c r="B868" t="s">
        <v>17</v>
      </c>
      <c r="C868" t="s">
        <v>6</v>
      </c>
      <c r="D868" s="3">
        <f>MID(A868,1,2)*1</f>
        <v>18</v>
      </c>
      <c r="E868" s="4">
        <f>MID(A868,3,2)*1</f>
        <v>23</v>
      </c>
      <c r="F868" s="4">
        <f>MID(A868,5,2)*1</f>
        <v>8</v>
      </c>
      <c r="G868" s="3">
        <f>IF(E868&gt;=20,2000,1900) + D868</f>
        <v>2018</v>
      </c>
      <c r="H868">
        <f>IF(E868&gt;=20,E868-20,E868)</f>
        <v>3</v>
      </c>
      <c r="I868" s="4">
        <f>F868</f>
        <v>8</v>
      </c>
      <c r="J868">
        <f>CONCATENATE(G868,IF(LEN(H868)=1,CONCATENATE("0",H868),H868),IF(LEN(F868)=1,CONCATENATE("0",F868),F868))*1</f>
        <v>20180308</v>
      </c>
    </row>
    <row r="869" spans="1:10" hidden="1" x14ac:dyDescent="0.25">
      <c r="A869" s="4" t="s">
        <v>895</v>
      </c>
      <c r="B869" t="s">
        <v>5</v>
      </c>
      <c r="C869" t="s">
        <v>6</v>
      </c>
      <c r="D869" s="3">
        <f>MID(A869,1,2)*1</f>
        <v>17</v>
      </c>
      <c r="E869" s="4">
        <f>MID(A869,3,2)*1</f>
        <v>25</v>
      </c>
      <c r="F869" s="4">
        <f>MID(A869,5,2)*1</f>
        <v>15</v>
      </c>
      <c r="G869" s="3">
        <f>IF(E869&gt;=20,2000,1900) + D869</f>
        <v>2017</v>
      </c>
      <c r="H869">
        <f>IF(E869&gt;=20,E869-20,E869)</f>
        <v>5</v>
      </c>
      <c r="I869" s="4">
        <f>F869</f>
        <v>15</v>
      </c>
      <c r="J869">
        <f>CONCATENATE(G869,IF(LEN(H869)=1,CONCATENATE("0",H869),H869),IF(LEN(F869)=1,CONCATENATE("0",F869),F869))*1</f>
        <v>20170515</v>
      </c>
    </row>
    <row r="870" spans="1:10" hidden="1" x14ac:dyDescent="0.25">
      <c r="A870" s="4" t="s">
        <v>896</v>
      </c>
      <c r="B870" t="s">
        <v>17</v>
      </c>
      <c r="C870" t="s">
        <v>6</v>
      </c>
      <c r="D870" s="3">
        <f>MID(A870,1,2)*1</f>
        <v>19</v>
      </c>
      <c r="E870" s="4">
        <f>MID(A870,3,2)*1</f>
        <v>22</v>
      </c>
      <c r="F870" s="4">
        <f>MID(A870,5,2)*1</f>
        <v>22</v>
      </c>
      <c r="G870" s="3">
        <f>IF(E870&gt;=20,2000,1900) + D870</f>
        <v>2019</v>
      </c>
      <c r="H870">
        <f>IF(E870&gt;=20,E870-20,E870)</f>
        <v>2</v>
      </c>
      <c r="I870" s="4">
        <f>F870</f>
        <v>22</v>
      </c>
      <c r="J870">
        <f>CONCATENATE(G870,IF(LEN(H870)=1,CONCATENATE("0",H870),H870),IF(LEN(F870)=1,CONCATENATE("0",F870),F870))*1</f>
        <v>20190222</v>
      </c>
    </row>
    <row r="871" spans="1:10" hidden="1" x14ac:dyDescent="0.25">
      <c r="A871" s="4" t="s">
        <v>897</v>
      </c>
      <c r="B871" t="s">
        <v>5</v>
      </c>
      <c r="C871" t="s">
        <v>6</v>
      </c>
      <c r="D871" s="3">
        <f>MID(A871,1,2)*1</f>
        <v>21</v>
      </c>
      <c r="E871" s="4">
        <f>MID(A871,3,2)*1</f>
        <v>29</v>
      </c>
      <c r="F871" s="4">
        <f>MID(A871,5,2)*1</f>
        <v>15</v>
      </c>
      <c r="G871" s="3">
        <f>IF(E871&gt;=20,2000,1900) + D871</f>
        <v>2021</v>
      </c>
      <c r="H871">
        <f>IF(E871&gt;=20,E871-20,E871)</f>
        <v>9</v>
      </c>
      <c r="I871" s="4">
        <f>F871</f>
        <v>15</v>
      </c>
      <c r="J871">
        <f>CONCATENATE(G871,IF(LEN(H871)=1,CONCATENATE("0",H871),H871),IF(LEN(F871)=1,CONCATENATE("0",F871),F871))*1</f>
        <v>20210915</v>
      </c>
    </row>
    <row r="872" spans="1:10" hidden="1" x14ac:dyDescent="0.25">
      <c r="A872" s="4" t="s">
        <v>898</v>
      </c>
      <c r="B872" t="s">
        <v>17</v>
      </c>
      <c r="C872" t="s">
        <v>6</v>
      </c>
      <c r="D872" s="3">
        <f>MID(A872,1,2)*1</f>
        <v>20</v>
      </c>
      <c r="E872" s="4">
        <f>MID(A872,3,2)*1</f>
        <v>25</v>
      </c>
      <c r="F872" s="4">
        <f>MID(A872,5,2)*1</f>
        <v>15</v>
      </c>
      <c r="G872" s="3">
        <f>IF(E872&gt;=20,2000,1900) + D872</f>
        <v>2020</v>
      </c>
      <c r="H872">
        <f>IF(E872&gt;=20,E872-20,E872)</f>
        <v>5</v>
      </c>
      <c r="I872" s="4">
        <f>F872</f>
        <v>15</v>
      </c>
      <c r="J872">
        <f>CONCATENATE(G872,IF(LEN(H872)=1,CONCATENATE("0",H872),H872),IF(LEN(F872)=1,CONCATENATE("0",F872),F872))*1</f>
        <v>20200515</v>
      </c>
    </row>
    <row r="873" spans="1:10" x14ac:dyDescent="0.25">
      <c r="A873" s="4" t="s">
        <v>976</v>
      </c>
      <c r="B873" t="s">
        <v>18</v>
      </c>
      <c r="C873" t="s">
        <v>4</v>
      </c>
      <c r="D873" s="3">
        <f>MID(A873,1,2)*1</f>
        <v>15</v>
      </c>
      <c r="E873" s="4">
        <f>MID(A873,3,2)*1</f>
        <v>21</v>
      </c>
      <c r="F873" s="4">
        <f>MID(A873,5,2)*1</f>
        <v>3</v>
      </c>
      <c r="G873" s="3">
        <f>IF(E873&gt;=20,2000,1900) + D873</f>
        <v>2015</v>
      </c>
      <c r="H873">
        <f>IF(E873&gt;=20,E873-20,E873)</f>
        <v>1</v>
      </c>
      <c r="I873" s="4">
        <f>F873</f>
        <v>3</v>
      </c>
      <c r="J873">
        <f>CONCATENATE(G873,IF(LEN(H873)=1,CONCATENATE("0",H873),H873),IF(LEN(F873)=1,CONCATENATE("0",F873),F873))*1</f>
        <v>20150103</v>
      </c>
    </row>
    <row r="874" spans="1:10" hidden="1" x14ac:dyDescent="0.25">
      <c r="A874" s="4" t="s">
        <v>900</v>
      </c>
      <c r="B874" t="s">
        <v>17</v>
      </c>
      <c r="C874" t="s">
        <v>4</v>
      </c>
      <c r="D874" s="3">
        <f>MID(A874,1,2)*1</f>
        <v>19</v>
      </c>
      <c r="E874" s="4">
        <f>MID(A874,3,2)*1</f>
        <v>21</v>
      </c>
      <c r="F874" s="4">
        <f>MID(A874,5,2)*1</f>
        <v>23</v>
      </c>
      <c r="G874" s="3">
        <f>IF(E874&gt;=20,2000,1900) + D874</f>
        <v>2019</v>
      </c>
      <c r="H874">
        <f>IF(E874&gt;=20,E874-20,E874)</f>
        <v>1</v>
      </c>
      <c r="I874" s="4">
        <f>F874</f>
        <v>23</v>
      </c>
      <c r="J874">
        <f>CONCATENATE(G874,IF(LEN(H874)=1,CONCATENATE("0",H874),H874),IF(LEN(F874)=1,CONCATENATE("0",F874),F874))*1</f>
        <v>20190123</v>
      </c>
    </row>
    <row r="875" spans="1:10" hidden="1" x14ac:dyDescent="0.25">
      <c r="A875" s="4" t="s">
        <v>901</v>
      </c>
      <c r="B875" t="s">
        <v>3</v>
      </c>
      <c r="C875" t="s">
        <v>6</v>
      </c>
      <c r="D875" s="3">
        <f>MID(A875,1,2)*1</f>
        <v>3</v>
      </c>
      <c r="E875" s="4">
        <f>MID(A875,3,2)*1</f>
        <v>21</v>
      </c>
      <c r="F875" s="4">
        <f>MID(A875,5,2)*1</f>
        <v>28</v>
      </c>
      <c r="G875" s="3">
        <f>IF(E875&gt;=20,2000,1900) + D875</f>
        <v>2003</v>
      </c>
      <c r="H875">
        <f>IF(E875&gt;=20,E875-20,E875)</f>
        <v>1</v>
      </c>
      <c r="I875" s="4">
        <f>F875</f>
        <v>28</v>
      </c>
      <c r="J875">
        <f>CONCATENATE(G875,IF(LEN(H875)=1,CONCATENATE("0",H875),H875),IF(LEN(F875)=1,CONCATENATE("0",F875),F875))*1</f>
        <v>20030128</v>
      </c>
    </row>
    <row r="876" spans="1:10" hidden="1" x14ac:dyDescent="0.25">
      <c r="A876" s="4" t="s">
        <v>902</v>
      </c>
      <c r="B876" t="s">
        <v>20</v>
      </c>
      <c r="C876" t="s">
        <v>6</v>
      </c>
      <c r="D876" s="3">
        <f>MID(A876,1,2)*1</f>
        <v>8</v>
      </c>
      <c r="E876" s="4">
        <f>MID(A876,3,2)*1</f>
        <v>23</v>
      </c>
      <c r="F876" s="4">
        <f>MID(A876,5,2)*1</f>
        <v>19</v>
      </c>
      <c r="G876" s="3">
        <f>IF(E876&gt;=20,2000,1900) + D876</f>
        <v>2008</v>
      </c>
      <c r="H876">
        <f>IF(E876&gt;=20,E876-20,E876)</f>
        <v>3</v>
      </c>
      <c r="I876" s="4">
        <f>F876</f>
        <v>19</v>
      </c>
      <c r="J876">
        <f>CONCATENATE(G876,IF(LEN(H876)=1,CONCATENATE("0",H876),H876),IF(LEN(F876)=1,CONCATENATE("0",F876),F876))*1</f>
        <v>20080319</v>
      </c>
    </row>
    <row r="877" spans="1:10" hidden="1" x14ac:dyDescent="0.25">
      <c r="A877" s="4" t="s">
        <v>903</v>
      </c>
      <c r="B877" t="s">
        <v>20</v>
      </c>
      <c r="C877" t="s">
        <v>4</v>
      </c>
      <c r="D877" s="3">
        <f>MID(A877,1,2)*1</f>
        <v>18</v>
      </c>
      <c r="E877" s="4">
        <f>MID(A877,3,2)*1</f>
        <v>29</v>
      </c>
      <c r="F877" s="4">
        <f>MID(A877,5,2)*1</f>
        <v>2</v>
      </c>
      <c r="G877" s="3">
        <f>IF(E877&gt;=20,2000,1900) + D877</f>
        <v>2018</v>
      </c>
      <c r="H877">
        <f>IF(E877&gt;=20,E877-20,E877)</f>
        <v>9</v>
      </c>
      <c r="I877" s="4">
        <f>F877</f>
        <v>2</v>
      </c>
      <c r="J877">
        <f>CONCATENATE(G877,IF(LEN(H877)=1,CONCATENATE("0",H877),H877),IF(LEN(F877)=1,CONCATENATE("0",F877),F877))*1</f>
        <v>20180902</v>
      </c>
    </row>
    <row r="878" spans="1:10" hidden="1" x14ac:dyDescent="0.25">
      <c r="A878" s="4" t="s">
        <v>904</v>
      </c>
      <c r="B878" t="s">
        <v>9</v>
      </c>
      <c r="C878" t="s">
        <v>6</v>
      </c>
      <c r="D878" s="3">
        <f>MID(A878,1,2)*1</f>
        <v>14</v>
      </c>
      <c r="E878" s="4">
        <f>MID(A878,3,2)*1</f>
        <v>27</v>
      </c>
      <c r="F878" s="4">
        <f>MID(A878,5,2)*1</f>
        <v>9</v>
      </c>
      <c r="G878" s="3">
        <f>IF(E878&gt;=20,2000,1900) + D878</f>
        <v>2014</v>
      </c>
      <c r="H878">
        <f>IF(E878&gt;=20,E878-20,E878)</f>
        <v>7</v>
      </c>
      <c r="I878" s="4">
        <f>F878</f>
        <v>9</v>
      </c>
      <c r="J878">
        <f>CONCATENATE(G878,IF(LEN(H878)=1,CONCATENATE("0",H878),H878),IF(LEN(F878)=1,CONCATENATE("0",F878),F878))*1</f>
        <v>20140709</v>
      </c>
    </row>
    <row r="879" spans="1:10" hidden="1" x14ac:dyDescent="0.25">
      <c r="A879" s="4" t="s">
        <v>905</v>
      </c>
      <c r="B879" t="s">
        <v>3</v>
      </c>
      <c r="C879" t="s">
        <v>4</v>
      </c>
      <c r="D879" s="3">
        <f>MID(A879,1,2)*1</f>
        <v>21</v>
      </c>
      <c r="E879" s="4">
        <f>MID(A879,3,2)*1</f>
        <v>32</v>
      </c>
      <c r="F879" s="4">
        <f>MID(A879,5,2)*1</f>
        <v>5</v>
      </c>
      <c r="G879" s="3">
        <f>IF(E879&gt;=20,2000,1900) + D879</f>
        <v>2021</v>
      </c>
      <c r="H879">
        <f>IF(E879&gt;=20,E879-20,E879)</f>
        <v>12</v>
      </c>
      <c r="I879" s="4">
        <f>F879</f>
        <v>5</v>
      </c>
      <c r="J879">
        <f>CONCATENATE(G879,IF(LEN(H879)=1,CONCATENATE("0",H879),H879),IF(LEN(F879)=1,CONCATENATE("0",F879),F879))*1</f>
        <v>20211205</v>
      </c>
    </row>
    <row r="880" spans="1:10" hidden="1" x14ac:dyDescent="0.25">
      <c r="A880" s="4" t="s">
        <v>906</v>
      </c>
      <c r="B880" t="s">
        <v>14</v>
      </c>
      <c r="C880" t="s">
        <v>6</v>
      </c>
      <c r="D880" s="3">
        <f>MID(A880,1,2)*1</f>
        <v>15</v>
      </c>
      <c r="E880" s="4">
        <f>MID(A880,3,2)*1</f>
        <v>28</v>
      </c>
      <c r="F880" s="4">
        <f>MID(A880,5,2)*1</f>
        <v>2</v>
      </c>
      <c r="G880" s="3">
        <f>IF(E880&gt;=20,2000,1900) + D880</f>
        <v>2015</v>
      </c>
      <c r="H880">
        <f>IF(E880&gt;=20,E880-20,E880)</f>
        <v>8</v>
      </c>
      <c r="I880" s="4">
        <f>F880</f>
        <v>2</v>
      </c>
      <c r="J880">
        <f>CONCATENATE(G880,IF(LEN(H880)=1,CONCATENATE("0",H880),H880),IF(LEN(F880)=1,CONCATENATE("0",F880),F880))*1</f>
        <v>20150802</v>
      </c>
    </row>
    <row r="881" spans="1:10" hidden="1" x14ac:dyDescent="0.25">
      <c r="A881" s="4" t="s">
        <v>907</v>
      </c>
      <c r="B881" t="s">
        <v>12</v>
      </c>
      <c r="C881" t="s">
        <v>4</v>
      </c>
      <c r="D881" s="3">
        <f>MID(A881,1,2)*1</f>
        <v>8</v>
      </c>
      <c r="E881" s="4">
        <f>MID(A881,3,2)*1</f>
        <v>23</v>
      </c>
      <c r="F881" s="4">
        <f>MID(A881,5,2)*1</f>
        <v>16</v>
      </c>
      <c r="G881" s="3">
        <f>IF(E881&gt;=20,2000,1900) + D881</f>
        <v>2008</v>
      </c>
      <c r="H881">
        <f>IF(E881&gt;=20,E881-20,E881)</f>
        <v>3</v>
      </c>
      <c r="I881" s="4">
        <f>F881</f>
        <v>16</v>
      </c>
      <c r="J881">
        <f>CONCATENATE(G881,IF(LEN(H881)=1,CONCATENATE("0",H881),H881),IF(LEN(F881)=1,CONCATENATE("0",F881),F881))*1</f>
        <v>20080316</v>
      </c>
    </row>
    <row r="882" spans="1:10" hidden="1" x14ac:dyDescent="0.25">
      <c r="A882" s="4" t="s">
        <v>908</v>
      </c>
      <c r="B882" t="s">
        <v>15</v>
      </c>
      <c r="C882" t="s">
        <v>6</v>
      </c>
      <c r="D882" s="3">
        <f>MID(A882,1,2)*1</f>
        <v>4</v>
      </c>
      <c r="E882" s="4">
        <f>MID(A882,3,2)*1</f>
        <v>27</v>
      </c>
      <c r="F882" s="4">
        <f>MID(A882,5,2)*1</f>
        <v>29</v>
      </c>
      <c r="G882" s="3">
        <f>IF(E882&gt;=20,2000,1900) + D882</f>
        <v>2004</v>
      </c>
      <c r="H882">
        <f>IF(E882&gt;=20,E882-20,E882)</f>
        <v>7</v>
      </c>
      <c r="I882" s="4">
        <f>F882</f>
        <v>29</v>
      </c>
      <c r="J882">
        <f>CONCATENATE(G882,IF(LEN(H882)=1,CONCATENATE("0",H882),H882),IF(LEN(F882)=1,CONCATENATE("0",F882),F882))*1</f>
        <v>20040729</v>
      </c>
    </row>
    <row r="883" spans="1:10" hidden="1" x14ac:dyDescent="0.25">
      <c r="A883" s="4" t="s">
        <v>909</v>
      </c>
      <c r="B883" t="s">
        <v>19</v>
      </c>
      <c r="C883" t="s">
        <v>4</v>
      </c>
      <c r="D883" s="3">
        <f>MID(A883,1,2)*1</f>
        <v>6</v>
      </c>
      <c r="E883" s="4">
        <f>MID(A883,3,2)*1</f>
        <v>29</v>
      </c>
      <c r="F883" s="4">
        <f>MID(A883,5,2)*1</f>
        <v>7</v>
      </c>
      <c r="G883" s="3">
        <f>IF(E883&gt;=20,2000,1900) + D883</f>
        <v>2006</v>
      </c>
      <c r="H883">
        <f>IF(E883&gt;=20,E883-20,E883)</f>
        <v>9</v>
      </c>
      <c r="I883" s="4">
        <f>F883</f>
        <v>7</v>
      </c>
      <c r="J883">
        <f>CONCATENATE(G883,IF(LEN(H883)=1,CONCATENATE("0",H883),H883),IF(LEN(F883)=1,CONCATENATE("0",F883),F883))*1</f>
        <v>20060907</v>
      </c>
    </row>
    <row r="884" spans="1:10" hidden="1" x14ac:dyDescent="0.25">
      <c r="A884" s="4" t="s">
        <v>910</v>
      </c>
      <c r="B884" t="s">
        <v>11</v>
      </c>
      <c r="C884" t="s">
        <v>4</v>
      </c>
      <c r="D884" s="3">
        <f>MID(A884,1,2)*1</f>
        <v>0</v>
      </c>
      <c r="E884" s="4">
        <f>MID(A884,3,2)*1</f>
        <v>30</v>
      </c>
      <c r="F884" s="4">
        <f>MID(A884,5,2)*1</f>
        <v>12</v>
      </c>
      <c r="G884" s="3">
        <f>IF(E884&gt;=20,2000,1900) + D884</f>
        <v>2000</v>
      </c>
      <c r="H884">
        <f>IF(E884&gt;=20,E884-20,E884)</f>
        <v>10</v>
      </c>
      <c r="I884" s="4">
        <f>F884</f>
        <v>12</v>
      </c>
      <c r="J884">
        <f>CONCATENATE(G884,IF(LEN(H884)=1,CONCATENATE("0",H884),H884),IF(LEN(F884)=1,CONCATENATE("0",F884),F884))*1</f>
        <v>20001012</v>
      </c>
    </row>
    <row r="885" spans="1:10" hidden="1" x14ac:dyDescent="0.25">
      <c r="A885" s="4" t="s">
        <v>911</v>
      </c>
      <c r="B885" t="s">
        <v>13</v>
      </c>
      <c r="C885" t="s">
        <v>6</v>
      </c>
      <c r="D885" s="3">
        <f>MID(A885,1,2)*1</f>
        <v>18</v>
      </c>
      <c r="E885" s="4">
        <f>MID(A885,3,2)*1</f>
        <v>21</v>
      </c>
      <c r="F885" s="4">
        <f>MID(A885,5,2)*1</f>
        <v>12</v>
      </c>
      <c r="G885" s="3">
        <f>IF(E885&gt;=20,2000,1900) + D885</f>
        <v>2018</v>
      </c>
      <c r="H885">
        <f>IF(E885&gt;=20,E885-20,E885)</f>
        <v>1</v>
      </c>
      <c r="I885" s="4">
        <f>F885</f>
        <v>12</v>
      </c>
      <c r="J885">
        <f>CONCATENATE(G885,IF(LEN(H885)=1,CONCATENATE("0",H885),H885),IF(LEN(F885)=1,CONCATENATE("0",F885),F885))*1</f>
        <v>20180112</v>
      </c>
    </row>
    <row r="886" spans="1:10" hidden="1" x14ac:dyDescent="0.25">
      <c r="A886" s="4" t="s">
        <v>912</v>
      </c>
      <c r="B886" t="s">
        <v>13</v>
      </c>
      <c r="C886" t="s">
        <v>4</v>
      </c>
      <c r="D886" s="3">
        <f>MID(A886,1,2)*1</f>
        <v>5</v>
      </c>
      <c r="E886" s="4">
        <f>MID(A886,3,2)*1</f>
        <v>28</v>
      </c>
      <c r="F886" s="4">
        <f>MID(A886,5,2)*1</f>
        <v>23</v>
      </c>
      <c r="G886" s="3">
        <f>IF(E886&gt;=20,2000,1900) + D886</f>
        <v>2005</v>
      </c>
      <c r="H886">
        <f>IF(E886&gt;=20,E886-20,E886)</f>
        <v>8</v>
      </c>
      <c r="I886" s="4">
        <f>F886</f>
        <v>23</v>
      </c>
      <c r="J886">
        <f>CONCATENATE(G886,IF(LEN(H886)=1,CONCATENATE("0",H886),H886),IF(LEN(F886)=1,CONCATENATE("0",F886),F886))*1</f>
        <v>20050823</v>
      </c>
    </row>
    <row r="887" spans="1:10" hidden="1" x14ac:dyDescent="0.25">
      <c r="A887" s="4" t="s">
        <v>913</v>
      </c>
      <c r="B887" t="s">
        <v>16</v>
      </c>
      <c r="C887" t="s">
        <v>4</v>
      </c>
      <c r="D887" s="3">
        <f>MID(A887,1,2)*1</f>
        <v>18</v>
      </c>
      <c r="E887" s="4">
        <f>MID(A887,3,2)*1</f>
        <v>24</v>
      </c>
      <c r="F887" s="4">
        <f>MID(A887,5,2)*1</f>
        <v>14</v>
      </c>
      <c r="G887" s="3">
        <f>IF(E887&gt;=20,2000,1900) + D887</f>
        <v>2018</v>
      </c>
      <c r="H887">
        <f>IF(E887&gt;=20,E887-20,E887)</f>
        <v>4</v>
      </c>
      <c r="I887" s="4">
        <f>F887</f>
        <v>14</v>
      </c>
      <c r="J887">
        <f>CONCATENATE(G887,IF(LEN(H887)=1,CONCATENATE("0",H887),H887),IF(LEN(F887)=1,CONCATENATE("0",F887),F887))*1</f>
        <v>20180414</v>
      </c>
    </row>
    <row r="888" spans="1:10" hidden="1" x14ac:dyDescent="0.25">
      <c r="A888" s="4" t="s">
        <v>914</v>
      </c>
      <c r="B888" t="s">
        <v>20</v>
      </c>
      <c r="C888" t="s">
        <v>6</v>
      </c>
      <c r="D888" s="3">
        <f>MID(A888,1,2)*1</f>
        <v>16</v>
      </c>
      <c r="E888" s="4">
        <f>MID(A888,3,2)*1</f>
        <v>31</v>
      </c>
      <c r="F888" s="4">
        <f>MID(A888,5,2)*1</f>
        <v>20</v>
      </c>
      <c r="G888" s="3">
        <f>IF(E888&gt;=20,2000,1900) + D888</f>
        <v>2016</v>
      </c>
      <c r="H888">
        <f>IF(E888&gt;=20,E888-20,E888)</f>
        <v>11</v>
      </c>
      <c r="I888" s="4">
        <f>F888</f>
        <v>20</v>
      </c>
      <c r="J888">
        <f>CONCATENATE(G888,IF(LEN(H888)=1,CONCATENATE("0",H888),H888),IF(LEN(F888)=1,CONCATENATE("0",F888),F888))*1</f>
        <v>20161120</v>
      </c>
    </row>
    <row r="889" spans="1:10" hidden="1" x14ac:dyDescent="0.25">
      <c r="A889" s="4" t="s">
        <v>915</v>
      </c>
      <c r="B889" t="s">
        <v>9</v>
      </c>
      <c r="C889" t="s">
        <v>4</v>
      </c>
      <c r="D889" s="3">
        <f>MID(A889,1,2)*1</f>
        <v>9</v>
      </c>
      <c r="E889" s="4">
        <f>MID(A889,3,2)*1</f>
        <v>32</v>
      </c>
      <c r="F889" s="4">
        <f>MID(A889,5,2)*1</f>
        <v>15</v>
      </c>
      <c r="G889" s="3">
        <f>IF(E889&gt;=20,2000,1900) + D889</f>
        <v>2009</v>
      </c>
      <c r="H889">
        <f>IF(E889&gt;=20,E889-20,E889)</f>
        <v>12</v>
      </c>
      <c r="I889" s="4">
        <f>F889</f>
        <v>15</v>
      </c>
      <c r="J889">
        <f>CONCATENATE(G889,IF(LEN(H889)=1,CONCATENATE("0",H889),H889),IF(LEN(F889)=1,CONCATENATE("0",F889),F889))*1</f>
        <v>20091215</v>
      </c>
    </row>
    <row r="890" spans="1:10" hidden="1" x14ac:dyDescent="0.25">
      <c r="A890" s="4" t="s">
        <v>916</v>
      </c>
      <c r="B890" t="s">
        <v>10</v>
      </c>
      <c r="C890" t="s">
        <v>6</v>
      </c>
      <c r="D890" s="3">
        <f>MID(A890,1,2)*1</f>
        <v>8</v>
      </c>
      <c r="E890" s="4">
        <f>MID(A890,3,2)*1</f>
        <v>27</v>
      </c>
      <c r="F890" s="4">
        <f>MID(A890,5,2)*1</f>
        <v>17</v>
      </c>
      <c r="G890" s="3">
        <f>IF(E890&gt;=20,2000,1900) + D890</f>
        <v>2008</v>
      </c>
      <c r="H890">
        <f>IF(E890&gt;=20,E890-20,E890)</f>
        <v>7</v>
      </c>
      <c r="I890" s="4">
        <f>F890</f>
        <v>17</v>
      </c>
      <c r="J890">
        <f>CONCATENATE(G890,IF(LEN(H890)=1,CONCATENATE("0",H890),H890),IF(LEN(F890)=1,CONCATENATE("0",F890),F890))*1</f>
        <v>20080717</v>
      </c>
    </row>
    <row r="891" spans="1:10" hidden="1" x14ac:dyDescent="0.25">
      <c r="A891" s="4" t="s">
        <v>917</v>
      </c>
      <c r="B891" t="s">
        <v>9</v>
      </c>
      <c r="C891" t="s">
        <v>6</v>
      </c>
      <c r="D891" s="3">
        <f>MID(A891,1,2)*1</f>
        <v>10</v>
      </c>
      <c r="E891" s="4">
        <f>MID(A891,3,2)*1</f>
        <v>31</v>
      </c>
      <c r="F891" s="4">
        <f>MID(A891,5,2)*1</f>
        <v>10</v>
      </c>
      <c r="G891" s="3">
        <f>IF(E891&gt;=20,2000,1900) + D891</f>
        <v>2010</v>
      </c>
      <c r="H891">
        <f>IF(E891&gt;=20,E891-20,E891)</f>
        <v>11</v>
      </c>
      <c r="I891" s="4">
        <f>F891</f>
        <v>10</v>
      </c>
      <c r="J891">
        <f>CONCATENATE(G891,IF(LEN(H891)=1,CONCATENATE("0",H891),H891),IF(LEN(F891)=1,CONCATENATE("0",F891),F891))*1</f>
        <v>20101110</v>
      </c>
    </row>
    <row r="892" spans="1:10" hidden="1" x14ac:dyDescent="0.25">
      <c r="A892" s="4" t="s">
        <v>918</v>
      </c>
      <c r="B892" t="s">
        <v>19</v>
      </c>
      <c r="C892" t="s">
        <v>4</v>
      </c>
      <c r="D892" s="3">
        <f>MID(A892,1,2)*1</f>
        <v>14</v>
      </c>
      <c r="E892" s="4">
        <f>MID(A892,3,2)*1</f>
        <v>28</v>
      </c>
      <c r="F892" s="4">
        <f>MID(A892,5,2)*1</f>
        <v>12</v>
      </c>
      <c r="G892" s="3">
        <f>IF(E892&gt;=20,2000,1900) + D892</f>
        <v>2014</v>
      </c>
      <c r="H892">
        <f>IF(E892&gt;=20,E892-20,E892)</f>
        <v>8</v>
      </c>
      <c r="I892" s="4">
        <f>F892</f>
        <v>12</v>
      </c>
      <c r="J892">
        <f>CONCATENATE(G892,IF(LEN(H892)=1,CONCATENATE("0",H892),H892),IF(LEN(F892)=1,CONCATENATE("0",F892),F892))*1</f>
        <v>20140812</v>
      </c>
    </row>
    <row r="893" spans="1:10" hidden="1" x14ac:dyDescent="0.25">
      <c r="A893" s="4" t="s">
        <v>919</v>
      </c>
      <c r="B893" t="s">
        <v>13</v>
      </c>
      <c r="C893" t="s">
        <v>6</v>
      </c>
      <c r="D893" s="3">
        <f>MID(A893,1,2)*1</f>
        <v>3</v>
      </c>
      <c r="E893" s="4">
        <f>MID(A893,3,2)*1</f>
        <v>24</v>
      </c>
      <c r="F893" s="4">
        <f>MID(A893,5,2)*1</f>
        <v>15</v>
      </c>
      <c r="G893" s="3">
        <f>IF(E893&gt;=20,2000,1900) + D893</f>
        <v>2003</v>
      </c>
      <c r="H893">
        <f>IF(E893&gt;=20,E893-20,E893)</f>
        <v>4</v>
      </c>
      <c r="I893" s="4">
        <f>F893</f>
        <v>15</v>
      </c>
      <c r="J893">
        <f>CONCATENATE(G893,IF(LEN(H893)=1,CONCATENATE("0",H893),H893),IF(LEN(F893)=1,CONCATENATE("0",F893),F893))*1</f>
        <v>20030415</v>
      </c>
    </row>
    <row r="894" spans="1:10" hidden="1" x14ac:dyDescent="0.25">
      <c r="A894" s="4" t="s">
        <v>920</v>
      </c>
      <c r="B894" t="s">
        <v>16</v>
      </c>
      <c r="C894" t="s">
        <v>4</v>
      </c>
      <c r="D894" s="3">
        <f>MID(A894,1,2)*1</f>
        <v>2</v>
      </c>
      <c r="E894" s="4">
        <f>MID(A894,3,2)*1</f>
        <v>27</v>
      </c>
      <c r="F894" s="4">
        <f>MID(A894,5,2)*1</f>
        <v>20</v>
      </c>
      <c r="G894" s="3">
        <f>IF(E894&gt;=20,2000,1900) + D894</f>
        <v>2002</v>
      </c>
      <c r="H894">
        <f>IF(E894&gt;=20,E894-20,E894)</f>
        <v>7</v>
      </c>
      <c r="I894" s="4">
        <f>F894</f>
        <v>20</v>
      </c>
      <c r="J894">
        <f>CONCATENATE(G894,IF(LEN(H894)=1,CONCATENATE("0",H894),H894),IF(LEN(F894)=1,CONCATENATE("0",F894),F894))*1</f>
        <v>20020720</v>
      </c>
    </row>
    <row r="895" spans="1:10" hidden="1" x14ac:dyDescent="0.25">
      <c r="A895" s="4" t="s">
        <v>921</v>
      </c>
      <c r="B895" t="s">
        <v>13</v>
      </c>
      <c r="C895" t="s">
        <v>4</v>
      </c>
      <c r="D895" s="3">
        <f>MID(A895,1,2)*1</f>
        <v>17</v>
      </c>
      <c r="E895" s="4">
        <f>MID(A895,3,2)*1</f>
        <v>28</v>
      </c>
      <c r="F895" s="4">
        <f>MID(A895,5,2)*1</f>
        <v>23</v>
      </c>
      <c r="G895" s="3">
        <f>IF(E895&gt;=20,2000,1900) + D895</f>
        <v>2017</v>
      </c>
      <c r="H895">
        <f>IF(E895&gt;=20,E895-20,E895)</f>
        <v>8</v>
      </c>
      <c r="I895" s="4">
        <f>F895</f>
        <v>23</v>
      </c>
      <c r="J895">
        <f>CONCATENATE(G895,IF(LEN(H895)=1,CONCATENATE("0",H895),H895),IF(LEN(F895)=1,CONCATENATE("0",F895),F895))*1</f>
        <v>20170823</v>
      </c>
    </row>
    <row r="896" spans="1:10" hidden="1" x14ac:dyDescent="0.25">
      <c r="A896" s="4" t="s">
        <v>922</v>
      </c>
      <c r="B896" t="s">
        <v>5</v>
      </c>
      <c r="C896" t="s">
        <v>6</v>
      </c>
      <c r="D896" s="3">
        <f>MID(A896,1,2)*1</f>
        <v>3</v>
      </c>
      <c r="E896" s="4">
        <f>MID(A896,3,2)*1</f>
        <v>24</v>
      </c>
      <c r="F896" s="4">
        <f>MID(A896,5,2)*1</f>
        <v>18</v>
      </c>
      <c r="G896" s="3">
        <f>IF(E896&gt;=20,2000,1900) + D896</f>
        <v>2003</v>
      </c>
      <c r="H896">
        <f>IF(E896&gt;=20,E896-20,E896)</f>
        <v>4</v>
      </c>
      <c r="I896" s="4">
        <f>F896</f>
        <v>18</v>
      </c>
      <c r="J896">
        <f>CONCATENATE(G896,IF(LEN(H896)=1,CONCATENATE("0",H896),H896),IF(LEN(F896)=1,CONCATENATE("0",F896),F896))*1</f>
        <v>20030418</v>
      </c>
    </row>
    <row r="897" spans="1:10" hidden="1" x14ac:dyDescent="0.25">
      <c r="A897" s="4" t="s">
        <v>923</v>
      </c>
      <c r="B897" t="s">
        <v>9</v>
      </c>
      <c r="C897" t="s">
        <v>6</v>
      </c>
      <c r="D897" s="3">
        <f>MID(A897,1,2)*1</f>
        <v>10</v>
      </c>
      <c r="E897" s="4">
        <f>MID(A897,3,2)*1</f>
        <v>21</v>
      </c>
      <c r="F897" s="4">
        <f>MID(A897,5,2)*1</f>
        <v>7</v>
      </c>
      <c r="G897" s="3">
        <f>IF(E897&gt;=20,2000,1900) + D897</f>
        <v>2010</v>
      </c>
      <c r="H897">
        <f>IF(E897&gt;=20,E897-20,E897)</f>
        <v>1</v>
      </c>
      <c r="I897" s="4">
        <f>F897</f>
        <v>7</v>
      </c>
      <c r="J897">
        <f>CONCATENATE(G897,IF(LEN(H897)=1,CONCATENATE("0",H897),H897),IF(LEN(F897)=1,CONCATENATE("0",F897),F897))*1</f>
        <v>20100107</v>
      </c>
    </row>
    <row r="898" spans="1:10" hidden="1" x14ac:dyDescent="0.25">
      <c r="A898" s="4" t="s">
        <v>924</v>
      </c>
      <c r="B898" t="s">
        <v>19</v>
      </c>
      <c r="C898" t="s">
        <v>4</v>
      </c>
      <c r="D898" s="3">
        <f>MID(A898,1,2)*1</f>
        <v>12</v>
      </c>
      <c r="E898" s="4">
        <f>MID(A898,3,2)*1</f>
        <v>31</v>
      </c>
      <c r="F898" s="4">
        <f>MID(A898,5,2)*1</f>
        <v>7</v>
      </c>
      <c r="G898" s="3">
        <f>IF(E898&gt;=20,2000,1900) + D898</f>
        <v>2012</v>
      </c>
      <c r="H898">
        <f>IF(E898&gt;=20,E898-20,E898)</f>
        <v>11</v>
      </c>
      <c r="I898" s="4">
        <f>F898</f>
        <v>7</v>
      </c>
      <c r="J898">
        <f>CONCATENATE(G898,IF(LEN(H898)=1,CONCATENATE("0",H898),H898),IF(LEN(F898)=1,CONCATENATE("0",F898),F898))*1</f>
        <v>20121107</v>
      </c>
    </row>
    <row r="899" spans="1:10" hidden="1" x14ac:dyDescent="0.25">
      <c r="A899" s="4" t="s">
        <v>925</v>
      </c>
      <c r="B899" t="s">
        <v>10</v>
      </c>
      <c r="C899" t="s">
        <v>6</v>
      </c>
      <c r="D899" s="3">
        <f>MID(A899,1,2)*1</f>
        <v>14</v>
      </c>
      <c r="E899" s="4">
        <f>MID(A899,3,2)*1</f>
        <v>26</v>
      </c>
      <c r="F899" s="4">
        <f>MID(A899,5,2)*1</f>
        <v>28</v>
      </c>
      <c r="G899" s="3">
        <f>IF(E899&gt;=20,2000,1900) + D899</f>
        <v>2014</v>
      </c>
      <c r="H899">
        <f>IF(E899&gt;=20,E899-20,E899)</f>
        <v>6</v>
      </c>
      <c r="I899" s="4">
        <f>F899</f>
        <v>28</v>
      </c>
      <c r="J899">
        <f>CONCATENATE(G899,IF(LEN(H899)=1,CONCATENATE("0",H899),H899),IF(LEN(F899)=1,CONCATENATE("0",F899),F899))*1</f>
        <v>20140628</v>
      </c>
    </row>
    <row r="900" spans="1:10" hidden="1" x14ac:dyDescent="0.25">
      <c r="A900" s="4" t="s">
        <v>926</v>
      </c>
      <c r="B900" t="s">
        <v>3</v>
      </c>
      <c r="C900" t="s">
        <v>6</v>
      </c>
      <c r="D900" s="3">
        <f>MID(A900,1,2)*1</f>
        <v>16</v>
      </c>
      <c r="E900" s="4">
        <f>MID(A900,3,2)*1</f>
        <v>22</v>
      </c>
      <c r="F900" s="4">
        <f>MID(A900,5,2)*1</f>
        <v>14</v>
      </c>
      <c r="G900" s="3">
        <f>IF(E900&gt;=20,2000,1900) + D900</f>
        <v>2016</v>
      </c>
      <c r="H900">
        <f>IF(E900&gt;=20,E900-20,E900)</f>
        <v>2</v>
      </c>
      <c r="I900" s="4">
        <f>F900</f>
        <v>14</v>
      </c>
      <c r="J900">
        <f>CONCATENATE(G900,IF(LEN(H900)=1,CONCATENATE("0",H900),H900),IF(LEN(F900)=1,CONCATENATE("0",F900),F900))*1</f>
        <v>20160214</v>
      </c>
    </row>
    <row r="901" spans="1:10" hidden="1" x14ac:dyDescent="0.25">
      <c r="A901" s="4" t="s">
        <v>927</v>
      </c>
      <c r="B901" t="s">
        <v>12</v>
      </c>
      <c r="C901" t="s">
        <v>4</v>
      </c>
      <c r="D901" s="3">
        <f>MID(A901,1,2)*1</f>
        <v>6</v>
      </c>
      <c r="E901" s="4">
        <f>MID(A901,3,2)*1</f>
        <v>24</v>
      </c>
      <c r="F901" s="4">
        <f>MID(A901,5,2)*1</f>
        <v>9</v>
      </c>
      <c r="G901" s="3">
        <f>IF(E901&gt;=20,2000,1900) + D901</f>
        <v>2006</v>
      </c>
      <c r="H901">
        <f>IF(E901&gt;=20,E901-20,E901)</f>
        <v>4</v>
      </c>
      <c r="I901" s="4">
        <f>F901</f>
        <v>9</v>
      </c>
      <c r="J901">
        <f>CONCATENATE(G901,IF(LEN(H901)=1,CONCATENATE("0",H901),H901),IF(LEN(F901)=1,CONCATENATE("0",F901),F901))*1</f>
        <v>20060409</v>
      </c>
    </row>
    <row r="902" spans="1:10" hidden="1" x14ac:dyDescent="0.25">
      <c r="A902" s="4" t="s">
        <v>928</v>
      </c>
      <c r="B902" t="s">
        <v>9</v>
      </c>
      <c r="C902" t="s">
        <v>4</v>
      </c>
      <c r="D902" s="3">
        <f>MID(A902,1,2)*1</f>
        <v>20</v>
      </c>
      <c r="E902" s="4">
        <f>MID(A902,3,2)*1</f>
        <v>23</v>
      </c>
      <c r="F902" s="4">
        <f>MID(A902,5,2)*1</f>
        <v>12</v>
      </c>
      <c r="G902" s="3">
        <f>IF(E902&gt;=20,2000,1900) + D902</f>
        <v>2020</v>
      </c>
      <c r="H902">
        <f>IF(E902&gt;=20,E902-20,E902)</f>
        <v>3</v>
      </c>
      <c r="I902" s="4">
        <f>F902</f>
        <v>12</v>
      </c>
      <c r="J902">
        <f>CONCATENATE(G902,IF(LEN(H902)=1,CONCATENATE("0",H902),H902),IF(LEN(F902)=1,CONCATENATE("0",F902),F902))*1</f>
        <v>20200312</v>
      </c>
    </row>
    <row r="903" spans="1:10" hidden="1" x14ac:dyDescent="0.25">
      <c r="A903" s="4" t="s">
        <v>929</v>
      </c>
      <c r="B903" t="s">
        <v>16</v>
      </c>
      <c r="C903" t="s">
        <v>6</v>
      </c>
      <c r="D903" s="3">
        <f>MID(A903,1,2)*1</f>
        <v>2</v>
      </c>
      <c r="E903" s="4">
        <f>MID(A903,3,2)*1</f>
        <v>26</v>
      </c>
      <c r="F903" s="4">
        <f>MID(A903,5,2)*1</f>
        <v>9</v>
      </c>
      <c r="G903" s="3">
        <f>IF(E903&gt;=20,2000,1900) + D903</f>
        <v>2002</v>
      </c>
      <c r="H903">
        <f>IF(E903&gt;=20,E903-20,E903)</f>
        <v>6</v>
      </c>
      <c r="I903" s="4">
        <f>F903</f>
        <v>9</v>
      </c>
      <c r="J903">
        <f>CONCATENATE(G903,IF(LEN(H903)=1,CONCATENATE("0",H903),H903),IF(LEN(F903)=1,CONCATENATE("0",F903),F903))*1</f>
        <v>20020609</v>
      </c>
    </row>
    <row r="904" spans="1:10" hidden="1" x14ac:dyDescent="0.25">
      <c r="A904" s="4" t="s">
        <v>930</v>
      </c>
      <c r="B904" t="s">
        <v>3</v>
      </c>
      <c r="C904" t="s">
        <v>6</v>
      </c>
      <c r="D904" s="3">
        <f>MID(A904,1,2)*1</f>
        <v>15</v>
      </c>
      <c r="E904" s="4">
        <f>MID(A904,3,2)*1</f>
        <v>30</v>
      </c>
      <c r="F904" s="4">
        <f>MID(A904,5,2)*1</f>
        <v>4</v>
      </c>
      <c r="G904" s="3">
        <f>IF(E904&gt;=20,2000,1900) + D904</f>
        <v>2015</v>
      </c>
      <c r="H904">
        <f>IF(E904&gt;=20,E904-20,E904)</f>
        <v>10</v>
      </c>
      <c r="I904" s="4">
        <f>F904</f>
        <v>4</v>
      </c>
      <c r="J904">
        <f>CONCATENATE(G904,IF(LEN(H904)=1,CONCATENATE("0",H904),H904),IF(LEN(F904)=1,CONCATENATE("0",F904),F904))*1</f>
        <v>20151004</v>
      </c>
    </row>
    <row r="905" spans="1:10" hidden="1" x14ac:dyDescent="0.25">
      <c r="A905" s="4" t="s">
        <v>931</v>
      </c>
      <c r="B905" t="s">
        <v>7</v>
      </c>
      <c r="C905" t="s">
        <v>4</v>
      </c>
      <c r="D905" s="3">
        <f>MID(A905,1,2)*1</f>
        <v>12</v>
      </c>
      <c r="E905" s="4">
        <f>MID(A905,3,2)*1</f>
        <v>24</v>
      </c>
      <c r="F905" s="4">
        <f>MID(A905,5,2)*1</f>
        <v>16</v>
      </c>
      <c r="G905" s="3">
        <f>IF(E905&gt;=20,2000,1900) + D905</f>
        <v>2012</v>
      </c>
      <c r="H905">
        <f>IF(E905&gt;=20,E905-20,E905)</f>
        <v>4</v>
      </c>
      <c r="I905" s="4">
        <f>F905</f>
        <v>16</v>
      </c>
      <c r="J905">
        <f>CONCATENATE(G905,IF(LEN(H905)=1,CONCATENATE("0",H905),H905),IF(LEN(F905)=1,CONCATENATE("0",F905),F905))*1</f>
        <v>20120416</v>
      </c>
    </row>
    <row r="906" spans="1:10" hidden="1" x14ac:dyDescent="0.25">
      <c r="A906" s="4" t="s">
        <v>932</v>
      </c>
      <c r="B906" t="s">
        <v>11</v>
      </c>
      <c r="C906" t="s">
        <v>6</v>
      </c>
      <c r="D906" s="3">
        <f>MID(A906,1,2)*1</f>
        <v>13</v>
      </c>
      <c r="E906" s="4">
        <f>MID(A906,3,2)*1</f>
        <v>22</v>
      </c>
      <c r="F906" s="4">
        <f>MID(A906,5,2)*1</f>
        <v>24</v>
      </c>
      <c r="G906" s="3">
        <f>IF(E906&gt;=20,2000,1900) + D906</f>
        <v>2013</v>
      </c>
      <c r="H906">
        <f>IF(E906&gt;=20,E906-20,E906)</f>
        <v>2</v>
      </c>
      <c r="I906" s="4">
        <f>F906</f>
        <v>24</v>
      </c>
      <c r="J906">
        <f>CONCATENATE(G906,IF(LEN(H906)=1,CONCATENATE("0",H906),H906),IF(LEN(F906)=1,CONCATENATE("0",F906),F906))*1</f>
        <v>20130224</v>
      </c>
    </row>
    <row r="907" spans="1:10" hidden="1" x14ac:dyDescent="0.25">
      <c r="A907" s="4" t="s">
        <v>933</v>
      </c>
      <c r="B907" t="s">
        <v>8</v>
      </c>
      <c r="C907" t="s">
        <v>4</v>
      </c>
      <c r="D907" s="3">
        <f>MID(A907,1,2)*1</f>
        <v>20</v>
      </c>
      <c r="E907" s="4">
        <f>MID(A907,3,2)*1</f>
        <v>30</v>
      </c>
      <c r="F907" s="4">
        <f>MID(A907,5,2)*1</f>
        <v>31</v>
      </c>
      <c r="G907" s="3">
        <f>IF(E907&gt;=20,2000,1900) + D907</f>
        <v>2020</v>
      </c>
      <c r="H907">
        <f>IF(E907&gt;=20,E907-20,E907)</f>
        <v>10</v>
      </c>
      <c r="I907" s="4">
        <f>F907</f>
        <v>31</v>
      </c>
      <c r="J907">
        <f>CONCATENATE(G907,IF(LEN(H907)=1,CONCATENATE("0",H907),H907),IF(LEN(F907)=1,CONCATENATE("0",F907),F907))*1</f>
        <v>20201031</v>
      </c>
    </row>
    <row r="908" spans="1:10" hidden="1" x14ac:dyDescent="0.25">
      <c r="A908" s="4" t="s">
        <v>934</v>
      </c>
      <c r="B908" t="s">
        <v>16</v>
      </c>
      <c r="C908" t="s">
        <v>4</v>
      </c>
      <c r="D908" s="3">
        <f>MID(A908,1,2)*1</f>
        <v>14</v>
      </c>
      <c r="E908" s="4">
        <f>MID(A908,3,2)*1</f>
        <v>27</v>
      </c>
      <c r="F908" s="4">
        <f>MID(A908,5,2)*1</f>
        <v>18</v>
      </c>
      <c r="G908" s="3">
        <f>IF(E908&gt;=20,2000,1900) + D908</f>
        <v>2014</v>
      </c>
      <c r="H908">
        <f>IF(E908&gt;=20,E908-20,E908)</f>
        <v>7</v>
      </c>
      <c r="I908" s="4">
        <f>F908</f>
        <v>18</v>
      </c>
      <c r="J908">
        <f>CONCATENATE(G908,IF(LEN(H908)=1,CONCATENATE("0",H908),H908),IF(LEN(F908)=1,CONCATENATE("0",F908),F908))*1</f>
        <v>20140718</v>
      </c>
    </row>
    <row r="909" spans="1:10" hidden="1" x14ac:dyDescent="0.25">
      <c r="A909" s="4" t="s">
        <v>935</v>
      </c>
      <c r="B909" t="s">
        <v>7</v>
      </c>
      <c r="C909" t="s">
        <v>4</v>
      </c>
      <c r="D909" s="3">
        <f>MID(A909,1,2)*1</f>
        <v>6</v>
      </c>
      <c r="E909" s="4">
        <f>MID(A909,3,2)*1</f>
        <v>22</v>
      </c>
      <c r="F909" s="4">
        <f>MID(A909,5,2)*1</f>
        <v>3</v>
      </c>
      <c r="G909" s="3">
        <f>IF(E909&gt;=20,2000,1900) + D909</f>
        <v>2006</v>
      </c>
      <c r="H909">
        <f>IF(E909&gt;=20,E909-20,E909)</f>
        <v>2</v>
      </c>
      <c r="I909" s="4">
        <f>F909</f>
        <v>3</v>
      </c>
      <c r="J909">
        <f>CONCATENATE(G909,IF(LEN(H909)=1,CONCATENATE("0",H909),H909),IF(LEN(F909)=1,CONCATENATE("0",F909),F909))*1</f>
        <v>20060203</v>
      </c>
    </row>
    <row r="910" spans="1:10" hidden="1" x14ac:dyDescent="0.25">
      <c r="A910" s="4" t="s">
        <v>936</v>
      </c>
      <c r="B910" t="s">
        <v>13</v>
      </c>
      <c r="C910" t="s">
        <v>4</v>
      </c>
      <c r="D910" s="3">
        <f>MID(A910,1,2)*1</f>
        <v>7</v>
      </c>
      <c r="E910" s="4">
        <f>MID(A910,3,2)*1</f>
        <v>23</v>
      </c>
      <c r="F910" s="4">
        <f>MID(A910,5,2)*1</f>
        <v>16</v>
      </c>
      <c r="G910" s="3">
        <f>IF(E910&gt;=20,2000,1900) + D910</f>
        <v>2007</v>
      </c>
      <c r="H910">
        <f>IF(E910&gt;=20,E910-20,E910)</f>
        <v>3</v>
      </c>
      <c r="I910" s="4">
        <f>F910</f>
        <v>16</v>
      </c>
      <c r="J910">
        <f>CONCATENATE(G910,IF(LEN(H910)=1,CONCATENATE("0",H910),H910),IF(LEN(F910)=1,CONCATENATE("0",F910),F910))*1</f>
        <v>20070316</v>
      </c>
    </row>
    <row r="911" spans="1:10" hidden="1" x14ac:dyDescent="0.25">
      <c r="A911" s="4" t="s">
        <v>937</v>
      </c>
      <c r="B911" t="s">
        <v>16</v>
      </c>
      <c r="C911" t="s">
        <v>4</v>
      </c>
      <c r="D911" s="3">
        <f>MID(A911,1,2)*1</f>
        <v>7</v>
      </c>
      <c r="E911" s="4">
        <f>MID(A911,3,2)*1</f>
        <v>28</v>
      </c>
      <c r="F911" s="4">
        <f>MID(A911,5,2)*1</f>
        <v>21</v>
      </c>
      <c r="G911" s="3">
        <f>IF(E911&gt;=20,2000,1900) + D911</f>
        <v>2007</v>
      </c>
      <c r="H911">
        <f>IF(E911&gt;=20,E911-20,E911)</f>
        <v>8</v>
      </c>
      <c r="I911" s="4">
        <f>F911</f>
        <v>21</v>
      </c>
      <c r="J911">
        <f>CONCATENATE(G911,IF(LEN(H911)=1,CONCATENATE("0",H911),H911),IF(LEN(F911)=1,CONCATENATE("0",F911),F911))*1</f>
        <v>20070821</v>
      </c>
    </row>
    <row r="912" spans="1:10" hidden="1" x14ac:dyDescent="0.25">
      <c r="A912" s="4" t="s">
        <v>938</v>
      </c>
      <c r="B912" t="s">
        <v>15</v>
      </c>
      <c r="C912" t="s">
        <v>6</v>
      </c>
      <c r="D912" s="3">
        <f>MID(A912,1,2)*1</f>
        <v>13</v>
      </c>
      <c r="E912" s="4">
        <f>MID(A912,3,2)*1</f>
        <v>24</v>
      </c>
      <c r="F912" s="4">
        <f>MID(A912,5,2)*1</f>
        <v>27</v>
      </c>
      <c r="G912" s="3">
        <f>IF(E912&gt;=20,2000,1900) + D912</f>
        <v>2013</v>
      </c>
      <c r="H912">
        <f>IF(E912&gt;=20,E912-20,E912)</f>
        <v>4</v>
      </c>
      <c r="I912" s="4">
        <f>F912</f>
        <v>27</v>
      </c>
      <c r="J912">
        <f>CONCATENATE(G912,IF(LEN(H912)=1,CONCATENATE("0",H912),H912),IF(LEN(F912)=1,CONCATENATE("0",F912),F912))*1</f>
        <v>20130427</v>
      </c>
    </row>
    <row r="913" spans="1:10" hidden="1" x14ac:dyDescent="0.25">
      <c r="A913" s="4" t="s">
        <v>939</v>
      </c>
      <c r="B913" t="s">
        <v>19</v>
      </c>
      <c r="C913" t="s">
        <v>6</v>
      </c>
      <c r="D913" s="3">
        <f>MID(A913,1,2)*1</f>
        <v>22</v>
      </c>
      <c r="E913" s="4">
        <f>MID(A913,3,2)*1</f>
        <v>27</v>
      </c>
      <c r="F913" s="4">
        <f>MID(A913,5,2)*1</f>
        <v>1</v>
      </c>
      <c r="G913" s="3">
        <f>IF(E913&gt;=20,2000,1900) + D913</f>
        <v>2022</v>
      </c>
      <c r="H913">
        <f>IF(E913&gt;=20,E913-20,E913)</f>
        <v>7</v>
      </c>
      <c r="I913" s="4">
        <f>F913</f>
        <v>1</v>
      </c>
      <c r="J913">
        <f>CONCATENATE(G913,IF(LEN(H913)=1,CONCATENATE("0",H913),H913),IF(LEN(F913)=1,CONCATENATE("0",F913),F913))*1</f>
        <v>20220701</v>
      </c>
    </row>
    <row r="914" spans="1:10" hidden="1" x14ac:dyDescent="0.25">
      <c r="A914" s="4" t="s">
        <v>940</v>
      </c>
      <c r="B914" t="s">
        <v>3</v>
      </c>
      <c r="C914" t="s">
        <v>6</v>
      </c>
      <c r="D914" s="3">
        <f>MID(A914,1,2)*1</f>
        <v>15</v>
      </c>
      <c r="E914" s="4">
        <f>MID(A914,3,2)*1</f>
        <v>22</v>
      </c>
      <c r="F914" s="4">
        <f>MID(A914,5,2)*1</f>
        <v>3</v>
      </c>
      <c r="G914" s="3">
        <f>IF(E914&gt;=20,2000,1900) + D914</f>
        <v>2015</v>
      </c>
      <c r="H914">
        <f>IF(E914&gt;=20,E914-20,E914)</f>
        <v>2</v>
      </c>
      <c r="I914" s="4">
        <f>F914</f>
        <v>3</v>
      </c>
      <c r="J914">
        <f>CONCATENATE(G914,IF(LEN(H914)=1,CONCATENATE("0",H914),H914),IF(LEN(F914)=1,CONCATENATE("0",F914),F914))*1</f>
        <v>20150203</v>
      </c>
    </row>
    <row r="915" spans="1:10" hidden="1" x14ac:dyDescent="0.25">
      <c r="A915" s="4" t="s">
        <v>941</v>
      </c>
      <c r="B915" t="s">
        <v>14</v>
      </c>
      <c r="C915" t="s">
        <v>6</v>
      </c>
      <c r="D915" s="3">
        <f>MID(A915,1,2)*1</f>
        <v>16</v>
      </c>
      <c r="E915" s="4">
        <f>MID(A915,3,2)*1</f>
        <v>32</v>
      </c>
      <c r="F915" s="4">
        <f>MID(A915,5,2)*1</f>
        <v>30</v>
      </c>
      <c r="G915" s="3">
        <f>IF(E915&gt;=20,2000,1900) + D915</f>
        <v>2016</v>
      </c>
      <c r="H915">
        <f>IF(E915&gt;=20,E915-20,E915)</f>
        <v>12</v>
      </c>
      <c r="I915" s="4">
        <f>F915</f>
        <v>30</v>
      </c>
      <c r="J915">
        <f>CONCATENATE(G915,IF(LEN(H915)=1,CONCATENATE("0",H915),H915),IF(LEN(F915)=1,CONCATENATE("0",F915),F915))*1</f>
        <v>20161230</v>
      </c>
    </row>
    <row r="916" spans="1:10" hidden="1" x14ac:dyDescent="0.25">
      <c r="A916" s="4" t="s">
        <v>942</v>
      </c>
      <c r="B916" t="s">
        <v>14</v>
      </c>
      <c r="C916" t="s">
        <v>4</v>
      </c>
      <c r="D916" s="3">
        <f>MID(A916,1,2)*1</f>
        <v>17</v>
      </c>
      <c r="E916" s="4">
        <f>MID(A916,3,2)*1</f>
        <v>21</v>
      </c>
      <c r="F916" s="4">
        <f>MID(A916,5,2)*1</f>
        <v>29</v>
      </c>
      <c r="G916" s="3">
        <f>IF(E916&gt;=20,2000,1900) + D916</f>
        <v>2017</v>
      </c>
      <c r="H916">
        <f>IF(E916&gt;=20,E916-20,E916)</f>
        <v>1</v>
      </c>
      <c r="I916" s="4">
        <f>F916</f>
        <v>29</v>
      </c>
      <c r="J916">
        <f>CONCATENATE(G916,IF(LEN(H916)=1,CONCATENATE("0",H916),H916),IF(LEN(F916)=1,CONCATENATE("0",F916),F916))*1</f>
        <v>20170129</v>
      </c>
    </row>
    <row r="917" spans="1:10" hidden="1" x14ac:dyDescent="0.25">
      <c r="A917" s="4" t="s">
        <v>943</v>
      </c>
      <c r="B917" t="s">
        <v>7</v>
      </c>
      <c r="C917" t="s">
        <v>6</v>
      </c>
      <c r="D917" s="3">
        <f>MID(A917,1,2)*1</f>
        <v>6</v>
      </c>
      <c r="E917" s="4">
        <f>MID(A917,3,2)*1</f>
        <v>28</v>
      </c>
      <c r="F917" s="4">
        <f>MID(A917,5,2)*1</f>
        <v>9</v>
      </c>
      <c r="G917" s="3">
        <f>IF(E917&gt;=20,2000,1900) + D917</f>
        <v>2006</v>
      </c>
      <c r="H917">
        <f>IF(E917&gt;=20,E917-20,E917)</f>
        <v>8</v>
      </c>
      <c r="I917" s="4">
        <f>F917</f>
        <v>9</v>
      </c>
      <c r="J917">
        <f>CONCATENATE(G917,IF(LEN(H917)=1,CONCATENATE("0",H917),H917),IF(LEN(F917)=1,CONCATENATE("0",F917),F917))*1</f>
        <v>20060809</v>
      </c>
    </row>
    <row r="918" spans="1:10" hidden="1" x14ac:dyDescent="0.25">
      <c r="A918" s="4" t="s">
        <v>944</v>
      </c>
      <c r="B918" t="s">
        <v>15</v>
      </c>
      <c r="C918" t="s">
        <v>6</v>
      </c>
      <c r="D918" s="3">
        <f>MID(A918,1,2)*1</f>
        <v>20</v>
      </c>
      <c r="E918" s="4">
        <f>MID(A918,3,2)*1</f>
        <v>30</v>
      </c>
      <c r="F918" s="4">
        <f>MID(A918,5,2)*1</f>
        <v>12</v>
      </c>
      <c r="G918" s="3">
        <f>IF(E918&gt;=20,2000,1900) + D918</f>
        <v>2020</v>
      </c>
      <c r="H918">
        <f>IF(E918&gt;=20,E918-20,E918)</f>
        <v>10</v>
      </c>
      <c r="I918" s="4">
        <f>F918</f>
        <v>12</v>
      </c>
      <c r="J918">
        <f>CONCATENATE(G918,IF(LEN(H918)=1,CONCATENATE("0",H918),H918),IF(LEN(F918)=1,CONCATENATE("0",F918),F918))*1</f>
        <v>20201012</v>
      </c>
    </row>
    <row r="919" spans="1:10" hidden="1" x14ac:dyDescent="0.25">
      <c r="A919" s="4" t="s">
        <v>945</v>
      </c>
      <c r="B919" t="s">
        <v>3</v>
      </c>
      <c r="C919" t="s">
        <v>6</v>
      </c>
      <c r="D919" s="3">
        <f>MID(A919,1,2)*1</f>
        <v>1</v>
      </c>
      <c r="E919" s="4">
        <f>MID(A919,3,2)*1</f>
        <v>30</v>
      </c>
      <c r="F919" s="4">
        <f>MID(A919,5,2)*1</f>
        <v>8</v>
      </c>
      <c r="G919" s="3">
        <f>IF(E919&gt;=20,2000,1900) + D919</f>
        <v>2001</v>
      </c>
      <c r="H919">
        <f>IF(E919&gt;=20,E919-20,E919)</f>
        <v>10</v>
      </c>
      <c r="I919" s="4">
        <f>F919</f>
        <v>8</v>
      </c>
      <c r="J919">
        <f>CONCATENATE(G919,IF(LEN(H919)=1,CONCATENATE("0",H919),H919),IF(LEN(F919)=1,CONCATENATE("0",F919),F919))*1</f>
        <v>20011008</v>
      </c>
    </row>
    <row r="920" spans="1:10" hidden="1" x14ac:dyDescent="0.25">
      <c r="A920" s="4" t="s">
        <v>946</v>
      </c>
      <c r="B920" t="s">
        <v>3</v>
      </c>
      <c r="C920" t="s">
        <v>6</v>
      </c>
      <c r="D920" s="3">
        <f>MID(A920,1,2)*1</f>
        <v>21</v>
      </c>
      <c r="E920" s="4">
        <f>MID(A920,3,2)*1</f>
        <v>29</v>
      </c>
      <c r="F920" s="4">
        <f>MID(A920,5,2)*1</f>
        <v>28</v>
      </c>
      <c r="G920" s="3">
        <f>IF(E920&gt;=20,2000,1900) + D920</f>
        <v>2021</v>
      </c>
      <c r="H920">
        <f>IF(E920&gt;=20,E920-20,E920)</f>
        <v>9</v>
      </c>
      <c r="I920" s="4">
        <f>F920</f>
        <v>28</v>
      </c>
      <c r="J920">
        <f>CONCATENATE(G920,IF(LEN(H920)=1,CONCATENATE("0",H920),H920),IF(LEN(F920)=1,CONCATENATE("0",F920),F920))*1</f>
        <v>20210928</v>
      </c>
    </row>
    <row r="921" spans="1:10" hidden="1" x14ac:dyDescent="0.25">
      <c r="A921" s="4" t="s">
        <v>947</v>
      </c>
      <c r="B921" t="s">
        <v>17</v>
      </c>
      <c r="C921" t="s">
        <v>6</v>
      </c>
      <c r="D921" s="3">
        <f>MID(A921,1,2)*1</f>
        <v>9</v>
      </c>
      <c r="E921" s="4">
        <f>MID(A921,3,2)*1</f>
        <v>31</v>
      </c>
      <c r="F921" s="4">
        <f>MID(A921,5,2)*1</f>
        <v>9</v>
      </c>
      <c r="G921" s="3">
        <f>IF(E921&gt;=20,2000,1900) + D921</f>
        <v>2009</v>
      </c>
      <c r="H921">
        <f>IF(E921&gt;=20,E921-20,E921)</f>
        <v>11</v>
      </c>
      <c r="I921" s="4">
        <f>F921</f>
        <v>9</v>
      </c>
      <c r="J921">
        <f>CONCATENATE(G921,IF(LEN(H921)=1,CONCATENATE("0",H921),H921),IF(LEN(F921)=1,CONCATENATE("0",F921),F921))*1</f>
        <v>20091109</v>
      </c>
    </row>
    <row r="922" spans="1:10" hidden="1" x14ac:dyDescent="0.25">
      <c r="A922" s="4" t="s">
        <v>948</v>
      </c>
      <c r="B922" t="s">
        <v>11</v>
      </c>
      <c r="C922" t="s">
        <v>6</v>
      </c>
      <c r="D922" s="3">
        <f>MID(A922,1,2)*1</f>
        <v>0</v>
      </c>
      <c r="E922" s="4">
        <f>MID(A922,3,2)*1</f>
        <v>30</v>
      </c>
      <c r="F922" s="4">
        <f>MID(A922,5,2)*1</f>
        <v>19</v>
      </c>
      <c r="G922" s="3">
        <f>IF(E922&gt;=20,2000,1900) + D922</f>
        <v>2000</v>
      </c>
      <c r="H922">
        <f>IF(E922&gt;=20,E922-20,E922)</f>
        <v>10</v>
      </c>
      <c r="I922" s="4">
        <f>F922</f>
        <v>19</v>
      </c>
      <c r="J922">
        <f>CONCATENATE(G922,IF(LEN(H922)=1,CONCATENATE("0",H922),H922),IF(LEN(F922)=1,CONCATENATE("0",F922),F922))*1</f>
        <v>20001019</v>
      </c>
    </row>
    <row r="923" spans="1:10" hidden="1" x14ac:dyDescent="0.25">
      <c r="A923" s="4" t="s">
        <v>949</v>
      </c>
      <c r="B923" t="s">
        <v>15</v>
      </c>
      <c r="C923" t="s">
        <v>6</v>
      </c>
      <c r="D923" s="3">
        <f>MID(A923,1,2)*1</f>
        <v>1</v>
      </c>
      <c r="E923" s="4">
        <f>MID(A923,3,2)*1</f>
        <v>24</v>
      </c>
      <c r="F923" s="4">
        <f>MID(A923,5,2)*1</f>
        <v>13</v>
      </c>
      <c r="G923" s="3">
        <f>IF(E923&gt;=20,2000,1900) + D923</f>
        <v>2001</v>
      </c>
      <c r="H923">
        <f>IF(E923&gt;=20,E923-20,E923)</f>
        <v>4</v>
      </c>
      <c r="I923" s="4">
        <f>F923</f>
        <v>13</v>
      </c>
      <c r="J923">
        <f>CONCATENATE(G923,IF(LEN(H923)=1,CONCATENATE("0",H923),H923),IF(LEN(F923)=1,CONCATENATE("0",F923),F923))*1</f>
        <v>20010413</v>
      </c>
    </row>
    <row r="924" spans="1:10" hidden="1" x14ac:dyDescent="0.25">
      <c r="A924" s="4" t="s">
        <v>950</v>
      </c>
      <c r="B924" t="s">
        <v>7</v>
      </c>
      <c r="C924" t="s">
        <v>4</v>
      </c>
      <c r="D924" s="3">
        <f>MID(A924,1,2)*1</f>
        <v>20</v>
      </c>
      <c r="E924" s="4">
        <f>MID(A924,3,2)*1</f>
        <v>24</v>
      </c>
      <c r="F924" s="4">
        <f>MID(A924,5,2)*1</f>
        <v>22</v>
      </c>
      <c r="G924" s="3">
        <f>IF(E924&gt;=20,2000,1900) + D924</f>
        <v>2020</v>
      </c>
      <c r="H924">
        <f>IF(E924&gt;=20,E924-20,E924)</f>
        <v>4</v>
      </c>
      <c r="I924" s="4">
        <f>F924</f>
        <v>22</v>
      </c>
      <c r="J924">
        <f>CONCATENATE(G924,IF(LEN(H924)=1,CONCATENATE("0",H924),H924),IF(LEN(F924)=1,CONCATENATE("0",F924),F924))*1</f>
        <v>20200422</v>
      </c>
    </row>
    <row r="925" spans="1:10" hidden="1" x14ac:dyDescent="0.25">
      <c r="A925" s="4" t="s">
        <v>951</v>
      </c>
      <c r="B925" t="s">
        <v>7</v>
      </c>
      <c r="C925" t="s">
        <v>4</v>
      </c>
      <c r="D925" s="3">
        <f>MID(A925,1,2)*1</f>
        <v>0</v>
      </c>
      <c r="E925" s="4">
        <f>MID(A925,3,2)*1</f>
        <v>23</v>
      </c>
      <c r="F925" s="4">
        <f>MID(A925,5,2)*1</f>
        <v>11</v>
      </c>
      <c r="G925" s="3">
        <f>IF(E925&gt;=20,2000,1900) + D925</f>
        <v>2000</v>
      </c>
      <c r="H925">
        <f>IF(E925&gt;=20,E925-20,E925)</f>
        <v>3</v>
      </c>
      <c r="I925" s="4">
        <f>F925</f>
        <v>11</v>
      </c>
      <c r="J925">
        <f>CONCATENATE(G925,IF(LEN(H925)=1,CONCATENATE("0",H925),H925),IF(LEN(F925)=1,CONCATENATE("0",F925),F925))*1</f>
        <v>20000311</v>
      </c>
    </row>
    <row r="926" spans="1:10" hidden="1" x14ac:dyDescent="0.25">
      <c r="A926" s="4" t="s">
        <v>952</v>
      </c>
      <c r="B926" t="s">
        <v>15</v>
      </c>
      <c r="C926" t="s">
        <v>4</v>
      </c>
      <c r="D926" s="3">
        <f>MID(A926,1,2)*1</f>
        <v>15</v>
      </c>
      <c r="E926" s="4">
        <f>MID(A926,3,2)*1</f>
        <v>27</v>
      </c>
      <c r="F926" s="4">
        <f>MID(A926,5,2)*1</f>
        <v>26</v>
      </c>
      <c r="G926" s="3">
        <f>IF(E926&gt;=20,2000,1900) + D926</f>
        <v>2015</v>
      </c>
      <c r="H926">
        <f>IF(E926&gt;=20,E926-20,E926)</f>
        <v>7</v>
      </c>
      <c r="I926" s="4">
        <f>F926</f>
        <v>26</v>
      </c>
      <c r="J926">
        <f>CONCATENATE(G926,IF(LEN(H926)=1,CONCATENATE("0",H926),H926),IF(LEN(F926)=1,CONCATENATE("0",F926),F926))*1</f>
        <v>20150726</v>
      </c>
    </row>
    <row r="927" spans="1:10" hidden="1" x14ac:dyDescent="0.25">
      <c r="A927" s="4" t="s">
        <v>953</v>
      </c>
      <c r="B927" t="s">
        <v>3</v>
      </c>
      <c r="C927" t="s">
        <v>4</v>
      </c>
      <c r="D927" s="3">
        <f>MID(A927,1,2)*1</f>
        <v>22</v>
      </c>
      <c r="E927" s="4">
        <f>MID(A927,3,2)*1</f>
        <v>30</v>
      </c>
      <c r="F927" s="4">
        <f>MID(A927,5,2)*1</f>
        <v>23</v>
      </c>
      <c r="G927" s="3">
        <f>IF(E927&gt;=20,2000,1900) + D927</f>
        <v>2022</v>
      </c>
      <c r="H927">
        <f>IF(E927&gt;=20,E927-20,E927)</f>
        <v>10</v>
      </c>
      <c r="I927" s="4">
        <f>F927</f>
        <v>23</v>
      </c>
      <c r="J927">
        <f>CONCATENATE(G927,IF(LEN(H927)=1,CONCATENATE("0",H927),H927),IF(LEN(F927)=1,CONCATENATE("0",F927),F927))*1</f>
        <v>20221023</v>
      </c>
    </row>
    <row r="928" spans="1:10" hidden="1" x14ac:dyDescent="0.25">
      <c r="A928" s="4" t="s">
        <v>954</v>
      </c>
      <c r="B928" t="s">
        <v>9</v>
      </c>
      <c r="C928" t="s">
        <v>6</v>
      </c>
      <c r="D928" s="3">
        <f>MID(A928,1,2)*1</f>
        <v>17</v>
      </c>
      <c r="E928" s="4">
        <f>MID(A928,3,2)*1</f>
        <v>24</v>
      </c>
      <c r="F928" s="4">
        <f>MID(A928,5,2)*1</f>
        <v>15</v>
      </c>
      <c r="G928" s="3">
        <f>IF(E928&gt;=20,2000,1900) + D928</f>
        <v>2017</v>
      </c>
      <c r="H928">
        <f>IF(E928&gt;=20,E928-20,E928)</f>
        <v>4</v>
      </c>
      <c r="I928" s="4">
        <f>F928</f>
        <v>15</v>
      </c>
      <c r="J928">
        <f>CONCATENATE(G928,IF(LEN(H928)=1,CONCATENATE("0",H928),H928),IF(LEN(F928)=1,CONCATENATE("0",F928),F928))*1</f>
        <v>20170415</v>
      </c>
    </row>
    <row r="929" spans="1:10" hidden="1" x14ac:dyDescent="0.25">
      <c r="A929" s="4" t="s">
        <v>955</v>
      </c>
      <c r="B929" t="s">
        <v>9</v>
      </c>
      <c r="C929" t="s">
        <v>6</v>
      </c>
      <c r="D929" s="3">
        <f>MID(A929,1,2)*1</f>
        <v>11</v>
      </c>
      <c r="E929" s="4">
        <f>MID(A929,3,2)*1</f>
        <v>27</v>
      </c>
      <c r="F929" s="4">
        <f>MID(A929,5,2)*1</f>
        <v>29</v>
      </c>
      <c r="G929" s="3">
        <f>IF(E929&gt;=20,2000,1900) + D929</f>
        <v>2011</v>
      </c>
      <c r="H929">
        <f>IF(E929&gt;=20,E929-20,E929)</f>
        <v>7</v>
      </c>
      <c r="I929" s="4">
        <f>F929</f>
        <v>29</v>
      </c>
      <c r="J929">
        <f>CONCATENATE(G929,IF(LEN(H929)=1,CONCATENATE("0",H929),H929),IF(LEN(F929)=1,CONCATENATE("0",F929),F929))*1</f>
        <v>20110729</v>
      </c>
    </row>
    <row r="930" spans="1:10" hidden="1" x14ac:dyDescent="0.25">
      <c r="A930" s="4" t="s">
        <v>956</v>
      </c>
      <c r="B930" t="s">
        <v>14</v>
      </c>
      <c r="C930" t="s">
        <v>4</v>
      </c>
      <c r="D930" s="3">
        <f>MID(A930,1,2)*1</f>
        <v>15</v>
      </c>
      <c r="E930" s="4">
        <f>MID(A930,3,2)*1</f>
        <v>32</v>
      </c>
      <c r="F930" s="4">
        <f>MID(A930,5,2)*1</f>
        <v>31</v>
      </c>
      <c r="G930" s="3">
        <f>IF(E930&gt;=20,2000,1900) + D930</f>
        <v>2015</v>
      </c>
      <c r="H930">
        <f>IF(E930&gt;=20,E930-20,E930)</f>
        <v>12</v>
      </c>
      <c r="I930" s="4">
        <f>F930</f>
        <v>31</v>
      </c>
      <c r="J930">
        <f>CONCATENATE(G930,IF(LEN(H930)=1,CONCATENATE("0",H930),H930),IF(LEN(F930)=1,CONCATENATE("0",F930),F930))*1</f>
        <v>20151231</v>
      </c>
    </row>
    <row r="931" spans="1:10" hidden="1" x14ac:dyDescent="0.25">
      <c r="A931" s="4" t="s">
        <v>957</v>
      </c>
      <c r="B931" t="s">
        <v>5</v>
      </c>
      <c r="C931" t="s">
        <v>4</v>
      </c>
      <c r="D931" s="3">
        <f>MID(A931,1,2)*1</f>
        <v>9</v>
      </c>
      <c r="E931" s="4">
        <f>MID(A931,3,2)*1</f>
        <v>26</v>
      </c>
      <c r="F931" s="4">
        <f>MID(A931,5,2)*1</f>
        <v>22</v>
      </c>
      <c r="G931" s="3">
        <f>IF(E931&gt;=20,2000,1900) + D931</f>
        <v>2009</v>
      </c>
      <c r="H931">
        <f>IF(E931&gt;=20,E931-20,E931)</f>
        <v>6</v>
      </c>
      <c r="I931" s="4">
        <f>F931</f>
        <v>22</v>
      </c>
      <c r="J931">
        <f>CONCATENATE(G931,IF(LEN(H931)=1,CONCATENATE("0",H931),H931),IF(LEN(F931)=1,CONCATENATE("0",F931),F931))*1</f>
        <v>20090622</v>
      </c>
    </row>
    <row r="932" spans="1:10" x14ac:dyDescent="0.25">
      <c r="A932" s="4" t="s">
        <v>1006</v>
      </c>
      <c r="B932" t="s">
        <v>18</v>
      </c>
      <c r="C932" t="s">
        <v>4</v>
      </c>
      <c r="D932" s="3">
        <f>MID(A932,1,2)*1</f>
        <v>16</v>
      </c>
      <c r="E932" s="4">
        <f>MID(A932,3,2)*1</f>
        <v>28</v>
      </c>
      <c r="F932" s="4">
        <f>MID(A932,5,2)*1</f>
        <v>24</v>
      </c>
      <c r="G932" s="3">
        <f>IF(E932&gt;=20,2000,1900) + D932</f>
        <v>2016</v>
      </c>
      <c r="H932">
        <f>IF(E932&gt;=20,E932-20,E932)</f>
        <v>8</v>
      </c>
      <c r="I932" s="4">
        <f>F932</f>
        <v>24</v>
      </c>
      <c r="J932">
        <f>CONCATENATE(G932,IF(LEN(H932)=1,CONCATENATE("0",H932),H932),IF(LEN(F932)=1,CONCATENATE("0",F932),F932))*1</f>
        <v>20160824</v>
      </c>
    </row>
    <row r="933" spans="1:10" hidden="1" x14ac:dyDescent="0.25">
      <c r="A933" s="4" t="s">
        <v>959</v>
      </c>
      <c r="B933" t="s">
        <v>14</v>
      </c>
      <c r="C933" t="s">
        <v>4</v>
      </c>
      <c r="D933" s="3">
        <f>MID(A933,1,2)*1</f>
        <v>8</v>
      </c>
      <c r="E933" s="4">
        <f>MID(A933,3,2)*1</f>
        <v>32</v>
      </c>
      <c r="F933" s="4">
        <f>MID(A933,5,2)*1</f>
        <v>16</v>
      </c>
      <c r="G933" s="3">
        <f>IF(E933&gt;=20,2000,1900) + D933</f>
        <v>2008</v>
      </c>
      <c r="H933">
        <f>IF(E933&gt;=20,E933-20,E933)</f>
        <v>12</v>
      </c>
      <c r="I933" s="4">
        <f>F933</f>
        <v>16</v>
      </c>
      <c r="J933">
        <f>CONCATENATE(G933,IF(LEN(H933)=1,CONCATENATE("0",H933),H933),IF(LEN(F933)=1,CONCATENATE("0",F933),F933))*1</f>
        <v>20081216</v>
      </c>
    </row>
    <row r="934" spans="1:10" hidden="1" x14ac:dyDescent="0.25">
      <c r="A934" s="4" t="s">
        <v>960</v>
      </c>
      <c r="B934" t="s">
        <v>7</v>
      </c>
      <c r="C934" t="s">
        <v>4</v>
      </c>
      <c r="D934" s="3">
        <f>MID(A934,1,2)*1</f>
        <v>4</v>
      </c>
      <c r="E934" s="4">
        <f>MID(A934,3,2)*1</f>
        <v>32</v>
      </c>
      <c r="F934" s="4">
        <f>MID(A934,5,2)*1</f>
        <v>21</v>
      </c>
      <c r="G934" s="3">
        <f>IF(E934&gt;=20,2000,1900) + D934</f>
        <v>2004</v>
      </c>
      <c r="H934">
        <f>IF(E934&gt;=20,E934-20,E934)</f>
        <v>12</v>
      </c>
      <c r="I934" s="4">
        <f>F934</f>
        <v>21</v>
      </c>
      <c r="J934">
        <f>CONCATENATE(G934,IF(LEN(H934)=1,CONCATENATE("0",H934),H934),IF(LEN(F934)=1,CONCATENATE("0",F934),F934))*1</f>
        <v>20041221</v>
      </c>
    </row>
    <row r="935" spans="1:10" hidden="1" x14ac:dyDescent="0.25">
      <c r="A935" s="4" t="s">
        <v>961</v>
      </c>
      <c r="B935" t="s">
        <v>5</v>
      </c>
      <c r="C935" t="s">
        <v>4</v>
      </c>
      <c r="D935" s="3">
        <f>MID(A935,1,2)*1</f>
        <v>10</v>
      </c>
      <c r="E935" s="4">
        <f>MID(A935,3,2)*1</f>
        <v>30</v>
      </c>
      <c r="F935" s="4">
        <f>MID(A935,5,2)*1</f>
        <v>17</v>
      </c>
      <c r="G935" s="3">
        <f>IF(E935&gt;=20,2000,1900) + D935</f>
        <v>2010</v>
      </c>
      <c r="H935">
        <f>IF(E935&gt;=20,E935-20,E935)</f>
        <v>10</v>
      </c>
      <c r="I935" s="4">
        <f>F935</f>
        <v>17</v>
      </c>
      <c r="J935">
        <f>CONCATENATE(G935,IF(LEN(H935)=1,CONCATENATE("0",H935),H935),IF(LEN(F935)=1,CONCATENATE("0",F935),F935))*1</f>
        <v>20101017</v>
      </c>
    </row>
    <row r="936" spans="1:10" hidden="1" x14ac:dyDescent="0.25">
      <c r="A936" s="4" t="s">
        <v>962</v>
      </c>
      <c r="B936" t="s">
        <v>17</v>
      </c>
      <c r="C936" t="s">
        <v>6</v>
      </c>
      <c r="D936" s="3">
        <f>MID(A936,1,2)*1</f>
        <v>9</v>
      </c>
      <c r="E936" s="4">
        <f>MID(A936,3,2)*1</f>
        <v>27</v>
      </c>
      <c r="F936" s="4">
        <f>MID(A936,5,2)*1</f>
        <v>16</v>
      </c>
      <c r="G936" s="3">
        <f>IF(E936&gt;=20,2000,1900) + D936</f>
        <v>2009</v>
      </c>
      <c r="H936">
        <f>IF(E936&gt;=20,E936-20,E936)</f>
        <v>7</v>
      </c>
      <c r="I936" s="4">
        <f>F936</f>
        <v>16</v>
      </c>
      <c r="J936">
        <f>CONCATENATE(G936,IF(LEN(H936)=1,CONCATENATE("0",H936),H936),IF(LEN(F936)=1,CONCATENATE("0",F936),F936))*1</f>
        <v>20090716</v>
      </c>
    </row>
    <row r="937" spans="1:10" hidden="1" x14ac:dyDescent="0.25">
      <c r="A937" s="4" t="s">
        <v>963</v>
      </c>
      <c r="B937" t="s">
        <v>15</v>
      </c>
      <c r="C937" t="s">
        <v>6</v>
      </c>
      <c r="D937" s="3">
        <f>MID(A937,1,2)*1</f>
        <v>18</v>
      </c>
      <c r="E937" s="4">
        <f>MID(A937,3,2)*1</f>
        <v>32</v>
      </c>
      <c r="F937" s="4">
        <f>MID(A937,5,2)*1</f>
        <v>1</v>
      </c>
      <c r="G937" s="3">
        <f>IF(E937&gt;=20,2000,1900) + D937</f>
        <v>2018</v>
      </c>
      <c r="H937">
        <f>IF(E937&gt;=20,E937-20,E937)</f>
        <v>12</v>
      </c>
      <c r="I937" s="4">
        <f>F937</f>
        <v>1</v>
      </c>
      <c r="J937">
        <f>CONCATENATE(G937,IF(LEN(H937)=1,CONCATENATE("0",H937),H937),IF(LEN(F937)=1,CONCATENATE("0",F937),F937))*1</f>
        <v>20181201</v>
      </c>
    </row>
    <row r="938" spans="1:10" hidden="1" x14ac:dyDescent="0.25">
      <c r="A938" s="4" t="s">
        <v>964</v>
      </c>
      <c r="B938" t="s">
        <v>5</v>
      </c>
      <c r="C938" t="s">
        <v>4</v>
      </c>
      <c r="D938" s="3">
        <f>MID(A938,1,2)*1</f>
        <v>10</v>
      </c>
      <c r="E938" s="4">
        <f>MID(A938,3,2)*1</f>
        <v>26</v>
      </c>
      <c r="F938" s="4">
        <f>MID(A938,5,2)*1</f>
        <v>22</v>
      </c>
      <c r="G938" s="3">
        <f>IF(E938&gt;=20,2000,1900) + D938</f>
        <v>2010</v>
      </c>
      <c r="H938">
        <f>IF(E938&gt;=20,E938-20,E938)</f>
        <v>6</v>
      </c>
      <c r="I938" s="4">
        <f>F938</f>
        <v>22</v>
      </c>
      <c r="J938">
        <f>CONCATENATE(G938,IF(LEN(H938)=1,CONCATENATE("0",H938),H938),IF(LEN(F938)=1,CONCATENATE("0",F938),F938))*1</f>
        <v>20100622</v>
      </c>
    </row>
    <row r="939" spans="1:10" hidden="1" x14ac:dyDescent="0.25">
      <c r="A939" s="4" t="s">
        <v>965</v>
      </c>
      <c r="B939" t="s">
        <v>7</v>
      </c>
      <c r="C939" t="s">
        <v>6</v>
      </c>
      <c r="D939" s="3">
        <f>MID(A939,1,2)*1</f>
        <v>21</v>
      </c>
      <c r="E939" s="4">
        <f>MID(A939,3,2)*1</f>
        <v>30</v>
      </c>
      <c r="F939" s="4">
        <f>MID(A939,5,2)*1</f>
        <v>31</v>
      </c>
      <c r="G939" s="3">
        <f>IF(E939&gt;=20,2000,1900) + D939</f>
        <v>2021</v>
      </c>
      <c r="H939">
        <f>IF(E939&gt;=20,E939-20,E939)</f>
        <v>10</v>
      </c>
      <c r="I939" s="4">
        <f>F939</f>
        <v>31</v>
      </c>
      <c r="J939">
        <f>CONCATENATE(G939,IF(LEN(H939)=1,CONCATENATE("0",H939),H939),IF(LEN(F939)=1,CONCATENATE("0",F939),F939))*1</f>
        <v>20211031</v>
      </c>
    </row>
    <row r="940" spans="1:10" hidden="1" x14ac:dyDescent="0.25">
      <c r="A940" s="4" t="s">
        <v>966</v>
      </c>
      <c r="B940" t="s">
        <v>20</v>
      </c>
      <c r="C940" t="s">
        <v>4</v>
      </c>
      <c r="D940" s="3">
        <f>MID(A940,1,2)*1</f>
        <v>10</v>
      </c>
      <c r="E940" s="4">
        <f>MID(A940,3,2)*1</f>
        <v>29</v>
      </c>
      <c r="F940" s="4">
        <f>MID(A940,5,2)*1</f>
        <v>30</v>
      </c>
      <c r="G940" s="3">
        <f>IF(E940&gt;=20,2000,1900) + D940</f>
        <v>2010</v>
      </c>
      <c r="H940">
        <f>IF(E940&gt;=20,E940-20,E940)</f>
        <v>9</v>
      </c>
      <c r="I940" s="4">
        <f>F940</f>
        <v>30</v>
      </c>
      <c r="J940">
        <f>CONCATENATE(G940,IF(LEN(H940)=1,CONCATENATE("0",H940),H940),IF(LEN(F940)=1,CONCATENATE("0",F940),F940))*1</f>
        <v>20100930</v>
      </c>
    </row>
    <row r="941" spans="1:10" x14ac:dyDescent="0.25">
      <c r="A941" s="4" t="s">
        <v>1014</v>
      </c>
      <c r="B941" t="s">
        <v>18</v>
      </c>
      <c r="C941" t="s">
        <v>6</v>
      </c>
      <c r="D941" s="3">
        <f>MID(A941,1,2)*1</f>
        <v>17</v>
      </c>
      <c r="E941" s="4">
        <f>MID(A941,3,2)*1</f>
        <v>21</v>
      </c>
      <c r="F941" s="4">
        <f>MID(A941,5,2)*1</f>
        <v>22</v>
      </c>
      <c r="G941" s="3">
        <f>IF(E941&gt;=20,2000,1900) + D941</f>
        <v>2017</v>
      </c>
      <c r="H941">
        <f>IF(E941&gt;=20,E941-20,E941)</f>
        <v>1</v>
      </c>
      <c r="I941" s="4">
        <f>F941</f>
        <v>22</v>
      </c>
      <c r="J941">
        <f>CONCATENATE(G941,IF(LEN(H941)=1,CONCATENATE("0",H941),H941),IF(LEN(F941)=1,CONCATENATE("0",F941),F941))*1</f>
        <v>20170122</v>
      </c>
    </row>
    <row r="942" spans="1:10" hidden="1" x14ac:dyDescent="0.25">
      <c r="A942" s="4" t="s">
        <v>968</v>
      </c>
      <c r="B942" t="s">
        <v>11</v>
      </c>
      <c r="C942" t="s">
        <v>6</v>
      </c>
      <c r="D942" s="3">
        <f>MID(A942,1,2)*1</f>
        <v>20</v>
      </c>
      <c r="E942" s="4">
        <f>MID(A942,3,2)*1</f>
        <v>26</v>
      </c>
      <c r="F942" s="4">
        <f>MID(A942,5,2)*1</f>
        <v>4</v>
      </c>
      <c r="G942" s="3">
        <f>IF(E942&gt;=20,2000,1900) + D942</f>
        <v>2020</v>
      </c>
      <c r="H942">
        <f>IF(E942&gt;=20,E942-20,E942)</f>
        <v>6</v>
      </c>
      <c r="I942" s="4">
        <f>F942</f>
        <v>4</v>
      </c>
      <c r="J942">
        <f>CONCATENATE(G942,IF(LEN(H942)=1,CONCATENATE("0",H942),H942),IF(LEN(F942)=1,CONCATENATE("0",F942),F942))*1</f>
        <v>20200604</v>
      </c>
    </row>
    <row r="943" spans="1:10" hidden="1" x14ac:dyDescent="0.25">
      <c r="A943" s="4" t="s">
        <v>969</v>
      </c>
      <c r="B943" t="s">
        <v>11</v>
      </c>
      <c r="C943" t="s">
        <v>4</v>
      </c>
      <c r="D943" s="3">
        <f>MID(A943,1,2)*1</f>
        <v>17</v>
      </c>
      <c r="E943" s="4">
        <f>MID(A943,3,2)*1</f>
        <v>30</v>
      </c>
      <c r="F943" s="4">
        <f>MID(A943,5,2)*1</f>
        <v>22</v>
      </c>
      <c r="G943" s="3">
        <f>IF(E943&gt;=20,2000,1900) + D943</f>
        <v>2017</v>
      </c>
      <c r="H943">
        <f>IF(E943&gt;=20,E943-20,E943)</f>
        <v>10</v>
      </c>
      <c r="I943" s="4">
        <f>F943</f>
        <v>22</v>
      </c>
      <c r="J943">
        <f>CONCATENATE(G943,IF(LEN(H943)=1,CONCATENATE("0",H943),H943),IF(LEN(F943)=1,CONCATENATE("0",F943),F943))*1</f>
        <v>20171022</v>
      </c>
    </row>
    <row r="944" spans="1:10" hidden="1" x14ac:dyDescent="0.25">
      <c r="A944" s="4" t="s">
        <v>970</v>
      </c>
      <c r="B944" t="s">
        <v>16</v>
      </c>
      <c r="C944" t="s">
        <v>4</v>
      </c>
      <c r="D944" s="3">
        <f>MID(A944,1,2)*1</f>
        <v>2</v>
      </c>
      <c r="E944" s="4">
        <f>MID(A944,3,2)*1</f>
        <v>32</v>
      </c>
      <c r="F944" s="4">
        <f>MID(A944,5,2)*1</f>
        <v>2</v>
      </c>
      <c r="G944" s="3">
        <f>IF(E944&gt;=20,2000,1900) + D944</f>
        <v>2002</v>
      </c>
      <c r="H944">
        <f>IF(E944&gt;=20,E944-20,E944)</f>
        <v>12</v>
      </c>
      <c r="I944" s="4">
        <f>F944</f>
        <v>2</v>
      </c>
      <c r="J944">
        <f>CONCATENATE(G944,IF(LEN(H944)=1,CONCATENATE("0",H944),H944),IF(LEN(F944)=1,CONCATENATE("0",F944),F944))*1</f>
        <v>20021202</v>
      </c>
    </row>
    <row r="945" spans="1:10" hidden="1" x14ac:dyDescent="0.25">
      <c r="A945" s="4" t="s">
        <v>971</v>
      </c>
      <c r="B945" t="s">
        <v>11</v>
      </c>
      <c r="C945" t="s">
        <v>6</v>
      </c>
      <c r="D945" s="3">
        <f>MID(A945,1,2)*1</f>
        <v>18</v>
      </c>
      <c r="E945" s="4">
        <f>MID(A945,3,2)*1</f>
        <v>26</v>
      </c>
      <c r="F945" s="4">
        <f>MID(A945,5,2)*1</f>
        <v>3</v>
      </c>
      <c r="G945" s="3">
        <f>IF(E945&gt;=20,2000,1900) + D945</f>
        <v>2018</v>
      </c>
      <c r="H945">
        <f>IF(E945&gt;=20,E945-20,E945)</f>
        <v>6</v>
      </c>
      <c r="I945" s="4">
        <f>F945</f>
        <v>3</v>
      </c>
      <c r="J945">
        <f>CONCATENATE(G945,IF(LEN(H945)=1,CONCATENATE("0",H945),H945),IF(LEN(F945)=1,CONCATENATE("0",F945),F945))*1</f>
        <v>20180603</v>
      </c>
    </row>
    <row r="946" spans="1:10" hidden="1" x14ac:dyDescent="0.25">
      <c r="A946" s="4" t="s">
        <v>972</v>
      </c>
      <c r="B946" t="s">
        <v>11</v>
      </c>
      <c r="C946" t="s">
        <v>4</v>
      </c>
      <c r="D946" s="3">
        <f>MID(A946,1,2)*1</f>
        <v>4</v>
      </c>
      <c r="E946" s="4">
        <f>MID(A946,3,2)*1</f>
        <v>22</v>
      </c>
      <c r="F946" s="4">
        <f>MID(A946,5,2)*1</f>
        <v>29</v>
      </c>
      <c r="G946" s="3">
        <f>IF(E946&gt;=20,2000,1900) + D946</f>
        <v>2004</v>
      </c>
      <c r="H946">
        <f>IF(E946&gt;=20,E946-20,E946)</f>
        <v>2</v>
      </c>
      <c r="I946" s="4">
        <f>F946</f>
        <v>29</v>
      </c>
      <c r="J946">
        <f>CONCATENATE(G946,IF(LEN(H946)=1,CONCATENATE("0",H946),H946),IF(LEN(F946)=1,CONCATENATE("0",F946),F946))*1</f>
        <v>20040229</v>
      </c>
    </row>
    <row r="947" spans="1:10" hidden="1" x14ac:dyDescent="0.25">
      <c r="A947" s="4" t="s">
        <v>973</v>
      </c>
      <c r="B947" t="s">
        <v>14</v>
      </c>
      <c r="C947" t="s">
        <v>4</v>
      </c>
      <c r="D947" s="3">
        <f>MID(A947,1,2)*1</f>
        <v>5</v>
      </c>
      <c r="E947" s="4">
        <f>MID(A947,3,2)*1</f>
        <v>26</v>
      </c>
      <c r="F947" s="4">
        <f>MID(A947,5,2)*1</f>
        <v>12</v>
      </c>
      <c r="G947" s="3">
        <f>IF(E947&gt;=20,2000,1900) + D947</f>
        <v>2005</v>
      </c>
      <c r="H947">
        <f>IF(E947&gt;=20,E947-20,E947)</f>
        <v>6</v>
      </c>
      <c r="I947" s="4">
        <f>F947</f>
        <v>12</v>
      </c>
      <c r="J947">
        <f>CONCATENATE(G947,IF(LEN(H947)=1,CONCATENATE("0",H947),H947),IF(LEN(F947)=1,CONCATENATE("0",F947),F947))*1</f>
        <v>20050612</v>
      </c>
    </row>
    <row r="948" spans="1:10" hidden="1" x14ac:dyDescent="0.25">
      <c r="A948" s="4" t="s">
        <v>974</v>
      </c>
      <c r="B948" t="s">
        <v>9</v>
      </c>
      <c r="C948" t="s">
        <v>4</v>
      </c>
      <c r="D948" s="3">
        <f>MID(A948,1,2)*1</f>
        <v>15</v>
      </c>
      <c r="E948" s="4">
        <f>MID(A948,3,2)*1</f>
        <v>32</v>
      </c>
      <c r="F948" s="4">
        <f>MID(A948,5,2)*1</f>
        <v>6</v>
      </c>
      <c r="G948" s="3">
        <f>IF(E948&gt;=20,2000,1900) + D948</f>
        <v>2015</v>
      </c>
      <c r="H948">
        <f>IF(E948&gt;=20,E948-20,E948)</f>
        <v>12</v>
      </c>
      <c r="I948" s="4">
        <f>F948</f>
        <v>6</v>
      </c>
      <c r="J948">
        <f>CONCATENATE(G948,IF(LEN(H948)=1,CONCATENATE("0",H948),H948),IF(LEN(F948)=1,CONCATENATE("0",F948),F948))*1</f>
        <v>20151206</v>
      </c>
    </row>
    <row r="949" spans="1:10" hidden="1" x14ac:dyDescent="0.25">
      <c r="A949" s="4" t="s">
        <v>975</v>
      </c>
      <c r="B949" t="s">
        <v>9</v>
      </c>
      <c r="C949" t="s">
        <v>6</v>
      </c>
      <c r="D949" s="3">
        <f>MID(A949,1,2)*1</f>
        <v>14</v>
      </c>
      <c r="E949" s="4">
        <f>MID(A949,3,2)*1</f>
        <v>29</v>
      </c>
      <c r="F949" s="4">
        <f>MID(A949,5,2)*1</f>
        <v>26</v>
      </c>
      <c r="G949" s="3">
        <f>IF(E949&gt;=20,2000,1900) + D949</f>
        <v>2014</v>
      </c>
      <c r="H949">
        <f>IF(E949&gt;=20,E949-20,E949)</f>
        <v>9</v>
      </c>
      <c r="I949" s="4">
        <f>F949</f>
        <v>26</v>
      </c>
      <c r="J949">
        <f>CONCATENATE(G949,IF(LEN(H949)=1,CONCATENATE("0",H949),H949),IF(LEN(F949)=1,CONCATENATE("0",F949),F949))*1</f>
        <v>20140926</v>
      </c>
    </row>
    <row r="950" spans="1:10" x14ac:dyDescent="0.25">
      <c r="A950" s="4" t="s">
        <v>860</v>
      </c>
      <c r="B950" t="s">
        <v>18</v>
      </c>
      <c r="C950" t="s">
        <v>4</v>
      </c>
      <c r="D950" s="3">
        <f>MID(A950,1,2)*1</f>
        <v>18</v>
      </c>
      <c r="E950" s="4">
        <f>MID(A950,3,2)*1</f>
        <v>26</v>
      </c>
      <c r="F950" s="4">
        <f>MID(A950,5,2)*1</f>
        <v>18</v>
      </c>
      <c r="G950" s="3">
        <f>IF(E950&gt;=20,2000,1900) + D950</f>
        <v>2018</v>
      </c>
      <c r="H950">
        <f>IF(E950&gt;=20,E950-20,E950)</f>
        <v>6</v>
      </c>
      <c r="I950" s="4">
        <f>F950</f>
        <v>18</v>
      </c>
      <c r="J950">
        <f>CONCATENATE(G950,IF(LEN(H950)=1,CONCATENATE("0",H950),H950),IF(LEN(F950)=1,CONCATENATE("0",F950),F950))*1</f>
        <v>20180618</v>
      </c>
    </row>
    <row r="951" spans="1:10" hidden="1" x14ac:dyDescent="0.25">
      <c r="A951" s="4" t="s">
        <v>977</v>
      </c>
      <c r="B951" t="s">
        <v>19</v>
      </c>
      <c r="C951" t="s">
        <v>6</v>
      </c>
      <c r="D951" s="3">
        <f>MID(A951,1,2)*1</f>
        <v>11</v>
      </c>
      <c r="E951" s="4">
        <f>MID(A951,3,2)*1</f>
        <v>28</v>
      </c>
      <c r="F951" s="4">
        <f>MID(A951,5,2)*1</f>
        <v>28</v>
      </c>
      <c r="G951" s="3">
        <f>IF(E951&gt;=20,2000,1900) + D951</f>
        <v>2011</v>
      </c>
      <c r="H951">
        <f>IF(E951&gt;=20,E951-20,E951)</f>
        <v>8</v>
      </c>
      <c r="I951" s="4">
        <f>F951</f>
        <v>28</v>
      </c>
      <c r="J951">
        <f>CONCATENATE(G951,IF(LEN(H951)=1,CONCATENATE("0",H951),H951),IF(LEN(F951)=1,CONCATENATE("0",F951),F951))*1</f>
        <v>20110828</v>
      </c>
    </row>
    <row r="952" spans="1:10" hidden="1" x14ac:dyDescent="0.25">
      <c r="A952" s="4" t="s">
        <v>978</v>
      </c>
      <c r="B952" t="s">
        <v>14</v>
      </c>
      <c r="C952" t="s">
        <v>6</v>
      </c>
      <c r="D952" s="3">
        <f>MID(A952,1,2)*1</f>
        <v>21</v>
      </c>
      <c r="E952" s="4">
        <f>MID(A952,3,2)*1</f>
        <v>27</v>
      </c>
      <c r="F952" s="4">
        <f>MID(A952,5,2)*1</f>
        <v>8</v>
      </c>
      <c r="G952" s="3">
        <f>IF(E952&gt;=20,2000,1900) + D952</f>
        <v>2021</v>
      </c>
      <c r="H952">
        <f>IF(E952&gt;=20,E952-20,E952)</f>
        <v>7</v>
      </c>
      <c r="I952" s="4">
        <f>F952</f>
        <v>8</v>
      </c>
      <c r="J952">
        <f>CONCATENATE(G952,IF(LEN(H952)=1,CONCATENATE("0",H952),H952),IF(LEN(F952)=1,CONCATENATE("0",F952),F952))*1</f>
        <v>20210708</v>
      </c>
    </row>
    <row r="953" spans="1:10" hidden="1" x14ac:dyDescent="0.25">
      <c r="A953" s="4" t="s">
        <v>979</v>
      </c>
      <c r="B953" t="s">
        <v>10</v>
      </c>
      <c r="C953" t="s">
        <v>4</v>
      </c>
      <c r="D953" s="3">
        <f>MID(A953,1,2)*1</f>
        <v>7</v>
      </c>
      <c r="E953" s="4">
        <f>MID(A953,3,2)*1</f>
        <v>27</v>
      </c>
      <c r="F953" s="4">
        <f>MID(A953,5,2)*1</f>
        <v>18</v>
      </c>
      <c r="G953" s="3">
        <f>IF(E953&gt;=20,2000,1900) + D953</f>
        <v>2007</v>
      </c>
      <c r="H953">
        <f>IF(E953&gt;=20,E953-20,E953)</f>
        <v>7</v>
      </c>
      <c r="I953" s="4">
        <f>F953</f>
        <v>18</v>
      </c>
      <c r="J953">
        <f>CONCATENATE(G953,IF(LEN(H953)=1,CONCATENATE("0",H953),H953),IF(LEN(F953)=1,CONCATENATE("0",F953),F953))*1</f>
        <v>20070718</v>
      </c>
    </row>
    <row r="954" spans="1:10" hidden="1" x14ac:dyDescent="0.25">
      <c r="A954" s="4" t="s">
        <v>980</v>
      </c>
      <c r="B954" t="s">
        <v>20</v>
      </c>
      <c r="C954" t="s">
        <v>6</v>
      </c>
      <c r="D954" s="3">
        <f>MID(A954,1,2)*1</f>
        <v>5</v>
      </c>
      <c r="E954" s="4">
        <f>MID(A954,3,2)*1</f>
        <v>28</v>
      </c>
      <c r="F954" s="4">
        <f>MID(A954,5,2)*1</f>
        <v>18</v>
      </c>
      <c r="G954" s="3">
        <f>IF(E954&gt;=20,2000,1900) + D954</f>
        <v>2005</v>
      </c>
      <c r="H954">
        <f>IF(E954&gt;=20,E954-20,E954)</f>
        <v>8</v>
      </c>
      <c r="I954" s="4">
        <f>F954</f>
        <v>18</v>
      </c>
      <c r="J954">
        <f>CONCATENATE(G954,IF(LEN(H954)=1,CONCATENATE("0",H954),H954),IF(LEN(F954)=1,CONCATENATE("0",F954),F954))*1</f>
        <v>20050818</v>
      </c>
    </row>
    <row r="955" spans="1:10" hidden="1" x14ac:dyDescent="0.25">
      <c r="A955" s="4" t="s">
        <v>981</v>
      </c>
      <c r="B955" t="s">
        <v>10</v>
      </c>
      <c r="C955" t="s">
        <v>4</v>
      </c>
      <c r="D955" s="3">
        <f>MID(A955,1,2)*1</f>
        <v>9</v>
      </c>
      <c r="E955" s="4">
        <f>MID(A955,3,2)*1</f>
        <v>25</v>
      </c>
      <c r="F955" s="4">
        <f>MID(A955,5,2)*1</f>
        <v>28</v>
      </c>
      <c r="G955" s="3">
        <f>IF(E955&gt;=20,2000,1900) + D955</f>
        <v>2009</v>
      </c>
      <c r="H955">
        <f>IF(E955&gt;=20,E955-20,E955)</f>
        <v>5</v>
      </c>
      <c r="I955" s="4">
        <f>F955</f>
        <v>28</v>
      </c>
      <c r="J955">
        <f>CONCATENATE(G955,IF(LEN(H955)=1,CONCATENATE("0",H955),H955),IF(LEN(F955)=1,CONCATENATE("0",F955),F955))*1</f>
        <v>20090528</v>
      </c>
    </row>
    <row r="956" spans="1:10" x14ac:dyDescent="0.25">
      <c r="A956" s="4" t="s">
        <v>742</v>
      </c>
      <c r="B956" t="s">
        <v>18</v>
      </c>
      <c r="C956" t="s">
        <v>4</v>
      </c>
      <c r="D956" s="3">
        <f>MID(A956,1,2)*1</f>
        <v>18</v>
      </c>
      <c r="E956" s="4">
        <f>MID(A956,3,2)*1</f>
        <v>32</v>
      </c>
      <c r="F956" s="4">
        <f>MID(A956,5,2)*1</f>
        <v>2</v>
      </c>
      <c r="G956" s="3">
        <f>IF(E956&gt;=20,2000,1900) + D956</f>
        <v>2018</v>
      </c>
      <c r="H956">
        <f>IF(E956&gt;=20,E956-20,E956)</f>
        <v>12</v>
      </c>
      <c r="I956" s="4">
        <f>F956</f>
        <v>2</v>
      </c>
      <c r="J956">
        <f>CONCATENATE(G956,IF(LEN(H956)=1,CONCATENATE("0",H956),H956),IF(LEN(F956)=1,CONCATENATE("0",F956),F956))*1</f>
        <v>20181202</v>
      </c>
    </row>
    <row r="957" spans="1:10" hidden="1" x14ac:dyDescent="0.25">
      <c r="A957" s="4" t="s">
        <v>983</v>
      </c>
      <c r="B957" t="s">
        <v>12</v>
      </c>
      <c r="C957" t="s">
        <v>6</v>
      </c>
      <c r="D957" s="3">
        <f>MID(A957,1,2)*1</f>
        <v>4</v>
      </c>
      <c r="E957" s="4">
        <f>MID(A957,3,2)*1</f>
        <v>28</v>
      </c>
      <c r="F957" s="4">
        <f>MID(A957,5,2)*1</f>
        <v>9</v>
      </c>
      <c r="G957" s="3">
        <f>IF(E957&gt;=20,2000,1900) + D957</f>
        <v>2004</v>
      </c>
      <c r="H957">
        <f>IF(E957&gt;=20,E957-20,E957)</f>
        <v>8</v>
      </c>
      <c r="I957" s="4">
        <f>F957</f>
        <v>9</v>
      </c>
      <c r="J957">
        <f>CONCATENATE(G957,IF(LEN(H957)=1,CONCATENATE("0",H957),H957),IF(LEN(F957)=1,CONCATENATE("0",F957),F957))*1</f>
        <v>20040809</v>
      </c>
    </row>
    <row r="958" spans="1:10" hidden="1" x14ac:dyDescent="0.25">
      <c r="A958" s="4" t="s">
        <v>984</v>
      </c>
      <c r="B958" t="s">
        <v>7</v>
      </c>
      <c r="C958" t="s">
        <v>6</v>
      </c>
      <c r="D958" s="3">
        <f>MID(A958,1,2)*1</f>
        <v>2</v>
      </c>
      <c r="E958" s="4">
        <f>MID(A958,3,2)*1</f>
        <v>22</v>
      </c>
      <c r="F958" s="4">
        <f>MID(A958,5,2)*1</f>
        <v>9</v>
      </c>
      <c r="G958" s="3">
        <f>IF(E958&gt;=20,2000,1900) + D958</f>
        <v>2002</v>
      </c>
      <c r="H958">
        <f>IF(E958&gt;=20,E958-20,E958)</f>
        <v>2</v>
      </c>
      <c r="I958" s="4">
        <f>F958</f>
        <v>9</v>
      </c>
      <c r="J958">
        <f>CONCATENATE(G958,IF(LEN(H958)=1,CONCATENATE("0",H958),H958),IF(LEN(F958)=1,CONCATENATE("0",F958),F958))*1</f>
        <v>20020209</v>
      </c>
    </row>
    <row r="959" spans="1:10" hidden="1" x14ac:dyDescent="0.25">
      <c r="A959" s="4" t="s">
        <v>985</v>
      </c>
      <c r="B959" t="s">
        <v>16</v>
      </c>
      <c r="C959" t="s">
        <v>6</v>
      </c>
      <c r="D959" s="3">
        <f>MID(A959,1,2)*1</f>
        <v>2</v>
      </c>
      <c r="E959" s="4">
        <f>MID(A959,3,2)*1</f>
        <v>21</v>
      </c>
      <c r="F959" s="4">
        <f>MID(A959,5,2)*1</f>
        <v>1</v>
      </c>
      <c r="G959" s="3">
        <f>IF(E959&gt;=20,2000,1900) + D959</f>
        <v>2002</v>
      </c>
      <c r="H959">
        <f>IF(E959&gt;=20,E959-20,E959)</f>
        <v>1</v>
      </c>
      <c r="I959" s="4">
        <f>F959</f>
        <v>1</v>
      </c>
      <c r="J959">
        <f>CONCATENATE(G959,IF(LEN(H959)=1,CONCATENATE("0",H959),H959),IF(LEN(F959)=1,CONCATENATE("0",F959),F959))*1</f>
        <v>20020101</v>
      </c>
    </row>
    <row r="960" spans="1:10" hidden="1" x14ac:dyDescent="0.25">
      <c r="A960" s="4" t="s">
        <v>986</v>
      </c>
      <c r="B960" t="s">
        <v>8</v>
      </c>
      <c r="C960" t="s">
        <v>6</v>
      </c>
      <c r="D960" s="3">
        <f>MID(A960,1,2)*1</f>
        <v>9</v>
      </c>
      <c r="E960" s="4">
        <f>MID(A960,3,2)*1</f>
        <v>24</v>
      </c>
      <c r="F960" s="4">
        <f>MID(A960,5,2)*1</f>
        <v>11</v>
      </c>
      <c r="G960" s="3">
        <f>IF(E960&gt;=20,2000,1900) + D960</f>
        <v>2009</v>
      </c>
      <c r="H960">
        <f>IF(E960&gt;=20,E960-20,E960)</f>
        <v>4</v>
      </c>
      <c r="I960" s="4">
        <f>F960</f>
        <v>11</v>
      </c>
      <c r="J960">
        <f>CONCATENATE(G960,IF(LEN(H960)=1,CONCATENATE("0",H960),H960),IF(LEN(F960)=1,CONCATENATE("0",F960),F960))*1</f>
        <v>20090411</v>
      </c>
    </row>
    <row r="961" spans="1:10" x14ac:dyDescent="0.25">
      <c r="A961" s="4" t="s">
        <v>958</v>
      </c>
      <c r="B961" t="s">
        <v>18</v>
      </c>
      <c r="C961" t="s">
        <v>4</v>
      </c>
      <c r="D961" s="3">
        <f>MID(A961,1,2)*1</f>
        <v>21</v>
      </c>
      <c r="E961" s="4">
        <f>MID(A961,3,2)*1</f>
        <v>22</v>
      </c>
      <c r="F961" s="4">
        <f>MID(A961,5,2)*1</f>
        <v>6</v>
      </c>
      <c r="G961" s="3">
        <f>IF(E961&gt;=20,2000,1900) + D961</f>
        <v>2021</v>
      </c>
      <c r="H961">
        <f>IF(E961&gt;=20,E961-20,E961)</f>
        <v>2</v>
      </c>
      <c r="I961" s="4">
        <f>F961</f>
        <v>6</v>
      </c>
      <c r="J961">
        <f>CONCATENATE(G961,IF(LEN(H961)=1,CONCATENATE("0",H961),H961),IF(LEN(F961)=1,CONCATENATE("0",F961),F961))*1</f>
        <v>20210206</v>
      </c>
    </row>
    <row r="962" spans="1:10" hidden="1" x14ac:dyDescent="0.25">
      <c r="A962" s="4" t="s">
        <v>988</v>
      </c>
      <c r="B962" t="s">
        <v>7</v>
      </c>
      <c r="C962" t="s">
        <v>6</v>
      </c>
      <c r="D962" s="3">
        <f>MID(A962,1,2)*1</f>
        <v>13</v>
      </c>
      <c r="E962" s="4">
        <f>MID(A962,3,2)*1</f>
        <v>31</v>
      </c>
      <c r="F962" s="4">
        <f>MID(A962,5,2)*1</f>
        <v>28</v>
      </c>
      <c r="G962" s="3">
        <f>IF(E962&gt;=20,2000,1900) + D962</f>
        <v>2013</v>
      </c>
      <c r="H962">
        <f>IF(E962&gt;=20,E962-20,E962)</f>
        <v>11</v>
      </c>
      <c r="I962" s="4">
        <f>F962</f>
        <v>28</v>
      </c>
      <c r="J962">
        <f>CONCATENATE(G962,IF(LEN(H962)=1,CONCATENATE("0",H962),H962),IF(LEN(F962)=1,CONCATENATE("0",F962),F962))*1</f>
        <v>20131128</v>
      </c>
    </row>
    <row r="963" spans="1:10" hidden="1" x14ac:dyDescent="0.25">
      <c r="A963" s="4" t="s">
        <v>989</v>
      </c>
      <c r="B963" t="s">
        <v>5</v>
      </c>
      <c r="C963" t="s">
        <v>6</v>
      </c>
      <c r="D963" s="3">
        <f>MID(A963,1,2)*1</f>
        <v>13</v>
      </c>
      <c r="E963" s="4">
        <f>MID(A963,3,2)*1</f>
        <v>26</v>
      </c>
      <c r="F963" s="4">
        <f>MID(A963,5,2)*1</f>
        <v>22</v>
      </c>
      <c r="G963" s="3">
        <f>IF(E963&gt;=20,2000,1900) + D963</f>
        <v>2013</v>
      </c>
      <c r="H963">
        <f>IF(E963&gt;=20,E963-20,E963)</f>
        <v>6</v>
      </c>
      <c r="I963" s="4">
        <f>F963</f>
        <v>22</v>
      </c>
      <c r="J963">
        <f>CONCATENATE(G963,IF(LEN(H963)=1,CONCATENATE("0",H963),H963),IF(LEN(F963)=1,CONCATENATE("0",F963),F963))*1</f>
        <v>20130622</v>
      </c>
    </row>
    <row r="964" spans="1:10" hidden="1" x14ac:dyDescent="0.25">
      <c r="A964" s="4" t="s">
        <v>990</v>
      </c>
      <c r="B964" t="s">
        <v>7</v>
      </c>
      <c r="C964" t="s">
        <v>4</v>
      </c>
      <c r="D964" s="3">
        <f>MID(A964,1,2)*1</f>
        <v>21</v>
      </c>
      <c r="E964" s="4">
        <f>MID(A964,3,2)*1</f>
        <v>22</v>
      </c>
      <c r="F964" s="4">
        <f>MID(A964,5,2)*1</f>
        <v>7</v>
      </c>
      <c r="G964" s="3">
        <f>IF(E964&gt;=20,2000,1900) + D964</f>
        <v>2021</v>
      </c>
      <c r="H964">
        <f>IF(E964&gt;=20,E964-20,E964)</f>
        <v>2</v>
      </c>
      <c r="I964" s="4">
        <f>F964</f>
        <v>7</v>
      </c>
      <c r="J964">
        <f>CONCATENATE(G964,IF(LEN(H964)=1,CONCATENATE("0",H964),H964),IF(LEN(F964)=1,CONCATENATE("0",F964),F964))*1</f>
        <v>20210207</v>
      </c>
    </row>
    <row r="965" spans="1:10" hidden="1" x14ac:dyDescent="0.25">
      <c r="A965" s="4" t="s">
        <v>991</v>
      </c>
      <c r="B965" t="s">
        <v>10</v>
      </c>
      <c r="C965" t="s">
        <v>6</v>
      </c>
      <c r="D965" s="3">
        <f>MID(A965,1,2)*1</f>
        <v>6</v>
      </c>
      <c r="E965" s="4">
        <f>MID(A965,3,2)*1</f>
        <v>26</v>
      </c>
      <c r="F965" s="4">
        <f>MID(A965,5,2)*1</f>
        <v>17</v>
      </c>
      <c r="G965" s="3">
        <f>IF(E965&gt;=20,2000,1900) + D965</f>
        <v>2006</v>
      </c>
      <c r="H965">
        <f>IF(E965&gt;=20,E965-20,E965)</f>
        <v>6</v>
      </c>
      <c r="I965" s="4">
        <f>F965</f>
        <v>17</v>
      </c>
      <c r="J965">
        <f>CONCATENATE(G965,IF(LEN(H965)=1,CONCATENATE("0",H965),H965),IF(LEN(F965)=1,CONCATENATE("0",F965),F965))*1</f>
        <v>20060617</v>
      </c>
    </row>
    <row r="966" spans="1:10" hidden="1" x14ac:dyDescent="0.25">
      <c r="A966" s="4" t="s">
        <v>992</v>
      </c>
      <c r="B966" t="s">
        <v>16</v>
      </c>
      <c r="C966" t="s">
        <v>4</v>
      </c>
      <c r="D966" s="3">
        <f>MID(A966,1,2)*1</f>
        <v>14</v>
      </c>
      <c r="E966" s="4">
        <f>MID(A966,3,2)*1</f>
        <v>22</v>
      </c>
      <c r="F966" s="4">
        <f>MID(A966,5,2)*1</f>
        <v>26</v>
      </c>
      <c r="G966" s="3">
        <f>IF(E966&gt;=20,2000,1900) + D966</f>
        <v>2014</v>
      </c>
      <c r="H966">
        <f>IF(E966&gt;=20,E966-20,E966)</f>
        <v>2</v>
      </c>
      <c r="I966" s="4">
        <f>F966</f>
        <v>26</v>
      </c>
      <c r="J966">
        <f>CONCATENATE(G966,IF(LEN(H966)=1,CONCATENATE("0",H966),H966),IF(LEN(F966)=1,CONCATENATE("0",F966),F966))*1</f>
        <v>20140226</v>
      </c>
    </row>
    <row r="967" spans="1:10" hidden="1" x14ac:dyDescent="0.25">
      <c r="A967" s="4" t="s">
        <v>993</v>
      </c>
      <c r="B967" t="s">
        <v>8</v>
      </c>
      <c r="C967" t="s">
        <v>6</v>
      </c>
      <c r="D967" s="3">
        <f>MID(A967,1,2)*1</f>
        <v>19</v>
      </c>
      <c r="E967" s="4">
        <f>MID(A967,3,2)*1</f>
        <v>32</v>
      </c>
      <c r="F967" s="4">
        <f>MID(A967,5,2)*1</f>
        <v>12</v>
      </c>
      <c r="G967" s="3">
        <f>IF(E967&gt;=20,2000,1900) + D967</f>
        <v>2019</v>
      </c>
      <c r="H967">
        <f>IF(E967&gt;=20,E967-20,E967)</f>
        <v>12</v>
      </c>
      <c r="I967" s="4">
        <f>F967</f>
        <v>12</v>
      </c>
      <c r="J967">
        <f>CONCATENATE(G967,IF(LEN(H967)=1,CONCATENATE("0",H967),H967),IF(LEN(F967)=1,CONCATENATE("0",F967),F967))*1</f>
        <v>20191212</v>
      </c>
    </row>
    <row r="968" spans="1:10" hidden="1" x14ac:dyDescent="0.25">
      <c r="A968" s="4" t="s">
        <v>994</v>
      </c>
      <c r="B968" t="s">
        <v>9</v>
      </c>
      <c r="C968" t="s">
        <v>4</v>
      </c>
      <c r="D968" s="3">
        <f>MID(A968,1,2)*1</f>
        <v>8</v>
      </c>
      <c r="E968" s="4">
        <f>MID(A968,3,2)*1</f>
        <v>23</v>
      </c>
      <c r="F968" s="4">
        <f>MID(A968,5,2)*1</f>
        <v>19</v>
      </c>
      <c r="G968" s="3">
        <f>IF(E968&gt;=20,2000,1900) + D968</f>
        <v>2008</v>
      </c>
      <c r="H968">
        <f>IF(E968&gt;=20,E968-20,E968)</f>
        <v>3</v>
      </c>
      <c r="I968" s="4">
        <f>F968</f>
        <v>19</v>
      </c>
      <c r="J968">
        <f>CONCATENATE(G968,IF(LEN(H968)=1,CONCATENATE("0",H968),H968),IF(LEN(F968)=1,CONCATENATE("0",F968),F968))*1</f>
        <v>20080319</v>
      </c>
    </row>
    <row r="969" spans="1:10" hidden="1" x14ac:dyDescent="0.25">
      <c r="A969" s="4" t="s">
        <v>995</v>
      </c>
      <c r="B969" t="s">
        <v>16</v>
      </c>
      <c r="C969" t="s">
        <v>6</v>
      </c>
      <c r="D969" s="3">
        <f>MID(A969,1,2)*1</f>
        <v>15</v>
      </c>
      <c r="E969" s="4">
        <f>MID(A969,3,2)*1</f>
        <v>29</v>
      </c>
      <c r="F969" s="4">
        <f>MID(A969,5,2)*1</f>
        <v>12</v>
      </c>
      <c r="G969" s="3">
        <f>IF(E969&gt;=20,2000,1900) + D969</f>
        <v>2015</v>
      </c>
      <c r="H969">
        <f>IF(E969&gt;=20,E969-20,E969)</f>
        <v>9</v>
      </c>
      <c r="I969" s="4">
        <f>F969</f>
        <v>12</v>
      </c>
      <c r="J969">
        <f>CONCATENATE(G969,IF(LEN(H969)=1,CONCATENATE("0",H969),H969),IF(LEN(F969)=1,CONCATENATE("0",F969),F969))*1</f>
        <v>20150912</v>
      </c>
    </row>
    <row r="970" spans="1:10" hidden="1" x14ac:dyDescent="0.25">
      <c r="A970" s="4" t="s">
        <v>996</v>
      </c>
      <c r="B970" t="s">
        <v>17</v>
      </c>
      <c r="C970" t="s">
        <v>6</v>
      </c>
      <c r="D970" s="3">
        <f>MID(A970,1,2)*1</f>
        <v>8</v>
      </c>
      <c r="E970" s="4">
        <f>MID(A970,3,2)*1</f>
        <v>26</v>
      </c>
      <c r="F970" s="4">
        <f>MID(A970,5,2)*1</f>
        <v>4</v>
      </c>
      <c r="G970" s="3">
        <f>IF(E970&gt;=20,2000,1900) + D970</f>
        <v>2008</v>
      </c>
      <c r="H970">
        <f>IF(E970&gt;=20,E970-20,E970)</f>
        <v>6</v>
      </c>
      <c r="I970" s="4">
        <f>F970</f>
        <v>4</v>
      </c>
      <c r="J970">
        <f>CONCATENATE(G970,IF(LEN(H970)=1,CONCATENATE("0",H970),H970),IF(LEN(F970)=1,CONCATENATE("0",F970),F970))*1</f>
        <v>20080604</v>
      </c>
    </row>
    <row r="971" spans="1:10" hidden="1" x14ac:dyDescent="0.25">
      <c r="A971" s="4" t="s">
        <v>997</v>
      </c>
      <c r="B971" t="s">
        <v>10</v>
      </c>
      <c r="C971" t="s">
        <v>6</v>
      </c>
      <c r="D971" s="3">
        <f>MID(A971,1,2)*1</f>
        <v>8</v>
      </c>
      <c r="E971" s="4">
        <f>MID(A971,3,2)*1</f>
        <v>24</v>
      </c>
      <c r="F971" s="4">
        <f>MID(A971,5,2)*1</f>
        <v>2</v>
      </c>
      <c r="G971" s="3">
        <f>IF(E971&gt;=20,2000,1900) + D971</f>
        <v>2008</v>
      </c>
      <c r="H971">
        <f>IF(E971&gt;=20,E971-20,E971)</f>
        <v>4</v>
      </c>
      <c r="I971" s="4">
        <f>F971</f>
        <v>2</v>
      </c>
      <c r="J971">
        <f>CONCATENATE(G971,IF(LEN(H971)=1,CONCATENATE("0",H971),H971),IF(LEN(F971)=1,CONCATENATE("0",F971),F971))*1</f>
        <v>20080402</v>
      </c>
    </row>
    <row r="972" spans="1:10" hidden="1" x14ac:dyDescent="0.25">
      <c r="A972" s="4" t="s">
        <v>998</v>
      </c>
      <c r="B972" t="s">
        <v>17</v>
      </c>
      <c r="C972" t="s">
        <v>4</v>
      </c>
      <c r="D972" s="3">
        <f>MID(A972,1,2)*1</f>
        <v>19</v>
      </c>
      <c r="E972" s="4">
        <f>MID(A972,3,2)*1</f>
        <v>23</v>
      </c>
      <c r="F972" s="4">
        <f>MID(A972,5,2)*1</f>
        <v>10</v>
      </c>
      <c r="G972" s="3">
        <f>IF(E972&gt;=20,2000,1900) + D972</f>
        <v>2019</v>
      </c>
      <c r="H972">
        <f>IF(E972&gt;=20,E972-20,E972)</f>
        <v>3</v>
      </c>
      <c r="I972" s="4">
        <f>F972</f>
        <v>10</v>
      </c>
      <c r="J972">
        <f>CONCATENATE(G972,IF(LEN(H972)=1,CONCATENATE("0",H972),H972),IF(LEN(F972)=1,CONCATENATE("0",F972),F972))*1</f>
        <v>20190310</v>
      </c>
    </row>
    <row r="973" spans="1:10" hidden="1" x14ac:dyDescent="0.25">
      <c r="A973" s="4" t="s">
        <v>999</v>
      </c>
      <c r="B973" t="s">
        <v>8</v>
      </c>
      <c r="C973" t="s">
        <v>6</v>
      </c>
      <c r="D973" s="3">
        <f>MID(A973,1,2)*1</f>
        <v>14</v>
      </c>
      <c r="E973" s="4">
        <f>MID(A973,3,2)*1</f>
        <v>28</v>
      </c>
      <c r="F973" s="4">
        <f>MID(A973,5,2)*1</f>
        <v>12</v>
      </c>
      <c r="G973" s="3">
        <f>IF(E973&gt;=20,2000,1900) + D973</f>
        <v>2014</v>
      </c>
      <c r="H973">
        <f>IF(E973&gt;=20,E973-20,E973)</f>
        <v>8</v>
      </c>
      <c r="I973" s="4">
        <f>F973</f>
        <v>12</v>
      </c>
      <c r="J973">
        <f>CONCATENATE(G973,IF(LEN(H973)=1,CONCATENATE("0",H973),H973),IF(LEN(F973)=1,CONCATENATE("0",F973),F973))*1</f>
        <v>20140812</v>
      </c>
    </row>
    <row r="974" spans="1:10" hidden="1" x14ac:dyDescent="0.25">
      <c r="A974" s="4" t="s">
        <v>1000</v>
      </c>
      <c r="B974" t="s">
        <v>7</v>
      </c>
      <c r="C974" t="s">
        <v>4</v>
      </c>
      <c r="D974" s="3">
        <f>MID(A974,1,2)*1</f>
        <v>7</v>
      </c>
      <c r="E974" s="4">
        <f>MID(A974,3,2)*1</f>
        <v>28</v>
      </c>
      <c r="F974" s="4">
        <f>MID(A974,5,2)*1</f>
        <v>2</v>
      </c>
      <c r="G974" s="3">
        <f>IF(E974&gt;=20,2000,1900) + D974</f>
        <v>2007</v>
      </c>
      <c r="H974">
        <f>IF(E974&gt;=20,E974-20,E974)</f>
        <v>8</v>
      </c>
      <c r="I974" s="4">
        <f>F974</f>
        <v>2</v>
      </c>
      <c r="J974">
        <f>CONCATENATE(G974,IF(LEN(H974)=1,CONCATENATE("0",H974),H974),IF(LEN(F974)=1,CONCATENATE("0",F974),F974))*1</f>
        <v>20070802</v>
      </c>
    </row>
    <row r="975" spans="1:10" hidden="1" x14ac:dyDescent="0.25">
      <c r="A975" s="4" t="s">
        <v>1001</v>
      </c>
      <c r="B975" t="s">
        <v>3</v>
      </c>
      <c r="C975" t="s">
        <v>6</v>
      </c>
      <c r="D975" s="3">
        <f>MID(A975,1,2)*1</f>
        <v>6</v>
      </c>
      <c r="E975" s="4">
        <f>MID(A975,3,2)*1</f>
        <v>26</v>
      </c>
      <c r="F975" s="4">
        <f>MID(A975,5,2)*1</f>
        <v>25</v>
      </c>
      <c r="G975" s="3">
        <f>IF(E975&gt;=20,2000,1900) + D975</f>
        <v>2006</v>
      </c>
      <c r="H975">
        <f>IF(E975&gt;=20,E975-20,E975)</f>
        <v>6</v>
      </c>
      <c r="I975" s="4">
        <f>F975</f>
        <v>25</v>
      </c>
      <c r="J975">
        <f>CONCATENATE(G975,IF(LEN(H975)=1,CONCATENATE("0",H975),H975),IF(LEN(F975)=1,CONCATENATE("0",F975),F975))*1</f>
        <v>20060625</v>
      </c>
    </row>
    <row r="976" spans="1:10" hidden="1" x14ac:dyDescent="0.25">
      <c r="A976" s="4" t="s">
        <v>1002</v>
      </c>
      <c r="B976" t="s">
        <v>7</v>
      </c>
      <c r="C976" t="s">
        <v>6</v>
      </c>
      <c r="D976" s="3">
        <f>MID(A976,1,2)*1</f>
        <v>15</v>
      </c>
      <c r="E976" s="4">
        <f>MID(A976,3,2)*1</f>
        <v>24</v>
      </c>
      <c r="F976" s="4">
        <f>MID(A976,5,2)*1</f>
        <v>27</v>
      </c>
      <c r="G976" s="3">
        <f>IF(E976&gt;=20,2000,1900) + D976</f>
        <v>2015</v>
      </c>
      <c r="H976">
        <f>IF(E976&gt;=20,E976-20,E976)</f>
        <v>4</v>
      </c>
      <c r="I976" s="4">
        <f>F976</f>
        <v>27</v>
      </c>
      <c r="J976">
        <f>CONCATENATE(G976,IF(LEN(H976)=1,CONCATENATE("0",H976),H976),IF(LEN(F976)=1,CONCATENATE("0",F976),F976))*1</f>
        <v>20150427</v>
      </c>
    </row>
    <row r="977" spans="1:10" hidden="1" x14ac:dyDescent="0.25">
      <c r="A977" s="4" t="s">
        <v>1003</v>
      </c>
      <c r="B977" t="s">
        <v>9</v>
      </c>
      <c r="C977" t="s">
        <v>6</v>
      </c>
      <c r="D977" s="3">
        <f>MID(A977,1,2)*1</f>
        <v>14</v>
      </c>
      <c r="E977" s="4">
        <f>MID(A977,3,2)*1</f>
        <v>26</v>
      </c>
      <c r="F977" s="4">
        <f>MID(A977,5,2)*1</f>
        <v>22</v>
      </c>
      <c r="G977" s="3">
        <f>IF(E977&gt;=20,2000,1900) + D977</f>
        <v>2014</v>
      </c>
      <c r="H977">
        <f>IF(E977&gt;=20,E977-20,E977)</f>
        <v>6</v>
      </c>
      <c r="I977" s="4">
        <f>F977</f>
        <v>22</v>
      </c>
      <c r="J977">
        <f>CONCATENATE(G977,IF(LEN(H977)=1,CONCATENATE("0",H977),H977),IF(LEN(F977)=1,CONCATENATE("0",F977),F977))*1</f>
        <v>20140622</v>
      </c>
    </row>
    <row r="978" spans="1:10" hidden="1" x14ac:dyDescent="0.25">
      <c r="A978" s="4" t="s">
        <v>1004</v>
      </c>
      <c r="B978" t="s">
        <v>12</v>
      </c>
      <c r="C978" t="s">
        <v>4</v>
      </c>
      <c r="D978" s="3">
        <f>MID(A978,1,2)*1</f>
        <v>1</v>
      </c>
      <c r="E978" s="4">
        <f>MID(A978,3,2)*1</f>
        <v>21</v>
      </c>
      <c r="F978" s="4">
        <f>MID(A978,5,2)*1</f>
        <v>29</v>
      </c>
      <c r="G978" s="3">
        <f>IF(E978&gt;=20,2000,1900) + D978</f>
        <v>2001</v>
      </c>
      <c r="H978">
        <f>IF(E978&gt;=20,E978-20,E978)</f>
        <v>1</v>
      </c>
      <c r="I978" s="4">
        <f>F978</f>
        <v>29</v>
      </c>
      <c r="J978">
        <f>CONCATENATE(G978,IF(LEN(H978)=1,CONCATENATE("0",H978),H978),IF(LEN(F978)=1,CONCATENATE("0",F978),F978))*1</f>
        <v>20010129</v>
      </c>
    </row>
    <row r="979" spans="1:10" hidden="1" x14ac:dyDescent="0.25">
      <c r="A979" s="4" t="s">
        <v>1005</v>
      </c>
      <c r="B979" t="s">
        <v>5</v>
      </c>
      <c r="C979" t="s">
        <v>4</v>
      </c>
      <c r="D979" s="3">
        <f>MID(A979,1,2)*1</f>
        <v>21</v>
      </c>
      <c r="E979" s="4">
        <f>MID(A979,3,2)*1</f>
        <v>21</v>
      </c>
      <c r="F979" s="4">
        <f>MID(A979,5,2)*1</f>
        <v>2</v>
      </c>
      <c r="G979" s="3">
        <f>IF(E979&gt;=20,2000,1900) + D979</f>
        <v>2021</v>
      </c>
      <c r="H979">
        <f>IF(E979&gt;=20,E979-20,E979)</f>
        <v>1</v>
      </c>
      <c r="I979" s="4">
        <f>F979</f>
        <v>2</v>
      </c>
      <c r="J979">
        <f>CONCATENATE(G979,IF(LEN(H979)=1,CONCATENATE("0",H979),H979),IF(LEN(F979)=1,CONCATENATE("0",F979),F979))*1</f>
        <v>20210102</v>
      </c>
    </row>
    <row r="980" spans="1:10" x14ac:dyDescent="0.25">
      <c r="A980" s="4" t="s">
        <v>756</v>
      </c>
      <c r="B980" t="s">
        <v>18</v>
      </c>
      <c r="C980" t="s">
        <v>6</v>
      </c>
      <c r="D980" s="3">
        <f>MID(A980,1,2)*1</f>
        <v>21</v>
      </c>
      <c r="E980" s="4">
        <f>MID(A980,3,2)*1</f>
        <v>23</v>
      </c>
      <c r="F980" s="4">
        <f>MID(A980,5,2)*1</f>
        <v>1</v>
      </c>
      <c r="G980" s="3">
        <f>IF(E980&gt;=20,2000,1900) + D980</f>
        <v>2021</v>
      </c>
      <c r="H980">
        <f>IF(E980&gt;=20,E980-20,E980)</f>
        <v>3</v>
      </c>
      <c r="I980" s="4">
        <f>F980</f>
        <v>1</v>
      </c>
      <c r="J980">
        <f>CONCATENATE(G980,IF(LEN(H980)=1,CONCATENATE("0",H980),H980),IF(LEN(F980)=1,CONCATENATE("0",F980),F980))*1</f>
        <v>20210301</v>
      </c>
    </row>
    <row r="981" spans="1:10" hidden="1" x14ac:dyDescent="0.25">
      <c r="A981" s="4" t="s">
        <v>1007</v>
      </c>
      <c r="B981" t="s">
        <v>14</v>
      </c>
      <c r="C981" t="s">
        <v>6</v>
      </c>
      <c r="D981" s="3">
        <f>MID(A981,1,2)*1</f>
        <v>2</v>
      </c>
      <c r="E981" s="4">
        <f>MID(A981,3,2)*1</f>
        <v>24</v>
      </c>
      <c r="F981" s="4">
        <f>MID(A981,5,2)*1</f>
        <v>12</v>
      </c>
      <c r="G981" s="3">
        <f>IF(E981&gt;=20,2000,1900) + D981</f>
        <v>2002</v>
      </c>
      <c r="H981">
        <f>IF(E981&gt;=20,E981-20,E981)</f>
        <v>4</v>
      </c>
      <c r="I981" s="4">
        <f>F981</f>
        <v>12</v>
      </c>
      <c r="J981">
        <f>CONCATENATE(G981,IF(LEN(H981)=1,CONCATENATE("0",H981),H981),IF(LEN(F981)=1,CONCATENATE("0",F981),F981))*1</f>
        <v>20020412</v>
      </c>
    </row>
    <row r="982" spans="1:10" hidden="1" x14ac:dyDescent="0.25">
      <c r="A982" s="4" t="s">
        <v>1008</v>
      </c>
      <c r="B982" t="s">
        <v>20</v>
      </c>
      <c r="C982" t="s">
        <v>4</v>
      </c>
      <c r="D982" s="3">
        <f>MID(A982,1,2)*1</f>
        <v>6</v>
      </c>
      <c r="E982" s="4">
        <f>MID(A982,3,2)*1</f>
        <v>31</v>
      </c>
      <c r="F982" s="4">
        <f>MID(A982,5,2)*1</f>
        <v>5</v>
      </c>
      <c r="G982" s="3">
        <f>IF(E982&gt;=20,2000,1900) + D982</f>
        <v>2006</v>
      </c>
      <c r="H982">
        <f>IF(E982&gt;=20,E982-20,E982)</f>
        <v>11</v>
      </c>
      <c r="I982" s="4">
        <f>F982</f>
        <v>5</v>
      </c>
      <c r="J982">
        <f>CONCATENATE(G982,IF(LEN(H982)=1,CONCATENATE("0",H982),H982),IF(LEN(F982)=1,CONCATENATE("0",F982),F982))*1</f>
        <v>20061105</v>
      </c>
    </row>
    <row r="983" spans="1:10" hidden="1" x14ac:dyDescent="0.25">
      <c r="A983" s="4" t="s">
        <v>1009</v>
      </c>
      <c r="B983" t="s">
        <v>19</v>
      </c>
      <c r="C983" t="s">
        <v>6</v>
      </c>
      <c r="D983" s="3">
        <f>MID(A983,1,2)*1</f>
        <v>18</v>
      </c>
      <c r="E983" s="4">
        <f>MID(A983,3,2)*1</f>
        <v>21</v>
      </c>
      <c r="F983" s="4">
        <f>MID(A983,5,2)*1</f>
        <v>9</v>
      </c>
      <c r="G983" s="3">
        <f>IF(E983&gt;=20,2000,1900) + D983</f>
        <v>2018</v>
      </c>
      <c r="H983">
        <f>IF(E983&gt;=20,E983-20,E983)</f>
        <v>1</v>
      </c>
      <c r="I983" s="4">
        <f>F983</f>
        <v>9</v>
      </c>
      <c r="J983">
        <f>CONCATENATE(G983,IF(LEN(H983)=1,CONCATENATE("0",H983),H983),IF(LEN(F983)=1,CONCATENATE("0",F983),F983))*1</f>
        <v>20180109</v>
      </c>
    </row>
    <row r="984" spans="1:10" hidden="1" x14ac:dyDescent="0.25">
      <c r="A984" s="4" t="s">
        <v>1010</v>
      </c>
      <c r="B984" t="s">
        <v>9</v>
      </c>
      <c r="C984" t="s">
        <v>4</v>
      </c>
      <c r="D984" s="3">
        <f>MID(A984,1,2)*1</f>
        <v>21</v>
      </c>
      <c r="E984" s="4">
        <f>MID(A984,3,2)*1</f>
        <v>24</v>
      </c>
      <c r="F984" s="4">
        <f>MID(A984,5,2)*1</f>
        <v>30</v>
      </c>
      <c r="G984" s="3">
        <f>IF(E984&gt;=20,2000,1900) + D984</f>
        <v>2021</v>
      </c>
      <c r="H984">
        <f>IF(E984&gt;=20,E984-20,E984)</f>
        <v>4</v>
      </c>
      <c r="I984" s="4">
        <f>F984</f>
        <v>30</v>
      </c>
      <c r="J984">
        <f>CONCATENATE(G984,IF(LEN(H984)=1,CONCATENATE("0",H984),H984),IF(LEN(F984)=1,CONCATENATE("0",F984),F984))*1</f>
        <v>20210430</v>
      </c>
    </row>
    <row r="985" spans="1:10" hidden="1" x14ac:dyDescent="0.25">
      <c r="A985" s="4" t="s">
        <v>1011</v>
      </c>
      <c r="B985" t="s">
        <v>13</v>
      </c>
      <c r="C985" t="s">
        <v>6</v>
      </c>
      <c r="D985" s="3">
        <f>MID(A985,1,2)*1</f>
        <v>0</v>
      </c>
      <c r="E985" s="4">
        <f>MID(A985,3,2)*1</f>
        <v>25</v>
      </c>
      <c r="F985" s="4">
        <f>MID(A985,5,2)*1</f>
        <v>12</v>
      </c>
      <c r="G985" s="3">
        <f>IF(E985&gt;=20,2000,1900) + D985</f>
        <v>2000</v>
      </c>
      <c r="H985">
        <f>IF(E985&gt;=20,E985-20,E985)</f>
        <v>5</v>
      </c>
      <c r="I985" s="4">
        <f>F985</f>
        <v>12</v>
      </c>
      <c r="J985">
        <f>CONCATENATE(G985,IF(LEN(H985)=1,CONCATENATE("0",H985),H985),IF(LEN(F985)=1,CONCATENATE("0",F985),F985))*1</f>
        <v>20000512</v>
      </c>
    </row>
    <row r="986" spans="1:10" hidden="1" x14ac:dyDescent="0.25">
      <c r="A986" s="4" t="s">
        <v>1012</v>
      </c>
      <c r="B986" t="s">
        <v>10</v>
      </c>
      <c r="C986" t="s">
        <v>6</v>
      </c>
      <c r="D986" s="3">
        <f>MID(A986,1,2)*1</f>
        <v>0</v>
      </c>
      <c r="E986" s="4">
        <f>MID(A986,3,2)*1</f>
        <v>27</v>
      </c>
      <c r="F986" s="4">
        <f>MID(A986,5,2)*1</f>
        <v>4</v>
      </c>
      <c r="G986" s="3">
        <f>IF(E986&gt;=20,2000,1900) + D986</f>
        <v>2000</v>
      </c>
      <c r="H986">
        <f>IF(E986&gt;=20,E986-20,E986)</f>
        <v>7</v>
      </c>
      <c r="I986" s="4">
        <f>F986</f>
        <v>4</v>
      </c>
      <c r="J986">
        <f>CONCATENATE(G986,IF(LEN(H986)=1,CONCATENATE("0",H986),H986),IF(LEN(F986)=1,CONCATENATE("0",F986),F986))*1</f>
        <v>20000704</v>
      </c>
    </row>
    <row r="987" spans="1:10" hidden="1" x14ac:dyDescent="0.25">
      <c r="A987" s="4" t="s">
        <v>1013</v>
      </c>
      <c r="B987" t="s">
        <v>11</v>
      </c>
      <c r="C987" t="s">
        <v>4</v>
      </c>
      <c r="D987" s="3">
        <f>MID(A987,1,2)*1</f>
        <v>6</v>
      </c>
      <c r="E987" s="4">
        <f>MID(A987,3,2)*1</f>
        <v>21</v>
      </c>
      <c r="F987" s="4">
        <f>MID(A987,5,2)*1</f>
        <v>13</v>
      </c>
      <c r="G987" s="3">
        <f>IF(E987&gt;=20,2000,1900) + D987</f>
        <v>2006</v>
      </c>
      <c r="H987">
        <f>IF(E987&gt;=20,E987-20,E987)</f>
        <v>1</v>
      </c>
      <c r="I987" s="4">
        <f>F987</f>
        <v>13</v>
      </c>
      <c r="J987">
        <f>CONCATENATE(G987,IF(LEN(H987)=1,CONCATENATE("0",H987),H987),IF(LEN(F987)=1,CONCATENATE("0",F987),F987))*1</f>
        <v>20060113</v>
      </c>
    </row>
    <row r="988" spans="1:10" x14ac:dyDescent="0.25">
      <c r="A988" s="4" t="s">
        <v>861</v>
      </c>
      <c r="B988" t="s">
        <v>18</v>
      </c>
      <c r="C988" t="s">
        <v>4</v>
      </c>
      <c r="D988" s="3">
        <f>MID(A988,1,2)*1</f>
        <v>22</v>
      </c>
      <c r="E988" s="4">
        <f>MID(A988,3,2)*1</f>
        <v>28</v>
      </c>
      <c r="F988" s="4">
        <f>MID(A988,5,2)*1</f>
        <v>6</v>
      </c>
      <c r="G988" s="3">
        <f>IF(E988&gt;=20,2000,1900) + D988</f>
        <v>2022</v>
      </c>
      <c r="H988">
        <f>IF(E988&gt;=20,E988-20,E988)</f>
        <v>8</v>
      </c>
      <c r="I988" s="4">
        <f>F988</f>
        <v>6</v>
      </c>
      <c r="J988">
        <f>CONCATENATE(G988,IF(LEN(H988)=1,CONCATENATE("0",H988),H988),IF(LEN(F988)=1,CONCATENATE("0",F988),F988))*1</f>
        <v>20220806</v>
      </c>
    </row>
    <row r="989" spans="1:10" hidden="1" x14ac:dyDescent="0.25">
      <c r="A989" s="4" t="s">
        <v>1015</v>
      </c>
      <c r="B989" t="s">
        <v>7</v>
      </c>
      <c r="C989" t="s">
        <v>6</v>
      </c>
      <c r="D989" s="3">
        <f t="shared" ref="D963:D1001" si="6">MID(A989,1,2)*1</f>
        <v>11</v>
      </c>
      <c r="E989" s="4">
        <f t="shared" ref="E963:E1001" si="7">MID(A989,3,2)*1</f>
        <v>24</v>
      </c>
      <c r="F989" s="4">
        <f t="shared" ref="F963:F1001" si="8">MID(A989,5,2)*1</f>
        <v>15</v>
      </c>
      <c r="G989" s="3">
        <f>IF(E989&gt;=20,2000,1900) + D989</f>
        <v>2011</v>
      </c>
      <c r="H989">
        <f t="shared" ref="H963:H1001" si="9">IF(E989&gt;=20,E989-20,E989)</f>
        <v>4</v>
      </c>
      <c r="I989" s="4">
        <f t="shared" ref="I963:I1001" si="10">F989</f>
        <v>15</v>
      </c>
      <c r="J989">
        <f t="shared" ref="J963:J1001" si="11">CONCATENATE(G989,IF(LEN(H989)=1,CONCATENATE("0",H989),H989),IF(LEN(F989)=1,CONCATENATE("0",F989),F989))*1</f>
        <v>20110415</v>
      </c>
    </row>
    <row r="990" spans="1:10" hidden="1" x14ac:dyDescent="0.25">
      <c r="A990" s="4" t="s">
        <v>1016</v>
      </c>
      <c r="B990" t="s">
        <v>12</v>
      </c>
      <c r="C990" t="s">
        <v>4</v>
      </c>
      <c r="D990" s="3">
        <f t="shared" si="6"/>
        <v>18</v>
      </c>
      <c r="E990" s="4">
        <f t="shared" si="7"/>
        <v>22</v>
      </c>
      <c r="F990" s="4">
        <f t="shared" si="8"/>
        <v>22</v>
      </c>
      <c r="G990" s="3">
        <f>IF(E990&gt;=20,2000,1900) + D990</f>
        <v>2018</v>
      </c>
      <c r="H990">
        <f t="shared" si="9"/>
        <v>2</v>
      </c>
      <c r="I990" s="4">
        <f t="shared" si="10"/>
        <v>22</v>
      </c>
      <c r="J990">
        <f t="shared" si="11"/>
        <v>20180222</v>
      </c>
    </row>
    <row r="991" spans="1:10" hidden="1" x14ac:dyDescent="0.25">
      <c r="A991" s="4" t="s">
        <v>1017</v>
      </c>
      <c r="B991" t="s">
        <v>10</v>
      </c>
      <c r="C991" t="s">
        <v>4</v>
      </c>
      <c r="D991" s="3">
        <f t="shared" si="6"/>
        <v>4</v>
      </c>
      <c r="E991" s="4">
        <f t="shared" si="7"/>
        <v>31</v>
      </c>
      <c r="F991" s="4">
        <f t="shared" si="8"/>
        <v>19</v>
      </c>
      <c r="G991" s="3">
        <f>IF(E991&gt;=20,2000,1900) + D991</f>
        <v>2004</v>
      </c>
      <c r="H991">
        <f t="shared" si="9"/>
        <v>11</v>
      </c>
      <c r="I991" s="4">
        <f t="shared" si="10"/>
        <v>19</v>
      </c>
      <c r="J991">
        <f t="shared" si="11"/>
        <v>20041119</v>
      </c>
    </row>
    <row r="992" spans="1:10" hidden="1" x14ac:dyDescent="0.25">
      <c r="A992" s="4" t="s">
        <v>1018</v>
      </c>
      <c r="B992" t="s">
        <v>3</v>
      </c>
      <c r="C992" t="s">
        <v>6</v>
      </c>
      <c r="D992" s="3">
        <f t="shared" si="6"/>
        <v>6</v>
      </c>
      <c r="E992" s="4">
        <f t="shared" si="7"/>
        <v>26</v>
      </c>
      <c r="F992" s="4">
        <f t="shared" si="8"/>
        <v>1</v>
      </c>
      <c r="G992" s="3">
        <f>IF(E992&gt;=20,2000,1900) + D992</f>
        <v>2006</v>
      </c>
      <c r="H992">
        <f t="shared" si="9"/>
        <v>6</v>
      </c>
      <c r="I992" s="4">
        <f t="shared" si="10"/>
        <v>1</v>
      </c>
      <c r="J992">
        <f t="shared" si="11"/>
        <v>20060601</v>
      </c>
    </row>
    <row r="993" spans="1:10" hidden="1" x14ac:dyDescent="0.25">
      <c r="A993" s="4" t="s">
        <v>1019</v>
      </c>
      <c r="B993" t="s">
        <v>13</v>
      </c>
      <c r="C993" t="s">
        <v>6</v>
      </c>
      <c r="D993" s="3">
        <f t="shared" si="6"/>
        <v>6</v>
      </c>
      <c r="E993" s="4">
        <f t="shared" si="7"/>
        <v>22</v>
      </c>
      <c r="F993" s="4">
        <f t="shared" si="8"/>
        <v>4</v>
      </c>
      <c r="G993" s="3">
        <f>IF(E993&gt;=20,2000,1900) + D993</f>
        <v>2006</v>
      </c>
      <c r="H993">
        <f t="shared" si="9"/>
        <v>2</v>
      </c>
      <c r="I993" s="4">
        <f t="shared" si="10"/>
        <v>4</v>
      </c>
      <c r="J993">
        <f t="shared" si="11"/>
        <v>20060204</v>
      </c>
    </row>
    <row r="994" spans="1:10" hidden="1" x14ac:dyDescent="0.25">
      <c r="A994" s="4" t="s">
        <v>1020</v>
      </c>
      <c r="B994" t="s">
        <v>11</v>
      </c>
      <c r="C994" t="s">
        <v>4</v>
      </c>
      <c r="D994" s="3">
        <f t="shared" si="6"/>
        <v>22</v>
      </c>
      <c r="E994" s="4">
        <f t="shared" si="7"/>
        <v>26</v>
      </c>
      <c r="F994" s="4">
        <f t="shared" si="8"/>
        <v>12</v>
      </c>
      <c r="G994" s="3">
        <f>IF(E994&gt;=20,2000,1900) + D994</f>
        <v>2022</v>
      </c>
      <c r="H994">
        <f t="shared" si="9"/>
        <v>6</v>
      </c>
      <c r="I994" s="4">
        <f t="shared" si="10"/>
        <v>12</v>
      </c>
      <c r="J994">
        <f t="shared" si="11"/>
        <v>20220612</v>
      </c>
    </row>
    <row r="995" spans="1:10" hidden="1" x14ac:dyDescent="0.25">
      <c r="A995" s="4" t="s">
        <v>1021</v>
      </c>
      <c r="B995" t="s">
        <v>13</v>
      </c>
      <c r="C995" t="s">
        <v>6</v>
      </c>
      <c r="D995" s="3">
        <f t="shared" si="6"/>
        <v>19</v>
      </c>
      <c r="E995" s="4">
        <f t="shared" si="7"/>
        <v>29</v>
      </c>
      <c r="F995" s="4">
        <f t="shared" si="8"/>
        <v>15</v>
      </c>
      <c r="G995" s="3">
        <f>IF(E995&gt;=20,2000,1900) + D995</f>
        <v>2019</v>
      </c>
      <c r="H995">
        <f t="shared" si="9"/>
        <v>9</v>
      </c>
      <c r="I995" s="4">
        <f t="shared" si="10"/>
        <v>15</v>
      </c>
      <c r="J995">
        <f t="shared" si="11"/>
        <v>20190915</v>
      </c>
    </row>
    <row r="996" spans="1:10" hidden="1" x14ac:dyDescent="0.25">
      <c r="A996" s="4" t="s">
        <v>1022</v>
      </c>
      <c r="B996" t="s">
        <v>5</v>
      </c>
      <c r="C996" t="s">
        <v>4</v>
      </c>
      <c r="D996" s="3">
        <f t="shared" si="6"/>
        <v>1</v>
      </c>
      <c r="E996" s="4">
        <f t="shared" si="7"/>
        <v>31</v>
      </c>
      <c r="F996" s="4">
        <f t="shared" si="8"/>
        <v>3</v>
      </c>
      <c r="G996" s="3">
        <f>IF(E996&gt;=20,2000,1900) + D996</f>
        <v>2001</v>
      </c>
      <c r="H996">
        <f t="shared" si="9"/>
        <v>11</v>
      </c>
      <c r="I996" s="4">
        <f t="shared" si="10"/>
        <v>3</v>
      </c>
      <c r="J996">
        <f t="shared" si="11"/>
        <v>20011103</v>
      </c>
    </row>
    <row r="997" spans="1:10" hidden="1" x14ac:dyDescent="0.25">
      <c r="A997" s="4" t="s">
        <v>1023</v>
      </c>
      <c r="B997" t="s">
        <v>15</v>
      </c>
      <c r="C997" t="s">
        <v>6</v>
      </c>
      <c r="D997" s="3">
        <f t="shared" si="6"/>
        <v>16</v>
      </c>
      <c r="E997" s="4">
        <f t="shared" si="7"/>
        <v>23</v>
      </c>
      <c r="F997" s="4">
        <f t="shared" si="8"/>
        <v>24</v>
      </c>
      <c r="G997" s="3">
        <f>IF(E997&gt;=20,2000,1900) + D997</f>
        <v>2016</v>
      </c>
      <c r="H997">
        <f t="shared" si="9"/>
        <v>3</v>
      </c>
      <c r="I997" s="4">
        <f t="shared" si="10"/>
        <v>24</v>
      </c>
      <c r="J997">
        <f t="shared" si="11"/>
        <v>20160324</v>
      </c>
    </row>
    <row r="998" spans="1:10" hidden="1" x14ac:dyDescent="0.25">
      <c r="A998" s="4" t="s">
        <v>1024</v>
      </c>
      <c r="B998" t="s">
        <v>19</v>
      </c>
      <c r="C998" t="s">
        <v>6</v>
      </c>
      <c r="D998" s="3">
        <f t="shared" si="6"/>
        <v>2</v>
      </c>
      <c r="E998" s="4">
        <f t="shared" si="7"/>
        <v>24</v>
      </c>
      <c r="F998" s="4">
        <f t="shared" si="8"/>
        <v>7</v>
      </c>
      <c r="G998" s="3">
        <f>IF(E998&gt;=20,2000,1900) + D998</f>
        <v>2002</v>
      </c>
      <c r="H998">
        <f t="shared" si="9"/>
        <v>4</v>
      </c>
      <c r="I998" s="4">
        <f t="shared" si="10"/>
        <v>7</v>
      </c>
      <c r="J998">
        <f t="shared" si="11"/>
        <v>20020407</v>
      </c>
    </row>
    <row r="999" spans="1:10" hidden="1" x14ac:dyDescent="0.25">
      <c r="A999" s="4" t="s">
        <v>1025</v>
      </c>
      <c r="B999" t="s">
        <v>7</v>
      </c>
      <c r="C999" t="s">
        <v>4</v>
      </c>
      <c r="D999" s="3">
        <f t="shared" si="6"/>
        <v>6</v>
      </c>
      <c r="E999" s="4">
        <f t="shared" si="7"/>
        <v>27</v>
      </c>
      <c r="F999" s="4">
        <f t="shared" si="8"/>
        <v>4</v>
      </c>
      <c r="G999" s="3">
        <f>IF(E999&gt;=20,2000,1900) + D999</f>
        <v>2006</v>
      </c>
      <c r="H999">
        <f t="shared" si="9"/>
        <v>7</v>
      </c>
      <c r="I999" s="4">
        <f t="shared" si="10"/>
        <v>4</v>
      </c>
      <c r="J999">
        <f t="shared" si="11"/>
        <v>20060704</v>
      </c>
    </row>
    <row r="1000" spans="1:10" hidden="1" x14ac:dyDescent="0.25">
      <c r="A1000" s="4" t="s">
        <v>1026</v>
      </c>
      <c r="B1000" t="s">
        <v>8</v>
      </c>
      <c r="C1000" t="s">
        <v>4</v>
      </c>
      <c r="D1000" s="3">
        <f t="shared" si="6"/>
        <v>4</v>
      </c>
      <c r="E1000" s="4">
        <f t="shared" si="7"/>
        <v>24</v>
      </c>
      <c r="F1000" s="4">
        <f t="shared" si="8"/>
        <v>18</v>
      </c>
      <c r="G1000" s="3">
        <f>IF(E1000&gt;=20,2000,1900) + D1000</f>
        <v>2004</v>
      </c>
      <c r="H1000">
        <f t="shared" si="9"/>
        <v>4</v>
      </c>
      <c r="I1000" s="4">
        <f t="shared" si="10"/>
        <v>18</v>
      </c>
      <c r="J1000">
        <f t="shared" si="11"/>
        <v>20040418</v>
      </c>
    </row>
    <row r="1001" spans="1:10" hidden="1" x14ac:dyDescent="0.25">
      <c r="A1001" s="4" t="s">
        <v>1027</v>
      </c>
      <c r="B1001" t="s">
        <v>14</v>
      </c>
      <c r="C1001" t="s">
        <v>6</v>
      </c>
      <c r="D1001" s="3">
        <f t="shared" si="6"/>
        <v>17</v>
      </c>
      <c r="E1001" s="4">
        <f t="shared" si="7"/>
        <v>32</v>
      </c>
      <c r="F1001" s="4">
        <f t="shared" si="8"/>
        <v>4</v>
      </c>
      <c r="G1001" s="3">
        <f>IF(E1001&gt;=20,2000,1900) + D1001</f>
        <v>2017</v>
      </c>
      <c r="H1001">
        <f t="shared" si="9"/>
        <v>12</v>
      </c>
      <c r="I1001" s="4">
        <f t="shared" si="10"/>
        <v>4</v>
      </c>
      <c r="J1001">
        <f t="shared" si="11"/>
        <v>20171204</v>
      </c>
    </row>
  </sheetData>
  <autoFilter ref="B1:J1001">
    <filterColumn colId="0">
      <filters>
        <filter val="kujawsko-pomorskie"/>
      </filters>
    </filterColumn>
  </autoFilter>
  <sortState ref="B24:J988">
    <sortCondition ref="J2:J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12</vt:i4>
      </vt:variant>
      <vt:variant>
        <vt:lpstr>Zakresy nazwane</vt:lpstr>
      </vt:variant>
      <vt:variant>
        <vt:i4>8</vt:i4>
      </vt:variant>
    </vt:vector>
  </HeadingPairs>
  <TitlesOfParts>
    <vt:vector size="20" baseType="lpstr">
      <vt:lpstr>dane zle</vt:lpstr>
      <vt:lpstr>z-1</vt:lpstr>
      <vt:lpstr>odp-1</vt:lpstr>
      <vt:lpstr>dane dobre</vt:lpstr>
      <vt:lpstr>odp-5</vt:lpstr>
      <vt:lpstr>z-5</vt:lpstr>
      <vt:lpstr>odp-6</vt:lpstr>
      <vt:lpstr>z-6</vt:lpstr>
      <vt:lpstr>z-7</vt:lpstr>
      <vt:lpstr>z-4</vt:lpstr>
      <vt:lpstr>z-3</vt:lpstr>
      <vt:lpstr>z-2</vt:lpstr>
      <vt:lpstr>'dane dobre'!ips</vt:lpstr>
      <vt:lpstr>'dane zle'!ips</vt:lpstr>
      <vt:lpstr>'z-1'!ips</vt:lpstr>
      <vt:lpstr>'z-2'!ips</vt:lpstr>
      <vt:lpstr>'z-4'!ips</vt:lpstr>
      <vt:lpstr>'z-5'!ips</vt:lpstr>
      <vt:lpstr>'z-6'!ips</vt:lpstr>
      <vt:lpstr>'z-7'!ips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2026-02-20T10:57:10Z</dcterms:created>
  <dcterms:modified xsi:type="dcterms:W3CDTF">2026-02-20T14:07:33Z</dcterms:modified>
</cp:coreProperties>
</file>